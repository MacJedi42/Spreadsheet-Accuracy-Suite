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320" yWindow="300" windowWidth="12240" windowHeight="7320" tabRatio="910"/>
  </bookViews>
  <sheets>
    <sheet name="July09" sheetId="79" r:id="rId1"/>
    <sheet name="Aug09" sheetId="71" r:id="rId2"/>
    <sheet name="Sept09" sheetId="70" r:id="rId3"/>
    <sheet name="Oct09" sheetId="69" r:id="rId4"/>
    <sheet name="Nov09" sheetId="73" r:id="rId5"/>
    <sheet name="Dec09" sheetId="74" r:id="rId6"/>
    <sheet name="Jan10" sheetId="75" r:id="rId7"/>
    <sheet name="Feb10" sheetId="56" r:id="rId8"/>
    <sheet name="Mar10" sheetId="68" r:id="rId9"/>
    <sheet name="Apr10" sheetId="67" r:id="rId10"/>
    <sheet name="May10" sheetId="66" r:id="rId11"/>
    <sheet name="Jun10" sheetId="65" r:id="rId12"/>
    <sheet name="Calendar" sheetId="63" r:id="rId13"/>
    <sheet name="Out of Office Request Form" sheetId="77" r:id="rId14"/>
  </sheets>
  <definedNames>
    <definedName name="Account">#REF!</definedName>
    <definedName name="Aprilcode">#REF!</definedName>
    <definedName name="AprilcodedHours">#REF!</definedName>
    <definedName name="Augcode">#REF!</definedName>
    <definedName name="AugcodedHours">#REF!</definedName>
    <definedName name="code">#REF!,#REF!,#REF!,#REF!,#REF!,#REF!</definedName>
    <definedName name="codehours">#REF!,#REF!,#REF!,#REF!,#REF!</definedName>
    <definedName name="Deccode">#REF!</definedName>
    <definedName name="DeccodedHours">#REF!</definedName>
    <definedName name="Department">#REF!</definedName>
    <definedName name="Fcode">#REF!</definedName>
    <definedName name="FcodedHours">#REF!</definedName>
    <definedName name="First">#REF!</definedName>
    <definedName name="From">#REF!</definedName>
    <definedName name="FromApr">'May10'!$AC$3</definedName>
    <definedName name="FromApril">#REF!</definedName>
    <definedName name="FromAug">#REF!</definedName>
    <definedName name="FromAugust">Sept09!$AC$3</definedName>
    <definedName name="FromDec">'Jan10'!$AC$3</definedName>
    <definedName name="FromFeb">#REF!</definedName>
    <definedName name="FromFebruary">'Mar10'!$AC$3</definedName>
    <definedName name="FromJan">'Feb10'!$AC$3</definedName>
    <definedName name="FromJuly">'Aug09'!$AC$3</definedName>
    <definedName name="FromJun">#REF!</definedName>
    <definedName name="FromJune">#REF!</definedName>
    <definedName name="FromMar">'Apr10'!$AC$3</definedName>
    <definedName name="FromMarch">#REF!</definedName>
    <definedName name="FromMay">'Jun10'!$AC$3</definedName>
    <definedName name="FromNov">'Dec09'!$AC$3</definedName>
    <definedName name="FromOct">'Nov09'!$AC$3</definedName>
    <definedName name="FromSept">#REF!</definedName>
    <definedName name="FromSeptember">'Oct09'!$AC$3</definedName>
    <definedName name="JanCode">#REF!</definedName>
    <definedName name="JanCodeHours">#REF!</definedName>
    <definedName name="JCodeHours">#REF!</definedName>
    <definedName name="Julycode">#REF!</definedName>
    <definedName name="JulycodedHours">#REF!</definedName>
    <definedName name="Junecode">#REF!</definedName>
    <definedName name="JunecodedHours">#REF!</definedName>
    <definedName name="Last">#REF!</definedName>
    <definedName name="Marcode">#REF!</definedName>
    <definedName name="MarcodedHours">#REF!</definedName>
    <definedName name="Maycode">#REF!</definedName>
    <definedName name="MaycodedHours">#REF!</definedName>
    <definedName name="MI">#REF!</definedName>
    <definedName name="Novcode">#REF!</definedName>
    <definedName name="NovcodedHours">#REF!</definedName>
    <definedName name="Object">#REF!</definedName>
    <definedName name="Octcode">#REF!</definedName>
    <definedName name="OctcodedHours">#REF!</definedName>
    <definedName name="_xlnm.Print_Area" localSheetId="9">'Apr10'!$A$1:$AJ$56</definedName>
    <definedName name="_xlnm.Print_Area" localSheetId="1">'Aug09'!$A$1:$AJ$56</definedName>
    <definedName name="_xlnm.Print_Area" localSheetId="12">Calendar!$A$2:$X$45</definedName>
    <definedName name="_xlnm.Print_Area" localSheetId="5">'Dec09'!$A$1:$AJ$56</definedName>
    <definedName name="_xlnm.Print_Area" localSheetId="7">'Feb10'!$A$1:$AJ$56</definedName>
    <definedName name="_xlnm.Print_Area" localSheetId="6">'Jan10'!$A$1:$AJ$56</definedName>
    <definedName name="_xlnm.Print_Area" localSheetId="0">July09!$A$1:$AF$55</definedName>
    <definedName name="_xlnm.Print_Area" localSheetId="11">'Jun10'!$A$1:$AJ$56</definedName>
    <definedName name="_xlnm.Print_Area" localSheetId="8">'Mar10'!$A$1:$AJ$56</definedName>
    <definedName name="_xlnm.Print_Area" localSheetId="10">'May10'!$A$1:$AJ$56</definedName>
    <definedName name="_xlnm.Print_Area" localSheetId="4">'Nov09'!$A$1:$AJ$56</definedName>
    <definedName name="_xlnm.Print_Area" localSheetId="3">'Oct09'!$C$1:$AJ$56</definedName>
    <definedName name="_xlnm.Print_Area" localSheetId="2">Sept09!$A$1:$AJ$56</definedName>
    <definedName name="Purpose">#REF!</definedName>
    <definedName name="Septcode">#REF!</definedName>
    <definedName name="SeptcodedHours">#REF!</definedName>
    <definedName name="Soc">#REF!</definedName>
    <definedName name="TimeCodes">#REF!</definedName>
    <definedName name="To">#REF!</definedName>
    <definedName name="ToApr">'May10'!$AC$4</definedName>
    <definedName name="ToAugust">Sept09!$AC$4</definedName>
    <definedName name="ToDec">'Jan10'!$AC$4</definedName>
    <definedName name="ToFebruary">'Mar10'!$AC$4</definedName>
    <definedName name="ToJan">'Feb10'!$AC$4</definedName>
    <definedName name="ToJuly">'Aug09'!$AC$4</definedName>
    <definedName name="ToJun">#REF!</definedName>
    <definedName name="ToJune">#REF!</definedName>
    <definedName name="ToMar">'Apr10'!$AC$4</definedName>
    <definedName name="ToMay">'Jun10'!$AC$4</definedName>
    <definedName name="ToNov">'Dec09'!$AC$4</definedName>
    <definedName name="ToOct">'Nov09'!#REF!</definedName>
    <definedName name="ToSeptember">'Oct09'!$AC$4</definedName>
  </definedNames>
  <calcPr calcId="125725"/>
  <customWorkbookViews>
    <customWorkbookView name="Deon Wislon - Personal View" guid="{12E78FB1-00F2-4D54-B9C8-D7A8E8ECA48D}" mergeInterval="0" personalView="1" maximized="1" windowWidth="1020" windowHeight="605" tabRatio="918" activeSheetId="2"/>
  </customWorkbookViews>
</workbook>
</file>

<file path=xl/calcChain.xml><?xml version="1.0" encoding="utf-8"?>
<calcChain xmlns="http://schemas.openxmlformats.org/spreadsheetml/2006/main">
  <c r="D20" i="68"/>
  <c r="D21" s="1"/>
  <c r="AE24" i="79"/>
  <c r="AE24" i="65"/>
  <c r="AE24" i="68"/>
  <c r="AE24" i="69"/>
  <c r="AE24" i="70"/>
  <c r="AE24" i="71"/>
  <c r="Y36" i="79"/>
  <c r="Y36" i="65"/>
  <c r="Y36" i="66"/>
  <c r="Y36" i="67"/>
  <c r="Y36" i="68"/>
  <c r="Y36" i="56"/>
  <c r="Y36" i="75"/>
  <c r="Y36" i="74"/>
  <c r="Y36" i="73"/>
  <c r="Y36" i="69"/>
  <c r="Y36" i="70"/>
  <c r="Y36" i="71"/>
  <c r="E24" i="79"/>
  <c r="F24"/>
  <c r="G25" s="1"/>
  <c r="Y37"/>
  <c r="Y38"/>
  <c r="Y39"/>
  <c r="Y40"/>
  <c r="Y41"/>
  <c r="Y42"/>
  <c r="Y45"/>
  <c r="Y46"/>
  <c r="Y47"/>
  <c r="Y48"/>
  <c r="Y37" i="65"/>
  <c r="Y38"/>
  <c r="Y39"/>
  <c r="Y40"/>
  <c r="Y41"/>
  <c r="Y42"/>
  <c r="Y45"/>
  <c r="Y46"/>
  <c r="Y47"/>
  <c r="Y48"/>
  <c r="Y39" i="66"/>
  <c r="Y39" i="67"/>
  <c r="Y39" i="68"/>
  <c r="Y39" i="56"/>
  <c r="Y39" i="75"/>
  <c r="Y39" i="74"/>
  <c r="Y39" i="73"/>
  <c r="Y39" i="69"/>
  <c r="Y39" i="70"/>
  <c r="Y39" i="71"/>
  <c r="R23" i="67"/>
  <c r="R23" i="75"/>
  <c r="R23" i="74"/>
  <c r="E24"/>
  <c r="F24"/>
  <c r="K24"/>
  <c r="L24"/>
  <c r="Q24"/>
  <c r="R24"/>
  <c r="W24"/>
  <c r="X24"/>
  <c r="AA24"/>
  <c r="AB24"/>
  <c r="AC24"/>
  <c r="AA6" i="73"/>
  <c r="Y52" i="79"/>
  <c r="Y51"/>
  <c r="Y50"/>
  <c r="K24"/>
  <c r="E30" s="1"/>
  <c r="Q24"/>
  <c r="W24"/>
  <c r="AB24"/>
  <c r="AA24"/>
  <c r="L24"/>
  <c r="R24"/>
  <c r="X24"/>
  <c r="AC24"/>
  <c r="G30" s="1"/>
  <c r="G33" s="1"/>
  <c r="I33"/>
  <c r="AD25"/>
  <c r="AB25"/>
  <c r="AA25"/>
  <c r="Y25"/>
  <c r="W25"/>
  <c r="S25"/>
  <c r="Q25"/>
  <c r="M25"/>
  <c r="K25"/>
  <c r="E25"/>
  <c r="R11"/>
  <c r="AA6"/>
  <c r="AA22" i="70"/>
  <c r="AB24"/>
  <c r="AB24" i="75"/>
  <c r="AB24" i="56"/>
  <c r="AB24" i="68"/>
  <c r="AB24" i="65"/>
  <c r="AB24" i="66"/>
  <c r="G30" i="74"/>
  <c r="AC24" i="67"/>
  <c r="AB24"/>
  <c r="J15" i="71"/>
  <c r="J16" s="1"/>
  <c r="J17" s="1"/>
  <c r="J18" s="1"/>
  <c r="J19" s="1"/>
  <c r="J20" s="1"/>
  <c r="J21" s="1"/>
  <c r="P15" s="1"/>
  <c r="P16" s="1"/>
  <c r="P17" s="1"/>
  <c r="P18" s="1"/>
  <c r="P19" s="1"/>
  <c r="P20" s="1"/>
  <c r="P21" s="1"/>
  <c r="V15" s="1"/>
  <c r="V16" s="1"/>
  <c r="V17" s="1"/>
  <c r="V18" s="1"/>
  <c r="V19" s="1"/>
  <c r="V20" s="1"/>
  <c r="V21" s="1"/>
  <c r="AA15" s="1"/>
  <c r="AA16" s="1"/>
  <c r="AA17" s="1"/>
  <c r="AA18" s="1"/>
  <c r="AA19" s="1"/>
  <c r="AA20" s="1"/>
  <c r="AA21" s="1"/>
  <c r="Y52"/>
  <c r="Y52" i="70"/>
  <c r="Y52" i="69"/>
  <c r="Y52" i="73"/>
  <c r="Y48" i="71"/>
  <c r="Y50"/>
  <c r="Y48" i="70"/>
  <c r="Y50"/>
  <c r="Y48" i="69"/>
  <c r="Y50"/>
  <c r="Y48" i="73"/>
  <c r="Y50"/>
  <c r="Y40" i="66"/>
  <c r="Y40" i="67"/>
  <c r="Y40" i="68"/>
  <c r="Y40" i="56"/>
  <c r="Y40" i="75"/>
  <c r="Y40" i="74"/>
  <c r="Y40" i="73"/>
  <c r="Y40" i="69"/>
  <c r="Y40" i="70"/>
  <c r="Y40" i="71"/>
  <c r="Y38" i="66"/>
  <c r="Y38" i="67"/>
  <c r="Y38" i="68"/>
  <c r="Y38" i="56"/>
  <c r="Y38" i="75"/>
  <c r="Y38" i="74"/>
  <c r="Y38" i="73"/>
  <c r="Y38" i="69"/>
  <c r="Y38" i="70"/>
  <c r="Y38" i="71"/>
  <c r="Y52" i="65"/>
  <c r="Y52" i="66"/>
  <c r="Y52" i="67"/>
  <c r="Y52" i="68"/>
  <c r="Y52" i="56"/>
  <c r="Y52" i="75"/>
  <c r="Y52" i="74"/>
  <c r="Y50" i="65"/>
  <c r="Y48" i="66"/>
  <c r="Y50"/>
  <c r="Y48" i="67"/>
  <c r="Y50"/>
  <c r="Y48" i="68"/>
  <c r="Y50"/>
  <c r="Y48" i="56"/>
  <c r="Y50"/>
  <c r="Y48" i="75"/>
  <c r="Y50"/>
  <c r="Y48" i="74"/>
  <c r="Y50"/>
  <c r="D17"/>
  <c r="D18" s="1"/>
  <c r="D19" s="1"/>
  <c r="D20" s="1"/>
  <c r="D21" s="1"/>
  <c r="Y51" i="75"/>
  <c r="Y47"/>
  <c r="Y46"/>
  <c r="Y45"/>
  <c r="Y42"/>
  <c r="Y41"/>
  <c r="Y37"/>
  <c r="E24"/>
  <c r="F24"/>
  <c r="G25" s="1"/>
  <c r="K24"/>
  <c r="L24"/>
  <c r="M25"/>
  <c r="Q24"/>
  <c r="R24"/>
  <c r="S25" s="1"/>
  <c r="W24"/>
  <c r="X24"/>
  <c r="Y25"/>
  <c r="AC24"/>
  <c r="AD25"/>
  <c r="AA24"/>
  <c r="E30"/>
  <c r="G30"/>
  <c r="J30"/>
  <c r="J33" s="1"/>
  <c r="I33"/>
  <c r="G33"/>
  <c r="E33"/>
  <c r="AB25"/>
  <c r="AA25"/>
  <c r="W25"/>
  <c r="Q25"/>
  <c r="K25"/>
  <c r="E25"/>
  <c r="R11"/>
  <c r="AA6"/>
  <c r="Y51" i="74"/>
  <c r="Y47"/>
  <c r="Y46"/>
  <c r="Y45"/>
  <c r="Y42"/>
  <c r="Y41"/>
  <c r="Y37"/>
  <c r="G25"/>
  <c r="M25"/>
  <c r="S25"/>
  <c r="Y25"/>
  <c r="AD25"/>
  <c r="E30"/>
  <c r="J30" s="1"/>
  <c r="J33" s="1"/>
  <c r="I33"/>
  <c r="G33"/>
  <c r="AB25"/>
  <c r="AA25"/>
  <c r="W25"/>
  <c r="Q25"/>
  <c r="K25"/>
  <c r="E25"/>
  <c r="R11"/>
  <c r="AA6"/>
  <c r="Y51" i="73"/>
  <c r="Y47"/>
  <c r="Y46"/>
  <c r="Y45"/>
  <c r="Y42"/>
  <c r="Y41"/>
  <c r="Y37"/>
  <c r="E24"/>
  <c r="F24"/>
  <c r="G25" s="1"/>
  <c r="K24"/>
  <c r="L24"/>
  <c r="M25"/>
  <c r="Q24"/>
  <c r="R24"/>
  <c r="S25" s="1"/>
  <c r="W24"/>
  <c r="X24"/>
  <c r="Y25"/>
  <c r="AB24"/>
  <c r="AC24"/>
  <c r="AD25" s="1"/>
  <c r="AA24"/>
  <c r="E30" s="1"/>
  <c r="G30"/>
  <c r="I33"/>
  <c r="G33"/>
  <c r="AB25"/>
  <c r="W25"/>
  <c r="Q25"/>
  <c r="K25"/>
  <c r="E25"/>
  <c r="AA21" i="70"/>
  <c r="Y51" i="71"/>
  <c r="Y47"/>
  <c r="Y46"/>
  <c r="Y45"/>
  <c r="Y42"/>
  <c r="Y41"/>
  <c r="Y37"/>
  <c r="E24"/>
  <c r="F24"/>
  <c r="G25" s="1"/>
  <c r="K24"/>
  <c r="L24"/>
  <c r="M25"/>
  <c r="Q24"/>
  <c r="R24"/>
  <c r="S25" s="1"/>
  <c r="W24"/>
  <c r="X24"/>
  <c r="Y25"/>
  <c r="AB24"/>
  <c r="AC24"/>
  <c r="AD25" s="1"/>
  <c r="AA24"/>
  <c r="E30" s="1"/>
  <c r="G30"/>
  <c r="I33"/>
  <c r="G33"/>
  <c r="AB25"/>
  <c r="AA25"/>
  <c r="W25"/>
  <c r="Q25"/>
  <c r="K25"/>
  <c r="E25"/>
  <c r="R11"/>
  <c r="AA6"/>
  <c r="Y51" i="70"/>
  <c r="Y47"/>
  <c r="Y46"/>
  <c r="Y45"/>
  <c r="Y42"/>
  <c r="Y41"/>
  <c r="Y37"/>
  <c r="E24"/>
  <c r="F24"/>
  <c r="G25" s="1"/>
  <c r="K24"/>
  <c r="L24"/>
  <c r="M25"/>
  <c r="Q24"/>
  <c r="R24"/>
  <c r="S25" s="1"/>
  <c r="W24"/>
  <c r="X24"/>
  <c r="Y25"/>
  <c r="AC24"/>
  <c r="AD25" s="1"/>
  <c r="AA24"/>
  <c r="E30"/>
  <c r="E33" s="1"/>
  <c r="G30"/>
  <c r="J30"/>
  <c r="J33" s="1"/>
  <c r="I33"/>
  <c r="G33"/>
  <c r="AB25"/>
  <c r="AA25"/>
  <c r="W25"/>
  <c r="Q25"/>
  <c r="K25"/>
  <c r="E25"/>
  <c r="R11"/>
  <c r="AA6"/>
  <c r="Y51" i="69"/>
  <c r="Y47"/>
  <c r="Y46"/>
  <c r="Y45"/>
  <c r="Y42"/>
  <c r="Y41"/>
  <c r="Y37"/>
  <c r="E24"/>
  <c r="F24"/>
  <c r="G25" s="1"/>
  <c r="K24"/>
  <c r="L24"/>
  <c r="M25"/>
  <c r="Q24"/>
  <c r="R24"/>
  <c r="S25" s="1"/>
  <c r="W24"/>
  <c r="X24"/>
  <c r="Y25"/>
  <c r="AB24"/>
  <c r="AC24"/>
  <c r="AD25" s="1"/>
  <c r="AA24"/>
  <c r="E30"/>
  <c r="G30"/>
  <c r="I33"/>
  <c r="G33"/>
  <c r="E33"/>
  <c r="AB25"/>
  <c r="AA25"/>
  <c r="W25"/>
  <c r="Q25"/>
  <c r="K25"/>
  <c r="E25"/>
  <c r="R11"/>
  <c r="AA6"/>
  <c r="D17" i="67"/>
  <c r="D19"/>
  <c r="D20" s="1"/>
  <c r="D21" s="1"/>
  <c r="D15" i="68"/>
  <c r="Y51"/>
  <c r="Y47"/>
  <c r="Y46"/>
  <c r="Y45"/>
  <c r="Y42"/>
  <c r="Y41"/>
  <c r="Y37"/>
  <c r="E24"/>
  <c r="F24"/>
  <c r="G25" s="1"/>
  <c r="K24"/>
  <c r="L24"/>
  <c r="M25"/>
  <c r="Q24"/>
  <c r="R24"/>
  <c r="S25" s="1"/>
  <c r="W24"/>
  <c r="X24"/>
  <c r="Y25"/>
  <c r="AC24"/>
  <c r="AD25" s="1"/>
  <c r="AA24"/>
  <c r="E30"/>
  <c r="I33"/>
  <c r="E33"/>
  <c r="AB25"/>
  <c r="AA25"/>
  <c r="W25"/>
  <c r="Q25"/>
  <c r="K25"/>
  <c r="E25"/>
  <c r="R11"/>
  <c r="AA6"/>
  <c r="Y51" i="65"/>
  <c r="E24"/>
  <c r="F24"/>
  <c r="G25" s="1"/>
  <c r="K24"/>
  <c r="L24"/>
  <c r="M25"/>
  <c r="Q24"/>
  <c r="R24"/>
  <c r="S25"/>
  <c r="W24"/>
  <c r="X24"/>
  <c r="Y25" s="1"/>
  <c r="AC24"/>
  <c r="AD25" s="1"/>
  <c r="AA24"/>
  <c r="E30"/>
  <c r="E33" s="1"/>
  <c r="G30"/>
  <c r="J30"/>
  <c r="J33" s="1"/>
  <c r="I33"/>
  <c r="G33"/>
  <c r="AB25"/>
  <c r="AA25"/>
  <c r="W25"/>
  <c r="Q25"/>
  <c r="K25"/>
  <c r="E25"/>
  <c r="R11"/>
  <c r="AA6"/>
  <c r="Y51" i="66"/>
  <c r="Y47"/>
  <c r="Y46"/>
  <c r="Y45"/>
  <c r="Y42"/>
  <c r="Y41"/>
  <c r="Y37"/>
  <c r="E24"/>
  <c r="E30" s="1"/>
  <c r="E33" s="1"/>
  <c r="F24"/>
  <c r="K24"/>
  <c r="L24"/>
  <c r="M25"/>
  <c r="Q24"/>
  <c r="R24"/>
  <c r="S25" s="1"/>
  <c r="W24"/>
  <c r="X24"/>
  <c r="Y25" s="1"/>
  <c r="AC24"/>
  <c r="AD25" s="1"/>
  <c r="AA24"/>
  <c r="AA25" s="1"/>
  <c r="I33"/>
  <c r="AB25"/>
  <c r="W25"/>
  <c r="Q25"/>
  <c r="K25"/>
  <c r="E25"/>
  <c r="R11"/>
  <c r="AA6"/>
  <c r="Y51" i="67"/>
  <c r="Y47"/>
  <c r="Y46"/>
  <c r="Y45"/>
  <c r="Y42"/>
  <c r="Y41"/>
  <c r="Y37"/>
  <c r="E24"/>
  <c r="F24"/>
  <c r="G25" s="1"/>
  <c r="K24"/>
  <c r="L24"/>
  <c r="M25"/>
  <c r="Q24"/>
  <c r="R24"/>
  <c r="S25" s="1"/>
  <c r="W24"/>
  <c r="X24"/>
  <c r="Y25"/>
  <c r="AD25"/>
  <c r="E30"/>
  <c r="G30"/>
  <c r="J30"/>
  <c r="J33" s="1"/>
  <c r="I33"/>
  <c r="G33"/>
  <c r="E33"/>
  <c r="AB25"/>
  <c r="AA25"/>
  <c r="W25"/>
  <c r="Q25"/>
  <c r="K25"/>
  <c r="E25"/>
  <c r="R11"/>
  <c r="AA6"/>
  <c r="AA24" i="56"/>
  <c r="F24"/>
  <c r="L24"/>
  <c r="R24"/>
  <c r="G30" s="1"/>
  <c r="X24"/>
  <c r="AC24"/>
  <c r="E24"/>
  <c r="K24"/>
  <c r="Q24"/>
  <c r="W24"/>
  <c r="E30"/>
  <c r="AD25"/>
  <c r="AA25"/>
  <c r="Y51"/>
  <c r="Y47"/>
  <c r="Y46"/>
  <c r="Y45"/>
  <c r="Y42"/>
  <c r="Y41"/>
  <c r="Y37"/>
  <c r="G25"/>
  <c r="M25"/>
  <c r="S25"/>
  <c r="Y25"/>
  <c r="I33"/>
  <c r="E33"/>
  <c r="AB25"/>
  <c r="W25"/>
  <c r="Q25"/>
  <c r="K25"/>
  <c r="E25"/>
  <c r="R11"/>
  <c r="AA6"/>
  <c r="G25" i="66" l="1"/>
  <c r="AA25" i="73"/>
  <c r="J30" i="69"/>
  <c r="J33" s="1"/>
  <c r="J30" i="79"/>
  <c r="J33" s="1"/>
  <c r="E33"/>
  <c r="G33" i="56"/>
  <c r="J30"/>
  <c r="J33" s="1"/>
  <c r="J30" i="71"/>
  <c r="J33" s="1"/>
  <c r="E33"/>
  <c r="J30" i="73"/>
  <c r="J33" s="1"/>
  <c r="E33"/>
  <c r="G30" i="66"/>
  <c r="G30" i="68"/>
  <c r="E33" i="74"/>
  <c r="J30" i="66" l="1"/>
  <c r="J33" s="1"/>
  <c r="G33"/>
  <c r="J30" i="68"/>
  <c r="J33" s="1"/>
  <c r="G33"/>
</calcChain>
</file>

<file path=xl/sharedStrings.xml><?xml version="1.0" encoding="utf-8"?>
<sst xmlns="http://schemas.openxmlformats.org/spreadsheetml/2006/main" count="986" uniqueCount="87">
  <si>
    <t>Hours Worked</t>
  </si>
  <si>
    <t>NSPP</t>
  </si>
  <si>
    <t>CSPP</t>
  </si>
  <si>
    <t>Day</t>
  </si>
  <si>
    <t>Work</t>
  </si>
  <si>
    <t>Day of</t>
  </si>
  <si>
    <t>Month</t>
  </si>
  <si>
    <t>Sun</t>
  </si>
  <si>
    <t>Mon</t>
  </si>
  <si>
    <t>Tue</t>
  </si>
  <si>
    <t>Wed</t>
  </si>
  <si>
    <t>Thu</t>
  </si>
  <si>
    <t>Fri</t>
  </si>
  <si>
    <t>Sat</t>
  </si>
  <si>
    <t>From:</t>
  </si>
  <si>
    <t>To:</t>
  </si>
  <si>
    <t>Column Totals:</t>
  </si>
  <si>
    <t>Pay Period</t>
  </si>
  <si>
    <t>NORTH CAROLINA CENTRAL UNIVERSITY</t>
  </si>
  <si>
    <t>Last Name</t>
  </si>
  <si>
    <t>First Name</t>
  </si>
  <si>
    <t>MI</t>
  </si>
  <si>
    <t>Workweek 1</t>
  </si>
  <si>
    <t>Workweek 5</t>
  </si>
  <si>
    <t>Workweek 4</t>
  </si>
  <si>
    <t>Workweek 2</t>
  </si>
  <si>
    <t>Workweek 3</t>
  </si>
  <si>
    <t>Employee's Signature</t>
  </si>
  <si>
    <t>Date</t>
  </si>
  <si>
    <t>Supervisor's Signature</t>
  </si>
  <si>
    <t>Department Name: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</si>
  <si>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</si>
  <si>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</si>
  <si>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</si>
  <si>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</si>
  <si>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</si>
  <si>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</si>
  <si>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</si>
  <si>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</si>
  <si>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</si>
  <si>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</si>
  <si>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</si>
  <si>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</si>
  <si>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Employee / Supervisor Certification</t>
  </si>
  <si>
    <t>Monthly Totals In Hrs and Mins</t>
  </si>
  <si>
    <t>Total Worked</t>
  </si>
  <si>
    <t>FLSA-Subject</t>
  </si>
  <si>
    <t>Holidays</t>
  </si>
  <si>
    <t>Observance Date(s)</t>
  </si>
  <si>
    <t>New Year's Day</t>
  </si>
  <si>
    <t>Martin Luther King</t>
  </si>
  <si>
    <t>Good Friday</t>
  </si>
  <si>
    <t>Memorial Day</t>
  </si>
  <si>
    <t>Independence Day</t>
  </si>
  <si>
    <t>Labor Day</t>
  </si>
  <si>
    <t>Thanksgiving</t>
  </si>
  <si>
    <t xml:space="preserve">Christmas </t>
  </si>
  <si>
    <t>EMPLOYEE SIGNATURE</t>
  </si>
  <si>
    <t>TOTAL HOURS/ DAYS</t>
  </si>
  <si>
    <t>SUPERVISOR'S SIGNATURE</t>
  </si>
  <si>
    <t>BEGINNING DATE</t>
  </si>
  <si>
    <t>I certify that all "HOURS WORKED" have been recorded accurately.</t>
  </si>
  <si>
    <t>I certify that all "HOURS WORKED" and have been recorded accurately.</t>
  </si>
  <si>
    <t>DATE</t>
  </si>
  <si>
    <t>COMMENTS:</t>
  </si>
  <si>
    <t>ENDING DATE</t>
  </si>
  <si>
    <t>DEPARTMENT HEAD</t>
  </si>
  <si>
    <t>FORM ES-2 (revised 07/10/07)</t>
  </si>
  <si>
    <t>Monthly Totals In Hundredths of Hrs</t>
  </si>
  <si>
    <t>Departmental Information</t>
  </si>
  <si>
    <t xml:space="preserve"> </t>
  </si>
  <si>
    <t xml:space="preserve">Supervisor Name </t>
  </si>
  <si>
    <t xml:space="preserve"> Telephone Extension  </t>
  </si>
  <si>
    <t xml:space="preserve">COMMENTS: </t>
  </si>
  <si>
    <t xml:space="preserve">*Timesheets are due to the Payroll Office on the 26th of each month.  </t>
  </si>
  <si>
    <t xml:space="preserve">Out of Office Request Form </t>
  </si>
  <si>
    <t>If you worked for any other University department or any other State agency during this pay period, please indicate below:</t>
  </si>
  <si>
    <t xml:space="preserve"> Time and Attendance Record for SPA Employees-Temporary Appointments*</t>
  </si>
  <si>
    <r>
      <t>LEGAL NAME ONLY**                             **</t>
    </r>
    <r>
      <rPr>
        <sz val="7"/>
        <rFont val="Arial"/>
        <family val="2"/>
      </rPr>
      <t>refers</t>
    </r>
    <r>
      <rPr>
        <b/>
        <sz val="8"/>
        <rFont val="Arial"/>
        <family val="2"/>
      </rPr>
      <t xml:space="preserve"> </t>
    </r>
    <r>
      <rPr>
        <sz val="7"/>
        <rFont val="Arial"/>
        <family val="2"/>
      </rPr>
      <t>to name on record with the                                                      Social Security Administration</t>
    </r>
    <r>
      <rPr>
        <b/>
        <sz val="7"/>
        <rFont val="Arial"/>
        <family val="2"/>
      </rPr>
      <t xml:space="preserve"> </t>
    </r>
  </si>
  <si>
    <t xml:space="preserve">Fund </t>
  </si>
  <si>
    <t>Org Code</t>
  </si>
  <si>
    <t>Summer Break</t>
  </si>
  <si>
    <t>November 26 &amp; 27, 2009</t>
  </si>
  <si>
    <t>December 24, 25, &amp; 28 2009</t>
  </si>
  <si>
    <t>Winter Break</t>
  </si>
  <si>
    <t>December 29, 30, &amp; 31 2009</t>
  </si>
  <si>
    <t xml:space="preserve"> June 26, 2009 - June 25, 2010 Holiday Schedule</t>
  </si>
</sst>
</file>

<file path=xl/styles.xml><?xml version="1.0" encoding="utf-8"?>
<styleSheet xmlns="http://schemas.openxmlformats.org/spreadsheetml/2006/main">
  <numFmts count="11">
    <numFmt numFmtId="164" formatCode="mm/dd/yy"/>
    <numFmt numFmtId="165" formatCode="mm/dd;;"/>
    <numFmt numFmtId="166" formatCode=";;;"/>
    <numFmt numFmtId="167" formatCode="mm/dd/yyyy"/>
    <numFmt numFmtId="168" formatCode="000\-00\-0000"/>
    <numFmt numFmtId="169" formatCode="0000"/>
    <numFmt numFmtId="170" formatCode="0\-00000"/>
    <numFmt numFmtId="171" formatCode="00000"/>
    <numFmt numFmtId="172" formatCode="000"/>
    <numFmt numFmtId="173" formatCode="[$-409]mmmm\ d\,\ yyyy;@"/>
    <numFmt numFmtId="174" formatCode="[h]:mm;@"/>
  </numFmts>
  <fonts count="23"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10"/>
      <color indexed="53"/>
      <name val="Arial"/>
      <family val="2"/>
    </font>
    <font>
      <u/>
      <sz val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entury Gothic"/>
      <family val="2"/>
    </font>
    <font>
      <b/>
      <sz val="10"/>
      <name val="Trebuchet MS"/>
      <family val="2"/>
    </font>
    <font>
      <sz val="20"/>
      <name val="Arial"/>
      <family val="2"/>
    </font>
    <font>
      <b/>
      <sz val="8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b/>
      <sz val="7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65"/>
        <bgColor indexed="9"/>
      </patternFill>
    </fill>
    <fill>
      <patternFill patternType="solid">
        <fgColor indexed="36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9"/>
      </patternFill>
    </fill>
    <fill>
      <patternFill patternType="solid">
        <fgColor theme="4"/>
        <bgColor indexed="9"/>
      </patternFill>
    </fill>
    <fill>
      <patternFill patternType="solid">
        <fgColor theme="3" tint="0.39997558519241921"/>
        <bgColor indexed="9"/>
      </patternFill>
    </fill>
  </fills>
  <borders count="6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174" fontId="1" fillId="3" borderId="2" xfId="0" applyNumberFormat="1" applyFont="1" applyFill="1" applyBorder="1" applyAlignment="1" applyProtection="1">
      <alignment horizontal="center" vertical="center"/>
      <protection locked="0"/>
    </xf>
    <xf numFmtId="174" fontId="1" fillId="3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Protection="1">
      <protection hidden="1"/>
    </xf>
    <xf numFmtId="0" fontId="6" fillId="2" borderId="0" xfId="0" applyFont="1" applyFill="1" applyProtection="1">
      <protection hidden="1"/>
    </xf>
    <xf numFmtId="0" fontId="7" fillId="2" borderId="0" xfId="0" applyFont="1" applyFill="1" applyAlignment="1" applyProtection="1">
      <alignment horizontal="centerContinuous"/>
      <protection hidden="1"/>
    </xf>
    <xf numFmtId="0" fontId="1" fillId="2" borderId="0" xfId="0" applyFont="1" applyFill="1" applyAlignment="1" applyProtection="1">
      <alignment horizontal="centerContinuous"/>
      <protection hidden="1"/>
    </xf>
    <xf numFmtId="0" fontId="1" fillId="2" borderId="0" xfId="0" applyNumberFormat="1" applyFont="1" applyFill="1" applyAlignment="1" applyProtection="1">
      <alignment horizontal="centerContinuous"/>
      <protection hidden="1"/>
    </xf>
    <xf numFmtId="0" fontId="2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0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1" fillId="2" borderId="0" xfId="0" applyNumberFormat="1" applyFont="1" applyFill="1" applyProtection="1">
      <protection hidden="1"/>
    </xf>
    <xf numFmtId="168" fontId="1" fillId="2" borderId="0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Border="1" applyAlignment="1" applyProtection="1">
      <alignment horizontal="center" vertical="center"/>
      <protection hidden="1"/>
    </xf>
    <xf numFmtId="166" fontId="1" fillId="2" borderId="0" xfId="0" applyNumberFormat="1" applyFont="1" applyFill="1" applyAlignment="1" applyProtection="1">
      <alignment horizontal="center"/>
      <protection hidden="1"/>
    </xf>
    <xf numFmtId="172" fontId="1" fillId="2" borderId="0" xfId="0" applyNumberFormat="1" applyFont="1" applyFill="1" applyBorder="1" applyAlignment="1" applyProtection="1">
      <alignment horizontal="center" vertical="center"/>
      <protection hidden="1"/>
    </xf>
    <xf numFmtId="171" fontId="1" fillId="2" borderId="0" xfId="0" applyNumberFormat="1" applyFont="1" applyFill="1" applyBorder="1" applyAlignment="1" applyProtection="1">
      <alignment horizontal="center" vertical="center"/>
      <protection hidden="1"/>
    </xf>
    <xf numFmtId="170" fontId="1" fillId="2" borderId="0" xfId="0" applyNumberFormat="1" applyFont="1" applyFill="1" applyBorder="1" applyAlignment="1" applyProtection="1">
      <alignment horizontal="center" vertical="center"/>
      <protection hidden="1"/>
    </xf>
    <xf numFmtId="169" fontId="1" fillId="2" borderId="0" xfId="0" applyNumberFormat="1" applyFont="1" applyFill="1" applyBorder="1" applyAlignment="1" applyProtection="1">
      <alignment horizontal="center" vertical="center"/>
      <protection hidden="1"/>
    </xf>
    <xf numFmtId="0" fontId="4" fillId="2" borderId="4" xfId="0" applyNumberFormat="1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Protection="1">
      <protection hidden="1"/>
    </xf>
    <xf numFmtId="0" fontId="1" fillId="2" borderId="0" xfId="0" applyFont="1" applyFill="1" applyAlignment="1" applyProtection="1">
      <alignment vertical="center"/>
      <protection hidden="1"/>
    </xf>
    <xf numFmtId="174" fontId="1" fillId="2" borderId="0" xfId="0" applyNumberFormat="1" applyFont="1" applyFill="1" applyAlignment="1" applyProtection="1">
      <alignment vertical="center"/>
      <protection hidden="1"/>
    </xf>
    <xf numFmtId="174" fontId="1" fillId="2" borderId="4" xfId="0" applyNumberFormat="1" applyFont="1" applyFill="1" applyBorder="1" applyAlignment="1" applyProtection="1">
      <alignment vertical="center"/>
      <protection hidden="1"/>
    </xf>
    <xf numFmtId="174" fontId="1" fillId="2" borderId="0" xfId="0" applyNumberFormat="1" applyFont="1" applyFill="1" applyAlignment="1" applyProtection="1">
      <alignment horizontal="center" vertical="center"/>
      <protection hidden="1"/>
    </xf>
    <xf numFmtId="174" fontId="2" fillId="2" borderId="0" xfId="0" applyNumberFormat="1" applyFont="1" applyFill="1" applyBorder="1" applyAlignment="1" applyProtection="1">
      <alignment horizontal="center" vertical="center"/>
      <protection hidden="1"/>
    </xf>
    <xf numFmtId="166" fontId="4" fillId="2" borderId="5" xfId="0" applyNumberFormat="1" applyFont="1" applyFill="1" applyBorder="1" applyAlignment="1" applyProtection="1">
      <alignment horizontal="center"/>
      <protection hidden="1"/>
    </xf>
    <xf numFmtId="174" fontId="2" fillId="2" borderId="0" xfId="0" applyNumberFormat="1" applyFont="1" applyFill="1" applyAlignment="1" applyProtection="1">
      <alignment horizontal="right" vertical="center"/>
      <protection hidden="1"/>
    </xf>
    <xf numFmtId="174" fontId="1" fillId="0" borderId="0" xfId="0" applyNumberFormat="1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Protection="1">
      <protection hidden="1"/>
    </xf>
    <xf numFmtId="0" fontId="5" fillId="2" borderId="0" xfId="0" applyFont="1" applyFill="1" applyProtection="1">
      <protection hidden="1"/>
    </xf>
    <xf numFmtId="0" fontId="1" fillId="2" borderId="0" xfId="0" applyFont="1" applyFill="1" applyProtection="1">
      <protection locked="0"/>
    </xf>
    <xf numFmtId="0" fontId="1" fillId="2" borderId="0" xfId="0" applyFont="1" applyFill="1" applyBorder="1" applyProtection="1">
      <protection locked="0"/>
    </xf>
    <xf numFmtId="174" fontId="1" fillId="2" borderId="0" xfId="0" applyNumberFormat="1" applyFont="1" applyFill="1" applyBorder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centerContinuous"/>
      <protection locked="0"/>
    </xf>
    <xf numFmtId="165" fontId="2" fillId="4" borderId="6" xfId="0" applyNumberFormat="1" applyFont="1" applyFill="1" applyBorder="1" applyAlignment="1" applyProtection="1">
      <alignment horizontal="center" vertical="center"/>
      <protection hidden="1"/>
    </xf>
    <xf numFmtId="0" fontId="2" fillId="5" borderId="0" xfId="0" applyFont="1" applyFill="1" applyBorder="1" applyAlignment="1" applyProtection="1">
      <alignment horizontal="center" vertical="center"/>
      <protection hidden="1"/>
    </xf>
    <xf numFmtId="165" fontId="2" fillId="5" borderId="0" xfId="0" applyNumberFormat="1" applyFont="1" applyFill="1" applyBorder="1" applyAlignment="1" applyProtection="1">
      <alignment horizontal="center" vertical="center"/>
      <protection hidden="1"/>
    </xf>
    <xf numFmtId="174" fontId="1" fillId="5" borderId="0" xfId="0" applyNumberFormat="1" applyFont="1" applyFill="1" applyBorder="1" applyAlignment="1" applyProtection="1">
      <alignment horizontal="center" vertical="center"/>
      <protection locked="0"/>
    </xf>
    <xf numFmtId="174" fontId="1" fillId="5" borderId="0" xfId="0" applyNumberFormat="1" applyFont="1" applyFill="1" applyBorder="1" applyAlignment="1" applyProtection="1">
      <alignment vertical="center"/>
      <protection hidden="1"/>
    </xf>
    <xf numFmtId="2" fontId="1" fillId="2" borderId="0" xfId="0" applyNumberFormat="1" applyFont="1" applyFill="1" applyProtection="1">
      <protection hidden="1"/>
    </xf>
    <xf numFmtId="0" fontId="1" fillId="2" borderId="0" xfId="0" applyNumberFormat="1" applyFont="1" applyFill="1" applyAlignment="1" applyProtection="1">
      <alignment vertical="center"/>
      <protection hidden="1"/>
    </xf>
    <xf numFmtId="166" fontId="2" fillId="2" borderId="0" xfId="0" applyNumberFormat="1" applyFont="1" applyFill="1" applyBorder="1" applyAlignment="1" applyProtection="1">
      <alignment horizontal="center" vertical="center"/>
      <protection hidden="1"/>
    </xf>
    <xf numFmtId="166" fontId="1" fillId="2" borderId="0" xfId="0" applyNumberFormat="1" applyFont="1" applyFill="1" applyAlignment="1" applyProtection="1">
      <alignment vertical="center"/>
      <protection hidden="1"/>
    </xf>
    <xf numFmtId="0" fontId="12" fillId="6" borderId="0" xfId="0" applyFont="1" applyFill="1" applyBorder="1" applyAlignment="1">
      <alignment vertical="top" wrapText="1"/>
    </xf>
    <xf numFmtId="0" fontId="9" fillId="6" borderId="0" xfId="0" applyFont="1" applyFill="1" applyBorder="1"/>
    <xf numFmtId="0" fontId="9" fillId="6" borderId="0" xfId="0" applyFont="1" applyFill="1" applyBorder="1" applyAlignment="1">
      <alignment horizontal="left"/>
    </xf>
    <xf numFmtId="0" fontId="9" fillId="7" borderId="7" xfId="0" applyFont="1" applyFill="1" applyBorder="1" applyAlignment="1">
      <alignment horizontal="right" vertical="top" wrapText="1"/>
    </xf>
    <xf numFmtId="0" fontId="9" fillId="6" borderId="9" xfId="0" applyFont="1" applyFill="1" applyBorder="1"/>
    <xf numFmtId="0" fontId="9" fillId="7" borderId="10" xfId="0" applyFont="1" applyFill="1" applyBorder="1" applyAlignment="1">
      <alignment horizontal="right"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7" borderId="13" xfId="0" applyFont="1" applyFill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6" borderId="9" xfId="0" applyFont="1" applyFill="1" applyBorder="1" applyAlignment="1">
      <alignment horizontal="left"/>
    </xf>
    <xf numFmtId="0" fontId="9" fillId="6" borderId="16" xfId="0" applyFont="1" applyFill="1" applyBorder="1" applyAlignment="1">
      <alignment horizontal="left"/>
    </xf>
    <xf numFmtId="0" fontId="13" fillId="6" borderId="0" xfId="0" applyFont="1" applyFill="1" applyBorder="1"/>
    <xf numFmtId="0" fontId="2" fillId="2" borderId="0" xfId="0" applyFont="1" applyFill="1" applyAlignment="1" applyProtection="1">
      <alignment horizontal="left"/>
      <protection hidden="1"/>
    </xf>
    <xf numFmtId="0" fontId="9" fillId="0" borderId="9" xfId="0" applyFont="1" applyFill="1" applyBorder="1" applyAlignment="1">
      <alignment horizontal="right" vertical="top" wrapText="1"/>
    </xf>
    <xf numFmtId="0" fontId="2" fillId="0" borderId="0" xfId="0" applyFont="1"/>
    <xf numFmtId="0" fontId="16" fillId="0" borderId="9" xfId="0" applyFont="1" applyBorder="1"/>
    <xf numFmtId="0" fontId="16" fillId="0" borderId="0" xfId="0" applyFont="1" applyFill="1" applyBorder="1"/>
    <xf numFmtId="0" fontId="11" fillId="0" borderId="0" xfId="0" applyFont="1"/>
    <xf numFmtId="0" fontId="2" fillId="2" borderId="0" xfId="0" applyFont="1" applyFill="1" applyProtection="1">
      <protection locked="0"/>
    </xf>
    <xf numFmtId="0" fontId="18" fillId="0" borderId="19" xfId="0" applyFont="1" applyBorder="1"/>
    <xf numFmtId="0" fontId="18" fillId="0" borderId="19" xfId="0" applyFont="1" applyBorder="1" applyAlignment="1">
      <alignment horizontal="center"/>
    </xf>
    <xf numFmtId="0" fontId="11" fillId="0" borderId="20" xfId="0" applyFont="1" applyBorder="1"/>
    <xf numFmtId="0" fontId="0" fillId="0" borderId="19" xfId="0" applyBorder="1"/>
    <xf numFmtId="0" fontId="0" fillId="0" borderId="21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9" fillId="6" borderId="11" xfId="0" applyFont="1" applyFill="1" applyBorder="1"/>
    <xf numFmtId="173" fontId="9" fillId="6" borderId="10" xfId="0" applyNumberFormat="1" applyFont="1" applyFill="1" applyBorder="1" applyAlignment="1">
      <alignment horizontal="left"/>
    </xf>
    <xf numFmtId="0" fontId="9" fillId="0" borderId="18" xfId="0" applyFont="1" applyFill="1" applyBorder="1" applyAlignment="1">
      <alignment horizontal="right" vertical="top" wrapText="1"/>
    </xf>
    <xf numFmtId="0" fontId="9" fillId="0" borderId="26" xfId="0" applyFont="1" applyFill="1" applyBorder="1" applyAlignment="1">
      <alignment horizontal="right" vertical="top" wrapText="1"/>
    </xf>
    <xf numFmtId="0" fontId="9" fillId="7" borderId="8" xfId="0" applyFont="1" applyFill="1" applyBorder="1" applyAlignment="1">
      <alignment horizontal="left"/>
    </xf>
    <xf numFmtId="173" fontId="9" fillId="7" borderId="27" xfId="0" applyNumberFormat="1" applyFont="1" applyFill="1" applyBorder="1" applyAlignment="1">
      <alignment horizontal="left"/>
    </xf>
    <xf numFmtId="174" fontId="1" fillId="0" borderId="2" xfId="0" applyNumberFormat="1" applyFont="1" applyFill="1" applyBorder="1" applyAlignment="1" applyProtection="1">
      <alignment horizontal="center" vertical="center"/>
      <protection locked="0"/>
    </xf>
    <xf numFmtId="0" fontId="1" fillId="8" borderId="0" xfId="0" applyFont="1" applyFill="1" applyProtection="1">
      <protection hidden="1"/>
    </xf>
    <xf numFmtId="174" fontId="1" fillId="0" borderId="28" xfId="0" applyNumberFormat="1" applyFont="1" applyFill="1" applyBorder="1" applyAlignment="1" applyProtection="1">
      <alignment horizontal="center" vertical="center"/>
      <protection hidden="1"/>
    </xf>
    <xf numFmtId="174" fontId="1" fillId="0" borderId="29" xfId="0" applyNumberFormat="1" applyFont="1" applyFill="1" applyBorder="1" applyAlignment="1" applyProtection="1">
      <alignment horizontal="center" vertical="center"/>
      <protection hidden="1"/>
    </xf>
    <xf numFmtId="0" fontId="1" fillId="2" borderId="30" xfId="0" applyFont="1" applyFill="1" applyBorder="1" applyProtection="1">
      <protection hidden="1"/>
    </xf>
    <xf numFmtId="0" fontId="1" fillId="2" borderId="4" xfId="0" applyFont="1" applyFill="1" applyBorder="1" applyProtection="1">
      <protection hidden="1"/>
    </xf>
    <xf numFmtId="0" fontId="1" fillId="2" borderId="1" xfId="0" applyFont="1" applyFill="1" applyBorder="1" applyProtection="1">
      <protection hidden="1"/>
    </xf>
    <xf numFmtId="174" fontId="1" fillId="0" borderId="31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Alignment="1" applyProtection="1">
      <alignment vertical="center"/>
      <protection hidden="1"/>
    </xf>
    <xf numFmtId="0" fontId="1" fillId="2" borderId="0" xfId="0" applyFont="1" applyFill="1" applyBorder="1" applyAlignment="1" applyProtection="1">
      <alignment vertical="center"/>
      <protection hidden="1"/>
    </xf>
    <xf numFmtId="174" fontId="2" fillId="2" borderId="0" xfId="0" applyNumberFormat="1" applyFont="1" applyFill="1" applyBorder="1" applyAlignment="1" applyProtection="1">
      <alignment horizontal="right" vertical="center"/>
      <protection hidden="1"/>
    </xf>
    <xf numFmtId="174" fontId="1" fillId="2" borderId="0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NumberFormat="1" applyFont="1" applyFill="1" applyBorder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centerContinuous" vertical="top"/>
      <protection hidden="1"/>
    </xf>
    <xf numFmtId="165" fontId="2" fillId="3" borderId="6" xfId="0" applyNumberFormat="1" applyFont="1" applyFill="1" applyBorder="1" applyAlignment="1" applyProtection="1">
      <alignment horizontal="center" vertical="center"/>
      <protection hidden="1"/>
    </xf>
    <xf numFmtId="165" fontId="2" fillId="3" borderId="3" xfId="0" applyNumberFormat="1" applyFont="1" applyFill="1" applyBorder="1" applyAlignment="1" applyProtection="1">
      <alignment horizontal="center" vertical="center"/>
      <protection hidden="1"/>
    </xf>
    <xf numFmtId="174" fontId="1" fillId="9" borderId="2" xfId="0" applyNumberFormat="1" applyFont="1" applyFill="1" applyBorder="1" applyAlignment="1" applyProtection="1">
      <alignment horizontal="center" vertical="center"/>
      <protection locked="0"/>
    </xf>
    <xf numFmtId="165" fontId="2" fillId="3" borderId="32" xfId="0" applyNumberFormat="1" applyFont="1" applyFill="1" applyBorder="1" applyAlignment="1" applyProtection="1">
      <alignment horizontal="center" vertical="center"/>
      <protection hidden="1"/>
    </xf>
    <xf numFmtId="174" fontId="1" fillId="3" borderId="33" xfId="0" applyNumberFormat="1" applyFont="1" applyFill="1" applyBorder="1" applyAlignment="1" applyProtection="1">
      <alignment horizontal="center" vertical="center"/>
      <protection locked="0"/>
    </xf>
    <xf numFmtId="174" fontId="1" fillId="3" borderId="34" xfId="0" applyNumberFormat="1" applyFont="1" applyFill="1" applyBorder="1" applyAlignment="1" applyProtection="1">
      <alignment horizontal="center" vertical="center"/>
      <protection locked="0"/>
    </xf>
    <xf numFmtId="174" fontId="1" fillId="3" borderId="4" xfId="0" applyNumberFormat="1" applyFont="1" applyFill="1" applyBorder="1" applyAlignment="1" applyProtection="1">
      <alignment vertical="center"/>
      <protection hidden="1"/>
    </xf>
    <xf numFmtId="165" fontId="2" fillId="3" borderId="34" xfId="0" applyNumberFormat="1" applyFont="1" applyFill="1" applyBorder="1" applyAlignment="1" applyProtection="1">
      <alignment horizontal="center" vertical="center"/>
      <protection hidden="1"/>
    </xf>
    <xf numFmtId="174" fontId="1" fillId="3" borderId="30" xfId="0" applyNumberFormat="1" applyFont="1" applyFill="1" applyBorder="1" applyAlignment="1" applyProtection="1">
      <alignment horizontal="center" vertical="center"/>
      <protection locked="0"/>
    </xf>
    <xf numFmtId="165" fontId="2" fillId="3" borderId="35" xfId="0" applyNumberFormat="1" applyFont="1" applyFill="1" applyBorder="1" applyAlignment="1" applyProtection="1">
      <alignment horizontal="center" vertical="center"/>
      <protection hidden="1"/>
    </xf>
    <xf numFmtId="174" fontId="1" fillId="3" borderId="36" xfId="0" applyNumberFormat="1" applyFont="1" applyFill="1" applyBorder="1" applyAlignment="1" applyProtection="1">
      <alignment horizontal="center" vertical="center"/>
      <protection locked="0"/>
    </xf>
    <xf numFmtId="174" fontId="1" fillId="3" borderId="37" xfId="0" applyNumberFormat="1" applyFont="1" applyFill="1" applyBorder="1" applyAlignment="1" applyProtection="1">
      <alignment horizontal="center" vertical="center"/>
      <protection locked="0"/>
    </xf>
    <xf numFmtId="0" fontId="2" fillId="10" borderId="38" xfId="0" applyFont="1" applyFill="1" applyBorder="1" applyAlignment="1" applyProtection="1">
      <protection hidden="1"/>
    </xf>
    <xf numFmtId="0" fontId="2" fillId="10" borderId="27" xfId="0" applyFont="1" applyFill="1" applyBorder="1" applyAlignment="1" applyProtection="1">
      <protection hidden="1"/>
    </xf>
    <xf numFmtId="0" fontId="2" fillId="10" borderId="30" xfId="0" applyFont="1" applyFill="1" applyBorder="1" applyAlignment="1" applyProtection="1">
      <protection hidden="1"/>
    </xf>
    <xf numFmtId="0" fontId="2" fillId="10" borderId="1" xfId="0" applyFont="1" applyFill="1" applyBorder="1" applyAlignment="1" applyProtection="1">
      <protection hidden="1"/>
    </xf>
    <xf numFmtId="174" fontId="1" fillId="5" borderId="0" xfId="0" applyNumberFormat="1" applyFont="1" applyFill="1" applyBorder="1" applyAlignment="1" applyProtection="1">
      <alignment horizontal="center" vertical="center"/>
      <protection hidden="1"/>
    </xf>
    <xf numFmtId="174" fontId="1" fillId="3" borderId="39" xfId="0" applyNumberFormat="1" applyFont="1" applyFill="1" applyBorder="1" applyAlignment="1" applyProtection="1">
      <alignment horizontal="center" vertical="center"/>
      <protection locked="0"/>
    </xf>
    <xf numFmtId="174" fontId="1" fillId="0" borderId="3" xfId="0" applyNumberFormat="1" applyFont="1" applyFill="1" applyBorder="1" applyAlignment="1" applyProtection="1">
      <alignment horizontal="center" vertical="center"/>
      <protection locked="0"/>
    </xf>
    <xf numFmtId="174" fontId="1" fillId="9" borderId="3" xfId="0" applyNumberFormat="1" applyFont="1" applyFill="1" applyBorder="1" applyAlignment="1" applyProtection="1">
      <alignment horizontal="center" vertical="center"/>
      <protection locked="0"/>
    </xf>
    <xf numFmtId="174" fontId="1" fillId="6" borderId="0" xfId="0" applyNumberFormat="1" applyFont="1" applyFill="1" applyBorder="1" applyAlignment="1" applyProtection="1">
      <alignment horizontal="center" vertical="center"/>
      <protection hidden="1"/>
    </xf>
    <xf numFmtId="0" fontId="1" fillId="5" borderId="0" xfId="0" applyFont="1" applyFill="1" applyProtection="1">
      <protection hidden="1"/>
    </xf>
    <xf numFmtId="0" fontId="1" fillId="5" borderId="0" xfId="0" applyFont="1" applyFill="1" applyAlignment="1" applyProtection="1">
      <alignment horizontal="centerContinuous"/>
      <protection hidden="1"/>
    </xf>
    <xf numFmtId="0" fontId="2" fillId="5" borderId="0" xfId="0" applyFont="1" applyFill="1" applyProtection="1">
      <protection hidden="1"/>
    </xf>
    <xf numFmtId="0" fontId="1" fillId="5" borderId="0" xfId="0" applyFont="1" applyFill="1" applyBorder="1" applyAlignment="1" applyProtection="1">
      <alignment horizontal="center" vertical="center"/>
      <protection hidden="1"/>
    </xf>
    <xf numFmtId="166" fontId="1" fillId="5" borderId="0" xfId="0" applyNumberFormat="1" applyFont="1" applyFill="1" applyProtection="1">
      <protection hidden="1"/>
    </xf>
    <xf numFmtId="174" fontId="1" fillId="5" borderId="0" xfId="0" applyNumberFormat="1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horizontal="centerContinuous"/>
      <protection locked="0"/>
    </xf>
    <xf numFmtId="0" fontId="1" fillId="5" borderId="0" xfId="0" applyFont="1" applyFill="1" applyAlignment="1" applyProtection="1">
      <alignment vertical="center"/>
      <protection hidden="1"/>
    </xf>
    <xf numFmtId="0" fontId="2" fillId="6" borderId="0" xfId="0" applyFont="1" applyFill="1" applyBorder="1" applyAlignment="1" applyProtection="1">
      <protection hidden="1"/>
    </xf>
    <xf numFmtId="0" fontId="2" fillId="2" borderId="0" xfId="0" applyFont="1" applyFill="1" applyBorder="1" applyProtection="1">
      <protection hidden="1"/>
    </xf>
    <xf numFmtId="164" fontId="1" fillId="5" borderId="0" xfId="0" applyNumberFormat="1" applyFont="1" applyFill="1" applyBorder="1" applyAlignment="1" applyProtection="1">
      <alignment horizontal="center"/>
      <protection hidden="1"/>
    </xf>
    <xf numFmtId="0" fontId="1" fillId="5" borderId="0" xfId="0" applyFont="1" applyFill="1" applyBorder="1" applyProtection="1">
      <protection hidden="1"/>
    </xf>
    <xf numFmtId="174" fontId="1" fillId="5" borderId="29" xfId="0" applyNumberFormat="1" applyFont="1" applyFill="1" applyBorder="1" applyAlignment="1" applyProtection="1">
      <alignment horizontal="center" vertical="center"/>
      <protection hidden="1"/>
    </xf>
    <xf numFmtId="0" fontId="2" fillId="5" borderId="0" xfId="0" applyFont="1" applyFill="1" applyBorder="1" applyAlignment="1" applyProtection="1">
      <protection hidden="1"/>
    </xf>
    <xf numFmtId="174" fontId="1" fillId="3" borderId="3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2" borderId="40" xfId="0" applyFont="1" applyFill="1" applyBorder="1" applyProtection="1">
      <protection hidden="1"/>
    </xf>
    <xf numFmtId="0" fontId="1" fillId="2" borderId="5" xfId="0" applyFont="1" applyFill="1" applyBorder="1" applyProtection="1">
      <protection hidden="1"/>
    </xf>
    <xf numFmtId="166" fontId="1" fillId="2" borderId="5" xfId="0" applyNumberFormat="1" applyFont="1" applyFill="1" applyBorder="1" applyProtection="1">
      <protection hidden="1"/>
    </xf>
    <xf numFmtId="0" fontId="1" fillId="2" borderId="41" xfId="0" applyFont="1" applyFill="1" applyBorder="1" applyProtection="1">
      <protection hidden="1"/>
    </xf>
    <xf numFmtId="0" fontId="1" fillId="2" borderId="38" xfId="0" applyFont="1" applyFill="1" applyBorder="1" applyProtection="1">
      <protection hidden="1"/>
    </xf>
    <xf numFmtId="166" fontId="1" fillId="2" borderId="0" xfId="0" applyNumberFormat="1" applyFont="1" applyFill="1" applyBorder="1" applyProtection="1">
      <protection hidden="1"/>
    </xf>
    <xf numFmtId="0" fontId="1" fillId="2" borderId="27" xfId="0" applyFont="1" applyFill="1" applyBorder="1" applyProtection="1">
      <protection hidden="1"/>
    </xf>
    <xf numFmtId="166" fontId="1" fillId="2" borderId="4" xfId="0" applyNumberFormat="1" applyFont="1" applyFill="1" applyBorder="1" applyProtection="1">
      <protection hidden="1"/>
    </xf>
    <xf numFmtId="0" fontId="0" fillId="0" borderId="40" xfId="0" applyBorder="1"/>
    <xf numFmtId="0" fontId="0" fillId="0" borderId="5" xfId="0" applyBorder="1"/>
    <xf numFmtId="0" fontId="0" fillId="0" borderId="41" xfId="0" applyBorder="1"/>
    <xf numFmtId="0" fontId="0" fillId="0" borderId="38" xfId="0" applyBorder="1"/>
    <xf numFmtId="0" fontId="0" fillId="0" borderId="27" xfId="0" applyBorder="1"/>
    <xf numFmtId="0" fontId="0" fillId="0" borderId="30" xfId="0" applyBorder="1"/>
    <xf numFmtId="0" fontId="0" fillId="0" borderId="4" xfId="0" applyBorder="1"/>
    <xf numFmtId="0" fontId="0" fillId="0" borderId="1" xfId="0" applyBorder="1"/>
    <xf numFmtId="0" fontId="2" fillId="11" borderId="29" xfId="0" applyFont="1" applyFill="1" applyBorder="1" applyAlignment="1" applyProtection="1">
      <alignment horizontal="center"/>
      <protection hidden="1"/>
    </xf>
    <xf numFmtId="0" fontId="2" fillId="11" borderId="0" xfId="0" applyFont="1" applyFill="1" applyProtection="1">
      <protection hidden="1"/>
    </xf>
    <xf numFmtId="0" fontId="0" fillId="12" borderId="0" xfId="0" applyFill="1"/>
    <xf numFmtId="0" fontId="2" fillId="11" borderId="8" xfId="0" applyFont="1" applyFill="1" applyBorder="1" applyAlignment="1" applyProtection="1">
      <alignment horizontal="center" vertical="center"/>
      <protection hidden="1"/>
    </xf>
    <xf numFmtId="0" fontId="2" fillId="11" borderId="42" xfId="0" applyFont="1" applyFill="1" applyBorder="1" applyAlignment="1" applyProtection="1">
      <alignment horizontal="center" vertical="center"/>
      <protection hidden="1"/>
    </xf>
    <xf numFmtId="0" fontId="1" fillId="11" borderId="0" xfId="0" applyFont="1" applyFill="1" applyProtection="1">
      <protection hidden="1"/>
    </xf>
    <xf numFmtId="0" fontId="2" fillId="11" borderId="0" xfId="0" applyFont="1" applyFill="1" applyBorder="1" applyAlignment="1" applyProtection="1">
      <alignment horizontal="center"/>
      <protection hidden="1"/>
    </xf>
    <xf numFmtId="0" fontId="1" fillId="11" borderId="0" xfId="0" applyFont="1" applyFill="1" applyBorder="1" applyProtection="1">
      <protection hidden="1"/>
    </xf>
    <xf numFmtId="0" fontId="2" fillId="11" borderId="43" xfId="0" applyFont="1" applyFill="1" applyBorder="1" applyAlignment="1" applyProtection="1">
      <alignment horizontal="center"/>
      <protection hidden="1"/>
    </xf>
    <xf numFmtId="0" fontId="2" fillId="11" borderId="32" xfId="0" applyFont="1" applyFill="1" applyBorder="1" applyAlignment="1" applyProtection="1">
      <alignment horizontal="center"/>
      <protection hidden="1"/>
    </xf>
    <xf numFmtId="165" fontId="2" fillId="11" borderId="3" xfId="0" applyNumberFormat="1" applyFont="1" applyFill="1" applyBorder="1" applyAlignment="1" applyProtection="1">
      <alignment horizontal="center" vertical="center"/>
      <protection hidden="1"/>
    </xf>
    <xf numFmtId="165" fontId="2" fillId="11" borderId="35" xfId="0" applyNumberFormat="1" applyFont="1" applyFill="1" applyBorder="1" applyAlignment="1" applyProtection="1">
      <alignment horizontal="center" vertical="center"/>
      <protection hidden="1"/>
    </xf>
    <xf numFmtId="0" fontId="2" fillId="11" borderId="44" xfId="0" applyFont="1" applyFill="1" applyBorder="1" applyAlignment="1" applyProtection="1">
      <alignment horizontal="centerContinuous"/>
      <protection hidden="1"/>
    </xf>
    <xf numFmtId="0" fontId="2" fillId="11" borderId="45" xfId="0" applyFont="1" applyFill="1" applyBorder="1" applyAlignment="1" applyProtection="1">
      <alignment horizontal="centerContinuous"/>
      <protection hidden="1"/>
    </xf>
    <xf numFmtId="0" fontId="2" fillId="11" borderId="42" xfId="0" applyFont="1" applyFill="1" applyBorder="1" applyAlignment="1" applyProtection="1">
      <alignment horizontal="center"/>
      <protection hidden="1"/>
    </xf>
    <xf numFmtId="0" fontId="2" fillId="11" borderId="1" xfId="0" applyFont="1" applyFill="1" applyBorder="1" applyAlignment="1" applyProtection="1">
      <alignment horizontal="center"/>
      <protection hidden="1"/>
    </xf>
    <xf numFmtId="165" fontId="2" fillId="11" borderId="39" xfId="0" applyNumberFormat="1" applyFont="1" applyFill="1" applyBorder="1" applyAlignment="1" applyProtection="1">
      <alignment horizontal="center" vertical="center"/>
      <protection hidden="1"/>
    </xf>
    <xf numFmtId="0" fontId="2" fillId="11" borderId="46" xfId="0" applyFont="1" applyFill="1" applyBorder="1" applyAlignment="1" applyProtection="1">
      <alignment horizontal="centerContinuous"/>
      <protection hidden="1"/>
    </xf>
    <xf numFmtId="0" fontId="2" fillId="11" borderId="4" xfId="0" applyFont="1" applyFill="1" applyBorder="1" applyAlignment="1" applyProtection="1">
      <alignment horizontal="center"/>
      <protection hidden="1"/>
    </xf>
    <xf numFmtId="165" fontId="15" fillId="11" borderId="3" xfId="0" applyNumberFormat="1" applyFont="1" applyFill="1" applyBorder="1" applyAlignment="1" applyProtection="1">
      <alignment horizontal="center" vertical="center"/>
      <protection hidden="1"/>
    </xf>
    <xf numFmtId="0" fontId="2" fillId="11" borderId="3" xfId="0" applyFont="1" applyFill="1" applyBorder="1" applyAlignment="1" applyProtection="1">
      <alignment horizontal="center" vertical="center"/>
      <protection hidden="1"/>
    </xf>
    <xf numFmtId="0" fontId="2" fillId="11" borderId="35" xfId="0" applyFont="1" applyFill="1" applyBorder="1" applyAlignment="1" applyProtection="1">
      <alignment horizontal="center" vertical="center"/>
      <protection hidden="1"/>
    </xf>
    <xf numFmtId="0" fontId="2" fillId="11" borderId="34" xfId="0" applyFont="1" applyFill="1" applyBorder="1" applyAlignment="1" applyProtection="1">
      <alignment horizontal="center" vertical="center"/>
      <protection hidden="1"/>
    </xf>
    <xf numFmtId="165" fontId="2" fillId="11" borderId="47" xfId="0" applyNumberFormat="1" applyFont="1" applyFill="1" applyBorder="1" applyAlignment="1" applyProtection="1">
      <alignment horizontal="center" vertical="center"/>
      <protection hidden="1"/>
    </xf>
    <xf numFmtId="165" fontId="2" fillId="11" borderId="6" xfId="0" applyNumberFormat="1" applyFont="1" applyFill="1" applyBorder="1" applyAlignment="1" applyProtection="1">
      <alignment horizontal="center" vertical="center"/>
      <protection hidden="1"/>
    </xf>
    <xf numFmtId="0" fontId="2" fillId="11" borderId="31" xfId="0" applyFont="1" applyFill="1" applyBorder="1" applyAlignment="1" applyProtection="1">
      <alignment vertical="center"/>
      <protection hidden="1"/>
    </xf>
    <xf numFmtId="0" fontId="1" fillId="11" borderId="48" xfId="0" applyFont="1" applyFill="1" applyBorder="1" applyAlignment="1" applyProtection="1">
      <alignment vertical="center"/>
      <protection hidden="1"/>
    </xf>
    <xf numFmtId="0" fontId="10" fillId="2" borderId="0" xfId="0" applyFont="1" applyFill="1" applyAlignment="1" applyProtection="1">
      <alignment horizontal="centerContinuous" vertical="top"/>
      <protection hidden="1"/>
    </xf>
    <xf numFmtId="0" fontId="10" fillId="7" borderId="8" xfId="0" applyFont="1" applyFill="1" applyBorder="1" applyAlignment="1">
      <alignment horizontal="right" vertical="top" wrapText="1"/>
    </xf>
    <xf numFmtId="0" fontId="8" fillId="6" borderId="31" xfId="0" applyFont="1" applyFill="1" applyBorder="1" applyAlignment="1">
      <alignment horizontal="center"/>
    </xf>
    <xf numFmtId="0" fontId="8" fillId="6" borderId="29" xfId="0" applyFont="1" applyFill="1" applyBorder="1" applyAlignment="1">
      <alignment horizontal="left"/>
    </xf>
    <xf numFmtId="0" fontId="9" fillId="0" borderId="49" xfId="0" applyFont="1" applyFill="1" applyBorder="1" applyAlignment="1">
      <alignment horizontal="right" vertical="top" wrapText="1"/>
    </xf>
    <xf numFmtId="0" fontId="9" fillId="7" borderId="0" xfId="0" applyFont="1" applyFill="1" applyBorder="1"/>
    <xf numFmtId="0" fontId="19" fillId="0" borderId="0" xfId="0" applyFont="1" applyFill="1"/>
    <xf numFmtId="0" fontId="0" fillId="0" borderId="0" xfId="0" applyFill="1"/>
    <xf numFmtId="0" fontId="11" fillId="0" borderId="0" xfId="0" applyFont="1" applyFill="1"/>
    <xf numFmtId="0" fontId="0" fillId="0" borderId="50" xfId="0" applyFill="1" applyBorder="1"/>
    <xf numFmtId="0" fontId="0" fillId="0" borderId="22" xfId="0" applyFill="1" applyBorder="1"/>
    <xf numFmtId="0" fontId="0" fillId="0" borderId="51" xfId="0" applyFill="1" applyBorder="1"/>
    <xf numFmtId="0" fontId="16" fillId="0" borderId="9" xfId="0" applyFont="1" applyFill="1" applyBorder="1"/>
    <xf numFmtId="0" fontId="17" fillId="0" borderId="0" xfId="0" applyFont="1" applyAlignment="1">
      <alignment horizontal="center"/>
    </xf>
    <xf numFmtId="0" fontId="17" fillId="0" borderId="9" xfId="0" applyFont="1" applyBorder="1" applyAlignment="1">
      <alignment horizontal="center"/>
    </xf>
    <xf numFmtId="0" fontId="0" fillId="12" borderId="0" xfId="0" applyFill="1" applyAlignment="1">
      <alignment horizontal="center"/>
    </xf>
    <xf numFmtId="0" fontId="2" fillId="10" borderId="43" xfId="0" applyFont="1" applyFill="1" applyBorder="1" applyAlignment="1" applyProtection="1">
      <protection hidden="1"/>
    </xf>
    <xf numFmtId="0" fontId="2" fillId="10" borderId="35" xfId="0" applyFont="1" applyFill="1" applyBorder="1" applyAlignment="1" applyProtection="1">
      <protection hidden="1"/>
    </xf>
    <xf numFmtId="0" fontId="2" fillId="10" borderId="32" xfId="0" applyFont="1" applyFill="1" applyBorder="1" applyAlignment="1" applyProtection="1">
      <protection hidden="1"/>
    </xf>
    <xf numFmtId="0" fontId="2" fillId="0" borderId="0" xfId="0" applyFont="1" applyFill="1" applyBorder="1" applyAlignment="1" applyProtection="1">
      <protection hidden="1"/>
    </xf>
    <xf numFmtId="0" fontId="2" fillId="6" borderId="0" xfId="0" applyFont="1" applyFill="1" applyBorder="1" applyAlignment="1" applyProtection="1">
      <alignment vertical="top"/>
      <protection hidden="1"/>
    </xf>
    <xf numFmtId="0" fontId="2" fillId="6" borderId="0" xfId="0" applyFont="1" applyFill="1" applyBorder="1" applyAlignment="1">
      <alignment vertical="top"/>
    </xf>
    <xf numFmtId="0" fontId="1" fillId="5" borderId="0" xfId="0" applyFont="1" applyFill="1" applyBorder="1" applyAlignment="1" applyProtection="1">
      <alignment vertical="center"/>
      <protection hidden="1"/>
    </xf>
    <xf numFmtId="174" fontId="1" fillId="6" borderId="3" xfId="0" applyNumberFormat="1" applyFont="1" applyFill="1" applyBorder="1" applyAlignment="1" applyProtection="1">
      <alignment horizontal="center" vertical="center"/>
      <protection locked="0"/>
    </xf>
    <xf numFmtId="174" fontId="1" fillId="5" borderId="3" xfId="0" applyNumberFormat="1" applyFont="1" applyFill="1" applyBorder="1" applyAlignment="1" applyProtection="1">
      <alignment horizontal="center" vertical="center"/>
      <protection locked="0"/>
    </xf>
    <xf numFmtId="174" fontId="1" fillId="6" borderId="2" xfId="0" applyNumberFormat="1" applyFont="1" applyFill="1" applyBorder="1" applyAlignment="1" applyProtection="1">
      <alignment horizontal="center" vertical="center"/>
      <protection locked="0"/>
    </xf>
    <xf numFmtId="174" fontId="1" fillId="10" borderId="3" xfId="0" applyNumberFormat="1" applyFont="1" applyFill="1" applyBorder="1" applyAlignment="1" applyProtection="1">
      <alignment horizontal="center" vertical="center"/>
      <protection locked="0"/>
    </xf>
    <xf numFmtId="174" fontId="1" fillId="5" borderId="2" xfId="0" applyNumberFormat="1" applyFont="1" applyFill="1" applyBorder="1" applyAlignment="1" applyProtection="1">
      <alignment horizontal="center" vertical="center"/>
      <protection locked="0"/>
    </xf>
    <xf numFmtId="165" fontId="2" fillId="13" borderId="3" xfId="0" applyNumberFormat="1" applyFont="1" applyFill="1" applyBorder="1" applyAlignment="1" applyProtection="1">
      <alignment horizontal="center" vertical="center"/>
      <protection hidden="1"/>
    </xf>
    <xf numFmtId="0" fontId="9" fillId="0" borderId="16" xfId="0" applyFont="1" applyFill="1" applyBorder="1" applyAlignment="1">
      <alignment horizontal="right" vertical="top" wrapText="1"/>
    </xf>
    <xf numFmtId="0" fontId="9" fillId="7" borderId="52" xfId="0" applyFont="1" applyFill="1" applyBorder="1" applyAlignment="1">
      <alignment horizontal="right" vertical="top" wrapText="1"/>
    </xf>
    <xf numFmtId="0" fontId="9" fillId="0" borderId="53" xfId="0" applyFont="1" applyFill="1" applyBorder="1" applyAlignment="1">
      <alignment horizontal="right" vertical="top" wrapText="1"/>
    </xf>
    <xf numFmtId="0" fontId="9" fillId="20" borderId="11" xfId="0" applyFont="1" applyFill="1" applyBorder="1"/>
    <xf numFmtId="0" fontId="9" fillId="20" borderId="10" xfId="0" applyFont="1" applyFill="1" applyBorder="1" applyAlignment="1">
      <alignment horizontal="left"/>
    </xf>
    <xf numFmtId="0" fontId="9" fillId="20" borderId="11" xfId="0" applyFont="1" applyFill="1" applyBorder="1" applyAlignment="1">
      <alignment horizontal="left"/>
    </xf>
    <xf numFmtId="173" fontId="9" fillId="20" borderId="10" xfId="0" applyNumberFormat="1" applyFont="1" applyFill="1" applyBorder="1" applyAlignment="1">
      <alignment horizontal="left"/>
    </xf>
    <xf numFmtId="0" fontId="9" fillId="20" borderId="14" xfId="0" applyFont="1" applyFill="1" applyBorder="1"/>
    <xf numFmtId="173" fontId="9" fillId="20" borderId="13" xfId="0" applyNumberFormat="1" applyFont="1" applyFill="1" applyBorder="1" applyAlignment="1">
      <alignment horizontal="left"/>
    </xf>
    <xf numFmtId="0" fontId="9" fillId="17" borderId="11" xfId="0" applyFont="1" applyFill="1" applyBorder="1"/>
    <xf numFmtId="173" fontId="9" fillId="17" borderId="10" xfId="0" applyNumberFormat="1" applyFont="1" applyFill="1" applyBorder="1" applyAlignment="1">
      <alignment horizontal="left"/>
    </xf>
    <xf numFmtId="0" fontId="9" fillId="17" borderId="10" xfId="0" applyFont="1" applyFill="1" applyBorder="1" applyAlignment="1">
      <alignment horizontal="left"/>
    </xf>
    <xf numFmtId="0" fontId="9" fillId="17" borderId="11" xfId="0" applyFont="1" applyFill="1" applyBorder="1" applyAlignment="1">
      <alignment horizontal="left"/>
    </xf>
    <xf numFmtId="0" fontId="9" fillId="0" borderId="26" xfId="0" applyFont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7" borderId="17" xfId="0" applyFont="1" applyFill="1" applyBorder="1" applyAlignment="1">
      <alignment horizontal="right" vertical="top" wrapText="1"/>
    </xf>
    <xf numFmtId="0" fontId="9" fillId="16" borderId="9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right"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9" fillId="16" borderId="18" xfId="0" applyFont="1" applyFill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7" borderId="8" xfId="0" applyFont="1" applyFill="1" applyBorder="1" applyAlignment="1">
      <alignment horizontal="right" vertical="top" wrapText="1"/>
    </xf>
    <xf numFmtId="0" fontId="9" fillId="7" borderId="16" xfId="0" applyFont="1" applyFill="1" applyBorder="1" applyAlignment="1">
      <alignment horizontal="right" vertical="top" wrapText="1"/>
    </xf>
    <xf numFmtId="0" fontId="9" fillId="15" borderId="18" xfId="0" applyFont="1" applyFill="1" applyBorder="1" applyAlignment="1">
      <alignment horizontal="right" vertical="top" wrapText="1"/>
    </xf>
    <xf numFmtId="0" fontId="9" fillId="0" borderId="11" xfId="0" applyFont="1" applyFill="1" applyBorder="1" applyAlignment="1">
      <alignment horizontal="right" vertical="top" wrapText="1"/>
    </xf>
    <xf numFmtId="0" fontId="9" fillId="19" borderId="11" xfId="0" applyFont="1" applyFill="1" applyBorder="1" applyAlignment="1">
      <alignment horizontal="right" vertical="top" wrapText="1"/>
    </xf>
    <xf numFmtId="0" fontId="9" fillId="7" borderId="13" xfId="0" applyFont="1" applyFill="1" applyBorder="1" applyAlignment="1">
      <alignment horizontal="right" vertical="top" wrapText="1"/>
    </xf>
    <xf numFmtId="0" fontId="9" fillId="0" borderId="26" xfId="0" applyFont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right"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7" borderId="10" xfId="0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7" borderId="7" xfId="0" applyFont="1" applyFill="1" applyBorder="1" applyAlignment="1">
      <alignment horizontal="right" vertical="top" wrapText="1"/>
    </xf>
    <xf numFmtId="0" fontId="9" fillId="7" borderId="15" xfId="0" applyFont="1" applyFill="1" applyBorder="1" applyAlignment="1">
      <alignment horizontal="right" vertical="top" wrapText="1"/>
    </xf>
    <xf numFmtId="0" fontId="9" fillId="7" borderId="13" xfId="0" applyFont="1" applyFill="1" applyBorder="1" applyAlignment="1">
      <alignment horizontal="right" vertical="top" wrapText="1"/>
    </xf>
    <xf numFmtId="0" fontId="9" fillId="0" borderId="26" xfId="0" applyFont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16" borderId="9" xfId="0" applyFont="1" applyFill="1" applyBorder="1" applyAlignment="1">
      <alignment horizontal="right"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9" fillId="16" borderId="18" xfId="0" applyFont="1" applyFill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0" borderId="18" xfId="0" applyFont="1" applyFill="1" applyBorder="1" applyAlignment="1">
      <alignment horizontal="right" vertical="top" wrapText="1"/>
    </xf>
    <xf numFmtId="0" fontId="9" fillId="7" borderId="8" xfId="0" applyFont="1" applyFill="1" applyBorder="1" applyAlignment="1">
      <alignment horizontal="right" vertical="top" wrapText="1"/>
    </xf>
    <xf numFmtId="0" fontId="9" fillId="15" borderId="9" xfId="0" applyFont="1" applyFill="1" applyBorder="1" applyAlignment="1">
      <alignment horizontal="right" vertical="top" wrapText="1"/>
    </xf>
    <xf numFmtId="0" fontId="9" fillId="0" borderId="26" xfId="0" applyFont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7" borderId="17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right" vertical="top" wrapText="1"/>
    </xf>
    <xf numFmtId="0" fontId="9" fillId="16" borderId="16" xfId="0" applyFont="1" applyFill="1" applyBorder="1" applyAlignment="1">
      <alignment horizontal="right" vertical="top" wrapText="1"/>
    </xf>
    <xf numFmtId="0" fontId="9" fillId="16" borderId="11" xfId="0" applyFont="1" applyFill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0" borderId="18" xfId="0" applyFont="1" applyFill="1" applyBorder="1" applyAlignment="1">
      <alignment horizontal="right" vertical="top" wrapText="1"/>
    </xf>
    <xf numFmtId="0" fontId="9" fillId="7" borderId="8" xfId="0" applyFont="1" applyFill="1" applyBorder="1" applyAlignment="1">
      <alignment horizontal="right" vertical="top" wrapText="1"/>
    </xf>
    <xf numFmtId="0" fontId="9" fillId="7" borderId="16" xfId="0" applyFont="1" applyFill="1" applyBorder="1" applyAlignment="1">
      <alignment horizontal="right" vertical="top" wrapText="1"/>
    </xf>
    <xf numFmtId="0" fontId="9" fillId="7" borderId="13" xfId="0" applyFont="1" applyFill="1" applyBorder="1" applyAlignment="1">
      <alignment horizontal="right" vertical="top" wrapText="1"/>
    </xf>
    <xf numFmtId="0" fontId="9" fillId="0" borderId="26" xfId="0" applyFont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right"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7" borderId="10" xfId="0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7" borderId="8" xfId="0" applyFont="1" applyFill="1" applyBorder="1" applyAlignment="1">
      <alignment horizontal="right" vertical="top" wrapText="1"/>
    </xf>
    <xf numFmtId="0" fontId="9" fillId="7" borderId="7" xfId="0" applyFont="1" applyFill="1" applyBorder="1" applyAlignment="1">
      <alignment horizontal="right" vertical="top" wrapText="1"/>
    </xf>
    <xf numFmtId="0" fontId="9" fillId="15" borderId="9" xfId="0" applyFont="1" applyFill="1" applyBorder="1" applyAlignment="1">
      <alignment horizontal="right" vertical="top" wrapText="1"/>
    </xf>
    <xf numFmtId="0" fontId="9" fillId="7" borderId="13" xfId="0" applyFont="1" applyFill="1" applyBorder="1" applyAlignment="1">
      <alignment horizontal="right" vertical="top" wrapText="1"/>
    </xf>
    <xf numFmtId="0" fontId="9" fillId="0" borderId="26" xfId="0" applyFont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16" borderId="9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right"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9" fillId="16" borderId="18" xfId="0" applyFont="1" applyFill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0" borderId="18" xfId="0" applyFont="1" applyFill="1" applyBorder="1" applyAlignment="1">
      <alignment horizontal="right" vertical="top" wrapText="1"/>
    </xf>
    <xf numFmtId="0" fontId="9" fillId="7" borderId="8" xfId="0" applyFont="1" applyFill="1" applyBorder="1" applyAlignment="1">
      <alignment horizontal="right" vertical="top" wrapText="1"/>
    </xf>
    <xf numFmtId="0" fontId="9" fillId="15" borderId="9" xfId="0" applyFont="1" applyFill="1" applyBorder="1" applyAlignment="1">
      <alignment horizontal="right" vertical="top" wrapText="1"/>
    </xf>
    <xf numFmtId="0" fontId="9" fillId="18" borderId="9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right" vertical="top" wrapText="1"/>
    </xf>
    <xf numFmtId="0" fontId="9" fillId="0" borderId="18" xfId="0" applyFont="1" applyFill="1" applyBorder="1" applyAlignment="1">
      <alignment horizontal="right" vertical="top" wrapText="1"/>
    </xf>
    <xf numFmtId="0" fontId="9" fillId="15" borderId="18" xfId="0" applyFont="1" applyFill="1" applyBorder="1" applyAlignment="1">
      <alignment horizontal="right" vertical="top" wrapText="1"/>
    </xf>
    <xf numFmtId="0" fontId="9" fillId="0" borderId="17" xfId="0" applyFont="1" applyFill="1" applyBorder="1" applyAlignment="1">
      <alignment horizontal="right" vertical="top" wrapText="1"/>
    </xf>
    <xf numFmtId="0" fontId="9" fillId="0" borderId="26" xfId="0" applyFont="1" applyFill="1" applyBorder="1" applyAlignment="1">
      <alignment horizontal="right" vertical="top" wrapText="1"/>
    </xf>
    <xf numFmtId="0" fontId="9" fillId="17" borderId="14" xfId="0" applyFont="1" applyFill="1" applyBorder="1" applyAlignment="1">
      <alignment horizontal="right" vertical="top" wrapText="1"/>
    </xf>
    <xf numFmtId="0" fontId="9" fillId="0" borderId="10" xfId="0" applyFont="1" applyFill="1" applyBorder="1" applyAlignment="1">
      <alignment horizontal="right" vertical="top" wrapText="1"/>
    </xf>
    <xf numFmtId="0" fontId="9" fillId="17" borderId="11" xfId="0" applyFont="1" applyFill="1" applyBorder="1" applyAlignment="1">
      <alignment horizontal="right" vertical="top" wrapText="1"/>
    </xf>
    <xf numFmtId="0" fontId="9" fillId="15" borderId="9" xfId="0" applyFont="1" applyFill="1" applyBorder="1" applyAlignment="1">
      <alignment horizontal="right" vertical="top" wrapText="1"/>
    </xf>
    <xf numFmtId="0" fontId="9" fillId="0" borderId="15" xfId="0" applyFont="1" applyFill="1" applyBorder="1" applyAlignment="1">
      <alignment horizontal="right" vertical="top" wrapText="1"/>
    </xf>
    <xf numFmtId="0" fontId="9" fillId="17" borderId="8" xfId="0" applyFont="1" applyFill="1" applyBorder="1" applyAlignment="1">
      <alignment horizontal="right" vertical="top" wrapText="1"/>
    </xf>
    <xf numFmtId="0" fontId="9" fillId="7" borderId="13" xfId="0" applyFont="1" applyFill="1" applyBorder="1" applyAlignment="1">
      <alignment horizontal="right" vertical="top" wrapText="1"/>
    </xf>
    <xf numFmtId="0" fontId="9" fillId="0" borderId="26" xfId="0" applyFont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7" borderId="8" xfId="0" applyFont="1" applyFill="1" applyBorder="1" applyAlignment="1">
      <alignment horizontal="right" vertical="top" wrapText="1"/>
    </xf>
    <xf numFmtId="0" fontId="9" fillId="7" borderId="7" xfId="0" applyFont="1" applyFill="1" applyBorder="1" applyAlignment="1">
      <alignment horizontal="right" vertical="top" wrapText="1"/>
    </xf>
    <xf numFmtId="0" fontId="9" fillId="7" borderId="16" xfId="0" applyFont="1" applyFill="1" applyBorder="1" applyAlignment="1">
      <alignment horizontal="right" vertical="top" wrapText="1"/>
    </xf>
    <xf numFmtId="0" fontId="9" fillId="7" borderId="13" xfId="0" applyFont="1" applyFill="1" applyBorder="1" applyAlignment="1">
      <alignment horizontal="right" vertical="top" wrapText="1"/>
    </xf>
    <xf numFmtId="0" fontId="9" fillId="0" borderId="26" xfId="0" applyFont="1" applyBorder="1" applyAlignment="1">
      <alignment horizontal="right" vertical="top" wrapText="1"/>
    </xf>
    <xf numFmtId="0" fontId="9" fillId="16" borderId="9" xfId="0" applyFont="1" applyFill="1" applyBorder="1" applyAlignment="1">
      <alignment horizontal="right"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7" borderId="8" xfId="0" applyFont="1" applyFill="1" applyBorder="1" applyAlignment="1">
      <alignment horizontal="right" vertical="top" wrapText="1"/>
    </xf>
    <xf numFmtId="0" fontId="9" fillId="7" borderId="7" xfId="0" applyFont="1" applyFill="1" applyBorder="1" applyAlignment="1">
      <alignment horizontal="right" vertical="top" wrapText="1"/>
    </xf>
    <xf numFmtId="0" fontId="9" fillId="7" borderId="12" xfId="0" applyFont="1" applyFill="1" applyBorder="1" applyAlignment="1">
      <alignment horizontal="right" vertical="top" wrapText="1"/>
    </xf>
    <xf numFmtId="0" fontId="9" fillId="0" borderId="26" xfId="0" applyFont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7" borderId="17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right" vertical="top" wrapText="1"/>
    </xf>
    <xf numFmtId="0" fontId="9" fillId="16" borderId="16" xfId="0" applyFont="1" applyFill="1" applyBorder="1" applyAlignment="1">
      <alignment horizontal="right" vertical="top" wrapText="1"/>
    </xf>
    <xf numFmtId="0" fontId="9" fillId="16" borderId="11" xfId="0" applyFont="1" applyFill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0" borderId="18" xfId="0" applyFont="1" applyFill="1" applyBorder="1" applyAlignment="1">
      <alignment horizontal="right" vertical="top" wrapText="1"/>
    </xf>
    <xf numFmtId="0" fontId="9" fillId="7" borderId="8" xfId="0" applyFont="1" applyFill="1" applyBorder="1" applyAlignment="1">
      <alignment horizontal="right" vertical="top" wrapText="1"/>
    </xf>
    <xf numFmtId="0" fontId="9" fillId="7" borderId="16" xfId="0" applyFont="1" applyFill="1" applyBorder="1" applyAlignment="1">
      <alignment horizontal="right" vertical="top" wrapText="1"/>
    </xf>
    <xf numFmtId="0" fontId="9" fillId="15" borderId="18" xfId="0" applyFont="1" applyFill="1" applyBorder="1" applyAlignment="1">
      <alignment horizontal="right" vertical="top" wrapText="1"/>
    </xf>
    <xf numFmtId="0" fontId="9" fillId="7" borderId="13" xfId="0" applyFont="1" applyFill="1" applyBorder="1" applyAlignment="1">
      <alignment horizontal="right" vertical="top" wrapText="1"/>
    </xf>
    <xf numFmtId="0" fontId="9" fillId="0" borderId="26" xfId="0" applyFont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15" borderId="26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right"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7" borderId="10" xfId="0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7" borderId="8" xfId="0" applyFont="1" applyFill="1" applyBorder="1" applyAlignment="1">
      <alignment horizontal="right" vertical="top" wrapText="1"/>
    </xf>
    <xf numFmtId="0" fontId="9" fillId="7" borderId="7" xfId="0" applyFont="1" applyFill="1" applyBorder="1" applyAlignment="1">
      <alignment horizontal="right" vertical="top" wrapText="1"/>
    </xf>
    <xf numFmtId="0" fontId="9" fillId="7" borderId="13" xfId="0" applyFont="1" applyFill="1" applyBorder="1" applyAlignment="1">
      <alignment horizontal="right" vertical="top" wrapText="1"/>
    </xf>
    <xf numFmtId="0" fontId="9" fillId="0" borderId="26" xfId="0" applyFont="1" applyBorder="1" applyAlignment="1">
      <alignment horizontal="right" vertical="top" wrapText="1"/>
    </xf>
    <xf numFmtId="0" fontId="9" fillId="7" borderId="14" xfId="0" applyFont="1" applyFill="1" applyBorder="1" applyAlignment="1">
      <alignment horizontal="right" vertical="top" wrapText="1"/>
    </xf>
    <xf numFmtId="0" fontId="9" fillId="16" borderId="9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right"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9" fillId="16" borderId="18" xfId="0" applyFont="1" applyFill="1" applyBorder="1" applyAlignment="1">
      <alignment horizontal="right" vertical="top" wrapText="1"/>
    </xf>
    <xf numFmtId="0" fontId="9" fillId="0" borderId="18" xfId="0" applyFont="1" applyBorder="1" applyAlignment="1">
      <alignment horizontal="right" vertical="top" wrapText="1"/>
    </xf>
    <xf numFmtId="0" fontId="9" fillId="0" borderId="18" xfId="0" applyFont="1" applyFill="1" applyBorder="1" applyAlignment="1">
      <alignment horizontal="right" vertical="top" wrapText="1"/>
    </xf>
    <xf numFmtId="0" fontId="9" fillId="7" borderId="8" xfId="0" applyFont="1" applyFill="1" applyBorder="1" applyAlignment="1">
      <alignment horizontal="right" vertical="top" wrapText="1"/>
    </xf>
    <xf numFmtId="165" fontId="2" fillId="21" borderId="3" xfId="0" applyNumberFormat="1" applyFont="1" applyFill="1" applyBorder="1" applyAlignment="1" applyProtection="1">
      <alignment horizontal="center" vertical="center"/>
      <protection hidden="1"/>
    </xf>
    <xf numFmtId="165" fontId="2" fillId="22" borderId="3" xfId="0" applyNumberFormat="1" applyFont="1" applyFill="1" applyBorder="1" applyAlignment="1" applyProtection="1">
      <alignment horizontal="center" vertical="center"/>
      <protection hidden="1"/>
    </xf>
    <xf numFmtId="165" fontId="2" fillId="11" borderId="63" xfId="0" applyNumberFormat="1" applyFont="1" applyFill="1" applyBorder="1" applyAlignment="1" applyProtection="1">
      <alignment horizontal="center" vertical="center"/>
      <protection hidden="1"/>
    </xf>
    <xf numFmtId="174" fontId="1" fillId="3" borderId="64" xfId="0" applyNumberFormat="1" applyFont="1" applyFill="1" applyBorder="1" applyAlignment="1" applyProtection="1">
      <alignment horizontal="center" vertical="center"/>
      <protection locked="0"/>
    </xf>
    <xf numFmtId="0" fontId="2" fillId="10" borderId="4" xfId="0" applyFont="1" applyFill="1" applyBorder="1" applyAlignment="1" applyProtection="1">
      <protection hidden="1"/>
    </xf>
    <xf numFmtId="174" fontId="1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23" borderId="3" xfId="0" applyNumberFormat="1" applyFont="1" applyFill="1" applyBorder="1" applyAlignment="1" applyProtection="1">
      <alignment horizontal="center" vertical="center"/>
      <protection hidden="1"/>
    </xf>
    <xf numFmtId="165" fontId="2" fillId="11" borderId="65" xfId="0" applyNumberFormat="1" applyFont="1" applyFill="1" applyBorder="1" applyAlignment="1" applyProtection="1">
      <alignment horizontal="center" vertical="center"/>
      <protection hidden="1"/>
    </xf>
    <xf numFmtId="0" fontId="2" fillId="11" borderId="31" xfId="0" applyFont="1" applyFill="1" applyBorder="1" applyAlignment="1" applyProtection="1">
      <alignment horizontal="center"/>
      <protection hidden="1"/>
    </xf>
    <xf numFmtId="0" fontId="2" fillId="11" borderId="54" xfId="0" applyFont="1" applyFill="1" applyBorder="1" applyAlignment="1" applyProtection="1">
      <alignment horizontal="center"/>
      <protection hidden="1"/>
    </xf>
    <xf numFmtId="0" fontId="2" fillId="11" borderId="48" xfId="0" applyFont="1" applyFill="1" applyBorder="1" applyAlignment="1" applyProtection="1">
      <alignment horizontal="center"/>
      <protection hidden="1"/>
    </xf>
    <xf numFmtId="167" fontId="1" fillId="2" borderId="46" xfId="0" applyNumberFormat="1" applyFont="1" applyFill="1" applyBorder="1" applyAlignment="1" applyProtection="1">
      <alignment horizontal="center" vertical="center"/>
      <protection locked="0"/>
    </xf>
    <xf numFmtId="167" fontId="1" fillId="2" borderId="45" xfId="0" applyNumberFormat="1" applyFont="1" applyFill="1" applyBorder="1" applyAlignment="1" applyProtection="1">
      <alignment horizontal="center" vertical="center"/>
      <protection locked="0"/>
    </xf>
    <xf numFmtId="167" fontId="1" fillId="2" borderId="4" xfId="0" applyNumberFormat="1" applyFont="1" applyFill="1" applyBorder="1" applyAlignment="1" applyProtection="1">
      <alignment horizontal="center" vertical="center"/>
      <protection locked="0"/>
    </xf>
    <xf numFmtId="167" fontId="1" fillId="2" borderId="1" xfId="0" applyNumberFormat="1" applyFont="1" applyFill="1" applyBorder="1" applyAlignment="1" applyProtection="1">
      <alignment horizontal="center" vertical="center"/>
      <protection locked="0"/>
    </xf>
    <xf numFmtId="0" fontId="2" fillId="10" borderId="40" xfId="0" applyFont="1" applyFill="1" applyBorder="1" applyAlignment="1" applyProtection="1">
      <alignment horizontal="center"/>
      <protection hidden="1"/>
    </xf>
    <xf numFmtId="0" fontId="2" fillId="10" borderId="41" xfId="0" applyFont="1" applyFill="1" applyBorder="1" applyAlignment="1" applyProtection="1">
      <alignment horizontal="center"/>
      <protection hidden="1"/>
    </xf>
    <xf numFmtId="0" fontId="2" fillId="10" borderId="38" xfId="0" applyFont="1" applyFill="1" applyBorder="1" applyAlignment="1" applyProtection="1">
      <alignment horizontal="center"/>
      <protection hidden="1"/>
    </xf>
    <xf numFmtId="0" fontId="2" fillId="10" borderId="27" xfId="0" applyFont="1" applyFill="1" applyBorder="1" applyAlignment="1" applyProtection="1">
      <alignment horizontal="center"/>
      <protection hidden="1"/>
    </xf>
    <xf numFmtId="0" fontId="2" fillId="10" borderId="30" xfId="0" applyFont="1" applyFill="1" applyBorder="1" applyAlignment="1" applyProtection="1">
      <alignment horizontal="center"/>
      <protection hidden="1"/>
    </xf>
    <xf numFmtId="0" fontId="2" fillId="10" borderId="1" xfId="0" applyFont="1" applyFill="1" applyBorder="1" applyAlignment="1" applyProtection="1">
      <alignment horizontal="center"/>
      <protection hidden="1"/>
    </xf>
    <xf numFmtId="0" fontId="1" fillId="2" borderId="24" xfId="0" applyFont="1" applyFill="1" applyBorder="1" applyAlignment="1" applyProtection="1">
      <alignment horizontal="left"/>
      <protection locked="0"/>
    </xf>
    <xf numFmtId="0" fontId="1" fillId="2" borderId="0" xfId="0" applyFont="1" applyFill="1" applyBorder="1" applyAlignment="1" applyProtection="1">
      <alignment horizontal="left"/>
      <protection locked="0"/>
    </xf>
    <xf numFmtId="0" fontId="2" fillId="11" borderId="40" xfId="0" applyFont="1" applyFill="1" applyBorder="1" applyAlignment="1" applyProtection="1">
      <alignment horizontal="center" vertical="center" wrapText="1"/>
      <protection hidden="1"/>
    </xf>
    <xf numFmtId="0" fontId="2" fillId="11" borderId="5" xfId="0" applyFont="1" applyFill="1" applyBorder="1" applyAlignment="1" applyProtection="1">
      <alignment horizontal="center" vertical="center" wrapText="1"/>
      <protection hidden="1"/>
    </xf>
    <xf numFmtId="0" fontId="2" fillId="11" borderId="41" xfId="0" applyFont="1" applyFill="1" applyBorder="1" applyAlignment="1" applyProtection="1">
      <alignment horizontal="center" vertical="center" wrapText="1"/>
      <protection hidden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0" fillId="0" borderId="0" xfId="0" applyBorder="1" applyAlignment="1" applyProtection="1">
      <alignment horizontal="left" vertical="top"/>
      <protection locked="0"/>
    </xf>
    <xf numFmtId="0" fontId="1" fillId="2" borderId="24" xfId="0" applyFont="1" applyFill="1" applyBorder="1" applyAlignment="1" applyProtection="1">
      <protection locked="0"/>
    </xf>
    <xf numFmtId="0" fontId="2" fillId="5" borderId="0" xfId="0" applyFont="1" applyFill="1" applyBorder="1" applyAlignment="1" applyProtection="1">
      <alignment horizontal="center"/>
      <protection hidden="1"/>
    </xf>
    <xf numFmtId="0" fontId="0" fillId="5" borderId="0" xfId="0" applyFill="1" applyBorder="1" applyProtection="1">
      <protection hidden="1"/>
    </xf>
    <xf numFmtId="171" fontId="1" fillId="2" borderId="31" xfId="0" applyNumberFormat="1" applyFont="1" applyFill="1" applyBorder="1" applyAlignment="1" applyProtection="1">
      <alignment horizontal="center" vertical="center"/>
      <protection locked="0"/>
    </xf>
    <xf numFmtId="171" fontId="1" fillId="2" borderId="54" xfId="0" applyNumberFormat="1" applyFont="1" applyFill="1" applyBorder="1" applyAlignment="1" applyProtection="1">
      <alignment horizontal="center" vertical="center"/>
      <protection locked="0"/>
    </xf>
    <xf numFmtId="171" fontId="1" fillId="2" borderId="48" xfId="0" applyNumberFormat="1" applyFont="1" applyFill="1" applyBorder="1" applyAlignment="1" applyProtection="1">
      <alignment horizontal="center" vertical="center"/>
      <protection locked="0"/>
    </xf>
    <xf numFmtId="170" fontId="1" fillId="2" borderId="30" xfId="0" applyNumberFormat="1" applyFont="1" applyFill="1" applyBorder="1" applyAlignment="1" applyProtection="1">
      <alignment horizontal="center" vertical="center"/>
      <protection locked="0"/>
    </xf>
    <xf numFmtId="170" fontId="1" fillId="2" borderId="4" xfId="0" applyNumberFormat="1" applyFont="1" applyFill="1" applyBorder="1" applyAlignment="1" applyProtection="1">
      <alignment horizontal="center" vertical="center"/>
      <protection locked="0"/>
    </xf>
    <xf numFmtId="2" fontId="1" fillId="5" borderId="0" xfId="0" applyNumberFormat="1" applyFont="1" applyFill="1" applyBorder="1" applyAlignment="1" applyProtection="1">
      <alignment horizontal="center" vertical="center"/>
      <protection hidden="1"/>
    </xf>
    <xf numFmtId="0" fontId="2" fillId="11" borderId="40" xfId="0" applyFont="1" applyFill="1" applyBorder="1" applyAlignment="1" applyProtection="1">
      <alignment horizontal="center" wrapText="1"/>
      <protection hidden="1"/>
    </xf>
    <xf numFmtId="0" fontId="0" fillId="11" borderId="41" xfId="0" applyFill="1" applyBorder="1" applyAlignment="1" applyProtection="1">
      <alignment horizontal="center" wrapText="1"/>
      <protection hidden="1"/>
    </xf>
    <xf numFmtId="0" fontId="0" fillId="11" borderId="38" xfId="0" applyFill="1" applyBorder="1" applyAlignment="1" applyProtection="1">
      <alignment horizontal="center" wrapText="1"/>
      <protection hidden="1"/>
    </xf>
    <xf numFmtId="0" fontId="0" fillId="11" borderId="27" xfId="0" applyFill="1" applyBorder="1" applyAlignment="1" applyProtection="1">
      <alignment horizontal="center" wrapText="1"/>
      <protection hidden="1"/>
    </xf>
    <xf numFmtId="0" fontId="0" fillId="11" borderId="30" xfId="0" applyFill="1" applyBorder="1" applyAlignment="1" applyProtection="1">
      <alignment horizontal="center" wrapText="1"/>
      <protection hidden="1"/>
    </xf>
    <xf numFmtId="0" fontId="0" fillId="11" borderId="1" xfId="0" applyFill="1" applyBorder="1" applyAlignment="1" applyProtection="1">
      <alignment horizontal="center" wrapText="1"/>
      <protection hidden="1"/>
    </xf>
    <xf numFmtId="174" fontId="1" fillId="0" borderId="11" xfId="0" applyNumberFormat="1" applyFont="1" applyFill="1" applyBorder="1" applyAlignment="1" applyProtection="1">
      <alignment horizontal="center" vertical="center"/>
      <protection hidden="1"/>
    </xf>
    <xf numFmtId="174" fontId="1" fillId="0" borderId="9" xfId="0" applyNumberFormat="1" applyFont="1" applyFill="1" applyBorder="1" applyAlignment="1" applyProtection="1">
      <alignment horizontal="center" vertical="center"/>
      <protection hidden="1"/>
    </xf>
    <xf numFmtId="174" fontId="1" fillId="0" borderId="14" xfId="0" applyNumberFormat="1" applyFont="1" applyFill="1" applyBorder="1" applyAlignment="1" applyProtection="1">
      <alignment horizontal="center" vertical="center"/>
      <protection hidden="1"/>
    </xf>
    <xf numFmtId="174" fontId="1" fillId="0" borderId="26" xfId="0" applyNumberFormat="1" applyFont="1" applyFill="1" applyBorder="1" applyAlignment="1" applyProtection="1">
      <alignment horizontal="center" vertical="center"/>
      <protection hidden="1"/>
    </xf>
    <xf numFmtId="2" fontId="1" fillId="5" borderId="11" xfId="0" applyNumberFormat="1" applyFont="1" applyFill="1" applyBorder="1" applyAlignment="1" applyProtection="1">
      <alignment horizontal="center" vertical="center"/>
      <protection hidden="1"/>
    </xf>
    <xf numFmtId="2" fontId="1" fillId="5" borderId="9" xfId="0" applyNumberFormat="1" applyFont="1" applyFill="1" applyBorder="1" applyAlignment="1" applyProtection="1">
      <alignment horizontal="center" vertical="center"/>
      <protection hidden="1"/>
    </xf>
    <xf numFmtId="2" fontId="1" fillId="5" borderId="14" xfId="0" applyNumberFormat="1" applyFont="1" applyFill="1" applyBorder="1" applyAlignment="1" applyProtection="1">
      <alignment horizontal="center" vertical="center"/>
      <protection hidden="1"/>
    </xf>
    <xf numFmtId="2" fontId="1" fillId="5" borderId="26" xfId="0" applyNumberFormat="1" applyFont="1" applyFill="1" applyBorder="1" applyAlignment="1" applyProtection="1">
      <alignment horizontal="center" vertical="center"/>
      <protection hidden="1"/>
    </xf>
    <xf numFmtId="2" fontId="1" fillId="5" borderId="16" xfId="0" applyNumberFormat="1" applyFont="1" applyFill="1" applyBorder="1" applyAlignment="1" applyProtection="1">
      <alignment horizontal="center" vertical="center"/>
      <protection hidden="1"/>
    </xf>
    <xf numFmtId="2" fontId="1" fillId="5" borderId="17" xfId="0" applyNumberFormat="1" applyFont="1" applyFill="1" applyBorder="1" applyAlignment="1" applyProtection="1">
      <alignment horizontal="center" vertical="center"/>
      <protection hidden="1"/>
    </xf>
    <xf numFmtId="2" fontId="1" fillId="5" borderId="10" xfId="0" applyNumberFormat="1" applyFont="1" applyFill="1" applyBorder="1" applyAlignment="1" applyProtection="1">
      <alignment horizontal="center" vertical="center"/>
      <protection hidden="1"/>
    </xf>
    <xf numFmtId="2" fontId="1" fillId="5" borderId="13" xfId="0" applyNumberFormat="1" applyFont="1" applyFill="1" applyBorder="1" applyAlignment="1" applyProtection="1">
      <alignment horizontal="center" vertical="center"/>
      <protection hidden="1"/>
    </xf>
    <xf numFmtId="0" fontId="2" fillId="11" borderId="38" xfId="0" applyFont="1" applyFill="1" applyBorder="1" applyAlignment="1" applyProtection="1">
      <alignment horizontal="center" wrapText="1"/>
      <protection hidden="1"/>
    </xf>
    <xf numFmtId="0" fontId="2" fillId="11" borderId="8" xfId="0" applyFont="1" applyFill="1" applyBorder="1" applyAlignment="1" applyProtection="1">
      <alignment horizontal="center"/>
      <protection hidden="1"/>
    </xf>
    <xf numFmtId="0" fontId="2" fillId="11" borderId="18" xfId="0" applyFont="1" applyFill="1" applyBorder="1" applyAlignment="1" applyProtection="1">
      <alignment horizontal="center"/>
      <protection hidden="1"/>
    </xf>
    <xf numFmtId="0" fontId="2" fillId="11" borderId="15" xfId="0" applyFont="1" applyFill="1" applyBorder="1" applyAlignment="1" applyProtection="1">
      <alignment horizontal="center"/>
      <protection hidden="1"/>
    </xf>
    <xf numFmtId="0" fontId="2" fillId="11" borderId="7" xfId="0" applyFont="1" applyFill="1" applyBorder="1" applyAlignment="1" applyProtection="1">
      <alignment horizontal="center"/>
      <protection hidden="1"/>
    </xf>
    <xf numFmtId="0" fontId="2" fillId="12" borderId="31" xfId="0" applyFont="1" applyFill="1" applyBorder="1" applyAlignment="1" applyProtection="1">
      <alignment horizontal="center"/>
      <protection hidden="1"/>
    </xf>
    <xf numFmtId="0" fontId="2" fillId="12" borderId="54" xfId="0" applyFont="1" applyFill="1" applyBorder="1" applyAlignment="1" applyProtection="1">
      <alignment horizontal="center"/>
      <protection hidden="1"/>
    </xf>
    <xf numFmtId="0" fontId="2" fillId="12" borderId="48" xfId="0" applyFont="1" applyFill="1" applyBorder="1" applyAlignment="1" applyProtection="1">
      <alignment horizontal="center"/>
      <protection hidden="1"/>
    </xf>
    <xf numFmtId="0" fontId="2" fillId="11" borderId="55" xfId="0" applyFont="1" applyFill="1" applyBorder="1" applyAlignment="1" applyProtection="1">
      <alignment horizontal="center"/>
      <protection hidden="1"/>
    </xf>
    <xf numFmtId="0" fontId="2" fillId="11" borderId="25" xfId="0" applyFont="1" applyFill="1" applyBorder="1" applyAlignment="1" applyProtection="1">
      <alignment horizontal="center"/>
      <protection hidden="1"/>
    </xf>
    <xf numFmtId="0" fontId="2" fillId="11" borderId="56" xfId="0" applyFont="1" applyFill="1" applyBorder="1" applyAlignment="1" applyProtection="1">
      <alignment horizontal="center"/>
      <protection hidden="1"/>
    </xf>
    <xf numFmtId="0" fontId="1" fillId="2" borderId="31" xfId="0" applyFont="1" applyFill="1" applyBorder="1" applyAlignment="1" applyProtection="1">
      <alignment horizontal="center" vertical="center"/>
      <protection locked="0" hidden="1"/>
    </xf>
    <xf numFmtId="0" fontId="1" fillId="2" borderId="54" xfId="0" applyFont="1" applyFill="1" applyBorder="1" applyAlignment="1" applyProtection="1">
      <alignment horizontal="center" vertical="center"/>
      <protection locked="0" hidden="1"/>
    </xf>
    <xf numFmtId="0" fontId="1" fillId="2" borderId="48" xfId="0" applyFont="1" applyFill="1" applyBorder="1" applyAlignment="1" applyProtection="1">
      <alignment horizontal="center" vertical="center"/>
      <protection locked="0" hidden="1"/>
    </xf>
    <xf numFmtId="0" fontId="2" fillId="11" borderId="40" xfId="0" applyFont="1" applyFill="1" applyBorder="1" applyAlignment="1" applyProtection="1">
      <alignment horizontal="center" vertical="top"/>
      <protection hidden="1"/>
    </xf>
    <xf numFmtId="0" fontId="2" fillId="11" borderId="5" xfId="0" applyFont="1" applyFill="1" applyBorder="1" applyAlignment="1" applyProtection="1">
      <alignment horizontal="center" vertical="top"/>
      <protection hidden="1"/>
    </xf>
    <xf numFmtId="0" fontId="2" fillId="11" borderId="41" xfId="0" applyFont="1" applyFill="1" applyBorder="1" applyAlignment="1" applyProtection="1">
      <alignment horizontal="center" vertical="top"/>
      <protection hidden="1"/>
    </xf>
    <xf numFmtId="0" fontId="2" fillId="12" borderId="30" xfId="0" applyFont="1" applyFill="1" applyBorder="1" applyAlignment="1">
      <alignment horizontal="center" vertical="top"/>
    </xf>
    <xf numFmtId="0" fontId="2" fillId="12" borderId="4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center" vertical="top"/>
    </xf>
    <xf numFmtId="174" fontId="1" fillId="0" borderId="10" xfId="0" applyNumberFormat="1" applyFont="1" applyFill="1" applyBorder="1" applyAlignment="1" applyProtection="1">
      <alignment horizontal="center" vertical="center"/>
      <protection hidden="1"/>
    </xf>
    <xf numFmtId="174" fontId="1" fillId="0" borderId="13" xfId="0" applyNumberFormat="1" applyFont="1" applyFill="1" applyBorder="1" applyAlignment="1" applyProtection="1">
      <alignment horizontal="center" vertical="center"/>
      <protection hidden="1"/>
    </xf>
    <xf numFmtId="174" fontId="1" fillId="6" borderId="0" xfId="0" applyNumberFormat="1" applyFont="1" applyFill="1" applyBorder="1" applyAlignment="1" applyProtection="1">
      <alignment horizontal="center" vertical="center"/>
      <protection hidden="1"/>
    </xf>
    <xf numFmtId="174" fontId="0" fillId="6" borderId="0" xfId="0" applyNumberFormat="1" applyFill="1" applyBorder="1" applyProtection="1">
      <protection hidden="1"/>
    </xf>
    <xf numFmtId="0" fontId="1" fillId="2" borderId="54" xfId="0" applyFont="1" applyFill="1" applyBorder="1" applyAlignment="1" applyProtection="1">
      <alignment horizontal="center" vertical="center"/>
      <protection locked="0"/>
    </xf>
    <xf numFmtId="0" fontId="1" fillId="2" borderId="48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/>
      <protection hidden="1"/>
    </xf>
    <xf numFmtId="0" fontId="14" fillId="6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7" fillId="12" borderId="31" xfId="0" applyFont="1" applyFill="1" applyBorder="1" applyAlignment="1">
      <alignment horizontal="center" vertical="top" wrapText="1"/>
    </xf>
    <xf numFmtId="0" fontId="17" fillId="12" borderId="54" xfId="0" applyFont="1" applyFill="1" applyBorder="1" applyAlignment="1">
      <alignment horizontal="center" vertical="top" wrapText="1"/>
    </xf>
    <xf numFmtId="0" fontId="17" fillId="14" borderId="54" xfId="0" applyFont="1" applyFill="1" applyBorder="1" applyAlignment="1">
      <alignment horizontal="center" vertical="top" wrapText="1"/>
    </xf>
    <xf numFmtId="0" fontId="17" fillId="14" borderId="48" xfId="0" applyFont="1" applyFill="1" applyBorder="1" applyAlignment="1">
      <alignment horizontal="center" vertical="top" wrapText="1"/>
    </xf>
    <xf numFmtId="0" fontId="8" fillId="0" borderId="40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8" fillId="0" borderId="31" xfId="0" applyFont="1" applyFill="1" applyBorder="1" applyAlignment="1">
      <alignment horizontal="center" vertical="top" wrapText="1"/>
    </xf>
    <xf numFmtId="0" fontId="8" fillId="0" borderId="54" xfId="0" applyFont="1" applyFill="1" applyBorder="1" applyAlignment="1">
      <alignment horizontal="center" vertical="top" wrapText="1"/>
    </xf>
    <xf numFmtId="0" fontId="8" fillId="0" borderId="48" xfId="0" applyFont="1" applyFill="1" applyBorder="1" applyAlignment="1">
      <alignment horizontal="center" vertical="top" wrapText="1"/>
    </xf>
    <xf numFmtId="0" fontId="8" fillId="0" borderId="41" xfId="0" applyFont="1" applyFill="1" applyBorder="1" applyAlignment="1">
      <alignment horizontal="center" vertical="top" wrapText="1"/>
    </xf>
    <xf numFmtId="0" fontId="17" fillId="12" borderId="48" xfId="0" applyFont="1" applyFill="1" applyBorder="1" applyAlignment="1">
      <alignment horizontal="center" vertical="top" wrapText="1"/>
    </xf>
    <xf numFmtId="0" fontId="8" fillId="6" borderId="31" xfId="0" applyFont="1" applyFill="1" applyBorder="1" applyAlignment="1">
      <alignment horizontal="center" vertical="top" wrapText="1"/>
    </xf>
    <xf numFmtId="0" fontId="8" fillId="6" borderId="54" xfId="0" applyFont="1" applyFill="1" applyBorder="1" applyAlignment="1">
      <alignment horizontal="center" vertical="top" wrapText="1"/>
    </xf>
    <xf numFmtId="0" fontId="8" fillId="6" borderId="48" xfId="0" applyFont="1" applyFill="1" applyBorder="1" applyAlignment="1">
      <alignment horizontal="center" vertical="top" wrapText="1"/>
    </xf>
    <xf numFmtId="0" fontId="8" fillId="0" borderId="42" xfId="0" applyFont="1" applyFill="1" applyBorder="1" applyAlignment="1">
      <alignment horizontal="center" vertical="top" wrapText="1"/>
    </xf>
    <xf numFmtId="0" fontId="8" fillId="0" borderId="53" xfId="0" applyFont="1" applyFill="1" applyBorder="1" applyAlignment="1">
      <alignment horizontal="center" vertical="top" wrapText="1"/>
    </xf>
    <xf numFmtId="0" fontId="8" fillId="0" borderId="57" xfId="0" applyFont="1" applyFill="1" applyBorder="1" applyAlignment="1">
      <alignment horizontal="center" vertical="top" wrapText="1"/>
    </xf>
    <xf numFmtId="0" fontId="8" fillId="6" borderId="38" xfId="0" applyFont="1" applyFill="1" applyBorder="1" applyAlignment="1">
      <alignment horizontal="center" vertical="top" wrapText="1"/>
    </xf>
    <xf numFmtId="0" fontId="8" fillId="6" borderId="0" xfId="0" applyFont="1" applyFill="1" applyBorder="1" applyAlignment="1">
      <alignment horizontal="center" vertical="top" wrapText="1"/>
    </xf>
    <xf numFmtId="0" fontId="8" fillId="6" borderId="27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27" xfId="0" applyFont="1" applyFill="1" applyBorder="1" applyAlignment="1">
      <alignment horizontal="center" vertical="top" wrapText="1"/>
    </xf>
    <xf numFmtId="0" fontId="8" fillId="0" borderId="28" xfId="0" applyFont="1" applyFill="1" applyBorder="1" applyAlignment="1">
      <alignment horizontal="center" vertical="top" wrapText="1"/>
    </xf>
    <xf numFmtId="0" fontId="8" fillId="0" borderId="58" xfId="0" applyFont="1" applyFill="1" applyBorder="1" applyAlignment="1">
      <alignment horizontal="center" vertical="top" wrapText="1"/>
    </xf>
    <xf numFmtId="0" fontId="8" fillId="0" borderId="59" xfId="0" applyFont="1" applyFill="1" applyBorder="1" applyAlignment="1">
      <alignment horizontal="center" vertical="top" wrapText="1"/>
    </xf>
    <xf numFmtId="0" fontId="8" fillId="0" borderId="60" xfId="0" applyFont="1" applyFill="1" applyBorder="1" applyAlignment="1">
      <alignment horizontal="center" vertical="top" wrapText="1"/>
    </xf>
    <xf numFmtId="0" fontId="8" fillId="0" borderId="61" xfId="0" applyFont="1" applyFill="1" applyBorder="1" applyAlignment="1">
      <alignment horizontal="center" vertical="top" wrapText="1"/>
    </xf>
    <xf numFmtId="0" fontId="8" fillId="0" borderId="62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93"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EAEAEA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E55"/>
  <sheetViews>
    <sheetView tabSelected="1" zoomScaleNormal="100" workbookViewId="0">
      <selection activeCell="X30" sqref="X30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.5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332031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2.6640625" style="4" customWidth="1"/>
    <col min="33" max="16384" width="9.33203125" style="4"/>
  </cols>
  <sheetData>
    <row r="1" spans="2:31" ht="3.75" customHeight="1" thickBot="1">
      <c r="C1" s="5"/>
    </row>
    <row r="2" spans="2:31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1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39990</v>
      </c>
      <c r="AD3" s="361"/>
    </row>
    <row r="4" spans="2:31" ht="22.5" customHeight="1" thickBot="1">
      <c r="C4" s="176" t="s">
        <v>74</v>
      </c>
      <c r="D4" s="7"/>
      <c r="E4" s="7"/>
      <c r="F4" s="7"/>
      <c r="G4" s="95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40019</v>
      </c>
      <c r="AD4" s="363"/>
    </row>
    <row r="5" spans="2:31" ht="16.5" customHeight="1">
      <c r="C5" s="9"/>
      <c r="J5" s="10"/>
      <c r="P5" s="10"/>
      <c r="V5" s="11"/>
      <c r="W5" s="12" t="s">
        <v>70</v>
      </c>
      <c r="AA5" s="10"/>
    </row>
    <row r="6" spans="2:31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39994</v>
      </c>
    </row>
    <row r="7" spans="2:31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1" ht="12" thickBot="1">
      <c r="C8" s="372" t="s">
        <v>78</v>
      </c>
      <c r="D8" s="373"/>
      <c r="E8" s="373"/>
      <c r="F8" s="374"/>
      <c r="G8" s="358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1" ht="25.5" customHeight="1" thickBot="1">
      <c r="C9" s="375"/>
      <c r="D9" s="376"/>
      <c r="E9" s="376"/>
      <c r="F9" s="377"/>
      <c r="G9" s="430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 t="s">
        <v>70</v>
      </c>
      <c r="W9" s="383"/>
      <c r="X9" s="384"/>
      <c r="Y9" s="385" t="s">
        <v>70</v>
      </c>
      <c r="Z9" s="386"/>
      <c r="AA9" s="417"/>
      <c r="AB9" s="418"/>
      <c r="AC9" s="418"/>
      <c r="AD9" s="419"/>
      <c r="AE9" s="22"/>
    </row>
    <row r="10" spans="2:31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6"/>
      <c r="W10" s="16"/>
      <c r="X10" s="17"/>
      <c r="Y10" s="17"/>
      <c r="Z10" s="18"/>
      <c r="AA10" s="18"/>
      <c r="AB10" s="19"/>
      <c r="AC10" s="19"/>
      <c r="AD10" s="20"/>
      <c r="AE10" s="20"/>
    </row>
    <row r="11" spans="2:31" ht="13.5" thickBot="1">
      <c r="R11" s="21" t="str">
        <f>IF($Y$36=0,"","You must enter a valid leave code directly to the right of all leave taken.")</f>
        <v/>
      </c>
    </row>
    <row r="12" spans="2:31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</row>
    <row r="13" spans="2:31">
      <c r="C13" s="157" t="s">
        <v>4</v>
      </c>
      <c r="D13" s="157" t="s">
        <v>5</v>
      </c>
      <c r="E13" s="161" t="s">
        <v>0</v>
      </c>
      <c r="F13" s="162"/>
      <c r="G13" s="364"/>
      <c r="H13" s="365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</row>
    <row r="14" spans="2:31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</row>
    <row r="15" spans="2:31" s="23" customFormat="1" ht="15.75" customHeight="1">
      <c r="B15" s="23">
        <v>1</v>
      </c>
      <c r="C15" s="169" t="s">
        <v>7</v>
      </c>
      <c r="D15" s="96"/>
      <c r="E15" s="2"/>
      <c r="F15" s="2"/>
      <c r="G15" s="366"/>
      <c r="H15" s="367"/>
      <c r="I15" s="24"/>
      <c r="J15" s="159">
        <v>39992</v>
      </c>
      <c r="K15" s="2"/>
      <c r="L15" s="2"/>
      <c r="M15" s="366"/>
      <c r="N15" s="367"/>
      <c r="O15" s="24"/>
      <c r="P15" s="350">
        <v>39999</v>
      </c>
      <c r="Q15" s="2"/>
      <c r="R15" s="2"/>
      <c r="S15" s="366"/>
      <c r="T15" s="367"/>
      <c r="U15" s="24"/>
      <c r="V15" s="159">
        <v>40006</v>
      </c>
      <c r="W15" s="2"/>
      <c r="X15" s="2"/>
      <c r="Y15" s="108"/>
      <c r="Z15" s="109"/>
      <c r="AA15" s="159">
        <v>40013</v>
      </c>
      <c r="AB15" s="113"/>
      <c r="AC15" s="113"/>
      <c r="AD15" s="193"/>
      <c r="AE15" s="130"/>
    </row>
    <row r="16" spans="2:31" s="23" customFormat="1" ht="15.75" customHeight="1">
      <c r="B16" s="23">
        <v>2</v>
      </c>
      <c r="C16" s="169" t="s">
        <v>8</v>
      </c>
      <c r="D16" s="97"/>
      <c r="E16" s="98"/>
      <c r="F16" s="98"/>
      <c r="G16" s="366"/>
      <c r="H16" s="367"/>
      <c r="I16" s="24"/>
      <c r="J16" s="159">
        <v>39993</v>
      </c>
      <c r="K16" s="82"/>
      <c r="L16" s="82"/>
      <c r="M16" s="366"/>
      <c r="N16" s="367"/>
      <c r="O16" s="24"/>
      <c r="P16" s="159">
        <v>40000</v>
      </c>
      <c r="Q16" s="82"/>
      <c r="R16" s="82"/>
      <c r="S16" s="366"/>
      <c r="T16" s="367"/>
      <c r="U16" s="24"/>
      <c r="V16" s="159">
        <v>40007</v>
      </c>
      <c r="W16" s="82"/>
      <c r="X16" s="82"/>
      <c r="Y16" s="108"/>
      <c r="Z16" s="109"/>
      <c r="AA16" s="159">
        <v>40014</v>
      </c>
      <c r="AB16" s="114"/>
      <c r="AC16" s="114"/>
      <c r="AD16" s="193"/>
      <c r="AE16" s="130"/>
    </row>
    <row r="17" spans="2:31" s="23" customFormat="1" ht="15.75" customHeight="1">
      <c r="B17" s="23">
        <v>3</v>
      </c>
      <c r="C17" s="169" t="s">
        <v>9</v>
      </c>
      <c r="D17" s="159"/>
      <c r="E17" s="2"/>
      <c r="F17" s="2"/>
      <c r="G17" s="366"/>
      <c r="H17" s="367"/>
      <c r="I17" s="24"/>
      <c r="J17" s="159">
        <v>39994</v>
      </c>
      <c r="K17" s="82"/>
      <c r="L17" s="82"/>
      <c r="M17" s="366"/>
      <c r="N17" s="367"/>
      <c r="O17" s="24"/>
      <c r="P17" s="159">
        <v>40001</v>
      </c>
      <c r="Q17" s="82"/>
      <c r="R17" s="82"/>
      <c r="S17" s="366"/>
      <c r="T17" s="367"/>
      <c r="U17" s="24"/>
      <c r="V17" s="159">
        <v>40008</v>
      </c>
      <c r="W17" s="82"/>
      <c r="X17" s="82"/>
      <c r="Y17" s="108"/>
      <c r="Z17" s="109"/>
      <c r="AA17" s="159">
        <v>40015</v>
      </c>
      <c r="AB17" s="114"/>
      <c r="AC17" s="114"/>
      <c r="AD17" s="193"/>
      <c r="AE17" s="130"/>
    </row>
    <row r="18" spans="2:31" s="23" customFormat="1" ht="15.75" customHeight="1">
      <c r="B18" s="23">
        <v>4</v>
      </c>
      <c r="C18" s="169" t="s">
        <v>10</v>
      </c>
      <c r="D18" s="159"/>
      <c r="E18" s="98"/>
      <c r="F18" s="98"/>
      <c r="G18" s="366"/>
      <c r="H18" s="367"/>
      <c r="I18" s="24"/>
      <c r="J18" s="159">
        <v>39995</v>
      </c>
      <c r="K18" s="82"/>
      <c r="L18" s="82"/>
      <c r="M18" s="366"/>
      <c r="N18" s="367"/>
      <c r="O18" s="24"/>
      <c r="P18" s="159">
        <v>40002</v>
      </c>
      <c r="Q18" s="82"/>
      <c r="R18" s="82"/>
      <c r="S18" s="366"/>
      <c r="T18" s="367"/>
      <c r="U18" s="24"/>
      <c r="V18" s="159">
        <v>40009</v>
      </c>
      <c r="W18" s="82"/>
      <c r="X18" s="82"/>
      <c r="Y18" s="108"/>
      <c r="Z18" s="109"/>
      <c r="AA18" s="159">
        <v>40016</v>
      </c>
      <c r="AB18" s="114"/>
      <c r="AC18" s="114"/>
      <c r="AD18" s="193"/>
      <c r="AE18" s="130"/>
    </row>
    <row r="19" spans="2:31" s="23" customFormat="1" ht="15.75" customHeight="1">
      <c r="B19" s="23">
        <v>5</v>
      </c>
      <c r="C19" s="169" t="s">
        <v>11</v>
      </c>
      <c r="D19" s="159"/>
      <c r="E19" s="98"/>
      <c r="F19" s="98"/>
      <c r="G19" s="366"/>
      <c r="H19" s="367"/>
      <c r="I19" s="24"/>
      <c r="J19" s="159">
        <v>39996</v>
      </c>
      <c r="K19" s="82"/>
      <c r="L19" s="82"/>
      <c r="M19" s="366"/>
      <c r="N19" s="367"/>
      <c r="O19" s="24"/>
      <c r="P19" s="159">
        <v>40003</v>
      </c>
      <c r="Q19" s="82"/>
      <c r="R19" s="82"/>
      <c r="S19" s="366"/>
      <c r="T19" s="367"/>
      <c r="U19" s="24"/>
      <c r="V19" s="159">
        <v>40010</v>
      </c>
      <c r="W19" s="82"/>
      <c r="X19" s="82"/>
      <c r="Y19" s="108"/>
      <c r="Z19" s="109"/>
      <c r="AA19" s="159">
        <v>40017</v>
      </c>
      <c r="AB19" s="199"/>
      <c r="AC19" s="199"/>
      <c r="AD19" s="193"/>
      <c r="AE19" s="130"/>
    </row>
    <row r="20" spans="2:31" s="23" customFormat="1" ht="15.75" customHeight="1">
      <c r="B20" s="23">
        <v>6</v>
      </c>
      <c r="C20" s="169" t="s">
        <v>12</v>
      </c>
      <c r="D20" s="159">
        <v>39990</v>
      </c>
      <c r="E20" s="82"/>
      <c r="F20" s="82"/>
      <c r="G20" s="366"/>
      <c r="H20" s="367"/>
      <c r="I20" s="24"/>
      <c r="J20" s="349">
        <v>39997</v>
      </c>
      <c r="K20" s="82"/>
      <c r="L20" s="82"/>
      <c r="M20" s="366"/>
      <c r="N20" s="367"/>
      <c r="O20" s="24"/>
      <c r="P20" s="159">
        <v>40004</v>
      </c>
      <c r="Q20" s="82"/>
      <c r="R20" s="82"/>
      <c r="S20" s="366"/>
      <c r="T20" s="367"/>
      <c r="U20" s="24"/>
      <c r="V20" s="159">
        <v>40011</v>
      </c>
      <c r="W20" s="82"/>
      <c r="X20" s="82"/>
      <c r="Y20" s="108"/>
      <c r="Z20" s="109"/>
      <c r="AA20" s="159">
        <v>40018</v>
      </c>
      <c r="AB20" s="199"/>
      <c r="AC20" s="199"/>
      <c r="AD20" s="193"/>
      <c r="AE20" s="130"/>
    </row>
    <row r="21" spans="2:31" s="23" customFormat="1" ht="15.75" customHeight="1" thickBot="1">
      <c r="B21" s="23">
        <v>7</v>
      </c>
      <c r="C21" s="170" t="s">
        <v>13</v>
      </c>
      <c r="D21" s="159">
        <v>39991</v>
      </c>
      <c r="E21" s="2"/>
      <c r="F21" s="2"/>
      <c r="G21" s="366"/>
      <c r="H21" s="367"/>
      <c r="I21" s="25"/>
      <c r="J21" s="159">
        <v>39998</v>
      </c>
      <c r="K21" s="2"/>
      <c r="L21" s="2"/>
      <c r="M21" s="366"/>
      <c r="N21" s="367"/>
      <c r="O21" s="25"/>
      <c r="P21" s="159">
        <v>40005</v>
      </c>
      <c r="Q21" s="2"/>
      <c r="R21" s="2"/>
      <c r="S21" s="366"/>
      <c r="T21" s="367"/>
      <c r="U21" s="35"/>
      <c r="V21" s="159">
        <v>40012</v>
      </c>
      <c r="W21" s="2"/>
      <c r="X21" s="2"/>
      <c r="Y21" s="108"/>
      <c r="Z21" s="109"/>
      <c r="AA21" s="159">
        <v>40019</v>
      </c>
      <c r="AB21" s="199"/>
      <c r="AC21" s="199"/>
      <c r="AD21" s="193"/>
      <c r="AE21" s="130"/>
    </row>
    <row r="22" spans="2:31" s="23" customFormat="1" ht="15.75" customHeight="1" thickBot="1">
      <c r="C22" s="171"/>
      <c r="D22" s="99"/>
      <c r="E22" s="100"/>
      <c r="F22" s="101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103"/>
      <c r="AB22" s="101"/>
      <c r="AC22" s="101"/>
      <c r="AD22" s="194"/>
      <c r="AE22" s="130"/>
    </row>
    <row r="23" spans="2:31" s="23" customFormat="1" ht="15.75" customHeight="1" thickBot="1">
      <c r="C23" s="38"/>
      <c r="D23" s="39"/>
      <c r="E23" s="40"/>
      <c r="F23" s="40"/>
      <c r="G23" s="40"/>
      <c r="H23" s="40"/>
      <c r="I23" s="41"/>
      <c r="J23" s="39"/>
      <c r="K23" s="40"/>
      <c r="L23" s="40"/>
      <c r="M23" s="40"/>
      <c r="N23" s="40"/>
      <c r="O23" s="41"/>
      <c r="P23" s="39"/>
      <c r="Q23" s="40"/>
      <c r="R23" s="40"/>
      <c r="S23" s="40"/>
      <c r="T23" s="40"/>
      <c r="U23" s="41"/>
      <c r="V23" s="39"/>
      <c r="W23" s="40"/>
      <c r="X23" s="40"/>
      <c r="Y23" s="40"/>
      <c r="Z23" s="40"/>
      <c r="AA23" s="39" t="s">
        <v>70</v>
      </c>
      <c r="AB23" s="40"/>
      <c r="AC23" s="40"/>
      <c r="AD23" s="130"/>
      <c r="AE23" s="130"/>
    </row>
    <row r="24" spans="2:31" s="23" customFormat="1" ht="15.75" customHeight="1" thickBot="1">
      <c r="C24" s="174" t="s">
        <v>16</v>
      </c>
      <c r="D24" s="175"/>
      <c r="E24" s="84">
        <f>SUM(E15:E23)</f>
        <v>0</v>
      </c>
      <c r="F24" s="85">
        <f>SUM(F15:F23)</f>
        <v>0</v>
      </c>
      <c r="G24" s="30"/>
      <c r="I24" s="26"/>
      <c r="J24" s="27"/>
      <c r="K24" s="89">
        <f>SUM(K15:K23)</f>
        <v>0</v>
      </c>
      <c r="L24" s="85">
        <f>SUM(L15:L23)</f>
        <v>0</v>
      </c>
      <c r="M24" s="116"/>
      <c r="Q24" s="84">
        <f>SUM(Q15:Q23)</f>
        <v>0</v>
      </c>
      <c r="R24" s="85">
        <f>SUM(R15:R23)</f>
        <v>0</v>
      </c>
      <c r="S24" s="30"/>
      <c r="T24" s="26"/>
      <c r="U24" s="26"/>
      <c r="W24" s="89">
        <f>SUM(W15:W23)</f>
        <v>0</v>
      </c>
      <c r="X24" s="85">
        <f>SUM(X15:X23)</f>
        <v>0</v>
      </c>
      <c r="Y24" s="30"/>
      <c r="AA24" s="44">
        <f>SUM(AB22:AB23)</f>
        <v>0</v>
      </c>
      <c r="AB24" s="129">
        <f>SUM(AB15:AB21)</f>
        <v>0</v>
      </c>
      <c r="AC24" s="129">
        <f>SUM(AC15:AC21)</f>
        <v>0</v>
      </c>
      <c r="AD24" s="112"/>
      <c r="AE24" s="45">
        <f>SUM(AC22,AC23)</f>
        <v>0</v>
      </c>
    </row>
    <row r="25" spans="2:31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</row>
    <row r="26" spans="2:31" s="23" customFormat="1" ht="15.75" customHeight="1">
      <c r="E26" s="24"/>
      <c r="F26" s="29"/>
      <c r="G26" s="24"/>
      <c r="H26" s="24"/>
      <c r="I26" s="24"/>
      <c r="J26" s="24"/>
      <c r="K26" s="29"/>
      <c r="L26" s="24"/>
      <c r="M26" s="122"/>
      <c r="N26" s="24"/>
      <c r="O26" s="24"/>
      <c r="P26" s="29"/>
      <c r="Q26" s="24"/>
      <c r="R26" s="24"/>
      <c r="S26" s="24"/>
      <c r="T26" s="24"/>
      <c r="U26" s="29"/>
      <c r="V26" s="24"/>
      <c r="W26" s="24"/>
      <c r="X26" s="24"/>
      <c r="Y26" s="24"/>
      <c r="Z26" s="29"/>
    </row>
    <row r="27" spans="2:31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1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1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1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1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1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SUMIF($H$15:$H$23,"",$G$15:$G$23)+SUMIF($N$15:$N$23,"",$M$15:$M$23)+SUMIF($T$15:$T$23,"",$S$15:$S$23)+SUMIF($Z$15:$Z$23,"",$Y$15:$Y$23)+SUMIF($AE$15:$AE$23,"",$AD$15:$AD$23)</f>
        <v>0</v>
      </c>
    </row>
    <row r="37" spans="3:31">
      <c r="C37" s="4" t="s">
        <v>76</v>
      </c>
      <c r="T37" s="32"/>
      <c r="W37" s="42"/>
      <c r="Y37" s="12">
        <f>SUMIF($H$15:$H$23,#REF!,$G$15:$G$23)+SUMIF($N$15:$N$23,#REF!,$M$15:$M$23)+SUMIF($T$15:$T$23,#REF!,$S$15:$S$23)+SUMIF($Z$15:$Z$23,#REF!,$Y$15:$Y$23)+SUMIF($AE$15:$AE$23,#REF!,$AD$15:$AD$23)</f>
        <v>0</v>
      </c>
    </row>
    <row r="38" spans="3:31">
      <c r="Y38" s="12">
        <f>SUMIF($H$15:$H$23,#REF!,$G$15:$G$23)+SUMIF($N$15:$N$23,#REF!,$M$15:$M$23)+SUMIF($T$15:$T$23,#REF!,$S$15:$S$23)+SUMIF($Z$15:$Z$23,#REF!,$Y$15:$Y$23)+SUMIF($AE$15:$AE$23,#REF!,$AD$15:$AD$23)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SUMIF($H$15:$H$23,#REF!,$G$15:$G$23)+SUMIF($N$15:$N$23,#REF!,$M$15:$M$23)+SUMIF($T$15:$T$23,#REF!,$S$15:$S$23)+SUMIF($Z$15:$Z$23,#REF!,$Y$15:$Y$23)+SUMIF($AE$15:$AE$23,#REF!,$AD$15:$AD$23)</f>
        <v>0</v>
      </c>
      <c r="AE39" s="22"/>
    </row>
    <row r="40" spans="3:31">
      <c r="V40" s="133"/>
      <c r="W40" s="134"/>
      <c r="X40" s="134"/>
      <c r="Y40" s="135">
        <f>SUMIF($H$15:$H$23,#REF!,$G$15:$G$23)+SUMIF($N$15:$N$23,#REF!,$M$15:$M$23)+SUMIF($T$15:$T$23,#REF!,$S$15:$S$23)+SUMIF($Z$15:$Z$23,#REF!,$Y$15:$Y$23)+SUMIF($AE$15:$AE$23,#REF!,$AD$15:$AD$23)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61</v>
      </c>
      <c r="V41" s="137"/>
      <c r="W41" s="22"/>
      <c r="X41" s="22"/>
      <c r="Y41" s="138">
        <f>SUMIF($H$15:$H$23,#REF!,$G$15:$G$23)+SUMIF($N$15:$N$23,#REF!,$M$15:$M$23)+SUMIF($T$15:$T$23,#REF!,$S$15:$S$23)+SUMIF($Z$15:$Z$23,#REF!,$Y$15:$Y$23)+SUMIF($AE$15:$AE$23,#REF!,$AD$15:$AD$23)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SUMIF($H$15:$H$23,#REF!,$G$15:$G$23)+SUMIF($N$15:$N$23,#REF!,$M$15:$M$23)+SUMIF($T$15:$T$23,#REF!,$S$15:$S$23)+SUMIF($Z$15:$Z$23,#REF!,$Y$15:$Y$23)+SUMIF($AE$15:$AE$23,#REF!,$AD$15:$AD$23)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SUMIF($H$15:$H$23,#REF!,$G$15:$G$23)+SUMIF($N$15:$N$23,#REF!,$M$15:$M$23)+SUMIF($T$15:$T$23,#REF!,$S$15:$S$23)+SUMIF($Z$15:$Z$23,#REF!,$Y$15:$Y$23)+SUMIF($AE$15:$AE$23,#REF!,$AD$15:$AD$23)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SUMIF($H$15:$H$23,#REF!,$G$15:$G$23)+SUMIF($N$15:$N$23,#REF!,$M$15:$M$23)+SUMIF($T$15:$T$23,#REF!,$S$15:$S$23)+SUMIF($Z$15:$Z$23,#REF!,$Y$15:$Y$23)+SUMIF($AE$15:$AE$23,#REF!,$AD$15:$AD$23)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SUMIF($H$15:$H$23,#REF!,$G$15:$G$23)+SUMIF($N$15:$N$23,#REF!,$M$15:$M$23)+SUMIF($T$15:$T$23,#REF!,$S$15:$S$23)+SUMIF($Z$15:$Z$23,#REF!,$Y$15:$Y$23)+SUMIF($AE$15:$AE$23,#REF!,$AD$15:$AD$23)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SUMIF($H$15:$H$23,#REF!,$G$15:$G$23)+SUMIF($N$15:$N$23,#REF!,$M$15:$M$23)+SUMIF($T$15:$T$23,#REF!,$S$15:$S$23)+SUMIF($Z$15:$Z$23,#REF!,$Y$15:$Y$23)+SUMIF($AE$15:$AE$23,#REF!,$AD$15:$AD$23)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SUMIF($H$15:$H$23,#REF!,$G$15:$G$23)+SUMIF($N$15:$N$23,#REF!,$M$15:$M$23)+SUMIF($T$15:$T$23,#REF!,$S$15:$S$23)+SUMIF($Z$15:$Z$23,#REF!,$Y$15:$Y$23)+SUMIF($AE$15:$AE$23,#REF!,$AD$15:$AD$23)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SUMIF($H$15:$H$23,#REF!,$G$15:$G$23)+SUMIF($N$15:$N$23,#REF!,$M$15:$M$23)+SUMIF($T$15:$T$23,#REF!,$S$15:$S$23)+SUMIF($Z$15:$Z$23,#REF!,$Y$15:$Y$23)+SUMIF($AE$15:$AE$23,#REF!,$AD$15:$AD$23)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SUMIF($H$15:$H$23,#REF!,$G$15:$G$23)+SUMIF($N$15:$N$23,#REF!,$M$15:$M$23)+SUMIF($T$15:$T$23,#REF!,$S$15:$S$23)+SUMIF($Z$15:$Z$23,#REF!,$Y$15:$Y$23)+SUMIF($AE$15:$AE$23,#REF!,$AD$15:$AD$23)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</sheetData>
  <mergeCells count="51">
    <mergeCell ref="AA9:AD9"/>
    <mergeCell ref="AA12:AD12"/>
    <mergeCell ref="AA7:AD7"/>
    <mergeCell ref="AA8:AD8"/>
    <mergeCell ref="J30:K31"/>
    <mergeCell ref="L30:M31"/>
    <mergeCell ref="G9:L9"/>
    <mergeCell ref="M9:S9"/>
    <mergeCell ref="G13:H22"/>
    <mergeCell ref="M13:N22"/>
    <mergeCell ref="E32:F32"/>
    <mergeCell ref="G32:I32"/>
    <mergeCell ref="J32:K32"/>
    <mergeCell ref="G30:I31"/>
    <mergeCell ref="Y13:Z13"/>
    <mergeCell ref="E28:K28"/>
    <mergeCell ref="E29:F29"/>
    <mergeCell ref="G29:I29"/>
    <mergeCell ref="J29:K29"/>
    <mergeCell ref="V9:X9"/>
    <mergeCell ref="Y9:Z9"/>
    <mergeCell ref="C12:H12"/>
    <mergeCell ref="J12:N12"/>
    <mergeCell ref="P12:T12"/>
    <mergeCell ref="C53:R55"/>
    <mergeCell ref="C50:O50"/>
    <mergeCell ref="Q50:R50"/>
    <mergeCell ref="L32:M32"/>
    <mergeCell ref="V12:Z12"/>
    <mergeCell ref="C39:R39"/>
    <mergeCell ref="C45:O45"/>
    <mergeCell ref="Q45:R45"/>
    <mergeCell ref="L33:M34"/>
    <mergeCell ref="C29:D31"/>
    <mergeCell ref="E30:F31"/>
    <mergeCell ref="E33:F34"/>
    <mergeCell ref="G33:I34"/>
    <mergeCell ref="J33:K34"/>
    <mergeCell ref="L29:M29"/>
    <mergeCell ref="C32:D34"/>
    <mergeCell ref="S13:T22"/>
    <mergeCell ref="E6:S6"/>
    <mergeCell ref="C8:F9"/>
    <mergeCell ref="G8:L8"/>
    <mergeCell ref="M8:S8"/>
    <mergeCell ref="AB2:AD2"/>
    <mergeCell ref="AC3:AD3"/>
    <mergeCell ref="AC4:AD4"/>
    <mergeCell ref="V7:Z7"/>
    <mergeCell ref="V8:X8"/>
    <mergeCell ref="Y8:Z8"/>
  </mergeCells>
  <phoneticPr fontId="1" type="noConversion"/>
  <conditionalFormatting sqref="D15 J22 P15:P21 V15:V22 AA15:AA23">
    <cfRule type="cellIs" dxfId="92" priority="1" stopIfTrue="1" operator="equal">
      <formula>0</formula>
    </cfRule>
  </conditionalFormatting>
  <conditionalFormatting sqref="P21:P22">
    <cfRule type="cellIs" dxfId="91" priority="2" stopIfTrue="1" operator="equal">
      <formula>0</formula>
    </cfRule>
    <cfRule type="cellIs" dxfId="90" priority="3" stopIfTrue="1" operator="equal">
      <formula>37277</formula>
    </cfRule>
  </conditionalFormatting>
  <conditionalFormatting sqref="D16:D22">
    <cfRule type="cellIs" dxfId="89" priority="4" stopIfTrue="1" operator="equal">
      <formula>0</formula>
    </cfRule>
    <cfRule type="cellIs" dxfId="88" priority="5" stopIfTrue="1" operator="equal">
      <formula>37622</formula>
    </cfRule>
  </conditionalFormatting>
  <conditionalFormatting sqref="J15:J21">
    <cfRule type="cellIs" dxfId="87" priority="6" stopIfTrue="1" operator="equal">
      <formula>38173</formula>
    </cfRule>
  </conditionalFormatting>
  <dataValidations count="2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E15:F23 W15:X23 Q15:R23 K15:L23 S23 G23 M23 Y23 AB15:AC23">
      <formula1>1</formula1>
    </dataValidation>
    <dataValidation type="list" allowBlank="1" showInputMessage="1" showErrorMessage="1" errorTitle="Invalid Leave Code" error="Please select a valid leave code" promptTitle="Leave Code" sqref="H23 N23 Z23 T23">
      <formula1>#REF!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4"/>
  <dimension ref="B1:AI56"/>
  <sheetViews>
    <sheetView zoomScaleNormal="100" zoomScaleSheetLayoutView="100" workbookViewId="0">
      <selection activeCell="AA20" sqref="AA19:AA20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.5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16406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40020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40050</v>
      </c>
      <c r="AD4" s="363"/>
    </row>
    <row r="5" spans="2:35" ht="16.5" customHeight="1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40025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tr">
        <f>IF($Y$36=0,"","You must enter a valid leave code directly to the right of all leave taken.")</f>
        <v/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173">
        <v>40020</v>
      </c>
      <c r="E15" s="2"/>
      <c r="F15" s="2"/>
      <c r="G15" s="366"/>
      <c r="H15" s="367"/>
      <c r="I15" s="24"/>
      <c r="J15" s="159">
        <f>IF(D21+1&gt;ToJuly,0,D21+1)</f>
        <v>40027</v>
      </c>
      <c r="K15" s="2"/>
      <c r="L15" s="2"/>
      <c r="M15" s="366"/>
      <c r="N15" s="367"/>
      <c r="O15" s="24"/>
      <c r="P15" s="159">
        <f>IF(J21+1&gt;ToJuly,0,J21+1)</f>
        <v>40034</v>
      </c>
      <c r="Q15" s="2"/>
      <c r="R15" s="2"/>
      <c r="S15" s="366"/>
      <c r="T15" s="367"/>
      <c r="U15" s="24"/>
      <c r="V15" s="159">
        <f>IF(P21+1&gt;ToJuly,0,P21+1)</f>
        <v>40041</v>
      </c>
      <c r="W15" s="2"/>
      <c r="X15" s="2"/>
      <c r="Y15" s="108"/>
      <c r="Z15" s="109"/>
      <c r="AA15" s="165">
        <f>IF(V21+1&gt;ToJuly,0,V21+1)</f>
        <v>40048</v>
      </c>
      <c r="AB15" s="113"/>
      <c r="AC15" s="113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173">
        <v>40021</v>
      </c>
      <c r="E16" s="98"/>
      <c r="F16" s="98"/>
      <c r="G16" s="366"/>
      <c r="H16" s="367"/>
      <c r="I16" s="24"/>
      <c r="J16" s="168">
        <f t="shared" ref="J16:J21" si="0">IF(J15=0,0,IF(J15+1&gt;ToJuly,0,J15+1))</f>
        <v>40028</v>
      </c>
      <c r="K16" s="82"/>
      <c r="L16" s="82"/>
      <c r="M16" s="366"/>
      <c r="N16" s="367"/>
      <c r="O16" s="24"/>
      <c r="P16" s="159">
        <f t="shared" ref="P16:P21" si="1">IF(P15=0,0,IF(P15+1&gt;ToJuly,0,P15+1))</f>
        <v>40035</v>
      </c>
      <c r="Q16" s="82"/>
      <c r="R16" s="82"/>
      <c r="S16" s="366"/>
      <c r="T16" s="367"/>
      <c r="U16" s="24"/>
      <c r="V16" s="159">
        <f t="shared" ref="V16:V21" si="2">IF(V15=0,0,IF(V15+1&gt;ToJuly,0,V15+1))</f>
        <v>40042</v>
      </c>
      <c r="W16" s="82"/>
      <c r="X16" s="82"/>
      <c r="Y16" s="108"/>
      <c r="Z16" s="109"/>
      <c r="AA16" s="159">
        <f t="shared" ref="AA16:AA21" si="3">IF(AA15=0,0,IF(AA15+1&gt;ToJuly,0,AA15+1))</f>
        <v>40049</v>
      </c>
      <c r="AB16" s="114"/>
      <c r="AC16" s="114"/>
      <c r="AD16" s="193"/>
      <c r="AE16" s="130"/>
      <c r="AF16" s="91"/>
    </row>
    <row r="17" spans="2:32" s="23" customFormat="1" ht="15.75" customHeight="1">
      <c r="B17" s="23">
        <v>3</v>
      </c>
      <c r="C17" s="169" t="s">
        <v>9</v>
      </c>
      <c r="D17" s="173">
        <v>40022</v>
      </c>
      <c r="E17" s="98"/>
      <c r="F17" s="98"/>
      <c r="G17" s="366"/>
      <c r="H17" s="367"/>
      <c r="I17" s="24"/>
      <c r="J17" s="159">
        <f t="shared" si="0"/>
        <v>40029</v>
      </c>
      <c r="K17" s="82"/>
      <c r="L17" s="82"/>
      <c r="M17" s="366"/>
      <c r="N17" s="367"/>
      <c r="O17" s="24"/>
      <c r="P17" s="159">
        <f t="shared" si="1"/>
        <v>40036</v>
      </c>
      <c r="Q17" s="82"/>
      <c r="R17" s="82"/>
      <c r="S17" s="366"/>
      <c r="T17" s="367"/>
      <c r="U17" s="24"/>
      <c r="V17" s="159">
        <f t="shared" si="2"/>
        <v>40043</v>
      </c>
      <c r="W17" s="82"/>
      <c r="X17" s="82"/>
      <c r="Y17" s="108"/>
      <c r="Z17" s="109"/>
      <c r="AA17" s="159">
        <f t="shared" si="3"/>
        <v>40050</v>
      </c>
      <c r="AB17" s="114"/>
      <c r="AC17" s="114"/>
      <c r="AD17" s="193"/>
      <c r="AE17" s="130"/>
      <c r="AF17" s="91"/>
    </row>
    <row r="18" spans="2:32" s="23" customFormat="1" ht="15.75" customHeight="1">
      <c r="B18" s="23">
        <v>4</v>
      </c>
      <c r="C18" s="169" t="s">
        <v>10</v>
      </c>
      <c r="D18" s="173">
        <v>40023</v>
      </c>
      <c r="E18" s="98"/>
      <c r="F18" s="98"/>
      <c r="G18" s="366"/>
      <c r="H18" s="367"/>
      <c r="I18" s="24"/>
      <c r="J18" s="159">
        <f t="shared" si="0"/>
        <v>40030</v>
      </c>
      <c r="K18" s="82"/>
      <c r="L18" s="82"/>
      <c r="M18" s="366"/>
      <c r="N18" s="367"/>
      <c r="O18" s="24"/>
      <c r="P18" s="159">
        <f t="shared" si="1"/>
        <v>40037</v>
      </c>
      <c r="Q18" s="82"/>
      <c r="R18" s="82"/>
      <c r="S18" s="366"/>
      <c r="T18" s="367"/>
      <c r="U18" s="24"/>
      <c r="V18" s="159">
        <f t="shared" si="2"/>
        <v>40044</v>
      </c>
      <c r="W18" s="82"/>
      <c r="X18" s="82"/>
      <c r="Y18" s="108"/>
      <c r="Z18" s="109"/>
      <c r="AA18" s="159">
        <f t="shared" si="3"/>
        <v>0</v>
      </c>
      <c r="AB18" s="3"/>
      <c r="AC18" s="3"/>
      <c r="AD18" s="193"/>
      <c r="AE18" s="130"/>
      <c r="AF18" s="91"/>
    </row>
    <row r="19" spans="2:32" s="23" customFormat="1" ht="15.75" customHeight="1">
      <c r="B19" s="23">
        <v>5</v>
      </c>
      <c r="C19" s="169" t="s">
        <v>11</v>
      </c>
      <c r="D19" s="173">
        <v>40024</v>
      </c>
      <c r="E19" s="98"/>
      <c r="F19" s="98"/>
      <c r="G19" s="366"/>
      <c r="H19" s="367"/>
      <c r="I19" s="24"/>
      <c r="J19" s="159">
        <f t="shared" si="0"/>
        <v>40031</v>
      </c>
      <c r="K19" s="82"/>
      <c r="L19" s="82"/>
      <c r="M19" s="366"/>
      <c r="N19" s="367"/>
      <c r="O19" s="24"/>
      <c r="P19" s="159">
        <f t="shared" si="1"/>
        <v>40038</v>
      </c>
      <c r="Q19" s="82"/>
      <c r="R19" s="82"/>
      <c r="S19" s="366"/>
      <c r="T19" s="367"/>
      <c r="U19" s="24"/>
      <c r="V19" s="159">
        <f t="shared" si="2"/>
        <v>40045</v>
      </c>
      <c r="W19" s="82"/>
      <c r="X19" s="82"/>
      <c r="Y19" s="108"/>
      <c r="Z19" s="109"/>
      <c r="AA19" s="159">
        <f t="shared" si="3"/>
        <v>0</v>
      </c>
      <c r="AB19" s="3"/>
      <c r="AC19" s="3"/>
      <c r="AD19" s="193"/>
      <c r="AE19" s="130"/>
      <c r="AF19" s="91"/>
    </row>
    <row r="20" spans="2:32" s="23" customFormat="1" ht="15.75" customHeight="1">
      <c r="B20" s="23">
        <v>6</v>
      </c>
      <c r="C20" s="169" t="s">
        <v>12</v>
      </c>
      <c r="D20" s="173">
        <v>40025</v>
      </c>
      <c r="E20" s="98"/>
      <c r="F20" s="98"/>
      <c r="G20" s="366"/>
      <c r="H20" s="367"/>
      <c r="I20" s="24"/>
      <c r="J20" s="159">
        <f t="shared" si="0"/>
        <v>40032</v>
      </c>
      <c r="K20" s="82"/>
      <c r="L20" s="82"/>
      <c r="M20" s="366"/>
      <c r="N20" s="367"/>
      <c r="O20" s="24"/>
      <c r="P20" s="159">
        <f t="shared" si="1"/>
        <v>40039</v>
      </c>
      <c r="Q20" s="82"/>
      <c r="R20" s="82"/>
      <c r="S20" s="366"/>
      <c r="T20" s="367"/>
      <c r="U20" s="24"/>
      <c r="V20" s="159">
        <f t="shared" si="2"/>
        <v>40046</v>
      </c>
      <c r="W20" s="82"/>
      <c r="X20" s="82"/>
      <c r="Y20" s="108"/>
      <c r="Z20" s="109"/>
      <c r="AA20" s="159">
        <f t="shared" si="3"/>
        <v>0</v>
      </c>
      <c r="AB20" s="3"/>
      <c r="AC20" s="3"/>
      <c r="AD20" s="193"/>
      <c r="AE20" s="130"/>
      <c r="AF20" s="91"/>
    </row>
    <row r="21" spans="2:32" s="23" customFormat="1" ht="15.75" customHeight="1" thickBot="1">
      <c r="B21" s="23">
        <v>7</v>
      </c>
      <c r="C21" s="170" t="s">
        <v>13</v>
      </c>
      <c r="D21" s="173">
        <v>40026</v>
      </c>
      <c r="E21" s="2"/>
      <c r="F21" s="2"/>
      <c r="G21" s="366"/>
      <c r="H21" s="367"/>
      <c r="I21" s="25"/>
      <c r="J21" s="160">
        <f t="shared" si="0"/>
        <v>40033</v>
      </c>
      <c r="K21" s="2"/>
      <c r="L21" s="2"/>
      <c r="M21" s="366"/>
      <c r="N21" s="367"/>
      <c r="O21" s="25"/>
      <c r="P21" s="160">
        <f t="shared" si="1"/>
        <v>40040</v>
      </c>
      <c r="Q21" s="2"/>
      <c r="R21" s="2"/>
      <c r="S21" s="366"/>
      <c r="T21" s="367"/>
      <c r="U21" s="35"/>
      <c r="V21" s="160">
        <f t="shared" si="2"/>
        <v>40047</v>
      </c>
      <c r="W21" s="2"/>
      <c r="X21" s="2"/>
      <c r="Y21" s="108"/>
      <c r="Z21" s="109"/>
      <c r="AA21" s="160">
        <f t="shared" si="3"/>
        <v>0</v>
      </c>
      <c r="AB21" s="3"/>
      <c r="AC21" s="3"/>
      <c r="AD21" s="193"/>
      <c r="AE21" s="130"/>
      <c r="AF21" s="91"/>
    </row>
    <row r="22" spans="2:32" s="23" customFormat="1" ht="15.75" customHeight="1" thickBot="1">
      <c r="C22" s="171"/>
      <c r="D22" s="99"/>
      <c r="E22" s="100"/>
      <c r="F22" s="101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103"/>
      <c r="AB22" s="131"/>
      <c r="AC22" s="101"/>
      <c r="AD22" s="194"/>
      <c r="AE22" s="130"/>
      <c r="AF22" s="91"/>
    </row>
    <row r="23" spans="2:32" s="23" customFormat="1" ht="15.75" customHeight="1" thickBot="1">
      <c r="C23" s="38"/>
      <c r="D23" s="39"/>
      <c r="E23" s="40"/>
      <c r="F23" s="40"/>
      <c r="G23" s="40"/>
      <c r="H23" s="40"/>
      <c r="I23" s="41"/>
      <c r="J23" s="39"/>
      <c r="K23" s="40"/>
      <c r="L23" s="40"/>
      <c r="M23" s="40"/>
      <c r="N23" s="40"/>
      <c r="O23" s="41"/>
      <c r="P23" s="39"/>
      <c r="Q23" s="40"/>
      <c r="R23" s="40"/>
      <c r="S23" s="40"/>
      <c r="T23" s="40"/>
      <c r="U23" s="41"/>
      <c r="V23" s="39"/>
      <c r="W23" s="40"/>
      <c r="X23" s="40"/>
      <c r="Y23" s="40"/>
      <c r="Z23" s="40"/>
      <c r="AA23" s="39" t="s">
        <v>70</v>
      </c>
      <c r="AB23" s="40"/>
      <c r="AC23" s="40"/>
      <c r="AD23" s="130"/>
      <c r="AE23" s="130"/>
    </row>
    <row r="24" spans="2:32" s="23" customFormat="1" ht="15.75" customHeight="1" thickBot="1">
      <c r="C24" s="174" t="s">
        <v>16</v>
      </c>
      <c r="D24" s="175"/>
      <c r="E24" s="84">
        <f>SUM(E15:E23)</f>
        <v>0</v>
      </c>
      <c r="F24" s="85">
        <f>SUM(F15:F23)</f>
        <v>0</v>
      </c>
      <c r="G24" s="30"/>
      <c r="I24" s="26"/>
      <c r="J24" s="27"/>
      <c r="K24" s="89">
        <f>SUM(K15:K23)</f>
        <v>0</v>
      </c>
      <c r="L24" s="85">
        <f>SUM(L15:L23)</f>
        <v>0</v>
      </c>
      <c r="M24" s="116"/>
      <c r="Q24" s="84">
        <f>SUM(Q15:Q23)</f>
        <v>0</v>
      </c>
      <c r="R24" s="85">
        <f>SUM(R15:R23)</f>
        <v>0</v>
      </c>
      <c r="S24" s="30"/>
      <c r="T24" s="26"/>
      <c r="U24" s="26"/>
      <c r="W24" s="89">
        <f>SUM(W15:W23)</f>
        <v>0</v>
      </c>
      <c r="X24" s="85">
        <f>SUM(X15:X23)</f>
        <v>0</v>
      </c>
      <c r="Y24" s="30"/>
      <c r="AA24" s="44">
        <f>SUM(AB22:AB23)</f>
        <v>0</v>
      </c>
      <c r="AB24" s="85">
        <f>SUM(AB15:AB21)</f>
        <v>0</v>
      </c>
      <c r="AC24" s="85">
        <f>SUM(AC15:AC21)</f>
        <v>0</v>
      </c>
      <c r="AD24" s="30"/>
      <c r="AE24" s="45">
        <f>SUM(AC22,AC23)</f>
        <v>0</v>
      </c>
    </row>
    <row r="25" spans="2:32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</row>
    <row r="26" spans="2:32" s="23" customFormat="1" ht="15.75" customHeight="1">
      <c r="E26" s="24"/>
      <c r="F26" s="29"/>
      <c r="G26" s="24"/>
      <c r="H26" s="24"/>
      <c r="I26" s="24"/>
      <c r="J26" s="24"/>
      <c r="K26" s="29"/>
      <c r="L26" s="24"/>
      <c r="M26" s="122"/>
      <c r="N26" s="24"/>
      <c r="O26" s="24"/>
      <c r="P26" s="29"/>
      <c r="Q26" s="24"/>
      <c r="R26" s="24"/>
      <c r="S26" s="24"/>
      <c r="T26" s="24"/>
      <c r="U26" s="29"/>
      <c r="V26" s="24"/>
      <c r="W26" s="24"/>
      <c r="X26" s="24"/>
      <c r="Y26" s="24"/>
      <c r="Z26" s="29"/>
    </row>
    <row r="27" spans="2:32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2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2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2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2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2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SUMIF($H$15:$H$23,"",$G$15:$G$23)+SUMIF($N$15:$N$23,"",$M$15:$M$23)+SUMIF($T$15:$T$23,"",$S$15:$S$23)+SUMIF($Z$15:$Z$23,"",$Y$15:$Y$23)+SUMIF($AE$15:$AE$23,"",$AD$15:$AD$23)</f>
        <v>0</v>
      </c>
    </row>
    <row r="37" spans="3:31">
      <c r="C37" s="4" t="s">
        <v>76</v>
      </c>
      <c r="T37" s="32"/>
      <c r="W37" s="42"/>
      <c r="Y37" s="12">
        <f>SUMIF($H$15:$H$23,#REF!,$G$15:$G$23)+SUMIF($N$15:$N$23,#REF!,$M$15:$M$23)+SUMIF($T$15:$T$23,#REF!,$S$15:$S$23)+SUMIF($Z$15:$Z$23,#REF!,$Y$15:$Y$23)+SUMIF($AE$15:$AE$23,#REF!,$AD$15:$AD$23)</f>
        <v>0</v>
      </c>
    </row>
    <row r="38" spans="3:31">
      <c r="Y38" s="12">
        <f>SUMIF($H$15:$H$23,#REF!,$G$15:$G$23)+SUMIF($N$15:$N$23,#REF!,$M$15:$M$23)+SUMIF($T$15:$T$23,#REF!,$S$15:$S$23)+SUMIF($Z$15:$Z$23,#REF!,$Y$15:$Y$23)+SUMIF($AE$15:$AE$23,#REF!,$AD$15:$AD$23)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SUMIF($H$15:$H$23,#REF!,$G$15:$G$23)+SUMIF($N$15:$N$23,#REF!,$M$15:$M$23)+SUMIF($T$15:$T$23,#REF!,$S$15:$S$23)+SUMIF($Z$15:$Z$23,#REF!,$Y$15:$Y$23)+SUMIF($AE$15:$AE$23,#REF!,$AD$15:$AD$23)</f>
        <v>0</v>
      </c>
      <c r="AE39" s="22"/>
    </row>
    <row r="40" spans="3:31">
      <c r="V40" s="133"/>
      <c r="W40" s="134"/>
      <c r="X40" s="134"/>
      <c r="Y40" s="135">
        <f>SUMIF($H$15:$H$23,#REF!,$G$15:$G$23)+SUMIF($N$15:$N$23,#REF!,$M$15:$M$23)+SUMIF($T$15:$T$23,#REF!,$S$15:$S$23)+SUMIF($Z$15:$Z$23,#REF!,$Y$15:$Y$23)+SUMIF($AE$15:$AE$23,#REF!,$AD$15:$AD$23)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61</v>
      </c>
      <c r="V41" s="137"/>
      <c r="W41" s="22"/>
      <c r="X41" s="22"/>
      <c r="Y41" s="138">
        <f>SUMIF($H$15:$H$23,#REF!,$G$15:$G$23)+SUMIF($N$15:$N$23,#REF!,$M$15:$M$23)+SUMIF($T$15:$T$23,#REF!,$S$15:$S$23)+SUMIF($Z$15:$Z$23,#REF!,$Y$15:$Y$23)+SUMIF($AE$15:$AE$23,#REF!,$AD$15:$AD$23)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SUMIF($H$15:$H$23,#REF!,$G$15:$G$23)+SUMIF($N$15:$N$23,#REF!,$M$15:$M$23)+SUMIF($T$15:$T$23,#REF!,$S$15:$S$23)+SUMIF($Z$15:$Z$23,#REF!,$Y$15:$Y$23)+SUMIF($AE$15:$AE$23,#REF!,$AD$15:$AD$23)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SUMIF($H$15:$H$23,#REF!,$G$15:$G$23)+SUMIF($N$15:$N$23,#REF!,$M$15:$M$23)+SUMIF($T$15:$T$23,#REF!,$S$15:$S$23)+SUMIF($Z$15:$Z$23,#REF!,$Y$15:$Y$23)+SUMIF($AE$15:$AE$23,#REF!,$AD$15:$AD$23)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SUMIF($H$15:$H$23,#REF!,$G$15:$G$23)+SUMIF($N$15:$N$23,#REF!,$M$15:$M$23)+SUMIF($T$15:$T$23,#REF!,$S$15:$S$23)+SUMIF($Z$15:$Z$23,#REF!,$Y$15:$Y$23)+SUMIF($AE$15:$AE$23,#REF!,$AD$15:$AD$23)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SUMIF($H$15:$H$23,#REF!,$G$15:$G$23)+SUMIF($N$15:$N$23,#REF!,$M$15:$M$23)+SUMIF($T$15:$T$23,#REF!,$S$15:$S$23)+SUMIF($Z$15:$Z$23,#REF!,$Y$15:$Y$23)+SUMIF($AE$15:$AE$23,#REF!,$AD$15:$AD$23)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SUMIF($H$15:$H$23,#REF!,$G$15:$G$23)+SUMIF($N$15:$N$23,#REF!,$M$15:$M$23)+SUMIF($T$15:$T$23,#REF!,$S$15:$S$23)+SUMIF($Z$15:$Z$23,#REF!,$Y$15:$Y$23)+SUMIF($AE$15:$AE$23,#REF!,$AD$15:$AD$23)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SUMIF($H$15:$H$23,#REF!,$G$15:$G$23)+SUMIF($N$15:$N$23,#REF!,$M$15:$M$23)+SUMIF($T$15:$T$23,#REF!,$S$15:$S$23)+SUMIF($Z$15:$Z$23,#REF!,$Y$15:$Y$23)+SUMIF($AE$15:$AE$23,#REF!,$AD$15:$AD$23)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SUMIF($H$15:$H$23,#REF!,$G$15:$G$23)+SUMIF($N$15:$N$23,#REF!,$M$15:$M$23)+SUMIF($T$15:$T$23,#REF!,$S$15:$S$23)+SUMIF($Z$15:$Z$23,#REF!,$Y$15:$Y$23)+SUMIF($AE$15:$AE$23,#REF!,$AD$15:$AD$23)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SUMIF($H$15:$H$23,#REF!,$G$15:$G$23)+SUMIF($N$15:$N$23,#REF!,$M$15:$M$23)+SUMIF($T$15:$T$23,#REF!,$S$15:$S$23)+SUMIF($Z$15:$Z$23,#REF!,$Y$15:$Y$23)+SUMIF($AE$15:$AE$23,#REF!,$AD$15:$AD$23)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  <row r="56" spans="3:31"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</row>
  </sheetData>
  <mergeCells count="52">
    <mergeCell ref="AA12:AD12"/>
    <mergeCell ref="AA9:AD9"/>
    <mergeCell ref="E28:K28"/>
    <mergeCell ref="V9:X9"/>
    <mergeCell ref="Y9:Z9"/>
    <mergeCell ref="Y8:Z8"/>
    <mergeCell ref="G9:L9"/>
    <mergeCell ref="M9:S9"/>
    <mergeCell ref="C12:H12"/>
    <mergeCell ref="E6:S6"/>
    <mergeCell ref="G8:L8"/>
    <mergeCell ref="M8:S8"/>
    <mergeCell ref="AB2:AD2"/>
    <mergeCell ref="AC3:AD3"/>
    <mergeCell ref="AC4:AD4"/>
    <mergeCell ref="C8:F9"/>
    <mergeCell ref="V7:Z7"/>
    <mergeCell ref="V8:X8"/>
    <mergeCell ref="AA7:AD7"/>
    <mergeCell ref="AA8:AD8"/>
    <mergeCell ref="J12:N12"/>
    <mergeCell ref="P12:T12"/>
    <mergeCell ref="V12:Z12"/>
    <mergeCell ref="G13:H22"/>
    <mergeCell ref="M13:N22"/>
    <mergeCell ref="S13:T22"/>
    <mergeCell ref="Y13:Z13"/>
    <mergeCell ref="C32:D34"/>
    <mergeCell ref="E32:F32"/>
    <mergeCell ref="G32:I32"/>
    <mergeCell ref="J32:K32"/>
    <mergeCell ref="L29:M29"/>
    <mergeCell ref="E30:F31"/>
    <mergeCell ref="G30:I31"/>
    <mergeCell ref="J30:K31"/>
    <mergeCell ref="L30:M31"/>
    <mergeCell ref="C29:D31"/>
    <mergeCell ref="E29:F29"/>
    <mergeCell ref="G29:I29"/>
    <mergeCell ref="J29:K29"/>
    <mergeCell ref="L32:M32"/>
    <mergeCell ref="E33:F34"/>
    <mergeCell ref="G33:I34"/>
    <mergeCell ref="J33:K34"/>
    <mergeCell ref="L33:M34"/>
    <mergeCell ref="C39:R39"/>
    <mergeCell ref="C45:O45"/>
    <mergeCell ref="Q45:R45"/>
    <mergeCell ref="T56:AE56"/>
    <mergeCell ref="C53:R55"/>
    <mergeCell ref="C50:O50"/>
    <mergeCell ref="Q50:R50"/>
  </mergeCells>
  <phoneticPr fontId="1" type="noConversion"/>
  <conditionalFormatting sqref="AA15:AA23 V15:V22 P15:P20 J22">
    <cfRule type="cellIs" dxfId="86" priority="1" stopIfTrue="1" operator="equal">
      <formula>0</formula>
    </cfRule>
  </conditionalFormatting>
  <conditionalFormatting sqref="P21:P22">
    <cfRule type="cellIs" dxfId="85" priority="2" stopIfTrue="1" operator="equal">
      <formula>0</formula>
    </cfRule>
    <cfRule type="cellIs" dxfId="84" priority="3" stopIfTrue="1" operator="equal">
      <formula>37277</formula>
    </cfRule>
  </conditionalFormatting>
  <conditionalFormatting sqref="D22 D17:D19">
    <cfRule type="cellIs" dxfId="83" priority="4" stopIfTrue="1" operator="equal">
      <formula>0</formula>
    </cfRule>
    <cfRule type="cellIs" dxfId="82" priority="5" stopIfTrue="1" operator="equal">
      <formula>37622</formula>
    </cfRule>
  </conditionalFormatting>
  <conditionalFormatting sqref="J15:J21 D15:D21">
    <cfRule type="cellIs" dxfId="81" priority="6" stopIfTrue="1" operator="equal">
      <formula>38173</formula>
    </cfRule>
  </conditionalFormatting>
  <dataValidations count="2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E15:F23 S23 M23 G23 Y23 W15:X23 K15:L23 Q15:R23 AB15:AC23">
      <formula1>1</formula1>
    </dataValidation>
    <dataValidation type="list" allowBlank="1" showInputMessage="1" showErrorMessage="1" errorTitle="Invalid Leave Code" error="Please select a valid leave code" promptTitle="Leave Code" sqref="H23 Z23 T23 N23">
      <formula1>#REF!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5"/>
  <dimension ref="B1:AI56"/>
  <sheetViews>
    <sheetView zoomScaleNormal="100" zoomScaleSheetLayoutView="100" workbookViewId="0">
      <selection activeCell="AB17" sqref="AB17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.5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332031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40051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40081</v>
      </c>
      <c r="AD4" s="363"/>
    </row>
    <row r="5" spans="2:35" ht="16.5" customHeight="1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40056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tr">
        <f>IF($Y$36=0,"","You must enter a valid leave code directly to the right of all leave taken.")</f>
        <v/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173"/>
      <c r="E15" s="2"/>
      <c r="F15" s="2"/>
      <c r="G15" s="366"/>
      <c r="H15" s="367"/>
      <c r="I15" s="24"/>
      <c r="J15" s="159">
        <v>40055</v>
      </c>
      <c r="K15" s="2"/>
      <c r="L15" s="2"/>
      <c r="M15" s="366"/>
      <c r="N15" s="367"/>
      <c r="O15" s="24"/>
      <c r="P15" s="159">
        <v>40062</v>
      </c>
      <c r="Q15" s="2"/>
      <c r="R15" s="2"/>
      <c r="S15" s="366"/>
      <c r="T15" s="367"/>
      <c r="U15" s="24"/>
      <c r="V15" s="159">
        <v>40069</v>
      </c>
      <c r="W15" s="2"/>
      <c r="X15" s="2"/>
      <c r="Y15" s="108"/>
      <c r="Z15" s="109"/>
      <c r="AA15" s="159">
        <v>40076</v>
      </c>
      <c r="AB15" s="113"/>
      <c r="AC15" s="113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173"/>
      <c r="E16" s="2"/>
      <c r="F16" s="2"/>
      <c r="G16" s="366"/>
      <c r="H16" s="367"/>
      <c r="I16" s="24"/>
      <c r="J16" s="159">
        <v>40056</v>
      </c>
      <c r="K16" s="82"/>
      <c r="L16" s="82"/>
      <c r="M16" s="366"/>
      <c r="N16" s="367"/>
      <c r="O16" s="24"/>
      <c r="P16" s="349">
        <v>40063</v>
      </c>
      <c r="Q16" s="82"/>
      <c r="R16" s="82"/>
      <c r="S16" s="366"/>
      <c r="T16" s="367"/>
      <c r="U16" s="24"/>
      <c r="V16" s="159">
        <v>40070</v>
      </c>
      <c r="W16" s="82"/>
      <c r="X16" s="82"/>
      <c r="Y16" s="108"/>
      <c r="Z16" s="109"/>
      <c r="AA16" s="159">
        <v>40077</v>
      </c>
      <c r="AB16" s="114"/>
      <c r="AC16" s="114"/>
      <c r="AD16" s="193"/>
      <c r="AE16" s="130"/>
      <c r="AF16" s="91"/>
    </row>
    <row r="17" spans="2:32" s="23" customFormat="1" ht="15.75" customHeight="1">
      <c r="B17" s="23">
        <v>3</v>
      </c>
      <c r="C17" s="169" t="s">
        <v>9</v>
      </c>
      <c r="D17" s="173"/>
      <c r="E17" s="2"/>
      <c r="F17" s="2"/>
      <c r="G17" s="366"/>
      <c r="H17" s="367"/>
      <c r="I17" s="24"/>
      <c r="J17" s="159">
        <v>40057</v>
      </c>
      <c r="K17" s="82"/>
      <c r="L17" s="82"/>
      <c r="M17" s="366"/>
      <c r="N17" s="367"/>
      <c r="O17" s="24"/>
      <c r="P17" s="159">
        <v>40064</v>
      </c>
      <c r="Q17" s="82"/>
      <c r="R17" s="82"/>
      <c r="S17" s="366"/>
      <c r="T17" s="367"/>
      <c r="U17" s="24"/>
      <c r="V17" s="159">
        <v>40071</v>
      </c>
      <c r="W17" s="82"/>
      <c r="X17" s="82"/>
      <c r="Y17" s="108"/>
      <c r="Z17" s="109"/>
      <c r="AA17" s="159">
        <v>40078</v>
      </c>
      <c r="AB17" s="114"/>
      <c r="AC17" s="114"/>
      <c r="AD17" s="193"/>
      <c r="AE17" s="130"/>
      <c r="AF17" s="91"/>
    </row>
    <row r="18" spans="2:32" s="23" customFormat="1" ht="15.75" customHeight="1">
      <c r="B18" s="23">
        <v>4</v>
      </c>
      <c r="C18" s="169" t="s">
        <v>10</v>
      </c>
      <c r="D18" s="173">
        <v>40051</v>
      </c>
      <c r="E18" s="82"/>
      <c r="F18" s="82"/>
      <c r="G18" s="366"/>
      <c r="H18" s="367"/>
      <c r="I18" s="24"/>
      <c r="J18" s="159">
        <v>40058</v>
      </c>
      <c r="K18" s="82"/>
      <c r="L18" s="82"/>
      <c r="M18" s="366"/>
      <c r="N18" s="367"/>
      <c r="O18" s="24"/>
      <c r="P18" s="159">
        <v>40065</v>
      </c>
      <c r="Q18" s="82"/>
      <c r="R18" s="82"/>
      <c r="S18" s="366"/>
      <c r="T18" s="367"/>
      <c r="U18" s="24"/>
      <c r="V18" s="159">
        <v>40072</v>
      </c>
      <c r="W18" s="82"/>
      <c r="X18" s="82"/>
      <c r="Y18" s="108"/>
      <c r="Z18" s="109"/>
      <c r="AA18" s="159">
        <v>40079</v>
      </c>
      <c r="AB18" s="200"/>
      <c r="AC18" s="200"/>
      <c r="AD18" s="193"/>
      <c r="AE18" s="130"/>
      <c r="AF18" s="91"/>
    </row>
    <row r="19" spans="2:32" s="23" customFormat="1" ht="15.75" customHeight="1">
      <c r="B19" s="23">
        <v>5</v>
      </c>
      <c r="C19" s="169" t="s">
        <v>11</v>
      </c>
      <c r="D19" s="173">
        <v>40052</v>
      </c>
      <c r="E19" s="82"/>
      <c r="F19" s="82"/>
      <c r="G19" s="366"/>
      <c r="H19" s="367"/>
      <c r="I19" s="24"/>
      <c r="J19" s="159">
        <v>40059</v>
      </c>
      <c r="K19" s="82"/>
      <c r="L19" s="82"/>
      <c r="M19" s="366"/>
      <c r="N19" s="367"/>
      <c r="O19" s="24"/>
      <c r="P19" s="159">
        <v>40066</v>
      </c>
      <c r="Q19" s="82"/>
      <c r="R19" s="82"/>
      <c r="S19" s="366"/>
      <c r="T19" s="367"/>
      <c r="U19" s="24"/>
      <c r="V19" s="159">
        <v>40073</v>
      </c>
      <c r="W19" s="82"/>
      <c r="X19" s="82"/>
      <c r="Y19" s="108"/>
      <c r="Z19" s="109"/>
      <c r="AA19" s="159">
        <v>40080</v>
      </c>
      <c r="AB19" s="200"/>
      <c r="AC19" s="200"/>
      <c r="AD19" s="193"/>
      <c r="AE19" s="130"/>
      <c r="AF19" s="91"/>
    </row>
    <row r="20" spans="2:32" s="23" customFormat="1" ht="15.75" customHeight="1">
      <c r="B20" s="23">
        <v>6</v>
      </c>
      <c r="C20" s="169" t="s">
        <v>12</v>
      </c>
      <c r="D20" s="173">
        <v>40053</v>
      </c>
      <c r="E20" s="82"/>
      <c r="F20" s="82"/>
      <c r="G20" s="366"/>
      <c r="H20" s="367"/>
      <c r="I20" s="24"/>
      <c r="J20" s="159">
        <v>40060</v>
      </c>
      <c r="K20" s="82"/>
      <c r="L20" s="82"/>
      <c r="M20" s="366"/>
      <c r="N20" s="367"/>
      <c r="O20" s="24"/>
      <c r="P20" s="159">
        <v>40067</v>
      </c>
      <c r="Q20" s="82"/>
      <c r="R20" s="82"/>
      <c r="S20" s="366"/>
      <c r="T20" s="367"/>
      <c r="U20" s="24"/>
      <c r="V20" s="159">
        <v>40074</v>
      </c>
      <c r="W20" s="82"/>
      <c r="X20" s="82"/>
      <c r="Y20" s="108"/>
      <c r="Z20" s="109"/>
      <c r="AA20" s="159">
        <v>40081</v>
      </c>
      <c r="AB20" s="200"/>
      <c r="AC20" s="200"/>
      <c r="AD20" s="193"/>
      <c r="AE20" s="130"/>
      <c r="AF20" s="91"/>
    </row>
    <row r="21" spans="2:32" s="23" customFormat="1" ht="15.75" customHeight="1" thickBot="1">
      <c r="B21" s="23">
        <v>7</v>
      </c>
      <c r="C21" s="170" t="s">
        <v>13</v>
      </c>
      <c r="D21" s="173">
        <v>40054</v>
      </c>
      <c r="E21" s="2"/>
      <c r="F21" s="2"/>
      <c r="G21" s="366"/>
      <c r="H21" s="367"/>
      <c r="I21" s="25"/>
      <c r="J21" s="159">
        <v>40061</v>
      </c>
      <c r="K21" s="2"/>
      <c r="L21" s="2"/>
      <c r="M21" s="366"/>
      <c r="N21" s="367"/>
      <c r="O21" s="25"/>
      <c r="P21" s="159">
        <v>40068</v>
      </c>
      <c r="Q21" s="2"/>
      <c r="R21" s="2"/>
      <c r="S21" s="366"/>
      <c r="T21" s="367"/>
      <c r="U21" s="35"/>
      <c r="V21" s="159">
        <v>40075</v>
      </c>
      <c r="W21" s="2"/>
      <c r="X21" s="2"/>
      <c r="Y21" s="108"/>
      <c r="Z21" s="109"/>
      <c r="AA21" s="105">
        <f>IF(AA20=0,0,IF(AA20+1&gt;ToAugust,0,AA20+1))</f>
        <v>0</v>
      </c>
      <c r="AB21" s="3"/>
      <c r="AC21" s="3"/>
      <c r="AD21" s="193"/>
      <c r="AE21" s="130"/>
      <c r="AF21" s="91"/>
    </row>
    <row r="22" spans="2:32" s="23" customFormat="1" ht="15.75" customHeight="1" thickBot="1">
      <c r="C22" s="171"/>
      <c r="D22" s="99"/>
      <c r="E22" s="100"/>
      <c r="F22" s="101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103">
        <f>IF(AF28=0,0,IF(AF28+1&gt;ToAugust,0,AF28+1))</f>
        <v>0</v>
      </c>
      <c r="AB22" s="131"/>
      <c r="AC22" s="101"/>
      <c r="AD22" s="194"/>
      <c r="AE22" s="130"/>
      <c r="AF22" s="91"/>
    </row>
    <row r="23" spans="2:32" s="23" customFormat="1" ht="15.75" customHeight="1" thickBot="1">
      <c r="C23" s="38"/>
      <c r="D23" s="39"/>
      <c r="E23" s="40"/>
      <c r="F23" s="40"/>
      <c r="G23" s="40"/>
      <c r="H23" s="40"/>
      <c r="I23" s="41"/>
      <c r="J23" s="39"/>
      <c r="K23" s="40"/>
      <c r="L23" s="40"/>
      <c r="M23" s="40"/>
      <c r="N23" s="40"/>
      <c r="O23" s="41"/>
      <c r="P23" s="39"/>
      <c r="Q23" s="40"/>
      <c r="R23" s="40"/>
      <c r="S23" s="40"/>
      <c r="T23" s="40"/>
      <c r="U23" s="41"/>
      <c r="V23" s="39"/>
      <c r="W23" s="40"/>
      <c r="X23" s="40"/>
      <c r="Y23" s="40"/>
      <c r="Z23" s="40"/>
      <c r="AA23" s="39" t="s">
        <v>70</v>
      </c>
      <c r="AB23" s="40"/>
      <c r="AC23" s="40"/>
      <c r="AD23" s="130"/>
      <c r="AE23" s="130"/>
    </row>
    <row r="24" spans="2:32" s="23" customFormat="1" ht="15.75" customHeight="1" thickBot="1">
      <c r="C24" s="174" t="s">
        <v>16</v>
      </c>
      <c r="D24" s="175"/>
      <c r="E24" s="84">
        <f>SUM(E15:E23)</f>
        <v>0</v>
      </c>
      <c r="F24" s="85">
        <f>SUM(F15:F23)</f>
        <v>0</v>
      </c>
      <c r="G24" s="30"/>
      <c r="I24" s="26"/>
      <c r="J24" s="27"/>
      <c r="K24" s="89">
        <f>SUM(K15:K23)</f>
        <v>0</v>
      </c>
      <c r="L24" s="85">
        <f>SUM(L15:L23)</f>
        <v>0</v>
      </c>
      <c r="M24" s="116"/>
      <c r="Q24" s="84">
        <f>SUM(Q15:Q23)</f>
        <v>0</v>
      </c>
      <c r="R24" s="85">
        <f>SUM(R15:R23)</f>
        <v>0</v>
      </c>
      <c r="S24" s="30"/>
      <c r="T24" s="26"/>
      <c r="U24" s="26"/>
      <c r="W24" s="89">
        <f>SUM(W15:W23)</f>
        <v>0</v>
      </c>
      <c r="X24" s="85">
        <f>SUM(X15:X23)</f>
        <v>0</v>
      </c>
      <c r="Y24" s="30"/>
      <c r="AA24" s="44">
        <f>SUM(AB22:AB23)</f>
        <v>0</v>
      </c>
      <c r="AB24" s="85">
        <f>SUM(AB15:AB23)</f>
        <v>0</v>
      </c>
      <c r="AC24" s="85">
        <f>SUM(AC15:AC21)</f>
        <v>0</v>
      </c>
      <c r="AD24" s="30"/>
      <c r="AE24" s="45">
        <f>SUM(AC22,AC23)</f>
        <v>0</v>
      </c>
    </row>
    <row r="25" spans="2:32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</row>
    <row r="26" spans="2:32" s="23" customFormat="1" ht="15.75" customHeight="1">
      <c r="E26" s="24"/>
      <c r="F26" s="29"/>
      <c r="G26" s="24"/>
      <c r="H26" s="24"/>
      <c r="I26" s="24"/>
      <c r="J26" s="24"/>
      <c r="K26" s="29"/>
      <c r="M26" s="124"/>
    </row>
    <row r="27" spans="2:32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2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2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2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2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2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SUMIF($H$15:$H$23,"",$G$15:$G$23)+SUMIF($N$15:$N$23,"",$M$15:$M$23)+SUMIF($T$15:$T$23,"",$S$15:$S$23)+SUMIF($Z$15:$Z$23,"",$Y$15:$Y$23)+SUMIF($AE$15:$AE$23,"",$AD$15:$AD$23)</f>
        <v>0</v>
      </c>
    </row>
    <row r="37" spans="3:31">
      <c r="C37" s="4" t="s">
        <v>76</v>
      </c>
      <c r="T37" s="32"/>
      <c r="W37" s="42"/>
      <c r="Y37" s="12">
        <f>SUMIF($H$15:$H$23,#REF!,$G$15:$G$23)+SUMIF($N$15:$N$23,#REF!,$M$15:$M$23)+SUMIF($T$15:$T$23,#REF!,$S$15:$S$23)+SUMIF($Z$15:$Z$23,#REF!,$Y$15:$Y$23)+SUMIF($AE$15:$AE$23,#REF!,$AD$15:$AD$23)</f>
        <v>0</v>
      </c>
    </row>
    <row r="38" spans="3:31">
      <c r="Y38" s="12">
        <f>SUMIF($H$15:$H$23,#REF!,$G$15:$G$23)+SUMIF($N$15:$N$23,#REF!,$M$15:$M$23)+SUMIF($T$15:$T$23,#REF!,$S$15:$S$23)+SUMIF($Z$15:$Z$23,#REF!,$Y$15:$Y$23)+SUMIF($AE$15:$AE$23,#REF!,$AD$15:$AD$23)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SUMIF($H$15:$H$23,#REF!,$G$15:$G$23)+SUMIF($N$15:$N$23,#REF!,$M$15:$M$23)+SUMIF($T$15:$T$23,#REF!,$S$15:$S$23)+SUMIF($Z$15:$Z$23,#REF!,$Y$15:$Y$23)+SUMIF($AE$15:$AE$23,#REF!,$AD$15:$AD$23)</f>
        <v>0</v>
      </c>
      <c r="AE39" s="22"/>
    </row>
    <row r="40" spans="3:31">
      <c r="V40" s="133"/>
      <c r="W40" s="134"/>
      <c r="X40" s="134"/>
      <c r="Y40" s="135">
        <f>SUMIF($H$15:$H$23,#REF!,$G$15:$G$23)+SUMIF($N$15:$N$23,#REF!,$M$15:$M$23)+SUMIF($T$15:$T$23,#REF!,$S$15:$S$23)+SUMIF($Z$15:$Z$23,#REF!,$Y$15:$Y$23)+SUMIF($AE$15:$AE$23,#REF!,$AD$15:$AD$23)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61</v>
      </c>
      <c r="V41" s="137"/>
      <c r="W41" s="22"/>
      <c r="X41" s="22"/>
      <c r="Y41" s="138">
        <f>SUMIF($H$15:$H$23,#REF!,$G$15:$G$23)+SUMIF($N$15:$N$23,#REF!,$M$15:$M$23)+SUMIF($T$15:$T$23,#REF!,$S$15:$S$23)+SUMIF($Z$15:$Z$23,#REF!,$Y$15:$Y$23)+SUMIF($AE$15:$AE$23,#REF!,$AD$15:$AD$23)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SUMIF($H$15:$H$23,#REF!,$G$15:$G$23)+SUMIF($N$15:$N$23,#REF!,$M$15:$M$23)+SUMIF($T$15:$T$23,#REF!,$S$15:$S$23)+SUMIF($Z$15:$Z$23,#REF!,$Y$15:$Y$23)+SUMIF($AE$15:$AE$23,#REF!,$AD$15:$AD$23)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SUMIF($H$15:$H$23,#REF!,$G$15:$G$23)+SUMIF($N$15:$N$23,#REF!,$M$15:$M$23)+SUMIF($T$15:$T$23,#REF!,$S$15:$S$23)+SUMIF($Z$15:$Z$23,#REF!,$Y$15:$Y$23)+SUMIF($AE$15:$AE$23,#REF!,$AD$15:$AD$23)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SUMIF($H$15:$H$23,#REF!,$G$15:$G$23)+SUMIF($N$15:$N$23,#REF!,$M$15:$M$23)+SUMIF($T$15:$T$23,#REF!,$S$15:$S$23)+SUMIF($Z$15:$Z$23,#REF!,$Y$15:$Y$23)+SUMIF($AE$15:$AE$23,#REF!,$AD$15:$AD$23)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SUMIF($H$15:$H$23,#REF!,$G$15:$G$23)+SUMIF($N$15:$N$23,#REF!,$M$15:$M$23)+SUMIF($T$15:$T$23,#REF!,$S$15:$S$23)+SUMIF($Z$15:$Z$23,#REF!,$Y$15:$Y$23)+SUMIF($AE$15:$AE$23,#REF!,$AD$15:$AD$23)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SUMIF($H$15:$H$23,#REF!,$G$15:$G$23)+SUMIF($N$15:$N$23,#REF!,$M$15:$M$23)+SUMIF($T$15:$T$23,#REF!,$S$15:$S$23)+SUMIF($Z$15:$Z$23,#REF!,$Y$15:$Y$23)+SUMIF($AE$15:$AE$23,#REF!,$AD$15:$AD$23)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SUMIF($H$15:$H$23,#REF!,$G$15:$G$23)+SUMIF($N$15:$N$23,#REF!,$M$15:$M$23)+SUMIF($T$15:$T$23,#REF!,$S$15:$S$23)+SUMIF($Z$15:$Z$23,#REF!,$Y$15:$Y$23)+SUMIF($AE$15:$AE$23,#REF!,$AD$15:$AD$23)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SUMIF($H$15:$H$23,#REF!,$G$15:$G$23)+SUMIF($N$15:$N$23,#REF!,$M$15:$M$23)+SUMIF($T$15:$T$23,#REF!,$S$15:$S$23)+SUMIF($Z$15:$Z$23,#REF!,$Y$15:$Y$23)+SUMIF($AE$15:$AE$23,#REF!,$AD$15:$AD$23)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SUMIF($H$15:$H$23,#REF!,$G$15:$G$23)+SUMIF($N$15:$N$23,#REF!,$M$15:$M$23)+SUMIF($T$15:$T$23,#REF!,$S$15:$S$23)+SUMIF($Z$15:$Z$23,#REF!,$Y$15:$Y$23)+SUMIF($AE$15:$AE$23,#REF!,$AD$15:$AD$23)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  <row r="56" spans="3:31"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</row>
  </sheetData>
  <mergeCells count="52">
    <mergeCell ref="AA12:AD12"/>
    <mergeCell ref="AA9:AD9"/>
    <mergeCell ref="E28:K28"/>
    <mergeCell ref="V9:X9"/>
    <mergeCell ref="Y9:Z9"/>
    <mergeCell ref="Y8:Z8"/>
    <mergeCell ref="G9:L9"/>
    <mergeCell ref="M9:S9"/>
    <mergeCell ref="C12:H12"/>
    <mergeCell ref="E6:S6"/>
    <mergeCell ref="G8:L8"/>
    <mergeCell ref="M8:S8"/>
    <mergeCell ref="AB2:AD2"/>
    <mergeCell ref="AC3:AD3"/>
    <mergeCell ref="AC4:AD4"/>
    <mergeCell ref="C8:F9"/>
    <mergeCell ref="V7:Z7"/>
    <mergeCell ref="V8:X8"/>
    <mergeCell ref="AA7:AD7"/>
    <mergeCell ref="AA8:AD8"/>
    <mergeCell ref="J12:N12"/>
    <mergeCell ref="P12:T12"/>
    <mergeCell ref="V12:Z12"/>
    <mergeCell ref="G13:H22"/>
    <mergeCell ref="M13:N22"/>
    <mergeCell ref="S13:T22"/>
    <mergeCell ref="Y13:Z13"/>
    <mergeCell ref="C32:D34"/>
    <mergeCell ref="E32:F32"/>
    <mergeCell ref="G32:I32"/>
    <mergeCell ref="J32:K32"/>
    <mergeCell ref="L29:M29"/>
    <mergeCell ref="E30:F31"/>
    <mergeCell ref="G30:I31"/>
    <mergeCell ref="J30:K31"/>
    <mergeCell ref="L30:M31"/>
    <mergeCell ref="C29:D31"/>
    <mergeCell ref="E29:F29"/>
    <mergeCell ref="G29:I29"/>
    <mergeCell ref="J29:K29"/>
    <mergeCell ref="L32:M32"/>
    <mergeCell ref="E33:F34"/>
    <mergeCell ref="G33:I34"/>
    <mergeCell ref="J33:K34"/>
    <mergeCell ref="L33:M34"/>
    <mergeCell ref="C39:R39"/>
    <mergeCell ref="C45:O45"/>
    <mergeCell ref="Q45:R45"/>
    <mergeCell ref="T56:AE56"/>
    <mergeCell ref="C53:R55"/>
    <mergeCell ref="C50:O50"/>
    <mergeCell ref="Q50:R50"/>
  </mergeCells>
  <phoneticPr fontId="1" type="noConversion"/>
  <conditionalFormatting sqref="D15:D21 J15:J22 P15:P21 V15:V22 AA15:AA23">
    <cfRule type="cellIs" dxfId="80" priority="1" stopIfTrue="1" operator="equal">
      <formula>0</formula>
    </cfRule>
  </conditionalFormatting>
  <conditionalFormatting sqref="P22">
    <cfRule type="cellIs" dxfId="79" priority="2" stopIfTrue="1" operator="equal">
      <formula>0</formula>
    </cfRule>
    <cfRule type="cellIs" dxfId="78" priority="3" stopIfTrue="1" operator="equal">
      <formula>37277</formula>
    </cfRule>
  </conditionalFormatting>
  <conditionalFormatting sqref="D22">
    <cfRule type="cellIs" dxfId="77" priority="4" stopIfTrue="1" operator="equal">
      <formula>0</formula>
    </cfRule>
    <cfRule type="cellIs" dxfId="76" priority="5" stopIfTrue="1" operator="equal">
      <formula>37622</formula>
    </cfRule>
  </conditionalFormatting>
  <dataValidations count="2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E15:F23 Y23 S23 G23 M23 W15:X23 K15:L23 Q15:R23 AB15:AC23">
      <formula1>1</formula1>
    </dataValidation>
    <dataValidation type="list" allowBlank="1" showInputMessage="1" showErrorMessage="1" errorTitle="Invalid Leave Code" error="Please select a valid leave code" promptTitle="Leave Code" sqref="H23 T23 Z23 N23">
      <formula1>#REF!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6"/>
  <dimension ref="B1:AI56"/>
  <sheetViews>
    <sheetView view="pageBreakPreview" zoomScaleNormal="75" zoomScaleSheetLayoutView="100" workbookViewId="0">
      <selection activeCell="K16" sqref="K16:L16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.5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16406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40082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40111</v>
      </c>
      <c r="AD4" s="363"/>
    </row>
    <row r="5" spans="2:35" ht="16.5" customHeight="1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40086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tr">
        <f>IF($Y$36=0,"","You must enter a valid leave code directly to the right of all leave taken.")</f>
        <v/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159">
        <v>40111</v>
      </c>
      <c r="E15" s="2"/>
      <c r="F15" s="2"/>
      <c r="G15" s="366"/>
      <c r="H15" s="367"/>
      <c r="I15" s="24"/>
      <c r="J15" s="159">
        <v>40083</v>
      </c>
      <c r="K15" s="2"/>
      <c r="L15" s="2"/>
      <c r="M15" s="366"/>
      <c r="N15" s="367"/>
      <c r="O15" s="24"/>
      <c r="P15" s="159">
        <v>40090</v>
      </c>
      <c r="Q15" s="2"/>
      <c r="R15" s="2"/>
      <c r="S15" s="366"/>
      <c r="T15" s="367"/>
      <c r="U15" s="24"/>
      <c r="V15" s="159">
        <v>40097</v>
      </c>
      <c r="W15" s="2"/>
      <c r="X15" s="2"/>
      <c r="Y15" s="108"/>
      <c r="Z15" s="109"/>
      <c r="AA15" s="159">
        <v>40104</v>
      </c>
      <c r="AB15" s="113"/>
      <c r="AC15" s="113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97"/>
      <c r="E16" s="98"/>
      <c r="F16" s="98"/>
      <c r="G16" s="366"/>
      <c r="H16" s="367"/>
      <c r="I16" s="24"/>
      <c r="J16" s="159">
        <v>40084</v>
      </c>
      <c r="K16" s="82"/>
      <c r="L16" s="82"/>
      <c r="M16" s="366"/>
      <c r="N16" s="367"/>
      <c r="O16" s="24"/>
      <c r="P16" s="159">
        <v>40091</v>
      </c>
      <c r="Q16" s="82"/>
      <c r="R16" s="82"/>
      <c r="S16" s="366"/>
      <c r="T16" s="367"/>
      <c r="U16" s="24"/>
      <c r="V16" s="159">
        <v>40098</v>
      </c>
      <c r="W16" s="82"/>
      <c r="X16" s="82"/>
      <c r="Y16" s="108"/>
      <c r="Z16" s="109"/>
      <c r="AA16" s="159">
        <v>40105</v>
      </c>
      <c r="AB16" s="114"/>
      <c r="AC16" s="114"/>
      <c r="AD16" s="193"/>
      <c r="AE16" s="130"/>
      <c r="AF16" s="91"/>
    </row>
    <row r="17" spans="2:35" s="23" customFormat="1" ht="15.75" customHeight="1">
      <c r="B17" s="23">
        <v>3</v>
      </c>
      <c r="C17" s="169" t="s">
        <v>9</v>
      </c>
      <c r="D17" s="159"/>
      <c r="E17" s="98"/>
      <c r="F17" s="98"/>
      <c r="G17" s="366"/>
      <c r="H17" s="367"/>
      <c r="I17" s="24"/>
      <c r="J17" s="159">
        <v>40085</v>
      </c>
      <c r="K17" s="82"/>
      <c r="L17" s="82"/>
      <c r="M17" s="366"/>
      <c r="N17" s="367"/>
      <c r="O17" s="24"/>
      <c r="P17" s="159">
        <v>40092</v>
      </c>
      <c r="Q17" s="82"/>
      <c r="R17" s="82"/>
      <c r="S17" s="366"/>
      <c r="T17" s="367"/>
      <c r="U17" s="24"/>
      <c r="V17" s="159">
        <v>40099</v>
      </c>
      <c r="W17" s="82"/>
      <c r="X17" s="82"/>
      <c r="Y17" s="108"/>
      <c r="Z17" s="109"/>
      <c r="AA17" s="159">
        <v>40106</v>
      </c>
      <c r="AB17" s="114"/>
      <c r="AC17" s="114"/>
      <c r="AD17" s="193"/>
      <c r="AE17" s="130"/>
      <c r="AF17" s="91"/>
    </row>
    <row r="18" spans="2:35" s="23" customFormat="1" ht="15.75" customHeight="1">
      <c r="B18" s="23">
        <v>4</v>
      </c>
      <c r="C18" s="169" t="s">
        <v>10</v>
      </c>
      <c r="D18" s="159"/>
      <c r="E18" s="98"/>
      <c r="F18" s="98"/>
      <c r="G18" s="366"/>
      <c r="H18" s="367"/>
      <c r="I18" s="24"/>
      <c r="J18" s="159">
        <v>40086</v>
      </c>
      <c r="K18" s="82"/>
      <c r="L18" s="82"/>
      <c r="M18" s="366"/>
      <c r="N18" s="367"/>
      <c r="O18" s="24"/>
      <c r="P18" s="159">
        <v>40093</v>
      </c>
      <c r="Q18" s="82"/>
      <c r="R18" s="82"/>
      <c r="S18" s="366"/>
      <c r="T18" s="367"/>
      <c r="U18" s="24"/>
      <c r="V18" s="159">
        <v>40100</v>
      </c>
      <c r="W18" s="82"/>
      <c r="X18" s="82"/>
      <c r="Y18" s="108"/>
      <c r="Z18" s="109"/>
      <c r="AA18" s="159">
        <v>40107</v>
      </c>
      <c r="AB18" s="114"/>
      <c r="AC18" s="114"/>
      <c r="AD18" s="193"/>
      <c r="AE18" s="130"/>
      <c r="AF18" s="198"/>
      <c r="AG18" s="124"/>
      <c r="AH18" s="124"/>
      <c r="AI18" s="124"/>
    </row>
    <row r="19" spans="2:35" s="23" customFormat="1" ht="15.75" customHeight="1">
      <c r="B19" s="23">
        <v>5</v>
      </c>
      <c r="C19" s="169" t="s">
        <v>11</v>
      </c>
      <c r="D19" s="159"/>
      <c r="E19" s="98"/>
      <c r="F19" s="98"/>
      <c r="G19" s="366"/>
      <c r="H19" s="367"/>
      <c r="I19" s="24"/>
      <c r="J19" s="159">
        <v>40087</v>
      </c>
      <c r="K19" s="82"/>
      <c r="L19" s="82"/>
      <c r="M19" s="366"/>
      <c r="N19" s="367"/>
      <c r="O19" s="24"/>
      <c r="P19" s="159">
        <v>40094</v>
      </c>
      <c r="Q19" s="82"/>
      <c r="R19" s="82"/>
      <c r="S19" s="366"/>
      <c r="T19" s="367"/>
      <c r="U19" s="24"/>
      <c r="V19" s="159">
        <v>40101</v>
      </c>
      <c r="W19" s="82"/>
      <c r="X19" s="82"/>
      <c r="Y19" s="108"/>
      <c r="Z19" s="109"/>
      <c r="AA19" s="159">
        <v>40108</v>
      </c>
      <c r="AB19" s="114"/>
      <c r="AC19" s="114"/>
      <c r="AD19" s="193"/>
      <c r="AE19" s="130"/>
      <c r="AF19" s="198"/>
      <c r="AG19" s="124"/>
      <c r="AH19" s="124"/>
      <c r="AI19" s="124"/>
    </row>
    <row r="20" spans="2:35" s="23" customFormat="1" ht="15.75" customHeight="1">
      <c r="B20" s="23">
        <v>6</v>
      </c>
      <c r="C20" s="169" t="s">
        <v>12</v>
      </c>
      <c r="D20" s="159"/>
      <c r="E20" s="98"/>
      <c r="F20" s="98"/>
      <c r="G20" s="366"/>
      <c r="H20" s="367"/>
      <c r="I20" s="24"/>
      <c r="J20" s="159">
        <v>40088</v>
      </c>
      <c r="K20" s="82"/>
      <c r="L20" s="82"/>
      <c r="M20" s="366"/>
      <c r="N20" s="367"/>
      <c r="O20" s="24"/>
      <c r="P20" s="159">
        <v>40095</v>
      </c>
      <c r="Q20" s="82"/>
      <c r="R20" s="82"/>
      <c r="S20" s="366"/>
      <c r="T20" s="367"/>
      <c r="U20" s="24"/>
      <c r="V20" s="159">
        <v>40102</v>
      </c>
      <c r="W20" s="82"/>
      <c r="X20" s="82"/>
      <c r="Y20" s="108"/>
      <c r="Z20" s="109"/>
      <c r="AA20" s="159">
        <v>40109</v>
      </c>
      <c r="AB20" s="200"/>
      <c r="AC20" s="200"/>
      <c r="AD20" s="193"/>
      <c r="AE20" s="130"/>
      <c r="AF20" s="198"/>
      <c r="AG20" s="124"/>
      <c r="AH20" s="124"/>
      <c r="AI20" s="124"/>
    </row>
    <row r="21" spans="2:35" s="23" customFormat="1" ht="15.75" customHeight="1" thickBot="1">
      <c r="B21" s="23">
        <v>7</v>
      </c>
      <c r="C21" s="170" t="s">
        <v>13</v>
      </c>
      <c r="D21" s="159">
        <v>40082</v>
      </c>
      <c r="E21" s="2"/>
      <c r="F21" s="2"/>
      <c r="G21" s="366"/>
      <c r="H21" s="367"/>
      <c r="I21" s="25"/>
      <c r="J21" s="159">
        <v>40089</v>
      </c>
      <c r="K21" s="2"/>
      <c r="L21" s="2"/>
      <c r="M21" s="366"/>
      <c r="N21" s="367"/>
      <c r="O21" s="25"/>
      <c r="P21" s="159">
        <v>40096</v>
      </c>
      <c r="Q21" s="2"/>
      <c r="R21" s="2"/>
      <c r="S21" s="366"/>
      <c r="T21" s="367"/>
      <c r="U21" s="35"/>
      <c r="V21" s="159">
        <v>40103</v>
      </c>
      <c r="W21" s="2"/>
      <c r="X21" s="2"/>
      <c r="Y21" s="108"/>
      <c r="Z21" s="109"/>
      <c r="AA21" s="159">
        <v>40110</v>
      </c>
      <c r="AB21" s="3"/>
      <c r="AC21" s="3"/>
      <c r="AD21" s="193"/>
      <c r="AE21" s="130"/>
      <c r="AF21" s="198"/>
      <c r="AG21" s="124"/>
      <c r="AH21" s="124"/>
      <c r="AI21" s="124"/>
    </row>
    <row r="22" spans="2:35" s="23" customFormat="1" ht="15.75" customHeight="1" thickBot="1">
      <c r="C22" s="171"/>
      <c r="D22" s="99"/>
      <c r="E22" s="100"/>
      <c r="F22" s="101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103"/>
      <c r="AB22" s="131"/>
      <c r="AC22" s="101"/>
      <c r="AD22" s="194"/>
      <c r="AE22" s="130"/>
      <c r="AF22" s="198"/>
      <c r="AG22" s="124"/>
      <c r="AH22" s="124"/>
      <c r="AI22" s="124"/>
    </row>
    <row r="23" spans="2:35" s="23" customFormat="1" ht="15.75" customHeight="1" thickBot="1">
      <c r="C23" s="38"/>
      <c r="D23" s="39"/>
      <c r="E23" s="40"/>
      <c r="F23" s="40"/>
      <c r="G23" s="40"/>
      <c r="H23" s="40"/>
      <c r="I23" s="41"/>
      <c r="J23" s="39"/>
      <c r="K23" s="40"/>
      <c r="L23" s="40"/>
      <c r="M23" s="40"/>
      <c r="N23" s="40"/>
      <c r="O23" s="41"/>
      <c r="P23" s="39"/>
      <c r="Q23" s="40"/>
      <c r="R23" s="40"/>
      <c r="S23" s="40"/>
      <c r="T23" s="40"/>
      <c r="U23" s="41"/>
      <c r="V23" s="39"/>
      <c r="W23" s="40"/>
      <c r="X23" s="40"/>
      <c r="Y23" s="40"/>
      <c r="Z23" s="40"/>
      <c r="AA23" s="39" t="s">
        <v>70</v>
      </c>
      <c r="AB23" s="40"/>
      <c r="AC23" s="40"/>
      <c r="AD23" s="130"/>
      <c r="AE23" s="130"/>
      <c r="AF23" s="124"/>
      <c r="AG23" s="124"/>
      <c r="AH23" s="124"/>
      <c r="AI23" s="124"/>
    </row>
    <row r="24" spans="2:35" s="23" customFormat="1" ht="15.75" customHeight="1" thickBot="1">
      <c r="C24" s="174" t="s">
        <v>16</v>
      </c>
      <c r="D24" s="175"/>
      <c r="E24" s="84">
        <f>SUM(E15:E23)</f>
        <v>0</v>
      </c>
      <c r="F24" s="85">
        <f>SUM(F15:F23)</f>
        <v>0</v>
      </c>
      <c r="G24" s="30"/>
      <c r="I24" s="26"/>
      <c r="J24" s="27"/>
      <c r="K24" s="89">
        <f>SUM(K15:K23)</f>
        <v>0</v>
      </c>
      <c r="L24" s="85">
        <f>SUM(L15:L23)</f>
        <v>0</v>
      </c>
      <c r="M24" s="116"/>
      <c r="Q24" s="84">
        <f>SUM(Q15:Q23)</f>
        <v>0</v>
      </c>
      <c r="R24" s="85">
        <f>SUM(R15:R23)</f>
        <v>0</v>
      </c>
      <c r="S24" s="30"/>
      <c r="T24" s="26"/>
      <c r="U24" s="26"/>
      <c r="W24" s="89">
        <f>SUM(W15:W23)</f>
        <v>0</v>
      </c>
      <c r="X24" s="85">
        <f>SUM(X15:X23)</f>
        <v>0</v>
      </c>
      <c r="Y24" s="30"/>
      <c r="AA24" s="44">
        <f>SUM(AB22:AB23)</f>
        <v>0</v>
      </c>
      <c r="AB24" s="85">
        <f>SUM(AB15:AB21)</f>
        <v>0</v>
      </c>
      <c r="AC24" s="85">
        <f>SUM(AC15:AC21)</f>
        <v>0</v>
      </c>
      <c r="AD24" s="30"/>
      <c r="AE24" s="45">
        <f>SUM(AC22,AC23)</f>
        <v>0</v>
      </c>
      <c r="AF24" s="124"/>
      <c r="AG24" s="124"/>
      <c r="AH24" s="124"/>
      <c r="AI24" s="124"/>
    </row>
    <row r="25" spans="2:35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  <c r="AF25" s="121"/>
      <c r="AG25" s="121"/>
      <c r="AH25" s="121"/>
      <c r="AI25" s="121"/>
    </row>
    <row r="26" spans="2:35" s="23" customFormat="1" ht="15.75" customHeight="1">
      <c r="E26" s="24"/>
      <c r="F26" s="43"/>
      <c r="M26" s="124"/>
    </row>
    <row r="27" spans="2:35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5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5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5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5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5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SUMIF($H$15:$H$23,"",$G$15:$G$23)+SUMIF($N$15:$N$23,"",$M$15:$M$23)+SUMIF($T$15:$T$23,"",$S$15:$S$23)+SUMIF($Z$15:$Z$23,"",$Y$15:$Y$23)+SUMIF($AE$15:$AE$23,"",$AD$15:$AD$23)</f>
        <v>0</v>
      </c>
    </row>
    <row r="37" spans="3:31">
      <c r="C37" s="4" t="s">
        <v>76</v>
      </c>
      <c r="T37" s="32"/>
      <c r="W37" s="42"/>
      <c r="Y37" s="12">
        <f>SUMIF($H$15:$H$23,#REF!,$G$15:$G$23)+SUMIF($N$15:$N$23,#REF!,$M$15:$M$23)+SUMIF($T$15:$T$23,#REF!,$S$15:$S$23)+SUMIF($Z$15:$Z$23,#REF!,$Y$15:$Y$23)+SUMIF($AE$15:$AE$23,#REF!,$AD$15:$AD$23)</f>
        <v>0</v>
      </c>
    </row>
    <row r="38" spans="3:31">
      <c r="Y38" s="12">
        <f>SUMIF($H$15:$H$23,#REF!,$G$15:$G$23)+SUMIF($N$15:$N$23,#REF!,$M$15:$M$23)+SUMIF($T$15:$T$23,#REF!,$S$15:$S$23)+SUMIF($Z$15:$Z$23,#REF!,$Y$15:$Y$23)+SUMIF($AE$15:$AE$23,#REF!,$AD$15:$AD$23)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SUMIF($H$15:$H$23,#REF!,$G$15:$G$23)+SUMIF($N$15:$N$23,#REF!,$M$15:$M$23)+SUMIF($T$15:$T$23,#REF!,$S$15:$S$23)+SUMIF($Z$15:$Z$23,#REF!,$Y$15:$Y$23)+SUMIF($AE$15:$AE$23,#REF!,$AD$15:$AD$23)</f>
        <v>0</v>
      </c>
      <c r="AE39" s="22"/>
    </row>
    <row r="40" spans="3:31">
      <c r="V40" s="133"/>
      <c r="W40" s="134"/>
      <c r="X40" s="134"/>
      <c r="Y40" s="135">
        <f>SUMIF($H$15:$H$23,#REF!,$G$15:$G$23)+SUMIF($N$15:$N$23,#REF!,$M$15:$M$23)+SUMIF($T$15:$T$23,#REF!,$S$15:$S$23)+SUMIF($Z$15:$Z$23,#REF!,$Y$15:$Y$23)+SUMIF($AE$15:$AE$23,#REF!,$AD$15:$AD$23)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61</v>
      </c>
      <c r="V41" s="137"/>
      <c r="W41" s="22"/>
      <c r="X41" s="22"/>
      <c r="Y41" s="138">
        <f>SUMIF($H$15:$H$23,#REF!,$G$15:$G$23)+SUMIF($N$15:$N$23,#REF!,$M$15:$M$23)+SUMIF($T$15:$T$23,#REF!,$S$15:$S$23)+SUMIF($Z$15:$Z$23,#REF!,$Y$15:$Y$23)+SUMIF($AE$15:$AE$23,#REF!,$AD$15:$AD$23)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SUMIF($H$15:$H$23,#REF!,$G$15:$G$23)+SUMIF($N$15:$N$23,#REF!,$M$15:$M$23)+SUMIF($T$15:$T$23,#REF!,$S$15:$S$23)+SUMIF($Z$15:$Z$23,#REF!,$Y$15:$Y$23)+SUMIF($AE$15:$AE$23,#REF!,$AD$15:$AD$23)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SUMIF($H$15:$H$23,#REF!,$G$15:$G$23)+SUMIF($N$15:$N$23,#REF!,$M$15:$M$23)+SUMIF($T$15:$T$23,#REF!,$S$15:$S$23)+SUMIF($Z$15:$Z$23,#REF!,$Y$15:$Y$23)+SUMIF($AE$15:$AE$23,#REF!,$AD$15:$AD$23)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SUMIF($H$15:$H$23,#REF!,$G$15:$G$23)+SUMIF($N$15:$N$23,#REF!,$M$15:$M$23)+SUMIF($T$15:$T$23,#REF!,$S$15:$S$23)+SUMIF($Z$15:$Z$23,#REF!,$Y$15:$Y$23)+SUMIF($AE$15:$AE$23,#REF!,$AD$15:$AD$23)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SUMIF($H$15:$H$23,#REF!,$G$15:$G$23)+SUMIF($N$15:$N$23,#REF!,$M$15:$M$23)+SUMIF($T$15:$T$23,#REF!,$S$15:$S$23)+SUMIF($Z$15:$Z$23,#REF!,$Y$15:$Y$23)+SUMIF($AE$15:$AE$23,#REF!,$AD$15:$AD$23)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SUMIF($H$15:$H$23,#REF!,$G$15:$G$23)+SUMIF($N$15:$N$23,#REF!,$M$15:$M$23)+SUMIF($T$15:$T$23,#REF!,$S$15:$S$23)+SUMIF($Z$15:$Z$23,#REF!,$Y$15:$Y$23)+SUMIF($AE$15:$AE$23,#REF!,$AD$15:$AD$23)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SUMIF($H$15:$H$23,#REF!,$G$15:$G$23)+SUMIF($N$15:$N$23,#REF!,$M$15:$M$23)+SUMIF($T$15:$T$23,#REF!,$S$15:$S$23)+SUMIF($Z$15:$Z$23,#REF!,$Y$15:$Y$23)+SUMIF($AE$15:$AE$23,#REF!,$AD$15:$AD$23)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SUMIF($H$15:$H$23,#REF!,$G$15:$G$23)+SUMIF($N$15:$N$23,#REF!,$M$15:$M$23)+SUMIF($T$15:$T$23,#REF!,$S$15:$S$23)+SUMIF($Z$15:$Z$23,#REF!,$Y$15:$Y$23)+SUMIF($AE$15:$AE$23,#REF!,$AD$15:$AD$23)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SUMIF($H$15:$H$23,#REF!,$G$15:$G$23)+SUMIF($N$15:$N$23,#REF!,$M$15:$M$23)+SUMIF($T$15:$T$23,#REF!,$S$15:$S$23)+SUMIF($Z$15:$Z$23,#REF!,$Y$15:$Y$23)+SUMIF($AE$15:$AE$23,#REF!,$AD$15:$AD$23)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  <row r="56" spans="3:31"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</row>
  </sheetData>
  <mergeCells count="52">
    <mergeCell ref="AA12:AD12"/>
    <mergeCell ref="AA9:AD9"/>
    <mergeCell ref="E28:K28"/>
    <mergeCell ref="V9:X9"/>
    <mergeCell ref="Y9:Z9"/>
    <mergeCell ref="Y8:Z8"/>
    <mergeCell ref="G9:L9"/>
    <mergeCell ref="M9:S9"/>
    <mergeCell ref="C12:H12"/>
    <mergeCell ref="E6:S6"/>
    <mergeCell ref="G8:L8"/>
    <mergeCell ref="M8:S8"/>
    <mergeCell ref="AB2:AD2"/>
    <mergeCell ref="AC3:AD3"/>
    <mergeCell ref="AC4:AD4"/>
    <mergeCell ref="C8:F9"/>
    <mergeCell ref="V7:Z7"/>
    <mergeCell ref="V8:X8"/>
    <mergeCell ref="AA7:AD7"/>
    <mergeCell ref="AA8:AD8"/>
    <mergeCell ref="J12:N12"/>
    <mergeCell ref="P12:T12"/>
    <mergeCell ref="V12:Z12"/>
    <mergeCell ref="G13:H22"/>
    <mergeCell ref="M13:N22"/>
    <mergeCell ref="S13:T22"/>
    <mergeCell ref="Y13:Z13"/>
    <mergeCell ref="C32:D34"/>
    <mergeCell ref="E32:F32"/>
    <mergeCell ref="G32:I32"/>
    <mergeCell ref="J32:K32"/>
    <mergeCell ref="L29:M29"/>
    <mergeCell ref="E30:F31"/>
    <mergeCell ref="G30:I31"/>
    <mergeCell ref="J30:K31"/>
    <mergeCell ref="L30:M31"/>
    <mergeCell ref="C29:D31"/>
    <mergeCell ref="E29:F29"/>
    <mergeCell ref="G29:I29"/>
    <mergeCell ref="J29:K29"/>
    <mergeCell ref="L32:M32"/>
    <mergeCell ref="E33:F34"/>
    <mergeCell ref="G33:I34"/>
    <mergeCell ref="J33:K34"/>
    <mergeCell ref="L33:M34"/>
    <mergeCell ref="C39:R39"/>
    <mergeCell ref="C45:O45"/>
    <mergeCell ref="Q45:R45"/>
    <mergeCell ref="T56:AE56"/>
    <mergeCell ref="C53:R55"/>
    <mergeCell ref="C50:O50"/>
    <mergeCell ref="Q50:R50"/>
  </mergeCells>
  <phoneticPr fontId="1" type="noConversion"/>
  <conditionalFormatting sqref="D15 J22 P15:P21 V15:V22 AA15:AA23">
    <cfRule type="cellIs" dxfId="75" priority="2" stopIfTrue="1" operator="equal">
      <formula>0</formula>
    </cfRule>
  </conditionalFormatting>
  <conditionalFormatting sqref="P22">
    <cfRule type="cellIs" dxfId="74" priority="3" stopIfTrue="1" operator="equal">
      <formula>0</formula>
    </cfRule>
    <cfRule type="cellIs" dxfId="73" priority="4" stopIfTrue="1" operator="equal">
      <formula>37277</formula>
    </cfRule>
  </conditionalFormatting>
  <conditionalFormatting sqref="D16:D22">
    <cfRule type="cellIs" dxfId="72" priority="5" stopIfTrue="1" operator="equal">
      <formula>0</formula>
    </cfRule>
    <cfRule type="cellIs" dxfId="71" priority="6" stopIfTrue="1" operator="equal">
      <formula>37622</formula>
    </cfRule>
  </conditionalFormatting>
  <conditionalFormatting sqref="J15:J21">
    <cfRule type="cellIs" dxfId="70" priority="7" stopIfTrue="1" operator="equal">
      <formula>38236</formula>
    </cfRule>
  </conditionalFormatting>
  <conditionalFormatting sqref="D15">
    <cfRule type="cellIs" dxfId="69" priority="1" stopIfTrue="1" operator="equal">
      <formula>38236</formula>
    </cfRule>
  </conditionalFormatting>
  <dataValidations count="2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AB15:AC23 Y23 S23 G23 M23 W15:X23 K15:L23 Q15:R23 E15:F23">
      <formula1>1</formula1>
    </dataValidation>
    <dataValidation type="list" allowBlank="1" showInputMessage="1" showErrorMessage="1" errorTitle="Invalid Leave Code" error="Please select a valid leave code" promptTitle="Leave Code" sqref="H23 T23 Z23 N23">
      <formula1>#REF!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7"/>
  <dimension ref="B1:AI56"/>
  <sheetViews>
    <sheetView zoomScaleNormal="100" zoomScaleSheetLayoutView="100" workbookViewId="0">
      <selection activeCell="AA20" sqref="AA20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332031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40112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40142</v>
      </c>
      <c r="AD4" s="363"/>
    </row>
    <row r="5" spans="2:35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40117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customHeight="1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">
        <v>70</v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159"/>
      <c r="E15" s="113"/>
      <c r="F15" s="113"/>
      <c r="G15" s="366"/>
      <c r="H15" s="367"/>
      <c r="I15" s="24"/>
      <c r="J15" s="159">
        <v>40118</v>
      </c>
      <c r="K15" s="2"/>
      <c r="L15" s="2"/>
      <c r="M15" s="366"/>
      <c r="N15" s="367"/>
      <c r="O15" s="24"/>
      <c r="P15" s="159">
        <v>40125</v>
      </c>
      <c r="Q15" s="2"/>
      <c r="R15" s="2"/>
      <c r="S15" s="366"/>
      <c r="T15" s="367"/>
      <c r="U15" s="24"/>
      <c r="V15" s="159">
        <v>40132</v>
      </c>
      <c r="W15" s="2"/>
      <c r="X15" s="2"/>
      <c r="Y15" s="108"/>
      <c r="Z15" s="109"/>
      <c r="AA15" s="159">
        <v>40139</v>
      </c>
      <c r="AB15" s="2"/>
      <c r="AC15" s="2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159">
        <v>40112</v>
      </c>
      <c r="E16" s="201"/>
      <c r="F16" s="201"/>
      <c r="G16" s="366"/>
      <c r="H16" s="367"/>
      <c r="I16" s="24"/>
      <c r="J16" s="159">
        <v>40119</v>
      </c>
      <c r="K16" s="82"/>
      <c r="L16" s="82"/>
      <c r="M16" s="366"/>
      <c r="N16" s="367"/>
      <c r="O16" s="24"/>
      <c r="P16" s="159">
        <v>40126</v>
      </c>
      <c r="Q16" s="82"/>
      <c r="R16" s="82"/>
      <c r="S16" s="366"/>
      <c r="T16" s="367"/>
      <c r="U16" s="24"/>
      <c r="V16" s="159">
        <v>40133</v>
      </c>
      <c r="W16" s="82"/>
      <c r="X16" s="82"/>
      <c r="Y16" s="108"/>
      <c r="Z16" s="109"/>
      <c r="AA16" s="159">
        <v>40140</v>
      </c>
      <c r="AB16" s="82"/>
      <c r="AC16" s="82"/>
      <c r="AD16" s="193"/>
      <c r="AE16" s="130"/>
      <c r="AF16" s="91"/>
    </row>
    <row r="17" spans="2:32" s="23" customFormat="1" ht="15.75" customHeight="1">
      <c r="B17" s="23">
        <v>3</v>
      </c>
      <c r="C17" s="169" t="s">
        <v>9</v>
      </c>
      <c r="D17" s="159">
        <v>40113</v>
      </c>
      <c r="E17" s="201"/>
      <c r="F17" s="201"/>
      <c r="G17" s="366"/>
      <c r="H17" s="367"/>
      <c r="I17" s="24"/>
      <c r="J17" s="159">
        <v>40120</v>
      </c>
      <c r="K17" s="82"/>
      <c r="L17" s="82"/>
      <c r="M17" s="366"/>
      <c r="N17" s="367"/>
      <c r="O17" s="24"/>
      <c r="P17" s="159">
        <v>40127</v>
      </c>
      <c r="Q17" s="82"/>
      <c r="R17" s="82"/>
      <c r="S17" s="366"/>
      <c r="T17" s="367"/>
      <c r="U17" s="24"/>
      <c r="V17" s="159">
        <v>40134</v>
      </c>
      <c r="W17" s="82"/>
      <c r="X17" s="82"/>
      <c r="Y17" s="108"/>
      <c r="Z17" s="109"/>
      <c r="AA17" s="159">
        <v>40141</v>
      </c>
      <c r="AB17" s="82"/>
      <c r="AC17" s="82"/>
      <c r="AD17" s="193"/>
      <c r="AE17" s="130"/>
      <c r="AF17" s="91"/>
    </row>
    <row r="18" spans="2:32" s="23" customFormat="1" ht="15.75" customHeight="1">
      <c r="B18" s="23">
        <v>4</v>
      </c>
      <c r="C18" s="169" t="s">
        <v>10</v>
      </c>
      <c r="D18" s="159">
        <v>40114</v>
      </c>
      <c r="E18" s="201"/>
      <c r="F18" s="201"/>
      <c r="G18" s="366"/>
      <c r="H18" s="367"/>
      <c r="I18" s="24"/>
      <c r="J18" s="159">
        <v>40121</v>
      </c>
      <c r="K18" s="82"/>
      <c r="L18" s="82"/>
      <c r="M18" s="366"/>
      <c r="N18" s="367"/>
      <c r="O18" s="24"/>
      <c r="P18" s="159">
        <v>40128</v>
      </c>
      <c r="Q18" s="82"/>
      <c r="R18" s="82"/>
      <c r="S18" s="366"/>
      <c r="T18" s="367"/>
      <c r="U18" s="24"/>
      <c r="V18" s="159">
        <v>40135</v>
      </c>
      <c r="W18" s="82"/>
      <c r="X18" s="82"/>
      <c r="Y18" s="108"/>
      <c r="Z18" s="109"/>
      <c r="AA18" s="159">
        <v>40142</v>
      </c>
      <c r="AB18" s="82"/>
      <c r="AC18" s="82"/>
      <c r="AD18" s="193"/>
      <c r="AE18" s="130"/>
      <c r="AF18" s="91"/>
    </row>
    <row r="19" spans="2:32" s="23" customFormat="1" ht="15.75" customHeight="1">
      <c r="B19" s="23">
        <v>5</v>
      </c>
      <c r="C19" s="169" t="s">
        <v>11</v>
      </c>
      <c r="D19" s="159">
        <v>40115</v>
      </c>
      <c r="E19" s="201"/>
      <c r="F19" s="201"/>
      <c r="G19" s="366"/>
      <c r="H19" s="367"/>
      <c r="I19" s="24"/>
      <c r="J19" s="159">
        <v>40122</v>
      </c>
      <c r="K19" s="82"/>
      <c r="L19" s="82"/>
      <c r="M19" s="366"/>
      <c r="N19" s="367"/>
      <c r="O19" s="24"/>
      <c r="P19" s="159">
        <v>40129</v>
      </c>
      <c r="Q19" s="82"/>
      <c r="R19" s="82"/>
      <c r="S19" s="366"/>
      <c r="T19" s="367"/>
      <c r="U19" s="24"/>
      <c r="V19" s="159">
        <v>40136</v>
      </c>
      <c r="W19" s="82"/>
      <c r="X19" s="82"/>
      <c r="Y19" s="108"/>
      <c r="Z19" s="109"/>
      <c r="AA19" s="351"/>
      <c r="AB19" s="2"/>
      <c r="AC19" s="352"/>
      <c r="AD19" s="109"/>
      <c r="AE19" s="130"/>
      <c r="AF19" s="91"/>
    </row>
    <row r="20" spans="2:32" s="23" customFormat="1" ht="15.75" customHeight="1">
      <c r="B20" s="23">
        <v>6</v>
      </c>
      <c r="C20" s="169" t="s">
        <v>12</v>
      </c>
      <c r="D20" s="159">
        <v>40116</v>
      </c>
      <c r="E20" s="201"/>
      <c r="F20" s="201"/>
      <c r="G20" s="366"/>
      <c r="H20" s="367"/>
      <c r="I20" s="24"/>
      <c r="J20" s="159">
        <v>40123</v>
      </c>
      <c r="K20" s="82"/>
      <c r="L20" s="82"/>
      <c r="M20" s="366"/>
      <c r="N20" s="367"/>
      <c r="O20" s="24"/>
      <c r="P20" s="159">
        <v>40130</v>
      </c>
      <c r="Q20" s="82"/>
      <c r="R20" s="82"/>
      <c r="S20" s="366"/>
      <c r="T20" s="367"/>
      <c r="U20" s="24"/>
      <c r="V20" s="159">
        <v>40137</v>
      </c>
      <c r="W20" s="82"/>
      <c r="X20" s="82"/>
      <c r="Y20" s="108"/>
      <c r="Z20" s="109"/>
      <c r="AA20" s="351"/>
      <c r="AB20" s="2"/>
      <c r="AC20" s="2"/>
      <c r="AD20" s="109"/>
      <c r="AE20" s="130"/>
      <c r="AF20" s="91"/>
    </row>
    <row r="21" spans="2:32" s="23" customFormat="1" ht="15.75" customHeight="1" thickBot="1">
      <c r="B21" s="23">
        <v>7</v>
      </c>
      <c r="C21" s="170" t="s">
        <v>13</v>
      </c>
      <c r="D21" s="159">
        <v>40117</v>
      </c>
      <c r="E21" s="2"/>
      <c r="F21" s="2"/>
      <c r="G21" s="366"/>
      <c r="H21" s="367"/>
      <c r="I21" s="25"/>
      <c r="J21" s="159">
        <v>40124</v>
      </c>
      <c r="K21" s="2"/>
      <c r="L21" s="2"/>
      <c r="M21" s="366"/>
      <c r="N21" s="367"/>
      <c r="O21" s="25"/>
      <c r="P21" s="159">
        <v>40131</v>
      </c>
      <c r="Q21" s="2"/>
      <c r="R21" s="2"/>
      <c r="S21" s="366"/>
      <c r="T21" s="367"/>
      <c r="U21" s="35"/>
      <c r="V21" s="159">
        <v>40138</v>
      </c>
      <c r="W21" s="2"/>
      <c r="X21" s="2"/>
      <c r="Y21" s="108"/>
      <c r="Z21" s="109"/>
      <c r="AA21" s="351"/>
      <c r="AB21" s="2"/>
      <c r="AC21" s="2"/>
      <c r="AD21" s="109"/>
      <c r="AE21" s="130"/>
      <c r="AF21" s="91"/>
    </row>
    <row r="22" spans="2:32" s="23" customFormat="1" ht="15.75" customHeight="1" thickBot="1">
      <c r="C22" s="171"/>
      <c r="D22" s="99"/>
      <c r="E22" s="100"/>
      <c r="F22" s="101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351"/>
      <c r="AB22" s="100"/>
      <c r="AC22" s="101"/>
      <c r="AD22" s="111"/>
      <c r="AE22" s="130"/>
      <c r="AF22" s="91"/>
    </row>
    <row r="23" spans="2:32" s="23" customFormat="1" ht="15.75" customHeight="1" thickBot="1">
      <c r="C23" s="38"/>
      <c r="D23" s="39"/>
      <c r="E23" s="40"/>
      <c r="F23" s="40"/>
      <c r="G23" s="40"/>
      <c r="H23" s="40"/>
      <c r="I23" s="41"/>
      <c r="J23" s="39"/>
      <c r="K23" s="40"/>
      <c r="L23" s="40"/>
      <c r="M23" s="40"/>
      <c r="N23" s="40"/>
      <c r="O23" s="41"/>
      <c r="P23" s="39"/>
      <c r="Q23" s="40"/>
      <c r="R23" s="40"/>
      <c r="S23" s="40"/>
      <c r="T23" s="40"/>
      <c r="U23" s="41"/>
      <c r="V23" s="39"/>
      <c r="W23" s="40"/>
      <c r="X23" s="40"/>
      <c r="Y23" s="40"/>
      <c r="Z23" s="40"/>
      <c r="AA23" s="39" t="s">
        <v>70</v>
      </c>
      <c r="AB23" s="40"/>
      <c r="AC23" s="40"/>
      <c r="AD23" s="130"/>
      <c r="AE23" s="130"/>
    </row>
    <row r="24" spans="2:32" s="23" customFormat="1" ht="15.75" customHeight="1" thickBot="1">
      <c r="C24" s="174" t="s">
        <v>16</v>
      </c>
      <c r="D24" s="175"/>
      <c r="E24" s="84">
        <f>SUM(E15:E22)</f>
        <v>0</v>
      </c>
      <c r="F24" s="85">
        <f>SUM(F15:F22)</f>
        <v>0</v>
      </c>
      <c r="G24" s="30"/>
      <c r="I24" s="26"/>
      <c r="J24" s="27"/>
      <c r="K24" s="89">
        <f>SUM(K15:K22)</f>
        <v>0</v>
      </c>
      <c r="L24" s="85">
        <f>SUM(L15:L22)</f>
        <v>0</v>
      </c>
      <c r="M24" s="116"/>
      <c r="Q24" s="84">
        <f>SUM(Q15:Q22)</f>
        <v>0</v>
      </c>
      <c r="R24" s="85">
        <f>SUM(R15:R22)</f>
        <v>0</v>
      </c>
      <c r="S24" s="30"/>
      <c r="T24" s="26"/>
      <c r="U24" s="26"/>
      <c r="W24" s="89">
        <f>SUM(W15:W22)</f>
        <v>0</v>
      </c>
      <c r="X24" s="85">
        <f>SUM(X15:X22)</f>
        <v>0</v>
      </c>
      <c r="Y24" s="30"/>
      <c r="AA24" s="44">
        <f>SUM(AB22:AB22)</f>
        <v>0</v>
      </c>
      <c r="AB24" s="85">
        <f>SUM(AB15:AB21)</f>
        <v>0</v>
      </c>
      <c r="AC24" s="85">
        <f>SUM(AC15:AC21)</f>
        <v>0</v>
      </c>
      <c r="AD24" s="30"/>
      <c r="AE24" s="45"/>
    </row>
    <row r="25" spans="2:32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</row>
    <row r="26" spans="2:32" s="23" customFormat="1" ht="15.75" customHeight="1">
      <c r="D26" s="43"/>
      <c r="M26" s="124"/>
    </row>
    <row r="27" spans="2:32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2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2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2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2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2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SUMIF($H$15:$H$22,"",$G$15:$G$22)+SUMIF($N$15:$N$22,"",$M$15:$M$22)+SUMIF($T$15:$T$22,"",$S$15:$S$22)+SUMIF($Z$15:$Z$22,"",$Y$15:$Y$22)+SUMIF($AE$15:$AE$22,"",$AD$15:$AD$22)</f>
        <v>0</v>
      </c>
    </row>
    <row r="37" spans="3:31">
      <c r="C37" s="4" t="s">
        <v>76</v>
      </c>
      <c r="T37" s="32"/>
      <c r="W37" s="42"/>
      <c r="Y37" s="12">
        <f>SUMIF($H$15:$H$22,#REF!,$G$15:$G$22)+SUMIF($N$15:$N$22,#REF!,$M$15:$M$22)+SUMIF($T$15:$T$22,#REF!,$S$15:$S$22)+SUMIF($Z$15:$Z$22,#REF!,$Y$15:$Y$22)+SUMIF($AE$15:$AE$22,#REF!,$AD$15:$AD$22)</f>
        <v>0</v>
      </c>
    </row>
    <row r="38" spans="3:31">
      <c r="Y38" s="12">
        <f>SUMIF($H$15:$H$22,#REF!,$G$15:$G$22)+SUMIF($N$15:$N$22,#REF!,$M$15:$M$22)+SUMIF($T$15:$T$22,#REF!,$S$15:$S$22)+SUMIF($Z$15:$Z$22,#REF!,$Y$15:$Y$22)+SUMIF($AE$15:$AE$22,#REF!,$AD$15:$AD$22)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SUMIF($H$15:$H$22,#REF!,$G$15:$G$22)+SUMIF($N$15:$N$22,#REF!,$M$15:$M$22)+SUMIF($T$15:$T$22,#REF!,$S$15:$S$22)+SUMIF($Z$15:$Z$22,#REF!,$Y$15:$Y$22)+SUMIF($AE$15:$AE$22,#REF!,$AD$15:$AD$22)</f>
        <v>0</v>
      </c>
      <c r="AE39" s="22"/>
    </row>
    <row r="40" spans="3:31">
      <c r="V40" s="133"/>
      <c r="W40" s="134"/>
      <c r="X40" s="134"/>
      <c r="Y40" s="135">
        <f>SUMIF($H$15:$H$22,#REF!,$G$15:$G$22)+SUMIF($N$15:$N$22,#REF!,$M$15:$M$22)+SUMIF($T$15:$T$22,#REF!,$S$15:$S$22)+SUMIF($Z$15:$Z$22,#REF!,$Y$15:$Y$22)+SUMIF($AE$15:$AE$22,#REF!,$AD$15:$AD$22)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62</v>
      </c>
      <c r="V41" s="137"/>
      <c r="W41" s="22"/>
      <c r="X41" s="22"/>
      <c r="Y41" s="138">
        <f>SUMIF($H$15:$H$22,#REF!,$G$15:$G$22)+SUMIF($N$15:$N$22,#REF!,$M$15:$M$22)+SUMIF($T$15:$T$22,#REF!,$S$15:$S$22)+SUMIF($Z$15:$Z$22,#REF!,$Y$15:$Y$22)+SUMIF($AE$15:$AE$22,#REF!,$AD$15:$AD$22)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SUMIF($H$15:$H$22,#REF!,$G$15:$G$22)+SUMIF($N$15:$N$22,#REF!,$M$15:$M$22)+SUMIF($T$15:$T$22,#REF!,$S$15:$S$22)+SUMIF($Z$15:$Z$22,#REF!,$Y$15:$Y$22)+SUMIF($AE$15:$AE$22,#REF!,$AD$15:$AD$22)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SUMIF($H$15:$H$22,#REF!,$G$15:$G$22)+SUMIF($N$15:$N$22,#REF!,$M$15:$M$22)+SUMIF($T$15:$T$22,#REF!,$S$15:$S$22)+SUMIF($Z$15:$Z$22,#REF!,$Y$15:$Y$22)+SUMIF($AE$15:$AE$22,#REF!,$AD$15:$AD$22)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SUMIF($H$15:$H$22,#REF!,$G$15:$G$22)+SUMIF($N$15:$N$22,#REF!,$M$15:$M$22)+SUMIF($T$15:$T$22,#REF!,$S$15:$S$22)+SUMIF($Z$15:$Z$22,#REF!,$Y$15:$Y$22)+SUMIF($AE$15:$AE$22,#REF!,$AD$15:$AD$22)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SUMIF($H$15:$H$22,#REF!,$G$15:$G$22)+SUMIF($N$15:$N$22,#REF!,$M$15:$M$22)+SUMIF($T$15:$T$22,#REF!,$S$15:$S$22)+SUMIF($Z$15:$Z$22,#REF!,$Y$15:$Y$22)+SUMIF($AE$15:$AE$22,#REF!,$AD$15:$AD$22)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SUMIF($H$15:$H$22,#REF!,$G$15:$G$22)+SUMIF($N$15:$N$22,#REF!,$M$15:$M$22)+SUMIF($T$15:$T$22,#REF!,$S$15:$S$22)+SUMIF($Z$15:$Z$22,#REF!,$Y$15:$Y$22)+SUMIF($AE$15:$AE$22,#REF!,$AD$15:$AD$22)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SUMIF($H$15:$H$22,#REF!,$G$15:$G$22)+SUMIF($N$15:$N$22,#REF!,$M$15:$M$22)+SUMIF($T$15:$T$22,#REF!,$S$15:$S$22)+SUMIF($Z$15:$Z$22,#REF!,$Y$15:$Y$22)+SUMIF($AE$15:$AE$22,#REF!,$AD$15:$AD$22)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SUMIF($H$15:$H$22,#REF!,$G$15:$G$22)+SUMIF($N$15:$N$22,#REF!,$M$15:$M$22)+SUMIF($T$15:$T$22,#REF!,$S$15:$S$22)+SUMIF($Z$15:$Z$22,#REF!,$Y$15:$Y$22)+SUMIF($AE$15:$AE$22,#REF!,$AD$15:$AD$22)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SUMIF($H$15:$H$22,#REF!,$G$15:$G$22)+SUMIF($N$15:$N$22,#REF!,$M$15:$M$22)+SUMIF($T$15:$T$22,#REF!,$S$15:$S$22)+SUMIF($Z$15:$Z$22,#REF!,$Y$15:$Y$22)+SUMIF($AE$15:$AE$22,#REF!,$AD$15:$AD$22)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  <row r="56" spans="3:31"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</row>
  </sheetData>
  <mergeCells count="52">
    <mergeCell ref="AA12:AD12"/>
    <mergeCell ref="Y9:Z9"/>
    <mergeCell ref="AB2:AD2"/>
    <mergeCell ref="AC3:AD3"/>
    <mergeCell ref="AC4:AD4"/>
    <mergeCell ref="E6:S6"/>
    <mergeCell ref="Y13:Z13"/>
    <mergeCell ref="C8:F9"/>
    <mergeCell ref="C12:H12"/>
    <mergeCell ref="J12:N12"/>
    <mergeCell ref="P12:T12"/>
    <mergeCell ref="AA7:AD7"/>
    <mergeCell ref="AA8:AD8"/>
    <mergeCell ref="V12:Z12"/>
    <mergeCell ref="G13:H22"/>
    <mergeCell ref="M13:N22"/>
    <mergeCell ref="S13:T22"/>
    <mergeCell ref="AA9:AD9"/>
    <mergeCell ref="L30:M31"/>
    <mergeCell ref="V7:Z7"/>
    <mergeCell ref="G8:L8"/>
    <mergeCell ref="M8:S8"/>
    <mergeCell ref="G9:L9"/>
    <mergeCell ref="M9:S9"/>
    <mergeCell ref="V9:X9"/>
    <mergeCell ref="L29:M29"/>
    <mergeCell ref="V8:X8"/>
    <mergeCell ref="Y8:Z8"/>
    <mergeCell ref="E28:K28"/>
    <mergeCell ref="C32:D34"/>
    <mergeCell ref="E32:F32"/>
    <mergeCell ref="G32:I32"/>
    <mergeCell ref="J32:K32"/>
    <mergeCell ref="C29:D31"/>
    <mergeCell ref="E29:F29"/>
    <mergeCell ref="G29:I29"/>
    <mergeCell ref="J29:K29"/>
    <mergeCell ref="E30:F31"/>
    <mergeCell ref="G30:I31"/>
    <mergeCell ref="J30:K31"/>
    <mergeCell ref="L32:M32"/>
    <mergeCell ref="E33:F34"/>
    <mergeCell ref="G33:I34"/>
    <mergeCell ref="J33:K34"/>
    <mergeCell ref="L33:M34"/>
    <mergeCell ref="C39:R39"/>
    <mergeCell ref="C45:O45"/>
    <mergeCell ref="Q45:R45"/>
    <mergeCell ref="T56:AE56"/>
    <mergeCell ref="C53:R55"/>
    <mergeCell ref="C50:O50"/>
    <mergeCell ref="Q50:R50"/>
  </mergeCells>
  <phoneticPr fontId="1" type="noConversion"/>
  <conditionalFormatting sqref="J15:J22 P15:P21 V15:V22 AA15:AA23">
    <cfRule type="cellIs" dxfId="68" priority="5" stopIfTrue="1" operator="equal">
      <formula>0</formula>
    </cfRule>
  </conditionalFormatting>
  <conditionalFormatting sqref="P22">
    <cfRule type="cellIs" dxfId="67" priority="6" stopIfTrue="1" operator="equal">
      <formula>0</formula>
    </cfRule>
    <cfRule type="cellIs" dxfId="66" priority="7" stopIfTrue="1" operator="equal">
      <formula>37277</formula>
    </cfRule>
  </conditionalFormatting>
  <conditionalFormatting sqref="D15:D22">
    <cfRule type="cellIs" dxfId="65" priority="8" stopIfTrue="1" operator="equal">
      <formula>0</formula>
    </cfRule>
    <cfRule type="cellIs" dxfId="64" priority="9" stopIfTrue="1" operator="equal">
      <formula>37622</formula>
    </cfRule>
  </conditionalFormatting>
  <conditionalFormatting sqref="D15">
    <cfRule type="cellIs" dxfId="63" priority="4" stopIfTrue="1" operator="equal">
      <formula>0</formula>
    </cfRule>
  </conditionalFormatting>
  <conditionalFormatting sqref="AA19:AA22">
    <cfRule type="cellIs" dxfId="62" priority="2" stopIfTrue="1" operator="equal">
      <formula>0</formula>
    </cfRule>
    <cfRule type="cellIs" dxfId="61" priority="3" stopIfTrue="1" operator="equal">
      <formula>37622</formula>
    </cfRule>
  </conditionalFormatting>
  <conditionalFormatting sqref="AA19:AA22">
    <cfRule type="cellIs" dxfId="60" priority="1" stopIfTrue="1" operator="equal">
      <formula>0</formula>
    </cfRule>
  </conditionalFormatting>
  <dataValidations count="2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W15:X23 Y23 S23 M23 G23 E15:F23 K15:L23 Q15:R23 AB15:AC23">
      <formula1>1</formula1>
    </dataValidation>
    <dataValidation type="list" allowBlank="1" showInputMessage="1" showErrorMessage="1" errorTitle="Invalid Leave Code" error="Please select a valid leave code" promptTitle="Leave Code" sqref="Z23 T23 N23 H23">
      <formula1>#REF!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8"/>
  <dimension ref="B1:AI56"/>
  <sheetViews>
    <sheetView zoomScaleNormal="100" zoomScaleSheetLayoutView="100" workbookViewId="0">
      <selection activeCell="Z19" sqref="Z19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7.6640625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332031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40143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40172</v>
      </c>
      <c r="AD4" s="363"/>
    </row>
    <row r="5" spans="2:35" ht="16.5" customHeight="1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40147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tr">
        <f>IF($Y$36=0,"","You must enter a valid leave code directly to the right of all leave taken.")</f>
        <v/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97"/>
      <c r="E15" s="2"/>
      <c r="F15" s="2"/>
      <c r="G15" s="366"/>
      <c r="H15" s="367"/>
      <c r="I15" s="24"/>
      <c r="J15" s="159">
        <v>40146</v>
      </c>
      <c r="K15" s="2"/>
      <c r="L15" s="2"/>
      <c r="M15" s="366"/>
      <c r="N15" s="367"/>
      <c r="O15" s="24"/>
      <c r="P15" s="159">
        <v>40153</v>
      </c>
      <c r="Q15" s="2"/>
      <c r="R15" s="2"/>
      <c r="S15" s="366"/>
      <c r="T15" s="367"/>
      <c r="U15" s="24"/>
      <c r="V15" s="159">
        <v>40160</v>
      </c>
      <c r="W15" s="2"/>
      <c r="X15" s="2"/>
      <c r="Y15" s="108"/>
      <c r="Z15" s="109"/>
      <c r="AA15" s="159">
        <v>40167</v>
      </c>
      <c r="AB15" s="113"/>
      <c r="AC15" s="113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159"/>
      <c r="E16" s="2"/>
      <c r="F16" s="2"/>
      <c r="G16" s="366"/>
      <c r="H16" s="367"/>
      <c r="I16" s="24"/>
      <c r="J16" s="159">
        <v>40147</v>
      </c>
      <c r="K16" s="82"/>
      <c r="L16" s="82"/>
      <c r="M16" s="366"/>
      <c r="N16" s="367"/>
      <c r="O16" s="24"/>
      <c r="P16" s="159">
        <v>40154</v>
      </c>
      <c r="Q16" s="82"/>
      <c r="R16" s="82"/>
      <c r="S16" s="366"/>
      <c r="T16" s="367"/>
      <c r="U16" s="24"/>
      <c r="V16" s="159">
        <v>40161</v>
      </c>
      <c r="W16" s="82"/>
      <c r="X16" s="82"/>
      <c r="Y16" s="108"/>
      <c r="Z16" s="109"/>
      <c r="AA16" s="159">
        <v>40168</v>
      </c>
      <c r="AB16" s="199"/>
      <c r="AC16" s="199"/>
      <c r="AD16" s="193"/>
      <c r="AE16" s="130"/>
      <c r="AF16" s="91"/>
    </row>
    <row r="17" spans="2:32" s="23" customFormat="1" ht="15.75" customHeight="1">
      <c r="B17" s="23">
        <v>3</v>
      </c>
      <c r="C17" s="169" t="s">
        <v>9</v>
      </c>
      <c r="D17" s="159">
        <f>IF(WEEKDAY(FromNov)=B17,FromNov,IF(D16=0,0,D16+1))</f>
        <v>0</v>
      </c>
      <c r="E17" s="2"/>
      <c r="F17" s="2"/>
      <c r="G17" s="366"/>
      <c r="H17" s="367"/>
      <c r="I17" s="24"/>
      <c r="J17" s="159">
        <v>40148</v>
      </c>
      <c r="K17" s="82"/>
      <c r="L17" s="82"/>
      <c r="M17" s="366"/>
      <c r="N17" s="367"/>
      <c r="O17" s="24"/>
      <c r="P17" s="159">
        <v>40155</v>
      </c>
      <c r="Q17" s="82"/>
      <c r="R17" s="82"/>
      <c r="S17" s="366"/>
      <c r="T17" s="367"/>
      <c r="U17" s="24"/>
      <c r="V17" s="159">
        <v>40162</v>
      </c>
      <c r="W17" s="82"/>
      <c r="X17" s="82"/>
      <c r="Y17" s="108"/>
      <c r="Z17" s="109"/>
      <c r="AA17" s="159">
        <v>40169</v>
      </c>
      <c r="AB17" s="199"/>
      <c r="AC17" s="199"/>
      <c r="AD17" s="193"/>
      <c r="AE17" s="130"/>
      <c r="AF17" s="91"/>
    </row>
    <row r="18" spans="2:32" s="23" customFormat="1" ht="15.75" customHeight="1">
      <c r="B18" s="23">
        <v>4</v>
      </c>
      <c r="C18" s="169" t="s">
        <v>10</v>
      </c>
      <c r="D18" s="159">
        <f>IF(WEEKDAY(FromNov)=B18,FromNov,IF(D17=0,0,D17+1))</f>
        <v>0</v>
      </c>
      <c r="E18" s="82"/>
      <c r="F18" s="82"/>
      <c r="G18" s="366"/>
      <c r="H18" s="367"/>
      <c r="I18" s="24"/>
      <c r="J18" s="159">
        <v>40149</v>
      </c>
      <c r="K18" s="82"/>
      <c r="L18" s="82"/>
      <c r="M18" s="366"/>
      <c r="N18" s="367"/>
      <c r="O18" s="24"/>
      <c r="P18" s="159">
        <v>40156</v>
      </c>
      <c r="Q18" s="82"/>
      <c r="R18" s="82"/>
      <c r="S18" s="366"/>
      <c r="T18" s="367"/>
      <c r="U18" s="24"/>
      <c r="V18" s="159">
        <v>40163</v>
      </c>
      <c r="W18" s="82"/>
      <c r="X18" s="82"/>
      <c r="Y18" s="108"/>
      <c r="Z18" s="109"/>
      <c r="AA18" s="159">
        <v>40170</v>
      </c>
      <c r="AB18" s="200"/>
      <c r="AC18" s="200"/>
      <c r="AD18" s="193"/>
      <c r="AE18" s="130"/>
      <c r="AF18" s="91"/>
    </row>
    <row r="19" spans="2:32" s="23" customFormat="1" ht="15.75" customHeight="1">
      <c r="B19" s="23">
        <v>5</v>
      </c>
      <c r="C19" s="169" t="s">
        <v>11</v>
      </c>
      <c r="D19" s="204">
        <f>IF(WEEKDAY(FromNov)=B19,FromNov,IF(D18=0,0,D18+1))</f>
        <v>40143</v>
      </c>
      <c r="E19" s="82"/>
      <c r="F19" s="82"/>
      <c r="G19" s="366"/>
      <c r="H19" s="367"/>
      <c r="I19" s="24"/>
      <c r="J19" s="159">
        <v>40150</v>
      </c>
      <c r="K19" s="82"/>
      <c r="L19" s="82"/>
      <c r="M19" s="366"/>
      <c r="N19" s="367"/>
      <c r="O19" s="24"/>
      <c r="P19" s="159">
        <v>40157</v>
      </c>
      <c r="Q19" s="82"/>
      <c r="R19" s="82"/>
      <c r="S19" s="366"/>
      <c r="T19" s="367"/>
      <c r="U19" s="24"/>
      <c r="V19" s="159">
        <v>40164</v>
      </c>
      <c r="W19" s="82"/>
      <c r="X19" s="82"/>
      <c r="Y19" s="108"/>
      <c r="Z19" s="109"/>
      <c r="AA19" s="349">
        <v>40171</v>
      </c>
      <c r="AB19" s="200"/>
      <c r="AC19" s="200"/>
      <c r="AD19" s="193"/>
      <c r="AE19" s="130"/>
      <c r="AF19" s="91"/>
    </row>
    <row r="20" spans="2:32" s="23" customFormat="1" ht="15.75" customHeight="1">
      <c r="B20" s="23">
        <v>6</v>
      </c>
      <c r="C20" s="169" t="s">
        <v>12</v>
      </c>
      <c r="D20" s="204">
        <f>IF(WEEKDAY(FromNov)=B20,FromNov,IF(D19=0,0,D19+1))</f>
        <v>40144</v>
      </c>
      <c r="E20" s="82"/>
      <c r="F20" s="82"/>
      <c r="G20" s="366"/>
      <c r="H20" s="367"/>
      <c r="I20" s="24"/>
      <c r="J20" s="159">
        <v>40151</v>
      </c>
      <c r="K20" s="82"/>
      <c r="L20" s="82"/>
      <c r="M20" s="366"/>
      <c r="N20" s="367"/>
      <c r="O20" s="24"/>
      <c r="P20" s="159">
        <v>40158</v>
      </c>
      <c r="Q20" s="82"/>
      <c r="R20" s="82"/>
      <c r="S20" s="366"/>
      <c r="T20" s="367"/>
      <c r="U20" s="24"/>
      <c r="V20" s="159">
        <v>40165</v>
      </c>
      <c r="W20" s="82"/>
      <c r="X20" s="82"/>
      <c r="Y20" s="108"/>
      <c r="Z20" s="109"/>
      <c r="AA20" s="349">
        <v>40172</v>
      </c>
      <c r="AB20" s="200"/>
      <c r="AC20" s="200"/>
      <c r="AD20" s="193"/>
      <c r="AE20" s="130"/>
      <c r="AF20" s="91"/>
    </row>
    <row r="21" spans="2:32" s="23" customFormat="1" ht="15.75" customHeight="1" thickBot="1">
      <c r="B21" s="23">
        <v>7</v>
      </c>
      <c r="C21" s="170" t="s">
        <v>13</v>
      </c>
      <c r="D21" s="173">
        <f>IF(WEEKDAY(FromNov)=B21,FromNov,IF(D20=0,0,D20+1))</f>
        <v>40145</v>
      </c>
      <c r="E21" s="2"/>
      <c r="F21" s="2"/>
      <c r="G21" s="366"/>
      <c r="H21" s="367"/>
      <c r="I21" s="25"/>
      <c r="J21" s="159">
        <v>40152</v>
      </c>
      <c r="K21" s="2"/>
      <c r="L21" s="2"/>
      <c r="M21" s="366"/>
      <c r="N21" s="367"/>
      <c r="O21" s="25"/>
      <c r="P21" s="159">
        <v>40159</v>
      </c>
      <c r="Q21" s="2"/>
      <c r="R21" s="2"/>
      <c r="S21" s="366"/>
      <c r="T21" s="367"/>
      <c r="U21" s="35"/>
      <c r="V21" s="159">
        <v>40166</v>
      </c>
      <c r="W21" s="2"/>
      <c r="X21" s="2"/>
      <c r="Y21" s="108"/>
      <c r="Z21" s="109"/>
      <c r="AA21" s="97"/>
      <c r="AB21" s="2"/>
      <c r="AC21" s="2"/>
      <c r="AD21" s="193"/>
      <c r="AE21" s="130"/>
      <c r="AF21" s="91"/>
    </row>
    <row r="22" spans="2:32" s="23" customFormat="1" ht="15.75" customHeight="1" thickBot="1">
      <c r="C22" s="171"/>
      <c r="D22" s="103"/>
      <c r="E22" s="101"/>
      <c r="F22" s="101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353"/>
      <c r="AA22" s="103"/>
      <c r="AB22" s="354"/>
      <c r="AC22" s="101"/>
      <c r="AD22" s="194"/>
      <c r="AE22" s="130"/>
      <c r="AF22" s="91"/>
    </row>
    <row r="23" spans="2:32" ht="13.5" thickBot="1">
      <c r="R23" s="21" t="str">
        <f>IF($Y$36=0,"","You must enter a valid leave code directly to the right of all leave taken.")</f>
        <v/>
      </c>
      <c r="AA23" s="128" t="s">
        <v>70</v>
      </c>
      <c r="AB23" s="128"/>
      <c r="AC23" s="128"/>
      <c r="AD23" s="130"/>
      <c r="AE23" s="130"/>
    </row>
    <row r="24" spans="2:32" s="23" customFormat="1" ht="15.75" customHeight="1" thickBot="1">
      <c r="C24" s="174" t="s">
        <v>16</v>
      </c>
      <c r="D24" s="175"/>
      <c r="E24" s="84">
        <f>SUM(E15:E22)</f>
        <v>0</v>
      </c>
      <c r="F24" s="85">
        <f>SUM(F15:F22)</f>
        <v>0</v>
      </c>
      <c r="G24" s="30"/>
      <c r="I24" s="26"/>
      <c r="J24" s="27"/>
      <c r="K24" s="89">
        <f>SUM(K15:K22)</f>
        <v>0</v>
      </c>
      <c r="L24" s="85">
        <f>SUM(L15:L22)</f>
        <v>0</v>
      </c>
      <c r="M24" s="116"/>
      <c r="Q24" s="84">
        <f>SUM(Q15:Q22)</f>
        <v>0</v>
      </c>
      <c r="R24" s="85">
        <f>SUM(R15:R22)</f>
        <v>0</v>
      </c>
      <c r="S24" s="30"/>
      <c r="T24" s="26"/>
      <c r="U24" s="26"/>
      <c r="W24" s="89">
        <f>SUM(W15:W22)</f>
        <v>0</v>
      </c>
      <c r="X24" s="85">
        <f>SUM(X15:X22)</f>
        <v>0</v>
      </c>
      <c r="Y24" s="30"/>
      <c r="AA24" s="44">
        <f>SUM(AB22:AB22)</f>
        <v>0</v>
      </c>
      <c r="AB24" s="85">
        <f>SUM(AB15:AB22)</f>
        <v>0</v>
      </c>
      <c r="AC24" s="85">
        <f>SUM(AC15:AC21)</f>
        <v>0</v>
      </c>
      <c r="AD24" s="30"/>
      <c r="AE24" s="12"/>
    </row>
    <row r="25" spans="2:32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  <c r="AE25" s="43"/>
    </row>
    <row r="26" spans="2:32" s="23" customFormat="1" ht="15.75" customHeight="1">
      <c r="D26" s="4"/>
      <c r="M26" s="124"/>
    </row>
    <row r="27" spans="2:32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2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2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2" ht="11.25" customHeight="1">
      <c r="C30" s="390"/>
      <c r="D30" s="391"/>
      <c r="E30" s="394">
        <f>SUM(E24,K24,Q24,W24,AB24,AA24)</f>
        <v>0</v>
      </c>
      <c r="F30" s="395"/>
      <c r="G30" s="395">
        <f>SUM(F24,L24,R24,X24,AC24)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2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2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SUMIF($H$15:$H$22,"",$G$15:$G$22)+SUMIF($N$15:$N$22,"",$M$15:$M$22)+SUMIF($T$15:$T$22,"",$S$15:$S$22)+SUMIF($Z$15:$Z$22,"",$Y$15:$Y$22)+SUMIF($AE$15:$AE$22,"",$AD$15:$AD$22)</f>
        <v>0</v>
      </c>
    </row>
    <row r="37" spans="3:31">
      <c r="C37" s="4" t="s">
        <v>76</v>
      </c>
      <c r="T37" s="32"/>
      <c r="W37" s="42"/>
      <c r="Y37" s="12">
        <f>SUMIF($H$15:$H$22,#REF!,$G$15:$G$22)+SUMIF($N$15:$N$22,#REF!,$M$15:$M$22)+SUMIF($T$15:$T$22,#REF!,$S$15:$S$22)+SUMIF($Z$15:$Z$22,#REF!,$Y$15:$Y$22)+SUMIF($AE$15:$AE$22,#REF!,$AD$15:$AD$22)</f>
        <v>0</v>
      </c>
    </row>
    <row r="38" spans="3:31">
      <c r="Y38" s="12">
        <f>SUMIF($H$15:$H$22,#REF!,$G$15:$G$22)+SUMIF($N$15:$N$22,#REF!,$M$15:$M$22)+SUMIF($T$15:$T$22,#REF!,$S$15:$S$22)+SUMIF($Z$15:$Z$22,#REF!,$Y$15:$Y$22)+SUMIF($AE$15:$AE$22,#REF!,$AD$15:$AD$22)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SUMIF($H$15:$H$22,#REF!,$G$15:$G$22)+SUMIF($N$15:$N$22,#REF!,$M$15:$M$22)+SUMIF($T$15:$T$22,#REF!,$S$15:$S$22)+SUMIF($Z$15:$Z$22,#REF!,$Y$15:$Y$22)+SUMIF($AE$15:$AE$22,#REF!,$AD$15:$AD$22)</f>
        <v>0</v>
      </c>
      <c r="AE39" s="22"/>
    </row>
    <row r="40" spans="3:31">
      <c r="V40" s="133"/>
      <c r="W40" s="134"/>
      <c r="X40" s="134"/>
      <c r="Y40" s="135">
        <f>SUMIF($H$15:$H$22,#REF!,$G$15:$G$22)+SUMIF($N$15:$N$22,#REF!,$M$15:$M$22)+SUMIF($T$15:$T$22,#REF!,$S$15:$S$22)+SUMIF($Z$15:$Z$22,#REF!,$Y$15:$Y$22)+SUMIF($AE$15:$AE$22,#REF!,$AD$15:$AD$22)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62</v>
      </c>
      <c r="V41" s="137"/>
      <c r="W41" s="22"/>
      <c r="X41" s="22"/>
      <c r="Y41" s="138">
        <f>SUMIF($H$15:$H$22,#REF!,$G$15:$G$22)+SUMIF($N$15:$N$22,#REF!,$M$15:$M$22)+SUMIF($T$15:$T$22,#REF!,$S$15:$S$22)+SUMIF($Z$15:$Z$22,#REF!,$Y$15:$Y$22)+SUMIF($AE$15:$AE$22,#REF!,$AD$15:$AD$22)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SUMIF($H$15:$H$22,#REF!,$G$15:$G$22)+SUMIF($N$15:$N$22,#REF!,$M$15:$M$22)+SUMIF($T$15:$T$22,#REF!,$S$15:$S$22)+SUMIF($Z$15:$Z$22,#REF!,$Y$15:$Y$22)+SUMIF($AE$15:$AE$22,#REF!,$AD$15:$AD$22)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SUMIF($H$15:$H$22,#REF!,$G$15:$G$22)+SUMIF($N$15:$N$22,#REF!,$M$15:$M$22)+SUMIF($T$15:$T$22,#REF!,$S$15:$S$22)+SUMIF($Z$15:$Z$22,#REF!,$Y$15:$Y$22)+SUMIF($AE$15:$AE$22,#REF!,$AD$15:$AD$22)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SUMIF($H$15:$H$22,#REF!,$G$15:$G$22)+SUMIF($N$15:$N$22,#REF!,$M$15:$M$22)+SUMIF($T$15:$T$22,#REF!,$S$15:$S$22)+SUMIF($Z$15:$Z$22,#REF!,$Y$15:$Y$22)+SUMIF($AE$15:$AE$22,#REF!,$AD$15:$AD$22)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SUMIF($H$15:$H$22,#REF!,$G$15:$G$22)+SUMIF($N$15:$N$22,#REF!,$M$15:$M$22)+SUMIF($T$15:$T$22,#REF!,$S$15:$S$22)+SUMIF($Z$15:$Z$22,#REF!,$Y$15:$Y$22)+SUMIF($AE$15:$AE$22,#REF!,$AD$15:$AD$22)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SUMIF($H$15:$H$22,#REF!,$G$15:$G$22)+SUMIF($N$15:$N$22,#REF!,$M$15:$M$22)+SUMIF($T$15:$T$22,#REF!,$S$15:$S$22)+SUMIF($Z$15:$Z$22,#REF!,$Y$15:$Y$22)+SUMIF($AE$15:$AE$22,#REF!,$AD$15:$AD$22)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SUMIF($H$15:$H$22,#REF!,$G$15:$G$22)+SUMIF($N$15:$N$22,#REF!,$M$15:$M$22)+SUMIF($T$15:$T$22,#REF!,$S$15:$S$22)+SUMIF($Z$15:$Z$22,#REF!,$Y$15:$Y$22)+SUMIF($AE$15:$AE$22,#REF!,$AD$15:$AD$22)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SUMIF($H$15:$H$22,#REF!,$G$15:$G$22)+SUMIF($N$15:$N$22,#REF!,$M$15:$M$22)+SUMIF($T$15:$T$22,#REF!,$S$15:$S$22)+SUMIF($Z$15:$Z$22,#REF!,$Y$15:$Y$22)+SUMIF($AE$15:$AE$22,#REF!,$AD$15:$AD$22)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SUMIF($H$15:$H$22,#REF!,$G$15:$G$22)+SUMIF($N$15:$N$22,#REF!,$M$15:$M$22)+SUMIF($T$15:$T$22,#REF!,$S$15:$S$22)+SUMIF($Z$15:$Z$22,#REF!,$Y$15:$Y$22)+SUMIF($AE$15:$AE$22,#REF!,$AD$15:$AD$22)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  <c r="AD55" s="58"/>
    </row>
    <row r="56" spans="3:31"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</row>
  </sheetData>
  <mergeCells count="51">
    <mergeCell ref="AA12:AD12"/>
    <mergeCell ref="AA9:AD9"/>
    <mergeCell ref="E28:K28"/>
    <mergeCell ref="V9:X9"/>
    <mergeCell ref="Y9:Z9"/>
    <mergeCell ref="Y8:Z8"/>
    <mergeCell ref="G9:L9"/>
    <mergeCell ref="M9:S9"/>
    <mergeCell ref="C12:H12"/>
    <mergeCell ref="E6:S6"/>
    <mergeCell ref="G8:L8"/>
    <mergeCell ref="M8:S8"/>
    <mergeCell ref="AB2:AD2"/>
    <mergeCell ref="AC3:AD3"/>
    <mergeCell ref="AC4:AD4"/>
    <mergeCell ref="C8:F9"/>
    <mergeCell ref="V7:Z7"/>
    <mergeCell ref="V8:X8"/>
    <mergeCell ref="AA7:AD7"/>
    <mergeCell ref="AA8:AD8"/>
    <mergeCell ref="J12:N12"/>
    <mergeCell ref="P12:T12"/>
    <mergeCell ref="V12:Z12"/>
    <mergeCell ref="G13:H22"/>
    <mergeCell ref="M13:N22"/>
    <mergeCell ref="S13:T22"/>
    <mergeCell ref="Y13:Z13"/>
    <mergeCell ref="C32:D34"/>
    <mergeCell ref="E32:F32"/>
    <mergeCell ref="G32:I32"/>
    <mergeCell ref="J32:K32"/>
    <mergeCell ref="L29:M29"/>
    <mergeCell ref="E30:F31"/>
    <mergeCell ref="G30:I31"/>
    <mergeCell ref="J30:K31"/>
    <mergeCell ref="L30:M31"/>
    <mergeCell ref="C29:D31"/>
    <mergeCell ref="E29:F29"/>
    <mergeCell ref="G29:I29"/>
    <mergeCell ref="J29:K29"/>
    <mergeCell ref="L32:M32"/>
    <mergeCell ref="E33:F34"/>
    <mergeCell ref="G33:I34"/>
    <mergeCell ref="J33:K34"/>
    <mergeCell ref="L33:M34"/>
    <mergeCell ref="C53:R55"/>
    <mergeCell ref="C50:O50"/>
    <mergeCell ref="Q50:R50"/>
    <mergeCell ref="C39:R39"/>
    <mergeCell ref="C45:O45"/>
    <mergeCell ref="Q45:R45"/>
  </mergeCells>
  <phoneticPr fontId="1" type="noConversion"/>
  <conditionalFormatting sqref="V22 J15:J22 AA15:AA22">
    <cfRule type="cellIs" dxfId="59" priority="5" stopIfTrue="1" operator="equal">
      <formula>0</formula>
    </cfRule>
  </conditionalFormatting>
  <conditionalFormatting sqref="P22">
    <cfRule type="cellIs" dxfId="58" priority="6" stopIfTrue="1" operator="equal">
      <formula>0</formula>
    </cfRule>
    <cfRule type="cellIs" dxfId="57" priority="7" stopIfTrue="1" operator="equal">
      <formula>37277</formula>
    </cfRule>
  </conditionalFormatting>
  <conditionalFormatting sqref="D15:D22">
    <cfRule type="cellIs" dxfId="56" priority="8" stopIfTrue="1" operator="equal">
      <formula>0</formula>
    </cfRule>
    <cfRule type="cellIs" dxfId="55" priority="9" stopIfTrue="1" operator="equal">
      <formula>37622</formula>
    </cfRule>
  </conditionalFormatting>
  <conditionalFormatting sqref="P15:P21 V15:V21">
    <cfRule type="cellIs" dxfId="54" priority="10" stopIfTrue="1" operator="between">
      <formula>38316</formula>
      <formula>38317</formula>
    </cfRule>
  </conditionalFormatting>
  <conditionalFormatting sqref="AA15:AA21">
    <cfRule type="cellIs" dxfId="53" priority="4" stopIfTrue="1" operator="between">
      <formula>38316</formula>
      <formula>38317</formula>
    </cfRule>
  </conditionalFormatting>
  <conditionalFormatting sqref="AA21">
    <cfRule type="cellIs" dxfId="52" priority="3" stopIfTrue="1" operator="between">
      <formula>38316</formula>
      <formula>38317</formula>
    </cfRule>
  </conditionalFormatting>
  <conditionalFormatting sqref="AA21">
    <cfRule type="cellIs" dxfId="51" priority="1" stopIfTrue="1" operator="equal">
      <formula>0</formula>
    </cfRule>
    <cfRule type="cellIs" dxfId="50" priority="2" stopIfTrue="1" operator="equal">
      <formula>37622</formula>
    </cfRule>
  </conditionalFormatting>
  <dataValidations count="1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E15:F22 Q15:R22 K15:L22 W15:X22 AB15:AC22">
      <formula1>1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9"/>
  <dimension ref="B1:AI56"/>
  <sheetViews>
    <sheetView zoomScaleNormal="100" zoomScaleSheetLayoutView="100" workbookViewId="0">
      <selection activeCell="D17" sqref="D17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16406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40173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40203</v>
      </c>
      <c r="AD4" s="363"/>
    </row>
    <row r="5" spans="2:35" ht="16.5" customHeight="1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40178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tr">
        <f>IF($Y$36=0,"","You must enter a valid leave code directly to the right of all leave taken.")</f>
        <v/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159">
        <v>39837</v>
      </c>
      <c r="E15" s="2"/>
      <c r="F15" s="2"/>
      <c r="G15" s="366"/>
      <c r="H15" s="367"/>
      <c r="I15" s="24"/>
      <c r="J15" s="159">
        <v>40174</v>
      </c>
      <c r="K15" s="2"/>
      <c r="L15" s="2"/>
      <c r="M15" s="366"/>
      <c r="N15" s="367"/>
      <c r="O15" s="24"/>
      <c r="P15" s="159">
        <v>39816</v>
      </c>
      <c r="Q15" s="2"/>
      <c r="R15" s="2"/>
      <c r="S15" s="366"/>
      <c r="T15" s="367"/>
      <c r="U15" s="24"/>
      <c r="V15" s="159">
        <v>39823</v>
      </c>
      <c r="W15" s="2"/>
      <c r="X15" s="2"/>
      <c r="Y15" s="108"/>
      <c r="Z15" s="109"/>
      <c r="AA15" s="159">
        <v>39830</v>
      </c>
      <c r="AB15" s="113"/>
      <c r="AC15" s="113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159">
        <v>39838</v>
      </c>
      <c r="E16" s="98"/>
      <c r="F16" s="98"/>
      <c r="G16" s="366"/>
      <c r="H16" s="367"/>
      <c r="I16" s="24"/>
      <c r="J16" s="349">
        <v>40175</v>
      </c>
      <c r="K16" s="82"/>
      <c r="L16" s="82"/>
      <c r="M16" s="366"/>
      <c r="N16" s="367"/>
      <c r="O16" s="24"/>
      <c r="P16" s="159">
        <v>39817</v>
      </c>
      <c r="Q16" s="82"/>
      <c r="R16" s="82"/>
      <c r="S16" s="366"/>
      <c r="T16" s="367"/>
      <c r="U16" s="24"/>
      <c r="V16" s="159">
        <v>39824</v>
      </c>
      <c r="W16" s="82"/>
      <c r="X16" s="82"/>
      <c r="Y16" s="108"/>
      <c r="Z16" s="109"/>
      <c r="AA16" s="355">
        <v>39831</v>
      </c>
      <c r="AB16" s="114"/>
      <c r="AC16" s="114"/>
      <c r="AD16" s="193"/>
      <c r="AE16" s="130"/>
      <c r="AF16" s="91"/>
    </row>
    <row r="17" spans="2:32" s="23" customFormat="1" ht="15.75" customHeight="1">
      <c r="B17" s="23">
        <v>3</v>
      </c>
      <c r="C17" s="169" t="s">
        <v>9</v>
      </c>
      <c r="D17" s="159"/>
      <c r="E17" s="98"/>
      <c r="F17" s="98"/>
      <c r="G17" s="366"/>
      <c r="H17" s="367"/>
      <c r="I17" s="24"/>
      <c r="J17" s="355">
        <v>40176</v>
      </c>
      <c r="K17" s="82"/>
      <c r="L17" s="82"/>
      <c r="M17" s="366"/>
      <c r="N17" s="367"/>
      <c r="O17" s="24"/>
      <c r="P17" s="159">
        <v>39818</v>
      </c>
      <c r="Q17" s="82"/>
      <c r="R17" s="82"/>
      <c r="S17" s="366"/>
      <c r="T17" s="367"/>
      <c r="U17" s="24"/>
      <c r="V17" s="159">
        <v>39825</v>
      </c>
      <c r="W17" s="82"/>
      <c r="X17" s="82"/>
      <c r="Y17" s="108"/>
      <c r="Z17" s="109"/>
      <c r="AA17" s="159">
        <v>39832</v>
      </c>
      <c r="AB17" s="114"/>
      <c r="AC17" s="114"/>
      <c r="AD17" s="193"/>
      <c r="AE17" s="130"/>
      <c r="AF17" s="91"/>
    </row>
    <row r="18" spans="2:32" s="23" customFormat="1" ht="15.75" customHeight="1">
      <c r="B18" s="23">
        <v>4</v>
      </c>
      <c r="C18" s="169" t="s">
        <v>10</v>
      </c>
      <c r="D18" s="159"/>
      <c r="E18" s="98"/>
      <c r="F18" s="98"/>
      <c r="G18" s="366"/>
      <c r="H18" s="367"/>
      <c r="I18" s="24"/>
      <c r="J18" s="355">
        <v>40177</v>
      </c>
      <c r="K18" s="82"/>
      <c r="L18" s="82"/>
      <c r="M18" s="366"/>
      <c r="N18" s="367"/>
      <c r="O18" s="24"/>
      <c r="P18" s="159">
        <v>39819</v>
      </c>
      <c r="Q18" s="82"/>
      <c r="R18" s="82"/>
      <c r="S18" s="366"/>
      <c r="T18" s="367"/>
      <c r="U18" s="24"/>
      <c r="V18" s="159">
        <v>39826</v>
      </c>
      <c r="W18" s="82"/>
      <c r="X18" s="82"/>
      <c r="Y18" s="108"/>
      <c r="Z18" s="109"/>
      <c r="AA18" s="159">
        <v>39833</v>
      </c>
      <c r="AB18" s="114"/>
      <c r="AC18" s="114"/>
      <c r="AD18" s="193"/>
      <c r="AE18" s="130"/>
      <c r="AF18" s="91"/>
    </row>
    <row r="19" spans="2:32" s="23" customFormat="1" ht="15.75" customHeight="1">
      <c r="B19" s="23">
        <v>5</v>
      </c>
      <c r="C19" s="169" t="s">
        <v>11</v>
      </c>
      <c r="D19" s="159"/>
      <c r="E19" s="98"/>
      <c r="F19" s="98"/>
      <c r="G19" s="366"/>
      <c r="H19" s="367"/>
      <c r="I19" s="24"/>
      <c r="J19" s="355">
        <v>40178</v>
      </c>
      <c r="K19" s="82"/>
      <c r="L19" s="82"/>
      <c r="M19" s="366"/>
      <c r="N19" s="367"/>
      <c r="O19" s="24"/>
      <c r="P19" s="159">
        <v>39820</v>
      </c>
      <c r="Q19" s="82"/>
      <c r="R19" s="82"/>
      <c r="S19" s="366"/>
      <c r="T19" s="367"/>
      <c r="U19" s="24"/>
      <c r="V19" s="159">
        <v>39827</v>
      </c>
      <c r="W19" s="82"/>
      <c r="X19" s="82"/>
      <c r="Y19" s="108"/>
      <c r="Z19" s="109"/>
      <c r="AA19" s="159">
        <v>39834</v>
      </c>
      <c r="AB19" s="114"/>
      <c r="AC19" s="114"/>
      <c r="AD19" s="193"/>
      <c r="AE19" s="130"/>
      <c r="AF19" s="91"/>
    </row>
    <row r="20" spans="2:32" s="23" customFormat="1" ht="15.75" customHeight="1">
      <c r="B20" s="23">
        <v>6</v>
      </c>
      <c r="C20" s="169" t="s">
        <v>12</v>
      </c>
      <c r="D20" s="159"/>
      <c r="E20" s="98"/>
      <c r="F20" s="98"/>
      <c r="G20" s="366"/>
      <c r="H20" s="367"/>
      <c r="I20" s="24"/>
      <c r="J20" s="349">
        <v>40179</v>
      </c>
      <c r="K20" s="82"/>
      <c r="L20" s="82"/>
      <c r="M20" s="366"/>
      <c r="N20" s="367"/>
      <c r="O20" s="24"/>
      <c r="P20" s="159">
        <v>39821</v>
      </c>
      <c r="Q20" s="82"/>
      <c r="R20" s="82"/>
      <c r="S20" s="366"/>
      <c r="T20" s="367"/>
      <c r="U20" s="24"/>
      <c r="V20" s="159">
        <v>39828</v>
      </c>
      <c r="W20" s="82"/>
      <c r="X20" s="82"/>
      <c r="Y20" s="108"/>
      <c r="Z20" s="109"/>
      <c r="AA20" s="159">
        <v>39835</v>
      </c>
      <c r="AB20" s="114"/>
      <c r="AC20" s="114"/>
      <c r="AD20" s="193"/>
      <c r="AE20" s="130"/>
      <c r="AF20" s="91"/>
    </row>
    <row r="21" spans="2:32" s="23" customFormat="1" ht="15.75" customHeight="1" thickBot="1">
      <c r="B21" s="23">
        <v>7</v>
      </c>
      <c r="C21" s="170" t="s">
        <v>13</v>
      </c>
      <c r="D21" s="159">
        <v>40173</v>
      </c>
      <c r="E21" s="2"/>
      <c r="F21" s="2"/>
      <c r="G21" s="366"/>
      <c r="H21" s="367"/>
      <c r="I21" s="25"/>
      <c r="J21" s="159">
        <v>40180</v>
      </c>
      <c r="K21" s="2"/>
      <c r="L21" s="2"/>
      <c r="M21" s="366"/>
      <c r="N21" s="367"/>
      <c r="O21" s="25"/>
      <c r="P21" s="159">
        <v>39822</v>
      </c>
      <c r="Q21" s="2"/>
      <c r="R21" s="2"/>
      <c r="S21" s="366"/>
      <c r="T21" s="367"/>
      <c r="U21" s="35"/>
      <c r="V21" s="159">
        <v>39829</v>
      </c>
      <c r="W21" s="2"/>
      <c r="X21" s="2"/>
      <c r="Y21" s="108"/>
      <c r="Z21" s="109"/>
      <c r="AA21" s="159">
        <v>39836</v>
      </c>
      <c r="AB21" s="2"/>
      <c r="AC21" s="2"/>
      <c r="AD21" s="193"/>
      <c r="AE21" s="130"/>
      <c r="AF21" s="91"/>
    </row>
    <row r="22" spans="2:32" s="23" customFormat="1" ht="15.75" customHeight="1" thickBot="1">
      <c r="C22" s="171"/>
      <c r="D22" s="99"/>
      <c r="E22" s="100"/>
      <c r="F22" s="101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103"/>
      <c r="AB22" s="131"/>
      <c r="AC22" s="101"/>
      <c r="AD22" s="194"/>
      <c r="AE22" s="130"/>
      <c r="AF22" s="91"/>
    </row>
    <row r="23" spans="2:32" ht="13.5" thickBot="1">
      <c r="R23" s="21" t="str">
        <f>IF($Y$36=0,"","You must enter a valid leave code directly to the right of all leave taken.")</f>
        <v/>
      </c>
      <c r="AA23" s="128" t="s">
        <v>70</v>
      </c>
      <c r="AB23" s="128"/>
      <c r="AC23" s="128"/>
      <c r="AD23" s="130"/>
      <c r="AE23" s="130"/>
    </row>
    <row r="24" spans="2:32" s="23" customFormat="1" ht="15.75" customHeight="1" thickBot="1">
      <c r="C24" s="174" t="s">
        <v>16</v>
      </c>
      <c r="D24" s="175"/>
      <c r="E24" s="84">
        <f>SUM(E15:E22)</f>
        <v>0</v>
      </c>
      <c r="F24" s="85">
        <f>SUM(F15:F22)</f>
        <v>0</v>
      </c>
      <c r="G24" s="30"/>
      <c r="I24" s="26"/>
      <c r="J24" s="27"/>
      <c r="K24" s="89">
        <f>SUM(K15:K22)</f>
        <v>0</v>
      </c>
      <c r="L24" s="85">
        <f>SUM(L15:L22)</f>
        <v>0</v>
      </c>
      <c r="M24" s="116"/>
      <c r="Q24" s="84">
        <f>SUM(Q15:Q22)</f>
        <v>0</v>
      </c>
      <c r="R24" s="85">
        <f>SUM(R15:R22)</f>
        <v>0</v>
      </c>
      <c r="S24" s="30"/>
      <c r="T24" s="26"/>
      <c r="U24" s="26"/>
      <c r="W24" s="89">
        <f>SUM(W15:W22)</f>
        <v>0</v>
      </c>
      <c r="X24" s="85">
        <f>SUM(X15:X22)</f>
        <v>0</v>
      </c>
      <c r="Y24" s="30"/>
      <c r="AA24" s="44">
        <f>SUM(AB22:AB22)</f>
        <v>0</v>
      </c>
      <c r="AB24" s="85">
        <f>SUM(AB15:AB22)</f>
        <v>0</v>
      </c>
      <c r="AC24" s="85">
        <f>SUM(AC15:AC21)</f>
        <v>0</v>
      </c>
      <c r="AD24" s="30"/>
      <c r="AE24" s="45"/>
    </row>
    <row r="25" spans="2:32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</row>
    <row r="26" spans="2:32" s="23" customFormat="1" ht="15.75" customHeight="1">
      <c r="C26" s="43"/>
      <c r="M26" s="124"/>
    </row>
    <row r="27" spans="2:32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2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2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2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2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2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SUMIF($H$15:$H$22,"",$G$15:$G$22)+SUMIF($N$15:$N$22,"",$M$15:$M$22)+SUMIF($T$15:$T$22,"",$S$15:$S$22)+SUMIF($Z$15:$Z$22,"",$Y$15:$Y$22)+SUMIF($AE$15:$AE$22,"",$AD$15:$AD$22)</f>
        <v>0</v>
      </c>
    </row>
    <row r="37" spans="3:31">
      <c r="C37" s="4" t="s">
        <v>76</v>
      </c>
      <c r="T37" s="32"/>
      <c r="W37" s="42"/>
      <c r="Y37" s="12">
        <f>SUMIF($H$15:$H$22,#REF!,$G$15:$G$22)+SUMIF($N$15:$N$22,#REF!,$M$15:$M$22)+SUMIF($T$15:$T$22,#REF!,$S$15:$S$22)+SUMIF($Z$15:$Z$22,#REF!,$Y$15:$Y$22)+SUMIF($AE$15:$AE$22,#REF!,$AD$15:$AD$22)</f>
        <v>0</v>
      </c>
    </row>
    <row r="38" spans="3:31">
      <c r="Y38" s="12">
        <f>SUMIF($H$15:$H$22,#REF!,$G$15:$G$22)+SUMIF($N$15:$N$22,#REF!,$M$15:$M$22)+SUMIF($T$15:$T$22,#REF!,$S$15:$S$22)+SUMIF($Z$15:$Z$22,#REF!,$Y$15:$Y$22)+SUMIF($AE$15:$AE$22,#REF!,$AD$15:$AD$22)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SUMIF($H$15:$H$22,#REF!,$G$15:$G$22)+SUMIF($N$15:$N$22,#REF!,$M$15:$M$22)+SUMIF($T$15:$T$22,#REF!,$S$15:$S$22)+SUMIF($Z$15:$Z$22,#REF!,$Y$15:$Y$22)+SUMIF($AE$15:$AE$22,#REF!,$AD$15:$AD$22)</f>
        <v>0</v>
      </c>
      <c r="AE39" s="22"/>
    </row>
    <row r="40" spans="3:31">
      <c r="V40" s="133"/>
      <c r="W40" s="134"/>
      <c r="X40" s="134"/>
      <c r="Y40" s="135">
        <f>SUMIF($H$15:$H$22,#REF!,$G$15:$G$22)+SUMIF($N$15:$N$22,#REF!,$M$15:$M$22)+SUMIF($T$15:$T$22,#REF!,$S$15:$S$22)+SUMIF($Z$15:$Z$22,#REF!,$Y$15:$Y$22)+SUMIF($AE$15:$AE$22,#REF!,$AD$15:$AD$22)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61</v>
      </c>
      <c r="V41" s="137"/>
      <c r="W41" s="22"/>
      <c r="X41" s="22"/>
      <c r="Y41" s="138">
        <f>SUMIF($H$15:$H$22,#REF!,$G$15:$G$22)+SUMIF($N$15:$N$22,#REF!,$M$15:$M$22)+SUMIF($T$15:$T$22,#REF!,$S$15:$S$22)+SUMIF($Z$15:$Z$22,#REF!,$Y$15:$Y$22)+SUMIF($AE$15:$AE$22,#REF!,$AD$15:$AD$22)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SUMIF($H$15:$H$22,#REF!,$G$15:$G$22)+SUMIF($N$15:$N$22,#REF!,$M$15:$M$22)+SUMIF($T$15:$T$22,#REF!,$S$15:$S$22)+SUMIF($Z$15:$Z$22,#REF!,$Y$15:$Y$22)+SUMIF($AE$15:$AE$22,#REF!,$AD$15:$AD$22)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SUMIF($H$15:$H$22,#REF!,$G$15:$G$22)+SUMIF($N$15:$N$22,#REF!,$M$15:$M$22)+SUMIF($T$15:$T$22,#REF!,$S$15:$S$22)+SUMIF($Z$15:$Z$22,#REF!,$Y$15:$Y$22)+SUMIF($AE$15:$AE$22,#REF!,$AD$15:$AD$22)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SUMIF($H$15:$H$22,#REF!,$G$15:$G$22)+SUMIF($N$15:$N$22,#REF!,$M$15:$M$22)+SUMIF($T$15:$T$22,#REF!,$S$15:$S$22)+SUMIF($Z$15:$Z$22,#REF!,$Y$15:$Y$22)+SUMIF($AE$15:$AE$22,#REF!,$AD$15:$AD$22)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SUMIF($H$15:$H$22,#REF!,$G$15:$G$22)+SUMIF($N$15:$N$22,#REF!,$M$15:$M$22)+SUMIF($T$15:$T$22,#REF!,$S$15:$S$22)+SUMIF($Z$15:$Z$22,#REF!,$Y$15:$Y$22)+SUMIF($AE$15:$AE$22,#REF!,$AD$15:$AD$22)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SUMIF($H$15:$H$22,#REF!,$G$15:$G$22)+SUMIF($N$15:$N$22,#REF!,$M$15:$M$22)+SUMIF($T$15:$T$22,#REF!,$S$15:$S$22)+SUMIF($Z$15:$Z$22,#REF!,$Y$15:$Y$22)+SUMIF($AE$15:$AE$22,#REF!,$AD$15:$AD$22)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SUMIF($H$15:$H$22,#REF!,$G$15:$G$22)+SUMIF($N$15:$N$22,#REF!,$M$15:$M$22)+SUMIF($T$15:$T$22,#REF!,$S$15:$S$22)+SUMIF($Z$15:$Z$22,#REF!,$Y$15:$Y$22)+SUMIF($AE$15:$AE$22,#REF!,$AD$15:$AD$22)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SUMIF($H$15:$H$22,#REF!,$G$15:$G$22)+SUMIF($N$15:$N$22,#REF!,$M$15:$M$22)+SUMIF($T$15:$T$22,#REF!,$S$15:$S$22)+SUMIF($Z$15:$Z$22,#REF!,$Y$15:$Y$22)+SUMIF($AE$15:$AE$22,#REF!,$AD$15:$AD$22)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SUMIF($H$15:$H$22,#REF!,$G$15:$G$22)+SUMIF($N$15:$N$22,#REF!,$M$15:$M$22)+SUMIF($T$15:$T$22,#REF!,$S$15:$S$22)+SUMIF($Z$15:$Z$22,#REF!,$Y$15:$Y$22)+SUMIF($AE$15:$AE$22,#REF!,$AD$15:$AD$22)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  <row r="56" spans="3:31"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</row>
  </sheetData>
  <mergeCells count="52">
    <mergeCell ref="AA7:AD7"/>
    <mergeCell ref="AA8:AD8"/>
    <mergeCell ref="Y13:Z13"/>
    <mergeCell ref="V7:Z7"/>
    <mergeCell ref="Y9:Z9"/>
    <mergeCell ref="Y8:Z8"/>
    <mergeCell ref="G9:L9"/>
    <mergeCell ref="M9:S9"/>
    <mergeCell ref="G8:L8"/>
    <mergeCell ref="M8:S8"/>
    <mergeCell ref="AA9:AD9"/>
    <mergeCell ref="E28:K28"/>
    <mergeCell ref="C8:F9"/>
    <mergeCell ref="AB2:AD2"/>
    <mergeCell ref="AC3:AD3"/>
    <mergeCell ref="AC4:AD4"/>
    <mergeCell ref="C12:H12"/>
    <mergeCell ref="J12:N12"/>
    <mergeCell ref="P12:T12"/>
    <mergeCell ref="V12:Z12"/>
    <mergeCell ref="AA12:AD12"/>
    <mergeCell ref="G13:H22"/>
    <mergeCell ref="M13:N22"/>
    <mergeCell ref="S13:T22"/>
    <mergeCell ref="V8:X8"/>
    <mergeCell ref="V9:X9"/>
    <mergeCell ref="E6:S6"/>
    <mergeCell ref="L29:M29"/>
    <mergeCell ref="C29:D31"/>
    <mergeCell ref="E29:F29"/>
    <mergeCell ref="G29:I29"/>
    <mergeCell ref="J29:K29"/>
    <mergeCell ref="E30:F31"/>
    <mergeCell ref="G30:I31"/>
    <mergeCell ref="J30:K31"/>
    <mergeCell ref="L30:M31"/>
    <mergeCell ref="L32:M32"/>
    <mergeCell ref="L33:M34"/>
    <mergeCell ref="C39:R39"/>
    <mergeCell ref="T56:AE56"/>
    <mergeCell ref="C53:R55"/>
    <mergeCell ref="C50:O50"/>
    <mergeCell ref="Q50:R50"/>
    <mergeCell ref="C45:O45"/>
    <mergeCell ref="Q45:R45"/>
    <mergeCell ref="C32:D34"/>
    <mergeCell ref="G32:I32"/>
    <mergeCell ref="J32:K32"/>
    <mergeCell ref="E33:F34"/>
    <mergeCell ref="G33:I34"/>
    <mergeCell ref="J33:K34"/>
    <mergeCell ref="E32:F32"/>
  </mergeCells>
  <phoneticPr fontId="1" type="noConversion"/>
  <conditionalFormatting sqref="AA22 V15:V22">
    <cfRule type="cellIs" dxfId="49" priority="3" stopIfTrue="1" operator="equal">
      <formula>0</formula>
    </cfRule>
    <cfRule type="cellIs" dxfId="48" priority="4" stopIfTrue="1" operator="equal">
      <formula>38345</formula>
    </cfRule>
  </conditionalFormatting>
  <conditionalFormatting sqref="AA15:AA21">
    <cfRule type="cellIs" dxfId="47" priority="5" stopIfTrue="1" operator="equal">
      <formula>0</formula>
    </cfRule>
    <cfRule type="cellIs" dxfId="46" priority="6" stopIfTrue="1" operator="equal">
      <formula>38348</formula>
    </cfRule>
    <cfRule type="cellIs" dxfId="45" priority="7" stopIfTrue="1" operator="equal">
      <formula>38352</formula>
    </cfRule>
  </conditionalFormatting>
  <conditionalFormatting sqref="J15:J22 P15:P21">
    <cfRule type="cellIs" dxfId="44" priority="8" stopIfTrue="1" operator="equal">
      <formula>0</formula>
    </cfRule>
  </conditionalFormatting>
  <conditionalFormatting sqref="P22">
    <cfRule type="cellIs" dxfId="43" priority="9" stopIfTrue="1" operator="equal">
      <formula>0</formula>
    </cfRule>
    <cfRule type="cellIs" dxfId="42" priority="10" stopIfTrue="1" operator="equal">
      <formula>37277</formula>
    </cfRule>
  </conditionalFormatting>
  <conditionalFormatting sqref="D15:D22">
    <cfRule type="cellIs" dxfId="41" priority="11" stopIfTrue="1" operator="equal">
      <formula>0</formula>
    </cfRule>
    <cfRule type="cellIs" dxfId="40" priority="12" stopIfTrue="1" operator="equal">
      <formula>37622</formula>
    </cfRule>
  </conditionalFormatting>
  <conditionalFormatting sqref="AA15:AA21">
    <cfRule type="cellIs" dxfId="39" priority="1" stopIfTrue="1" operator="equal">
      <formula>0</formula>
    </cfRule>
    <cfRule type="cellIs" dxfId="38" priority="2" stopIfTrue="1" operator="equal">
      <formula>38345</formula>
    </cfRule>
  </conditionalFormatting>
  <dataValidations count="1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W15:X22 Q15:R22 K15:L22 AB15:AC22 E15:F22">
      <formula1>1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0"/>
  <dimension ref="B1:AI56"/>
  <sheetViews>
    <sheetView topLeftCell="A2" zoomScaleNormal="100" zoomScaleSheetLayoutView="100" workbookViewId="0">
      <selection activeCell="AA20" sqref="AA20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332031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40204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40234</v>
      </c>
      <c r="AD4" s="363"/>
    </row>
    <row r="5" spans="2:35" ht="16.5" customHeight="1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40209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tr">
        <f>IF($Y$36=0,"","You must enter a valid leave code directly to the right of all leave taken.")</f>
        <v/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173"/>
      <c r="E15" s="2"/>
      <c r="F15" s="2"/>
      <c r="G15" s="366"/>
      <c r="H15" s="367"/>
      <c r="I15" s="24"/>
      <c r="J15" s="159">
        <v>39844</v>
      </c>
      <c r="K15" s="2"/>
      <c r="L15" s="2"/>
      <c r="M15" s="366"/>
      <c r="N15" s="367"/>
      <c r="O15" s="24"/>
      <c r="P15" s="159">
        <v>39851</v>
      </c>
      <c r="Q15" s="2"/>
      <c r="R15" s="2"/>
      <c r="S15" s="366"/>
      <c r="T15" s="367"/>
      <c r="U15" s="24"/>
      <c r="V15" s="159">
        <v>39858</v>
      </c>
      <c r="W15" s="2"/>
      <c r="X15" s="2"/>
      <c r="Y15" s="108"/>
      <c r="Z15" s="109"/>
      <c r="AA15" s="159">
        <v>39865</v>
      </c>
      <c r="AB15" s="113"/>
      <c r="AC15" s="113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173"/>
      <c r="E16" s="2"/>
      <c r="F16" s="2"/>
      <c r="G16" s="366"/>
      <c r="H16" s="367"/>
      <c r="I16" s="24"/>
      <c r="J16" s="159">
        <v>39845</v>
      </c>
      <c r="K16" s="82"/>
      <c r="L16" s="82"/>
      <c r="M16" s="366"/>
      <c r="N16" s="367"/>
      <c r="O16" s="24"/>
      <c r="P16" s="159">
        <v>39852</v>
      </c>
      <c r="Q16" s="82"/>
      <c r="R16" s="82"/>
      <c r="S16" s="366"/>
      <c r="T16" s="367"/>
      <c r="U16" s="24"/>
      <c r="V16" s="159">
        <v>39859</v>
      </c>
      <c r="W16" s="82"/>
      <c r="X16" s="82"/>
      <c r="Y16" s="108"/>
      <c r="Z16" s="109"/>
      <c r="AA16" s="159">
        <v>39866</v>
      </c>
      <c r="AB16" s="114"/>
      <c r="AC16" s="114"/>
      <c r="AD16" s="193"/>
      <c r="AE16" s="130"/>
      <c r="AF16" s="91"/>
    </row>
    <row r="17" spans="2:32" s="23" customFormat="1" ht="15.75" customHeight="1">
      <c r="B17" s="23">
        <v>3</v>
      </c>
      <c r="C17" s="169" t="s">
        <v>9</v>
      </c>
      <c r="D17" s="159">
        <v>39839</v>
      </c>
      <c r="E17" s="203"/>
      <c r="F17" s="203"/>
      <c r="G17" s="366"/>
      <c r="H17" s="367"/>
      <c r="I17" s="24"/>
      <c r="J17" s="159">
        <v>39846</v>
      </c>
      <c r="K17" s="82"/>
      <c r="L17" s="82"/>
      <c r="M17" s="366"/>
      <c r="N17" s="367"/>
      <c r="O17" s="24"/>
      <c r="P17" s="159">
        <v>39853</v>
      </c>
      <c r="Q17" s="82"/>
      <c r="R17" s="82"/>
      <c r="S17" s="366"/>
      <c r="T17" s="367"/>
      <c r="U17" s="24"/>
      <c r="V17" s="159">
        <v>39860</v>
      </c>
      <c r="W17" s="82"/>
      <c r="X17" s="82"/>
      <c r="Y17" s="108"/>
      <c r="Z17" s="109"/>
      <c r="AA17" s="159">
        <v>39867</v>
      </c>
      <c r="AB17" s="114"/>
      <c r="AC17" s="114"/>
      <c r="AD17" s="193"/>
      <c r="AE17" s="130"/>
      <c r="AF17" s="91"/>
    </row>
    <row r="18" spans="2:32" s="23" customFormat="1" ht="15.75" customHeight="1">
      <c r="B18" s="23">
        <v>4</v>
      </c>
      <c r="C18" s="169" t="s">
        <v>10</v>
      </c>
      <c r="D18" s="159">
        <v>39840</v>
      </c>
      <c r="E18" s="203"/>
      <c r="F18" s="203"/>
      <c r="G18" s="366"/>
      <c r="H18" s="367"/>
      <c r="I18" s="24"/>
      <c r="J18" s="159">
        <v>39847</v>
      </c>
      <c r="K18" s="82"/>
      <c r="L18" s="82"/>
      <c r="M18" s="366"/>
      <c r="N18" s="367"/>
      <c r="O18" s="24"/>
      <c r="P18" s="159">
        <v>39854</v>
      </c>
      <c r="Q18" s="82"/>
      <c r="R18" s="82"/>
      <c r="S18" s="366"/>
      <c r="T18" s="367"/>
      <c r="U18" s="24"/>
      <c r="V18" s="159">
        <v>39861</v>
      </c>
      <c r="W18" s="82"/>
      <c r="X18" s="82"/>
      <c r="Y18" s="108"/>
      <c r="Z18" s="109"/>
      <c r="AA18" s="159">
        <v>39868</v>
      </c>
      <c r="AB18" s="114"/>
      <c r="AC18" s="114"/>
      <c r="AD18" s="193"/>
      <c r="AE18" s="130"/>
      <c r="AF18" s="91"/>
    </row>
    <row r="19" spans="2:32" s="23" customFormat="1" ht="15.75" customHeight="1">
      <c r="B19" s="23">
        <v>5</v>
      </c>
      <c r="C19" s="169" t="s">
        <v>11</v>
      </c>
      <c r="D19" s="159">
        <v>39841</v>
      </c>
      <c r="E19" s="203"/>
      <c r="F19" s="203"/>
      <c r="G19" s="366"/>
      <c r="H19" s="367"/>
      <c r="I19" s="24"/>
      <c r="J19" s="159">
        <v>39848</v>
      </c>
      <c r="K19" s="82"/>
      <c r="L19" s="82"/>
      <c r="M19" s="366"/>
      <c r="N19" s="367"/>
      <c r="O19" s="24"/>
      <c r="P19" s="159">
        <v>39855</v>
      </c>
      <c r="Q19" s="82"/>
      <c r="R19" s="82"/>
      <c r="S19" s="366"/>
      <c r="T19" s="367"/>
      <c r="U19" s="24"/>
      <c r="V19" s="159">
        <v>39862</v>
      </c>
      <c r="W19" s="82"/>
      <c r="X19" s="82"/>
      <c r="Y19" s="108"/>
      <c r="Z19" s="109"/>
      <c r="AA19" s="159">
        <v>39869</v>
      </c>
      <c r="AB19" s="3"/>
      <c r="AC19" s="3"/>
      <c r="AD19" s="193"/>
      <c r="AE19" s="130"/>
      <c r="AF19" s="91"/>
    </row>
    <row r="20" spans="2:32" s="23" customFormat="1" ht="15.75" customHeight="1">
      <c r="B20" s="23">
        <v>6</v>
      </c>
      <c r="C20" s="169" t="s">
        <v>12</v>
      </c>
      <c r="D20" s="159">
        <v>39842</v>
      </c>
      <c r="E20" s="203"/>
      <c r="F20" s="203"/>
      <c r="G20" s="366"/>
      <c r="H20" s="367"/>
      <c r="I20" s="24"/>
      <c r="J20" s="159">
        <v>39849</v>
      </c>
      <c r="K20" s="82"/>
      <c r="L20" s="82"/>
      <c r="M20" s="366"/>
      <c r="N20" s="367"/>
      <c r="O20" s="24"/>
      <c r="P20" s="159">
        <v>39856</v>
      </c>
      <c r="Q20" s="82"/>
      <c r="R20" s="82"/>
      <c r="S20" s="366"/>
      <c r="T20" s="367"/>
      <c r="U20" s="24"/>
      <c r="V20" s="159">
        <v>39863</v>
      </c>
      <c r="W20" s="82"/>
      <c r="X20" s="82"/>
      <c r="Y20" s="108"/>
      <c r="Z20" s="109"/>
      <c r="AA20" s="159"/>
      <c r="AB20" s="3"/>
      <c r="AC20" s="3"/>
      <c r="AD20" s="193"/>
      <c r="AE20" s="130"/>
      <c r="AF20" s="91"/>
    </row>
    <row r="21" spans="2:32" s="23" customFormat="1" ht="15.75" customHeight="1" thickBot="1">
      <c r="B21" s="23">
        <v>7</v>
      </c>
      <c r="C21" s="170" t="s">
        <v>13</v>
      </c>
      <c r="D21" s="159">
        <v>39843</v>
      </c>
      <c r="E21" s="2"/>
      <c r="F21" s="2"/>
      <c r="G21" s="366"/>
      <c r="H21" s="367"/>
      <c r="I21" s="25"/>
      <c r="J21" s="159">
        <v>39850</v>
      </c>
      <c r="K21" s="2"/>
      <c r="L21" s="2"/>
      <c r="M21" s="366"/>
      <c r="N21" s="367"/>
      <c r="O21" s="25"/>
      <c r="P21" s="159">
        <v>39857</v>
      </c>
      <c r="Q21" s="2"/>
      <c r="R21" s="2"/>
      <c r="S21" s="366"/>
      <c r="T21" s="367"/>
      <c r="U21" s="35"/>
      <c r="V21" s="159">
        <v>39864</v>
      </c>
      <c r="W21" s="2"/>
      <c r="X21" s="2"/>
      <c r="Y21" s="108"/>
      <c r="Z21" s="109"/>
      <c r="AA21" s="202"/>
      <c r="AB21" s="3"/>
      <c r="AC21" s="3"/>
      <c r="AD21" s="193"/>
      <c r="AE21" s="130"/>
      <c r="AF21" s="91"/>
    </row>
    <row r="22" spans="2:32" s="23" customFormat="1" ht="15.75" customHeight="1" thickBot="1">
      <c r="C22" s="171"/>
      <c r="D22" s="99"/>
      <c r="E22" s="100"/>
      <c r="F22" s="101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103"/>
      <c r="AB22" s="101"/>
      <c r="AC22" s="101"/>
      <c r="AD22" s="194"/>
      <c r="AE22" s="130"/>
      <c r="AF22" s="91"/>
    </row>
    <row r="23" spans="2:32" ht="16.5" customHeight="1" thickBot="1">
      <c r="C23" s="9"/>
      <c r="J23" s="10"/>
      <c r="P23" s="10"/>
      <c r="V23" s="11"/>
      <c r="W23" s="12" t="s">
        <v>46</v>
      </c>
      <c r="AA23" s="127" t="s">
        <v>70</v>
      </c>
      <c r="AB23" s="128"/>
      <c r="AC23" s="128"/>
      <c r="AD23" s="130"/>
      <c r="AE23" s="130"/>
    </row>
    <row r="24" spans="2:32" s="23" customFormat="1" ht="15.75" customHeight="1" thickBot="1">
      <c r="C24" s="174" t="s">
        <v>16</v>
      </c>
      <c r="D24" s="175"/>
      <c r="E24" s="84">
        <f>SUM(E15:E22)</f>
        <v>0</v>
      </c>
      <c r="F24" s="85">
        <f>SUM(F15:F22)</f>
        <v>0</v>
      </c>
      <c r="G24" s="30"/>
      <c r="I24" s="26"/>
      <c r="J24" s="27"/>
      <c r="K24" s="89">
        <f>SUM(K15:K22)</f>
        <v>0</v>
      </c>
      <c r="L24" s="85">
        <f>SUM(L15:L22)</f>
        <v>0</v>
      </c>
      <c r="M24" s="116"/>
      <c r="Q24" s="84">
        <f>SUM(Q15:Q22)</f>
        <v>0</v>
      </c>
      <c r="R24" s="85">
        <f>SUM(R15:R22)</f>
        <v>0</v>
      </c>
      <c r="S24" s="30"/>
      <c r="T24" s="26"/>
      <c r="U24" s="26"/>
      <c r="W24" s="89">
        <f>SUM(W15:W22)</f>
        <v>0</v>
      </c>
      <c r="X24" s="85">
        <f>SUM(X15:X22)</f>
        <v>0</v>
      </c>
      <c r="Y24" s="30"/>
      <c r="AA24" s="44">
        <f>SUM(AB22:AB22)</f>
        <v>0</v>
      </c>
      <c r="AB24" s="85">
        <f>SUM(AB15:AB22)</f>
        <v>0</v>
      </c>
      <c r="AC24" s="85">
        <f>SUM(AC15:AC21)</f>
        <v>0</v>
      </c>
      <c r="AD24" s="30"/>
      <c r="AE24" s="45"/>
    </row>
    <row r="25" spans="2:32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</row>
    <row r="26" spans="2:32" s="91" customFormat="1" ht="15.75" customHeight="1">
      <c r="E26" s="35"/>
      <c r="F26" s="92"/>
      <c r="G26" s="93"/>
      <c r="H26" s="35"/>
      <c r="I26" s="35"/>
      <c r="J26" s="35"/>
      <c r="K26" s="35"/>
      <c r="L26" s="92"/>
      <c r="M26" s="112"/>
      <c r="N26" s="35"/>
      <c r="O26" s="35"/>
      <c r="P26" s="35"/>
      <c r="Q26" s="35"/>
      <c r="R26" s="92"/>
      <c r="S26" s="93"/>
      <c r="T26" s="35"/>
      <c r="U26" s="35"/>
      <c r="V26" s="35"/>
      <c r="W26" s="35"/>
      <c r="X26" s="92"/>
      <c r="Y26" s="93"/>
      <c r="Z26" s="35"/>
      <c r="AA26" s="35"/>
      <c r="AB26" s="35"/>
      <c r="AC26" s="92"/>
      <c r="AD26" s="93"/>
      <c r="AE26" s="94"/>
    </row>
    <row r="27" spans="2:32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2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2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2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2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2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SUMIF($H$15:$H$22,"",$G$15:$G$22)+SUMIF($N$15:$N$22,"",$M$15:$M$22)+SUMIF($T$15:$T$22,"",$S$15:$S$22)+SUMIF($Z$15:$Z$22,"",$Y$15:$Y$22)+SUMIF($AE$15:$AE$22,"",$AD$15:$AD$22)</f>
        <v>0</v>
      </c>
    </row>
    <row r="37" spans="3:31">
      <c r="C37" s="4" t="s">
        <v>76</v>
      </c>
      <c r="T37" s="32"/>
      <c r="W37" s="42"/>
      <c r="Y37" s="12">
        <f>SUMIF($H$15:$H$22,#REF!,$G$15:$G$22)+SUMIF($N$15:$N$22,#REF!,$M$15:$M$22)+SUMIF($T$15:$T$22,#REF!,$S$15:$S$22)+SUMIF($Z$15:$Z$22,#REF!,$Y$15:$Y$22)+SUMIF($AE$15:$AE$22,#REF!,$AD$15:$AD$22)</f>
        <v>0</v>
      </c>
    </row>
    <row r="38" spans="3:31">
      <c r="Y38" s="12">
        <f>SUMIF($H$15:$H$22,#REF!,$G$15:$G$22)+SUMIF($N$15:$N$22,#REF!,$M$15:$M$22)+SUMIF($T$15:$T$22,#REF!,$S$15:$S$22)+SUMIF($Z$15:$Z$22,#REF!,$Y$15:$Y$22)+SUMIF($AE$15:$AE$22,#REF!,$AD$15:$AD$22)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SUMIF($H$15:$H$22,#REF!,$G$15:$G$22)+SUMIF($N$15:$N$22,#REF!,$M$15:$M$22)+SUMIF($T$15:$T$22,#REF!,$S$15:$S$22)+SUMIF($Z$15:$Z$22,#REF!,$Y$15:$Y$22)+SUMIF($AE$15:$AE$22,#REF!,$AD$15:$AD$22)</f>
        <v>0</v>
      </c>
      <c r="AE39" s="22"/>
    </row>
    <row r="40" spans="3:31">
      <c r="V40" s="133"/>
      <c r="W40" s="134"/>
      <c r="X40" s="134"/>
      <c r="Y40" s="135">
        <f>SUMIF($H$15:$H$22,#REF!,$G$15:$G$22)+SUMIF($N$15:$N$22,#REF!,$M$15:$M$22)+SUMIF($T$15:$T$22,#REF!,$S$15:$S$22)+SUMIF($Z$15:$Z$22,#REF!,$Y$15:$Y$22)+SUMIF($AE$15:$AE$22,#REF!,$AD$15:$AD$22)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61</v>
      </c>
      <c r="V41" s="137"/>
      <c r="W41" s="22"/>
      <c r="X41" s="22"/>
      <c r="Y41" s="138">
        <f>SUMIF($H$15:$H$22,#REF!,$G$15:$G$22)+SUMIF($N$15:$N$22,#REF!,$M$15:$M$22)+SUMIF($T$15:$T$22,#REF!,$S$15:$S$22)+SUMIF($Z$15:$Z$22,#REF!,$Y$15:$Y$22)+SUMIF($AE$15:$AE$22,#REF!,$AD$15:$AD$22)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SUMIF($H$15:$H$22,#REF!,$G$15:$G$22)+SUMIF($N$15:$N$22,#REF!,$M$15:$M$22)+SUMIF($T$15:$T$22,#REF!,$S$15:$S$22)+SUMIF($Z$15:$Z$22,#REF!,$Y$15:$Y$22)+SUMIF($AE$15:$AE$22,#REF!,$AD$15:$AD$22)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SUMIF($H$15:$H$22,#REF!,$G$15:$G$22)+SUMIF($N$15:$N$22,#REF!,$M$15:$M$22)+SUMIF($T$15:$T$22,#REF!,$S$15:$S$22)+SUMIF($Z$15:$Z$22,#REF!,$Y$15:$Y$22)+SUMIF($AE$15:$AE$22,#REF!,$AD$15:$AD$22)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SUMIF($H$15:$H$22,#REF!,$G$15:$G$22)+SUMIF($N$15:$N$22,#REF!,$M$15:$M$22)+SUMIF($T$15:$T$22,#REF!,$S$15:$S$22)+SUMIF($Z$15:$Z$22,#REF!,$Y$15:$Y$22)+SUMIF($AE$15:$AE$22,#REF!,$AD$15:$AD$22)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SUMIF($H$15:$H$22,#REF!,$G$15:$G$22)+SUMIF($N$15:$N$22,#REF!,$M$15:$M$22)+SUMIF($T$15:$T$22,#REF!,$S$15:$S$22)+SUMIF($Z$15:$Z$22,#REF!,$Y$15:$Y$22)+SUMIF($AE$15:$AE$22,#REF!,$AD$15:$AD$22)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SUMIF($H$15:$H$22,#REF!,$G$15:$G$22)+SUMIF($N$15:$N$22,#REF!,$M$15:$M$22)+SUMIF($T$15:$T$22,#REF!,$S$15:$S$22)+SUMIF($Z$15:$Z$22,#REF!,$Y$15:$Y$22)+SUMIF($AE$15:$AE$22,#REF!,$AD$15:$AD$22)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SUMIF($H$15:$H$22,#REF!,$G$15:$G$22)+SUMIF($N$15:$N$22,#REF!,$M$15:$M$22)+SUMIF($T$15:$T$22,#REF!,$S$15:$S$22)+SUMIF($Z$15:$Z$22,#REF!,$Y$15:$Y$22)+SUMIF($AE$15:$AE$22,#REF!,$AD$15:$AD$22)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SUMIF($H$15:$H$22,#REF!,$G$15:$G$22)+SUMIF($N$15:$N$22,#REF!,$M$15:$M$22)+SUMIF($T$15:$T$22,#REF!,$S$15:$S$22)+SUMIF($Z$15:$Z$22,#REF!,$Y$15:$Y$22)+SUMIF($AE$15:$AE$22,#REF!,$AD$15:$AD$22)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SUMIF($H$15:$H$22,#REF!,$G$15:$G$22)+SUMIF($N$15:$N$22,#REF!,$M$15:$M$22)+SUMIF($T$15:$T$22,#REF!,$S$15:$S$22)+SUMIF($Z$15:$Z$22,#REF!,$Y$15:$Y$22)+SUMIF($AE$15:$AE$22,#REF!,$AD$15:$AD$22)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  <row r="56" spans="3:31"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</row>
  </sheetData>
  <mergeCells count="52">
    <mergeCell ref="C39:R39"/>
    <mergeCell ref="T56:AE56"/>
    <mergeCell ref="C53:R55"/>
    <mergeCell ref="C50:O50"/>
    <mergeCell ref="Q50:R50"/>
    <mergeCell ref="C45:O45"/>
    <mergeCell ref="Q45:R45"/>
    <mergeCell ref="Y13:Z13"/>
    <mergeCell ref="G30:I31"/>
    <mergeCell ref="J30:K31"/>
    <mergeCell ref="L30:M31"/>
    <mergeCell ref="G13:H22"/>
    <mergeCell ref="C32:D34"/>
    <mergeCell ref="E32:F32"/>
    <mergeCell ref="G32:I32"/>
    <mergeCell ref="J32:K32"/>
    <mergeCell ref="E28:K28"/>
    <mergeCell ref="L32:M32"/>
    <mergeCell ref="E33:F34"/>
    <mergeCell ref="G33:I34"/>
    <mergeCell ref="J33:K34"/>
    <mergeCell ref="L33:M34"/>
    <mergeCell ref="E6:S6"/>
    <mergeCell ref="G8:L8"/>
    <mergeCell ref="M8:S8"/>
    <mergeCell ref="C29:D31"/>
    <mergeCell ref="E29:F29"/>
    <mergeCell ref="G29:I29"/>
    <mergeCell ref="J29:K29"/>
    <mergeCell ref="L29:M29"/>
    <mergeCell ref="E30:F31"/>
    <mergeCell ref="C12:H12"/>
    <mergeCell ref="M13:N22"/>
    <mergeCell ref="S13:T22"/>
    <mergeCell ref="AA12:AD12"/>
    <mergeCell ref="AB2:AD2"/>
    <mergeCell ref="AC3:AD3"/>
    <mergeCell ref="AC4:AD4"/>
    <mergeCell ref="AA9:AD9"/>
    <mergeCell ref="AA7:AD7"/>
    <mergeCell ref="AA8:AD8"/>
    <mergeCell ref="Y8:Z8"/>
    <mergeCell ref="V7:Z7"/>
    <mergeCell ref="V8:X8"/>
    <mergeCell ref="V12:Z12"/>
    <mergeCell ref="V9:X9"/>
    <mergeCell ref="Y9:Z9"/>
    <mergeCell ref="J12:N12"/>
    <mergeCell ref="P12:T12"/>
    <mergeCell ref="C8:F9"/>
    <mergeCell ref="M9:S9"/>
    <mergeCell ref="G9:L9"/>
  </mergeCells>
  <phoneticPr fontId="0" type="noConversion"/>
  <conditionalFormatting sqref="V22 AA22 D15:D16 J15:J22 P15:P21 AA15:AA20">
    <cfRule type="cellIs" dxfId="37" priority="3" stopIfTrue="1" operator="equal">
      <formula>0</formula>
    </cfRule>
  </conditionalFormatting>
  <conditionalFormatting sqref="P22">
    <cfRule type="cellIs" dxfId="36" priority="4" stopIfTrue="1" operator="equal">
      <formula>0</formula>
    </cfRule>
    <cfRule type="cellIs" dxfId="35" priority="5" stopIfTrue="1" operator="equal">
      <formula>37277</formula>
    </cfRule>
  </conditionalFormatting>
  <conditionalFormatting sqref="D17:D22">
    <cfRule type="cellIs" dxfId="34" priority="6" stopIfTrue="1" operator="equal">
      <formula>0</formula>
    </cfRule>
    <cfRule type="cellIs" dxfId="33" priority="7" stopIfTrue="1" operator="equal">
      <formula>37622</formula>
    </cfRule>
  </conditionalFormatting>
  <conditionalFormatting sqref="V15:V21">
    <cfRule type="cellIs" dxfId="32" priority="8" stopIfTrue="1" operator="equal">
      <formula>0</formula>
    </cfRule>
    <cfRule type="cellIs" dxfId="31" priority="9" stopIfTrue="1" operator="equal">
      <formula>38369</formula>
    </cfRule>
  </conditionalFormatting>
  <conditionalFormatting sqref="AA15:AA19">
    <cfRule type="cellIs" dxfId="30" priority="1" stopIfTrue="1" operator="equal">
      <formula>0</formula>
    </cfRule>
    <cfRule type="cellIs" dxfId="29" priority="2" stopIfTrue="1" operator="equal">
      <formula>38369</formula>
    </cfRule>
  </conditionalFormatting>
  <dataValidations count="1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AA21:AB21 AC15:AC21 K15:L22 Q15:R22 W15:X22 AB22:AC22 AB15:AB20 E15:F22">
      <formula1>1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1"/>
  <dimension ref="B1:AI56"/>
  <sheetViews>
    <sheetView zoomScaleNormal="100" workbookViewId="0">
      <selection activeCell="AA19" sqref="AA19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.5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16406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40235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40262</v>
      </c>
      <c r="AD4" s="363"/>
    </row>
    <row r="5" spans="2:35" ht="16.5" customHeight="1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40237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tr">
        <f>IF($Y$36=0,"","You must enter a valid leave code directly to the right of all leave taken.")</f>
        <v/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97">
        <f>IF(WEEKDAY(FromFebruary)=B15,FromFebruary,IF(ISTEXT(D14),0,D14+1))</f>
        <v>0</v>
      </c>
      <c r="E15" s="2"/>
      <c r="F15" s="2"/>
      <c r="G15" s="366"/>
      <c r="H15" s="367"/>
      <c r="I15" s="24"/>
      <c r="J15" s="159">
        <v>39872</v>
      </c>
      <c r="K15" s="2"/>
      <c r="L15" s="2"/>
      <c r="M15" s="366"/>
      <c r="N15" s="367"/>
      <c r="O15" s="24"/>
      <c r="P15" s="159">
        <v>39879</v>
      </c>
      <c r="Q15" s="2"/>
      <c r="R15" s="2"/>
      <c r="S15" s="366"/>
      <c r="T15" s="367"/>
      <c r="U15" s="24"/>
      <c r="V15" s="159">
        <v>39886</v>
      </c>
      <c r="W15" s="2"/>
      <c r="X15" s="2"/>
      <c r="Y15" s="108"/>
      <c r="Z15" s="109"/>
      <c r="AA15" s="159">
        <v>39893</v>
      </c>
      <c r="AB15" s="113"/>
      <c r="AC15" s="113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97"/>
      <c r="E16" s="2"/>
      <c r="F16" s="2"/>
      <c r="G16" s="366"/>
      <c r="H16" s="367"/>
      <c r="I16" s="24"/>
      <c r="J16" s="159">
        <v>39873</v>
      </c>
      <c r="K16" s="82"/>
      <c r="L16" s="82"/>
      <c r="M16" s="366"/>
      <c r="N16" s="367"/>
      <c r="O16" s="24"/>
      <c r="P16" s="159">
        <v>39880</v>
      </c>
      <c r="Q16" s="82"/>
      <c r="R16" s="82"/>
      <c r="S16" s="366"/>
      <c r="T16" s="367"/>
      <c r="U16" s="24"/>
      <c r="V16" s="159">
        <v>39887</v>
      </c>
      <c r="W16" s="82"/>
      <c r="X16" s="82"/>
      <c r="Y16" s="108"/>
      <c r="Z16" s="109"/>
      <c r="AA16" s="159">
        <v>39894</v>
      </c>
      <c r="AB16" s="199"/>
      <c r="AC16" s="199"/>
      <c r="AD16" s="193"/>
      <c r="AE16" s="130"/>
      <c r="AF16" s="91"/>
    </row>
    <row r="17" spans="2:32" s="23" customFormat="1" ht="15.75" customHeight="1">
      <c r="B17" s="23">
        <v>3</v>
      </c>
      <c r="C17" s="169" t="s">
        <v>9</v>
      </c>
      <c r="D17" s="159"/>
      <c r="E17" s="2"/>
      <c r="F17" s="2"/>
      <c r="G17" s="366"/>
      <c r="H17" s="367"/>
      <c r="I17" s="24"/>
      <c r="J17" s="159">
        <v>39874</v>
      </c>
      <c r="K17" s="82"/>
      <c r="L17" s="82"/>
      <c r="M17" s="366"/>
      <c r="N17" s="367"/>
      <c r="O17" s="24"/>
      <c r="P17" s="159">
        <v>39881</v>
      </c>
      <c r="Q17" s="82"/>
      <c r="R17" s="82"/>
      <c r="S17" s="366"/>
      <c r="T17" s="367"/>
      <c r="U17" s="24"/>
      <c r="V17" s="159">
        <v>39888</v>
      </c>
      <c r="W17" s="82"/>
      <c r="X17" s="82"/>
      <c r="Y17" s="108"/>
      <c r="Z17" s="109"/>
      <c r="AA17" s="159">
        <v>39895</v>
      </c>
      <c r="AB17" s="199"/>
      <c r="AC17" s="199"/>
      <c r="AD17" s="193"/>
      <c r="AE17" s="130"/>
      <c r="AF17" s="91"/>
    </row>
    <row r="18" spans="2:32" s="23" customFormat="1" ht="15.75" customHeight="1">
      <c r="B18" s="23">
        <v>4</v>
      </c>
      <c r="C18" s="169" t="s">
        <v>10</v>
      </c>
      <c r="D18" s="159"/>
      <c r="E18" s="2"/>
      <c r="F18" s="2"/>
      <c r="G18" s="366"/>
      <c r="H18" s="367"/>
      <c r="I18" s="24"/>
      <c r="J18" s="159">
        <v>39875</v>
      </c>
      <c r="K18" s="82"/>
      <c r="L18" s="82"/>
      <c r="M18" s="366"/>
      <c r="N18" s="367"/>
      <c r="O18" s="24"/>
      <c r="P18" s="159">
        <v>39882</v>
      </c>
      <c r="Q18" s="82"/>
      <c r="R18" s="82"/>
      <c r="S18" s="366"/>
      <c r="T18" s="367"/>
      <c r="U18" s="24"/>
      <c r="V18" s="159">
        <v>39889</v>
      </c>
      <c r="W18" s="82"/>
      <c r="X18" s="82"/>
      <c r="Y18" s="108"/>
      <c r="Z18" s="109"/>
      <c r="AA18" s="159">
        <v>39896</v>
      </c>
      <c r="AB18" s="200"/>
      <c r="AC18" s="200"/>
      <c r="AD18" s="193"/>
      <c r="AE18" s="130"/>
      <c r="AF18" s="91"/>
    </row>
    <row r="19" spans="2:32" s="23" customFormat="1" ht="15.75" customHeight="1" thickBot="1">
      <c r="B19" s="23">
        <v>5</v>
      </c>
      <c r="C19" s="169" t="s">
        <v>11</v>
      </c>
      <c r="D19" s="159"/>
      <c r="E19" s="2"/>
      <c r="F19" s="2"/>
      <c r="G19" s="366"/>
      <c r="H19" s="367"/>
      <c r="I19" s="24"/>
      <c r="J19" s="159">
        <v>39876</v>
      </c>
      <c r="K19" s="82"/>
      <c r="L19" s="82"/>
      <c r="M19" s="366"/>
      <c r="N19" s="367"/>
      <c r="O19" s="24"/>
      <c r="P19" s="159">
        <v>39883</v>
      </c>
      <c r="Q19" s="82"/>
      <c r="R19" s="82"/>
      <c r="S19" s="366"/>
      <c r="T19" s="367"/>
      <c r="U19" s="24"/>
      <c r="V19" s="159">
        <v>39890</v>
      </c>
      <c r="W19" s="82"/>
      <c r="X19" s="82"/>
      <c r="Y19" s="108"/>
      <c r="Z19" s="109"/>
      <c r="AA19" s="159">
        <v>39897</v>
      </c>
      <c r="AB19" s="200"/>
      <c r="AC19" s="200"/>
      <c r="AD19" s="193"/>
      <c r="AE19" s="130"/>
      <c r="AF19" s="91"/>
    </row>
    <row r="20" spans="2:32" s="23" customFormat="1" ht="15.75" customHeight="1">
      <c r="B20" s="23">
        <v>6</v>
      </c>
      <c r="C20" s="169" t="s">
        <v>12</v>
      </c>
      <c r="D20" s="173">
        <f>IF(WEEKDAY(FromFebruary)=B20,FromFebruary,IF(D19=0,0,D19+1))</f>
        <v>40235</v>
      </c>
      <c r="E20" s="82"/>
      <c r="F20" s="82"/>
      <c r="G20" s="366"/>
      <c r="H20" s="367"/>
      <c r="I20" s="24"/>
      <c r="J20" s="159">
        <v>39877</v>
      </c>
      <c r="K20" s="82"/>
      <c r="L20" s="82"/>
      <c r="M20" s="366"/>
      <c r="N20" s="367"/>
      <c r="O20" s="24"/>
      <c r="P20" s="159">
        <v>39884</v>
      </c>
      <c r="Q20" s="82"/>
      <c r="R20" s="82"/>
      <c r="S20" s="366"/>
      <c r="T20" s="367"/>
      <c r="U20" s="24"/>
      <c r="V20" s="159">
        <v>39891</v>
      </c>
      <c r="W20" s="82"/>
      <c r="X20" s="82"/>
      <c r="Y20" s="108"/>
      <c r="Z20" s="109"/>
      <c r="AA20" s="165"/>
      <c r="AB20" s="3"/>
      <c r="AC20" s="3"/>
      <c r="AD20" s="193"/>
      <c r="AE20" s="130"/>
      <c r="AF20" s="91"/>
    </row>
    <row r="21" spans="2:32" s="23" customFormat="1" ht="15.75" customHeight="1" thickBot="1">
      <c r="B21" s="23">
        <v>7</v>
      </c>
      <c r="C21" s="170" t="s">
        <v>13</v>
      </c>
      <c r="D21" s="173">
        <f>IF(WEEKDAY(FromFebruary)=B21,FromFebruary,IF(D20=0,0,D20+1))</f>
        <v>40236</v>
      </c>
      <c r="E21" s="82"/>
      <c r="F21" s="82"/>
      <c r="G21" s="366"/>
      <c r="H21" s="367"/>
      <c r="I21" s="25"/>
      <c r="J21" s="159">
        <v>39878</v>
      </c>
      <c r="K21" s="2"/>
      <c r="L21" s="2"/>
      <c r="M21" s="366"/>
      <c r="N21" s="367"/>
      <c r="O21" s="25"/>
      <c r="P21" s="159">
        <v>39885</v>
      </c>
      <c r="Q21" s="2"/>
      <c r="R21" s="2"/>
      <c r="S21" s="366"/>
      <c r="T21" s="367"/>
      <c r="U21" s="35"/>
      <c r="V21" s="159">
        <v>39892</v>
      </c>
      <c r="W21" s="2"/>
      <c r="X21" s="2"/>
      <c r="Y21" s="108"/>
      <c r="Z21" s="109"/>
      <c r="AA21" s="105"/>
      <c r="AB21" s="3"/>
      <c r="AC21" s="3"/>
      <c r="AD21" s="193"/>
      <c r="AE21" s="130"/>
      <c r="AF21" s="91"/>
    </row>
    <row r="22" spans="2:32" s="23" customFormat="1" ht="15.75" customHeight="1" thickBot="1">
      <c r="C22" s="171"/>
      <c r="D22" s="99"/>
      <c r="E22" s="100"/>
      <c r="F22" s="101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103"/>
      <c r="AB22" s="131"/>
      <c r="AC22" s="101"/>
      <c r="AD22" s="194"/>
      <c r="AE22" s="130"/>
      <c r="AF22" s="91"/>
    </row>
    <row r="23" spans="2:32" s="23" customFormat="1" ht="15.75" customHeight="1" thickBot="1">
      <c r="C23" s="38"/>
      <c r="D23" s="39"/>
      <c r="E23" s="40"/>
      <c r="F23" s="40"/>
      <c r="G23" s="40"/>
      <c r="H23" s="40"/>
      <c r="I23" s="41"/>
      <c r="J23" s="39"/>
      <c r="K23" s="40"/>
      <c r="L23" s="40"/>
      <c r="M23" s="40"/>
      <c r="N23" s="40"/>
      <c r="O23" s="41"/>
      <c r="P23" s="39"/>
      <c r="Q23" s="40"/>
      <c r="R23" s="40"/>
      <c r="S23" s="40"/>
      <c r="T23" s="40"/>
      <c r="U23" s="41"/>
      <c r="V23" s="39"/>
      <c r="W23" s="40"/>
      <c r="X23" s="40"/>
      <c r="Y23" s="40"/>
      <c r="Z23" s="40"/>
      <c r="AA23" s="39" t="s">
        <v>70</v>
      </c>
      <c r="AB23" s="40"/>
      <c r="AC23" s="40"/>
      <c r="AD23" s="130"/>
      <c r="AE23" s="130"/>
    </row>
    <row r="24" spans="2:32" s="23" customFormat="1" ht="15.75" customHeight="1" thickBot="1">
      <c r="C24" s="174" t="s">
        <v>16</v>
      </c>
      <c r="D24" s="175"/>
      <c r="E24" s="84">
        <f>SUM(E15:E23)</f>
        <v>0</v>
      </c>
      <c r="F24" s="85">
        <f>SUM(F15:F23)</f>
        <v>0</v>
      </c>
      <c r="G24" s="30"/>
      <c r="I24" s="26"/>
      <c r="J24" s="27"/>
      <c r="K24" s="89">
        <f>SUM(K15:K23)</f>
        <v>0</v>
      </c>
      <c r="L24" s="85">
        <f>SUM(L15:L23)</f>
        <v>0</v>
      </c>
      <c r="M24" s="116"/>
      <c r="Q24" s="84">
        <f>SUM(Q15:Q23)</f>
        <v>0</v>
      </c>
      <c r="R24" s="85">
        <f>SUM(R15:R23)</f>
        <v>0</v>
      </c>
      <c r="S24" s="30"/>
      <c r="T24" s="26"/>
      <c r="U24" s="26"/>
      <c r="W24" s="89">
        <f>SUM(W15:W23)</f>
        <v>0</v>
      </c>
      <c r="X24" s="85">
        <f>SUM(X15:X23)</f>
        <v>0</v>
      </c>
      <c r="Y24" s="30"/>
      <c r="AA24" s="44">
        <f>SUM(AB22:AB23)</f>
        <v>0</v>
      </c>
      <c r="AB24" s="85">
        <f>SUM(AB15:AB23)</f>
        <v>0</v>
      </c>
      <c r="AC24" s="85">
        <f>SUM(AC15:AC21)</f>
        <v>0</v>
      </c>
      <c r="AD24" s="30"/>
      <c r="AE24" s="45">
        <f>SUM(AC22,AC23)</f>
        <v>0</v>
      </c>
    </row>
    <row r="25" spans="2:32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</row>
    <row r="26" spans="2:32" s="23" customFormat="1" ht="15.75" customHeight="1">
      <c r="D26" s="43"/>
      <c r="M26" s="124"/>
    </row>
    <row r="27" spans="2:32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2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2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2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2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2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SUMIF($H$15:$H$23,"",$G$15:$G$23)+SUMIF($N$15:$N$23,"",$M$15:$M$23)+SUMIF($T$15:$T$23,"",$S$15:$S$23)+SUMIF($Z$15:$Z$23,"",$Y$15:$Y$23)+SUMIF($AE$15:$AE$23,"",$AD$15:$AD$23)</f>
        <v>0</v>
      </c>
    </row>
    <row r="37" spans="3:31">
      <c r="C37" s="4" t="s">
        <v>76</v>
      </c>
      <c r="T37" s="32"/>
      <c r="W37" s="42"/>
      <c r="Y37" s="12">
        <f>SUMIF($H$15:$H$23,#REF!,$G$15:$G$23)+SUMIF($N$15:$N$23,#REF!,$M$15:$M$23)+SUMIF($T$15:$T$23,#REF!,$S$15:$S$23)+SUMIF($Z$15:$Z$23,#REF!,$Y$15:$Y$23)+SUMIF($AE$15:$AE$23,#REF!,$AD$15:$AD$23)</f>
        <v>0</v>
      </c>
    </row>
    <row r="38" spans="3:31">
      <c r="Y38" s="12">
        <f>SUMIF($H$15:$H$23,#REF!,$G$15:$G$23)+SUMIF($N$15:$N$23,#REF!,$M$15:$M$23)+SUMIF($T$15:$T$23,#REF!,$S$15:$S$23)+SUMIF($Z$15:$Z$23,#REF!,$Y$15:$Y$23)+SUMIF($AE$15:$AE$23,#REF!,$AD$15:$AD$23)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SUMIF($H$15:$H$23,#REF!,$G$15:$G$23)+SUMIF($N$15:$N$23,#REF!,$M$15:$M$23)+SUMIF($T$15:$T$23,#REF!,$S$15:$S$23)+SUMIF($Z$15:$Z$23,#REF!,$Y$15:$Y$23)+SUMIF($AE$15:$AE$23,#REF!,$AD$15:$AD$23)</f>
        <v>0</v>
      </c>
      <c r="AE39" s="22"/>
    </row>
    <row r="40" spans="3:31">
      <c r="V40" s="133"/>
      <c r="W40" s="134"/>
      <c r="X40" s="134"/>
      <c r="Y40" s="135">
        <f>SUMIF($H$15:$H$23,#REF!,$G$15:$G$23)+SUMIF($N$15:$N$23,#REF!,$M$15:$M$23)+SUMIF($T$15:$T$23,#REF!,$S$15:$S$23)+SUMIF($Z$15:$Z$23,#REF!,$Y$15:$Y$23)+SUMIF($AE$15:$AE$23,#REF!,$AD$15:$AD$23)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61</v>
      </c>
      <c r="V41" s="137"/>
      <c r="W41" s="22"/>
      <c r="X41" s="22"/>
      <c r="Y41" s="138">
        <f>SUMIF($H$15:$H$23,#REF!,$G$15:$G$23)+SUMIF($N$15:$N$23,#REF!,$M$15:$M$23)+SUMIF($T$15:$T$23,#REF!,$S$15:$S$23)+SUMIF($Z$15:$Z$23,#REF!,$Y$15:$Y$23)+SUMIF($AE$15:$AE$23,#REF!,$AD$15:$AD$23)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SUMIF($H$15:$H$23,#REF!,$G$15:$G$23)+SUMIF($N$15:$N$23,#REF!,$M$15:$M$23)+SUMIF($T$15:$T$23,#REF!,$S$15:$S$23)+SUMIF($Z$15:$Z$23,#REF!,$Y$15:$Y$23)+SUMIF($AE$15:$AE$23,#REF!,$AD$15:$AD$23)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SUMIF($H$15:$H$23,#REF!,$G$15:$G$23)+SUMIF($N$15:$N$23,#REF!,$M$15:$M$23)+SUMIF($T$15:$T$23,#REF!,$S$15:$S$23)+SUMIF($Z$15:$Z$23,#REF!,$Y$15:$Y$23)+SUMIF($AE$15:$AE$23,#REF!,$AD$15:$AD$23)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SUMIF($H$15:$H$23,#REF!,$G$15:$G$23)+SUMIF($N$15:$N$23,#REF!,$M$15:$M$23)+SUMIF($T$15:$T$23,#REF!,$S$15:$S$23)+SUMIF($Z$15:$Z$23,#REF!,$Y$15:$Y$23)+SUMIF($AE$15:$AE$23,#REF!,$AD$15:$AD$23)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SUMIF($H$15:$H$23,#REF!,$G$15:$G$23)+SUMIF($N$15:$N$23,#REF!,$M$15:$M$23)+SUMIF($T$15:$T$23,#REF!,$S$15:$S$23)+SUMIF($Z$15:$Z$23,#REF!,$Y$15:$Y$23)+SUMIF($AE$15:$AE$23,#REF!,$AD$15:$AD$23)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SUMIF($H$15:$H$23,#REF!,$G$15:$G$23)+SUMIF($N$15:$N$23,#REF!,$M$15:$M$23)+SUMIF($T$15:$T$23,#REF!,$S$15:$S$23)+SUMIF($Z$15:$Z$23,#REF!,$Y$15:$Y$23)+SUMIF($AE$15:$AE$23,#REF!,$AD$15:$AD$23)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SUMIF($H$15:$H$23,#REF!,$G$15:$G$23)+SUMIF($N$15:$N$23,#REF!,$M$15:$M$23)+SUMIF($T$15:$T$23,#REF!,$S$15:$S$23)+SUMIF($Z$15:$Z$23,#REF!,$Y$15:$Y$23)+SUMIF($AE$15:$AE$23,#REF!,$AD$15:$AD$23)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SUMIF($H$15:$H$23,#REF!,$G$15:$G$23)+SUMIF($N$15:$N$23,#REF!,$M$15:$M$23)+SUMIF($T$15:$T$23,#REF!,$S$15:$S$23)+SUMIF($Z$15:$Z$23,#REF!,$Y$15:$Y$23)+SUMIF($AE$15:$AE$23,#REF!,$AD$15:$AD$23)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SUMIF($H$15:$H$23,#REF!,$G$15:$G$23)+SUMIF($N$15:$N$23,#REF!,$M$15:$M$23)+SUMIF($T$15:$T$23,#REF!,$S$15:$S$23)+SUMIF($Z$15:$Z$23,#REF!,$Y$15:$Y$23)+SUMIF($AE$15:$AE$23,#REF!,$AD$15:$AD$23)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  <row r="56" spans="3:31"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</row>
  </sheetData>
  <mergeCells count="52">
    <mergeCell ref="Y13:Z13"/>
    <mergeCell ref="C39:R39"/>
    <mergeCell ref="J32:K32"/>
    <mergeCell ref="L29:M29"/>
    <mergeCell ref="C29:D31"/>
    <mergeCell ref="E29:F29"/>
    <mergeCell ref="G29:I29"/>
    <mergeCell ref="J29:K29"/>
    <mergeCell ref="E30:F31"/>
    <mergeCell ref="G32:I32"/>
    <mergeCell ref="T56:AE56"/>
    <mergeCell ref="C53:R55"/>
    <mergeCell ref="C50:O50"/>
    <mergeCell ref="Q50:R50"/>
    <mergeCell ref="C45:O45"/>
    <mergeCell ref="Q45:R45"/>
    <mergeCell ref="L32:M32"/>
    <mergeCell ref="E33:F34"/>
    <mergeCell ref="G33:I34"/>
    <mergeCell ref="J33:K34"/>
    <mergeCell ref="L33:M34"/>
    <mergeCell ref="C32:D34"/>
    <mergeCell ref="E32:F32"/>
    <mergeCell ref="G30:I31"/>
    <mergeCell ref="J30:K31"/>
    <mergeCell ref="L30:M31"/>
    <mergeCell ref="G8:L8"/>
    <mergeCell ref="M8:S8"/>
    <mergeCell ref="G13:H22"/>
    <mergeCell ref="M13:N22"/>
    <mergeCell ref="S13:T22"/>
    <mergeCell ref="E28:K28"/>
    <mergeCell ref="E6:S6"/>
    <mergeCell ref="AA12:AD12"/>
    <mergeCell ref="G9:L9"/>
    <mergeCell ref="M9:S9"/>
    <mergeCell ref="V9:X9"/>
    <mergeCell ref="Y9:Z9"/>
    <mergeCell ref="C12:H12"/>
    <mergeCell ref="J12:N12"/>
    <mergeCell ref="P12:T12"/>
    <mergeCell ref="V12:Z12"/>
    <mergeCell ref="C8:F9"/>
    <mergeCell ref="V8:X8"/>
    <mergeCell ref="Y8:Z8"/>
    <mergeCell ref="AA9:AD9"/>
    <mergeCell ref="V7:Z7"/>
    <mergeCell ref="AA7:AD7"/>
    <mergeCell ref="AA8:AD8"/>
    <mergeCell ref="AB2:AD2"/>
    <mergeCell ref="AC3:AD3"/>
    <mergeCell ref="AC4:AD4"/>
  </mergeCells>
  <phoneticPr fontId="1" type="noConversion"/>
  <conditionalFormatting sqref="D21 J15:J22 P15:P21 V15:V22 AA15:AA23">
    <cfRule type="cellIs" dxfId="28" priority="1" stopIfTrue="1" operator="equal">
      <formula>0</formula>
    </cfRule>
  </conditionalFormatting>
  <conditionalFormatting sqref="P22">
    <cfRule type="cellIs" dxfId="27" priority="2" stopIfTrue="1" operator="equal">
      <formula>0</formula>
    </cfRule>
    <cfRule type="cellIs" dxfId="26" priority="3" stopIfTrue="1" operator="equal">
      <formula>37277</formula>
    </cfRule>
  </conditionalFormatting>
  <conditionalFormatting sqref="D15:D22">
    <cfRule type="cellIs" dxfId="25" priority="4" stopIfTrue="1" operator="equal">
      <formula>0</formula>
    </cfRule>
    <cfRule type="cellIs" dxfId="24" priority="5" stopIfTrue="1" operator="equal">
      <formula>37622</formula>
    </cfRule>
  </conditionalFormatting>
  <dataValidations count="2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E15:F23 G23 S23 M23 Y23 W15:X23 K15:L23 Q15:R23 AB15:AC23">
      <formula1>1</formula1>
    </dataValidation>
    <dataValidation type="list" allowBlank="1" showInputMessage="1" showErrorMessage="1" errorTitle="Invalid Leave Code" error="Please select a valid leave code" promptTitle="Leave Code" sqref="H23 T23 Z23 N23">
      <formula1>#REF!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2"/>
  <dimension ref="B1:AI56"/>
  <sheetViews>
    <sheetView zoomScaleNormal="100" zoomScaleSheetLayoutView="100" workbookViewId="0">
      <selection activeCell="E20" sqref="E20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.5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16406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40263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40293</v>
      </c>
      <c r="AD4" s="363"/>
    </row>
    <row r="5" spans="2:35" ht="16.5" customHeight="1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40268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tr">
        <f>IF($Y$36=0,"","You must enter a valid leave code directly to the right of all leave taken.")</f>
        <v/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159">
        <v>39928</v>
      </c>
      <c r="E15" s="82"/>
      <c r="F15" s="82"/>
      <c r="G15" s="366"/>
      <c r="H15" s="367"/>
      <c r="I15" s="24"/>
      <c r="J15" s="159">
        <v>39900</v>
      </c>
      <c r="K15" s="2"/>
      <c r="L15" s="2"/>
      <c r="M15" s="366"/>
      <c r="N15" s="367"/>
      <c r="O15" s="24"/>
      <c r="P15" s="159">
        <v>39907</v>
      </c>
      <c r="Q15" s="2"/>
      <c r="R15" s="2"/>
      <c r="S15" s="366"/>
      <c r="T15" s="367"/>
      <c r="U15" s="24"/>
      <c r="V15" s="159">
        <v>39914</v>
      </c>
      <c r="W15" s="2"/>
      <c r="X15" s="2"/>
      <c r="Y15" s="108"/>
      <c r="Z15" s="109"/>
      <c r="AA15" s="159">
        <v>39921</v>
      </c>
      <c r="AB15" s="113"/>
      <c r="AC15" s="113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97"/>
      <c r="E16" s="2"/>
      <c r="F16" s="2"/>
      <c r="G16" s="366"/>
      <c r="H16" s="367"/>
      <c r="I16" s="24"/>
      <c r="J16" s="159">
        <v>39901</v>
      </c>
      <c r="K16" s="82"/>
      <c r="L16" s="82"/>
      <c r="M16" s="366"/>
      <c r="N16" s="367"/>
      <c r="O16" s="24"/>
      <c r="P16" s="159">
        <v>39908</v>
      </c>
      <c r="Q16" s="82"/>
      <c r="R16" s="82"/>
      <c r="S16" s="366"/>
      <c r="T16" s="367"/>
      <c r="U16" s="24"/>
      <c r="V16" s="159">
        <v>39915</v>
      </c>
      <c r="W16" s="82"/>
      <c r="X16" s="82"/>
      <c r="Y16" s="108"/>
      <c r="Z16" s="109"/>
      <c r="AA16" s="159">
        <v>39922</v>
      </c>
      <c r="AB16" s="114"/>
      <c r="AC16" s="114"/>
      <c r="AD16" s="193"/>
      <c r="AE16" s="130"/>
      <c r="AF16" s="91"/>
    </row>
    <row r="17" spans="2:32" s="23" customFormat="1" ht="15.75" customHeight="1">
      <c r="B17" s="23">
        <v>3</v>
      </c>
      <c r="C17" s="169" t="s">
        <v>9</v>
      </c>
      <c r="D17" s="159">
        <f>IF(WEEKDAY(FromMar)=B17,FromMar,IF(D16=0,0,D16+1))</f>
        <v>0</v>
      </c>
      <c r="E17" s="2"/>
      <c r="F17" s="2"/>
      <c r="G17" s="366"/>
      <c r="H17" s="367"/>
      <c r="I17" s="24"/>
      <c r="J17" s="159">
        <v>39902</v>
      </c>
      <c r="K17" s="82"/>
      <c r="L17" s="82"/>
      <c r="M17" s="366"/>
      <c r="N17" s="367"/>
      <c r="O17" s="24"/>
      <c r="P17" s="159">
        <v>39909</v>
      </c>
      <c r="Q17" s="82"/>
      <c r="R17" s="82"/>
      <c r="S17" s="366"/>
      <c r="T17" s="367"/>
      <c r="U17" s="24"/>
      <c r="V17" s="159">
        <v>39916</v>
      </c>
      <c r="W17" s="82"/>
      <c r="X17" s="82"/>
      <c r="Y17" s="108"/>
      <c r="Z17" s="109"/>
      <c r="AA17" s="159">
        <v>39923</v>
      </c>
      <c r="AB17" s="114"/>
      <c r="AC17" s="114"/>
      <c r="AD17" s="193"/>
      <c r="AE17" s="130"/>
      <c r="AF17" s="91"/>
    </row>
    <row r="18" spans="2:32" s="23" customFormat="1" ht="15.75" customHeight="1">
      <c r="B18" s="23">
        <v>4</v>
      </c>
      <c r="C18" s="169" t="s">
        <v>10</v>
      </c>
      <c r="D18" s="159"/>
      <c r="E18" s="2"/>
      <c r="F18" s="2"/>
      <c r="G18" s="366"/>
      <c r="H18" s="367"/>
      <c r="I18" s="24"/>
      <c r="J18" s="159">
        <v>39903</v>
      </c>
      <c r="K18" s="82"/>
      <c r="L18" s="82"/>
      <c r="M18" s="366"/>
      <c r="N18" s="367"/>
      <c r="O18" s="24"/>
      <c r="P18" s="159">
        <v>39910</v>
      </c>
      <c r="Q18" s="82"/>
      <c r="R18" s="82"/>
      <c r="S18" s="366"/>
      <c r="T18" s="367"/>
      <c r="U18" s="24"/>
      <c r="V18" s="159">
        <v>39917</v>
      </c>
      <c r="W18" s="82"/>
      <c r="X18" s="82"/>
      <c r="Y18" s="108"/>
      <c r="Z18" s="109"/>
      <c r="AA18" s="159">
        <v>39924</v>
      </c>
      <c r="AB18" s="114"/>
      <c r="AC18" s="114"/>
      <c r="AD18" s="193"/>
      <c r="AE18" s="130"/>
      <c r="AF18" s="91"/>
    </row>
    <row r="19" spans="2:32" s="23" customFormat="1" ht="15.75" customHeight="1">
      <c r="B19" s="23">
        <v>5</v>
      </c>
      <c r="C19" s="169" t="s">
        <v>11</v>
      </c>
      <c r="D19" s="159">
        <f>IF(WEEKDAY(FromMar)=B19,FromMar,IF(D18=0,0,D18+1))</f>
        <v>0</v>
      </c>
      <c r="E19" s="2"/>
      <c r="F19" s="2"/>
      <c r="G19" s="366"/>
      <c r="H19" s="367"/>
      <c r="I19" s="24"/>
      <c r="J19" s="159">
        <v>39904</v>
      </c>
      <c r="K19" s="82"/>
      <c r="L19" s="82"/>
      <c r="M19" s="366"/>
      <c r="N19" s="367"/>
      <c r="O19" s="24"/>
      <c r="P19" s="159">
        <v>39911</v>
      </c>
      <c r="Q19" s="82"/>
      <c r="R19" s="82"/>
      <c r="S19" s="366"/>
      <c r="T19" s="367"/>
      <c r="U19" s="24"/>
      <c r="V19" s="159">
        <v>39918</v>
      </c>
      <c r="W19" s="82"/>
      <c r="X19" s="82"/>
      <c r="Y19" s="108"/>
      <c r="Z19" s="109"/>
      <c r="AA19" s="159">
        <v>39925</v>
      </c>
      <c r="AB19" s="114"/>
      <c r="AC19" s="114"/>
      <c r="AD19" s="193"/>
      <c r="AE19" s="130"/>
      <c r="AF19" s="91"/>
    </row>
    <row r="20" spans="2:32" s="23" customFormat="1" ht="15.75" customHeight="1">
      <c r="B20" s="23">
        <v>6</v>
      </c>
      <c r="C20" s="169" t="s">
        <v>12</v>
      </c>
      <c r="D20" s="159">
        <f>IF(WEEKDAY(FromMar)=B20,FromMar,IF(D19=0,0,D19+1))</f>
        <v>40263</v>
      </c>
      <c r="E20" s="82"/>
      <c r="F20" s="82"/>
      <c r="G20" s="366"/>
      <c r="H20" s="367"/>
      <c r="I20" s="24"/>
      <c r="J20" s="349">
        <v>39905</v>
      </c>
      <c r="K20" s="82"/>
      <c r="L20" s="82"/>
      <c r="M20" s="366"/>
      <c r="N20" s="367"/>
      <c r="O20" s="24"/>
      <c r="P20" s="159">
        <v>39912</v>
      </c>
      <c r="Q20" s="82"/>
      <c r="R20" s="82"/>
      <c r="S20" s="366"/>
      <c r="T20" s="367"/>
      <c r="U20" s="24"/>
      <c r="V20" s="159">
        <v>39919</v>
      </c>
      <c r="W20" s="82"/>
      <c r="X20" s="82"/>
      <c r="Y20" s="108"/>
      <c r="Z20" s="109"/>
      <c r="AA20" s="159">
        <v>39926</v>
      </c>
      <c r="AB20" s="114"/>
      <c r="AC20" s="114"/>
      <c r="AD20" s="193"/>
      <c r="AE20" s="130"/>
      <c r="AF20" s="91"/>
    </row>
    <row r="21" spans="2:32" s="23" customFormat="1" ht="15.75" customHeight="1" thickBot="1">
      <c r="B21" s="23">
        <v>7</v>
      </c>
      <c r="C21" s="170" t="s">
        <v>13</v>
      </c>
      <c r="D21" s="173">
        <f>IF(WEEKDAY(FromMar)=B21,FromMar,IF(D20=0,0,D20+1))</f>
        <v>40264</v>
      </c>
      <c r="E21" s="2"/>
      <c r="F21" s="2"/>
      <c r="G21" s="366"/>
      <c r="H21" s="367"/>
      <c r="I21" s="25"/>
      <c r="J21" s="159">
        <v>39906</v>
      </c>
      <c r="K21" s="2"/>
      <c r="L21" s="2"/>
      <c r="M21" s="366"/>
      <c r="N21" s="367"/>
      <c r="O21" s="25"/>
      <c r="P21" s="159">
        <v>39913</v>
      </c>
      <c r="Q21" s="2"/>
      <c r="R21" s="2"/>
      <c r="S21" s="366"/>
      <c r="T21" s="367"/>
      <c r="U21" s="35"/>
      <c r="V21" s="159">
        <v>39920</v>
      </c>
      <c r="W21" s="2"/>
      <c r="X21" s="2"/>
      <c r="Y21" s="108"/>
      <c r="Z21" s="109"/>
      <c r="AA21" s="159">
        <v>39927</v>
      </c>
      <c r="AB21" s="115"/>
      <c r="AC21" s="115"/>
      <c r="AD21" s="193"/>
      <c r="AE21" s="130"/>
      <c r="AF21" s="91"/>
    </row>
    <row r="22" spans="2:32" s="23" customFormat="1" ht="15.75" customHeight="1" thickBot="1">
      <c r="C22" s="171"/>
      <c r="D22" s="99"/>
      <c r="E22" s="100"/>
      <c r="F22" s="101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103"/>
      <c r="AB22" s="131"/>
      <c r="AC22" s="101"/>
      <c r="AD22" s="194"/>
      <c r="AE22" s="130"/>
      <c r="AF22" s="91"/>
    </row>
    <row r="23" spans="2:32" ht="13.5" thickBot="1">
      <c r="R23" s="21" t="str">
        <f>IF($Y$36=0,"","You must enter a valid leave code directly to the right of all leave taken.")</f>
        <v/>
      </c>
      <c r="AA23" s="128" t="s">
        <v>70</v>
      </c>
      <c r="AB23" s="128"/>
      <c r="AC23" s="128"/>
      <c r="AD23" s="130"/>
      <c r="AE23" s="130"/>
    </row>
    <row r="24" spans="2:32" s="23" customFormat="1" ht="15.75" customHeight="1" thickBot="1">
      <c r="C24" s="174" t="s">
        <v>16</v>
      </c>
      <c r="D24" s="175"/>
      <c r="E24" s="84">
        <f>SUM(E15:E22)</f>
        <v>0</v>
      </c>
      <c r="F24" s="85">
        <f>SUM(F15:F22)</f>
        <v>0</v>
      </c>
      <c r="G24" s="30"/>
      <c r="I24" s="26"/>
      <c r="J24" s="27"/>
      <c r="K24" s="89">
        <f>SUM(K15:K22)</f>
        <v>0</v>
      </c>
      <c r="L24" s="85">
        <f>SUM(L15:L22)</f>
        <v>0</v>
      </c>
      <c r="M24" s="116"/>
      <c r="Q24" s="84">
        <f>SUM(Q15:Q22)</f>
        <v>0</v>
      </c>
      <c r="R24" s="85">
        <f>SUM(R15:R22)</f>
        <v>0</v>
      </c>
      <c r="S24" s="30"/>
      <c r="T24" s="26"/>
      <c r="U24" s="26"/>
      <c r="W24" s="89">
        <f>SUM(W15:W22)</f>
        <v>0</v>
      </c>
      <c r="X24" s="85">
        <f>SUM(X15:X22)</f>
        <v>0</v>
      </c>
      <c r="Y24" s="30"/>
      <c r="Z24" s="90"/>
      <c r="AA24" s="44"/>
      <c r="AB24" s="85">
        <f>SUM(AB15:AB22)</f>
        <v>0</v>
      </c>
      <c r="AC24" s="85">
        <f>SUM(AC15:AC22)</f>
        <v>0</v>
      </c>
      <c r="AD24" s="30"/>
      <c r="AE24" s="45"/>
    </row>
    <row r="25" spans="2:32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</row>
    <row r="26" spans="2:32" s="91" customFormat="1" ht="15.75" customHeight="1">
      <c r="E26" s="35"/>
      <c r="F26" s="92"/>
      <c r="G26" s="93"/>
      <c r="H26" s="35"/>
      <c r="I26" s="35"/>
      <c r="J26" s="35"/>
      <c r="K26" s="35"/>
      <c r="L26" s="92"/>
      <c r="M26" s="112"/>
      <c r="N26" s="35"/>
      <c r="O26" s="35"/>
      <c r="P26" s="35"/>
      <c r="Q26" s="35"/>
      <c r="R26" s="92"/>
      <c r="S26" s="93"/>
      <c r="T26" s="35"/>
      <c r="U26" s="35"/>
      <c r="V26" s="35"/>
      <c r="W26" s="35"/>
      <c r="X26" s="92"/>
      <c r="Y26" s="93"/>
      <c r="Z26" s="35"/>
      <c r="AA26" s="35"/>
      <c r="AB26" s="35"/>
      <c r="AC26" s="92"/>
      <c r="AD26" s="93"/>
      <c r="AE26" s="94"/>
    </row>
    <row r="27" spans="2:32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2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2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2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2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2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SUMIF($H$15:$H$22,"",$G$15:$G$22)+SUMIF($N$15:$N$22,"",$M$15:$M$22)+SUMIF($T$15:$T$22,"",$S$15:$S$22)+SUMIF($Z$15:$Z$22,"",$Y$15:$Y$22)+SUMIF($AE$15:$AE$22,"",$AD$15:$AD$22)</f>
        <v>0</v>
      </c>
    </row>
    <row r="37" spans="3:31">
      <c r="C37" s="4" t="s">
        <v>76</v>
      </c>
      <c r="T37" s="32"/>
      <c r="W37" s="42"/>
      <c r="Y37" s="12">
        <f>SUMIF($H$15:$H$22,#REF!,$G$15:$G$22)+SUMIF($N$15:$N$22,#REF!,$M$15:$M$22)+SUMIF($T$15:$T$22,#REF!,$S$15:$S$22)+SUMIF($Z$15:$Z$22,#REF!,$Y$15:$Y$22)+SUMIF($AE$15:$AE$22,#REF!,$AD$15:$AD$22)</f>
        <v>0</v>
      </c>
    </row>
    <row r="38" spans="3:31">
      <c r="Y38" s="12">
        <f>SUMIF($H$15:$H$22,#REF!,$G$15:$G$22)+SUMIF($N$15:$N$22,#REF!,$M$15:$M$22)+SUMIF($T$15:$T$22,#REF!,$S$15:$S$22)+SUMIF($Z$15:$Z$22,#REF!,$Y$15:$Y$22)+SUMIF($AE$15:$AE$22,#REF!,$AD$15:$AD$22)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SUMIF($H$15:$H$22,#REF!,$G$15:$G$22)+SUMIF($N$15:$N$22,#REF!,$M$15:$M$22)+SUMIF($T$15:$T$22,#REF!,$S$15:$S$22)+SUMIF($Z$15:$Z$22,#REF!,$Y$15:$Y$22)+SUMIF($AE$15:$AE$22,#REF!,$AD$15:$AD$22)</f>
        <v>0</v>
      </c>
      <c r="AE39" s="22"/>
    </row>
    <row r="40" spans="3:31">
      <c r="V40" s="133"/>
      <c r="W40" s="134"/>
      <c r="X40" s="134"/>
      <c r="Y40" s="135">
        <f>SUMIF($H$15:$H$22,#REF!,$G$15:$G$22)+SUMIF($N$15:$N$22,#REF!,$M$15:$M$22)+SUMIF($T$15:$T$22,#REF!,$S$15:$S$22)+SUMIF($Z$15:$Z$22,#REF!,$Y$15:$Y$22)+SUMIF($AE$15:$AE$22,#REF!,$AD$15:$AD$22)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61</v>
      </c>
      <c r="V41" s="137"/>
      <c r="W41" s="22"/>
      <c r="X41" s="22"/>
      <c r="Y41" s="138">
        <f>SUMIF($H$15:$H$22,#REF!,$G$15:$G$22)+SUMIF($N$15:$N$22,#REF!,$M$15:$M$22)+SUMIF($T$15:$T$22,#REF!,$S$15:$S$22)+SUMIF($Z$15:$Z$22,#REF!,$Y$15:$Y$22)+SUMIF($AE$15:$AE$22,#REF!,$AD$15:$AD$22)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SUMIF($H$15:$H$22,#REF!,$G$15:$G$22)+SUMIF($N$15:$N$22,#REF!,$M$15:$M$22)+SUMIF($T$15:$T$22,#REF!,$S$15:$S$22)+SUMIF($Z$15:$Z$22,#REF!,$Y$15:$Y$22)+SUMIF($AE$15:$AE$22,#REF!,$AD$15:$AD$22)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SUMIF($H$15:$H$22,#REF!,$G$15:$G$22)+SUMIF($N$15:$N$22,#REF!,$M$15:$M$22)+SUMIF($T$15:$T$22,#REF!,$S$15:$S$22)+SUMIF($Z$15:$Z$22,#REF!,$Y$15:$Y$22)+SUMIF($AE$15:$AE$22,#REF!,$AD$15:$AD$22)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SUMIF($H$15:$H$22,#REF!,$G$15:$G$22)+SUMIF($N$15:$N$22,#REF!,$M$15:$M$22)+SUMIF($T$15:$T$22,#REF!,$S$15:$S$22)+SUMIF($Z$15:$Z$22,#REF!,$Y$15:$Y$22)+SUMIF($AE$15:$AE$22,#REF!,$AD$15:$AD$22)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SUMIF($H$15:$H$22,#REF!,$G$15:$G$22)+SUMIF($N$15:$N$22,#REF!,$M$15:$M$22)+SUMIF($T$15:$T$22,#REF!,$S$15:$S$22)+SUMIF($Z$15:$Z$22,#REF!,$Y$15:$Y$22)+SUMIF($AE$15:$AE$22,#REF!,$AD$15:$AD$22)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SUMIF($H$15:$H$22,#REF!,$G$15:$G$22)+SUMIF($N$15:$N$22,#REF!,$M$15:$M$22)+SUMIF($T$15:$T$22,#REF!,$S$15:$S$22)+SUMIF($Z$15:$Z$22,#REF!,$Y$15:$Y$22)+SUMIF($AE$15:$AE$22,#REF!,$AD$15:$AD$22)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SUMIF($H$15:$H$22,#REF!,$G$15:$G$22)+SUMIF($N$15:$N$22,#REF!,$M$15:$M$22)+SUMIF($T$15:$T$22,#REF!,$S$15:$S$22)+SUMIF($Z$15:$Z$22,#REF!,$Y$15:$Y$22)+SUMIF($AE$15:$AE$22,#REF!,$AD$15:$AD$22)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SUMIF($H$15:$H$22,#REF!,$G$15:$G$22)+SUMIF($N$15:$N$22,#REF!,$M$15:$M$22)+SUMIF($T$15:$T$22,#REF!,$S$15:$S$22)+SUMIF($Z$15:$Z$22,#REF!,$Y$15:$Y$22)+SUMIF($AE$15:$AE$22,#REF!,$AD$15:$AD$22)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SUMIF($H$15:$H$22,#REF!,$G$15:$G$22)+SUMIF($N$15:$N$22,#REF!,$M$15:$M$22)+SUMIF($T$15:$T$22,#REF!,$S$15:$S$22)+SUMIF($Z$15:$Z$22,#REF!,$Y$15:$Y$22)+SUMIF($AE$15:$AE$22,#REF!,$AD$15:$AD$22)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  <row r="56" spans="3:31"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</row>
  </sheetData>
  <mergeCells count="52">
    <mergeCell ref="C39:R39"/>
    <mergeCell ref="T56:AE56"/>
    <mergeCell ref="C53:R55"/>
    <mergeCell ref="C50:O50"/>
    <mergeCell ref="Q50:R50"/>
    <mergeCell ref="C45:O45"/>
    <mergeCell ref="Q45:R45"/>
    <mergeCell ref="Y13:Z13"/>
    <mergeCell ref="G30:I31"/>
    <mergeCell ref="J30:K31"/>
    <mergeCell ref="L30:M31"/>
    <mergeCell ref="G13:H22"/>
    <mergeCell ref="C32:D34"/>
    <mergeCell ref="E32:F32"/>
    <mergeCell ref="G32:I32"/>
    <mergeCell ref="J32:K32"/>
    <mergeCell ref="E28:K28"/>
    <mergeCell ref="L32:M32"/>
    <mergeCell ref="E33:F34"/>
    <mergeCell ref="G33:I34"/>
    <mergeCell ref="J33:K34"/>
    <mergeCell ref="L33:M34"/>
    <mergeCell ref="E6:S6"/>
    <mergeCell ref="G8:L8"/>
    <mergeCell ref="M8:S8"/>
    <mergeCell ref="C29:D31"/>
    <mergeCell ref="E29:F29"/>
    <mergeCell ref="G29:I29"/>
    <mergeCell ref="J29:K29"/>
    <mergeCell ref="L29:M29"/>
    <mergeCell ref="E30:F31"/>
    <mergeCell ref="C12:H12"/>
    <mergeCell ref="M13:N22"/>
    <mergeCell ref="S13:T22"/>
    <mergeCell ref="AA12:AD12"/>
    <mergeCell ref="AB2:AD2"/>
    <mergeCell ref="AC3:AD3"/>
    <mergeCell ref="AC4:AD4"/>
    <mergeCell ref="AA9:AD9"/>
    <mergeCell ref="AA7:AD7"/>
    <mergeCell ref="AA8:AD8"/>
    <mergeCell ref="Y8:Z8"/>
    <mergeCell ref="V7:Z7"/>
    <mergeCell ref="V8:X8"/>
    <mergeCell ref="V12:Z12"/>
    <mergeCell ref="V9:X9"/>
    <mergeCell ref="Y9:Z9"/>
    <mergeCell ref="J12:N12"/>
    <mergeCell ref="P12:T12"/>
    <mergeCell ref="C8:F9"/>
    <mergeCell ref="M9:S9"/>
    <mergeCell ref="G9:L9"/>
  </mergeCells>
  <phoneticPr fontId="1" type="noConversion"/>
  <conditionalFormatting sqref="V22 J15:J22 P15:P21 AA15:AA22">
    <cfRule type="cellIs" dxfId="23" priority="6" stopIfTrue="1" operator="equal">
      <formula>0</formula>
    </cfRule>
  </conditionalFormatting>
  <conditionalFormatting sqref="P22">
    <cfRule type="cellIs" dxfId="22" priority="7" stopIfTrue="1" operator="equal">
      <formula>0</formula>
    </cfRule>
    <cfRule type="cellIs" dxfId="21" priority="8" stopIfTrue="1" operator="equal">
      <formula>37277</formula>
    </cfRule>
  </conditionalFormatting>
  <conditionalFormatting sqref="D15:D22">
    <cfRule type="cellIs" dxfId="20" priority="9" stopIfTrue="1" operator="equal">
      <formula>0</formula>
    </cfRule>
    <cfRule type="cellIs" dxfId="19" priority="10" stopIfTrue="1" operator="equal">
      <formula>37622</formula>
    </cfRule>
  </conditionalFormatting>
  <conditionalFormatting sqref="V15:V21">
    <cfRule type="cellIs" dxfId="18" priority="11" stopIfTrue="1" operator="equal">
      <formula>0</formula>
    </cfRule>
    <cfRule type="cellIs" dxfId="17" priority="12" stopIfTrue="1" operator="equal">
      <formula>38436</formula>
    </cfRule>
  </conditionalFormatting>
  <conditionalFormatting sqref="AA15:AA21">
    <cfRule type="cellIs" dxfId="16" priority="4" stopIfTrue="1" operator="equal">
      <formula>0</formula>
    </cfRule>
    <cfRule type="cellIs" dxfId="15" priority="5" stopIfTrue="1" operator="equal">
      <formula>38436</formula>
    </cfRule>
  </conditionalFormatting>
  <conditionalFormatting sqref="D15">
    <cfRule type="cellIs" dxfId="14" priority="3" stopIfTrue="1" operator="equal">
      <formula>0</formula>
    </cfRule>
  </conditionalFormatting>
  <conditionalFormatting sqref="D15">
    <cfRule type="cellIs" dxfId="13" priority="1" stopIfTrue="1" operator="equal">
      <formula>0</formula>
    </cfRule>
    <cfRule type="cellIs" dxfId="12" priority="2" stopIfTrue="1" operator="equal">
      <formula>38436</formula>
    </cfRule>
  </conditionalFormatting>
  <dataValidations count="1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AB15:AC22 Q15:R22 W15:X22 K15:L22 E15:F22">
      <formula1>1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3"/>
  <dimension ref="B1:AI56"/>
  <sheetViews>
    <sheetView zoomScaleNormal="100" zoomScaleSheetLayoutView="100" workbookViewId="0">
      <selection activeCell="N29" sqref="N29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.5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332031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40294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40323</v>
      </c>
      <c r="AD4" s="363"/>
    </row>
    <row r="5" spans="2:35" ht="16.5" customHeight="1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40298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tr">
        <f>IF($Y$36=0,"","You must enter a valid leave code directly to the right of all leave taken.")</f>
        <v/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173"/>
      <c r="E15" s="2"/>
      <c r="F15" s="2"/>
      <c r="G15" s="366"/>
      <c r="H15" s="367"/>
      <c r="I15" s="24"/>
      <c r="J15" s="159">
        <v>39935</v>
      </c>
      <c r="K15" s="2"/>
      <c r="L15" s="2"/>
      <c r="M15" s="366"/>
      <c r="N15" s="367"/>
      <c r="O15" s="24"/>
      <c r="P15" s="159">
        <v>39942</v>
      </c>
      <c r="Q15" s="2"/>
      <c r="R15" s="2"/>
      <c r="S15" s="366"/>
      <c r="T15" s="367"/>
      <c r="U15" s="24"/>
      <c r="V15" s="159">
        <v>39949</v>
      </c>
      <c r="W15" s="2"/>
      <c r="X15" s="2"/>
      <c r="Y15" s="108"/>
      <c r="Z15" s="109"/>
      <c r="AA15" s="159">
        <v>39956</v>
      </c>
      <c r="AB15" s="113"/>
      <c r="AC15" s="113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173">
        <v>39929</v>
      </c>
      <c r="E16" s="82"/>
      <c r="F16" s="82"/>
      <c r="G16" s="366"/>
      <c r="H16" s="367"/>
      <c r="I16" s="24"/>
      <c r="J16" s="159">
        <v>39936</v>
      </c>
      <c r="K16" s="82"/>
      <c r="L16" s="82"/>
      <c r="M16" s="366"/>
      <c r="N16" s="367"/>
      <c r="O16" s="24"/>
      <c r="P16" s="159">
        <v>39943</v>
      </c>
      <c r="Q16" s="82"/>
      <c r="R16" s="82"/>
      <c r="S16" s="366"/>
      <c r="T16" s="367"/>
      <c r="U16" s="24"/>
      <c r="V16" s="159">
        <v>39950</v>
      </c>
      <c r="W16" s="82"/>
      <c r="X16" s="82"/>
      <c r="Y16" s="108"/>
      <c r="Z16" s="109"/>
      <c r="AA16" s="159">
        <v>39957</v>
      </c>
      <c r="AB16" s="114"/>
      <c r="AC16" s="114"/>
      <c r="AD16" s="193"/>
      <c r="AE16" s="130"/>
      <c r="AF16" s="91"/>
    </row>
    <row r="17" spans="2:32" s="23" customFormat="1" ht="15.75" customHeight="1">
      <c r="B17" s="23">
        <v>3</v>
      </c>
      <c r="C17" s="169" t="s">
        <v>9</v>
      </c>
      <c r="D17" s="173">
        <v>39930</v>
      </c>
      <c r="E17" s="82"/>
      <c r="F17" s="82"/>
      <c r="G17" s="366"/>
      <c r="H17" s="367"/>
      <c r="I17" s="24"/>
      <c r="J17" s="159">
        <v>39937</v>
      </c>
      <c r="K17" s="82"/>
      <c r="L17" s="82"/>
      <c r="M17" s="366"/>
      <c r="N17" s="367"/>
      <c r="O17" s="24"/>
      <c r="P17" s="159">
        <v>39944</v>
      </c>
      <c r="Q17" s="82"/>
      <c r="R17" s="82"/>
      <c r="S17" s="366"/>
      <c r="T17" s="367"/>
      <c r="U17" s="24"/>
      <c r="V17" s="159">
        <v>39951</v>
      </c>
      <c r="W17" s="82"/>
      <c r="X17" s="82"/>
      <c r="Y17" s="108"/>
      <c r="Z17" s="109"/>
      <c r="AA17" s="159">
        <v>39958</v>
      </c>
      <c r="AB17" s="114"/>
      <c r="AC17" s="114"/>
      <c r="AD17" s="193"/>
      <c r="AE17" s="130"/>
      <c r="AF17" s="91"/>
    </row>
    <row r="18" spans="2:32" s="23" customFormat="1" ht="15.75" customHeight="1">
      <c r="B18" s="23">
        <v>4</v>
      </c>
      <c r="C18" s="169" t="s">
        <v>10</v>
      </c>
      <c r="D18" s="173">
        <v>39931</v>
      </c>
      <c r="E18" s="82"/>
      <c r="F18" s="82"/>
      <c r="G18" s="366"/>
      <c r="H18" s="367"/>
      <c r="I18" s="24"/>
      <c r="J18" s="159">
        <v>39938</v>
      </c>
      <c r="K18" s="82"/>
      <c r="L18" s="82"/>
      <c r="M18" s="366"/>
      <c r="N18" s="367"/>
      <c r="O18" s="24"/>
      <c r="P18" s="159">
        <v>39945</v>
      </c>
      <c r="Q18" s="82"/>
      <c r="R18" s="82"/>
      <c r="S18" s="366"/>
      <c r="T18" s="367"/>
      <c r="U18" s="24"/>
      <c r="V18" s="159">
        <v>39952</v>
      </c>
      <c r="W18" s="82"/>
      <c r="X18" s="82"/>
      <c r="Y18" s="108"/>
      <c r="Z18" s="109"/>
      <c r="AA18" s="173"/>
      <c r="AB18" s="3"/>
      <c r="AC18" s="3"/>
      <c r="AD18" s="193"/>
      <c r="AE18" s="130"/>
      <c r="AF18" s="91"/>
    </row>
    <row r="19" spans="2:32" s="23" customFormat="1" ht="15.75" customHeight="1">
      <c r="B19" s="23">
        <v>5</v>
      </c>
      <c r="C19" s="169" t="s">
        <v>11</v>
      </c>
      <c r="D19" s="173">
        <v>39932</v>
      </c>
      <c r="E19" s="82"/>
      <c r="F19" s="82"/>
      <c r="G19" s="366"/>
      <c r="H19" s="367"/>
      <c r="I19" s="24"/>
      <c r="J19" s="159">
        <v>39939</v>
      </c>
      <c r="K19" s="82"/>
      <c r="L19" s="82"/>
      <c r="M19" s="366"/>
      <c r="N19" s="367"/>
      <c r="O19" s="24"/>
      <c r="P19" s="159">
        <v>39946</v>
      </c>
      <c r="Q19" s="82"/>
      <c r="R19" s="82"/>
      <c r="S19" s="366"/>
      <c r="T19" s="367"/>
      <c r="U19" s="24"/>
      <c r="V19" s="159">
        <v>39953</v>
      </c>
      <c r="W19" s="82"/>
      <c r="X19" s="82"/>
      <c r="Y19" s="108"/>
      <c r="Z19" s="109"/>
      <c r="AA19" s="173"/>
      <c r="AB19" s="3"/>
      <c r="AC19" s="3"/>
      <c r="AD19" s="193"/>
      <c r="AE19" s="130"/>
      <c r="AF19" s="91"/>
    </row>
    <row r="20" spans="2:32" s="23" customFormat="1" ht="15.75" customHeight="1">
      <c r="B20" s="23">
        <v>6</v>
      </c>
      <c r="C20" s="169" t="s">
        <v>12</v>
      </c>
      <c r="D20" s="173">
        <v>39933</v>
      </c>
      <c r="E20" s="82"/>
      <c r="F20" s="82"/>
      <c r="G20" s="366"/>
      <c r="H20" s="367"/>
      <c r="I20" s="24"/>
      <c r="J20" s="159">
        <v>39940</v>
      </c>
      <c r="K20" s="82"/>
      <c r="L20" s="82"/>
      <c r="M20" s="366"/>
      <c r="N20" s="367"/>
      <c r="O20" s="24"/>
      <c r="P20" s="159">
        <v>39947</v>
      </c>
      <c r="Q20" s="82"/>
      <c r="R20" s="82"/>
      <c r="S20" s="366"/>
      <c r="T20" s="367"/>
      <c r="U20" s="24"/>
      <c r="V20" s="159">
        <v>39954</v>
      </c>
      <c r="W20" s="82"/>
      <c r="X20" s="82"/>
      <c r="Y20" s="108"/>
      <c r="Z20" s="109"/>
      <c r="AA20" s="173"/>
      <c r="AB20" s="3"/>
      <c r="AC20" s="3"/>
      <c r="AD20" s="193"/>
      <c r="AE20" s="130"/>
      <c r="AF20" s="91"/>
    </row>
    <row r="21" spans="2:32" s="23" customFormat="1" ht="15.75" customHeight="1" thickBot="1">
      <c r="B21" s="23">
        <v>7</v>
      </c>
      <c r="C21" s="170" t="s">
        <v>13</v>
      </c>
      <c r="D21" s="173">
        <v>39934</v>
      </c>
      <c r="E21" s="2"/>
      <c r="F21" s="2"/>
      <c r="G21" s="366"/>
      <c r="H21" s="367"/>
      <c r="I21" s="25"/>
      <c r="J21" s="159">
        <v>39941</v>
      </c>
      <c r="K21" s="2"/>
      <c r="L21" s="2"/>
      <c r="M21" s="366"/>
      <c r="N21" s="367"/>
      <c r="O21" s="25"/>
      <c r="P21" s="159">
        <v>39948</v>
      </c>
      <c r="Q21" s="2"/>
      <c r="R21" s="2"/>
      <c r="S21" s="366"/>
      <c r="T21" s="367"/>
      <c r="U21" s="35"/>
      <c r="V21" s="159">
        <v>39955</v>
      </c>
      <c r="W21" s="2"/>
      <c r="X21" s="2"/>
      <c r="Y21" s="108"/>
      <c r="Z21" s="109"/>
      <c r="AA21" s="173"/>
      <c r="AB21" s="3"/>
      <c r="AC21" s="3"/>
      <c r="AD21" s="193"/>
      <c r="AE21" s="130"/>
      <c r="AF21" s="91"/>
    </row>
    <row r="22" spans="2:32" s="23" customFormat="1" ht="15.75" customHeight="1" thickBot="1">
      <c r="C22" s="171"/>
      <c r="D22" s="356"/>
      <c r="E22" s="100"/>
      <c r="F22" s="101"/>
      <c r="G22" s="368"/>
      <c r="H22" s="369"/>
      <c r="I22" s="102"/>
      <c r="J22" s="103"/>
      <c r="K22" s="100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103"/>
      <c r="AB22" s="101"/>
      <c r="AC22" s="101"/>
      <c r="AD22" s="194"/>
      <c r="AE22" s="130"/>
      <c r="AF22" s="91"/>
    </row>
    <row r="23" spans="2:32" ht="16.5" customHeight="1" thickBot="1">
      <c r="C23" s="9"/>
      <c r="J23" s="10"/>
      <c r="P23" s="10"/>
      <c r="V23" s="11"/>
      <c r="W23" s="12" t="s">
        <v>46</v>
      </c>
      <c r="AA23" s="127" t="s">
        <v>70</v>
      </c>
      <c r="AB23" s="128"/>
      <c r="AC23" s="128"/>
      <c r="AD23" s="130"/>
      <c r="AE23" s="130"/>
    </row>
    <row r="24" spans="2:32" s="23" customFormat="1" ht="15.75" customHeight="1" thickBot="1">
      <c r="C24" s="174" t="s">
        <v>16</v>
      </c>
      <c r="D24" s="175"/>
      <c r="E24" s="84">
        <f>SUM(E15:E22)</f>
        <v>0</v>
      </c>
      <c r="F24" s="85">
        <f>SUM(F15:F22)</f>
        <v>0</v>
      </c>
      <c r="G24" s="30"/>
      <c r="I24" s="26"/>
      <c r="J24" s="27"/>
      <c r="K24" s="89">
        <f>SUM(K15:K22)</f>
        <v>0</v>
      </c>
      <c r="L24" s="85">
        <f>SUM(L15:L22)</f>
        <v>0</v>
      </c>
      <c r="M24" s="116"/>
      <c r="Q24" s="84">
        <f>SUM(Q15:Q22)</f>
        <v>0</v>
      </c>
      <c r="R24" s="85">
        <f>SUM(R15:R22)</f>
        <v>0</v>
      </c>
      <c r="S24" s="30"/>
      <c r="T24" s="26"/>
      <c r="U24" s="26"/>
      <c r="W24" s="89">
        <f>SUM(W15:W22)</f>
        <v>0</v>
      </c>
      <c r="X24" s="85">
        <f>SUM(X15:X22)</f>
        <v>0</v>
      </c>
      <c r="Y24" s="30"/>
      <c r="AA24" s="44">
        <f>SUM(AB22:AB22)</f>
        <v>0</v>
      </c>
      <c r="AB24" s="85">
        <f>SUM(AB15:AB22)</f>
        <v>0</v>
      </c>
      <c r="AC24" s="85">
        <f>SUM(AC15:AC21)</f>
        <v>0</v>
      </c>
      <c r="AD24" s="30"/>
      <c r="AE24" s="45"/>
    </row>
    <row r="25" spans="2:32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</row>
    <row r="26" spans="2:32" s="23" customFormat="1" ht="15.75" customHeight="1">
      <c r="D26" s="45"/>
      <c r="M26" s="124"/>
    </row>
    <row r="27" spans="2:32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2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2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2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2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2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SUMIF($H$15:$H$22,"",$G$15:$G$22)+SUMIF($N$15:$N$22,"",$M$15:$M$22)+SUMIF($T$15:$T$22,"",$S$15:$S$22)+SUMIF($Z$15:$Z$22,"",$Y$15:$Y$22)+SUMIF($AE$15:$AE$22,"",$AD$15:$AD$22)</f>
        <v>0</v>
      </c>
    </row>
    <row r="37" spans="3:31">
      <c r="C37" s="4" t="s">
        <v>76</v>
      </c>
      <c r="T37" s="32"/>
      <c r="W37" s="42"/>
      <c r="Y37" s="12">
        <f>SUMIF($H$15:$H$22,#REF!,$G$15:$G$22)+SUMIF($N$15:$N$22,#REF!,$M$15:$M$22)+SUMIF($T$15:$T$22,#REF!,$S$15:$S$22)+SUMIF($Z$15:$Z$22,#REF!,$Y$15:$Y$22)+SUMIF($AE$15:$AE$22,#REF!,$AD$15:$AD$22)</f>
        <v>0</v>
      </c>
    </row>
    <row r="38" spans="3:31">
      <c r="Y38" s="12">
        <f>SUMIF($H$15:$H$22,#REF!,$G$15:$G$22)+SUMIF($N$15:$N$22,#REF!,$M$15:$M$22)+SUMIF($T$15:$T$22,#REF!,$S$15:$S$22)+SUMIF($Z$15:$Z$22,#REF!,$Y$15:$Y$22)+SUMIF($AE$15:$AE$22,#REF!,$AD$15:$AD$22)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SUMIF($H$15:$H$22,#REF!,$G$15:$G$22)+SUMIF($N$15:$N$22,#REF!,$M$15:$M$22)+SUMIF($T$15:$T$22,#REF!,$S$15:$S$22)+SUMIF($Z$15:$Z$22,#REF!,$Y$15:$Y$22)+SUMIF($AE$15:$AE$22,#REF!,$AD$15:$AD$22)</f>
        <v>0</v>
      </c>
      <c r="AE39" s="22"/>
    </row>
    <row r="40" spans="3:31">
      <c r="V40" s="133"/>
      <c r="W40" s="134"/>
      <c r="X40" s="134"/>
      <c r="Y40" s="135">
        <f>SUMIF($H$15:$H$22,#REF!,$G$15:$G$22)+SUMIF($N$15:$N$22,#REF!,$M$15:$M$22)+SUMIF($T$15:$T$22,#REF!,$S$15:$S$22)+SUMIF($Z$15:$Z$22,#REF!,$Y$15:$Y$22)+SUMIF($AE$15:$AE$22,#REF!,$AD$15:$AD$22)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61</v>
      </c>
      <c r="V41" s="137"/>
      <c r="W41" s="22"/>
      <c r="X41" s="22"/>
      <c r="Y41" s="138">
        <f>SUMIF($H$15:$H$22,#REF!,$G$15:$G$22)+SUMIF($N$15:$N$22,#REF!,$M$15:$M$22)+SUMIF($T$15:$T$22,#REF!,$S$15:$S$22)+SUMIF($Z$15:$Z$22,#REF!,$Y$15:$Y$22)+SUMIF($AE$15:$AE$22,#REF!,$AD$15:$AD$22)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33"/>
      <c r="V42" s="137"/>
      <c r="W42" s="22"/>
      <c r="X42" s="22"/>
      <c r="Y42" s="138">
        <f>SUMIF($H$15:$H$22,#REF!,$G$15:$G$22)+SUMIF($N$15:$N$22,#REF!,$M$15:$M$22)+SUMIF($T$15:$T$22,#REF!,$S$15:$S$22)+SUMIF($Z$15:$Z$22,#REF!,$Y$15:$Y$22)+SUMIF($AE$15:$AE$22,#REF!,$AD$15:$AD$22)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33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33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SUMIF($H$15:$H$22,#REF!,$G$15:$G$22)+SUMIF($N$15:$N$22,#REF!,$M$15:$M$22)+SUMIF($T$15:$T$22,#REF!,$S$15:$S$22)+SUMIF($Z$15:$Z$22,#REF!,$Y$15:$Y$22)+SUMIF($AE$15:$AE$22,#REF!,$AD$15:$AD$22)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SUMIF($H$15:$H$22,#REF!,$G$15:$G$22)+SUMIF($N$15:$N$22,#REF!,$M$15:$M$22)+SUMIF($T$15:$T$22,#REF!,$S$15:$S$22)+SUMIF($Z$15:$Z$22,#REF!,$Y$15:$Y$22)+SUMIF($AE$15:$AE$22,#REF!,$AD$15:$AD$22)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SUMIF($H$15:$H$22,#REF!,$G$15:$G$22)+SUMIF($N$15:$N$22,#REF!,$M$15:$M$22)+SUMIF($T$15:$T$22,#REF!,$S$15:$S$22)+SUMIF($Z$15:$Z$22,#REF!,$Y$15:$Y$22)+SUMIF($AE$15:$AE$22,#REF!,$AD$15:$AD$22)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SUMIF($H$15:$H$22,#REF!,$G$15:$G$22)+SUMIF($N$15:$N$22,#REF!,$M$15:$M$22)+SUMIF($T$15:$T$22,#REF!,$S$15:$S$22)+SUMIF($Z$15:$Z$22,#REF!,$Y$15:$Y$22)+SUMIF($AE$15:$AE$22,#REF!,$AD$15:$AD$22)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SUMIF($H$15:$H$22,#REF!,$G$15:$G$22)+SUMIF($N$15:$N$22,#REF!,$M$15:$M$22)+SUMIF($T$15:$T$22,#REF!,$S$15:$S$22)+SUMIF($Z$15:$Z$22,#REF!,$Y$15:$Y$22)+SUMIF($AE$15:$AE$22,#REF!,$AD$15:$AD$22)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SUMIF($H$15:$H$22,#REF!,$G$15:$G$22)+SUMIF($N$15:$N$22,#REF!,$M$15:$M$22)+SUMIF($T$15:$T$22,#REF!,$S$15:$S$22)+SUMIF($Z$15:$Z$22,#REF!,$Y$15:$Y$22)+SUMIF($AE$15:$AE$22,#REF!,$AD$15:$AD$22)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SUMIF($H$15:$H$22,#REF!,$G$15:$G$22)+SUMIF($N$15:$N$22,#REF!,$M$15:$M$22)+SUMIF($T$15:$T$22,#REF!,$S$15:$S$22)+SUMIF($Z$15:$Z$22,#REF!,$Y$15:$Y$22)+SUMIF($AE$15:$AE$22,#REF!,$AD$15:$AD$22)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  <row r="56" spans="3:31"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</row>
  </sheetData>
  <mergeCells count="52">
    <mergeCell ref="C39:R39"/>
    <mergeCell ref="T56:AE56"/>
    <mergeCell ref="C53:R55"/>
    <mergeCell ref="C50:O50"/>
    <mergeCell ref="Q50:R50"/>
    <mergeCell ref="C45:O45"/>
    <mergeCell ref="Q45:R45"/>
    <mergeCell ref="Y13:Z13"/>
    <mergeCell ref="G30:I31"/>
    <mergeCell ref="J30:K31"/>
    <mergeCell ref="L30:M31"/>
    <mergeCell ref="G13:H22"/>
    <mergeCell ref="C32:D34"/>
    <mergeCell ref="E32:F32"/>
    <mergeCell ref="G32:I32"/>
    <mergeCell ref="J32:K32"/>
    <mergeCell ref="E28:K28"/>
    <mergeCell ref="L32:M32"/>
    <mergeCell ref="E33:F34"/>
    <mergeCell ref="G33:I34"/>
    <mergeCell ref="J33:K34"/>
    <mergeCell ref="L33:M34"/>
    <mergeCell ref="E6:S6"/>
    <mergeCell ref="G8:L8"/>
    <mergeCell ref="M8:S8"/>
    <mergeCell ref="C29:D31"/>
    <mergeCell ref="E29:F29"/>
    <mergeCell ref="G29:I29"/>
    <mergeCell ref="J29:K29"/>
    <mergeCell ref="L29:M29"/>
    <mergeCell ref="E30:F31"/>
    <mergeCell ref="C12:H12"/>
    <mergeCell ref="M13:N22"/>
    <mergeCell ref="S13:T22"/>
    <mergeCell ref="AA12:AD12"/>
    <mergeCell ref="AB2:AD2"/>
    <mergeCell ref="AC3:AD3"/>
    <mergeCell ref="AC4:AD4"/>
    <mergeCell ref="AA9:AD9"/>
    <mergeCell ref="AA7:AD7"/>
    <mergeCell ref="AA8:AD8"/>
    <mergeCell ref="Y8:Z8"/>
    <mergeCell ref="V7:Z7"/>
    <mergeCell ref="V8:X8"/>
    <mergeCell ref="V12:Z12"/>
    <mergeCell ref="V9:X9"/>
    <mergeCell ref="Y9:Z9"/>
    <mergeCell ref="J12:N12"/>
    <mergeCell ref="P12:T12"/>
    <mergeCell ref="C8:F9"/>
    <mergeCell ref="M9:S9"/>
    <mergeCell ref="G9:L9"/>
  </mergeCells>
  <phoneticPr fontId="1" type="noConversion"/>
  <conditionalFormatting sqref="D15:D21 J15:J22 P15:P21 V15:V22 AA15:AA22">
    <cfRule type="cellIs" dxfId="11" priority="2" stopIfTrue="1" operator="equal">
      <formula>0</formula>
    </cfRule>
  </conditionalFormatting>
  <conditionalFormatting sqref="P22">
    <cfRule type="cellIs" dxfId="10" priority="3" stopIfTrue="1" operator="equal">
      <formula>0</formula>
    </cfRule>
    <cfRule type="cellIs" dxfId="9" priority="4" stopIfTrue="1" operator="equal">
      <formula>37277</formula>
    </cfRule>
  </conditionalFormatting>
  <conditionalFormatting sqref="D22">
    <cfRule type="cellIs" dxfId="8" priority="1" stopIfTrue="1" operator="equal">
      <formula>0</formula>
    </cfRule>
  </conditionalFormatting>
  <dataValidations count="1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E15:F22 W15:X22 K15:L22 Q15:R22 AB15:AC22">
      <formula1>1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4"/>
  <dimension ref="B1:AI56"/>
  <sheetViews>
    <sheetView zoomScaleNormal="100" zoomScaleSheetLayoutView="100" workbookViewId="0">
      <selection activeCell="D17" sqref="D17"/>
    </sheetView>
  </sheetViews>
  <sheetFormatPr defaultRowHeight="11.25"/>
  <cols>
    <col min="1" max="1" width="0.5" style="4" customWidth="1"/>
    <col min="2" max="2" width="2.1640625" style="4" hidden="1" customWidth="1"/>
    <col min="3" max="3" width="10.5" style="4" customWidth="1"/>
    <col min="4" max="4" width="7.83203125" style="4" customWidth="1"/>
    <col min="5" max="6" width="8.1640625" style="4" customWidth="1"/>
    <col min="7" max="7" width="7.1640625" style="4" customWidth="1"/>
    <col min="8" max="8" width="6" style="4" customWidth="1"/>
    <col min="9" max="9" width="0.33203125" style="4" customWidth="1"/>
    <col min="10" max="10" width="8.5" style="4" bestFit="1" customWidth="1"/>
    <col min="11" max="11" width="7.33203125" style="4" customWidth="1"/>
    <col min="12" max="12" width="7.5" style="4" customWidth="1"/>
    <col min="13" max="13" width="7" style="117" customWidth="1"/>
    <col min="14" max="14" width="7.33203125" style="4" customWidth="1"/>
    <col min="15" max="15" width="0.33203125" style="4" customWidth="1"/>
    <col min="16" max="16" width="8.6640625" style="4" customWidth="1"/>
    <col min="17" max="17" width="7.5" style="4" customWidth="1"/>
    <col min="18" max="18" width="7.83203125" style="4" customWidth="1"/>
    <col min="19" max="20" width="7.1640625" style="4" customWidth="1"/>
    <col min="21" max="21" width="0.33203125" style="4" hidden="1" customWidth="1"/>
    <col min="22" max="22" width="8" style="4" customWidth="1"/>
    <col min="23" max="23" width="7.83203125" style="4" customWidth="1"/>
    <col min="24" max="24" width="8.1640625" style="4" customWidth="1"/>
    <col min="25" max="25" width="7.1640625" style="4" customWidth="1"/>
    <col min="26" max="26" width="8.33203125" style="4" customWidth="1"/>
    <col min="27" max="27" width="10.6640625" style="4" customWidth="1"/>
    <col min="28" max="28" width="7.33203125" style="4" customWidth="1"/>
    <col min="29" max="29" width="7.83203125" style="4" customWidth="1"/>
    <col min="30" max="30" width="7.1640625" style="4" customWidth="1"/>
    <col min="31" max="31" width="6" style="4" customWidth="1"/>
    <col min="32" max="32" width="7.6640625" style="4" customWidth="1"/>
    <col min="33" max="34" width="9.83203125" style="4" customWidth="1"/>
    <col min="35" max="35" width="11.5" style="4" customWidth="1"/>
    <col min="36" max="36" width="2.6640625" style="4" customWidth="1"/>
    <col min="37" max="16384" width="9.33203125" style="4"/>
  </cols>
  <sheetData>
    <row r="1" spans="2:35" ht="3.75" customHeight="1" thickBot="1">
      <c r="C1" s="5"/>
    </row>
    <row r="2" spans="2:35" ht="27.75" customHeight="1" thickBot="1">
      <c r="C2" s="6" t="s">
        <v>18</v>
      </c>
      <c r="D2" s="7"/>
      <c r="E2" s="7"/>
      <c r="F2" s="7"/>
      <c r="G2" s="7"/>
      <c r="H2" s="7"/>
      <c r="I2" s="7"/>
      <c r="J2" s="7"/>
      <c r="K2" s="7"/>
      <c r="L2" s="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57" t="s">
        <v>17</v>
      </c>
      <c r="AC2" s="358"/>
      <c r="AD2" s="359"/>
    </row>
    <row r="3" spans="2:35" ht="22.5" customHeight="1">
      <c r="C3" s="6" t="s">
        <v>77</v>
      </c>
      <c r="D3" s="7"/>
      <c r="E3" s="7"/>
      <c r="F3" s="7"/>
      <c r="G3" s="7"/>
      <c r="H3" s="7"/>
      <c r="I3" s="7"/>
      <c r="J3" s="7"/>
      <c r="K3" s="7"/>
      <c r="L3" s="7"/>
      <c r="M3" s="118"/>
      <c r="N3" s="7"/>
      <c r="O3" s="7"/>
      <c r="P3" s="7"/>
      <c r="Q3" s="7"/>
      <c r="R3" s="7"/>
      <c r="S3" s="7"/>
      <c r="T3" s="7"/>
      <c r="U3" s="7"/>
      <c r="V3" s="8"/>
      <c r="W3" s="8"/>
      <c r="X3" s="7"/>
      <c r="Y3" s="7"/>
      <c r="Z3" s="7"/>
      <c r="AA3" s="7"/>
      <c r="AB3" s="152" t="s">
        <v>14</v>
      </c>
      <c r="AC3" s="360">
        <v>40324</v>
      </c>
      <c r="AD3" s="361"/>
    </row>
    <row r="4" spans="2:35" ht="22.5" customHeight="1" thickBot="1">
      <c r="C4" s="176" t="s">
        <v>74</v>
      </c>
      <c r="D4" s="7"/>
      <c r="E4" s="7"/>
      <c r="F4" s="7"/>
      <c r="G4" s="7"/>
      <c r="H4" s="7"/>
      <c r="I4" s="7"/>
      <c r="J4" s="7"/>
      <c r="K4" s="7"/>
      <c r="L4" s="7"/>
      <c r="M4" s="118"/>
      <c r="N4" s="7"/>
      <c r="O4" s="7"/>
      <c r="P4" s="7"/>
      <c r="Q4" s="7"/>
      <c r="R4" s="7"/>
      <c r="S4" s="7"/>
      <c r="T4" s="7"/>
      <c r="U4" s="7"/>
      <c r="V4" s="8"/>
      <c r="W4" s="8"/>
      <c r="X4" s="7"/>
      <c r="Y4" s="7"/>
      <c r="Z4" s="7"/>
      <c r="AA4" s="7"/>
      <c r="AB4" s="153" t="s">
        <v>15</v>
      </c>
      <c r="AC4" s="362">
        <v>40354</v>
      </c>
      <c r="AD4" s="363"/>
    </row>
    <row r="5" spans="2:35" ht="16.5" customHeight="1">
      <c r="C5" s="9"/>
      <c r="J5" s="10"/>
      <c r="P5" s="10"/>
      <c r="V5" s="11"/>
      <c r="W5" s="12" t="s">
        <v>70</v>
      </c>
      <c r="AA5" s="10"/>
    </row>
    <row r="6" spans="2:35" ht="12" thickBot="1">
      <c r="C6" s="9" t="s">
        <v>30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1"/>
      <c r="U6" s="13"/>
      <c r="V6" s="12" t="s">
        <v>70</v>
      </c>
      <c r="AA6" s="12">
        <f>DATE(YEAR(AC3),MONTH(AC3)+1,0)</f>
        <v>40329</v>
      </c>
    </row>
    <row r="7" spans="2:35" ht="12" thickBot="1">
      <c r="C7" s="9"/>
      <c r="D7" s="9"/>
      <c r="E7" s="9"/>
      <c r="F7" s="9"/>
      <c r="G7" s="9"/>
      <c r="H7" s="9"/>
      <c r="I7" s="9"/>
      <c r="J7" s="9"/>
      <c r="K7" s="9"/>
      <c r="L7" s="9"/>
      <c r="M7" s="119"/>
      <c r="N7" s="9"/>
      <c r="O7" s="9"/>
      <c r="P7" s="9"/>
      <c r="Q7" s="9"/>
      <c r="S7" s="9"/>
      <c r="T7" s="126"/>
      <c r="U7" s="9"/>
      <c r="V7" s="357" t="s">
        <v>69</v>
      </c>
      <c r="W7" s="358"/>
      <c r="X7" s="358"/>
      <c r="Y7" s="358"/>
      <c r="Z7" s="358"/>
      <c r="AA7" s="420" t="s">
        <v>71</v>
      </c>
      <c r="AB7" s="421"/>
      <c r="AC7" s="421"/>
      <c r="AD7" s="422"/>
      <c r="AE7" s="196"/>
    </row>
    <row r="8" spans="2:35" ht="12" thickBot="1">
      <c r="C8" s="372" t="s">
        <v>78</v>
      </c>
      <c r="D8" s="373"/>
      <c r="E8" s="373"/>
      <c r="F8" s="374"/>
      <c r="G8" s="357" t="s">
        <v>19</v>
      </c>
      <c r="H8" s="358"/>
      <c r="I8" s="358"/>
      <c r="J8" s="358"/>
      <c r="K8" s="358"/>
      <c r="L8" s="359"/>
      <c r="M8" s="357" t="s">
        <v>20</v>
      </c>
      <c r="N8" s="358"/>
      <c r="O8" s="358"/>
      <c r="P8" s="358"/>
      <c r="Q8" s="358"/>
      <c r="R8" s="358"/>
      <c r="S8" s="359"/>
      <c r="T8" s="149" t="s">
        <v>21</v>
      </c>
      <c r="U8" s="150"/>
      <c r="V8" s="358" t="s">
        <v>80</v>
      </c>
      <c r="W8" s="358"/>
      <c r="X8" s="358"/>
      <c r="Y8" s="357" t="s">
        <v>79</v>
      </c>
      <c r="Z8" s="358"/>
      <c r="AA8" s="423" t="s">
        <v>72</v>
      </c>
      <c r="AB8" s="424"/>
      <c r="AC8" s="424"/>
      <c r="AD8" s="425"/>
      <c r="AE8" s="197"/>
    </row>
    <row r="9" spans="2:35" ht="25.5" customHeight="1" thickBot="1">
      <c r="C9" s="375"/>
      <c r="D9" s="376"/>
      <c r="E9" s="376"/>
      <c r="F9" s="377"/>
      <c r="G9" s="432"/>
      <c r="H9" s="430"/>
      <c r="I9" s="430"/>
      <c r="J9" s="430"/>
      <c r="K9" s="430"/>
      <c r="L9" s="431"/>
      <c r="M9" s="432"/>
      <c r="N9" s="430"/>
      <c r="O9" s="430"/>
      <c r="P9" s="430"/>
      <c r="Q9" s="430"/>
      <c r="R9" s="430"/>
      <c r="S9" s="431"/>
      <c r="T9" s="1" t="s">
        <v>70</v>
      </c>
      <c r="V9" s="382"/>
      <c r="W9" s="383"/>
      <c r="X9" s="384"/>
      <c r="Y9" s="385"/>
      <c r="Z9" s="386"/>
      <c r="AA9" s="417"/>
      <c r="AB9" s="418"/>
      <c r="AC9" s="418"/>
      <c r="AD9" s="419"/>
      <c r="AE9" s="22"/>
    </row>
    <row r="10" spans="2:35">
      <c r="C10" s="14"/>
      <c r="D10" s="14"/>
      <c r="E10" s="14"/>
      <c r="F10" s="14"/>
      <c r="G10" s="15"/>
      <c r="H10" s="15"/>
      <c r="I10" s="15"/>
      <c r="J10" s="15"/>
      <c r="K10" s="15"/>
      <c r="L10" s="15"/>
      <c r="M10" s="120"/>
      <c r="N10" s="15"/>
      <c r="O10" s="15"/>
      <c r="P10" s="15"/>
      <c r="Q10" s="15"/>
      <c r="R10" s="15"/>
      <c r="S10" s="15"/>
      <c r="T10" s="15"/>
      <c r="V10" s="17"/>
      <c r="W10" s="17"/>
      <c r="X10" s="18"/>
      <c r="Y10" s="18"/>
      <c r="Z10" s="18"/>
      <c r="AA10" s="19"/>
      <c r="AB10" s="20"/>
      <c r="AC10" s="20"/>
    </row>
    <row r="11" spans="2:35" ht="13.5" thickBot="1">
      <c r="R11" s="21" t="str">
        <f>IF($Y$36=0,"","You must enter a valid leave code directly to the right of all leave taken.")</f>
        <v/>
      </c>
    </row>
    <row r="12" spans="2:35" ht="12" thickBot="1">
      <c r="C12" s="357" t="s">
        <v>22</v>
      </c>
      <c r="D12" s="358"/>
      <c r="E12" s="358"/>
      <c r="F12" s="358"/>
      <c r="G12" s="358"/>
      <c r="H12" s="359"/>
      <c r="I12" s="154"/>
      <c r="J12" s="357" t="s">
        <v>25</v>
      </c>
      <c r="K12" s="358"/>
      <c r="L12" s="358"/>
      <c r="M12" s="358"/>
      <c r="N12" s="359"/>
      <c r="O12" s="155"/>
      <c r="P12" s="357" t="s">
        <v>26</v>
      </c>
      <c r="Q12" s="358"/>
      <c r="R12" s="358"/>
      <c r="S12" s="358"/>
      <c r="T12" s="359"/>
      <c r="U12" s="156"/>
      <c r="V12" s="357" t="s">
        <v>24</v>
      </c>
      <c r="W12" s="358"/>
      <c r="X12" s="358"/>
      <c r="Y12" s="358"/>
      <c r="Z12" s="359"/>
      <c r="AA12" s="357" t="s">
        <v>23</v>
      </c>
      <c r="AB12" s="358"/>
      <c r="AC12" s="358"/>
      <c r="AD12" s="359"/>
      <c r="AE12" s="195"/>
      <c r="AF12" s="22"/>
      <c r="AI12" s="22"/>
    </row>
    <row r="13" spans="2:35">
      <c r="C13" s="157" t="s">
        <v>4</v>
      </c>
      <c r="D13" s="157" t="s">
        <v>5</v>
      </c>
      <c r="E13" s="161" t="s">
        <v>0</v>
      </c>
      <c r="F13" s="162"/>
      <c r="G13" s="364"/>
      <c r="H13" s="365"/>
      <c r="I13" s="83"/>
      <c r="J13" s="157" t="s">
        <v>5</v>
      </c>
      <c r="K13" s="161" t="s">
        <v>0</v>
      </c>
      <c r="L13" s="162"/>
      <c r="M13" s="364"/>
      <c r="N13" s="365"/>
      <c r="O13" s="83"/>
      <c r="P13" s="157" t="s">
        <v>5</v>
      </c>
      <c r="Q13" s="161" t="s">
        <v>0</v>
      </c>
      <c r="R13" s="162"/>
      <c r="S13" s="364"/>
      <c r="T13" s="365"/>
      <c r="U13" s="83"/>
      <c r="V13" s="157" t="s">
        <v>5</v>
      </c>
      <c r="W13" s="161" t="s">
        <v>0</v>
      </c>
      <c r="X13" s="162"/>
      <c r="Y13" s="364"/>
      <c r="Z13" s="365"/>
      <c r="AA13" s="157" t="s">
        <v>5</v>
      </c>
      <c r="AB13" s="161" t="s">
        <v>0</v>
      </c>
      <c r="AC13" s="166"/>
      <c r="AD13" s="192"/>
      <c r="AE13" s="130"/>
      <c r="AF13" s="22"/>
      <c r="AI13" s="22"/>
    </row>
    <row r="14" spans="2:35" ht="12" thickBot="1">
      <c r="C14" s="158" t="s">
        <v>3</v>
      </c>
      <c r="D14" s="158" t="s">
        <v>6</v>
      </c>
      <c r="E14" s="163" t="s">
        <v>1</v>
      </c>
      <c r="F14" s="164" t="s">
        <v>2</v>
      </c>
      <c r="G14" s="366"/>
      <c r="H14" s="367"/>
      <c r="I14" s="83"/>
      <c r="J14" s="158" t="s">
        <v>6</v>
      </c>
      <c r="K14" s="163" t="s">
        <v>1</v>
      </c>
      <c r="L14" s="164" t="s">
        <v>2</v>
      </c>
      <c r="M14" s="366"/>
      <c r="N14" s="367"/>
      <c r="O14" s="83"/>
      <c r="P14" s="158" t="s">
        <v>6</v>
      </c>
      <c r="Q14" s="163" t="s">
        <v>1</v>
      </c>
      <c r="R14" s="164" t="s">
        <v>2</v>
      </c>
      <c r="S14" s="366"/>
      <c r="T14" s="367"/>
      <c r="U14" s="83"/>
      <c r="V14" s="158" t="s">
        <v>6</v>
      </c>
      <c r="W14" s="163" t="s">
        <v>1</v>
      </c>
      <c r="X14" s="164" t="s">
        <v>2</v>
      </c>
      <c r="Y14" s="108"/>
      <c r="Z14" s="109"/>
      <c r="AA14" s="158" t="s">
        <v>6</v>
      </c>
      <c r="AB14" s="163" t="s">
        <v>1</v>
      </c>
      <c r="AC14" s="167" t="s">
        <v>2</v>
      </c>
      <c r="AD14" s="193"/>
      <c r="AE14" s="130"/>
      <c r="AF14" s="22"/>
    </row>
    <row r="15" spans="2:35" s="23" customFormat="1" ht="15.75" customHeight="1">
      <c r="B15" s="23">
        <v>1</v>
      </c>
      <c r="C15" s="169" t="s">
        <v>7</v>
      </c>
      <c r="D15" s="37"/>
      <c r="E15" s="2"/>
      <c r="F15" s="2"/>
      <c r="G15" s="366"/>
      <c r="H15" s="367"/>
      <c r="I15" s="24"/>
      <c r="J15" s="159">
        <v>39963</v>
      </c>
      <c r="K15" s="2"/>
      <c r="L15" s="2"/>
      <c r="M15" s="366"/>
      <c r="N15" s="367"/>
      <c r="O15" s="24"/>
      <c r="P15" s="159">
        <v>39970</v>
      </c>
      <c r="Q15" s="2"/>
      <c r="R15" s="2"/>
      <c r="S15" s="366"/>
      <c r="T15" s="367"/>
      <c r="U15" s="24"/>
      <c r="V15" s="159">
        <v>39977</v>
      </c>
      <c r="W15" s="2"/>
      <c r="X15" s="2"/>
      <c r="Y15" s="108"/>
      <c r="Z15" s="109"/>
      <c r="AA15" s="159">
        <v>39984</v>
      </c>
      <c r="AB15" s="113"/>
      <c r="AC15" s="113"/>
      <c r="AD15" s="193"/>
      <c r="AE15" s="130"/>
      <c r="AF15" s="91"/>
    </row>
    <row r="16" spans="2:35" s="23" customFormat="1" ht="15.75" customHeight="1">
      <c r="B16" s="23">
        <v>2</v>
      </c>
      <c r="C16" s="169" t="s">
        <v>8</v>
      </c>
      <c r="D16" s="172"/>
      <c r="E16" s="2"/>
      <c r="F16" s="2"/>
      <c r="G16" s="366"/>
      <c r="H16" s="367"/>
      <c r="I16" s="24"/>
      <c r="J16" s="349">
        <v>39964</v>
      </c>
      <c r="K16" s="82"/>
      <c r="L16" s="82"/>
      <c r="M16" s="366"/>
      <c r="N16" s="367"/>
      <c r="O16" s="24"/>
      <c r="P16" s="159">
        <v>39971</v>
      </c>
      <c r="Q16" s="82"/>
      <c r="R16" s="82"/>
      <c r="S16" s="366"/>
      <c r="T16" s="367"/>
      <c r="U16" s="24"/>
      <c r="V16" s="159">
        <v>39978</v>
      </c>
      <c r="W16" s="82"/>
      <c r="X16" s="82"/>
      <c r="Y16" s="108"/>
      <c r="Z16" s="109"/>
      <c r="AA16" s="159">
        <v>39985</v>
      </c>
      <c r="AB16" s="114"/>
      <c r="AC16" s="114"/>
      <c r="AD16" s="193"/>
      <c r="AE16" s="130"/>
      <c r="AF16" s="91"/>
    </row>
    <row r="17" spans="2:32" s="23" customFormat="1" ht="15.75" customHeight="1">
      <c r="B17" s="23">
        <v>3</v>
      </c>
      <c r="C17" s="169" t="s">
        <v>9</v>
      </c>
      <c r="D17" s="172"/>
      <c r="E17" s="82"/>
      <c r="F17" s="82"/>
      <c r="G17" s="366"/>
      <c r="H17" s="367"/>
      <c r="I17" s="24"/>
      <c r="J17" s="159">
        <v>39965</v>
      </c>
      <c r="K17" s="82"/>
      <c r="L17" s="82"/>
      <c r="M17" s="366"/>
      <c r="N17" s="367"/>
      <c r="O17" s="24"/>
      <c r="P17" s="159">
        <v>39972</v>
      </c>
      <c r="Q17" s="82"/>
      <c r="R17" s="82"/>
      <c r="S17" s="366"/>
      <c r="T17" s="367"/>
      <c r="U17" s="24"/>
      <c r="V17" s="159">
        <v>39979</v>
      </c>
      <c r="W17" s="82"/>
      <c r="X17" s="82"/>
      <c r="Y17" s="108"/>
      <c r="Z17" s="109"/>
      <c r="AA17" s="159">
        <v>39986</v>
      </c>
      <c r="AB17" s="114"/>
      <c r="AC17" s="114"/>
      <c r="AD17" s="193"/>
      <c r="AE17" s="130"/>
      <c r="AF17" s="91"/>
    </row>
    <row r="18" spans="2:32" s="23" customFormat="1" ht="15.75" customHeight="1">
      <c r="B18" s="23">
        <v>4</v>
      </c>
      <c r="C18" s="169" t="s">
        <v>10</v>
      </c>
      <c r="D18" s="172">
        <v>39959</v>
      </c>
      <c r="E18" s="82"/>
      <c r="F18" s="82"/>
      <c r="G18" s="366"/>
      <c r="H18" s="367"/>
      <c r="I18" s="24"/>
      <c r="J18" s="159">
        <v>39966</v>
      </c>
      <c r="K18" s="82"/>
      <c r="L18" s="82"/>
      <c r="M18" s="366"/>
      <c r="N18" s="367"/>
      <c r="O18" s="24"/>
      <c r="P18" s="159">
        <v>39973</v>
      </c>
      <c r="Q18" s="82"/>
      <c r="R18" s="82"/>
      <c r="S18" s="366"/>
      <c r="T18" s="367"/>
      <c r="U18" s="24"/>
      <c r="V18" s="159">
        <v>39980</v>
      </c>
      <c r="W18" s="82"/>
      <c r="X18" s="82"/>
      <c r="Y18" s="108"/>
      <c r="Z18" s="109"/>
      <c r="AA18" s="159">
        <v>39987</v>
      </c>
      <c r="AB18" s="114"/>
      <c r="AC18" s="114"/>
      <c r="AD18" s="193"/>
      <c r="AE18" s="130"/>
      <c r="AF18" s="91"/>
    </row>
    <row r="19" spans="2:32" s="23" customFormat="1" ht="15.75" customHeight="1">
      <c r="B19" s="23">
        <v>5</v>
      </c>
      <c r="C19" s="169" t="s">
        <v>11</v>
      </c>
      <c r="D19" s="172">
        <v>39960</v>
      </c>
      <c r="E19" s="82"/>
      <c r="F19" s="82"/>
      <c r="G19" s="366"/>
      <c r="H19" s="367"/>
      <c r="I19" s="24"/>
      <c r="J19" s="159">
        <v>39967</v>
      </c>
      <c r="K19" s="82"/>
      <c r="L19" s="82"/>
      <c r="M19" s="366"/>
      <c r="N19" s="367"/>
      <c r="O19" s="24"/>
      <c r="P19" s="159">
        <v>39974</v>
      </c>
      <c r="Q19" s="82"/>
      <c r="R19" s="82"/>
      <c r="S19" s="366"/>
      <c r="T19" s="367"/>
      <c r="U19" s="24"/>
      <c r="V19" s="159">
        <v>39981</v>
      </c>
      <c r="W19" s="82"/>
      <c r="X19" s="82"/>
      <c r="Y19" s="108"/>
      <c r="Z19" s="109"/>
      <c r="AA19" s="159">
        <v>39988</v>
      </c>
      <c r="AB19" s="114"/>
      <c r="AC19" s="114"/>
      <c r="AD19" s="193"/>
      <c r="AE19" s="130"/>
      <c r="AF19" s="91"/>
    </row>
    <row r="20" spans="2:32" s="23" customFormat="1" ht="15.75" customHeight="1">
      <c r="B20" s="23">
        <v>6</v>
      </c>
      <c r="C20" s="169" t="s">
        <v>12</v>
      </c>
      <c r="D20" s="172">
        <v>39961</v>
      </c>
      <c r="E20" s="82"/>
      <c r="F20" s="82"/>
      <c r="G20" s="366"/>
      <c r="H20" s="367"/>
      <c r="I20" s="24"/>
      <c r="J20" s="159">
        <v>39968</v>
      </c>
      <c r="K20" s="82"/>
      <c r="L20" s="82"/>
      <c r="M20" s="366"/>
      <c r="N20" s="367"/>
      <c r="O20" s="24"/>
      <c r="P20" s="159">
        <v>39975</v>
      </c>
      <c r="Q20" s="82"/>
      <c r="R20" s="82"/>
      <c r="S20" s="366"/>
      <c r="T20" s="367"/>
      <c r="U20" s="24"/>
      <c r="V20" s="159">
        <v>39982</v>
      </c>
      <c r="W20" s="82"/>
      <c r="X20" s="82"/>
      <c r="Y20" s="108"/>
      <c r="Z20" s="109"/>
      <c r="AA20" s="159">
        <v>39989</v>
      </c>
      <c r="AB20" s="114"/>
      <c r="AC20" s="114"/>
      <c r="AD20" s="193"/>
      <c r="AE20" s="130"/>
      <c r="AF20" s="91"/>
    </row>
    <row r="21" spans="2:32" s="23" customFormat="1" ht="15.75" customHeight="1" thickBot="1">
      <c r="B21" s="23">
        <v>7</v>
      </c>
      <c r="C21" s="170" t="s">
        <v>13</v>
      </c>
      <c r="D21" s="172">
        <v>39962</v>
      </c>
      <c r="E21" s="2"/>
      <c r="F21" s="2"/>
      <c r="G21" s="366"/>
      <c r="H21" s="367"/>
      <c r="I21" s="25"/>
      <c r="J21" s="159">
        <v>39969</v>
      </c>
      <c r="K21" s="2"/>
      <c r="L21" s="2"/>
      <c r="M21" s="366"/>
      <c r="N21" s="367"/>
      <c r="O21" s="25"/>
      <c r="P21" s="159">
        <v>39976</v>
      </c>
      <c r="Q21" s="2"/>
      <c r="R21" s="2"/>
      <c r="S21" s="366"/>
      <c r="T21" s="367"/>
      <c r="U21" s="35"/>
      <c r="V21" s="159">
        <v>39983</v>
      </c>
      <c r="W21" s="2"/>
      <c r="X21" s="2"/>
      <c r="Y21" s="108"/>
      <c r="Z21" s="109"/>
      <c r="AA21" s="105"/>
      <c r="AB21" s="3"/>
      <c r="AC21" s="3"/>
      <c r="AD21" s="193"/>
      <c r="AE21" s="130"/>
      <c r="AF21" s="91"/>
    </row>
    <row r="22" spans="2:32" s="23" customFormat="1" ht="15.75" customHeight="1" thickBot="1">
      <c r="C22" s="171"/>
      <c r="D22" s="99"/>
      <c r="E22" s="106"/>
      <c r="F22" s="107"/>
      <c r="G22" s="368"/>
      <c r="H22" s="369"/>
      <c r="I22" s="102"/>
      <c r="J22" s="103"/>
      <c r="K22" s="104"/>
      <c r="L22" s="101"/>
      <c r="M22" s="368"/>
      <c r="N22" s="369"/>
      <c r="O22" s="102"/>
      <c r="P22" s="103"/>
      <c r="Q22" s="100"/>
      <c r="R22" s="101"/>
      <c r="S22" s="368"/>
      <c r="T22" s="369"/>
      <c r="U22" s="102"/>
      <c r="V22" s="103"/>
      <c r="W22" s="100"/>
      <c r="X22" s="101"/>
      <c r="Y22" s="110"/>
      <c r="Z22" s="111"/>
      <c r="AA22" s="103"/>
      <c r="AB22" s="131"/>
      <c r="AC22" s="101"/>
      <c r="AD22" s="194"/>
      <c r="AE22" s="130"/>
      <c r="AF22" s="91"/>
    </row>
    <row r="23" spans="2:32" s="23" customFormat="1" ht="15.75" customHeight="1" thickBot="1">
      <c r="C23" s="38"/>
      <c r="D23" s="39"/>
      <c r="E23" s="40"/>
      <c r="F23" s="40"/>
      <c r="G23" s="40"/>
      <c r="H23" s="40"/>
      <c r="I23" s="41"/>
      <c r="J23" s="39"/>
      <c r="K23" s="40"/>
      <c r="L23" s="40"/>
      <c r="M23" s="40"/>
      <c r="N23" s="40"/>
      <c r="O23" s="41"/>
      <c r="P23" s="39"/>
      <c r="Q23" s="40"/>
      <c r="R23" s="40"/>
      <c r="S23" s="40"/>
      <c r="T23" s="40"/>
      <c r="U23" s="41"/>
      <c r="V23" s="39"/>
      <c r="W23" s="40"/>
      <c r="X23" s="40"/>
      <c r="Y23" s="40"/>
      <c r="Z23" s="40"/>
      <c r="AA23" s="39" t="s">
        <v>70</v>
      </c>
      <c r="AB23" s="40"/>
      <c r="AC23" s="40"/>
      <c r="AD23" s="130"/>
      <c r="AE23" s="130"/>
    </row>
    <row r="24" spans="2:32" s="23" customFormat="1" ht="15.75" customHeight="1" thickBot="1">
      <c r="C24" s="174" t="s">
        <v>16</v>
      </c>
      <c r="D24" s="175"/>
      <c r="E24" s="84">
        <f>SUM(E15:E23)</f>
        <v>0</v>
      </c>
      <c r="F24" s="85">
        <f>SUM(F15:F23)</f>
        <v>0</v>
      </c>
      <c r="G24" s="30"/>
      <c r="I24" s="26"/>
      <c r="J24" s="27"/>
      <c r="K24" s="89">
        <f>SUM(K15:K23)</f>
        <v>0</v>
      </c>
      <c r="L24" s="85">
        <f>SUM(L15:L23)</f>
        <v>0</v>
      </c>
      <c r="M24" s="116"/>
      <c r="Q24" s="84">
        <f>SUM(Q15:Q23)</f>
        <v>0</v>
      </c>
      <c r="R24" s="85">
        <f>SUM(R15:R23)</f>
        <v>0</v>
      </c>
      <c r="S24" s="30"/>
      <c r="T24" s="26"/>
      <c r="U24" s="26"/>
      <c r="W24" s="89">
        <f>SUM(W15:W23)</f>
        <v>0</v>
      </c>
      <c r="X24" s="85">
        <f>SUM(X15:X23)</f>
        <v>0</v>
      </c>
      <c r="Y24" s="30"/>
      <c r="AA24" s="44">
        <f>SUM(AB22:AB23)</f>
        <v>0</v>
      </c>
      <c r="AB24" s="85">
        <f>SUM(AB15:AB23)</f>
        <v>0</v>
      </c>
      <c r="AC24" s="85">
        <f>SUM(AC15:AC21)</f>
        <v>0</v>
      </c>
      <c r="AD24" s="30"/>
      <c r="AE24" s="45">
        <f>SUM(AC22,AC23)</f>
        <v>0</v>
      </c>
    </row>
    <row r="25" spans="2:32" s="12" customFormat="1" ht="12.75">
      <c r="E25" s="12">
        <f>IF(E24:F24&gt;40/24,(E24+F24-40/24)*24,0)</f>
        <v>0</v>
      </c>
      <c r="G25" s="12">
        <f>IF(SUM(E24:F24)&gt;40/24,(SUM(E24:F24)-40/24)*24,0)</f>
        <v>0</v>
      </c>
      <c r="K25" s="12">
        <f>IF(K24:L24&gt;40/24,K24:L24-40/24,0)</f>
        <v>0</v>
      </c>
      <c r="M25" s="121">
        <f>IF(SUM(K24:L24)&gt;40/24,(SUM(K24:L24)-40/24)*24,0)</f>
        <v>0</v>
      </c>
      <c r="Q25" s="12">
        <f>IF(Q24:R24&gt;40/24,Q24:R24-40/24,0)</f>
        <v>0</v>
      </c>
      <c r="R25" s="28"/>
      <c r="S25" s="12">
        <f>IF(SUM(Q24:R24)&gt;40/24,(SUM(Q24:R24)-40/24)*24,0)</f>
        <v>0</v>
      </c>
      <c r="W25" s="12">
        <f>IF(W24:X24&gt;40/24,W24:X24-40/24,0)</f>
        <v>0</v>
      </c>
      <c r="Y25" s="12">
        <f>IF(SUM(W24:X24)&gt;40/24,(SUM(W24:X24)-40/24)*24,0)</f>
        <v>0</v>
      </c>
      <c r="AA25" s="12">
        <f>IF(AA24&gt;16,(AA24-16)*1.5,0)</f>
        <v>0</v>
      </c>
      <c r="AB25" s="12">
        <f>IF(AB24:AC24&gt;40/24,AB24:AC24-40/24,0)</f>
        <v>0</v>
      </c>
      <c r="AD25" s="12">
        <f>IF(SUM(AB24:AC24)&gt;40/24,(SUM(AB24:AC24)-40/24)*24,0)</f>
        <v>0</v>
      </c>
    </row>
    <row r="26" spans="2:32" s="23" customFormat="1" ht="15.75" customHeight="1">
      <c r="D26" s="43"/>
      <c r="M26" s="124"/>
    </row>
    <row r="27" spans="2:32" ht="12" thickBot="1">
      <c r="G27" s="12">
        <v>1.6666666666666667</v>
      </c>
      <c r="M27" s="121">
        <v>1.6666666666666667</v>
      </c>
      <c r="S27" s="12">
        <v>1.6666666666666667</v>
      </c>
      <c r="Y27" s="12">
        <v>1.6666666666666667</v>
      </c>
      <c r="AD27" s="12">
        <v>1.6666666666666667</v>
      </c>
    </row>
    <row r="28" spans="2:32" ht="12" thickBot="1">
      <c r="E28" s="411" t="s">
        <v>0</v>
      </c>
      <c r="F28" s="412"/>
      <c r="G28" s="412"/>
      <c r="H28" s="412"/>
      <c r="I28" s="412"/>
      <c r="J28" s="412"/>
      <c r="K28" s="413"/>
      <c r="L28" s="125"/>
      <c r="M28" s="125"/>
    </row>
    <row r="29" spans="2:32">
      <c r="C29" s="388" t="s">
        <v>44</v>
      </c>
      <c r="D29" s="389"/>
      <c r="E29" s="414" t="s">
        <v>1</v>
      </c>
      <c r="F29" s="415"/>
      <c r="G29" s="415" t="s">
        <v>2</v>
      </c>
      <c r="H29" s="415"/>
      <c r="I29" s="415"/>
      <c r="J29" s="415" t="s">
        <v>45</v>
      </c>
      <c r="K29" s="416"/>
      <c r="L29" s="380"/>
      <c r="M29" s="381"/>
    </row>
    <row r="30" spans="2:32" ht="11.25" customHeight="1">
      <c r="C30" s="390"/>
      <c r="D30" s="391"/>
      <c r="E30" s="394">
        <f>SUM(E24,K24,Q24,W24,AB24,AA24)</f>
        <v>0</v>
      </c>
      <c r="F30" s="395"/>
      <c r="G30" s="395">
        <f>SUM(F24,L24,R24,X24,AC24,AE24)</f>
        <v>0</v>
      </c>
      <c r="H30" s="395"/>
      <c r="I30" s="395"/>
      <c r="J30" s="395">
        <f>E30+G30</f>
        <v>0</v>
      </c>
      <c r="K30" s="426"/>
      <c r="L30" s="428"/>
      <c r="M30" s="429"/>
    </row>
    <row r="31" spans="2:32" ht="12" customHeight="1" thickBot="1">
      <c r="C31" s="392"/>
      <c r="D31" s="393"/>
      <c r="E31" s="396"/>
      <c r="F31" s="397"/>
      <c r="G31" s="397"/>
      <c r="H31" s="397"/>
      <c r="I31" s="397"/>
      <c r="J31" s="397"/>
      <c r="K31" s="427"/>
      <c r="L31" s="429"/>
      <c r="M31" s="429"/>
    </row>
    <row r="32" spans="2:32">
      <c r="C32" s="406" t="s">
        <v>68</v>
      </c>
      <c r="D32" s="391"/>
      <c r="E32" s="407" t="s">
        <v>1</v>
      </c>
      <c r="F32" s="408"/>
      <c r="G32" s="408" t="s">
        <v>2</v>
      </c>
      <c r="H32" s="408"/>
      <c r="I32" s="409"/>
      <c r="J32" s="408" t="s">
        <v>0</v>
      </c>
      <c r="K32" s="410"/>
      <c r="L32" s="380"/>
      <c r="M32" s="381"/>
    </row>
    <row r="33" spans="3:31">
      <c r="C33" s="390"/>
      <c r="D33" s="391"/>
      <c r="E33" s="398">
        <f>E30*24</f>
        <v>0</v>
      </c>
      <c r="F33" s="399"/>
      <c r="G33" s="399">
        <f>G30*24</f>
        <v>0</v>
      </c>
      <c r="H33" s="399"/>
      <c r="I33" s="402">
        <f>I30*24</f>
        <v>0</v>
      </c>
      <c r="J33" s="399">
        <f>J30*24</f>
        <v>0</v>
      </c>
      <c r="K33" s="404"/>
      <c r="L33" s="387"/>
      <c r="M33" s="387"/>
    </row>
    <row r="34" spans="3:31" ht="11.25" customHeight="1" thickBot="1">
      <c r="C34" s="392"/>
      <c r="D34" s="393"/>
      <c r="E34" s="400"/>
      <c r="F34" s="401"/>
      <c r="G34" s="401"/>
      <c r="H34" s="401"/>
      <c r="I34" s="403"/>
      <c r="J34" s="401"/>
      <c r="K34" s="405"/>
      <c r="L34" s="387"/>
      <c r="M34" s="387"/>
    </row>
    <row r="35" spans="3:31" ht="12" customHeight="1">
      <c r="R35" s="30"/>
    </row>
    <row r="36" spans="3:31">
      <c r="C36" s="31" t="s">
        <v>43</v>
      </c>
      <c r="Y36" s="12">
        <f>SUMIF($H$15:$H$23,"",$G$15:$G$23)+SUMIF($N$15:$N$23,"",$M$15:$M$23)+SUMIF($T$15:$T$23,"",$S$15:$S$23)+SUMIF($Z$15:$Z$23,"",$Y$15:$Y$23)+SUMIF($AE$15:$AE$23,"",$AD$15:$AD$23)</f>
        <v>0</v>
      </c>
    </row>
    <row r="37" spans="3:31">
      <c r="C37" s="4" t="s">
        <v>76</v>
      </c>
      <c r="T37" s="32"/>
      <c r="W37" s="42"/>
      <c r="Y37" s="12">
        <f>SUMIF($H$15:$H$23,#REF!,$G$15:$G$23)+SUMIF($N$15:$N$23,#REF!,$M$15:$M$23)+SUMIF($T$15:$T$23,#REF!,$S$15:$S$23)+SUMIF($Z$15:$Z$23,#REF!,$Y$15:$Y$23)+SUMIF($AE$15:$AE$23,#REF!,$AD$15:$AD$23)</f>
        <v>0</v>
      </c>
    </row>
    <row r="38" spans="3:31">
      <c r="Y38" s="12">
        <f>SUMIF($H$15:$H$23,#REF!,$G$15:$G$23)+SUMIF($N$15:$N$23,#REF!,$M$15:$M$23)+SUMIF($T$15:$T$23,#REF!,$S$15:$S$23)+SUMIF($Z$15:$Z$23,#REF!,$Y$15:$Y$23)+SUMIF($AE$15:$AE$23,#REF!,$AD$15:$AD$23)</f>
        <v>0</v>
      </c>
    </row>
    <row r="39" spans="3:31" ht="12" thickBot="1"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V39" s="4" t="s">
        <v>73</v>
      </c>
      <c r="Y39" s="12">
        <f>SUMIF($H$15:$H$23,#REF!,$G$15:$G$23)+SUMIF($N$15:$N$23,#REF!,$M$15:$M$23)+SUMIF($T$15:$T$23,#REF!,$S$15:$S$23)+SUMIF($Z$15:$Z$23,#REF!,$Y$15:$Y$23)+SUMIF($AE$15:$AE$23,#REF!,$AD$15:$AD$23)</f>
        <v>0</v>
      </c>
      <c r="AE39" s="22"/>
    </row>
    <row r="40" spans="3:31">
      <c r="V40" s="133"/>
      <c r="W40" s="134"/>
      <c r="X40" s="134"/>
      <c r="Y40" s="135">
        <f>SUMIF($H$15:$H$23,#REF!,$G$15:$G$23)+SUMIF($N$15:$N$23,#REF!,$M$15:$M$23)+SUMIF($T$15:$T$23,#REF!,$S$15:$S$23)+SUMIF($Z$15:$Z$23,#REF!,$Y$15:$Y$23)+SUMIF($AE$15:$AE$23,#REF!,$AD$15:$AD$23)</f>
        <v>0</v>
      </c>
      <c r="Z40" s="134"/>
      <c r="AA40" s="134"/>
      <c r="AB40" s="134"/>
      <c r="AC40" s="134"/>
      <c r="AD40" s="136"/>
      <c r="AE40" s="22"/>
    </row>
    <row r="41" spans="3:31">
      <c r="C41" s="4" t="s">
        <v>61</v>
      </c>
      <c r="V41" s="137"/>
      <c r="W41" s="22"/>
      <c r="X41" s="22"/>
      <c r="Y41" s="138">
        <f>SUMIF($H$15:$H$23,#REF!,$G$15:$G$23)+SUMIF($N$15:$N$23,#REF!,$M$15:$M$23)+SUMIF($T$15:$T$23,#REF!,$S$15:$S$23)+SUMIF($Z$15:$Z$23,#REF!,$Y$15:$Y$23)+SUMIF($AE$15:$AE$23,#REF!,$AD$15:$AD$23)</f>
        <v>0</v>
      </c>
      <c r="Z41" s="22"/>
      <c r="AA41" s="22"/>
      <c r="AB41" s="22"/>
      <c r="AC41" s="22"/>
      <c r="AD41" s="139"/>
      <c r="AE41" s="22"/>
    </row>
    <row r="42" spans="3:31">
      <c r="E42" s="33"/>
      <c r="P42" s="33"/>
      <c r="Q42" s="33"/>
      <c r="R42" s="33"/>
      <c r="S42" s="64"/>
      <c r="V42" s="137"/>
      <c r="W42" s="22"/>
      <c r="X42" s="22"/>
      <c r="Y42" s="138">
        <f>SUMIF($H$15:$H$23,#REF!,$G$15:$G$23)+SUMIF($N$15:$N$23,#REF!,$M$15:$M$23)+SUMIF($T$15:$T$23,#REF!,$S$15:$S$23)+SUMIF($Z$15:$Z$23,#REF!,$Y$15:$Y$23)+SUMIF($AE$15:$AE$23,#REF!,$AD$15:$AD$23)</f>
        <v>0</v>
      </c>
      <c r="Z42" s="22"/>
      <c r="AA42" s="22"/>
      <c r="AB42" s="22"/>
      <c r="AC42" s="22"/>
      <c r="AD42" s="139"/>
      <c r="AE42" s="22"/>
    </row>
    <row r="43" spans="3:31">
      <c r="E43" s="33"/>
      <c r="P43" s="33"/>
      <c r="Q43" s="33"/>
      <c r="R43" s="33"/>
      <c r="S43" s="64"/>
      <c r="V43" s="137"/>
      <c r="W43" s="22"/>
      <c r="X43" s="22"/>
      <c r="Y43" s="138"/>
      <c r="Z43" s="22"/>
      <c r="AA43" s="22"/>
      <c r="AB43" s="22"/>
      <c r="AC43" s="22"/>
      <c r="AD43" s="139"/>
      <c r="AE43" s="22"/>
    </row>
    <row r="44" spans="3:31">
      <c r="E44" s="33"/>
      <c r="P44" s="33"/>
      <c r="Q44" s="33"/>
      <c r="R44" s="33"/>
      <c r="S44" s="64"/>
      <c r="V44" s="137"/>
      <c r="W44" s="22"/>
      <c r="X44" s="22"/>
      <c r="Y44" s="138"/>
      <c r="Z44" s="22"/>
      <c r="AA44" s="22"/>
      <c r="AB44" s="22"/>
      <c r="AC44" s="22"/>
      <c r="AD44" s="139"/>
      <c r="AE44" s="22"/>
    </row>
    <row r="45" spans="3:31"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4"/>
      <c r="Q45" s="379"/>
      <c r="R45" s="379"/>
      <c r="S45" s="33"/>
      <c r="V45" s="137"/>
      <c r="W45" s="22"/>
      <c r="X45" s="22"/>
      <c r="Y45" s="138">
        <f>SUMIF($H$15:$H$23,#REF!,$G$15:$G$23)+SUMIF($N$15:$N$23,#REF!,$M$15:$M$23)+SUMIF($T$15:$T$23,#REF!,$S$15:$S$23)+SUMIF($Z$15:$Z$23,#REF!,$Y$15:$Y$23)+SUMIF($AE$15:$AE$23,#REF!,$AD$15:$AD$23)</f>
        <v>0</v>
      </c>
      <c r="Z45" s="22"/>
      <c r="AA45" s="22"/>
      <c r="AB45" s="22"/>
      <c r="AC45" s="22"/>
      <c r="AD45" s="139"/>
      <c r="AE45" s="22"/>
    </row>
    <row r="46" spans="3:31">
      <c r="C46" s="7" t="s">
        <v>27</v>
      </c>
      <c r="D46" s="7"/>
      <c r="E46" s="7"/>
      <c r="F46" s="7"/>
      <c r="G46" s="7"/>
      <c r="H46" s="7"/>
      <c r="I46" s="7"/>
      <c r="J46" s="7"/>
      <c r="K46" s="7"/>
      <c r="L46" s="7"/>
      <c r="M46" s="118"/>
      <c r="N46" s="7"/>
      <c r="O46" s="7"/>
      <c r="Q46" s="7" t="s">
        <v>28</v>
      </c>
      <c r="R46" s="7"/>
      <c r="V46" s="137"/>
      <c r="W46" s="22"/>
      <c r="X46" s="22"/>
      <c r="Y46" s="138">
        <f>SUMIF($H$15:$H$23,#REF!,$G$15:$G$23)+SUMIF($N$15:$N$23,#REF!,$M$15:$M$23)+SUMIF($T$15:$T$23,#REF!,$S$15:$S$23)+SUMIF($Z$15:$Z$23,#REF!,$Y$15:$Y$23)+SUMIF($AE$15:$AE$23,#REF!,$AD$15:$AD$23)</f>
        <v>0</v>
      </c>
      <c r="Z46" s="22"/>
      <c r="AA46" s="22"/>
      <c r="AB46" s="22"/>
      <c r="AC46" s="22"/>
      <c r="AD46" s="139"/>
      <c r="AE46" s="22"/>
    </row>
    <row r="47" spans="3:31">
      <c r="Q47" s="33"/>
      <c r="R47" s="33"/>
      <c r="S47" s="33"/>
      <c r="V47" s="137"/>
      <c r="W47" s="22"/>
      <c r="X47" s="22"/>
      <c r="Y47" s="138">
        <f>SUMIF($H$15:$H$23,#REF!,$G$15:$G$23)+SUMIF($N$15:$N$23,#REF!,$M$15:$M$23)+SUMIF($T$15:$T$23,#REF!,$S$15:$S$23)+SUMIF($Z$15:$Z$23,#REF!,$Y$15:$Y$23)+SUMIF($AE$15:$AE$23,#REF!,$AD$15:$AD$23)</f>
        <v>0</v>
      </c>
      <c r="Z47" s="22"/>
      <c r="AA47" s="22"/>
      <c r="AB47" s="22"/>
      <c r="AC47" s="22"/>
      <c r="AD47" s="139"/>
      <c r="AE47" s="22"/>
    </row>
    <row r="48" spans="3:31">
      <c r="P48" s="33"/>
      <c r="Q48" s="33"/>
      <c r="R48" s="33"/>
      <c r="S48" s="33"/>
      <c r="V48" s="137"/>
      <c r="W48" s="22"/>
      <c r="X48" s="22"/>
      <c r="Y48" s="138">
        <f>SUMIF($H$15:$H$23,#REF!,$G$15:$G$23)+SUMIF($N$15:$N$23,#REF!,$M$15:$M$23)+SUMIF($T$15:$T$23,#REF!,$S$15:$S$23)+SUMIF($Z$15:$Z$23,#REF!,$Y$15:$Y$23)+SUMIF($AE$15:$AE$23,#REF!,$AD$15:$AD$23)</f>
        <v>0</v>
      </c>
      <c r="Z48" s="22"/>
      <c r="AA48" s="22"/>
      <c r="AB48" s="22"/>
      <c r="AC48" s="22"/>
      <c r="AD48" s="139"/>
      <c r="AE48" s="22"/>
    </row>
    <row r="49" spans="3:31">
      <c r="P49" s="33"/>
      <c r="Q49" s="33"/>
      <c r="R49" s="33"/>
      <c r="S49" s="33"/>
      <c r="V49" s="137"/>
      <c r="W49" s="22"/>
      <c r="X49" s="22"/>
      <c r="Y49" s="138"/>
      <c r="Z49" s="22"/>
      <c r="AA49" s="22"/>
      <c r="AB49" s="22"/>
      <c r="AC49" s="22"/>
      <c r="AD49" s="139"/>
      <c r="AE49" s="22"/>
    </row>
    <row r="50" spans="3:31" ht="12" thickBot="1"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22"/>
      <c r="Q50" s="379"/>
      <c r="R50" s="379"/>
      <c r="S50" s="33"/>
      <c r="V50" s="86" t="s">
        <v>70</v>
      </c>
      <c r="W50" s="87"/>
      <c r="X50" s="87"/>
      <c r="Y50" s="140">
        <f>SUMIF($H$15:$H$23,#REF!,$G$15:$G$23)+SUMIF($N$15:$N$23,#REF!,$M$15:$M$23)+SUMIF($T$15:$T$23,#REF!,$S$15:$S$23)+SUMIF($Z$15:$Z$23,#REF!,$Y$15:$Y$23)+SUMIF($AE$15:$AE$23,#REF!,$AD$15:$AD$23)</f>
        <v>0</v>
      </c>
      <c r="Z50" s="87"/>
      <c r="AA50" s="87"/>
      <c r="AB50" s="87"/>
      <c r="AC50" s="87"/>
      <c r="AD50" s="88"/>
      <c r="AE50" s="22"/>
    </row>
    <row r="51" spans="3:31">
      <c r="C51" s="36" t="s">
        <v>29</v>
      </c>
      <c r="D51" s="36"/>
      <c r="E51" s="36"/>
      <c r="F51" s="36"/>
      <c r="G51" s="36"/>
      <c r="H51" s="36"/>
      <c r="I51" s="36"/>
      <c r="J51" s="36"/>
      <c r="K51" s="36"/>
      <c r="L51" s="36"/>
      <c r="M51" s="123"/>
      <c r="N51" s="36"/>
      <c r="O51" s="36"/>
      <c r="Q51" s="7" t="s">
        <v>28</v>
      </c>
      <c r="R51" s="7"/>
      <c r="Y51" s="12">
        <f>SUMIF($H$15:$H$23,#REF!,$G$15:$G$23)+SUMIF($N$15:$N$23,#REF!,$M$15:$M$23)+SUMIF($T$15:$T$23,#REF!,$S$15:$S$23)+SUMIF($Z$15:$Z$23,#REF!,$Y$15:$Y$23)+SUMIF($AE$15:$AE$23,#REF!,$AD$15:$AD$23)</f>
        <v>0</v>
      </c>
    </row>
    <row r="52" spans="3:31">
      <c r="C52" s="7"/>
      <c r="D52" s="7"/>
      <c r="E52" s="7"/>
      <c r="F52" s="7"/>
      <c r="G52" s="7"/>
      <c r="H52" s="7"/>
      <c r="I52" s="7"/>
      <c r="J52" s="7"/>
      <c r="K52" s="7"/>
      <c r="L52" s="7"/>
      <c r="M52" s="118"/>
      <c r="N52" s="7"/>
      <c r="O52" s="7"/>
      <c r="Q52" s="7"/>
      <c r="R52" s="7"/>
      <c r="Y52" s="12">
        <f>SUMIF($H$15:$H$23,#REF!,$G$15:$G$23)+SUMIF($N$15:$N$23,#REF!,$M$15:$M$23)+SUMIF($T$15:$T$23,#REF!,$S$15:$S$23)+SUMIF($Z$15:$Z$23,#REF!,$Y$15:$Y$23)+SUMIF($AE$15:$AE$23,#REF!,$AD$15:$AD$23)</f>
        <v>0</v>
      </c>
    </row>
    <row r="53" spans="3:31"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</row>
    <row r="54" spans="3:31"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</row>
    <row r="55" spans="3:31"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</row>
    <row r="56" spans="3:31">
      <c r="T56" s="433"/>
      <c r="U56" s="433"/>
      <c r="V56" s="433"/>
      <c r="W56" s="433"/>
      <c r="X56" s="433"/>
      <c r="Y56" s="433"/>
      <c r="Z56" s="433"/>
      <c r="AA56" s="433"/>
      <c r="AB56" s="433"/>
      <c r="AC56" s="433"/>
      <c r="AD56" s="433"/>
      <c r="AE56" s="433"/>
    </row>
  </sheetData>
  <mergeCells count="52">
    <mergeCell ref="C39:R39"/>
    <mergeCell ref="T56:AE56"/>
    <mergeCell ref="C53:R55"/>
    <mergeCell ref="C50:O50"/>
    <mergeCell ref="Q50:R50"/>
    <mergeCell ref="C45:O45"/>
    <mergeCell ref="Q45:R45"/>
    <mergeCell ref="Y13:Z13"/>
    <mergeCell ref="G30:I31"/>
    <mergeCell ref="J30:K31"/>
    <mergeCell ref="L30:M31"/>
    <mergeCell ref="G13:H22"/>
    <mergeCell ref="C32:D34"/>
    <mergeCell ref="E32:F32"/>
    <mergeCell ref="G32:I32"/>
    <mergeCell ref="J32:K32"/>
    <mergeCell ref="E28:K28"/>
    <mergeCell ref="L32:M32"/>
    <mergeCell ref="E33:F34"/>
    <mergeCell ref="G33:I34"/>
    <mergeCell ref="J33:K34"/>
    <mergeCell ref="L33:M34"/>
    <mergeCell ref="E6:S6"/>
    <mergeCell ref="G8:L8"/>
    <mergeCell ref="M8:S8"/>
    <mergeCell ref="C29:D31"/>
    <mergeCell ref="E29:F29"/>
    <mergeCell ref="G29:I29"/>
    <mergeCell ref="J29:K29"/>
    <mergeCell ref="L29:M29"/>
    <mergeCell ref="E30:F31"/>
    <mergeCell ref="C12:H12"/>
    <mergeCell ref="M13:N22"/>
    <mergeCell ref="S13:T22"/>
    <mergeCell ref="AA12:AD12"/>
    <mergeCell ref="AB2:AD2"/>
    <mergeCell ref="AC3:AD3"/>
    <mergeCell ref="AC4:AD4"/>
    <mergeCell ref="AA9:AD9"/>
    <mergeCell ref="AA7:AD7"/>
    <mergeCell ref="AA8:AD8"/>
    <mergeCell ref="Y8:Z8"/>
    <mergeCell ref="V7:Z7"/>
    <mergeCell ref="V8:X8"/>
    <mergeCell ref="V12:Z12"/>
    <mergeCell ref="V9:X9"/>
    <mergeCell ref="Y9:Z9"/>
    <mergeCell ref="J12:N12"/>
    <mergeCell ref="P12:T12"/>
    <mergeCell ref="C8:F9"/>
    <mergeCell ref="M9:S9"/>
    <mergeCell ref="G9:L9"/>
  </mergeCells>
  <phoneticPr fontId="1" type="noConversion"/>
  <conditionalFormatting sqref="AA22:AA23 D15:D21 J15:J22 P15:P21 V15:V22">
    <cfRule type="cellIs" dxfId="7" priority="2" stopIfTrue="1" operator="equal">
      <formula>0</formula>
    </cfRule>
  </conditionalFormatting>
  <conditionalFormatting sqref="AA15:AA21">
    <cfRule type="cellIs" dxfId="6" priority="3" stopIfTrue="1" operator="equal">
      <formula>0</formula>
    </cfRule>
    <cfRule type="cellIs" dxfId="5" priority="4" stopIfTrue="1" operator="equal">
      <formula>38502</formula>
    </cfRule>
  </conditionalFormatting>
  <conditionalFormatting sqref="P22">
    <cfRule type="cellIs" dxfId="4" priority="5" stopIfTrue="1" operator="equal">
      <formula>0</formula>
    </cfRule>
    <cfRule type="cellIs" dxfId="3" priority="6" stopIfTrue="1" operator="equal">
      <formula>37277</formula>
    </cfRule>
  </conditionalFormatting>
  <conditionalFormatting sqref="D22">
    <cfRule type="cellIs" dxfId="2" priority="7" stopIfTrue="1" operator="equal">
      <formula>0</formula>
    </cfRule>
    <cfRule type="cellIs" dxfId="1" priority="8" stopIfTrue="1" operator="equal">
      <formula>37622</formula>
    </cfRule>
  </conditionalFormatting>
  <conditionalFormatting sqref="AA15:AA20">
    <cfRule type="cellIs" dxfId="0" priority="1" stopIfTrue="1" operator="equal">
      <formula>0</formula>
    </cfRule>
  </conditionalFormatting>
  <dataValidations count="2">
    <dataValidation type="decimal" operator="lessThanOrEqual" allowBlank="1" showInputMessage="1" showErrorMessage="1" errorTitle="Colon" error="To enter time, hours must be typed in followed by a colon, for example 0:15, for minutes alone type zero followed by a colon then the minutes." sqref="E15:F23 G23 Y23 M23 S23 W15:X23 K15:L23 Q15:R23 AB15:AC23">
      <formula1>1</formula1>
    </dataValidation>
    <dataValidation type="list" allowBlank="1" showInputMessage="1" showErrorMessage="1" errorTitle="Invalid Leave Code" error="Please select a valid leave code" promptTitle="Leave Code" sqref="H23 T23 Z23 N23">
      <formula1>#REF!</formula1>
    </dataValidation>
  </dataValidations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"/>
  <dimension ref="A1:W375"/>
  <sheetViews>
    <sheetView zoomScaleNormal="100" workbookViewId="0">
      <selection activeCell="Q33" sqref="Q33:W38"/>
    </sheetView>
  </sheetViews>
  <sheetFormatPr defaultRowHeight="12.75"/>
  <cols>
    <col min="1" max="1" width="21.5" style="47" bestFit="1" customWidth="1"/>
    <col min="2" max="2" width="32.6640625" style="48" bestFit="1" customWidth="1"/>
    <col min="3" max="8" width="4.1640625" style="47" customWidth="1"/>
    <col min="9" max="9" width="4.1640625" style="181" customWidth="1"/>
    <col min="10" max="23" width="4.1640625" style="47" customWidth="1"/>
    <col min="24" max="24" width="9.1640625" style="47" customWidth="1"/>
    <col min="25" max="45" width="4.1640625" style="47" customWidth="1"/>
    <col min="46" max="16384" width="9.33203125" style="47"/>
  </cols>
  <sheetData>
    <row r="1" spans="1:23" ht="26.25" thickBot="1">
      <c r="A1" s="434" t="s">
        <v>86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</row>
    <row r="2" spans="1:23" ht="16.5" thickBot="1">
      <c r="C2" s="436">
        <v>2008</v>
      </c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46"/>
    </row>
    <row r="3" spans="1:23" ht="15.6" customHeight="1" thickBot="1">
      <c r="A3" s="178" t="s">
        <v>47</v>
      </c>
      <c r="B3" s="179" t="s">
        <v>48</v>
      </c>
      <c r="C3" s="453"/>
      <c r="D3" s="454"/>
      <c r="E3" s="454"/>
      <c r="F3" s="454"/>
      <c r="G3" s="454"/>
      <c r="H3" s="454"/>
      <c r="I3" s="455"/>
      <c r="J3" s="447" t="s">
        <v>37</v>
      </c>
      <c r="K3" s="448"/>
      <c r="L3" s="448"/>
      <c r="M3" s="448"/>
      <c r="N3" s="448"/>
      <c r="O3" s="448"/>
      <c r="P3" s="449"/>
      <c r="Q3" s="447" t="s">
        <v>38</v>
      </c>
      <c r="R3" s="448"/>
      <c r="S3" s="448"/>
      <c r="T3" s="448"/>
      <c r="U3" s="448"/>
      <c r="V3" s="448"/>
      <c r="W3" s="449"/>
    </row>
    <row r="4" spans="1:23" ht="15.6" customHeight="1">
      <c r="A4" s="80" t="s">
        <v>53</v>
      </c>
      <c r="B4" s="81">
        <v>39997</v>
      </c>
      <c r="C4" s="177" t="s">
        <v>70</v>
      </c>
      <c r="D4" s="78"/>
      <c r="E4" s="78"/>
      <c r="F4" s="78"/>
      <c r="G4" s="78"/>
      <c r="H4" s="78"/>
      <c r="I4" s="49"/>
      <c r="J4" s="227"/>
      <c r="K4" s="226"/>
      <c r="L4" s="226"/>
      <c r="M4" s="226">
        <v>1</v>
      </c>
      <c r="N4" s="226">
        <v>2</v>
      </c>
      <c r="O4" s="229">
        <v>3</v>
      </c>
      <c r="P4" s="225">
        <v>4</v>
      </c>
      <c r="Q4" s="241"/>
      <c r="R4" s="239"/>
      <c r="S4" s="239"/>
      <c r="T4" s="239"/>
      <c r="U4" s="239"/>
      <c r="V4" s="239"/>
      <c r="W4" s="240">
        <v>1</v>
      </c>
    </row>
    <row r="5" spans="1:23">
      <c r="A5" s="76" t="s">
        <v>81</v>
      </c>
      <c r="B5" s="77">
        <v>39970</v>
      </c>
      <c r="C5" s="52"/>
      <c r="D5" s="59"/>
      <c r="E5" s="59"/>
      <c r="F5" s="59"/>
      <c r="G5" s="59"/>
      <c r="H5" s="59"/>
      <c r="I5" s="51"/>
      <c r="J5" s="223">
        <v>5</v>
      </c>
      <c r="K5" s="231">
        <v>6</v>
      </c>
      <c r="L5" s="224">
        <v>7</v>
      </c>
      <c r="M5" s="224">
        <v>8</v>
      </c>
      <c r="N5" s="224">
        <v>9</v>
      </c>
      <c r="O5" s="224">
        <v>10</v>
      </c>
      <c r="P5" s="221">
        <v>11</v>
      </c>
      <c r="Q5" s="236">
        <v>2</v>
      </c>
      <c r="R5" s="238">
        <v>3</v>
      </c>
      <c r="S5" s="238">
        <v>4</v>
      </c>
      <c r="T5" s="238">
        <v>5</v>
      </c>
      <c r="U5" s="238">
        <v>6</v>
      </c>
      <c r="V5" s="238">
        <v>7</v>
      </c>
      <c r="W5" s="237">
        <v>8</v>
      </c>
    </row>
    <row r="6" spans="1:23">
      <c r="A6" s="214" t="s">
        <v>54</v>
      </c>
      <c r="B6" s="215">
        <v>40063</v>
      </c>
      <c r="C6" s="52"/>
      <c r="D6" s="59"/>
      <c r="E6" s="59"/>
      <c r="F6" s="59"/>
      <c r="G6" s="59"/>
      <c r="H6" s="59"/>
      <c r="I6" s="51"/>
      <c r="J6" s="223">
        <v>12</v>
      </c>
      <c r="K6" s="230">
        <v>13</v>
      </c>
      <c r="L6" s="224">
        <v>14</v>
      </c>
      <c r="M6" s="224">
        <v>15</v>
      </c>
      <c r="N6" s="224">
        <v>16</v>
      </c>
      <c r="O6" s="224">
        <v>17</v>
      </c>
      <c r="P6" s="221">
        <v>18</v>
      </c>
      <c r="Q6" s="236">
        <v>9</v>
      </c>
      <c r="R6" s="238">
        <v>10</v>
      </c>
      <c r="S6" s="238">
        <v>11</v>
      </c>
      <c r="T6" s="238">
        <v>12</v>
      </c>
      <c r="U6" s="238">
        <v>13</v>
      </c>
      <c r="V6" s="238">
        <v>14</v>
      </c>
      <c r="W6" s="237">
        <v>15</v>
      </c>
    </row>
    <row r="7" spans="1:23">
      <c r="A7" s="208" t="s">
        <v>55</v>
      </c>
      <c r="B7" s="209" t="s">
        <v>82</v>
      </c>
      <c r="C7" s="52"/>
      <c r="D7" s="59"/>
      <c r="E7" s="59"/>
      <c r="F7" s="59"/>
      <c r="G7" s="59"/>
      <c r="H7" s="180"/>
      <c r="I7" s="51"/>
      <c r="J7" s="223">
        <v>19</v>
      </c>
      <c r="K7" s="222">
        <v>20</v>
      </c>
      <c r="L7" s="224">
        <v>21</v>
      </c>
      <c r="M7" s="224">
        <v>22</v>
      </c>
      <c r="N7" s="224">
        <v>23</v>
      </c>
      <c r="O7" s="224">
        <v>24</v>
      </c>
      <c r="P7" s="221">
        <v>25</v>
      </c>
      <c r="Q7" s="236">
        <v>16</v>
      </c>
      <c r="R7" s="235">
        <v>17</v>
      </c>
      <c r="S7" s="235">
        <v>18</v>
      </c>
      <c r="T7" s="235">
        <v>19</v>
      </c>
      <c r="U7" s="235">
        <v>20</v>
      </c>
      <c r="V7" s="235">
        <v>21</v>
      </c>
      <c r="W7" s="237">
        <v>22</v>
      </c>
    </row>
    <row r="8" spans="1:23">
      <c r="A8" s="214" t="s">
        <v>56</v>
      </c>
      <c r="B8" s="216" t="s">
        <v>83</v>
      </c>
      <c r="C8" s="52"/>
      <c r="D8" s="59"/>
      <c r="E8" s="59"/>
      <c r="F8" s="59"/>
      <c r="G8" s="205"/>
      <c r="H8" s="59"/>
      <c r="I8" s="206"/>
      <c r="J8" s="223">
        <v>26</v>
      </c>
      <c r="K8" s="230">
        <v>27</v>
      </c>
      <c r="L8" s="224">
        <v>28</v>
      </c>
      <c r="M8" s="224">
        <v>29</v>
      </c>
      <c r="N8" s="224">
        <v>30</v>
      </c>
      <c r="O8" s="224">
        <v>31</v>
      </c>
      <c r="P8" s="228"/>
      <c r="Q8" s="236">
        <v>23</v>
      </c>
      <c r="R8" s="235">
        <v>24</v>
      </c>
      <c r="S8" s="235">
        <v>25</v>
      </c>
      <c r="T8" s="235">
        <v>26</v>
      </c>
      <c r="U8" s="235">
        <v>27</v>
      </c>
      <c r="V8" s="235">
        <v>28</v>
      </c>
      <c r="W8" s="237">
        <v>29</v>
      </c>
    </row>
    <row r="9" spans="1:23" ht="13.5" thickBot="1">
      <c r="A9" s="210" t="s">
        <v>84</v>
      </c>
      <c r="B9" s="209" t="s">
        <v>85</v>
      </c>
      <c r="C9" s="54"/>
      <c r="D9" s="79"/>
      <c r="E9" s="79"/>
      <c r="F9" s="79"/>
      <c r="G9" s="79"/>
      <c r="H9" s="207"/>
      <c r="I9" s="53"/>
      <c r="J9" s="219"/>
      <c r="K9" s="218"/>
      <c r="L9" s="218"/>
      <c r="M9" s="218"/>
      <c r="N9" s="218"/>
      <c r="O9" s="218"/>
      <c r="P9" s="220"/>
      <c r="Q9" s="234">
        <v>30</v>
      </c>
      <c r="R9" s="233">
        <v>31</v>
      </c>
      <c r="S9" s="233"/>
      <c r="T9" s="233"/>
      <c r="U9" s="233"/>
      <c r="V9" s="233"/>
      <c r="W9" s="232"/>
    </row>
    <row r="10" spans="1:23" ht="13.5" customHeight="1" thickBot="1">
      <c r="A10" s="217" t="s">
        <v>49</v>
      </c>
      <c r="B10" s="215">
        <v>40179</v>
      </c>
      <c r="C10" s="442" t="s">
        <v>39</v>
      </c>
      <c r="D10" s="443"/>
      <c r="E10" s="443"/>
      <c r="F10" s="443"/>
      <c r="G10" s="443"/>
      <c r="H10" s="443"/>
      <c r="I10" s="444"/>
      <c r="J10" s="461" t="s">
        <v>40</v>
      </c>
      <c r="K10" s="462"/>
      <c r="L10" s="462"/>
      <c r="M10" s="462"/>
      <c r="N10" s="462"/>
      <c r="O10" s="462"/>
      <c r="P10" s="463"/>
      <c r="Q10" s="458" t="s">
        <v>41</v>
      </c>
      <c r="R10" s="459"/>
      <c r="S10" s="459"/>
      <c r="T10" s="459"/>
      <c r="U10" s="459"/>
      <c r="V10" s="459"/>
      <c r="W10" s="460"/>
    </row>
    <row r="11" spans="1:23" ht="13.5" customHeight="1">
      <c r="A11" s="208" t="s">
        <v>50</v>
      </c>
      <c r="B11" s="211">
        <v>40196</v>
      </c>
      <c r="C11" s="251"/>
      <c r="D11" s="250"/>
      <c r="E11" s="249">
        <v>1</v>
      </c>
      <c r="F11" s="249">
        <v>2</v>
      </c>
      <c r="G11" s="249">
        <v>3</v>
      </c>
      <c r="H11" s="249">
        <v>4</v>
      </c>
      <c r="I11" s="248">
        <v>5</v>
      </c>
      <c r="J11" s="261"/>
      <c r="K11" s="259"/>
      <c r="L11" s="259"/>
      <c r="M11" s="260"/>
      <c r="N11" s="260">
        <v>1</v>
      </c>
      <c r="O11" s="259">
        <v>2</v>
      </c>
      <c r="P11" s="262">
        <v>3</v>
      </c>
      <c r="Q11" s="271">
        <v>1</v>
      </c>
      <c r="R11" s="270">
        <v>2</v>
      </c>
      <c r="S11" s="270">
        <v>3</v>
      </c>
      <c r="T11" s="270">
        <v>4</v>
      </c>
      <c r="U11" s="270">
        <v>5</v>
      </c>
      <c r="V11" s="270">
        <v>6</v>
      </c>
      <c r="W11" s="272">
        <v>7</v>
      </c>
    </row>
    <row r="12" spans="1:23" ht="15.6" customHeight="1">
      <c r="A12" s="214" t="s">
        <v>51</v>
      </c>
      <c r="B12" s="215">
        <v>40270</v>
      </c>
      <c r="C12" s="246">
        <v>6</v>
      </c>
      <c r="D12" s="252">
        <v>7</v>
      </c>
      <c r="E12" s="247">
        <v>8</v>
      </c>
      <c r="F12" s="247">
        <v>9</v>
      </c>
      <c r="G12" s="247">
        <v>10</v>
      </c>
      <c r="H12" s="247">
        <v>11</v>
      </c>
      <c r="I12" s="245">
        <v>12</v>
      </c>
      <c r="J12" s="258">
        <v>4</v>
      </c>
      <c r="K12" s="256">
        <v>5</v>
      </c>
      <c r="L12" s="256">
        <v>6</v>
      </c>
      <c r="M12" s="256">
        <v>7</v>
      </c>
      <c r="N12" s="256">
        <v>8</v>
      </c>
      <c r="O12" s="256">
        <v>9</v>
      </c>
      <c r="P12" s="257">
        <v>10</v>
      </c>
      <c r="Q12" s="267">
        <v>8</v>
      </c>
      <c r="R12" s="269">
        <v>9</v>
      </c>
      <c r="S12" s="269">
        <v>10</v>
      </c>
      <c r="T12" s="269">
        <v>11</v>
      </c>
      <c r="U12" s="269">
        <v>12</v>
      </c>
      <c r="V12" s="269">
        <v>13</v>
      </c>
      <c r="W12" s="268">
        <v>14</v>
      </c>
    </row>
    <row r="13" spans="1:23" ht="13.5" thickBot="1">
      <c r="A13" s="212" t="s">
        <v>52</v>
      </c>
      <c r="B13" s="213">
        <v>40329</v>
      </c>
      <c r="C13" s="246">
        <v>13</v>
      </c>
      <c r="D13" s="247">
        <v>14</v>
      </c>
      <c r="E13" s="247">
        <v>15</v>
      </c>
      <c r="F13" s="247">
        <v>16</v>
      </c>
      <c r="G13" s="247">
        <v>17</v>
      </c>
      <c r="H13" s="247">
        <v>18</v>
      </c>
      <c r="I13" s="245">
        <v>19</v>
      </c>
      <c r="J13" s="258">
        <v>11</v>
      </c>
      <c r="K13" s="256">
        <v>12</v>
      </c>
      <c r="L13" s="256">
        <v>13</v>
      </c>
      <c r="M13" s="256">
        <v>14</v>
      </c>
      <c r="N13" s="256">
        <v>15</v>
      </c>
      <c r="O13" s="256">
        <v>16</v>
      </c>
      <c r="P13" s="257">
        <v>17</v>
      </c>
      <c r="Q13" s="267">
        <v>15</v>
      </c>
      <c r="R13" s="269">
        <v>16</v>
      </c>
      <c r="S13" s="269">
        <v>17</v>
      </c>
      <c r="T13" s="269">
        <v>18</v>
      </c>
      <c r="U13" s="269">
        <v>19</v>
      </c>
      <c r="V13" s="269">
        <v>20</v>
      </c>
      <c r="W13" s="268">
        <v>21</v>
      </c>
    </row>
    <row r="14" spans="1:23">
      <c r="A14" s="50"/>
      <c r="B14" s="56"/>
      <c r="C14" s="246">
        <v>20</v>
      </c>
      <c r="D14" s="247">
        <v>21</v>
      </c>
      <c r="E14" s="247">
        <v>22</v>
      </c>
      <c r="F14" s="247">
        <v>23</v>
      </c>
      <c r="G14" s="247">
        <v>24</v>
      </c>
      <c r="H14" s="247">
        <v>25</v>
      </c>
      <c r="I14" s="245">
        <v>26</v>
      </c>
      <c r="J14" s="258">
        <v>18</v>
      </c>
      <c r="K14" s="256">
        <v>19</v>
      </c>
      <c r="L14" s="256">
        <v>20</v>
      </c>
      <c r="M14" s="256">
        <v>21</v>
      </c>
      <c r="N14" s="256">
        <v>22</v>
      </c>
      <c r="O14" s="256">
        <v>23</v>
      </c>
      <c r="P14" s="257">
        <v>24</v>
      </c>
      <c r="Q14" s="267">
        <v>22</v>
      </c>
      <c r="R14" s="269">
        <v>23</v>
      </c>
      <c r="S14" s="269">
        <v>24</v>
      </c>
      <c r="T14" s="269">
        <v>25</v>
      </c>
      <c r="U14" s="273">
        <v>26</v>
      </c>
      <c r="V14" s="273">
        <v>27</v>
      </c>
      <c r="W14" s="268">
        <v>28</v>
      </c>
    </row>
    <row r="15" spans="1:23">
      <c r="A15" s="50"/>
      <c r="B15" s="56"/>
      <c r="C15" s="246">
        <v>27</v>
      </c>
      <c r="D15" s="247">
        <v>28</v>
      </c>
      <c r="E15" s="247">
        <v>29</v>
      </c>
      <c r="F15" s="247">
        <v>30</v>
      </c>
      <c r="G15" s="247"/>
      <c r="H15" s="247"/>
      <c r="I15" s="245"/>
      <c r="J15" s="258">
        <v>25</v>
      </c>
      <c r="K15" s="256">
        <v>26</v>
      </c>
      <c r="L15" s="256">
        <v>27</v>
      </c>
      <c r="M15" s="256">
        <v>28</v>
      </c>
      <c r="N15" s="256">
        <v>29</v>
      </c>
      <c r="O15" s="256">
        <v>30</v>
      </c>
      <c r="P15" s="257">
        <v>31</v>
      </c>
      <c r="Q15" s="267">
        <v>29</v>
      </c>
      <c r="R15" s="266">
        <v>30</v>
      </c>
      <c r="S15" s="266"/>
      <c r="T15" s="266"/>
      <c r="U15" s="266"/>
      <c r="V15" s="266"/>
      <c r="W15" s="268"/>
    </row>
    <row r="16" spans="1:23" ht="13.5" thickBot="1">
      <c r="A16" s="50"/>
      <c r="B16" s="56"/>
      <c r="C16" s="244"/>
      <c r="D16" s="243"/>
      <c r="E16" s="243"/>
      <c r="F16" s="243"/>
      <c r="G16" s="243"/>
      <c r="H16" s="243"/>
      <c r="I16" s="242"/>
      <c r="J16" s="254"/>
      <c r="K16" s="253"/>
      <c r="L16" s="253"/>
      <c r="M16" s="253"/>
      <c r="N16" s="253"/>
      <c r="O16" s="253"/>
      <c r="P16" s="255"/>
      <c r="Q16" s="265"/>
      <c r="R16" s="264"/>
      <c r="S16" s="264"/>
      <c r="T16" s="264"/>
      <c r="U16" s="264"/>
      <c r="V16" s="264"/>
      <c r="W16" s="263"/>
    </row>
    <row r="17" spans="1:23" ht="13.5" thickBot="1">
      <c r="A17" s="50"/>
      <c r="B17" s="56"/>
      <c r="C17" s="450" t="s">
        <v>42</v>
      </c>
      <c r="D17" s="451"/>
      <c r="E17" s="451"/>
      <c r="F17" s="451"/>
      <c r="G17" s="451"/>
      <c r="H17" s="451"/>
      <c r="I17" s="452"/>
      <c r="J17" s="453"/>
      <c r="K17" s="454"/>
      <c r="L17" s="454"/>
      <c r="M17" s="454"/>
      <c r="N17" s="454"/>
      <c r="O17" s="454"/>
      <c r="P17" s="455"/>
      <c r="Q17" s="453"/>
      <c r="R17" s="454"/>
      <c r="S17" s="454"/>
      <c r="T17" s="454"/>
      <c r="U17" s="454"/>
      <c r="V17" s="454"/>
      <c r="W17" s="455"/>
    </row>
    <row r="18" spans="1:23" ht="15.6" customHeight="1">
      <c r="A18" s="50"/>
      <c r="B18" s="56"/>
      <c r="C18" s="284"/>
      <c r="D18" s="283"/>
      <c r="E18" s="282">
        <v>1</v>
      </c>
      <c r="F18" s="282">
        <v>2</v>
      </c>
      <c r="G18" s="282">
        <v>3</v>
      </c>
      <c r="H18" s="282">
        <v>4</v>
      </c>
      <c r="I18" s="281">
        <v>5</v>
      </c>
      <c r="J18" s="177" t="s">
        <v>70</v>
      </c>
      <c r="K18" s="78"/>
      <c r="L18" s="78"/>
      <c r="M18" s="78"/>
      <c r="N18" s="78"/>
      <c r="O18" s="78"/>
      <c r="P18" s="49"/>
      <c r="Q18" s="177" t="s">
        <v>70</v>
      </c>
      <c r="R18" s="78"/>
      <c r="S18" s="78"/>
      <c r="T18" s="78"/>
      <c r="U18" s="78"/>
      <c r="V18" s="78"/>
      <c r="W18" s="49"/>
    </row>
    <row r="19" spans="1:23">
      <c r="A19" s="50"/>
      <c r="B19" s="56"/>
      <c r="C19" s="279">
        <v>6</v>
      </c>
      <c r="D19" s="280">
        <v>7</v>
      </c>
      <c r="E19" s="280">
        <v>8</v>
      </c>
      <c r="F19" s="280">
        <v>9</v>
      </c>
      <c r="G19" s="280">
        <v>10</v>
      </c>
      <c r="H19" s="280">
        <v>11</v>
      </c>
      <c r="I19" s="277">
        <v>12</v>
      </c>
      <c r="J19" s="52"/>
      <c r="K19" s="59"/>
      <c r="L19" s="59"/>
      <c r="M19" s="59"/>
      <c r="N19" s="59"/>
      <c r="O19" s="59"/>
      <c r="P19" s="51"/>
      <c r="Q19" s="52"/>
      <c r="R19" s="59"/>
      <c r="S19" s="59"/>
      <c r="T19" s="59"/>
      <c r="U19" s="59"/>
      <c r="V19" s="59"/>
      <c r="W19" s="51"/>
    </row>
    <row r="20" spans="1:23">
      <c r="A20" s="50"/>
      <c r="B20" s="56"/>
      <c r="C20" s="279">
        <v>13</v>
      </c>
      <c r="D20" s="280">
        <v>14</v>
      </c>
      <c r="E20" s="280">
        <v>15</v>
      </c>
      <c r="F20" s="280">
        <v>16</v>
      </c>
      <c r="G20" s="280">
        <v>17</v>
      </c>
      <c r="H20" s="280">
        <v>18</v>
      </c>
      <c r="I20" s="277">
        <v>19</v>
      </c>
      <c r="J20" s="52"/>
      <c r="K20" s="59"/>
      <c r="L20" s="59"/>
      <c r="M20" s="59"/>
      <c r="N20" s="59"/>
      <c r="O20" s="59"/>
      <c r="P20" s="51"/>
      <c r="Q20" s="52"/>
      <c r="R20" s="59"/>
      <c r="S20" s="59"/>
      <c r="T20" s="59"/>
      <c r="U20" s="59"/>
      <c r="V20" s="59"/>
      <c r="W20" s="51"/>
    </row>
    <row r="21" spans="1:23">
      <c r="A21" s="50"/>
      <c r="B21" s="56"/>
      <c r="C21" s="279">
        <v>20</v>
      </c>
      <c r="D21" s="280">
        <v>21</v>
      </c>
      <c r="E21" s="278">
        <v>22</v>
      </c>
      <c r="F21" s="278">
        <v>23</v>
      </c>
      <c r="G21" s="285">
        <v>24</v>
      </c>
      <c r="H21" s="285">
        <v>25</v>
      </c>
      <c r="I21" s="277">
        <v>26</v>
      </c>
      <c r="J21" s="52"/>
      <c r="K21" s="59"/>
      <c r="L21" s="59"/>
      <c r="M21" s="59"/>
      <c r="N21" s="59"/>
      <c r="O21" s="59"/>
      <c r="P21" s="51"/>
      <c r="Q21" s="52"/>
      <c r="R21" s="59"/>
      <c r="S21" s="59"/>
      <c r="T21" s="59"/>
      <c r="U21" s="59"/>
      <c r="V21" s="59"/>
      <c r="W21" s="51"/>
    </row>
    <row r="22" spans="1:23">
      <c r="A22" s="50"/>
      <c r="B22" s="56"/>
      <c r="C22" s="279">
        <v>27</v>
      </c>
      <c r="D22" s="285">
        <v>28</v>
      </c>
      <c r="E22" s="286">
        <v>29</v>
      </c>
      <c r="F22" s="286">
        <v>30</v>
      </c>
      <c r="G22" s="286">
        <v>31</v>
      </c>
      <c r="H22" s="280"/>
      <c r="I22" s="277"/>
      <c r="J22" s="52"/>
      <c r="K22" s="59"/>
      <c r="L22" s="59"/>
      <c r="M22" s="59"/>
      <c r="N22" s="59"/>
      <c r="O22" s="59"/>
      <c r="P22" s="206"/>
      <c r="Q22" s="52"/>
      <c r="R22" s="59"/>
      <c r="S22" s="59"/>
      <c r="T22" s="59"/>
      <c r="U22" s="59"/>
      <c r="V22" s="59"/>
      <c r="W22" s="206"/>
    </row>
    <row r="23" spans="1:23" ht="13.5" thickBot="1">
      <c r="A23" s="50"/>
      <c r="B23" s="56"/>
      <c r="C23" s="276"/>
      <c r="D23" s="275"/>
      <c r="E23" s="275"/>
      <c r="F23" s="275"/>
      <c r="G23" s="275"/>
      <c r="H23" s="275"/>
      <c r="I23" s="274"/>
      <c r="J23" s="54"/>
      <c r="K23" s="79"/>
      <c r="L23" s="79"/>
      <c r="M23" s="79"/>
      <c r="N23" s="79"/>
      <c r="O23" s="79"/>
      <c r="P23" s="53"/>
      <c r="Q23" s="54"/>
      <c r="R23" s="79"/>
      <c r="S23" s="79"/>
      <c r="T23" s="79"/>
      <c r="U23" s="79"/>
      <c r="V23" s="79"/>
      <c r="W23" s="53"/>
    </row>
    <row r="24" spans="1:23" ht="16.5" thickBot="1">
      <c r="A24" s="50"/>
      <c r="B24" s="56"/>
      <c r="C24" s="436">
        <v>2009</v>
      </c>
      <c r="D24" s="437"/>
      <c r="E24" s="438"/>
      <c r="F24" s="438"/>
      <c r="G24" s="438"/>
      <c r="H24" s="438"/>
      <c r="I24" s="438"/>
      <c r="J24" s="438"/>
      <c r="K24" s="438"/>
      <c r="L24" s="438"/>
      <c r="M24" s="438"/>
      <c r="N24" s="438"/>
      <c r="O24" s="438"/>
      <c r="P24" s="438"/>
      <c r="Q24" s="438"/>
      <c r="R24" s="438"/>
      <c r="S24" s="438"/>
      <c r="T24" s="438"/>
      <c r="U24" s="438"/>
      <c r="V24" s="438"/>
      <c r="W24" s="439"/>
    </row>
    <row r="25" spans="1:23" ht="15.6" customHeight="1" thickBot="1">
      <c r="A25" s="50"/>
      <c r="B25" s="56"/>
      <c r="C25" s="440" t="s">
        <v>31</v>
      </c>
      <c r="D25" s="441"/>
      <c r="E25" s="441"/>
      <c r="F25" s="441"/>
      <c r="G25" s="441"/>
      <c r="H25" s="441"/>
      <c r="I25" s="441"/>
      <c r="J25" s="442" t="s">
        <v>32</v>
      </c>
      <c r="K25" s="443"/>
      <c r="L25" s="443"/>
      <c r="M25" s="443"/>
      <c r="N25" s="443"/>
      <c r="O25" s="443"/>
      <c r="P25" s="444"/>
      <c r="Q25" s="441" t="s">
        <v>33</v>
      </c>
      <c r="R25" s="441"/>
      <c r="S25" s="441"/>
      <c r="T25" s="441"/>
      <c r="U25" s="441"/>
      <c r="V25" s="441"/>
      <c r="W25" s="445"/>
    </row>
    <row r="26" spans="1:23">
      <c r="A26" s="50"/>
      <c r="B26" s="56"/>
      <c r="C26" s="297"/>
      <c r="D26" s="288"/>
      <c r="E26" s="288"/>
      <c r="F26" s="288"/>
      <c r="G26" s="288"/>
      <c r="H26" s="289">
        <v>1</v>
      </c>
      <c r="I26" s="296">
        <v>2</v>
      </c>
      <c r="J26" s="304"/>
      <c r="K26" s="303">
        <v>1</v>
      </c>
      <c r="L26" s="303">
        <v>2</v>
      </c>
      <c r="M26" s="303">
        <v>3</v>
      </c>
      <c r="N26" s="303">
        <v>4</v>
      </c>
      <c r="O26" s="303">
        <v>5</v>
      </c>
      <c r="P26" s="305">
        <v>6</v>
      </c>
      <c r="Q26" s="313"/>
      <c r="R26" s="312">
        <v>1</v>
      </c>
      <c r="S26" s="312">
        <v>2</v>
      </c>
      <c r="T26" s="312">
        <v>3</v>
      </c>
      <c r="U26" s="312">
        <v>4</v>
      </c>
      <c r="V26" s="312">
        <v>5</v>
      </c>
      <c r="W26" s="314">
        <v>6</v>
      </c>
    </row>
    <row r="27" spans="1:23">
      <c r="A27" s="50"/>
      <c r="B27" s="56"/>
      <c r="C27" s="294">
        <v>3</v>
      </c>
      <c r="D27" s="287">
        <v>4</v>
      </c>
      <c r="E27" s="287">
        <v>5</v>
      </c>
      <c r="F27" s="287">
        <v>6</v>
      </c>
      <c r="G27" s="287">
        <v>7</v>
      </c>
      <c r="H27" s="287">
        <v>8</v>
      </c>
      <c r="I27" s="293">
        <v>9</v>
      </c>
      <c r="J27" s="301">
        <v>7</v>
      </c>
      <c r="K27" s="302">
        <v>8</v>
      </c>
      <c r="L27" s="302">
        <v>9</v>
      </c>
      <c r="M27" s="302">
        <v>10</v>
      </c>
      <c r="N27" s="302">
        <v>11</v>
      </c>
      <c r="O27" s="302">
        <v>12</v>
      </c>
      <c r="P27" s="306">
        <v>13</v>
      </c>
      <c r="Q27" s="310">
        <v>7</v>
      </c>
      <c r="R27" s="311">
        <v>8</v>
      </c>
      <c r="S27" s="311">
        <v>9</v>
      </c>
      <c r="T27" s="311">
        <v>10</v>
      </c>
      <c r="U27" s="311">
        <v>11</v>
      </c>
      <c r="V27" s="311">
        <v>12</v>
      </c>
      <c r="W27" s="309">
        <v>13</v>
      </c>
    </row>
    <row r="28" spans="1:23">
      <c r="A28" s="50"/>
      <c r="B28" s="56"/>
      <c r="C28" s="294">
        <v>10</v>
      </c>
      <c r="D28" s="287">
        <v>11</v>
      </c>
      <c r="E28" s="287">
        <v>12</v>
      </c>
      <c r="F28" s="287">
        <v>13</v>
      </c>
      <c r="G28" s="287">
        <v>14</v>
      </c>
      <c r="H28" s="287">
        <v>15</v>
      </c>
      <c r="I28" s="293">
        <v>16</v>
      </c>
      <c r="J28" s="301">
        <v>14</v>
      </c>
      <c r="K28" s="302">
        <v>15</v>
      </c>
      <c r="L28" s="302">
        <v>16</v>
      </c>
      <c r="M28" s="302">
        <v>17</v>
      </c>
      <c r="N28" s="302">
        <v>18</v>
      </c>
      <c r="O28" s="302">
        <v>19</v>
      </c>
      <c r="P28" s="306">
        <v>20</v>
      </c>
      <c r="Q28" s="310">
        <v>14</v>
      </c>
      <c r="R28" s="311">
        <v>15</v>
      </c>
      <c r="S28" s="311">
        <v>16</v>
      </c>
      <c r="T28" s="311">
        <v>17</v>
      </c>
      <c r="U28" s="311">
        <v>18</v>
      </c>
      <c r="V28" s="311">
        <v>19</v>
      </c>
      <c r="W28" s="309">
        <v>20</v>
      </c>
    </row>
    <row r="29" spans="1:23">
      <c r="A29" s="50"/>
      <c r="B29" s="56"/>
      <c r="C29" s="294">
        <v>17</v>
      </c>
      <c r="D29" s="295">
        <v>18</v>
      </c>
      <c r="E29" s="287">
        <v>19</v>
      </c>
      <c r="F29" s="287">
        <v>20</v>
      </c>
      <c r="G29" s="287">
        <v>21</v>
      </c>
      <c r="H29" s="287">
        <v>22</v>
      </c>
      <c r="I29" s="293">
        <v>23</v>
      </c>
      <c r="J29" s="301">
        <v>21</v>
      </c>
      <c r="K29" s="302">
        <v>22</v>
      </c>
      <c r="L29" s="302">
        <v>23</v>
      </c>
      <c r="M29" s="302">
        <v>24</v>
      </c>
      <c r="N29" s="302">
        <v>25</v>
      </c>
      <c r="O29" s="302">
        <v>26</v>
      </c>
      <c r="P29" s="306">
        <v>27</v>
      </c>
      <c r="Q29" s="310">
        <v>21</v>
      </c>
      <c r="R29" s="311">
        <v>22</v>
      </c>
      <c r="S29" s="311">
        <v>23</v>
      </c>
      <c r="T29" s="311">
        <v>24</v>
      </c>
      <c r="U29" s="311">
        <v>25</v>
      </c>
      <c r="V29" s="311">
        <v>26</v>
      </c>
      <c r="W29" s="309">
        <v>27</v>
      </c>
    </row>
    <row r="30" spans="1:23">
      <c r="A30" s="50"/>
      <c r="B30" s="56"/>
      <c r="C30" s="294">
        <v>24</v>
      </c>
      <c r="D30" s="287">
        <v>25</v>
      </c>
      <c r="E30" s="287">
        <v>26</v>
      </c>
      <c r="F30" s="287">
        <v>27</v>
      </c>
      <c r="G30" s="287">
        <v>28</v>
      </c>
      <c r="H30" s="287">
        <v>29</v>
      </c>
      <c r="I30" s="293">
        <v>30</v>
      </c>
      <c r="J30" s="301">
        <v>28</v>
      </c>
      <c r="K30" s="302"/>
      <c r="L30" s="302"/>
      <c r="M30" s="302"/>
      <c r="N30" s="302"/>
      <c r="O30" s="302"/>
      <c r="P30" s="306"/>
      <c r="Q30" s="310">
        <v>28</v>
      </c>
      <c r="R30" s="311">
        <v>29</v>
      </c>
      <c r="S30" s="311">
        <v>30</v>
      </c>
      <c r="T30" s="311">
        <v>31</v>
      </c>
      <c r="U30" s="311"/>
      <c r="V30" s="311"/>
      <c r="W30" s="309"/>
    </row>
    <row r="31" spans="1:23" ht="13.5" thickBot="1">
      <c r="A31" s="50"/>
      <c r="B31" s="56"/>
      <c r="C31" s="292">
        <v>31</v>
      </c>
      <c r="D31" s="291"/>
      <c r="E31" s="291"/>
      <c r="F31" s="291"/>
      <c r="G31" s="291"/>
      <c r="H31" s="291"/>
      <c r="I31" s="290"/>
      <c r="J31" s="300"/>
      <c r="K31" s="299"/>
      <c r="L31" s="299"/>
      <c r="M31" s="299"/>
      <c r="N31" s="299"/>
      <c r="O31" s="299"/>
      <c r="P31" s="298"/>
      <c r="Q31" s="315"/>
      <c r="R31" s="308"/>
      <c r="S31" s="308"/>
      <c r="T31" s="308"/>
      <c r="U31" s="308"/>
      <c r="V31" s="308"/>
      <c r="W31" s="307"/>
    </row>
    <row r="32" spans="1:23" ht="13.5" customHeight="1" thickBot="1">
      <c r="A32" s="50"/>
      <c r="B32" s="55"/>
      <c r="C32" s="456" t="s">
        <v>34</v>
      </c>
      <c r="D32" s="456"/>
      <c r="E32" s="456"/>
      <c r="F32" s="456"/>
      <c r="G32" s="456"/>
      <c r="H32" s="456"/>
      <c r="I32" s="456"/>
      <c r="J32" s="442" t="s">
        <v>35</v>
      </c>
      <c r="K32" s="443"/>
      <c r="L32" s="443"/>
      <c r="M32" s="443"/>
      <c r="N32" s="443"/>
      <c r="O32" s="443"/>
      <c r="P32" s="444"/>
      <c r="Q32" s="456" t="s">
        <v>36</v>
      </c>
      <c r="R32" s="456"/>
      <c r="S32" s="456"/>
      <c r="T32" s="456"/>
      <c r="U32" s="456"/>
      <c r="V32" s="456"/>
      <c r="W32" s="457"/>
    </row>
    <row r="33" spans="1:23" ht="13.5" customHeight="1">
      <c r="A33" s="50"/>
      <c r="B33" s="55"/>
      <c r="C33" s="324"/>
      <c r="D33" s="322"/>
      <c r="E33" s="322"/>
      <c r="F33" s="323"/>
      <c r="G33" s="323">
        <v>1</v>
      </c>
      <c r="H33" s="326">
        <v>2</v>
      </c>
      <c r="I33" s="325">
        <v>3</v>
      </c>
      <c r="J33" s="336"/>
      <c r="K33" s="335"/>
      <c r="L33" s="335"/>
      <c r="M33" s="335"/>
      <c r="N33" s="335"/>
      <c r="O33" s="335"/>
      <c r="P33" s="337">
        <v>1</v>
      </c>
      <c r="Q33" s="348"/>
      <c r="R33" s="347"/>
      <c r="S33" s="346">
        <v>1</v>
      </c>
      <c r="T33" s="346">
        <v>2</v>
      </c>
      <c r="U33" s="346">
        <v>3</v>
      </c>
      <c r="V33" s="346">
        <v>4</v>
      </c>
      <c r="W33" s="345">
        <v>5</v>
      </c>
    </row>
    <row r="34" spans="1:23">
      <c r="A34" s="50"/>
      <c r="B34" s="55"/>
      <c r="C34" s="321">
        <v>4</v>
      </c>
      <c r="D34" s="319">
        <v>5</v>
      </c>
      <c r="E34" s="319">
        <v>6</v>
      </c>
      <c r="F34" s="319">
        <v>7</v>
      </c>
      <c r="G34" s="319">
        <v>8</v>
      </c>
      <c r="H34" s="319">
        <v>9</v>
      </c>
      <c r="I34" s="320">
        <v>10</v>
      </c>
      <c r="J34" s="332">
        <v>2</v>
      </c>
      <c r="K34" s="334">
        <v>3</v>
      </c>
      <c r="L34" s="334">
        <v>4</v>
      </c>
      <c r="M34" s="334">
        <v>5</v>
      </c>
      <c r="N34" s="334">
        <v>6</v>
      </c>
      <c r="O34" s="334">
        <v>7</v>
      </c>
      <c r="P34" s="333">
        <v>8</v>
      </c>
      <c r="Q34" s="343">
        <v>6</v>
      </c>
      <c r="R34" s="344">
        <v>7</v>
      </c>
      <c r="S34" s="344">
        <v>8</v>
      </c>
      <c r="T34" s="344">
        <v>9</v>
      </c>
      <c r="U34" s="344">
        <v>10</v>
      </c>
      <c r="V34" s="344">
        <v>11</v>
      </c>
      <c r="W34" s="341">
        <v>12</v>
      </c>
    </row>
    <row r="35" spans="1:23">
      <c r="A35" s="50"/>
      <c r="B35" s="55"/>
      <c r="C35" s="321">
        <v>11</v>
      </c>
      <c r="D35" s="319">
        <v>12</v>
      </c>
      <c r="E35" s="319">
        <v>13</v>
      </c>
      <c r="F35" s="319">
        <v>14</v>
      </c>
      <c r="G35" s="319">
        <v>15</v>
      </c>
      <c r="H35" s="319">
        <v>16</v>
      </c>
      <c r="I35" s="320">
        <v>17</v>
      </c>
      <c r="J35" s="332">
        <v>9</v>
      </c>
      <c r="K35" s="334">
        <v>10</v>
      </c>
      <c r="L35" s="334">
        <v>11</v>
      </c>
      <c r="M35" s="334">
        <v>12</v>
      </c>
      <c r="N35" s="334">
        <v>13</v>
      </c>
      <c r="O35" s="334">
        <v>14</v>
      </c>
      <c r="P35" s="333">
        <v>15</v>
      </c>
      <c r="Q35" s="343">
        <v>13</v>
      </c>
      <c r="R35" s="344">
        <v>14</v>
      </c>
      <c r="S35" s="344">
        <v>15</v>
      </c>
      <c r="T35" s="344">
        <v>16</v>
      </c>
      <c r="U35" s="344">
        <v>17</v>
      </c>
      <c r="V35" s="344">
        <v>18</v>
      </c>
      <c r="W35" s="341">
        <v>19</v>
      </c>
    </row>
    <row r="36" spans="1:23">
      <c r="A36" s="50"/>
      <c r="B36" s="55"/>
      <c r="C36" s="321">
        <v>18</v>
      </c>
      <c r="D36" s="319">
        <v>19</v>
      </c>
      <c r="E36" s="319">
        <v>20</v>
      </c>
      <c r="F36" s="319">
        <v>21</v>
      </c>
      <c r="G36" s="319">
        <v>22</v>
      </c>
      <c r="H36" s="319">
        <v>23</v>
      </c>
      <c r="I36" s="320">
        <v>24</v>
      </c>
      <c r="J36" s="332">
        <v>16</v>
      </c>
      <c r="K36" s="331">
        <v>17</v>
      </c>
      <c r="L36" s="331">
        <v>18</v>
      </c>
      <c r="M36" s="331">
        <v>19</v>
      </c>
      <c r="N36" s="331">
        <v>20</v>
      </c>
      <c r="O36" s="331">
        <v>21</v>
      </c>
      <c r="P36" s="333">
        <v>22</v>
      </c>
      <c r="Q36" s="343">
        <v>20</v>
      </c>
      <c r="R36" s="342">
        <v>21</v>
      </c>
      <c r="S36" s="342">
        <v>22</v>
      </c>
      <c r="T36" s="342">
        <v>23</v>
      </c>
      <c r="U36" s="342">
        <v>24</v>
      </c>
      <c r="V36" s="342">
        <v>25</v>
      </c>
      <c r="W36" s="341">
        <v>26</v>
      </c>
    </row>
    <row r="37" spans="1:23">
      <c r="A37" s="50"/>
      <c r="B37" s="55"/>
      <c r="C37" s="321">
        <v>25</v>
      </c>
      <c r="D37" s="319">
        <v>26</v>
      </c>
      <c r="E37" s="319">
        <v>27</v>
      </c>
      <c r="F37" s="319">
        <v>28</v>
      </c>
      <c r="G37" s="319">
        <v>29</v>
      </c>
      <c r="H37" s="319">
        <v>30</v>
      </c>
      <c r="I37" s="320"/>
      <c r="J37" s="332">
        <v>23</v>
      </c>
      <c r="K37" s="331">
        <v>24</v>
      </c>
      <c r="L37" s="331">
        <v>25</v>
      </c>
      <c r="M37" s="331">
        <v>26</v>
      </c>
      <c r="N37" s="331">
        <v>27</v>
      </c>
      <c r="O37" s="331">
        <v>28</v>
      </c>
      <c r="P37" s="333">
        <v>29</v>
      </c>
      <c r="Q37" s="343">
        <v>27</v>
      </c>
      <c r="R37" s="342">
        <v>28</v>
      </c>
      <c r="S37" s="342">
        <v>29</v>
      </c>
      <c r="T37" s="342">
        <v>30</v>
      </c>
      <c r="U37" s="342">
        <v>31</v>
      </c>
      <c r="V37" s="342"/>
      <c r="W37" s="341"/>
    </row>
    <row r="38" spans="1:23" ht="13.5" thickBot="1">
      <c r="A38" s="50"/>
      <c r="B38" s="55"/>
      <c r="C38" s="317"/>
      <c r="D38" s="316"/>
      <c r="E38" s="316"/>
      <c r="F38" s="316"/>
      <c r="G38" s="316"/>
      <c r="H38" s="316"/>
      <c r="I38" s="318"/>
      <c r="J38" s="329">
        <v>30</v>
      </c>
      <c r="K38" s="330">
        <v>31</v>
      </c>
      <c r="L38" s="328"/>
      <c r="M38" s="328"/>
      <c r="N38" s="328"/>
      <c r="O38" s="328"/>
      <c r="P38" s="327"/>
      <c r="Q38" s="340"/>
      <c r="R38" s="339"/>
      <c r="S38" s="339"/>
      <c r="T38" s="339"/>
      <c r="U38" s="339"/>
      <c r="V38" s="339"/>
      <c r="W38" s="338"/>
    </row>
    <row r="39" spans="1:23" ht="13.5" customHeight="1">
      <c r="C39" s="46"/>
      <c r="D39" s="46"/>
      <c r="E39" s="46"/>
      <c r="F39" s="46"/>
      <c r="G39" s="46"/>
      <c r="H39" s="46"/>
      <c r="I39" s="46"/>
    </row>
    <row r="40" spans="1:23" ht="13.5">
      <c r="C40" s="46"/>
      <c r="I40" s="47"/>
    </row>
    <row r="41" spans="1:23" ht="13.5">
      <c r="C41" s="46"/>
      <c r="I41" s="47"/>
    </row>
    <row r="42" spans="1:23" ht="13.5">
      <c r="C42" s="46"/>
      <c r="I42" s="47"/>
    </row>
    <row r="43" spans="1:23" ht="13.5">
      <c r="C43" s="46"/>
      <c r="I43" s="47"/>
    </row>
    <row r="44" spans="1:23" ht="13.5">
      <c r="C44" s="46"/>
      <c r="I44" s="47"/>
    </row>
    <row r="45" spans="1:23" ht="13.5">
      <c r="C45" s="46"/>
      <c r="I45" s="47"/>
    </row>
    <row r="46" spans="1:23" ht="13.5">
      <c r="C46" s="46"/>
      <c r="I46" s="47"/>
    </row>
    <row r="47" spans="1:23" ht="13.5">
      <c r="C47" s="46"/>
      <c r="I47" s="47"/>
    </row>
    <row r="48" spans="1:23" ht="13.5">
      <c r="C48" s="46"/>
      <c r="I48" s="47"/>
    </row>
    <row r="49" spans="3:9" ht="13.5">
      <c r="C49" s="46"/>
      <c r="I49" s="47"/>
    </row>
    <row r="50" spans="3:9" ht="13.5">
      <c r="C50" s="46"/>
      <c r="I50" s="47"/>
    </row>
    <row r="51" spans="3:9" ht="13.5">
      <c r="C51" s="46"/>
      <c r="I51" s="47"/>
    </row>
    <row r="52" spans="3:9" ht="15">
      <c r="C52" s="57"/>
      <c r="I52" s="47"/>
    </row>
    <row r="53" spans="3:9">
      <c r="I53" s="47"/>
    </row>
    <row r="54" spans="3:9">
      <c r="I54" s="47"/>
    </row>
    <row r="55" spans="3:9">
      <c r="I55" s="47"/>
    </row>
    <row r="56" spans="3:9">
      <c r="I56" s="47"/>
    </row>
    <row r="57" spans="3:9">
      <c r="I57" s="47"/>
    </row>
    <row r="58" spans="3:9">
      <c r="I58" s="47"/>
    </row>
    <row r="59" spans="3:9">
      <c r="I59" s="47"/>
    </row>
    <row r="60" spans="3:9">
      <c r="I60" s="47"/>
    </row>
    <row r="61" spans="3:9">
      <c r="I61" s="47"/>
    </row>
    <row r="62" spans="3:9">
      <c r="I62" s="47"/>
    </row>
    <row r="63" spans="3:9">
      <c r="I63" s="47"/>
    </row>
    <row r="64" spans="3:9">
      <c r="I64" s="47"/>
    </row>
    <row r="65" spans="9:9">
      <c r="I65" s="47"/>
    </row>
    <row r="66" spans="9:9">
      <c r="I66" s="47"/>
    </row>
    <row r="67" spans="9:9">
      <c r="I67" s="47"/>
    </row>
    <row r="68" spans="9:9">
      <c r="I68" s="47"/>
    </row>
    <row r="69" spans="9:9">
      <c r="I69" s="47"/>
    </row>
    <row r="70" spans="9:9">
      <c r="I70" s="47"/>
    </row>
    <row r="71" spans="9:9">
      <c r="I71" s="47"/>
    </row>
    <row r="72" spans="9:9">
      <c r="I72" s="47"/>
    </row>
    <row r="73" spans="9:9">
      <c r="I73" s="47"/>
    </row>
    <row r="74" spans="9:9">
      <c r="I74" s="47"/>
    </row>
    <row r="75" spans="9:9">
      <c r="I75" s="47"/>
    </row>
    <row r="76" spans="9:9">
      <c r="I76" s="47"/>
    </row>
    <row r="77" spans="9:9">
      <c r="I77" s="47"/>
    </row>
    <row r="78" spans="9:9">
      <c r="I78" s="47"/>
    </row>
    <row r="79" spans="9:9">
      <c r="I79" s="47"/>
    </row>
    <row r="80" spans="9:9">
      <c r="I80" s="47"/>
    </row>
    <row r="81" spans="9:9">
      <c r="I81" s="47"/>
    </row>
    <row r="82" spans="9:9">
      <c r="I82" s="47"/>
    </row>
    <row r="83" spans="9:9">
      <c r="I83" s="47"/>
    </row>
    <row r="84" spans="9:9">
      <c r="I84" s="47"/>
    </row>
    <row r="85" spans="9:9">
      <c r="I85" s="47"/>
    </row>
    <row r="86" spans="9:9">
      <c r="I86" s="47"/>
    </row>
    <row r="87" spans="9:9">
      <c r="I87" s="47"/>
    </row>
    <row r="88" spans="9:9">
      <c r="I88" s="47"/>
    </row>
    <row r="89" spans="9:9">
      <c r="I89" s="47"/>
    </row>
    <row r="90" spans="9:9">
      <c r="I90" s="47"/>
    </row>
    <row r="91" spans="9:9">
      <c r="I91" s="47"/>
    </row>
    <row r="92" spans="9:9">
      <c r="I92" s="47"/>
    </row>
    <row r="93" spans="9:9">
      <c r="I93" s="47"/>
    </row>
    <row r="94" spans="9:9">
      <c r="I94" s="47"/>
    </row>
    <row r="95" spans="9:9">
      <c r="I95" s="47"/>
    </row>
    <row r="96" spans="9:9">
      <c r="I96" s="47"/>
    </row>
    <row r="97" spans="9:9">
      <c r="I97" s="47"/>
    </row>
    <row r="98" spans="9:9">
      <c r="I98" s="47"/>
    </row>
    <row r="99" spans="9:9">
      <c r="I99" s="47"/>
    </row>
    <row r="100" spans="9:9">
      <c r="I100" s="47"/>
    </row>
    <row r="101" spans="9:9">
      <c r="I101" s="47"/>
    </row>
    <row r="102" spans="9:9">
      <c r="I102" s="47"/>
    </row>
    <row r="103" spans="9:9">
      <c r="I103" s="47"/>
    </row>
    <row r="104" spans="9:9">
      <c r="I104" s="47"/>
    </row>
    <row r="105" spans="9:9">
      <c r="I105" s="47"/>
    </row>
    <row r="106" spans="9:9">
      <c r="I106" s="47"/>
    </row>
    <row r="107" spans="9:9">
      <c r="I107" s="47"/>
    </row>
    <row r="108" spans="9:9">
      <c r="I108" s="47"/>
    </row>
    <row r="109" spans="9:9">
      <c r="I109" s="47"/>
    </row>
    <row r="110" spans="9:9">
      <c r="I110" s="47"/>
    </row>
    <row r="111" spans="9:9">
      <c r="I111" s="47"/>
    </row>
    <row r="112" spans="9:9">
      <c r="I112" s="47"/>
    </row>
    <row r="113" spans="9:9">
      <c r="I113" s="47"/>
    </row>
    <row r="114" spans="9:9">
      <c r="I114" s="47"/>
    </row>
    <row r="115" spans="9:9">
      <c r="I115" s="47"/>
    </row>
    <row r="116" spans="9:9">
      <c r="I116" s="47"/>
    </row>
    <row r="117" spans="9:9">
      <c r="I117" s="47"/>
    </row>
    <row r="118" spans="9:9">
      <c r="I118" s="47"/>
    </row>
    <row r="119" spans="9:9">
      <c r="I119" s="47"/>
    </row>
    <row r="120" spans="9:9">
      <c r="I120" s="47"/>
    </row>
    <row r="121" spans="9:9">
      <c r="I121" s="47"/>
    </row>
    <row r="122" spans="9:9">
      <c r="I122" s="47"/>
    </row>
    <row r="123" spans="9:9">
      <c r="I123" s="47"/>
    </row>
    <row r="124" spans="9:9">
      <c r="I124" s="47"/>
    </row>
    <row r="125" spans="9:9">
      <c r="I125" s="47"/>
    </row>
    <row r="126" spans="9:9">
      <c r="I126" s="47"/>
    </row>
    <row r="127" spans="9:9">
      <c r="I127" s="47"/>
    </row>
    <row r="128" spans="9:9">
      <c r="I128" s="47"/>
    </row>
    <row r="129" spans="9:9">
      <c r="I129" s="47"/>
    </row>
    <row r="130" spans="9:9">
      <c r="I130" s="47"/>
    </row>
    <row r="131" spans="9:9">
      <c r="I131" s="47"/>
    </row>
    <row r="132" spans="9:9">
      <c r="I132" s="47"/>
    </row>
    <row r="133" spans="9:9">
      <c r="I133" s="47"/>
    </row>
    <row r="134" spans="9:9">
      <c r="I134" s="47"/>
    </row>
    <row r="135" spans="9:9">
      <c r="I135" s="47"/>
    </row>
    <row r="136" spans="9:9">
      <c r="I136" s="47"/>
    </row>
    <row r="137" spans="9:9">
      <c r="I137" s="47"/>
    </row>
    <row r="138" spans="9:9">
      <c r="I138" s="47"/>
    </row>
    <row r="139" spans="9:9">
      <c r="I139" s="47"/>
    </row>
    <row r="140" spans="9:9">
      <c r="I140" s="47"/>
    </row>
    <row r="141" spans="9:9">
      <c r="I141" s="47"/>
    </row>
    <row r="142" spans="9:9">
      <c r="I142" s="47"/>
    </row>
    <row r="143" spans="9:9">
      <c r="I143" s="47"/>
    </row>
    <row r="144" spans="9:9">
      <c r="I144" s="47"/>
    </row>
    <row r="145" spans="9:9">
      <c r="I145" s="47"/>
    </row>
    <row r="146" spans="9:9">
      <c r="I146" s="47"/>
    </row>
    <row r="147" spans="9:9">
      <c r="I147" s="47"/>
    </row>
    <row r="148" spans="9:9">
      <c r="I148" s="47"/>
    </row>
    <row r="149" spans="9:9">
      <c r="I149" s="47"/>
    </row>
    <row r="150" spans="9:9">
      <c r="I150" s="47"/>
    </row>
    <row r="151" spans="9:9">
      <c r="I151" s="47"/>
    </row>
    <row r="152" spans="9:9">
      <c r="I152" s="47"/>
    </row>
    <row r="153" spans="9:9">
      <c r="I153" s="47"/>
    </row>
    <row r="154" spans="9:9">
      <c r="I154" s="47"/>
    </row>
    <row r="155" spans="9:9">
      <c r="I155" s="47"/>
    </row>
    <row r="156" spans="9:9">
      <c r="I156" s="47"/>
    </row>
    <row r="157" spans="9:9">
      <c r="I157" s="47"/>
    </row>
    <row r="158" spans="9:9">
      <c r="I158" s="47"/>
    </row>
    <row r="159" spans="9:9">
      <c r="I159" s="47"/>
    </row>
    <row r="160" spans="9:9">
      <c r="I160" s="47"/>
    </row>
    <row r="161" spans="9:9">
      <c r="I161" s="47"/>
    </row>
    <row r="162" spans="9:9">
      <c r="I162" s="47"/>
    </row>
    <row r="163" spans="9:9">
      <c r="I163" s="47"/>
    </row>
    <row r="164" spans="9:9">
      <c r="I164" s="47"/>
    </row>
    <row r="165" spans="9:9">
      <c r="I165" s="47"/>
    </row>
    <row r="166" spans="9:9">
      <c r="I166" s="47"/>
    </row>
    <row r="167" spans="9:9">
      <c r="I167" s="47"/>
    </row>
    <row r="168" spans="9:9">
      <c r="I168" s="47"/>
    </row>
    <row r="169" spans="9:9">
      <c r="I169" s="47"/>
    </row>
    <row r="170" spans="9:9">
      <c r="I170" s="47"/>
    </row>
    <row r="171" spans="9:9">
      <c r="I171" s="47"/>
    </row>
    <row r="172" spans="9:9">
      <c r="I172" s="47"/>
    </row>
    <row r="173" spans="9:9">
      <c r="I173" s="47"/>
    </row>
    <row r="174" spans="9:9">
      <c r="I174" s="47"/>
    </row>
    <row r="175" spans="9:9">
      <c r="I175" s="47"/>
    </row>
    <row r="176" spans="9:9">
      <c r="I176" s="47"/>
    </row>
    <row r="177" spans="9:9">
      <c r="I177" s="47"/>
    </row>
    <row r="178" spans="9:9">
      <c r="I178" s="47"/>
    </row>
    <row r="179" spans="9:9">
      <c r="I179" s="47"/>
    </row>
    <row r="180" spans="9:9">
      <c r="I180" s="47"/>
    </row>
    <row r="181" spans="9:9">
      <c r="I181" s="47"/>
    </row>
    <row r="182" spans="9:9">
      <c r="I182" s="47"/>
    </row>
    <row r="183" spans="9:9">
      <c r="I183" s="47"/>
    </row>
    <row r="184" spans="9:9">
      <c r="I184" s="47"/>
    </row>
    <row r="185" spans="9:9">
      <c r="I185" s="47"/>
    </row>
    <row r="186" spans="9:9">
      <c r="I186" s="47"/>
    </row>
    <row r="187" spans="9:9">
      <c r="I187" s="47"/>
    </row>
    <row r="188" spans="9:9">
      <c r="I188" s="47"/>
    </row>
    <row r="189" spans="9:9">
      <c r="I189" s="47"/>
    </row>
    <row r="190" spans="9:9">
      <c r="I190" s="47"/>
    </row>
    <row r="191" spans="9:9">
      <c r="I191" s="47"/>
    </row>
    <row r="192" spans="9:9">
      <c r="I192" s="47"/>
    </row>
    <row r="193" spans="9:9">
      <c r="I193" s="47"/>
    </row>
    <row r="194" spans="9:9">
      <c r="I194" s="47"/>
    </row>
    <row r="195" spans="9:9">
      <c r="I195" s="47"/>
    </row>
    <row r="196" spans="9:9">
      <c r="I196" s="47"/>
    </row>
    <row r="197" spans="9:9">
      <c r="I197" s="47"/>
    </row>
    <row r="198" spans="9:9">
      <c r="I198" s="47"/>
    </row>
    <row r="199" spans="9:9">
      <c r="I199" s="47"/>
    </row>
    <row r="200" spans="9:9">
      <c r="I200" s="47"/>
    </row>
    <row r="201" spans="9:9">
      <c r="I201" s="47"/>
    </row>
    <row r="202" spans="9:9">
      <c r="I202" s="47"/>
    </row>
    <row r="203" spans="9:9">
      <c r="I203" s="47"/>
    </row>
    <row r="204" spans="9:9">
      <c r="I204" s="47"/>
    </row>
    <row r="205" spans="9:9">
      <c r="I205" s="47"/>
    </row>
    <row r="206" spans="9:9">
      <c r="I206" s="47"/>
    </row>
    <row r="207" spans="9:9">
      <c r="I207" s="47"/>
    </row>
    <row r="208" spans="9:9">
      <c r="I208" s="47"/>
    </row>
    <row r="209" spans="9:9">
      <c r="I209" s="47"/>
    </row>
    <row r="210" spans="9:9">
      <c r="I210" s="47"/>
    </row>
    <row r="211" spans="9:9">
      <c r="I211" s="47"/>
    </row>
    <row r="212" spans="9:9">
      <c r="I212" s="47"/>
    </row>
    <row r="213" spans="9:9">
      <c r="I213" s="47"/>
    </row>
    <row r="214" spans="9:9">
      <c r="I214" s="47"/>
    </row>
    <row r="215" spans="9:9">
      <c r="I215" s="47"/>
    </row>
    <row r="216" spans="9:9">
      <c r="I216" s="47"/>
    </row>
    <row r="217" spans="9:9">
      <c r="I217" s="47"/>
    </row>
    <row r="218" spans="9:9">
      <c r="I218" s="47"/>
    </row>
    <row r="219" spans="9:9">
      <c r="I219" s="47"/>
    </row>
    <row r="220" spans="9:9">
      <c r="I220" s="47"/>
    </row>
    <row r="221" spans="9:9">
      <c r="I221" s="47"/>
    </row>
    <row r="222" spans="9:9">
      <c r="I222" s="47"/>
    </row>
    <row r="223" spans="9:9">
      <c r="I223" s="47"/>
    </row>
    <row r="224" spans="9:9">
      <c r="I224" s="47"/>
    </row>
    <row r="225" spans="9:9">
      <c r="I225" s="47"/>
    </row>
    <row r="226" spans="9:9">
      <c r="I226" s="47"/>
    </row>
    <row r="227" spans="9:9">
      <c r="I227" s="47"/>
    </row>
    <row r="228" spans="9:9">
      <c r="I228" s="47"/>
    </row>
    <row r="229" spans="9:9">
      <c r="I229" s="47"/>
    </row>
    <row r="230" spans="9:9">
      <c r="I230" s="47"/>
    </row>
    <row r="231" spans="9:9">
      <c r="I231" s="47"/>
    </row>
    <row r="232" spans="9:9">
      <c r="I232" s="47"/>
    </row>
    <row r="233" spans="9:9">
      <c r="I233" s="47"/>
    </row>
    <row r="234" spans="9:9">
      <c r="I234" s="47"/>
    </row>
    <row r="235" spans="9:9">
      <c r="I235" s="47"/>
    </row>
    <row r="236" spans="9:9">
      <c r="I236" s="47"/>
    </row>
    <row r="237" spans="9:9">
      <c r="I237" s="47"/>
    </row>
    <row r="238" spans="9:9">
      <c r="I238" s="47"/>
    </row>
    <row r="239" spans="9:9">
      <c r="I239" s="47"/>
    </row>
    <row r="240" spans="9:9">
      <c r="I240" s="47"/>
    </row>
    <row r="241" spans="9:9">
      <c r="I241" s="47"/>
    </row>
    <row r="242" spans="9:9">
      <c r="I242" s="47"/>
    </row>
    <row r="243" spans="9:9">
      <c r="I243" s="47"/>
    </row>
    <row r="244" spans="9:9">
      <c r="I244" s="47"/>
    </row>
    <row r="245" spans="9:9">
      <c r="I245" s="47"/>
    </row>
    <row r="246" spans="9:9">
      <c r="I246" s="47"/>
    </row>
    <row r="247" spans="9:9">
      <c r="I247" s="47"/>
    </row>
    <row r="248" spans="9:9">
      <c r="I248" s="47"/>
    </row>
    <row r="249" spans="9:9">
      <c r="I249" s="47"/>
    </row>
    <row r="250" spans="9:9">
      <c r="I250" s="47"/>
    </row>
    <row r="251" spans="9:9">
      <c r="I251" s="47"/>
    </row>
    <row r="252" spans="9:9">
      <c r="I252" s="47"/>
    </row>
    <row r="253" spans="9:9">
      <c r="I253" s="47"/>
    </row>
    <row r="254" spans="9:9">
      <c r="I254" s="47"/>
    </row>
    <row r="255" spans="9:9">
      <c r="I255" s="47"/>
    </row>
    <row r="256" spans="9:9">
      <c r="I256" s="47"/>
    </row>
    <row r="257" spans="9:9">
      <c r="I257" s="47"/>
    </row>
    <row r="258" spans="9:9">
      <c r="I258" s="47"/>
    </row>
    <row r="259" spans="9:9">
      <c r="I259" s="47"/>
    </row>
    <row r="260" spans="9:9">
      <c r="I260" s="47"/>
    </row>
    <row r="261" spans="9:9">
      <c r="I261" s="47"/>
    </row>
    <row r="262" spans="9:9">
      <c r="I262" s="47"/>
    </row>
    <row r="263" spans="9:9">
      <c r="I263" s="47"/>
    </row>
    <row r="264" spans="9:9">
      <c r="I264" s="47"/>
    </row>
    <row r="265" spans="9:9">
      <c r="I265" s="47"/>
    </row>
    <row r="266" spans="9:9">
      <c r="I266" s="47"/>
    </row>
    <row r="267" spans="9:9">
      <c r="I267" s="47"/>
    </row>
    <row r="268" spans="9:9">
      <c r="I268" s="47"/>
    </row>
    <row r="269" spans="9:9">
      <c r="I269" s="47"/>
    </row>
    <row r="270" spans="9:9">
      <c r="I270" s="47"/>
    </row>
    <row r="271" spans="9:9">
      <c r="I271" s="47"/>
    </row>
    <row r="272" spans="9:9">
      <c r="I272" s="47"/>
    </row>
    <row r="273" spans="9:9">
      <c r="I273" s="47"/>
    </row>
    <row r="274" spans="9:9">
      <c r="I274" s="47"/>
    </row>
    <row r="275" spans="9:9">
      <c r="I275" s="47"/>
    </row>
    <row r="276" spans="9:9">
      <c r="I276" s="47"/>
    </row>
    <row r="277" spans="9:9">
      <c r="I277" s="47"/>
    </row>
    <row r="278" spans="9:9">
      <c r="I278" s="47"/>
    </row>
    <row r="279" spans="9:9">
      <c r="I279" s="47"/>
    </row>
    <row r="280" spans="9:9">
      <c r="I280" s="47"/>
    </row>
    <row r="281" spans="9:9">
      <c r="I281" s="47"/>
    </row>
    <row r="282" spans="9:9">
      <c r="I282" s="47"/>
    </row>
    <row r="283" spans="9:9">
      <c r="I283" s="47"/>
    </row>
    <row r="284" spans="9:9">
      <c r="I284" s="47"/>
    </row>
    <row r="285" spans="9:9">
      <c r="I285" s="47"/>
    </row>
    <row r="286" spans="9:9">
      <c r="I286" s="47"/>
    </row>
    <row r="287" spans="9:9">
      <c r="I287" s="47"/>
    </row>
    <row r="288" spans="9:9">
      <c r="I288" s="47"/>
    </row>
    <row r="289" spans="9:9">
      <c r="I289" s="47"/>
    </row>
    <row r="290" spans="9:9">
      <c r="I290" s="47"/>
    </row>
    <row r="291" spans="9:9">
      <c r="I291" s="47"/>
    </row>
    <row r="292" spans="9:9">
      <c r="I292" s="47"/>
    </row>
    <row r="293" spans="9:9">
      <c r="I293" s="47"/>
    </row>
    <row r="294" spans="9:9">
      <c r="I294" s="47"/>
    </row>
    <row r="295" spans="9:9">
      <c r="I295" s="47"/>
    </row>
    <row r="296" spans="9:9">
      <c r="I296" s="47"/>
    </row>
    <row r="297" spans="9:9">
      <c r="I297" s="47"/>
    </row>
    <row r="298" spans="9:9">
      <c r="I298" s="47"/>
    </row>
    <row r="299" spans="9:9">
      <c r="I299" s="47"/>
    </row>
    <row r="300" spans="9:9">
      <c r="I300" s="47"/>
    </row>
    <row r="301" spans="9:9">
      <c r="I301" s="47"/>
    </row>
    <row r="302" spans="9:9">
      <c r="I302" s="47"/>
    </row>
    <row r="303" spans="9:9">
      <c r="I303" s="47"/>
    </row>
    <row r="304" spans="9:9">
      <c r="I304" s="47"/>
    </row>
    <row r="305" spans="9:9">
      <c r="I305" s="47"/>
    </row>
    <row r="306" spans="9:9">
      <c r="I306" s="47"/>
    </row>
    <row r="307" spans="9:9">
      <c r="I307" s="47"/>
    </row>
    <row r="308" spans="9:9">
      <c r="I308" s="47"/>
    </row>
    <row r="309" spans="9:9">
      <c r="I309" s="47"/>
    </row>
    <row r="310" spans="9:9">
      <c r="I310" s="47"/>
    </row>
    <row r="311" spans="9:9">
      <c r="I311" s="47"/>
    </row>
    <row r="312" spans="9:9">
      <c r="I312" s="47"/>
    </row>
    <row r="313" spans="9:9">
      <c r="I313" s="47"/>
    </row>
    <row r="314" spans="9:9">
      <c r="I314" s="47"/>
    </row>
    <row r="315" spans="9:9">
      <c r="I315" s="47"/>
    </row>
    <row r="316" spans="9:9">
      <c r="I316" s="47"/>
    </row>
    <row r="317" spans="9:9">
      <c r="I317" s="47"/>
    </row>
    <row r="318" spans="9:9">
      <c r="I318" s="47"/>
    </row>
    <row r="319" spans="9:9">
      <c r="I319" s="47"/>
    </row>
    <row r="320" spans="9:9">
      <c r="I320" s="47"/>
    </row>
    <row r="321" spans="9:9">
      <c r="I321" s="47"/>
    </row>
    <row r="322" spans="9:9">
      <c r="I322" s="47"/>
    </row>
    <row r="323" spans="9:9">
      <c r="I323" s="47"/>
    </row>
    <row r="324" spans="9:9">
      <c r="I324" s="47"/>
    </row>
    <row r="325" spans="9:9">
      <c r="I325" s="47"/>
    </row>
    <row r="326" spans="9:9">
      <c r="I326" s="47"/>
    </row>
    <row r="327" spans="9:9">
      <c r="I327" s="47"/>
    </row>
    <row r="328" spans="9:9">
      <c r="I328" s="47"/>
    </row>
    <row r="329" spans="9:9">
      <c r="I329" s="47"/>
    </row>
    <row r="330" spans="9:9">
      <c r="I330" s="47"/>
    </row>
    <row r="331" spans="9:9">
      <c r="I331" s="47"/>
    </row>
    <row r="332" spans="9:9">
      <c r="I332" s="47"/>
    </row>
    <row r="333" spans="9:9">
      <c r="I333" s="47"/>
    </row>
    <row r="334" spans="9:9">
      <c r="I334" s="47"/>
    </row>
    <row r="335" spans="9:9">
      <c r="I335" s="47"/>
    </row>
    <row r="336" spans="9:9">
      <c r="I336" s="47"/>
    </row>
    <row r="337" spans="9:9">
      <c r="I337" s="47"/>
    </row>
    <row r="338" spans="9:9">
      <c r="I338" s="47"/>
    </row>
    <row r="339" spans="9:9">
      <c r="I339" s="47"/>
    </row>
    <row r="340" spans="9:9">
      <c r="I340" s="47"/>
    </row>
    <row r="341" spans="9:9">
      <c r="I341" s="47"/>
    </row>
    <row r="342" spans="9:9">
      <c r="I342" s="47"/>
    </row>
    <row r="343" spans="9:9">
      <c r="I343" s="47"/>
    </row>
    <row r="344" spans="9:9">
      <c r="I344" s="47"/>
    </row>
    <row r="345" spans="9:9">
      <c r="I345" s="47"/>
    </row>
    <row r="346" spans="9:9">
      <c r="I346" s="47"/>
    </row>
    <row r="347" spans="9:9">
      <c r="I347" s="47"/>
    </row>
    <row r="348" spans="9:9">
      <c r="I348" s="47"/>
    </row>
    <row r="349" spans="9:9">
      <c r="I349" s="47"/>
    </row>
    <row r="350" spans="9:9">
      <c r="I350" s="47"/>
    </row>
    <row r="351" spans="9:9">
      <c r="I351" s="47"/>
    </row>
    <row r="352" spans="9:9">
      <c r="I352" s="47"/>
    </row>
    <row r="353" spans="9:9">
      <c r="I353" s="47"/>
    </row>
    <row r="354" spans="9:9">
      <c r="I354" s="47"/>
    </row>
    <row r="355" spans="9:9">
      <c r="I355" s="47"/>
    </row>
    <row r="356" spans="9:9">
      <c r="I356" s="47"/>
    </row>
    <row r="357" spans="9:9">
      <c r="I357" s="47"/>
    </row>
    <row r="358" spans="9:9">
      <c r="I358" s="47"/>
    </row>
    <row r="359" spans="9:9">
      <c r="I359" s="47"/>
    </row>
    <row r="360" spans="9:9">
      <c r="I360" s="47"/>
    </row>
    <row r="361" spans="9:9">
      <c r="I361" s="47"/>
    </row>
    <row r="362" spans="9:9">
      <c r="I362" s="47"/>
    </row>
    <row r="363" spans="9:9">
      <c r="I363" s="47"/>
    </row>
    <row r="364" spans="9:9">
      <c r="I364" s="47"/>
    </row>
    <row r="365" spans="9:9">
      <c r="I365" s="47"/>
    </row>
    <row r="366" spans="9:9">
      <c r="I366" s="47"/>
    </row>
    <row r="367" spans="9:9">
      <c r="I367" s="47"/>
    </row>
    <row r="368" spans="9:9">
      <c r="I368" s="47"/>
    </row>
    <row r="369" spans="9:9">
      <c r="I369" s="47"/>
    </row>
    <row r="370" spans="9:9">
      <c r="I370" s="47"/>
    </row>
    <row r="371" spans="9:9">
      <c r="I371" s="47"/>
    </row>
    <row r="372" spans="9:9">
      <c r="I372" s="47"/>
    </row>
    <row r="373" spans="9:9">
      <c r="I373" s="47"/>
    </row>
    <row r="374" spans="9:9">
      <c r="I374" s="47"/>
    </row>
    <row r="375" spans="9:9">
      <c r="I375" s="47"/>
    </row>
  </sheetData>
  <mergeCells count="18">
    <mergeCell ref="Q32:W32"/>
    <mergeCell ref="Q10:W10"/>
    <mergeCell ref="C32:I32"/>
    <mergeCell ref="C3:I3"/>
    <mergeCell ref="J32:P32"/>
    <mergeCell ref="C10:I10"/>
    <mergeCell ref="J10:P10"/>
    <mergeCell ref="A1:W1"/>
    <mergeCell ref="C24:W24"/>
    <mergeCell ref="C25:I25"/>
    <mergeCell ref="J25:P25"/>
    <mergeCell ref="Q25:W25"/>
    <mergeCell ref="C2:W2"/>
    <mergeCell ref="J3:P3"/>
    <mergeCell ref="C17:I17"/>
    <mergeCell ref="J17:P17"/>
    <mergeCell ref="Q17:W17"/>
    <mergeCell ref="Q3:W3"/>
  </mergeCells>
  <phoneticPr fontId="1" type="noConversion"/>
  <printOptions horizontalCentered="1"/>
  <pageMargins left="0.5" right="0.5" top="0.5" bottom="0.5" header="0.25" footer="0.25"/>
  <pageSetup scale="8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2"/>
  <dimension ref="A1:AQ57"/>
  <sheetViews>
    <sheetView zoomScaleNormal="100" workbookViewId="0">
      <selection activeCell="D41" sqref="D41"/>
    </sheetView>
  </sheetViews>
  <sheetFormatPr defaultRowHeight="11.25"/>
  <cols>
    <col min="1" max="1" width="34.1640625" customWidth="1"/>
    <col min="2" max="2" width="32.5" customWidth="1"/>
    <col min="3" max="3" width="33" customWidth="1"/>
    <col min="4" max="4" width="14.83203125" customWidth="1"/>
  </cols>
  <sheetData>
    <row r="1" spans="1:43">
      <c r="A1" s="60" t="s">
        <v>67</v>
      </c>
    </row>
    <row r="2" spans="1:43" ht="15.75">
      <c r="A2" s="464" t="s">
        <v>18</v>
      </c>
      <c r="B2" s="464"/>
      <c r="C2" s="464"/>
      <c r="D2" s="464"/>
      <c r="AC2" s="151"/>
    </row>
    <row r="3" spans="1:43" ht="6" customHeight="1">
      <c r="A3" s="189"/>
      <c r="B3" s="189"/>
      <c r="C3" s="189"/>
      <c r="D3" s="189"/>
      <c r="AC3" s="151"/>
    </row>
    <row r="4" spans="1:43" ht="15">
      <c r="A4" s="465" t="s">
        <v>75</v>
      </c>
      <c r="B4" s="465"/>
      <c r="C4" s="465"/>
      <c r="D4" s="465"/>
    </row>
    <row r="6" spans="1:43" s="132" customFormat="1" ht="15.75">
      <c r="A6" s="190" t="s">
        <v>60</v>
      </c>
      <c r="B6" s="190" t="s">
        <v>65</v>
      </c>
      <c r="C6" s="190" t="s">
        <v>58</v>
      </c>
      <c r="U6" s="191"/>
      <c r="V6" s="191"/>
      <c r="W6" s="191"/>
      <c r="X6" s="191"/>
      <c r="Y6" s="191"/>
      <c r="Z6" s="191"/>
      <c r="AA6" s="191"/>
      <c r="AB6" s="191"/>
      <c r="AC6" s="191"/>
      <c r="AD6" s="191"/>
    </row>
    <row r="7" spans="1:43" ht="30" customHeight="1">
      <c r="A7" s="61"/>
      <c r="B7" s="188"/>
      <c r="C7" s="188"/>
      <c r="D7" s="182"/>
      <c r="E7" s="182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</row>
    <row r="8" spans="1:43" ht="30" customHeight="1">
      <c r="A8" s="61"/>
      <c r="B8" s="188"/>
      <c r="C8" s="188"/>
      <c r="D8" s="182"/>
      <c r="E8" s="182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</row>
    <row r="9" spans="1:43" ht="30" customHeight="1">
      <c r="A9" s="61"/>
      <c r="B9" s="188"/>
      <c r="C9" s="188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</row>
    <row r="10" spans="1:43" ht="30" customHeight="1">
      <c r="A10" s="61"/>
      <c r="B10" s="188"/>
      <c r="C10" s="188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</row>
    <row r="11" spans="1:43" ht="30" customHeight="1">
      <c r="A11" s="61"/>
      <c r="B11" s="188"/>
      <c r="C11" s="188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</row>
    <row r="12" spans="1:43" ht="30" customHeight="1">
      <c r="A12" s="61"/>
      <c r="B12" s="188"/>
      <c r="C12" s="188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</row>
    <row r="13" spans="1:43" ht="12.75" customHeight="1"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</row>
    <row r="14" spans="1:43" ht="12.75" customHeight="1"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</row>
    <row r="15" spans="1:43" ht="12.75" customHeight="1"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</row>
    <row r="16" spans="1:43" ht="15">
      <c r="A16" s="62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</row>
    <row r="17" spans="1:43" ht="12.75" customHeight="1">
      <c r="A17" s="65" t="s">
        <v>57</v>
      </c>
      <c r="B17" s="66" t="s">
        <v>63</v>
      </c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</row>
    <row r="18" spans="1:43"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</row>
    <row r="19" spans="1:43"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</row>
    <row r="20" spans="1:43"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</row>
    <row r="21" spans="1:43"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</row>
    <row r="22" spans="1:43"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</row>
    <row r="23" spans="1:43" ht="14.25">
      <c r="A23" s="65" t="s">
        <v>59</v>
      </c>
      <c r="B23" s="66" t="s">
        <v>63</v>
      </c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</row>
    <row r="24" spans="1:43" ht="14.25">
      <c r="A24" s="74"/>
      <c r="B24" s="75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</row>
    <row r="25" spans="1:43" ht="14.25">
      <c r="B25" s="75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</row>
    <row r="26" spans="1:43" ht="14.25">
      <c r="B26" s="75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</row>
    <row r="27" spans="1:43" ht="12.75" customHeight="1"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</row>
    <row r="28" spans="1:43" ht="12.75" customHeight="1">
      <c r="A28" s="65" t="s">
        <v>66</v>
      </c>
      <c r="B28" s="66" t="s">
        <v>63</v>
      </c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</row>
    <row r="29" spans="1:43" ht="13.5" customHeight="1"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</row>
    <row r="30" spans="1:43" ht="12">
      <c r="A30" s="63"/>
      <c r="B30" s="6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</row>
    <row r="31" spans="1:43" ht="12">
      <c r="C31" s="184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</row>
    <row r="32" spans="1:43"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</row>
    <row r="33" spans="1:42" ht="12">
      <c r="A33" s="67" t="s">
        <v>64</v>
      </c>
      <c r="B33" s="68"/>
      <c r="C33" s="185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</row>
    <row r="34" spans="1:42">
      <c r="A34" s="69"/>
      <c r="B34" s="70"/>
      <c r="C34" s="71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</row>
    <row r="35" spans="1:42">
      <c r="A35" s="69"/>
      <c r="B35" s="70"/>
      <c r="C35" s="186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</row>
    <row r="36" spans="1:42">
      <c r="A36" s="69"/>
      <c r="B36" s="70"/>
      <c r="C36" s="186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</row>
    <row r="37" spans="1:42">
      <c r="A37" s="69"/>
      <c r="B37" s="70"/>
      <c r="C37" s="186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</row>
    <row r="38" spans="1:42">
      <c r="A38" s="69"/>
      <c r="B38" s="70"/>
      <c r="C38" s="186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</row>
    <row r="39" spans="1:42">
      <c r="A39" s="69"/>
      <c r="B39" s="70"/>
      <c r="C39" s="186"/>
    </row>
    <row r="40" spans="1:42">
      <c r="A40" s="72"/>
      <c r="B40" s="73"/>
      <c r="C40" s="187"/>
    </row>
    <row r="41" spans="1:42" ht="12" thickBot="1">
      <c r="V41" t="s">
        <v>73</v>
      </c>
    </row>
    <row r="42" spans="1:42">
      <c r="V42" s="141"/>
      <c r="W42" s="142"/>
      <c r="X42" s="142"/>
      <c r="Y42" s="142"/>
      <c r="Z42" s="142"/>
      <c r="AA42" s="142"/>
      <c r="AB42" s="142"/>
      <c r="AC42" s="142"/>
      <c r="AD42" s="142"/>
      <c r="AE42" s="143"/>
    </row>
    <row r="43" spans="1:42">
      <c r="V43" s="144"/>
      <c r="W43" s="70"/>
      <c r="X43" s="70"/>
      <c r="Y43" s="70"/>
      <c r="Z43" s="70"/>
      <c r="AA43" s="70"/>
      <c r="AB43" s="70"/>
      <c r="AC43" s="70"/>
      <c r="AD43" s="70"/>
      <c r="AE43" s="145"/>
    </row>
    <row r="44" spans="1:42">
      <c r="V44" s="144"/>
      <c r="W44" s="70"/>
      <c r="X44" s="70"/>
      <c r="Y44" s="70"/>
      <c r="Z44" s="70"/>
      <c r="AA44" s="70"/>
      <c r="AB44" s="70"/>
      <c r="AC44" s="70"/>
      <c r="AD44" s="70"/>
      <c r="AE44" s="145"/>
    </row>
    <row r="45" spans="1:42">
      <c r="V45" s="144"/>
      <c r="W45" s="70"/>
      <c r="X45" s="70"/>
      <c r="Y45" s="70"/>
      <c r="Z45" s="70"/>
      <c r="AA45" s="70"/>
      <c r="AB45" s="70"/>
      <c r="AC45" s="70"/>
      <c r="AD45" s="70"/>
      <c r="AE45" s="145"/>
    </row>
    <row r="46" spans="1:42">
      <c r="V46" s="144"/>
      <c r="W46" s="70"/>
      <c r="X46" s="70"/>
      <c r="Y46" s="70"/>
      <c r="Z46" s="70"/>
      <c r="AA46" s="70"/>
      <c r="AB46" s="70"/>
      <c r="AC46" s="70"/>
      <c r="AD46" s="70"/>
      <c r="AE46" s="145"/>
    </row>
    <row r="47" spans="1:42">
      <c r="V47" s="144"/>
      <c r="W47" s="70"/>
      <c r="X47" s="70"/>
      <c r="Y47" s="70"/>
      <c r="Z47" s="70"/>
      <c r="AA47" s="70"/>
      <c r="AB47" s="70"/>
      <c r="AC47" s="70"/>
      <c r="AD47" s="70"/>
      <c r="AE47" s="145"/>
    </row>
    <row r="48" spans="1:42">
      <c r="V48" s="144"/>
      <c r="W48" s="70"/>
      <c r="X48" s="70"/>
      <c r="Y48" s="70"/>
      <c r="Z48" s="70"/>
      <c r="AA48" s="70"/>
      <c r="AB48" s="70"/>
      <c r="AC48" s="70"/>
      <c r="AD48" s="70"/>
      <c r="AE48" s="145"/>
    </row>
    <row r="49" spans="3:31">
      <c r="V49" s="144"/>
      <c r="W49" s="70"/>
      <c r="X49" s="70"/>
      <c r="Y49" s="70"/>
      <c r="Z49" s="70"/>
      <c r="AA49" s="70"/>
      <c r="AB49" s="70"/>
      <c r="AC49" s="70"/>
      <c r="AD49" s="70"/>
      <c r="AE49" s="145"/>
    </row>
    <row r="50" spans="3:31">
      <c r="V50" s="144"/>
      <c r="W50" s="70"/>
      <c r="X50" s="70"/>
      <c r="Y50" s="70"/>
      <c r="Z50" s="70"/>
      <c r="AA50" s="70"/>
      <c r="AB50" s="70"/>
      <c r="AC50" s="70"/>
      <c r="AD50" s="70"/>
      <c r="AE50" s="145"/>
    </row>
    <row r="51" spans="3:31">
      <c r="V51" s="144"/>
      <c r="W51" s="70"/>
      <c r="X51" s="70"/>
      <c r="Y51" s="70"/>
      <c r="Z51" s="70"/>
      <c r="AA51" s="70"/>
      <c r="AB51" s="70"/>
      <c r="AC51" s="70"/>
      <c r="AD51" s="70"/>
      <c r="AE51" s="145"/>
    </row>
    <row r="52" spans="3:31" ht="12" thickBot="1">
      <c r="V52" s="146"/>
      <c r="W52" s="147"/>
      <c r="X52" s="147"/>
      <c r="Y52" s="147"/>
      <c r="Z52" s="147"/>
      <c r="AA52" s="147"/>
      <c r="AB52" s="147"/>
      <c r="AC52" s="147"/>
      <c r="AD52" s="147"/>
      <c r="AE52" s="148"/>
    </row>
    <row r="55" spans="3:31"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</row>
    <row r="56" spans="3:31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</row>
    <row r="57" spans="3:31"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</row>
  </sheetData>
  <mergeCells count="2">
    <mergeCell ref="A2:D2"/>
    <mergeCell ref="A4:D4"/>
  </mergeCells>
  <phoneticPr fontId="0" type="noConversion"/>
  <printOptions horizontalCentered="1"/>
  <pageMargins left="0.5" right="0.5" top="0.5" bottom="0.5" header="0.25" footer="0.25"/>
  <pageSetup scale="1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34</vt:i4>
      </vt:variant>
    </vt:vector>
  </HeadingPairs>
  <TitlesOfParts>
    <vt:vector size="48" baseType="lpstr">
      <vt:lpstr>July09</vt:lpstr>
      <vt:lpstr>Aug09</vt:lpstr>
      <vt:lpstr>Sept09</vt:lpstr>
      <vt:lpstr>Oct09</vt:lpstr>
      <vt:lpstr>Nov09</vt:lpstr>
      <vt:lpstr>Dec09</vt:lpstr>
      <vt:lpstr>Jan10</vt:lpstr>
      <vt:lpstr>Feb10</vt:lpstr>
      <vt:lpstr>Mar10</vt:lpstr>
      <vt:lpstr>Apr10</vt:lpstr>
      <vt:lpstr>May10</vt:lpstr>
      <vt:lpstr>Jun10</vt:lpstr>
      <vt:lpstr>Calendar</vt:lpstr>
      <vt:lpstr>Out of Office Request Form</vt:lpstr>
      <vt:lpstr>FromApr</vt:lpstr>
      <vt:lpstr>FromAugust</vt:lpstr>
      <vt:lpstr>FromDec</vt:lpstr>
      <vt:lpstr>FromFebruary</vt:lpstr>
      <vt:lpstr>FromJan</vt:lpstr>
      <vt:lpstr>FromJuly</vt:lpstr>
      <vt:lpstr>FromMar</vt:lpstr>
      <vt:lpstr>FromMay</vt:lpstr>
      <vt:lpstr>FromNov</vt:lpstr>
      <vt:lpstr>FromOct</vt:lpstr>
      <vt:lpstr>FromSeptember</vt:lpstr>
      <vt:lpstr>'Apr10'!Print_Area</vt:lpstr>
      <vt:lpstr>'Aug09'!Print_Area</vt:lpstr>
      <vt:lpstr>Calendar!Print_Area</vt:lpstr>
      <vt:lpstr>'Dec09'!Print_Area</vt:lpstr>
      <vt:lpstr>'Feb10'!Print_Area</vt:lpstr>
      <vt:lpstr>'Jan10'!Print_Area</vt:lpstr>
      <vt:lpstr>July09!Print_Area</vt:lpstr>
      <vt:lpstr>'Jun10'!Print_Area</vt:lpstr>
      <vt:lpstr>'Mar10'!Print_Area</vt:lpstr>
      <vt:lpstr>'May10'!Print_Area</vt:lpstr>
      <vt:lpstr>'Nov09'!Print_Area</vt:lpstr>
      <vt:lpstr>'Oct09'!Print_Area</vt:lpstr>
      <vt:lpstr>Sept09!Print_Area</vt:lpstr>
      <vt:lpstr>ToApr</vt:lpstr>
      <vt:lpstr>ToAugust</vt:lpstr>
      <vt:lpstr>ToDec</vt:lpstr>
      <vt:lpstr>ToFebruary</vt:lpstr>
      <vt:lpstr>ToJan</vt:lpstr>
      <vt:lpstr>ToJuly</vt:lpstr>
      <vt:lpstr>ToMar</vt:lpstr>
      <vt:lpstr>ToMay</vt:lpstr>
      <vt:lpstr>ToNov</vt:lpstr>
      <vt:lpstr>ToSeptember</vt:lpstr>
    </vt:vector>
  </TitlesOfParts>
  <Company>NCCU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Deon Wilson</dc:creator>
  <cp:lastModifiedBy>mroper</cp:lastModifiedBy>
  <cp:lastPrinted>2007-07-25T15:14:34Z</cp:lastPrinted>
  <dcterms:created xsi:type="dcterms:W3CDTF">1999-10-18T13:56:38Z</dcterms:created>
  <dcterms:modified xsi:type="dcterms:W3CDTF">2009-06-30T14:03:30Z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viewCycleID">
    <vt:i4>1578376662</vt:i4>
  </property>
  <property fmtid="{D5CDD505-2E9C-101B-9397-08002B2CF9AE}" pid="3" name="_EmailEntryID">
    <vt:lpwstr>00000000AE83599CB2360D4296EF91FCC991FCBD070006DC54AF8450334FA6EDAA787AF7C58300000107E4E4000002A30774E66E464D90D15CB71C40544E00082626E28F0000</vt:lpwstr>
  </property>
  <property fmtid="{D5CDD505-2E9C-101B-9397-08002B2CF9AE}" pid="4" name="_EmailStoreID0">
    <vt:lpwstr>0000000038A1BB1005E5101AA1BB08002B2A56C20000454D534D44422E444C4C00000000000000001B55FA20AA6611CD9BC800AA002FC45A0C000000455843482D4D4232002F6F3D4E4343552F6F753D46697273742041646D696E6973747261746976652047726F75702F636E3D526563697069656E74732F636E3D636A776</vt:lpwstr>
  </property>
  <property fmtid="{D5CDD505-2E9C-101B-9397-08002B2CF9AE}" pid="5" name="_EmailStoreID1">
    <vt:lpwstr>869746500</vt:lpwstr>
  </property>
  <property fmtid="{D5CDD505-2E9C-101B-9397-08002B2CF9AE}" pid="6" name="_ReviewingToolsShownOnce">
    <vt:lpwstr/>
  </property>
</Properties>
</file>