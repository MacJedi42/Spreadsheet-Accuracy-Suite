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35" windowHeight="8130"/>
  </bookViews>
  <sheets>
    <sheet name="Overview" sheetId="11" r:id="rId1"/>
    <sheet name="Graphs" sheetId="12" r:id="rId2"/>
    <sheet name="2012" sheetId="15" r:id="rId3"/>
    <sheet name="2011" sheetId="14" r:id="rId4"/>
    <sheet name="2010" sheetId="13" r:id="rId5"/>
    <sheet name="2009" sheetId="1" r:id="rId6"/>
    <sheet name="2008" sheetId="2" r:id="rId7"/>
    <sheet name="2007" sheetId="3" r:id="rId8"/>
    <sheet name="2006" sheetId="4" r:id="rId9"/>
    <sheet name="2005" sheetId="5" r:id="rId10"/>
    <sheet name="2004" sheetId="6" r:id="rId11"/>
    <sheet name="2003" sheetId="7" r:id="rId12"/>
    <sheet name="2002" sheetId="8" r:id="rId13"/>
    <sheet name="2001" sheetId="9" r:id="rId14"/>
    <sheet name="2000" sheetId="10" r:id="rId15"/>
  </sheets>
  <calcPr calcId="145621" iterate="1"/>
</workbook>
</file>

<file path=xl/calcChain.xml><?xml version="1.0" encoding="utf-8"?>
<calcChain xmlns="http://schemas.openxmlformats.org/spreadsheetml/2006/main">
  <c r="N16" i="11" l="1"/>
  <c r="N6" i="11"/>
  <c r="N7" i="11"/>
  <c r="N8" i="11"/>
  <c r="N9" i="11"/>
  <c r="N10" i="11"/>
  <c r="N11" i="11"/>
  <c r="N12" i="11"/>
  <c r="N13" i="11"/>
  <c r="N14" i="11"/>
  <c r="N5" i="11"/>
  <c r="M16" i="11"/>
  <c r="M6" i="11"/>
  <c r="M7" i="11"/>
  <c r="M8" i="11"/>
  <c r="M9" i="11"/>
  <c r="M10" i="11"/>
  <c r="M11" i="11"/>
  <c r="M12" i="11"/>
  <c r="M13" i="11"/>
  <c r="M14" i="11"/>
  <c r="M5" i="11"/>
  <c r="K7" i="11"/>
  <c r="K8" i="11"/>
  <c r="K9" i="11"/>
  <c r="K10" i="11"/>
  <c r="K11" i="11"/>
  <c r="K12" i="11"/>
  <c r="K13" i="11"/>
  <c r="K14" i="11"/>
  <c r="K5" i="11"/>
  <c r="K6" i="11"/>
  <c r="L16" i="11"/>
  <c r="L6" i="11"/>
  <c r="L7" i="11"/>
  <c r="L8" i="11"/>
  <c r="L9" i="11"/>
  <c r="L10" i="11"/>
  <c r="L11" i="11"/>
  <c r="L12" i="11"/>
  <c r="L13" i="11"/>
  <c r="L14" i="11"/>
  <c r="L5" i="11"/>
  <c r="B16" i="11"/>
  <c r="C16" i="11"/>
  <c r="D16" i="11"/>
  <c r="E16" i="11"/>
  <c r="F16" i="11"/>
  <c r="G16" i="11"/>
  <c r="H16" i="11"/>
  <c r="I16" i="11"/>
  <c r="J16" i="11"/>
  <c r="K16" i="11"/>
  <c r="J6" i="11"/>
  <c r="I6" i="11"/>
  <c r="H6" i="11"/>
  <c r="G6" i="11"/>
  <c r="F6" i="11"/>
  <c r="E6" i="11"/>
  <c r="D6" i="11"/>
  <c r="C6" i="11"/>
  <c r="B6" i="11"/>
  <c r="J7" i="11"/>
  <c r="I7" i="11"/>
  <c r="H7" i="11"/>
  <c r="G7" i="11"/>
  <c r="F7" i="11"/>
  <c r="E7" i="11"/>
  <c r="D7" i="11"/>
  <c r="C7" i="11"/>
  <c r="B7" i="11"/>
  <c r="J8" i="11"/>
  <c r="I8" i="11"/>
  <c r="H8" i="11"/>
  <c r="G8" i="11"/>
  <c r="F8" i="11"/>
  <c r="E8" i="11"/>
  <c r="D8" i="11"/>
  <c r="C8" i="11"/>
  <c r="B8" i="11"/>
  <c r="J9" i="11"/>
  <c r="I9" i="11"/>
  <c r="H9" i="11"/>
  <c r="G9" i="11"/>
  <c r="F9" i="11"/>
  <c r="E9" i="11"/>
  <c r="D9" i="11"/>
  <c r="C9" i="11"/>
  <c r="B9" i="11"/>
  <c r="J10" i="11"/>
  <c r="I10" i="11"/>
  <c r="H10" i="11"/>
  <c r="G10" i="11"/>
  <c r="F10" i="11"/>
  <c r="E10" i="11"/>
  <c r="D10" i="11"/>
  <c r="C10" i="11"/>
  <c r="B10" i="11"/>
  <c r="J11" i="11"/>
  <c r="I11" i="11"/>
  <c r="H11" i="11"/>
  <c r="G11" i="11"/>
  <c r="F11" i="11"/>
  <c r="E11" i="11"/>
  <c r="D11" i="11"/>
  <c r="C11" i="11"/>
  <c r="B11" i="11"/>
  <c r="J12" i="11"/>
  <c r="I12" i="11"/>
  <c r="H12" i="11"/>
  <c r="G12" i="11"/>
  <c r="F12" i="11"/>
  <c r="E12" i="11"/>
  <c r="D12" i="11"/>
  <c r="C12" i="11"/>
  <c r="B12" i="11"/>
  <c r="J13" i="11"/>
  <c r="I13" i="11"/>
  <c r="H13" i="11"/>
  <c r="G13" i="11"/>
  <c r="F13" i="11"/>
  <c r="E13" i="11"/>
  <c r="D13" i="11"/>
  <c r="C13" i="11"/>
  <c r="B13" i="11"/>
  <c r="J14" i="11"/>
  <c r="I14" i="11"/>
  <c r="H14" i="11"/>
  <c r="G14" i="11"/>
  <c r="F14" i="11"/>
  <c r="E14" i="11"/>
  <c r="D14" i="11"/>
  <c r="C14" i="11"/>
  <c r="B14" i="11"/>
  <c r="B5" i="11"/>
  <c r="C5" i="11"/>
  <c r="D5" i="11"/>
  <c r="E5" i="11"/>
  <c r="F5" i="11"/>
  <c r="G5" i="11"/>
  <c r="H5" i="11"/>
  <c r="I5" i="11"/>
  <c r="J5" i="11"/>
</calcChain>
</file>

<file path=xl/sharedStrings.xml><?xml version="1.0" encoding="utf-8"?>
<sst xmlns="http://schemas.openxmlformats.org/spreadsheetml/2006/main" count="415" uniqueCount="46">
  <si>
    <t>Category</t>
  </si>
  <si>
    <t>%</t>
  </si>
  <si>
    <t>of Revenue</t>
  </si>
  <si>
    <t>Jan.</t>
  </si>
  <si>
    <t>Feb.</t>
  </si>
  <si>
    <t>March</t>
  </si>
  <si>
    <t>Apr.</t>
  </si>
  <si>
    <t>May</t>
  </si>
  <si>
    <t>Jun.</t>
  </si>
  <si>
    <t>Jul.</t>
  </si>
  <si>
    <t>Aug.</t>
  </si>
  <si>
    <t>Sept.</t>
  </si>
  <si>
    <t>Oct.</t>
  </si>
  <si>
    <t>Nov.</t>
  </si>
  <si>
    <t>Dec.</t>
  </si>
  <si>
    <t>Totals</t>
  </si>
  <si>
    <t>Paid</t>
  </si>
  <si>
    <t>All Other Receipts</t>
  </si>
  <si>
    <t>Total</t>
  </si>
  <si>
    <t>Commissions Paid</t>
  </si>
  <si>
    <t>Commission</t>
  </si>
  <si>
    <t>Food and Beverage</t>
  </si>
  <si>
    <t>Bait and Tackle</t>
  </si>
  <si>
    <t xml:space="preserve">Vending </t>
  </si>
  <si>
    <t>WEST BRANCH MARINA HISTORICAL DATA - 2009</t>
  </si>
  <si>
    <t>Receipts</t>
  </si>
  <si>
    <t>Rental - Boats &amp; Motors</t>
  </si>
  <si>
    <t>Marine Equipment Sales</t>
  </si>
  <si>
    <t>Gasoline and Oil</t>
  </si>
  <si>
    <t>Transient Dockage</t>
  </si>
  <si>
    <t>Souvenirs and Sundries</t>
  </si>
  <si>
    <t>WEST BRANCH MARINA HISTORICAL DATA - 2008</t>
  </si>
  <si>
    <t>WEST BRANCH MARINA HISTORICAL DATA - 2007</t>
  </si>
  <si>
    <t>WEST BRANCH MARINA HISTORICAL DATA - 2006</t>
  </si>
  <si>
    <t>WEST BRANCH MARINA HISTORICAL DATA - 2005</t>
  </si>
  <si>
    <t>WEST BRANCH MARINA HISTORICAL DATA - 2004</t>
  </si>
  <si>
    <t>WEST BRANCH MARINA HISTORICAL DATA - 2003</t>
  </si>
  <si>
    <t>WEST BRANCH MARINA HISTORICAL DATA - 2002</t>
  </si>
  <si>
    <t>Gas and Oil</t>
  </si>
  <si>
    <t>Vending Machines</t>
  </si>
  <si>
    <t>WEST BRANCH MARINA HISTORICAL DATA - 2001</t>
  </si>
  <si>
    <t>WEST BRANCH MARINA HISTORICAL DATA - 2000</t>
  </si>
  <si>
    <t>WEST BRANCH MARINA HISTORICAL DATA - 2010</t>
  </si>
  <si>
    <t>WEST BRANCH MARINA HISTORICAL DATA - 2011</t>
  </si>
  <si>
    <t>WEST BRANCH MARINA HISTORICAL DATA</t>
  </si>
  <si>
    <t>WEST BRANCH MARINA HISTORICAL DATA - 2012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</si>
</sst>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0.0%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3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65">
    <xf numFmtId="0" fontId="0" fillId="0" borderId="0" xfId="0"/>
    <xf numFmtId="8" fontId="0" fillId="0" borderId="0" xfId="0" applyNumberFormat="1"/>
    <xf numFmtId="0" fontId="0" fillId="0" borderId="0" xfId="0" applyBorder="1"/>
    <xf numFmtId="0" fontId="2" fillId="0" borderId="0" xfId="18"/>
    <xf numFmtId="0" fontId="1" fillId="0" borderId="0" xfId="10" applyBorder="1"/>
    <xf numFmtId="0" fontId="1" fillId="0" borderId="0" xfId="10" applyBorder="1" applyAlignment="1">
      <alignment horizontal="center" vertical="center"/>
    </xf>
    <xf numFmtId="0" fontId="1" fillId="0" borderId="0" xfId="9" applyBorder="1"/>
    <xf numFmtId="0" fontId="1" fillId="0" borderId="0" xfId="9" applyBorder="1" applyAlignment="1">
      <alignment horizontal="center" vertical="center"/>
    </xf>
    <xf numFmtId="0" fontId="1" fillId="0" borderId="0" xfId="8" applyBorder="1"/>
    <xf numFmtId="0" fontId="1" fillId="0" borderId="0" xfId="8" applyBorder="1" applyAlignment="1">
      <alignment horizontal="center" vertical="center"/>
    </xf>
    <xf numFmtId="0" fontId="1" fillId="0" borderId="0" xfId="7" applyBorder="1"/>
    <xf numFmtId="0" fontId="1" fillId="0" borderId="0" xfId="7" applyBorder="1" applyAlignment="1">
      <alignment horizontal="center" vertical="center"/>
    </xf>
    <xf numFmtId="0" fontId="1" fillId="0" borderId="0" xfId="6" applyBorder="1"/>
    <xf numFmtId="0" fontId="1" fillId="0" borderId="0" xfId="6" applyBorder="1" applyAlignment="1">
      <alignment horizontal="center" vertical="center"/>
    </xf>
    <xf numFmtId="0" fontId="1" fillId="0" borderId="0" xfId="5" applyBorder="1"/>
    <xf numFmtId="0" fontId="1" fillId="0" borderId="0" xfId="5" applyBorder="1" applyAlignment="1">
      <alignment horizontal="center" vertical="center"/>
    </xf>
    <xf numFmtId="0" fontId="1" fillId="0" borderId="0" xfId="4" applyBorder="1"/>
    <xf numFmtId="0" fontId="1" fillId="0" borderId="0" xfId="4" applyBorder="1" applyAlignment="1">
      <alignment horizontal="center" vertical="center"/>
    </xf>
    <xf numFmtId="0" fontId="1" fillId="0" borderId="0" xfId="3" applyBorder="1"/>
    <xf numFmtId="0" fontId="1" fillId="0" borderId="0" xfId="3" applyBorder="1" applyAlignment="1">
      <alignment horizontal="center" vertical="center"/>
    </xf>
    <xf numFmtId="0" fontId="1" fillId="0" borderId="0" xfId="2" applyBorder="1"/>
    <xf numFmtId="0" fontId="1" fillId="0" borderId="0" xfId="2" applyBorder="1" applyAlignment="1">
      <alignment horizontal="center" vertical="center"/>
    </xf>
    <xf numFmtId="0" fontId="1" fillId="0" borderId="0" xfId="1" applyBorder="1"/>
    <xf numFmtId="0" fontId="1" fillId="0" borderId="0" xfId="1" applyBorder="1" applyAlignment="1">
      <alignment horizontal="center" vertical="center"/>
    </xf>
    <xf numFmtId="0" fontId="1" fillId="0" borderId="0" xfId="21"/>
    <xf numFmtId="0" fontId="1" fillId="0" borderId="0" xfId="21" applyProtection="1">
      <protection locked="0"/>
    </xf>
    <xf numFmtId="0" fontId="1" fillId="0" borderId="1" xfId="21" applyBorder="1" applyProtection="1">
      <protection locked="0"/>
    </xf>
    <xf numFmtId="0" fontId="1" fillId="0" borderId="1" xfId="21" applyBorder="1"/>
    <xf numFmtId="8" fontId="1" fillId="0" borderId="0" xfId="21" applyNumberFormat="1"/>
    <xf numFmtId="0" fontId="1" fillId="0" borderId="1" xfId="21" applyBorder="1" applyAlignment="1">
      <alignment horizontal="center"/>
    </xf>
    <xf numFmtId="0" fontId="1" fillId="0" borderId="2" xfId="21" applyBorder="1"/>
    <xf numFmtId="8" fontId="1" fillId="0" borderId="2" xfId="21" applyNumberFormat="1" applyBorder="1"/>
    <xf numFmtId="9" fontId="1" fillId="0" borderId="0" xfId="21" applyNumberFormat="1"/>
    <xf numFmtId="9" fontId="1" fillId="0" borderId="2" xfId="21" applyNumberFormat="1" applyBorder="1"/>
    <xf numFmtId="0" fontId="1" fillId="0" borderId="0" xfId="22"/>
    <xf numFmtId="0" fontId="1" fillId="0" borderId="0" xfId="22" applyProtection="1">
      <protection locked="0"/>
    </xf>
    <xf numFmtId="0" fontId="1" fillId="0" borderId="1" xfId="22" applyBorder="1" applyProtection="1">
      <protection locked="0"/>
    </xf>
    <xf numFmtId="0" fontId="1" fillId="0" borderId="1" xfId="22" applyBorder="1"/>
    <xf numFmtId="8" fontId="1" fillId="0" borderId="0" xfId="22" applyNumberFormat="1"/>
    <xf numFmtId="0" fontId="1" fillId="0" borderId="1" xfId="22" applyBorder="1" applyAlignment="1">
      <alignment horizontal="center"/>
    </xf>
    <xf numFmtId="0" fontId="1" fillId="0" borderId="2" xfId="22" applyBorder="1"/>
    <xf numFmtId="8" fontId="1" fillId="0" borderId="2" xfId="22" applyNumberFormat="1" applyBorder="1"/>
    <xf numFmtId="9" fontId="1" fillId="0" borderId="0" xfId="22" applyNumberFormat="1"/>
    <xf numFmtId="9" fontId="1" fillId="0" borderId="2" xfId="22" applyNumberFormat="1" applyBorder="1"/>
    <xf numFmtId="0" fontId="1" fillId="0" borderId="0" xfId="23"/>
    <xf numFmtId="0" fontId="1" fillId="0" borderId="0" xfId="23" applyProtection="1">
      <protection locked="0"/>
    </xf>
    <xf numFmtId="0" fontId="1" fillId="0" borderId="1" xfId="23" applyBorder="1" applyProtection="1">
      <protection locked="0"/>
    </xf>
    <xf numFmtId="0" fontId="1" fillId="0" borderId="1" xfId="23" applyBorder="1"/>
    <xf numFmtId="10" fontId="1" fillId="0" borderId="0" xfId="23" applyNumberFormat="1"/>
    <xf numFmtId="8" fontId="1" fillId="0" borderId="0" xfId="23" applyNumberFormat="1"/>
    <xf numFmtId="0" fontId="1" fillId="0" borderId="1" xfId="23" applyBorder="1" applyAlignment="1">
      <alignment horizontal="center"/>
    </xf>
    <xf numFmtId="8" fontId="1" fillId="0" borderId="2" xfId="23" applyNumberFormat="1" applyBorder="1"/>
    <xf numFmtId="10" fontId="1" fillId="0" borderId="2" xfId="23" applyNumberFormat="1" applyBorder="1"/>
    <xf numFmtId="0" fontId="1" fillId="0" borderId="0" xfId="24"/>
    <xf numFmtId="0" fontId="1" fillId="0" borderId="0" xfId="24" applyProtection="1">
      <protection locked="0"/>
    </xf>
    <xf numFmtId="0" fontId="1" fillId="0" borderId="1" xfId="24" applyBorder="1" applyProtection="1">
      <protection locked="0"/>
    </xf>
    <xf numFmtId="0" fontId="1" fillId="0" borderId="1" xfId="24" applyBorder="1"/>
    <xf numFmtId="10" fontId="1" fillId="0" borderId="0" xfId="24" applyNumberFormat="1"/>
    <xf numFmtId="8" fontId="1" fillId="0" borderId="0" xfId="24" applyNumberFormat="1"/>
    <xf numFmtId="0" fontId="1" fillId="0" borderId="1" xfId="24" applyBorder="1" applyAlignment="1">
      <alignment horizontal="center"/>
    </xf>
    <xf numFmtId="8" fontId="1" fillId="0" borderId="2" xfId="24" applyNumberFormat="1" applyBorder="1"/>
    <xf numFmtId="10" fontId="1" fillId="0" borderId="2" xfId="24" applyNumberFormat="1" applyBorder="1"/>
    <xf numFmtId="0" fontId="1" fillId="0" borderId="0" xfId="25"/>
    <xf numFmtId="0" fontId="1" fillId="0" borderId="0" xfId="25" applyProtection="1">
      <protection locked="0"/>
    </xf>
    <xf numFmtId="0" fontId="1" fillId="0" borderId="1" xfId="25" applyBorder="1" applyProtection="1">
      <protection locked="0"/>
    </xf>
    <xf numFmtId="0" fontId="1" fillId="0" borderId="1" xfId="25" applyBorder="1"/>
    <xf numFmtId="10" fontId="1" fillId="0" borderId="0" xfId="25" applyNumberFormat="1"/>
    <xf numFmtId="8" fontId="1" fillId="0" borderId="0" xfId="25" applyNumberFormat="1"/>
    <xf numFmtId="0" fontId="1" fillId="0" borderId="1" xfId="25" applyBorder="1" applyAlignment="1">
      <alignment horizontal="center"/>
    </xf>
    <xf numFmtId="8" fontId="1" fillId="0" borderId="2" xfId="25" applyNumberFormat="1" applyBorder="1"/>
    <xf numFmtId="10" fontId="1" fillId="0" borderId="2" xfId="25" applyNumberFormat="1" applyBorder="1"/>
    <xf numFmtId="0" fontId="1" fillId="0" borderId="0" xfId="26"/>
    <xf numFmtId="0" fontId="1" fillId="0" borderId="0" xfId="26" applyProtection="1">
      <protection locked="0"/>
    </xf>
    <xf numFmtId="0" fontId="1" fillId="0" borderId="1" xfId="26" applyBorder="1" applyProtection="1">
      <protection locked="0"/>
    </xf>
    <xf numFmtId="0" fontId="1" fillId="0" borderId="1" xfId="26" applyBorder="1"/>
    <xf numFmtId="10" fontId="1" fillId="0" borderId="0" xfId="26" applyNumberFormat="1"/>
    <xf numFmtId="8" fontId="1" fillId="0" borderId="0" xfId="26" applyNumberFormat="1"/>
    <xf numFmtId="0" fontId="1" fillId="0" borderId="1" xfId="26" applyBorder="1" applyAlignment="1">
      <alignment horizontal="center"/>
    </xf>
    <xf numFmtId="8" fontId="1" fillId="0" borderId="2" xfId="26" applyNumberFormat="1" applyBorder="1"/>
    <xf numFmtId="10" fontId="1" fillId="0" borderId="2" xfId="26" applyNumberFormat="1" applyBorder="1"/>
    <xf numFmtId="0" fontId="1" fillId="0" borderId="0" xfId="27"/>
    <xf numFmtId="0" fontId="1" fillId="0" borderId="0" xfId="27" applyProtection="1">
      <protection locked="0"/>
    </xf>
    <xf numFmtId="0" fontId="1" fillId="0" borderId="1" xfId="27" applyBorder="1" applyProtection="1">
      <protection locked="0"/>
    </xf>
    <xf numFmtId="0" fontId="1" fillId="0" borderId="1" xfId="27" applyBorder="1"/>
    <xf numFmtId="10" fontId="1" fillId="0" borderId="0" xfId="27" applyNumberFormat="1"/>
    <xf numFmtId="8" fontId="1" fillId="0" borderId="0" xfId="27" applyNumberFormat="1"/>
    <xf numFmtId="0" fontId="1" fillId="0" borderId="1" xfId="27" applyBorder="1" applyAlignment="1">
      <alignment horizontal="center"/>
    </xf>
    <xf numFmtId="8" fontId="1" fillId="0" borderId="2" xfId="27" applyNumberFormat="1" applyBorder="1"/>
    <xf numFmtId="10" fontId="1" fillId="0" borderId="2" xfId="27" applyNumberFormat="1" applyBorder="1"/>
    <xf numFmtId="0" fontId="1" fillId="0" borderId="0" xfId="28"/>
    <xf numFmtId="0" fontId="1" fillId="0" borderId="0" xfId="28" applyProtection="1">
      <protection locked="0"/>
    </xf>
    <xf numFmtId="0" fontId="1" fillId="0" borderId="1" xfId="28" applyBorder="1" applyProtection="1">
      <protection locked="0"/>
    </xf>
    <xf numFmtId="0" fontId="1" fillId="0" borderId="1" xfId="28" applyBorder="1"/>
    <xf numFmtId="10" fontId="1" fillId="0" borderId="0" xfId="28" applyNumberFormat="1"/>
    <xf numFmtId="8" fontId="1" fillId="0" borderId="0" xfId="28" applyNumberFormat="1"/>
    <xf numFmtId="0" fontId="1" fillId="0" borderId="1" xfId="28" applyBorder="1" applyAlignment="1">
      <alignment horizontal="center"/>
    </xf>
    <xf numFmtId="0" fontId="1" fillId="0" borderId="2" xfId="28" applyBorder="1"/>
    <xf numFmtId="8" fontId="1" fillId="0" borderId="2" xfId="28" applyNumberFormat="1" applyBorder="1"/>
    <xf numFmtId="10" fontId="1" fillId="0" borderId="2" xfId="28" applyNumberFormat="1" applyBorder="1"/>
    <xf numFmtId="0" fontId="1" fillId="0" borderId="0" xfId="28" applyAlignment="1">
      <alignment horizontal="left"/>
    </xf>
    <xf numFmtId="0" fontId="1" fillId="0" borderId="0" xfId="29"/>
    <xf numFmtId="0" fontId="1" fillId="0" borderId="0" xfId="29" applyProtection="1">
      <protection locked="0"/>
    </xf>
    <xf numFmtId="0" fontId="1" fillId="0" borderId="1" xfId="29" applyBorder="1" applyProtection="1">
      <protection locked="0"/>
    </xf>
    <xf numFmtId="8" fontId="1" fillId="0" borderId="0" xfId="29" applyNumberFormat="1"/>
    <xf numFmtId="0" fontId="1" fillId="0" borderId="1" xfId="29" applyBorder="1" applyAlignment="1">
      <alignment horizontal="center"/>
    </xf>
    <xf numFmtId="0" fontId="1" fillId="0" borderId="2" xfId="29" applyBorder="1"/>
    <xf numFmtId="8" fontId="1" fillId="0" borderId="2" xfId="29" applyNumberFormat="1" applyBorder="1"/>
    <xf numFmtId="0" fontId="1" fillId="0" borderId="0" xfId="29" applyAlignment="1">
      <alignment horizontal="left"/>
    </xf>
    <xf numFmtId="0" fontId="1" fillId="0" borderId="0" xfId="29" applyAlignment="1">
      <alignment horizontal="center"/>
    </xf>
    <xf numFmtId="164" fontId="1" fillId="0" borderId="0" xfId="29" applyNumberFormat="1" applyAlignment="1">
      <alignment horizontal="center"/>
    </xf>
    <xf numFmtId="9" fontId="1" fillId="0" borderId="0" xfId="29" applyNumberFormat="1" applyAlignment="1">
      <alignment horizontal="center"/>
    </xf>
    <xf numFmtId="9" fontId="1" fillId="0" borderId="2" xfId="29" applyNumberFormat="1" applyBorder="1" applyAlignment="1">
      <alignment horizontal="center"/>
    </xf>
    <xf numFmtId="0" fontId="1" fillId="0" borderId="0" xfId="30"/>
    <xf numFmtId="0" fontId="1" fillId="0" borderId="0" xfId="30" applyProtection="1">
      <protection locked="0"/>
    </xf>
    <xf numFmtId="0" fontId="1" fillId="0" borderId="1" xfId="30" applyBorder="1" applyProtection="1">
      <protection locked="0"/>
    </xf>
    <xf numFmtId="8" fontId="1" fillId="0" borderId="0" xfId="30" applyNumberFormat="1"/>
    <xf numFmtId="0" fontId="1" fillId="0" borderId="1" xfId="30" applyBorder="1" applyAlignment="1">
      <alignment horizontal="center"/>
    </xf>
    <xf numFmtId="0" fontId="1" fillId="0" borderId="2" xfId="30" applyBorder="1"/>
    <xf numFmtId="8" fontId="1" fillId="0" borderId="2" xfId="30" applyNumberFormat="1" applyBorder="1"/>
    <xf numFmtId="0" fontId="1" fillId="0" borderId="0" xfId="30" applyAlignment="1">
      <alignment horizontal="left"/>
    </xf>
    <xf numFmtId="0" fontId="1" fillId="0" borderId="0" xfId="30" applyAlignment="1">
      <alignment horizontal="center"/>
    </xf>
    <xf numFmtId="164" fontId="1" fillId="0" borderId="0" xfId="30" applyNumberFormat="1"/>
    <xf numFmtId="9" fontId="1" fillId="0" borderId="0" xfId="30" applyNumberFormat="1"/>
    <xf numFmtId="9" fontId="1" fillId="0" borderId="2" xfId="30" applyNumberFormat="1" applyBorder="1"/>
    <xf numFmtId="0" fontId="1" fillId="0" borderId="0" xfId="21" applyFill="1"/>
    <xf numFmtId="8" fontId="1" fillId="0" borderId="3" xfId="21" applyNumberFormat="1" applyBorder="1"/>
    <xf numFmtId="0" fontId="3" fillId="0" borderId="0" xfId="31"/>
    <xf numFmtId="0" fontId="3" fillId="0" borderId="0" xfId="31" applyProtection="1">
      <protection locked="0"/>
    </xf>
    <xf numFmtId="0" fontId="3" fillId="0" borderId="1" xfId="31" applyBorder="1" applyProtection="1">
      <protection locked="0"/>
    </xf>
    <xf numFmtId="0" fontId="3" fillId="0" borderId="1" xfId="31" applyBorder="1"/>
    <xf numFmtId="8" fontId="3" fillId="0" borderId="0" xfId="31" applyNumberFormat="1"/>
    <xf numFmtId="0" fontId="3" fillId="0" borderId="1" xfId="31" applyBorder="1" applyAlignment="1">
      <alignment horizontal="center"/>
    </xf>
    <xf numFmtId="0" fontId="3" fillId="0" borderId="2" xfId="31" applyBorder="1"/>
    <xf numFmtId="8" fontId="3" fillId="0" borderId="2" xfId="31" applyNumberFormat="1" applyBorder="1"/>
    <xf numFmtId="9" fontId="3" fillId="0" borderId="0" xfId="31" applyNumberFormat="1"/>
    <xf numFmtId="9" fontId="3" fillId="0" borderId="2" xfId="31" applyNumberFormat="1" applyBorder="1"/>
    <xf numFmtId="0" fontId="1" fillId="0" borderId="0" xfId="31" applyFont="1"/>
    <xf numFmtId="0" fontId="1" fillId="0" borderId="1" xfId="21" applyBorder="1" applyAlignment="1" applyProtection="1">
      <alignment horizontal="center"/>
      <protection locked="0"/>
    </xf>
    <xf numFmtId="8" fontId="1" fillId="0" borderId="0" xfId="21" applyNumberFormat="1" applyFill="1"/>
    <xf numFmtId="0" fontId="1" fillId="0" borderId="0" xfId="21" applyFill="1" applyBorder="1" applyAlignment="1">
      <alignment horizontal="center"/>
    </xf>
    <xf numFmtId="8" fontId="0" fillId="0" borderId="4" xfId="0" applyNumberFormat="1" applyBorder="1"/>
    <xf numFmtId="0" fontId="3" fillId="0" borderId="0" xfId="31"/>
    <xf numFmtId="0" fontId="3" fillId="0" borderId="0" xfId="31" applyProtection="1">
      <protection locked="0"/>
    </xf>
    <xf numFmtId="0" fontId="3" fillId="0" borderId="1" xfId="31" applyBorder="1" applyProtection="1">
      <protection locked="0"/>
    </xf>
    <xf numFmtId="0" fontId="3" fillId="0" borderId="1" xfId="31" applyBorder="1"/>
    <xf numFmtId="8" fontId="3" fillId="0" borderId="0" xfId="31" applyNumberFormat="1"/>
    <xf numFmtId="0" fontId="3" fillId="0" borderId="1" xfId="31" applyBorder="1" applyAlignment="1">
      <alignment horizontal="center"/>
    </xf>
    <xf numFmtId="0" fontId="3" fillId="0" borderId="2" xfId="31" applyBorder="1"/>
    <xf numFmtId="8" fontId="3" fillId="0" borderId="2" xfId="31" applyNumberFormat="1" applyBorder="1"/>
    <xf numFmtId="9" fontId="3" fillId="0" borderId="0" xfId="31" applyNumberFormat="1"/>
    <xf numFmtId="9" fontId="3" fillId="0" borderId="2" xfId="31" applyNumberFormat="1" applyBorder="1"/>
    <xf numFmtId="0" fontId="1" fillId="0" borderId="0" xfId="31" applyFont="1"/>
    <xf numFmtId="8" fontId="0" fillId="0" borderId="0" xfId="0" applyNumberFormat="1" applyBorder="1"/>
    <xf numFmtId="8" fontId="0" fillId="0" borderId="2" xfId="0" applyNumberFormat="1" applyBorder="1"/>
    <xf numFmtId="0" fontId="3" fillId="0" borderId="0" xfId="31"/>
    <xf numFmtId="0" fontId="3" fillId="0" borderId="0" xfId="31" applyProtection="1">
      <protection locked="0"/>
    </xf>
    <xf numFmtId="0" fontId="3" fillId="0" borderId="1" xfId="31" applyBorder="1" applyProtection="1">
      <protection locked="0"/>
    </xf>
    <xf numFmtId="0" fontId="3" fillId="0" borderId="1" xfId="31" applyBorder="1"/>
    <xf numFmtId="8" fontId="3" fillId="0" borderId="0" xfId="31" applyNumberFormat="1"/>
    <xf numFmtId="0" fontId="3" fillId="0" borderId="1" xfId="31" applyBorder="1" applyAlignment="1">
      <alignment horizontal="center"/>
    </xf>
    <xf numFmtId="0" fontId="3" fillId="0" borderId="2" xfId="31" applyBorder="1"/>
    <xf numFmtId="8" fontId="3" fillId="0" borderId="2" xfId="31" applyNumberFormat="1" applyBorder="1"/>
    <xf numFmtId="9" fontId="3" fillId="0" borderId="0" xfId="31" applyNumberFormat="1"/>
    <xf numFmtId="9" fontId="3" fillId="0" borderId="2" xfId="31" applyNumberFormat="1" applyBorder="1"/>
    <xf numFmtId="0" fontId="1" fillId="0" borderId="0" xfId="31" applyFont="1"/>
  </cellXfs>
  <cellStyles count="32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24" xfId="23"/>
    <cellStyle name="Normal 25" xfId="24"/>
    <cellStyle name="Normal 26" xfId="25"/>
    <cellStyle name="Normal 27" xfId="26"/>
    <cellStyle name="Normal 28" xfId="27"/>
    <cellStyle name="Normal 29" xfId="28"/>
    <cellStyle name="Normal 3" xfId="2"/>
    <cellStyle name="Normal 30" xfId="29"/>
    <cellStyle name="Normal 31" xfId="30"/>
    <cellStyle name="Normal 32" xfId="31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West Branch Marina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Revenue</c:v>
          </c:tx>
          <c:invertIfNegative val="0"/>
          <c:cat>
            <c:numRef>
              <c:f>Overview!$B$4:$N$4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Overview!$B$14:$N$14</c:f>
              <c:numCache>
                <c:formatCode>"$"#,##0.00_);[Red]\("$"#,##0.00\)</c:formatCode>
                <c:ptCount val="13"/>
                <c:pt idx="0">
                  <c:v>164875.84</c:v>
                </c:pt>
                <c:pt idx="1">
                  <c:v>137408.63999999998</c:v>
                </c:pt>
                <c:pt idx="2">
                  <c:v>223761.57</c:v>
                </c:pt>
                <c:pt idx="3">
                  <c:v>143036.96</c:v>
                </c:pt>
                <c:pt idx="4">
                  <c:v>154400.56</c:v>
                </c:pt>
                <c:pt idx="5">
                  <c:v>227541.43</c:v>
                </c:pt>
                <c:pt idx="6">
                  <c:v>216944.19999999998</c:v>
                </c:pt>
                <c:pt idx="7">
                  <c:v>246399.39</c:v>
                </c:pt>
                <c:pt idx="8">
                  <c:v>230790.5</c:v>
                </c:pt>
                <c:pt idx="9">
                  <c:v>217715.21</c:v>
                </c:pt>
                <c:pt idx="10">
                  <c:v>264763.45</c:v>
                </c:pt>
                <c:pt idx="11">
                  <c:v>289033.18</c:v>
                </c:pt>
                <c:pt idx="12">
                  <c:v>249786.81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555648"/>
        <c:axId val="192569728"/>
      </c:barChart>
      <c:catAx>
        <c:axId val="192555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569728"/>
        <c:crosses val="autoZero"/>
        <c:auto val="1"/>
        <c:lblAlgn val="ctr"/>
        <c:lblOffset val="100"/>
        <c:noMultiLvlLbl val="0"/>
      </c:catAx>
      <c:valAx>
        <c:axId val="192569728"/>
        <c:scaling>
          <c:orientation val="minMax"/>
        </c:scaling>
        <c:delete val="0"/>
        <c:axPos val="l"/>
        <c:majorGridlines/>
        <c:numFmt formatCode="&quot;$&quot;#,##0.00_);[Red]\(&quot;$&quot;#,##0.00\)" sourceLinked="1"/>
        <c:majorTickMark val="out"/>
        <c:minorTickMark val="none"/>
        <c:tickLblPos val="nextTo"/>
        <c:crossAx val="192555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West Branch</a:t>
            </a:r>
            <a:r>
              <a:rPr lang="en-US" baseline="0"/>
              <a:t> Marina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Commissions Paid</c:v>
          </c:tx>
          <c:cat>
            <c:numRef>
              <c:f>Overview!$B$4:$N$4</c:f>
              <c:numCache>
                <c:formatCode>General</c:formatCode>
                <c:ptCount val="1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</c:numCache>
            </c:numRef>
          </c:cat>
          <c:val>
            <c:numRef>
              <c:f>Overview!$B$16:$N$16</c:f>
              <c:numCache>
                <c:formatCode>"$"#,##0.00_);[Red]\("$"#,##0.00\)</c:formatCode>
                <c:ptCount val="13"/>
                <c:pt idx="0">
                  <c:v>13452.419999999998</c:v>
                </c:pt>
                <c:pt idx="1">
                  <c:v>11012.75</c:v>
                </c:pt>
                <c:pt idx="2">
                  <c:v>13300.18</c:v>
                </c:pt>
                <c:pt idx="3">
                  <c:v>12769.54</c:v>
                </c:pt>
                <c:pt idx="4">
                  <c:v>13810.33</c:v>
                </c:pt>
                <c:pt idx="5">
                  <c:v>8476.42</c:v>
                </c:pt>
                <c:pt idx="6">
                  <c:v>18917.109999999997</c:v>
                </c:pt>
                <c:pt idx="7">
                  <c:v>21496.280000000002</c:v>
                </c:pt>
                <c:pt idx="8">
                  <c:v>20150.239999999994</c:v>
                </c:pt>
                <c:pt idx="9">
                  <c:v>19524.059999999998</c:v>
                </c:pt>
                <c:pt idx="10">
                  <c:v>22902.510000000002</c:v>
                </c:pt>
                <c:pt idx="11">
                  <c:v>24244.120000000003</c:v>
                </c:pt>
                <c:pt idx="12">
                  <c:v>20800.5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90208"/>
        <c:axId val="192591744"/>
      </c:lineChart>
      <c:catAx>
        <c:axId val="19259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591744"/>
        <c:crosses val="autoZero"/>
        <c:auto val="1"/>
        <c:lblAlgn val="ctr"/>
        <c:lblOffset val="100"/>
        <c:noMultiLvlLbl val="0"/>
      </c:catAx>
      <c:valAx>
        <c:axId val="192591744"/>
        <c:scaling>
          <c:orientation val="minMax"/>
        </c:scaling>
        <c:delete val="0"/>
        <c:axPos val="l"/>
        <c:majorGridlines/>
        <c:numFmt formatCode="&quot;$&quot;#,##0.00_);[Red]\(&quot;$&quot;#,##0.00\)" sourceLinked="1"/>
        <c:majorTickMark val="out"/>
        <c:minorTickMark val="none"/>
        <c:tickLblPos val="nextTo"/>
        <c:crossAx val="192590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9525</xdr:rowOff>
    </xdr:from>
    <xdr:to>
      <xdr:col>7</xdr:col>
      <xdr:colOff>438150</xdr:colOff>
      <xdr:row>15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15</xdr:row>
      <xdr:rowOff>152400</xdr:rowOff>
    </xdr:from>
    <xdr:to>
      <xdr:col>7</xdr:col>
      <xdr:colOff>438150</xdr:colOff>
      <xdr:row>30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E22" sqref="E22"/>
    </sheetView>
  </sheetViews>
  <sheetFormatPr defaultRowHeight="15" x14ac:dyDescent="0.25"/>
  <cols>
    <col min="1" max="1" width="23.85546875" customWidth="1"/>
    <col min="2" max="3" width="11.7109375" bestFit="1" customWidth="1"/>
    <col min="4" max="4" width="11.42578125" customWidth="1"/>
    <col min="5" max="5" width="11.5703125" customWidth="1"/>
    <col min="6" max="12" width="11.7109375" bestFit="1" customWidth="1"/>
    <col min="13" max="14" width="11.85546875" bestFit="1" customWidth="1"/>
  </cols>
  <sheetData>
    <row r="1" spans="1:14" x14ac:dyDescent="0.25">
      <c r="A1" s="24" t="s">
        <v>44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4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2"/>
    </row>
    <row r="3" spans="1:14" x14ac:dyDescent="0.25">
      <c r="A3" s="25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</row>
    <row r="4" spans="1:14" x14ac:dyDescent="0.25">
      <c r="A4" s="26" t="s">
        <v>2</v>
      </c>
      <c r="B4" s="29">
        <v>2000</v>
      </c>
      <c r="C4" s="29">
        <v>2001</v>
      </c>
      <c r="D4" s="29">
        <v>2002</v>
      </c>
      <c r="E4" s="29">
        <v>2003</v>
      </c>
      <c r="F4" s="29">
        <v>2004</v>
      </c>
      <c r="G4" s="29">
        <v>2005</v>
      </c>
      <c r="H4" s="29">
        <v>2006</v>
      </c>
      <c r="I4" s="29">
        <v>2007</v>
      </c>
      <c r="J4" s="29">
        <v>2008</v>
      </c>
      <c r="K4" s="29">
        <v>2009</v>
      </c>
      <c r="L4" s="137">
        <v>2010</v>
      </c>
      <c r="M4" s="139">
        <v>2011</v>
      </c>
      <c r="N4" s="139">
        <v>2012</v>
      </c>
    </row>
    <row r="5" spans="1:14" x14ac:dyDescent="0.25">
      <c r="A5" s="24" t="s">
        <v>26</v>
      </c>
      <c r="B5" s="28">
        <f>'2000'!N5</f>
        <v>89169.35</v>
      </c>
      <c r="C5" s="28">
        <f>'2001'!N5</f>
        <v>71468.91</v>
      </c>
      <c r="D5" s="28">
        <f>'2002'!N5</f>
        <v>120198.25</v>
      </c>
      <c r="E5" s="28">
        <f>'2003'!N5</f>
        <v>80880.25</v>
      </c>
      <c r="F5" s="28">
        <f>'2004'!N5</f>
        <v>82271.100000000006</v>
      </c>
      <c r="G5" s="28">
        <f>'2005'!N5</f>
        <v>134183.25</v>
      </c>
      <c r="H5" s="28">
        <f>'2006'!N5</f>
        <v>123654.25</v>
      </c>
      <c r="I5" s="28">
        <f>'2007'!N5</f>
        <v>144991.46</v>
      </c>
      <c r="J5" s="28">
        <f>'2008'!N5</f>
        <v>133455.79999999999</v>
      </c>
      <c r="K5" s="28">
        <f>'2009'!N5</f>
        <v>129053.75999999999</v>
      </c>
      <c r="L5" s="28">
        <f>'2010'!N5</f>
        <v>156419.01</v>
      </c>
      <c r="M5" s="140">
        <f>'2011'!N5</f>
        <v>158752.9</v>
      </c>
      <c r="N5" s="140">
        <f>'2012'!N5</f>
        <v>133456.26</v>
      </c>
    </row>
    <row r="6" spans="1:14" x14ac:dyDescent="0.25">
      <c r="A6" s="24" t="s">
        <v>27</v>
      </c>
      <c r="B6" s="28">
        <f>'2000'!N6</f>
        <v>12988.85</v>
      </c>
      <c r="C6" s="28">
        <f>'2001'!N6</f>
        <v>11370.6</v>
      </c>
      <c r="D6" s="28">
        <f>'2002'!N6</f>
        <v>17059.73</v>
      </c>
      <c r="E6" s="28">
        <f>'2003'!N6</f>
        <v>10400.370000000001</v>
      </c>
      <c r="F6" s="28">
        <f>'2004'!N6</f>
        <v>9810.36</v>
      </c>
      <c r="G6" s="28">
        <f>'2005'!N6</f>
        <v>10551.060000000001</v>
      </c>
      <c r="H6" s="28">
        <f>'2006'!N6</f>
        <v>9994.5</v>
      </c>
      <c r="I6" s="28">
        <f>'2007'!N6</f>
        <v>11010.62</v>
      </c>
      <c r="J6" s="28">
        <f>'2008'!N6</f>
        <v>14928.970000000001</v>
      </c>
      <c r="K6" s="28">
        <f>'2009'!N6</f>
        <v>13275.37</v>
      </c>
      <c r="L6" s="28">
        <f>'2010'!N6</f>
        <v>14951.009999999998</v>
      </c>
      <c r="M6" s="152">
        <f>'2011'!N6</f>
        <v>19869.490000000002</v>
      </c>
      <c r="N6" s="152">
        <f>'2012'!N6</f>
        <v>13555.54</v>
      </c>
    </row>
    <row r="7" spans="1:14" x14ac:dyDescent="0.25">
      <c r="A7" s="24" t="s">
        <v>22</v>
      </c>
      <c r="B7" s="28">
        <f>'2000'!N7</f>
        <v>3982.42</v>
      </c>
      <c r="C7" s="28">
        <f>'2001'!N7</f>
        <v>3815.02</v>
      </c>
      <c r="D7" s="28">
        <f>'2002'!N7</f>
        <v>4948.1899999999996</v>
      </c>
      <c r="E7" s="28">
        <f>'2003'!N7</f>
        <v>3535.01</v>
      </c>
      <c r="F7" s="28">
        <f>'2004'!N7</f>
        <v>2713.7500000000005</v>
      </c>
      <c r="G7" s="28">
        <f>'2005'!N7</f>
        <v>3481.64</v>
      </c>
      <c r="H7" s="28">
        <f>'2006'!N7</f>
        <v>4587.2700000000004</v>
      </c>
      <c r="I7" s="28">
        <f>'2007'!N7</f>
        <v>4723.29</v>
      </c>
      <c r="J7" s="28">
        <f>'2008'!N7</f>
        <v>3775.72</v>
      </c>
      <c r="K7" s="28">
        <f>'2009'!N7</f>
        <v>4665.6100000000006</v>
      </c>
      <c r="L7" s="28">
        <f>'2010'!N7</f>
        <v>3035.9700000000003</v>
      </c>
      <c r="M7" s="152">
        <f>'2011'!N7</f>
        <v>2470.6400000000003</v>
      </c>
      <c r="N7" s="152">
        <f>'2012'!N7</f>
        <v>2291.8299999999995</v>
      </c>
    </row>
    <row r="8" spans="1:14" x14ac:dyDescent="0.25">
      <c r="A8" s="24" t="s">
        <v>28</v>
      </c>
      <c r="B8" s="28">
        <f>'2000'!N8</f>
        <v>31519.56</v>
      </c>
      <c r="C8" s="28">
        <f>'2001'!N8</f>
        <v>28839.829999999998</v>
      </c>
      <c r="D8" s="28">
        <f>'2002'!N8</f>
        <v>50581.719999999994</v>
      </c>
      <c r="E8" s="28">
        <f>'2003'!N8</f>
        <v>27503.31</v>
      </c>
      <c r="F8" s="28">
        <f>'2004'!N8</f>
        <v>34049.520000000004</v>
      </c>
      <c r="G8" s="28">
        <f>'2005'!N8</f>
        <v>49023.44</v>
      </c>
      <c r="H8" s="28">
        <f>'2006'!N8</f>
        <v>50083.16</v>
      </c>
      <c r="I8" s="28">
        <f>'2007'!N8</f>
        <v>57283.759999999995</v>
      </c>
      <c r="J8" s="28">
        <f>'2008'!N8</f>
        <v>50095.659999999996</v>
      </c>
      <c r="K8" s="28">
        <f>'2009'!N8</f>
        <v>40362.049999999996</v>
      </c>
      <c r="L8" s="28">
        <f>'2010'!N8</f>
        <v>61436.239999999991</v>
      </c>
      <c r="M8" s="152">
        <f>'2011'!N8</f>
        <v>74985.56</v>
      </c>
      <c r="N8" s="152">
        <f>'2012'!N8</f>
        <v>66118.53</v>
      </c>
    </row>
    <row r="9" spans="1:14" x14ac:dyDescent="0.25">
      <c r="A9" s="24" t="s">
        <v>21</v>
      </c>
      <c r="B9" s="28">
        <f>'2000'!N9</f>
        <v>23757.489999999998</v>
      </c>
      <c r="C9" s="28">
        <f>'2001'!N9</f>
        <v>18335.159999999996</v>
      </c>
      <c r="D9" s="28">
        <f>'2002'!N9</f>
        <v>25879.85</v>
      </c>
      <c r="E9" s="28">
        <f>'2003'!N9</f>
        <v>18648.099999999999</v>
      </c>
      <c r="F9" s="28">
        <f>'2004'!N9</f>
        <v>22182.339999999997</v>
      </c>
      <c r="G9" s="28">
        <f>'2005'!N9</f>
        <v>26763.96</v>
      </c>
      <c r="H9" s="28">
        <f>'2006'!N9</f>
        <v>26248.250000000004</v>
      </c>
      <c r="I9" s="28">
        <f>'2007'!N9</f>
        <v>26180.85</v>
      </c>
      <c r="J9" s="28">
        <f>'2008'!N9</f>
        <v>26595.46</v>
      </c>
      <c r="K9" s="28">
        <f>'2009'!N9</f>
        <v>28303.89</v>
      </c>
      <c r="L9" s="28">
        <f>'2010'!N9</f>
        <v>27271.160000000003</v>
      </c>
      <c r="M9" s="152">
        <f>'2011'!N9</f>
        <v>30071.29</v>
      </c>
      <c r="N9" s="152">
        <f>'2012'!N9</f>
        <v>28586.34</v>
      </c>
    </row>
    <row r="10" spans="1:14" x14ac:dyDescent="0.25">
      <c r="A10" s="24" t="s">
        <v>23</v>
      </c>
      <c r="B10" s="28">
        <f>'2000'!N10</f>
        <v>1553.9299999999998</v>
      </c>
      <c r="C10" s="28">
        <f>'2001'!N10</f>
        <v>2300.1</v>
      </c>
      <c r="D10" s="28">
        <f>'2002'!N10</f>
        <v>2444</v>
      </c>
      <c r="E10" s="28">
        <f>'2003'!N10</f>
        <v>854</v>
      </c>
      <c r="F10" s="28">
        <f>'2004'!N10</f>
        <v>1446</v>
      </c>
      <c r="G10" s="28">
        <f>'2005'!N10</f>
        <v>1290</v>
      </c>
      <c r="H10" s="28">
        <f>'2006'!N10</f>
        <v>906</v>
      </c>
      <c r="I10" s="28">
        <f>'2007'!N10</f>
        <v>444</v>
      </c>
      <c r="J10" s="28">
        <f>'2008'!N10</f>
        <v>810</v>
      </c>
      <c r="K10" s="28">
        <f>'2009'!N10</f>
        <v>861</v>
      </c>
      <c r="L10" s="28">
        <f>'2010'!N10</f>
        <v>605</v>
      </c>
      <c r="M10" s="152">
        <f>'2011'!N10</f>
        <v>402</v>
      </c>
      <c r="N10" s="152">
        <f>'2012'!N10</f>
        <v>510</v>
      </c>
    </row>
    <row r="11" spans="1:14" x14ac:dyDescent="0.25">
      <c r="A11" s="24" t="s">
        <v>29</v>
      </c>
      <c r="B11" s="28">
        <f>'2000'!N11</f>
        <v>1345</v>
      </c>
      <c r="C11" s="28">
        <f>'2001'!N11</f>
        <v>1220</v>
      </c>
      <c r="D11" s="28">
        <f>'2002'!N11</f>
        <v>1400</v>
      </c>
      <c r="E11" s="28">
        <f>'2003'!N11</f>
        <v>610</v>
      </c>
      <c r="F11" s="28">
        <f>'2004'!N11</f>
        <v>1620</v>
      </c>
      <c r="G11" s="28">
        <f>'2005'!N11</f>
        <v>1815</v>
      </c>
      <c r="H11" s="28">
        <f>'2006'!N11</f>
        <v>715</v>
      </c>
      <c r="I11" s="28">
        <f>'2007'!N11</f>
        <v>615</v>
      </c>
      <c r="J11" s="28">
        <f>'2008'!N11</f>
        <v>495</v>
      </c>
      <c r="K11" s="28">
        <f>'2009'!N11</f>
        <v>545</v>
      </c>
      <c r="L11" s="28">
        <f>'2010'!N11</f>
        <v>350</v>
      </c>
      <c r="M11" s="152">
        <f>'2011'!N11</f>
        <v>535</v>
      </c>
      <c r="N11" s="152">
        <f>'2012'!N11</f>
        <v>420</v>
      </c>
    </row>
    <row r="12" spans="1:14" x14ac:dyDescent="0.25">
      <c r="A12" s="24" t="s">
        <v>30</v>
      </c>
      <c r="B12" s="28">
        <f>'2000'!N12</f>
        <v>49.44</v>
      </c>
      <c r="C12" s="28">
        <f>'2001'!N12</f>
        <v>59.02</v>
      </c>
      <c r="D12" s="28">
        <f>'2002'!N12</f>
        <v>48.48</v>
      </c>
      <c r="E12" s="28">
        <f>'2003'!N12</f>
        <v>0</v>
      </c>
      <c r="F12" s="28">
        <f>'2004'!N12</f>
        <v>0</v>
      </c>
      <c r="G12" s="28">
        <f>'2005'!N12</f>
        <v>0</v>
      </c>
      <c r="H12" s="28">
        <f>'2006'!N12</f>
        <v>0</v>
      </c>
      <c r="I12" s="28">
        <f>'2007'!N12</f>
        <v>0</v>
      </c>
      <c r="J12" s="28">
        <f>'2008'!N12</f>
        <v>0</v>
      </c>
      <c r="K12" s="28">
        <f>'2009'!N12</f>
        <v>0</v>
      </c>
      <c r="L12" s="28">
        <f>'2010'!N12</f>
        <v>0</v>
      </c>
      <c r="M12" s="152">
        <f>'2011'!N12</f>
        <v>0</v>
      </c>
      <c r="N12" s="152">
        <f>'2012'!N12</f>
        <v>0</v>
      </c>
    </row>
    <row r="13" spans="1:14" ht="15.75" thickBot="1" x14ac:dyDescent="0.3">
      <c r="A13" s="30" t="s">
        <v>17</v>
      </c>
      <c r="B13" s="31">
        <f>'2000'!N13</f>
        <v>509.79999999999995</v>
      </c>
      <c r="C13" s="31">
        <f>'2001'!N13</f>
        <v>0</v>
      </c>
      <c r="D13" s="31">
        <f>'2002'!N13</f>
        <v>1201.3499999999999</v>
      </c>
      <c r="E13" s="31">
        <f>'2003'!N13</f>
        <v>605.91999999999996</v>
      </c>
      <c r="F13" s="31">
        <f>'2004'!N13</f>
        <v>307.49</v>
      </c>
      <c r="G13" s="31">
        <f>'2005'!N13</f>
        <v>433.08000000000004</v>
      </c>
      <c r="H13" s="31">
        <f>'2006'!N13</f>
        <v>755.77</v>
      </c>
      <c r="I13" s="31">
        <f>'2007'!N13</f>
        <v>1150.4099999999999</v>
      </c>
      <c r="J13" s="31">
        <f>'2008'!N13</f>
        <v>633.89</v>
      </c>
      <c r="K13" s="31">
        <f>'2009'!N13</f>
        <v>648.53</v>
      </c>
      <c r="L13" s="31">
        <f>'2010'!N13</f>
        <v>695.06000000000006</v>
      </c>
      <c r="M13" s="153">
        <f>'2011'!N13</f>
        <v>1946.3</v>
      </c>
      <c r="N13" s="153">
        <f>'2012'!N13</f>
        <v>4848.3099999999995</v>
      </c>
    </row>
    <row r="14" spans="1:14" ht="15.75" thickTop="1" x14ac:dyDescent="0.25">
      <c r="A14" s="24" t="s">
        <v>15</v>
      </c>
      <c r="B14" s="125">
        <f>'2000'!N14</f>
        <v>164875.84</v>
      </c>
      <c r="C14" s="125">
        <f>'2001'!N14</f>
        <v>137408.63999999998</v>
      </c>
      <c r="D14" s="125">
        <f>'2002'!N14</f>
        <v>223761.57</v>
      </c>
      <c r="E14" s="125">
        <f>'2003'!N14</f>
        <v>143036.96</v>
      </c>
      <c r="F14" s="125">
        <f>'2004'!N14</f>
        <v>154400.56</v>
      </c>
      <c r="G14" s="125">
        <f>'2005'!N14</f>
        <v>227541.43</v>
      </c>
      <c r="H14" s="125">
        <f>'2006'!N14</f>
        <v>216944.19999999998</v>
      </c>
      <c r="I14" s="125">
        <f>'2007'!N14</f>
        <v>246399.39</v>
      </c>
      <c r="J14" s="125">
        <f>'2008'!N14</f>
        <v>230790.5</v>
      </c>
      <c r="K14" s="28">
        <f>'2009'!N14</f>
        <v>217715.21</v>
      </c>
      <c r="L14" s="28">
        <f>'2010'!N14</f>
        <v>264763.45</v>
      </c>
      <c r="M14" s="1">
        <f>'2011'!N14</f>
        <v>289033.18</v>
      </c>
      <c r="N14" s="1">
        <f>'2012'!N14</f>
        <v>249786.81</v>
      </c>
    </row>
    <row r="16" spans="1:14" x14ac:dyDescent="0.25">
      <c r="A16" s="124" t="s">
        <v>19</v>
      </c>
      <c r="B16" s="1">
        <f>'2000'!O14</f>
        <v>13452.419999999998</v>
      </c>
      <c r="C16" s="1">
        <f>'2001'!O14</f>
        <v>11012.75</v>
      </c>
      <c r="D16" s="1">
        <f>'2002'!O14</f>
        <v>13300.18</v>
      </c>
      <c r="E16" s="1">
        <f>'2003'!O14</f>
        <v>12769.54</v>
      </c>
      <c r="F16" s="1">
        <f>'2004'!O14</f>
        <v>13810.33</v>
      </c>
      <c r="G16" s="1">
        <f>'2005'!O14</f>
        <v>8476.42</v>
      </c>
      <c r="H16" s="1">
        <f>'2006'!O14</f>
        <v>18917.109999999997</v>
      </c>
      <c r="I16" s="1">
        <f>'2007'!O14</f>
        <v>21496.280000000002</v>
      </c>
      <c r="J16" s="1">
        <f>'2008'!O14</f>
        <v>20150.239999999994</v>
      </c>
      <c r="K16" s="1">
        <f>'2009'!O14</f>
        <v>19524.059999999998</v>
      </c>
      <c r="L16" s="138">
        <f>'2010'!O14</f>
        <v>22902.510000000002</v>
      </c>
      <c r="M16" s="1">
        <f>'2011'!O14</f>
        <v>24244.120000000003</v>
      </c>
      <c r="N16" s="1">
        <f>'2012'!O14</f>
        <v>20800.5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"/>
  <sheetViews>
    <sheetView workbookViewId="0">
      <selection activeCell="K21" sqref="K21"/>
    </sheetView>
  </sheetViews>
  <sheetFormatPr defaultRowHeight="15" x14ac:dyDescent="0.25"/>
  <sheetData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9" sqref="A9"/>
    </sheetView>
  </sheetViews>
  <sheetFormatPr defaultRowHeight="15" x14ac:dyDescent="0.25"/>
  <cols>
    <col min="1" max="1" width="23.140625" customWidth="1"/>
    <col min="2" max="5" width="6.140625" bestFit="1" customWidth="1"/>
    <col min="6" max="9" width="10.7109375" bestFit="1" customWidth="1"/>
    <col min="10" max="10" width="9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4.7109375" bestFit="1" customWidth="1"/>
  </cols>
  <sheetData>
    <row r="1" spans="1:16" x14ac:dyDescent="0.25">
      <c r="A1" s="164" t="s">
        <v>45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</row>
    <row r="3" spans="1:16" x14ac:dyDescent="0.25">
      <c r="A3" s="155" t="s">
        <v>0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 t="s">
        <v>18</v>
      </c>
      <c r="O3" s="154" t="s">
        <v>20</v>
      </c>
      <c r="P3" s="154" t="s">
        <v>1</v>
      </c>
    </row>
    <row r="4" spans="1:16" x14ac:dyDescent="0.25">
      <c r="A4" s="156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59" t="s">
        <v>7</v>
      </c>
      <c r="G4" s="159" t="s">
        <v>8</v>
      </c>
      <c r="H4" s="159" t="s">
        <v>9</v>
      </c>
      <c r="I4" s="159" t="s">
        <v>10</v>
      </c>
      <c r="J4" s="159" t="s">
        <v>11</v>
      </c>
      <c r="K4" s="159" t="s">
        <v>12</v>
      </c>
      <c r="L4" s="159" t="s">
        <v>13</v>
      </c>
      <c r="M4" s="159" t="s">
        <v>14</v>
      </c>
      <c r="N4" s="157" t="s">
        <v>25</v>
      </c>
      <c r="O4" s="157" t="s">
        <v>16</v>
      </c>
      <c r="P4" s="157" t="s">
        <v>16</v>
      </c>
    </row>
    <row r="5" spans="1:16" x14ac:dyDescent="0.25">
      <c r="A5" s="154" t="s">
        <v>26</v>
      </c>
      <c r="B5" s="158">
        <v>0</v>
      </c>
      <c r="C5" s="158">
        <v>0</v>
      </c>
      <c r="D5" s="158">
        <v>0</v>
      </c>
      <c r="E5" s="158">
        <v>0</v>
      </c>
      <c r="F5" s="158">
        <v>14250.96</v>
      </c>
      <c r="G5" s="158">
        <v>35457.199999999997</v>
      </c>
      <c r="H5" s="158">
        <v>48524</v>
      </c>
      <c r="I5" s="158">
        <v>30072.1</v>
      </c>
      <c r="J5" s="158">
        <v>5152</v>
      </c>
      <c r="K5" s="158">
        <v>0</v>
      </c>
      <c r="L5" s="158">
        <v>0</v>
      </c>
      <c r="M5" s="158">
        <v>0</v>
      </c>
      <c r="N5" s="158">
        <v>133456.26</v>
      </c>
      <c r="O5" s="158">
        <v>14680.189999999999</v>
      </c>
      <c r="P5" s="162">
        <v>0.11</v>
      </c>
    </row>
    <row r="6" spans="1:16" x14ac:dyDescent="0.25">
      <c r="A6" s="154" t="s">
        <v>27</v>
      </c>
      <c r="B6" s="158">
        <v>0</v>
      </c>
      <c r="C6" s="158">
        <v>0</v>
      </c>
      <c r="D6" s="158">
        <v>0</v>
      </c>
      <c r="E6" s="158">
        <v>0</v>
      </c>
      <c r="F6" s="158">
        <v>2570.87</v>
      </c>
      <c r="G6" s="158">
        <v>4951.01</v>
      </c>
      <c r="H6" s="158">
        <v>4582.37</v>
      </c>
      <c r="I6" s="158">
        <v>1214.02</v>
      </c>
      <c r="J6" s="158">
        <v>237.27</v>
      </c>
      <c r="K6" s="158">
        <v>0</v>
      </c>
      <c r="L6" s="158">
        <v>0</v>
      </c>
      <c r="M6" s="158">
        <v>0</v>
      </c>
      <c r="N6" s="158">
        <v>13555.54</v>
      </c>
      <c r="O6" s="158">
        <v>948.89</v>
      </c>
      <c r="P6" s="162">
        <v>7.0000000000000007E-2</v>
      </c>
    </row>
    <row r="7" spans="1:16" x14ac:dyDescent="0.25">
      <c r="A7" s="154" t="s">
        <v>22</v>
      </c>
      <c r="B7" s="158">
        <v>0</v>
      </c>
      <c r="C7" s="158">
        <v>0</v>
      </c>
      <c r="D7" s="158">
        <v>0</v>
      </c>
      <c r="E7" s="158">
        <v>0</v>
      </c>
      <c r="F7" s="158">
        <v>572.77</v>
      </c>
      <c r="G7" s="158">
        <v>768.39</v>
      </c>
      <c r="H7" s="158">
        <v>594.12</v>
      </c>
      <c r="I7" s="158">
        <v>309.64</v>
      </c>
      <c r="J7" s="158">
        <v>46.91</v>
      </c>
      <c r="K7" s="158">
        <v>0</v>
      </c>
      <c r="L7" s="158">
        <v>0</v>
      </c>
      <c r="M7" s="158">
        <v>0</v>
      </c>
      <c r="N7" s="158">
        <v>2291.8299999999995</v>
      </c>
      <c r="O7" s="158">
        <v>252.08999999999997</v>
      </c>
      <c r="P7" s="162">
        <v>0.11</v>
      </c>
    </row>
    <row r="8" spans="1:16" x14ac:dyDescent="0.25">
      <c r="A8" s="154" t="s">
        <v>28</v>
      </c>
      <c r="B8" s="158">
        <v>0</v>
      </c>
      <c r="C8" s="158">
        <v>0</v>
      </c>
      <c r="D8" s="158">
        <v>0</v>
      </c>
      <c r="E8" s="158">
        <v>0</v>
      </c>
      <c r="F8" s="158">
        <v>8862.2800000000007</v>
      </c>
      <c r="G8" s="158">
        <v>17828.5</v>
      </c>
      <c r="H8" s="158">
        <v>25838.6</v>
      </c>
      <c r="I8" s="158">
        <v>12114.85</v>
      </c>
      <c r="J8" s="158">
        <v>1474.3</v>
      </c>
      <c r="K8" s="158">
        <v>0</v>
      </c>
      <c r="L8" s="158">
        <v>0</v>
      </c>
      <c r="M8" s="158">
        <v>0</v>
      </c>
      <c r="N8" s="158">
        <v>66118.53</v>
      </c>
      <c r="O8" s="158">
        <v>1983.57</v>
      </c>
      <c r="P8" s="162">
        <v>0.03</v>
      </c>
    </row>
    <row r="9" spans="1:16" x14ac:dyDescent="0.25">
      <c r="A9" s="154" t="s">
        <v>21</v>
      </c>
      <c r="B9" s="158">
        <v>0</v>
      </c>
      <c r="C9" s="158">
        <v>0</v>
      </c>
      <c r="D9" s="158">
        <v>0</v>
      </c>
      <c r="E9" s="158">
        <v>0</v>
      </c>
      <c r="F9" s="158">
        <v>4610.8500000000004</v>
      </c>
      <c r="G9" s="158">
        <v>9180.0300000000007</v>
      </c>
      <c r="H9" s="158">
        <v>9038.99</v>
      </c>
      <c r="I9" s="158">
        <v>4555.92</v>
      </c>
      <c r="J9" s="158">
        <v>1200.55</v>
      </c>
      <c r="K9" s="158">
        <v>0</v>
      </c>
      <c r="L9" s="158">
        <v>0</v>
      </c>
      <c r="M9" s="158">
        <v>0</v>
      </c>
      <c r="N9" s="158">
        <v>28586.34</v>
      </c>
      <c r="O9" s="158">
        <v>2286.9</v>
      </c>
      <c r="P9" s="162">
        <v>0.08</v>
      </c>
    </row>
    <row r="10" spans="1:16" x14ac:dyDescent="0.25">
      <c r="A10" s="154" t="s">
        <v>23</v>
      </c>
      <c r="B10" s="158">
        <v>0</v>
      </c>
      <c r="C10" s="158">
        <v>0</v>
      </c>
      <c r="D10" s="158">
        <v>0</v>
      </c>
      <c r="E10" s="158">
        <v>0</v>
      </c>
      <c r="F10" s="158">
        <v>60</v>
      </c>
      <c r="G10" s="158">
        <v>150</v>
      </c>
      <c r="H10" s="158">
        <v>140</v>
      </c>
      <c r="I10" s="158">
        <v>110</v>
      </c>
      <c r="J10" s="158">
        <v>50</v>
      </c>
      <c r="K10" s="158">
        <v>0</v>
      </c>
      <c r="L10" s="158">
        <v>0</v>
      </c>
      <c r="M10" s="158">
        <v>0</v>
      </c>
      <c r="N10" s="158">
        <v>510</v>
      </c>
      <c r="O10" s="158">
        <v>51</v>
      </c>
      <c r="P10" s="162">
        <v>0.1</v>
      </c>
    </row>
    <row r="11" spans="1:16" x14ac:dyDescent="0.25">
      <c r="A11" s="154" t="s">
        <v>29</v>
      </c>
      <c r="B11" s="158">
        <v>0</v>
      </c>
      <c r="C11" s="158">
        <v>0</v>
      </c>
      <c r="D11" s="158">
        <v>0</v>
      </c>
      <c r="E11" s="158">
        <v>0</v>
      </c>
      <c r="F11" s="158">
        <v>60</v>
      </c>
      <c r="G11" s="158">
        <v>135</v>
      </c>
      <c r="H11" s="158">
        <v>150</v>
      </c>
      <c r="I11" s="158">
        <v>75</v>
      </c>
      <c r="J11" s="158">
        <v>0</v>
      </c>
      <c r="K11" s="158">
        <v>0</v>
      </c>
      <c r="L11" s="158">
        <v>0</v>
      </c>
      <c r="M11" s="158">
        <v>0</v>
      </c>
      <c r="N11" s="158">
        <v>420</v>
      </c>
      <c r="O11" s="158">
        <v>210</v>
      </c>
      <c r="P11" s="162">
        <v>0.5</v>
      </c>
    </row>
    <row r="12" spans="1:16" x14ac:dyDescent="0.25">
      <c r="A12" s="154" t="s">
        <v>30</v>
      </c>
      <c r="B12" s="158">
        <v>0</v>
      </c>
      <c r="C12" s="158">
        <v>0</v>
      </c>
      <c r="D12" s="158">
        <v>0</v>
      </c>
      <c r="E12" s="158">
        <v>0</v>
      </c>
      <c r="F12" s="158">
        <v>0</v>
      </c>
      <c r="G12" s="158">
        <v>0</v>
      </c>
      <c r="H12" s="158">
        <v>0</v>
      </c>
      <c r="I12" s="158">
        <v>0</v>
      </c>
      <c r="J12" s="158">
        <v>0</v>
      </c>
      <c r="K12" s="158">
        <v>0</v>
      </c>
      <c r="L12" s="158">
        <v>0</v>
      </c>
      <c r="M12" s="158">
        <v>0</v>
      </c>
      <c r="N12" s="158">
        <v>0</v>
      </c>
      <c r="O12" s="158">
        <v>0</v>
      </c>
      <c r="P12" s="162">
        <v>0.12</v>
      </c>
    </row>
    <row r="13" spans="1:16" ht="15.75" thickBot="1" x14ac:dyDescent="0.3">
      <c r="A13" s="160" t="s">
        <v>17</v>
      </c>
      <c r="B13" s="161">
        <v>0</v>
      </c>
      <c r="C13" s="161">
        <v>0</v>
      </c>
      <c r="D13" s="161">
        <v>0</v>
      </c>
      <c r="E13" s="161">
        <v>0</v>
      </c>
      <c r="F13" s="161">
        <v>175.53</v>
      </c>
      <c r="G13" s="161">
        <v>801.04</v>
      </c>
      <c r="H13" s="161">
        <v>2398.96</v>
      </c>
      <c r="I13" s="161">
        <v>1120.6099999999999</v>
      </c>
      <c r="J13" s="161">
        <v>352.17</v>
      </c>
      <c r="K13" s="161">
        <v>0</v>
      </c>
      <c r="L13" s="161">
        <v>0</v>
      </c>
      <c r="M13" s="161">
        <v>0</v>
      </c>
      <c r="N13" s="161">
        <v>4848.3099999999995</v>
      </c>
      <c r="O13" s="161">
        <v>387.86</v>
      </c>
      <c r="P13" s="163">
        <v>0.08</v>
      </c>
    </row>
    <row r="14" spans="1:16" ht="15.75" thickTop="1" x14ac:dyDescent="0.25">
      <c r="A14" s="154"/>
      <c r="B14" s="158">
        <v>0</v>
      </c>
      <c r="C14" s="158">
        <v>0</v>
      </c>
      <c r="D14" s="158">
        <v>0</v>
      </c>
      <c r="E14" s="158">
        <v>0</v>
      </c>
      <c r="F14" s="158">
        <v>31163.259999999995</v>
      </c>
      <c r="G14" s="158">
        <v>69271.17</v>
      </c>
      <c r="H14" s="158">
        <v>91267.040000000008</v>
      </c>
      <c r="I14" s="158">
        <v>49572.14</v>
      </c>
      <c r="J14" s="158">
        <v>8513.2000000000007</v>
      </c>
      <c r="K14" s="158">
        <v>0</v>
      </c>
      <c r="L14" s="158">
        <v>0</v>
      </c>
      <c r="M14" s="158">
        <v>0</v>
      </c>
      <c r="N14" s="158">
        <v>249786.81</v>
      </c>
      <c r="O14" s="158">
        <v>20800.5</v>
      </c>
      <c r="P14" s="1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O15" sqref="O15"/>
    </sheetView>
  </sheetViews>
  <sheetFormatPr defaultRowHeight="15" x14ac:dyDescent="0.25"/>
  <cols>
    <col min="1" max="1" width="24.42578125" customWidth="1"/>
    <col min="2" max="5" width="6.140625" bestFit="1" customWidth="1"/>
    <col min="6" max="7" width="10.7109375" bestFit="1" customWidth="1"/>
    <col min="8" max="8" width="11.7109375" bestFit="1" customWidth="1"/>
    <col min="9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4.7109375" bestFit="1" customWidth="1"/>
  </cols>
  <sheetData>
    <row r="1" spans="1:16" x14ac:dyDescent="0.25">
      <c r="A1" s="151" t="s">
        <v>43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3" spans="1:16" x14ac:dyDescent="0.25">
      <c r="A3" s="142" t="s">
        <v>0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 t="s">
        <v>18</v>
      </c>
      <c r="O3" s="141" t="s">
        <v>20</v>
      </c>
      <c r="P3" s="141" t="s">
        <v>1</v>
      </c>
    </row>
    <row r="4" spans="1:16" x14ac:dyDescent="0.25">
      <c r="A4" s="143" t="s">
        <v>2</v>
      </c>
      <c r="B4" s="146" t="s">
        <v>3</v>
      </c>
      <c r="C4" s="146" t="s">
        <v>4</v>
      </c>
      <c r="D4" s="146" t="s">
        <v>5</v>
      </c>
      <c r="E4" s="146" t="s">
        <v>6</v>
      </c>
      <c r="F4" s="146" t="s">
        <v>7</v>
      </c>
      <c r="G4" s="146" t="s">
        <v>8</v>
      </c>
      <c r="H4" s="146" t="s">
        <v>9</v>
      </c>
      <c r="I4" s="146" t="s">
        <v>10</v>
      </c>
      <c r="J4" s="146" t="s">
        <v>11</v>
      </c>
      <c r="K4" s="146" t="s">
        <v>12</v>
      </c>
      <c r="L4" s="146" t="s">
        <v>13</v>
      </c>
      <c r="M4" s="146" t="s">
        <v>14</v>
      </c>
      <c r="N4" s="144" t="s">
        <v>25</v>
      </c>
      <c r="O4" s="144" t="s">
        <v>16</v>
      </c>
      <c r="P4" s="144" t="s">
        <v>16</v>
      </c>
    </row>
    <row r="5" spans="1:16" x14ac:dyDescent="0.25">
      <c r="A5" s="141" t="s">
        <v>26</v>
      </c>
      <c r="B5" s="145">
        <v>0</v>
      </c>
      <c r="C5" s="145">
        <v>0</v>
      </c>
      <c r="D5" s="145">
        <v>0</v>
      </c>
      <c r="E5" s="145">
        <v>0</v>
      </c>
      <c r="F5" s="145">
        <v>9477</v>
      </c>
      <c r="G5" s="145">
        <v>22733.15</v>
      </c>
      <c r="H5" s="145">
        <v>68359.25</v>
      </c>
      <c r="I5" s="145">
        <v>45975</v>
      </c>
      <c r="J5" s="145">
        <v>12208.5</v>
      </c>
      <c r="K5" s="145">
        <v>0</v>
      </c>
      <c r="L5" s="145">
        <v>0</v>
      </c>
      <c r="M5" s="145">
        <v>0</v>
      </c>
      <c r="N5" s="145">
        <v>158752.9</v>
      </c>
      <c r="O5" s="145">
        <v>17462.830000000002</v>
      </c>
      <c r="P5" s="149">
        <v>0.11</v>
      </c>
    </row>
    <row r="6" spans="1:16" x14ac:dyDescent="0.25">
      <c r="A6" s="141" t="s">
        <v>27</v>
      </c>
      <c r="B6" s="145">
        <v>0</v>
      </c>
      <c r="C6" s="145">
        <v>0</v>
      </c>
      <c r="D6" s="145">
        <v>0</v>
      </c>
      <c r="E6" s="145">
        <v>0</v>
      </c>
      <c r="F6" s="145">
        <v>2058.59</v>
      </c>
      <c r="G6" s="145">
        <v>5060.0600000000004</v>
      </c>
      <c r="H6" s="145">
        <v>7280.05</v>
      </c>
      <c r="I6" s="145">
        <v>4692.2</v>
      </c>
      <c r="J6" s="145">
        <v>778.59</v>
      </c>
      <c r="K6" s="145">
        <v>0</v>
      </c>
      <c r="L6" s="145">
        <v>0</v>
      </c>
      <c r="M6" s="145">
        <v>0</v>
      </c>
      <c r="N6" s="145">
        <v>19869.490000000002</v>
      </c>
      <c r="O6" s="145">
        <v>1390.85</v>
      </c>
      <c r="P6" s="149">
        <v>7.0000000000000007E-2</v>
      </c>
    </row>
    <row r="7" spans="1:16" x14ac:dyDescent="0.25">
      <c r="A7" s="141" t="s">
        <v>22</v>
      </c>
      <c r="B7" s="145">
        <v>0</v>
      </c>
      <c r="C7" s="145">
        <v>0</v>
      </c>
      <c r="D7" s="145">
        <v>0</v>
      </c>
      <c r="E7" s="145">
        <v>0</v>
      </c>
      <c r="F7" s="145">
        <v>269.62</v>
      </c>
      <c r="G7" s="145">
        <v>816.67</v>
      </c>
      <c r="H7" s="145">
        <v>835.57</v>
      </c>
      <c r="I7" s="145">
        <v>345</v>
      </c>
      <c r="J7" s="145">
        <v>203.78</v>
      </c>
      <c r="K7" s="145">
        <v>0</v>
      </c>
      <c r="L7" s="145">
        <v>0</v>
      </c>
      <c r="M7" s="145">
        <v>0</v>
      </c>
      <c r="N7" s="145">
        <v>2470.6400000000003</v>
      </c>
      <c r="O7" s="145">
        <v>271.77000000000004</v>
      </c>
      <c r="P7" s="149">
        <v>0.11</v>
      </c>
    </row>
    <row r="8" spans="1:16" x14ac:dyDescent="0.25">
      <c r="A8" s="141" t="s">
        <v>28</v>
      </c>
      <c r="B8" s="145">
        <v>0</v>
      </c>
      <c r="C8" s="145">
        <v>0</v>
      </c>
      <c r="D8" s="145">
        <v>0</v>
      </c>
      <c r="E8" s="145">
        <v>0</v>
      </c>
      <c r="F8" s="145">
        <v>4984.76</v>
      </c>
      <c r="G8" s="145">
        <v>11127.67</v>
      </c>
      <c r="H8" s="145">
        <v>30761.77</v>
      </c>
      <c r="I8" s="145">
        <v>22481.19</v>
      </c>
      <c r="J8" s="145">
        <v>5630.17</v>
      </c>
      <c r="K8" s="145">
        <v>0</v>
      </c>
      <c r="L8" s="145">
        <v>0</v>
      </c>
      <c r="M8" s="145">
        <v>0</v>
      </c>
      <c r="N8" s="145">
        <v>74985.56</v>
      </c>
      <c r="O8" s="145">
        <v>2249.5700000000002</v>
      </c>
      <c r="P8" s="149">
        <v>0.03</v>
      </c>
    </row>
    <row r="9" spans="1:16" x14ac:dyDescent="0.25">
      <c r="A9" s="141" t="s">
        <v>21</v>
      </c>
      <c r="B9" s="145">
        <v>0</v>
      </c>
      <c r="C9" s="145">
        <v>0</v>
      </c>
      <c r="D9" s="145">
        <v>0</v>
      </c>
      <c r="E9" s="145">
        <v>0</v>
      </c>
      <c r="F9" s="145">
        <v>2641.27</v>
      </c>
      <c r="G9" s="145">
        <v>6700.92</v>
      </c>
      <c r="H9" s="145">
        <v>12083.58</v>
      </c>
      <c r="I9" s="145">
        <v>7409.91</v>
      </c>
      <c r="J9" s="145">
        <v>1235.6099999999999</v>
      </c>
      <c r="K9" s="145">
        <v>0</v>
      </c>
      <c r="L9" s="145">
        <v>0</v>
      </c>
      <c r="M9" s="145">
        <v>0</v>
      </c>
      <c r="N9" s="145">
        <v>30071.29</v>
      </c>
      <c r="O9" s="145">
        <v>2405.6999999999998</v>
      </c>
      <c r="P9" s="149">
        <v>0.08</v>
      </c>
    </row>
    <row r="10" spans="1:16" x14ac:dyDescent="0.25">
      <c r="A10" s="141" t="s">
        <v>23</v>
      </c>
      <c r="B10" s="145">
        <v>0</v>
      </c>
      <c r="C10" s="145">
        <v>0</v>
      </c>
      <c r="D10" s="145">
        <v>0</v>
      </c>
      <c r="E10" s="145">
        <v>0</v>
      </c>
      <c r="F10" s="145">
        <v>40</v>
      </c>
      <c r="G10" s="145">
        <v>35</v>
      </c>
      <c r="H10" s="145">
        <v>192</v>
      </c>
      <c r="I10" s="145">
        <v>100</v>
      </c>
      <c r="J10" s="145">
        <v>35</v>
      </c>
      <c r="K10" s="145">
        <v>0</v>
      </c>
      <c r="L10" s="145">
        <v>0</v>
      </c>
      <c r="M10" s="145">
        <v>0</v>
      </c>
      <c r="N10" s="145">
        <v>402</v>
      </c>
      <c r="O10" s="145">
        <v>40.200000000000003</v>
      </c>
      <c r="P10" s="149">
        <v>0.1</v>
      </c>
    </row>
    <row r="11" spans="1:16" x14ac:dyDescent="0.25">
      <c r="A11" s="141" t="s">
        <v>29</v>
      </c>
      <c r="B11" s="145">
        <v>0</v>
      </c>
      <c r="C11" s="145">
        <v>0</v>
      </c>
      <c r="D11" s="145">
        <v>0</v>
      </c>
      <c r="E11" s="145">
        <v>0</v>
      </c>
      <c r="F11" s="145">
        <v>15</v>
      </c>
      <c r="G11" s="145">
        <v>180</v>
      </c>
      <c r="H11" s="145">
        <v>235</v>
      </c>
      <c r="I11" s="145">
        <v>105</v>
      </c>
      <c r="J11" s="145">
        <v>0</v>
      </c>
      <c r="K11" s="145">
        <v>0</v>
      </c>
      <c r="L11" s="145">
        <v>0</v>
      </c>
      <c r="M11" s="145">
        <v>0</v>
      </c>
      <c r="N11" s="145">
        <v>535</v>
      </c>
      <c r="O11" s="145">
        <v>267.5</v>
      </c>
      <c r="P11" s="149">
        <v>0.5</v>
      </c>
    </row>
    <row r="12" spans="1:16" x14ac:dyDescent="0.25">
      <c r="A12" s="141" t="s">
        <v>30</v>
      </c>
      <c r="B12" s="145">
        <v>0</v>
      </c>
      <c r="C12" s="145">
        <v>0</v>
      </c>
      <c r="D12" s="145">
        <v>0</v>
      </c>
      <c r="E12" s="145">
        <v>0</v>
      </c>
      <c r="F12" s="145">
        <v>0</v>
      </c>
      <c r="G12" s="145">
        <v>0</v>
      </c>
      <c r="H12" s="145">
        <v>0</v>
      </c>
      <c r="I12" s="145">
        <v>0</v>
      </c>
      <c r="J12" s="145">
        <v>0</v>
      </c>
      <c r="K12" s="145">
        <v>0</v>
      </c>
      <c r="L12" s="145">
        <v>0</v>
      </c>
      <c r="M12" s="145">
        <v>0</v>
      </c>
      <c r="N12" s="145">
        <v>0</v>
      </c>
      <c r="O12" s="145">
        <v>0</v>
      </c>
      <c r="P12" s="149">
        <v>0.12</v>
      </c>
    </row>
    <row r="13" spans="1:16" ht="15.75" thickBot="1" x14ac:dyDescent="0.3">
      <c r="A13" s="147" t="s">
        <v>17</v>
      </c>
      <c r="B13" s="148">
        <v>0</v>
      </c>
      <c r="C13" s="148">
        <v>0</v>
      </c>
      <c r="D13" s="148">
        <v>0</v>
      </c>
      <c r="E13" s="148">
        <v>0</v>
      </c>
      <c r="F13" s="148">
        <v>108.8</v>
      </c>
      <c r="G13" s="148">
        <v>317.24</v>
      </c>
      <c r="H13" s="148">
        <v>799.71</v>
      </c>
      <c r="I13" s="148">
        <v>660.89</v>
      </c>
      <c r="J13" s="148">
        <v>59.66</v>
      </c>
      <c r="K13" s="148">
        <v>0</v>
      </c>
      <c r="L13" s="148">
        <v>0</v>
      </c>
      <c r="M13" s="148">
        <v>0</v>
      </c>
      <c r="N13" s="148">
        <v>1946.3</v>
      </c>
      <c r="O13" s="148">
        <v>155.69999999999999</v>
      </c>
      <c r="P13" s="150">
        <v>0.08</v>
      </c>
    </row>
    <row r="14" spans="1:16" ht="15.75" thickTop="1" x14ac:dyDescent="0.25">
      <c r="A14" s="141"/>
      <c r="B14" s="145">
        <v>0</v>
      </c>
      <c r="C14" s="145">
        <v>0</v>
      </c>
      <c r="D14" s="145">
        <v>0</v>
      </c>
      <c r="E14" s="145">
        <v>0</v>
      </c>
      <c r="F14" s="145">
        <v>19595.04</v>
      </c>
      <c r="G14" s="145">
        <v>46970.71</v>
      </c>
      <c r="H14" s="145">
        <v>120546.93000000002</v>
      </c>
      <c r="I14" s="145">
        <v>81769.19</v>
      </c>
      <c r="J14" s="145">
        <v>20151.310000000001</v>
      </c>
      <c r="K14" s="145">
        <v>0</v>
      </c>
      <c r="L14" s="145">
        <v>0</v>
      </c>
      <c r="M14" s="145">
        <v>0</v>
      </c>
      <c r="N14" s="145">
        <v>289033.18</v>
      </c>
      <c r="O14" s="145">
        <v>24244.120000000003</v>
      </c>
      <c r="P14" s="1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7109375" customWidth="1"/>
    <col min="2" max="5" width="6.140625" bestFit="1" customWidth="1"/>
    <col min="6" max="7" width="10.7109375" bestFit="1" customWidth="1"/>
    <col min="8" max="8" width="11.7109375" bestFit="1" customWidth="1"/>
    <col min="9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4.7109375" bestFit="1" customWidth="1"/>
  </cols>
  <sheetData>
    <row r="1" spans="1:16" x14ac:dyDescent="0.25">
      <c r="A1" s="136" t="s">
        <v>42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</row>
    <row r="3" spans="1:16" x14ac:dyDescent="0.25">
      <c r="A3" s="127" t="s">
        <v>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 t="s">
        <v>18</v>
      </c>
      <c r="O3" s="126" t="s">
        <v>20</v>
      </c>
      <c r="P3" s="126" t="s">
        <v>1</v>
      </c>
    </row>
    <row r="4" spans="1:16" x14ac:dyDescent="0.25">
      <c r="A4" s="128" t="s">
        <v>2</v>
      </c>
      <c r="B4" s="131" t="s">
        <v>3</v>
      </c>
      <c r="C4" s="131" t="s">
        <v>4</v>
      </c>
      <c r="D4" s="131" t="s">
        <v>5</v>
      </c>
      <c r="E4" s="131" t="s">
        <v>6</v>
      </c>
      <c r="F4" s="131" t="s">
        <v>7</v>
      </c>
      <c r="G4" s="131" t="s">
        <v>8</v>
      </c>
      <c r="H4" s="131" t="s">
        <v>9</v>
      </c>
      <c r="I4" s="131" t="s">
        <v>10</v>
      </c>
      <c r="J4" s="131" t="s">
        <v>11</v>
      </c>
      <c r="K4" s="131" t="s">
        <v>12</v>
      </c>
      <c r="L4" s="131" t="s">
        <v>13</v>
      </c>
      <c r="M4" s="131" t="s">
        <v>14</v>
      </c>
      <c r="N4" s="129" t="s">
        <v>25</v>
      </c>
      <c r="O4" s="129" t="s">
        <v>16</v>
      </c>
      <c r="P4" s="129" t="s">
        <v>16</v>
      </c>
    </row>
    <row r="5" spans="1:16" x14ac:dyDescent="0.25">
      <c r="A5" s="126" t="s">
        <v>26</v>
      </c>
      <c r="B5" s="130">
        <v>0</v>
      </c>
      <c r="C5" s="130">
        <v>0</v>
      </c>
      <c r="D5" s="130">
        <v>0</v>
      </c>
      <c r="E5" s="130">
        <v>0</v>
      </c>
      <c r="F5" s="130">
        <v>12321.25</v>
      </c>
      <c r="G5" s="130">
        <v>24101.1</v>
      </c>
      <c r="H5" s="130">
        <v>60655.66</v>
      </c>
      <c r="I5" s="130">
        <v>49423.25</v>
      </c>
      <c r="J5" s="130">
        <v>9917.75</v>
      </c>
      <c r="K5" s="130">
        <v>0</v>
      </c>
      <c r="L5" s="130">
        <v>0</v>
      </c>
      <c r="M5" s="130">
        <v>0</v>
      </c>
      <c r="N5" s="130">
        <v>156419.01</v>
      </c>
      <c r="O5" s="130">
        <v>17206.09</v>
      </c>
      <c r="P5" s="134">
        <v>0.11</v>
      </c>
    </row>
    <row r="6" spans="1:16" x14ac:dyDescent="0.25">
      <c r="A6" s="126" t="s">
        <v>27</v>
      </c>
      <c r="B6" s="130">
        <v>0</v>
      </c>
      <c r="C6" s="130">
        <v>0</v>
      </c>
      <c r="D6" s="130">
        <v>0</v>
      </c>
      <c r="E6" s="130">
        <v>0</v>
      </c>
      <c r="F6" s="130">
        <v>3315.25</v>
      </c>
      <c r="G6" s="130">
        <v>2920.62</v>
      </c>
      <c r="H6" s="130">
        <v>4961.93</v>
      </c>
      <c r="I6" s="130">
        <v>3111.98</v>
      </c>
      <c r="J6" s="130">
        <v>641.23</v>
      </c>
      <c r="K6" s="130">
        <v>0</v>
      </c>
      <c r="L6" s="130">
        <v>0</v>
      </c>
      <c r="M6" s="130">
        <v>0</v>
      </c>
      <c r="N6" s="130">
        <v>14951.009999999998</v>
      </c>
      <c r="O6" s="130">
        <v>1046.58</v>
      </c>
      <c r="P6" s="134">
        <v>7.0000000000000007E-2</v>
      </c>
    </row>
    <row r="7" spans="1:16" x14ac:dyDescent="0.25">
      <c r="A7" s="126" t="s">
        <v>22</v>
      </c>
      <c r="B7" s="130">
        <v>0</v>
      </c>
      <c r="C7" s="130">
        <v>0</v>
      </c>
      <c r="D7" s="130">
        <v>0</v>
      </c>
      <c r="E7" s="130">
        <v>0</v>
      </c>
      <c r="F7" s="130">
        <v>413.48</v>
      </c>
      <c r="G7" s="130">
        <v>718.95</v>
      </c>
      <c r="H7" s="130">
        <v>902.18</v>
      </c>
      <c r="I7" s="130">
        <v>804.09</v>
      </c>
      <c r="J7" s="130">
        <v>197.27</v>
      </c>
      <c r="K7" s="130">
        <v>0</v>
      </c>
      <c r="L7" s="130">
        <v>0</v>
      </c>
      <c r="M7" s="130">
        <v>0</v>
      </c>
      <c r="N7" s="130">
        <v>3035.9700000000003</v>
      </c>
      <c r="O7" s="130">
        <v>333.95</v>
      </c>
      <c r="P7" s="134">
        <v>0.11</v>
      </c>
    </row>
    <row r="8" spans="1:16" x14ac:dyDescent="0.25">
      <c r="A8" s="126" t="s">
        <v>28</v>
      </c>
      <c r="B8" s="130">
        <v>0</v>
      </c>
      <c r="C8" s="130">
        <v>0</v>
      </c>
      <c r="D8" s="130">
        <v>0</v>
      </c>
      <c r="E8" s="130">
        <v>0</v>
      </c>
      <c r="F8" s="130">
        <v>4782.42</v>
      </c>
      <c r="G8" s="130">
        <v>8752.07</v>
      </c>
      <c r="H8" s="130">
        <v>23642.25</v>
      </c>
      <c r="I8" s="130">
        <v>21880.05</v>
      </c>
      <c r="J8" s="130">
        <v>2379.4499999999998</v>
      </c>
      <c r="K8" s="130">
        <v>0</v>
      </c>
      <c r="L8" s="130">
        <v>0</v>
      </c>
      <c r="M8" s="130">
        <v>0</v>
      </c>
      <c r="N8" s="130">
        <v>61436.239999999991</v>
      </c>
      <c r="O8" s="130">
        <v>1843.0800000000002</v>
      </c>
      <c r="P8" s="134">
        <v>0.03</v>
      </c>
    </row>
    <row r="9" spans="1:16" x14ac:dyDescent="0.25">
      <c r="A9" s="126" t="s">
        <v>21</v>
      </c>
      <c r="B9" s="130">
        <v>0</v>
      </c>
      <c r="C9" s="130">
        <v>0</v>
      </c>
      <c r="D9" s="130">
        <v>0</v>
      </c>
      <c r="E9" s="130">
        <v>0</v>
      </c>
      <c r="F9" s="130">
        <v>2191.9899999999998</v>
      </c>
      <c r="G9" s="130">
        <v>5112.2700000000004</v>
      </c>
      <c r="H9" s="130">
        <v>10660.82</v>
      </c>
      <c r="I9" s="130">
        <v>8331.25</v>
      </c>
      <c r="J9" s="130">
        <v>974.83</v>
      </c>
      <c r="K9" s="130">
        <v>0</v>
      </c>
      <c r="L9" s="130">
        <v>0</v>
      </c>
      <c r="M9" s="130">
        <v>0</v>
      </c>
      <c r="N9" s="130">
        <v>27271.160000000003</v>
      </c>
      <c r="O9" s="130">
        <v>2181.6999999999998</v>
      </c>
      <c r="P9" s="134">
        <v>0.08</v>
      </c>
    </row>
    <row r="10" spans="1:16" x14ac:dyDescent="0.25">
      <c r="A10" s="126" t="s">
        <v>23</v>
      </c>
      <c r="B10" s="130">
        <v>0</v>
      </c>
      <c r="C10" s="130">
        <v>0</v>
      </c>
      <c r="D10" s="130">
        <v>0</v>
      </c>
      <c r="E10" s="130">
        <v>0</v>
      </c>
      <c r="F10" s="130">
        <v>80</v>
      </c>
      <c r="G10" s="130">
        <v>140</v>
      </c>
      <c r="H10" s="130">
        <v>220</v>
      </c>
      <c r="I10" s="130">
        <v>165</v>
      </c>
      <c r="J10" s="130">
        <v>0</v>
      </c>
      <c r="K10" s="130">
        <v>0</v>
      </c>
      <c r="L10" s="130">
        <v>0</v>
      </c>
      <c r="M10" s="130">
        <v>0</v>
      </c>
      <c r="N10" s="130">
        <v>605</v>
      </c>
      <c r="O10" s="130">
        <v>60.5</v>
      </c>
      <c r="P10" s="134">
        <v>0.1</v>
      </c>
    </row>
    <row r="11" spans="1:16" x14ac:dyDescent="0.25">
      <c r="A11" s="126" t="s">
        <v>29</v>
      </c>
      <c r="B11" s="130">
        <v>0</v>
      </c>
      <c r="C11" s="130">
        <v>0</v>
      </c>
      <c r="D11" s="130">
        <v>0</v>
      </c>
      <c r="E11" s="130">
        <v>0</v>
      </c>
      <c r="F11" s="130">
        <v>30</v>
      </c>
      <c r="G11" s="130">
        <v>15</v>
      </c>
      <c r="H11" s="130">
        <v>185</v>
      </c>
      <c r="I11" s="130">
        <v>120</v>
      </c>
      <c r="J11" s="130">
        <v>0</v>
      </c>
      <c r="K11" s="130">
        <v>0</v>
      </c>
      <c r="L11" s="130">
        <v>0</v>
      </c>
      <c r="M11" s="130">
        <v>0</v>
      </c>
      <c r="N11" s="130">
        <v>350</v>
      </c>
      <c r="O11" s="130">
        <v>175</v>
      </c>
      <c r="P11" s="134">
        <v>0.5</v>
      </c>
    </row>
    <row r="12" spans="1:16" x14ac:dyDescent="0.25">
      <c r="A12" s="126" t="s">
        <v>30</v>
      </c>
      <c r="B12" s="130">
        <v>0</v>
      </c>
      <c r="C12" s="130">
        <v>0</v>
      </c>
      <c r="D12" s="130">
        <v>0</v>
      </c>
      <c r="E12" s="130">
        <v>0</v>
      </c>
      <c r="F12" s="130">
        <v>0</v>
      </c>
      <c r="G12" s="130">
        <v>0</v>
      </c>
      <c r="H12" s="130">
        <v>0</v>
      </c>
      <c r="I12" s="130">
        <v>0</v>
      </c>
      <c r="J12" s="130">
        <v>0</v>
      </c>
      <c r="K12" s="130">
        <v>0</v>
      </c>
      <c r="L12" s="130">
        <v>0</v>
      </c>
      <c r="M12" s="130">
        <v>0</v>
      </c>
      <c r="N12" s="130">
        <v>0</v>
      </c>
      <c r="O12" s="130">
        <v>0</v>
      </c>
      <c r="P12" s="134">
        <v>0.12</v>
      </c>
    </row>
    <row r="13" spans="1:16" ht="15.75" thickBot="1" x14ac:dyDescent="0.3">
      <c r="A13" s="132" t="s">
        <v>17</v>
      </c>
      <c r="B13" s="133">
        <v>0</v>
      </c>
      <c r="C13" s="133">
        <v>0</v>
      </c>
      <c r="D13" s="133">
        <v>0</v>
      </c>
      <c r="E13" s="133">
        <v>0</v>
      </c>
      <c r="F13" s="133">
        <v>104.14</v>
      </c>
      <c r="G13" s="133">
        <v>120.21</v>
      </c>
      <c r="H13" s="133">
        <v>287.49</v>
      </c>
      <c r="I13" s="133">
        <v>169.11</v>
      </c>
      <c r="J13" s="133">
        <v>14.11</v>
      </c>
      <c r="K13" s="133">
        <v>0</v>
      </c>
      <c r="L13" s="133">
        <v>0</v>
      </c>
      <c r="M13" s="133">
        <v>0</v>
      </c>
      <c r="N13" s="133">
        <v>695.06000000000006</v>
      </c>
      <c r="O13" s="133">
        <v>55.61</v>
      </c>
      <c r="P13" s="135">
        <v>0.08</v>
      </c>
    </row>
    <row r="14" spans="1:16" ht="15.75" thickTop="1" x14ac:dyDescent="0.25">
      <c r="A14" s="126" t="s">
        <v>15</v>
      </c>
      <c r="B14" s="130">
        <v>0</v>
      </c>
      <c r="C14" s="130">
        <v>0</v>
      </c>
      <c r="D14" s="130">
        <v>0</v>
      </c>
      <c r="E14" s="130">
        <v>0</v>
      </c>
      <c r="F14" s="130">
        <v>23238.53</v>
      </c>
      <c r="G14" s="130">
        <v>41880.219999999994</v>
      </c>
      <c r="H14" s="130">
        <v>101515.33</v>
      </c>
      <c r="I14" s="130">
        <v>84004.73</v>
      </c>
      <c r="J14" s="130">
        <v>14124.640000000001</v>
      </c>
      <c r="K14" s="130">
        <v>0</v>
      </c>
      <c r="L14" s="130">
        <v>0</v>
      </c>
      <c r="M14" s="130">
        <v>0</v>
      </c>
      <c r="N14" s="130">
        <v>264763.45</v>
      </c>
      <c r="O14" s="130">
        <v>22902.510000000002</v>
      </c>
      <c r="P14" s="1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F32" sqref="F32"/>
    </sheetView>
  </sheetViews>
  <sheetFormatPr defaultRowHeight="15" x14ac:dyDescent="0.25"/>
  <cols>
    <col min="1" max="1" width="23.85546875" customWidth="1"/>
    <col min="2" max="5" width="6.140625" bestFit="1" customWidth="1"/>
    <col min="6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4.7109375" bestFit="1" customWidth="1"/>
  </cols>
  <sheetData>
    <row r="1" spans="1:16" x14ac:dyDescent="0.25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x14ac:dyDescent="0.25">
      <c r="A3" s="25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 t="s">
        <v>18</v>
      </c>
      <c r="O3" s="24" t="s">
        <v>20</v>
      </c>
      <c r="P3" s="24" t="s">
        <v>1</v>
      </c>
    </row>
    <row r="4" spans="1:16" x14ac:dyDescent="0.25">
      <c r="A4" s="26" t="s">
        <v>2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29" t="s">
        <v>11</v>
      </c>
      <c r="K4" s="29" t="s">
        <v>12</v>
      </c>
      <c r="L4" s="29" t="s">
        <v>13</v>
      </c>
      <c r="M4" s="29" t="s">
        <v>14</v>
      </c>
      <c r="N4" s="27" t="s">
        <v>25</v>
      </c>
      <c r="O4" s="27" t="s">
        <v>16</v>
      </c>
      <c r="P4" s="27" t="s">
        <v>16</v>
      </c>
    </row>
    <row r="5" spans="1:16" x14ac:dyDescent="0.25">
      <c r="A5" s="24" t="s">
        <v>26</v>
      </c>
      <c r="B5" s="28">
        <v>0</v>
      </c>
      <c r="C5" s="28">
        <v>0</v>
      </c>
      <c r="D5" s="28">
        <v>0</v>
      </c>
      <c r="E5" s="28">
        <v>0</v>
      </c>
      <c r="F5" s="28">
        <v>11413.5</v>
      </c>
      <c r="G5" s="28">
        <v>20673.509999999998</v>
      </c>
      <c r="H5" s="28">
        <v>37022</v>
      </c>
      <c r="I5" s="28">
        <v>45182</v>
      </c>
      <c r="J5" s="28">
        <v>14762.75</v>
      </c>
      <c r="K5" s="28">
        <v>0</v>
      </c>
      <c r="L5" s="28">
        <v>0</v>
      </c>
      <c r="M5" s="28">
        <v>0</v>
      </c>
      <c r="N5" s="28">
        <v>129053.75999999999</v>
      </c>
      <c r="O5" s="28">
        <v>14195.92</v>
      </c>
      <c r="P5" s="32">
        <v>0.11</v>
      </c>
    </row>
    <row r="6" spans="1:16" x14ac:dyDescent="0.25">
      <c r="A6" s="24" t="s">
        <v>27</v>
      </c>
      <c r="B6" s="28">
        <v>0</v>
      </c>
      <c r="C6" s="28">
        <v>0</v>
      </c>
      <c r="D6" s="28">
        <v>0</v>
      </c>
      <c r="E6" s="28">
        <v>0</v>
      </c>
      <c r="F6" s="28">
        <v>2245.16</v>
      </c>
      <c r="G6" s="28">
        <v>3136.47</v>
      </c>
      <c r="H6" s="28">
        <v>3836.6</v>
      </c>
      <c r="I6" s="28">
        <v>2840.94</v>
      </c>
      <c r="J6" s="28">
        <v>1216.2</v>
      </c>
      <c r="K6" s="28">
        <v>0</v>
      </c>
      <c r="L6" s="28">
        <v>0</v>
      </c>
      <c r="M6" s="28">
        <v>0</v>
      </c>
      <c r="N6" s="28">
        <v>13275.37</v>
      </c>
      <c r="O6" s="28">
        <v>929.27</v>
      </c>
      <c r="P6" s="32">
        <v>7.0000000000000007E-2</v>
      </c>
    </row>
    <row r="7" spans="1:16" x14ac:dyDescent="0.25">
      <c r="A7" s="24" t="s">
        <v>22</v>
      </c>
      <c r="B7" s="28">
        <v>0</v>
      </c>
      <c r="C7" s="28">
        <v>0</v>
      </c>
      <c r="D7" s="28">
        <v>0</v>
      </c>
      <c r="E7" s="28">
        <v>0</v>
      </c>
      <c r="F7" s="28">
        <v>694.32</v>
      </c>
      <c r="G7" s="28">
        <v>1112.58</v>
      </c>
      <c r="H7" s="28">
        <v>1523.25</v>
      </c>
      <c r="I7" s="28">
        <v>788.57</v>
      </c>
      <c r="J7" s="28">
        <v>546.89</v>
      </c>
      <c r="K7" s="28">
        <v>0</v>
      </c>
      <c r="L7" s="28">
        <v>0</v>
      </c>
      <c r="M7" s="28">
        <v>0</v>
      </c>
      <c r="N7" s="28">
        <v>4665.6100000000006</v>
      </c>
      <c r="O7" s="28">
        <v>513.22</v>
      </c>
      <c r="P7" s="32">
        <v>0.11</v>
      </c>
    </row>
    <row r="8" spans="1:16" x14ac:dyDescent="0.25">
      <c r="A8" s="24" t="s">
        <v>28</v>
      </c>
      <c r="B8" s="28">
        <v>0</v>
      </c>
      <c r="C8" s="28">
        <v>0</v>
      </c>
      <c r="D8" s="28">
        <v>0</v>
      </c>
      <c r="E8" s="28">
        <v>0</v>
      </c>
      <c r="F8" s="28">
        <v>2526.42</v>
      </c>
      <c r="G8" s="28">
        <v>7814.78</v>
      </c>
      <c r="H8" s="28">
        <v>13579.3</v>
      </c>
      <c r="I8" s="28">
        <v>10977.59</v>
      </c>
      <c r="J8" s="28">
        <v>5463.96</v>
      </c>
      <c r="K8" s="28">
        <v>0</v>
      </c>
      <c r="L8" s="28">
        <v>0</v>
      </c>
      <c r="M8" s="28">
        <v>0</v>
      </c>
      <c r="N8" s="28">
        <v>40362.049999999996</v>
      </c>
      <c r="O8" s="28">
        <v>1210.8600000000001</v>
      </c>
      <c r="P8" s="32">
        <v>0.03</v>
      </c>
    </row>
    <row r="9" spans="1:16" x14ac:dyDescent="0.25">
      <c r="A9" s="24" t="s">
        <v>21</v>
      </c>
      <c r="B9" s="28">
        <v>0</v>
      </c>
      <c r="C9" s="28">
        <v>0</v>
      </c>
      <c r="D9" s="28">
        <v>0</v>
      </c>
      <c r="E9" s="28">
        <v>0</v>
      </c>
      <c r="F9" s="28">
        <v>2475.1</v>
      </c>
      <c r="G9" s="28">
        <v>6784.28</v>
      </c>
      <c r="H9" s="28">
        <v>9930.59</v>
      </c>
      <c r="I9" s="28">
        <v>7235.48</v>
      </c>
      <c r="J9" s="28">
        <v>1878.44</v>
      </c>
      <c r="K9" s="28">
        <v>0</v>
      </c>
      <c r="L9" s="28">
        <v>0</v>
      </c>
      <c r="M9" s="28">
        <v>0</v>
      </c>
      <c r="N9" s="28">
        <v>28303.89</v>
      </c>
      <c r="O9" s="28">
        <v>2264.3199999999997</v>
      </c>
      <c r="P9" s="32">
        <v>0.08</v>
      </c>
    </row>
    <row r="10" spans="1:16" x14ac:dyDescent="0.25">
      <c r="A10" s="24" t="s">
        <v>23</v>
      </c>
      <c r="B10" s="28">
        <v>0</v>
      </c>
      <c r="C10" s="28">
        <v>0</v>
      </c>
      <c r="D10" s="28">
        <v>0</v>
      </c>
      <c r="E10" s="28">
        <v>0</v>
      </c>
      <c r="F10" s="28">
        <v>89</v>
      </c>
      <c r="G10" s="28">
        <v>267</v>
      </c>
      <c r="H10" s="28">
        <v>210</v>
      </c>
      <c r="I10" s="28">
        <v>210</v>
      </c>
      <c r="J10" s="28">
        <v>85</v>
      </c>
      <c r="K10" s="28">
        <v>0</v>
      </c>
      <c r="L10" s="28">
        <v>0</v>
      </c>
      <c r="M10" s="28">
        <v>0</v>
      </c>
      <c r="N10" s="28">
        <v>861</v>
      </c>
      <c r="O10" s="28">
        <v>86.1</v>
      </c>
      <c r="P10" s="32">
        <v>0.1</v>
      </c>
    </row>
    <row r="11" spans="1:16" x14ac:dyDescent="0.25">
      <c r="A11" s="24" t="s">
        <v>29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105</v>
      </c>
      <c r="H11" s="28">
        <v>210</v>
      </c>
      <c r="I11" s="28">
        <v>105</v>
      </c>
      <c r="J11" s="28">
        <v>125</v>
      </c>
      <c r="K11" s="28">
        <v>0</v>
      </c>
      <c r="L11" s="28">
        <v>0</v>
      </c>
      <c r="M11" s="28">
        <v>0</v>
      </c>
      <c r="N11" s="28">
        <v>545</v>
      </c>
      <c r="O11" s="28">
        <v>272.5</v>
      </c>
      <c r="P11" s="32">
        <v>0.5</v>
      </c>
    </row>
    <row r="12" spans="1:16" x14ac:dyDescent="0.25">
      <c r="A12" s="24" t="s">
        <v>30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32">
        <v>0.12</v>
      </c>
    </row>
    <row r="13" spans="1:16" ht="15.75" thickBot="1" x14ac:dyDescent="0.3">
      <c r="A13" s="30" t="s">
        <v>17</v>
      </c>
      <c r="B13" s="31">
        <v>0</v>
      </c>
      <c r="C13" s="31">
        <v>0</v>
      </c>
      <c r="D13" s="31">
        <v>0</v>
      </c>
      <c r="E13" s="31">
        <v>0</v>
      </c>
      <c r="F13" s="31">
        <v>57.76</v>
      </c>
      <c r="G13" s="31">
        <v>171.31</v>
      </c>
      <c r="H13" s="31">
        <v>283.64999999999998</v>
      </c>
      <c r="I13" s="31">
        <v>93.03</v>
      </c>
      <c r="J13" s="31">
        <v>42.78</v>
      </c>
      <c r="K13" s="31">
        <v>0</v>
      </c>
      <c r="L13" s="31">
        <v>0</v>
      </c>
      <c r="M13" s="31">
        <v>0</v>
      </c>
      <c r="N13" s="31">
        <v>648.53</v>
      </c>
      <c r="O13" s="31">
        <v>51.870000000000005</v>
      </c>
      <c r="P13" s="33">
        <v>0.08</v>
      </c>
    </row>
    <row r="14" spans="1:16" ht="15.75" thickTop="1" x14ac:dyDescent="0.25">
      <c r="A14" s="24" t="s">
        <v>15</v>
      </c>
      <c r="B14" s="28">
        <v>0</v>
      </c>
      <c r="C14" s="28">
        <v>0</v>
      </c>
      <c r="D14" s="28">
        <v>0</v>
      </c>
      <c r="E14" s="28">
        <v>0</v>
      </c>
      <c r="F14" s="28">
        <v>19501.259999999998</v>
      </c>
      <c r="G14" s="28">
        <v>40064.929999999993</v>
      </c>
      <c r="H14" s="28">
        <v>66595.389999999985</v>
      </c>
      <c r="I14" s="28">
        <v>67432.61</v>
      </c>
      <c r="J14" s="28">
        <v>24121.019999999997</v>
      </c>
      <c r="K14" s="28">
        <v>0</v>
      </c>
      <c r="L14" s="28">
        <v>0</v>
      </c>
      <c r="M14" s="28">
        <v>0</v>
      </c>
      <c r="N14" s="28">
        <v>217715.21</v>
      </c>
      <c r="O14" s="28">
        <v>19524.059999999998</v>
      </c>
      <c r="P14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85546875" customWidth="1"/>
    <col min="2" max="5" width="6.140625" bestFit="1" customWidth="1"/>
    <col min="6" max="6" width="9.7109375" bestFit="1" customWidth="1"/>
    <col min="7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4.7109375" bestFit="1" customWidth="1"/>
  </cols>
  <sheetData>
    <row r="1" spans="1:16" x14ac:dyDescent="0.25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x14ac:dyDescent="0.25">
      <c r="A3" s="35" t="s">
        <v>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 t="s">
        <v>18</v>
      </c>
      <c r="O3" s="34" t="s">
        <v>20</v>
      </c>
      <c r="P3" s="34" t="s">
        <v>1</v>
      </c>
    </row>
    <row r="4" spans="1:16" x14ac:dyDescent="0.25">
      <c r="A4" s="36" t="s">
        <v>2</v>
      </c>
      <c r="B4" s="39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39" t="s">
        <v>8</v>
      </c>
      <c r="H4" s="39" t="s">
        <v>9</v>
      </c>
      <c r="I4" s="39" t="s">
        <v>10</v>
      </c>
      <c r="J4" s="39" t="s">
        <v>11</v>
      </c>
      <c r="K4" s="39" t="s">
        <v>12</v>
      </c>
      <c r="L4" s="39" t="s">
        <v>13</v>
      </c>
      <c r="M4" s="39" t="s">
        <v>14</v>
      </c>
      <c r="N4" s="37" t="s">
        <v>25</v>
      </c>
      <c r="O4" s="37" t="s">
        <v>16</v>
      </c>
      <c r="P4" s="37" t="s">
        <v>16</v>
      </c>
    </row>
    <row r="5" spans="1:16" x14ac:dyDescent="0.25">
      <c r="A5" s="34" t="s">
        <v>26</v>
      </c>
      <c r="B5" s="38">
        <v>0</v>
      </c>
      <c r="C5" s="38">
        <v>0</v>
      </c>
      <c r="D5" s="38">
        <v>0</v>
      </c>
      <c r="E5" s="38">
        <v>0</v>
      </c>
      <c r="F5" s="38">
        <v>5842.5</v>
      </c>
      <c r="G5" s="38">
        <v>23216.35</v>
      </c>
      <c r="H5" s="38">
        <v>45888.45</v>
      </c>
      <c r="I5" s="38">
        <v>50752.75</v>
      </c>
      <c r="J5" s="38">
        <v>7755.75</v>
      </c>
      <c r="K5" s="38">
        <v>0</v>
      </c>
      <c r="L5" s="38">
        <v>0</v>
      </c>
      <c r="M5" s="38">
        <v>0</v>
      </c>
      <c r="N5" s="38">
        <v>133455.79999999999</v>
      </c>
      <c r="O5" s="38">
        <v>14680.139999999998</v>
      </c>
      <c r="P5" s="42">
        <v>0.11</v>
      </c>
    </row>
    <row r="6" spans="1:16" x14ac:dyDescent="0.25">
      <c r="A6" s="34" t="s">
        <v>27</v>
      </c>
      <c r="B6" s="38">
        <v>0</v>
      </c>
      <c r="C6" s="38">
        <v>0</v>
      </c>
      <c r="D6" s="38">
        <v>0</v>
      </c>
      <c r="E6" s="38">
        <v>0</v>
      </c>
      <c r="F6" s="38">
        <v>654.76</v>
      </c>
      <c r="G6" s="38">
        <v>4505.24</v>
      </c>
      <c r="H6" s="38">
        <v>4495.5200000000004</v>
      </c>
      <c r="I6" s="38">
        <v>4261.66</v>
      </c>
      <c r="J6" s="38">
        <v>1011.79</v>
      </c>
      <c r="K6" s="38">
        <v>0</v>
      </c>
      <c r="L6" s="38">
        <v>0</v>
      </c>
      <c r="M6" s="38">
        <v>0</v>
      </c>
      <c r="N6" s="38">
        <v>14928.970000000001</v>
      </c>
      <c r="O6" s="38">
        <v>1045.04</v>
      </c>
      <c r="P6" s="42">
        <v>7.0000000000000007E-2</v>
      </c>
    </row>
    <row r="7" spans="1:16" x14ac:dyDescent="0.25">
      <c r="A7" s="34" t="s">
        <v>22</v>
      </c>
      <c r="B7" s="38">
        <v>0</v>
      </c>
      <c r="C7" s="38">
        <v>0</v>
      </c>
      <c r="D7" s="38">
        <v>0</v>
      </c>
      <c r="E7" s="38">
        <v>0</v>
      </c>
      <c r="F7" s="38">
        <v>318.88</v>
      </c>
      <c r="G7" s="38">
        <v>807.68</v>
      </c>
      <c r="H7" s="38">
        <v>1108.8499999999999</v>
      </c>
      <c r="I7" s="38">
        <v>1139.71</v>
      </c>
      <c r="J7" s="38">
        <v>400.6</v>
      </c>
      <c r="K7" s="38">
        <v>0</v>
      </c>
      <c r="L7" s="38">
        <v>0</v>
      </c>
      <c r="M7" s="38">
        <v>0</v>
      </c>
      <c r="N7" s="38">
        <v>3775.72</v>
      </c>
      <c r="O7" s="38">
        <v>415.33000000000004</v>
      </c>
      <c r="P7" s="42">
        <v>0.11</v>
      </c>
    </row>
    <row r="8" spans="1:16" x14ac:dyDescent="0.25">
      <c r="A8" s="34" t="s">
        <v>28</v>
      </c>
      <c r="B8" s="38">
        <v>0</v>
      </c>
      <c r="C8" s="38">
        <v>0</v>
      </c>
      <c r="D8" s="38">
        <v>0</v>
      </c>
      <c r="E8" s="38">
        <v>0</v>
      </c>
      <c r="F8" s="38">
        <v>2050.88</v>
      </c>
      <c r="G8" s="38">
        <v>11645.17</v>
      </c>
      <c r="H8" s="38">
        <v>15362.99</v>
      </c>
      <c r="I8" s="38">
        <v>17313.38</v>
      </c>
      <c r="J8" s="38">
        <v>3723.24</v>
      </c>
      <c r="K8" s="38">
        <v>0</v>
      </c>
      <c r="L8" s="38">
        <v>0</v>
      </c>
      <c r="M8" s="38">
        <v>0</v>
      </c>
      <c r="N8" s="38">
        <v>50095.659999999996</v>
      </c>
      <c r="O8" s="38">
        <v>1502.88</v>
      </c>
      <c r="P8" s="42">
        <v>0.03</v>
      </c>
    </row>
    <row r="9" spans="1:16" x14ac:dyDescent="0.25">
      <c r="A9" s="34" t="s">
        <v>21</v>
      </c>
      <c r="B9" s="38">
        <v>0</v>
      </c>
      <c r="C9" s="38">
        <v>0</v>
      </c>
      <c r="D9" s="38">
        <v>0</v>
      </c>
      <c r="E9" s="38">
        <v>0</v>
      </c>
      <c r="F9" s="38">
        <v>584.29999999999995</v>
      </c>
      <c r="G9" s="38">
        <v>6787.72</v>
      </c>
      <c r="H9" s="38">
        <v>7712.84</v>
      </c>
      <c r="I9" s="38">
        <v>9857.4599999999991</v>
      </c>
      <c r="J9" s="38">
        <v>1653.14</v>
      </c>
      <c r="K9" s="38">
        <v>0</v>
      </c>
      <c r="L9" s="38">
        <v>0</v>
      </c>
      <c r="M9" s="38">
        <v>0</v>
      </c>
      <c r="N9" s="38">
        <v>26595.46</v>
      </c>
      <c r="O9" s="38">
        <v>2127.6400000000003</v>
      </c>
      <c r="P9" s="42">
        <v>0.08</v>
      </c>
    </row>
    <row r="10" spans="1:16" x14ac:dyDescent="0.25">
      <c r="A10" s="34" t="s">
        <v>23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215</v>
      </c>
      <c r="H10" s="38">
        <v>285</v>
      </c>
      <c r="I10" s="38">
        <v>210</v>
      </c>
      <c r="J10" s="38">
        <v>100</v>
      </c>
      <c r="K10" s="38">
        <v>0</v>
      </c>
      <c r="L10" s="38">
        <v>0</v>
      </c>
      <c r="M10" s="38">
        <v>0</v>
      </c>
      <c r="N10" s="38">
        <v>810</v>
      </c>
      <c r="O10" s="38">
        <v>81</v>
      </c>
      <c r="P10" s="42">
        <v>0.1</v>
      </c>
    </row>
    <row r="11" spans="1:16" x14ac:dyDescent="0.25">
      <c r="A11" s="34" t="s">
        <v>29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105</v>
      </c>
      <c r="H11" s="38">
        <v>195</v>
      </c>
      <c r="I11" s="38">
        <v>135</v>
      </c>
      <c r="J11" s="38">
        <v>60</v>
      </c>
      <c r="K11" s="38">
        <v>0</v>
      </c>
      <c r="L11" s="38">
        <v>0</v>
      </c>
      <c r="M11" s="38">
        <v>0</v>
      </c>
      <c r="N11" s="38">
        <v>495</v>
      </c>
      <c r="O11" s="38">
        <v>247.5</v>
      </c>
      <c r="P11" s="42">
        <v>0.5</v>
      </c>
    </row>
    <row r="12" spans="1:16" x14ac:dyDescent="0.25">
      <c r="A12" s="34" t="s">
        <v>30</v>
      </c>
      <c r="B12" s="38">
        <v>0</v>
      </c>
      <c r="C12" s="38"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42">
        <v>0.12</v>
      </c>
    </row>
    <row r="13" spans="1:16" ht="15.75" thickBot="1" x14ac:dyDescent="0.3">
      <c r="A13" s="40" t="s">
        <v>17</v>
      </c>
      <c r="B13" s="41">
        <v>0</v>
      </c>
      <c r="C13" s="41">
        <v>0</v>
      </c>
      <c r="D13" s="41">
        <v>0</v>
      </c>
      <c r="E13" s="41">
        <v>0</v>
      </c>
      <c r="F13" s="41">
        <v>13.75</v>
      </c>
      <c r="G13" s="41">
        <v>175.77</v>
      </c>
      <c r="H13" s="41">
        <v>205.74</v>
      </c>
      <c r="I13" s="41">
        <v>238.63</v>
      </c>
      <c r="J13" s="41">
        <v>0</v>
      </c>
      <c r="K13" s="41">
        <v>0</v>
      </c>
      <c r="L13" s="41">
        <v>0</v>
      </c>
      <c r="M13" s="41">
        <v>0</v>
      </c>
      <c r="N13" s="41">
        <v>633.89</v>
      </c>
      <c r="O13" s="41">
        <v>50.709999999999994</v>
      </c>
      <c r="P13" s="43">
        <v>0.08</v>
      </c>
    </row>
    <row r="14" spans="1:16" ht="15.75" thickTop="1" x14ac:dyDescent="0.25">
      <c r="A14" s="34" t="s">
        <v>15</v>
      </c>
      <c r="B14" s="38">
        <v>0</v>
      </c>
      <c r="C14" s="38">
        <v>0</v>
      </c>
      <c r="D14" s="38">
        <v>0</v>
      </c>
      <c r="E14" s="38">
        <v>0</v>
      </c>
      <c r="F14" s="38">
        <v>9465.07</v>
      </c>
      <c r="G14" s="38">
        <v>47457.929999999993</v>
      </c>
      <c r="H14" s="38">
        <v>75254.39</v>
      </c>
      <c r="I14" s="38">
        <v>83908.59</v>
      </c>
      <c r="J14" s="38">
        <v>14704.52</v>
      </c>
      <c r="K14" s="38">
        <v>0</v>
      </c>
      <c r="L14" s="38">
        <v>0</v>
      </c>
      <c r="M14" s="38">
        <v>0</v>
      </c>
      <c r="N14" s="38">
        <v>230790.5</v>
      </c>
      <c r="O14" s="38">
        <v>20150.239999999994</v>
      </c>
      <c r="P14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85546875" customWidth="1"/>
    <col min="2" max="5" width="6.140625" bestFit="1" customWidth="1"/>
    <col min="6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7.28515625" bestFit="1" customWidth="1"/>
  </cols>
  <sheetData>
    <row r="1" spans="1:16" x14ac:dyDescent="0.25">
      <c r="A1" s="44" t="s">
        <v>32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x14ac:dyDescent="0.2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25">
      <c r="A3" s="45" t="s">
        <v>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 t="s">
        <v>18</v>
      </c>
      <c r="O3" s="44" t="s">
        <v>20</v>
      </c>
      <c r="P3" s="44" t="s">
        <v>1</v>
      </c>
    </row>
    <row r="4" spans="1:16" x14ac:dyDescent="0.25">
      <c r="A4" s="46" t="s">
        <v>2</v>
      </c>
      <c r="B4" s="50" t="s">
        <v>3</v>
      </c>
      <c r="C4" s="50" t="s">
        <v>4</v>
      </c>
      <c r="D4" s="50" t="s">
        <v>5</v>
      </c>
      <c r="E4" s="50" t="s">
        <v>6</v>
      </c>
      <c r="F4" s="50" t="s">
        <v>7</v>
      </c>
      <c r="G4" s="50" t="s">
        <v>8</v>
      </c>
      <c r="H4" s="50" t="s">
        <v>9</v>
      </c>
      <c r="I4" s="50" t="s">
        <v>10</v>
      </c>
      <c r="J4" s="50" t="s">
        <v>11</v>
      </c>
      <c r="K4" s="50" t="s">
        <v>12</v>
      </c>
      <c r="L4" s="50" t="s">
        <v>13</v>
      </c>
      <c r="M4" s="50" t="s">
        <v>14</v>
      </c>
      <c r="N4" s="47" t="s">
        <v>25</v>
      </c>
      <c r="O4" s="47" t="s">
        <v>16</v>
      </c>
      <c r="P4" s="47" t="s">
        <v>16</v>
      </c>
    </row>
    <row r="5" spans="1:16" x14ac:dyDescent="0.25">
      <c r="A5" s="44" t="s">
        <v>26</v>
      </c>
      <c r="B5" s="49">
        <v>0</v>
      </c>
      <c r="C5" s="49">
        <v>0</v>
      </c>
      <c r="D5" s="49">
        <v>0</v>
      </c>
      <c r="E5" s="49">
        <v>0</v>
      </c>
      <c r="F5" s="49">
        <v>9627.9599999999991</v>
      </c>
      <c r="G5" s="49">
        <v>31558</v>
      </c>
      <c r="H5" s="49">
        <v>50314</v>
      </c>
      <c r="I5" s="49">
        <v>37877.25</v>
      </c>
      <c r="J5" s="49">
        <v>15614.25</v>
      </c>
      <c r="K5" s="49">
        <v>0</v>
      </c>
      <c r="L5" s="49">
        <v>0</v>
      </c>
      <c r="M5" s="49">
        <v>0</v>
      </c>
      <c r="N5" s="49">
        <v>144991.46</v>
      </c>
      <c r="O5" s="49">
        <v>15949.07</v>
      </c>
      <c r="P5" s="48">
        <v>0.11</v>
      </c>
    </row>
    <row r="6" spans="1:16" x14ac:dyDescent="0.25">
      <c r="A6" s="44" t="s">
        <v>27</v>
      </c>
      <c r="B6" s="49">
        <v>0</v>
      </c>
      <c r="C6" s="49">
        <v>0</v>
      </c>
      <c r="D6" s="49">
        <v>0</v>
      </c>
      <c r="E6" s="49">
        <v>0</v>
      </c>
      <c r="F6" s="49">
        <v>900.89</v>
      </c>
      <c r="G6" s="49">
        <v>4219.1000000000004</v>
      </c>
      <c r="H6" s="49">
        <v>3396.17</v>
      </c>
      <c r="I6" s="49">
        <v>1512.88</v>
      </c>
      <c r="J6" s="49">
        <v>981.58</v>
      </c>
      <c r="K6" s="49">
        <v>0</v>
      </c>
      <c r="L6" s="49">
        <v>0</v>
      </c>
      <c r="M6" s="49">
        <v>0</v>
      </c>
      <c r="N6" s="49">
        <v>11010.62</v>
      </c>
      <c r="O6" s="49">
        <v>770.74</v>
      </c>
      <c r="P6" s="48">
        <v>7.0000000000000007E-2</v>
      </c>
    </row>
    <row r="7" spans="1:16" x14ac:dyDescent="0.25">
      <c r="A7" s="44" t="s">
        <v>22</v>
      </c>
      <c r="B7" s="49">
        <v>0</v>
      </c>
      <c r="C7" s="49">
        <v>0</v>
      </c>
      <c r="D7" s="49">
        <v>0</v>
      </c>
      <c r="E7" s="49">
        <v>0</v>
      </c>
      <c r="F7" s="49">
        <v>579.92999999999995</v>
      </c>
      <c r="G7" s="49">
        <v>1241.97</v>
      </c>
      <c r="H7" s="49">
        <v>1719.44</v>
      </c>
      <c r="I7" s="49">
        <v>846</v>
      </c>
      <c r="J7" s="49">
        <v>335.95</v>
      </c>
      <c r="K7" s="49">
        <v>0</v>
      </c>
      <c r="L7" s="49">
        <v>0</v>
      </c>
      <c r="M7" s="49">
        <v>0</v>
      </c>
      <c r="N7" s="49">
        <v>4723.29</v>
      </c>
      <c r="O7" s="49">
        <v>519.55999999999995</v>
      </c>
      <c r="P7" s="48">
        <v>0.11</v>
      </c>
    </row>
    <row r="8" spans="1:16" x14ac:dyDescent="0.25">
      <c r="A8" s="44" t="s">
        <v>28</v>
      </c>
      <c r="B8" s="49">
        <v>0</v>
      </c>
      <c r="C8" s="49">
        <v>0</v>
      </c>
      <c r="D8" s="49">
        <v>0</v>
      </c>
      <c r="E8" s="49">
        <v>0</v>
      </c>
      <c r="F8" s="49">
        <v>3628.92</v>
      </c>
      <c r="G8" s="49">
        <v>12404.42</v>
      </c>
      <c r="H8" s="49">
        <v>20292.330000000002</v>
      </c>
      <c r="I8" s="49">
        <v>15747.68</v>
      </c>
      <c r="J8" s="49">
        <v>5210.41</v>
      </c>
      <c r="K8" s="49">
        <v>0</v>
      </c>
      <c r="L8" s="49">
        <v>0</v>
      </c>
      <c r="M8" s="49">
        <v>0</v>
      </c>
      <c r="N8" s="49">
        <v>57283.759999999995</v>
      </c>
      <c r="O8" s="49">
        <v>1718.51</v>
      </c>
      <c r="P8" s="48">
        <v>0.03</v>
      </c>
    </row>
    <row r="9" spans="1:16" x14ac:dyDescent="0.25">
      <c r="A9" s="44" t="s">
        <v>21</v>
      </c>
      <c r="B9" s="49">
        <v>0</v>
      </c>
      <c r="C9" s="49">
        <v>0</v>
      </c>
      <c r="D9" s="49">
        <v>0</v>
      </c>
      <c r="E9" s="49">
        <v>0</v>
      </c>
      <c r="F9" s="49">
        <v>3156.61</v>
      </c>
      <c r="G9" s="49">
        <v>5338.11</v>
      </c>
      <c r="H9" s="49">
        <v>9636.3799999999992</v>
      </c>
      <c r="I9" s="49">
        <v>6449.22</v>
      </c>
      <c r="J9" s="49">
        <v>1600.53</v>
      </c>
      <c r="K9" s="49">
        <v>0</v>
      </c>
      <c r="L9" s="49">
        <v>0</v>
      </c>
      <c r="M9" s="49">
        <v>0</v>
      </c>
      <c r="N9" s="49">
        <v>26180.85</v>
      </c>
      <c r="O9" s="49">
        <v>2094.4699999999998</v>
      </c>
      <c r="P9" s="48">
        <v>0.08</v>
      </c>
    </row>
    <row r="10" spans="1:16" x14ac:dyDescent="0.25">
      <c r="A10" s="44" t="s">
        <v>23</v>
      </c>
      <c r="B10" s="49">
        <v>0</v>
      </c>
      <c r="C10" s="49">
        <v>0</v>
      </c>
      <c r="D10" s="49">
        <v>0</v>
      </c>
      <c r="E10" s="49">
        <v>0</v>
      </c>
      <c r="F10" s="49">
        <v>0</v>
      </c>
      <c r="G10" s="49">
        <v>105</v>
      </c>
      <c r="H10" s="49">
        <v>220</v>
      </c>
      <c r="I10" s="49">
        <v>119</v>
      </c>
      <c r="J10" s="49">
        <v>0</v>
      </c>
      <c r="K10" s="49">
        <v>0</v>
      </c>
      <c r="L10" s="49">
        <v>0</v>
      </c>
      <c r="M10" s="49">
        <v>0</v>
      </c>
      <c r="N10" s="49">
        <v>444</v>
      </c>
      <c r="O10" s="49">
        <v>44.4</v>
      </c>
      <c r="P10" s="48">
        <v>0.1</v>
      </c>
    </row>
    <row r="11" spans="1:16" x14ac:dyDescent="0.25">
      <c r="A11" s="44" t="s">
        <v>29</v>
      </c>
      <c r="B11" s="49">
        <v>0</v>
      </c>
      <c r="C11" s="49">
        <v>0</v>
      </c>
      <c r="D11" s="49">
        <v>0</v>
      </c>
      <c r="E11" s="49">
        <v>0</v>
      </c>
      <c r="F11" s="49">
        <v>0</v>
      </c>
      <c r="G11" s="49">
        <v>195</v>
      </c>
      <c r="H11" s="49">
        <v>270</v>
      </c>
      <c r="I11" s="49">
        <v>60</v>
      </c>
      <c r="J11" s="49">
        <v>90</v>
      </c>
      <c r="K11" s="49">
        <v>0</v>
      </c>
      <c r="L11" s="49">
        <v>0</v>
      </c>
      <c r="M11" s="49">
        <v>0</v>
      </c>
      <c r="N11" s="49">
        <v>615</v>
      </c>
      <c r="O11" s="49">
        <v>307.5</v>
      </c>
      <c r="P11" s="48">
        <v>0.5</v>
      </c>
    </row>
    <row r="12" spans="1:16" x14ac:dyDescent="0.25">
      <c r="A12" s="44" t="s">
        <v>30</v>
      </c>
      <c r="B12" s="49">
        <v>0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0</v>
      </c>
      <c r="P12" s="48">
        <v>0.12</v>
      </c>
    </row>
    <row r="13" spans="1:16" ht="15.75" thickBot="1" x14ac:dyDescent="0.3">
      <c r="A13" s="44" t="s">
        <v>17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310.22000000000003</v>
      </c>
      <c r="H13" s="51">
        <v>443.54</v>
      </c>
      <c r="I13" s="51">
        <v>305.88</v>
      </c>
      <c r="J13" s="51">
        <v>90.77</v>
      </c>
      <c r="K13" s="51">
        <v>0</v>
      </c>
      <c r="L13" s="51">
        <v>0</v>
      </c>
      <c r="M13" s="51">
        <v>0</v>
      </c>
      <c r="N13" s="51">
        <v>1150.4099999999999</v>
      </c>
      <c r="O13" s="51">
        <v>92.03</v>
      </c>
      <c r="P13" s="52">
        <v>0.08</v>
      </c>
    </row>
    <row r="14" spans="1:16" ht="15.75" thickTop="1" x14ac:dyDescent="0.25">
      <c r="A14" s="44" t="s">
        <v>15</v>
      </c>
      <c r="B14" s="49">
        <v>0</v>
      </c>
      <c r="C14" s="49">
        <v>0</v>
      </c>
      <c r="D14" s="49">
        <v>0</v>
      </c>
      <c r="E14" s="49">
        <v>0</v>
      </c>
      <c r="F14" s="49">
        <v>17894.309999999998</v>
      </c>
      <c r="G14" s="49">
        <v>55371.82</v>
      </c>
      <c r="H14" s="49">
        <v>86291.86</v>
      </c>
      <c r="I14" s="49">
        <v>62917.909999999996</v>
      </c>
      <c r="J14" s="49">
        <v>23923.49</v>
      </c>
      <c r="K14" s="49">
        <v>0</v>
      </c>
      <c r="L14" s="49">
        <v>0</v>
      </c>
      <c r="M14" s="49">
        <v>0</v>
      </c>
      <c r="N14" s="49">
        <v>246399.39</v>
      </c>
      <c r="O14" s="49">
        <v>21496.280000000002</v>
      </c>
      <c r="P14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85546875" customWidth="1"/>
    <col min="2" max="5" width="6.140625" bestFit="1" customWidth="1"/>
    <col min="6" max="9" width="10.7109375" bestFit="1" customWidth="1"/>
    <col min="10" max="10" width="9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7.28515625" bestFit="1" customWidth="1"/>
  </cols>
  <sheetData>
    <row r="1" spans="1:16" x14ac:dyDescent="0.25">
      <c r="A1" s="53" t="s">
        <v>33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x14ac:dyDescent="0.25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25">
      <c r="A3" s="54" t="s">
        <v>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 t="s">
        <v>18</v>
      </c>
      <c r="O3" s="53" t="s">
        <v>20</v>
      </c>
      <c r="P3" s="53" t="s">
        <v>1</v>
      </c>
    </row>
    <row r="4" spans="1:16" x14ac:dyDescent="0.25">
      <c r="A4" s="55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  <c r="H4" s="59" t="s">
        <v>9</v>
      </c>
      <c r="I4" s="59" t="s">
        <v>10</v>
      </c>
      <c r="J4" s="59" t="s">
        <v>11</v>
      </c>
      <c r="K4" s="59" t="s">
        <v>12</v>
      </c>
      <c r="L4" s="59" t="s">
        <v>13</v>
      </c>
      <c r="M4" s="59" t="s">
        <v>14</v>
      </c>
      <c r="N4" s="56" t="s">
        <v>25</v>
      </c>
      <c r="O4" s="56" t="s">
        <v>16</v>
      </c>
      <c r="P4" s="56" t="s">
        <v>16</v>
      </c>
    </row>
    <row r="5" spans="1:16" x14ac:dyDescent="0.25">
      <c r="A5" s="53" t="s">
        <v>26</v>
      </c>
      <c r="B5" s="58">
        <v>0</v>
      </c>
      <c r="C5" s="58">
        <v>0</v>
      </c>
      <c r="D5" s="58">
        <v>0</v>
      </c>
      <c r="E5" s="58">
        <v>0</v>
      </c>
      <c r="F5" s="58">
        <v>8906.25</v>
      </c>
      <c r="G5" s="58">
        <v>17484</v>
      </c>
      <c r="H5" s="58">
        <v>47729.5</v>
      </c>
      <c r="I5" s="58">
        <v>43827.5</v>
      </c>
      <c r="J5" s="58">
        <v>5707</v>
      </c>
      <c r="K5" s="58">
        <v>0</v>
      </c>
      <c r="L5" s="58">
        <v>0</v>
      </c>
      <c r="M5" s="58">
        <v>0</v>
      </c>
      <c r="N5" s="58">
        <v>123654.25</v>
      </c>
      <c r="O5" s="58">
        <v>13601.98</v>
      </c>
      <c r="P5" s="57">
        <v>0.11</v>
      </c>
    </row>
    <row r="6" spans="1:16" x14ac:dyDescent="0.25">
      <c r="A6" s="53" t="s">
        <v>27</v>
      </c>
      <c r="B6" s="58">
        <v>0</v>
      </c>
      <c r="C6" s="58">
        <v>0</v>
      </c>
      <c r="D6" s="58">
        <v>0</v>
      </c>
      <c r="E6" s="58">
        <v>0</v>
      </c>
      <c r="F6" s="58">
        <v>590.69000000000005</v>
      </c>
      <c r="G6" s="58">
        <v>2542.5100000000002</v>
      </c>
      <c r="H6" s="58">
        <v>4457.96</v>
      </c>
      <c r="I6" s="58">
        <v>2360.59</v>
      </c>
      <c r="J6" s="58">
        <v>42.75</v>
      </c>
      <c r="K6" s="58">
        <v>0</v>
      </c>
      <c r="L6" s="58">
        <v>0</v>
      </c>
      <c r="M6" s="58">
        <v>0</v>
      </c>
      <c r="N6" s="58">
        <v>9994.5</v>
      </c>
      <c r="O6" s="58">
        <v>699.62</v>
      </c>
      <c r="P6" s="57">
        <v>7.0000000000000007E-2</v>
      </c>
    </row>
    <row r="7" spans="1:16" x14ac:dyDescent="0.25">
      <c r="A7" s="53" t="s">
        <v>22</v>
      </c>
      <c r="B7" s="58">
        <v>0</v>
      </c>
      <c r="C7" s="58">
        <v>0</v>
      </c>
      <c r="D7" s="58">
        <v>0</v>
      </c>
      <c r="E7" s="58">
        <v>0</v>
      </c>
      <c r="F7" s="58">
        <v>523.49</v>
      </c>
      <c r="G7" s="58">
        <v>915.49</v>
      </c>
      <c r="H7" s="58">
        <v>1437.41</v>
      </c>
      <c r="I7" s="58">
        <v>1584.48</v>
      </c>
      <c r="J7" s="58">
        <v>126.4</v>
      </c>
      <c r="K7" s="58">
        <v>0</v>
      </c>
      <c r="L7" s="58">
        <v>0</v>
      </c>
      <c r="M7" s="58">
        <v>0</v>
      </c>
      <c r="N7" s="58">
        <v>4587.2700000000004</v>
      </c>
      <c r="O7" s="58">
        <v>504.58999999999992</v>
      </c>
      <c r="P7" s="57">
        <v>0.11</v>
      </c>
    </row>
    <row r="8" spans="1:16" x14ac:dyDescent="0.25">
      <c r="A8" s="53" t="s">
        <v>28</v>
      </c>
      <c r="B8" s="58">
        <v>0</v>
      </c>
      <c r="C8" s="58">
        <v>0</v>
      </c>
      <c r="D8" s="58">
        <v>0</v>
      </c>
      <c r="E8" s="58">
        <v>0</v>
      </c>
      <c r="F8" s="58">
        <v>2710.2</v>
      </c>
      <c r="G8" s="58">
        <v>8472.06</v>
      </c>
      <c r="H8" s="58">
        <v>21530.22</v>
      </c>
      <c r="I8" s="58">
        <v>16341.81</v>
      </c>
      <c r="J8" s="58">
        <v>1028.8699999999999</v>
      </c>
      <c r="K8" s="58">
        <v>0</v>
      </c>
      <c r="L8" s="58">
        <v>0</v>
      </c>
      <c r="M8" s="58">
        <v>0</v>
      </c>
      <c r="N8" s="58">
        <v>50083.16</v>
      </c>
      <c r="O8" s="58">
        <v>1502.4999999999998</v>
      </c>
      <c r="P8" s="57">
        <v>0.03</v>
      </c>
    </row>
    <row r="9" spans="1:16" x14ac:dyDescent="0.25">
      <c r="A9" s="53" t="s">
        <v>21</v>
      </c>
      <c r="B9" s="58">
        <v>0</v>
      </c>
      <c r="C9" s="58">
        <v>0</v>
      </c>
      <c r="D9" s="58">
        <v>0</v>
      </c>
      <c r="E9" s="58">
        <v>0</v>
      </c>
      <c r="F9" s="58">
        <v>1366.59</v>
      </c>
      <c r="G9" s="58">
        <v>6339.01</v>
      </c>
      <c r="H9" s="58">
        <v>9964.35</v>
      </c>
      <c r="I9" s="58">
        <v>7068.99</v>
      </c>
      <c r="J9" s="58">
        <v>1509.31</v>
      </c>
      <c r="K9" s="58">
        <v>0</v>
      </c>
      <c r="L9" s="58">
        <v>0</v>
      </c>
      <c r="M9" s="58">
        <v>0</v>
      </c>
      <c r="N9" s="58">
        <v>26248.250000000004</v>
      </c>
      <c r="O9" s="58">
        <v>2099.86</v>
      </c>
      <c r="P9" s="57">
        <v>0.08</v>
      </c>
    </row>
    <row r="10" spans="1:16" x14ac:dyDescent="0.25">
      <c r="A10" s="53" t="s">
        <v>23</v>
      </c>
      <c r="B10" s="58">
        <v>0</v>
      </c>
      <c r="C10" s="58">
        <v>0</v>
      </c>
      <c r="D10" s="58">
        <v>0</v>
      </c>
      <c r="E10" s="58">
        <v>0</v>
      </c>
      <c r="F10" s="58">
        <v>194</v>
      </c>
      <c r="G10" s="58">
        <v>180</v>
      </c>
      <c r="H10" s="58">
        <v>257</v>
      </c>
      <c r="I10" s="58">
        <v>175</v>
      </c>
      <c r="J10" s="58">
        <v>100</v>
      </c>
      <c r="K10" s="58">
        <v>0</v>
      </c>
      <c r="L10" s="58">
        <v>0</v>
      </c>
      <c r="M10" s="58">
        <v>0</v>
      </c>
      <c r="N10" s="58">
        <v>906</v>
      </c>
      <c r="O10" s="58">
        <v>90.6</v>
      </c>
      <c r="P10" s="57">
        <v>0.1</v>
      </c>
    </row>
    <row r="11" spans="1:16" x14ac:dyDescent="0.25">
      <c r="A11" s="53" t="s">
        <v>29</v>
      </c>
      <c r="B11" s="58">
        <v>0</v>
      </c>
      <c r="C11" s="58">
        <v>0</v>
      </c>
      <c r="D11" s="58">
        <v>0</v>
      </c>
      <c r="E11" s="58">
        <v>0</v>
      </c>
      <c r="F11" s="58">
        <v>15</v>
      </c>
      <c r="G11" s="58">
        <v>105</v>
      </c>
      <c r="H11" s="58">
        <v>345</v>
      </c>
      <c r="I11" s="58">
        <v>250</v>
      </c>
      <c r="J11" s="58">
        <v>0</v>
      </c>
      <c r="K11" s="58">
        <v>0</v>
      </c>
      <c r="L11" s="58">
        <v>0</v>
      </c>
      <c r="M11" s="58">
        <v>0</v>
      </c>
      <c r="N11" s="58">
        <v>715</v>
      </c>
      <c r="O11" s="58">
        <v>357.5</v>
      </c>
      <c r="P11" s="57">
        <v>0.5</v>
      </c>
    </row>
    <row r="12" spans="1:16" x14ac:dyDescent="0.25">
      <c r="A12" s="53" t="s">
        <v>30</v>
      </c>
      <c r="B12" s="58">
        <v>0</v>
      </c>
      <c r="C12" s="58">
        <v>0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58">
        <v>0</v>
      </c>
      <c r="L12" s="58">
        <v>0</v>
      </c>
      <c r="M12" s="58">
        <v>0</v>
      </c>
      <c r="N12" s="58">
        <v>0</v>
      </c>
      <c r="O12" s="58">
        <v>0</v>
      </c>
      <c r="P12" s="57">
        <v>0.12</v>
      </c>
    </row>
    <row r="13" spans="1:16" ht="15.75" thickBot="1" x14ac:dyDescent="0.3">
      <c r="A13" s="53" t="s">
        <v>17</v>
      </c>
      <c r="B13" s="60">
        <v>0</v>
      </c>
      <c r="C13" s="60">
        <v>0</v>
      </c>
      <c r="D13" s="60">
        <v>0</v>
      </c>
      <c r="E13" s="60">
        <v>0</v>
      </c>
      <c r="F13" s="60">
        <v>0</v>
      </c>
      <c r="G13" s="60">
        <v>43.76</v>
      </c>
      <c r="H13" s="60">
        <v>436.33</v>
      </c>
      <c r="I13" s="60">
        <v>275.68</v>
      </c>
      <c r="J13" s="60">
        <v>0</v>
      </c>
      <c r="K13" s="60">
        <v>0</v>
      </c>
      <c r="L13" s="60">
        <v>0</v>
      </c>
      <c r="M13" s="60">
        <v>0</v>
      </c>
      <c r="N13" s="60">
        <v>755.77</v>
      </c>
      <c r="O13" s="60">
        <v>60.459999999999994</v>
      </c>
      <c r="P13" s="61">
        <v>0.08</v>
      </c>
    </row>
    <row r="14" spans="1:16" ht="15.75" thickTop="1" x14ac:dyDescent="0.25">
      <c r="A14" s="53" t="s">
        <v>15</v>
      </c>
      <c r="B14" s="58">
        <v>0</v>
      </c>
      <c r="C14" s="58">
        <v>0</v>
      </c>
      <c r="D14" s="58">
        <v>0</v>
      </c>
      <c r="E14" s="58">
        <v>0</v>
      </c>
      <c r="F14" s="58">
        <v>14306.220000000001</v>
      </c>
      <c r="G14" s="58">
        <v>36081.830000000009</v>
      </c>
      <c r="H14" s="58">
        <v>86157.77</v>
      </c>
      <c r="I14" s="58">
        <v>71884.049999999988</v>
      </c>
      <c r="J14" s="58">
        <v>8514.33</v>
      </c>
      <c r="K14" s="58">
        <v>0</v>
      </c>
      <c r="L14" s="58">
        <v>0</v>
      </c>
      <c r="M14" s="58">
        <v>0</v>
      </c>
      <c r="N14" s="58">
        <v>216944.19999999998</v>
      </c>
      <c r="O14" s="58">
        <v>18917.109999999997</v>
      </c>
      <c r="P14" s="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85546875" customWidth="1"/>
    <col min="2" max="5" width="6.140625" bestFit="1" customWidth="1"/>
    <col min="6" max="6" width="9.7109375" bestFit="1" customWidth="1"/>
    <col min="7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7.28515625" bestFit="1" customWidth="1"/>
  </cols>
  <sheetData>
    <row r="1" spans="1:16" x14ac:dyDescent="0.25">
      <c r="A1" s="62" t="s">
        <v>34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25">
      <c r="A3" s="63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 t="s">
        <v>18</v>
      </c>
      <c r="O3" s="62" t="s">
        <v>20</v>
      </c>
      <c r="P3" s="62" t="s">
        <v>1</v>
      </c>
    </row>
    <row r="4" spans="1:16" x14ac:dyDescent="0.25">
      <c r="A4" s="64" t="s">
        <v>2</v>
      </c>
      <c r="B4" s="68" t="s">
        <v>3</v>
      </c>
      <c r="C4" s="68" t="s">
        <v>4</v>
      </c>
      <c r="D4" s="68" t="s">
        <v>5</v>
      </c>
      <c r="E4" s="68" t="s">
        <v>6</v>
      </c>
      <c r="F4" s="68" t="s">
        <v>7</v>
      </c>
      <c r="G4" s="68" t="s">
        <v>8</v>
      </c>
      <c r="H4" s="68" t="s">
        <v>9</v>
      </c>
      <c r="I4" s="68" t="s">
        <v>10</v>
      </c>
      <c r="J4" s="68" t="s">
        <v>11</v>
      </c>
      <c r="K4" s="68" t="s">
        <v>12</v>
      </c>
      <c r="L4" s="68" t="s">
        <v>13</v>
      </c>
      <c r="M4" s="68" t="s">
        <v>14</v>
      </c>
      <c r="N4" s="65" t="s">
        <v>25</v>
      </c>
      <c r="O4" s="65" t="s">
        <v>16</v>
      </c>
      <c r="P4" s="65" t="s">
        <v>16</v>
      </c>
    </row>
    <row r="5" spans="1:16" x14ac:dyDescent="0.25">
      <c r="A5" s="62" t="s">
        <v>26</v>
      </c>
      <c r="B5" s="67">
        <v>0</v>
      </c>
      <c r="C5" s="67">
        <v>0</v>
      </c>
      <c r="D5" s="67">
        <v>0</v>
      </c>
      <c r="E5" s="67">
        <v>0</v>
      </c>
      <c r="F5" s="67">
        <v>5315.5</v>
      </c>
      <c r="G5" s="67">
        <v>25190</v>
      </c>
      <c r="H5" s="67">
        <v>57261.5</v>
      </c>
      <c r="I5" s="67">
        <v>36657</v>
      </c>
      <c r="J5" s="67">
        <v>9759.25</v>
      </c>
      <c r="K5" s="67">
        <v>0</v>
      </c>
      <c r="L5" s="67">
        <v>0</v>
      </c>
      <c r="M5" s="67">
        <v>0</v>
      </c>
      <c r="N5" s="67">
        <v>134183.25</v>
      </c>
      <c r="O5" s="67">
        <v>7380.0800000000008</v>
      </c>
      <c r="P5" s="66">
        <v>5.5E-2</v>
      </c>
    </row>
    <row r="6" spans="1:16" x14ac:dyDescent="0.25">
      <c r="A6" s="62" t="s">
        <v>27</v>
      </c>
      <c r="B6" s="67">
        <v>0</v>
      </c>
      <c r="C6" s="67">
        <v>0</v>
      </c>
      <c r="D6" s="67">
        <v>0</v>
      </c>
      <c r="E6" s="67">
        <v>0</v>
      </c>
      <c r="F6" s="67">
        <v>415.04</v>
      </c>
      <c r="G6" s="67">
        <v>3342.39</v>
      </c>
      <c r="H6" s="67">
        <v>4972.38</v>
      </c>
      <c r="I6" s="67">
        <v>1429.21</v>
      </c>
      <c r="J6" s="67">
        <v>392.04</v>
      </c>
      <c r="K6" s="67">
        <v>0</v>
      </c>
      <c r="L6" s="67">
        <v>0</v>
      </c>
      <c r="M6" s="67">
        <v>0</v>
      </c>
      <c r="N6" s="67">
        <v>10551.060000000001</v>
      </c>
      <c r="O6" s="67">
        <v>369.28</v>
      </c>
      <c r="P6" s="66">
        <v>3.5000000000000003E-2</v>
      </c>
    </row>
    <row r="7" spans="1:16" x14ac:dyDescent="0.25">
      <c r="A7" s="62" t="s">
        <v>22</v>
      </c>
      <c r="B7" s="67">
        <v>0</v>
      </c>
      <c r="C7" s="67">
        <v>0</v>
      </c>
      <c r="D7" s="67">
        <v>0</v>
      </c>
      <c r="E7" s="67">
        <v>0</v>
      </c>
      <c r="F7" s="67">
        <v>309.45</v>
      </c>
      <c r="G7" s="67">
        <v>1176.97</v>
      </c>
      <c r="H7" s="67">
        <v>1225.78</v>
      </c>
      <c r="I7" s="67">
        <v>523.04</v>
      </c>
      <c r="J7" s="67">
        <v>246.4</v>
      </c>
      <c r="K7" s="67">
        <v>0</v>
      </c>
      <c r="L7" s="67">
        <v>0</v>
      </c>
      <c r="M7" s="67">
        <v>0</v>
      </c>
      <c r="N7" s="67">
        <v>3481.64</v>
      </c>
      <c r="O7" s="67">
        <v>191.49</v>
      </c>
      <c r="P7" s="66">
        <v>5.5E-2</v>
      </c>
    </row>
    <row r="8" spans="1:16" x14ac:dyDescent="0.25">
      <c r="A8" s="62" t="s">
        <v>28</v>
      </c>
      <c r="B8" s="67">
        <v>0</v>
      </c>
      <c r="C8" s="67">
        <v>0</v>
      </c>
      <c r="D8" s="67">
        <v>0</v>
      </c>
      <c r="E8" s="67">
        <v>0</v>
      </c>
      <c r="F8" s="67">
        <v>1192.6400000000001</v>
      </c>
      <c r="G8" s="67">
        <v>9343.9</v>
      </c>
      <c r="H8" s="67">
        <v>19812.18</v>
      </c>
      <c r="I8" s="67">
        <v>12916.97</v>
      </c>
      <c r="J8" s="67">
        <v>5757.75</v>
      </c>
      <c r="K8" s="67">
        <v>0</v>
      </c>
      <c r="L8" s="67">
        <v>0</v>
      </c>
      <c r="M8" s="67">
        <v>0</v>
      </c>
      <c r="N8" s="67">
        <v>49023.44</v>
      </c>
      <c r="O8" s="67">
        <v>0</v>
      </c>
      <c r="P8" s="66">
        <v>0</v>
      </c>
    </row>
    <row r="9" spans="1:16" x14ac:dyDescent="0.25">
      <c r="A9" s="62" t="s">
        <v>21</v>
      </c>
      <c r="B9" s="67">
        <v>0</v>
      </c>
      <c r="C9" s="67">
        <v>0</v>
      </c>
      <c r="D9" s="67">
        <v>0</v>
      </c>
      <c r="E9" s="67">
        <v>0</v>
      </c>
      <c r="F9" s="67">
        <v>1305.4000000000001</v>
      </c>
      <c r="G9" s="67">
        <v>7723.54</v>
      </c>
      <c r="H9" s="67">
        <v>11118.84</v>
      </c>
      <c r="I9" s="67">
        <v>5314.59</v>
      </c>
      <c r="J9" s="67">
        <v>1301.5899999999999</v>
      </c>
      <c r="K9" s="67">
        <v>0</v>
      </c>
      <c r="L9" s="67">
        <v>0</v>
      </c>
      <c r="M9" s="67">
        <v>0</v>
      </c>
      <c r="N9" s="67">
        <v>26763.96</v>
      </c>
      <c r="O9" s="67">
        <v>0</v>
      </c>
      <c r="P9" s="66">
        <v>0</v>
      </c>
    </row>
    <row r="10" spans="1:16" x14ac:dyDescent="0.25">
      <c r="A10" s="62" t="s">
        <v>23</v>
      </c>
      <c r="B10" s="67">
        <v>0</v>
      </c>
      <c r="C10" s="67">
        <v>0</v>
      </c>
      <c r="D10" s="67">
        <v>0</v>
      </c>
      <c r="E10" s="67">
        <v>0</v>
      </c>
      <c r="F10" s="67">
        <v>0</v>
      </c>
      <c r="G10" s="67">
        <v>390</v>
      </c>
      <c r="H10" s="67">
        <v>530</v>
      </c>
      <c r="I10" s="67">
        <v>320</v>
      </c>
      <c r="J10" s="67">
        <v>50</v>
      </c>
      <c r="K10" s="67">
        <v>0</v>
      </c>
      <c r="L10" s="67">
        <v>0</v>
      </c>
      <c r="M10" s="67">
        <v>0</v>
      </c>
      <c r="N10" s="67">
        <v>1290</v>
      </c>
      <c r="O10" s="67">
        <v>64.5</v>
      </c>
      <c r="P10" s="66">
        <v>0.05</v>
      </c>
    </row>
    <row r="11" spans="1:16" x14ac:dyDescent="0.25">
      <c r="A11" s="62" t="s">
        <v>29</v>
      </c>
      <c r="B11" s="67">
        <v>0</v>
      </c>
      <c r="C11" s="67">
        <v>0</v>
      </c>
      <c r="D11" s="67">
        <v>0</v>
      </c>
      <c r="E11" s="67">
        <v>0</v>
      </c>
      <c r="F11" s="67">
        <v>0</v>
      </c>
      <c r="G11" s="67">
        <v>795</v>
      </c>
      <c r="H11" s="67">
        <v>750</v>
      </c>
      <c r="I11" s="67">
        <v>210</v>
      </c>
      <c r="J11" s="67">
        <v>60</v>
      </c>
      <c r="K11" s="67">
        <v>0</v>
      </c>
      <c r="L11" s="67">
        <v>0</v>
      </c>
      <c r="M11" s="67">
        <v>0</v>
      </c>
      <c r="N11" s="67">
        <v>1815</v>
      </c>
      <c r="O11" s="67">
        <v>453.75</v>
      </c>
      <c r="P11" s="66">
        <v>0.25</v>
      </c>
    </row>
    <row r="12" spans="1:16" x14ac:dyDescent="0.25">
      <c r="A12" s="62" t="s">
        <v>30</v>
      </c>
      <c r="B12" s="67">
        <v>0</v>
      </c>
      <c r="C12" s="67">
        <v>0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6">
        <v>0.06</v>
      </c>
    </row>
    <row r="13" spans="1:16" ht="15.75" thickBot="1" x14ac:dyDescent="0.3">
      <c r="A13" s="62" t="s">
        <v>17</v>
      </c>
      <c r="B13" s="69">
        <v>0</v>
      </c>
      <c r="C13" s="69">
        <v>0</v>
      </c>
      <c r="D13" s="69">
        <v>0</v>
      </c>
      <c r="E13" s="69">
        <v>0</v>
      </c>
      <c r="F13" s="69">
        <v>63.04</v>
      </c>
      <c r="G13" s="69">
        <v>46.52</v>
      </c>
      <c r="H13" s="69">
        <v>181.11</v>
      </c>
      <c r="I13" s="69">
        <v>142.41</v>
      </c>
      <c r="J13" s="69">
        <v>0</v>
      </c>
      <c r="K13" s="69">
        <v>0</v>
      </c>
      <c r="L13" s="69">
        <v>0</v>
      </c>
      <c r="M13" s="69">
        <v>0</v>
      </c>
      <c r="N13" s="69">
        <v>433.08000000000004</v>
      </c>
      <c r="O13" s="69">
        <v>17.32</v>
      </c>
      <c r="P13" s="70">
        <v>0.04</v>
      </c>
    </row>
    <row r="14" spans="1:16" ht="15.75" thickTop="1" x14ac:dyDescent="0.25">
      <c r="A14" s="62" t="s">
        <v>15</v>
      </c>
      <c r="B14" s="67">
        <v>0</v>
      </c>
      <c r="C14" s="67">
        <v>0</v>
      </c>
      <c r="D14" s="67">
        <v>0</v>
      </c>
      <c r="E14" s="67">
        <v>0</v>
      </c>
      <c r="F14" s="67">
        <v>8601.0700000000015</v>
      </c>
      <c r="G14" s="67">
        <v>48008.32</v>
      </c>
      <c r="H14" s="67">
        <v>95851.79</v>
      </c>
      <c r="I14" s="67">
        <v>57513.22</v>
      </c>
      <c r="J14" s="67">
        <v>17567.03</v>
      </c>
      <c r="K14" s="67">
        <v>0</v>
      </c>
      <c r="L14" s="67">
        <v>0</v>
      </c>
      <c r="M14" s="67">
        <v>0</v>
      </c>
      <c r="N14" s="67">
        <v>227541.43</v>
      </c>
      <c r="O14" s="67">
        <v>8476.42</v>
      </c>
      <c r="P14" s="6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85546875" customWidth="1"/>
    <col min="2" max="4" width="6.140625" bestFit="1" customWidth="1"/>
    <col min="5" max="5" width="9.7109375" bestFit="1" customWidth="1"/>
    <col min="6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7.28515625" bestFit="1" customWidth="1"/>
  </cols>
  <sheetData>
    <row r="1" spans="1:16" x14ac:dyDescent="0.25">
      <c r="A1" s="71" t="s">
        <v>35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x14ac:dyDescent="0.2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16" x14ac:dyDescent="0.25">
      <c r="A3" s="72" t="s">
        <v>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 t="s">
        <v>18</v>
      </c>
      <c r="O3" s="71" t="s">
        <v>20</v>
      </c>
      <c r="P3" s="71" t="s">
        <v>1</v>
      </c>
    </row>
    <row r="4" spans="1:16" x14ac:dyDescent="0.25">
      <c r="A4" s="73" t="s">
        <v>2</v>
      </c>
      <c r="B4" s="77" t="s">
        <v>3</v>
      </c>
      <c r="C4" s="77" t="s">
        <v>4</v>
      </c>
      <c r="D4" s="77" t="s">
        <v>5</v>
      </c>
      <c r="E4" s="77" t="s">
        <v>6</v>
      </c>
      <c r="F4" s="77" t="s">
        <v>7</v>
      </c>
      <c r="G4" s="77" t="s">
        <v>8</v>
      </c>
      <c r="H4" s="77" t="s">
        <v>9</v>
      </c>
      <c r="I4" s="77" t="s">
        <v>10</v>
      </c>
      <c r="J4" s="77" t="s">
        <v>11</v>
      </c>
      <c r="K4" s="77" t="s">
        <v>12</v>
      </c>
      <c r="L4" s="77" t="s">
        <v>13</v>
      </c>
      <c r="M4" s="77" t="s">
        <v>14</v>
      </c>
      <c r="N4" s="74" t="s">
        <v>25</v>
      </c>
      <c r="O4" s="74" t="s">
        <v>16</v>
      </c>
      <c r="P4" s="74" t="s">
        <v>16</v>
      </c>
    </row>
    <row r="5" spans="1:16" x14ac:dyDescent="0.25">
      <c r="A5" s="71" t="s">
        <v>26</v>
      </c>
      <c r="B5" s="76">
        <v>0</v>
      </c>
      <c r="C5" s="76">
        <v>0</v>
      </c>
      <c r="D5" s="76">
        <v>0</v>
      </c>
      <c r="E5" s="76">
        <v>664</v>
      </c>
      <c r="F5" s="76">
        <v>5804.5</v>
      </c>
      <c r="G5" s="76">
        <v>9681</v>
      </c>
      <c r="H5" s="76">
        <v>26103.599999999999</v>
      </c>
      <c r="I5" s="76">
        <v>25671.5</v>
      </c>
      <c r="J5" s="76">
        <v>14346.5</v>
      </c>
      <c r="K5" s="76">
        <v>0</v>
      </c>
      <c r="L5" s="76">
        <v>0</v>
      </c>
      <c r="M5" s="76">
        <v>0</v>
      </c>
      <c r="N5" s="76">
        <v>82271.100000000006</v>
      </c>
      <c r="O5" s="76">
        <v>9049.84</v>
      </c>
      <c r="P5" s="75">
        <v>0.11</v>
      </c>
    </row>
    <row r="6" spans="1:16" x14ac:dyDescent="0.25">
      <c r="A6" s="71" t="s">
        <v>27</v>
      </c>
      <c r="B6" s="76">
        <v>0</v>
      </c>
      <c r="C6" s="76">
        <v>0</v>
      </c>
      <c r="D6" s="76">
        <v>0</v>
      </c>
      <c r="E6" s="76">
        <v>173.8</v>
      </c>
      <c r="F6" s="76">
        <v>541.12</v>
      </c>
      <c r="G6" s="76">
        <v>2363.8200000000002</v>
      </c>
      <c r="H6" s="76">
        <v>3763.63</v>
      </c>
      <c r="I6" s="76">
        <v>1686.55</v>
      </c>
      <c r="J6" s="76">
        <v>1281.44</v>
      </c>
      <c r="K6" s="76">
        <v>0</v>
      </c>
      <c r="L6" s="76">
        <v>0</v>
      </c>
      <c r="M6" s="76">
        <v>0</v>
      </c>
      <c r="N6" s="76">
        <v>9810.36</v>
      </c>
      <c r="O6" s="76">
        <v>686.73</v>
      </c>
      <c r="P6" s="75">
        <v>7.0000000000000007E-2</v>
      </c>
    </row>
    <row r="7" spans="1:16" x14ac:dyDescent="0.25">
      <c r="A7" s="71" t="s">
        <v>22</v>
      </c>
      <c r="B7" s="76">
        <v>0</v>
      </c>
      <c r="C7" s="76">
        <v>0</v>
      </c>
      <c r="D7" s="76">
        <v>0</v>
      </c>
      <c r="E7" s="76">
        <v>59.33</v>
      </c>
      <c r="F7" s="76">
        <v>380.19</v>
      </c>
      <c r="G7" s="76">
        <v>464.02</v>
      </c>
      <c r="H7" s="76">
        <v>824.86</v>
      </c>
      <c r="I7" s="76">
        <v>563.24</v>
      </c>
      <c r="J7" s="76">
        <v>422.11</v>
      </c>
      <c r="K7" s="76">
        <v>0</v>
      </c>
      <c r="L7" s="76">
        <v>0</v>
      </c>
      <c r="M7" s="76">
        <v>0</v>
      </c>
      <c r="N7" s="76">
        <v>2713.7500000000005</v>
      </c>
      <c r="O7" s="76">
        <v>298.51</v>
      </c>
      <c r="P7" s="75">
        <v>0.11</v>
      </c>
    </row>
    <row r="8" spans="1:16" x14ac:dyDescent="0.25">
      <c r="A8" s="71" t="s">
        <v>28</v>
      </c>
      <c r="B8" s="76">
        <v>0</v>
      </c>
      <c r="C8" s="76">
        <v>0</v>
      </c>
      <c r="D8" s="76">
        <v>0</v>
      </c>
      <c r="E8" s="76">
        <v>221.72</v>
      </c>
      <c r="F8" s="76">
        <v>2081.64</v>
      </c>
      <c r="G8" s="76">
        <v>4546.18</v>
      </c>
      <c r="H8" s="76">
        <v>11237.75</v>
      </c>
      <c r="I8" s="76">
        <v>9532.83</v>
      </c>
      <c r="J8" s="76">
        <v>6429.4</v>
      </c>
      <c r="K8" s="76">
        <v>0</v>
      </c>
      <c r="L8" s="76">
        <v>0</v>
      </c>
      <c r="M8" s="76">
        <v>0</v>
      </c>
      <c r="N8" s="76">
        <v>34049.520000000004</v>
      </c>
      <c r="O8" s="76">
        <v>1021.48</v>
      </c>
      <c r="P8" s="75">
        <v>0.03</v>
      </c>
    </row>
    <row r="9" spans="1:16" x14ac:dyDescent="0.25">
      <c r="A9" s="71" t="s">
        <v>21</v>
      </c>
      <c r="B9" s="76">
        <v>0</v>
      </c>
      <c r="C9" s="76">
        <v>0</v>
      </c>
      <c r="D9" s="76">
        <v>0</v>
      </c>
      <c r="E9" s="76">
        <v>307.33999999999997</v>
      </c>
      <c r="F9" s="76">
        <v>2196.5100000000002</v>
      </c>
      <c r="G9" s="76">
        <v>3806.65</v>
      </c>
      <c r="H9" s="76">
        <v>7108.03</v>
      </c>
      <c r="I9" s="76">
        <v>5742.64</v>
      </c>
      <c r="J9" s="76">
        <v>3021.17</v>
      </c>
      <c r="K9" s="76">
        <v>0</v>
      </c>
      <c r="L9" s="76">
        <v>0</v>
      </c>
      <c r="M9" s="76">
        <v>0</v>
      </c>
      <c r="N9" s="76">
        <v>22182.339999999997</v>
      </c>
      <c r="O9" s="76">
        <v>1774.58</v>
      </c>
      <c r="P9" s="75">
        <v>0.08</v>
      </c>
    </row>
    <row r="10" spans="1:16" x14ac:dyDescent="0.25">
      <c r="A10" s="71" t="s">
        <v>23</v>
      </c>
      <c r="B10" s="76">
        <v>0</v>
      </c>
      <c r="C10" s="76">
        <v>0</v>
      </c>
      <c r="D10" s="76">
        <v>0</v>
      </c>
      <c r="E10" s="76">
        <v>28</v>
      </c>
      <c r="F10" s="76">
        <v>230</v>
      </c>
      <c r="G10" s="76">
        <v>288</v>
      </c>
      <c r="H10" s="76">
        <v>300</v>
      </c>
      <c r="I10" s="76">
        <v>320</v>
      </c>
      <c r="J10" s="76">
        <v>280</v>
      </c>
      <c r="K10" s="76">
        <v>0</v>
      </c>
      <c r="L10" s="76">
        <v>0</v>
      </c>
      <c r="M10" s="76">
        <v>0</v>
      </c>
      <c r="N10" s="76">
        <v>1446</v>
      </c>
      <c r="O10" s="76">
        <v>144.6</v>
      </c>
      <c r="P10" s="75">
        <v>0.1</v>
      </c>
    </row>
    <row r="11" spans="1:16" x14ac:dyDescent="0.25">
      <c r="A11" s="71" t="s">
        <v>29</v>
      </c>
      <c r="B11" s="76">
        <v>0</v>
      </c>
      <c r="C11" s="76">
        <v>0</v>
      </c>
      <c r="D11" s="76">
        <v>0</v>
      </c>
      <c r="E11" s="76">
        <v>0</v>
      </c>
      <c r="F11" s="76">
        <v>60</v>
      </c>
      <c r="G11" s="76">
        <v>415</v>
      </c>
      <c r="H11" s="76">
        <v>855</v>
      </c>
      <c r="I11" s="76">
        <v>110</v>
      </c>
      <c r="J11" s="76">
        <v>180</v>
      </c>
      <c r="K11" s="76">
        <v>0</v>
      </c>
      <c r="L11" s="76">
        <v>0</v>
      </c>
      <c r="M11" s="76">
        <v>0</v>
      </c>
      <c r="N11" s="76">
        <v>1620</v>
      </c>
      <c r="O11" s="76">
        <v>810</v>
      </c>
      <c r="P11" s="75">
        <v>0.5</v>
      </c>
    </row>
    <row r="12" spans="1:16" x14ac:dyDescent="0.25">
      <c r="A12" s="71" t="s">
        <v>30</v>
      </c>
      <c r="B12" s="76">
        <v>0</v>
      </c>
      <c r="C12" s="76">
        <v>0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5">
        <v>0.12</v>
      </c>
    </row>
    <row r="13" spans="1:16" ht="15.75" thickBot="1" x14ac:dyDescent="0.3">
      <c r="A13" s="71" t="s">
        <v>17</v>
      </c>
      <c r="B13" s="78">
        <v>0</v>
      </c>
      <c r="C13" s="78">
        <v>0</v>
      </c>
      <c r="D13" s="78">
        <v>0</v>
      </c>
      <c r="E13" s="78">
        <v>0</v>
      </c>
      <c r="F13" s="78">
        <v>19.22</v>
      </c>
      <c r="G13" s="78">
        <v>0</v>
      </c>
      <c r="H13" s="78">
        <v>100.43</v>
      </c>
      <c r="I13" s="78">
        <v>128.81</v>
      </c>
      <c r="J13" s="78">
        <v>59.03</v>
      </c>
      <c r="K13" s="78">
        <v>0</v>
      </c>
      <c r="L13" s="78">
        <v>0</v>
      </c>
      <c r="M13" s="78">
        <v>0</v>
      </c>
      <c r="N13" s="78">
        <v>307.49</v>
      </c>
      <c r="O13" s="78">
        <v>24.589999999999996</v>
      </c>
      <c r="P13" s="79">
        <v>0.08</v>
      </c>
    </row>
    <row r="14" spans="1:16" ht="15.75" thickTop="1" x14ac:dyDescent="0.25">
      <c r="A14" s="71" t="s">
        <v>15</v>
      </c>
      <c r="B14" s="76">
        <v>0</v>
      </c>
      <c r="C14" s="76">
        <v>0</v>
      </c>
      <c r="D14" s="76">
        <v>0</v>
      </c>
      <c r="E14" s="76">
        <v>1454.1899999999998</v>
      </c>
      <c r="F14" s="76">
        <v>11313.179999999998</v>
      </c>
      <c r="G14" s="76">
        <v>21564.670000000002</v>
      </c>
      <c r="H14" s="76">
        <v>50293.299999999996</v>
      </c>
      <c r="I14" s="76">
        <v>43755.57</v>
      </c>
      <c r="J14" s="76">
        <v>26019.65</v>
      </c>
      <c r="K14" s="76">
        <v>0</v>
      </c>
      <c r="L14" s="76">
        <v>0</v>
      </c>
      <c r="M14" s="76">
        <v>0</v>
      </c>
      <c r="N14" s="76">
        <v>154400.56</v>
      </c>
      <c r="O14" s="76">
        <v>13810.33</v>
      </c>
      <c r="P14" s="7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A15" sqref="A15"/>
    </sheetView>
  </sheetViews>
  <sheetFormatPr defaultRowHeight="15" x14ac:dyDescent="0.25"/>
  <cols>
    <col min="1" max="1" width="23.85546875" customWidth="1"/>
    <col min="2" max="5" width="6.140625" bestFit="1" customWidth="1"/>
    <col min="6" max="6" width="9.7109375" bestFit="1" customWidth="1"/>
    <col min="7" max="9" width="10.7109375" bestFit="1" customWidth="1"/>
    <col min="10" max="10" width="9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7.28515625" bestFit="1" customWidth="1"/>
  </cols>
  <sheetData>
    <row r="1" spans="1:16" x14ac:dyDescent="0.25">
      <c r="A1" s="80" t="s">
        <v>36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x14ac:dyDescent="0.25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81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 t="s">
        <v>18</v>
      </c>
      <c r="O3" s="80" t="s">
        <v>20</v>
      </c>
      <c r="P3" s="80" t="s">
        <v>1</v>
      </c>
    </row>
    <row r="4" spans="1:16" x14ac:dyDescent="0.25">
      <c r="A4" s="82" t="s">
        <v>2</v>
      </c>
      <c r="B4" s="86" t="s">
        <v>3</v>
      </c>
      <c r="C4" s="86" t="s">
        <v>4</v>
      </c>
      <c r="D4" s="86" t="s">
        <v>5</v>
      </c>
      <c r="E4" s="86" t="s">
        <v>6</v>
      </c>
      <c r="F4" s="86" t="s">
        <v>7</v>
      </c>
      <c r="G4" s="86" t="s">
        <v>8</v>
      </c>
      <c r="H4" s="86" t="s">
        <v>9</v>
      </c>
      <c r="I4" s="86" t="s">
        <v>10</v>
      </c>
      <c r="J4" s="86" t="s">
        <v>11</v>
      </c>
      <c r="K4" s="86" t="s">
        <v>12</v>
      </c>
      <c r="L4" s="86" t="s">
        <v>13</v>
      </c>
      <c r="M4" s="86" t="s">
        <v>14</v>
      </c>
      <c r="N4" s="83" t="s">
        <v>25</v>
      </c>
      <c r="O4" s="83" t="s">
        <v>16</v>
      </c>
      <c r="P4" s="83" t="s">
        <v>16</v>
      </c>
    </row>
    <row r="5" spans="1:16" x14ac:dyDescent="0.25">
      <c r="A5" s="80" t="s">
        <v>26</v>
      </c>
      <c r="B5" s="85">
        <v>0</v>
      </c>
      <c r="C5" s="85">
        <v>0</v>
      </c>
      <c r="D5" s="85">
        <v>0</v>
      </c>
      <c r="E5" s="85">
        <v>0</v>
      </c>
      <c r="F5" s="85">
        <v>2846.5</v>
      </c>
      <c r="G5" s="85">
        <v>11812.5</v>
      </c>
      <c r="H5" s="85">
        <v>33992.75</v>
      </c>
      <c r="I5" s="85">
        <v>27459.5</v>
      </c>
      <c r="J5" s="85">
        <v>4769</v>
      </c>
      <c r="K5" s="85">
        <v>0</v>
      </c>
      <c r="L5" s="85">
        <v>0</v>
      </c>
      <c r="M5" s="85">
        <v>0</v>
      </c>
      <c r="N5" s="85">
        <v>80880.25</v>
      </c>
      <c r="O5" s="85">
        <v>8896.84</v>
      </c>
      <c r="P5" s="84">
        <v>0.11</v>
      </c>
    </row>
    <row r="6" spans="1:16" x14ac:dyDescent="0.25">
      <c r="A6" s="80" t="s">
        <v>27</v>
      </c>
      <c r="B6" s="85">
        <v>0</v>
      </c>
      <c r="C6" s="85">
        <v>0</v>
      </c>
      <c r="D6" s="85">
        <v>0</v>
      </c>
      <c r="E6" s="85">
        <v>0</v>
      </c>
      <c r="F6" s="85">
        <v>767.26</v>
      </c>
      <c r="G6" s="85">
        <v>3019.88</v>
      </c>
      <c r="H6" s="85">
        <v>3902.52</v>
      </c>
      <c r="I6" s="85">
        <v>2624.53</v>
      </c>
      <c r="J6" s="85">
        <v>86.18</v>
      </c>
      <c r="K6" s="85">
        <v>0</v>
      </c>
      <c r="L6" s="85">
        <v>0</v>
      </c>
      <c r="M6" s="85">
        <v>0</v>
      </c>
      <c r="N6" s="85">
        <v>10400.370000000001</v>
      </c>
      <c r="O6" s="85">
        <v>728.03</v>
      </c>
      <c r="P6" s="84">
        <v>7.0000000000000007E-2</v>
      </c>
    </row>
    <row r="7" spans="1:16" x14ac:dyDescent="0.25">
      <c r="A7" s="80" t="s">
        <v>22</v>
      </c>
      <c r="B7" s="85">
        <v>0</v>
      </c>
      <c r="C7" s="85">
        <v>0</v>
      </c>
      <c r="D7" s="85">
        <v>0</v>
      </c>
      <c r="E7" s="85">
        <v>0</v>
      </c>
      <c r="F7" s="85">
        <v>629.11</v>
      </c>
      <c r="G7" s="85">
        <v>926.36</v>
      </c>
      <c r="H7" s="85">
        <v>1279.28</v>
      </c>
      <c r="I7" s="85">
        <v>535.54999999999995</v>
      </c>
      <c r="J7" s="85">
        <v>164.71</v>
      </c>
      <c r="K7" s="85">
        <v>0</v>
      </c>
      <c r="L7" s="85">
        <v>0</v>
      </c>
      <c r="M7" s="85">
        <v>0</v>
      </c>
      <c r="N7" s="85">
        <v>3535.01</v>
      </c>
      <c r="O7" s="85">
        <v>388.85</v>
      </c>
      <c r="P7" s="84">
        <v>0.11</v>
      </c>
    </row>
    <row r="8" spans="1:16" x14ac:dyDescent="0.25">
      <c r="A8" s="80" t="s">
        <v>28</v>
      </c>
      <c r="B8" s="85">
        <v>0</v>
      </c>
      <c r="C8" s="85">
        <v>0</v>
      </c>
      <c r="D8" s="85">
        <v>0</v>
      </c>
      <c r="E8" s="85">
        <v>0</v>
      </c>
      <c r="F8" s="85">
        <v>972.03</v>
      </c>
      <c r="G8" s="85">
        <v>5235.6899999999996</v>
      </c>
      <c r="H8" s="85">
        <v>10157.370000000001</v>
      </c>
      <c r="I8" s="85">
        <v>8274.57</v>
      </c>
      <c r="J8" s="85">
        <v>2863.65</v>
      </c>
      <c r="K8" s="85">
        <v>0</v>
      </c>
      <c r="L8" s="85">
        <v>0</v>
      </c>
      <c r="M8" s="85">
        <v>0</v>
      </c>
      <c r="N8" s="85">
        <v>27503.31</v>
      </c>
      <c r="O8" s="85">
        <v>825.1</v>
      </c>
      <c r="P8" s="84">
        <v>0.03</v>
      </c>
    </row>
    <row r="9" spans="1:16" x14ac:dyDescent="0.25">
      <c r="A9" s="80" t="s">
        <v>21</v>
      </c>
      <c r="B9" s="85">
        <v>0</v>
      </c>
      <c r="C9" s="85">
        <v>0</v>
      </c>
      <c r="D9" s="85">
        <v>0</v>
      </c>
      <c r="E9" s="85">
        <v>0</v>
      </c>
      <c r="F9" s="85">
        <v>1674.92</v>
      </c>
      <c r="G9" s="85">
        <v>4920.5200000000004</v>
      </c>
      <c r="H9" s="85">
        <v>5897.48</v>
      </c>
      <c r="I9" s="85">
        <v>4591.5</v>
      </c>
      <c r="J9" s="85">
        <v>1563.68</v>
      </c>
      <c r="K9" s="85">
        <v>0</v>
      </c>
      <c r="L9" s="85">
        <v>0</v>
      </c>
      <c r="M9" s="85">
        <v>0</v>
      </c>
      <c r="N9" s="85">
        <v>18648.099999999999</v>
      </c>
      <c r="O9" s="85">
        <v>1491.8400000000001</v>
      </c>
      <c r="P9" s="84">
        <v>0.08</v>
      </c>
    </row>
    <row r="10" spans="1:16" x14ac:dyDescent="0.25">
      <c r="A10" s="80" t="s">
        <v>23</v>
      </c>
      <c r="B10" s="85">
        <v>0</v>
      </c>
      <c r="C10" s="85">
        <v>0</v>
      </c>
      <c r="D10" s="85">
        <v>0</v>
      </c>
      <c r="E10" s="85">
        <v>0</v>
      </c>
      <c r="F10" s="85">
        <v>40</v>
      </c>
      <c r="G10" s="85">
        <v>149</v>
      </c>
      <c r="H10" s="85">
        <v>305</v>
      </c>
      <c r="I10" s="85">
        <v>246</v>
      </c>
      <c r="J10" s="85">
        <v>114</v>
      </c>
      <c r="K10" s="85">
        <v>0</v>
      </c>
      <c r="L10" s="85">
        <v>0</v>
      </c>
      <c r="M10" s="85">
        <v>0</v>
      </c>
      <c r="N10" s="85">
        <v>854</v>
      </c>
      <c r="O10" s="85">
        <v>85.4</v>
      </c>
      <c r="P10" s="84">
        <v>0.1</v>
      </c>
    </row>
    <row r="11" spans="1:16" x14ac:dyDescent="0.25">
      <c r="A11" s="80" t="s">
        <v>29</v>
      </c>
      <c r="B11" s="85">
        <v>0</v>
      </c>
      <c r="C11" s="85">
        <v>0</v>
      </c>
      <c r="D11" s="85">
        <v>0</v>
      </c>
      <c r="E11" s="85">
        <v>0</v>
      </c>
      <c r="F11" s="85">
        <v>10</v>
      </c>
      <c r="G11" s="85">
        <v>150</v>
      </c>
      <c r="H11" s="85">
        <v>140</v>
      </c>
      <c r="I11" s="85">
        <v>260</v>
      </c>
      <c r="J11" s="85">
        <v>50</v>
      </c>
      <c r="K11" s="85">
        <v>0</v>
      </c>
      <c r="L11" s="85">
        <v>0</v>
      </c>
      <c r="M11" s="85">
        <v>0</v>
      </c>
      <c r="N11" s="85">
        <v>610</v>
      </c>
      <c r="O11" s="85">
        <v>305</v>
      </c>
      <c r="P11" s="84">
        <v>0.5</v>
      </c>
    </row>
    <row r="12" spans="1:16" x14ac:dyDescent="0.25">
      <c r="A12" s="80" t="s">
        <v>30</v>
      </c>
      <c r="B12" s="85">
        <v>0</v>
      </c>
      <c r="C12" s="85">
        <v>0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4">
        <v>0.12</v>
      </c>
    </row>
    <row r="13" spans="1:16" ht="15.75" thickBot="1" x14ac:dyDescent="0.3">
      <c r="A13" s="80" t="s">
        <v>17</v>
      </c>
      <c r="B13" s="87">
        <v>0</v>
      </c>
      <c r="C13" s="87">
        <v>0</v>
      </c>
      <c r="D13" s="87">
        <v>0</v>
      </c>
      <c r="E13" s="87">
        <v>0</v>
      </c>
      <c r="F13" s="87">
        <v>21.45</v>
      </c>
      <c r="G13" s="87">
        <v>148.86000000000001</v>
      </c>
      <c r="H13" s="87">
        <v>244.71</v>
      </c>
      <c r="I13" s="87">
        <v>158.9</v>
      </c>
      <c r="J13" s="87">
        <v>32</v>
      </c>
      <c r="K13" s="87">
        <v>0</v>
      </c>
      <c r="L13" s="87">
        <v>0</v>
      </c>
      <c r="M13" s="87">
        <v>0</v>
      </c>
      <c r="N13" s="87">
        <v>605.91999999999996</v>
      </c>
      <c r="O13" s="87">
        <v>48.480000000000004</v>
      </c>
      <c r="P13" s="88">
        <v>0.08</v>
      </c>
    </row>
    <row r="14" spans="1:16" ht="15.75" thickTop="1" x14ac:dyDescent="0.25">
      <c r="A14" s="80" t="s">
        <v>15</v>
      </c>
      <c r="B14" s="85">
        <v>0</v>
      </c>
      <c r="C14" s="85">
        <v>0</v>
      </c>
      <c r="D14" s="85">
        <v>0</v>
      </c>
      <c r="E14" s="85">
        <v>0</v>
      </c>
      <c r="F14" s="85">
        <v>6961.2699999999995</v>
      </c>
      <c r="G14" s="85">
        <v>26362.81</v>
      </c>
      <c r="H14" s="85">
        <v>55919.109999999993</v>
      </c>
      <c r="I14" s="85">
        <v>44150.549999999996</v>
      </c>
      <c r="J14" s="85">
        <v>9643.2200000000012</v>
      </c>
      <c r="K14" s="85">
        <v>0</v>
      </c>
      <c r="L14" s="85">
        <v>0</v>
      </c>
      <c r="M14" s="85">
        <v>0</v>
      </c>
      <c r="N14" s="85">
        <v>143036.96</v>
      </c>
      <c r="O14" s="85">
        <v>12769.54</v>
      </c>
      <c r="P14" s="8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A16" sqref="A16:B28"/>
    </sheetView>
  </sheetViews>
  <sheetFormatPr defaultRowHeight="15" x14ac:dyDescent="0.25"/>
  <cols>
    <col min="1" max="1" width="23.85546875" customWidth="1"/>
    <col min="2" max="5" width="6.140625" bestFit="1" customWidth="1"/>
    <col min="6" max="10" width="10.7109375" bestFit="1" customWidth="1"/>
    <col min="11" max="11" width="8.140625" bestFit="1" customWidth="1"/>
    <col min="12" max="13" width="6.140625" bestFit="1" customWidth="1"/>
    <col min="14" max="14" width="11.7109375" bestFit="1" customWidth="1"/>
    <col min="15" max="15" width="11.28515625" bestFit="1" customWidth="1"/>
    <col min="16" max="16" width="7.28515625" bestFit="1" customWidth="1"/>
  </cols>
  <sheetData>
    <row r="1" spans="1:16" x14ac:dyDescent="0.25">
      <c r="A1" s="89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0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 t="s">
        <v>18</v>
      </c>
      <c r="O3" s="89" t="s">
        <v>20</v>
      </c>
      <c r="P3" s="89" t="s">
        <v>1</v>
      </c>
    </row>
    <row r="4" spans="1:16" x14ac:dyDescent="0.25">
      <c r="A4" s="91" t="s">
        <v>2</v>
      </c>
      <c r="B4" s="95" t="s">
        <v>3</v>
      </c>
      <c r="C4" s="95" t="s">
        <v>4</v>
      </c>
      <c r="D4" s="95" t="s">
        <v>5</v>
      </c>
      <c r="E4" s="95" t="s">
        <v>6</v>
      </c>
      <c r="F4" s="95" t="s">
        <v>7</v>
      </c>
      <c r="G4" s="95" t="s">
        <v>8</v>
      </c>
      <c r="H4" s="95" t="s">
        <v>9</v>
      </c>
      <c r="I4" s="95" t="s">
        <v>10</v>
      </c>
      <c r="J4" s="95" t="s">
        <v>11</v>
      </c>
      <c r="K4" s="95" t="s">
        <v>12</v>
      </c>
      <c r="L4" s="95" t="s">
        <v>13</v>
      </c>
      <c r="M4" s="95" t="s">
        <v>14</v>
      </c>
      <c r="N4" s="92" t="s">
        <v>25</v>
      </c>
      <c r="O4" s="92" t="s">
        <v>16</v>
      </c>
      <c r="P4" s="92" t="s">
        <v>16</v>
      </c>
    </row>
    <row r="5" spans="1:16" x14ac:dyDescent="0.25">
      <c r="A5" s="89" t="s">
        <v>26</v>
      </c>
      <c r="B5" s="94">
        <v>0</v>
      </c>
      <c r="C5" s="94">
        <v>0</v>
      </c>
      <c r="D5" s="94">
        <v>0</v>
      </c>
      <c r="E5" s="94">
        <v>0</v>
      </c>
      <c r="F5" s="94">
        <v>4696.25</v>
      </c>
      <c r="G5" s="94">
        <v>24668</v>
      </c>
      <c r="H5" s="94">
        <v>44496</v>
      </c>
      <c r="I5" s="94">
        <v>33358</v>
      </c>
      <c r="J5" s="94">
        <v>12575</v>
      </c>
      <c r="K5" s="94">
        <v>405</v>
      </c>
      <c r="L5" s="94">
        <v>0</v>
      </c>
      <c r="M5" s="94">
        <v>0</v>
      </c>
      <c r="N5" s="94">
        <v>120198.25</v>
      </c>
      <c r="O5" s="94">
        <v>9615.8599999999988</v>
      </c>
      <c r="P5" s="93">
        <v>0.08</v>
      </c>
    </row>
    <row r="6" spans="1:16" x14ac:dyDescent="0.25">
      <c r="A6" s="89" t="s">
        <v>27</v>
      </c>
      <c r="B6" s="94">
        <v>0</v>
      </c>
      <c r="C6" s="94">
        <v>0</v>
      </c>
      <c r="D6" s="94">
        <v>0</v>
      </c>
      <c r="E6" s="94">
        <v>0</v>
      </c>
      <c r="F6" s="94">
        <v>843.11</v>
      </c>
      <c r="G6" s="94">
        <v>4861.54</v>
      </c>
      <c r="H6" s="94">
        <v>6522.52</v>
      </c>
      <c r="I6" s="94">
        <v>3355.86</v>
      </c>
      <c r="J6" s="94">
        <v>1476.7</v>
      </c>
      <c r="K6" s="94">
        <v>0</v>
      </c>
      <c r="L6" s="94">
        <v>0</v>
      </c>
      <c r="M6" s="94">
        <v>0</v>
      </c>
      <c r="N6" s="94">
        <v>17059.73</v>
      </c>
      <c r="O6" s="94">
        <v>767.68000000000006</v>
      </c>
      <c r="P6" s="93">
        <v>4.4999999999999998E-2</v>
      </c>
    </row>
    <row r="7" spans="1:16" x14ac:dyDescent="0.25">
      <c r="A7" s="89" t="s">
        <v>22</v>
      </c>
      <c r="B7" s="94">
        <v>0</v>
      </c>
      <c r="C7" s="94">
        <v>0</v>
      </c>
      <c r="D7" s="94">
        <v>0</v>
      </c>
      <c r="E7" s="94">
        <v>0</v>
      </c>
      <c r="F7" s="94">
        <v>681.46</v>
      </c>
      <c r="G7" s="94">
        <v>1381.12</v>
      </c>
      <c r="H7" s="94">
        <v>1533.78</v>
      </c>
      <c r="I7" s="94">
        <v>906.68</v>
      </c>
      <c r="J7" s="94">
        <v>445.15</v>
      </c>
      <c r="K7" s="94">
        <v>0</v>
      </c>
      <c r="L7" s="94">
        <v>0</v>
      </c>
      <c r="M7" s="94">
        <v>0</v>
      </c>
      <c r="N7" s="94">
        <v>4948.1899999999996</v>
      </c>
      <c r="O7" s="94">
        <v>321.62</v>
      </c>
      <c r="P7" s="93">
        <v>6.5000000000000002E-2</v>
      </c>
    </row>
    <row r="8" spans="1:16" x14ac:dyDescent="0.25">
      <c r="A8" s="89" t="s">
        <v>38</v>
      </c>
      <c r="B8" s="94">
        <v>0</v>
      </c>
      <c r="C8" s="94">
        <v>0</v>
      </c>
      <c r="D8" s="94">
        <v>0</v>
      </c>
      <c r="E8" s="94">
        <v>0</v>
      </c>
      <c r="F8" s="94">
        <v>1723.47</v>
      </c>
      <c r="G8" s="94">
        <v>10705.87</v>
      </c>
      <c r="H8" s="94">
        <v>18036.96</v>
      </c>
      <c r="I8" s="94">
        <v>12350.84</v>
      </c>
      <c r="J8" s="94">
        <v>7686.73</v>
      </c>
      <c r="K8" s="94">
        <v>77.849999999999994</v>
      </c>
      <c r="L8" s="94">
        <v>0</v>
      </c>
      <c r="M8" s="94">
        <v>0</v>
      </c>
      <c r="N8" s="94">
        <v>50581.719999999994</v>
      </c>
      <c r="O8" s="94">
        <v>0</v>
      </c>
      <c r="P8" s="93">
        <v>0</v>
      </c>
    </row>
    <row r="9" spans="1:16" x14ac:dyDescent="0.25">
      <c r="A9" s="89" t="s">
        <v>21</v>
      </c>
      <c r="B9" s="94">
        <v>0</v>
      </c>
      <c r="C9" s="94">
        <v>0</v>
      </c>
      <c r="D9" s="94">
        <v>0</v>
      </c>
      <c r="E9" s="94">
        <v>0</v>
      </c>
      <c r="F9" s="94">
        <v>1857.98</v>
      </c>
      <c r="G9" s="94">
        <v>7366.22</v>
      </c>
      <c r="H9" s="94">
        <v>8254.09</v>
      </c>
      <c r="I9" s="94">
        <v>5823.1</v>
      </c>
      <c r="J9" s="94">
        <v>2220.66</v>
      </c>
      <c r="K9" s="94">
        <v>357.8</v>
      </c>
      <c r="L9" s="94">
        <v>0</v>
      </c>
      <c r="M9" s="94">
        <v>0</v>
      </c>
      <c r="N9" s="94">
        <v>25879.85</v>
      </c>
      <c r="O9" s="94">
        <v>1682.1899999999998</v>
      </c>
      <c r="P9" s="93">
        <v>6.5000000000000002E-2</v>
      </c>
    </row>
    <row r="10" spans="1:16" x14ac:dyDescent="0.25">
      <c r="A10" s="89" t="s">
        <v>39</v>
      </c>
      <c r="B10" s="94">
        <v>0</v>
      </c>
      <c r="C10" s="94">
        <v>0</v>
      </c>
      <c r="D10" s="94">
        <v>0</v>
      </c>
      <c r="E10" s="94">
        <v>0</v>
      </c>
      <c r="F10" s="94">
        <v>147</v>
      </c>
      <c r="G10" s="94">
        <v>1038</v>
      </c>
      <c r="H10" s="94">
        <v>842</v>
      </c>
      <c r="I10" s="94">
        <v>316</v>
      </c>
      <c r="J10" s="94">
        <v>71</v>
      </c>
      <c r="K10" s="94">
        <v>30</v>
      </c>
      <c r="L10" s="94">
        <v>0</v>
      </c>
      <c r="M10" s="94">
        <v>0</v>
      </c>
      <c r="N10" s="94">
        <v>2444</v>
      </c>
      <c r="O10" s="94">
        <v>158.87</v>
      </c>
      <c r="P10" s="93">
        <v>6.5000000000000002E-2</v>
      </c>
    </row>
    <row r="11" spans="1:16" x14ac:dyDescent="0.25">
      <c r="A11" s="89" t="s">
        <v>29</v>
      </c>
      <c r="B11" s="94">
        <v>0</v>
      </c>
      <c r="C11" s="94">
        <v>0</v>
      </c>
      <c r="D11" s="94">
        <v>0</v>
      </c>
      <c r="E11" s="94">
        <v>0</v>
      </c>
      <c r="F11" s="94">
        <v>40</v>
      </c>
      <c r="G11" s="94">
        <v>340</v>
      </c>
      <c r="H11" s="94">
        <v>670</v>
      </c>
      <c r="I11" s="94">
        <v>260</v>
      </c>
      <c r="J11" s="94">
        <v>90</v>
      </c>
      <c r="K11" s="94">
        <v>0</v>
      </c>
      <c r="L11" s="94">
        <v>0</v>
      </c>
      <c r="M11" s="94">
        <v>0</v>
      </c>
      <c r="N11" s="94">
        <v>1400</v>
      </c>
      <c r="O11" s="94">
        <v>672</v>
      </c>
      <c r="P11" s="93">
        <v>0.48</v>
      </c>
    </row>
    <row r="12" spans="1:16" x14ac:dyDescent="0.25">
      <c r="A12" s="89" t="s">
        <v>30</v>
      </c>
      <c r="B12" s="94">
        <v>0</v>
      </c>
      <c r="C12" s="94">
        <v>0</v>
      </c>
      <c r="D12" s="94">
        <v>0</v>
      </c>
      <c r="E12" s="94">
        <v>0</v>
      </c>
      <c r="F12" s="94">
        <v>0</v>
      </c>
      <c r="G12" s="94">
        <v>48.48</v>
      </c>
      <c r="H12" s="94">
        <v>0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48.48</v>
      </c>
      <c r="O12" s="94">
        <v>3.88</v>
      </c>
      <c r="P12" s="93">
        <v>0.08</v>
      </c>
    </row>
    <row r="13" spans="1:16" ht="15.75" thickBot="1" x14ac:dyDescent="0.3">
      <c r="A13" s="96" t="s">
        <v>17</v>
      </c>
      <c r="B13" s="97">
        <v>0</v>
      </c>
      <c r="C13" s="97">
        <v>0</v>
      </c>
      <c r="D13" s="97">
        <v>0</v>
      </c>
      <c r="E13" s="97">
        <v>0</v>
      </c>
      <c r="F13" s="97">
        <v>67.98</v>
      </c>
      <c r="G13" s="97">
        <v>363.15</v>
      </c>
      <c r="H13" s="97">
        <v>514.73</v>
      </c>
      <c r="I13" s="97">
        <v>170.37</v>
      </c>
      <c r="J13" s="97">
        <v>85.12</v>
      </c>
      <c r="K13" s="97">
        <v>0</v>
      </c>
      <c r="L13" s="97">
        <v>0</v>
      </c>
      <c r="M13" s="97">
        <v>0</v>
      </c>
      <c r="N13" s="97">
        <v>1201.3499999999999</v>
      </c>
      <c r="O13" s="97">
        <v>78.080000000000013</v>
      </c>
      <c r="P13" s="98">
        <v>6.5000000000000002E-2</v>
      </c>
    </row>
    <row r="14" spans="1:16" ht="15.75" thickTop="1" x14ac:dyDescent="0.25">
      <c r="A14" s="99" t="s">
        <v>15</v>
      </c>
      <c r="B14" s="94">
        <v>0</v>
      </c>
      <c r="C14" s="94">
        <v>0</v>
      </c>
      <c r="D14" s="94">
        <v>0</v>
      </c>
      <c r="E14" s="94">
        <v>0</v>
      </c>
      <c r="F14" s="94">
        <v>10057.25</v>
      </c>
      <c r="G14" s="94">
        <v>50772.380000000005</v>
      </c>
      <c r="H14" s="94">
        <v>80870.080000000002</v>
      </c>
      <c r="I14" s="94">
        <v>56540.850000000006</v>
      </c>
      <c r="J14" s="94">
        <v>24650.36</v>
      </c>
      <c r="K14" s="94">
        <v>870.65000000000009</v>
      </c>
      <c r="L14" s="94">
        <v>0</v>
      </c>
      <c r="M14" s="94">
        <v>0</v>
      </c>
      <c r="N14" s="94">
        <v>223761.57</v>
      </c>
      <c r="O14" s="94">
        <v>13300.18</v>
      </c>
      <c r="P14" s="89"/>
    </row>
    <row r="17" spans="1:1" x14ac:dyDescent="0.25">
      <c r="A17" s="80"/>
    </row>
    <row r="18" spans="1:1" x14ac:dyDescent="0.25">
      <c r="A18" s="80"/>
    </row>
    <row r="19" spans="1:1" x14ac:dyDescent="0.25">
      <c r="A19" s="80"/>
    </row>
    <row r="20" spans="1:1" x14ac:dyDescent="0.25">
      <c r="A20" s="80"/>
    </row>
    <row r="21" spans="1:1" x14ac:dyDescent="0.25">
      <c r="A21" s="80"/>
    </row>
    <row r="22" spans="1:1" x14ac:dyDescent="0.25">
      <c r="A22" s="80"/>
    </row>
    <row r="23" spans="1:1" x14ac:dyDescent="0.25">
      <c r="A23" s="80"/>
    </row>
    <row r="24" spans="1:1" x14ac:dyDescent="0.25">
      <c r="A24" s="80"/>
    </row>
    <row r="25" spans="1:1" x14ac:dyDescent="0.25">
      <c r="A25" s="8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B21" sqref="B21"/>
    </sheetView>
  </sheetViews>
  <sheetFormatPr defaultRowHeight="15" x14ac:dyDescent="0.25"/>
  <cols>
    <col min="1" max="1" width="23.85546875" customWidth="1"/>
    <col min="2" max="5" width="6.140625" bestFit="1" customWidth="1"/>
    <col min="6" max="6" width="9.7109375" bestFit="1" customWidth="1"/>
    <col min="7" max="9" width="10.7109375" bestFit="1" customWidth="1"/>
    <col min="10" max="10" width="9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5.28515625" bestFit="1" customWidth="1"/>
  </cols>
  <sheetData>
    <row r="1" spans="1:16" x14ac:dyDescent="0.25">
      <c r="A1" s="100" t="s">
        <v>40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1:16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A3" s="101" t="s">
        <v>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8" t="s">
        <v>18</v>
      </c>
      <c r="O3" s="108" t="s">
        <v>20</v>
      </c>
      <c r="P3" s="108" t="s">
        <v>1</v>
      </c>
    </row>
    <row r="4" spans="1:16" x14ac:dyDescent="0.25">
      <c r="A4" s="102" t="s">
        <v>2</v>
      </c>
      <c r="B4" s="104" t="s">
        <v>3</v>
      </c>
      <c r="C4" s="104" t="s">
        <v>4</v>
      </c>
      <c r="D4" s="104" t="s">
        <v>5</v>
      </c>
      <c r="E4" s="104" t="s">
        <v>6</v>
      </c>
      <c r="F4" s="104" t="s">
        <v>7</v>
      </c>
      <c r="G4" s="104" t="s">
        <v>8</v>
      </c>
      <c r="H4" s="104" t="s">
        <v>9</v>
      </c>
      <c r="I4" s="104" t="s">
        <v>10</v>
      </c>
      <c r="J4" s="104" t="s">
        <v>11</v>
      </c>
      <c r="K4" s="104" t="s">
        <v>12</v>
      </c>
      <c r="L4" s="104" t="s">
        <v>13</v>
      </c>
      <c r="M4" s="104" t="s">
        <v>14</v>
      </c>
      <c r="N4" s="104" t="s">
        <v>25</v>
      </c>
      <c r="O4" s="104" t="s">
        <v>16</v>
      </c>
      <c r="P4" s="104" t="s">
        <v>16</v>
      </c>
    </row>
    <row r="5" spans="1:16" x14ac:dyDescent="0.25">
      <c r="A5" s="100" t="s">
        <v>26</v>
      </c>
      <c r="B5" s="103">
        <v>0</v>
      </c>
      <c r="C5" s="103">
        <v>0</v>
      </c>
      <c r="D5" s="103">
        <v>0</v>
      </c>
      <c r="E5" s="103">
        <v>0</v>
      </c>
      <c r="F5" s="103">
        <v>3287.5</v>
      </c>
      <c r="G5" s="103">
        <v>14418.25</v>
      </c>
      <c r="H5" s="103">
        <v>28756.75</v>
      </c>
      <c r="I5" s="103">
        <v>20623.91</v>
      </c>
      <c r="J5" s="103">
        <v>4382.5</v>
      </c>
      <c r="K5" s="103">
        <v>0</v>
      </c>
      <c r="L5" s="103">
        <v>0</v>
      </c>
      <c r="M5" s="103">
        <v>0</v>
      </c>
      <c r="N5" s="103">
        <v>71468.91</v>
      </c>
      <c r="O5" s="103">
        <v>7146.9</v>
      </c>
      <c r="P5" s="110">
        <v>0.1</v>
      </c>
    </row>
    <row r="6" spans="1:16" x14ac:dyDescent="0.25">
      <c r="A6" s="100" t="s">
        <v>27</v>
      </c>
      <c r="B6" s="103">
        <v>0</v>
      </c>
      <c r="C6" s="103">
        <v>0</v>
      </c>
      <c r="D6" s="103">
        <v>0</v>
      </c>
      <c r="E6" s="103">
        <v>0</v>
      </c>
      <c r="F6" s="103">
        <v>929.59</v>
      </c>
      <c r="G6" s="103">
        <v>4401.1499999999996</v>
      </c>
      <c r="H6" s="103">
        <v>3958.03</v>
      </c>
      <c r="I6" s="103">
        <v>1821.43</v>
      </c>
      <c r="J6" s="103">
        <v>260.39999999999998</v>
      </c>
      <c r="K6" s="103">
        <v>0</v>
      </c>
      <c r="L6" s="103">
        <v>0</v>
      </c>
      <c r="M6" s="103">
        <v>0</v>
      </c>
      <c r="N6" s="103">
        <v>11370.6</v>
      </c>
      <c r="O6" s="103">
        <v>739.07999999999993</v>
      </c>
      <c r="P6" s="109">
        <v>6.5000000000000002E-2</v>
      </c>
    </row>
    <row r="7" spans="1:16" x14ac:dyDescent="0.25">
      <c r="A7" s="100" t="s">
        <v>22</v>
      </c>
      <c r="B7" s="103">
        <v>0</v>
      </c>
      <c r="C7" s="103">
        <v>0</v>
      </c>
      <c r="D7" s="103">
        <v>0</v>
      </c>
      <c r="E7" s="103">
        <v>0</v>
      </c>
      <c r="F7" s="103">
        <v>577.73</v>
      </c>
      <c r="G7" s="103">
        <v>803.03</v>
      </c>
      <c r="H7" s="103">
        <v>1432.86</v>
      </c>
      <c r="I7" s="103">
        <v>826.58</v>
      </c>
      <c r="J7" s="103">
        <v>174.82</v>
      </c>
      <c r="K7" s="103">
        <v>0</v>
      </c>
      <c r="L7" s="103">
        <v>0</v>
      </c>
      <c r="M7" s="103">
        <v>0</v>
      </c>
      <c r="N7" s="103">
        <v>3815.02</v>
      </c>
      <c r="O7" s="103">
        <v>324.28000000000003</v>
      </c>
      <c r="P7" s="109">
        <v>8.5000000000000006E-2</v>
      </c>
    </row>
    <row r="8" spans="1:16" x14ac:dyDescent="0.25">
      <c r="A8" s="100" t="s">
        <v>38</v>
      </c>
      <c r="B8" s="103">
        <v>0</v>
      </c>
      <c r="C8" s="103">
        <v>0</v>
      </c>
      <c r="D8" s="103">
        <v>0</v>
      </c>
      <c r="E8" s="103">
        <v>0</v>
      </c>
      <c r="F8" s="103">
        <v>1406.92</v>
      </c>
      <c r="G8" s="103">
        <v>6576.33</v>
      </c>
      <c r="H8" s="103">
        <v>9834.73</v>
      </c>
      <c r="I8" s="103">
        <v>6730.48</v>
      </c>
      <c r="J8" s="103">
        <v>4291.37</v>
      </c>
      <c r="K8" s="103">
        <v>0</v>
      </c>
      <c r="L8" s="103">
        <v>0</v>
      </c>
      <c r="M8" s="103">
        <v>0</v>
      </c>
      <c r="N8" s="103">
        <v>28839.829999999998</v>
      </c>
      <c r="O8" s="103">
        <v>432.59000000000003</v>
      </c>
      <c r="P8" s="109">
        <v>1.4999999999999999E-2</v>
      </c>
    </row>
    <row r="9" spans="1:16" x14ac:dyDescent="0.25">
      <c r="A9" s="100" t="s">
        <v>21</v>
      </c>
      <c r="B9" s="103">
        <v>0</v>
      </c>
      <c r="C9" s="103">
        <v>0</v>
      </c>
      <c r="D9" s="103">
        <v>0</v>
      </c>
      <c r="E9" s="103">
        <v>0</v>
      </c>
      <c r="F9" s="103">
        <v>2040.31</v>
      </c>
      <c r="G9" s="103">
        <v>5426.93</v>
      </c>
      <c r="H9" s="103">
        <v>6900.7</v>
      </c>
      <c r="I9" s="103">
        <v>3292.83</v>
      </c>
      <c r="J9" s="103">
        <v>674.3900000000001</v>
      </c>
      <c r="K9" s="103">
        <v>0</v>
      </c>
      <c r="L9" s="103">
        <v>0</v>
      </c>
      <c r="M9" s="103">
        <v>0</v>
      </c>
      <c r="N9" s="103">
        <v>18335.159999999996</v>
      </c>
      <c r="O9" s="103">
        <v>1558.49</v>
      </c>
      <c r="P9" s="109">
        <v>8.5000000000000006E-2</v>
      </c>
    </row>
    <row r="10" spans="1:16" x14ac:dyDescent="0.25">
      <c r="A10" s="100" t="s">
        <v>39</v>
      </c>
      <c r="B10" s="103">
        <v>0</v>
      </c>
      <c r="C10" s="103">
        <v>0</v>
      </c>
      <c r="D10" s="103">
        <v>0</v>
      </c>
      <c r="E10" s="103">
        <v>0</v>
      </c>
      <c r="F10" s="103">
        <v>85</v>
      </c>
      <c r="G10" s="103">
        <v>584.75</v>
      </c>
      <c r="H10" s="103">
        <v>921.49</v>
      </c>
      <c r="I10" s="103">
        <v>574.36</v>
      </c>
      <c r="J10" s="103">
        <v>134.5</v>
      </c>
      <c r="K10" s="103">
        <v>0</v>
      </c>
      <c r="L10" s="103">
        <v>0</v>
      </c>
      <c r="M10" s="103">
        <v>0</v>
      </c>
      <c r="N10" s="103">
        <v>2300.1</v>
      </c>
      <c r="O10" s="103">
        <v>195.51000000000002</v>
      </c>
      <c r="P10" s="109">
        <v>8.5000000000000006E-2</v>
      </c>
    </row>
    <row r="11" spans="1:16" x14ac:dyDescent="0.25">
      <c r="A11" s="100" t="s">
        <v>29</v>
      </c>
      <c r="B11" s="103">
        <v>0</v>
      </c>
      <c r="C11" s="103">
        <v>0</v>
      </c>
      <c r="D11" s="103">
        <v>0</v>
      </c>
      <c r="E11" s="103">
        <v>0</v>
      </c>
      <c r="F11" s="103">
        <v>50</v>
      </c>
      <c r="G11" s="103">
        <v>380</v>
      </c>
      <c r="H11" s="103">
        <v>560</v>
      </c>
      <c r="I11" s="103">
        <v>220</v>
      </c>
      <c r="J11" s="103">
        <v>10</v>
      </c>
      <c r="K11" s="103">
        <v>0</v>
      </c>
      <c r="L11" s="103">
        <v>0</v>
      </c>
      <c r="M11" s="103">
        <v>0</v>
      </c>
      <c r="N11" s="103">
        <v>1220</v>
      </c>
      <c r="O11" s="103">
        <v>610</v>
      </c>
      <c r="P11" s="110">
        <v>0.5</v>
      </c>
    </row>
    <row r="12" spans="1:16" x14ac:dyDescent="0.25">
      <c r="A12" s="100" t="s">
        <v>30</v>
      </c>
      <c r="B12" s="103">
        <v>0</v>
      </c>
      <c r="C12" s="103">
        <v>0</v>
      </c>
      <c r="D12" s="103">
        <v>0</v>
      </c>
      <c r="E12" s="103">
        <v>0</v>
      </c>
      <c r="F12" s="103">
        <v>0</v>
      </c>
      <c r="G12" s="103">
        <v>0</v>
      </c>
      <c r="H12" s="103">
        <v>0</v>
      </c>
      <c r="I12" s="103">
        <v>59.02</v>
      </c>
      <c r="J12" s="103">
        <v>0</v>
      </c>
      <c r="K12" s="103">
        <v>0</v>
      </c>
      <c r="L12" s="103">
        <v>0</v>
      </c>
      <c r="M12" s="103">
        <v>0</v>
      </c>
      <c r="N12" s="103">
        <v>59.02</v>
      </c>
      <c r="O12" s="103">
        <v>5.9</v>
      </c>
      <c r="P12" s="110">
        <v>0.1</v>
      </c>
    </row>
    <row r="13" spans="1:16" ht="15.75" thickBot="1" x14ac:dyDescent="0.3">
      <c r="A13" s="105" t="s">
        <v>17</v>
      </c>
      <c r="B13" s="106">
        <v>0</v>
      </c>
      <c r="C13" s="106">
        <v>0</v>
      </c>
      <c r="D13" s="106">
        <v>0</v>
      </c>
      <c r="E13" s="106">
        <v>0</v>
      </c>
      <c r="F13" s="106">
        <v>0</v>
      </c>
      <c r="G13" s="106">
        <v>0</v>
      </c>
      <c r="H13" s="106">
        <v>0</v>
      </c>
      <c r="I13" s="106">
        <v>0</v>
      </c>
      <c r="J13" s="106">
        <v>0</v>
      </c>
      <c r="K13" s="106">
        <v>0</v>
      </c>
      <c r="L13" s="106">
        <v>0</v>
      </c>
      <c r="M13" s="106">
        <v>0</v>
      </c>
      <c r="N13" s="106">
        <v>0</v>
      </c>
      <c r="O13" s="106">
        <v>0</v>
      </c>
      <c r="P13" s="111">
        <v>0.1</v>
      </c>
    </row>
    <row r="14" spans="1:16" ht="15.75" thickTop="1" x14ac:dyDescent="0.25">
      <c r="A14" s="107" t="s">
        <v>15</v>
      </c>
      <c r="B14" s="103">
        <v>0</v>
      </c>
      <c r="C14" s="103">
        <v>0</v>
      </c>
      <c r="D14" s="103">
        <v>0</v>
      </c>
      <c r="E14" s="103">
        <v>0</v>
      </c>
      <c r="F14" s="103">
        <v>8377.0499999999993</v>
      </c>
      <c r="G14" s="103">
        <v>32590.440000000002</v>
      </c>
      <c r="H14" s="103">
        <v>52364.55999999999</v>
      </c>
      <c r="I14" s="103">
        <v>34148.609999999993</v>
      </c>
      <c r="J14" s="103">
        <v>9927.98</v>
      </c>
      <c r="K14" s="103">
        <v>0</v>
      </c>
      <c r="L14" s="103">
        <v>0</v>
      </c>
      <c r="M14" s="103">
        <v>0</v>
      </c>
      <c r="N14" s="103">
        <v>137408.63999999998</v>
      </c>
      <c r="O14" s="103">
        <v>11012.75</v>
      </c>
      <c r="P14" s="10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B21" sqref="B21"/>
    </sheetView>
  </sheetViews>
  <sheetFormatPr defaultRowHeight="15" x14ac:dyDescent="0.25"/>
  <cols>
    <col min="1" max="1" width="23.85546875" customWidth="1"/>
    <col min="2" max="5" width="6.140625" bestFit="1" customWidth="1"/>
    <col min="6" max="6" width="9.7109375" bestFit="1" customWidth="1"/>
    <col min="7" max="10" width="10.7109375" bestFit="1" customWidth="1"/>
    <col min="11" max="13" width="6.140625" bestFit="1" customWidth="1"/>
    <col min="14" max="14" width="11.7109375" bestFit="1" customWidth="1"/>
    <col min="15" max="15" width="11.28515625" bestFit="1" customWidth="1"/>
    <col min="16" max="16" width="5.28515625" bestFit="1" customWidth="1"/>
  </cols>
  <sheetData>
    <row r="1" spans="1:16" x14ac:dyDescent="0.25">
      <c r="A1" s="112" t="s">
        <v>41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5">
      <c r="A3" s="113" t="s">
        <v>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20" t="s">
        <v>18</v>
      </c>
      <c r="O3" s="120" t="s">
        <v>20</v>
      </c>
      <c r="P3" s="120" t="s">
        <v>1</v>
      </c>
    </row>
    <row r="4" spans="1:16" x14ac:dyDescent="0.25">
      <c r="A4" s="114" t="s">
        <v>2</v>
      </c>
      <c r="B4" s="116" t="s">
        <v>3</v>
      </c>
      <c r="C4" s="116" t="s">
        <v>4</v>
      </c>
      <c r="D4" s="116" t="s">
        <v>5</v>
      </c>
      <c r="E4" s="116" t="s">
        <v>6</v>
      </c>
      <c r="F4" s="116" t="s">
        <v>7</v>
      </c>
      <c r="G4" s="116" t="s">
        <v>8</v>
      </c>
      <c r="H4" s="116" t="s">
        <v>9</v>
      </c>
      <c r="I4" s="116" t="s">
        <v>10</v>
      </c>
      <c r="J4" s="116" t="s">
        <v>11</v>
      </c>
      <c r="K4" s="116" t="s">
        <v>12</v>
      </c>
      <c r="L4" s="116" t="s">
        <v>13</v>
      </c>
      <c r="M4" s="116" t="s">
        <v>14</v>
      </c>
      <c r="N4" s="116" t="s">
        <v>25</v>
      </c>
      <c r="O4" s="116" t="s">
        <v>16</v>
      </c>
      <c r="P4" s="116" t="s">
        <v>16</v>
      </c>
    </row>
    <row r="5" spans="1:16" x14ac:dyDescent="0.25">
      <c r="A5" s="112" t="s">
        <v>26</v>
      </c>
      <c r="B5" s="115">
        <v>0</v>
      </c>
      <c r="C5" s="115">
        <v>0</v>
      </c>
      <c r="D5" s="115">
        <v>0</v>
      </c>
      <c r="E5" s="115">
        <v>0</v>
      </c>
      <c r="F5" s="115">
        <v>3388</v>
      </c>
      <c r="G5" s="115">
        <v>14760</v>
      </c>
      <c r="H5" s="115">
        <v>31058.5</v>
      </c>
      <c r="I5" s="115">
        <v>30636.1</v>
      </c>
      <c r="J5" s="115">
        <v>9326.75</v>
      </c>
      <c r="K5" s="115">
        <v>0</v>
      </c>
      <c r="L5" s="115">
        <v>0</v>
      </c>
      <c r="M5" s="115">
        <v>0</v>
      </c>
      <c r="N5" s="115">
        <v>89169.35</v>
      </c>
      <c r="O5" s="115">
        <v>8916.94</v>
      </c>
      <c r="P5" s="122">
        <v>0.1</v>
      </c>
    </row>
    <row r="6" spans="1:16" x14ac:dyDescent="0.25">
      <c r="A6" s="112" t="s">
        <v>27</v>
      </c>
      <c r="B6" s="115">
        <v>0</v>
      </c>
      <c r="C6" s="115">
        <v>0</v>
      </c>
      <c r="D6" s="115">
        <v>0</v>
      </c>
      <c r="E6" s="115">
        <v>0</v>
      </c>
      <c r="F6" s="115">
        <v>519.55999999999995</v>
      </c>
      <c r="G6" s="115">
        <v>3777.4</v>
      </c>
      <c r="H6" s="115">
        <v>4751.95</v>
      </c>
      <c r="I6" s="115">
        <v>3070.17</v>
      </c>
      <c r="J6" s="115">
        <v>869.77</v>
      </c>
      <c r="K6" s="115">
        <v>0</v>
      </c>
      <c r="L6" s="115">
        <v>0</v>
      </c>
      <c r="M6" s="115">
        <v>0</v>
      </c>
      <c r="N6" s="115">
        <v>12988.85</v>
      </c>
      <c r="O6" s="115">
        <v>844.28</v>
      </c>
      <c r="P6" s="121">
        <v>6.5000000000000002E-2</v>
      </c>
    </row>
    <row r="7" spans="1:16" x14ac:dyDescent="0.25">
      <c r="A7" s="112" t="s">
        <v>22</v>
      </c>
      <c r="B7" s="115">
        <v>0</v>
      </c>
      <c r="C7" s="115">
        <v>0</v>
      </c>
      <c r="D7" s="115">
        <v>0</v>
      </c>
      <c r="E7" s="115">
        <v>0</v>
      </c>
      <c r="F7" s="115">
        <v>491.51</v>
      </c>
      <c r="G7" s="115">
        <v>790.09</v>
      </c>
      <c r="H7" s="115">
        <v>1268.83</v>
      </c>
      <c r="I7" s="115">
        <v>1110.32</v>
      </c>
      <c r="J7" s="115">
        <v>321.67</v>
      </c>
      <c r="K7" s="115">
        <v>0</v>
      </c>
      <c r="L7" s="115">
        <v>0</v>
      </c>
      <c r="M7" s="115">
        <v>0</v>
      </c>
      <c r="N7" s="115">
        <v>3982.42</v>
      </c>
      <c r="O7" s="115">
        <v>338.51</v>
      </c>
      <c r="P7" s="121">
        <v>8.5000000000000006E-2</v>
      </c>
    </row>
    <row r="8" spans="1:16" x14ac:dyDescent="0.25">
      <c r="A8" s="112" t="s">
        <v>38</v>
      </c>
      <c r="B8" s="115">
        <v>0</v>
      </c>
      <c r="C8" s="115">
        <v>0</v>
      </c>
      <c r="D8" s="115">
        <v>0</v>
      </c>
      <c r="E8" s="115">
        <v>0</v>
      </c>
      <c r="F8" s="115">
        <v>572.54</v>
      </c>
      <c r="G8" s="115">
        <v>6396.42</v>
      </c>
      <c r="H8" s="115">
        <v>11969.83</v>
      </c>
      <c r="I8" s="115">
        <v>9442.5400000000009</v>
      </c>
      <c r="J8" s="115">
        <v>3138.23</v>
      </c>
      <c r="K8" s="115">
        <v>0</v>
      </c>
      <c r="L8" s="115">
        <v>0</v>
      </c>
      <c r="M8" s="115">
        <v>0</v>
      </c>
      <c r="N8" s="115">
        <v>31519.56</v>
      </c>
      <c r="O8" s="115">
        <v>472.8</v>
      </c>
      <c r="P8" s="121">
        <v>1.4999999999999999E-2</v>
      </c>
    </row>
    <row r="9" spans="1:16" x14ac:dyDescent="0.25">
      <c r="A9" s="112" t="s">
        <v>21</v>
      </c>
      <c r="B9" s="115">
        <v>0</v>
      </c>
      <c r="C9" s="115">
        <v>0</v>
      </c>
      <c r="D9" s="115">
        <v>0</v>
      </c>
      <c r="E9" s="115">
        <v>0</v>
      </c>
      <c r="F9" s="115">
        <v>1729.18</v>
      </c>
      <c r="G9" s="115">
        <v>6118.26</v>
      </c>
      <c r="H9" s="115">
        <v>7553.68</v>
      </c>
      <c r="I9" s="115">
        <v>6035.02</v>
      </c>
      <c r="J9" s="115">
        <v>2321.35</v>
      </c>
      <c r="K9" s="115">
        <v>0</v>
      </c>
      <c r="L9" s="115">
        <v>0</v>
      </c>
      <c r="M9" s="115">
        <v>0</v>
      </c>
      <c r="N9" s="115">
        <v>23757.489999999998</v>
      </c>
      <c r="O9" s="115">
        <v>2019.3799999999999</v>
      </c>
      <c r="P9" s="121">
        <v>8.5000000000000006E-2</v>
      </c>
    </row>
    <row r="10" spans="1:16" x14ac:dyDescent="0.25">
      <c r="A10" s="112" t="s">
        <v>39</v>
      </c>
      <c r="B10" s="115">
        <v>0</v>
      </c>
      <c r="C10" s="115">
        <v>0</v>
      </c>
      <c r="D10" s="115">
        <v>0</v>
      </c>
      <c r="E10" s="115">
        <v>0</v>
      </c>
      <c r="F10" s="115">
        <v>58</v>
      </c>
      <c r="G10" s="115">
        <v>421.38</v>
      </c>
      <c r="H10" s="115">
        <v>539.38</v>
      </c>
      <c r="I10" s="115">
        <v>433.9</v>
      </c>
      <c r="J10" s="115">
        <v>101.27</v>
      </c>
      <c r="K10" s="115">
        <v>0</v>
      </c>
      <c r="L10" s="115">
        <v>0</v>
      </c>
      <c r="M10" s="115">
        <v>0</v>
      </c>
      <c r="N10" s="115">
        <v>1553.9299999999998</v>
      </c>
      <c r="O10" s="115">
        <v>132.09</v>
      </c>
      <c r="P10" s="121">
        <v>8.5000000000000006E-2</v>
      </c>
    </row>
    <row r="11" spans="1:16" x14ac:dyDescent="0.25">
      <c r="A11" s="112" t="s">
        <v>29</v>
      </c>
      <c r="B11" s="115">
        <v>0</v>
      </c>
      <c r="C11" s="115">
        <v>0</v>
      </c>
      <c r="D11" s="115">
        <v>0</v>
      </c>
      <c r="E11" s="115">
        <v>0</v>
      </c>
      <c r="F11" s="115">
        <v>10</v>
      </c>
      <c r="G11" s="115">
        <v>290</v>
      </c>
      <c r="H11" s="115">
        <v>390</v>
      </c>
      <c r="I11" s="115">
        <v>510</v>
      </c>
      <c r="J11" s="115">
        <v>145</v>
      </c>
      <c r="K11" s="115">
        <v>0</v>
      </c>
      <c r="L11" s="115">
        <v>0</v>
      </c>
      <c r="M11" s="115">
        <v>0</v>
      </c>
      <c r="N11" s="115">
        <v>1345</v>
      </c>
      <c r="O11" s="115">
        <v>672.5</v>
      </c>
      <c r="P11" s="122">
        <v>0.5</v>
      </c>
    </row>
    <row r="12" spans="1:16" x14ac:dyDescent="0.25">
      <c r="A12" s="112" t="s">
        <v>30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1.54</v>
      </c>
      <c r="H12" s="115">
        <v>0</v>
      </c>
      <c r="I12" s="115">
        <v>46.16</v>
      </c>
      <c r="J12" s="115">
        <v>1.74</v>
      </c>
      <c r="K12" s="115">
        <v>0</v>
      </c>
      <c r="L12" s="115">
        <v>0</v>
      </c>
      <c r="M12" s="115">
        <v>0</v>
      </c>
      <c r="N12" s="115">
        <v>49.44</v>
      </c>
      <c r="O12" s="115">
        <v>4.9400000000000004</v>
      </c>
      <c r="P12" s="122">
        <v>0.1</v>
      </c>
    </row>
    <row r="13" spans="1:16" ht="15.75" thickBot="1" x14ac:dyDescent="0.3">
      <c r="A13" s="117" t="s">
        <v>17</v>
      </c>
      <c r="B13" s="118">
        <v>0</v>
      </c>
      <c r="C13" s="118">
        <v>0</v>
      </c>
      <c r="D13" s="118">
        <v>0</v>
      </c>
      <c r="E13" s="118">
        <v>0</v>
      </c>
      <c r="F13" s="118">
        <v>124.39</v>
      </c>
      <c r="G13" s="118">
        <v>280.70999999999998</v>
      </c>
      <c r="H13" s="118">
        <v>0</v>
      </c>
      <c r="I13" s="118">
        <v>0</v>
      </c>
      <c r="J13" s="118">
        <v>104.7</v>
      </c>
      <c r="K13" s="118">
        <v>0</v>
      </c>
      <c r="L13" s="118">
        <v>0</v>
      </c>
      <c r="M13" s="118">
        <v>0</v>
      </c>
      <c r="N13" s="118">
        <v>509.79999999999995</v>
      </c>
      <c r="O13" s="118">
        <v>50.98</v>
      </c>
      <c r="P13" s="123">
        <v>0.1</v>
      </c>
    </row>
    <row r="14" spans="1:16" ht="15.75" thickTop="1" x14ac:dyDescent="0.25">
      <c r="A14" s="119" t="s">
        <v>15</v>
      </c>
      <c r="B14" s="115">
        <v>0</v>
      </c>
      <c r="C14" s="115">
        <v>0</v>
      </c>
      <c r="D14" s="115">
        <v>0</v>
      </c>
      <c r="E14" s="115">
        <v>0</v>
      </c>
      <c r="F14" s="115">
        <v>6893.18</v>
      </c>
      <c r="G14" s="115">
        <v>32835.799999999996</v>
      </c>
      <c r="H14" s="115">
        <v>57532.17</v>
      </c>
      <c r="I14" s="115">
        <v>51284.210000000006</v>
      </c>
      <c r="J14" s="115">
        <v>16330.480000000001</v>
      </c>
      <c r="K14" s="115">
        <v>0</v>
      </c>
      <c r="L14" s="115">
        <v>0</v>
      </c>
      <c r="M14" s="115">
        <v>0</v>
      </c>
      <c r="N14" s="115">
        <v>164875.84</v>
      </c>
      <c r="O14" s="115">
        <v>13452.419999999998</v>
      </c>
      <c r="P14" s="1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Graphs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</vt:vector>
  </TitlesOfParts>
  <Company>ODNR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nr730test</dc:creator>
  <cp:lastModifiedBy>Ohio-DNR</cp:lastModifiedBy>
  <dcterms:created xsi:type="dcterms:W3CDTF">2010-04-14T23:50:36Z</dcterms:created>
  <dcterms:modified xsi:type="dcterms:W3CDTF">2013-01-09T14:03:49Z</dcterms:modified>
</cp:coreProperties>
</file>