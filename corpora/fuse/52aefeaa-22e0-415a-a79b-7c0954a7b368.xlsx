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checkCompatibility="1" defaultThemeVersion="124226"/>
  <bookViews>
    <workbookView xWindow="225" yWindow="-135" windowWidth="12120" windowHeight="9120" tabRatio="636"/>
  </bookViews>
  <sheets>
    <sheet name="Regular Only" sheetId="1" r:id="rId1"/>
  </sheets>
  <definedNames>
    <definedName name="_xlnm._FilterDatabase" localSheetId="0" hidden="1">'Regular Only'!#REF!</definedName>
    <definedName name="_xlnm.Print_Titles" localSheetId="0">'Regular Only'!$A:$B,'Regular Only'!$2:$6</definedName>
  </definedNames>
  <calcPr calcId="145621" fullPrecision="0"/>
</workbook>
</file>

<file path=xl/calcChain.xml><?xml version="1.0" encoding="utf-8"?>
<calcChain xmlns="http://schemas.openxmlformats.org/spreadsheetml/2006/main">
  <c r="I20" i="1" l="1"/>
  <c r="J20" i="1"/>
  <c r="G20" i="1"/>
  <c r="H20" i="1" s="1"/>
  <c r="E20" i="1"/>
  <c r="I17" i="1" l="1"/>
  <c r="J17" i="1"/>
  <c r="I18" i="1"/>
  <c r="J18" i="1"/>
  <c r="I19" i="1"/>
  <c r="J19" i="1"/>
  <c r="G17" i="1"/>
  <c r="G18" i="1"/>
  <c r="G19" i="1"/>
  <c r="E17" i="1"/>
  <c r="E18" i="1"/>
  <c r="E19" i="1"/>
  <c r="H17" i="1" l="1"/>
  <c r="H18" i="1"/>
  <c r="H19" i="1"/>
  <c r="G15" i="1"/>
  <c r="H15" i="1" s="1"/>
  <c r="I15" i="1"/>
  <c r="J15" i="1"/>
  <c r="G16" i="1"/>
  <c r="H16" i="1" s="1"/>
  <c r="I16" i="1"/>
  <c r="J16" i="1"/>
  <c r="E15" i="1"/>
  <c r="E16" i="1"/>
  <c r="D294" i="1" l="1"/>
  <c r="F294" i="1"/>
  <c r="G7" i="1"/>
  <c r="G8" i="1"/>
  <c r="G9" i="1"/>
  <c r="G10" i="1"/>
  <c r="G11" i="1"/>
  <c r="G12" i="1"/>
  <c r="G13" i="1"/>
  <c r="G14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7" i="1"/>
  <c r="G48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5" i="1"/>
  <c r="G66" i="1"/>
  <c r="G68" i="1"/>
  <c r="G69" i="1"/>
  <c r="G70" i="1"/>
  <c r="G71" i="1"/>
  <c r="G72" i="1"/>
  <c r="G75" i="1"/>
  <c r="G76" i="1"/>
  <c r="G77" i="1"/>
  <c r="G78" i="1"/>
  <c r="G79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10" i="1"/>
  <c r="G111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1" i="1"/>
  <c r="G172" i="1"/>
  <c r="G173" i="1"/>
  <c r="G174" i="1"/>
  <c r="G175" i="1"/>
  <c r="G176" i="1"/>
  <c r="G177" i="1"/>
  <c r="G178" i="1"/>
  <c r="G179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8" i="1"/>
  <c r="G229" i="1"/>
  <c r="G230" i="1"/>
  <c r="G232" i="1"/>
  <c r="G233" i="1"/>
  <c r="G234" i="1"/>
  <c r="G235" i="1"/>
  <c r="G236" i="1"/>
  <c r="G237" i="1"/>
  <c r="G238" i="1"/>
  <c r="G239" i="1"/>
  <c r="G241" i="1"/>
  <c r="G242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1" i="1"/>
  <c r="G262" i="1"/>
  <c r="G263" i="1"/>
  <c r="G265" i="1"/>
  <c r="G266" i="1"/>
  <c r="G267" i="1"/>
  <c r="G268" i="1"/>
  <c r="G269" i="1"/>
  <c r="G271" i="1"/>
  <c r="G272" i="1"/>
  <c r="G273" i="1"/>
  <c r="G274" i="1"/>
  <c r="G275" i="1"/>
  <c r="G276" i="1"/>
  <c r="G277" i="1"/>
  <c r="G279" i="1"/>
  <c r="G280" i="1"/>
  <c r="G283" i="1"/>
  <c r="G284" i="1"/>
  <c r="G285" i="1"/>
  <c r="G286" i="1"/>
  <c r="G287" i="1"/>
  <c r="G288" i="1"/>
  <c r="G289" i="1"/>
  <c r="G290" i="1"/>
  <c r="G291" i="1"/>
  <c r="H7" i="1"/>
  <c r="H8" i="1"/>
  <c r="H9" i="1"/>
  <c r="H10" i="1"/>
  <c r="H11" i="1"/>
  <c r="H12" i="1"/>
  <c r="H13" i="1"/>
  <c r="H14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66" i="1"/>
  <c r="H68" i="1"/>
  <c r="H69" i="1"/>
  <c r="H70" i="1"/>
  <c r="H71" i="1"/>
  <c r="H72" i="1"/>
  <c r="H75" i="1"/>
  <c r="H76" i="1"/>
  <c r="H77" i="1"/>
  <c r="H78" i="1"/>
  <c r="H79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10" i="1"/>
  <c r="H11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1" i="1"/>
  <c r="H172" i="1"/>
  <c r="H173" i="1"/>
  <c r="H174" i="1"/>
  <c r="H175" i="1"/>
  <c r="H176" i="1"/>
  <c r="H177" i="1"/>
  <c r="H178" i="1"/>
  <c r="H179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8" i="1"/>
  <c r="H229" i="1"/>
  <c r="H230" i="1"/>
  <c r="H232" i="1"/>
  <c r="H233" i="1"/>
  <c r="H234" i="1"/>
  <c r="H235" i="1"/>
  <c r="H236" i="1"/>
  <c r="H237" i="1"/>
  <c r="H238" i="1"/>
  <c r="H239" i="1"/>
  <c r="H241" i="1"/>
  <c r="H242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1" i="1"/>
  <c r="H262" i="1"/>
  <c r="H263" i="1"/>
  <c r="H265" i="1"/>
  <c r="H266" i="1"/>
  <c r="H267" i="1"/>
  <c r="H268" i="1"/>
  <c r="H269" i="1"/>
  <c r="H271" i="1"/>
  <c r="H272" i="1"/>
  <c r="H273" i="1"/>
  <c r="H274" i="1"/>
  <c r="H275" i="1"/>
  <c r="H276" i="1"/>
  <c r="H277" i="1"/>
  <c r="H279" i="1"/>
  <c r="H280" i="1"/>
  <c r="H283" i="1"/>
  <c r="H284" i="1"/>
  <c r="H285" i="1"/>
  <c r="H286" i="1"/>
  <c r="H287" i="1"/>
  <c r="H288" i="1"/>
  <c r="H289" i="1"/>
  <c r="H290" i="1"/>
  <c r="H291" i="1"/>
  <c r="C294" i="1"/>
  <c r="E292" i="1"/>
  <c r="H292" i="1" s="1"/>
  <c r="E282" i="1"/>
  <c r="H282" i="1" s="1"/>
  <c r="E281" i="1"/>
  <c r="H281" i="1" s="1"/>
  <c r="E278" i="1"/>
  <c r="H278" i="1" s="1"/>
  <c r="E270" i="1"/>
  <c r="H270" i="1" s="1"/>
  <c r="E264" i="1"/>
  <c r="H264" i="1" s="1"/>
  <c r="E260" i="1"/>
  <c r="H260" i="1" s="1"/>
  <c r="E243" i="1"/>
  <c r="H243" i="1" s="1"/>
  <c r="E240" i="1"/>
  <c r="H240" i="1" s="1"/>
  <c r="E231" i="1"/>
  <c r="H231" i="1" s="1"/>
  <c r="E227" i="1"/>
  <c r="H227" i="1" s="1"/>
  <c r="E180" i="1"/>
  <c r="H180" i="1" s="1"/>
  <c r="E170" i="1"/>
  <c r="H170" i="1" s="1"/>
  <c r="E112" i="1"/>
  <c r="H112" i="1" s="1"/>
  <c r="E109" i="1"/>
  <c r="H109" i="1" s="1"/>
  <c r="E80" i="1"/>
  <c r="H80" i="1" s="1"/>
  <c r="E74" i="1"/>
  <c r="H74" i="1" s="1"/>
  <c r="E73" i="1"/>
  <c r="H73" i="1" s="1"/>
  <c r="E67" i="1"/>
  <c r="H67" i="1" s="1"/>
  <c r="E64" i="1"/>
  <c r="H64" i="1" s="1"/>
  <c r="E49" i="1"/>
  <c r="H49" i="1" s="1"/>
  <c r="E45" i="1"/>
  <c r="H45" i="1" s="1"/>
  <c r="J8" i="1"/>
  <c r="J9" i="1"/>
  <c r="J10" i="1"/>
  <c r="J11" i="1"/>
  <c r="J12" i="1"/>
  <c r="J13" i="1"/>
  <c r="J14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I8" i="1"/>
  <c r="I9" i="1"/>
  <c r="I10" i="1"/>
  <c r="I11" i="1"/>
  <c r="I12" i="1"/>
  <c r="I13" i="1"/>
  <c r="I14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E8" i="1"/>
  <c r="E9" i="1"/>
  <c r="E10" i="1"/>
  <c r="E11" i="1"/>
  <c r="E12" i="1"/>
  <c r="E13" i="1"/>
  <c r="E14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6" i="1"/>
  <c r="E47" i="1"/>
  <c r="E48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5" i="1"/>
  <c r="E66" i="1"/>
  <c r="E68" i="1"/>
  <c r="E69" i="1"/>
  <c r="E70" i="1"/>
  <c r="E71" i="1"/>
  <c r="E72" i="1"/>
  <c r="E75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0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1" i="1"/>
  <c r="E172" i="1"/>
  <c r="E173" i="1"/>
  <c r="E174" i="1"/>
  <c r="E175" i="1"/>
  <c r="E176" i="1"/>
  <c r="E177" i="1"/>
  <c r="E178" i="1"/>
  <c r="E179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29" i="1"/>
  <c r="E230" i="1"/>
  <c r="E232" i="1"/>
  <c r="E233" i="1"/>
  <c r="E234" i="1"/>
  <c r="E235" i="1"/>
  <c r="E236" i="1"/>
  <c r="E237" i="1"/>
  <c r="E238" i="1"/>
  <c r="E239" i="1"/>
  <c r="E241" i="1"/>
  <c r="E242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1" i="1"/>
  <c r="E262" i="1"/>
  <c r="E263" i="1"/>
  <c r="E265" i="1"/>
  <c r="E266" i="1"/>
  <c r="E267" i="1"/>
  <c r="E268" i="1"/>
  <c r="E269" i="1"/>
  <c r="E271" i="1"/>
  <c r="E272" i="1"/>
  <c r="E273" i="1"/>
  <c r="E274" i="1"/>
  <c r="E275" i="1"/>
  <c r="E276" i="1"/>
  <c r="E277" i="1"/>
  <c r="E279" i="1"/>
  <c r="E280" i="1"/>
  <c r="E283" i="1"/>
  <c r="E284" i="1"/>
  <c r="E285" i="1"/>
  <c r="E286" i="1"/>
  <c r="E287" i="1"/>
  <c r="E288" i="1"/>
  <c r="E289" i="1"/>
  <c r="E290" i="1"/>
  <c r="E291" i="1"/>
  <c r="E7" i="1"/>
  <c r="J7" i="1"/>
  <c r="I7" i="1"/>
  <c r="J294" i="1" l="1"/>
  <c r="I294" i="1"/>
  <c r="E294" i="1"/>
  <c r="G294" i="1"/>
  <c r="H294" i="1"/>
</calcChain>
</file>

<file path=xl/sharedStrings.xml><?xml version="1.0" encoding="utf-8"?>
<sst xmlns="http://schemas.openxmlformats.org/spreadsheetml/2006/main" count="336" uniqueCount="311">
  <si>
    <t/>
  </si>
  <si>
    <t>Census</t>
  </si>
  <si>
    <t>Allocation</t>
  </si>
  <si>
    <t>Dist.</t>
  </si>
  <si>
    <t>No.</t>
  </si>
  <si>
    <t>Name</t>
  </si>
  <si>
    <t>Pov Ct</t>
  </si>
  <si>
    <t>ERIE ST PAUL</t>
  </si>
  <si>
    <t>CIMARRON ENSIGN</t>
  </si>
  <si>
    <t>CHEYLIN</t>
  </si>
  <si>
    <t>GREELEY</t>
  </si>
  <si>
    <t>TURNER</t>
  </si>
  <si>
    <t>PIPER</t>
  </si>
  <si>
    <t>BONNER SPRINGS</t>
  </si>
  <si>
    <t>REMINGTON-WHITEWATER</t>
  </si>
  <si>
    <t>FT LEAVENWORTH</t>
  </si>
  <si>
    <t>WAKEENEY</t>
  </si>
  <si>
    <t>MOSCOW</t>
  </si>
  <si>
    <t>HUGOTON</t>
  </si>
  <si>
    <t>NORTON COMM</t>
  </si>
  <si>
    <t>NORTHERN VALLEY</t>
  </si>
  <si>
    <t>ULYSSES</t>
  </si>
  <si>
    <t>LAKIN</t>
  </si>
  <si>
    <t>DEERFIELD</t>
  </si>
  <si>
    <t>ROLLA</t>
  </si>
  <si>
    <t>ELKHART</t>
  </si>
  <si>
    <t>MINNEOLA</t>
  </si>
  <si>
    <t>ASHLAND</t>
  </si>
  <si>
    <t>BARNES</t>
  </si>
  <si>
    <t>CLIFTON CLYDE</t>
  </si>
  <si>
    <t>FOWLER</t>
  </si>
  <si>
    <t>MEADE</t>
  </si>
  <si>
    <t>JETMORE</t>
  </si>
  <si>
    <t>SPRING HILL</t>
  </si>
  <si>
    <t>DE SOTO</t>
  </si>
  <si>
    <t>OLATHE</t>
  </si>
  <si>
    <t>UNIONTOWN</t>
  </si>
  <si>
    <t>SMITH CENTER</t>
  </si>
  <si>
    <t>NORTH OTTAWA</t>
  </si>
  <si>
    <t>TWIN VALLEY</t>
  </si>
  <si>
    <t>WALLACE CO</t>
  </si>
  <si>
    <t>WESKAN</t>
  </si>
  <si>
    <t>LEBO-WAVERLY</t>
  </si>
  <si>
    <t>BURLINGTON</t>
  </si>
  <si>
    <t>LEROY-GRIDLEY</t>
  </si>
  <si>
    <t>NORTHEAST</t>
  </si>
  <si>
    <t>CHEROKEE</t>
  </si>
  <si>
    <t>GIRARD</t>
  </si>
  <si>
    <t>FRONTENAC</t>
  </si>
  <si>
    <t>PITTSBURG</t>
  </si>
  <si>
    <t>NORTH LYON</t>
  </si>
  <si>
    <t>SOUTHERN LYON</t>
  </si>
  <si>
    <t>EMPORIA</t>
  </si>
  <si>
    <t>SOUTH BARBER</t>
  </si>
  <si>
    <t>MARMATON VALLEY</t>
  </si>
  <si>
    <t>IOLA</t>
  </si>
  <si>
    <t>HUMBOLT</t>
  </si>
  <si>
    <t>WICHITA</t>
  </si>
  <si>
    <t>DERBY</t>
  </si>
  <si>
    <t>HAYSVILLE</t>
  </si>
  <si>
    <t>VALLEY CENTER</t>
  </si>
  <si>
    <t>MULVANE</t>
  </si>
  <si>
    <t>CLEARWATER</t>
  </si>
  <si>
    <t>GODDARD</t>
  </si>
  <si>
    <t>MAIZE</t>
  </si>
  <si>
    <t>RENWICK</t>
  </si>
  <si>
    <t>CHENEY</t>
  </si>
  <si>
    <t>PALCO</t>
  </si>
  <si>
    <t>PLAINVILLE</t>
  </si>
  <si>
    <t>STOCKTON</t>
  </si>
  <si>
    <t>WACONDA</t>
  </si>
  <si>
    <t>BELOIT</t>
  </si>
  <si>
    <t>OAKLEY</t>
  </si>
  <si>
    <t>TRIPLAINS</t>
  </si>
  <si>
    <t>HILL CITY</t>
  </si>
  <si>
    <t>WEST ELK</t>
  </si>
  <si>
    <t>ELK VALLEY</t>
  </si>
  <si>
    <t>CEDAR VALE</t>
  </si>
  <si>
    <t>WEST FRANKLIN</t>
  </si>
  <si>
    <t>CENTRAL HEIGHTS</t>
  </si>
  <si>
    <t>WELLSVILLE</t>
  </si>
  <si>
    <t>OTTAWA</t>
  </si>
  <si>
    <t>GRINNELL</t>
  </si>
  <si>
    <t>WHEATLAND</t>
  </si>
  <si>
    <t>QUINTER</t>
  </si>
  <si>
    <t>OBERLIN</t>
  </si>
  <si>
    <t>LINCOLN</t>
  </si>
  <si>
    <t>SYLVAN GROVE</t>
  </si>
  <si>
    <t>NESS CITY</t>
  </si>
  <si>
    <t>SALINA</t>
  </si>
  <si>
    <t>SOUTHEAST OF SALINE</t>
  </si>
  <si>
    <t>ELL SALINE</t>
  </si>
  <si>
    <t>HUTCHINSON</t>
  </si>
  <si>
    <t>NICKERSON</t>
  </si>
  <si>
    <t>FAIRFIELD</t>
  </si>
  <si>
    <t>PRETTY PRAIRIE</t>
  </si>
  <si>
    <t>HAVEN</t>
  </si>
  <si>
    <t>BUHLER</t>
  </si>
  <si>
    <t>BREWSTER</t>
  </si>
  <si>
    <t>COLBY</t>
  </si>
  <si>
    <t>GOLDEN PLAINS</t>
  </si>
  <si>
    <t>WAMEGO</t>
  </si>
  <si>
    <t>KAW VALLEY</t>
  </si>
  <si>
    <t>PHILLIPSBURG</t>
  </si>
  <si>
    <t>LOGAN</t>
  </si>
  <si>
    <t>ELLSWORTH</t>
  </si>
  <si>
    <t>MILL CREEK VALLEY</t>
  </si>
  <si>
    <t>WABAUNSEE EAST</t>
  </si>
  <si>
    <t>KINGMAN</t>
  </si>
  <si>
    <t>CUNNINGHAM</t>
  </si>
  <si>
    <t>CONCORDIA</t>
  </si>
  <si>
    <t>SOUTHERN CLOUD</t>
  </si>
  <si>
    <t>NORTH JACKSON</t>
  </si>
  <si>
    <t>HOLTON</t>
  </si>
  <si>
    <t>VALLEY FALLS</t>
  </si>
  <si>
    <t>JEFFERSON WEST</t>
  </si>
  <si>
    <t>OSKALOOSA</t>
  </si>
  <si>
    <t>PERRY</t>
  </si>
  <si>
    <t>PLEASANTON</t>
  </si>
  <si>
    <t>SEAMAN</t>
  </si>
  <si>
    <t>JAYHAWK</t>
  </si>
  <si>
    <t>KINSLEY OFFERLE</t>
  </si>
  <si>
    <t>BALDWIN CITY</t>
  </si>
  <si>
    <t>STAFFORD</t>
  </si>
  <si>
    <t>ST JOHN HUDSON</t>
  </si>
  <si>
    <t>MACKSVILLE</t>
  </si>
  <si>
    <t>GOODLAND</t>
  </si>
  <si>
    <t>WELLINGTON</t>
  </si>
  <si>
    <t>ELLINWOOD</t>
  </si>
  <si>
    <t>CONWAY SPRINGS</t>
  </si>
  <si>
    <t>BELLE PLAINE</t>
  </si>
  <si>
    <t>OXFORD</t>
  </si>
  <si>
    <t>ARGONIA</t>
  </si>
  <si>
    <t>CALDWELL PUBLIC</t>
  </si>
  <si>
    <t>ANTHONY HARPER</t>
  </si>
  <si>
    <t>PRAIRIE VIEW</t>
  </si>
  <si>
    <t>HOLCOMB</t>
  </si>
  <si>
    <t>MARYSVILLE</t>
  </si>
  <si>
    <t>GARNETT</t>
  </si>
  <si>
    <t>YATES CENTER</t>
  </si>
  <si>
    <t>OSAWATOMIE</t>
  </si>
  <si>
    <t>PAOLA</t>
  </si>
  <si>
    <t>BURRTON</t>
  </si>
  <si>
    <t>MONTEZUMA</t>
  </si>
  <si>
    <t>SILVER LAKE</t>
  </si>
  <si>
    <t>NEWTON</t>
  </si>
  <si>
    <t>SUBLETTE</t>
  </si>
  <si>
    <t>CIRCLE</t>
  </si>
  <si>
    <t>STERLING</t>
  </si>
  <si>
    <t>CLAY CENTER</t>
  </si>
  <si>
    <t>VERMILLION</t>
  </si>
  <si>
    <t xml:space="preserve">SPEARVILLE </t>
  </si>
  <si>
    <t>PRATT</t>
  </si>
  <si>
    <t>MANHATTAN</t>
  </si>
  <si>
    <t>ANDOVER</t>
  </si>
  <si>
    <t>MADISON VIRGIL</t>
  </si>
  <si>
    <t>ALTOONA MIDWAY</t>
  </si>
  <si>
    <t>ELLIS</t>
  </si>
  <si>
    <t>EUREKA</t>
  </si>
  <si>
    <t>HAMILTON</t>
  </si>
  <si>
    <t>SOLOMON</t>
  </si>
  <si>
    <t>ROSE HILL</t>
  </si>
  <si>
    <t>DOUGLASS</t>
  </si>
  <si>
    <t>CENTRE</t>
  </si>
  <si>
    <t>PEABODY BURNS</t>
  </si>
  <si>
    <t>PARADISE</t>
  </si>
  <si>
    <t>SMOKY VALLEY</t>
  </si>
  <si>
    <t>CHASE</t>
  </si>
  <si>
    <t>AUGUSTA</t>
  </si>
  <si>
    <t>OTIS BISON</t>
  </si>
  <si>
    <t>RIVERTON</t>
  </si>
  <si>
    <t>LYONS</t>
  </si>
  <si>
    <t>MARION</t>
  </si>
  <si>
    <t>ATCHISON PUBLIC</t>
  </si>
  <si>
    <t>GOESSEL</t>
  </si>
  <si>
    <t>CHANUTE</t>
  </si>
  <si>
    <t>HIAWATHA</t>
  </si>
  <si>
    <t>LOUISBURG</t>
  </si>
  <si>
    <t>MORRIS CO</t>
  </si>
  <si>
    <t>CANTON GALVA</t>
  </si>
  <si>
    <t>OSAGE CITY</t>
  </si>
  <si>
    <t>LYNDON</t>
  </si>
  <si>
    <t>GREENSBURG</t>
  </si>
  <si>
    <t>MOUNDRIDGE</t>
  </si>
  <si>
    <t>PIKE VALLEY</t>
  </si>
  <si>
    <t>GREAT BEND</t>
  </si>
  <si>
    <t>TROY</t>
  </si>
  <si>
    <t>HOISINGTON</t>
  </si>
  <si>
    <t>VICTORIA</t>
  </si>
  <si>
    <t>SANTA FE TRAIL</t>
  </si>
  <si>
    <t>ABILENE</t>
  </si>
  <si>
    <t>CANEY VALLEY</t>
  </si>
  <si>
    <t>AUBURN WASHBURN</t>
  </si>
  <si>
    <t>SKYLINE</t>
  </si>
  <si>
    <t>SEDGWICK</t>
  </si>
  <si>
    <t>HALSTEAD</t>
  </si>
  <si>
    <t>DODGE CITY</t>
  </si>
  <si>
    <t>LITTLE RIVER</t>
  </si>
  <si>
    <t>COFFEYVILLE</t>
  </si>
  <si>
    <t>INDEPENDENCE</t>
  </si>
  <si>
    <t>CHERRYVALE</t>
  </si>
  <si>
    <t>INMAN</t>
  </si>
  <si>
    <t>EASTON</t>
  </si>
  <si>
    <t>SHAWNEE HEIGHTS</t>
  </si>
  <si>
    <t>LEAVENWORTH</t>
  </si>
  <si>
    <t>BURLINGAME</t>
  </si>
  <si>
    <t>MARAIS DES CYGNES VALLEY</t>
  </si>
  <si>
    <t>GARDEN CITY</t>
  </si>
  <si>
    <t>BASEHOR-LINWOOD</t>
  </si>
  <si>
    <t>BUCKLIN</t>
  </si>
  <si>
    <t>HESSTON</t>
  </si>
  <si>
    <t>NEODESHA</t>
  </si>
  <si>
    <t>CENTRAL</t>
  </si>
  <si>
    <t>UDALL</t>
  </si>
  <si>
    <t>TONGANOXIE</t>
  </si>
  <si>
    <t>WINFIELD</t>
  </si>
  <si>
    <t>LEOTI</t>
  </si>
  <si>
    <t>HEALY</t>
  </si>
  <si>
    <t>LANSING</t>
  </si>
  <si>
    <t>ARKANSAS CITY</t>
  </si>
  <si>
    <t>DEXTER</t>
  </si>
  <si>
    <t>CHAPMAN</t>
  </si>
  <si>
    <t>HAVILAND</t>
  </si>
  <si>
    <t>COPELAND</t>
  </si>
  <si>
    <t>INGALLS</t>
  </si>
  <si>
    <t>CREST</t>
  </si>
  <si>
    <t>LIBERAL</t>
  </si>
  <si>
    <t>RURAL VISTA</t>
  </si>
  <si>
    <t>DIGHTON</t>
  </si>
  <si>
    <t>KISMET PLAINS</t>
  </si>
  <si>
    <t>FREDONIA</t>
  </si>
  <si>
    <t>HERINGTON</t>
  </si>
  <si>
    <t>HAYS</t>
  </si>
  <si>
    <t>EL DORADO</t>
  </si>
  <si>
    <t>EUDORA</t>
  </si>
  <si>
    <t>FLINTHILLS</t>
  </si>
  <si>
    <t>COLUMBUS</t>
  </si>
  <si>
    <t>SYRACUSE</t>
  </si>
  <si>
    <t>FT LARNED</t>
  </si>
  <si>
    <t>PAWNEE HEIGHTS</t>
  </si>
  <si>
    <t>LAWRENCE</t>
  </si>
  <si>
    <t>VALLEY HEIGHTS</t>
  </si>
  <si>
    <t>GALENA</t>
  </si>
  <si>
    <t>KANSAS CITY</t>
  </si>
  <si>
    <t>TOPEKA</t>
  </si>
  <si>
    <t>LEWIS</t>
  </si>
  <si>
    <t>PARSONS</t>
  </si>
  <si>
    <t>OSWEGO</t>
  </si>
  <si>
    <t>CHETOPA</t>
  </si>
  <si>
    <t>SATANTA</t>
  </si>
  <si>
    <t>BAXTER SPRINGS</t>
  </si>
  <si>
    <t>SOUTH HAVEN</t>
  </si>
  <si>
    <t>ATTICA</t>
  </si>
  <si>
    <t>SHAWNEE MISSION</t>
  </si>
  <si>
    <t>ROYAL VALLEY</t>
  </si>
  <si>
    <t>ROCK CREEK</t>
  </si>
  <si>
    <t>BLUE VALLEY (JC)</t>
  </si>
  <si>
    <t>BLUE VALLEY (RC)</t>
  </si>
  <si>
    <t>GARDNER-EDGERTON-ANTIOCH</t>
  </si>
  <si>
    <t>FORT SCOTT</t>
  </si>
  <si>
    <t>BARBER COUNTY NORTH</t>
  </si>
  <si>
    <t>CHASE COUNTY</t>
  </si>
  <si>
    <t>CHAUTAUQUA COUNTY COMMUNITY</t>
  </si>
  <si>
    <t>ST FRANCIS COMMUNITY</t>
  </si>
  <si>
    <t>COMANCHE COUNTY</t>
  </si>
  <si>
    <t>ONAGA-HAVENSVILLE-WHEATON</t>
  </si>
  <si>
    <t>JEFFERSON COUNTY NORTH</t>
  </si>
  <si>
    <t>MCLOUTH</t>
  </si>
  <si>
    <t>ATCHISON COUNTY COMMUNITY</t>
  </si>
  <si>
    <t>RILEY COUNTY</t>
  </si>
  <si>
    <t>OSBORNE COUNTY</t>
  </si>
  <si>
    <t>LACROSSE</t>
  </si>
  <si>
    <t>RUSSELL COUNTY</t>
  </si>
  <si>
    <t>HOXIE COMMUNITY</t>
  </si>
  <si>
    <t>MCPHERSON</t>
  </si>
  <si>
    <t>SOUTH BROWN COUNTY</t>
  </si>
  <si>
    <t>STANTON COUNTY</t>
  </si>
  <si>
    <t>SCOTT COUNTY</t>
  </si>
  <si>
    <t>GEARY COUNTY</t>
  </si>
  <si>
    <t>LABETTE COUNTY</t>
  </si>
  <si>
    <t>BLUESTEM</t>
  </si>
  <si>
    <t>DURHAM-HILLSBORO-LEHIGH</t>
  </si>
  <si>
    <t>Title I</t>
  </si>
  <si>
    <t>Per pupil</t>
  </si>
  <si>
    <t xml:space="preserve">based on </t>
  </si>
  <si>
    <t>poverty ct</t>
  </si>
  <si>
    <t>5% of Title I</t>
  </si>
  <si>
    <t>20% of Title I</t>
  </si>
  <si>
    <t>RAWLINS COUNTY</t>
  </si>
  <si>
    <t>WESTERN PLAINS</t>
  </si>
  <si>
    <t>Weighted</t>
  </si>
  <si>
    <t>Poverty</t>
  </si>
  <si>
    <t>Count</t>
  </si>
  <si>
    <t xml:space="preserve">Per pupil </t>
  </si>
  <si>
    <t>Wtd Pov Ct.</t>
  </si>
  <si>
    <t>n/a</t>
  </si>
  <si>
    <t>Supplemental</t>
  </si>
  <si>
    <t>Services</t>
  </si>
  <si>
    <t>Per pupil for</t>
  </si>
  <si>
    <t>ROCK HILLS</t>
  </si>
  <si>
    <t>WASHINGTON COUNTY</t>
  </si>
  <si>
    <t>REPUBLIC COUNTY</t>
  </si>
  <si>
    <t>THUNDER RIDGE</t>
  </si>
  <si>
    <t>DONIPHAN WEST</t>
  </si>
  <si>
    <t>CENTRAL PLAINS</t>
  </si>
  <si>
    <t>PRAIRIE HILLS</t>
  </si>
  <si>
    <t>RIVERSIDE</t>
  </si>
  <si>
    <t>Kansas FY 2012 Title I Allocations</t>
  </si>
  <si>
    <t>FY 2012</t>
  </si>
  <si>
    <t>NEMAHA CENTRAL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</si>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</sst>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>
    <font>
      <sz val="10"/>
      <name val="Geneva"/>
    </font>
    <font>
      <b/>
      <sz val="10"/>
      <name val="Geneva"/>
    </font>
    <font>
      <sz val="10"/>
      <name val="Geneva"/>
    </font>
    <font>
      <b/>
      <outline/>
      <sz val="10"/>
      <name val="Geneva"/>
    </font>
    <font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3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NumberFormat="1" applyFont="1"/>
    <xf numFmtId="0" fontId="4" fillId="2" borderId="0" xfId="0" applyNumberFormat="1" applyFont="1" applyFill="1"/>
    <xf numFmtId="0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Fill="1" applyAlignment="1">
      <alignment horizontal="right" vertical="top"/>
    </xf>
    <xf numFmtId="3" fontId="2" fillId="2" borderId="0" xfId="0" applyNumberFormat="1" applyFont="1" applyFill="1" applyAlignment="1">
      <alignment horizontal="right" vertical="top"/>
    </xf>
    <xf numFmtId="3" fontId="2" fillId="2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center" vertical="top"/>
    </xf>
    <xf numFmtId="4" fontId="4" fillId="2" borderId="0" xfId="0" applyNumberFormat="1" applyFont="1" applyFill="1"/>
    <xf numFmtId="3" fontId="4" fillId="2" borderId="0" xfId="0" applyNumberFormat="1" applyFont="1" applyFill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4" fontId="4" fillId="2" borderId="0" xfId="0" applyNumberFormat="1" applyFont="1" applyFill="1" applyAlignment="1">
      <alignment horizontal="right"/>
    </xf>
    <xf numFmtId="4" fontId="4" fillId="0" borderId="0" xfId="0" applyNumberFormat="1" applyFont="1" applyFill="1"/>
    <xf numFmtId="3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NumberFormat="1" applyFont="1"/>
    <xf numFmtId="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 vertical="top"/>
    </xf>
    <xf numFmtId="0" fontId="0" fillId="0" borderId="0" xfId="0" applyNumberFormat="1" applyAlignment="1">
      <alignment horizontal="center"/>
    </xf>
    <xf numFmtId="0" fontId="4" fillId="0" borderId="0" xfId="0" applyFont="1" applyFill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/>
    <xf numFmtId="3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tabSelected="1" workbookViewId="0">
      <pane xSplit="2" ySplit="5" topLeftCell="C6" activePane="bottomRight" state="frozen"/>
      <selection pane="topRight" activeCell="C1" sqref="C1"/>
      <selection pane="bottomLeft" activeCell="A13" sqref="A13"/>
      <selection pane="bottomRight" activeCell="D7" sqref="D7:D292"/>
    </sheetView>
  </sheetViews>
  <sheetFormatPr defaultColWidth="11.42578125" defaultRowHeight="12.75"/>
  <cols>
    <col min="1" max="1" width="4.7109375" style="8" customWidth="1"/>
    <col min="2" max="2" width="26.42578125" style="8" customWidth="1"/>
    <col min="3" max="3" width="7.42578125" style="7" customWidth="1"/>
    <col min="4" max="4" width="12.28515625" style="7" customWidth="1"/>
    <col min="5" max="7" width="11.42578125" style="8" customWidth="1"/>
    <col min="8" max="8" width="13.140625" style="37" customWidth="1"/>
    <col min="9" max="16384" width="11.42578125" style="8"/>
  </cols>
  <sheetData>
    <row r="1" spans="1:10" s="1" customFormat="1">
      <c r="A1" t="s">
        <v>307</v>
      </c>
      <c r="C1" s="4"/>
      <c r="D1" s="4"/>
      <c r="H1" s="38"/>
    </row>
    <row r="2" spans="1:10" s="1" customFormat="1">
      <c r="B2" s="2"/>
      <c r="C2" s="13" t="s">
        <v>0</v>
      </c>
      <c r="D2" s="28" t="s">
        <v>310</v>
      </c>
      <c r="F2" s="29" t="s">
        <v>308</v>
      </c>
      <c r="H2" s="39"/>
    </row>
    <row r="3" spans="1:10" s="3" customFormat="1">
      <c r="B3" s="5"/>
      <c r="C3" s="6">
        <v>2009</v>
      </c>
      <c r="D3" s="36" t="s">
        <v>308</v>
      </c>
      <c r="E3" s="3" t="s">
        <v>283</v>
      </c>
      <c r="F3" s="19" t="s">
        <v>290</v>
      </c>
      <c r="G3" s="3" t="s">
        <v>293</v>
      </c>
      <c r="H3" s="39" t="s">
        <v>298</v>
      </c>
    </row>
    <row r="4" spans="1:10" s="3" customFormat="1">
      <c r="A4" s="3" t="s">
        <v>3</v>
      </c>
      <c r="B4" s="12"/>
      <c r="C4" s="14" t="s">
        <v>1</v>
      </c>
      <c r="D4" s="15" t="s">
        <v>282</v>
      </c>
      <c r="E4" s="3" t="s">
        <v>284</v>
      </c>
      <c r="F4" s="20" t="s">
        <v>291</v>
      </c>
      <c r="G4" s="3" t="s">
        <v>284</v>
      </c>
      <c r="H4" s="39" t="s">
        <v>296</v>
      </c>
      <c r="I4" s="3" t="s">
        <v>286</v>
      </c>
      <c r="J4" s="3" t="s">
        <v>287</v>
      </c>
    </row>
    <row r="5" spans="1:10" s="9" customFormat="1" ht="13.5" thickBot="1">
      <c r="A5" s="31" t="s">
        <v>4</v>
      </c>
      <c r="B5" s="31" t="s">
        <v>5</v>
      </c>
      <c r="C5" s="32" t="s">
        <v>6</v>
      </c>
      <c r="D5" s="33" t="s">
        <v>2</v>
      </c>
      <c r="E5" s="34" t="s">
        <v>285</v>
      </c>
      <c r="F5" s="35" t="s">
        <v>292</v>
      </c>
      <c r="G5" s="34" t="s">
        <v>294</v>
      </c>
      <c r="H5" s="40" t="s">
        <v>297</v>
      </c>
      <c r="I5" s="34" t="s">
        <v>2</v>
      </c>
      <c r="J5" s="34" t="s">
        <v>2</v>
      </c>
    </row>
    <row r="6" spans="1:10">
      <c r="A6" s="10"/>
      <c r="B6" s="10"/>
      <c r="C6" s="14"/>
      <c r="H6" s="41"/>
    </row>
    <row r="7" spans="1:10">
      <c r="A7" s="10">
        <v>101</v>
      </c>
      <c r="B7" s="10" t="s">
        <v>7</v>
      </c>
      <c r="C7" s="16">
        <v>112</v>
      </c>
      <c r="D7" s="4">
        <v>137438</v>
      </c>
      <c r="E7" s="27">
        <f>D7/C7</f>
        <v>1227.1300000000001</v>
      </c>
      <c r="F7" s="23">
        <v>181</v>
      </c>
      <c r="G7" s="24">
        <f>D7/F7</f>
        <v>759.33</v>
      </c>
      <c r="H7" s="42">
        <f>G7</f>
        <v>759.33</v>
      </c>
      <c r="I7" s="7">
        <f t="shared" ref="I7:I73" si="0">D7*0.05</f>
        <v>6872</v>
      </c>
      <c r="J7" s="7">
        <f t="shared" ref="J7:J73" si="1">D7*0.2</f>
        <v>27488</v>
      </c>
    </row>
    <row r="8" spans="1:10">
      <c r="A8" s="10">
        <v>102</v>
      </c>
      <c r="B8" s="10" t="s">
        <v>8</v>
      </c>
      <c r="C8" s="16">
        <v>79</v>
      </c>
      <c r="D8" s="4">
        <v>90028</v>
      </c>
      <c r="E8" s="27">
        <f t="shared" ref="E8:E74" si="2">D8/C8</f>
        <v>1139.5899999999999</v>
      </c>
      <c r="F8" s="23">
        <v>133</v>
      </c>
      <c r="G8" s="24">
        <f t="shared" ref="G8:G72" si="3">D8/F8</f>
        <v>676.9</v>
      </c>
      <c r="H8" s="42">
        <f t="shared" ref="H8:H44" si="4">G8</f>
        <v>676.9</v>
      </c>
      <c r="I8" s="7">
        <f t="shared" si="0"/>
        <v>4501</v>
      </c>
      <c r="J8" s="7">
        <f t="shared" si="1"/>
        <v>18006</v>
      </c>
    </row>
    <row r="9" spans="1:10">
      <c r="A9" s="10">
        <v>103</v>
      </c>
      <c r="B9" s="10" t="s">
        <v>9</v>
      </c>
      <c r="C9" s="16">
        <v>31</v>
      </c>
      <c r="D9" s="4">
        <v>38211</v>
      </c>
      <c r="E9" s="27">
        <f t="shared" si="2"/>
        <v>1232.6099999999999</v>
      </c>
      <c r="F9" s="23">
        <v>48</v>
      </c>
      <c r="G9" s="24">
        <f t="shared" si="3"/>
        <v>796.06</v>
      </c>
      <c r="H9" s="42">
        <f t="shared" si="4"/>
        <v>796.06</v>
      </c>
      <c r="I9" s="7">
        <f t="shared" si="0"/>
        <v>1911</v>
      </c>
      <c r="J9" s="7">
        <f t="shared" si="1"/>
        <v>7642</v>
      </c>
    </row>
    <row r="10" spans="1:10">
      <c r="A10" s="10">
        <v>105</v>
      </c>
      <c r="B10" s="10" t="s">
        <v>288</v>
      </c>
      <c r="C10" s="16">
        <v>48</v>
      </c>
      <c r="D10" s="4">
        <v>65084</v>
      </c>
      <c r="E10" s="27">
        <f t="shared" si="2"/>
        <v>1355.92</v>
      </c>
      <c r="F10" s="23">
        <v>76</v>
      </c>
      <c r="G10" s="24">
        <f t="shared" si="3"/>
        <v>856.37</v>
      </c>
      <c r="H10" s="42">
        <f t="shared" si="4"/>
        <v>856.37</v>
      </c>
      <c r="I10" s="7">
        <f t="shared" si="0"/>
        <v>3254</v>
      </c>
      <c r="J10" s="7">
        <f t="shared" si="1"/>
        <v>13017</v>
      </c>
    </row>
    <row r="11" spans="1:10">
      <c r="A11" s="10">
        <v>106</v>
      </c>
      <c r="B11" s="10" t="s">
        <v>289</v>
      </c>
      <c r="C11" s="16">
        <v>29</v>
      </c>
      <c r="D11" s="4">
        <v>33766</v>
      </c>
      <c r="E11" s="27">
        <f t="shared" si="2"/>
        <v>1164.3399999999999</v>
      </c>
      <c r="F11" s="23">
        <v>48</v>
      </c>
      <c r="G11" s="24">
        <f t="shared" si="3"/>
        <v>703.46</v>
      </c>
      <c r="H11" s="42">
        <f t="shared" si="4"/>
        <v>703.46</v>
      </c>
      <c r="I11" s="7">
        <f t="shared" si="0"/>
        <v>1688</v>
      </c>
      <c r="J11" s="7">
        <f t="shared" si="1"/>
        <v>6753</v>
      </c>
    </row>
    <row r="12" spans="1:10">
      <c r="A12" s="10">
        <v>107</v>
      </c>
      <c r="B12" s="10" t="s">
        <v>299</v>
      </c>
      <c r="C12" s="16">
        <v>59</v>
      </c>
      <c r="D12" s="4">
        <v>65627</v>
      </c>
      <c r="E12" s="27">
        <f t="shared" si="2"/>
        <v>1112.32</v>
      </c>
      <c r="F12" s="23">
        <v>79</v>
      </c>
      <c r="G12" s="24">
        <f t="shared" si="3"/>
        <v>830.72</v>
      </c>
      <c r="H12" s="42">
        <f t="shared" si="4"/>
        <v>830.72</v>
      </c>
      <c r="I12" s="7">
        <f t="shared" si="0"/>
        <v>3281</v>
      </c>
      <c r="J12" s="7">
        <f t="shared" si="1"/>
        <v>13125</v>
      </c>
    </row>
    <row r="13" spans="1:10">
      <c r="A13" s="10">
        <v>108</v>
      </c>
      <c r="B13" s="10" t="s">
        <v>300</v>
      </c>
      <c r="C13" s="16">
        <v>57</v>
      </c>
      <c r="D13" s="4">
        <v>72762</v>
      </c>
      <c r="E13" s="27">
        <f t="shared" si="2"/>
        <v>1276.53</v>
      </c>
      <c r="F13" s="23">
        <v>94</v>
      </c>
      <c r="G13" s="24">
        <f t="shared" si="3"/>
        <v>774.06</v>
      </c>
      <c r="H13" s="42">
        <f t="shared" si="4"/>
        <v>774.06</v>
      </c>
      <c r="I13" s="7">
        <f t="shared" si="0"/>
        <v>3638</v>
      </c>
      <c r="J13" s="7">
        <f t="shared" si="1"/>
        <v>14552</v>
      </c>
    </row>
    <row r="14" spans="1:10">
      <c r="A14" s="10">
        <v>109</v>
      </c>
      <c r="B14" s="10" t="s">
        <v>301</v>
      </c>
      <c r="C14" s="16">
        <v>69</v>
      </c>
      <c r="D14" s="4">
        <v>97139</v>
      </c>
      <c r="E14" s="27">
        <f t="shared" si="2"/>
        <v>1407.81</v>
      </c>
      <c r="F14" s="23">
        <v>128</v>
      </c>
      <c r="G14" s="24">
        <f t="shared" si="3"/>
        <v>758.9</v>
      </c>
      <c r="H14" s="42">
        <f t="shared" si="4"/>
        <v>758.9</v>
      </c>
      <c r="I14" s="7">
        <f t="shared" si="0"/>
        <v>4857</v>
      </c>
      <c r="J14" s="7">
        <f t="shared" si="1"/>
        <v>19428</v>
      </c>
    </row>
    <row r="15" spans="1:10">
      <c r="A15" s="30">
        <v>110</v>
      </c>
      <c r="B15" s="30" t="s">
        <v>302</v>
      </c>
      <c r="C15" s="16">
        <v>38</v>
      </c>
      <c r="D15" s="4">
        <v>52764</v>
      </c>
      <c r="E15" s="27">
        <f t="shared" si="2"/>
        <v>1388.53</v>
      </c>
      <c r="F15" s="23">
        <v>69</v>
      </c>
      <c r="G15" s="24">
        <f t="shared" ref="G15:G20" si="5">D15/F15</f>
        <v>764.7</v>
      </c>
      <c r="H15" s="42">
        <f t="shared" ref="H15:H20" si="6">G15</f>
        <v>764.7</v>
      </c>
      <c r="I15" s="7">
        <f t="shared" ref="I15:I16" si="7">D15*0.05</f>
        <v>2638</v>
      </c>
      <c r="J15" s="7">
        <f t="shared" ref="J15:J16" si="8">D15*0.2</f>
        <v>10553</v>
      </c>
    </row>
    <row r="16" spans="1:10">
      <c r="A16" s="30">
        <v>111</v>
      </c>
      <c r="B16" s="30" t="s">
        <v>303</v>
      </c>
      <c r="C16" s="16">
        <v>39</v>
      </c>
      <c r="D16" s="4">
        <v>47364</v>
      </c>
      <c r="E16" s="27">
        <f t="shared" si="2"/>
        <v>1214.46</v>
      </c>
      <c r="F16" s="23">
        <v>67</v>
      </c>
      <c r="G16" s="24">
        <f t="shared" si="5"/>
        <v>706.93</v>
      </c>
      <c r="H16" s="42">
        <f t="shared" si="6"/>
        <v>706.93</v>
      </c>
      <c r="I16" s="7">
        <f t="shared" si="7"/>
        <v>2368</v>
      </c>
      <c r="J16" s="7">
        <f t="shared" si="8"/>
        <v>9473</v>
      </c>
    </row>
    <row r="17" spans="1:10">
      <c r="A17" s="30">
        <v>112</v>
      </c>
      <c r="B17" s="30" t="s">
        <v>304</v>
      </c>
      <c r="C17" s="16">
        <v>80</v>
      </c>
      <c r="D17" s="4">
        <v>89813</v>
      </c>
      <c r="E17" s="27">
        <f t="shared" si="2"/>
        <v>1122.6600000000001</v>
      </c>
      <c r="F17" s="23">
        <v>124</v>
      </c>
      <c r="G17" s="24">
        <f t="shared" si="5"/>
        <v>724.3</v>
      </c>
      <c r="H17" s="42">
        <f t="shared" si="6"/>
        <v>724.3</v>
      </c>
      <c r="I17" s="7">
        <f t="shared" ref="I17:I19" si="9">D17*0.05</f>
        <v>4491</v>
      </c>
      <c r="J17" s="7">
        <f t="shared" ref="J17:J19" si="10">D17*0.2</f>
        <v>17963</v>
      </c>
    </row>
    <row r="18" spans="1:10">
      <c r="A18" s="30">
        <v>113</v>
      </c>
      <c r="B18" s="30" t="s">
        <v>305</v>
      </c>
      <c r="C18" s="16">
        <v>158</v>
      </c>
      <c r="D18" s="4">
        <v>155599</v>
      </c>
      <c r="E18" s="27">
        <f t="shared" si="2"/>
        <v>984.8</v>
      </c>
      <c r="F18" s="23">
        <v>219</v>
      </c>
      <c r="G18" s="24">
        <f t="shared" si="5"/>
        <v>710.5</v>
      </c>
      <c r="H18" s="42">
        <f t="shared" si="6"/>
        <v>710.5</v>
      </c>
      <c r="I18" s="7">
        <f t="shared" si="9"/>
        <v>7780</v>
      </c>
      <c r="J18" s="7">
        <f t="shared" si="10"/>
        <v>31120</v>
      </c>
    </row>
    <row r="19" spans="1:10">
      <c r="A19" s="30">
        <v>114</v>
      </c>
      <c r="B19" s="30" t="s">
        <v>306</v>
      </c>
      <c r="C19" s="16">
        <v>113</v>
      </c>
      <c r="D19" s="4">
        <v>164131</v>
      </c>
      <c r="E19" s="27">
        <f t="shared" si="2"/>
        <v>1452.49</v>
      </c>
      <c r="F19" s="23">
        <v>196</v>
      </c>
      <c r="G19" s="24">
        <f t="shared" si="5"/>
        <v>837.4</v>
      </c>
      <c r="H19" s="42">
        <f t="shared" si="6"/>
        <v>837.4</v>
      </c>
      <c r="I19" s="7">
        <f t="shared" si="9"/>
        <v>8207</v>
      </c>
      <c r="J19" s="7">
        <f t="shared" si="10"/>
        <v>32826</v>
      </c>
    </row>
    <row r="20" spans="1:10">
      <c r="A20" s="30">
        <v>115</v>
      </c>
      <c r="B20" s="30" t="s">
        <v>309</v>
      </c>
      <c r="C20" s="16">
        <v>78</v>
      </c>
      <c r="D20" s="4">
        <v>66841</v>
      </c>
      <c r="E20" s="27">
        <f t="shared" si="2"/>
        <v>856.94</v>
      </c>
      <c r="F20" s="23">
        <v>110</v>
      </c>
      <c r="G20" s="24">
        <f t="shared" si="5"/>
        <v>607.65</v>
      </c>
      <c r="H20" s="42">
        <f t="shared" si="6"/>
        <v>607.65</v>
      </c>
      <c r="I20" s="7">
        <f t="shared" ref="I20" si="11">D20*0.05</f>
        <v>3342</v>
      </c>
      <c r="J20" s="7">
        <f t="shared" ref="J20" si="12">D20*0.2</f>
        <v>13368</v>
      </c>
    </row>
    <row r="21" spans="1:10">
      <c r="A21" s="10">
        <v>200</v>
      </c>
      <c r="B21" s="10" t="s">
        <v>10</v>
      </c>
      <c r="C21" s="16">
        <v>28</v>
      </c>
      <c r="D21" s="4">
        <v>37251</v>
      </c>
      <c r="E21" s="27">
        <f t="shared" si="2"/>
        <v>1330.39</v>
      </c>
      <c r="F21" s="23">
        <v>46</v>
      </c>
      <c r="G21" s="24">
        <f t="shared" si="3"/>
        <v>809.8</v>
      </c>
      <c r="H21" s="42">
        <f t="shared" si="4"/>
        <v>809.8</v>
      </c>
      <c r="I21" s="7">
        <f t="shared" si="0"/>
        <v>1863</v>
      </c>
      <c r="J21" s="7">
        <f t="shared" si="1"/>
        <v>7450</v>
      </c>
    </row>
    <row r="22" spans="1:10">
      <c r="A22" s="10">
        <v>202</v>
      </c>
      <c r="B22" s="10" t="s">
        <v>11</v>
      </c>
      <c r="C22" s="16">
        <v>742</v>
      </c>
      <c r="D22" s="4">
        <v>1077025</v>
      </c>
      <c r="E22" s="27">
        <f t="shared" si="2"/>
        <v>1451.52</v>
      </c>
      <c r="F22" s="23">
        <v>1285</v>
      </c>
      <c r="G22" s="24">
        <f t="shared" si="3"/>
        <v>838.15</v>
      </c>
      <c r="H22" s="42">
        <f t="shared" si="4"/>
        <v>838.15</v>
      </c>
      <c r="I22" s="7">
        <f t="shared" si="0"/>
        <v>53851</v>
      </c>
      <c r="J22" s="7">
        <f t="shared" si="1"/>
        <v>215405</v>
      </c>
    </row>
    <row r="23" spans="1:10">
      <c r="A23" s="10">
        <v>203</v>
      </c>
      <c r="B23" s="10" t="s">
        <v>12</v>
      </c>
      <c r="C23" s="16">
        <v>64</v>
      </c>
      <c r="D23" s="4">
        <v>76623</v>
      </c>
      <c r="E23" s="27">
        <f t="shared" si="2"/>
        <v>1197.23</v>
      </c>
      <c r="F23" s="23">
        <v>129</v>
      </c>
      <c r="G23" s="24">
        <f t="shared" si="3"/>
        <v>593.98</v>
      </c>
      <c r="H23" s="42">
        <f t="shared" si="4"/>
        <v>593.98</v>
      </c>
      <c r="I23" s="7">
        <f t="shared" si="0"/>
        <v>3831</v>
      </c>
      <c r="J23" s="7">
        <f t="shared" si="1"/>
        <v>15325</v>
      </c>
    </row>
    <row r="24" spans="1:10">
      <c r="A24" s="10">
        <v>204</v>
      </c>
      <c r="B24" s="10" t="s">
        <v>13</v>
      </c>
      <c r="C24" s="16">
        <v>263</v>
      </c>
      <c r="D24" s="4">
        <v>361862</v>
      </c>
      <c r="E24" s="27">
        <f t="shared" si="2"/>
        <v>1375.9</v>
      </c>
      <c r="F24" s="23">
        <v>506</v>
      </c>
      <c r="G24" s="24">
        <f t="shared" si="3"/>
        <v>715.14</v>
      </c>
      <c r="H24" s="42">
        <f t="shared" si="4"/>
        <v>715.14</v>
      </c>
      <c r="I24" s="7">
        <f t="shared" si="0"/>
        <v>18093</v>
      </c>
      <c r="J24" s="7">
        <f t="shared" si="1"/>
        <v>72372</v>
      </c>
    </row>
    <row r="25" spans="1:10">
      <c r="A25" s="10">
        <v>205</v>
      </c>
      <c r="B25" s="10" t="s">
        <v>280</v>
      </c>
      <c r="C25" s="16">
        <v>95</v>
      </c>
      <c r="D25" s="4">
        <v>77811</v>
      </c>
      <c r="E25" s="27">
        <f t="shared" si="2"/>
        <v>819.06</v>
      </c>
      <c r="F25" s="23">
        <v>131</v>
      </c>
      <c r="G25" s="24">
        <f t="shared" si="3"/>
        <v>593.98</v>
      </c>
      <c r="H25" s="42">
        <f t="shared" si="4"/>
        <v>593.98</v>
      </c>
      <c r="I25" s="7">
        <f t="shared" si="0"/>
        <v>3891</v>
      </c>
      <c r="J25" s="7">
        <f t="shared" si="1"/>
        <v>15562</v>
      </c>
    </row>
    <row r="26" spans="1:10">
      <c r="A26" s="10">
        <v>206</v>
      </c>
      <c r="B26" s="10" t="s">
        <v>14</v>
      </c>
      <c r="C26" s="16">
        <v>62</v>
      </c>
      <c r="D26" s="4">
        <v>62367</v>
      </c>
      <c r="E26" s="27">
        <f t="shared" si="2"/>
        <v>1005.92</v>
      </c>
      <c r="F26" s="23">
        <v>105</v>
      </c>
      <c r="G26" s="24">
        <f t="shared" si="3"/>
        <v>593.97</v>
      </c>
      <c r="H26" s="42">
        <f t="shared" si="4"/>
        <v>593.97</v>
      </c>
      <c r="I26" s="7">
        <f t="shared" si="0"/>
        <v>3118</v>
      </c>
      <c r="J26" s="7">
        <f t="shared" si="1"/>
        <v>12473</v>
      </c>
    </row>
    <row r="27" spans="1:10">
      <c r="A27" s="10">
        <v>207</v>
      </c>
      <c r="B27" s="10" t="s">
        <v>15</v>
      </c>
      <c r="C27" s="16">
        <v>90</v>
      </c>
      <c r="D27" s="4">
        <v>72465</v>
      </c>
      <c r="E27" s="27">
        <f t="shared" si="2"/>
        <v>805.17</v>
      </c>
      <c r="F27" s="23">
        <v>122</v>
      </c>
      <c r="G27" s="24">
        <f t="shared" si="3"/>
        <v>593.98</v>
      </c>
      <c r="H27" s="42">
        <f t="shared" si="4"/>
        <v>593.98</v>
      </c>
      <c r="I27" s="7">
        <f t="shared" si="0"/>
        <v>3623</v>
      </c>
      <c r="J27" s="7">
        <f t="shared" si="1"/>
        <v>14493</v>
      </c>
    </row>
    <row r="28" spans="1:10">
      <c r="A28" s="10">
        <v>208</v>
      </c>
      <c r="B28" s="10" t="s">
        <v>16</v>
      </c>
      <c r="C28" s="16">
        <v>61</v>
      </c>
      <c r="D28" s="4">
        <v>64563</v>
      </c>
      <c r="E28" s="27">
        <f t="shared" si="2"/>
        <v>1058.4100000000001</v>
      </c>
      <c r="F28" s="23">
        <v>81</v>
      </c>
      <c r="G28" s="24">
        <f t="shared" si="3"/>
        <v>797.07</v>
      </c>
      <c r="H28" s="42">
        <f t="shared" si="4"/>
        <v>797.07</v>
      </c>
      <c r="I28" s="7">
        <f t="shared" si="0"/>
        <v>3228</v>
      </c>
      <c r="J28" s="7">
        <f t="shared" si="1"/>
        <v>12913</v>
      </c>
    </row>
    <row r="29" spans="1:10">
      <c r="A29" s="10">
        <v>209</v>
      </c>
      <c r="B29" s="10" t="s">
        <v>17</v>
      </c>
      <c r="C29" s="16">
        <v>17</v>
      </c>
      <c r="D29" s="4">
        <v>33467</v>
      </c>
      <c r="E29" s="27">
        <f t="shared" si="2"/>
        <v>1968.65</v>
      </c>
      <c r="F29" s="23">
        <v>42</v>
      </c>
      <c r="G29" s="24">
        <f t="shared" si="3"/>
        <v>796.83</v>
      </c>
      <c r="H29" s="42">
        <f t="shared" si="4"/>
        <v>796.83</v>
      </c>
      <c r="I29" s="7">
        <f t="shared" si="0"/>
        <v>1673</v>
      </c>
      <c r="J29" s="7">
        <f t="shared" si="1"/>
        <v>6693</v>
      </c>
    </row>
    <row r="30" spans="1:10">
      <c r="A30" s="10">
        <v>210</v>
      </c>
      <c r="B30" s="10" t="s">
        <v>18</v>
      </c>
      <c r="C30" s="16">
        <v>150</v>
      </c>
      <c r="D30" s="4">
        <v>213032</v>
      </c>
      <c r="E30" s="27">
        <f t="shared" si="2"/>
        <v>1420.21</v>
      </c>
      <c r="F30" s="23">
        <v>278</v>
      </c>
      <c r="G30" s="24">
        <f t="shared" si="3"/>
        <v>766.3</v>
      </c>
      <c r="H30" s="42">
        <f t="shared" si="4"/>
        <v>766.3</v>
      </c>
      <c r="I30" s="7">
        <f t="shared" si="0"/>
        <v>10652</v>
      </c>
      <c r="J30" s="7">
        <f t="shared" si="1"/>
        <v>42606</v>
      </c>
    </row>
    <row r="31" spans="1:10">
      <c r="A31" s="10">
        <v>211</v>
      </c>
      <c r="B31" s="10" t="s">
        <v>19</v>
      </c>
      <c r="C31" s="16">
        <v>88</v>
      </c>
      <c r="D31" s="4">
        <v>105877</v>
      </c>
      <c r="E31" s="27">
        <f t="shared" si="2"/>
        <v>1203.1500000000001</v>
      </c>
      <c r="F31" s="23">
        <v>151</v>
      </c>
      <c r="G31" s="24">
        <f t="shared" si="3"/>
        <v>701.17</v>
      </c>
      <c r="H31" s="42">
        <f t="shared" si="4"/>
        <v>701.17</v>
      </c>
      <c r="I31" s="7">
        <f t="shared" si="0"/>
        <v>5294</v>
      </c>
      <c r="J31" s="7">
        <f t="shared" si="1"/>
        <v>21175</v>
      </c>
    </row>
    <row r="32" spans="1:10">
      <c r="A32" s="10">
        <v>212</v>
      </c>
      <c r="B32" s="10" t="s">
        <v>20</v>
      </c>
      <c r="C32" s="16">
        <v>23</v>
      </c>
      <c r="D32" s="4">
        <v>48651</v>
      </c>
      <c r="E32" s="27">
        <f t="shared" si="2"/>
        <v>2115.2600000000002</v>
      </c>
      <c r="F32" s="23">
        <v>56</v>
      </c>
      <c r="G32" s="24">
        <f t="shared" si="3"/>
        <v>868.77</v>
      </c>
      <c r="H32" s="42">
        <f t="shared" si="4"/>
        <v>868.77</v>
      </c>
      <c r="I32" s="7">
        <f t="shared" si="0"/>
        <v>2433</v>
      </c>
      <c r="J32" s="7">
        <f t="shared" si="1"/>
        <v>9730</v>
      </c>
    </row>
    <row r="33" spans="1:10">
      <c r="A33" s="10">
        <v>214</v>
      </c>
      <c r="B33" s="10" t="s">
        <v>21</v>
      </c>
      <c r="C33" s="16">
        <v>217</v>
      </c>
      <c r="D33" s="4">
        <v>319556</v>
      </c>
      <c r="E33" s="27">
        <f t="shared" si="2"/>
        <v>1472.61</v>
      </c>
      <c r="F33" s="23">
        <v>414</v>
      </c>
      <c r="G33" s="24">
        <f t="shared" si="3"/>
        <v>771.87</v>
      </c>
      <c r="H33" s="42">
        <f t="shared" si="4"/>
        <v>771.87</v>
      </c>
      <c r="I33" s="7">
        <f t="shared" si="0"/>
        <v>15978</v>
      </c>
      <c r="J33" s="7">
        <f t="shared" si="1"/>
        <v>63911</v>
      </c>
    </row>
    <row r="34" spans="1:10">
      <c r="A34" s="10">
        <v>215</v>
      </c>
      <c r="B34" s="10" t="s">
        <v>22</v>
      </c>
      <c r="C34" s="16">
        <v>84</v>
      </c>
      <c r="D34" s="4">
        <v>110602</v>
      </c>
      <c r="E34" s="27">
        <f t="shared" si="2"/>
        <v>1316.69</v>
      </c>
      <c r="F34" s="23">
        <v>153</v>
      </c>
      <c r="G34" s="24">
        <f t="shared" si="3"/>
        <v>722.89</v>
      </c>
      <c r="H34" s="42">
        <f t="shared" si="4"/>
        <v>722.89</v>
      </c>
      <c r="I34" s="7">
        <f t="shared" si="0"/>
        <v>5530</v>
      </c>
      <c r="J34" s="7">
        <f t="shared" si="1"/>
        <v>22120</v>
      </c>
    </row>
    <row r="35" spans="1:10">
      <c r="A35" s="10">
        <v>216</v>
      </c>
      <c r="B35" s="10" t="s">
        <v>23</v>
      </c>
      <c r="C35" s="16">
        <v>60</v>
      </c>
      <c r="D35" s="4">
        <v>87612</v>
      </c>
      <c r="E35" s="27">
        <f t="shared" si="2"/>
        <v>1460.2</v>
      </c>
      <c r="F35" s="23">
        <v>99</v>
      </c>
      <c r="G35" s="24">
        <f t="shared" si="3"/>
        <v>884.97</v>
      </c>
      <c r="H35" s="42">
        <f t="shared" si="4"/>
        <v>884.97</v>
      </c>
      <c r="I35" s="7">
        <f t="shared" si="0"/>
        <v>4381</v>
      </c>
      <c r="J35" s="7">
        <f t="shared" si="1"/>
        <v>17522</v>
      </c>
    </row>
    <row r="36" spans="1:10">
      <c r="A36" s="10">
        <v>217</v>
      </c>
      <c r="B36" s="10" t="s">
        <v>24</v>
      </c>
      <c r="C36" s="16">
        <v>26</v>
      </c>
      <c r="D36" s="4">
        <v>39907</v>
      </c>
      <c r="E36" s="27">
        <f t="shared" si="2"/>
        <v>1534.88</v>
      </c>
      <c r="F36" s="23">
        <v>52</v>
      </c>
      <c r="G36" s="24">
        <f t="shared" si="3"/>
        <v>767.44</v>
      </c>
      <c r="H36" s="42">
        <f t="shared" si="4"/>
        <v>767.44</v>
      </c>
      <c r="I36" s="7">
        <f t="shared" si="0"/>
        <v>1995</v>
      </c>
      <c r="J36" s="7">
        <f t="shared" si="1"/>
        <v>7981</v>
      </c>
    </row>
    <row r="37" spans="1:10">
      <c r="A37" s="10">
        <v>218</v>
      </c>
      <c r="B37" s="10" t="s">
        <v>25</v>
      </c>
      <c r="C37" s="16">
        <v>74</v>
      </c>
      <c r="D37" s="4">
        <v>119031</v>
      </c>
      <c r="E37" s="27">
        <f t="shared" si="2"/>
        <v>1608.53</v>
      </c>
      <c r="F37" s="23">
        <v>153</v>
      </c>
      <c r="G37" s="24">
        <f t="shared" si="3"/>
        <v>777.98</v>
      </c>
      <c r="H37" s="42">
        <f t="shared" si="4"/>
        <v>777.98</v>
      </c>
      <c r="I37" s="7">
        <f t="shared" si="0"/>
        <v>5952</v>
      </c>
      <c r="J37" s="7">
        <f t="shared" si="1"/>
        <v>23806</v>
      </c>
    </row>
    <row r="38" spans="1:10">
      <c r="A38" s="10">
        <v>219</v>
      </c>
      <c r="B38" s="10" t="s">
        <v>26</v>
      </c>
      <c r="C38" s="16">
        <v>35</v>
      </c>
      <c r="D38" s="4">
        <v>44214</v>
      </c>
      <c r="E38" s="27">
        <f t="shared" si="2"/>
        <v>1263.26</v>
      </c>
      <c r="F38" s="23">
        <v>57</v>
      </c>
      <c r="G38" s="24">
        <f t="shared" si="3"/>
        <v>775.68</v>
      </c>
      <c r="H38" s="42">
        <f t="shared" si="4"/>
        <v>775.68</v>
      </c>
      <c r="I38" s="7">
        <f t="shared" si="0"/>
        <v>2211</v>
      </c>
      <c r="J38" s="7">
        <f t="shared" si="1"/>
        <v>8843</v>
      </c>
    </row>
    <row r="39" spans="1:10">
      <c r="A39" s="10">
        <v>220</v>
      </c>
      <c r="B39" s="10" t="s">
        <v>27</v>
      </c>
      <c r="C39" s="16">
        <v>32</v>
      </c>
      <c r="D39" s="4">
        <v>36520</v>
      </c>
      <c r="E39" s="27">
        <f t="shared" si="2"/>
        <v>1141.25</v>
      </c>
      <c r="F39" s="23">
        <v>49</v>
      </c>
      <c r="G39" s="24">
        <f t="shared" si="3"/>
        <v>745.31</v>
      </c>
      <c r="H39" s="42">
        <f t="shared" si="4"/>
        <v>745.31</v>
      </c>
      <c r="I39" s="7">
        <f t="shared" si="0"/>
        <v>1826</v>
      </c>
      <c r="J39" s="7">
        <f t="shared" si="1"/>
        <v>7304</v>
      </c>
    </row>
    <row r="40" spans="1:10">
      <c r="A40" s="10">
        <v>223</v>
      </c>
      <c r="B40" s="10" t="s">
        <v>28</v>
      </c>
      <c r="C40" s="16">
        <v>50</v>
      </c>
      <c r="D40" s="4">
        <v>59410</v>
      </c>
      <c r="E40" s="27">
        <f t="shared" si="2"/>
        <v>1188.2</v>
      </c>
      <c r="F40" s="23">
        <v>81</v>
      </c>
      <c r="G40" s="24">
        <f t="shared" si="3"/>
        <v>733.46</v>
      </c>
      <c r="H40" s="42">
        <f t="shared" si="4"/>
        <v>733.46</v>
      </c>
      <c r="I40" s="7">
        <f t="shared" si="0"/>
        <v>2971</v>
      </c>
      <c r="J40" s="7">
        <f t="shared" si="1"/>
        <v>11882</v>
      </c>
    </row>
    <row r="41" spans="1:10">
      <c r="A41" s="10">
        <v>224</v>
      </c>
      <c r="B41" s="10" t="s">
        <v>29</v>
      </c>
      <c r="C41" s="16">
        <v>43</v>
      </c>
      <c r="D41" s="4">
        <v>43759</v>
      </c>
      <c r="E41" s="27">
        <f t="shared" si="2"/>
        <v>1017.65</v>
      </c>
      <c r="F41" s="23">
        <v>64</v>
      </c>
      <c r="G41" s="24">
        <f t="shared" si="3"/>
        <v>683.73</v>
      </c>
      <c r="H41" s="42">
        <f t="shared" si="4"/>
        <v>683.73</v>
      </c>
      <c r="I41" s="7">
        <f t="shared" si="0"/>
        <v>2188</v>
      </c>
      <c r="J41" s="7">
        <f t="shared" si="1"/>
        <v>8752</v>
      </c>
    </row>
    <row r="42" spans="1:10">
      <c r="A42" s="10">
        <v>225</v>
      </c>
      <c r="B42" s="10" t="s">
        <v>30</v>
      </c>
      <c r="C42" s="16">
        <v>12</v>
      </c>
      <c r="D42" s="4">
        <v>24691</v>
      </c>
      <c r="E42" s="27">
        <f t="shared" si="2"/>
        <v>2057.58</v>
      </c>
      <c r="F42" s="23">
        <v>35</v>
      </c>
      <c r="G42" s="24">
        <f t="shared" si="3"/>
        <v>705.46</v>
      </c>
      <c r="H42" s="42">
        <f t="shared" si="4"/>
        <v>705.46</v>
      </c>
      <c r="I42" s="7">
        <f t="shared" si="0"/>
        <v>1235</v>
      </c>
      <c r="J42" s="7">
        <f t="shared" si="1"/>
        <v>4938</v>
      </c>
    </row>
    <row r="43" spans="1:10">
      <c r="A43" s="10">
        <v>226</v>
      </c>
      <c r="B43" s="10" t="s">
        <v>31</v>
      </c>
      <c r="C43" s="16">
        <v>45</v>
      </c>
      <c r="D43" s="4">
        <v>62335</v>
      </c>
      <c r="E43" s="27">
        <f t="shared" si="2"/>
        <v>1385.22</v>
      </c>
      <c r="F43" s="23">
        <v>87</v>
      </c>
      <c r="G43" s="24">
        <f t="shared" si="3"/>
        <v>716.49</v>
      </c>
      <c r="H43" s="42">
        <f t="shared" si="4"/>
        <v>716.49</v>
      </c>
      <c r="I43" s="7">
        <f t="shared" si="0"/>
        <v>3117</v>
      </c>
      <c r="J43" s="7">
        <f t="shared" si="1"/>
        <v>12467</v>
      </c>
    </row>
    <row r="44" spans="1:10">
      <c r="A44" s="10">
        <v>227</v>
      </c>
      <c r="B44" s="10" t="s">
        <v>32</v>
      </c>
      <c r="C44" s="16">
        <v>36</v>
      </c>
      <c r="D44" s="4">
        <v>44169</v>
      </c>
      <c r="E44" s="27">
        <f t="shared" si="2"/>
        <v>1226.92</v>
      </c>
      <c r="F44" s="23">
        <v>61</v>
      </c>
      <c r="G44" s="24">
        <f t="shared" si="3"/>
        <v>724.08</v>
      </c>
      <c r="H44" s="42">
        <f t="shared" si="4"/>
        <v>724.08</v>
      </c>
      <c r="I44" s="7">
        <f t="shared" si="0"/>
        <v>2208</v>
      </c>
      <c r="J44" s="7">
        <f t="shared" si="1"/>
        <v>8834</v>
      </c>
    </row>
    <row r="45" spans="1:10">
      <c r="A45" s="11">
        <v>229</v>
      </c>
      <c r="B45" s="11" t="s">
        <v>256</v>
      </c>
      <c r="C45" s="17">
        <v>710</v>
      </c>
      <c r="D45" s="18">
        <v>462334</v>
      </c>
      <c r="E45" s="21">
        <f t="shared" si="2"/>
        <v>651.16999999999996</v>
      </c>
      <c r="F45" s="25">
        <v>951</v>
      </c>
      <c r="G45" s="26" t="s">
        <v>295</v>
      </c>
      <c r="H45" s="43">
        <f>E45</f>
        <v>651.16999999999996</v>
      </c>
      <c r="I45" s="22">
        <f t="shared" si="0"/>
        <v>23117</v>
      </c>
      <c r="J45" s="22">
        <f t="shared" si="1"/>
        <v>92467</v>
      </c>
    </row>
    <row r="46" spans="1:10">
      <c r="A46" s="10">
        <v>230</v>
      </c>
      <c r="B46" s="10" t="s">
        <v>33</v>
      </c>
      <c r="C46" s="16">
        <v>108</v>
      </c>
      <c r="D46" s="4">
        <v>140772</v>
      </c>
      <c r="E46" s="27">
        <f t="shared" si="2"/>
        <v>1303.44</v>
      </c>
      <c r="F46" s="23">
        <v>237</v>
      </c>
      <c r="G46" s="24">
        <f t="shared" si="3"/>
        <v>593.97</v>
      </c>
      <c r="H46" s="42">
        <f>G46</f>
        <v>593.97</v>
      </c>
      <c r="I46" s="7">
        <f t="shared" si="0"/>
        <v>7039</v>
      </c>
      <c r="J46" s="7">
        <f t="shared" si="1"/>
        <v>28154</v>
      </c>
    </row>
    <row r="47" spans="1:10">
      <c r="A47" s="10">
        <v>231</v>
      </c>
      <c r="B47" s="10" t="s">
        <v>258</v>
      </c>
      <c r="C47" s="16">
        <v>247</v>
      </c>
      <c r="D47" s="4">
        <v>419970</v>
      </c>
      <c r="E47" s="27">
        <f t="shared" si="2"/>
        <v>1700.28</v>
      </c>
      <c r="F47" s="23">
        <v>620</v>
      </c>
      <c r="G47" s="24">
        <f t="shared" si="3"/>
        <v>677.37</v>
      </c>
      <c r="H47" s="42">
        <f>G47</f>
        <v>677.37</v>
      </c>
      <c r="I47" s="7">
        <f t="shared" si="0"/>
        <v>20999</v>
      </c>
      <c r="J47" s="7">
        <f t="shared" si="1"/>
        <v>83994</v>
      </c>
    </row>
    <row r="48" spans="1:10">
      <c r="A48" s="10">
        <v>232</v>
      </c>
      <c r="B48" s="10" t="s">
        <v>34</v>
      </c>
      <c r="C48" s="16">
        <v>167</v>
      </c>
      <c r="D48" s="4">
        <v>126541</v>
      </c>
      <c r="E48" s="27">
        <f t="shared" si="2"/>
        <v>757.73</v>
      </c>
      <c r="F48" s="23">
        <v>380</v>
      </c>
      <c r="G48" s="24">
        <f t="shared" si="3"/>
        <v>333</v>
      </c>
      <c r="H48" s="42">
        <f>G48</f>
        <v>333</v>
      </c>
      <c r="I48" s="7">
        <f t="shared" si="0"/>
        <v>6327</v>
      </c>
      <c r="J48" s="7">
        <f t="shared" si="1"/>
        <v>25308</v>
      </c>
    </row>
    <row r="49" spans="1:10">
      <c r="A49" s="11">
        <v>233</v>
      </c>
      <c r="B49" s="11" t="s">
        <v>35</v>
      </c>
      <c r="C49" s="17">
        <v>1903</v>
      </c>
      <c r="D49" s="18">
        <v>2308200</v>
      </c>
      <c r="E49" s="21">
        <f t="shared" si="2"/>
        <v>1212.93</v>
      </c>
      <c r="F49" s="25">
        <v>3263</v>
      </c>
      <c r="G49" s="26" t="s">
        <v>295</v>
      </c>
      <c r="H49" s="42">
        <f>E49</f>
        <v>1212.93</v>
      </c>
      <c r="I49" s="22">
        <f t="shared" si="0"/>
        <v>115410</v>
      </c>
      <c r="J49" s="22">
        <f t="shared" si="1"/>
        <v>461640</v>
      </c>
    </row>
    <row r="50" spans="1:10">
      <c r="A50" s="10">
        <v>234</v>
      </c>
      <c r="B50" s="10" t="s">
        <v>259</v>
      </c>
      <c r="C50" s="16">
        <v>524</v>
      </c>
      <c r="D50" s="4">
        <v>593852</v>
      </c>
      <c r="E50" s="27">
        <f t="shared" si="2"/>
        <v>1133.31</v>
      </c>
      <c r="F50" s="23">
        <v>725</v>
      </c>
      <c r="G50" s="24">
        <f t="shared" si="3"/>
        <v>819.11</v>
      </c>
      <c r="H50" s="42">
        <f>G50</f>
        <v>819.11</v>
      </c>
      <c r="I50" s="7">
        <f t="shared" si="0"/>
        <v>29693</v>
      </c>
      <c r="J50" s="7">
        <f t="shared" si="1"/>
        <v>118770</v>
      </c>
    </row>
    <row r="51" spans="1:10">
      <c r="A51" s="10">
        <v>235</v>
      </c>
      <c r="B51" s="10" t="s">
        <v>36</v>
      </c>
      <c r="C51" s="16">
        <v>101</v>
      </c>
      <c r="D51" s="4">
        <v>125558</v>
      </c>
      <c r="E51" s="27">
        <f t="shared" si="2"/>
        <v>1243.1500000000001</v>
      </c>
      <c r="F51" s="23">
        <v>151</v>
      </c>
      <c r="G51" s="24">
        <f t="shared" si="3"/>
        <v>831.51</v>
      </c>
      <c r="H51" s="42">
        <f t="shared" ref="H51:H63" si="13">G51</f>
        <v>831.51</v>
      </c>
      <c r="I51" s="7">
        <f t="shared" si="0"/>
        <v>6278</v>
      </c>
      <c r="J51" s="7">
        <f t="shared" si="1"/>
        <v>25112</v>
      </c>
    </row>
    <row r="52" spans="1:10">
      <c r="A52" s="10">
        <v>237</v>
      </c>
      <c r="B52" s="10" t="s">
        <v>37</v>
      </c>
      <c r="C52" s="16">
        <v>65</v>
      </c>
      <c r="D52" s="4">
        <v>78859</v>
      </c>
      <c r="E52" s="27">
        <f t="shared" si="2"/>
        <v>1213.22</v>
      </c>
      <c r="F52" s="23">
        <v>100</v>
      </c>
      <c r="G52" s="24">
        <f t="shared" si="3"/>
        <v>788.59</v>
      </c>
      <c r="H52" s="42">
        <f t="shared" si="13"/>
        <v>788.59</v>
      </c>
      <c r="I52" s="7">
        <f t="shared" si="0"/>
        <v>3943</v>
      </c>
      <c r="J52" s="7">
        <f t="shared" si="1"/>
        <v>15772</v>
      </c>
    </row>
    <row r="53" spans="1:10">
      <c r="A53" s="10">
        <v>239</v>
      </c>
      <c r="B53" s="10" t="s">
        <v>38</v>
      </c>
      <c r="C53" s="16">
        <v>67</v>
      </c>
      <c r="D53" s="4">
        <v>80026</v>
      </c>
      <c r="E53" s="27">
        <f t="shared" si="2"/>
        <v>1194.42</v>
      </c>
      <c r="F53" s="23">
        <v>118</v>
      </c>
      <c r="G53" s="24">
        <f t="shared" si="3"/>
        <v>678.19</v>
      </c>
      <c r="H53" s="42">
        <f t="shared" si="13"/>
        <v>678.19</v>
      </c>
      <c r="I53" s="7">
        <f t="shared" si="0"/>
        <v>4001</v>
      </c>
      <c r="J53" s="7">
        <f t="shared" si="1"/>
        <v>16005</v>
      </c>
    </row>
    <row r="54" spans="1:10">
      <c r="A54" s="10">
        <v>240</v>
      </c>
      <c r="B54" s="10" t="s">
        <v>39</v>
      </c>
      <c r="C54" s="16">
        <v>57</v>
      </c>
      <c r="D54" s="4">
        <v>73596</v>
      </c>
      <c r="E54" s="27">
        <f t="shared" si="2"/>
        <v>1291.1600000000001</v>
      </c>
      <c r="F54" s="23">
        <v>107</v>
      </c>
      <c r="G54" s="24">
        <f t="shared" si="3"/>
        <v>687.81</v>
      </c>
      <c r="H54" s="42">
        <f t="shared" si="13"/>
        <v>687.81</v>
      </c>
      <c r="I54" s="7">
        <f t="shared" si="0"/>
        <v>3680</v>
      </c>
      <c r="J54" s="7">
        <f t="shared" si="1"/>
        <v>14719</v>
      </c>
    </row>
    <row r="55" spans="1:10">
      <c r="A55" s="10">
        <v>241</v>
      </c>
      <c r="B55" s="10" t="s">
        <v>40</v>
      </c>
      <c r="C55" s="16">
        <v>30</v>
      </c>
      <c r="D55" s="4">
        <v>35322</v>
      </c>
      <c r="E55" s="27">
        <f t="shared" si="2"/>
        <v>1177.4000000000001</v>
      </c>
      <c r="F55" s="23">
        <v>46</v>
      </c>
      <c r="G55" s="24">
        <f t="shared" si="3"/>
        <v>767.87</v>
      </c>
      <c r="H55" s="42">
        <f t="shared" si="13"/>
        <v>767.87</v>
      </c>
      <c r="I55" s="7">
        <f t="shared" si="0"/>
        <v>1766</v>
      </c>
      <c r="J55" s="7">
        <f t="shared" si="1"/>
        <v>7064</v>
      </c>
    </row>
    <row r="56" spans="1:10">
      <c r="A56" s="10">
        <v>242</v>
      </c>
      <c r="B56" s="10" t="s">
        <v>41</v>
      </c>
      <c r="C56" s="16">
        <v>19</v>
      </c>
      <c r="D56" s="4">
        <v>27791</v>
      </c>
      <c r="E56" s="27">
        <f t="shared" si="2"/>
        <v>1462.68</v>
      </c>
      <c r="F56" s="23">
        <v>24</v>
      </c>
      <c r="G56" s="24">
        <f t="shared" si="3"/>
        <v>1157.96</v>
      </c>
      <c r="H56" s="42">
        <f t="shared" si="13"/>
        <v>1157.96</v>
      </c>
      <c r="I56" s="7">
        <f t="shared" si="0"/>
        <v>1390</v>
      </c>
      <c r="J56" s="7">
        <f t="shared" si="1"/>
        <v>5558</v>
      </c>
    </row>
    <row r="57" spans="1:10">
      <c r="A57" s="10">
        <v>243</v>
      </c>
      <c r="B57" s="10" t="s">
        <v>42</v>
      </c>
      <c r="C57" s="16">
        <v>48</v>
      </c>
      <c r="D57" s="4">
        <v>64682</v>
      </c>
      <c r="E57" s="27">
        <f t="shared" si="2"/>
        <v>1347.54</v>
      </c>
      <c r="F57" s="23">
        <v>95</v>
      </c>
      <c r="G57" s="24">
        <f t="shared" si="3"/>
        <v>680.86</v>
      </c>
      <c r="H57" s="42">
        <f t="shared" si="13"/>
        <v>680.86</v>
      </c>
      <c r="I57" s="7">
        <f t="shared" si="0"/>
        <v>3234</v>
      </c>
      <c r="J57" s="7">
        <f t="shared" si="1"/>
        <v>12936</v>
      </c>
    </row>
    <row r="58" spans="1:10">
      <c r="A58" s="10">
        <v>244</v>
      </c>
      <c r="B58" s="10" t="s">
        <v>43</v>
      </c>
      <c r="C58" s="16">
        <v>97</v>
      </c>
      <c r="D58" s="4">
        <v>126884</v>
      </c>
      <c r="E58" s="27">
        <f t="shared" si="2"/>
        <v>1308.08</v>
      </c>
      <c r="F58" s="23">
        <v>177</v>
      </c>
      <c r="G58" s="24">
        <f t="shared" si="3"/>
        <v>716.86</v>
      </c>
      <c r="H58" s="42">
        <f t="shared" si="13"/>
        <v>716.86</v>
      </c>
      <c r="I58" s="7">
        <f t="shared" si="0"/>
        <v>6344</v>
      </c>
      <c r="J58" s="7">
        <f t="shared" si="1"/>
        <v>25377</v>
      </c>
    </row>
    <row r="59" spans="1:10">
      <c r="A59" s="10">
        <v>245</v>
      </c>
      <c r="B59" s="10" t="s">
        <v>44</v>
      </c>
      <c r="C59" s="16">
        <v>42</v>
      </c>
      <c r="D59" s="4">
        <v>42035</v>
      </c>
      <c r="E59" s="27">
        <f t="shared" si="2"/>
        <v>1000.83</v>
      </c>
      <c r="F59" s="23">
        <v>61</v>
      </c>
      <c r="G59" s="24">
        <f t="shared" si="3"/>
        <v>689.1</v>
      </c>
      <c r="H59" s="42">
        <f t="shared" si="13"/>
        <v>689.1</v>
      </c>
      <c r="I59" s="7">
        <f t="shared" si="0"/>
        <v>2102</v>
      </c>
      <c r="J59" s="7">
        <f t="shared" si="1"/>
        <v>8407</v>
      </c>
    </row>
    <row r="60" spans="1:10">
      <c r="A60" s="10">
        <v>246</v>
      </c>
      <c r="B60" s="10" t="s">
        <v>45</v>
      </c>
      <c r="C60" s="16">
        <v>175</v>
      </c>
      <c r="D60" s="4">
        <v>194155</v>
      </c>
      <c r="E60" s="27">
        <f t="shared" si="2"/>
        <v>1109.46</v>
      </c>
      <c r="F60" s="23">
        <v>230</v>
      </c>
      <c r="G60" s="24">
        <f t="shared" si="3"/>
        <v>844.15</v>
      </c>
      <c r="H60" s="42">
        <f t="shared" si="13"/>
        <v>844.15</v>
      </c>
      <c r="I60" s="7">
        <f t="shared" si="0"/>
        <v>9708</v>
      </c>
      <c r="J60" s="7">
        <f t="shared" si="1"/>
        <v>38831</v>
      </c>
    </row>
    <row r="61" spans="1:10">
      <c r="A61" s="10">
        <v>247</v>
      </c>
      <c r="B61" s="10" t="s">
        <v>46</v>
      </c>
      <c r="C61" s="16">
        <v>150</v>
      </c>
      <c r="D61" s="4">
        <v>169319</v>
      </c>
      <c r="E61" s="27">
        <f t="shared" si="2"/>
        <v>1128.79</v>
      </c>
      <c r="F61" s="23">
        <v>231</v>
      </c>
      <c r="G61" s="24">
        <f t="shared" si="3"/>
        <v>732.98</v>
      </c>
      <c r="H61" s="42">
        <f t="shared" si="13"/>
        <v>732.98</v>
      </c>
      <c r="I61" s="7">
        <f t="shared" si="0"/>
        <v>8466</v>
      </c>
      <c r="J61" s="7">
        <f t="shared" si="1"/>
        <v>33864</v>
      </c>
    </row>
    <row r="62" spans="1:10">
      <c r="A62" s="10">
        <v>248</v>
      </c>
      <c r="B62" s="10" t="s">
        <v>47</v>
      </c>
      <c r="C62" s="16">
        <v>191</v>
      </c>
      <c r="D62" s="4">
        <v>214574</v>
      </c>
      <c r="E62" s="27">
        <f t="shared" si="2"/>
        <v>1123.42</v>
      </c>
      <c r="F62" s="23">
        <v>278</v>
      </c>
      <c r="G62" s="24">
        <f t="shared" si="3"/>
        <v>771.85</v>
      </c>
      <c r="H62" s="42">
        <f t="shared" si="13"/>
        <v>771.85</v>
      </c>
      <c r="I62" s="7">
        <f t="shared" si="0"/>
        <v>10729</v>
      </c>
      <c r="J62" s="7">
        <f t="shared" si="1"/>
        <v>42915</v>
      </c>
    </row>
    <row r="63" spans="1:10">
      <c r="A63" s="10">
        <v>249</v>
      </c>
      <c r="B63" s="10" t="s">
        <v>48</v>
      </c>
      <c r="C63" s="16">
        <v>62</v>
      </c>
      <c r="D63" s="4">
        <v>113304</v>
      </c>
      <c r="E63" s="27">
        <f t="shared" si="2"/>
        <v>1827.48</v>
      </c>
      <c r="F63" s="23">
        <v>154</v>
      </c>
      <c r="G63" s="24">
        <f t="shared" si="3"/>
        <v>735.74</v>
      </c>
      <c r="H63" s="42">
        <f t="shared" si="13"/>
        <v>735.74</v>
      </c>
      <c r="I63" s="7">
        <f t="shared" si="0"/>
        <v>5665</v>
      </c>
      <c r="J63" s="7">
        <f t="shared" si="1"/>
        <v>22661</v>
      </c>
    </row>
    <row r="64" spans="1:10">
      <c r="A64" s="11">
        <v>250</v>
      </c>
      <c r="B64" s="11" t="s">
        <v>49</v>
      </c>
      <c r="C64" s="17">
        <v>726</v>
      </c>
      <c r="D64" s="18">
        <v>1044736</v>
      </c>
      <c r="E64" s="21">
        <f t="shared" si="2"/>
        <v>1439.03</v>
      </c>
      <c r="F64" s="25">
        <v>1055</v>
      </c>
      <c r="G64" s="26" t="s">
        <v>295</v>
      </c>
      <c r="H64" s="42">
        <f>E64</f>
        <v>1439.03</v>
      </c>
      <c r="I64" s="22">
        <f t="shared" si="0"/>
        <v>52237</v>
      </c>
      <c r="J64" s="22">
        <f t="shared" si="1"/>
        <v>208947</v>
      </c>
    </row>
    <row r="65" spans="1:10">
      <c r="A65" s="10">
        <v>251</v>
      </c>
      <c r="B65" s="10" t="s">
        <v>50</v>
      </c>
      <c r="C65" s="16">
        <v>62</v>
      </c>
      <c r="D65" s="4">
        <v>76139</v>
      </c>
      <c r="E65" s="27">
        <f t="shared" si="2"/>
        <v>1228.05</v>
      </c>
      <c r="F65" s="23">
        <v>107</v>
      </c>
      <c r="G65" s="24">
        <f t="shared" si="3"/>
        <v>711.58</v>
      </c>
      <c r="H65" s="42">
        <f>G65</f>
        <v>711.58</v>
      </c>
      <c r="I65" s="7">
        <f t="shared" si="0"/>
        <v>3807</v>
      </c>
      <c r="J65" s="7">
        <f t="shared" si="1"/>
        <v>15228</v>
      </c>
    </row>
    <row r="66" spans="1:10">
      <c r="A66" s="10">
        <v>252</v>
      </c>
      <c r="B66" s="10" t="s">
        <v>51</v>
      </c>
      <c r="C66" s="16">
        <v>52</v>
      </c>
      <c r="D66" s="4">
        <v>70892</v>
      </c>
      <c r="E66" s="27">
        <f t="shared" si="2"/>
        <v>1363.31</v>
      </c>
      <c r="F66" s="23">
        <v>101</v>
      </c>
      <c r="G66" s="24">
        <f t="shared" si="3"/>
        <v>701.9</v>
      </c>
      <c r="H66" s="42">
        <f>G66</f>
        <v>701.9</v>
      </c>
      <c r="I66" s="7">
        <f t="shared" si="0"/>
        <v>3545</v>
      </c>
      <c r="J66" s="7">
        <f t="shared" si="1"/>
        <v>14178</v>
      </c>
    </row>
    <row r="67" spans="1:10">
      <c r="A67" s="11">
        <v>253</v>
      </c>
      <c r="B67" s="11" t="s">
        <v>52</v>
      </c>
      <c r="C67" s="17">
        <v>815</v>
      </c>
      <c r="D67" s="18">
        <v>1184740</v>
      </c>
      <c r="E67" s="21">
        <f t="shared" si="2"/>
        <v>1453.67</v>
      </c>
      <c r="F67" s="25">
        <v>1427</v>
      </c>
      <c r="G67" s="26" t="s">
        <v>295</v>
      </c>
      <c r="H67" s="42">
        <f>E67</f>
        <v>1453.67</v>
      </c>
      <c r="I67" s="22">
        <f t="shared" si="0"/>
        <v>59237</v>
      </c>
      <c r="J67" s="22">
        <f t="shared" si="1"/>
        <v>236948</v>
      </c>
    </row>
    <row r="68" spans="1:10">
      <c r="A68" s="10">
        <v>254</v>
      </c>
      <c r="B68" s="10" t="s">
        <v>260</v>
      </c>
      <c r="C68" s="16">
        <v>67</v>
      </c>
      <c r="D68" s="4">
        <v>73199</v>
      </c>
      <c r="E68" s="27">
        <f t="shared" si="2"/>
        <v>1092.52</v>
      </c>
      <c r="F68" s="23">
        <v>102</v>
      </c>
      <c r="G68" s="24">
        <f t="shared" si="3"/>
        <v>717.64</v>
      </c>
      <c r="H68" s="42">
        <f>G68</f>
        <v>717.64</v>
      </c>
      <c r="I68" s="7">
        <f t="shared" si="0"/>
        <v>3660</v>
      </c>
      <c r="J68" s="7">
        <f t="shared" si="1"/>
        <v>14640</v>
      </c>
    </row>
    <row r="69" spans="1:10">
      <c r="A69" s="10">
        <v>255</v>
      </c>
      <c r="B69" s="10" t="s">
        <v>53</v>
      </c>
      <c r="C69" s="16">
        <v>44</v>
      </c>
      <c r="D69" s="4">
        <v>52181</v>
      </c>
      <c r="E69" s="27">
        <f t="shared" si="2"/>
        <v>1185.93</v>
      </c>
      <c r="F69" s="23">
        <v>61</v>
      </c>
      <c r="G69" s="24">
        <f t="shared" si="3"/>
        <v>855.43</v>
      </c>
      <c r="H69" s="42">
        <f>G69</f>
        <v>855.43</v>
      </c>
      <c r="I69" s="7">
        <f t="shared" si="0"/>
        <v>2609</v>
      </c>
      <c r="J69" s="7">
        <f t="shared" si="1"/>
        <v>10436</v>
      </c>
    </row>
    <row r="70" spans="1:10">
      <c r="A70" s="10">
        <v>256</v>
      </c>
      <c r="B70" s="10" t="s">
        <v>54</v>
      </c>
      <c r="C70" s="16">
        <v>62</v>
      </c>
      <c r="D70" s="4">
        <v>79283</v>
      </c>
      <c r="E70" s="27">
        <f t="shared" si="2"/>
        <v>1278.76</v>
      </c>
      <c r="F70" s="23">
        <v>100</v>
      </c>
      <c r="G70" s="24">
        <f t="shared" si="3"/>
        <v>792.83</v>
      </c>
      <c r="H70" s="42">
        <f>G70</f>
        <v>792.83</v>
      </c>
      <c r="I70" s="7">
        <f t="shared" si="0"/>
        <v>3964</v>
      </c>
      <c r="J70" s="7">
        <f t="shared" si="1"/>
        <v>15857</v>
      </c>
    </row>
    <row r="71" spans="1:10">
      <c r="A71" s="10">
        <v>257</v>
      </c>
      <c r="B71" s="10" t="s">
        <v>55</v>
      </c>
      <c r="C71" s="16">
        <v>348</v>
      </c>
      <c r="D71" s="4">
        <v>407514</v>
      </c>
      <c r="E71" s="27">
        <f t="shared" si="2"/>
        <v>1171.02</v>
      </c>
      <c r="F71" s="23">
        <v>485</v>
      </c>
      <c r="G71" s="24">
        <f t="shared" si="3"/>
        <v>840.24</v>
      </c>
      <c r="H71" s="42">
        <f>G71</f>
        <v>840.24</v>
      </c>
      <c r="I71" s="7">
        <f t="shared" si="0"/>
        <v>20376</v>
      </c>
      <c r="J71" s="7">
        <f t="shared" si="1"/>
        <v>81503</v>
      </c>
    </row>
    <row r="72" spans="1:10">
      <c r="A72" s="10">
        <v>258</v>
      </c>
      <c r="B72" s="10" t="s">
        <v>56</v>
      </c>
      <c r="C72" s="16">
        <v>53</v>
      </c>
      <c r="D72" s="4">
        <v>98454</v>
      </c>
      <c r="E72" s="27">
        <f t="shared" si="2"/>
        <v>1857.62</v>
      </c>
      <c r="F72" s="23">
        <v>115</v>
      </c>
      <c r="G72" s="24">
        <f t="shared" si="3"/>
        <v>856.12</v>
      </c>
      <c r="H72" s="42">
        <f>G72</f>
        <v>856.12</v>
      </c>
      <c r="I72" s="7">
        <f t="shared" si="0"/>
        <v>4923</v>
      </c>
      <c r="J72" s="7">
        <f t="shared" si="1"/>
        <v>19691</v>
      </c>
    </row>
    <row r="73" spans="1:10">
      <c r="A73" s="11">
        <v>259</v>
      </c>
      <c r="B73" s="11" t="s">
        <v>57</v>
      </c>
      <c r="C73" s="17">
        <v>12112</v>
      </c>
      <c r="D73" s="18">
        <v>22051614</v>
      </c>
      <c r="E73" s="21">
        <f t="shared" si="2"/>
        <v>1820.64</v>
      </c>
      <c r="F73" s="25">
        <v>19314</v>
      </c>
      <c r="G73" s="26" t="s">
        <v>295</v>
      </c>
      <c r="H73" s="42">
        <f>E73</f>
        <v>1820.64</v>
      </c>
      <c r="I73" s="22">
        <f t="shared" si="0"/>
        <v>1102581</v>
      </c>
      <c r="J73" s="22">
        <f t="shared" si="1"/>
        <v>4410323</v>
      </c>
    </row>
    <row r="74" spans="1:10">
      <c r="A74" s="11">
        <v>260</v>
      </c>
      <c r="B74" s="11" t="s">
        <v>58</v>
      </c>
      <c r="C74" s="17">
        <v>815</v>
      </c>
      <c r="D74" s="18">
        <v>862184</v>
      </c>
      <c r="E74" s="21">
        <f t="shared" si="2"/>
        <v>1057.8900000000001</v>
      </c>
      <c r="F74" s="25">
        <v>1336</v>
      </c>
      <c r="G74" s="26" t="s">
        <v>295</v>
      </c>
      <c r="H74" s="42">
        <f>E74</f>
        <v>1057.8900000000001</v>
      </c>
      <c r="I74" s="22">
        <f t="shared" ref="I74:I134" si="14">D74*0.05</f>
        <v>43109</v>
      </c>
      <c r="J74" s="22">
        <f t="shared" ref="J74:J134" si="15">D74*0.2</f>
        <v>172437</v>
      </c>
    </row>
    <row r="75" spans="1:10">
      <c r="A75" s="10">
        <v>261</v>
      </c>
      <c r="B75" s="10" t="s">
        <v>59</v>
      </c>
      <c r="C75" s="16">
        <v>519</v>
      </c>
      <c r="D75" s="4">
        <v>536463</v>
      </c>
      <c r="E75" s="27">
        <f t="shared" ref="E75:E135" si="16">D75/C75</f>
        <v>1033.6500000000001</v>
      </c>
      <c r="F75" s="23">
        <v>1080</v>
      </c>
      <c r="G75" s="24">
        <f t="shared" ref="G75:G135" si="17">D75/F75</f>
        <v>496.73</v>
      </c>
      <c r="H75" s="42">
        <f>G75</f>
        <v>496.73</v>
      </c>
      <c r="I75" s="7">
        <f t="shared" si="14"/>
        <v>26823</v>
      </c>
      <c r="J75" s="7">
        <f t="shared" si="15"/>
        <v>107293</v>
      </c>
    </row>
    <row r="76" spans="1:10">
      <c r="A76" s="10">
        <v>262</v>
      </c>
      <c r="B76" s="10" t="s">
        <v>60</v>
      </c>
      <c r="C76" s="16">
        <v>232</v>
      </c>
      <c r="D76" s="4">
        <v>266469</v>
      </c>
      <c r="E76" s="27">
        <f t="shared" si="16"/>
        <v>1148.57</v>
      </c>
      <c r="F76" s="23">
        <v>405</v>
      </c>
      <c r="G76" s="24">
        <f t="shared" si="17"/>
        <v>657.95</v>
      </c>
      <c r="H76" s="42">
        <f>G76</f>
        <v>657.95</v>
      </c>
      <c r="I76" s="7">
        <f t="shared" si="14"/>
        <v>13323</v>
      </c>
      <c r="J76" s="7">
        <f t="shared" si="15"/>
        <v>53294</v>
      </c>
    </row>
    <row r="77" spans="1:10">
      <c r="A77" s="10">
        <v>263</v>
      </c>
      <c r="B77" s="10" t="s">
        <v>61</v>
      </c>
      <c r="C77" s="16">
        <v>258</v>
      </c>
      <c r="D77" s="4">
        <v>238524</v>
      </c>
      <c r="E77" s="27">
        <f t="shared" si="16"/>
        <v>924.51</v>
      </c>
      <c r="F77" s="23">
        <v>358</v>
      </c>
      <c r="G77" s="24">
        <f t="shared" si="17"/>
        <v>666.27</v>
      </c>
      <c r="H77" s="42">
        <f>G77</f>
        <v>666.27</v>
      </c>
      <c r="I77" s="7">
        <f t="shared" si="14"/>
        <v>11926</v>
      </c>
      <c r="J77" s="7">
        <f t="shared" si="15"/>
        <v>47705</v>
      </c>
    </row>
    <row r="78" spans="1:10">
      <c r="A78" s="10">
        <v>264</v>
      </c>
      <c r="B78" s="10" t="s">
        <v>62</v>
      </c>
      <c r="C78" s="16">
        <v>85</v>
      </c>
      <c r="D78" s="4">
        <v>88502</v>
      </c>
      <c r="E78" s="27">
        <f t="shared" si="16"/>
        <v>1041.2</v>
      </c>
      <c r="F78" s="23">
        <v>149</v>
      </c>
      <c r="G78" s="24">
        <f t="shared" si="17"/>
        <v>593.97</v>
      </c>
      <c r="H78" s="42">
        <f>G78</f>
        <v>593.97</v>
      </c>
      <c r="I78" s="7">
        <f t="shared" si="14"/>
        <v>4425</v>
      </c>
      <c r="J78" s="7">
        <f t="shared" si="15"/>
        <v>17700</v>
      </c>
    </row>
    <row r="79" spans="1:10">
      <c r="A79" s="10">
        <v>265</v>
      </c>
      <c r="B79" s="10" t="s">
        <v>63</v>
      </c>
      <c r="C79" s="16">
        <v>213</v>
      </c>
      <c r="D79" s="4">
        <v>305302</v>
      </c>
      <c r="E79" s="27">
        <f t="shared" si="16"/>
        <v>1433.34</v>
      </c>
      <c r="F79" s="23">
        <v>514</v>
      </c>
      <c r="G79" s="24">
        <f t="shared" si="17"/>
        <v>593.97</v>
      </c>
      <c r="H79" s="42">
        <f>G79</f>
        <v>593.97</v>
      </c>
      <c r="I79" s="7">
        <f t="shared" si="14"/>
        <v>15265</v>
      </c>
      <c r="J79" s="7">
        <f t="shared" si="15"/>
        <v>61060</v>
      </c>
    </row>
    <row r="80" spans="1:10">
      <c r="A80" s="11">
        <v>266</v>
      </c>
      <c r="B80" s="11" t="s">
        <v>64</v>
      </c>
      <c r="C80" s="17">
        <v>276</v>
      </c>
      <c r="D80" s="18">
        <v>175826</v>
      </c>
      <c r="E80" s="21">
        <f t="shared" si="16"/>
        <v>637.04999999999995</v>
      </c>
      <c r="F80" s="25">
        <v>486</v>
      </c>
      <c r="G80" s="26" t="s">
        <v>295</v>
      </c>
      <c r="H80" s="42">
        <f>E80</f>
        <v>637.04999999999995</v>
      </c>
      <c r="I80" s="22">
        <f t="shared" si="14"/>
        <v>8791</v>
      </c>
      <c r="J80" s="22">
        <f t="shared" si="15"/>
        <v>35165</v>
      </c>
    </row>
    <row r="81" spans="1:10">
      <c r="A81" s="10">
        <v>267</v>
      </c>
      <c r="B81" s="10" t="s">
        <v>65</v>
      </c>
      <c r="C81" s="16">
        <v>99</v>
      </c>
      <c r="D81" s="4">
        <v>102757</v>
      </c>
      <c r="E81" s="27">
        <f t="shared" si="16"/>
        <v>1037.95</v>
      </c>
      <c r="F81" s="23">
        <v>173</v>
      </c>
      <c r="G81" s="24">
        <f t="shared" si="17"/>
        <v>593.97</v>
      </c>
      <c r="H81" s="42">
        <f>G81</f>
        <v>593.97</v>
      </c>
      <c r="I81" s="7">
        <f t="shared" si="14"/>
        <v>5138</v>
      </c>
      <c r="J81" s="7">
        <f t="shared" si="15"/>
        <v>20551</v>
      </c>
    </row>
    <row r="82" spans="1:10">
      <c r="A82" s="10">
        <v>268</v>
      </c>
      <c r="B82" s="10" t="s">
        <v>66</v>
      </c>
      <c r="C82" s="16">
        <v>42</v>
      </c>
      <c r="D82" s="4">
        <v>52864</v>
      </c>
      <c r="E82" s="27">
        <f t="shared" si="16"/>
        <v>1258.67</v>
      </c>
      <c r="F82" s="23">
        <v>89</v>
      </c>
      <c r="G82" s="24">
        <f t="shared" si="17"/>
        <v>593.98</v>
      </c>
      <c r="H82" s="42">
        <f t="shared" ref="H82:H108" si="18">G82</f>
        <v>593.98</v>
      </c>
      <c r="I82" s="7">
        <f t="shared" si="14"/>
        <v>2643</v>
      </c>
      <c r="J82" s="7">
        <f t="shared" si="15"/>
        <v>10573</v>
      </c>
    </row>
    <row r="83" spans="1:10">
      <c r="A83" s="10">
        <v>269</v>
      </c>
      <c r="B83" s="10" t="s">
        <v>67</v>
      </c>
      <c r="C83" s="16">
        <v>11</v>
      </c>
      <c r="D83" s="4">
        <v>21830</v>
      </c>
      <c r="E83" s="27">
        <f t="shared" si="16"/>
        <v>1984.55</v>
      </c>
      <c r="F83" s="23">
        <v>28</v>
      </c>
      <c r="G83" s="24">
        <f t="shared" si="17"/>
        <v>779.64</v>
      </c>
      <c r="H83" s="42">
        <f t="shared" si="18"/>
        <v>779.64</v>
      </c>
      <c r="I83" s="7">
        <f t="shared" si="14"/>
        <v>1092</v>
      </c>
      <c r="J83" s="7">
        <f t="shared" si="15"/>
        <v>4366</v>
      </c>
    </row>
    <row r="84" spans="1:10">
      <c r="A84" s="10">
        <v>270</v>
      </c>
      <c r="B84" s="10" t="s">
        <v>68</v>
      </c>
      <c r="C84" s="16">
        <v>47</v>
      </c>
      <c r="D84" s="4">
        <v>56843</v>
      </c>
      <c r="E84" s="27">
        <f t="shared" si="16"/>
        <v>1209.43</v>
      </c>
      <c r="F84" s="23">
        <v>81</v>
      </c>
      <c r="G84" s="24">
        <f t="shared" si="17"/>
        <v>701.77</v>
      </c>
      <c r="H84" s="42">
        <f t="shared" si="18"/>
        <v>701.77</v>
      </c>
      <c r="I84" s="7">
        <f t="shared" si="14"/>
        <v>2842</v>
      </c>
      <c r="J84" s="7">
        <f t="shared" si="15"/>
        <v>11369</v>
      </c>
    </row>
    <row r="85" spans="1:10">
      <c r="A85" s="10">
        <v>271</v>
      </c>
      <c r="B85" s="10" t="s">
        <v>69</v>
      </c>
      <c r="C85" s="16">
        <v>59</v>
      </c>
      <c r="D85" s="4">
        <v>62177</v>
      </c>
      <c r="E85" s="27">
        <f t="shared" si="16"/>
        <v>1053.8499999999999</v>
      </c>
      <c r="F85" s="23">
        <v>81</v>
      </c>
      <c r="G85" s="24">
        <f t="shared" si="17"/>
        <v>767.62</v>
      </c>
      <c r="H85" s="42">
        <f t="shared" si="18"/>
        <v>767.62</v>
      </c>
      <c r="I85" s="7">
        <f t="shared" si="14"/>
        <v>3109</v>
      </c>
      <c r="J85" s="7">
        <f t="shared" si="15"/>
        <v>12435</v>
      </c>
    </row>
    <row r="86" spans="1:10">
      <c r="A86" s="10">
        <v>272</v>
      </c>
      <c r="B86" s="10" t="s">
        <v>70</v>
      </c>
      <c r="C86" s="16">
        <v>56</v>
      </c>
      <c r="D86" s="4">
        <v>76616</v>
      </c>
      <c r="E86" s="27">
        <f t="shared" si="16"/>
        <v>1368.14</v>
      </c>
      <c r="F86" s="23">
        <v>102</v>
      </c>
      <c r="G86" s="24">
        <f t="shared" si="17"/>
        <v>751.14</v>
      </c>
      <c r="H86" s="42">
        <f t="shared" si="18"/>
        <v>751.14</v>
      </c>
      <c r="I86" s="7">
        <f t="shared" si="14"/>
        <v>3831</v>
      </c>
      <c r="J86" s="7">
        <f t="shared" si="15"/>
        <v>15323</v>
      </c>
    </row>
    <row r="87" spans="1:10">
      <c r="A87" s="10">
        <v>273</v>
      </c>
      <c r="B87" s="10" t="s">
        <v>71</v>
      </c>
      <c r="C87" s="16">
        <v>109</v>
      </c>
      <c r="D87" s="4">
        <v>129817</v>
      </c>
      <c r="E87" s="27">
        <f t="shared" si="16"/>
        <v>1190.98</v>
      </c>
      <c r="F87" s="23">
        <v>184</v>
      </c>
      <c r="G87" s="24">
        <f t="shared" si="17"/>
        <v>705.53</v>
      </c>
      <c r="H87" s="42">
        <f t="shared" si="18"/>
        <v>705.53</v>
      </c>
      <c r="I87" s="7">
        <f t="shared" si="14"/>
        <v>6491</v>
      </c>
      <c r="J87" s="7">
        <f t="shared" si="15"/>
        <v>25963</v>
      </c>
    </row>
    <row r="88" spans="1:10">
      <c r="A88" s="10">
        <v>274</v>
      </c>
      <c r="B88" s="10" t="s">
        <v>72</v>
      </c>
      <c r="C88" s="16">
        <v>43</v>
      </c>
      <c r="D88" s="4">
        <v>67498</v>
      </c>
      <c r="E88" s="27">
        <f t="shared" si="16"/>
        <v>1569.72</v>
      </c>
      <c r="F88" s="23">
        <v>92</v>
      </c>
      <c r="G88" s="24">
        <f t="shared" si="17"/>
        <v>733.67</v>
      </c>
      <c r="H88" s="42">
        <f t="shared" si="18"/>
        <v>733.67</v>
      </c>
      <c r="I88" s="7">
        <f t="shared" si="14"/>
        <v>3375</v>
      </c>
      <c r="J88" s="7">
        <f t="shared" si="15"/>
        <v>13500</v>
      </c>
    </row>
    <row r="89" spans="1:10">
      <c r="A89" s="10">
        <v>275</v>
      </c>
      <c r="B89" s="10" t="s">
        <v>73</v>
      </c>
      <c r="C89" s="16">
        <v>12</v>
      </c>
      <c r="D89" s="4">
        <v>16264</v>
      </c>
      <c r="E89" s="27">
        <f t="shared" si="16"/>
        <v>1355.33</v>
      </c>
      <c r="F89" s="23">
        <v>19</v>
      </c>
      <c r="G89" s="24">
        <f t="shared" si="17"/>
        <v>856</v>
      </c>
      <c r="H89" s="42">
        <f t="shared" si="18"/>
        <v>856</v>
      </c>
      <c r="I89" s="7">
        <f t="shared" si="14"/>
        <v>813</v>
      </c>
      <c r="J89" s="7">
        <f t="shared" si="15"/>
        <v>3253</v>
      </c>
    </row>
    <row r="90" spans="1:10">
      <c r="A90" s="10">
        <v>281</v>
      </c>
      <c r="B90" s="10" t="s">
        <v>74</v>
      </c>
      <c r="C90" s="16">
        <v>39</v>
      </c>
      <c r="D90" s="4">
        <v>55539</v>
      </c>
      <c r="E90" s="27">
        <f t="shared" si="16"/>
        <v>1424.08</v>
      </c>
      <c r="F90" s="23">
        <v>74</v>
      </c>
      <c r="G90" s="24">
        <f t="shared" si="17"/>
        <v>750.53</v>
      </c>
      <c r="H90" s="42">
        <f t="shared" si="18"/>
        <v>750.53</v>
      </c>
      <c r="I90" s="7">
        <f t="shared" si="14"/>
        <v>2777</v>
      </c>
      <c r="J90" s="7">
        <f t="shared" si="15"/>
        <v>11108</v>
      </c>
    </row>
    <row r="91" spans="1:10">
      <c r="A91" s="10">
        <v>282</v>
      </c>
      <c r="B91" s="10" t="s">
        <v>75</v>
      </c>
      <c r="C91" s="16">
        <v>91</v>
      </c>
      <c r="D91" s="4">
        <v>101145</v>
      </c>
      <c r="E91" s="27">
        <f t="shared" si="16"/>
        <v>1111.48</v>
      </c>
      <c r="F91" s="23">
        <v>117</v>
      </c>
      <c r="G91" s="24">
        <f t="shared" si="17"/>
        <v>864.49</v>
      </c>
      <c r="H91" s="42">
        <f t="shared" si="18"/>
        <v>864.49</v>
      </c>
      <c r="I91" s="7">
        <f t="shared" si="14"/>
        <v>5057</v>
      </c>
      <c r="J91" s="7">
        <f t="shared" si="15"/>
        <v>20229</v>
      </c>
    </row>
    <row r="92" spans="1:10">
      <c r="A92" s="10">
        <v>283</v>
      </c>
      <c r="B92" s="10" t="s">
        <v>76</v>
      </c>
      <c r="C92" s="16">
        <v>49</v>
      </c>
      <c r="D92" s="4">
        <v>76267</v>
      </c>
      <c r="E92" s="27">
        <f t="shared" si="16"/>
        <v>1556.47</v>
      </c>
      <c r="F92" s="23">
        <v>74</v>
      </c>
      <c r="G92" s="24">
        <f t="shared" si="17"/>
        <v>1030.6400000000001</v>
      </c>
      <c r="H92" s="42">
        <f t="shared" si="18"/>
        <v>1030.6400000000001</v>
      </c>
      <c r="I92" s="7">
        <f t="shared" si="14"/>
        <v>3813</v>
      </c>
      <c r="J92" s="7">
        <f t="shared" si="15"/>
        <v>15253</v>
      </c>
    </row>
    <row r="93" spans="1:10">
      <c r="A93" s="10">
        <v>284</v>
      </c>
      <c r="B93" s="10" t="s">
        <v>261</v>
      </c>
      <c r="C93" s="16">
        <v>90</v>
      </c>
      <c r="D93" s="4">
        <v>75090</v>
      </c>
      <c r="E93" s="27">
        <f t="shared" si="16"/>
        <v>834.33</v>
      </c>
      <c r="F93" s="23">
        <v>109</v>
      </c>
      <c r="G93" s="24">
        <f t="shared" si="17"/>
        <v>688.9</v>
      </c>
      <c r="H93" s="42">
        <f t="shared" si="18"/>
        <v>688.9</v>
      </c>
      <c r="I93" s="7">
        <f t="shared" si="14"/>
        <v>3755</v>
      </c>
      <c r="J93" s="7">
        <f t="shared" si="15"/>
        <v>15018</v>
      </c>
    </row>
    <row r="94" spans="1:10">
      <c r="A94" s="10">
        <v>285</v>
      </c>
      <c r="B94" s="10" t="s">
        <v>77</v>
      </c>
      <c r="C94" s="16">
        <v>31</v>
      </c>
      <c r="D94" s="4">
        <v>45087</v>
      </c>
      <c r="E94" s="27">
        <f t="shared" si="16"/>
        <v>1454.42</v>
      </c>
      <c r="F94" s="23">
        <v>43</v>
      </c>
      <c r="G94" s="24">
        <f t="shared" si="17"/>
        <v>1048.53</v>
      </c>
      <c r="H94" s="42">
        <f t="shared" si="18"/>
        <v>1048.53</v>
      </c>
      <c r="I94" s="7">
        <f t="shared" si="14"/>
        <v>2254</v>
      </c>
      <c r="J94" s="7">
        <f t="shared" si="15"/>
        <v>9017</v>
      </c>
    </row>
    <row r="95" spans="1:10">
      <c r="A95" s="10">
        <v>286</v>
      </c>
      <c r="B95" s="10" t="s">
        <v>262</v>
      </c>
      <c r="C95" s="16">
        <v>69</v>
      </c>
      <c r="D95" s="4">
        <v>86623</v>
      </c>
      <c r="E95" s="27">
        <f t="shared" si="16"/>
        <v>1255.4100000000001</v>
      </c>
      <c r="F95" s="23">
        <v>109</v>
      </c>
      <c r="G95" s="24">
        <f t="shared" si="17"/>
        <v>794.71</v>
      </c>
      <c r="H95" s="42">
        <f t="shared" si="18"/>
        <v>794.71</v>
      </c>
      <c r="I95" s="7">
        <f t="shared" si="14"/>
        <v>4331</v>
      </c>
      <c r="J95" s="7">
        <f t="shared" si="15"/>
        <v>17325</v>
      </c>
    </row>
    <row r="96" spans="1:10">
      <c r="A96" s="10">
        <v>287</v>
      </c>
      <c r="B96" s="10" t="s">
        <v>78</v>
      </c>
      <c r="C96" s="16">
        <v>113</v>
      </c>
      <c r="D96" s="4">
        <v>117392</v>
      </c>
      <c r="E96" s="27">
        <f t="shared" si="16"/>
        <v>1038.8699999999999</v>
      </c>
      <c r="F96" s="23">
        <v>176</v>
      </c>
      <c r="G96" s="24">
        <f t="shared" si="17"/>
        <v>667</v>
      </c>
      <c r="H96" s="42">
        <f t="shared" si="18"/>
        <v>667</v>
      </c>
      <c r="I96" s="7">
        <f t="shared" si="14"/>
        <v>5870</v>
      </c>
      <c r="J96" s="7">
        <f t="shared" si="15"/>
        <v>23478</v>
      </c>
    </row>
    <row r="97" spans="1:10">
      <c r="A97" s="10">
        <v>288</v>
      </c>
      <c r="B97" s="10" t="s">
        <v>79</v>
      </c>
      <c r="C97" s="16">
        <v>113</v>
      </c>
      <c r="D97" s="4">
        <v>134595</v>
      </c>
      <c r="E97" s="27">
        <f t="shared" si="16"/>
        <v>1191.1099999999999</v>
      </c>
      <c r="F97" s="23">
        <v>177</v>
      </c>
      <c r="G97" s="24">
        <f t="shared" si="17"/>
        <v>760.42</v>
      </c>
      <c r="H97" s="42">
        <f t="shared" si="18"/>
        <v>760.42</v>
      </c>
      <c r="I97" s="7">
        <f t="shared" si="14"/>
        <v>6730</v>
      </c>
      <c r="J97" s="7">
        <f t="shared" si="15"/>
        <v>26919</v>
      </c>
    </row>
    <row r="98" spans="1:10">
      <c r="A98" s="10">
        <v>289</v>
      </c>
      <c r="B98" s="10" t="s">
        <v>80</v>
      </c>
      <c r="C98" s="16">
        <v>72</v>
      </c>
      <c r="D98" s="4">
        <v>84875</v>
      </c>
      <c r="E98" s="27">
        <f t="shared" si="16"/>
        <v>1178.82</v>
      </c>
      <c r="F98" s="23">
        <v>129</v>
      </c>
      <c r="G98" s="24">
        <f t="shared" si="17"/>
        <v>657.95</v>
      </c>
      <c r="H98" s="42">
        <f t="shared" si="18"/>
        <v>657.95</v>
      </c>
      <c r="I98" s="7">
        <f t="shared" si="14"/>
        <v>4244</v>
      </c>
      <c r="J98" s="7">
        <f t="shared" si="15"/>
        <v>16975</v>
      </c>
    </row>
    <row r="99" spans="1:10">
      <c r="A99" s="10">
        <v>290</v>
      </c>
      <c r="B99" s="10" t="s">
        <v>81</v>
      </c>
      <c r="C99" s="16">
        <v>439</v>
      </c>
      <c r="D99" s="4">
        <v>527724</v>
      </c>
      <c r="E99" s="27">
        <f t="shared" si="16"/>
        <v>1202.0999999999999</v>
      </c>
      <c r="F99" s="23">
        <v>701</v>
      </c>
      <c r="G99" s="24">
        <f t="shared" si="17"/>
        <v>752.82</v>
      </c>
      <c r="H99" s="42">
        <f t="shared" si="18"/>
        <v>752.82</v>
      </c>
      <c r="I99" s="7">
        <f t="shared" si="14"/>
        <v>26386</v>
      </c>
      <c r="J99" s="7">
        <f t="shared" si="15"/>
        <v>105545</v>
      </c>
    </row>
    <row r="100" spans="1:10">
      <c r="A100" s="10">
        <v>291</v>
      </c>
      <c r="B100" s="10" t="s">
        <v>82</v>
      </c>
      <c r="C100" s="16">
        <v>7</v>
      </c>
      <c r="D100" s="4">
        <v>7704</v>
      </c>
      <c r="E100" s="27">
        <f t="shared" si="16"/>
        <v>1100.57</v>
      </c>
      <c r="F100" s="23">
        <v>10</v>
      </c>
      <c r="G100" s="24">
        <f t="shared" si="17"/>
        <v>770.4</v>
      </c>
      <c r="H100" s="42">
        <f t="shared" si="18"/>
        <v>770.4</v>
      </c>
      <c r="I100" s="7">
        <f t="shared" si="14"/>
        <v>385</v>
      </c>
      <c r="J100" s="7">
        <f t="shared" si="15"/>
        <v>1541</v>
      </c>
    </row>
    <row r="101" spans="1:10">
      <c r="A101" s="10">
        <v>292</v>
      </c>
      <c r="B101" s="10" t="s">
        <v>83</v>
      </c>
      <c r="C101" s="16">
        <v>24</v>
      </c>
      <c r="D101" s="4">
        <v>25706</v>
      </c>
      <c r="E101" s="27">
        <f t="shared" si="16"/>
        <v>1071.08</v>
      </c>
      <c r="F101" s="23">
        <v>30</v>
      </c>
      <c r="G101" s="24">
        <f t="shared" si="17"/>
        <v>856.87</v>
      </c>
      <c r="H101" s="42">
        <f t="shared" si="18"/>
        <v>856.87</v>
      </c>
      <c r="I101" s="7">
        <f t="shared" si="14"/>
        <v>1285</v>
      </c>
      <c r="J101" s="7">
        <f t="shared" si="15"/>
        <v>5141</v>
      </c>
    </row>
    <row r="102" spans="1:10">
      <c r="A102" s="10">
        <v>293</v>
      </c>
      <c r="B102" s="10" t="s">
        <v>84</v>
      </c>
      <c r="C102" s="16">
        <v>25</v>
      </c>
      <c r="D102" s="4">
        <v>33092</v>
      </c>
      <c r="E102" s="27">
        <f t="shared" si="16"/>
        <v>1323.68</v>
      </c>
      <c r="F102" s="23">
        <v>46</v>
      </c>
      <c r="G102" s="24">
        <f t="shared" si="17"/>
        <v>719.39</v>
      </c>
      <c r="H102" s="42">
        <f t="shared" si="18"/>
        <v>719.39</v>
      </c>
      <c r="I102" s="7">
        <f t="shared" si="14"/>
        <v>1655</v>
      </c>
      <c r="J102" s="7">
        <f t="shared" si="15"/>
        <v>6618</v>
      </c>
    </row>
    <row r="103" spans="1:10">
      <c r="A103" s="10">
        <v>294</v>
      </c>
      <c r="B103" s="10" t="s">
        <v>85</v>
      </c>
      <c r="C103" s="16">
        <v>62</v>
      </c>
      <c r="D103" s="4">
        <v>70472</v>
      </c>
      <c r="E103" s="27">
        <f t="shared" si="16"/>
        <v>1136.6500000000001</v>
      </c>
      <c r="F103" s="23">
        <v>89</v>
      </c>
      <c r="G103" s="24">
        <f t="shared" si="17"/>
        <v>791.82</v>
      </c>
      <c r="H103" s="42">
        <f t="shared" si="18"/>
        <v>791.82</v>
      </c>
      <c r="I103" s="7">
        <f t="shared" si="14"/>
        <v>3524</v>
      </c>
      <c r="J103" s="7">
        <f t="shared" si="15"/>
        <v>14094</v>
      </c>
    </row>
    <row r="104" spans="1:10">
      <c r="A104" s="10">
        <v>297</v>
      </c>
      <c r="B104" s="10" t="s">
        <v>263</v>
      </c>
      <c r="C104" s="16">
        <v>42</v>
      </c>
      <c r="D104" s="4">
        <v>43813</v>
      </c>
      <c r="E104" s="27">
        <f t="shared" si="16"/>
        <v>1043.17</v>
      </c>
      <c r="F104" s="23">
        <v>64</v>
      </c>
      <c r="G104" s="24">
        <f t="shared" si="17"/>
        <v>684.58</v>
      </c>
      <c r="H104" s="42">
        <f t="shared" si="18"/>
        <v>684.58</v>
      </c>
      <c r="I104" s="7">
        <f t="shared" si="14"/>
        <v>2191</v>
      </c>
      <c r="J104" s="7">
        <f t="shared" si="15"/>
        <v>8763</v>
      </c>
    </row>
    <row r="105" spans="1:10">
      <c r="A105" s="10">
        <v>298</v>
      </c>
      <c r="B105" s="10" t="s">
        <v>86</v>
      </c>
      <c r="C105" s="16">
        <v>59</v>
      </c>
      <c r="D105" s="4">
        <v>79200</v>
      </c>
      <c r="E105" s="27">
        <f t="shared" si="16"/>
        <v>1342.37</v>
      </c>
      <c r="F105" s="23">
        <v>105</v>
      </c>
      <c r="G105" s="24">
        <f t="shared" si="17"/>
        <v>754.29</v>
      </c>
      <c r="H105" s="42">
        <f t="shared" si="18"/>
        <v>754.29</v>
      </c>
      <c r="I105" s="7">
        <f t="shared" si="14"/>
        <v>3960</v>
      </c>
      <c r="J105" s="7">
        <f t="shared" si="15"/>
        <v>15840</v>
      </c>
    </row>
    <row r="106" spans="1:10">
      <c r="A106" s="10">
        <v>299</v>
      </c>
      <c r="B106" s="10" t="s">
        <v>87</v>
      </c>
      <c r="C106" s="16">
        <v>41</v>
      </c>
      <c r="D106" s="4">
        <v>47695</v>
      </c>
      <c r="E106" s="27">
        <f t="shared" si="16"/>
        <v>1163.29</v>
      </c>
      <c r="F106" s="23">
        <v>64</v>
      </c>
      <c r="G106" s="24">
        <f t="shared" si="17"/>
        <v>745.23</v>
      </c>
      <c r="H106" s="42">
        <f t="shared" si="18"/>
        <v>745.23</v>
      </c>
      <c r="I106" s="7">
        <f t="shared" si="14"/>
        <v>2385</v>
      </c>
      <c r="J106" s="7">
        <f t="shared" si="15"/>
        <v>9539</v>
      </c>
    </row>
    <row r="107" spans="1:10">
      <c r="A107" s="10">
        <v>300</v>
      </c>
      <c r="B107" s="10" t="s">
        <v>264</v>
      </c>
      <c r="C107" s="16">
        <v>36</v>
      </c>
      <c r="D107" s="4">
        <v>41557</v>
      </c>
      <c r="E107" s="27">
        <f t="shared" si="16"/>
        <v>1154.3599999999999</v>
      </c>
      <c r="F107" s="23">
        <v>57</v>
      </c>
      <c r="G107" s="24">
        <f t="shared" si="17"/>
        <v>729.07</v>
      </c>
      <c r="H107" s="42">
        <f t="shared" si="18"/>
        <v>729.07</v>
      </c>
      <c r="I107" s="7">
        <f t="shared" si="14"/>
        <v>2078</v>
      </c>
      <c r="J107" s="7">
        <f t="shared" si="15"/>
        <v>8311</v>
      </c>
    </row>
    <row r="108" spans="1:10">
      <c r="A108" s="10">
        <v>303</v>
      </c>
      <c r="B108" s="10" t="s">
        <v>88</v>
      </c>
      <c r="C108" s="16">
        <v>24</v>
      </c>
      <c r="D108" s="4">
        <v>34205</v>
      </c>
      <c r="E108" s="27">
        <f t="shared" si="16"/>
        <v>1425.21</v>
      </c>
      <c r="F108" s="23">
        <v>50</v>
      </c>
      <c r="G108" s="24">
        <f t="shared" si="17"/>
        <v>684.1</v>
      </c>
      <c r="H108" s="42">
        <f t="shared" si="18"/>
        <v>684.1</v>
      </c>
      <c r="I108" s="7">
        <f t="shared" si="14"/>
        <v>1710</v>
      </c>
      <c r="J108" s="7">
        <f t="shared" si="15"/>
        <v>6841</v>
      </c>
    </row>
    <row r="109" spans="1:10">
      <c r="A109" s="11">
        <v>305</v>
      </c>
      <c r="B109" s="11" t="s">
        <v>89</v>
      </c>
      <c r="C109" s="17">
        <v>1203</v>
      </c>
      <c r="D109" s="18">
        <v>1617675</v>
      </c>
      <c r="E109" s="21">
        <f t="shared" si="16"/>
        <v>1344.7</v>
      </c>
      <c r="F109" s="25">
        <v>2041</v>
      </c>
      <c r="G109" s="26" t="s">
        <v>295</v>
      </c>
      <c r="H109" s="42">
        <f>E109</f>
        <v>1344.7</v>
      </c>
      <c r="I109" s="22">
        <f t="shared" si="14"/>
        <v>80884</v>
      </c>
      <c r="J109" s="22">
        <f t="shared" si="15"/>
        <v>323535</v>
      </c>
    </row>
    <row r="110" spans="1:10">
      <c r="A110" s="10">
        <v>306</v>
      </c>
      <c r="B110" s="10" t="s">
        <v>90</v>
      </c>
      <c r="C110" s="16">
        <v>32</v>
      </c>
      <c r="D110" s="4">
        <v>46327</v>
      </c>
      <c r="E110" s="27">
        <f t="shared" si="16"/>
        <v>1447.72</v>
      </c>
      <c r="F110" s="23">
        <v>74</v>
      </c>
      <c r="G110" s="24">
        <f t="shared" si="17"/>
        <v>626.04</v>
      </c>
      <c r="H110" s="42">
        <f>G110</f>
        <v>626.04</v>
      </c>
      <c r="I110" s="7">
        <f t="shared" si="14"/>
        <v>2316</v>
      </c>
      <c r="J110" s="7">
        <f t="shared" si="15"/>
        <v>9265</v>
      </c>
    </row>
    <row r="111" spans="1:10">
      <c r="A111" s="10">
        <v>307</v>
      </c>
      <c r="B111" s="10" t="s">
        <v>91</v>
      </c>
      <c r="C111" s="16">
        <v>47</v>
      </c>
      <c r="D111" s="4">
        <v>55604</v>
      </c>
      <c r="E111" s="27">
        <f t="shared" si="16"/>
        <v>1183.06</v>
      </c>
      <c r="F111" s="23">
        <v>78</v>
      </c>
      <c r="G111" s="24">
        <f t="shared" si="17"/>
        <v>712.87</v>
      </c>
      <c r="H111" s="42">
        <f>G111</f>
        <v>712.87</v>
      </c>
      <c r="I111" s="7">
        <f t="shared" si="14"/>
        <v>2780</v>
      </c>
      <c r="J111" s="7">
        <f t="shared" si="15"/>
        <v>11121</v>
      </c>
    </row>
    <row r="112" spans="1:10">
      <c r="A112" s="11">
        <v>308</v>
      </c>
      <c r="B112" s="11" t="s">
        <v>92</v>
      </c>
      <c r="C112" s="17">
        <v>1044</v>
      </c>
      <c r="D112" s="18">
        <v>1517336</v>
      </c>
      <c r="E112" s="21">
        <f t="shared" si="16"/>
        <v>1453.39</v>
      </c>
      <c r="F112" s="25">
        <v>1734</v>
      </c>
      <c r="G112" s="26" t="s">
        <v>295</v>
      </c>
      <c r="H112" s="42">
        <f>E112</f>
        <v>1453.39</v>
      </c>
      <c r="I112" s="22">
        <f t="shared" si="14"/>
        <v>75867</v>
      </c>
      <c r="J112" s="22">
        <f t="shared" si="15"/>
        <v>303467</v>
      </c>
    </row>
    <row r="113" spans="1:10">
      <c r="A113" s="10">
        <v>309</v>
      </c>
      <c r="B113" s="10" t="s">
        <v>93</v>
      </c>
      <c r="C113" s="16">
        <v>182</v>
      </c>
      <c r="D113" s="4">
        <v>241868</v>
      </c>
      <c r="E113" s="27">
        <f t="shared" si="16"/>
        <v>1328.95</v>
      </c>
      <c r="F113" s="23">
        <v>324</v>
      </c>
      <c r="G113" s="24">
        <f t="shared" si="17"/>
        <v>746.51</v>
      </c>
      <c r="H113" s="42">
        <f>G113</f>
        <v>746.51</v>
      </c>
      <c r="I113" s="7">
        <f t="shared" si="14"/>
        <v>12093</v>
      </c>
      <c r="J113" s="7">
        <f t="shared" si="15"/>
        <v>48374</v>
      </c>
    </row>
    <row r="114" spans="1:10">
      <c r="A114" s="10">
        <v>310</v>
      </c>
      <c r="B114" s="10" t="s">
        <v>94</v>
      </c>
      <c r="C114" s="16">
        <v>104</v>
      </c>
      <c r="D114" s="4">
        <v>99301</v>
      </c>
      <c r="E114" s="27">
        <f t="shared" si="16"/>
        <v>954.82</v>
      </c>
      <c r="F114" s="23">
        <v>133</v>
      </c>
      <c r="G114" s="24">
        <f t="shared" si="17"/>
        <v>746.62</v>
      </c>
      <c r="H114" s="42">
        <f t="shared" ref="H114:H169" si="19">G114</f>
        <v>746.62</v>
      </c>
      <c r="I114" s="7">
        <f t="shared" si="14"/>
        <v>4965</v>
      </c>
      <c r="J114" s="7">
        <f t="shared" si="15"/>
        <v>19860</v>
      </c>
    </row>
    <row r="115" spans="1:10">
      <c r="A115" s="10">
        <v>311</v>
      </c>
      <c r="B115" s="10" t="s">
        <v>95</v>
      </c>
      <c r="C115" s="16">
        <v>27</v>
      </c>
      <c r="D115" s="4">
        <v>33060</v>
      </c>
      <c r="E115" s="27">
        <f t="shared" si="16"/>
        <v>1224.44</v>
      </c>
      <c r="F115" s="23">
        <v>50</v>
      </c>
      <c r="G115" s="24">
        <f t="shared" si="17"/>
        <v>661.2</v>
      </c>
      <c r="H115" s="42">
        <f t="shared" si="19"/>
        <v>661.2</v>
      </c>
      <c r="I115" s="7">
        <f t="shared" si="14"/>
        <v>1653</v>
      </c>
      <c r="J115" s="7">
        <f t="shared" si="15"/>
        <v>6612</v>
      </c>
    </row>
    <row r="116" spans="1:10">
      <c r="A116" s="10">
        <v>312</v>
      </c>
      <c r="B116" s="10" t="s">
        <v>96</v>
      </c>
      <c r="C116" s="16">
        <v>207</v>
      </c>
      <c r="D116" s="4">
        <v>195212</v>
      </c>
      <c r="E116" s="27">
        <f t="shared" si="16"/>
        <v>943.05</v>
      </c>
      <c r="F116" s="23">
        <v>282</v>
      </c>
      <c r="G116" s="24">
        <f t="shared" si="17"/>
        <v>692.24</v>
      </c>
      <c r="H116" s="42">
        <f t="shared" si="19"/>
        <v>692.24</v>
      </c>
      <c r="I116" s="7">
        <f t="shared" si="14"/>
        <v>9761</v>
      </c>
      <c r="J116" s="7">
        <f t="shared" si="15"/>
        <v>39042</v>
      </c>
    </row>
    <row r="117" spans="1:10">
      <c r="A117" s="10">
        <v>313</v>
      </c>
      <c r="B117" s="10" t="s">
        <v>97</v>
      </c>
      <c r="C117" s="16">
        <v>182</v>
      </c>
      <c r="D117" s="4">
        <v>232914</v>
      </c>
      <c r="E117" s="27">
        <f t="shared" si="16"/>
        <v>1279.75</v>
      </c>
      <c r="F117" s="23">
        <v>354</v>
      </c>
      <c r="G117" s="24">
        <f t="shared" si="17"/>
        <v>657.95</v>
      </c>
      <c r="H117" s="42">
        <f t="shared" si="19"/>
        <v>657.95</v>
      </c>
      <c r="I117" s="7">
        <f t="shared" si="14"/>
        <v>11646</v>
      </c>
      <c r="J117" s="7">
        <f t="shared" si="15"/>
        <v>46583</v>
      </c>
    </row>
    <row r="118" spans="1:10">
      <c r="A118" s="10">
        <v>314</v>
      </c>
      <c r="B118" s="10" t="s">
        <v>98</v>
      </c>
      <c r="C118" s="16">
        <v>11</v>
      </c>
      <c r="D118" s="4">
        <v>15151</v>
      </c>
      <c r="E118" s="27">
        <f t="shared" si="16"/>
        <v>1377.36</v>
      </c>
      <c r="F118" s="23">
        <v>22</v>
      </c>
      <c r="G118" s="24">
        <f t="shared" si="17"/>
        <v>688.68</v>
      </c>
      <c r="H118" s="42">
        <f t="shared" si="19"/>
        <v>688.68</v>
      </c>
      <c r="I118" s="7">
        <f t="shared" si="14"/>
        <v>758</v>
      </c>
      <c r="J118" s="7">
        <f t="shared" si="15"/>
        <v>3030</v>
      </c>
    </row>
    <row r="119" spans="1:10">
      <c r="A119" s="10">
        <v>315</v>
      </c>
      <c r="B119" s="10" t="s">
        <v>99</v>
      </c>
      <c r="C119" s="16">
        <v>103</v>
      </c>
      <c r="D119" s="4">
        <v>125614</v>
      </c>
      <c r="E119" s="27">
        <f t="shared" si="16"/>
        <v>1219.55</v>
      </c>
      <c r="F119" s="23">
        <v>183</v>
      </c>
      <c r="G119" s="24">
        <f t="shared" si="17"/>
        <v>686.42</v>
      </c>
      <c r="H119" s="42">
        <f t="shared" si="19"/>
        <v>686.42</v>
      </c>
      <c r="I119" s="7">
        <f t="shared" si="14"/>
        <v>6281</v>
      </c>
      <c r="J119" s="7">
        <f t="shared" si="15"/>
        <v>25123</v>
      </c>
    </row>
    <row r="120" spans="1:10">
      <c r="A120" s="10">
        <v>316</v>
      </c>
      <c r="B120" s="10" t="s">
        <v>100</v>
      </c>
      <c r="C120" s="16">
        <v>19</v>
      </c>
      <c r="D120" s="4">
        <v>47972</v>
      </c>
      <c r="E120" s="27">
        <f t="shared" si="16"/>
        <v>2524.84</v>
      </c>
      <c r="F120" s="23">
        <v>49</v>
      </c>
      <c r="G120" s="24">
        <f t="shared" si="17"/>
        <v>979.02</v>
      </c>
      <c r="H120" s="42">
        <f t="shared" si="19"/>
        <v>979.02</v>
      </c>
      <c r="I120" s="7">
        <f t="shared" si="14"/>
        <v>2399</v>
      </c>
      <c r="J120" s="7">
        <f t="shared" si="15"/>
        <v>9594</v>
      </c>
    </row>
    <row r="121" spans="1:10">
      <c r="A121" s="10">
        <v>320</v>
      </c>
      <c r="B121" s="10" t="s">
        <v>101</v>
      </c>
      <c r="C121" s="16">
        <v>111</v>
      </c>
      <c r="D121" s="4">
        <v>122972</v>
      </c>
      <c r="E121" s="27">
        <f t="shared" si="16"/>
        <v>1107.8599999999999</v>
      </c>
      <c r="F121" s="23">
        <v>193</v>
      </c>
      <c r="G121" s="24">
        <f t="shared" si="17"/>
        <v>637.16</v>
      </c>
      <c r="H121" s="42">
        <f t="shared" si="19"/>
        <v>637.16</v>
      </c>
      <c r="I121" s="7">
        <f t="shared" si="14"/>
        <v>6149</v>
      </c>
      <c r="J121" s="7">
        <f t="shared" si="15"/>
        <v>24594</v>
      </c>
    </row>
    <row r="122" spans="1:10">
      <c r="A122" s="10">
        <v>321</v>
      </c>
      <c r="B122" s="10" t="s">
        <v>102</v>
      </c>
      <c r="C122" s="16">
        <v>193</v>
      </c>
      <c r="D122" s="4">
        <v>190166</v>
      </c>
      <c r="E122" s="27">
        <f t="shared" si="16"/>
        <v>985.32</v>
      </c>
      <c r="F122" s="23">
        <v>281</v>
      </c>
      <c r="G122" s="24">
        <f t="shared" si="17"/>
        <v>676.75</v>
      </c>
      <c r="H122" s="42">
        <f t="shared" si="19"/>
        <v>676.75</v>
      </c>
      <c r="I122" s="7">
        <f t="shared" si="14"/>
        <v>9508</v>
      </c>
      <c r="J122" s="7">
        <f t="shared" si="15"/>
        <v>38033</v>
      </c>
    </row>
    <row r="123" spans="1:10">
      <c r="A123" s="10">
        <v>322</v>
      </c>
      <c r="B123" s="10" t="s">
        <v>265</v>
      </c>
      <c r="C123" s="16">
        <v>52</v>
      </c>
      <c r="D123" s="4">
        <v>53134</v>
      </c>
      <c r="E123" s="27">
        <f t="shared" si="16"/>
        <v>1021.81</v>
      </c>
      <c r="F123" s="23">
        <v>74</v>
      </c>
      <c r="G123" s="24">
        <f t="shared" si="17"/>
        <v>718.03</v>
      </c>
      <c r="H123" s="42">
        <f t="shared" si="19"/>
        <v>718.03</v>
      </c>
      <c r="I123" s="7">
        <f t="shared" si="14"/>
        <v>2657</v>
      </c>
      <c r="J123" s="7">
        <f t="shared" si="15"/>
        <v>10627</v>
      </c>
    </row>
    <row r="124" spans="1:10">
      <c r="A124" s="10">
        <v>323</v>
      </c>
      <c r="B124" s="10" t="s">
        <v>255</v>
      </c>
      <c r="C124" s="16">
        <v>108</v>
      </c>
      <c r="D124" s="4">
        <v>101142</v>
      </c>
      <c r="E124" s="27">
        <f t="shared" si="16"/>
        <v>936.5</v>
      </c>
      <c r="F124" s="23">
        <v>150</v>
      </c>
      <c r="G124" s="24">
        <f t="shared" si="17"/>
        <v>674.28</v>
      </c>
      <c r="H124" s="42">
        <f t="shared" si="19"/>
        <v>674.28</v>
      </c>
      <c r="I124" s="7">
        <f t="shared" si="14"/>
        <v>5057</v>
      </c>
      <c r="J124" s="7">
        <f t="shared" si="15"/>
        <v>20228</v>
      </c>
    </row>
    <row r="125" spans="1:10">
      <c r="A125" s="10">
        <v>325</v>
      </c>
      <c r="B125" s="10" t="s">
        <v>103</v>
      </c>
      <c r="C125" s="16">
        <v>69</v>
      </c>
      <c r="D125" s="4">
        <v>93730</v>
      </c>
      <c r="E125" s="27">
        <f t="shared" si="16"/>
        <v>1358.41</v>
      </c>
      <c r="F125" s="23">
        <v>124</v>
      </c>
      <c r="G125" s="24">
        <f t="shared" si="17"/>
        <v>755.89</v>
      </c>
      <c r="H125" s="42">
        <f t="shared" si="19"/>
        <v>755.89</v>
      </c>
      <c r="I125" s="7">
        <f t="shared" si="14"/>
        <v>4687</v>
      </c>
      <c r="J125" s="7">
        <f t="shared" si="15"/>
        <v>18746</v>
      </c>
    </row>
    <row r="126" spans="1:10">
      <c r="A126" s="10">
        <v>326</v>
      </c>
      <c r="B126" s="10" t="s">
        <v>104</v>
      </c>
      <c r="C126" s="16">
        <v>27</v>
      </c>
      <c r="D126" s="4">
        <v>35147</v>
      </c>
      <c r="E126" s="27">
        <f t="shared" si="16"/>
        <v>1301.74</v>
      </c>
      <c r="F126" s="23">
        <v>45</v>
      </c>
      <c r="G126" s="24">
        <f t="shared" si="17"/>
        <v>781.04</v>
      </c>
      <c r="H126" s="42">
        <f t="shared" si="19"/>
        <v>781.04</v>
      </c>
      <c r="I126" s="7">
        <f t="shared" si="14"/>
        <v>1757</v>
      </c>
      <c r="J126" s="7">
        <f t="shared" si="15"/>
        <v>7029</v>
      </c>
    </row>
    <row r="127" spans="1:10">
      <c r="A127" s="10">
        <v>327</v>
      </c>
      <c r="B127" s="10" t="s">
        <v>105</v>
      </c>
      <c r="C127" s="16">
        <v>76</v>
      </c>
      <c r="D127" s="4">
        <v>98265</v>
      </c>
      <c r="E127" s="27">
        <f t="shared" si="16"/>
        <v>1292.96</v>
      </c>
      <c r="F127" s="23">
        <v>136</v>
      </c>
      <c r="G127" s="24">
        <f t="shared" si="17"/>
        <v>722.54</v>
      </c>
      <c r="H127" s="42">
        <f t="shared" si="19"/>
        <v>722.54</v>
      </c>
      <c r="I127" s="7">
        <f t="shared" si="14"/>
        <v>4913</v>
      </c>
      <c r="J127" s="7">
        <f t="shared" si="15"/>
        <v>19653</v>
      </c>
    </row>
    <row r="128" spans="1:10">
      <c r="A128" s="10">
        <v>329</v>
      </c>
      <c r="B128" s="10" t="s">
        <v>106</v>
      </c>
      <c r="C128" s="16">
        <v>46</v>
      </c>
      <c r="D128" s="4">
        <v>53660</v>
      </c>
      <c r="E128" s="27">
        <f t="shared" si="16"/>
        <v>1166.52</v>
      </c>
      <c r="F128" s="23">
        <v>87</v>
      </c>
      <c r="G128" s="24">
        <f t="shared" si="17"/>
        <v>616.78</v>
      </c>
      <c r="H128" s="42">
        <f t="shared" si="19"/>
        <v>616.78</v>
      </c>
      <c r="I128" s="7">
        <f t="shared" si="14"/>
        <v>2683</v>
      </c>
      <c r="J128" s="7">
        <f t="shared" si="15"/>
        <v>10732</v>
      </c>
    </row>
    <row r="129" spans="1:10">
      <c r="A129" s="10">
        <v>330</v>
      </c>
      <c r="B129" s="10" t="s">
        <v>107</v>
      </c>
      <c r="C129" s="16">
        <v>82</v>
      </c>
      <c r="D129" s="4">
        <v>77371</v>
      </c>
      <c r="E129" s="27">
        <f t="shared" si="16"/>
        <v>943.55</v>
      </c>
      <c r="F129" s="23">
        <v>113</v>
      </c>
      <c r="G129" s="24">
        <f t="shared" si="17"/>
        <v>684.7</v>
      </c>
      <c r="H129" s="42">
        <f t="shared" si="19"/>
        <v>684.7</v>
      </c>
      <c r="I129" s="7">
        <f t="shared" si="14"/>
        <v>3869</v>
      </c>
      <c r="J129" s="7">
        <f t="shared" si="15"/>
        <v>15474</v>
      </c>
    </row>
    <row r="130" spans="1:10">
      <c r="A130" s="10">
        <v>331</v>
      </c>
      <c r="B130" s="10" t="s">
        <v>108</v>
      </c>
      <c r="C130" s="16">
        <v>143</v>
      </c>
      <c r="D130" s="4">
        <v>210798</v>
      </c>
      <c r="E130" s="27">
        <f t="shared" si="16"/>
        <v>1474.11</v>
      </c>
      <c r="F130" s="23">
        <v>264</v>
      </c>
      <c r="G130" s="24">
        <f t="shared" si="17"/>
        <v>798.48</v>
      </c>
      <c r="H130" s="42">
        <f t="shared" si="19"/>
        <v>798.48</v>
      </c>
      <c r="I130" s="7">
        <f t="shared" si="14"/>
        <v>10540</v>
      </c>
      <c r="J130" s="7">
        <f t="shared" si="15"/>
        <v>42160</v>
      </c>
    </row>
    <row r="131" spans="1:10">
      <c r="A131" s="10">
        <v>332</v>
      </c>
      <c r="B131" s="10" t="s">
        <v>109</v>
      </c>
      <c r="C131" s="16">
        <v>22</v>
      </c>
      <c r="D131" s="4">
        <v>29696</v>
      </c>
      <c r="E131" s="27">
        <f t="shared" si="16"/>
        <v>1349.82</v>
      </c>
      <c r="F131" s="23">
        <v>42</v>
      </c>
      <c r="G131" s="24">
        <f t="shared" si="17"/>
        <v>707.05</v>
      </c>
      <c r="H131" s="42">
        <f t="shared" si="19"/>
        <v>707.05</v>
      </c>
      <c r="I131" s="7">
        <f t="shared" si="14"/>
        <v>1485</v>
      </c>
      <c r="J131" s="7">
        <f t="shared" si="15"/>
        <v>5939</v>
      </c>
    </row>
    <row r="132" spans="1:10">
      <c r="A132" s="10">
        <v>333</v>
      </c>
      <c r="B132" s="10" t="s">
        <v>110</v>
      </c>
      <c r="C132" s="16">
        <v>147</v>
      </c>
      <c r="D132" s="4">
        <v>212921</v>
      </c>
      <c r="E132" s="27">
        <f t="shared" si="16"/>
        <v>1448.44</v>
      </c>
      <c r="F132" s="23">
        <v>271</v>
      </c>
      <c r="G132" s="24">
        <f t="shared" si="17"/>
        <v>785.69</v>
      </c>
      <c r="H132" s="42">
        <f t="shared" si="19"/>
        <v>785.69</v>
      </c>
      <c r="I132" s="7">
        <f t="shared" si="14"/>
        <v>10646</v>
      </c>
      <c r="J132" s="7">
        <f t="shared" si="15"/>
        <v>42584</v>
      </c>
    </row>
    <row r="133" spans="1:10">
      <c r="A133" s="10">
        <v>334</v>
      </c>
      <c r="B133" s="10" t="s">
        <v>111</v>
      </c>
      <c r="C133" s="16">
        <v>56</v>
      </c>
      <c r="D133" s="4">
        <v>68080</v>
      </c>
      <c r="E133" s="27">
        <f t="shared" si="16"/>
        <v>1215.71</v>
      </c>
      <c r="F133" s="23">
        <v>82</v>
      </c>
      <c r="G133" s="24">
        <f t="shared" si="17"/>
        <v>830.24</v>
      </c>
      <c r="H133" s="42">
        <f t="shared" si="19"/>
        <v>830.24</v>
      </c>
      <c r="I133" s="7">
        <f t="shared" si="14"/>
        <v>3404</v>
      </c>
      <c r="J133" s="7">
        <f t="shared" si="15"/>
        <v>13616</v>
      </c>
    </row>
    <row r="134" spans="1:10">
      <c r="A134" s="10">
        <v>335</v>
      </c>
      <c r="B134" s="10" t="s">
        <v>112</v>
      </c>
      <c r="C134" s="16">
        <v>43</v>
      </c>
      <c r="D134" s="4">
        <v>51473</v>
      </c>
      <c r="E134" s="27">
        <f t="shared" si="16"/>
        <v>1197.05</v>
      </c>
      <c r="F134" s="23">
        <v>76</v>
      </c>
      <c r="G134" s="24">
        <f t="shared" si="17"/>
        <v>677.28</v>
      </c>
      <c r="H134" s="42">
        <f t="shared" si="19"/>
        <v>677.28</v>
      </c>
      <c r="I134" s="7">
        <f t="shared" si="14"/>
        <v>2574</v>
      </c>
      <c r="J134" s="7">
        <f t="shared" si="15"/>
        <v>10295</v>
      </c>
    </row>
    <row r="135" spans="1:10">
      <c r="A135" s="10">
        <v>336</v>
      </c>
      <c r="B135" s="10" t="s">
        <v>113</v>
      </c>
      <c r="C135" s="16">
        <v>171</v>
      </c>
      <c r="D135" s="4">
        <v>162495</v>
      </c>
      <c r="E135" s="27">
        <f t="shared" si="16"/>
        <v>950.26</v>
      </c>
      <c r="F135" s="23">
        <v>235</v>
      </c>
      <c r="G135" s="24">
        <f t="shared" si="17"/>
        <v>691.47</v>
      </c>
      <c r="H135" s="42">
        <f t="shared" si="19"/>
        <v>691.47</v>
      </c>
      <c r="I135" s="7">
        <f t="shared" ref="I135:I197" si="20">D135*0.05</f>
        <v>8125</v>
      </c>
      <c r="J135" s="7">
        <f t="shared" ref="J135:J197" si="21">D135*0.2</f>
        <v>32499</v>
      </c>
    </row>
    <row r="136" spans="1:10">
      <c r="A136" s="10">
        <v>337</v>
      </c>
      <c r="B136" s="10" t="s">
        <v>254</v>
      </c>
      <c r="C136" s="16">
        <v>104</v>
      </c>
      <c r="D136" s="4">
        <v>129473</v>
      </c>
      <c r="E136" s="27">
        <f t="shared" ref="E136:E198" si="22">D136/C136</f>
        <v>1244.93</v>
      </c>
      <c r="F136" s="23">
        <v>190</v>
      </c>
      <c r="G136" s="24">
        <f t="shared" ref="G136:G198" si="23">D136/F136</f>
        <v>681.44</v>
      </c>
      <c r="H136" s="42">
        <f t="shared" si="19"/>
        <v>681.44</v>
      </c>
      <c r="I136" s="7">
        <f t="shared" si="20"/>
        <v>6474</v>
      </c>
      <c r="J136" s="7">
        <f t="shared" si="21"/>
        <v>25895</v>
      </c>
    </row>
    <row r="137" spans="1:10">
      <c r="A137" s="10">
        <v>338</v>
      </c>
      <c r="B137" s="10" t="s">
        <v>114</v>
      </c>
      <c r="C137" s="16">
        <v>38</v>
      </c>
      <c r="D137" s="4">
        <v>51304</v>
      </c>
      <c r="E137" s="27">
        <f t="shared" si="22"/>
        <v>1350.11</v>
      </c>
      <c r="F137" s="23">
        <v>76</v>
      </c>
      <c r="G137" s="24">
        <f t="shared" si="23"/>
        <v>675.05</v>
      </c>
      <c r="H137" s="42">
        <f t="shared" si="19"/>
        <v>675.05</v>
      </c>
      <c r="I137" s="7">
        <f t="shared" si="20"/>
        <v>2565</v>
      </c>
      <c r="J137" s="7">
        <f t="shared" si="21"/>
        <v>10261</v>
      </c>
    </row>
    <row r="138" spans="1:10">
      <c r="A138" s="10">
        <v>339</v>
      </c>
      <c r="B138" s="10" t="s">
        <v>266</v>
      </c>
      <c r="C138" s="16">
        <v>61</v>
      </c>
      <c r="D138" s="4">
        <v>63115</v>
      </c>
      <c r="E138" s="27">
        <f t="shared" si="22"/>
        <v>1034.67</v>
      </c>
      <c r="F138" s="23">
        <v>91</v>
      </c>
      <c r="G138" s="24">
        <f t="shared" si="23"/>
        <v>693.57</v>
      </c>
      <c r="H138" s="42">
        <f t="shared" si="19"/>
        <v>693.57</v>
      </c>
      <c r="I138" s="7">
        <f t="shared" si="20"/>
        <v>3156</v>
      </c>
      <c r="J138" s="7">
        <f t="shared" si="21"/>
        <v>12623</v>
      </c>
    </row>
    <row r="139" spans="1:10">
      <c r="A139" s="10">
        <v>340</v>
      </c>
      <c r="B139" s="10" t="s">
        <v>115</v>
      </c>
      <c r="C139" s="16">
        <v>43</v>
      </c>
      <c r="D139" s="4">
        <v>61773</v>
      </c>
      <c r="E139" s="27">
        <f t="shared" si="22"/>
        <v>1436.58</v>
      </c>
      <c r="F139" s="23">
        <v>104</v>
      </c>
      <c r="G139" s="24">
        <f t="shared" si="23"/>
        <v>593.97</v>
      </c>
      <c r="H139" s="42">
        <f t="shared" si="19"/>
        <v>593.97</v>
      </c>
      <c r="I139" s="7">
        <f t="shared" si="20"/>
        <v>3089</v>
      </c>
      <c r="J139" s="7">
        <f t="shared" si="21"/>
        <v>12355</v>
      </c>
    </row>
    <row r="140" spans="1:10">
      <c r="A140" s="10">
        <v>341</v>
      </c>
      <c r="B140" s="10" t="s">
        <v>116</v>
      </c>
      <c r="C140" s="16">
        <v>60</v>
      </c>
      <c r="D140" s="4">
        <v>90798</v>
      </c>
      <c r="E140" s="27">
        <f t="shared" si="22"/>
        <v>1513.3</v>
      </c>
      <c r="F140" s="23">
        <v>132</v>
      </c>
      <c r="G140" s="24">
        <f t="shared" si="23"/>
        <v>687.86</v>
      </c>
      <c r="H140" s="42">
        <f t="shared" si="19"/>
        <v>687.86</v>
      </c>
      <c r="I140" s="7">
        <f t="shared" si="20"/>
        <v>4540</v>
      </c>
      <c r="J140" s="7">
        <f t="shared" si="21"/>
        <v>18160</v>
      </c>
    </row>
    <row r="141" spans="1:10">
      <c r="A141" s="10">
        <v>342</v>
      </c>
      <c r="B141" s="10" t="s">
        <v>267</v>
      </c>
      <c r="C141" s="16">
        <v>71</v>
      </c>
      <c r="D141" s="4">
        <v>74974</v>
      </c>
      <c r="E141" s="27">
        <f t="shared" si="22"/>
        <v>1055.97</v>
      </c>
      <c r="F141" s="23">
        <v>110</v>
      </c>
      <c r="G141" s="24">
        <f t="shared" si="23"/>
        <v>681.58</v>
      </c>
      <c r="H141" s="42">
        <f t="shared" si="19"/>
        <v>681.58</v>
      </c>
      <c r="I141" s="7">
        <f t="shared" si="20"/>
        <v>3749</v>
      </c>
      <c r="J141" s="7">
        <f t="shared" si="21"/>
        <v>14995</v>
      </c>
    </row>
    <row r="142" spans="1:10">
      <c r="A142" s="10">
        <v>343</v>
      </c>
      <c r="B142" s="10" t="s">
        <v>117</v>
      </c>
      <c r="C142" s="16">
        <v>91</v>
      </c>
      <c r="D142" s="4">
        <v>102640</v>
      </c>
      <c r="E142" s="27">
        <f t="shared" si="22"/>
        <v>1127.9100000000001</v>
      </c>
      <c r="F142" s="23">
        <v>156</v>
      </c>
      <c r="G142" s="24">
        <f t="shared" si="23"/>
        <v>657.95</v>
      </c>
      <c r="H142" s="42">
        <f t="shared" si="19"/>
        <v>657.95</v>
      </c>
      <c r="I142" s="7">
        <f t="shared" si="20"/>
        <v>5132</v>
      </c>
      <c r="J142" s="7">
        <f t="shared" si="21"/>
        <v>20528</v>
      </c>
    </row>
    <row r="143" spans="1:10">
      <c r="A143" s="10">
        <v>344</v>
      </c>
      <c r="B143" s="10" t="s">
        <v>118</v>
      </c>
      <c r="C143" s="16">
        <v>107</v>
      </c>
      <c r="D143" s="4">
        <v>121147</v>
      </c>
      <c r="E143" s="27">
        <f t="shared" si="22"/>
        <v>1132.21</v>
      </c>
      <c r="F143" s="23">
        <v>141</v>
      </c>
      <c r="G143" s="24">
        <f t="shared" si="23"/>
        <v>859.2</v>
      </c>
      <c r="H143" s="42">
        <f t="shared" si="19"/>
        <v>859.2</v>
      </c>
      <c r="I143" s="7">
        <f t="shared" si="20"/>
        <v>6057</v>
      </c>
      <c r="J143" s="7">
        <f t="shared" si="21"/>
        <v>24229</v>
      </c>
    </row>
    <row r="144" spans="1:10">
      <c r="A144" s="10">
        <v>345</v>
      </c>
      <c r="B144" s="10" t="s">
        <v>119</v>
      </c>
      <c r="C144" s="16">
        <v>351</v>
      </c>
      <c r="D144" s="4">
        <v>385456</v>
      </c>
      <c r="E144" s="27">
        <f t="shared" si="22"/>
        <v>1098.17</v>
      </c>
      <c r="F144" s="23">
        <v>583</v>
      </c>
      <c r="G144" s="24">
        <f t="shared" si="23"/>
        <v>661.16</v>
      </c>
      <c r="H144" s="42">
        <f t="shared" si="19"/>
        <v>661.16</v>
      </c>
      <c r="I144" s="7">
        <f t="shared" si="20"/>
        <v>19273</v>
      </c>
      <c r="J144" s="7">
        <f t="shared" si="21"/>
        <v>77091</v>
      </c>
    </row>
    <row r="145" spans="1:10">
      <c r="A145" s="10">
        <v>346</v>
      </c>
      <c r="B145" s="10" t="s">
        <v>120</v>
      </c>
      <c r="C145" s="16">
        <v>97</v>
      </c>
      <c r="D145" s="4">
        <v>114779</v>
      </c>
      <c r="E145" s="27">
        <f t="shared" si="22"/>
        <v>1183.29</v>
      </c>
      <c r="F145" s="23">
        <v>154</v>
      </c>
      <c r="G145" s="24">
        <f t="shared" si="23"/>
        <v>745.32</v>
      </c>
      <c r="H145" s="42">
        <f t="shared" si="19"/>
        <v>745.32</v>
      </c>
      <c r="I145" s="7">
        <f t="shared" si="20"/>
        <v>5739</v>
      </c>
      <c r="J145" s="7">
        <f t="shared" si="21"/>
        <v>22956</v>
      </c>
    </row>
    <row r="146" spans="1:10">
      <c r="A146" s="10">
        <v>347</v>
      </c>
      <c r="B146" s="10" t="s">
        <v>121</v>
      </c>
      <c r="C146" s="16">
        <v>61</v>
      </c>
      <c r="D146" s="4">
        <v>77745</v>
      </c>
      <c r="E146" s="27">
        <f t="shared" si="22"/>
        <v>1274.51</v>
      </c>
      <c r="F146" s="23">
        <v>103</v>
      </c>
      <c r="G146" s="24">
        <f t="shared" si="23"/>
        <v>754.81</v>
      </c>
      <c r="H146" s="42">
        <f t="shared" si="19"/>
        <v>754.81</v>
      </c>
      <c r="I146" s="7">
        <f t="shared" si="20"/>
        <v>3887</v>
      </c>
      <c r="J146" s="7">
        <f t="shared" si="21"/>
        <v>15549</v>
      </c>
    </row>
    <row r="147" spans="1:10">
      <c r="A147" s="10">
        <v>348</v>
      </c>
      <c r="B147" s="10" t="s">
        <v>122</v>
      </c>
      <c r="C147" s="16">
        <v>165</v>
      </c>
      <c r="D147" s="4">
        <v>154198</v>
      </c>
      <c r="E147" s="27">
        <f t="shared" si="22"/>
        <v>934.53</v>
      </c>
      <c r="F147" s="23">
        <v>231</v>
      </c>
      <c r="G147" s="24">
        <f t="shared" si="23"/>
        <v>667.52</v>
      </c>
      <c r="H147" s="42">
        <f t="shared" si="19"/>
        <v>667.52</v>
      </c>
      <c r="I147" s="7">
        <f t="shared" si="20"/>
        <v>7710</v>
      </c>
      <c r="J147" s="7">
        <f t="shared" si="21"/>
        <v>30840</v>
      </c>
    </row>
    <row r="148" spans="1:10">
      <c r="A148" s="10">
        <v>349</v>
      </c>
      <c r="B148" s="10" t="s">
        <v>123</v>
      </c>
      <c r="C148" s="16">
        <v>52</v>
      </c>
      <c r="D148" s="4">
        <v>80392</v>
      </c>
      <c r="E148" s="27">
        <f t="shared" si="22"/>
        <v>1546</v>
      </c>
      <c r="F148" s="23">
        <v>86</v>
      </c>
      <c r="G148" s="24">
        <f t="shared" si="23"/>
        <v>934.79</v>
      </c>
      <c r="H148" s="42">
        <f t="shared" si="19"/>
        <v>934.79</v>
      </c>
      <c r="I148" s="7">
        <f t="shared" si="20"/>
        <v>4020</v>
      </c>
      <c r="J148" s="7">
        <f t="shared" si="21"/>
        <v>16078</v>
      </c>
    </row>
    <row r="149" spans="1:10">
      <c r="A149" s="10">
        <v>350</v>
      </c>
      <c r="B149" s="10" t="s">
        <v>124</v>
      </c>
      <c r="C149" s="16">
        <v>40</v>
      </c>
      <c r="D149" s="4">
        <v>59736</v>
      </c>
      <c r="E149" s="27">
        <f t="shared" si="22"/>
        <v>1493.4</v>
      </c>
      <c r="F149" s="23">
        <v>75</v>
      </c>
      <c r="G149" s="24">
        <f t="shared" si="23"/>
        <v>796.48</v>
      </c>
      <c r="H149" s="42">
        <f t="shared" si="19"/>
        <v>796.48</v>
      </c>
      <c r="I149" s="7">
        <f t="shared" si="20"/>
        <v>2987</v>
      </c>
      <c r="J149" s="7">
        <f t="shared" si="21"/>
        <v>11947</v>
      </c>
    </row>
    <row r="150" spans="1:10">
      <c r="A150" s="10">
        <v>351</v>
      </c>
      <c r="B150" s="10" t="s">
        <v>125</v>
      </c>
      <c r="C150" s="16">
        <v>41</v>
      </c>
      <c r="D150" s="4">
        <v>60170</v>
      </c>
      <c r="E150" s="27">
        <f t="shared" si="22"/>
        <v>1467.56</v>
      </c>
      <c r="F150" s="23">
        <v>73</v>
      </c>
      <c r="G150" s="24">
        <f t="shared" si="23"/>
        <v>824.25</v>
      </c>
      <c r="H150" s="42">
        <f t="shared" si="19"/>
        <v>824.25</v>
      </c>
      <c r="I150" s="7">
        <f t="shared" si="20"/>
        <v>3009</v>
      </c>
      <c r="J150" s="7">
        <f t="shared" si="21"/>
        <v>12034</v>
      </c>
    </row>
    <row r="151" spans="1:10">
      <c r="A151" s="10">
        <v>352</v>
      </c>
      <c r="B151" s="10" t="s">
        <v>126</v>
      </c>
      <c r="C151" s="16">
        <v>188</v>
      </c>
      <c r="D151" s="4">
        <v>199560</v>
      </c>
      <c r="E151" s="27">
        <f t="shared" si="22"/>
        <v>1061.49</v>
      </c>
      <c r="F151" s="23">
        <v>251</v>
      </c>
      <c r="G151" s="24">
        <f t="shared" si="23"/>
        <v>795.06</v>
      </c>
      <c r="H151" s="42">
        <f t="shared" si="19"/>
        <v>795.06</v>
      </c>
      <c r="I151" s="7">
        <f t="shared" si="20"/>
        <v>9978</v>
      </c>
      <c r="J151" s="7">
        <f t="shared" si="21"/>
        <v>39912</v>
      </c>
    </row>
    <row r="152" spans="1:10">
      <c r="A152" s="10">
        <v>353</v>
      </c>
      <c r="B152" s="10" t="s">
        <v>127</v>
      </c>
      <c r="C152" s="16">
        <v>254</v>
      </c>
      <c r="D152" s="4">
        <v>381363</v>
      </c>
      <c r="E152" s="27">
        <f t="shared" si="22"/>
        <v>1501.43</v>
      </c>
      <c r="F152" s="23">
        <v>494</v>
      </c>
      <c r="G152" s="24">
        <f t="shared" si="23"/>
        <v>771.99</v>
      </c>
      <c r="H152" s="42">
        <f t="shared" si="19"/>
        <v>771.99</v>
      </c>
      <c r="I152" s="7">
        <f t="shared" si="20"/>
        <v>19068</v>
      </c>
      <c r="J152" s="7">
        <f t="shared" si="21"/>
        <v>76273</v>
      </c>
    </row>
    <row r="153" spans="1:10">
      <c r="A153" s="10">
        <v>355</v>
      </c>
      <c r="B153" s="10" t="s">
        <v>128</v>
      </c>
      <c r="C153" s="16">
        <v>81</v>
      </c>
      <c r="D153" s="4">
        <v>76960</v>
      </c>
      <c r="E153" s="27">
        <f t="shared" si="22"/>
        <v>950.12</v>
      </c>
      <c r="F153" s="23">
        <v>112</v>
      </c>
      <c r="G153" s="24">
        <f t="shared" si="23"/>
        <v>687.14</v>
      </c>
      <c r="H153" s="42">
        <f t="shared" si="19"/>
        <v>687.14</v>
      </c>
      <c r="I153" s="7">
        <f t="shared" si="20"/>
        <v>3848</v>
      </c>
      <c r="J153" s="7">
        <f t="shared" si="21"/>
        <v>15392</v>
      </c>
    </row>
    <row r="154" spans="1:10">
      <c r="A154" s="10">
        <v>356</v>
      </c>
      <c r="B154" s="10" t="s">
        <v>129</v>
      </c>
      <c r="C154" s="16">
        <v>50</v>
      </c>
      <c r="D154" s="4">
        <v>75113</v>
      </c>
      <c r="E154" s="27">
        <f t="shared" si="22"/>
        <v>1502.26</v>
      </c>
      <c r="F154" s="23">
        <v>111</v>
      </c>
      <c r="G154" s="24">
        <f t="shared" si="23"/>
        <v>676.69</v>
      </c>
      <c r="H154" s="42">
        <f t="shared" si="19"/>
        <v>676.69</v>
      </c>
      <c r="I154" s="7">
        <f t="shared" si="20"/>
        <v>3756</v>
      </c>
      <c r="J154" s="7">
        <f t="shared" si="21"/>
        <v>15023</v>
      </c>
    </row>
    <row r="155" spans="1:10">
      <c r="A155" s="10">
        <v>357</v>
      </c>
      <c r="B155" s="10" t="s">
        <v>130</v>
      </c>
      <c r="C155" s="16">
        <v>73</v>
      </c>
      <c r="D155" s="4">
        <v>97672</v>
      </c>
      <c r="E155" s="27">
        <f t="shared" si="22"/>
        <v>1337.97</v>
      </c>
      <c r="F155" s="23">
        <v>138</v>
      </c>
      <c r="G155" s="24">
        <f t="shared" si="23"/>
        <v>707.77</v>
      </c>
      <c r="H155" s="42">
        <f t="shared" si="19"/>
        <v>707.77</v>
      </c>
      <c r="I155" s="7">
        <f t="shared" si="20"/>
        <v>4884</v>
      </c>
      <c r="J155" s="7">
        <f t="shared" si="21"/>
        <v>19534</v>
      </c>
    </row>
    <row r="156" spans="1:10">
      <c r="A156" s="10">
        <v>358</v>
      </c>
      <c r="B156" s="10" t="s">
        <v>131</v>
      </c>
      <c r="C156" s="16">
        <v>45</v>
      </c>
      <c r="D156" s="4">
        <v>61824</v>
      </c>
      <c r="E156" s="27">
        <f t="shared" si="22"/>
        <v>1373.87</v>
      </c>
      <c r="F156" s="23">
        <v>86</v>
      </c>
      <c r="G156" s="24">
        <f t="shared" si="23"/>
        <v>718.88</v>
      </c>
      <c r="H156" s="42">
        <f t="shared" si="19"/>
        <v>718.88</v>
      </c>
      <c r="I156" s="7">
        <f t="shared" si="20"/>
        <v>3091</v>
      </c>
      <c r="J156" s="7">
        <f t="shared" si="21"/>
        <v>12365</v>
      </c>
    </row>
    <row r="157" spans="1:10">
      <c r="A157" s="10">
        <v>359</v>
      </c>
      <c r="B157" s="10" t="s">
        <v>132</v>
      </c>
      <c r="C157" s="16">
        <v>24</v>
      </c>
      <c r="D157" s="4">
        <v>24604</v>
      </c>
      <c r="E157" s="27">
        <f t="shared" si="22"/>
        <v>1025.17</v>
      </c>
      <c r="F157" s="23">
        <v>31</v>
      </c>
      <c r="G157" s="24">
        <f t="shared" si="23"/>
        <v>793.68</v>
      </c>
      <c r="H157" s="42">
        <f t="shared" si="19"/>
        <v>793.68</v>
      </c>
      <c r="I157" s="7">
        <f t="shared" si="20"/>
        <v>1230</v>
      </c>
      <c r="J157" s="7">
        <f t="shared" si="21"/>
        <v>4921</v>
      </c>
    </row>
    <row r="158" spans="1:10">
      <c r="A158" s="10">
        <v>360</v>
      </c>
      <c r="B158" s="10" t="s">
        <v>133</v>
      </c>
      <c r="C158" s="16">
        <v>42</v>
      </c>
      <c r="D158" s="4">
        <v>55164</v>
      </c>
      <c r="E158" s="27">
        <f t="shared" si="22"/>
        <v>1313.43</v>
      </c>
      <c r="F158" s="23">
        <v>69</v>
      </c>
      <c r="G158" s="24">
        <f t="shared" si="23"/>
        <v>799.48</v>
      </c>
      <c r="H158" s="42">
        <f t="shared" si="19"/>
        <v>799.48</v>
      </c>
      <c r="I158" s="7">
        <f t="shared" si="20"/>
        <v>2758</v>
      </c>
      <c r="J158" s="7">
        <f t="shared" si="21"/>
        <v>11033</v>
      </c>
    </row>
    <row r="159" spans="1:10">
      <c r="A159" s="10">
        <v>361</v>
      </c>
      <c r="B159" s="10" t="s">
        <v>134</v>
      </c>
      <c r="C159" s="16">
        <v>157</v>
      </c>
      <c r="D159" s="4">
        <v>229710</v>
      </c>
      <c r="E159" s="27">
        <f t="shared" si="22"/>
        <v>1463.12</v>
      </c>
      <c r="F159" s="23">
        <v>281</v>
      </c>
      <c r="G159" s="24">
        <f t="shared" si="23"/>
        <v>817.47</v>
      </c>
      <c r="H159" s="42">
        <f t="shared" si="19"/>
        <v>817.47</v>
      </c>
      <c r="I159" s="7">
        <f t="shared" si="20"/>
        <v>11486</v>
      </c>
      <c r="J159" s="7">
        <f t="shared" si="21"/>
        <v>45942</v>
      </c>
    </row>
    <row r="160" spans="1:10">
      <c r="A160" s="10">
        <v>362</v>
      </c>
      <c r="B160" s="10" t="s">
        <v>135</v>
      </c>
      <c r="C160" s="16">
        <v>123</v>
      </c>
      <c r="D160" s="4">
        <v>167844</v>
      </c>
      <c r="E160" s="27">
        <f t="shared" si="22"/>
        <v>1364.59</v>
      </c>
      <c r="F160" s="23">
        <v>231</v>
      </c>
      <c r="G160" s="24">
        <f t="shared" si="23"/>
        <v>726.6</v>
      </c>
      <c r="H160" s="42">
        <f t="shared" si="19"/>
        <v>726.6</v>
      </c>
      <c r="I160" s="7">
        <f t="shared" si="20"/>
        <v>8392</v>
      </c>
      <c r="J160" s="7">
        <f t="shared" si="21"/>
        <v>33569</v>
      </c>
    </row>
    <row r="161" spans="1:10">
      <c r="A161" s="10">
        <v>363</v>
      </c>
      <c r="B161" s="10" t="s">
        <v>136</v>
      </c>
      <c r="C161" s="16">
        <v>98</v>
      </c>
      <c r="D161" s="4">
        <v>150612</v>
      </c>
      <c r="E161" s="27">
        <f t="shared" si="22"/>
        <v>1536.86</v>
      </c>
      <c r="F161" s="23">
        <v>211</v>
      </c>
      <c r="G161" s="24">
        <f t="shared" si="23"/>
        <v>713.8</v>
      </c>
      <c r="H161" s="42">
        <f t="shared" si="19"/>
        <v>713.8</v>
      </c>
      <c r="I161" s="7">
        <f t="shared" si="20"/>
        <v>7531</v>
      </c>
      <c r="J161" s="7">
        <f t="shared" si="21"/>
        <v>30122</v>
      </c>
    </row>
    <row r="162" spans="1:10">
      <c r="A162" s="10">
        <v>364</v>
      </c>
      <c r="B162" s="10" t="s">
        <v>137</v>
      </c>
      <c r="C162" s="16">
        <v>124</v>
      </c>
      <c r="D162" s="4">
        <v>126952</v>
      </c>
      <c r="E162" s="27">
        <f t="shared" si="22"/>
        <v>1023.81</v>
      </c>
      <c r="F162" s="23">
        <v>184</v>
      </c>
      <c r="G162" s="24">
        <f t="shared" si="23"/>
        <v>689.96</v>
      </c>
      <c r="H162" s="42">
        <f t="shared" si="19"/>
        <v>689.96</v>
      </c>
      <c r="I162" s="7">
        <f t="shared" si="20"/>
        <v>6348</v>
      </c>
      <c r="J162" s="7">
        <f t="shared" si="21"/>
        <v>25390</v>
      </c>
    </row>
    <row r="163" spans="1:10">
      <c r="A163" s="10">
        <v>365</v>
      </c>
      <c r="B163" s="10" t="s">
        <v>138</v>
      </c>
      <c r="C163" s="16">
        <v>230</v>
      </c>
      <c r="D163" s="4">
        <v>245343</v>
      </c>
      <c r="E163" s="27">
        <f t="shared" si="22"/>
        <v>1066.71</v>
      </c>
      <c r="F163" s="23">
        <v>330</v>
      </c>
      <c r="G163" s="24">
        <f t="shared" si="23"/>
        <v>743.46</v>
      </c>
      <c r="H163" s="42">
        <f t="shared" si="19"/>
        <v>743.46</v>
      </c>
      <c r="I163" s="7">
        <f t="shared" si="20"/>
        <v>12267</v>
      </c>
      <c r="J163" s="7">
        <f t="shared" si="21"/>
        <v>49069</v>
      </c>
    </row>
    <row r="164" spans="1:10">
      <c r="A164" s="10">
        <v>366</v>
      </c>
      <c r="B164" s="10" t="s">
        <v>139</v>
      </c>
      <c r="C164" s="16">
        <v>81</v>
      </c>
      <c r="D164" s="4">
        <v>107289</v>
      </c>
      <c r="E164" s="27">
        <f t="shared" si="22"/>
        <v>1324.56</v>
      </c>
      <c r="F164" s="23">
        <v>127</v>
      </c>
      <c r="G164" s="24">
        <f t="shared" si="23"/>
        <v>844.8</v>
      </c>
      <c r="H164" s="42">
        <f t="shared" si="19"/>
        <v>844.8</v>
      </c>
      <c r="I164" s="7">
        <f t="shared" si="20"/>
        <v>5364</v>
      </c>
      <c r="J164" s="7">
        <f t="shared" si="21"/>
        <v>21458</v>
      </c>
    </row>
    <row r="165" spans="1:10">
      <c r="A165" s="10">
        <v>367</v>
      </c>
      <c r="B165" s="10" t="s">
        <v>140</v>
      </c>
      <c r="C165" s="16">
        <v>251</v>
      </c>
      <c r="D165" s="4">
        <v>306054</v>
      </c>
      <c r="E165" s="27">
        <f t="shared" si="22"/>
        <v>1219.3399999999999</v>
      </c>
      <c r="F165" s="23">
        <v>402</v>
      </c>
      <c r="G165" s="24">
        <f t="shared" si="23"/>
        <v>761.33</v>
      </c>
      <c r="H165" s="42">
        <f t="shared" si="19"/>
        <v>761.33</v>
      </c>
      <c r="I165" s="7">
        <f t="shared" si="20"/>
        <v>15303</v>
      </c>
      <c r="J165" s="7">
        <f t="shared" si="21"/>
        <v>61211</v>
      </c>
    </row>
    <row r="166" spans="1:10">
      <c r="A166" s="10">
        <v>368</v>
      </c>
      <c r="B166" s="10" t="s">
        <v>141</v>
      </c>
      <c r="C166" s="16">
        <v>222</v>
      </c>
      <c r="D166" s="4">
        <v>357489</v>
      </c>
      <c r="E166" s="27">
        <f t="shared" si="22"/>
        <v>1610.31</v>
      </c>
      <c r="F166" s="23">
        <v>455</v>
      </c>
      <c r="G166" s="24">
        <f t="shared" si="23"/>
        <v>785.69</v>
      </c>
      <c r="H166" s="42">
        <f t="shared" si="19"/>
        <v>785.69</v>
      </c>
      <c r="I166" s="7">
        <f t="shared" si="20"/>
        <v>17874</v>
      </c>
      <c r="J166" s="7">
        <f t="shared" si="21"/>
        <v>71498</v>
      </c>
    </row>
    <row r="167" spans="1:10">
      <c r="A167" s="10">
        <v>369</v>
      </c>
      <c r="B167" s="10" t="s">
        <v>142</v>
      </c>
      <c r="C167" s="16">
        <v>44</v>
      </c>
      <c r="D167" s="4">
        <v>61540</v>
      </c>
      <c r="E167" s="27">
        <f t="shared" si="22"/>
        <v>1398.64</v>
      </c>
      <c r="F167" s="23">
        <v>81</v>
      </c>
      <c r="G167" s="24">
        <f t="shared" si="23"/>
        <v>759.75</v>
      </c>
      <c r="H167" s="42">
        <f t="shared" si="19"/>
        <v>759.75</v>
      </c>
      <c r="I167" s="7">
        <f t="shared" si="20"/>
        <v>3077</v>
      </c>
      <c r="J167" s="7">
        <f t="shared" si="21"/>
        <v>12308</v>
      </c>
    </row>
    <row r="168" spans="1:10">
      <c r="A168" s="10">
        <v>371</v>
      </c>
      <c r="B168" s="10" t="s">
        <v>143</v>
      </c>
      <c r="C168" s="16">
        <v>43</v>
      </c>
      <c r="D168" s="4">
        <v>39815</v>
      </c>
      <c r="E168" s="27">
        <f t="shared" si="22"/>
        <v>925.93</v>
      </c>
      <c r="F168" s="23">
        <v>57</v>
      </c>
      <c r="G168" s="24">
        <f t="shared" si="23"/>
        <v>698.51</v>
      </c>
      <c r="H168" s="42">
        <f t="shared" si="19"/>
        <v>698.51</v>
      </c>
      <c r="I168" s="7">
        <f t="shared" si="20"/>
        <v>1991</v>
      </c>
      <c r="J168" s="7">
        <f t="shared" si="21"/>
        <v>7963</v>
      </c>
    </row>
    <row r="169" spans="1:10">
      <c r="A169" s="10">
        <v>372</v>
      </c>
      <c r="B169" s="10" t="s">
        <v>144</v>
      </c>
      <c r="C169" s="16">
        <v>51</v>
      </c>
      <c r="D169" s="4">
        <v>44548</v>
      </c>
      <c r="E169" s="27">
        <f t="shared" si="22"/>
        <v>873.49</v>
      </c>
      <c r="F169" s="23">
        <v>75</v>
      </c>
      <c r="G169" s="24">
        <f t="shared" si="23"/>
        <v>593.97</v>
      </c>
      <c r="H169" s="42">
        <f t="shared" si="19"/>
        <v>593.97</v>
      </c>
      <c r="I169" s="7">
        <f t="shared" si="20"/>
        <v>2227</v>
      </c>
      <c r="J169" s="7">
        <f t="shared" si="21"/>
        <v>8910</v>
      </c>
    </row>
    <row r="170" spans="1:10">
      <c r="A170" s="11">
        <v>373</v>
      </c>
      <c r="B170" s="11" t="s">
        <v>145</v>
      </c>
      <c r="C170" s="17">
        <v>508</v>
      </c>
      <c r="D170" s="18">
        <v>786377</v>
      </c>
      <c r="E170" s="21">
        <f t="shared" si="22"/>
        <v>1547.99</v>
      </c>
      <c r="F170" s="25">
        <v>1042</v>
      </c>
      <c r="G170" s="26" t="s">
        <v>295</v>
      </c>
      <c r="H170" s="42">
        <f>E170</f>
        <v>1547.99</v>
      </c>
      <c r="I170" s="22">
        <f t="shared" si="20"/>
        <v>39319</v>
      </c>
      <c r="J170" s="22">
        <f t="shared" si="21"/>
        <v>157275</v>
      </c>
    </row>
    <row r="171" spans="1:10">
      <c r="A171" s="10">
        <v>374</v>
      </c>
      <c r="B171" s="10" t="s">
        <v>146</v>
      </c>
      <c r="C171" s="16">
        <v>75</v>
      </c>
      <c r="D171" s="4">
        <v>110780</v>
      </c>
      <c r="E171" s="27">
        <f t="shared" si="22"/>
        <v>1477.07</v>
      </c>
      <c r="F171" s="23">
        <v>145</v>
      </c>
      <c r="G171" s="24">
        <f t="shared" si="23"/>
        <v>764</v>
      </c>
      <c r="H171" s="42">
        <f>G171</f>
        <v>764</v>
      </c>
      <c r="I171" s="7">
        <f t="shared" si="20"/>
        <v>5539</v>
      </c>
      <c r="J171" s="7">
        <f t="shared" si="21"/>
        <v>22156</v>
      </c>
    </row>
    <row r="172" spans="1:10">
      <c r="A172" s="10">
        <v>375</v>
      </c>
      <c r="B172" s="10" t="s">
        <v>147</v>
      </c>
      <c r="C172" s="16">
        <v>265</v>
      </c>
      <c r="D172" s="4">
        <v>216774</v>
      </c>
      <c r="E172" s="27">
        <f t="shared" si="22"/>
        <v>818.02</v>
      </c>
      <c r="F172" s="23">
        <v>323</v>
      </c>
      <c r="G172" s="24">
        <f t="shared" si="23"/>
        <v>671.13</v>
      </c>
      <c r="H172" s="42">
        <f t="shared" ref="H172:H179" si="24">G172</f>
        <v>671.13</v>
      </c>
      <c r="I172" s="7">
        <f t="shared" si="20"/>
        <v>10839</v>
      </c>
      <c r="J172" s="7">
        <f t="shared" si="21"/>
        <v>43355</v>
      </c>
    </row>
    <row r="173" spans="1:10">
      <c r="A173" s="10">
        <v>376</v>
      </c>
      <c r="B173" s="10" t="s">
        <v>148</v>
      </c>
      <c r="C173" s="16">
        <v>65</v>
      </c>
      <c r="D173" s="4">
        <v>73685</v>
      </c>
      <c r="E173" s="27">
        <f t="shared" si="22"/>
        <v>1133.6199999999999</v>
      </c>
      <c r="F173" s="23">
        <v>101</v>
      </c>
      <c r="G173" s="24">
        <f t="shared" si="23"/>
        <v>729.55</v>
      </c>
      <c r="H173" s="42">
        <f t="shared" si="24"/>
        <v>729.55</v>
      </c>
      <c r="I173" s="7">
        <f t="shared" si="20"/>
        <v>3684</v>
      </c>
      <c r="J173" s="7">
        <f t="shared" si="21"/>
        <v>14737</v>
      </c>
    </row>
    <row r="174" spans="1:10">
      <c r="A174" s="10">
        <v>377</v>
      </c>
      <c r="B174" s="10" t="s">
        <v>268</v>
      </c>
      <c r="C174" s="16">
        <v>126</v>
      </c>
      <c r="D174" s="4">
        <v>121312</v>
      </c>
      <c r="E174" s="27">
        <f t="shared" si="22"/>
        <v>962.79</v>
      </c>
      <c r="F174" s="23">
        <v>177</v>
      </c>
      <c r="G174" s="24">
        <f t="shared" si="23"/>
        <v>685.38</v>
      </c>
      <c r="H174" s="42">
        <f t="shared" si="24"/>
        <v>685.38</v>
      </c>
      <c r="I174" s="7">
        <f t="shared" si="20"/>
        <v>6066</v>
      </c>
      <c r="J174" s="7">
        <f t="shared" si="21"/>
        <v>24262</v>
      </c>
    </row>
    <row r="175" spans="1:10">
      <c r="A175" s="10">
        <v>378</v>
      </c>
      <c r="B175" s="10" t="s">
        <v>269</v>
      </c>
      <c r="C175" s="16">
        <v>102</v>
      </c>
      <c r="D175" s="4">
        <v>90112</v>
      </c>
      <c r="E175" s="27">
        <f t="shared" si="22"/>
        <v>883.45</v>
      </c>
      <c r="F175" s="23">
        <v>134</v>
      </c>
      <c r="G175" s="24">
        <f t="shared" si="23"/>
        <v>672.48</v>
      </c>
      <c r="H175" s="42">
        <f t="shared" si="24"/>
        <v>672.48</v>
      </c>
      <c r="I175" s="7">
        <f t="shared" si="20"/>
        <v>4506</v>
      </c>
      <c r="J175" s="7">
        <f t="shared" si="21"/>
        <v>18022</v>
      </c>
    </row>
    <row r="176" spans="1:10">
      <c r="A176" s="10">
        <v>379</v>
      </c>
      <c r="B176" s="10" t="s">
        <v>149</v>
      </c>
      <c r="C176" s="16">
        <v>198</v>
      </c>
      <c r="D176" s="4">
        <v>200003</v>
      </c>
      <c r="E176" s="27">
        <f t="shared" si="22"/>
        <v>1010.12</v>
      </c>
      <c r="F176" s="23">
        <v>289</v>
      </c>
      <c r="G176" s="24">
        <f t="shared" si="23"/>
        <v>692.05</v>
      </c>
      <c r="H176" s="42">
        <f t="shared" si="24"/>
        <v>692.05</v>
      </c>
      <c r="I176" s="7">
        <f t="shared" si="20"/>
        <v>10000</v>
      </c>
      <c r="J176" s="7">
        <f t="shared" si="21"/>
        <v>40001</v>
      </c>
    </row>
    <row r="177" spans="1:10">
      <c r="A177" s="10">
        <v>380</v>
      </c>
      <c r="B177" s="10" t="s">
        <v>150</v>
      </c>
      <c r="C177" s="16">
        <v>75</v>
      </c>
      <c r="D177" s="4">
        <v>83191</v>
      </c>
      <c r="E177" s="27">
        <f t="shared" si="22"/>
        <v>1109.21</v>
      </c>
      <c r="F177" s="23">
        <v>109</v>
      </c>
      <c r="G177" s="24">
        <f t="shared" si="23"/>
        <v>763.22</v>
      </c>
      <c r="H177" s="42">
        <f t="shared" si="24"/>
        <v>763.22</v>
      </c>
      <c r="I177" s="7">
        <f t="shared" si="20"/>
        <v>4160</v>
      </c>
      <c r="J177" s="7">
        <f t="shared" si="21"/>
        <v>16638</v>
      </c>
    </row>
    <row r="178" spans="1:10">
      <c r="A178" s="10">
        <v>381</v>
      </c>
      <c r="B178" s="10" t="s">
        <v>151</v>
      </c>
      <c r="C178" s="16">
        <v>25</v>
      </c>
      <c r="D178" s="4">
        <v>25892</v>
      </c>
      <c r="E178" s="27">
        <f t="shared" si="22"/>
        <v>1035.68</v>
      </c>
      <c r="F178" s="23">
        <v>42</v>
      </c>
      <c r="G178" s="24">
        <f t="shared" si="23"/>
        <v>616.48</v>
      </c>
      <c r="H178" s="42">
        <f t="shared" si="24"/>
        <v>616.48</v>
      </c>
      <c r="I178" s="7">
        <f t="shared" si="20"/>
        <v>1295</v>
      </c>
      <c r="J178" s="7">
        <f t="shared" si="21"/>
        <v>5178</v>
      </c>
    </row>
    <row r="179" spans="1:10">
      <c r="A179" s="10">
        <v>382</v>
      </c>
      <c r="B179" s="10" t="s">
        <v>152</v>
      </c>
      <c r="C179" s="16">
        <v>173</v>
      </c>
      <c r="D179" s="4">
        <v>187357</v>
      </c>
      <c r="E179" s="27">
        <f t="shared" si="22"/>
        <v>1082.99</v>
      </c>
      <c r="F179" s="23">
        <v>272</v>
      </c>
      <c r="G179" s="24">
        <f t="shared" si="23"/>
        <v>688.81</v>
      </c>
      <c r="H179" s="42">
        <f t="shared" si="24"/>
        <v>688.81</v>
      </c>
      <c r="I179" s="7">
        <f t="shared" si="20"/>
        <v>9368</v>
      </c>
      <c r="J179" s="7">
        <f t="shared" si="21"/>
        <v>37471</v>
      </c>
    </row>
    <row r="180" spans="1:10">
      <c r="A180" s="11">
        <v>383</v>
      </c>
      <c r="B180" s="11" t="s">
        <v>153</v>
      </c>
      <c r="C180" s="17">
        <v>937</v>
      </c>
      <c r="D180" s="18">
        <v>1106431</v>
      </c>
      <c r="E180" s="21">
        <f t="shared" si="22"/>
        <v>1180.82</v>
      </c>
      <c r="F180" s="25">
        <v>1307</v>
      </c>
      <c r="G180" s="26" t="s">
        <v>295</v>
      </c>
      <c r="H180" s="42">
        <f>E180</f>
        <v>1180.82</v>
      </c>
      <c r="I180" s="22">
        <f t="shared" si="20"/>
        <v>55322</v>
      </c>
      <c r="J180" s="22">
        <f t="shared" si="21"/>
        <v>221286</v>
      </c>
    </row>
    <row r="181" spans="1:10">
      <c r="A181" s="10">
        <v>384</v>
      </c>
      <c r="B181" s="10" t="s">
        <v>257</v>
      </c>
      <c r="C181" s="16">
        <v>28</v>
      </c>
      <c r="D181" s="4">
        <v>30924</v>
      </c>
      <c r="E181" s="27">
        <f t="shared" si="22"/>
        <v>1104.43</v>
      </c>
      <c r="F181" s="23">
        <v>47</v>
      </c>
      <c r="G181" s="24">
        <f t="shared" si="23"/>
        <v>657.96</v>
      </c>
      <c r="H181" s="42">
        <f>G181</f>
        <v>657.96</v>
      </c>
      <c r="I181" s="7">
        <f t="shared" si="20"/>
        <v>1546</v>
      </c>
      <c r="J181" s="7">
        <f t="shared" si="21"/>
        <v>6185</v>
      </c>
    </row>
    <row r="182" spans="1:10">
      <c r="A182" s="10">
        <v>385</v>
      </c>
      <c r="B182" s="10" t="s">
        <v>154</v>
      </c>
      <c r="C182" s="16">
        <v>139</v>
      </c>
      <c r="D182" s="4">
        <v>184726</v>
      </c>
      <c r="E182" s="27">
        <f t="shared" si="22"/>
        <v>1328.96</v>
      </c>
      <c r="F182" s="23">
        <v>311</v>
      </c>
      <c r="G182" s="24">
        <f t="shared" si="23"/>
        <v>593.97</v>
      </c>
      <c r="H182" s="42">
        <f t="shared" ref="H182:H226" si="25">G182</f>
        <v>593.97</v>
      </c>
      <c r="I182" s="7">
        <f t="shared" si="20"/>
        <v>9236</v>
      </c>
      <c r="J182" s="7">
        <f t="shared" si="21"/>
        <v>36945</v>
      </c>
    </row>
    <row r="183" spans="1:10">
      <c r="A183" s="10">
        <v>386</v>
      </c>
      <c r="B183" s="10" t="s">
        <v>155</v>
      </c>
      <c r="C183" s="16">
        <v>44</v>
      </c>
      <c r="D183" s="4">
        <v>50613</v>
      </c>
      <c r="E183" s="27">
        <f t="shared" si="22"/>
        <v>1150.3</v>
      </c>
      <c r="F183" s="23">
        <v>64</v>
      </c>
      <c r="G183" s="24">
        <f t="shared" si="23"/>
        <v>790.83</v>
      </c>
      <c r="H183" s="42">
        <f t="shared" si="25"/>
        <v>790.83</v>
      </c>
      <c r="I183" s="7">
        <f t="shared" si="20"/>
        <v>2531</v>
      </c>
      <c r="J183" s="7">
        <f t="shared" si="21"/>
        <v>10123</v>
      </c>
    </row>
    <row r="184" spans="1:10">
      <c r="A184" s="10">
        <v>387</v>
      </c>
      <c r="B184" s="10" t="s">
        <v>156</v>
      </c>
      <c r="C184" s="16">
        <v>33</v>
      </c>
      <c r="D184" s="4">
        <v>41874</v>
      </c>
      <c r="E184" s="27">
        <f t="shared" si="22"/>
        <v>1268.9100000000001</v>
      </c>
      <c r="F184" s="23">
        <v>58</v>
      </c>
      <c r="G184" s="24">
        <f t="shared" si="23"/>
        <v>721.97</v>
      </c>
      <c r="H184" s="42">
        <f t="shared" si="25"/>
        <v>721.97</v>
      </c>
      <c r="I184" s="7">
        <f t="shared" si="20"/>
        <v>2094</v>
      </c>
      <c r="J184" s="7">
        <f t="shared" si="21"/>
        <v>8375</v>
      </c>
    </row>
    <row r="185" spans="1:10">
      <c r="A185" s="10">
        <v>388</v>
      </c>
      <c r="B185" s="10" t="s">
        <v>157</v>
      </c>
      <c r="C185" s="16">
        <v>42</v>
      </c>
      <c r="D185" s="4">
        <v>55257</v>
      </c>
      <c r="E185" s="27">
        <f t="shared" si="22"/>
        <v>1315.64</v>
      </c>
      <c r="F185" s="23">
        <v>79</v>
      </c>
      <c r="G185" s="24">
        <f t="shared" si="23"/>
        <v>699.46</v>
      </c>
      <c r="H185" s="42">
        <f t="shared" si="25"/>
        <v>699.46</v>
      </c>
      <c r="I185" s="7">
        <f t="shared" si="20"/>
        <v>2763</v>
      </c>
      <c r="J185" s="7">
        <f t="shared" si="21"/>
        <v>11051</v>
      </c>
    </row>
    <row r="186" spans="1:10">
      <c r="A186" s="10">
        <v>389</v>
      </c>
      <c r="B186" s="10" t="s">
        <v>158</v>
      </c>
      <c r="C186" s="16">
        <v>147</v>
      </c>
      <c r="D186" s="4">
        <v>173808</v>
      </c>
      <c r="E186" s="27">
        <f t="shared" si="22"/>
        <v>1182.3699999999999</v>
      </c>
      <c r="F186" s="23">
        <v>220</v>
      </c>
      <c r="G186" s="24">
        <f t="shared" si="23"/>
        <v>790.04</v>
      </c>
      <c r="H186" s="42">
        <f t="shared" si="25"/>
        <v>790.04</v>
      </c>
      <c r="I186" s="7">
        <f t="shared" si="20"/>
        <v>8690</v>
      </c>
      <c r="J186" s="7">
        <f t="shared" si="21"/>
        <v>34762</v>
      </c>
    </row>
    <row r="187" spans="1:10">
      <c r="A187" s="10">
        <v>390</v>
      </c>
      <c r="B187" s="10" t="s">
        <v>159</v>
      </c>
      <c r="C187" s="16">
        <v>24</v>
      </c>
      <c r="D187" s="4">
        <v>33147</v>
      </c>
      <c r="E187" s="27">
        <f t="shared" si="22"/>
        <v>1381.13</v>
      </c>
      <c r="F187" s="23">
        <v>35</v>
      </c>
      <c r="G187" s="24">
        <f t="shared" si="23"/>
        <v>947.06</v>
      </c>
      <c r="H187" s="42">
        <f t="shared" si="25"/>
        <v>947.06</v>
      </c>
      <c r="I187" s="7">
        <f t="shared" si="20"/>
        <v>1657</v>
      </c>
      <c r="J187" s="7">
        <f t="shared" si="21"/>
        <v>6629</v>
      </c>
    </row>
    <row r="188" spans="1:10">
      <c r="A188" s="10">
        <v>392</v>
      </c>
      <c r="B188" s="10" t="s">
        <v>270</v>
      </c>
      <c r="C188" s="16">
        <v>53</v>
      </c>
      <c r="D188" s="4">
        <v>69877</v>
      </c>
      <c r="E188" s="27">
        <f t="shared" si="22"/>
        <v>1318.43</v>
      </c>
      <c r="F188" s="23">
        <v>92</v>
      </c>
      <c r="G188" s="24">
        <f t="shared" si="23"/>
        <v>759.53</v>
      </c>
      <c r="H188" s="42">
        <f t="shared" si="25"/>
        <v>759.53</v>
      </c>
      <c r="I188" s="7">
        <f t="shared" si="20"/>
        <v>3494</v>
      </c>
      <c r="J188" s="7">
        <f t="shared" si="21"/>
        <v>13975</v>
      </c>
    </row>
    <row r="189" spans="1:10">
      <c r="A189" s="10">
        <v>393</v>
      </c>
      <c r="B189" s="10" t="s">
        <v>160</v>
      </c>
      <c r="C189" s="16">
        <v>58</v>
      </c>
      <c r="D189" s="4">
        <v>66550</v>
      </c>
      <c r="E189" s="27">
        <f t="shared" si="22"/>
        <v>1147.4100000000001</v>
      </c>
      <c r="F189" s="23">
        <v>87</v>
      </c>
      <c r="G189" s="24">
        <f t="shared" si="23"/>
        <v>764.94</v>
      </c>
      <c r="H189" s="42">
        <f t="shared" si="25"/>
        <v>764.94</v>
      </c>
      <c r="I189" s="7">
        <f t="shared" si="20"/>
        <v>3328</v>
      </c>
      <c r="J189" s="7">
        <f t="shared" si="21"/>
        <v>13310</v>
      </c>
    </row>
    <row r="190" spans="1:10">
      <c r="A190" s="10">
        <v>394</v>
      </c>
      <c r="B190" s="10" t="s">
        <v>161</v>
      </c>
      <c r="C190" s="16">
        <v>129</v>
      </c>
      <c r="D190" s="4">
        <v>134832</v>
      </c>
      <c r="E190" s="27">
        <f t="shared" si="22"/>
        <v>1045.21</v>
      </c>
      <c r="F190" s="23">
        <v>227</v>
      </c>
      <c r="G190" s="24">
        <f t="shared" si="23"/>
        <v>593.97</v>
      </c>
      <c r="H190" s="42">
        <f t="shared" si="25"/>
        <v>593.97</v>
      </c>
      <c r="I190" s="7">
        <f t="shared" si="20"/>
        <v>6742</v>
      </c>
      <c r="J190" s="7">
        <f t="shared" si="21"/>
        <v>26966</v>
      </c>
    </row>
    <row r="191" spans="1:10">
      <c r="A191" s="10">
        <v>395</v>
      </c>
      <c r="B191" s="10" t="s">
        <v>271</v>
      </c>
      <c r="C191" s="16">
        <v>50</v>
      </c>
      <c r="D191" s="4">
        <v>61562</v>
      </c>
      <c r="E191" s="27">
        <f t="shared" si="22"/>
        <v>1231.24</v>
      </c>
      <c r="F191" s="23">
        <v>79</v>
      </c>
      <c r="G191" s="24">
        <f t="shared" si="23"/>
        <v>779.27</v>
      </c>
      <c r="H191" s="42">
        <f t="shared" si="25"/>
        <v>779.27</v>
      </c>
      <c r="I191" s="7">
        <f t="shared" si="20"/>
        <v>3078</v>
      </c>
      <c r="J191" s="7">
        <f t="shared" si="21"/>
        <v>12312</v>
      </c>
    </row>
    <row r="192" spans="1:10">
      <c r="A192" s="10">
        <v>396</v>
      </c>
      <c r="B192" s="10" t="s">
        <v>162</v>
      </c>
      <c r="C192" s="16">
        <v>67</v>
      </c>
      <c r="D192" s="4">
        <v>65817</v>
      </c>
      <c r="E192" s="27">
        <f t="shared" si="22"/>
        <v>982.34</v>
      </c>
      <c r="F192" s="23">
        <v>110</v>
      </c>
      <c r="G192" s="24">
        <f t="shared" si="23"/>
        <v>598.34</v>
      </c>
      <c r="H192" s="42">
        <f t="shared" si="25"/>
        <v>598.34</v>
      </c>
      <c r="I192" s="7">
        <f t="shared" si="20"/>
        <v>3291</v>
      </c>
      <c r="J192" s="7">
        <f t="shared" si="21"/>
        <v>13163</v>
      </c>
    </row>
    <row r="193" spans="1:10">
      <c r="A193" s="10">
        <v>397</v>
      </c>
      <c r="B193" s="10" t="s">
        <v>163</v>
      </c>
      <c r="C193" s="16">
        <v>39</v>
      </c>
      <c r="D193" s="4">
        <v>43772</v>
      </c>
      <c r="E193" s="27">
        <f t="shared" si="22"/>
        <v>1122.3599999999999</v>
      </c>
      <c r="F193" s="23">
        <v>61</v>
      </c>
      <c r="G193" s="24">
        <f t="shared" si="23"/>
        <v>717.57</v>
      </c>
      <c r="H193" s="42">
        <f t="shared" si="25"/>
        <v>717.57</v>
      </c>
      <c r="I193" s="7">
        <f t="shared" si="20"/>
        <v>2189</v>
      </c>
      <c r="J193" s="7">
        <f t="shared" si="21"/>
        <v>8754</v>
      </c>
    </row>
    <row r="194" spans="1:10">
      <c r="A194" s="10">
        <v>398</v>
      </c>
      <c r="B194" s="10" t="s">
        <v>164</v>
      </c>
      <c r="C194" s="16">
        <v>54</v>
      </c>
      <c r="D194" s="4">
        <v>65915</v>
      </c>
      <c r="E194" s="27">
        <f t="shared" si="22"/>
        <v>1220.6500000000001</v>
      </c>
      <c r="F194" s="23">
        <v>91</v>
      </c>
      <c r="G194" s="24">
        <f t="shared" si="23"/>
        <v>724.34</v>
      </c>
      <c r="H194" s="42">
        <f t="shared" si="25"/>
        <v>724.34</v>
      </c>
      <c r="I194" s="7">
        <f t="shared" si="20"/>
        <v>3296</v>
      </c>
      <c r="J194" s="7">
        <f t="shared" si="21"/>
        <v>13183</v>
      </c>
    </row>
    <row r="195" spans="1:10">
      <c r="A195" s="10">
        <v>399</v>
      </c>
      <c r="B195" s="10" t="s">
        <v>165</v>
      </c>
      <c r="C195" s="16">
        <v>24</v>
      </c>
      <c r="D195" s="4">
        <v>30635</v>
      </c>
      <c r="E195" s="27">
        <f t="shared" si="22"/>
        <v>1276.46</v>
      </c>
      <c r="F195" s="23">
        <v>38</v>
      </c>
      <c r="G195" s="24">
        <f t="shared" si="23"/>
        <v>806.18</v>
      </c>
      <c r="H195" s="42">
        <f t="shared" si="25"/>
        <v>806.18</v>
      </c>
      <c r="I195" s="7">
        <f t="shared" si="20"/>
        <v>1532</v>
      </c>
      <c r="J195" s="7">
        <f t="shared" si="21"/>
        <v>6127</v>
      </c>
    </row>
    <row r="196" spans="1:10">
      <c r="A196" s="10">
        <v>400</v>
      </c>
      <c r="B196" s="10" t="s">
        <v>166</v>
      </c>
      <c r="C196" s="16">
        <v>77</v>
      </c>
      <c r="D196" s="4">
        <v>93821</v>
      </c>
      <c r="E196" s="27">
        <f t="shared" si="22"/>
        <v>1218.45</v>
      </c>
      <c r="F196" s="23">
        <v>142</v>
      </c>
      <c r="G196" s="24">
        <f t="shared" si="23"/>
        <v>660.71</v>
      </c>
      <c r="H196" s="42">
        <f t="shared" si="25"/>
        <v>660.71</v>
      </c>
      <c r="I196" s="7">
        <f t="shared" si="20"/>
        <v>4691</v>
      </c>
      <c r="J196" s="7">
        <f t="shared" si="21"/>
        <v>18764</v>
      </c>
    </row>
    <row r="197" spans="1:10">
      <c r="A197" s="10">
        <v>401</v>
      </c>
      <c r="B197" s="10" t="s">
        <v>167</v>
      </c>
      <c r="C197" s="16">
        <v>31</v>
      </c>
      <c r="D197" s="4">
        <v>44628</v>
      </c>
      <c r="E197" s="27">
        <f t="shared" si="22"/>
        <v>1439.61</v>
      </c>
      <c r="F197" s="23">
        <v>54</v>
      </c>
      <c r="G197" s="24">
        <f t="shared" si="23"/>
        <v>826.44</v>
      </c>
      <c r="H197" s="42">
        <f t="shared" si="25"/>
        <v>826.44</v>
      </c>
      <c r="I197" s="7">
        <f t="shared" si="20"/>
        <v>2231</v>
      </c>
      <c r="J197" s="7">
        <f t="shared" si="21"/>
        <v>8926</v>
      </c>
    </row>
    <row r="198" spans="1:10">
      <c r="A198" s="10">
        <v>402</v>
      </c>
      <c r="B198" s="10" t="s">
        <v>168</v>
      </c>
      <c r="C198" s="16">
        <v>255</v>
      </c>
      <c r="D198" s="4">
        <v>286344</v>
      </c>
      <c r="E198" s="27">
        <f t="shared" si="22"/>
        <v>1122.92</v>
      </c>
      <c r="F198" s="23">
        <v>426</v>
      </c>
      <c r="G198" s="24">
        <f t="shared" si="23"/>
        <v>672.17</v>
      </c>
      <c r="H198" s="42">
        <f t="shared" si="25"/>
        <v>672.17</v>
      </c>
      <c r="I198" s="7">
        <f t="shared" ref="I198:I254" si="26">D198*0.05</f>
        <v>14317</v>
      </c>
      <c r="J198" s="7">
        <f t="shared" ref="J198:J254" si="27">D198*0.2</f>
        <v>57269</v>
      </c>
    </row>
    <row r="199" spans="1:10">
      <c r="A199" s="10">
        <v>403</v>
      </c>
      <c r="B199" s="10" t="s">
        <v>169</v>
      </c>
      <c r="C199" s="16">
        <v>29</v>
      </c>
      <c r="D199" s="4">
        <v>29144</v>
      </c>
      <c r="E199" s="27">
        <f t="shared" ref="E199:E255" si="28">D199/C199</f>
        <v>1004.97</v>
      </c>
      <c r="F199" s="23">
        <v>39</v>
      </c>
      <c r="G199" s="24">
        <f t="shared" ref="G199:G255" si="29">D199/F199</f>
        <v>747.28</v>
      </c>
      <c r="H199" s="42">
        <f t="shared" si="25"/>
        <v>747.28</v>
      </c>
      <c r="I199" s="7">
        <f t="shared" si="26"/>
        <v>1457</v>
      </c>
      <c r="J199" s="7">
        <f t="shared" si="27"/>
        <v>5829</v>
      </c>
    </row>
    <row r="200" spans="1:10">
      <c r="A200" s="10">
        <v>404</v>
      </c>
      <c r="B200" s="10" t="s">
        <v>170</v>
      </c>
      <c r="C200" s="16">
        <v>131</v>
      </c>
      <c r="D200" s="4">
        <v>182486</v>
      </c>
      <c r="E200" s="27">
        <f t="shared" si="28"/>
        <v>1393.02</v>
      </c>
      <c r="F200" s="23">
        <v>217</v>
      </c>
      <c r="G200" s="24">
        <f t="shared" si="29"/>
        <v>840.95</v>
      </c>
      <c r="H200" s="42">
        <f t="shared" si="25"/>
        <v>840.95</v>
      </c>
      <c r="I200" s="7">
        <f t="shared" si="26"/>
        <v>9124</v>
      </c>
      <c r="J200" s="7">
        <f t="shared" si="27"/>
        <v>36497</v>
      </c>
    </row>
    <row r="201" spans="1:10">
      <c r="A201" s="10">
        <v>405</v>
      </c>
      <c r="B201" s="10" t="s">
        <v>171</v>
      </c>
      <c r="C201" s="16">
        <v>115</v>
      </c>
      <c r="D201" s="4">
        <v>216209</v>
      </c>
      <c r="E201" s="27">
        <f t="shared" si="28"/>
        <v>1880.08</v>
      </c>
      <c r="F201" s="23">
        <v>231</v>
      </c>
      <c r="G201" s="24">
        <f t="shared" si="29"/>
        <v>935.97</v>
      </c>
      <c r="H201" s="42">
        <f t="shared" si="25"/>
        <v>935.97</v>
      </c>
      <c r="I201" s="7">
        <f t="shared" si="26"/>
        <v>10810</v>
      </c>
      <c r="J201" s="7">
        <f t="shared" si="27"/>
        <v>43242</v>
      </c>
    </row>
    <row r="202" spans="1:10">
      <c r="A202" s="10">
        <v>407</v>
      </c>
      <c r="B202" s="10" t="s">
        <v>272</v>
      </c>
      <c r="C202" s="16">
        <v>148</v>
      </c>
      <c r="D202" s="4">
        <v>169856</v>
      </c>
      <c r="E202" s="27">
        <f t="shared" si="28"/>
        <v>1147.68</v>
      </c>
      <c r="F202" s="23">
        <v>226</v>
      </c>
      <c r="G202" s="24">
        <f t="shared" si="29"/>
        <v>751.58</v>
      </c>
      <c r="H202" s="42">
        <f t="shared" si="25"/>
        <v>751.58</v>
      </c>
      <c r="I202" s="7">
        <f t="shared" si="26"/>
        <v>8493</v>
      </c>
      <c r="J202" s="7">
        <f t="shared" si="27"/>
        <v>33971</v>
      </c>
    </row>
    <row r="203" spans="1:10">
      <c r="A203" s="10">
        <v>408</v>
      </c>
      <c r="B203" s="10" t="s">
        <v>172</v>
      </c>
      <c r="C203" s="16">
        <v>75</v>
      </c>
      <c r="D203" s="4">
        <v>84663</v>
      </c>
      <c r="E203" s="27">
        <f t="shared" si="28"/>
        <v>1128.8399999999999</v>
      </c>
      <c r="F203" s="23">
        <v>123</v>
      </c>
      <c r="G203" s="24">
        <f t="shared" si="29"/>
        <v>688.32</v>
      </c>
      <c r="H203" s="42">
        <f t="shared" si="25"/>
        <v>688.32</v>
      </c>
      <c r="I203" s="7">
        <f t="shared" si="26"/>
        <v>4233</v>
      </c>
      <c r="J203" s="7">
        <f t="shared" si="27"/>
        <v>16933</v>
      </c>
    </row>
    <row r="204" spans="1:10">
      <c r="A204" s="10">
        <v>409</v>
      </c>
      <c r="B204" s="10" t="s">
        <v>173</v>
      </c>
      <c r="C204" s="16">
        <v>374</v>
      </c>
      <c r="D204" s="4">
        <v>460569</v>
      </c>
      <c r="E204" s="27">
        <f t="shared" si="28"/>
        <v>1231.47</v>
      </c>
      <c r="F204" s="23">
        <v>605</v>
      </c>
      <c r="G204" s="24">
        <f t="shared" si="29"/>
        <v>761.27</v>
      </c>
      <c r="H204" s="42">
        <f t="shared" si="25"/>
        <v>761.27</v>
      </c>
      <c r="I204" s="7">
        <f t="shared" si="26"/>
        <v>23028</v>
      </c>
      <c r="J204" s="7">
        <f t="shared" si="27"/>
        <v>92114</v>
      </c>
    </row>
    <row r="205" spans="1:10">
      <c r="A205" s="10">
        <v>410</v>
      </c>
      <c r="B205" s="10" t="s">
        <v>281</v>
      </c>
      <c r="C205" s="16">
        <v>70</v>
      </c>
      <c r="D205" s="4">
        <v>76448</v>
      </c>
      <c r="E205" s="27">
        <f t="shared" si="28"/>
        <v>1092.1099999999999</v>
      </c>
      <c r="F205" s="23">
        <v>111</v>
      </c>
      <c r="G205" s="24">
        <f t="shared" si="29"/>
        <v>688.72</v>
      </c>
      <c r="H205" s="42">
        <f t="shared" si="25"/>
        <v>688.72</v>
      </c>
      <c r="I205" s="7">
        <f t="shared" si="26"/>
        <v>3822</v>
      </c>
      <c r="J205" s="7">
        <f t="shared" si="27"/>
        <v>15290</v>
      </c>
    </row>
    <row r="206" spans="1:10">
      <c r="A206" s="10">
        <v>411</v>
      </c>
      <c r="B206" s="10" t="s">
        <v>174</v>
      </c>
      <c r="C206" s="16">
        <v>19</v>
      </c>
      <c r="D206" s="4">
        <v>22861</v>
      </c>
      <c r="E206" s="27">
        <f t="shared" si="28"/>
        <v>1203.21</v>
      </c>
      <c r="F206" s="23">
        <v>36</v>
      </c>
      <c r="G206" s="24">
        <f t="shared" si="29"/>
        <v>635.03</v>
      </c>
      <c r="H206" s="42">
        <f t="shared" si="25"/>
        <v>635.03</v>
      </c>
      <c r="I206" s="7">
        <f t="shared" si="26"/>
        <v>1143</v>
      </c>
      <c r="J206" s="7">
        <f t="shared" si="27"/>
        <v>4572</v>
      </c>
    </row>
    <row r="207" spans="1:10">
      <c r="A207" s="10">
        <v>412</v>
      </c>
      <c r="B207" s="10" t="s">
        <v>273</v>
      </c>
      <c r="C207" s="16">
        <v>56</v>
      </c>
      <c r="D207" s="4">
        <v>49840</v>
      </c>
      <c r="E207" s="27">
        <f t="shared" si="28"/>
        <v>890</v>
      </c>
      <c r="F207" s="23">
        <v>68</v>
      </c>
      <c r="G207" s="24">
        <f t="shared" si="29"/>
        <v>732.94</v>
      </c>
      <c r="H207" s="42">
        <f t="shared" si="25"/>
        <v>732.94</v>
      </c>
      <c r="I207" s="7">
        <f t="shared" si="26"/>
        <v>2492</v>
      </c>
      <c r="J207" s="7">
        <f t="shared" si="27"/>
        <v>9968</v>
      </c>
    </row>
    <row r="208" spans="1:10">
      <c r="A208" s="10">
        <v>413</v>
      </c>
      <c r="B208" s="10" t="s">
        <v>175</v>
      </c>
      <c r="C208" s="16">
        <v>406</v>
      </c>
      <c r="D208" s="4">
        <v>535058</v>
      </c>
      <c r="E208" s="27">
        <f t="shared" si="28"/>
        <v>1317.88</v>
      </c>
      <c r="F208" s="23">
        <v>629</v>
      </c>
      <c r="G208" s="24">
        <f t="shared" si="29"/>
        <v>850.65</v>
      </c>
      <c r="H208" s="42">
        <f t="shared" si="25"/>
        <v>850.65</v>
      </c>
      <c r="I208" s="7">
        <f t="shared" si="26"/>
        <v>26753</v>
      </c>
      <c r="J208" s="7">
        <f t="shared" si="27"/>
        <v>107012</v>
      </c>
    </row>
    <row r="209" spans="1:10">
      <c r="A209" s="10">
        <v>415</v>
      </c>
      <c r="B209" s="10" t="s">
        <v>176</v>
      </c>
      <c r="C209" s="16">
        <v>185</v>
      </c>
      <c r="D209" s="4">
        <v>200852</v>
      </c>
      <c r="E209" s="27">
        <f t="shared" si="28"/>
        <v>1085.69</v>
      </c>
      <c r="F209" s="23">
        <v>269</v>
      </c>
      <c r="G209" s="24">
        <f t="shared" si="29"/>
        <v>746.66</v>
      </c>
      <c r="H209" s="42">
        <f t="shared" si="25"/>
        <v>746.66</v>
      </c>
      <c r="I209" s="7">
        <f t="shared" si="26"/>
        <v>10043</v>
      </c>
      <c r="J209" s="7">
        <f t="shared" si="27"/>
        <v>40170</v>
      </c>
    </row>
    <row r="210" spans="1:10">
      <c r="A210" s="10">
        <v>416</v>
      </c>
      <c r="B210" s="10" t="s">
        <v>177</v>
      </c>
      <c r="C210" s="16">
        <v>97</v>
      </c>
      <c r="D210" s="4">
        <v>106321</v>
      </c>
      <c r="E210" s="27">
        <f t="shared" si="28"/>
        <v>1096.0899999999999</v>
      </c>
      <c r="F210" s="23">
        <v>179</v>
      </c>
      <c r="G210" s="24">
        <f t="shared" si="29"/>
        <v>593.97</v>
      </c>
      <c r="H210" s="42">
        <f t="shared" si="25"/>
        <v>593.97</v>
      </c>
      <c r="I210" s="7">
        <f t="shared" si="26"/>
        <v>5316</v>
      </c>
      <c r="J210" s="7">
        <f t="shared" si="27"/>
        <v>21264</v>
      </c>
    </row>
    <row r="211" spans="1:10">
      <c r="A211" s="10">
        <v>417</v>
      </c>
      <c r="B211" s="10" t="s">
        <v>178</v>
      </c>
      <c r="C211" s="16">
        <v>126</v>
      </c>
      <c r="D211" s="4">
        <v>127629</v>
      </c>
      <c r="E211" s="27">
        <f t="shared" si="28"/>
        <v>1012.93</v>
      </c>
      <c r="F211" s="23">
        <v>186</v>
      </c>
      <c r="G211" s="24">
        <f t="shared" si="29"/>
        <v>686.18</v>
      </c>
      <c r="H211" s="42">
        <f t="shared" si="25"/>
        <v>686.18</v>
      </c>
      <c r="I211" s="7">
        <f t="shared" si="26"/>
        <v>6381</v>
      </c>
      <c r="J211" s="7">
        <f t="shared" si="27"/>
        <v>25526</v>
      </c>
    </row>
    <row r="212" spans="1:10">
      <c r="A212" s="10">
        <v>418</v>
      </c>
      <c r="B212" s="10" t="s">
        <v>274</v>
      </c>
      <c r="C212" s="16">
        <v>213</v>
      </c>
      <c r="D212" s="4">
        <v>277294</v>
      </c>
      <c r="E212" s="27">
        <f t="shared" si="28"/>
        <v>1301.8499999999999</v>
      </c>
      <c r="F212" s="23">
        <v>418</v>
      </c>
      <c r="G212" s="24">
        <f t="shared" si="29"/>
        <v>663.38</v>
      </c>
      <c r="H212" s="42">
        <f t="shared" si="25"/>
        <v>663.38</v>
      </c>
      <c r="I212" s="7">
        <f t="shared" si="26"/>
        <v>13865</v>
      </c>
      <c r="J212" s="7">
        <f t="shared" si="27"/>
        <v>55459</v>
      </c>
    </row>
    <row r="213" spans="1:10">
      <c r="A213" s="10">
        <v>419</v>
      </c>
      <c r="B213" s="10" t="s">
        <v>179</v>
      </c>
      <c r="C213" s="16">
        <v>52</v>
      </c>
      <c r="D213" s="4">
        <v>53537</v>
      </c>
      <c r="E213" s="27">
        <f t="shared" si="28"/>
        <v>1029.56</v>
      </c>
      <c r="F213" s="23">
        <v>76</v>
      </c>
      <c r="G213" s="24">
        <f t="shared" si="29"/>
        <v>704.43</v>
      </c>
      <c r="H213" s="42">
        <f t="shared" si="25"/>
        <v>704.43</v>
      </c>
      <c r="I213" s="7">
        <f t="shared" si="26"/>
        <v>2677</v>
      </c>
      <c r="J213" s="7">
        <f t="shared" si="27"/>
        <v>10707</v>
      </c>
    </row>
    <row r="214" spans="1:10">
      <c r="A214" s="10">
        <v>420</v>
      </c>
      <c r="B214" s="10" t="s">
        <v>180</v>
      </c>
      <c r="C214" s="16">
        <v>107</v>
      </c>
      <c r="D214" s="4">
        <v>117608</v>
      </c>
      <c r="E214" s="27">
        <f t="shared" si="28"/>
        <v>1099.1400000000001</v>
      </c>
      <c r="F214" s="23">
        <v>166</v>
      </c>
      <c r="G214" s="24">
        <f t="shared" si="29"/>
        <v>708.48</v>
      </c>
      <c r="H214" s="42">
        <f t="shared" si="25"/>
        <v>708.48</v>
      </c>
      <c r="I214" s="7">
        <f t="shared" si="26"/>
        <v>5880</v>
      </c>
      <c r="J214" s="7">
        <f t="shared" si="27"/>
        <v>23522</v>
      </c>
    </row>
    <row r="215" spans="1:10">
      <c r="A215" s="10">
        <v>421</v>
      </c>
      <c r="B215" s="10" t="s">
        <v>181</v>
      </c>
      <c r="C215" s="16">
        <v>41</v>
      </c>
      <c r="D215" s="4">
        <v>43472</v>
      </c>
      <c r="E215" s="27">
        <f t="shared" si="28"/>
        <v>1060.29</v>
      </c>
      <c r="F215" s="23">
        <v>66</v>
      </c>
      <c r="G215" s="24">
        <f t="shared" si="29"/>
        <v>658.67</v>
      </c>
      <c r="H215" s="42">
        <f t="shared" si="25"/>
        <v>658.67</v>
      </c>
      <c r="I215" s="7">
        <f t="shared" si="26"/>
        <v>2174</v>
      </c>
      <c r="J215" s="7">
        <f t="shared" si="27"/>
        <v>8694</v>
      </c>
    </row>
    <row r="216" spans="1:10">
      <c r="A216" s="10">
        <v>422</v>
      </c>
      <c r="B216" s="10" t="s">
        <v>182</v>
      </c>
      <c r="C216" s="16">
        <v>43</v>
      </c>
      <c r="D216" s="4">
        <v>105499</v>
      </c>
      <c r="E216" s="27">
        <f t="shared" si="28"/>
        <v>2453.4699999999998</v>
      </c>
      <c r="F216" s="23">
        <v>62</v>
      </c>
      <c r="G216" s="24">
        <f t="shared" si="29"/>
        <v>1701.6</v>
      </c>
      <c r="H216" s="42">
        <f t="shared" si="25"/>
        <v>1701.6</v>
      </c>
      <c r="I216" s="7">
        <f t="shared" si="26"/>
        <v>5275</v>
      </c>
      <c r="J216" s="7">
        <f t="shared" si="27"/>
        <v>21100</v>
      </c>
    </row>
    <row r="217" spans="1:10">
      <c r="A217" s="10">
        <v>423</v>
      </c>
      <c r="B217" s="10" t="s">
        <v>183</v>
      </c>
      <c r="C217" s="16">
        <v>36</v>
      </c>
      <c r="D217" s="4">
        <v>38014</v>
      </c>
      <c r="E217" s="27">
        <f t="shared" si="28"/>
        <v>1055.94</v>
      </c>
      <c r="F217" s="23">
        <v>64</v>
      </c>
      <c r="G217" s="24">
        <f t="shared" si="29"/>
        <v>593.97</v>
      </c>
      <c r="H217" s="42">
        <f t="shared" si="25"/>
        <v>593.97</v>
      </c>
      <c r="I217" s="7">
        <f t="shared" si="26"/>
        <v>1901</v>
      </c>
      <c r="J217" s="7">
        <f t="shared" si="27"/>
        <v>7603</v>
      </c>
    </row>
    <row r="218" spans="1:10">
      <c r="A218" s="10">
        <v>426</v>
      </c>
      <c r="B218" s="10" t="s">
        <v>184</v>
      </c>
      <c r="C218" s="16">
        <v>32</v>
      </c>
      <c r="D218" s="4">
        <v>46807</v>
      </c>
      <c r="E218" s="27">
        <f t="shared" si="28"/>
        <v>1462.72</v>
      </c>
      <c r="F218" s="23">
        <v>56</v>
      </c>
      <c r="G218" s="24">
        <f t="shared" si="29"/>
        <v>835.84</v>
      </c>
      <c r="H218" s="42">
        <f t="shared" si="25"/>
        <v>835.84</v>
      </c>
      <c r="I218" s="7">
        <f t="shared" si="26"/>
        <v>2340</v>
      </c>
      <c r="J218" s="7">
        <f t="shared" si="27"/>
        <v>9361</v>
      </c>
    </row>
    <row r="219" spans="1:10">
      <c r="A219" s="10">
        <v>428</v>
      </c>
      <c r="B219" s="10" t="s">
        <v>185</v>
      </c>
      <c r="C219" s="16">
        <v>549</v>
      </c>
      <c r="D219" s="4">
        <v>820071</v>
      </c>
      <c r="E219" s="27">
        <f t="shared" si="28"/>
        <v>1493.75</v>
      </c>
      <c r="F219" s="23">
        <v>979</v>
      </c>
      <c r="G219" s="24">
        <f t="shared" si="29"/>
        <v>837.66</v>
      </c>
      <c r="H219" s="42">
        <f t="shared" si="25"/>
        <v>837.66</v>
      </c>
      <c r="I219" s="7">
        <f t="shared" si="26"/>
        <v>41004</v>
      </c>
      <c r="J219" s="7">
        <f t="shared" si="27"/>
        <v>164014</v>
      </c>
    </row>
    <row r="220" spans="1:10">
      <c r="A220" s="10">
        <v>429</v>
      </c>
      <c r="B220" s="10" t="s">
        <v>186</v>
      </c>
      <c r="C220" s="16">
        <v>33</v>
      </c>
      <c r="D220" s="4">
        <v>46119</v>
      </c>
      <c r="E220" s="27">
        <f t="shared" si="28"/>
        <v>1397.55</v>
      </c>
      <c r="F220" s="23">
        <v>67</v>
      </c>
      <c r="G220" s="24">
        <f t="shared" si="29"/>
        <v>688.34</v>
      </c>
      <c r="H220" s="42">
        <f t="shared" si="25"/>
        <v>688.34</v>
      </c>
      <c r="I220" s="7">
        <f t="shared" si="26"/>
        <v>2306</v>
      </c>
      <c r="J220" s="7">
        <f t="shared" si="27"/>
        <v>9224</v>
      </c>
    </row>
    <row r="221" spans="1:10">
      <c r="A221" s="10">
        <v>430</v>
      </c>
      <c r="B221" s="10" t="s">
        <v>275</v>
      </c>
      <c r="C221" s="16">
        <v>146</v>
      </c>
      <c r="D221" s="4">
        <v>175534</v>
      </c>
      <c r="E221" s="27">
        <f t="shared" si="28"/>
        <v>1202.29</v>
      </c>
      <c r="F221" s="23">
        <v>219</v>
      </c>
      <c r="G221" s="24">
        <f t="shared" si="29"/>
        <v>801.53</v>
      </c>
      <c r="H221" s="42">
        <f t="shared" si="25"/>
        <v>801.53</v>
      </c>
      <c r="I221" s="7">
        <f t="shared" si="26"/>
        <v>8777</v>
      </c>
      <c r="J221" s="7">
        <f t="shared" si="27"/>
        <v>35107</v>
      </c>
    </row>
    <row r="222" spans="1:10">
      <c r="A222" s="10">
        <v>431</v>
      </c>
      <c r="B222" s="10" t="s">
        <v>187</v>
      </c>
      <c r="C222" s="16">
        <v>85</v>
      </c>
      <c r="D222" s="4">
        <v>139899</v>
      </c>
      <c r="E222" s="27">
        <f t="shared" si="28"/>
        <v>1645.87</v>
      </c>
      <c r="F222" s="23">
        <v>149</v>
      </c>
      <c r="G222" s="24">
        <f t="shared" si="29"/>
        <v>938.92</v>
      </c>
      <c r="H222" s="42">
        <f t="shared" si="25"/>
        <v>938.92</v>
      </c>
      <c r="I222" s="7">
        <f t="shared" si="26"/>
        <v>6995</v>
      </c>
      <c r="J222" s="7">
        <f t="shared" si="27"/>
        <v>27980</v>
      </c>
    </row>
    <row r="223" spans="1:10">
      <c r="A223" s="10">
        <v>432</v>
      </c>
      <c r="B223" s="10" t="s">
        <v>188</v>
      </c>
      <c r="C223" s="16">
        <v>23</v>
      </c>
      <c r="D223" s="4">
        <v>20789</v>
      </c>
      <c r="E223" s="27">
        <f t="shared" si="28"/>
        <v>903.87</v>
      </c>
      <c r="F223" s="23">
        <v>35</v>
      </c>
      <c r="G223" s="24">
        <f t="shared" si="29"/>
        <v>593.97</v>
      </c>
      <c r="H223" s="42">
        <f t="shared" si="25"/>
        <v>593.97</v>
      </c>
      <c r="I223" s="7">
        <f t="shared" si="26"/>
        <v>1039</v>
      </c>
      <c r="J223" s="7">
        <f t="shared" si="27"/>
        <v>4158</v>
      </c>
    </row>
    <row r="224" spans="1:10">
      <c r="A224" s="10">
        <v>434</v>
      </c>
      <c r="B224" s="10" t="s">
        <v>189</v>
      </c>
      <c r="C224" s="16">
        <v>143</v>
      </c>
      <c r="D224" s="4">
        <v>162529</v>
      </c>
      <c r="E224" s="27">
        <f t="shared" si="28"/>
        <v>1136.57</v>
      </c>
      <c r="F224" s="23">
        <v>238</v>
      </c>
      <c r="G224" s="24">
        <f t="shared" si="29"/>
        <v>682.89</v>
      </c>
      <c r="H224" s="42">
        <f t="shared" si="25"/>
        <v>682.89</v>
      </c>
      <c r="I224" s="7">
        <f t="shared" si="26"/>
        <v>8126</v>
      </c>
      <c r="J224" s="7">
        <f t="shared" si="27"/>
        <v>32506</v>
      </c>
    </row>
    <row r="225" spans="1:10">
      <c r="A225" s="10">
        <v>435</v>
      </c>
      <c r="B225" s="10" t="s">
        <v>190</v>
      </c>
      <c r="C225" s="16">
        <v>160</v>
      </c>
      <c r="D225" s="4">
        <v>209436</v>
      </c>
      <c r="E225" s="27">
        <f t="shared" si="28"/>
        <v>1308.98</v>
      </c>
      <c r="F225" s="23">
        <v>304</v>
      </c>
      <c r="G225" s="24">
        <f t="shared" si="29"/>
        <v>688.93</v>
      </c>
      <c r="H225" s="42">
        <f t="shared" si="25"/>
        <v>688.93</v>
      </c>
      <c r="I225" s="7">
        <f t="shared" si="26"/>
        <v>10472</v>
      </c>
      <c r="J225" s="7">
        <f t="shared" si="27"/>
        <v>41887</v>
      </c>
    </row>
    <row r="226" spans="1:10">
      <c r="A226" s="10">
        <v>436</v>
      </c>
      <c r="B226" s="10" t="s">
        <v>191</v>
      </c>
      <c r="C226" s="16">
        <v>121</v>
      </c>
      <c r="D226" s="4">
        <v>152973</v>
      </c>
      <c r="E226" s="27">
        <f t="shared" si="28"/>
        <v>1264.24</v>
      </c>
      <c r="F226" s="23">
        <v>203</v>
      </c>
      <c r="G226" s="24">
        <f t="shared" si="29"/>
        <v>753.56</v>
      </c>
      <c r="H226" s="42">
        <f t="shared" si="25"/>
        <v>753.56</v>
      </c>
      <c r="I226" s="7">
        <f t="shared" si="26"/>
        <v>7649</v>
      </c>
      <c r="J226" s="7">
        <f t="shared" si="27"/>
        <v>30595</v>
      </c>
    </row>
    <row r="227" spans="1:10">
      <c r="A227" s="11">
        <v>437</v>
      </c>
      <c r="B227" s="11" t="s">
        <v>192</v>
      </c>
      <c r="C227" s="17">
        <v>472</v>
      </c>
      <c r="D227" s="18">
        <v>521037</v>
      </c>
      <c r="E227" s="21">
        <f t="shared" si="28"/>
        <v>1103.8900000000001</v>
      </c>
      <c r="F227" s="25">
        <v>797</v>
      </c>
      <c r="G227" s="26" t="s">
        <v>295</v>
      </c>
      <c r="H227" s="42">
        <f>E227</f>
        <v>1103.8900000000001</v>
      </c>
      <c r="I227" s="22">
        <f t="shared" si="26"/>
        <v>26052</v>
      </c>
      <c r="J227" s="22">
        <f t="shared" si="27"/>
        <v>104207</v>
      </c>
    </row>
    <row r="228" spans="1:10">
      <c r="A228" s="10">
        <v>438</v>
      </c>
      <c r="B228" s="10" t="s">
        <v>193</v>
      </c>
      <c r="C228" s="16">
        <v>45</v>
      </c>
      <c r="D228" s="4">
        <v>60344</v>
      </c>
      <c r="E228" s="27">
        <f t="shared" si="28"/>
        <v>1340.98</v>
      </c>
      <c r="F228" s="23">
        <v>67</v>
      </c>
      <c r="G228" s="24">
        <f t="shared" si="29"/>
        <v>900.66</v>
      </c>
      <c r="H228" s="42">
        <f>G228</f>
        <v>900.66</v>
      </c>
      <c r="I228" s="7">
        <f t="shared" si="26"/>
        <v>3017</v>
      </c>
      <c r="J228" s="7">
        <f t="shared" si="27"/>
        <v>12069</v>
      </c>
    </row>
    <row r="229" spans="1:10">
      <c r="A229" s="10">
        <v>439</v>
      </c>
      <c r="B229" s="10" t="s">
        <v>194</v>
      </c>
      <c r="C229" s="16">
        <v>68</v>
      </c>
      <c r="D229" s="4">
        <v>68489</v>
      </c>
      <c r="E229" s="27">
        <f t="shared" si="28"/>
        <v>1007.19</v>
      </c>
      <c r="F229" s="23">
        <v>99</v>
      </c>
      <c r="G229" s="24">
        <f t="shared" si="29"/>
        <v>691.81</v>
      </c>
      <c r="H229" s="42">
        <f>G229</f>
        <v>691.81</v>
      </c>
      <c r="I229" s="7">
        <f t="shared" si="26"/>
        <v>3424</v>
      </c>
      <c r="J229" s="7">
        <f t="shared" si="27"/>
        <v>13698</v>
      </c>
    </row>
    <row r="230" spans="1:10">
      <c r="A230" s="10">
        <v>440</v>
      </c>
      <c r="B230" s="10" t="s">
        <v>195</v>
      </c>
      <c r="C230" s="16">
        <v>97</v>
      </c>
      <c r="D230" s="4">
        <v>112900</v>
      </c>
      <c r="E230" s="27">
        <f t="shared" si="28"/>
        <v>1163.92</v>
      </c>
      <c r="F230" s="23">
        <v>166</v>
      </c>
      <c r="G230" s="24">
        <f t="shared" si="29"/>
        <v>680.12</v>
      </c>
      <c r="H230" s="42">
        <f>G230</f>
        <v>680.12</v>
      </c>
      <c r="I230" s="7">
        <f t="shared" si="26"/>
        <v>5645</v>
      </c>
      <c r="J230" s="7">
        <f t="shared" si="27"/>
        <v>22580</v>
      </c>
    </row>
    <row r="231" spans="1:10">
      <c r="A231" s="11">
        <v>443</v>
      </c>
      <c r="B231" s="11" t="s">
        <v>196</v>
      </c>
      <c r="C231" s="17">
        <v>1103</v>
      </c>
      <c r="D231" s="18">
        <v>1572825</v>
      </c>
      <c r="E231" s="21">
        <f t="shared" si="28"/>
        <v>1425.95</v>
      </c>
      <c r="F231" s="25">
        <v>2211</v>
      </c>
      <c r="G231" s="26" t="s">
        <v>295</v>
      </c>
      <c r="H231" s="42">
        <f>E231</f>
        <v>1425.95</v>
      </c>
      <c r="I231" s="22">
        <f t="shared" si="26"/>
        <v>78641</v>
      </c>
      <c r="J231" s="22">
        <f t="shared" si="27"/>
        <v>314565</v>
      </c>
    </row>
    <row r="232" spans="1:10">
      <c r="A232" s="10">
        <v>444</v>
      </c>
      <c r="B232" s="10" t="s">
        <v>197</v>
      </c>
      <c r="C232" s="16">
        <v>32</v>
      </c>
      <c r="D232" s="4">
        <v>40246</v>
      </c>
      <c r="E232" s="27">
        <f t="shared" si="28"/>
        <v>1257.69</v>
      </c>
      <c r="F232" s="23">
        <v>55</v>
      </c>
      <c r="G232" s="24">
        <f t="shared" si="29"/>
        <v>731.75</v>
      </c>
      <c r="H232" s="42">
        <f>G232</f>
        <v>731.75</v>
      </c>
      <c r="I232" s="7">
        <f t="shared" si="26"/>
        <v>2012</v>
      </c>
      <c r="J232" s="7">
        <f t="shared" si="27"/>
        <v>8049</v>
      </c>
    </row>
    <row r="233" spans="1:10">
      <c r="A233" s="10">
        <v>445</v>
      </c>
      <c r="B233" s="10" t="s">
        <v>198</v>
      </c>
      <c r="C233" s="16">
        <v>478</v>
      </c>
      <c r="D233" s="4">
        <v>582835</v>
      </c>
      <c r="E233" s="27">
        <f t="shared" si="28"/>
        <v>1219.32</v>
      </c>
      <c r="F233" s="23">
        <v>723</v>
      </c>
      <c r="G233" s="24">
        <f t="shared" si="29"/>
        <v>806.13</v>
      </c>
      <c r="H233" s="42">
        <f t="shared" ref="H233:H239" si="30">G233</f>
        <v>806.13</v>
      </c>
      <c r="I233" s="7">
        <f t="shared" si="26"/>
        <v>29142</v>
      </c>
      <c r="J233" s="7">
        <f t="shared" si="27"/>
        <v>116567</v>
      </c>
    </row>
    <row r="234" spans="1:10">
      <c r="A234" s="10">
        <v>446</v>
      </c>
      <c r="B234" s="10" t="s">
        <v>199</v>
      </c>
      <c r="C234" s="16">
        <v>466</v>
      </c>
      <c r="D234" s="4">
        <v>524150</v>
      </c>
      <c r="E234" s="27">
        <f t="shared" si="28"/>
        <v>1124.79</v>
      </c>
      <c r="F234" s="23">
        <v>674</v>
      </c>
      <c r="G234" s="24">
        <f t="shared" si="29"/>
        <v>777.67</v>
      </c>
      <c r="H234" s="42">
        <f t="shared" si="30"/>
        <v>777.67</v>
      </c>
      <c r="I234" s="7">
        <f t="shared" si="26"/>
        <v>26208</v>
      </c>
      <c r="J234" s="7">
        <f t="shared" si="27"/>
        <v>104830</v>
      </c>
    </row>
    <row r="235" spans="1:10">
      <c r="A235" s="10">
        <v>447</v>
      </c>
      <c r="B235" s="10" t="s">
        <v>200</v>
      </c>
      <c r="C235" s="16">
        <v>209</v>
      </c>
      <c r="D235" s="4">
        <v>262295</v>
      </c>
      <c r="E235" s="27">
        <f t="shared" si="28"/>
        <v>1255</v>
      </c>
      <c r="F235" s="23">
        <v>294</v>
      </c>
      <c r="G235" s="24">
        <f t="shared" si="29"/>
        <v>892.16</v>
      </c>
      <c r="H235" s="42">
        <f t="shared" si="30"/>
        <v>892.16</v>
      </c>
      <c r="I235" s="7">
        <f t="shared" si="26"/>
        <v>13115</v>
      </c>
      <c r="J235" s="7">
        <f t="shared" si="27"/>
        <v>52459</v>
      </c>
    </row>
    <row r="236" spans="1:10">
      <c r="A236" s="10">
        <v>448</v>
      </c>
      <c r="B236" s="10" t="s">
        <v>201</v>
      </c>
      <c r="C236" s="16">
        <v>37</v>
      </c>
      <c r="D236" s="4">
        <v>30772</v>
      </c>
      <c r="E236" s="27">
        <f t="shared" si="28"/>
        <v>831.68</v>
      </c>
      <c r="F236" s="23">
        <v>49</v>
      </c>
      <c r="G236" s="24">
        <f t="shared" si="29"/>
        <v>628</v>
      </c>
      <c r="H236" s="42">
        <f t="shared" si="30"/>
        <v>628</v>
      </c>
      <c r="I236" s="7">
        <f t="shared" si="26"/>
        <v>1539</v>
      </c>
      <c r="J236" s="7">
        <f t="shared" si="27"/>
        <v>6154</v>
      </c>
    </row>
    <row r="237" spans="1:10">
      <c r="A237" s="10">
        <v>449</v>
      </c>
      <c r="B237" s="10" t="s">
        <v>202</v>
      </c>
      <c r="C237" s="16">
        <v>60</v>
      </c>
      <c r="D237" s="4">
        <v>61179</v>
      </c>
      <c r="E237" s="27">
        <f t="shared" si="28"/>
        <v>1019.65</v>
      </c>
      <c r="F237" s="23">
        <v>103</v>
      </c>
      <c r="G237" s="24">
        <f t="shared" si="29"/>
        <v>593.97</v>
      </c>
      <c r="H237" s="42">
        <f t="shared" si="30"/>
        <v>593.97</v>
      </c>
      <c r="I237" s="7">
        <f t="shared" si="26"/>
        <v>3059</v>
      </c>
      <c r="J237" s="7">
        <f t="shared" si="27"/>
        <v>12236</v>
      </c>
    </row>
    <row r="238" spans="1:10">
      <c r="A238" s="10">
        <v>450</v>
      </c>
      <c r="B238" s="10" t="s">
        <v>203</v>
      </c>
      <c r="C238" s="16">
        <v>376</v>
      </c>
      <c r="D238" s="4">
        <v>377172</v>
      </c>
      <c r="E238" s="27">
        <f t="shared" si="28"/>
        <v>1003.12</v>
      </c>
      <c r="F238" s="23">
        <v>572</v>
      </c>
      <c r="G238" s="24">
        <f t="shared" si="29"/>
        <v>659.39</v>
      </c>
      <c r="H238" s="42">
        <f t="shared" si="30"/>
        <v>659.39</v>
      </c>
      <c r="I238" s="7">
        <f t="shared" si="26"/>
        <v>18859</v>
      </c>
      <c r="J238" s="7">
        <f t="shared" si="27"/>
        <v>75434</v>
      </c>
    </row>
    <row r="239" spans="1:10">
      <c r="A239" s="10">
        <v>452</v>
      </c>
      <c r="B239" s="10" t="s">
        <v>276</v>
      </c>
      <c r="C239" s="16">
        <v>74</v>
      </c>
      <c r="D239" s="4">
        <v>104338</v>
      </c>
      <c r="E239" s="27">
        <f t="shared" si="28"/>
        <v>1409.97</v>
      </c>
      <c r="F239" s="23">
        <v>134</v>
      </c>
      <c r="G239" s="24">
        <f t="shared" si="29"/>
        <v>778.64</v>
      </c>
      <c r="H239" s="42">
        <f t="shared" si="30"/>
        <v>778.64</v>
      </c>
      <c r="I239" s="7">
        <f t="shared" si="26"/>
        <v>5217</v>
      </c>
      <c r="J239" s="7">
        <f t="shared" si="27"/>
        <v>20868</v>
      </c>
    </row>
    <row r="240" spans="1:10">
      <c r="A240" s="11">
        <v>453</v>
      </c>
      <c r="B240" s="11" t="s">
        <v>204</v>
      </c>
      <c r="C240" s="17">
        <v>908</v>
      </c>
      <c r="D240" s="18">
        <v>1182262</v>
      </c>
      <c r="E240" s="21">
        <f t="shared" si="28"/>
        <v>1302.05</v>
      </c>
      <c r="F240" s="25">
        <v>1251</v>
      </c>
      <c r="G240" s="26" t="s">
        <v>295</v>
      </c>
      <c r="H240" s="42">
        <f>E240</f>
        <v>1302.05</v>
      </c>
      <c r="I240" s="22">
        <f t="shared" si="26"/>
        <v>59113</v>
      </c>
      <c r="J240" s="22">
        <f t="shared" si="27"/>
        <v>236452</v>
      </c>
    </row>
    <row r="241" spans="1:10">
      <c r="A241" s="10">
        <v>454</v>
      </c>
      <c r="B241" s="10" t="s">
        <v>205</v>
      </c>
      <c r="C241" s="16">
        <v>40</v>
      </c>
      <c r="D241" s="4">
        <v>52981</v>
      </c>
      <c r="E241" s="27">
        <f t="shared" si="28"/>
        <v>1324.53</v>
      </c>
      <c r="F241" s="23">
        <v>72</v>
      </c>
      <c r="G241" s="24">
        <f t="shared" si="29"/>
        <v>735.85</v>
      </c>
      <c r="H241" s="42">
        <f>G241</f>
        <v>735.85</v>
      </c>
      <c r="I241" s="7">
        <f t="shared" si="26"/>
        <v>2649</v>
      </c>
      <c r="J241" s="7">
        <f t="shared" si="27"/>
        <v>10596</v>
      </c>
    </row>
    <row r="242" spans="1:10">
      <c r="A242" s="10">
        <v>456</v>
      </c>
      <c r="B242" s="10" t="s">
        <v>206</v>
      </c>
      <c r="C242" s="16">
        <v>59</v>
      </c>
      <c r="D242" s="4">
        <v>68513</v>
      </c>
      <c r="E242" s="27">
        <f t="shared" si="28"/>
        <v>1161.24</v>
      </c>
      <c r="F242" s="23">
        <v>86</v>
      </c>
      <c r="G242" s="24">
        <f t="shared" si="29"/>
        <v>796.66</v>
      </c>
      <c r="H242" s="42">
        <f>G242</f>
        <v>796.66</v>
      </c>
      <c r="I242" s="7">
        <f t="shared" si="26"/>
        <v>3426</v>
      </c>
      <c r="J242" s="7">
        <f t="shared" si="27"/>
        <v>13703</v>
      </c>
    </row>
    <row r="243" spans="1:10">
      <c r="A243" s="11">
        <v>457</v>
      </c>
      <c r="B243" s="11" t="s">
        <v>207</v>
      </c>
      <c r="C243" s="17">
        <v>1527</v>
      </c>
      <c r="D243" s="18">
        <v>2177343</v>
      </c>
      <c r="E243" s="21">
        <f t="shared" si="28"/>
        <v>1425.9</v>
      </c>
      <c r="F243" s="25">
        <v>2548</v>
      </c>
      <c r="G243" s="26" t="s">
        <v>295</v>
      </c>
      <c r="H243" s="42">
        <f>E243</f>
        <v>1425.9</v>
      </c>
      <c r="I243" s="22">
        <f t="shared" si="26"/>
        <v>108867</v>
      </c>
      <c r="J243" s="22">
        <f t="shared" si="27"/>
        <v>435469</v>
      </c>
    </row>
    <row r="244" spans="1:10">
      <c r="A244" s="10">
        <v>458</v>
      </c>
      <c r="B244" s="10" t="s">
        <v>208</v>
      </c>
      <c r="C244" s="16">
        <v>149</v>
      </c>
      <c r="D244" s="4">
        <v>124140</v>
      </c>
      <c r="E244" s="27">
        <f t="shared" si="28"/>
        <v>833.15</v>
      </c>
      <c r="F244" s="23">
        <v>209</v>
      </c>
      <c r="G244" s="24">
        <f t="shared" si="29"/>
        <v>593.97</v>
      </c>
      <c r="H244" s="42">
        <f>G244</f>
        <v>593.97</v>
      </c>
      <c r="I244" s="7">
        <f t="shared" si="26"/>
        <v>6207</v>
      </c>
      <c r="J244" s="7">
        <f t="shared" si="27"/>
        <v>24828</v>
      </c>
    </row>
    <row r="245" spans="1:10">
      <c r="A245" s="10">
        <v>459</v>
      </c>
      <c r="B245" s="10" t="s">
        <v>209</v>
      </c>
      <c r="C245" s="16">
        <v>40</v>
      </c>
      <c r="D245" s="4">
        <v>49705</v>
      </c>
      <c r="E245" s="27">
        <f t="shared" si="28"/>
        <v>1242.6300000000001</v>
      </c>
      <c r="F245" s="23">
        <v>71</v>
      </c>
      <c r="G245" s="24">
        <f t="shared" si="29"/>
        <v>700.07</v>
      </c>
      <c r="H245" s="42">
        <f t="shared" ref="H245:H259" si="31">G245</f>
        <v>700.07</v>
      </c>
      <c r="I245" s="7">
        <f t="shared" si="26"/>
        <v>2485</v>
      </c>
      <c r="J245" s="7">
        <f t="shared" si="27"/>
        <v>9941</v>
      </c>
    </row>
    <row r="246" spans="1:10">
      <c r="A246" s="10">
        <v>460</v>
      </c>
      <c r="B246" s="10" t="s">
        <v>210</v>
      </c>
      <c r="C246" s="16">
        <v>73</v>
      </c>
      <c r="D246" s="4">
        <v>77811</v>
      </c>
      <c r="E246" s="27">
        <f t="shared" si="28"/>
        <v>1065.9000000000001</v>
      </c>
      <c r="F246" s="23">
        <v>131</v>
      </c>
      <c r="G246" s="24">
        <f t="shared" si="29"/>
        <v>593.98</v>
      </c>
      <c r="H246" s="42">
        <f t="shared" si="31"/>
        <v>593.98</v>
      </c>
      <c r="I246" s="7">
        <f t="shared" si="26"/>
        <v>3891</v>
      </c>
      <c r="J246" s="7">
        <f t="shared" si="27"/>
        <v>15562</v>
      </c>
    </row>
    <row r="247" spans="1:10">
      <c r="A247" s="10">
        <v>461</v>
      </c>
      <c r="B247" s="10" t="s">
        <v>211</v>
      </c>
      <c r="C247" s="16">
        <v>126</v>
      </c>
      <c r="D247" s="4">
        <v>161768</v>
      </c>
      <c r="E247" s="27">
        <f t="shared" si="28"/>
        <v>1283.8699999999999</v>
      </c>
      <c r="F247" s="23">
        <v>201</v>
      </c>
      <c r="G247" s="24">
        <f t="shared" si="29"/>
        <v>804.82</v>
      </c>
      <c r="H247" s="42">
        <f t="shared" si="31"/>
        <v>804.82</v>
      </c>
      <c r="I247" s="7">
        <f t="shared" si="26"/>
        <v>8088</v>
      </c>
      <c r="J247" s="7">
        <f t="shared" si="27"/>
        <v>32354</v>
      </c>
    </row>
    <row r="248" spans="1:10">
      <c r="A248" s="10">
        <v>462</v>
      </c>
      <c r="B248" s="10" t="s">
        <v>212</v>
      </c>
      <c r="C248" s="16">
        <v>72</v>
      </c>
      <c r="D248" s="4">
        <v>82120</v>
      </c>
      <c r="E248" s="27">
        <f t="shared" si="28"/>
        <v>1140.56</v>
      </c>
      <c r="F248" s="23">
        <v>108</v>
      </c>
      <c r="G248" s="24">
        <f t="shared" si="29"/>
        <v>760.37</v>
      </c>
      <c r="H248" s="42">
        <f t="shared" si="31"/>
        <v>760.37</v>
      </c>
      <c r="I248" s="7">
        <f t="shared" si="26"/>
        <v>4106</v>
      </c>
      <c r="J248" s="7">
        <f t="shared" si="27"/>
        <v>16424</v>
      </c>
    </row>
    <row r="249" spans="1:10">
      <c r="A249" s="10">
        <v>463</v>
      </c>
      <c r="B249" s="10" t="s">
        <v>213</v>
      </c>
      <c r="C249" s="16">
        <v>38</v>
      </c>
      <c r="D249" s="4">
        <v>51835</v>
      </c>
      <c r="E249" s="27">
        <f t="shared" si="28"/>
        <v>1364.08</v>
      </c>
      <c r="F249" s="23">
        <v>72</v>
      </c>
      <c r="G249" s="24">
        <f t="shared" si="29"/>
        <v>719.93</v>
      </c>
      <c r="H249" s="42">
        <f t="shared" si="31"/>
        <v>719.93</v>
      </c>
      <c r="I249" s="7">
        <f t="shared" si="26"/>
        <v>2592</v>
      </c>
      <c r="J249" s="7">
        <f t="shared" si="27"/>
        <v>10367</v>
      </c>
    </row>
    <row r="250" spans="1:10">
      <c r="A250" s="10">
        <v>464</v>
      </c>
      <c r="B250" s="10" t="s">
        <v>214</v>
      </c>
      <c r="C250" s="16">
        <v>124</v>
      </c>
      <c r="D250" s="4">
        <v>175580</v>
      </c>
      <c r="E250" s="27">
        <f t="shared" si="28"/>
        <v>1415.97</v>
      </c>
      <c r="F250" s="23">
        <v>264</v>
      </c>
      <c r="G250" s="24">
        <f t="shared" si="29"/>
        <v>665.08</v>
      </c>
      <c r="H250" s="42">
        <f t="shared" si="31"/>
        <v>665.08</v>
      </c>
      <c r="I250" s="7">
        <f t="shared" si="26"/>
        <v>8779</v>
      </c>
      <c r="J250" s="7">
        <f t="shared" si="27"/>
        <v>35116</v>
      </c>
    </row>
    <row r="251" spans="1:10">
      <c r="A251" s="10">
        <v>465</v>
      </c>
      <c r="B251" s="10" t="s">
        <v>215</v>
      </c>
      <c r="C251" s="16">
        <v>466</v>
      </c>
      <c r="D251" s="4">
        <v>543598</v>
      </c>
      <c r="E251" s="27">
        <f t="shared" si="28"/>
        <v>1166.52</v>
      </c>
      <c r="F251" s="23">
        <v>716</v>
      </c>
      <c r="G251" s="24">
        <f t="shared" si="29"/>
        <v>759.22</v>
      </c>
      <c r="H251" s="42">
        <f t="shared" si="31"/>
        <v>759.22</v>
      </c>
      <c r="I251" s="7">
        <f t="shared" si="26"/>
        <v>27180</v>
      </c>
      <c r="J251" s="7">
        <f t="shared" si="27"/>
        <v>108720</v>
      </c>
    </row>
    <row r="252" spans="1:10">
      <c r="A252" s="10">
        <v>466</v>
      </c>
      <c r="B252" s="10" t="s">
        <v>277</v>
      </c>
      <c r="C252" s="16">
        <v>109</v>
      </c>
      <c r="D252" s="4">
        <v>145731</v>
      </c>
      <c r="E252" s="27">
        <f t="shared" si="28"/>
        <v>1336.98</v>
      </c>
      <c r="F252" s="23">
        <v>203</v>
      </c>
      <c r="G252" s="24">
        <f t="shared" si="29"/>
        <v>717.89</v>
      </c>
      <c r="H252" s="42">
        <f t="shared" si="31"/>
        <v>717.89</v>
      </c>
      <c r="I252" s="7">
        <f t="shared" si="26"/>
        <v>7287</v>
      </c>
      <c r="J252" s="7">
        <f t="shared" si="27"/>
        <v>29146</v>
      </c>
    </row>
    <row r="253" spans="1:10">
      <c r="A253" s="10">
        <v>467</v>
      </c>
      <c r="B253" s="10" t="s">
        <v>216</v>
      </c>
      <c r="C253" s="16">
        <v>72</v>
      </c>
      <c r="D253" s="4">
        <v>97887</v>
      </c>
      <c r="E253" s="27">
        <f t="shared" si="28"/>
        <v>1359.54</v>
      </c>
      <c r="F253" s="23">
        <v>127</v>
      </c>
      <c r="G253" s="24">
        <f t="shared" si="29"/>
        <v>770.76</v>
      </c>
      <c r="H253" s="42">
        <f t="shared" si="31"/>
        <v>770.76</v>
      </c>
      <c r="I253" s="7">
        <f t="shared" si="26"/>
        <v>4894</v>
      </c>
      <c r="J253" s="7">
        <f t="shared" si="27"/>
        <v>19577</v>
      </c>
    </row>
    <row r="254" spans="1:10">
      <c r="A254" s="10">
        <v>468</v>
      </c>
      <c r="B254" s="10" t="s">
        <v>217</v>
      </c>
      <c r="C254" s="16">
        <v>4</v>
      </c>
      <c r="D254" s="4">
        <v>10381</v>
      </c>
      <c r="E254" s="27">
        <f t="shared" si="28"/>
        <v>2595.25</v>
      </c>
      <c r="F254" s="23">
        <v>14</v>
      </c>
      <c r="G254" s="24">
        <f t="shared" si="29"/>
        <v>741.5</v>
      </c>
      <c r="H254" s="42">
        <f t="shared" si="31"/>
        <v>741.5</v>
      </c>
      <c r="I254" s="7">
        <f t="shared" si="26"/>
        <v>519</v>
      </c>
      <c r="J254" s="7">
        <f t="shared" si="27"/>
        <v>2076</v>
      </c>
    </row>
    <row r="255" spans="1:10">
      <c r="A255" s="10">
        <v>469</v>
      </c>
      <c r="B255" s="10" t="s">
        <v>218</v>
      </c>
      <c r="C255" s="16">
        <v>152</v>
      </c>
      <c r="D255" s="4">
        <v>155621</v>
      </c>
      <c r="E255" s="27">
        <f t="shared" si="28"/>
        <v>1023.82</v>
      </c>
      <c r="F255" s="23">
        <v>262</v>
      </c>
      <c r="G255" s="24">
        <f t="shared" si="29"/>
        <v>593.97</v>
      </c>
      <c r="H255" s="42">
        <f t="shared" si="31"/>
        <v>593.97</v>
      </c>
      <c r="I255" s="7">
        <f t="shared" ref="I255:I292" si="32">D255*0.05</f>
        <v>7781</v>
      </c>
      <c r="J255" s="7">
        <f t="shared" ref="J255:J292" si="33">D255*0.2</f>
        <v>31124</v>
      </c>
    </row>
    <row r="256" spans="1:10">
      <c r="A256" s="10">
        <v>470</v>
      </c>
      <c r="B256" s="10" t="s">
        <v>219</v>
      </c>
      <c r="C256" s="16">
        <v>548</v>
      </c>
      <c r="D256" s="4">
        <v>729679</v>
      </c>
      <c r="E256" s="27">
        <f t="shared" ref="E256:E292" si="34">D256/C256</f>
        <v>1331.53</v>
      </c>
      <c r="F256" s="23">
        <v>896</v>
      </c>
      <c r="G256" s="24">
        <f t="shared" ref="G256:G291" si="35">D256/F256</f>
        <v>814.37</v>
      </c>
      <c r="H256" s="42">
        <f t="shared" si="31"/>
        <v>814.37</v>
      </c>
      <c r="I256" s="7">
        <f t="shared" si="32"/>
        <v>36484</v>
      </c>
      <c r="J256" s="7">
        <f t="shared" si="33"/>
        <v>145936</v>
      </c>
    </row>
    <row r="257" spans="1:10">
      <c r="A257" s="10">
        <v>471</v>
      </c>
      <c r="B257" s="10" t="s">
        <v>220</v>
      </c>
      <c r="C257" s="16">
        <v>28</v>
      </c>
      <c r="D257" s="4">
        <v>29327</v>
      </c>
      <c r="E257" s="27">
        <f t="shared" si="34"/>
        <v>1047.3900000000001</v>
      </c>
      <c r="F257" s="23">
        <v>36</v>
      </c>
      <c r="G257" s="24">
        <f t="shared" si="35"/>
        <v>814.64</v>
      </c>
      <c r="H257" s="42">
        <f t="shared" si="31"/>
        <v>814.64</v>
      </c>
      <c r="I257" s="7">
        <f t="shared" si="32"/>
        <v>1466</v>
      </c>
      <c r="J257" s="7">
        <f t="shared" si="33"/>
        <v>5865</v>
      </c>
    </row>
    <row r="258" spans="1:10">
      <c r="A258" s="10">
        <v>473</v>
      </c>
      <c r="B258" s="10" t="s">
        <v>221</v>
      </c>
      <c r="C258" s="16">
        <v>106</v>
      </c>
      <c r="D258" s="4">
        <v>121604</v>
      </c>
      <c r="E258" s="27">
        <f t="shared" si="34"/>
        <v>1147.21</v>
      </c>
      <c r="F258" s="23">
        <v>182</v>
      </c>
      <c r="G258" s="24">
        <f t="shared" si="35"/>
        <v>668.15</v>
      </c>
      <c r="H258" s="42">
        <f t="shared" si="31"/>
        <v>668.15</v>
      </c>
      <c r="I258" s="7">
        <f t="shared" si="32"/>
        <v>6080</v>
      </c>
      <c r="J258" s="7">
        <f t="shared" si="33"/>
        <v>24321</v>
      </c>
    </row>
    <row r="259" spans="1:10">
      <c r="A259" s="10">
        <v>474</v>
      </c>
      <c r="B259" s="10" t="s">
        <v>222</v>
      </c>
      <c r="C259" s="16">
        <v>17</v>
      </c>
      <c r="D259" s="4">
        <v>26016</v>
      </c>
      <c r="E259" s="27">
        <f t="shared" si="34"/>
        <v>1530.35</v>
      </c>
      <c r="F259" s="23">
        <v>28</v>
      </c>
      <c r="G259" s="24">
        <f t="shared" si="35"/>
        <v>929.14</v>
      </c>
      <c r="H259" s="42">
        <f t="shared" si="31"/>
        <v>929.14</v>
      </c>
      <c r="I259" s="7">
        <f t="shared" si="32"/>
        <v>1301</v>
      </c>
      <c r="J259" s="7">
        <f t="shared" si="33"/>
        <v>5203</v>
      </c>
    </row>
    <row r="260" spans="1:10">
      <c r="A260" s="11">
        <v>475</v>
      </c>
      <c r="B260" s="11" t="s">
        <v>278</v>
      </c>
      <c r="C260" s="17">
        <v>1146</v>
      </c>
      <c r="D260" s="18">
        <v>1498223</v>
      </c>
      <c r="E260" s="21">
        <f t="shared" si="34"/>
        <v>1307.3499999999999</v>
      </c>
      <c r="F260" s="25">
        <v>2106</v>
      </c>
      <c r="G260" s="26" t="s">
        <v>295</v>
      </c>
      <c r="H260" s="42">
        <f>E260</f>
        <v>1307.3499999999999</v>
      </c>
      <c r="I260" s="22">
        <f t="shared" si="32"/>
        <v>74911</v>
      </c>
      <c r="J260" s="22">
        <f t="shared" si="33"/>
        <v>299645</v>
      </c>
    </row>
    <row r="261" spans="1:10">
      <c r="A261" s="10">
        <v>476</v>
      </c>
      <c r="B261" s="10" t="s">
        <v>223</v>
      </c>
      <c r="C261" s="16">
        <v>37</v>
      </c>
      <c r="D261" s="4">
        <v>33098</v>
      </c>
      <c r="E261" s="27">
        <f t="shared" si="34"/>
        <v>894.54</v>
      </c>
      <c r="F261" s="23">
        <v>44</v>
      </c>
      <c r="G261" s="24">
        <f t="shared" si="35"/>
        <v>752.23</v>
      </c>
      <c r="H261" s="42">
        <f>G261</f>
        <v>752.23</v>
      </c>
      <c r="I261" s="7">
        <f t="shared" si="32"/>
        <v>1655</v>
      </c>
      <c r="J261" s="7">
        <f t="shared" si="33"/>
        <v>6620</v>
      </c>
    </row>
    <row r="262" spans="1:10">
      <c r="A262" s="10">
        <v>477</v>
      </c>
      <c r="B262" s="10" t="s">
        <v>224</v>
      </c>
      <c r="C262" s="16">
        <v>22</v>
      </c>
      <c r="D262" s="4">
        <v>31452</v>
      </c>
      <c r="E262" s="27">
        <f t="shared" si="34"/>
        <v>1429.64</v>
      </c>
      <c r="F262" s="23">
        <v>46</v>
      </c>
      <c r="G262" s="24">
        <f t="shared" si="35"/>
        <v>683.74</v>
      </c>
      <c r="H262" s="42">
        <f>G262</f>
        <v>683.74</v>
      </c>
      <c r="I262" s="7">
        <f t="shared" si="32"/>
        <v>1573</v>
      </c>
      <c r="J262" s="7">
        <f t="shared" si="33"/>
        <v>6290</v>
      </c>
    </row>
    <row r="263" spans="1:10">
      <c r="A263" s="10">
        <v>479</v>
      </c>
      <c r="B263" s="10" t="s">
        <v>225</v>
      </c>
      <c r="C263" s="16">
        <v>48</v>
      </c>
      <c r="D263" s="4">
        <v>51124</v>
      </c>
      <c r="E263" s="27">
        <f t="shared" si="34"/>
        <v>1065.08</v>
      </c>
      <c r="F263" s="23">
        <v>70</v>
      </c>
      <c r="G263" s="24">
        <f t="shared" si="35"/>
        <v>730.34</v>
      </c>
      <c r="H263" s="42">
        <f>G263</f>
        <v>730.34</v>
      </c>
      <c r="I263" s="7">
        <f t="shared" si="32"/>
        <v>2556</v>
      </c>
      <c r="J263" s="7">
        <f t="shared" si="33"/>
        <v>10225</v>
      </c>
    </row>
    <row r="264" spans="1:10">
      <c r="A264" s="11">
        <v>480</v>
      </c>
      <c r="B264" s="11" t="s">
        <v>226</v>
      </c>
      <c r="C264" s="17">
        <v>856</v>
      </c>
      <c r="D264" s="18">
        <v>1106639</v>
      </c>
      <c r="E264" s="21">
        <f t="shared" si="34"/>
        <v>1292.8</v>
      </c>
      <c r="F264" s="25">
        <v>1586</v>
      </c>
      <c r="G264" s="26" t="s">
        <v>295</v>
      </c>
      <c r="H264" s="42">
        <f>E264</f>
        <v>1292.8</v>
      </c>
      <c r="I264" s="22">
        <f t="shared" si="32"/>
        <v>55332</v>
      </c>
      <c r="J264" s="22">
        <f t="shared" si="33"/>
        <v>221328</v>
      </c>
    </row>
    <row r="265" spans="1:10">
      <c r="A265" s="10">
        <v>481</v>
      </c>
      <c r="B265" s="10" t="s">
        <v>227</v>
      </c>
      <c r="C265" s="16">
        <v>66</v>
      </c>
      <c r="D265" s="4">
        <v>72333</v>
      </c>
      <c r="E265" s="27">
        <f t="shared" si="34"/>
        <v>1095.95</v>
      </c>
      <c r="F265" s="23">
        <v>94</v>
      </c>
      <c r="G265" s="24">
        <f t="shared" si="35"/>
        <v>769.5</v>
      </c>
      <c r="H265" s="42">
        <f>G265</f>
        <v>769.5</v>
      </c>
      <c r="I265" s="7">
        <f t="shared" si="32"/>
        <v>3617</v>
      </c>
      <c r="J265" s="7">
        <f t="shared" si="33"/>
        <v>14467</v>
      </c>
    </row>
    <row r="266" spans="1:10">
      <c r="A266" s="10">
        <v>482</v>
      </c>
      <c r="B266" s="10" t="s">
        <v>228</v>
      </c>
      <c r="C266" s="16">
        <v>27</v>
      </c>
      <c r="D266" s="4">
        <v>39147</v>
      </c>
      <c r="E266" s="27">
        <f t="shared" si="34"/>
        <v>1449.89</v>
      </c>
      <c r="F266" s="23">
        <v>50</v>
      </c>
      <c r="G266" s="24">
        <f t="shared" si="35"/>
        <v>782.94</v>
      </c>
      <c r="H266" s="42">
        <f t="shared" ref="H266:H269" si="36">G266</f>
        <v>782.94</v>
      </c>
      <c r="I266" s="7">
        <f t="shared" si="32"/>
        <v>1957</v>
      </c>
      <c r="J266" s="7">
        <f t="shared" si="33"/>
        <v>7829</v>
      </c>
    </row>
    <row r="267" spans="1:10">
      <c r="A267" s="10">
        <v>483</v>
      </c>
      <c r="B267" s="10" t="s">
        <v>229</v>
      </c>
      <c r="C267" s="16">
        <v>136</v>
      </c>
      <c r="D267" s="4">
        <v>193007</v>
      </c>
      <c r="E267" s="27">
        <f t="shared" si="34"/>
        <v>1419.17</v>
      </c>
      <c r="F267" s="23">
        <v>246</v>
      </c>
      <c r="G267" s="24">
        <f t="shared" si="35"/>
        <v>784.58</v>
      </c>
      <c r="H267" s="42">
        <f t="shared" si="36"/>
        <v>784.58</v>
      </c>
      <c r="I267" s="7">
        <f t="shared" si="32"/>
        <v>9650</v>
      </c>
      <c r="J267" s="7">
        <f t="shared" si="33"/>
        <v>38601</v>
      </c>
    </row>
    <row r="268" spans="1:10">
      <c r="A268" s="10">
        <v>484</v>
      </c>
      <c r="B268" s="10" t="s">
        <v>230</v>
      </c>
      <c r="C268" s="16">
        <v>164</v>
      </c>
      <c r="D268" s="4">
        <v>184424</v>
      </c>
      <c r="E268" s="27">
        <f t="shared" si="34"/>
        <v>1124.54</v>
      </c>
      <c r="F268" s="23">
        <v>234</v>
      </c>
      <c r="G268" s="24">
        <f t="shared" si="35"/>
        <v>788.14</v>
      </c>
      <c r="H268" s="42">
        <f t="shared" si="36"/>
        <v>788.14</v>
      </c>
      <c r="I268" s="7">
        <f t="shared" si="32"/>
        <v>9221</v>
      </c>
      <c r="J268" s="7">
        <f t="shared" si="33"/>
        <v>36885</v>
      </c>
    </row>
    <row r="269" spans="1:10">
      <c r="A269" s="10">
        <v>487</v>
      </c>
      <c r="B269" s="10" t="s">
        <v>231</v>
      </c>
      <c r="C269" s="16">
        <v>85</v>
      </c>
      <c r="D269" s="4">
        <v>107659</v>
      </c>
      <c r="E269" s="27">
        <f t="shared" si="34"/>
        <v>1266.58</v>
      </c>
      <c r="F269" s="23">
        <v>142</v>
      </c>
      <c r="G269" s="24">
        <f t="shared" si="35"/>
        <v>758.16</v>
      </c>
      <c r="H269" s="42">
        <f t="shared" si="36"/>
        <v>758.16</v>
      </c>
      <c r="I269" s="7">
        <f t="shared" si="32"/>
        <v>5383</v>
      </c>
      <c r="J269" s="7">
        <f t="shared" si="33"/>
        <v>21532</v>
      </c>
    </row>
    <row r="270" spans="1:10">
      <c r="A270" s="11">
        <v>489</v>
      </c>
      <c r="B270" s="11" t="s">
        <v>232</v>
      </c>
      <c r="C270" s="17">
        <v>360</v>
      </c>
      <c r="D270" s="18">
        <v>414417</v>
      </c>
      <c r="E270" s="21">
        <f t="shared" si="34"/>
        <v>1151.1600000000001</v>
      </c>
      <c r="F270" s="25">
        <v>626</v>
      </c>
      <c r="G270" s="26" t="s">
        <v>295</v>
      </c>
      <c r="H270" s="42">
        <f>E270</f>
        <v>1151.1600000000001</v>
      </c>
      <c r="I270" s="22">
        <f t="shared" si="32"/>
        <v>20721</v>
      </c>
      <c r="J270" s="22">
        <f t="shared" si="33"/>
        <v>82883</v>
      </c>
    </row>
    <row r="271" spans="1:10">
      <c r="A271" s="10">
        <v>490</v>
      </c>
      <c r="B271" s="10" t="s">
        <v>233</v>
      </c>
      <c r="C271" s="16">
        <v>355</v>
      </c>
      <c r="D271" s="4">
        <v>435931</v>
      </c>
      <c r="E271" s="27">
        <f t="shared" si="34"/>
        <v>1227.97</v>
      </c>
      <c r="F271" s="23">
        <v>588</v>
      </c>
      <c r="G271" s="24">
        <f t="shared" si="35"/>
        <v>741.38</v>
      </c>
      <c r="H271" s="42">
        <f>G271</f>
        <v>741.38</v>
      </c>
      <c r="I271" s="7">
        <f t="shared" si="32"/>
        <v>21797</v>
      </c>
      <c r="J271" s="7">
        <f t="shared" si="33"/>
        <v>87186</v>
      </c>
    </row>
    <row r="272" spans="1:10">
      <c r="A272" s="10">
        <v>491</v>
      </c>
      <c r="B272" s="10" t="s">
        <v>234</v>
      </c>
      <c r="C272" s="16">
        <v>109</v>
      </c>
      <c r="D272" s="4">
        <v>152870</v>
      </c>
      <c r="E272" s="27">
        <f t="shared" si="34"/>
        <v>1402.48</v>
      </c>
      <c r="F272" s="23">
        <v>226</v>
      </c>
      <c r="G272" s="24">
        <f t="shared" si="35"/>
        <v>676.42</v>
      </c>
      <c r="H272" s="42">
        <f t="shared" ref="H272:H277" si="37">G272</f>
        <v>676.42</v>
      </c>
      <c r="I272" s="7">
        <f t="shared" si="32"/>
        <v>7644</v>
      </c>
      <c r="J272" s="7">
        <f t="shared" si="33"/>
        <v>30574</v>
      </c>
    </row>
    <row r="273" spans="1:10">
      <c r="A273" s="10">
        <v>492</v>
      </c>
      <c r="B273" s="10" t="s">
        <v>235</v>
      </c>
      <c r="C273" s="16">
        <v>28</v>
      </c>
      <c r="D273" s="4">
        <v>33116</v>
      </c>
      <c r="E273" s="27">
        <f t="shared" si="34"/>
        <v>1182.71</v>
      </c>
      <c r="F273" s="23">
        <v>46</v>
      </c>
      <c r="G273" s="24">
        <f t="shared" si="35"/>
        <v>719.91</v>
      </c>
      <c r="H273" s="42">
        <f t="shared" si="37"/>
        <v>719.91</v>
      </c>
      <c r="I273" s="7">
        <f t="shared" si="32"/>
        <v>1656</v>
      </c>
      <c r="J273" s="7">
        <f t="shared" si="33"/>
        <v>6623</v>
      </c>
    </row>
    <row r="274" spans="1:10">
      <c r="A274" s="10">
        <v>493</v>
      </c>
      <c r="B274" s="10" t="s">
        <v>236</v>
      </c>
      <c r="C274" s="16">
        <v>267</v>
      </c>
      <c r="D274" s="4">
        <v>282048</v>
      </c>
      <c r="E274" s="27">
        <f t="shared" si="34"/>
        <v>1056.3599999999999</v>
      </c>
      <c r="F274" s="23">
        <v>353</v>
      </c>
      <c r="G274" s="24">
        <f t="shared" si="35"/>
        <v>799</v>
      </c>
      <c r="H274" s="42">
        <f t="shared" si="37"/>
        <v>799</v>
      </c>
      <c r="I274" s="7">
        <f t="shared" si="32"/>
        <v>14102</v>
      </c>
      <c r="J274" s="7">
        <f t="shared" si="33"/>
        <v>56410</v>
      </c>
    </row>
    <row r="275" spans="1:10">
      <c r="A275" s="10">
        <v>494</v>
      </c>
      <c r="B275" s="10" t="s">
        <v>237</v>
      </c>
      <c r="C275" s="16">
        <v>78</v>
      </c>
      <c r="D275" s="4">
        <v>106403</v>
      </c>
      <c r="E275" s="27">
        <f t="shared" si="34"/>
        <v>1364.14</v>
      </c>
      <c r="F275" s="23">
        <v>138</v>
      </c>
      <c r="G275" s="24">
        <f t="shared" si="35"/>
        <v>771.04</v>
      </c>
      <c r="H275" s="42">
        <f t="shared" si="37"/>
        <v>771.04</v>
      </c>
      <c r="I275" s="7">
        <f t="shared" si="32"/>
        <v>5320</v>
      </c>
      <c r="J275" s="7">
        <f t="shared" si="33"/>
        <v>21281</v>
      </c>
    </row>
    <row r="276" spans="1:10">
      <c r="A276" s="10">
        <v>495</v>
      </c>
      <c r="B276" s="10" t="s">
        <v>238</v>
      </c>
      <c r="C276" s="16">
        <v>137</v>
      </c>
      <c r="D276" s="4">
        <v>177065</v>
      </c>
      <c r="E276" s="27">
        <f t="shared" si="34"/>
        <v>1292.45</v>
      </c>
      <c r="F276" s="23">
        <v>254</v>
      </c>
      <c r="G276" s="24">
        <f t="shared" si="35"/>
        <v>697.11</v>
      </c>
      <c r="H276" s="42">
        <f t="shared" si="37"/>
        <v>697.11</v>
      </c>
      <c r="I276" s="7">
        <f t="shared" si="32"/>
        <v>8853</v>
      </c>
      <c r="J276" s="7">
        <f t="shared" si="33"/>
        <v>35413</v>
      </c>
    </row>
    <row r="277" spans="1:10">
      <c r="A277" s="10">
        <v>496</v>
      </c>
      <c r="B277" s="10" t="s">
        <v>239</v>
      </c>
      <c r="C277" s="16">
        <v>21</v>
      </c>
      <c r="D277" s="4">
        <v>24910</v>
      </c>
      <c r="E277" s="27">
        <f t="shared" si="34"/>
        <v>1186.19</v>
      </c>
      <c r="F277" s="23">
        <v>33</v>
      </c>
      <c r="G277" s="24">
        <f t="shared" si="35"/>
        <v>754.85</v>
      </c>
      <c r="H277" s="42">
        <f t="shared" si="37"/>
        <v>754.85</v>
      </c>
      <c r="I277" s="7">
        <f t="shared" si="32"/>
        <v>1246</v>
      </c>
      <c r="J277" s="7">
        <f t="shared" si="33"/>
        <v>4982</v>
      </c>
    </row>
    <row r="278" spans="1:10">
      <c r="A278" s="11">
        <v>497</v>
      </c>
      <c r="B278" s="11" t="s">
        <v>240</v>
      </c>
      <c r="C278" s="17">
        <v>1410</v>
      </c>
      <c r="D278" s="18">
        <v>1740035</v>
      </c>
      <c r="E278" s="21">
        <f t="shared" si="34"/>
        <v>1234.07</v>
      </c>
      <c r="F278" s="25">
        <v>2093</v>
      </c>
      <c r="G278" s="26" t="s">
        <v>295</v>
      </c>
      <c r="H278" s="42">
        <f>E278</f>
        <v>1234.07</v>
      </c>
      <c r="I278" s="22">
        <f t="shared" si="32"/>
        <v>87002</v>
      </c>
      <c r="J278" s="22">
        <f t="shared" si="33"/>
        <v>348007</v>
      </c>
    </row>
    <row r="279" spans="1:10">
      <c r="A279" s="10">
        <v>498</v>
      </c>
      <c r="B279" s="10" t="s">
        <v>241</v>
      </c>
      <c r="C279" s="16">
        <v>57</v>
      </c>
      <c r="D279" s="4">
        <v>69367</v>
      </c>
      <c r="E279" s="27">
        <f t="shared" si="34"/>
        <v>1216.96</v>
      </c>
      <c r="F279" s="23">
        <v>96</v>
      </c>
      <c r="G279" s="24">
        <f t="shared" si="35"/>
        <v>722.57</v>
      </c>
      <c r="H279" s="42">
        <f>G279</f>
        <v>722.57</v>
      </c>
      <c r="I279" s="7">
        <f t="shared" si="32"/>
        <v>3468</v>
      </c>
      <c r="J279" s="7">
        <f t="shared" si="33"/>
        <v>13873</v>
      </c>
    </row>
    <row r="280" spans="1:10">
      <c r="A280" s="10">
        <v>499</v>
      </c>
      <c r="B280" s="10" t="s">
        <v>242</v>
      </c>
      <c r="C280" s="16">
        <v>187</v>
      </c>
      <c r="D280" s="4">
        <v>286437</v>
      </c>
      <c r="E280" s="27">
        <f t="shared" si="34"/>
        <v>1531.75</v>
      </c>
      <c r="F280" s="23">
        <v>299</v>
      </c>
      <c r="G280" s="24">
        <f t="shared" si="35"/>
        <v>957.98</v>
      </c>
      <c r="H280" s="42">
        <f>G280</f>
        <v>957.98</v>
      </c>
      <c r="I280" s="7">
        <f t="shared" si="32"/>
        <v>14322</v>
      </c>
      <c r="J280" s="7">
        <f t="shared" si="33"/>
        <v>57287</v>
      </c>
    </row>
    <row r="281" spans="1:10">
      <c r="A281" s="11">
        <v>500</v>
      </c>
      <c r="B281" s="11" t="s">
        <v>243</v>
      </c>
      <c r="C281" s="17">
        <v>6748</v>
      </c>
      <c r="D281" s="18">
        <v>11604794</v>
      </c>
      <c r="E281" s="21">
        <f t="shared" si="34"/>
        <v>1719.74</v>
      </c>
      <c r="F281" s="25">
        <v>10064</v>
      </c>
      <c r="G281" s="26" t="s">
        <v>295</v>
      </c>
      <c r="H281" s="42">
        <f>E281</f>
        <v>1719.74</v>
      </c>
      <c r="I281" s="22">
        <f t="shared" si="32"/>
        <v>580240</v>
      </c>
      <c r="J281" s="22">
        <f t="shared" si="33"/>
        <v>2320959</v>
      </c>
    </row>
    <row r="282" spans="1:10">
      <c r="A282" s="11">
        <v>501</v>
      </c>
      <c r="B282" s="11" t="s">
        <v>244</v>
      </c>
      <c r="C282" s="17">
        <v>4451</v>
      </c>
      <c r="D282" s="18">
        <v>7262481</v>
      </c>
      <c r="E282" s="21">
        <f t="shared" si="34"/>
        <v>1631.65</v>
      </c>
      <c r="F282" s="25">
        <v>6404</v>
      </c>
      <c r="G282" s="26" t="s">
        <v>295</v>
      </c>
      <c r="H282" s="42">
        <f>E282</f>
        <v>1631.65</v>
      </c>
      <c r="I282" s="22">
        <f t="shared" si="32"/>
        <v>363124</v>
      </c>
      <c r="J282" s="22">
        <f t="shared" si="33"/>
        <v>1452496</v>
      </c>
    </row>
    <row r="283" spans="1:10">
      <c r="A283" s="10">
        <v>502</v>
      </c>
      <c r="B283" s="10" t="s">
        <v>245</v>
      </c>
      <c r="C283" s="16">
        <v>18</v>
      </c>
      <c r="D283" s="4">
        <v>25718</v>
      </c>
      <c r="E283" s="27">
        <f t="shared" si="34"/>
        <v>1428.78</v>
      </c>
      <c r="F283" s="23">
        <v>26</v>
      </c>
      <c r="G283" s="24">
        <f t="shared" si="35"/>
        <v>989.15</v>
      </c>
      <c r="H283" s="42">
        <f>G283</f>
        <v>989.15</v>
      </c>
      <c r="I283" s="7">
        <f t="shared" si="32"/>
        <v>1286</v>
      </c>
      <c r="J283" s="7">
        <f t="shared" si="33"/>
        <v>5144</v>
      </c>
    </row>
    <row r="284" spans="1:10">
      <c r="A284" s="10">
        <v>503</v>
      </c>
      <c r="B284" s="10" t="s">
        <v>246</v>
      </c>
      <c r="C284" s="16">
        <v>380</v>
      </c>
      <c r="D284" s="4">
        <v>429426</v>
      </c>
      <c r="E284" s="27">
        <f t="shared" si="34"/>
        <v>1130.07</v>
      </c>
      <c r="F284" s="23">
        <v>549</v>
      </c>
      <c r="G284" s="24">
        <f t="shared" si="35"/>
        <v>782.2</v>
      </c>
      <c r="H284" s="42">
        <f t="shared" ref="H284:H291" si="38">G284</f>
        <v>782.2</v>
      </c>
      <c r="I284" s="7">
        <f t="shared" si="32"/>
        <v>21471</v>
      </c>
      <c r="J284" s="7">
        <f t="shared" si="33"/>
        <v>85885</v>
      </c>
    </row>
    <row r="285" spans="1:10">
      <c r="A285" s="10">
        <v>504</v>
      </c>
      <c r="B285" s="10" t="s">
        <v>247</v>
      </c>
      <c r="C285" s="16">
        <v>92</v>
      </c>
      <c r="D285" s="4">
        <v>126206</v>
      </c>
      <c r="E285" s="27">
        <f t="shared" si="34"/>
        <v>1371.8</v>
      </c>
      <c r="F285" s="23">
        <v>141</v>
      </c>
      <c r="G285" s="24">
        <f t="shared" si="35"/>
        <v>895.08</v>
      </c>
      <c r="H285" s="42">
        <f t="shared" si="38"/>
        <v>895.08</v>
      </c>
      <c r="I285" s="7">
        <f t="shared" si="32"/>
        <v>6310</v>
      </c>
      <c r="J285" s="7">
        <f t="shared" si="33"/>
        <v>25241</v>
      </c>
    </row>
    <row r="286" spans="1:10">
      <c r="A286" s="10">
        <v>505</v>
      </c>
      <c r="B286" s="10" t="s">
        <v>248</v>
      </c>
      <c r="C286" s="16">
        <v>121</v>
      </c>
      <c r="D286" s="4">
        <v>158411</v>
      </c>
      <c r="E286" s="27">
        <f t="shared" si="34"/>
        <v>1309.18</v>
      </c>
      <c r="F286" s="23">
        <v>170</v>
      </c>
      <c r="G286" s="24">
        <f t="shared" si="35"/>
        <v>931.83</v>
      </c>
      <c r="H286" s="42">
        <f t="shared" si="38"/>
        <v>931.83</v>
      </c>
      <c r="I286" s="7">
        <f t="shared" si="32"/>
        <v>7921</v>
      </c>
      <c r="J286" s="7">
        <f t="shared" si="33"/>
        <v>31682</v>
      </c>
    </row>
    <row r="287" spans="1:10">
      <c r="A287" s="10">
        <v>506</v>
      </c>
      <c r="B287" s="10" t="s">
        <v>279</v>
      </c>
      <c r="C287" s="16">
        <v>208</v>
      </c>
      <c r="D287" s="4">
        <v>323978</v>
      </c>
      <c r="E287" s="27">
        <f t="shared" si="34"/>
        <v>1557.59</v>
      </c>
      <c r="F287" s="23">
        <v>412</v>
      </c>
      <c r="G287" s="24">
        <f t="shared" si="35"/>
        <v>786.35</v>
      </c>
      <c r="H287" s="42">
        <f t="shared" si="38"/>
        <v>786.35</v>
      </c>
      <c r="I287" s="7">
        <f t="shared" si="32"/>
        <v>16199</v>
      </c>
      <c r="J287" s="7">
        <f t="shared" si="33"/>
        <v>64796</v>
      </c>
    </row>
    <row r="288" spans="1:10">
      <c r="A288" s="10">
        <v>507</v>
      </c>
      <c r="B288" s="10" t="s">
        <v>249</v>
      </c>
      <c r="C288" s="16">
        <v>56</v>
      </c>
      <c r="D288" s="4">
        <v>75522</v>
      </c>
      <c r="E288" s="27">
        <f t="shared" si="34"/>
        <v>1348.61</v>
      </c>
      <c r="F288" s="23">
        <v>104</v>
      </c>
      <c r="G288" s="24">
        <f t="shared" si="35"/>
        <v>726.17</v>
      </c>
      <c r="H288" s="42">
        <f t="shared" si="38"/>
        <v>726.17</v>
      </c>
      <c r="I288" s="7">
        <f t="shared" si="32"/>
        <v>3776</v>
      </c>
      <c r="J288" s="7">
        <f t="shared" si="33"/>
        <v>15104</v>
      </c>
    </row>
    <row r="289" spans="1:10">
      <c r="A289" s="10">
        <v>508</v>
      </c>
      <c r="B289" s="10" t="s">
        <v>250</v>
      </c>
      <c r="C289" s="16">
        <v>217</v>
      </c>
      <c r="D289" s="4">
        <v>296364</v>
      </c>
      <c r="E289" s="27">
        <f t="shared" si="34"/>
        <v>1365.73</v>
      </c>
      <c r="F289" s="23">
        <v>335</v>
      </c>
      <c r="G289" s="24">
        <f t="shared" si="35"/>
        <v>884.67</v>
      </c>
      <c r="H289" s="42">
        <f t="shared" si="38"/>
        <v>884.67</v>
      </c>
      <c r="I289" s="7">
        <f t="shared" si="32"/>
        <v>14818</v>
      </c>
      <c r="J289" s="7">
        <f t="shared" si="33"/>
        <v>59273</v>
      </c>
    </row>
    <row r="290" spans="1:10">
      <c r="A290" s="10">
        <v>509</v>
      </c>
      <c r="B290" s="10" t="s">
        <v>251</v>
      </c>
      <c r="C290" s="16">
        <v>28</v>
      </c>
      <c r="D290" s="4">
        <v>35073</v>
      </c>
      <c r="E290" s="27">
        <f t="shared" si="34"/>
        <v>1252.6099999999999</v>
      </c>
      <c r="F290" s="23">
        <v>45</v>
      </c>
      <c r="G290" s="24">
        <f t="shared" si="35"/>
        <v>779.4</v>
      </c>
      <c r="H290" s="42">
        <f t="shared" si="38"/>
        <v>779.4</v>
      </c>
      <c r="I290" s="7">
        <f t="shared" si="32"/>
        <v>1754</v>
      </c>
      <c r="J290" s="7">
        <f t="shared" si="33"/>
        <v>7015</v>
      </c>
    </row>
    <row r="291" spans="1:10">
      <c r="A291" s="10">
        <v>511</v>
      </c>
      <c r="B291" s="10" t="s">
        <v>252</v>
      </c>
      <c r="C291" s="16">
        <v>17</v>
      </c>
      <c r="D291" s="4">
        <v>28344</v>
      </c>
      <c r="E291" s="27">
        <f t="shared" si="34"/>
        <v>1667.29</v>
      </c>
      <c r="F291" s="23">
        <v>31</v>
      </c>
      <c r="G291" s="24">
        <f t="shared" si="35"/>
        <v>914.32</v>
      </c>
      <c r="H291" s="42">
        <f t="shared" si="38"/>
        <v>914.32</v>
      </c>
      <c r="I291" s="7">
        <f t="shared" si="32"/>
        <v>1417</v>
      </c>
      <c r="J291" s="7">
        <f t="shared" si="33"/>
        <v>5669</v>
      </c>
    </row>
    <row r="292" spans="1:10">
      <c r="A292" s="11">
        <v>512</v>
      </c>
      <c r="B292" s="11" t="s">
        <v>253</v>
      </c>
      <c r="C292" s="25">
        <v>3422</v>
      </c>
      <c r="D292" s="18">
        <v>4568923</v>
      </c>
      <c r="E292" s="21">
        <f t="shared" si="34"/>
        <v>1335.16</v>
      </c>
      <c r="F292" s="25">
        <v>5067</v>
      </c>
      <c r="G292" s="26" t="s">
        <v>295</v>
      </c>
      <c r="H292" s="42">
        <f>E292</f>
        <v>1335.16</v>
      </c>
      <c r="I292" s="22">
        <f t="shared" si="32"/>
        <v>228446</v>
      </c>
      <c r="J292" s="22">
        <f t="shared" si="33"/>
        <v>913785</v>
      </c>
    </row>
    <row r="293" spans="1:10">
      <c r="A293" s="10"/>
      <c r="B293" s="10"/>
      <c r="C293" s="8"/>
      <c r="H293" s="41"/>
    </row>
    <row r="294" spans="1:10">
      <c r="C294" s="7">
        <f>SUM(C7:C292)</f>
        <v>71850</v>
      </c>
      <c r="D294" s="7">
        <f t="shared" ref="D294:J294" si="39">SUM(D7:D292)</f>
        <v>101474812</v>
      </c>
      <c r="E294" s="7">
        <f t="shared" si="39"/>
        <v>359518</v>
      </c>
      <c r="F294" s="7">
        <f t="shared" si="39"/>
        <v>115875</v>
      </c>
      <c r="G294" s="7">
        <f t="shared" si="39"/>
        <v>196168</v>
      </c>
      <c r="H294" s="44">
        <f t="shared" si="39"/>
        <v>224897</v>
      </c>
      <c r="I294" s="7">
        <f t="shared" si="39"/>
        <v>5073755</v>
      </c>
      <c r="J294" s="7">
        <f t="shared" si="39"/>
        <v>20294958</v>
      </c>
    </row>
  </sheetData>
  <phoneticPr fontId="0" type="noConversion"/>
  <printOptions gridLines="1" gridLinesSet="0"/>
  <pageMargins left="0.7" right="0.7" top="0.75" bottom="0.75" header="0.5" footer="0.5"/>
  <pageSetup scale="90" pageOrder="overThenDown" orientation="landscape" horizontalDpi="4294967292" verticalDpi="4294967292" r:id="rId1"/>
  <headerFooter alignWithMargins="0">
    <oddHeader>&amp;C&amp;"Geneva,Bold"&amp;14FY 2012 Per Pupil Amounts for Supplemental Services</oddHeader>
    <oddFooter>&amp;L&amp;Z&amp;F&amp;R&amp;D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Regular Only</vt:lpstr>
      <vt:lpstr>'Regular Only'!Print_Titles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nclark</cp:lastModifiedBy>
  <cp:lastPrinted>2011-07-15T18:46:32Z</cp:lastPrinted>
  <dcterms:created xsi:type="dcterms:W3CDTF">2000-02-02T20:46:50Z</dcterms:created>
  <dcterms:modified xsi:type="dcterms:W3CDTF">2011-10-12T16:32:52Z</dcterms:modified>
</cp:coreProperties>
</file>