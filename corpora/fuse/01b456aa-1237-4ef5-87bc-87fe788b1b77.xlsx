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20" windowWidth="15195" windowHeight="8700"/>
  </bookViews>
  <sheets>
    <sheet name="Legend" sheetId="10" r:id="rId1"/>
    <sheet name="Figures 1,2,4" sheetId="3" r:id="rId2"/>
    <sheet name="archive" sheetId="1" r:id="rId3"/>
    <sheet name="Sheet2" sheetId="2" r:id="rId4"/>
    <sheet name="Figure 3" sheetId="4" r:id="rId5"/>
    <sheet name="Figure 5" sheetId="5" r:id="rId6"/>
    <sheet name="Figure 6" sheetId="6" r:id="rId7"/>
    <sheet name="Districts" sheetId="7" r:id="rId8"/>
    <sheet name="Charters State" sheetId="9" r:id="rId9"/>
    <sheet name="Charters Indy" sheetId="8" r:id="rId10"/>
  </sheets>
  <definedNames>
    <definedName name="_xlnm._FilterDatabase" localSheetId="2" hidden="1">archive!$A$3:$P$339</definedName>
    <definedName name="_xlnm._FilterDatabase" localSheetId="9" hidden="1">'Charters Indy'!$A$1:$I$1</definedName>
    <definedName name="_xlnm.Print_Titles" localSheetId="2">archive!$1:$4</definedName>
  </definedNames>
  <calcPr calcId="125725" concurrentCalc="0"/>
</workbook>
</file>

<file path=xl/calcChain.xml><?xml version="1.0" encoding="utf-8"?>
<calcChain xmlns="http://schemas.openxmlformats.org/spreadsheetml/2006/main">
  <c r="N2" i="9"/>
  <c r="N3"/>
  <c r="N4"/>
  <c r="N5"/>
  <c r="N6"/>
  <c r="N7"/>
  <c r="N8"/>
  <c r="N9"/>
  <c r="N10"/>
  <c r="N11"/>
  <c r="N12"/>
  <c r="N13"/>
  <c r="N14"/>
  <c r="N15"/>
  <c r="N16"/>
  <c r="N17"/>
  <c r="N18"/>
  <c r="N19"/>
  <c r="N20"/>
  <c r="N21"/>
  <c r="N22"/>
  <c r="N23"/>
  <c r="N24"/>
  <c r="N25"/>
  <c r="N26"/>
  <c r="N27"/>
  <c r="N28"/>
  <c r="N29"/>
  <c r="N30"/>
  <c r="N31"/>
  <c r="N32"/>
  <c r="N33"/>
  <c r="N34"/>
  <c r="N35"/>
  <c r="N36"/>
  <c r="N37"/>
  <c r="N38"/>
  <c r="O297" i="7"/>
  <c r="V295"/>
  <c r="S295"/>
  <c r="R295"/>
  <c r="V250"/>
  <c r="S250"/>
  <c r="R250"/>
  <c r="U136"/>
  <c r="R136"/>
  <c r="Q136"/>
  <c r="O294"/>
  <c r="L294"/>
  <c r="K294"/>
  <c r="O293"/>
  <c r="L293"/>
  <c r="K293"/>
  <c r="O292"/>
  <c r="L292"/>
  <c r="K292"/>
  <c r="O291"/>
  <c r="L291"/>
  <c r="K291"/>
  <c r="O290"/>
  <c r="L290"/>
  <c r="K290"/>
  <c r="O289"/>
  <c r="L289"/>
  <c r="K289"/>
  <c r="O288"/>
  <c r="L288"/>
  <c r="K288"/>
  <c r="O287"/>
  <c r="L287"/>
  <c r="K287"/>
  <c r="O286"/>
  <c r="L286"/>
  <c r="K286"/>
  <c r="O285"/>
  <c r="L285"/>
  <c r="K285"/>
  <c r="O284"/>
  <c r="L284"/>
  <c r="K284"/>
  <c r="O283"/>
  <c r="L283"/>
  <c r="K283"/>
  <c r="O282"/>
  <c r="L282"/>
  <c r="K282"/>
  <c r="O281"/>
  <c r="L281"/>
  <c r="K281"/>
  <c r="O280"/>
  <c r="L280"/>
  <c r="K280"/>
  <c r="O279"/>
  <c r="L279"/>
  <c r="K279"/>
  <c r="O278"/>
  <c r="L278"/>
  <c r="K278"/>
  <c r="O277"/>
  <c r="L277"/>
  <c r="K277"/>
  <c r="O276"/>
  <c r="L276"/>
  <c r="K276"/>
  <c r="O275"/>
  <c r="L275"/>
  <c r="K275"/>
  <c r="O274"/>
  <c r="L274"/>
  <c r="K274"/>
  <c r="O273"/>
  <c r="L273"/>
  <c r="K273"/>
  <c r="O272"/>
  <c r="L272"/>
  <c r="K272"/>
  <c r="O271"/>
  <c r="L271"/>
  <c r="K271"/>
  <c r="O270"/>
  <c r="L270"/>
  <c r="K270"/>
  <c r="O269"/>
  <c r="L269"/>
  <c r="K269"/>
  <c r="O268"/>
  <c r="L268"/>
  <c r="K268"/>
  <c r="O267"/>
  <c r="L267"/>
  <c r="K267"/>
  <c r="O266"/>
  <c r="L266"/>
  <c r="K266"/>
  <c r="O265"/>
  <c r="L265"/>
  <c r="K265"/>
  <c r="O264"/>
  <c r="L264"/>
  <c r="K264"/>
  <c r="O263"/>
  <c r="L263"/>
  <c r="K263"/>
  <c r="O262"/>
  <c r="L262"/>
  <c r="K262"/>
  <c r="O261"/>
  <c r="L261"/>
  <c r="K261"/>
  <c r="O260"/>
  <c r="L260"/>
  <c r="K260"/>
  <c r="O259"/>
  <c r="L259"/>
  <c r="K259"/>
  <c r="O258"/>
  <c r="L258"/>
  <c r="K258"/>
  <c r="O257"/>
  <c r="L257"/>
  <c r="K257"/>
  <c r="O256"/>
  <c r="L256"/>
  <c r="K256"/>
  <c r="O255"/>
  <c r="L255"/>
  <c r="K255"/>
  <c r="O254"/>
  <c r="L254"/>
  <c r="K254"/>
  <c r="O253"/>
  <c r="L253"/>
  <c r="K253"/>
  <c r="O252"/>
  <c r="L252"/>
  <c r="K252"/>
  <c r="O251"/>
  <c r="L251"/>
  <c r="K251"/>
  <c r="O250"/>
  <c r="L250"/>
  <c r="K250"/>
  <c r="O249"/>
  <c r="L249"/>
  <c r="K249"/>
  <c r="O248"/>
  <c r="L248"/>
  <c r="K248"/>
  <c r="O247"/>
  <c r="L247"/>
  <c r="K247"/>
  <c r="O246"/>
  <c r="L246"/>
  <c r="K246"/>
  <c r="O245"/>
  <c r="L245"/>
  <c r="K245"/>
  <c r="O244"/>
  <c r="L244"/>
  <c r="K244"/>
  <c r="O243"/>
  <c r="L243"/>
  <c r="K243"/>
  <c r="O242"/>
  <c r="L242"/>
  <c r="K242"/>
  <c r="O241"/>
  <c r="L241"/>
  <c r="K241"/>
  <c r="O240"/>
  <c r="L240"/>
  <c r="K240"/>
  <c r="O239"/>
  <c r="L239"/>
  <c r="K239"/>
  <c r="O238"/>
  <c r="L238"/>
  <c r="K238"/>
  <c r="O237"/>
  <c r="L237"/>
  <c r="K237"/>
  <c r="O236"/>
  <c r="L236"/>
  <c r="K236"/>
  <c r="O235"/>
  <c r="L235"/>
  <c r="K235"/>
  <c r="O234"/>
  <c r="L234"/>
  <c r="K234"/>
  <c r="O233"/>
  <c r="L233"/>
  <c r="K233"/>
  <c r="O232"/>
  <c r="L232"/>
  <c r="K232"/>
  <c r="O231"/>
  <c r="L231"/>
  <c r="K231"/>
  <c r="O230"/>
  <c r="L230"/>
  <c r="K230"/>
  <c r="O229"/>
  <c r="L229"/>
  <c r="K229"/>
  <c r="O228"/>
  <c r="L228"/>
  <c r="K228"/>
  <c r="O227"/>
  <c r="L227"/>
  <c r="K227"/>
  <c r="O226"/>
  <c r="L226"/>
  <c r="K226"/>
  <c r="O225"/>
  <c r="L225"/>
  <c r="K225"/>
  <c r="O224"/>
  <c r="L224"/>
  <c r="K224"/>
  <c r="O223"/>
  <c r="L223"/>
  <c r="K223"/>
  <c r="O222"/>
  <c r="L222"/>
  <c r="K222"/>
  <c r="O221"/>
  <c r="L221"/>
  <c r="K221"/>
  <c r="O220"/>
  <c r="L220"/>
  <c r="K220"/>
  <c r="O219"/>
  <c r="L219"/>
  <c r="K219"/>
  <c r="O218"/>
  <c r="L218"/>
  <c r="K218"/>
  <c r="O217"/>
  <c r="L217"/>
  <c r="K217"/>
  <c r="O216"/>
  <c r="L216"/>
  <c r="K216"/>
  <c r="O215"/>
  <c r="L215"/>
  <c r="K215"/>
  <c r="O214"/>
  <c r="L214"/>
  <c r="K214"/>
  <c r="O213"/>
  <c r="L213"/>
  <c r="K213"/>
  <c r="O212"/>
  <c r="L212"/>
  <c r="K212"/>
  <c r="O211"/>
  <c r="L211"/>
  <c r="K211"/>
  <c r="O210"/>
  <c r="L210"/>
  <c r="K210"/>
  <c r="O209"/>
  <c r="L209"/>
  <c r="K209"/>
  <c r="O208"/>
  <c r="L208"/>
  <c r="K208"/>
  <c r="O207"/>
  <c r="L207"/>
  <c r="K207"/>
  <c r="O206"/>
  <c r="L206"/>
  <c r="K206"/>
  <c r="O205"/>
  <c r="L205"/>
  <c r="K205"/>
  <c r="O204"/>
  <c r="L204"/>
  <c r="K204"/>
  <c r="O203"/>
  <c r="L203"/>
  <c r="K203"/>
  <c r="O202"/>
  <c r="L202"/>
  <c r="K202"/>
  <c r="O201"/>
  <c r="L201"/>
  <c r="K201"/>
  <c r="O200"/>
  <c r="L200"/>
  <c r="K200"/>
  <c r="O199"/>
  <c r="L199"/>
  <c r="K199"/>
  <c r="O198"/>
  <c r="L198"/>
  <c r="K198"/>
  <c r="O197"/>
  <c r="L197"/>
  <c r="K197"/>
  <c r="O196"/>
  <c r="L196"/>
  <c r="K196"/>
  <c r="O195"/>
  <c r="L195"/>
  <c r="K195"/>
  <c r="O194"/>
  <c r="L194"/>
  <c r="K194"/>
  <c r="O193"/>
  <c r="L193"/>
  <c r="K193"/>
  <c r="O192"/>
  <c r="L192"/>
  <c r="K192"/>
  <c r="O191"/>
  <c r="L191"/>
  <c r="K191"/>
  <c r="O190"/>
  <c r="L190"/>
  <c r="K190"/>
  <c r="O189"/>
  <c r="L189"/>
  <c r="K189"/>
  <c r="O188"/>
  <c r="L188"/>
  <c r="K188"/>
  <c r="O187"/>
  <c r="L187"/>
  <c r="K187"/>
  <c r="O186"/>
  <c r="L186"/>
  <c r="K186"/>
  <c r="O185"/>
  <c r="L185"/>
  <c r="K185"/>
  <c r="O184"/>
  <c r="L184"/>
  <c r="K184"/>
  <c r="O183"/>
  <c r="L183"/>
  <c r="K183"/>
  <c r="O182"/>
  <c r="L182"/>
  <c r="K182"/>
  <c r="O181"/>
  <c r="L181"/>
  <c r="K181"/>
  <c r="O180"/>
  <c r="L180"/>
  <c r="K180"/>
  <c r="O179"/>
  <c r="L179"/>
  <c r="K179"/>
  <c r="O178"/>
  <c r="L178"/>
  <c r="K178"/>
  <c r="O177"/>
  <c r="L177"/>
  <c r="K177"/>
  <c r="O176"/>
  <c r="L176"/>
  <c r="K176"/>
  <c r="O175"/>
  <c r="L175"/>
  <c r="K175"/>
  <c r="O174"/>
  <c r="L174"/>
  <c r="K174"/>
  <c r="O173"/>
  <c r="L173"/>
  <c r="K173"/>
  <c r="O172"/>
  <c r="L172"/>
  <c r="K172"/>
  <c r="O171"/>
  <c r="L171"/>
  <c r="K171"/>
  <c r="O170"/>
  <c r="L170"/>
  <c r="K170"/>
  <c r="O169"/>
  <c r="L169"/>
  <c r="K169"/>
  <c r="O168"/>
  <c r="L168"/>
  <c r="K168"/>
  <c r="O167"/>
  <c r="L167"/>
  <c r="K167"/>
  <c r="O166"/>
  <c r="L166"/>
  <c r="K166"/>
  <c r="O165"/>
  <c r="L165"/>
  <c r="K165"/>
  <c r="O164"/>
  <c r="L164"/>
  <c r="K164"/>
  <c r="O163"/>
  <c r="L163"/>
  <c r="K163"/>
  <c r="O162"/>
  <c r="L162"/>
  <c r="K162"/>
  <c r="O161"/>
  <c r="L161"/>
  <c r="K161"/>
  <c r="O160"/>
  <c r="L160"/>
  <c r="K160"/>
  <c r="O159"/>
  <c r="L159"/>
  <c r="K159"/>
  <c r="O158"/>
  <c r="L158"/>
  <c r="K158"/>
  <c r="O157"/>
  <c r="L157"/>
  <c r="K157"/>
  <c r="O155"/>
  <c r="L155"/>
  <c r="K155"/>
  <c r="O154"/>
  <c r="L154"/>
  <c r="K154"/>
  <c r="O153"/>
  <c r="L153"/>
  <c r="K153"/>
  <c r="O152"/>
  <c r="L152"/>
  <c r="K152"/>
  <c r="O151"/>
  <c r="L151"/>
  <c r="K151"/>
  <c r="O150"/>
  <c r="L150"/>
  <c r="K150"/>
  <c r="O149"/>
  <c r="L149"/>
  <c r="K149"/>
  <c r="O148"/>
  <c r="L148"/>
  <c r="K148"/>
  <c r="O147"/>
  <c r="L147"/>
  <c r="K147"/>
  <c r="O146"/>
  <c r="L146"/>
  <c r="K146"/>
  <c r="O145"/>
  <c r="L145"/>
  <c r="K145"/>
  <c r="O144"/>
  <c r="L144"/>
  <c r="K144"/>
  <c r="O143"/>
  <c r="L143"/>
  <c r="K143"/>
  <c r="O142"/>
  <c r="L142"/>
  <c r="K142"/>
  <c r="O141"/>
  <c r="L141"/>
  <c r="K141"/>
  <c r="O140"/>
  <c r="L140"/>
  <c r="K140"/>
  <c r="O139"/>
  <c r="L139"/>
  <c r="K139"/>
  <c r="O138"/>
  <c r="L138"/>
  <c r="K138"/>
  <c r="O137"/>
  <c r="L137"/>
  <c r="K137"/>
  <c r="O136"/>
  <c r="L136"/>
  <c r="K136"/>
  <c r="O135"/>
  <c r="L135"/>
  <c r="K135"/>
  <c r="O134"/>
  <c r="L134"/>
  <c r="K134"/>
  <c r="O133"/>
  <c r="L133"/>
  <c r="K133"/>
  <c r="O132"/>
  <c r="L132"/>
  <c r="K132"/>
  <c r="O131"/>
  <c r="L131"/>
  <c r="K131"/>
  <c r="O130"/>
  <c r="L130"/>
  <c r="K130"/>
  <c r="O129"/>
  <c r="L129"/>
  <c r="K129"/>
  <c r="O128"/>
  <c r="L128"/>
  <c r="K128"/>
  <c r="O127"/>
  <c r="L127"/>
  <c r="K127"/>
  <c r="O126"/>
  <c r="L126"/>
  <c r="K126"/>
  <c r="O125"/>
  <c r="L125"/>
  <c r="K125"/>
  <c r="O124"/>
  <c r="L124"/>
  <c r="K124"/>
  <c r="O123"/>
  <c r="L123"/>
  <c r="K123"/>
  <c r="O122"/>
  <c r="L122"/>
  <c r="K122"/>
  <c r="O121"/>
  <c r="L121"/>
  <c r="K121"/>
  <c r="O120"/>
  <c r="L120"/>
  <c r="K120"/>
  <c r="O119"/>
  <c r="L119"/>
  <c r="K119"/>
  <c r="O118"/>
  <c r="L118"/>
  <c r="K118"/>
  <c r="O117"/>
  <c r="L117"/>
  <c r="K117"/>
  <c r="O116"/>
  <c r="L116"/>
  <c r="K116"/>
  <c r="O115"/>
  <c r="L115"/>
  <c r="K115"/>
  <c r="O114"/>
  <c r="L114"/>
  <c r="K114"/>
  <c r="O113"/>
  <c r="L113"/>
  <c r="K113"/>
  <c r="O112"/>
  <c r="L112"/>
  <c r="K112"/>
  <c r="O111"/>
  <c r="L111"/>
  <c r="K111"/>
  <c r="O110"/>
  <c r="L110"/>
  <c r="K110"/>
  <c r="O109"/>
  <c r="L109"/>
  <c r="K109"/>
  <c r="O108"/>
  <c r="L108"/>
  <c r="K108"/>
  <c r="O107"/>
  <c r="L107"/>
  <c r="K107"/>
  <c r="O106"/>
  <c r="L106"/>
  <c r="K106"/>
  <c r="O105"/>
  <c r="L105"/>
  <c r="K105"/>
  <c r="O104"/>
  <c r="L104"/>
  <c r="K104"/>
  <c r="O103"/>
  <c r="L103"/>
  <c r="K103"/>
  <c r="O102"/>
  <c r="L102"/>
  <c r="K102"/>
  <c r="O101"/>
  <c r="L101"/>
  <c r="K101"/>
  <c r="O100"/>
  <c r="L100"/>
  <c r="K100"/>
  <c r="O99"/>
  <c r="L99"/>
  <c r="K99"/>
  <c r="O98"/>
  <c r="L98"/>
  <c r="K98"/>
  <c r="O97"/>
  <c r="L97"/>
  <c r="K97"/>
  <c r="O96"/>
  <c r="L96"/>
  <c r="K96"/>
  <c r="O95"/>
  <c r="L95"/>
  <c r="K95"/>
  <c r="O94"/>
  <c r="L94"/>
  <c r="K94"/>
  <c r="O93"/>
  <c r="L93"/>
  <c r="K93"/>
  <c r="O92"/>
  <c r="L92"/>
  <c r="K92"/>
  <c r="O91"/>
  <c r="L91"/>
  <c r="K91"/>
  <c r="O90"/>
  <c r="L90"/>
  <c r="K90"/>
  <c r="O89"/>
  <c r="L89"/>
  <c r="K89"/>
  <c r="O88"/>
  <c r="L88"/>
  <c r="K88"/>
  <c r="O87"/>
  <c r="L87"/>
  <c r="K87"/>
  <c r="O86"/>
  <c r="L86"/>
  <c r="K86"/>
  <c r="O85"/>
  <c r="L85"/>
  <c r="K85"/>
  <c r="O84"/>
  <c r="L84"/>
  <c r="K84"/>
  <c r="O83"/>
  <c r="L83"/>
  <c r="K83"/>
  <c r="O82"/>
  <c r="L82"/>
  <c r="K82"/>
  <c r="O81"/>
  <c r="L81"/>
  <c r="K81"/>
  <c r="O80"/>
  <c r="L80"/>
  <c r="K80"/>
  <c r="O79"/>
  <c r="L79"/>
  <c r="K79"/>
  <c r="O78"/>
  <c r="L78"/>
  <c r="K78"/>
  <c r="O77"/>
  <c r="L77"/>
  <c r="K77"/>
  <c r="O76"/>
  <c r="L76"/>
  <c r="K76"/>
  <c r="O75"/>
  <c r="L75"/>
  <c r="K75"/>
  <c r="O74"/>
  <c r="L74"/>
  <c r="K74"/>
  <c r="O73"/>
  <c r="L73"/>
  <c r="K73"/>
  <c r="O72"/>
  <c r="L72"/>
  <c r="K72"/>
  <c r="O71"/>
  <c r="L71"/>
  <c r="K71"/>
  <c r="O70"/>
  <c r="L70"/>
  <c r="K70"/>
  <c r="O69"/>
  <c r="L69"/>
  <c r="K69"/>
  <c r="O68"/>
  <c r="L68"/>
  <c r="K68"/>
  <c r="O67"/>
  <c r="L67"/>
  <c r="K67"/>
  <c r="O66"/>
  <c r="L66"/>
  <c r="K66"/>
  <c r="O65"/>
  <c r="L65"/>
  <c r="K65"/>
  <c r="O64"/>
  <c r="L64"/>
  <c r="K64"/>
  <c r="O63"/>
  <c r="L63"/>
  <c r="K63"/>
  <c r="O62"/>
  <c r="L62"/>
  <c r="K62"/>
  <c r="O61"/>
  <c r="L61"/>
  <c r="K61"/>
  <c r="O60"/>
  <c r="L60"/>
  <c r="K60"/>
  <c r="O59"/>
  <c r="L59"/>
  <c r="K59"/>
  <c r="O58"/>
  <c r="L58"/>
  <c r="K58"/>
  <c r="O57"/>
  <c r="L57"/>
  <c r="K57"/>
  <c r="O56"/>
  <c r="L56"/>
  <c r="K56"/>
  <c r="O55"/>
  <c r="L55"/>
  <c r="K55"/>
  <c r="O54"/>
  <c r="L54"/>
  <c r="K54"/>
  <c r="O53"/>
  <c r="L53"/>
  <c r="K53"/>
  <c r="O52"/>
  <c r="L52"/>
  <c r="K52"/>
  <c r="O51"/>
  <c r="L51"/>
  <c r="K51"/>
  <c r="O50"/>
  <c r="L50"/>
  <c r="K50"/>
  <c r="O49"/>
  <c r="L49"/>
  <c r="K49"/>
  <c r="O48"/>
  <c r="L48"/>
  <c r="K48"/>
  <c r="O47"/>
  <c r="L47"/>
  <c r="K47"/>
  <c r="O46"/>
  <c r="L46"/>
  <c r="K46"/>
  <c r="O45"/>
  <c r="L45"/>
  <c r="K45"/>
  <c r="O44"/>
  <c r="L44"/>
  <c r="K44"/>
  <c r="O43"/>
  <c r="L43"/>
  <c r="K43"/>
  <c r="O42"/>
  <c r="L42"/>
  <c r="K42"/>
  <c r="O41"/>
  <c r="L41"/>
  <c r="K41"/>
  <c r="O40"/>
  <c r="L40"/>
  <c r="K40"/>
  <c r="O39"/>
  <c r="L39"/>
  <c r="K39"/>
  <c r="O38"/>
  <c r="L38"/>
  <c r="K38"/>
  <c r="O37"/>
  <c r="L37"/>
  <c r="K37"/>
  <c r="O36"/>
  <c r="L36"/>
  <c r="K36"/>
  <c r="O35"/>
  <c r="L35"/>
  <c r="K35"/>
  <c r="O34"/>
  <c r="L34"/>
  <c r="K34"/>
  <c r="O33"/>
  <c r="L33"/>
  <c r="K33"/>
  <c r="O32"/>
  <c r="L32"/>
  <c r="K32"/>
  <c r="O31"/>
  <c r="L31"/>
  <c r="K31"/>
  <c r="O30"/>
  <c r="L30"/>
  <c r="K30"/>
  <c r="O29"/>
  <c r="L29"/>
  <c r="K29"/>
  <c r="O28"/>
  <c r="L28"/>
  <c r="K28"/>
  <c r="O27"/>
  <c r="L27"/>
  <c r="K27"/>
  <c r="O26"/>
  <c r="L26"/>
  <c r="K26"/>
  <c r="O25"/>
  <c r="L25"/>
  <c r="K25"/>
  <c r="O24"/>
  <c r="L24"/>
  <c r="K24"/>
  <c r="O23"/>
  <c r="L23"/>
  <c r="K23"/>
  <c r="O22"/>
  <c r="L22"/>
  <c r="K22"/>
  <c r="O21"/>
  <c r="L21"/>
  <c r="K21"/>
  <c r="O20"/>
  <c r="L20"/>
  <c r="K20"/>
  <c r="O19"/>
  <c r="L19"/>
  <c r="K19"/>
  <c r="O18"/>
  <c r="L18"/>
  <c r="K18"/>
  <c r="O17"/>
  <c r="L17"/>
  <c r="K17"/>
  <c r="O16"/>
  <c r="L16"/>
  <c r="K16"/>
  <c r="O15"/>
  <c r="L15"/>
  <c r="K15"/>
  <c r="O14"/>
  <c r="L14"/>
  <c r="K14"/>
  <c r="O13"/>
  <c r="L13"/>
  <c r="K13"/>
  <c r="O12"/>
  <c r="L12"/>
  <c r="K12"/>
  <c r="O11"/>
  <c r="L11"/>
  <c r="K11"/>
  <c r="O10"/>
  <c r="L10"/>
  <c r="K10"/>
  <c r="O9"/>
  <c r="L9"/>
  <c r="K9"/>
  <c r="O8"/>
  <c r="L8"/>
  <c r="K8"/>
  <c r="O7"/>
  <c r="L7"/>
  <c r="K7"/>
  <c r="O6"/>
  <c r="L6"/>
  <c r="K6"/>
  <c r="O5"/>
  <c r="L5"/>
  <c r="K5"/>
  <c r="O4"/>
  <c r="L4"/>
  <c r="K4"/>
  <c r="O3"/>
  <c r="L3"/>
  <c r="K3"/>
  <c r="O2"/>
  <c r="L2"/>
  <c r="K2"/>
  <c r="K38" i="9"/>
  <c r="J38"/>
  <c r="K37"/>
  <c r="J37"/>
  <c r="K36"/>
  <c r="J36"/>
  <c r="K35"/>
  <c r="J35"/>
  <c r="K34"/>
  <c r="J34"/>
  <c r="K33"/>
  <c r="J33"/>
  <c r="K32"/>
  <c r="J32"/>
  <c r="K31"/>
  <c r="J31"/>
  <c r="K30"/>
  <c r="J30"/>
  <c r="K29"/>
  <c r="J29"/>
  <c r="K28"/>
  <c r="J28"/>
  <c r="K27"/>
  <c r="J27"/>
  <c r="K26"/>
  <c r="J26"/>
  <c r="K25"/>
  <c r="J25"/>
  <c r="K24"/>
  <c r="J24"/>
  <c r="K23"/>
  <c r="J23"/>
  <c r="K22"/>
  <c r="J22"/>
  <c r="K21"/>
  <c r="J21"/>
  <c r="K20"/>
  <c r="J20"/>
  <c r="K19"/>
  <c r="K18"/>
  <c r="K17"/>
  <c r="J17"/>
  <c r="K16"/>
  <c r="J16"/>
  <c r="K15"/>
  <c r="J15"/>
  <c r="K14"/>
  <c r="J14"/>
  <c r="K13"/>
  <c r="J13"/>
  <c r="K12"/>
  <c r="J12"/>
  <c r="K11"/>
  <c r="J11"/>
  <c r="K10"/>
  <c r="J10"/>
  <c r="K9"/>
  <c r="J9"/>
  <c r="K8"/>
  <c r="J8"/>
  <c r="K7"/>
  <c r="J7"/>
  <c r="K6"/>
  <c r="J6"/>
  <c r="K5"/>
  <c r="J5"/>
  <c r="K4"/>
  <c r="J4"/>
  <c r="K3"/>
  <c r="J3"/>
  <c r="K2"/>
  <c r="J2"/>
  <c r="F24" i="3"/>
  <c r="F22"/>
  <c r="G12"/>
  <c r="G9"/>
  <c r="G10"/>
  <c r="G11"/>
  <c r="F19" i="8"/>
  <c r="E19"/>
  <c r="D19"/>
  <c r="C19"/>
  <c r="F39" i="9"/>
  <c r="E39"/>
  <c r="D39"/>
  <c r="C39"/>
  <c r="B24" i="3"/>
  <c r="F18"/>
  <c r="F16"/>
  <c r="F12"/>
  <c r="I19" i="8"/>
  <c r="I39" i="9"/>
  <c r="B18" i="3"/>
  <c r="B16"/>
  <c r="F295" i="7"/>
  <c r="E295"/>
  <c r="D295"/>
  <c r="C295"/>
  <c r="N33" i="3"/>
  <c r="M33"/>
  <c r="L33"/>
  <c r="K33"/>
  <c r="J33"/>
  <c r="N32"/>
  <c r="N30"/>
  <c r="N29"/>
  <c r="G14"/>
  <c r="F5"/>
  <c r="N5" i="1"/>
  <c r="N6"/>
  <c r="N7"/>
  <c r="N8"/>
  <c r="N9"/>
  <c r="N10"/>
  <c r="N11"/>
  <c r="N12"/>
  <c r="N13"/>
  <c r="N14"/>
  <c r="N15"/>
  <c r="N16"/>
  <c r="N17"/>
  <c r="N18"/>
  <c r="N19"/>
  <c r="N20"/>
  <c r="N21"/>
  <c r="N22"/>
  <c r="N23"/>
  <c r="N24"/>
  <c r="N25"/>
  <c r="N26"/>
  <c r="N27"/>
  <c r="N28"/>
  <c r="N29"/>
  <c r="N30"/>
  <c r="N31"/>
  <c r="N32"/>
  <c r="N33"/>
  <c r="N34"/>
  <c r="N35"/>
  <c r="N36"/>
  <c r="N37"/>
  <c r="N38"/>
  <c r="N39"/>
  <c r="N40"/>
  <c r="N41"/>
  <c r="N42"/>
  <c r="N43"/>
  <c r="N44"/>
  <c r="N45"/>
  <c r="N46"/>
  <c r="N47"/>
  <c r="N48"/>
  <c r="N49"/>
  <c r="N50"/>
  <c r="N51"/>
  <c r="N52"/>
  <c r="N53"/>
  <c r="N54"/>
  <c r="N55"/>
  <c r="N56"/>
  <c r="N57"/>
  <c r="N58"/>
  <c r="N59"/>
  <c r="N60"/>
  <c r="N61"/>
  <c r="N62"/>
  <c r="N63"/>
  <c r="N64"/>
  <c r="N65"/>
  <c r="N66"/>
  <c r="N67"/>
  <c r="N68"/>
  <c r="N69"/>
  <c r="N70"/>
  <c r="N71"/>
  <c r="N72"/>
  <c r="N73"/>
  <c r="N74"/>
  <c r="N75"/>
  <c r="N76"/>
  <c r="N77"/>
  <c r="N78"/>
  <c r="N79"/>
  <c r="N80"/>
  <c r="N81"/>
  <c r="N82"/>
  <c r="N83"/>
  <c r="N84"/>
  <c r="N85"/>
  <c r="N86"/>
  <c r="N87"/>
  <c r="N88"/>
  <c r="N89"/>
  <c r="N90"/>
  <c r="N91"/>
  <c r="N92"/>
  <c r="N93"/>
  <c r="N94"/>
  <c r="N95"/>
  <c r="N96"/>
  <c r="N97"/>
  <c r="N98"/>
  <c r="N99"/>
  <c r="N100"/>
  <c r="N101"/>
  <c r="N102"/>
  <c r="N103"/>
  <c r="N104"/>
  <c r="N105"/>
  <c r="N106"/>
  <c r="N107"/>
  <c r="N108"/>
  <c r="N109"/>
  <c r="N110"/>
  <c r="N111"/>
  <c r="N112"/>
  <c r="N113"/>
  <c r="N114"/>
  <c r="N115"/>
  <c r="N116"/>
  <c r="N117"/>
  <c r="N118"/>
  <c r="N119"/>
  <c r="N120"/>
  <c r="N121"/>
  <c r="N122"/>
  <c r="N123"/>
  <c r="N124"/>
  <c r="N125"/>
  <c r="N126"/>
  <c r="N127"/>
  <c r="N128"/>
  <c r="N129"/>
  <c r="N130"/>
  <c r="N131"/>
  <c r="N132"/>
  <c r="N133"/>
  <c r="N134"/>
  <c r="N135"/>
  <c r="N136"/>
  <c r="N137"/>
  <c r="N138"/>
  <c r="N139"/>
  <c r="N140"/>
  <c r="N141"/>
  <c r="N142"/>
  <c r="N143"/>
  <c r="N144"/>
  <c r="N145"/>
  <c r="N146"/>
  <c r="N147"/>
  <c r="N148"/>
  <c r="N149"/>
  <c r="N150"/>
  <c r="N151"/>
  <c r="N152"/>
  <c r="N153"/>
  <c r="N154"/>
  <c r="N155"/>
  <c r="N156"/>
  <c r="N157"/>
  <c r="N158"/>
  <c r="N159"/>
  <c r="N160"/>
  <c r="N161"/>
  <c r="N162"/>
  <c r="N163"/>
  <c r="N164"/>
  <c r="N165"/>
  <c r="N166"/>
  <c r="N167"/>
  <c r="N168"/>
  <c r="N169"/>
  <c r="N170"/>
  <c r="N171"/>
  <c r="N172"/>
  <c r="N173"/>
  <c r="N174"/>
  <c r="N175"/>
  <c r="N176"/>
  <c r="N177"/>
  <c r="N178"/>
  <c r="N179"/>
  <c r="N180"/>
  <c r="N181"/>
  <c r="N182"/>
  <c r="N183"/>
  <c r="N184"/>
  <c r="N185"/>
  <c r="N186"/>
  <c r="N187"/>
  <c r="N188"/>
  <c r="N189"/>
  <c r="N190"/>
  <c r="N191"/>
  <c r="N192"/>
  <c r="N193"/>
  <c r="N194"/>
  <c r="N195"/>
  <c r="N196"/>
  <c r="N197"/>
  <c r="N198"/>
  <c r="N199"/>
  <c r="N200"/>
  <c r="N201"/>
  <c r="N202"/>
  <c r="N203"/>
  <c r="N204"/>
  <c r="N205"/>
  <c r="N206"/>
  <c r="N207"/>
  <c r="N208"/>
  <c r="N209"/>
  <c r="N210"/>
  <c r="N211"/>
  <c r="N212"/>
  <c r="N213"/>
  <c r="N214"/>
  <c r="N215"/>
  <c r="N216"/>
  <c r="N217"/>
  <c r="N218"/>
  <c r="N219"/>
  <c r="N220"/>
  <c r="N221"/>
  <c r="N222"/>
  <c r="N223"/>
  <c r="N224"/>
  <c r="N225"/>
  <c r="N226"/>
  <c r="N227"/>
  <c r="N228"/>
  <c r="N229"/>
  <c r="N230"/>
  <c r="N231"/>
  <c r="N232"/>
  <c r="N233"/>
  <c r="N234"/>
  <c r="N235"/>
  <c r="N236"/>
  <c r="N237"/>
  <c r="N238"/>
  <c r="N239"/>
  <c r="N240"/>
  <c r="N241"/>
  <c r="N242"/>
  <c r="N243"/>
  <c r="N244"/>
  <c r="N245"/>
  <c r="N246"/>
  <c r="N247"/>
  <c r="N248"/>
  <c r="N249"/>
  <c r="N250"/>
  <c r="N251"/>
  <c r="N252"/>
  <c r="N253"/>
  <c r="N254"/>
  <c r="N255"/>
  <c r="N256"/>
  <c r="N257"/>
  <c r="N258"/>
  <c r="N259"/>
  <c r="N260"/>
  <c r="N261"/>
  <c r="N262"/>
  <c r="N263"/>
  <c r="N264"/>
  <c r="N265"/>
  <c r="N266"/>
  <c r="N267"/>
  <c r="N268"/>
  <c r="N269"/>
  <c r="N270"/>
  <c r="N271"/>
  <c r="N272"/>
  <c r="N273"/>
  <c r="N274"/>
  <c r="N275"/>
  <c r="N276"/>
  <c r="N277"/>
  <c r="N278"/>
  <c r="N279"/>
  <c r="N280"/>
  <c r="N281"/>
  <c r="N282"/>
  <c r="N283"/>
  <c r="N284"/>
  <c r="N285"/>
  <c r="N286"/>
  <c r="N287"/>
  <c r="N288"/>
  <c r="N289"/>
  <c r="N290"/>
  <c r="N291"/>
  <c r="N292"/>
  <c r="N293"/>
  <c r="N294"/>
  <c r="N295"/>
  <c r="N296"/>
  <c r="N4"/>
  <c r="K5"/>
  <c r="K6"/>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4"/>
  <c r="K105"/>
  <c r="K106"/>
  <c r="K107"/>
  <c r="K108"/>
  <c r="K109"/>
  <c r="K110"/>
  <c r="K111"/>
  <c r="K112"/>
  <c r="K113"/>
  <c r="K114"/>
  <c r="K115"/>
  <c r="K116"/>
  <c r="K117"/>
  <c r="K118"/>
  <c r="K119"/>
  <c r="K120"/>
  <c r="K121"/>
  <c r="K122"/>
  <c r="K123"/>
  <c r="K124"/>
  <c r="K125"/>
  <c r="K126"/>
  <c r="K127"/>
  <c r="K128"/>
  <c r="K129"/>
  <c r="K130"/>
  <c r="K131"/>
  <c r="K132"/>
  <c r="K133"/>
  <c r="K134"/>
  <c r="K135"/>
  <c r="K136"/>
  <c r="K137"/>
  <c r="K138"/>
  <c r="K139"/>
  <c r="K140"/>
  <c r="K141"/>
  <c r="K142"/>
  <c r="K143"/>
  <c r="K144"/>
  <c r="K145"/>
  <c r="K146"/>
  <c r="K147"/>
  <c r="K148"/>
  <c r="K149"/>
  <c r="K150"/>
  <c r="K151"/>
  <c r="K152"/>
  <c r="K153"/>
  <c r="K154"/>
  <c r="K155"/>
  <c r="K156"/>
  <c r="K157"/>
  <c r="K158"/>
  <c r="K159"/>
  <c r="K160"/>
  <c r="K161"/>
  <c r="K162"/>
  <c r="K163"/>
  <c r="K164"/>
  <c r="K165"/>
  <c r="K166"/>
  <c r="K167"/>
  <c r="K168"/>
  <c r="K169"/>
  <c r="K170"/>
  <c r="K171"/>
  <c r="K172"/>
  <c r="K173"/>
  <c r="K174"/>
  <c r="K175"/>
  <c r="K176"/>
  <c r="K177"/>
  <c r="K178"/>
  <c r="K179"/>
  <c r="K180"/>
  <c r="K181"/>
  <c r="K182"/>
  <c r="K183"/>
  <c r="K184"/>
  <c r="K185"/>
  <c r="K186"/>
  <c r="K187"/>
  <c r="K188"/>
  <c r="K189"/>
  <c r="K190"/>
  <c r="K191"/>
  <c r="K192"/>
  <c r="K193"/>
  <c r="K194"/>
  <c r="K195"/>
  <c r="K196"/>
  <c r="K197"/>
  <c r="K198"/>
  <c r="K199"/>
  <c r="K200"/>
  <c r="K201"/>
  <c r="K202"/>
  <c r="K203"/>
  <c r="K204"/>
  <c r="K205"/>
  <c r="K206"/>
  <c r="K207"/>
  <c r="K208"/>
  <c r="K209"/>
  <c r="K210"/>
  <c r="K211"/>
  <c r="K212"/>
  <c r="K213"/>
  <c r="K214"/>
  <c r="K215"/>
  <c r="K216"/>
  <c r="K217"/>
  <c r="K218"/>
  <c r="K219"/>
  <c r="K220"/>
  <c r="K221"/>
  <c r="K222"/>
  <c r="K223"/>
  <c r="K224"/>
  <c r="K225"/>
  <c r="K226"/>
  <c r="K227"/>
  <c r="K228"/>
  <c r="K229"/>
  <c r="K230"/>
  <c r="K231"/>
  <c r="K232"/>
  <c r="K233"/>
  <c r="K234"/>
  <c r="K235"/>
  <c r="K236"/>
  <c r="K237"/>
  <c r="K238"/>
  <c r="K239"/>
  <c r="K240"/>
  <c r="K241"/>
  <c r="K242"/>
  <c r="K243"/>
  <c r="K244"/>
  <c r="K245"/>
  <c r="K246"/>
  <c r="K247"/>
  <c r="K248"/>
  <c r="K249"/>
  <c r="K250"/>
  <c r="K251"/>
  <c r="K252"/>
  <c r="K253"/>
  <c r="K254"/>
  <c r="K255"/>
  <c r="K256"/>
  <c r="K257"/>
  <c r="K258"/>
  <c r="K259"/>
  <c r="K260"/>
  <c r="K261"/>
  <c r="K262"/>
  <c r="K263"/>
  <c r="K264"/>
  <c r="K265"/>
  <c r="K266"/>
  <c r="K267"/>
  <c r="K268"/>
  <c r="K269"/>
  <c r="K270"/>
  <c r="K271"/>
  <c r="K272"/>
  <c r="K273"/>
  <c r="K274"/>
  <c r="K275"/>
  <c r="K276"/>
  <c r="K277"/>
  <c r="K278"/>
  <c r="K279"/>
  <c r="K280"/>
  <c r="K281"/>
  <c r="K282"/>
  <c r="K283"/>
  <c r="K284"/>
  <c r="K285"/>
  <c r="K286"/>
  <c r="K287"/>
  <c r="K288"/>
  <c r="K289"/>
  <c r="K290"/>
  <c r="K291"/>
  <c r="K292"/>
  <c r="K293"/>
  <c r="K294"/>
  <c r="K295"/>
  <c r="K296"/>
  <c r="K4"/>
  <c r="H5"/>
  <c r="H6"/>
  <c r="H7"/>
  <c r="H8"/>
  <c r="H9"/>
  <c r="H10"/>
  <c r="H11"/>
  <c r="H1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H179"/>
  <c r="H180"/>
  <c r="H181"/>
  <c r="H182"/>
  <c r="H183"/>
  <c r="H184"/>
  <c r="H185"/>
  <c r="H186"/>
  <c r="H187"/>
  <c r="H188"/>
  <c r="H189"/>
  <c r="H190"/>
  <c r="H191"/>
  <c r="H192"/>
  <c r="H193"/>
  <c r="H194"/>
  <c r="H195"/>
  <c r="H196"/>
  <c r="H197"/>
  <c r="H198"/>
  <c r="H199"/>
  <c r="H200"/>
  <c r="H201"/>
  <c r="H202"/>
  <c r="H203"/>
  <c r="H204"/>
  <c r="H205"/>
  <c r="H206"/>
  <c r="H207"/>
  <c r="H208"/>
  <c r="H209"/>
  <c r="H210"/>
  <c r="H211"/>
  <c r="H212"/>
  <c r="H213"/>
  <c r="H214"/>
  <c r="H215"/>
  <c r="H216"/>
  <c r="H217"/>
  <c r="H218"/>
  <c r="H219"/>
  <c r="H220"/>
  <c r="H221"/>
  <c r="H222"/>
  <c r="H223"/>
  <c r="H224"/>
  <c r="H225"/>
  <c r="H226"/>
  <c r="H227"/>
  <c r="H228"/>
  <c r="H229"/>
  <c r="H230"/>
  <c r="H231"/>
  <c r="H232"/>
  <c r="H233"/>
  <c r="H234"/>
  <c r="H235"/>
  <c r="H236"/>
  <c r="H237"/>
  <c r="H238"/>
  <c r="H239"/>
  <c r="H240"/>
  <c r="H241"/>
  <c r="H242"/>
  <c r="H243"/>
  <c r="H244"/>
  <c r="H245"/>
  <c r="H246"/>
  <c r="H247"/>
  <c r="H248"/>
  <c r="H249"/>
  <c r="H250"/>
  <c r="H251"/>
  <c r="H252"/>
  <c r="H253"/>
  <c r="H254"/>
  <c r="H255"/>
  <c r="H256"/>
  <c r="H257"/>
  <c r="H258"/>
  <c r="H259"/>
  <c r="H260"/>
  <c r="H261"/>
  <c r="H262"/>
  <c r="H263"/>
  <c r="H264"/>
  <c r="H265"/>
  <c r="H266"/>
  <c r="H267"/>
  <c r="H268"/>
  <c r="H269"/>
  <c r="H270"/>
  <c r="H271"/>
  <c r="H272"/>
  <c r="H273"/>
  <c r="H274"/>
  <c r="H275"/>
  <c r="H276"/>
  <c r="H277"/>
  <c r="H278"/>
  <c r="H279"/>
  <c r="H280"/>
  <c r="H281"/>
  <c r="H282"/>
  <c r="H283"/>
  <c r="H284"/>
  <c r="H285"/>
  <c r="H286"/>
  <c r="H287"/>
  <c r="H288"/>
  <c r="H289"/>
  <c r="H290"/>
  <c r="H291"/>
  <c r="H292"/>
  <c r="H293"/>
  <c r="H294"/>
  <c r="H295"/>
  <c r="H296"/>
  <c r="H4"/>
  <c r="E5"/>
  <c r="E6"/>
  <c r="E7"/>
  <c r="E8"/>
  <c r="E9"/>
  <c r="E10"/>
  <c r="E11"/>
  <c r="E12"/>
  <c r="E13"/>
  <c r="E14"/>
  <c r="E15"/>
  <c r="E16"/>
  <c r="E17"/>
  <c r="E18"/>
  <c r="E19"/>
  <c r="E20"/>
  <c r="E21"/>
  <c r="E22"/>
  <c r="E23"/>
  <c r="E24"/>
  <c r="E25"/>
  <c r="E26"/>
  <c r="E27"/>
  <c r="E28"/>
  <c r="E29"/>
  <c r="E30"/>
  <c r="E31"/>
  <c r="E32"/>
  <c r="E33"/>
  <c r="E34"/>
  <c r="E35"/>
  <c r="E36"/>
  <c r="E37"/>
  <c r="E38"/>
  <c r="E39"/>
  <c r="E40"/>
  <c r="E41"/>
  <c r="E42"/>
  <c r="E43"/>
  <c r="E44"/>
  <c r="E45"/>
  <c r="E46"/>
  <c r="E47"/>
  <c r="E48"/>
  <c r="E49"/>
  <c r="E50"/>
  <c r="E51"/>
  <c r="E52"/>
  <c r="E53"/>
  <c r="E54"/>
  <c r="E55"/>
  <c r="E56"/>
  <c r="E57"/>
  <c r="E58"/>
  <c r="E59"/>
  <c r="E60"/>
  <c r="E61"/>
  <c r="E62"/>
  <c r="E63"/>
  <c r="E64"/>
  <c r="E65"/>
  <c r="E66"/>
  <c r="E67"/>
  <c r="E68"/>
  <c r="E69"/>
  <c r="E70"/>
  <c r="E71"/>
  <c r="E72"/>
  <c r="E73"/>
  <c r="E74"/>
  <c r="E75"/>
  <c r="E76"/>
  <c r="E77"/>
  <c r="E78"/>
  <c r="E79"/>
  <c r="E80"/>
  <c r="E81"/>
  <c r="E82"/>
  <c r="E83"/>
  <c r="E84"/>
  <c r="E85"/>
  <c r="E86"/>
  <c r="E87"/>
  <c r="E88"/>
  <c r="E89"/>
  <c r="E90"/>
  <c r="E91"/>
  <c r="E92"/>
  <c r="E93"/>
  <c r="E94"/>
  <c r="E95"/>
  <c r="E96"/>
  <c r="E97"/>
  <c r="E98"/>
  <c r="E99"/>
  <c r="E100"/>
  <c r="E101"/>
  <c r="E102"/>
  <c r="E103"/>
  <c r="E104"/>
  <c r="E105"/>
  <c r="E106"/>
  <c r="E107"/>
  <c r="E108"/>
  <c r="E109"/>
  <c r="E110"/>
  <c r="E111"/>
  <c r="E112"/>
  <c r="E113"/>
  <c r="E114"/>
  <c r="E115"/>
  <c r="E116"/>
  <c r="E117"/>
  <c r="E118"/>
  <c r="E119"/>
  <c r="E120"/>
  <c r="E121"/>
  <c r="E122"/>
  <c r="E123"/>
  <c r="E124"/>
  <c r="E125"/>
  <c r="E126"/>
  <c r="E127"/>
  <c r="E128"/>
  <c r="E129"/>
  <c r="E130"/>
  <c r="E131"/>
  <c r="E132"/>
  <c r="E133"/>
  <c r="E134"/>
  <c r="E135"/>
  <c r="E136"/>
  <c r="E137"/>
  <c r="E138"/>
  <c r="E139"/>
  <c r="E140"/>
  <c r="E141"/>
  <c r="E142"/>
  <c r="E143"/>
  <c r="E144"/>
  <c r="E145"/>
  <c r="E146"/>
  <c r="E147"/>
  <c r="E148"/>
  <c r="E149"/>
  <c r="E150"/>
  <c r="E151"/>
  <c r="E152"/>
  <c r="E153"/>
  <c r="E154"/>
  <c r="E155"/>
  <c r="E156"/>
  <c r="E157"/>
  <c r="E158"/>
  <c r="E159"/>
  <c r="E160"/>
  <c r="E161"/>
  <c r="E162"/>
  <c r="E163"/>
  <c r="E164"/>
  <c r="E165"/>
  <c r="E166"/>
  <c r="E167"/>
  <c r="E168"/>
  <c r="E169"/>
  <c r="E170"/>
  <c r="E171"/>
  <c r="E172"/>
  <c r="E173"/>
  <c r="E174"/>
  <c r="E175"/>
  <c r="E176"/>
  <c r="E177"/>
  <c r="E178"/>
  <c r="E179"/>
  <c r="E180"/>
  <c r="E181"/>
  <c r="E182"/>
  <c r="E183"/>
  <c r="E184"/>
  <c r="E185"/>
  <c r="E186"/>
  <c r="E187"/>
  <c r="E188"/>
  <c r="E189"/>
  <c r="E190"/>
  <c r="E191"/>
  <c r="E192"/>
  <c r="E193"/>
  <c r="E194"/>
  <c r="E195"/>
  <c r="E196"/>
  <c r="E197"/>
  <c r="E198"/>
  <c r="E199"/>
  <c r="E200"/>
  <c r="E201"/>
  <c r="E202"/>
  <c r="E203"/>
  <c r="E204"/>
  <c r="E205"/>
  <c r="E206"/>
  <c r="E207"/>
  <c r="E208"/>
  <c r="E209"/>
  <c r="E210"/>
  <c r="E211"/>
  <c r="E212"/>
  <c r="E213"/>
  <c r="E214"/>
  <c r="E215"/>
  <c r="E216"/>
  <c r="E217"/>
  <c r="E218"/>
  <c r="E219"/>
  <c r="E220"/>
  <c r="E221"/>
  <c r="E222"/>
  <c r="E223"/>
  <c r="E224"/>
  <c r="E225"/>
  <c r="E226"/>
  <c r="E227"/>
  <c r="E228"/>
  <c r="E229"/>
  <c r="E230"/>
  <c r="E231"/>
  <c r="E232"/>
  <c r="E233"/>
  <c r="E234"/>
  <c r="E235"/>
  <c r="E236"/>
  <c r="E237"/>
  <c r="E238"/>
  <c r="E239"/>
  <c r="E240"/>
  <c r="E241"/>
  <c r="E242"/>
  <c r="E243"/>
  <c r="E244"/>
  <c r="E245"/>
  <c r="E246"/>
  <c r="E247"/>
  <c r="E248"/>
  <c r="E249"/>
  <c r="E250"/>
  <c r="E251"/>
  <c r="E252"/>
  <c r="E253"/>
  <c r="E254"/>
  <c r="E255"/>
  <c r="E256"/>
  <c r="E257"/>
  <c r="E258"/>
  <c r="E259"/>
  <c r="E260"/>
  <c r="E261"/>
  <c r="E262"/>
  <c r="E263"/>
  <c r="E264"/>
  <c r="E265"/>
  <c r="E266"/>
  <c r="E267"/>
  <c r="E268"/>
  <c r="E269"/>
  <c r="E270"/>
  <c r="E271"/>
  <c r="E272"/>
  <c r="E273"/>
  <c r="E274"/>
  <c r="E275"/>
  <c r="E276"/>
  <c r="E277"/>
  <c r="E278"/>
  <c r="E279"/>
  <c r="E280"/>
  <c r="E281"/>
  <c r="E282"/>
  <c r="E283"/>
  <c r="E284"/>
  <c r="E285"/>
  <c r="E286"/>
  <c r="E287"/>
  <c r="E288"/>
  <c r="E289"/>
  <c r="E290"/>
  <c r="E291"/>
  <c r="E292"/>
  <c r="E293"/>
  <c r="E294"/>
  <c r="E295"/>
  <c r="E296"/>
  <c r="E4"/>
  <c r="F19" i="3"/>
  <c r="G30"/>
  <c r="G28"/>
  <c r="G29"/>
  <c r="G31"/>
  <c r="F17"/>
  <c r="B22"/>
  <c r="B26"/>
  <c r="B25"/>
  <c r="F11"/>
  <c r="L32"/>
  <c r="F9"/>
  <c r="J32"/>
  <c r="M32"/>
  <c r="B12"/>
  <c r="M29"/>
  <c r="F10"/>
  <c r="F26"/>
  <c r="F25"/>
  <c r="E40" i="9"/>
  <c r="D40"/>
  <c r="F40"/>
  <c r="C40"/>
  <c r="B9" i="3"/>
  <c r="B11"/>
  <c r="B10"/>
  <c r="K5"/>
  <c r="C10"/>
  <c r="C12"/>
  <c r="C11"/>
  <c r="C9"/>
  <c r="B19"/>
  <c r="B17"/>
  <c r="F23"/>
  <c r="B14"/>
  <c r="B4"/>
  <c r="B23"/>
  <c r="K32"/>
  <c r="F14"/>
  <c r="M30"/>
  <c r="L30"/>
  <c r="K30"/>
  <c r="J30"/>
  <c r="J3"/>
  <c r="K29"/>
  <c r="B29"/>
  <c r="J29"/>
  <c r="L29"/>
  <c r="C14"/>
  <c r="B5"/>
  <c r="K3"/>
  <c r="B30"/>
  <c r="B31"/>
  <c r="B28"/>
  <c r="F4"/>
  <c r="F28"/>
  <c r="F31"/>
  <c r="F30"/>
  <c r="F29"/>
  <c r="B6"/>
  <c r="L3"/>
  <c r="C28"/>
  <c r="C29"/>
  <c r="C30"/>
  <c r="C31"/>
  <c r="J5"/>
  <c r="F6"/>
  <c r="B34"/>
  <c r="B7"/>
  <c r="F7"/>
  <c r="F34"/>
  <c r="L5"/>
</calcChain>
</file>

<file path=xl/sharedStrings.xml><?xml version="1.0" encoding="utf-8"?>
<sst xmlns="http://schemas.openxmlformats.org/spreadsheetml/2006/main" count="2274" uniqueCount="473">
  <si>
    <t>O062</t>
  </si>
  <si>
    <t>O071</t>
  </si>
  <si>
    <t>Other Revenue</t>
  </si>
  <si>
    <t>S062</t>
  </si>
  <si>
    <t>S071</t>
  </si>
  <si>
    <t>Corp</t>
  </si>
  <si>
    <t>Corporation Name</t>
  </si>
  <si>
    <t>Adams Central Community Schools</t>
  </si>
  <si>
    <t>North Adams Community Schools</t>
  </si>
  <si>
    <t>South Adams Schools</t>
  </si>
  <si>
    <t>M S D Southwest Allen County</t>
  </si>
  <si>
    <t>Northwest Allen County Schools</t>
  </si>
  <si>
    <t>Fort Wayne Community Schools</t>
  </si>
  <si>
    <t>East Allen County Schools</t>
  </si>
  <si>
    <t>Bartholomew Con School Corp</t>
  </si>
  <si>
    <t>Flat Rock-Hawcreek School Corp</t>
  </si>
  <si>
    <t>Benton Community School Corp</t>
  </si>
  <si>
    <t>Blackford County Schools</t>
  </si>
  <si>
    <t>Western Boone Co Com Sch Dist</t>
  </si>
  <si>
    <t>Zionsville Community Schools</t>
  </si>
  <si>
    <t>Lebanon Community School Corp</t>
  </si>
  <si>
    <t>Brown County School Corporation</t>
  </si>
  <si>
    <t>Carroll Consolidated Sch Corp</t>
  </si>
  <si>
    <t>Delphi Community School Corp</t>
  </si>
  <si>
    <t>Pioneer Regional School Corp</t>
  </si>
  <si>
    <t>Southeastern School Corp</t>
  </si>
  <si>
    <t>Logansport Community Sch Corp</t>
  </si>
  <si>
    <t>West Clark Community Schools</t>
  </si>
  <si>
    <t>Clarksville Com School Corp</t>
  </si>
  <si>
    <t>Greater Clark County Schools</t>
  </si>
  <si>
    <t>Clay Community Schools</t>
  </si>
  <si>
    <t>Clinton Central School Corp</t>
  </si>
  <si>
    <t>Clinton Prairie School Corp</t>
  </si>
  <si>
    <t>Community Schools of Frankfort</t>
  </si>
  <si>
    <t>Rossville Con School District</t>
  </si>
  <si>
    <t>Crawford Co Com School Corp</t>
  </si>
  <si>
    <t>Barr-Reeve Com Schools Inc</t>
  </si>
  <si>
    <t>North Daviess Com Schools</t>
  </si>
  <si>
    <t>Washington Com Schools Inc</t>
  </si>
  <si>
    <t>Sunman-Dearborn Com Sch Corp</t>
  </si>
  <si>
    <t>South Dearborn Com School Corp</t>
  </si>
  <si>
    <t>Lawrenceburg Com School Corp</t>
  </si>
  <si>
    <t>Decatur County Com Schools</t>
  </si>
  <si>
    <t>Greensburg Community Schools</t>
  </si>
  <si>
    <t>DeKalb Co Eastern Com Sch Dist</t>
  </si>
  <si>
    <t>Garrett-Keyser-Butler Com</t>
  </si>
  <si>
    <t>DeKalb Co Ctl United Sch Dist</t>
  </si>
  <si>
    <t>Delaware Community School Corp</t>
  </si>
  <si>
    <t>Harrison-Wash Com School Corp</t>
  </si>
  <si>
    <t>Liberty-Perry Com School Corp</t>
  </si>
  <si>
    <t>Cowan Community School Corp</t>
  </si>
  <si>
    <t>Mt Pleasant Twp Com Sch Corp</t>
  </si>
  <si>
    <t>Daleville Community Schools</t>
  </si>
  <si>
    <t>Muncie Community Schools</t>
  </si>
  <si>
    <t>Northeast Dubois Co Sch Corp</t>
  </si>
  <si>
    <t>Southeast Dubois Co Sch Corp</t>
  </si>
  <si>
    <t>Southwest Dubois Co Sch Corp</t>
  </si>
  <si>
    <t>Greater Jasper Con Schs</t>
  </si>
  <si>
    <t>Fairfield Community Schools</t>
  </si>
  <si>
    <t>Baugo Community Schools</t>
  </si>
  <si>
    <t>Concord Community Schools</t>
  </si>
  <si>
    <t>Middlebury Community Schools</t>
  </si>
  <si>
    <t>Wa-Nee Community Schools</t>
  </si>
  <si>
    <t>Elkhart Community Schools</t>
  </si>
  <si>
    <t>Goshen Community Schools</t>
  </si>
  <si>
    <t>Fayette County School Corp</t>
  </si>
  <si>
    <t>New Albany-Floyd Co Con Sch</t>
  </si>
  <si>
    <t>Attica Consolidated Sch Corp</t>
  </si>
  <si>
    <t>Covington Community Sch Corp</t>
  </si>
  <si>
    <t>Southeast Fountain School Corp</t>
  </si>
  <si>
    <t>Franklin County Com Sch Corp</t>
  </si>
  <si>
    <t>Rochester Community Sch Corp</t>
  </si>
  <si>
    <t>Caston School Corporation</t>
  </si>
  <si>
    <t>East Gibson School Corporation</t>
  </si>
  <si>
    <t>North Gibson School Corp</t>
  </si>
  <si>
    <t>South Gibson School Corp</t>
  </si>
  <si>
    <t>Eastbrook Community Sch Corp</t>
  </si>
  <si>
    <t>Madison-Grant United Sch Corp</t>
  </si>
  <si>
    <t>Mississinewa Community School Corp</t>
  </si>
  <si>
    <t>Marion Community Schools</t>
  </si>
  <si>
    <t>Bloomfield School District</t>
  </si>
  <si>
    <t>Eastern Sch Dist of Greene Co</t>
  </si>
  <si>
    <t>Linton-Stockton School Corp</t>
  </si>
  <si>
    <t>M S D Shakamak Schools</t>
  </si>
  <si>
    <t>White River Valley Sch Dist</t>
  </si>
  <si>
    <t>Hamilton Southeastern Schools</t>
  </si>
  <si>
    <t>Hamilton Heights School Corp</t>
  </si>
  <si>
    <t>Westfield-Washington Schools</t>
  </si>
  <si>
    <t>Sheridan Community Schools</t>
  </si>
  <si>
    <t>Carmel Clay Schools</t>
  </si>
  <si>
    <t>Noblesville Schools</t>
  </si>
  <si>
    <t>Southern Hancock Co Com Sch Corp</t>
  </si>
  <si>
    <t>Greenfield-Central Com Schools</t>
  </si>
  <si>
    <t>Mt Vernon Community Sch Corp</t>
  </si>
  <si>
    <t>Eastern Hancock Co Com Sch Corp</t>
  </si>
  <si>
    <t>Lanesville Community School Corp</t>
  </si>
  <si>
    <t>North Harrison Com School Corp</t>
  </si>
  <si>
    <t>South Harrison Com Schools</t>
  </si>
  <si>
    <t>North West Hendricks Schools</t>
  </si>
  <si>
    <t>Brownsburg Community Sch Corp</t>
  </si>
  <si>
    <t>Avon Community School Corp</t>
  </si>
  <si>
    <t>Danville Community School Corp</t>
  </si>
  <si>
    <t>Plainfield Community Sch Corp</t>
  </si>
  <si>
    <t>Mill Creek Community Sch Corp</t>
  </si>
  <si>
    <t>Blue River Valley Schools</t>
  </si>
  <si>
    <t>South Henry School Corp</t>
  </si>
  <si>
    <t>Shenandoah School Corporation</t>
  </si>
  <si>
    <t>New Castle Community Sch Corp</t>
  </si>
  <si>
    <t>C A Beard Memorial School Corp</t>
  </si>
  <si>
    <t>Taylor Community School Corp</t>
  </si>
  <si>
    <t>Northwestern School Corp</t>
  </si>
  <si>
    <t>Eastern Howard School Corp</t>
  </si>
  <si>
    <t>Western School Corp</t>
  </si>
  <si>
    <t>Kokomo-Center Twp Con Sch Corp</t>
  </si>
  <si>
    <t>Huntington Co Com Sch Corp</t>
  </si>
  <si>
    <t>Medora Community School Corp</t>
  </si>
  <si>
    <t>Seymour Community Schools</t>
  </si>
  <si>
    <t>Brownstown Cnt Com Sch Corp</t>
  </si>
  <si>
    <t>Crothersville Community Schools</t>
  </si>
  <si>
    <t>Kankakee Valley School Corp</t>
  </si>
  <si>
    <t>Rensselaer Central School Corp</t>
  </si>
  <si>
    <t>Jay School Corp</t>
  </si>
  <si>
    <t>Madison Consolidated Schools</t>
  </si>
  <si>
    <t>Southwestern-Jefferson Co Con</t>
  </si>
  <si>
    <t>Jennings County Schools</t>
  </si>
  <si>
    <t>Clark-Pleasant Com School Corp</t>
  </si>
  <si>
    <t>Center Grove Com Sch Corp</t>
  </si>
  <si>
    <t>Edinburgh Community Sch Corp</t>
  </si>
  <si>
    <t>Franklin Community School Corp</t>
  </si>
  <si>
    <t>Greenwood Community Sch Corp</t>
  </si>
  <si>
    <t>Nineveh-Hensley-Jackson United</t>
  </si>
  <si>
    <t>North Knox School Corp</t>
  </si>
  <si>
    <t>South Knox School Corp</t>
  </si>
  <si>
    <t>Vincennes Community Sch Corp</t>
  </si>
  <si>
    <t>Wawasee Community School Corp</t>
  </si>
  <si>
    <t>Warsaw Community Schools</t>
  </si>
  <si>
    <t>Tippecanoe Valley School Corp</t>
  </si>
  <si>
    <t>Whitko Community School Corp</t>
  </si>
  <si>
    <t>Prairie Heights Com Sch Corp</t>
  </si>
  <si>
    <t>Westview School Corporation</t>
  </si>
  <si>
    <t>Lakeland School Corporation</t>
  </si>
  <si>
    <t>Hanover Community School Corp</t>
  </si>
  <si>
    <t>River Forest Community Sch Corp</t>
  </si>
  <si>
    <t>Merrillville Community School</t>
  </si>
  <si>
    <t>Lake Central School Corp</t>
  </si>
  <si>
    <t>Tri-Creek School Corp</t>
  </si>
  <si>
    <t>Lake Ridge Schools</t>
  </si>
  <si>
    <t>Crown Point Community Sch Corp</t>
  </si>
  <si>
    <t>School City of East Chicago</t>
  </si>
  <si>
    <t>Lake Station Community Schools</t>
  </si>
  <si>
    <t>Gary Community School Corp</t>
  </si>
  <si>
    <t>Griffith Public Schools</t>
  </si>
  <si>
    <t>School City of Hammond</t>
  </si>
  <si>
    <t>School Town of Highland</t>
  </si>
  <si>
    <t>School City of Hobart</t>
  </si>
  <si>
    <t>School Town of Munster</t>
  </si>
  <si>
    <t>Whiting School City</t>
  </si>
  <si>
    <t>Cass Township Schools</t>
  </si>
  <si>
    <t>Dewey Township Schools</t>
  </si>
  <si>
    <t>New Prairie United School Corp</t>
  </si>
  <si>
    <t>M S D of New Durham Township</t>
  </si>
  <si>
    <t>Prairie Township Schools</t>
  </si>
  <si>
    <t>Michigan City Area Schools</t>
  </si>
  <si>
    <t>South Central Com School Corp</t>
  </si>
  <si>
    <t>LaPorte Community School Corp</t>
  </si>
  <si>
    <t>North Lawrence Com Schools</t>
  </si>
  <si>
    <t>Mitchell Community Schools</t>
  </si>
  <si>
    <t>Frankton-Lapel Community Schs</t>
  </si>
  <si>
    <t>South Madison Com Sch Corp</t>
  </si>
  <si>
    <t>Alexandria Com School Corp</t>
  </si>
  <si>
    <t>Anderson Community School Corp</t>
  </si>
  <si>
    <t>Elwood Community School Corp</t>
  </si>
  <si>
    <t>M S D Decatur Township</t>
  </si>
  <si>
    <t>Franklin Township Com Sch Corp</t>
  </si>
  <si>
    <t>M S D Lawrence Township</t>
  </si>
  <si>
    <t>M S D Perry Township</t>
  </si>
  <si>
    <t>M S D Pike Township</t>
  </si>
  <si>
    <t>M S D Warren Township</t>
  </si>
  <si>
    <t>M S D Washington Township</t>
  </si>
  <si>
    <t>M S D Wayne Township</t>
  </si>
  <si>
    <t>Beech Grove City Schools</t>
  </si>
  <si>
    <t>Indianapolis Public Schools</t>
  </si>
  <si>
    <t>School Town of Speedway</t>
  </si>
  <si>
    <t>Culver Community Schools Corp</t>
  </si>
  <si>
    <t>Argos Community Schools</t>
  </si>
  <si>
    <t>Bremen Public Schools</t>
  </si>
  <si>
    <t>Plymouth Community School Corp</t>
  </si>
  <si>
    <t>Triton School Corporation</t>
  </si>
  <si>
    <t>Shoals Community School Corp</t>
  </si>
  <si>
    <t>Loogootee Community Sch Corp</t>
  </si>
  <si>
    <t>Maconaquah School Corp</t>
  </si>
  <si>
    <t>North Miami Community Schools</t>
  </si>
  <si>
    <t>Oak Hill United School Corp</t>
  </si>
  <si>
    <t>Peru Community Schools</t>
  </si>
  <si>
    <t>Richland-Bean Blossom C S C</t>
  </si>
  <si>
    <t>Monroe County Com Sch Corp</t>
  </si>
  <si>
    <t>North Montgomery Com Sch Corp</t>
  </si>
  <si>
    <t>South Montgomery Com Sch Corp</t>
  </si>
  <si>
    <t>Crawfordsville Com Schools</t>
  </si>
  <si>
    <t>Monroe-Gregg School District</t>
  </si>
  <si>
    <t>Eminence Community School Corp</t>
  </si>
  <si>
    <t>M S D Martinsville Schools</t>
  </si>
  <si>
    <t>Mooresville Con School Corp</t>
  </si>
  <si>
    <t>North Newton School Corp</t>
  </si>
  <si>
    <t>South Newton School Corp</t>
  </si>
  <si>
    <t>Central Noble Com School Corp</t>
  </si>
  <si>
    <t>East Noble School Corp</t>
  </si>
  <si>
    <t>West Noble School Corporation</t>
  </si>
  <si>
    <t>Rising Sun-Ohio Co Com</t>
  </si>
  <si>
    <t>Orleans Community Schools</t>
  </si>
  <si>
    <t>Paoli Community School Corp</t>
  </si>
  <si>
    <t>Springs Valley Com School Corp</t>
  </si>
  <si>
    <t>Spencer-Owen Community Schools</t>
  </si>
  <si>
    <t>Southwest Parke Com Sch Corp</t>
  </si>
  <si>
    <t>Rockville Community School Corp</t>
  </si>
  <si>
    <t>Turkey Run Community Sch Corp</t>
  </si>
  <si>
    <t>Perry Central Com Schools Corp</t>
  </si>
  <si>
    <t>Cannelton City Schools</t>
  </si>
  <si>
    <t>Tell City-Troy Twp School Corp</t>
  </si>
  <si>
    <t>Pike County School Corp</t>
  </si>
  <si>
    <t>M S D Boone Township</t>
  </si>
  <si>
    <t>Duneland School Corporation</t>
  </si>
  <si>
    <t>East Porter County School Corp</t>
  </si>
  <si>
    <t>Porter Township School Corp</t>
  </si>
  <si>
    <t>Union Township School Corp</t>
  </si>
  <si>
    <t>Portage Township Schools</t>
  </si>
  <si>
    <t>Valparaiso Community Schools</t>
  </si>
  <si>
    <t>M S D Mount Vernon</t>
  </si>
  <si>
    <t>M S D North Posey Co Schools</t>
  </si>
  <si>
    <t>New Harmony Town &amp; Twp Con Sch</t>
  </si>
  <si>
    <t>Eastern Pulaski Com Sch Corp</t>
  </si>
  <si>
    <t>West Central School Corp</t>
  </si>
  <si>
    <t>South Putnam Community Schools</t>
  </si>
  <si>
    <t>North Putnam Community Schools</t>
  </si>
  <si>
    <t>Cloverdale Community Schools</t>
  </si>
  <si>
    <t>Greencastle Community Sch Corp</t>
  </si>
  <si>
    <t>Union School Corporation</t>
  </si>
  <si>
    <t>Randolph Southern School Corp</t>
  </si>
  <si>
    <t>Monroe Central School Corp</t>
  </si>
  <si>
    <t>Randolph Central School Corp</t>
  </si>
  <si>
    <t>Randolph Eastern School Corp</t>
  </si>
  <si>
    <t>South Ripley Com Sch Corp</t>
  </si>
  <si>
    <t>Batesville Community Sch Corp</t>
  </si>
  <si>
    <t>Jac-Cen-Del Community Sch Corp</t>
  </si>
  <si>
    <t>Milan Community Schools</t>
  </si>
  <si>
    <t>Rush County Schools</t>
  </si>
  <si>
    <t>John Glenn School Corporation</t>
  </si>
  <si>
    <t>Penn-Harris-Madison Sch Corp</t>
  </si>
  <si>
    <t>School City of Mishawaka</t>
  </si>
  <si>
    <t>South Bend Community Sch Corp</t>
  </si>
  <si>
    <t>Union-North United School Corp</t>
  </si>
  <si>
    <t>Scott County School District 1</t>
  </si>
  <si>
    <t>Scott County School District 2</t>
  </si>
  <si>
    <t>Shelby Eastern Schools</t>
  </si>
  <si>
    <t>Northwestern Con School Corp</t>
  </si>
  <si>
    <t>Southwestern Con Sch Shelby Co</t>
  </si>
  <si>
    <t>Shelbyville Central Schools</t>
  </si>
  <si>
    <t>North Spencer County Sch Corp</t>
  </si>
  <si>
    <t>South Spencer County Sch Corp</t>
  </si>
  <si>
    <t>Oregon-Davis School Corp</t>
  </si>
  <si>
    <t>North Judson-San Pierre Sch Corp</t>
  </si>
  <si>
    <t>Knox Community School Corp</t>
  </si>
  <si>
    <t>Fremont Community Schools</t>
  </si>
  <si>
    <t>Hamilton Community Schools</t>
  </si>
  <si>
    <t>M S D Steuben County</t>
  </si>
  <si>
    <t>Northeast School Corp</t>
  </si>
  <si>
    <t>Southwest School Corp</t>
  </si>
  <si>
    <t>Switzerland County School Corp</t>
  </si>
  <si>
    <t>Lafayette School Corporation</t>
  </si>
  <si>
    <t>Tippecanoe School Corp</t>
  </si>
  <si>
    <t>West Lafayette Com School Corp</t>
  </si>
  <si>
    <t>Northern Com Sch Tipton Co</t>
  </si>
  <si>
    <t>Tipton Community School Corp</t>
  </si>
  <si>
    <t>Union Co/Clg Corner Joint Sch Dist</t>
  </si>
  <si>
    <t>Evansville-Vanderburgh Sch Corp</t>
  </si>
  <si>
    <t>North Vermillion Com Sch Corp</t>
  </si>
  <si>
    <t>South Vermillion Com Sch Corp</t>
  </si>
  <si>
    <t>Vigo County School Corp</t>
  </si>
  <si>
    <t>Manchester Community Schools</t>
  </si>
  <si>
    <t>M S D Wabash County Schools</t>
  </si>
  <si>
    <t>Wabash City Schools</t>
  </si>
  <si>
    <t>M S D Warren County</t>
  </si>
  <si>
    <t>Warrick County School Corp</t>
  </si>
  <si>
    <t>Salem Community Schools</t>
  </si>
  <si>
    <t>East Washington School Corp</t>
  </si>
  <si>
    <t>West Washington School Corp</t>
  </si>
  <si>
    <t>Nettle Creek School Corp</t>
  </si>
  <si>
    <t>Western Wayne Schools</t>
  </si>
  <si>
    <t>Centerville-Abington Com Schs</t>
  </si>
  <si>
    <t>Northeastern Wayne Schools</t>
  </si>
  <si>
    <t>Richmond Community School Corp</t>
  </si>
  <si>
    <t>Southern Wells Com Schools</t>
  </si>
  <si>
    <t>Northern Wells Com Schools</t>
  </si>
  <si>
    <t>M S D Bluffton-Harrison</t>
  </si>
  <si>
    <t>North White School Corp</t>
  </si>
  <si>
    <t>Frontier School Corporation</t>
  </si>
  <si>
    <t>Tri-County School Corp</t>
  </si>
  <si>
    <t>Twin Lakes School Corp</t>
  </si>
  <si>
    <t>Smith-Green Community Schools</t>
  </si>
  <si>
    <t>Whitley Co Cons Schools</t>
  </si>
  <si>
    <t>L071</t>
  </si>
  <si>
    <t>L062</t>
  </si>
  <si>
    <t>Local Revenue</t>
  </si>
  <si>
    <t>State Revenue</t>
  </si>
  <si>
    <t>F062</t>
  </si>
  <si>
    <t>F071</t>
  </si>
  <si>
    <t>Federal Revenue</t>
  </si>
  <si>
    <t>District</t>
  </si>
  <si>
    <t>Indianapolis</t>
  </si>
  <si>
    <t>State</t>
  </si>
  <si>
    <t>Charter School of the Dunes</t>
  </si>
  <si>
    <t>Campagna Academy Charter School</t>
  </si>
  <si>
    <t>Signature Learning Inc</t>
  </si>
  <si>
    <t>Community Montessori Inc</t>
  </si>
  <si>
    <t>Options Charter School - Carmel</t>
  </si>
  <si>
    <t>Irvington Community School</t>
  </si>
  <si>
    <t>New Community School</t>
  </si>
  <si>
    <t>Timothy L Johnson Academy</t>
  </si>
  <si>
    <t>Veritas Academy</t>
  </si>
  <si>
    <t>Fall Creek Academy</t>
  </si>
  <si>
    <t>Christel House Academy</t>
  </si>
  <si>
    <t>Flanner House Elementary School</t>
  </si>
  <si>
    <t>KIPP Indpls College Preparatory</t>
  </si>
  <si>
    <t>Charles A Tindley Accelerated Sch</t>
  </si>
  <si>
    <t>Thea Bowman Leadership Academy</t>
  </si>
  <si>
    <t>Rural Community Schools Inc</t>
  </si>
  <si>
    <t>Goodwill Education Initiatives Inc</t>
  </si>
  <si>
    <t>Goodwill Education Initiatives II</t>
  </si>
  <si>
    <t>Fountain Square Academy</t>
  </si>
  <si>
    <t>SE Neighborhood Sch of Excellence</t>
  </si>
  <si>
    <t>Joshua Academy</t>
  </si>
  <si>
    <t>Decatur Discovery Academy Inc</t>
  </si>
  <si>
    <t>Gary Lighthouse Charter School</t>
  </si>
  <si>
    <t>21st Century Charter Sch of Gary</t>
  </si>
  <si>
    <t>East Chicago Urban Enterprise Acad</t>
  </si>
  <si>
    <t>Galileo Charter School</t>
  </si>
  <si>
    <t>Indpls Lighthouse Charter School</t>
  </si>
  <si>
    <t>West Gary Lighthouse Charter School</t>
  </si>
  <si>
    <t>Monument Lighthouse Charter School</t>
  </si>
  <si>
    <t>East Chicago Lighthouse Charter</t>
  </si>
  <si>
    <t>Andrew J Brown Academy</t>
  </si>
  <si>
    <t>KIPP Lead College Prep Charter</t>
  </si>
  <si>
    <t>Options Charter School - Noblesville</t>
  </si>
  <si>
    <t>Challenge Foundation Academy</t>
  </si>
  <si>
    <t>Herron Charter</t>
  </si>
  <si>
    <t>Hope Academy</t>
  </si>
  <si>
    <t>Stonegate Early Clg HS for Sci/Tec</t>
  </si>
  <si>
    <t>Geist Montessori Academy</t>
  </si>
  <si>
    <t>Imagine MASTer Academy</t>
  </si>
  <si>
    <t>Indiana Math and Science Academy</t>
  </si>
  <si>
    <t>Charter</t>
  </si>
  <si>
    <t>Indianapolis Metropolitan High School</t>
  </si>
  <si>
    <t>Burris Laboratory School</t>
  </si>
  <si>
    <t xml:space="preserve">IN Acad for Sci Math Humanities   </t>
  </si>
  <si>
    <t>same as goodwill education initiatives I and II above</t>
  </si>
  <si>
    <t>opened in FY08 - these are planning dollars</t>
  </si>
  <si>
    <t>a laboratory school, not a charter school, according to BSU</t>
  </si>
  <si>
    <t>Total Statewide district enrollment, not including Burris and IN Academy</t>
  </si>
  <si>
    <t>Omit</t>
  </si>
  <si>
    <t>Figure 2</t>
  </si>
  <si>
    <t>Statewide</t>
  </si>
  <si>
    <t>Difference</t>
  </si>
  <si>
    <t>Per-Pupil Revenue</t>
  </si>
  <si>
    <t>Per-Pupil Revenue by Source</t>
  </si>
  <si>
    <t xml:space="preserve">District </t>
  </si>
  <si>
    <t>Federal</t>
  </si>
  <si>
    <t>Local</t>
  </si>
  <si>
    <t>Other</t>
  </si>
  <si>
    <t>Indeterminate</t>
  </si>
  <si>
    <t>Total</t>
  </si>
  <si>
    <t>Enrollment</t>
  </si>
  <si>
    <t>Number of Charters</t>
  </si>
  <si>
    <t>Total Revenue</t>
  </si>
  <si>
    <t>Figure 4</t>
  </si>
  <si>
    <t>Percentage of Revenue by Source</t>
  </si>
  <si>
    <t xml:space="preserve">Federal </t>
  </si>
  <si>
    <t xml:space="preserve">Other </t>
  </si>
  <si>
    <t>Statewide District</t>
  </si>
  <si>
    <t>Statewide Charter</t>
  </si>
  <si>
    <t>Change in district school funding if subjected to charter funding structure</t>
  </si>
  <si>
    <t>Indiana  (2006-07)</t>
  </si>
  <si>
    <t>Indianapolis District</t>
  </si>
  <si>
    <t>State Charter School Policies</t>
  </si>
  <si>
    <t>Figure 3</t>
  </si>
  <si>
    <t>State Policies</t>
  </si>
  <si>
    <t>Yes</t>
  </si>
  <si>
    <t xml:space="preserve">No </t>
  </si>
  <si>
    <t>Partial</t>
  </si>
  <si>
    <t>Charter schools received their funding directly from the state</t>
  </si>
  <si>
    <t>Charter schools are eligible for local funding</t>
  </si>
  <si>
    <t>Cap on funding a charter school can receive</t>
  </si>
  <si>
    <t>District public school receive differential funding (e.g. more funding for 9-12 vs. K-8 schools)</t>
  </si>
  <si>
    <t>Charter schools receive differential funding</t>
  </si>
  <si>
    <t>State allows districts to withhold funding from charter schools for providing adminstrative services</t>
  </si>
  <si>
    <t>State "holds harmless" ditrict funding for charter enrollment</t>
  </si>
  <si>
    <t>School is considered LEA if authorized by non-district organization</t>
  </si>
  <si>
    <t>School is considered LEA if authorized by district</t>
  </si>
  <si>
    <t>Cap on number of charter schools</t>
  </si>
  <si>
    <t>Cap on number of charters schools authorized per year</t>
  </si>
  <si>
    <t>Cap on number of studens attending charter schools</t>
  </si>
  <si>
    <t>Charter schools have an open enrollment policy</t>
  </si>
  <si>
    <t>Percentage of stuents eligible for free or reduced price lunch</t>
  </si>
  <si>
    <t>Percentage of schools eligible for Title 1</t>
  </si>
  <si>
    <t>Percent of students by school type</t>
  </si>
  <si>
    <t>Primary (K-5)</t>
  </si>
  <si>
    <t>Middle (6-8)</t>
  </si>
  <si>
    <t>High (9-12)</t>
  </si>
  <si>
    <t>Other (K-12,K-8, etc.)</t>
  </si>
  <si>
    <t>Findings</t>
  </si>
  <si>
    <t>Use the following options only</t>
  </si>
  <si>
    <t>Federal Funding</t>
  </si>
  <si>
    <t>Charters have access to federal funds according to state statutes (Yes = black, No = white)*</t>
  </si>
  <si>
    <t>Y</t>
  </si>
  <si>
    <t>P</t>
  </si>
  <si>
    <t>Percentage of federal revenue equals percentage of total enrollment for charter schools (Yes = black, No = white)</t>
  </si>
  <si>
    <t>N</t>
  </si>
  <si>
    <t>State Funding</t>
  </si>
  <si>
    <t>Charters have access to state funds according to state statutes (Yes = black, No = white)</t>
  </si>
  <si>
    <t>Percentage of state revenue equals percentage of total enrollment for charter schools (Yes = black, No = white)</t>
  </si>
  <si>
    <t>Local Funding</t>
  </si>
  <si>
    <t>Charters have access to local funds according to state statutes (Yes = black, No = white)</t>
  </si>
  <si>
    <t>Percentage of local revenue equals percentage of total enrollment for charter schools (Yes = black, No = white)</t>
  </si>
  <si>
    <t>Facilities Funding</t>
  </si>
  <si>
    <t>Charters have access to facilities funds according to state statutes (Yes = black, No = white)</t>
  </si>
  <si>
    <t>Percentage of facilities revenue equals percentage of total enrollment for charter schools (Yes = black, No = white)</t>
  </si>
  <si>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</si>
  <si>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</si>
  <si>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</si>
  <si>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</si>
  <si>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</si>
  <si>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t>State funds student (black) or the LEA (grey)</t>
  </si>
  <si>
    <t>S</t>
  </si>
  <si>
    <t>L</t>
  </si>
  <si>
    <t>Use these options for the query to the left only (B18)</t>
  </si>
  <si>
    <t>State funding formula is fair and equitable (Yes = black, No = white</t>
  </si>
  <si>
    <t>* For this finding, No could indicate that the statue is silent or that it denies access.</t>
  </si>
  <si>
    <t>Monument Lighthouse charter school revenues excluded as the school does not list any students for FY07</t>
  </si>
  <si>
    <t>District/charter</t>
  </si>
  <si>
    <t>State/Indy</t>
  </si>
  <si>
    <t>Not included in analysis as the school did not have enrollment in FY07</t>
  </si>
  <si>
    <t>(48.6 million)</t>
  </si>
  <si>
    <t>$2.2 billion</t>
  </si>
  <si>
    <t>Indianapolis Charter</t>
  </si>
  <si>
    <t>Goodwill</t>
  </si>
  <si>
    <t>CNAME</t>
  </si>
  <si>
    <t>CORP</t>
  </si>
  <si>
    <t>PE07PK</t>
  </si>
  <si>
    <t>PE07TOT</t>
  </si>
  <si>
    <t>Total Less Pre-K</t>
  </si>
  <si>
    <t>Dollars but no enrollment for FY07.  Therefore, excluded</t>
  </si>
  <si>
    <t>The following LEA have enrollments but no dollars.  Therefore, excluded from analysis</t>
  </si>
  <si>
    <t>Indiana Department of Corrections</t>
  </si>
  <si>
    <t>Blue River Special Education Coop</t>
  </si>
  <si>
    <t>Northwest Indiana Special Education Coop</t>
  </si>
  <si>
    <t>The following LEA has dollars but no enrollments.  Therefore, excluded from analysis</t>
  </si>
  <si>
    <t>Prairie Town Schools</t>
  </si>
  <si>
    <t>X</t>
  </si>
  <si>
    <t>X1</t>
  </si>
  <si>
    <t xml:space="preserve">1.  Mayors of consolidated cities may sponsor no more than 20 charter schools as of calendar year 2007 and are limited to sponsoring five in </t>
  </si>
  <si>
    <t>N/A</t>
  </si>
  <si>
    <t>Y1</t>
  </si>
  <si>
    <t>1.  HB1001, passed in 2005, provides that if the United States Department of Education approves a new competition for states to receive matching funds for charter school facilities, the State Department of Education shall pursue this federal funding; appropriates ten million dollars ($10,000,000) to the department from the common school fund interest balance in the state general fund to provide state matching funds for the federal funding for the benefit of charter schools, beginning July 1, 2005, and ending June 30, 2007.</t>
  </si>
  <si>
    <t>Figure 1: District &amp; Charter School Revenues &amp; Enrollments</t>
  </si>
  <si>
    <t>Statewide Weighted</t>
  </si>
  <si>
    <t>Figure 5: School Characteristics</t>
  </si>
  <si>
    <t>&gt;</t>
  </si>
  <si>
    <t>Indiana</t>
  </si>
  <si>
    <t>Legend</t>
  </si>
  <si>
    <t>Source</t>
  </si>
  <si>
    <t>The conclusions reached in this document are those of the author(s) and do not necessarily represent those</t>
  </si>
  <si>
    <t xml:space="preserve">of Ball State University.  </t>
  </si>
  <si>
    <t>Indiana Department of Education</t>
  </si>
  <si>
    <t>All files are "read only" and based on data collections from the Indiana Department of Education.</t>
  </si>
</sst>
</file>

<file path=xl/styles.xml><?xml version="1.0" encoding="utf-8"?>
<styleSheet xmlns="http://schemas.openxmlformats.org/spreadsheetml/2006/main">
  <numFmts count="4">
    <numFmt numFmtId="42" formatCode="_(&quot;$&quot;* #,##0_);_(&quot;$&quot;* \(#,##0\);_(&quot;$&quot;* &quot;-&quot;_);_(@_)"/>
    <numFmt numFmtId="164" formatCode="0000"/>
    <numFmt numFmtId="165" formatCode="&quot;$&quot;#,##0.00"/>
    <numFmt numFmtId="166" formatCode="0.0%"/>
  </numFmts>
  <fonts count="8">
    <font>
      <sz val="10"/>
      <name val="Arial"/>
    </font>
    <font>
      <sz val="10"/>
      <name val="Arial"/>
      <family val="2"/>
    </font>
    <font>
      <sz val="8"/>
      <name val="Arial"/>
      <family val="2"/>
    </font>
    <font>
      <sz val="10"/>
      <name val="Arial"/>
      <family val="2"/>
    </font>
    <font>
      <sz val="10"/>
      <color indexed="10"/>
      <name val="Arial"/>
      <family val="2"/>
    </font>
    <font>
      <sz val="10"/>
      <color indexed="9"/>
      <name val="Arial"/>
      <family val="2"/>
    </font>
    <font>
      <sz val="10"/>
      <color theme="0"/>
      <name val="Arial"/>
      <family val="2"/>
    </font>
    <font>
      <sz val="8"/>
      <name val="Verdana"/>
      <family val="2"/>
    </font>
  </fonts>
  <fills count="12">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indexed="22"/>
        <bgColor indexed="64"/>
      </patternFill>
    </fill>
    <fill>
      <patternFill patternType="solid">
        <fgColor indexed="8"/>
        <bgColor indexed="64"/>
      </patternFill>
    </fill>
    <fill>
      <patternFill patternType="solid">
        <fgColor rgb="FFFF0000"/>
        <bgColor indexed="64"/>
      </patternFill>
    </fill>
    <fill>
      <patternFill patternType="solid">
        <fgColor theme="0"/>
        <bgColor indexed="64"/>
      </patternFill>
    </fill>
    <fill>
      <patternFill patternType="solid">
        <fgColor theme="8" tint="0.39997558519241921"/>
        <bgColor indexed="64"/>
      </patternFill>
    </fill>
  </fills>
  <borders count="10">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03">
    <xf numFmtId="0" fontId="0" fillId="0" borderId="0" xfId="0"/>
    <xf numFmtId="164" fontId="0" fillId="0" borderId="0" xfId="0" applyNumberFormat="1" applyAlignment="1">
      <alignment horizontal="center" wrapText="1"/>
    </xf>
    <xf numFmtId="0" fontId="0" fillId="0" borderId="0" xfId="0" applyAlignment="1">
      <alignment horizontal="center" wrapText="1"/>
    </xf>
    <xf numFmtId="0" fontId="0" fillId="0" borderId="0" xfId="0" applyFill="1"/>
    <xf numFmtId="0" fontId="1" fillId="0" borderId="0" xfId="0" applyFont="1" applyFill="1"/>
    <xf numFmtId="0" fontId="0" fillId="0" borderId="0" xfId="0" applyAlignment="1">
      <alignment horizontal="center"/>
    </xf>
    <xf numFmtId="165" fontId="0" fillId="0" borderId="0" xfId="0" applyNumberFormat="1"/>
    <xf numFmtId="165" fontId="0" fillId="0" borderId="0" xfId="0" applyNumberFormat="1" applyAlignment="1">
      <alignment horizontal="center"/>
    </xf>
    <xf numFmtId="164" fontId="0" fillId="0" borderId="0" xfId="0" applyNumberFormat="1" applyAlignment="1">
      <alignment horizontal="center"/>
    </xf>
    <xf numFmtId="164" fontId="0" fillId="0" borderId="0" xfId="0" applyNumberFormat="1" applyFill="1" applyAlignment="1">
      <alignment horizontal="center"/>
    </xf>
    <xf numFmtId="164" fontId="1" fillId="0" borderId="0" xfId="0" applyNumberFormat="1" applyFont="1" applyFill="1" applyAlignment="1">
      <alignment horizontal="center"/>
    </xf>
    <xf numFmtId="0" fontId="3" fillId="0" borderId="0" xfId="0" applyFont="1"/>
    <xf numFmtId="0" fontId="0" fillId="2" borderId="0" xfId="0" applyFill="1" applyAlignment="1">
      <alignment horizontal="center"/>
    </xf>
    <xf numFmtId="0" fontId="3" fillId="2" borderId="0" xfId="0" applyFont="1" applyFill="1"/>
    <xf numFmtId="0" fontId="0" fillId="2" borderId="0" xfId="0" applyFill="1"/>
    <xf numFmtId="165" fontId="0" fillId="2" borderId="0" xfId="0" applyNumberFormat="1" applyFill="1"/>
    <xf numFmtId="0" fontId="3" fillId="0" borderId="0" xfId="0" applyFont="1" applyFill="1"/>
    <xf numFmtId="165" fontId="0" fillId="0" borderId="0" xfId="0" applyNumberFormat="1" applyFill="1"/>
    <xf numFmtId="165" fontId="0" fillId="3" borderId="0" xfId="0" applyNumberFormat="1" applyFill="1"/>
    <xf numFmtId="165" fontId="0" fillId="4" borderId="0" xfId="0" applyNumberFormat="1" applyFill="1"/>
    <xf numFmtId="165" fontId="0" fillId="5" borderId="0" xfId="0" applyNumberFormat="1" applyFill="1"/>
    <xf numFmtId="0" fontId="0" fillId="5" borderId="0" xfId="0" applyFill="1"/>
    <xf numFmtId="0" fontId="0" fillId="3" borderId="0" xfId="0" applyFill="1"/>
    <xf numFmtId="165" fontId="0" fillId="6" borderId="0" xfId="0" applyNumberFormat="1" applyFill="1"/>
    <xf numFmtId="0" fontId="0" fillId="0" borderId="0" xfId="0" applyFill="1" applyAlignment="1">
      <alignment horizontal="center"/>
    </xf>
    <xf numFmtId="0" fontId="0" fillId="0" borderId="1" xfId="0" applyBorder="1" applyAlignment="1">
      <alignment wrapText="1"/>
    </xf>
    <xf numFmtId="0" fontId="0" fillId="7" borderId="3" xfId="0" applyFill="1" applyBorder="1"/>
    <xf numFmtId="0" fontId="0" fillId="7" borderId="4" xfId="0" applyFill="1" applyBorder="1"/>
    <xf numFmtId="0" fontId="0" fillId="7" borderId="5" xfId="0" applyFill="1" applyBorder="1"/>
    <xf numFmtId="0" fontId="4" fillId="0" borderId="0" xfId="0" applyFont="1"/>
    <xf numFmtId="42" fontId="0" fillId="0" borderId="0" xfId="0" applyNumberFormat="1"/>
    <xf numFmtId="0" fontId="0" fillId="0" borderId="2" xfId="0" applyBorder="1"/>
    <xf numFmtId="0" fontId="0" fillId="7" borderId="3" xfId="0" applyFill="1" applyBorder="1" applyAlignment="1">
      <alignment wrapText="1"/>
    </xf>
    <xf numFmtId="0" fontId="0" fillId="7" borderId="2" xfId="0" applyFill="1" applyBorder="1" applyAlignment="1">
      <alignment horizontal="center" vertical="center"/>
    </xf>
    <xf numFmtId="42" fontId="0" fillId="0" borderId="2" xfId="0" applyNumberFormat="1" applyBorder="1"/>
    <xf numFmtId="0" fontId="0" fillId="7" borderId="2" xfId="0" applyFill="1" applyBorder="1" applyAlignment="1">
      <alignment wrapText="1"/>
    </xf>
    <xf numFmtId="0" fontId="0" fillId="0" borderId="0" xfId="0"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wrapText="1"/>
    </xf>
    <xf numFmtId="0" fontId="5" fillId="8" borderId="2" xfId="0" applyFont="1" applyFill="1" applyBorder="1" applyAlignment="1">
      <alignment horizontal="center" vertical="center"/>
    </xf>
    <xf numFmtId="166" fontId="0" fillId="0" borderId="2" xfId="0" applyNumberFormat="1" applyBorder="1"/>
    <xf numFmtId="42" fontId="3" fillId="0" borderId="2" xfId="0" applyNumberFormat="1" applyFont="1" applyBorder="1"/>
    <xf numFmtId="0" fontId="3" fillId="7" borderId="4" xfId="0" applyFont="1" applyFill="1" applyBorder="1"/>
    <xf numFmtId="0" fontId="3" fillId="7" borderId="5" xfId="0" applyFont="1" applyFill="1" applyBorder="1"/>
    <xf numFmtId="0" fontId="3" fillId="7" borderId="2" xfId="0" applyFont="1" applyFill="1" applyBorder="1" applyAlignment="1">
      <alignment horizontal="center" vertical="center"/>
    </xf>
    <xf numFmtId="166" fontId="3" fillId="0" borderId="2" xfId="0" applyNumberFormat="1" applyFont="1" applyBorder="1"/>
    <xf numFmtId="0" fontId="6" fillId="0" borderId="0" xfId="0" applyFont="1"/>
    <xf numFmtId="0" fontId="0" fillId="6" borderId="0" xfId="0" applyFill="1"/>
    <xf numFmtId="0" fontId="3" fillId="6" borderId="0" xfId="0" applyFont="1" applyFill="1"/>
    <xf numFmtId="0" fontId="0" fillId="9" borderId="0" xfId="0" applyFill="1"/>
    <xf numFmtId="0" fontId="3" fillId="0" borderId="0" xfId="0" applyFont="1" applyFill="1" applyBorder="1"/>
    <xf numFmtId="166" fontId="0" fillId="0" borderId="2" xfId="0" applyNumberFormat="1" applyBorder="1" applyAlignment="1">
      <alignment wrapText="1"/>
    </xf>
    <xf numFmtId="0" fontId="1" fillId="0" borderId="2" xfId="0" applyFont="1" applyBorder="1"/>
    <xf numFmtId="0" fontId="0" fillId="0" borderId="0" xfId="0" applyFont="1" applyFill="1" applyBorder="1" applyAlignment="1">
      <alignment wrapText="1"/>
    </xf>
    <xf numFmtId="0" fontId="1" fillId="0" borderId="2" xfId="0" applyFont="1" applyBorder="1" applyAlignment="1">
      <alignment horizontal="center" vertical="center"/>
    </xf>
    <xf numFmtId="0" fontId="7" fillId="0" borderId="0" xfId="0" applyFont="1"/>
    <xf numFmtId="0" fontId="0" fillId="0" borderId="2" xfId="0" applyBorder="1" applyAlignment="1">
      <alignment horizontal="center" vertical="center"/>
    </xf>
    <xf numFmtId="0" fontId="0" fillId="10" borderId="0" xfId="0" applyFill="1"/>
    <xf numFmtId="0" fontId="1" fillId="0" borderId="0" xfId="0" applyFont="1"/>
    <xf numFmtId="0" fontId="0" fillId="10" borderId="3" xfId="0" applyFill="1" applyBorder="1"/>
    <xf numFmtId="0" fontId="0" fillId="10" borderId="5" xfId="0" applyFill="1" applyBorder="1"/>
    <xf numFmtId="42" fontId="0" fillId="0" borderId="4" xfId="0" applyNumberFormat="1" applyBorder="1" applyAlignment="1"/>
    <xf numFmtId="42" fontId="3" fillId="0" borderId="4" xfId="0" applyNumberFormat="1" applyFont="1" applyBorder="1" applyAlignment="1"/>
    <xf numFmtId="166" fontId="3" fillId="0" borderId="4" xfId="0" applyNumberFormat="1" applyFont="1" applyBorder="1" applyAlignment="1"/>
    <xf numFmtId="3" fontId="3" fillId="0" borderId="4" xfId="0" applyNumberFormat="1" applyFont="1" applyBorder="1" applyAlignment="1"/>
    <xf numFmtId="0" fontId="3" fillId="0" borderId="4" xfId="0" applyFont="1" applyBorder="1" applyAlignment="1"/>
    <xf numFmtId="0" fontId="0" fillId="0" borderId="2" xfId="0" applyBorder="1" applyAlignment="1">
      <alignment horizontal="center" vertical="center"/>
    </xf>
    <xf numFmtId="0" fontId="6" fillId="0" borderId="0" xfId="0" applyFont="1" applyFill="1" applyBorder="1"/>
    <xf numFmtId="0" fontId="6" fillId="0" borderId="0" xfId="0" applyFont="1" applyFill="1" applyBorder="1" applyAlignment="1"/>
    <xf numFmtId="0" fontId="6" fillId="0" borderId="1" xfId="0" applyFont="1" applyFill="1" applyBorder="1"/>
    <xf numFmtId="0" fontId="6" fillId="0" borderId="8" xfId="0" applyFont="1" applyFill="1" applyBorder="1"/>
    <xf numFmtId="0" fontId="6" fillId="0" borderId="9" xfId="0" applyFont="1" applyFill="1" applyBorder="1"/>
    <xf numFmtId="0" fontId="1" fillId="0" borderId="2" xfId="0" applyFont="1" applyFill="1" applyBorder="1" applyAlignment="1">
      <alignment horizontal="center" vertical="center"/>
    </xf>
    <xf numFmtId="0" fontId="1" fillId="7" borderId="2" xfId="0" applyFont="1" applyFill="1" applyBorder="1"/>
    <xf numFmtId="164" fontId="0" fillId="11" borderId="0" xfId="0" applyNumberFormat="1" applyFill="1" applyAlignment="1">
      <alignment horizontal="center"/>
    </xf>
    <xf numFmtId="0" fontId="0" fillId="11" borderId="0" xfId="0" applyFill="1"/>
    <xf numFmtId="0" fontId="0" fillId="4" borderId="3" xfId="0" applyFill="1" applyBorder="1"/>
    <xf numFmtId="0" fontId="0" fillId="4" borderId="4" xfId="0" applyFill="1" applyBorder="1"/>
    <xf numFmtId="0" fontId="0" fillId="10" borderId="4" xfId="0" applyFill="1" applyBorder="1"/>
    <xf numFmtId="0" fontId="0" fillId="5" borderId="3" xfId="0" applyFill="1" applyBorder="1"/>
    <xf numFmtId="0" fontId="0" fillId="5" borderId="4" xfId="0" applyFill="1" applyBorder="1"/>
    <xf numFmtId="0" fontId="0" fillId="3" borderId="3" xfId="0" applyFill="1" applyBorder="1"/>
    <xf numFmtId="0" fontId="0" fillId="3" borderId="4" xfId="0" applyFill="1" applyBorder="1"/>
    <xf numFmtId="0" fontId="0" fillId="6" borderId="3" xfId="0" applyFill="1" applyBorder="1"/>
    <xf numFmtId="0" fontId="0" fillId="6" borderId="4" xfId="0" applyFill="1" applyBorder="1"/>
    <xf numFmtId="0" fontId="0" fillId="0" borderId="6" xfId="0" applyBorder="1" applyAlignment="1">
      <alignment vertical="center"/>
    </xf>
    <xf numFmtId="0" fontId="0" fillId="0" borderId="7" xfId="0" applyBorder="1" applyAlignment="1">
      <alignment vertical="center"/>
    </xf>
    <xf numFmtId="42" fontId="3" fillId="0" borderId="3" xfId="0" applyNumberFormat="1" applyFont="1" applyBorder="1" applyAlignment="1"/>
    <xf numFmtId="42" fontId="3" fillId="0" borderId="5" xfId="0" applyNumberFormat="1" applyFont="1" applyBorder="1" applyAlignment="1"/>
    <xf numFmtId="166" fontId="3" fillId="0" borderId="3" xfId="0" applyNumberFormat="1" applyFont="1" applyBorder="1" applyAlignment="1"/>
    <xf numFmtId="166" fontId="3" fillId="0" borderId="5" xfId="0" applyNumberFormat="1" applyFont="1" applyBorder="1" applyAlignment="1"/>
    <xf numFmtId="0" fontId="6" fillId="0" borderId="0" xfId="0" applyFont="1" applyFill="1" applyBorder="1" applyAlignment="1"/>
    <xf numFmtId="0" fontId="3" fillId="0" borderId="3" xfId="0" applyFont="1" applyBorder="1" applyAlignment="1"/>
    <xf numFmtId="0" fontId="3" fillId="0" borderId="5" xfId="0" applyFont="1" applyBorder="1" applyAlignment="1"/>
    <xf numFmtId="3" fontId="3" fillId="0" borderId="3" xfId="0" applyNumberFormat="1" applyFont="1" applyBorder="1" applyAlignment="1"/>
    <xf numFmtId="3" fontId="3" fillId="0" borderId="5" xfId="0" applyNumberFormat="1" applyFont="1" applyBorder="1" applyAlignment="1"/>
    <xf numFmtId="0" fontId="0" fillId="0" borderId="2" xfId="0" applyBorder="1" applyAlignment="1">
      <alignment horizontal="center" vertical="center"/>
    </xf>
    <xf numFmtId="0" fontId="3" fillId="0" borderId="2" xfId="0" applyFont="1" applyBorder="1" applyAlignment="1">
      <alignment horizontal="center" vertical="center"/>
    </xf>
    <xf numFmtId="42" fontId="0" fillId="0" borderId="3" xfId="0" applyNumberFormat="1" applyBorder="1" applyAlignment="1"/>
    <xf numFmtId="42" fontId="0" fillId="0" borderId="5" xfId="0" applyNumberFormat="1" applyBorder="1" applyAlignment="1"/>
    <xf numFmtId="0" fontId="0" fillId="0" borderId="2" xfId="0" applyBorder="1" applyAlignment="1">
      <alignment wrapText="1"/>
    </xf>
    <xf numFmtId="0" fontId="0" fillId="7" borderId="2" xfId="0" applyFill="1" applyBorder="1" applyAlignment="1">
      <alignment horizontal="center" vertical="center" textRotation="90"/>
    </xf>
    <xf numFmtId="0" fontId="0" fillId="0" borderId="2" xfId="0" applyBorder="1" applyAlignment="1">
      <alignment horizontal="center" vertical="center" textRotation="9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9796334012220267E-2"/>
          <c:y val="0.19780290537325917"/>
          <c:w val="0.87169042769857885"/>
          <c:h val="0.57509363228892219"/>
        </c:manualLayout>
      </c:layout>
      <c:barChart>
        <c:barDir val="col"/>
        <c:grouping val="clustered"/>
        <c:ser>
          <c:idx val="0"/>
          <c:order val="0"/>
          <c:tx>
            <c:strRef>
              <c:f>'Figures 1,2,4'!$J$2</c:f>
              <c:strCache>
                <c:ptCount val="1"/>
                <c:pt idx="0">
                  <c:v>District</c:v>
                </c:pt>
              </c:strCache>
            </c:strRef>
          </c:tx>
          <c:spPr>
            <a:solidFill>
              <a:srgbClr val="000000"/>
            </a:solidFill>
            <a:ln w="12700">
              <a:solidFill>
                <a:srgbClr val="000000"/>
              </a:solidFill>
              <a:prstDash val="solid"/>
            </a:ln>
          </c:spPr>
          <c:cat>
            <c:strRef>
              <c:f>'Figures 1,2,4'!$I$3:$I$5</c:f>
              <c:strCache>
                <c:ptCount val="3"/>
                <c:pt idx="0">
                  <c:v>State</c:v>
                </c:pt>
                <c:pt idx="1">
                  <c:v>Statewide Weighted</c:v>
                </c:pt>
                <c:pt idx="2">
                  <c:v>Indianapolis</c:v>
                </c:pt>
              </c:strCache>
            </c:strRef>
          </c:cat>
          <c:val>
            <c:numRef>
              <c:f>'Figures 1,2,4'!$J$3:$J$5</c:f>
              <c:numCache>
                <c:formatCode>_("$"* #,##0_);_("$"* \(#,##0\);_("$"* "-"_);_(@_)</c:formatCode>
                <c:ptCount val="3"/>
                <c:pt idx="0">
                  <c:v>7046.6145307266215</c:v>
                </c:pt>
                <c:pt idx="2">
                  <c:v>11146.836339153197</c:v>
                </c:pt>
              </c:numCache>
            </c:numRef>
          </c:val>
        </c:ser>
        <c:ser>
          <c:idx val="1"/>
          <c:order val="1"/>
          <c:tx>
            <c:strRef>
              <c:f>'Figures 1,2,4'!$K$2</c:f>
              <c:strCache>
                <c:ptCount val="1"/>
                <c:pt idx="0">
                  <c:v>Charter</c:v>
                </c:pt>
              </c:strCache>
            </c:strRef>
          </c:tx>
          <c:spPr>
            <a:solidFill>
              <a:srgbClr val="C0C0C0"/>
            </a:solidFill>
            <a:ln w="12700">
              <a:solidFill>
                <a:srgbClr val="000000"/>
              </a:solidFill>
              <a:prstDash val="solid"/>
            </a:ln>
          </c:spPr>
          <c:cat>
            <c:strRef>
              <c:f>'Figures 1,2,4'!$I$3:$I$5</c:f>
              <c:strCache>
                <c:ptCount val="3"/>
                <c:pt idx="0">
                  <c:v>State</c:v>
                </c:pt>
                <c:pt idx="1">
                  <c:v>Statewide Weighted</c:v>
                </c:pt>
                <c:pt idx="2">
                  <c:v>Indianapolis</c:v>
                </c:pt>
              </c:strCache>
            </c:strRef>
          </c:cat>
          <c:val>
            <c:numRef>
              <c:f>'Figures 1,2,4'!$K$3:$K$5</c:f>
              <c:numCache>
                <c:formatCode>_("$"* #,##0_);_("$"* \(#,##0\);_("$"* "-"_);_(@_)</c:formatCode>
                <c:ptCount val="3"/>
                <c:pt idx="0">
                  <c:v>9327.7445678464428</c:v>
                </c:pt>
                <c:pt idx="2">
                  <c:v>9835.0698285052149</c:v>
                </c:pt>
              </c:numCache>
            </c:numRef>
          </c:val>
        </c:ser>
        <c:ser>
          <c:idx val="2"/>
          <c:order val="2"/>
          <c:tx>
            <c:strRef>
              <c:f>'Figures 1,2,4'!$L$2</c:f>
              <c:strCache>
                <c:ptCount val="1"/>
                <c:pt idx="0">
                  <c:v>Difference</c:v>
                </c:pt>
              </c:strCache>
            </c:strRef>
          </c:tx>
          <c:spPr>
            <a:solidFill>
              <a:schemeClr val="tx1">
                <a:lumMod val="65000"/>
                <a:lumOff val="35000"/>
              </a:schemeClr>
            </a:solidFill>
          </c:spPr>
          <c:cat>
            <c:strRef>
              <c:f>'Figures 1,2,4'!$I$3:$I$5</c:f>
              <c:strCache>
                <c:ptCount val="3"/>
                <c:pt idx="0">
                  <c:v>State</c:v>
                </c:pt>
                <c:pt idx="1">
                  <c:v>Statewide Weighted</c:v>
                </c:pt>
                <c:pt idx="2">
                  <c:v>Indianapolis</c:v>
                </c:pt>
              </c:strCache>
            </c:strRef>
          </c:cat>
          <c:val>
            <c:numRef>
              <c:f>'Figures 1,2,4'!$L$3:$L$5</c:f>
              <c:numCache>
                <c:formatCode>_("$"* #,##0_);_("$"* \(#,##0\);_("$"* "-"_);_(@_)</c:formatCode>
                <c:ptCount val="3"/>
                <c:pt idx="0">
                  <c:v>-2281.1300371198213</c:v>
                </c:pt>
                <c:pt idx="2">
                  <c:v>1311.7665106479817</c:v>
                </c:pt>
              </c:numCache>
            </c:numRef>
          </c:val>
        </c:ser>
        <c:axId val="79348864"/>
        <c:axId val="79350400"/>
      </c:barChart>
      <c:catAx>
        <c:axId val="79348864"/>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9350400"/>
        <c:crosses val="autoZero"/>
        <c:auto val="1"/>
        <c:lblAlgn val="ctr"/>
        <c:lblOffset val="100"/>
        <c:tickLblSkip val="1"/>
        <c:tickMarkSkip val="1"/>
      </c:catAx>
      <c:valAx>
        <c:axId val="79350400"/>
        <c:scaling>
          <c:orientation val="minMax"/>
        </c:scaling>
        <c:axPos val="l"/>
        <c:numFmt formatCode="#,##0" sourceLinked="0"/>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79348864"/>
        <c:crosses val="autoZero"/>
        <c:crossBetween val="between"/>
      </c:valAx>
      <c:spPr>
        <a:solidFill>
          <a:srgbClr val="FFFFFF"/>
        </a:solidFill>
        <a:ln w="12700">
          <a:solidFill>
            <a:srgbClr val="808080"/>
          </a:solidFill>
          <a:prstDash val="solid"/>
        </a:ln>
      </c:spPr>
    </c:plotArea>
    <c:legend>
      <c:legendPos val="t"/>
      <c:layout>
        <c:manualLayout>
          <c:xMode val="edge"/>
          <c:yMode val="edge"/>
          <c:x val="0.33604887983706899"/>
          <c:y val="2.9304029304029304E-2"/>
          <c:w val="0.41862629696746267"/>
          <c:h val="7.9009354599905782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33" r="0.75000000000000133"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6476578411405338"/>
          <c:y val="0.15750972094537324"/>
          <c:w val="0.68024439918533608"/>
          <c:h val="0.6776581017417217"/>
        </c:manualLayout>
      </c:layout>
      <c:barChart>
        <c:barDir val="bar"/>
        <c:grouping val="stacked"/>
        <c:ser>
          <c:idx val="0"/>
          <c:order val="0"/>
          <c:tx>
            <c:strRef>
              <c:f>'Figures 1,2,4'!$J$28</c:f>
              <c:strCache>
                <c:ptCount val="1"/>
                <c:pt idx="0">
                  <c:v>Federal </c:v>
                </c:pt>
              </c:strCache>
            </c:strRef>
          </c:tx>
          <c:spPr>
            <a:solidFill>
              <a:srgbClr val="000000"/>
            </a:solidFill>
            <a:ln w="12700">
              <a:solidFill>
                <a:srgbClr val="000000"/>
              </a:solidFill>
              <a:prstDash val="solid"/>
            </a:ln>
          </c:spPr>
          <c:cat>
            <c:strRef>
              <c:f>'Figures 1,2,4'!$I$29:$I$33</c:f>
              <c:strCache>
                <c:ptCount val="5"/>
                <c:pt idx="0">
                  <c:v>Statewide District</c:v>
                </c:pt>
                <c:pt idx="1">
                  <c:v>Statewide Charter</c:v>
                </c:pt>
                <c:pt idx="2">
                  <c:v>Statewide Weighted</c:v>
                </c:pt>
                <c:pt idx="3">
                  <c:v>Indianapolis District</c:v>
                </c:pt>
                <c:pt idx="4">
                  <c:v>Indianapolis Charter</c:v>
                </c:pt>
              </c:strCache>
            </c:strRef>
          </c:cat>
          <c:val>
            <c:numRef>
              <c:f>'Figures 1,2,4'!$J$29:$J$33</c:f>
              <c:numCache>
                <c:formatCode>_("$"* #,##0_);_("$"* \(#,##0\);_("$"* "-"_);_(@_)</c:formatCode>
                <c:ptCount val="5"/>
                <c:pt idx="0">
                  <c:v>701.31116518504894</c:v>
                </c:pt>
                <c:pt idx="1">
                  <c:v>1113.7251314767561</c:v>
                </c:pt>
                <c:pt idx="3">
                  <c:v>1778.8811695496127</c:v>
                </c:pt>
                <c:pt idx="4">
                  <c:v>995.17288991888745</c:v>
                </c:pt>
              </c:numCache>
            </c:numRef>
          </c:val>
        </c:ser>
        <c:ser>
          <c:idx val="1"/>
          <c:order val="1"/>
          <c:tx>
            <c:strRef>
              <c:f>'Figures 1,2,4'!$K$28</c:f>
              <c:strCache>
                <c:ptCount val="1"/>
                <c:pt idx="0">
                  <c:v>State</c:v>
                </c:pt>
              </c:strCache>
            </c:strRef>
          </c:tx>
          <c:spPr>
            <a:solidFill>
              <a:srgbClr val="C0C0C0"/>
            </a:solidFill>
            <a:ln w="12700">
              <a:solidFill>
                <a:srgbClr val="000000"/>
              </a:solidFill>
              <a:prstDash val="solid"/>
            </a:ln>
          </c:spPr>
          <c:cat>
            <c:strRef>
              <c:f>'Figures 1,2,4'!$I$29:$I$33</c:f>
              <c:strCache>
                <c:ptCount val="5"/>
                <c:pt idx="0">
                  <c:v>Statewide District</c:v>
                </c:pt>
                <c:pt idx="1">
                  <c:v>Statewide Charter</c:v>
                </c:pt>
                <c:pt idx="2">
                  <c:v>Statewide Weighted</c:v>
                </c:pt>
                <c:pt idx="3">
                  <c:v>Indianapolis District</c:v>
                </c:pt>
                <c:pt idx="4">
                  <c:v>Indianapolis Charter</c:v>
                </c:pt>
              </c:strCache>
            </c:strRef>
          </c:cat>
          <c:val>
            <c:numRef>
              <c:f>'Figures 1,2,4'!$K$29:$K$33</c:f>
              <c:numCache>
                <c:formatCode>_("$"* #,##0_);_("$"* \(#,##0\);_("$"* "-"_);_(@_)</c:formatCode>
                <c:ptCount val="5"/>
                <c:pt idx="0">
                  <c:v>3906.4344904980326</c:v>
                </c:pt>
                <c:pt idx="1">
                  <c:v>4208.1900321757457</c:v>
                </c:pt>
                <c:pt idx="3">
                  <c:v>5968.2583857300915</c:v>
                </c:pt>
                <c:pt idx="4">
                  <c:v>4031.1984356894554</c:v>
                </c:pt>
              </c:numCache>
            </c:numRef>
          </c:val>
        </c:ser>
        <c:ser>
          <c:idx val="2"/>
          <c:order val="2"/>
          <c:tx>
            <c:strRef>
              <c:f>'Figures 1,2,4'!$L$28</c:f>
              <c:strCache>
                <c:ptCount val="1"/>
                <c:pt idx="0">
                  <c:v>Local</c:v>
                </c:pt>
              </c:strCache>
            </c:strRef>
          </c:tx>
          <c:spPr>
            <a:solidFill>
              <a:srgbClr val="969696"/>
            </a:solidFill>
            <a:ln w="12700">
              <a:solidFill>
                <a:srgbClr val="000000"/>
              </a:solidFill>
              <a:prstDash val="solid"/>
            </a:ln>
          </c:spPr>
          <c:cat>
            <c:strRef>
              <c:f>'Figures 1,2,4'!$I$29:$I$33</c:f>
              <c:strCache>
                <c:ptCount val="5"/>
                <c:pt idx="0">
                  <c:v>Statewide District</c:v>
                </c:pt>
                <c:pt idx="1">
                  <c:v>Statewide Charter</c:v>
                </c:pt>
                <c:pt idx="2">
                  <c:v>Statewide Weighted</c:v>
                </c:pt>
                <c:pt idx="3">
                  <c:v>Indianapolis District</c:v>
                </c:pt>
                <c:pt idx="4">
                  <c:v>Indianapolis Charter</c:v>
                </c:pt>
              </c:strCache>
            </c:strRef>
          </c:cat>
          <c:val>
            <c:numRef>
              <c:f>'Figures 1,2,4'!$L$29:$L$33</c:f>
              <c:numCache>
                <c:formatCode>_("$"* #,##0_);_("$"* \(#,##0\);_("$"* "-"_);_(@_)</c:formatCode>
                <c:ptCount val="5"/>
                <c:pt idx="0">
                  <c:v>1769.7758556844474</c:v>
                </c:pt>
                <c:pt idx="1">
                  <c:v>2339.6210107622323</c:v>
                </c:pt>
                <c:pt idx="3">
                  <c:v>1475.8357827131176</c:v>
                </c:pt>
                <c:pt idx="4">
                  <c:v>2712.1512977983775</c:v>
                </c:pt>
              </c:numCache>
            </c:numRef>
          </c:val>
        </c:ser>
        <c:ser>
          <c:idx val="3"/>
          <c:order val="3"/>
          <c:tx>
            <c:strRef>
              <c:f>'Figures 1,2,4'!$M$28</c:f>
              <c:strCache>
                <c:ptCount val="1"/>
                <c:pt idx="0">
                  <c:v>Other </c:v>
                </c:pt>
              </c:strCache>
            </c:strRef>
          </c:tx>
          <c:spPr>
            <a:solidFill>
              <a:srgbClr val="333333"/>
            </a:solidFill>
            <a:ln w="12700">
              <a:solidFill>
                <a:srgbClr val="000000"/>
              </a:solidFill>
              <a:prstDash val="solid"/>
            </a:ln>
          </c:spPr>
          <c:cat>
            <c:strRef>
              <c:f>'Figures 1,2,4'!$I$29:$I$33</c:f>
              <c:strCache>
                <c:ptCount val="5"/>
                <c:pt idx="0">
                  <c:v>Statewide District</c:v>
                </c:pt>
                <c:pt idx="1">
                  <c:v>Statewide Charter</c:v>
                </c:pt>
                <c:pt idx="2">
                  <c:v>Statewide Weighted</c:v>
                </c:pt>
                <c:pt idx="3">
                  <c:v>Indianapolis District</c:v>
                </c:pt>
                <c:pt idx="4">
                  <c:v>Indianapolis Charter</c:v>
                </c:pt>
              </c:strCache>
            </c:strRef>
          </c:cat>
          <c:val>
            <c:numRef>
              <c:f>'Figures 1,2,4'!$M$29:$M$33</c:f>
              <c:numCache>
                <c:formatCode>_("$"* #,##0_);_("$"* \(#,##0\);_("$"* "-"_);_(@_)</c:formatCode>
                <c:ptCount val="5"/>
                <c:pt idx="0">
                  <c:v>669.0930193590932</c:v>
                </c:pt>
                <c:pt idx="1">
                  <c:v>1666.2083934317097</c:v>
                </c:pt>
                <c:pt idx="3">
                  <c:v>1923.8610011603746</c:v>
                </c:pt>
                <c:pt idx="4">
                  <c:v>2096.547205098494</c:v>
                </c:pt>
              </c:numCache>
            </c:numRef>
          </c:val>
        </c:ser>
        <c:ser>
          <c:idx val="4"/>
          <c:order val="4"/>
          <c:tx>
            <c:strRef>
              <c:f>'Figures 1,2,4'!$N$28</c:f>
              <c:strCache>
                <c:ptCount val="1"/>
                <c:pt idx="0">
                  <c:v>Indeterminate</c:v>
                </c:pt>
              </c:strCache>
            </c:strRef>
          </c:tx>
          <c:spPr>
            <a:solidFill>
              <a:srgbClr val="808080"/>
            </a:solidFill>
            <a:ln w="12700">
              <a:solidFill>
                <a:srgbClr val="000000"/>
              </a:solidFill>
              <a:prstDash val="solid"/>
            </a:ln>
          </c:spPr>
          <c:cat>
            <c:strRef>
              <c:f>'Figures 1,2,4'!$I$29:$I$33</c:f>
              <c:strCache>
                <c:ptCount val="5"/>
                <c:pt idx="0">
                  <c:v>Statewide District</c:v>
                </c:pt>
                <c:pt idx="1">
                  <c:v>Statewide Charter</c:v>
                </c:pt>
                <c:pt idx="2">
                  <c:v>Statewide Weighted</c:v>
                </c:pt>
                <c:pt idx="3">
                  <c:v>Indianapolis District</c:v>
                </c:pt>
                <c:pt idx="4">
                  <c:v>Indianapolis Charter</c:v>
                </c:pt>
              </c:strCache>
            </c:strRef>
          </c:cat>
          <c:val>
            <c:numRef>
              <c:f>'Figures 1,2,4'!$N$29:$N$33</c:f>
              <c:numCache>
                <c:formatCode>_("$"* #,##0_);_("$"* \(#,##0\);_("$"* "-"_);_(@_)</c:formatCode>
                <c:ptCount val="5"/>
                <c:pt idx="0">
                  <c:v>0</c:v>
                </c:pt>
                <c:pt idx="1">
                  <c:v>0</c:v>
                </c:pt>
                <c:pt idx="3">
                  <c:v>0</c:v>
                </c:pt>
                <c:pt idx="4">
                  <c:v>0</c:v>
                </c:pt>
              </c:numCache>
            </c:numRef>
          </c:val>
        </c:ser>
        <c:overlap val="100"/>
        <c:axId val="79377536"/>
        <c:axId val="79379072"/>
      </c:barChart>
      <c:catAx>
        <c:axId val="79377536"/>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9379072"/>
        <c:crosses val="autoZero"/>
        <c:auto val="1"/>
        <c:lblAlgn val="ctr"/>
        <c:lblOffset val="100"/>
        <c:tickLblSkip val="1"/>
        <c:tickMarkSkip val="1"/>
      </c:catAx>
      <c:valAx>
        <c:axId val="79379072"/>
        <c:scaling>
          <c:orientation val="minMax"/>
        </c:scaling>
        <c:axPos val="b"/>
        <c:numFmt formatCode="_(&quot;$&quot;* #,##0_);_(&quot;$&quot;* \(#,##0\);_(&quot;$&quot;* &quot;-&quot;_);_(@_)"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9377536"/>
        <c:crosses val="autoZero"/>
        <c:crossBetween val="between"/>
      </c:valAx>
      <c:spPr>
        <a:solidFill>
          <a:srgbClr val="FFFFFF"/>
        </a:solidFill>
        <a:ln w="12700">
          <a:solidFill>
            <a:srgbClr val="808080"/>
          </a:solidFill>
          <a:prstDash val="solid"/>
        </a:ln>
      </c:spPr>
    </c:plotArea>
    <c:legend>
      <c:legendPos val="t"/>
      <c:layout>
        <c:manualLayout>
          <c:xMode val="edge"/>
          <c:yMode val="edge"/>
          <c:x val="0.28513238289205761"/>
          <c:y val="2.9304029304029304E-2"/>
          <c:w val="0.63747454175152751"/>
          <c:h val="8.7912472479401677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133" r="0.75000000000000133"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600075</xdr:colOff>
      <xdr:row>8</xdr:row>
      <xdr:rowOff>9525</xdr:rowOff>
    </xdr:from>
    <xdr:to>
      <xdr:col>15</xdr:col>
      <xdr:colOff>400050</xdr:colOff>
      <xdr:row>23</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38</xdr:row>
      <xdr:rowOff>0</xdr:rowOff>
    </xdr:from>
    <xdr:to>
      <xdr:col>15</xdr:col>
      <xdr:colOff>409575</xdr:colOff>
      <xdr:row>54</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D16"/>
  <sheetViews>
    <sheetView tabSelected="1" workbookViewId="0">
      <selection activeCell="A15" sqref="A15"/>
    </sheetView>
  </sheetViews>
  <sheetFormatPr defaultRowHeight="12.75"/>
  <cols>
    <col min="3" max="3" width="1.28515625" customWidth="1"/>
    <col min="4" max="4" width="7.85546875" customWidth="1"/>
  </cols>
  <sheetData>
    <row r="2" spans="1:4">
      <c r="A2" t="s">
        <v>467</v>
      </c>
    </row>
    <row r="3" spans="1:4">
      <c r="A3" s="76"/>
      <c r="B3" s="77"/>
      <c r="C3" s="78"/>
      <c r="D3" s="60" t="s">
        <v>366</v>
      </c>
    </row>
    <row r="4" spans="1:4">
      <c r="A4" s="59"/>
      <c r="B4" s="78"/>
      <c r="C4" s="78"/>
      <c r="D4" s="60"/>
    </row>
    <row r="5" spans="1:4">
      <c r="A5" s="79"/>
      <c r="B5" s="80"/>
      <c r="C5" s="78"/>
      <c r="D5" s="60" t="s">
        <v>309</v>
      </c>
    </row>
    <row r="6" spans="1:4">
      <c r="A6" s="59"/>
      <c r="B6" s="78"/>
      <c r="C6" s="78"/>
      <c r="D6" s="60"/>
    </row>
    <row r="7" spans="1:4">
      <c r="A7" s="81"/>
      <c r="B7" s="82"/>
      <c r="C7" s="78"/>
      <c r="D7" s="60" t="s">
        <v>365</v>
      </c>
    </row>
    <row r="8" spans="1:4">
      <c r="A8" s="59"/>
      <c r="B8" s="78"/>
      <c r="C8" s="78"/>
      <c r="D8" s="60"/>
    </row>
    <row r="9" spans="1:4">
      <c r="A9" s="83"/>
      <c r="B9" s="84"/>
      <c r="C9" s="78"/>
      <c r="D9" s="60" t="s">
        <v>367</v>
      </c>
    </row>
    <row r="12" spans="1:4">
      <c r="A12" t="s">
        <v>468</v>
      </c>
      <c r="B12" t="s">
        <v>471</v>
      </c>
    </row>
    <row r="14" spans="1:4">
      <c r="A14" t="s">
        <v>472</v>
      </c>
    </row>
    <row r="15" spans="1:4">
      <c r="A15" t="s">
        <v>469</v>
      </c>
    </row>
    <row r="16" spans="1:4">
      <c r="A16" t="s">
        <v>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1"/>
  <sheetViews>
    <sheetView workbookViewId="0">
      <selection activeCell="K26" sqref="K26"/>
    </sheetView>
  </sheetViews>
  <sheetFormatPr defaultRowHeight="12.75"/>
  <cols>
    <col min="1" max="1" width="17.7109375" customWidth="1"/>
    <col min="2" max="7" width="11.28515625" customWidth="1"/>
  </cols>
  <sheetData>
    <row r="1" spans="1:12">
      <c r="A1" s="57" t="s">
        <v>462</v>
      </c>
      <c r="B1" s="57"/>
      <c r="C1" s="57"/>
      <c r="D1" s="57"/>
      <c r="E1" s="57"/>
      <c r="F1" s="57"/>
      <c r="G1" s="57"/>
      <c r="I1" t="s">
        <v>359</v>
      </c>
    </row>
    <row r="2" spans="1:12" ht="25.5" customHeight="1">
      <c r="A2" s="25" t="s">
        <v>380</v>
      </c>
      <c r="B2" s="96" t="s">
        <v>360</v>
      </c>
      <c r="C2" s="96"/>
      <c r="D2" s="56"/>
      <c r="E2" s="56"/>
      <c r="F2" s="97" t="s">
        <v>308</v>
      </c>
      <c r="G2" s="96"/>
      <c r="J2" t="s">
        <v>307</v>
      </c>
      <c r="K2" t="s">
        <v>350</v>
      </c>
      <c r="L2" t="s">
        <v>361</v>
      </c>
    </row>
    <row r="3" spans="1:12">
      <c r="A3" s="26" t="s">
        <v>362</v>
      </c>
      <c r="B3" s="27"/>
      <c r="C3" s="27"/>
      <c r="D3" s="27"/>
      <c r="E3" s="27"/>
      <c r="F3" s="27"/>
      <c r="G3" s="28"/>
      <c r="I3" s="11" t="s">
        <v>309</v>
      </c>
      <c r="J3" s="30">
        <f>B4</f>
        <v>7046.6145307266215</v>
      </c>
      <c r="K3" s="30">
        <f>B5</f>
        <v>9327.7445678464428</v>
      </c>
      <c r="L3" s="30">
        <f>B6</f>
        <v>-2281.1300371198213</v>
      </c>
    </row>
    <row r="4" spans="1:12">
      <c r="A4" s="31" t="s">
        <v>307</v>
      </c>
      <c r="B4" s="98">
        <f>B14</f>
        <v>7046.6145307266215</v>
      </c>
      <c r="C4" s="99"/>
      <c r="D4" s="61"/>
      <c r="E4" s="61"/>
      <c r="F4" s="98">
        <f>F14</f>
        <v>11146.836339153197</v>
      </c>
      <c r="G4" s="99"/>
      <c r="I4" s="58" t="s">
        <v>463</v>
      </c>
      <c r="J4" s="30"/>
      <c r="K4" s="30"/>
      <c r="L4" s="30"/>
    </row>
    <row r="5" spans="1:12">
      <c r="A5" s="31" t="s">
        <v>350</v>
      </c>
      <c r="B5" s="87">
        <f>C14</f>
        <v>9327.7445678464428</v>
      </c>
      <c r="C5" s="88"/>
      <c r="D5" s="62"/>
      <c r="E5" s="62"/>
      <c r="F5" s="87">
        <f>G14</f>
        <v>9835.0698285052149</v>
      </c>
      <c r="G5" s="88"/>
      <c r="I5" s="11" t="s">
        <v>308</v>
      </c>
      <c r="J5" s="30">
        <f>F4</f>
        <v>11146.836339153197</v>
      </c>
      <c r="K5" s="30">
        <f>F5</f>
        <v>9835.0698285052149</v>
      </c>
      <c r="L5" s="30">
        <f>F6</f>
        <v>1311.7665106479817</v>
      </c>
    </row>
    <row r="6" spans="1:12">
      <c r="A6" s="85" t="s">
        <v>361</v>
      </c>
      <c r="B6" s="87">
        <f>B4-B5</f>
        <v>-2281.1300371198213</v>
      </c>
      <c r="C6" s="88"/>
      <c r="D6" s="62"/>
      <c r="E6" s="62"/>
      <c r="F6" s="87">
        <f>F4-F5</f>
        <v>1311.7665106479817</v>
      </c>
      <c r="G6" s="88"/>
      <c r="I6" s="11"/>
      <c r="J6" s="30"/>
      <c r="K6" s="30"/>
      <c r="L6" s="30"/>
    </row>
    <row r="7" spans="1:12">
      <c r="A7" s="86"/>
      <c r="B7" s="89">
        <f>B6/B4</f>
        <v>-0.32371999733673518</v>
      </c>
      <c r="C7" s="90"/>
      <c r="D7" s="63"/>
      <c r="E7" s="63"/>
      <c r="F7" s="89">
        <f>F6/F4</f>
        <v>0.11768061095868158</v>
      </c>
      <c r="G7" s="90"/>
      <c r="I7" s="29"/>
      <c r="J7" s="30"/>
      <c r="K7" s="30"/>
      <c r="L7" s="30"/>
    </row>
    <row r="8" spans="1:12" ht="25.5">
      <c r="A8" s="32" t="s">
        <v>363</v>
      </c>
      <c r="B8" s="33" t="s">
        <v>364</v>
      </c>
      <c r="C8" s="33" t="s">
        <v>350</v>
      </c>
      <c r="D8" s="33"/>
      <c r="E8" s="33"/>
      <c r="F8" s="33" t="s">
        <v>364</v>
      </c>
      <c r="G8" s="33" t="s">
        <v>350</v>
      </c>
    </row>
    <row r="9" spans="1:12">
      <c r="A9" s="31" t="s">
        <v>365</v>
      </c>
      <c r="B9" s="34">
        <f>Districts!E295/'Figures 1,2,4'!B16:C16</f>
        <v>701.31116518504894</v>
      </c>
      <c r="C9" s="34">
        <f>'Charters State'!E39/'Charters State'!I39</f>
        <v>1113.7251314767561</v>
      </c>
      <c r="D9" s="34"/>
      <c r="E9" s="34"/>
      <c r="F9" s="34">
        <f>Districts!E176/'Figures 1,2,4'!F16:G16</f>
        <v>1778.8811695496127</v>
      </c>
      <c r="G9" s="34">
        <f>'Charters Indy'!E19/'Charters Indy'!I19</f>
        <v>995.17288991888745</v>
      </c>
    </row>
    <row r="10" spans="1:12">
      <c r="A10" s="31" t="s">
        <v>309</v>
      </c>
      <c r="B10" s="34">
        <f>Districts!D295/'Figures 1,2,4'!B16:C16</f>
        <v>3906.4344904980326</v>
      </c>
      <c r="C10" s="34">
        <f>'Charters State'!D39/'Charters State'!I39</f>
        <v>4208.1900321757457</v>
      </c>
      <c r="D10" s="34"/>
      <c r="E10" s="34"/>
      <c r="F10" s="34">
        <f>Districts!D176/'Figures 1,2,4'!F16:G16</f>
        <v>5968.2583857300915</v>
      </c>
      <c r="G10" s="34">
        <f>'Charters Indy'!D19/'Charters Indy'!I19</f>
        <v>4031.1984356894554</v>
      </c>
    </row>
    <row r="11" spans="1:12">
      <c r="A11" s="31" t="s">
        <v>366</v>
      </c>
      <c r="B11" s="34">
        <f>Districts!C295/'Figures 1,2,4'!B16:C16</f>
        <v>1769.7758556844474</v>
      </c>
      <c r="C11" s="34">
        <f>'Charters State'!C39/'Charters State'!I39</f>
        <v>2339.6210107622323</v>
      </c>
      <c r="D11" s="34"/>
      <c r="E11" s="34"/>
      <c r="F11" s="34">
        <f>Districts!C176/'Figures 1,2,4'!F16:G16</f>
        <v>1475.8357827131176</v>
      </c>
      <c r="G11" s="34">
        <f>'Charters Indy'!C19/'Charters Indy'!I19</f>
        <v>2712.1512977983775</v>
      </c>
    </row>
    <row r="12" spans="1:12">
      <c r="A12" s="31" t="s">
        <v>367</v>
      </c>
      <c r="B12" s="34">
        <f>Districts!F295/'Figures 1,2,4'!B16:C16</f>
        <v>669.0930193590932</v>
      </c>
      <c r="C12" s="34">
        <f>'Charters State'!F39/'Charters State'!I39</f>
        <v>1666.2083934317097</v>
      </c>
      <c r="D12" s="34"/>
      <c r="E12" s="34"/>
      <c r="F12" s="34">
        <f>Districts!F176/'Figures 1,2,4'!F16:G16</f>
        <v>1923.8610011603746</v>
      </c>
      <c r="G12" s="34">
        <f>'Charters Indy'!F19/'Charters Indy'!I19</f>
        <v>2096.547205098494</v>
      </c>
    </row>
    <row r="13" spans="1:12">
      <c r="A13" s="31" t="s">
        <v>368</v>
      </c>
      <c r="B13" s="41"/>
      <c r="C13" s="41"/>
      <c r="D13" s="41"/>
      <c r="E13" s="41"/>
      <c r="F13" s="41"/>
      <c r="G13" s="41"/>
    </row>
    <row r="14" spans="1:12">
      <c r="A14" s="31" t="s">
        <v>369</v>
      </c>
      <c r="B14" s="41">
        <f t="shared" ref="B14:G14" si="0">SUM(B9:B13)</f>
        <v>7046.6145307266215</v>
      </c>
      <c r="C14" s="41">
        <f t="shared" si="0"/>
        <v>9327.7445678464428</v>
      </c>
      <c r="D14" s="41"/>
      <c r="E14" s="41"/>
      <c r="F14" s="41">
        <f t="shared" si="0"/>
        <v>11146.836339153197</v>
      </c>
      <c r="G14" s="41">
        <f t="shared" si="0"/>
        <v>9835.0698285052149</v>
      </c>
    </row>
    <row r="15" spans="1:12">
      <c r="A15" s="26" t="s">
        <v>370</v>
      </c>
      <c r="B15" s="42"/>
      <c r="C15" s="42"/>
      <c r="D15" s="42"/>
      <c r="E15" s="42"/>
      <c r="F15" s="42"/>
      <c r="G15" s="43"/>
    </row>
    <row r="16" spans="1:12">
      <c r="A16" s="85" t="s">
        <v>307</v>
      </c>
      <c r="B16" s="94">
        <f>Districts!I297</f>
        <v>1024893</v>
      </c>
      <c r="C16" s="95"/>
      <c r="D16" s="64"/>
      <c r="E16" s="64"/>
      <c r="F16" s="94">
        <f>Districts!I176</f>
        <v>37057</v>
      </c>
      <c r="G16" s="95"/>
    </row>
    <row r="17" spans="1:14">
      <c r="A17" s="86"/>
      <c r="B17" s="89">
        <f>B16/(B16+B18)</f>
        <v>0.99128257307724299</v>
      </c>
      <c r="C17" s="90"/>
      <c r="D17" s="63"/>
      <c r="E17" s="63"/>
      <c r="F17" s="89">
        <f>F16/(F16+F18)</f>
        <v>0.89570240742531182</v>
      </c>
      <c r="G17" s="90"/>
    </row>
    <row r="18" spans="1:14">
      <c r="A18" s="85" t="s">
        <v>350</v>
      </c>
      <c r="B18" s="94">
        <f>'Charters State'!I39</f>
        <v>9013</v>
      </c>
      <c r="C18" s="95"/>
      <c r="D18" s="64"/>
      <c r="E18" s="64"/>
      <c r="F18" s="94">
        <f>'Charters Indy'!I19</f>
        <v>4315</v>
      </c>
      <c r="G18" s="95"/>
    </row>
    <row r="19" spans="1:14">
      <c r="A19" s="86"/>
      <c r="B19" s="89">
        <f>B18/(B16+B18)</f>
        <v>8.7174269227570014E-3</v>
      </c>
      <c r="C19" s="90"/>
      <c r="D19" s="63"/>
      <c r="E19" s="63"/>
      <c r="F19" s="89">
        <f>F18/(F16+F18)</f>
        <v>0.10429759257468819</v>
      </c>
      <c r="G19" s="90"/>
    </row>
    <row r="20" spans="1:14">
      <c r="A20" s="31" t="s">
        <v>371</v>
      </c>
      <c r="B20" s="92">
        <v>37</v>
      </c>
      <c r="C20" s="93"/>
      <c r="D20" s="65"/>
      <c r="E20" s="65"/>
      <c r="F20" s="92">
        <v>17</v>
      </c>
      <c r="G20" s="93"/>
    </row>
    <row r="21" spans="1:14">
      <c r="A21" s="26" t="s">
        <v>372</v>
      </c>
      <c r="B21" s="42"/>
      <c r="C21" s="42"/>
      <c r="D21" s="42"/>
      <c r="E21" s="42"/>
      <c r="F21" s="42"/>
      <c r="G21" s="43"/>
    </row>
    <row r="22" spans="1:14">
      <c r="A22" s="85" t="s">
        <v>307</v>
      </c>
      <c r="B22" s="87">
        <f>SUM(Districts!C295:F295)</f>
        <v>7222025906.2399998</v>
      </c>
      <c r="C22" s="88"/>
      <c r="D22" s="62"/>
      <c r="E22" s="62"/>
      <c r="F22" s="87">
        <f>SUM(Districts!C176:F176)</f>
        <v>413068314.22000003</v>
      </c>
      <c r="G22" s="88"/>
    </row>
    <row r="23" spans="1:14">
      <c r="A23" s="86"/>
      <c r="B23" s="89">
        <f>B22/B26</f>
        <v>0.9884930403595007</v>
      </c>
      <c r="C23" s="90"/>
      <c r="D23" s="63"/>
      <c r="E23" s="63"/>
      <c r="F23" s="89">
        <f>F22/F26</f>
        <v>0.9068326945560633</v>
      </c>
      <c r="G23" s="90"/>
    </row>
    <row r="24" spans="1:14">
      <c r="A24" s="85" t="s">
        <v>350</v>
      </c>
      <c r="B24" s="87">
        <f>SUM('Charters State'!C39:F39)</f>
        <v>84070961.790000007</v>
      </c>
      <c r="C24" s="88"/>
      <c r="D24" s="62"/>
      <c r="E24" s="62"/>
      <c r="F24" s="87">
        <f>SUM('Charters Indy'!C19:F19)</f>
        <v>42438326.310000002</v>
      </c>
      <c r="G24" s="88"/>
    </row>
    <row r="25" spans="1:14">
      <c r="A25" s="86"/>
      <c r="B25" s="89">
        <f>B24/B26</f>
        <v>1.1506959640499363E-2</v>
      </c>
      <c r="C25" s="90"/>
      <c r="D25" s="63"/>
      <c r="E25" s="63"/>
      <c r="F25" s="89">
        <f>F24/F26</f>
        <v>9.3167305443936727E-2</v>
      </c>
      <c r="G25" s="90"/>
    </row>
    <row r="26" spans="1:14">
      <c r="A26" s="31" t="s">
        <v>369</v>
      </c>
      <c r="B26" s="87">
        <f>B22+B24</f>
        <v>7306096868.0299997</v>
      </c>
      <c r="C26" s="88"/>
      <c r="D26" s="62"/>
      <c r="E26" s="62"/>
      <c r="F26" s="87">
        <f>F22+F24</f>
        <v>455506640.53000003</v>
      </c>
      <c r="G26" s="88"/>
    </row>
    <row r="27" spans="1:14" ht="25.5">
      <c r="A27" s="35" t="s">
        <v>374</v>
      </c>
      <c r="B27" s="44" t="s">
        <v>364</v>
      </c>
      <c r="C27" s="44" t="s">
        <v>350</v>
      </c>
      <c r="D27" s="44"/>
      <c r="E27" s="44"/>
      <c r="F27" s="44" t="s">
        <v>364</v>
      </c>
      <c r="G27" s="44" t="s">
        <v>350</v>
      </c>
      <c r="I27" t="s">
        <v>373</v>
      </c>
    </row>
    <row r="28" spans="1:14">
      <c r="A28" s="31" t="s">
        <v>365</v>
      </c>
      <c r="B28" s="45">
        <f>B9/B14</f>
        <v>9.9524553546528713E-2</v>
      </c>
      <c r="C28" s="45">
        <f>C9/C14</f>
        <v>0.1193991884507499</v>
      </c>
      <c r="D28" s="45"/>
      <c r="E28" s="45"/>
      <c r="F28" s="45">
        <f>F9/F14</f>
        <v>0.15958619247878458</v>
      </c>
      <c r="G28" s="45">
        <f>G9/G14</f>
        <v>0.10118615396451527</v>
      </c>
      <c r="J28" s="36" t="s">
        <v>375</v>
      </c>
      <c r="K28" s="36" t="s">
        <v>309</v>
      </c>
      <c r="L28" s="36" t="s">
        <v>366</v>
      </c>
      <c r="M28" s="36" t="s">
        <v>376</v>
      </c>
      <c r="N28" s="36" t="s">
        <v>368</v>
      </c>
    </row>
    <row r="29" spans="1:14">
      <c r="A29" s="31" t="s">
        <v>309</v>
      </c>
      <c r="B29" s="40">
        <f>B10/B14</f>
        <v>0.55437039637461416</v>
      </c>
      <c r="C29" s="40">
        <f>C10/C14</f>
        <v>0.45114764899134863</v>
      </c>
      <c r="D29" s="40"/>
      <c r="E29" s="40"/>
      <c r="F29" s="40">
        <f>F10/F14</f>
        <v>0.53542172901261853</v>
      </c>
      <c r="G29" s="40">
        <f>G10/G14</f>
        <v>0.40988000146229137</v>
      </c>
      <c r="I29" t="s">
        <v>377</v>
      </c>
      <c r="J29" s="30">
        <f>B9</f>
        <v>701.31116518504894</v>
      </c>
      <c r="K29" s="30">
        <f>B10</f>
        <v>3906.4344904980326</v>
      </c>
      <c r="L29" s="30">
        <f>B11</f>
        <v>1769.7758556844474</v>
      </c>
      <c r="M29" s="30">
        <f>B12</f>
        <v>669.0930193590932</v>
      </c>
      <c r="N29" s="30">
        <f>B13</f>
        <v>0</v>
      </c>
    </row>
    <row r="30" spans="1:14">
      <c r="A30" s="31" t="s">
        <v>366</v>
      </c>
      <c r="B30" s="40">
        <f>B11/B14</f>
        <v>0.25115264187751085</v>
      </c>
      <c r="C30" s="40">
        <f>C11/C14</f>
        <v>0.25082387213165247</v>
      </c>
      <c r="D30" s="40"/>
      <c r="E30" s="40"/>
      <c r="F30" s="40">
        <f>F11/F14</f>
        <v>0.13239952016961559</v>
      </c>
      <c r="G30" s="40">
        <f>G11/G14</f>
        <v>0.2757632985927243</v>
      </c>
      <c r="I30" t="s">
        <v>378</v>
      </c>
      <c r="J30" s="30">
        <f>C9</f>
        <v>1113.7251314767561</v>
      </c>
      <c r="K30" s="30">
        <f>C10</f>
        <v>4208.1900321757457</v>
      </c>
      <c r="L30" s="30">
        <f>C11</f>
        <v>2339.6210107622323</v>
      </c>
      <c r="M30" s="30">
        <f>C12</f>
        <v>1666.2083934317097</v>
      </c>
      <c r="N30" s="30">
        <f>C13</f>
        <v>0</v>
      </c>
    </row>
    <row r="31" spans="1:14">
      <c r="A31" s="31" t="s">
        <v>367</v>
      </c>
      <c r="B31" s="40">
        <f>B12/B14</f>
        <v>9.49524082013464E-2</v>
      </c>
      <c r="C31" s="40">
        <f>C12/C14</f>
        <v>0.17862929042624912</v>
      </c>
      <c r="D31" s="40"/>
      <c r="E31" s="40"/>
      <c r="F31" s="40">
        <f>F12/F14</f>
        <v>0.17259255833898127</v>
      </c>
      <c r="G31" s="40">
        <f>G12/G14</f>
        <v>0.21317054598046897</v>
      </c>
      <c r="I31" t="s">
        <v>463</v>
      </c>
      <c r="J31" s="30"/>
      <c r="K31" s="30"/>
      <c r="L31" s="30"/>
      <c r="M31" s="30"/>
      <c r="N31" s="30"/>
    </row>
    <row r="32" spans="1:14">
      <c r="A32" s="69" t="s">
        <v>379</v>
      </c>
      <c r="B32" s="70"/>
      <c r="C32" s="70"/>
      <c r="D32" s="70"/>
      <c r="E32" s="70"/>
      <c r="F32" s="70"/>
      <c r="G32" s="71"/>
      <c r="I32" s="11" t="s">
        <v>381</v>
      </c>
      <c r="J32" s="30">
        <f>F9</f>
        <v>1778.8811695496127</v>
      </c>
      <c r="K32" s="30">
        <f>F10</f>
        <v>5968.2583857300915</v>
      </c>
      <c r="L32" s="30">
        <f>F11</f>
        <v>1475.8357827131176</v>
      </c>
      <c r="M32" s="30">
        <f>F12</f>
        <v>1923.8610011603746</v>
      </c>
      <c r="N32" s="30">
        <f>F13</f>
        <v>0</v>
      </c>
    </row>
    <row r="33" spans="1:14">
      <c r="A33" s="67"/>
      <c r="B33" s="91" t="s">
        <v>441</v>
      </c>
      <c r="C33" s="91"/>
      <c r="D33" s="68"/>
      <c r="E33" s="68"/>
      <c r="F33" s="91" t="s">
        <v>440</v>
      </c>
      <c r="G33" s="91"/>
      <c r="H33" s="67"/>
      <c r="I33" s="11" t="s">
        <v>442</v>
      </c>
      <c r="J33" s="30">
        <f>G9</f>
        <v>995.17288991888745</v>
      </c>
      <c r="K33" s="30">
        <f>G10</f>
        <v>4031.1984356894554</v>
      </c>
      <c r="L33" s="30">
        <f>G11</f>
        <v>2712.1512977983775</v>
      </c>
      <c r="M33" s="30">
        <f>G12</f>
        <v>2096.547205098494</v>
      </c>
      <c r="N33" s="30">
        <f>G13</f>
        <v>0</v>
      </c>
    </row>
    <row r="34" spans="1:14">
      <c r="B34" s="46">
        <f>B6*B16</f>
        <v>-2337914207.1338449</v>
      </c>
      <c r="C34" s="46"/>
      <c r="D34" s="46"/>
      <c r="E34" s="46"/>
      <c r="F34" s="46">
        <f>F6*F16</f>
        <v>48610131.585082255</v>
      </c>
      <c r="G34" s="46"/>
      <c r="J34" s="30"/>
      <c r="K34" s="30"/>
      <c r="L34" s="30"/>
      <c r="M34" s="30"/>
      <c r="N34" s="30"/>
    </row>
    <row r="35" spans="1:14">
      <c r="A35" t="s">
        <v>436</v>
      </c>
      <c r="J35" s="30"/>
      <c r="K35" s="30"/>
      <c r="L35" s="30"/>
      <c r="M35" s="30"/>
      <c r="N35" s="30"/>
    </row>
    <row r="36" spans="1:14">
      <c r="A36" s="11" t="s">
        <v>450</v>
      </c>
      <c r="J36" s="30"/>
      <c r="K36" s="30"/>
      <c r="L36" s="30"/>
      <c r="M36" s="30"/>
      <c r="N36" s="30"/>
    </row>
    <row r="37" spans="1:14">
      <c r="A37" s="50" t="s">
        <v>451</v>
      </c>
      <c r="J37" s="30"/>
      <c r="K37" s="30"/>
      <c r="L37" s="30"/>
      <c r="M37" s="30"/>
      <c r="N37" s="30"/>
    </row>
    <row r="38" spans="1:14">
      <c r="A38" s="50" t="s">
        <v>452</v>
      </c>
    </row>
    <row r="39" spans="1:14">
      <c r="A39" s="50" t="s">
        <v>453</v>
      </c>
    </row>
    <row r="40" spans="1:14">
      <c r="A40" s="50" t="s">
        <v>454</v>
      </c>
    </row>
    <row r="41" spans="1:14">
      <c r="A41" s="50" t="s">
        <v>455</v>
      </c>
    </row>
  </sheetData>
  <mergeCells count="37">
    <mergeCell ref="B2:C2"/>
    <mergeCell ref="F2:G2"/>
    <mergeCell ref="B4:C4"/>
    <mergeCell ref="F4:G4"/>
    <mergeCell ref="B5:C5"/>
    <mergeCell ref="F5:G5"/>
    <mergeCell ref="A6:A7"/>
    <mergeCell ref="B6:C6"/>
    <mergeCell ref="F6:G6"/>
    <mergeCell ref="B7:C7"/>
    <mergeCell ref="F7:G7"/>
    <mergeCell ref="A16:A17"/>
    <mergeCell ref="B16:C16"/>
    <mergeCell ref="F16:G16"/>
    <mergeCell ref="B17:C17"/>
    <mergeCell ref="F17:G17"/>
    <mergeCell ref="A18:A19"/>
    <mergeCell ref="B18:C18"/>
    <mergeCell ref="F18:G18"/>
    <mergeCell ref="B19:C19"/>
    <mergeCell ref="F19:G19"/>
    <mergeCell ref="B20:C20"/>
    <mergeCell ref="F20:G20"/>
    <mergeCell ref="A22:A23"/>
    <mergeCell ref="B22:C22"/>
    <mergeCell ref="F22:G22"/>
    <mergeCell ref="B23:C23"/>
    <mergeCell ref="F23:G23"/>
    <mergeCell ref="A24:A25"/>
    <mergeCell ref="B24:C24"/>
    <mergeCell ref="F24:G24"/>
    <mergeCell ref="B25:C25"/>
    <mergeCell ref="B33:C33"/>
    <mergeCell ref="F33:G33"/>
    <mergeCell ref="F25:G25"/>
    <mergeCell ref="B26:C26"/>
    <mergeCell ref="F26:G26"/>
  </mergeCells>
  <phoneticPr fontId="2" type="noConversion"/>
  <pageMargins left="0.75" right="0.75" top="1" bottom="1" header="0.5" footer="0.5"/>
  <pageSetup orientation="portrait"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dimension ref="A3:R342"/>
  <sheetViews>
    <sheetView workbookViewId="0">
      <pane ySplit="3" topLeftCell="A4" activePane="bottomLeft" state="frozen"/>
      <selection pane="bottomLeft" activeCell="N13" sqref="N13"/>
    </sheetView>
  </sheetViews>
  <sheetFormatPr defaultRowHeight="12.75"/>
  <cols>
    <col min="1" max="1" width="9.140625" style="8"/>
    <col min="2" max="2" width="33.5703125" customWidth="1"/>
    <col min="3" max="3" width="9.28515625" hidden="1" customWidth="1"/>
    <col min="4" max="4" width="12.5703125" hidden="1" customWidth="1"/>
    <col min="5" max="5" width="13.85546875" style="6" bestFit="1" customWidth="1"/>
    <col min="6" max="6" width="0" hidden="1" customWidth="1"/>
    <col min="7" max="7" width="8.85546875" hidden="1" customWidth="1"/>
    <col min="8" max="8" width="14.85546875" style="6" bestFit="1" customWidth="1"/>
    <col min="9" max="9" width="9.140625" hidden="1" customWidth="1"/>
    <col min="10" max="10" width="10" hidden="1" customWidth="1"/>
    <col min="11" max="11" width="13.85546875" style="6" customWidth="1"/>
    <col min="12" max="13" width="13.85546875" hidden="1" customWidth="1"/>
    <col min="14" max="14" width="13.85546875" style="6" customWidth="1"/>
  </cols>
  <sheetData>
    <row r="3" spans="1:16" s="5" customFormat="1">
      <c r="A3" s="1" t="s">
        <v>5</v>
      </c>
      <c r="B3" s="2" t="s">
        <v>6</v>
      </c>
      <c r="C3" s="5" t="s">
        <v>301</v>
      </c>
      <c r="D3" s="5" t="s">
        <v>300</v>
      </c>
      <c r="E3" s="7" t="s">
        <v>302</v>
      </c>
      <c r="F3" s="5" t="s">
        <v>3</v>
      </c>
      <c r="G3" s="5" t="s">
        <v>4</v>
      </c>
      <c r="H3" s="7" t="s">
        <v>303</v>
      </c>
      <c r="I3" s="5" t="s">
        <v>304</v>
      </c>
      <c r="J3" s="5" t="s">
        <v>305</v>
      </c>
      <c r="K3" s="7" t="s">
        <v>306</v>
      </c>
      <c r="L3" s="5" t="s">
        <v>0</v>
      </c>
      <c r="M3" s="5" t="s">
        <v>1</v>
      </c>
      <c r="N3" s="7" t="s">
        <v>2</v>
      </c>
      <c r="O3" s="5" t="s">
        <v>437</v>
      </c>
    </row>
    <row r="4" spans="1:16">
      <c r="A4" s="8">
        <v>15</v>
      </c>
      <c r="B4" t="s">
        <v>7</v>
      </c>
      <c r="C4">
        <v>1381696.7</v>
      </c>
      <c r="D4">
        <v>1298899.08</v>
      </c>
      <c r="E4" s="19">
        <f>SUM(C4:D4)</f>
        <v>2680595.7800000003</v>
      </c>
      <c r="F4">
        <v>2147938.91</v>
      </c>
      <c r="G4">
        <v>2008567.55</v>
      </c>
      <c r="H4" s="20">
        <f>SUM(F4:G4)</f>
        <v>4156506.46</v>
      </c>
      <c r="I4">
        <v>243125.53</v>
      </c>
      <c r="J4">
        <v>343162.17</v>
      </c>
      <c r="K4" s="18">
        <f>SUM(I4:J4)</f>
        <v>586287.69999999995</v>
      </c>
      <c r="L4">
        <v>968547.97</v>
      </c>
      <c r="M4">
        <v>42228.66</v>
      </c>
      <c r="N4" s="23">
        <f>SUM(L4:M4)</f>
        <v>1010776.63</v>
      </c>
      <c r="O4" t="s">
        <v>307</v>
      </c>
      <c r="P4" t="s">
        <v>309</v>
      </c>
    </row>
    <row r="5" spans="1:16">
      <c r="A5" s="8">
        <v>25</v>
      </c>
      <c r="B5" t="s">
        <v>8</v>
      </c>
      <c r="C5">
        <v>2897178.03</v>
      </c>
      <c r="D5">
        <v>2719609.1</v>
      </c>
      <c r="E5" s="19">
        <f t="shared" ref="E5:E68" si="0">SUM(C5:D5)</f>
        <v>5616787.1299999999</v>
      </c>
      <c r="F5">
        <v>4488521.6900000004</v>
      </c>
      <c r="G5">
        <v>4036027.99</v>
      </c>
      <c r="H5" s="20">
        <f t="shared" ref="H5:H68" si="1">SUM(F5:G5)</f>
        <v>8524549.6799999997</v>
      </c>
      <c r="I5">
        <v>334800.78000000003</v>
      </c>
      <c r="J5">
        <v>499910.74</v>
      </c>
      <c r="K5" s="18">
        <f t="shared" ref="K5:K68" si="2">SUM(I5:J5)</f>
        <v>834711.52</v>
      </c>
      <c r="L5">
        <v>43181.08</v>
      </c>
      <c r="M5">
        <v>15423.3</v>
      </c>
      <c r="N5" s="23">
        <f t="shared" ref="N5:N68" si="3">SUM(L5:M5)</f>
        <v>58604.380000000005</v>
      </c>
      <c r="O5" t="s">
        <v>307</v>
      </c>
      <c r="P5" t="s">
        <v>309</v>
      </c>
    </row>
    <row r="6" spans="1:16">
      <c r="A6" s="8">
        <v>35</v>
      </c>
      <c r="B6" t="s">
        <v>9</v>
      </c>
      <c r="C6">
        <v>1510496.47</v>
      </c>
      <c r="D6">
        <v>1487835.14</v>
      </c>
      <c r="E6" s="19">
        <f t="shared" si="0"/>
        <v>2998331.61</v>
      </c>
      <c r="F6">
        <v>3009938.14</v>
      </c>
      <c r="G6">
        <v>2764103.88</v>
      </c>
      <c r="H6" s="20">
        <f t="shared" si="1"/>
        <v>5774042.0199999996</v>
      </c>
      <c r="I6">
        <v>764214.66</v>
      </c>
      <c r="J6">
        <v>625324.17000000004</v>
      </c>
      <c r="K6" s="18">
        <f t="shared" si="2"/>
        <v>1389538.83</v>
      </c>
      <c r="L6">
        <v>3371.84</v>
      </c>
      <c r="M6">
        <v>28019.279999999999</v>
      </c>
      <c r="N6" s="23">
        <f t="shared" si="3"/>
        <v>31391.119999999999</v>
      </c>
      <c r="O6" t="s">
        <v>307</v>
      </c>
      <c r="P6" t="s">
        <v>309</v>
      </c>
    </row>
    <row r="7" spans="1:16">
      <c r="A7" s="8">
        <v>125</v>
      </c>
      <c r="B7" t="s">
        <v>10</v>
      </c>
      <c r="C7">
        <v>12666607.1</v>
      </c>
      <c r="D7">
        <v>2950903.59</v>
      </c>
      <c r="E7" s="19">
        <f t="shared" si="0"/>
        <v>15617510.689999999</v>
      </c>
      <c r="F7">
        <v>6722083.3300000001</v>
      </c>
      <c r="G7">
        <v>6513155.6100000003</v>
      </c>
      <c r="H7" s="20">
        <f t="shared" si="1"/>
        <v>13235238.940000001</v>
      </c>
      <c r="I7">
        <v>1446367.66</v>
      </c>
      <c r="J7">
        <v>1516633.26</v>
      </c>
      <c r="K7" s="18">
        <f t="shared" si="2"/>
        <v>2963000.92</v>
      </c>
      <c r="L7">
        <v>2508013.13</v>
      </c>
      <c r="M7">
        <v>2681684.4500000002</v>
      </c>
      <c r="N7" s="23">
        <f t="shared" si="3"/>
        <v>5189697.58</v>
      </c>
      <c r="O7" t="s">
        <v>307</v>
      </c>
      <c r="P7" t="s">
        <v>309</v>
      </c>
    </row>
    <row r="8" spans="1:16">
      <c r="A8" s="8">
        <v>225</v>
      </c>
      <c r="B8" t="s">
        <v>11</v>
      </c>
      <c r="C8">
        <v>7891482.9500000002</v>
      </c>
      <c r="D8">
        <v>2134056.7400000002</v>
      </c>
      <c r="E8" s="19">
        <f t="shared" si="0"/>
        <v>10025539.690000001</v>
      </c>
      <c r="F8">
        <v>8959306.5800000001</v>
      </c>
      <c r="G8">
        <v>8707031.8399999999</v>
      </c>
      <c r="H8" s="20">
        <f t="shared" si="1"/>
        <v>17666338.420000002</v>
      </c>
      <c r="I8">
        <v>429002.4</v>
      </c>
      <c r="J8">
        <v>703930.74</v>
      </c>
      <c r="K8" s="18">
        <f t="shared" si="2"/>
        <v>1132933.1400000001</v>
      </c>
      <c r="L8">
        <v>172880.21</v>
      </c>
      <c r="M8">
        <v>66579.649999999994</v>
      </c>
      <c r="N8" s="23">
        <f t="shared" si="3"/>
        <v>239459.86</v>
      </c>
      <c r="O8" t="s">
        <v>307</v>
      </c>
      <c r="P8" t="s">
        <v>309</v>
      </c>
    </row>
    <row r="9" spans="1:16">
      <c r="A9" s="8">
        <v>235</v>
      </c>
      <c r="B9" t="s">
        <v>12</v>
      </c>
      <c r="C9">
        <v>32894431.399999999</v>
      </c>
      <c r="D9">
        <v>9346915.0500000007</v>
      </c>
      <c r="E9" s="19">
        <f t="shared" si="0"/>
        <v>42241346.450000003</v>
      </c>
      <c r="F9">
        <v>69064589.599999994</v>
      </c>
      <c r="G9">
        <v>63381242.200000003</v>
      </c>
      <c r="H9" s="20">
        <f t="shared" si="1"/>
        <v>132445831.8</v>
      </c>
      <c r="I9">
        <v>14621455.4</v>
      </c>
      <c r="J9">
        <v>16701880.4</v>
      </c>
      <c r="K9" s="18">
        <f t="shared" si="2"/>
        <v>31323335.800000001</v>
      </c>
      <c r="L9">
        <v>7058316.6299999999</v>
      </c>
      <c r="M9">
        <v>1444702.45</v>
      </c>
      <c r="N9" s="23">
        <f t="shared" si="3"/>
        <v>8503019.0800000001</v>
      </c>
      <c r="O9" t="s">
        <v>307</v>
      </c>
      <c r="P9" t="s">
        <v>309</v>
      </c>
    </row>
    <row r="10" spans="1:16">
      <c r="A10" s="8">
        <v>255</v>
      </c>
      <c r="B10" t="s">
        <v>13</v>
      </c>
      <c r="C10">
        <v>10385601.1</v>
      </c>
      <c r="D10">
        <v>3025155.11</v>
      </c>
      <c r="E10" s="19">
        <f t="shared" si="0"/>
        <v>13410756.209999999</v>
      </c>
      <c r="F10">
        <v>21025558.399999999</v>
      </c>
      <c r="G10">
        <v>19382271.800000001</v>
      </c>
      <c r="H10" s="20">
        <f t="shared" si="1"/>
        <v>40407830.200000003</v>
      </c>
      <c r="I10">
        <v>3253281.94</v>
      </c>
      <c r="J10">
        <v>3299733.25</v>
      </c>
      <c r="K10" s="18">
        <f t="shared" si="2"/>
        <v>6553015.1899999995</v>
      </c>
      <c r="L10">
        <v>5130400.8499999996</v>
      </c>
      <c r="M10">
        <v>9046917.4299999997</v>
      </c>
      <c r="N10" s="23">
        <f t="shared" si="3"/>
        <v>14177318.279999999</v>
      </c>
      <c r="O10" t="s">
        <v>307</v>
      </c>
      <c r="P10" t="s">
        <v>309</v>
      </c>
    </row>
    <row r="11" spans="1:16">
      <c r="A11" s="8">
        <v>365</v>
      </c>
      <c r="B11" t="s">
        <v>14</v>
      </c>
      <c r="C11">
        <v>13448290.800000001</v>
      </c>
      <c r="D11">
        <v>5952725.1299999999</v>
      </c>
      <c r="E11" s="19">
        <f t="shared" si="0"/>
        <v>19401015.93</v>
      </c>
      <c r="F11">
        <v>19130183.600000001</v>
      </c>
      <c r="G11">
        <v>17862844.100000001</v>
      </c>
      <c r="H11" s="20">
        <f t="shared" si="1"/>
        <v>36993027.700000003</v>
      </c>
      <c r="I11">
        <v>5402294.8399999999</v>
      </c>
      <c r="J11">
        <v>5298950.17</v>
      </c>
      <c r="K11" s="18">
        <f t="shared" si="2"/>
        <v>10701245.01</v>
      </c>
      <c r="L11">
        <v>2110227.4700000002</v>
      </c>
      <c r="M11">
        <v>661638.51</v>
      </c>
      <c r="N11" s="23">
        <f t="shared" si="3"/>
        <v>2771865.9800000004</v>
      </c>
      <c r="O11" t="s">
        <v>307</v>
      </c>
      <c r="P11" t="s">
        <v>309</v>
      </c>
    </row>
    <row r="12" spans="1:16">
      <c r="A12" s="8">
        <v>370</v>
      </c>
      <c r="B12" t="s">
        <v>15</v>
      </c>
      <c r="C12">
        <v>666613.34</v>
      </c>
      <c r="D12">
        <v>183012.16</v>
      </c>
      <c r="E12" s="19">
        <f t="shared" si="0"/>
        <v>849625.5</v>
      </c>
      <c r="F12">
        <v>2858413.81</v>
      </c>
      <c r="G12">
        <v>2455916.33</v>
      </c>
      <c r="H12" s="20">
        <f t="shared" si="1"/>
        <v>5314330.1400000006</v>
      </c>
      <c r="I12">
        <v>153112.74</v>
      </c>
      <c r="J12">
        <v>200413.46</v>
      </c>
      <c r="K12" s="18">
        <f t="shared" si="2"/>
        <v>353526.19999999995</v>
      </c>
      <c r="L12">
        <v>4619.7</v>
      </c>
      <c r="M12">
        <v>22651.84</v>
      </c>
      <c r="N12" s="23">
        <f t="shared" si="3"/>
        <v>27271.54</v>
      </c>
      <c r="O12" t="s">
        <v>307</v>
      </c>
      <c r="P12" t="s">
        <v>309</v>
      </c>
    </row>
    <row r="13" spans="1:16">
      <c r="A13" s="8">
        <v>395</v>
      </c>
      <c r="B13" t="s">
        <v>16</v>
      </c>
      <c r="C13">
        <v>3786773.28</v>
      </c>
      <c r="D13">
        <v>1117333.83</v>
      </c>
      <c r="E13" s="19">
        <f t="shared" si="0"/>
        <v>4904107.1099999994</v>
      </c>
      <c r="F13">
        <v>3752329.05</v>
      </c>
      <c r="G13">
        <v>3083276.36</v>
      </c>
      <c r="H13" s="20">
        <f t="shared" si="1"/>
        <v>6835605.4100000001</v>
      </c>
      <c r="I13">
        <v>114947.71</v>
      </c>
      <c r="J13">
        <v>222926.1</v>
      </c>
      <c r="K13" s="18">
        <f t="shared" si="2"/>
        <v>337873.81</v>
      </c>
      <c r="L13">
        <v>146890.01</v>
      </c>
      <c r="M13">
        <v>17295</v>
      </c>
      <c r="N13" s="23">
        <f t="shared" si="3"/>
        <v>164185.01</v>
      </c>
      <c r="O13" t="s">
        <v>307</v>
      </c>
      <c r="P13" t="s">
        <v>309</v>
      </c>
    </row>
    <row r="14" spans="1:16">
      <c r="A14" s="8">
        <v>515</v>
      </c>
      <c r="B14" t="s">
        <v>17</v>
      </c>
      <c r="C14">
        <v>1935470.85</v>
      </c>
      <c r="D14">
        <v>205087.81</v>
      </c>
      <c r="E14" s="19">
        <f t="shared" si="0"/>
        <v>2140558.66</v>
      </c>
      <c r="F14">
        <v>5389107.29</v>
      </c>
      <c r="G14">
        <v>4961684.49</v>
      </c>
      <c r="H14" s="20">
        <f t="shared" si="1"/>
        <v>10350791.780000001</v>
      </c>
      <c r="I14">
        <v>548751.14</v>
      </c>
      <c r="J14">
        <v>922084.37</v>
      </c>
      <c r="K14" s="18">
        <f t="shared" si="2"/>
        <v>1470835.51</v>
      </c>
      <c r="L14">
        <v>48699.09</v>
      </c>
      <c r="M14">
        <v>46603.44</v>
      </c>
      <c r="N14" s="23">
        <f t="shared" si="3"/>
        <v>95302.53</v>
      </c>
      <c r="O14" t="s">
        <v>307</v>
      </c>
      <c r="P14" t="s">
        <v>309</v>
      </c>
    </row>
    <row r="15" spans="1:16">
      <c r="A15" s="8">
        <v>615</v>
      </c>
      <c r="B15" t="s">
        <v>18</v>
      </c>
      <c r="C15">
        <v>1984149.33</v>
      </c>
      <c r="D15">
        <v>517199.45</v>
      </c>
      <c r="E15" s="19">
        <f t="shared" si="0"/>
        <v>2501348.7800000003</v>
      </c>
      <c r="F15">
        <v>3640846.86</v>
      </c>
      <c r="G15">
        <v>3416824.34</v>
      </c>
      <c r="H15" s="20">
        <f t="shared" si="1"/>
        <v>7057671.1999999993</v>
      </c>
      <c r="I15">
        <v>96683.56</v>
      </c>
      <c r="J15">
        <v>195559.25</v>
      </c>
      <c r="K15" s="18">
        <f t="shared" si="2"/>
        <v>292242.81</v>
      </c>
      <c r="L15">
        <v>9744.83</v>
      </c>
      <c r="M15">
        <v>13376.54</v>
      </c>
      <c r="N15" s="23">
        <f t="shared" si="3"/>
        <v>23121.370000000003</v>
      </c>
      <c r="O15" t="s">
        <v>307</v>
      </c>
      <c r="P15" t="s">
        <v>309</v>
      </c>
    </row>
    <row r="16" spans="1:16">
      <c r="A16" s="8">
        <v>630</v>
      </c>
      <c r="B16" t="s">
        <v>19</v>
      </c>
      <c r="C16">
        <v>7910192.2800000003</v>
      </c>
      <c r="D16">
        <v>1283513.1100000001</v>
      </c>
      <c r="E16" s="19">
        <f t="shared" si="0"/>
        <v>9193705.3900000006</v>
      </c>
      <c r="F16">
        <v>7179033.1500000004</v>
      </c>
      <c r="G16">
        <v>7006898.6600000001</v>
      </c>
      <c r="H16" s="20">
        <f t="shared" si="1"/>
        <v>14185931.810000001</v>
      </c>
      <c r="I16">
        <v>199767.09</v>
      </c>
      <c r="J16">
        <v>188134.53</v>
      </c>
      <c r="K16" s="18">
        <f t="shared" si="2"/>
        <v>387901.62</v>
      </c>
      <c r="M16">
        <v>325</v>
      </c>
      <c r="N16" s="23">
        <f t="shared" si="3"/>
        <v>325</v>
      </c>
      <c r="O16" t="s">
        <v>307</v>
      </c>
      <c r="P16" t="s">
        <v>309</v>
      </c>
    </row>
    <row r="17" spans="1:16">
      <c r="A17" s="8">
        <v>665</v>
      </c>
      <c r="B17" t="s">
        <v>20</v>
      </c>
      <c r="C17">
        <v>3449018.86</v>
      </c>
      <c r="D17">
        <v>607543.48</v>
      </c>
      <c r="E17" s="19">
        <f t="shared" si="0"/>
        <v>4056562.34</v>
      </c>
      <c r="F17">
        <v>6093344.54</v>
      </c>
      <c r="G17">
        <v>6592757.6900000004</v>
      </c>
      <c r="H17" s="20">
        <f t="shared" si="1"/>
        <v>12686102.23</v>
      </c>
      <c r="I17">
        <v>489854.5</v>
      </c>
      <c r="J17">
        <v>924894.17</v>
      </c>
      <c r="K17" s="18">
        <f t="shared" si="2"/>
        <v>1414748.67</v>
      </c>
      <c r="L17">
        <v>454682.25</v>
      </c>
      <c r="M17">
        <v>90261.64</v>
      </c>
      <c r="N17" s="23">
        <f t="shared" si="3"/>
        <v>544943.89</v>
      </c>
      <c r="O17" t="s">
        <v>307</v>
      </c>
      <c r="P17" t="s">
        <v>309</v>
      </c>
    </row>
    <row r="18" spans="1:16">
      <c r="A18" s="8">
        <v>670</v>
      </c>
      <c r="B18" t="s">
        <v>21</v>
      </c>
      <c r="C18">
        <v>6087341.3499999996</v>
      </c>
      <c r="D18">
        <v>490934.53</v>
      </c>
      <c r="E18" s="19">
        <f t="shared" si="0"/>
        <v>6578275.8799999999</v>
      </c>
      <c r="F18">
        <v>3973281.22</v>
      </c>
      <c r="G18">
        <v>3286436.11</v>
      </c>
      <c r="H18" s="20">
        <f t="shared" si="1"/>
        <v>7259717.3300000001</v>
      </c>
      <c r="I18">
        <v>550260.36</v>
      </c>
      <c r="J18">
        <v>879947.09</v>
      </c>
      <c r="K18" s="18">
        <f t="shared" si="2"/>
        <v>1430207.45</v>
      </c>
      <c r="L18">
        <v>14031.5</v>
      </c>
      <c r="M18">
        <v>42161.79</v>
      </c>
      <c r="N18" s="23">
        <f t="shared" si="3"/>
        <v>56193.29</v>
      </c>
      <c r="O18" t="s">
        <v>307</v>
      </c>
      <c r="P18" t="s">
        <v>309</v>
      </c>
    </row>
    <row r="19" spans="1:16">
      <c r="A19" s="8">
        <v>750</v>
      </c>
      <c r="B19" t="s">
        <v>22</v>
      </c>
      <c r="C19">
        <v>1467057.72</v>
      </c>
      <c r="D19">
        <v>464230.28</v>
      </c>
      <c r="E19" s="19">
        <f t="shared" si="0"/>
        <v>1931288</v>
      </c>
      <c r="F19">
        <v>2030585.27</v>
      </c>
      <c r="G19">
        <v>1842649.36</v>
      </c>
      <c r="H19" s="20">
        <f t="shared" si="1"/>
        <v>3873234.63</v>
      </c>
      <c r="I19">
        <v>100903.17</v>
      </c>
      <c r="J19">
        <v>202262.74</v>
      </c>
      <c r="K19" s="18">
        <f t="shared" si="2"/>
        <v>303165.90999999997</v>
      </c>
      <c r="L19">
        <v>750000</v>
      </c>
      <c r="M19">
        <v>1033173.54</v>
      </c>
      <c r="N19" s="23">
        <f t="shared" si="3"/>
        <v>1783173.54</v>
      </c>
      <c r="O19" t="s">
        <v>307</v>
      </c>
      <c r="P19" t="s">
        <v>309</v>
      </c>
    </row>
    <row r="20" spans="1:16">
      <c r="A20" s="8">
        <v>755</v>
      </c>
      <c r="B20" t="s">
        <v>23</v>
      </c>
      <c r="C20">
        <v>1738957.27</v>
      </c>
      <c r="D20">
        <v>586765.74</v>
      </c>
      <c r="E20" s="19">
        <f t="shared" si="0"/>
        <v>2325723.0099999998</v>
      </c>
      <c r="F20">
        <v>3432249.32</v>
      </c>
      <c r="G20">
        <v>3068378.15</v>
      </c>
      <c r="H20" s="20">
        <f t="shared" si="1"/>
        <v>6500627.4699999997</v>
      </c>
      <c r="I20">
        <v>320289.89</v>
      </c>
      <c r="J20">
        <v>349278.06</v>
      </c>
      <c r="K20" s="18">
        <f t="shared" si="2"/>
        <v>669567.94999999995</v>
      </c>
      <c r="L20">
        <v>22317.55</v>
      </c>
      <c r="M20">
        <v>2217.46</v>
      </c>
      <c r="N20" s="23">
        <f t="shared" si="3"/>
        <v>24535.01</v>
      </c>
      <c r="O20" t="s">
        <v>307</v>
      </c>
      <c r="P20" t="s">
        <v>309</v>
      </c>
    </row>
    <row r="21" spans="1:16">
      <c r="A21" s="8">
        <v>775</v>
      </c>
      <c r="B21" t="s">
        <v>24</v>
      </c>
      <c r="C21">
        <v>984792.68</v>
      </c>
      <c r="D21">
        <v>334566.15999999997</v>
      </c>
      <c r="E21" s="19">
        <f t="shared" si="0"/>
        <v>1319358.8400000001</v>
      </c>
      <c r="F21">
        <v>1847121.02</v>
      </c>
      <c r="G21">
        <v>1921376.42</v>
      </c>
      <c r="H21" s="20">
        <f t="shared" si="1"/>
        <v>3768497.44</v>
      </c>
      <c r="I21">
        <v>119053.5</v>
      </c>
      <c r="J21">
        <v>195739.55</v>
      </c>
      <c r="K21" s="18">
        <f t="shared" si="2"/>
        <v>314793.05</v>
      </c>
      <c r="L21">
        <v>39940.019999999997</v>
      </c>
      <c r="M21">
        <v>49124.07</v>
      </c>
      <c r="N21" s="23">
        <f t="shared" si="3"/>
        <v>89064.09</v>
      </c>
      <c r="O21" t="s">
        <v>307</v>
      </c>
      <c r="P21" t="s">
        <v>309</v>
      </c>
    </row>
    <row r="22" spans="1:16">
      <c r="A22" s="9">
        <v>815</v>
      </c>
      <c r="B22" s="3" t="s">
        <v>25</v>
      </c>
      <c r="C22">
        <v>1722905.49</v>
      </c>
      <c r="D22">
        <v>716729.2</v>
      </c>
      <c r="E22" s="19">
        <f t="shared" si="0"/>
        <v>2439634.69</v>
      </c>
      <c r="F22">
        <v>3361967.45</v>
      </c>
      <c r="G22">
        <v>3003140.1</v>
      </c>
      <c r="H22" s="20">
        <f t="shared" si="1"/>
        <v>6365107.5500000007</v>
      </c>
      <c r="I22">
        <v>288400.05</v>
      </c>
      <c r="J22">
        <v>231710.82</v>
      </c>
      <c r="K22" s="18">
        <f t="shared" si="2"/>
        <v>520110.87</v>
      </c>
      <c r="L22">
        <v>9088.5499999999993</v>
      </c>
      <c r="M22">
        <v>6664.43</v>
      </c>
      <c r="N22" s="23">
        <f t="shared" si="3"/>
        <v>15752.98</v>
      </c>
      <c r="O22" t="s">
        <v>307</v>
      </c>
      <c r="P22" t="s">
        <v>309</v>
      </c>
    </row>
    <row r="23" spans="1:16">
      <c r="A23" s="8">
        <v>875</v>
      </c>
      <c r="B23" t="s">
        <v>26</v>
      </c>
      <c r="C23">
        <v>2892856.11</v>
      </c>
      <c r="D23">
        <v>1429205.78</v>
      </c>
      <c r="E23" s="19">
        <f t="shared" si="0"/>
        <v>4322061.8899999997</v>
      </c>
      <c r="F23">
        <v>10861783.699999999</v>
      </c>
      <c r="G23">
        <v>10267728.6</v>
      </c>
      <c r="H23" s="20">
        <f t="shared" si="1"/>
        <v>21129512.299999997</v>
      </c>
      <c r="I23">
        <v>2905086.21</v>
      </c>
      <c r="J23">
        <v>3585100.2</v>
      </c>
      <c r="K23" s="18">
        <f t="shared" si="2"/>
        <v>6490186.4100000001</v>
      </c>
      <c r="L23">
        <v>3990911.48</v>
      </c>
      <c r="M23">
        <v>5330534.72</v>
      </c>
      <c r="N23" s="23">
        <f t="shared" si="3"/>
        <v>9321446.1999999993</v>
      </c>
      <c r="O23" t="s">
        <v>307</v>
      </c>
      <c r="P23" t="s">
        <v>309</v>
      </c>
    </row>
    <row r="24" spans="1:16">
      <c r="A24" s="9">
        <v>940</v>
      </c>
      <c r="B24" s="3" t="s">
        <v>27</v>
      </c>
      <c r="C24">
        <v>5031031.57</v>
      </c>
      <c r="D24">
        <v>1523959.46</v>
      </c>
      <c r="E24" s="19">
        <f t="shared" si="0"/>
        <v>6554991.0300000003</v>
      </c>
      <c r="F24">
        <v>6635654.0599999996</v>
      </c>
      <c r="G24">
        <v>6388404.6799999997</v>
      </c>
      <c r="H24" s="20">
        <f t="shared" si="1"/>
        <v>13024058.739999998</v>
      </c>
      <c r="I24">
        <v>299535.34000000003</v>
      </c>
      <c r="J24">
        <v>491165.42</v>
      </c>
      <c r="K24" s="18">
        <f t="shared" si="2"/>
        <v>790700.76</v>
      </c>
      <c r="L24">
        <v>699446.14</v>
      </c>
      <c r="M24">
        <v>69575.09</v>
      </c>
      <c r="N24" s="23">
        <f t="shared" si="3"/>
        <v>769021.23</v>
      </c>
      <c r="O24" t="s">
        <v>307</v>
      </c>
      <c r="P24" t="s">
        <v>309</v>
      </c>
    </row>
    <row r="25" spans="1:16">
      <c r="A25" s="8">
        <v>1000</v>
      </c>
      <c r="B25" t="s">
        <v>28</v>
      </c>
      <c r="C25">
        <v>2633561.4900000002</v>
      </c>
      <c r="D25">
        <v>811586.76</v>
      </c>
      <c r="E25" s="19">
        <f t="shared" si="0"/>
        <v>3445148.25</v>
      </c>
      <c r="F25">
        <v>3405887.56</v>
      </c>
      <c r="G25">
        <v>2931900.45</v>
      </c>
      <c r="H25" s="20">
        <f t="shared" si="1"/>
        <v>6337788.0099999998</v>
      </c>
      <c r="I25">
        <v>384646.62</v>
      </c>
      <c r="J25">
        <v>378181.11</v>
      </c>
      <c r="K25" s="18">
        <f t="shared" si="2"/>
        <v>762827.73</v>
      </c>
      <c r="L25">
        <v>106960.16</v>
      </c>
      <c r="M25">
        <v>9500.2999999999993</v>
      </c>
      <c r="N25" s="23">
        <f t="shared" si="3"/>
        <v>116460.46</v>
      </c>
      <c r="O25" t="s">
        <v>307</v>
      </c>
      <c r="P25" t="s">
        <v>309</v>
      </c>
    </row>
    <row r="26" spans="1:16">
      <c r="A26" s="9">
        <v>1010</v>
      </c>
      <c r="B26" s="3" t="s">
        <v>29</v>
      </c>
      <c r="C26">
        <v>13880174.800000001</v>
      </c>
      <c r="D26">
        <v>5252750.9000000004</v>
      </c>
      <c r="E26" s="19">
        <f t="shared" si="0"/>
        <v>19132925.700000003</v>
      </c>
      <c r="F26">
        <v>24018514.199999999</v>
      </c>
      <c r="G26">
        <v>22055145.800000001</v>
      </c>
      <c r="H26" s="20">
        <f t="shared" si="1"/>
        <v>46073660</v>
      </c>
      <c r="I26">
        <v>5297135.6100000003</v>
      </c>
      <c r="J26">
        <v>4699504.88</v>
      </c>
      <c r="K26" s="18">
        <f t="shared" si="2"/>
        <v>9996640.4900000002</v>
      </c>
      <c r="L26">
        <v>840109.38</v>
      </c>
      <c r="M26">
        <v>1252886.3999999999</v>
      </c>
      <c r="N26" s="23">
        <f t="shared" si="3"/>
        <v>2092995.7799999998</v>
      </c>
      <c r="O26" t="s">
        <v>307</v>
      </c>
      <c r="P26" t="s">
        <v>309</v>
      </c>
    </row>
    <row r="27" spans="1:16">
      <c r="A27" s="8">
        <v>1125</v>
      </c>
      <c r="B27" t="s">
        <v>30</v>
      </c>
      <c r="C27">
        <v>3763162.93</v>
      </c>
      <c r="D27">
        <v>630707.11</v>
      </c>
      <c r="E27" s="19">
        <f t="shared" si="0"/>
        <v>4393870.04</v>
      </c>
      <c r="F27">
        <v>10513718.5</v>
      </c>
      <c r="G27">
        <v>9677453.8000000007</v>
      </c>
      <c r="H27" s="20">
        <f t="shared" si="1"/>
        <v>20191172.300000001</v>
      </c>
      <c r="I27">
        <v>1298894.3</v>
      </c>
      <c r="J27">
        <v>1646659.82</v>
      </c>
      <c r="K27" s="18">
        <f t="shared" si="2"/>
        <v>2945554.12</v>
      </c>
      <c r="L27">
        <v>92803.85</v>
      </c>
      <c r="M27">
        <v>43167.98</v>
      </c>
      <c r="N27" s="23">
        <f t="shared" si="3"/>
        <v>135971.83000000002</v>
      </c>
      <c r="O27" t="s">
        <v>307</v>
      </c>
      <c r="P27" t="s">
        <v>309</v>
      </c>
    </row>
    <row r="28" spans="1:16">
      <c r="A28" s="8">
        <v>1150</v>
      </c>
      <c r="B28" t="s">
        <v>31</v>
      </c>
      <c r="C28">
        <v>1208514.32</v>
      </c>
      <c r="D28">
        <v>420679.94</v>
      </c>
      <c r="E28" s="19">
        <f t="shared" si="0"/>
        <v>1629194.26</v>
      </c>
      <c r="F28">
        <v>2187142.4500000002</v>
      </c>
      <c r="G28">
        <v>1940181.07</v>
      </c>
      <c r="H28" s="20">
        <f t="shared" si="1"/>
        <v>4127323.5200000005</v>
      </c>
      <c r="I28">
        <v>278931.24</v>
      </c>
      <c r="J28">
        <v>255346.76</v>
      </c>
      <c r="K28" s="18">
        <f t="shared" si="2"/>
        <v>534278</v>
      </c>
      <c r="L28">
        <v>218257.95</v>
      </c>
      <c r="M28">
        <v>6112.9</v>
      </c>
      <c r="N28" s="23">
        <f t="shared" si="3"/>
        <v>224370.85</v>
      </c>
      <c r="O28" t="s">
        <v>307</v>
      </c>
      <c r="P28" t="s">
        <v>309</v>
      </c>
    </row>
    <row r="29" spans="1:16">
      <c r="A29" s="8">
        <v>1160</v>
      </c>
      <c r="B29" t="s">
        <v>32</v>
      </c>
      <c r="C29">
        <v>1288109.23</v>
      </c>
      <c r="D29">
        <v>397022.7</v>
      </c>
      <c r="E29" s="19">
        <f t="shared" si="0"/>
        <v>1685131.93</v>
      </c>
      <c r="F29">
        <v>1803336.57</v>
      </c>
      <c r="G29">
        <v>1614776.13</v>
      </c>
      <c r="H29" s="20">
        <f t="shared" si="1"/>
        <v>3418112.7</v>
      </c>
      <c r="I29">
        <v>168536.4</v>
      </c>
      <c r="J29">
        <v>210968.7</v>
      </c>
      <c r="K29" s="18">
        <f t="shared" si="2"/>
        <v>379505.1</v>
      </c>
      <c r="L29">
        <v>168542.43</v>
      </c>
      <c r="M29">
        <v>105677.66</v>
      </c>
      <c r="N29" s="23">
        <f t="shared" si="3"/>
        <v>274220.08999999997</v>
      </c>
      <c r="O29" t="s">
        <v>307</v>
      </c>
      <c r="P29" t="s">
        <v>309</v>
      </c>
    </row>
    <row r="30" spans="1:16">
      <c r="A30" s="8">
        <v>1170</v>
      </c>
      <c r="B30" t="s">
        <v>33</v>
      </c>
      <c r="C30">
        <v>2343561.88</v>
      </c>
      <c r="D30">
        <v>726020.39</v>
      </c>
      <c r="E30" s="19">
        <f t="shared" si="0"/>
        <v>3069582.27</v>
      </c>
      <c r="F30">
        <v>7797247.3099999996</v>
      </c>
      <c r="G30">
        <v>7393873.7599999998</v>
      </c>
      <c r="H30" s="20">
        <f t="shared" si="1"/>
        <v>15191121.07</v>
      </c>
      <c r="I30">
        <v>2973212.03</v>
      </c>
      <c r="J30">
        <v>2729977.58</v>
      </c>
      <c r="K30" s="18">
        <f t="shared" si="2"/>
        <v>5703189.6099999994</v>
      </c>
      <c r="L30">
        <v>3652517.96</v>
      </c>
      <c r="M30">
        <v>586912.43999999994</v>
      </c>
      <c r="N30" s="23">
        <f t="shared" si="3"/>
        <v>4239430.4000000004</v>
      </c>
      <c r="O30" t="s">
        <v>307</v>
      </c>
      <c r="P30" t="s">
        <v>309</v>
      </c>
    </row>
    <row r="31" spans="1:16">
      <c r="A31" s="9">
        <v>1180</v>
      </c>
      <c r="B31" s="3" t="s">
        <v>34</v>
      </c>
      <c r="C31">
        <v>1063789.98</v>
      </c>
      <c r="D31">
        <v>285897.92</v>
      </c>
      <c r="E31" s="19">
        <f t="shared" si="0"/>
        <v>1349687.9</v>
      </c>
      <c r="F31">
        <v>1864773.55</v>
      </c>
      <c r="G31">
        <v>1787859.01</v>
      </c>
      <c r="H31" s="20">
        <f t="shared" si="1"/>
        <v>3652632.56</v>
      </c>
      <c r="I31">
        <v>170822.52</v>
      </c>
      <c r="J31">
        <v>163414.49</v>
      </c>
      <c r="K31" s="18">
        <f t="shared" si="2"/>
        <v>334237.01</v>
      </c>
      <c r="L31">
        <v>18555.03</v>
      </c>
      <c r="M31">
        <v>3760.74</v>
      </c>
      <c r="N31" s="23">
        <f t="shared" si="3"/>
        <v>22315.769999999997</v>
      </c>
      <c r="O31" t="s">
        <v>307</v>
      </c>
      <c r="P31" t="s">
        <v>309</v>
      </c>
    </row>
    <row r="32" spans="1:16">
      <c r="A32" s="8">
        <v>1300</v>
      </c>
      <c r="B32" t="s">
        <v>35</v>
      </c>
      <c r="C32">
        <v>180405.87</v>
      </c>
      <c r="D32">
        <v>1298084.1599999999</v>
      </c>
      <c r="E32" s="19">
        <f t="shared" si="0"/>
        <v>1478490.0299999998</v>
      </c>
      <c r="F32">
        <v>4794821.66</v>
      </c>
      <c r="G32">
        <v>4502700.2300000004</v>
      </c>
      <c r="H32" s="20">
        <f t="shared" si="1"/>
        <v>9297521.8900000006</v>
      </c>
      <c r="I32">
        <v>721469.62</v>
      </c>
      <c r="J32">
        <v>739123.19</v>
      </c>
      <c r="K32" s="18">
        <f t="shared" si="2"/>
        <v>1460592.81</v>
      </c>
      <c r="L32">
        <v>230601.61</v>
      </c>
      <c r="M32">
        <v>107893.97</v>
      </c>
      <c r="N32" s="23">
        <f t="shared" si="3"/>
        <v>338495.57999999996</v>
      </c>
      <c r="O32" t="s">
        <v>307</v>
      </c>
      <c r="P32" t="s">
        <v>309</v>
      </c>
    </row>
    <row r="33" spans="1:16">
      <c r="A33" s="9">
        <v>1315</v>
      </c>
      <c r="B33" s="3" t="s">
        <v>36</v>
      </c>
      <c r="C33">
        <v>2340945.73</v>
      </c>
      <c r="D33">
        <v>2237871.25</v>
      </c>
      <c r="E33" s="19">
        <f t="shared" si="0"/>
        <v>4578816.9800000004</v>
      </c>
      <c r="H33" s="20">
        <f t="shared" si="1"/>
        <v>0</v>
      </c>
      <c r="K33" s="18">
        <f t="shared" si="2"/>
        <v>0</v>
      </c>
      <c r="N33" s="23">
        <f t="shared" si="3"/>
        <v>0</v>
      </c>
      <c r="O33" t="s">
        <v>307</v>
      </c>
      <c r="P33" t="s">
        <v>309</v>
      </c>
    </row>
    <row r="34" spans="1:16">
      <c r="A34" s="8">
        <v>1375</v>
      </c>
      <c r="B34" t="s">
        <v>37</v>
      </c>
      <c r="C34">
        <v>1185654.46</v>
      </c>
      <c r="D34">
        <v>1258990</v>
      </c>
      <c r="E34" s="19">
        <f t="shared" si="0"/>
        <v>2444644.46</v>
      </c>
      <c r="F34">
        <v>2375713.33</v>
      </c>
      <c r="G34">
        <v>2176942.4900000002</v>
      </c>
      <c r="H34" s="20">
        <f t="shared" si="1"/>
        <v>4552655.82</v>
      </c>
      <c r="I34">
        <v>344087.99</v>
      </c>
      <c r="J34">
        <v>357039.8</v>
      </c>
      <c r="K34" s="18">
        <f t="shared" si="2"/>
        <v>701127.79</v>
      </c>
      <c r="L34">
        <v>9113.9599999999991</v>
      </c>
      <c r="M34">
        <v>9424.08</v>
      </c>
      <c r="N34" s="23">
        <f t="shared" si="3"/>
        <v>18538.04</v>
      </c>
      <c r="O34" t="s">
        <v>307</v>
      </c>
      <c r="P34" t="s">
        <v>309</v>
      </c>
    </row>
    <row r="35" spans="1:16">
      <c r="A35" s="8">
        <v>1405</v>
      </c>
      <c r="B35" t="s">
        <v>38</v>
      </c>
      <c r="C35">
        <v>1848953.3</v>
      </c>
      <c r="D35">
        <v>2071056.95</v>
      </c>
      <c r="E35" s="19">
        <f t="shared" si="0"/>
        <v>3920010.25</v>
      </c>
      <c r="F35">
        <v>5966230.0300000003</v>
      </c>
      <c r="G35">
        <v>5562461.9900000002</v>
      </c>
      <c r="H35" s="20">
        <f t="shared" si="1"/>
        <v>11528692.02</v>
      </c>
      <c r="I35">
        <v>536491</v>
      </c>
      <c r="J35">
        <v>639439.61</v>
      </c>
      <c r="K35" s="18">
        <f t="shared" si="2"/>
        <v>1175930.6099999999</v>
      </c>
      <c r="L35">
        <v>2509313.7200000002</v>
      </c>
      <c r="M35">
        <v>20453.830000000002</v>
      </c>
      <c r="N35" s="23">
        <f t="shared" si="3"/>
        <v>2529767.5500000003</v>
      </c>
      <c r="O35" t="s">
        <v>307</v>
      </c>
      <c r="P35" t="s">
        <v>309</v>
      </c>
    </row>
    <row r="36" spans="1:16">
      <c r="A36" s="8">
        <v>1560</v>
      </c>
      <c r="B36" t="s">
        <v>39</v>
      </c>
      <c r="C36">
        <v>4723797.9400000004</v>
      </c>
      <c r="D36">
        <v>2640034.13</v>
      </c>
      <c r="E36" s="19">
        <f t="shared" si="0"/>
        <v>7363832.0700000003</v>
      </c>
      <c r="F36">
        <v>8678125.1199999992</v>
      </c>
      <c r="G36">
        <v>8158629.9299999997</v>
      </c>
      <c r="H36" s="20">
        <f t="shared" si="1"/>
        <v>16836755.049999997</v>
      </c>
      <c r="I36">
        <v>1551948.42</v>
      </c>
      <c r="J36">
        <v>1462156.49</v>
      </c>
      <c r="K36" s="18">
        <f t="shared" si="2"/>
        <v>3014104.91</v>
      </c>
      <c r="L36">
        <v>2763620.24</v>
      </c>
      <c r="M36">
        <v>2458534.0699999998</v>
      </c>
      <c r="N36" s="23">
        <f t="shared" si="3"/>
        <v>5222154.3100000005</v>
      </c>
      <c r="O36" t="s">
        <v>307</v>
      </c>
      <c r="P36" t="s">
        <v>309</v>
      </c>
    </row>
    <row r="37" spans="1:16">
      <c r="A37" s="8">
        <v>1600</v>
      </c>
      <c r="B37" t="s">
        <v>40</v>
      </c>
      <c r="C37">
        <v>2710256.76</v>
      </c>
      <c r="D37">
        <v>1816592.92</v>
      </c>
      <c r="E37" s="19">
        <f t="shared" si="0"/>
        <v>4526849.68</v>
      </c>
      <c r="F37">
        <v>6630530.6900000004</v>
      </c>
      <c r="G37">
        <v>6181101.4199999999</v>
      </c>
      <c r="H37" s="20">
        <f t="shared" si="1"/>
        <v>12811632.109999999</v>
      </c>
      <c r="I37">
        <v>609089.6</v>
      </c>
      <c r="J37">
        <v>500782.32</v>
      </c>
      <c r="K37" s="18">
        <f t="shared" si="2"/>
        <v>1109871.92</v>
      </c>
      <c r="L37">
        <v>829349.35</v>
      </c>
      <c r="M37">
        <v>608138.64</v>
      </c>
      <c r="N37" s="23">
        <f t="shared" si="3"/>
        <v>1437487.99</v>
      </c>
      <c r="O37" t="s">
        <v>307</v>
      </c>
      <c r="P37" t="s">
        <v>309</v>
      </c>
    </row>
    <row r="38" spans="1:16">
      <c r="A38" s="8">
        <v>1620</v>
      </c>
      <c r="B38" t="s">
        <v>41</v>
      </c>
      <c r="C38">
        <v>4503409.09</v>
      </c>
      <c r="D38">
        <v>2511269.9</v>
      </c>
      <c r="E38" s="19">
        <f t="shared" si="0"/>
        <v>7014678.9900000002</v>
      </c>
      <c r="F38">
        <v>183294.12</v>
      </c>
      <c r="G38">
        <v>1026075.35</v>
      </c>
      <c r="H38" s="20">
        <f t="shared" si="1"/>
        <v>1209369.47</v>
      </c>
      <c r="I38">
        <v>306913.53000000003</v>
      </c>
      <c r="J38">
        <v>266451.37</v>
      </c>
      <c r="K38" s="18">
        <f t="shared" si="2"/>
        <v>573364.9</v>
      </c>
      <c r="L38">
        <v>17863.37</v>
      </c>
      <c r="M38">
        <v>2635.6</v>
      </c>
      <c r="N38" s="23">
        <f t="shared" si="3"/>
        <v>20498.969999999998</v>
      </c>
      <c r="O38" t="s">
        <v>307</v>
      </c>
      <c r="P38" t="s">
        <v>309</v>
      </c>
    </row>
    <row r="39" spans="1:16">
      <c r="A39" s="8">
        <v>1655</v>
      </c>
      <c r="B39" t="s">
        <v>42</v>
      </c>
      <c r="C39">
        <v>171440.45</v>
      </c>
      <c r="D39">
        <v>2861219.83</v>
      </c>
      <c r="E39" s="19">
        <f t="shared" si="0"/>
        <v>3032660.2800000003</v>
      </c>
      <c r="F39">
        <v>4334069.13</v>
      </c>
      <c r="G39">
        <v>4142217.57</v>
      </c>
      <c r="H39" s="20">
        <f t="shared" si="1"/>
        <v>8476286.6999999993</v>
      </c>
      <c r="I39">
        <v>281833.65000000002</v>
      </c>
      <c r="J39">
        <v>390790.2</v>
      </c>
      <c r="K39" s="18">
        <f t="shared" si="2"/>
        <v>672623.85000000009</v>
      </c>
      <c r="L39">
        <v>22916.71</v>
      </c>
      <c r="M39">
        <v>7591.87</v>
      </c>
      <c r="N39" s="23">
        <f t="shared" si="3"/>
        <v>30508.579999999998</v>
      </c>
      <c r="O39" t="s">
        <v>307</v>
      </c>
      <c r="P39" t="s">
        <v>309</v>
      </c>
    </row>
    <row r="40" spans="1:16">
      <c r="A40" s="8">
        <v>1730</v>
      </c>
      <c r="B40" t="s">
        <v>43</v>
      </c>
      <c r="C40">
        <v>2577871.29</v>
      </c>
      <c r="D40">
        <v>960102.04</v>
      </c>
      <c r="E40" s="19">
        <f t="shared" si="0"/>
        <v>3537973.33</v>
      </c>
      <c r="F40">
        <v>4114464.06</v>
      </c>
      <c r="G40">
        <v>3771535.13</v>
      </c>
      <c r="H40" s="20">
        <f t="shared" si="1"/>
        <v>7885999.1899999995</v>
      </c>
      <c r="I40">
        <v>741227.64</v>
      </c>
      <c r="J40">
        <v>690155.18</v>
      </c>
      <c r="K40" s="18">
        <f t="shared" si="2"/>
        <v>1431382.82</v>
      </c>
      <c r="L40">
        <v>249352.5</v>
      </c>
      <c r="M40">
        <v>16368.9</v>
      </c>
      <c r="N40" s="23">
        <f t="shared" si="3"/>
        <v>265721.40000000002</v>
      </c>
      <c r="O40" t="s">
        <v>307</v>
      </c>
      <c r="P40" t="s">
        <v>309</v>
      </c>
    </row>
    <row r="41" spans="1:16">
      <c r="A41" s="8">
        <v>1805</v>
      </c>
      <c r="B41" t="s">
        <v>44</v>
      </c>
      <c r="C41">
        <v>2849328.55</v>
      </c>
      <c r="D41">
        <v>482114.5</v>
      </c>
      <c r="E41" s="19">
        <f t="shared" si="0"/>
        <v>3331443.05</v>
      </c>
      <c r="F41">
        <v>2981749.98</v>
      </c>
      <c r="G41">
        <v>2879892.16</v>
      </c>
      <c r="H41" s="20">
        <f t="shared" si="1"/>
        <v>5861642.1400000006</v>
      </c>
      <c r="I41">
        <v>4078093.05</v>
      </c>
      <c r="J41">
        <v>963384.42</v>
      </c>
      <c r="K41" s="18">
        <f t="shared" si="2"/>
        <v>5041477.47</v>
      </c>
      <c r="L41">
        <v>2361486.6</v>
      </c>
      <c r="M41">
        <v>922211.16</v>
      </c>
      <c r="N41" s="23">
        <f t="shared" si="3"/>
        <v>3283697.7600000002</v>
      </c>
      <c r="O41" t="s">
        <v>307</v>
      </c>
      <c r="P41" t="s">
        <v>309</v>
      </c>
    </row>
    <row r="42" spans="1:16">
      <c r="A42" s="8">
        <v>1820</v>
      </c>
      <c r="B42" t="s">
        <v>45</v>
      </c>
      <c r="C42">
        <v>2690185.83</v>
      </c>
      <c r="D42">
        <v>427405.11</v>
      </c>
      <c r="E42" s="19">
        <f t="shared" si="0"/>
        <v>3117590.94</v>
      </c>
      <c r="F42">
        <v>3556399.72</v>
      </c>
      <c r="G42">
        <v>3296367.59</v>
      </c>
      <c r="H42" s="20">
        <f t="shared" si="1"/>
        <v>6852767.3100000005</v>
      </c>
      <c r="I42">
        <v>1124466.68</v>
      </c>
      <c r="J42">
        <v>1307437.8500000001</v>
      </c>
      <c r="K42" s="18">
        <f t="shared" si="2"/>
        <v>2431904.5300000003</v>
      </c>
      <c r="L42">
        <v>1430461.94</v>
      </c>
      <c r="M42">
        <v>725767.24</v>
      </c>
      <c r="N42" s="23">
        <f t="shared" si="3"/>
        <v>2156229.1799999997</v>
      </c>
      <c r="O42" t="s">
        <v>307</v>
      </c>
      <c r="P42" t="s">
        <v>309</v>
      </c>
    </row>
    <row r="43" spans="1:16">
      <c r="A43" s="8">
        <v>1835</v>
      </c>
      <c r="B43" t="s">
        <v>46</v>
      </c>
      <c r="C43">
        <v>7311741.9299999997</v>
      </c>
      <c r="D43">
        <v>1192385.2</v>
      </c>
      <c r="E43" s="19">
        <f t="shared" si="0"/>
        <v>8504127.129999999</v>
      </c>
      <c r="F43">
        <v>7786309.1500000004</v>
      </c>
      <c r="G43">
        <v>7121930.3700000001</v>
      </c>
      <c r="H43" s="20">
        <f t="shared" si="1"/>
        <v>14908239.52</v>
      </c>
      <c r="I43">
        <v>594609.1</v>
      </c>
      <c r="J43">
        <v>787121.45</v>
      </c>
      <c r="K43" s="18">
        <f t="shared" si="2"/>
        <v>1381730.5499999998</v>
      </c>
      <c r="L43">
        <v>180911.97</v>
      </c>
      <c r="M43">
        <v>279275.61</v>
      </c>
      <c r="N43" s="23">
        <f t="shared" si="3"/>
        <v>460187.57999999996</v>
      </c>
      <c r="O43" t="s">
        <v>307</v>
      </c>
      <c r="P43" t="s">
        <v>309</v>
      </c>
    </row>
    <row r="44" spans="1:16">
      <c r="A44" s="8">
        <v>1875</v>
      </c>
      <c r="B44" t="s">
        <v>47</v>
      </c>
      <c r="C44">
        <v>2402772.65</v>
      </c>
      <c r="D44">
        <v>614195.96</v>
      </c>
      <c r="E44" s="19">
        <f t="shared" si="0"/>
        <v>3016968.61</v>
      </c>
      <c r="F44">
        <v>6119270.8799999999</v>
      </c>
      <c r="G44">
        <v>5709361.0899999999</v>
      </c>
      <c r="H44" s="20">
        <f t="shared" si="1"/>
        <v>11828631.969999999</v>
      </c>
      <c r="I44">
        <v>645569.52</v>
      </c>
      <c r="J44">
        <v>645295</v>
      </c>
      <c r="K44" s="18">
        <f t="shared" si="2"/>
        <v>1290864.52</v>
      </c>
      <c r="L44">
        <v>23267.39</v>
      </c>
      <c r="M44">
        <v>20957.009999999998</v>
      </c>
      <c r="N44" s="23">
        <f t="shared" si="3"/>
        <v>44224.399999999994</v>
      </c>
      <c r="O44" t="s">
        <v>307</v>
      </c>
      <c r="P44" t="s">
        <v>309</v>
      </c>
    </row>
    <row r="45" spans="1:16">
      <c r="A45" s="8">
        <v>1885</v>
      </c>
      <c r="B45" t="s">
        <v>48</v>
      </c>
      <c r="C45">
        <v>1007048.86</v>
      </c>
      <c r="D45">
        <v>243653.12</v>
      </c>
      <c r="E45" s="19">
        <f t="shared" si="0"/>
        <v>1250701.98</v>
      </c>
      <c r="F45">
        <v>1717137.47</v>
      </c>
      <c r="G45">
        <v>1532241.25</v>
      </c>
      <c r="H45" s="20">
        <f t="shared" si="1"/>
        <v>3249378.7199999997</v>
      </c>
      <c r="I45">
        <v>158544.51999999999</v>
      </c>
      <c r="J45">
        <v>165307</v>
      </c>
      <c r="K45" s="18">
        <f t="shared" si="2"/>
        <v>323851.52000000002</v>
      </c>
      <c r="L45">
        <v>631524.84</v>
      </c>
      <c r="M45">
        <v>470233.38</v>
      </c>
      <c r="N45" s="23">
        <f t="shared" si="3"/>
        <v>1101758.22</v>
      </c>
      <c r="O45" t="s">
        <v>307</v>
      </c>
      <c r="P45" t="s">
        <v>309</v>
      </c>
    </row>
    <row r="46" spans="1:16">
      <c r="A46" s="8">
        <v>1895</v>
      </c>
      <c r="B46" t="s">
        <v>49</v>
      </c>
      <c r="C46">
        <v>842403.5</v>
      </c>
      <c r="D46">
        <v>186731.47</v>
      </c>
      <c r="E46" s="19">
        <f t="shared" si="0"/>
        <v>1029134.97</v>
      </c>
      <c r="F46">
        <v>2683792.15</v>
      </c>
      <c r="G46">
        <v>2548891.4</v>
      </c>
      <c r="H46" s="20">
        <f t="shared" si="1"/>
        <v>5232683.55</v>
      </c>
      <c r="I46">
        <v>357001.18</v>
      </c>
      <c r="J46">
        <v>312997.78999999998</v>
      </c>
      <c r="K46" s="18">
        <f t="shared" si="2"/>
        <v>669998.97</v>
      </c>
      <c r="L46">
        <v>61232.15</v>
      </c>
      <c r="M46">
        <v>10093.94</v>
      </c>
      <c r="N46" s="23">
        <f t="shared" si="3"/>
        <v>71326.09</v>
      </c>
      <c r="O46" t="s">
        <v>307</v>
      </c>
      <c r="P46" t="s">
        <v>309</v>
      </c>
    </row>
    <row r="47" spans="1:16">
      <c r="A47" s="8">
        <v>1900</v>
      </c>
      <c r="B47" t="s">
        <v>50</v>
      </c>
      <c r="C47">
        <v>705217.3</v>
      </c>
      <c r="D47">
        <v>137808.23000000001</v>
      </c>
      <c r="E47" s="19">
        <f t="shared" si="0"/>
        <v>843025.53</v>
      </c>
      <c r="F47">
        <v>1445604.41</v>
      </c>
      <c r="G47">
        <v>1286512.71</v>
      </c>
      <c r="H47" s="20">
        <f t="shared" si="1"/>
        <v>2732117.12</v>
      </c>
      <c r="I47">
        <v>120035.1</v>
      </c>
      <c r="J47">
        <v>147231.85999999999</v>
      </c>
      <c r="K47" s="18">
        <f t="shared" si="2"/>
        <v>267266.95999999996</v>
      </c>
      <c r="L47">
        <v>233057.52</v>
      </c>
      <c r="M47">
        <v>23826</v>
      </c>
      <c r="N47" s="23">
        <f t="shared" si="3"/>
        <v>256883.52</v>
      </c>
      <c r="O47" t="s">
        <v>307</v>
      </c>
      <c r="P47" t="s">
        <v>309</v>
      </c>
    </row>
    <row r="48" spans="1:16">
      <c r="A48" s="8">
        <v>1910</v>
      </c>
      <c r="B48" t="s">
        <v>51</v>
      </c>
      <c r="C48">
        <v>2374749.85</v>
      </c>
      <c r="D48">
        <v>523261.36</v>
      </c>
      <c r="E48" s="19">
        <f t="shared" si="0"/>
        <v>2898011.21</v>
      </c>
      <c r="F48">
        <v>3873476.09</v>
      </c>
      <c r="G48">
        <v>3671666.82</v>
      </c>
      <c r="H48" s="20">
        <f t="shared" si="1"/>
        <v>7545142.9100000001</v>
      </c>
      <c r="I48">
        <v>320090.01</v>
      </c>
      <c r="J48">
        <v>346933.16</v>
      </c>
      <c r="K48" s="18">
        <f t="shared" si="2"/>
        <v>667023.16999999993</v>
      </c>
      <c r="L48">
        <v>42840.61</v>
      </c>
      <c r="M48">
        <v>27397.27</v>
      </c>
      <c r="N48" s="23">
        <f t="shared" si="3"/>
        <v>70237.88</v>
      </c>
      <c r="O48" t="s">
        <v>307</v>
      </c>
      <c r="P48" t="s">
        <v>309</v>
      </c>
    </row>
    <row r="49" spans="1:16">
      <c r="A49" s="8">
        <v>1940</v>
      </c>
      <c r="B49" t="s">
        <v>52</v>
      </c>
      <c r="C49">
        <v>694254.36</v>
      </c>
      <c r="D49">
        <v>163662.82999999999</v>
      </c>
      <c r="E49" s="19">
        <f t="shared" si="0"/>
        <v>857917.19</v>
      </c>
      <c r="F49">
        <v>1212918.08</v>
      </c>
      <c r="G49">
        <v>1100866.78</v>
      </c>
      <c r="H49" s="20">
        <f t="shared" si="1"/>
        <v>2313784.8600000003</v>
      </c>
      <c r="I49">
        <v>97821.92</v>
      </c>
      <c r="J49">
        <v>127736.51</v>
      </c>
      <c r="K49" s="18">
        <f t="shared" si="2"/>
        <v>225558.43</v>
      </c>
      <c r="L49">
        <v>545614.55000000005</v>
      </c>
      <c r="M49">
        <v>4959.33</v>
      </c>
      <c r="N49" s="23">
        <f t="shared" si="3"/>
        <v>550573.88</v>
      </c>
      <c r="O49" t="s">
        <v>307</v>
      </c>
      <c r="P49" t="s">
        <v>309</v>
      </c>
    </row>
    <row r="50" spans="1:16">
      <c r="A50" s="8">
        <v>1970</v>
      </c>
      <c r="B50" t="s">
        <v>53</v>
      </c>
      <c r="C50">
        <v>8486536.6199999992</v>
      </c>
      <c r="D50">
        <v>1985360.63</v>
      </c>
      <c r="E50" s="19">
        <f t="shared" si="0"/>
        <v>10471897.25</v>
      </c>
      <c r="F50">
        <v>19771877.100000001</v>
      </c>
      <c r="G50">
        <v>17787761.300000001</v>
      </c>
      <c r="H50" s="20">
        <f t="shared" si="1"/>
        <v>37559638.400000006</v>
      </c>
      <c r="I50">
        <v>7007554.79</v>
      </c>
      <c r="J50">
        <v>7245621.7199999997</v>
      </c>
      <c r="K50" s="18">
        <f t="shared" si="2"/>
        <v>14253176.51</v>
      </c>
      <c r="L50">
        <v>14827595.9</v>
      </c>
      <c r="M50">
        <v>7382414.6100000003</v>
      </c>
      <c r="N50" s="23">
        <f t="shared" si="3"/>
        <v>22210010.510000002</v>
      </c>
      <c r="O50" t="s">
        <v>307</v>
      </c>
      <c r="P50" t="s">
        <v>309</v>
      </c>
    </row>
    <row r="51" spans="1:16">
      <c r="A51" s="8">
        <v>2040</v>
      </c>
      <c r="B51" t="s">
        <v>54</v>
      </c>
      <c r="C51">
        <v>1165847.43</v>
      </c>
      <c r="D51">
        <v>1227390.8500000001</v>
      </c>
      <c r="E51" s="19">
        <f t="shared" si="0"/>
        <v>2393238.2800000003</v>
      </c>
      <c r="F51">
        <v>1728327.49</v>
      </c>
      <c r="G51">
        <v>1620685.09</v>
      </c>
      <c r="H51" s="20">
        <f t="shared" si="1"/>
        <v>3349012.58</v>
      </c>
      <c r="I51">
        <v>65947.649999999994</v>
      </c>
      <c r="J51">
        <v>90016.33</v>
      </c>
      <c r="K51" s="18">
        <f t="shared" si="2"/>
        <v>155963.97999999998</v>
      </c>
      <c r="L51">
        <v>2759.04</v>
      </c>
      <c r="N51" s="23">
        <f t="shared" si="3"/>
        <v>2759.04</v>
      </c>
      <c r="O51" t="s">
        <v>307</v>
      </c>
      <c r="P51" t="s">
        <v>309</v>
      </c>
    </row>
    <row r="52" spans="1:16">
      <c r="A52" s="8">
        <v>2100</v>
      </c>
      <c r="B52" t="s">
        <v>55</v>
      </c>
      <c r="C52">
        <v>1285378.94</v>
      </c>
      <c r="D52">
        <v>1326271.73</v>
      </c>
      <c r="E52" s="19">
        <f t="shared" si="0"/>
        <v>2611650.67</v>
      </c>
      <c r="F52">
        <v>2964787.29</v>
      </c>
      <c r="G52">
        <v>2711228.62</v>
      </c>
      <c r="H52" s="20">
        <f t="shared" si="1"/>
        <v>5676015.9100000001</v>
      </c>
      <c r="I52">
        <v>73440.759999999995</v>
      </c>
      <c r="J52">
        <v>142642.06</v>
      </c>
      <c r="K52" s="18">
        <f t="shared" si="2"/>
        <v>216082.82</v>
      </c>
      <c r="L52">
        <v>43292.98</v>
      </c>
      <c r="M52">
        <v>11192.84</v>
      </c>
      <c r="N52" s="23">
        <f t="shared" si="3"/>
        <v>54485.820000000007</v>
      </c>
      <c r="O52" t="s">
        <v>307</v>
      </c>
      <c r="P52" t="s">
        <v>309</v>
      </c>
    </row>
    <row r="53" spans="1:16">
      <c r="A53" s="8">
        <v>2110</v>
      </c>
      <c r="B53" t="s">
        <v>56</v>
      </c>
      <c r="C53">
        <v>1414336.95</v>
      </c>
      <c r="D53">
        <v>1542733.12</v>
      </c>
      <c r="E53" s="19">
        <f t="shared" si="0"/>
        <v>2957070.0700000003</v>
      </c>
      <c r="F53">
        <v>4076893.28</v>
      </c>
      <c r="G53">
        <v>3839607.69</v>
      </c>
      <c r="H53" s="20">
        <f t="shared" si="1"/>
        <v>7916500.9699999997</v>
      </c>
      <c r="I53">
        <v>1596311.62</v>
      </c>
      <c r="J53">
        <v>1327078.95</v>
      </c>
      <c r="K53" s="18">
        <f t="shared" si="2"/>
        <v>2923390.5700000003</v>
      </c>
      <c r="L53">
        <v>60477.5</v>
      </c>
      <c r="M53">
        <v>69390.929999999993</v>
      </c>
      <c r="N53" s="23">
        <f t="shared" si="3"/>
        <v>129868.43</v>
      </c>
      <c r="O53" t="s">
        <v>307</v>
      </c>
      <c r="P53" t="s">
        <v>309</v>
      </c>
    </row>
    <row r="54" spans="1:16">
      <c r="A54" s="8">
        <v>2120</v>
      </c>
      <c r="B54" t="s">
        <v>57</v>
      </c>
      <c r="C54">
        <v>4691540.59</v>
      </c>
      <c r="D54">
        <v>4833120.7300000004</v>
      </c>
      <c r="E54" s="19">
        <f t="shared" si="0"/>
        <v>9524661.3200000003</v>
      </c>
      <c r="F54">
        <v>4276143.8499999996</v>
      </c>
      <c r="G54">
        <v>3817758.33</v>
      </c>
      <c r="H54" s="20">
        <f t="shared" si="1"/>
        <v>8093902.1799999997</v>
      </c>
      <c r="I54">
        <v>1783828.79</v>
      </c>
      <c r="J54">
        <v>1837830.36</v>
      </c>
      <c r="K54" s="18">
        <f t="shared" si="2"/>
        <v>3621659.1500000004</v>
      </c>
      <c r="L54">
        <v>1492237.75</v>
      </c>
      <c r="M54">
        <v>1781955.07</v>
      </c>
      <c r="N54" s="23">
        <f t="shared" si="3"/>
        <v>3274192.8200000003</v>
      </c>
      <c r="O54" t="s">
        <v>307</v>
      </c>
      <c r="P54" t="s">
        <v>309</v>
      </c>
    </row>
    <row r="55" spans="1:16">
      <c r="A55" s="8">
        <v>2155</v>
      </c>
      <c r="B55" t="s">
        <v>58</v>
      </c>
      <c r="C55">
        <v>2257016.64</v>
      </c>
      <c r="D55">
        <v>731377.7</v>
      </c>
      <c r="E55" s="19">
        <f t="shared" si="0"/>
        <v>2988394.34</v>
      </c>
      <c r="F55">
        <v>3938208.86</v>
      </c>
      <c r="G55">
        <v>3738476.98</v>
      </c>
      <c r="H55" s="20">
        <f t="shared" si="1"/>
        <v>7676685.8399999999</v>
      </c>
      <c r="I55">
        <v>438540.22</v>
      </c>
      <c r="J55">
        <v>386943.58</v>
      </c>
      <c r="K55" s="18">
        <f t="shared" si="2"/>
        <v>825483.8</v>
      </c>
      <c r="L55">
        <v>164474.51</v>
      </c>
      <c r="M55">
        <v>51928.23</v>
      </c>
      <c r="N55" s="23">
        <f t="shared" si="3"/>
        <v>216402.74000000002</v>
      </c>
      <c r="O55" t="s">
        <v>307</v>
      </c>
      <c r="P55" t="s">
        <v>309</v>
      </c>
    </row>
    <row r="56" spans="1:16">
      <c r="A56" s="9">
        <v>2260</v>
      </c>
      <c r="B56" s="3" t="s">
        <v>59</v>
      </c>
      <c r="C56">
        <v>1951762.53</v>
      </c>
      <c r="D56">
        <v>523718.57</v>
      </c>
      <c r="E56" s="19">
        <f t="shared" si="0"/>
        <v>2475481.1</v>
      </c>
      <c r="F56">
        <v>3760013.79</v>
      </c>
      <c r="G56">
        <v>3608796.72</v>
      </c>
      <c r="H56" s="20">
        <f t="shared" si="1"/>
        <v>7368810.5099999998</v>
      </c>
      <c r="I56">
        <v>297971.53999999998</v>
      </c>
      <c r="J56">
        <v>377547.65</v>
      </c>
      <c r="K56" s="18">
        <f t="shared" si="2"/>
        <v>675519.19</v>
      </c>
      <c r="L56">
        <v>22240.37</v>
      </c>
      <c r="M56">
        <v>9612.7199999999993</v>
      </c>
      <c r="N56" s="23">
        <f t="shared" si="3"/>
        <v>31853.089999999997</v>
      </c>
      <c r="O56" t="s">
        <v>307</v>
      </c>
      <c r="P56" t="s">
        <v>309</v>
      </c>
    </row>
    <row r="57" spans="1:16">
      <c r="A57" s="8">
        <v>2270</v>
      </c>
      <c r="B57" t="s">
        <v>60</v>
      </c>
      <c r="C57">
        <v>4580700.72</v>
      </c>
      <c r="D57">
        <v>1356231.39</v>
      </c>
      <c r="E57" s="19">
        <f t="shared" si="0"/>
        <v>5936932.1099999994</v>
      </c>
      <c r="F57">
        <v>8844228.9199999999</v>
      </c>
      <c r="G57">
        <v>8448026.0399999991</v>
      </c>
      <c r="H57" s="20">
        <f t="shared" si="1"/>
        <v>17292254.960000001</v>
      </c>
      <c r="I57">
        <v>1220090.1200000001</v>
      </c>
      <c r="J57">
        <v>1505577.34</v>
      </c>
      <c r="K57" s="18">
        <f t="shared" si="2"/>
        <v>2725667.46</v>
      </c>
      <c r="L57">
        <v>1974294.58</v>
      </c>
      <c r="M57">
        <v>1779966.56</v>
      </c>
      <c r="N57" s="23">
        <f t="shared" si="3"/>
        <v>3754261.14</v>
      </c>
      <c r="O57" t="s">
        <v>307</v>
      </c>
      <c r="P57" t="s">
        <v>309</v>
      </c>
    </row>
    <row r="58" spans="1:16">
      <c r="A58" s="8">
        <v>2275</v>
      </c>
      <c r="B58" t="s">
        <v>61</v>
      </c>
      <c r="C58">
        <v>4008550.98</v>
      </c>
      <c r="D58">
        <v>1644167.11</v>
      </c>
      <c r="E58" s="19">
        <f t="shared" si="0"/>
        <v>5652718.0899999999</v>
      </c>
      <c r="F58">
        <v>6911443.2699999996</v>
      </c>
      <c r="G58">
        <v>6772886.2300000004</v>
      </c>
      <c r="H58" s="20">
        <f t="shared" si="1"/>
        <v>13684329.5</v>
      </c>
      <c r="I58">
        <v>746145.61</v>
      </c>
      <c r="J58">
        <v>845799.66</v>
      </c>
      <c r="K58" s="18">
        <f t="shared" si="2"/>
        <v>1591945.27</v>
      </c>
      <c r="L58">
        <v>24258.11</v>
      </c>
      <c r="M58">
        <v>1092985.26</v>
      </c>
      <c r="N58" s="23">
        <f t="shared" si="3"/>
        <v>1117243.3700000001</v>
      </c>
      <c r="O58" t="s">
        <v>307</v>
      </c>
      <c r="P58" t="s">
        <v>309</v>
      </c>
    </row>
    <row r="59" spans="1:16">
      <c r="A59" s="8">
        <v>2285</v>
      </c>
      <c r="B59" t="s">
        <v>62</v>
      </c>
      <c r="C59">
        <v>3928782.24</v>
      </c>
      <c r="D59">
        <v>1104024.53</v>
      </c>
      <c r="E59" s="19">
        <f t="shared" si="0"/>
        <v>5032806.7700000005</v>
      </c>
      <c r="F59">
        <v>5971153.0300000003</v>
      </c>
      <c r="G59">
        <v>5552471.9400000004</v>
      </c>
      <c r="H59" s="20">
        <f t="shared" si="1"/>
        <v>11523624.970000001</v>
      </c>
      <c r="I59">
        <v>900489.98</v>
      </c>
      <c r="J59">
        <v>900611.69</v>
      </c>
      <c r="K59" s="18">
        <f t="shared" si="2"/>
        <v>1801101.67</v>
      </c>
      <c r="L59">
        <v>253075.31</v>
      </c>
      <c r="M59">
        <v>29016.799999999999</v>
      </c>
      <c r="N59" s="23">
        <f t="shared" si="3"/>
        <v>282092.11</v>
      </c>
      <c r="O59" t="s">
        <v>307</v>
      </c>
      <c r="P59" t="s">
        <v>309</v>
      </c>
    </row>
    <row r="60" spans="1:16">
      <c r="A60" s="8">
        <v>2305</v>
      </c>
      <c r="B60" t="s">
        <v>63</v>
      </c>
      <c r="C60">
        <v>14243734.5</v>
      </c>
      <c r="D60">
        <v>4407218.9000000004</v>
      </c>
      <c r="E60" s="19">
        <f t="shared" si="0"/>
        <v>18650953.399999999</v>
      </c>
      <c r="F60">
        <v>29797038.100000001</v>
      </c>
      <c r="G60">
        <v>28314198.199999999</v>
      </c>
      <c r="H60" s="20">
        <f t="shared" si="1"/>
        <v>58111236.299999997</v>
      </c>
      <c r="I60">
        <v>5093795.96</v>
      </c>
      <c r="J60">
        <v>7972173.0899999999</v>
      </c>
      <c r="K60" s="18">
        <f t="shared" si="2"/>
        <v>13065969.050000001</v>
      </c>
      <c r="L60">
        <v>3316059.6</v>
      </c>
      <c r="M60">
        <v>2196733.94</v>
      </c>
      <c r="N60" s="23">
        <f t="shared" si="3"/>
        <v>5512793.54</v>
      </c>
      <c r="O60" t="s">
        <v>307</v>
      </c>
      <c r="P60" t="s">
        <v>309</v>
      </c>
    </row>
    <row r="61" spans="1:16">
      <c r="A61" s="8">
        <v>2315</v>
      </c>
      <c r="B61" t="s">
        <v>64</v>
      </c>
      <c r="C61">
        <v>5670984.5099999998</v>
      </c>
      <c r="D61">
        <v>1696801.8</v>
      </c>
      <c r="E61" s="19">
        <f t="shared" si="0"/>
        <v>7367786.3099999996</v>
      </c>
      <c r="F61">
        <v>13950945.300000001</v>
      </c>
      <c r="G61">
        <v>13087446.800000001</v>
      </c>
      <c r="H61" s="20">
        <f t="shared" si="1"/>
        <v>27038392.100000001</v>
      </c>
      <c r="I61">
        <v>3721540.1</v>
      </c>
      <c r="J61">
        <v>4305698.05</v>
      </c>
      <c r="K61" s="18">
        <f t="shared" si="2"/>
        <v>8027238.1500000004</v>
      </c>
      <c r="L61">
        <v>6035806.04</v>
      </c>
      <c r="M61">
        <v>5268661.09</v>
      </c>
      <c r="N61" s="23">
        <f t="shared" si="3"/>
        <v>11304467.129999999</v>
      </c>
      <c r="O61" t="s">
        <v>307</v>
      </c>
      <c r="P61" t="s">
        <v>309</v>
      </c>
    </row>
    <row r="62" spans="1:16">
      <c r="A62" s="8">
        <v>2395</v>
      </c>
      <c r="B62" t="s">
        <v>65</v>
      </c>
      <c r="C62">
        <v>4120425.48</v>
      </c>
      <c r="D62">
        <v>860523.88</v>
      </c>
      <c r="E62" s="19">
        <f t="shared" si="0"/>
        <v>4980949.3600000003</v>
      </c>
      <c r="F62">
        <v>9466275.1999999993</v>
      </c>
      <c r="G62">
        <v>8783451.1999999993</v>
      </c>
      <c r="H62" s="20">
        <f t="shared" si="1"/>
        <v>18249726.399999999</v>
      </c>
      <c r="I62">
        <v>2922907.41</v>
      </c>
      <c r="J62">
        <v>2743865.09</v>
      </c>
      <c r="K62" s="18">
        <f t="shared" si="2"/>
        <v>5666772.5</v>
      </c>
      <c r="L62">
        <v>1792255.5</v>
      </c>
      <c r="M62">
        <v>1135366.97</v>
      </c>
      <c r="N62" s="23">
        <f t="shared" si="3"/>
        <v>2927622.4699999997</v>
      </c>
      <c r="O62" t="s">
        <v>307</v>
      </c>
      <c r="P62" t="s">
        <v>309</v>
      </c>
    </row>
    <row r="63" spans="1:16">
      <c r="A63" s="8">
        <v>2400</v>
      </c>
      <c r="B63" t="s">
        <v>66</v>
      </c>
      <c r="C63">
        <v>13326530.1</v>
      </c>
      <c r="D63">
        <v>2986334.71</v>
      </c>
      <c r="E63" s="19">
        <f t="shared" si="0"/>
        <v>16312864.809999999</v>
      </c>
      <c r="F63">
        <v>23614218.699999999</v>
      </c>
      <c r="G63">
        <v>22385473.800000001</v>
      </c>
      <c r="H63" s="20">
        <f t="shared" si="1"/>
        <v>45999692.5</v>
      </c>
      <c r="I63">
        <v>4119084.79</v>
      </c>
      <c r="J63">
        <v>4457556.49</v>
      </c>
      <c r="K63" s="18">
        <f t="shared" si="2"/>
        <v>8576641.2800000012</v>
      </c>
      <c r="L63">
        <v>121032.15</v>
      </c>
      <c r="M63">
        <v>322953.76</v>
      </c>
      <c r="N63" s="23">
        <f t="shared" si="3"/>
        <v>443985.91000000003</v>
      </c>
      <c r="O63" t="s">
        <v>307</v>
      </c>
      <c r="P63" t="s">
        <v>309</v>
      </c>
    </row>
    <row r="64" spans="1:16">
      <c r="A64" s="8">
        <v>2435</v>
      </c>
      <c r="B64" t="s">
        <v>67</v>
      </c>
      <c r="C64">
        <v>818918.48</v>
      </c>
      <c r="D64">
        <v>850392.3</v>
      </c>
      <c r="E64" s="19">
        <f t="shared" si="0"/>
        <v>1669310.78</v>
      </c>
      <c r="F64">
        <v>2093429.19</v>
      </c>
      <c r="G64">
        <v>2029715.94</v>
      </c>
      <c r="H64" s="20">
        <f t="shared" si="1"/>
        <v>4123145.13</v>
      </c>
      <c r="I64">
        <v>200742.84</v>
      </c>
      <c r="J64">
        <v>336166.43</v>
      </c>
      <c r="K64" s="18">
        <f t="shared" si="2"/>
        <v>536909.27</v>
      </c>
      <c r="L64">
        <v>254411.69</v>
      </c>
      <c r="M64">
        <v>340428.29</v>
      </c>
      <c r="N64" s="23">
        <f t="shared" si="3"/>
        <v>594839.98</v>
      </c>
      <c r="O64" t="s">
        <v>307</v>
      </c>
      <c r="P64" t="s">
        <v>309</v>
      </c>
    </row>
    <row r="65" spans="1:16">
      <c r="A65" s="8">
        <v>2440</v>
      </c>
      <c r="B65" t="s">
        <v>68</v>
      </c>
      <c r="C65">
        <v>843771.81</v>
      </c>
      <c r="D65">
        <v>781478.35</v>
      </c>
      <c r="E65" s="19">
        <f t="shared" si="0"/>
        <v>1625250.1600000001</v>
      </c>
      <c r="F65">
        <v>1961892.46</v>
      </c>
      <c r="G65">
        <v>1846083.67</v>
      </c>
      <c r="H65" s="20">
        <f t="shared" si="1"/>
        <v>3807976.13</v>
      </c>
      <c r="I65">
        <v>171102.21</v>
      </c>
      <c r="J65">
        <v>290975.35999999999</v>
      </c>
      <c r="K65" s="18">
        <f t="shared" si="2"/>
        <v>462077.56999999995</v>
      </c>
      <c r="L65">
        <v>166941.26</v>
      </c>
      <c r="M65">
        <v>223478.76</v>
      </c>
      <c r="N65" s="23">
        <f t="shared" si="3"/>
        <v>390420.02</v>
      </c>
      <c r="O65" t="s">
        <v>307</v>
      </c>
      <c r="P65" t="s">
        <v>309</v>
      </c>
    </row>
    <row r="66" spans="1:16">
      <c r="A66" s="8">
        <v>2455</v>
      </c>
      <c r="B66" t="s">
        <v>69</v>
      </c>
      <c r="C66">
        <v>1207476.99</v>
      </c>
      <c r="D66">
        <v>1334288.32</v>
      </c>
      <c r="E66" s="19">
        <f t="shared" si="0"/>
        <v>2541765.31</v>
      </c>
      <c r="F66">
        <v>2592946.4700000002</v>
      </c>
      <c r="G66">
        <v>2608483</v>
      </c>
      <c r="H66" s="20">
        <f t="shared" si="1"/>
        <v>5201429.4700000007</v>
      </c>
      <c r="I66">
        <v>261267.84</v>
      </c>
      <c r="J66">
        <v>455511.57</v>
      </c>
      <c r="K66" s="18">
        <f t="shared" si="2"/>
        <v>716779.41</v>
      </c>
      <c r="L66">
        <v>105242.08</v>
      </c>
      <c r="M66">
        <v>110823.91</v>
      </c>
      <c r="N66" s="23">
        <f t="shared" si="3"/>
        <v>216065.99</v>
      </c>
      <c r="O66" t="s">
        <v>307</v>
      </c>
      <c r="P66" t="s">
        <v>309</v>
      </c>
    </row>
    <row r="67" spans="1:16">
      <c r="A67" s="8">
        <v>2475</v>
      </c>
      <c r="B67" t="s">
        <v>70</v>
      </c>
      <c r="C67">
        <v>2157644.0699999998</v>
      </c>
      <c r="D67">
        <v>2004439.81</v>
      </c>
      <c r="E67" s="19">
        <f t="shared" si="0"/>
        <v>4162083.88</v>
      </c>
      <c r="F67">
        <v>6494397.54</v>
      </c>
      <c r="G67">
        <v>6075700.1799999997</v>
      </c>
      <c r="H67" s="20">
        <f t="shared" si="1"/>
        <v>12570097.719999999</v>
      </c>
      <c r="I67">
        <v>573900.85</v>
      </c>
      <c r="J67">
        <v>748761.78</v>
      </c>
      <c r="K67" s="18">
        <f t="shared" si="2"/>
        <v>1322662.6299999999</v>
      </c>
      <c r="L67">
        <v>97478.37</v>
      </c>
      <c r="M67">
        <v>165179.15</v>
      </c>
      <c r="N67" s="23">
        <f t="shared" si="3"/>
        <v>262657.52</v>
      </c>
      <c r="O67" t="s">
        <v>307</v>
      </c>
      <c r="P67" t="s">
        <v>309</v>
      </c>
    </row>
    <row r="68" spans="1:16">
      <c r="A68" s="8">
        <v>2645</v>
      </c>
      <c r="B68" t="s">
        <v>71</v>
      </c>
      <c r="C68">
        <v>2143504.61</v>
      </c>
      <c r="D68">
        <v>872361.66</v>
      </c>
      <c r="E68" s="19">
        <f t="shared" si="0"/>
        <v>3015866.27</v>
      </c>
      <c r="F68">
        <v>3223604.15</v>
      </c>
      <c r="G68">
        <v>3452593.82</v>
      </c>
      <c r="H68" s="20">
        <f t="shared" si="1"/>
        <v>6676197.9699999997</v>
      </c>
      <c r="I68">
        <v>361760.39</v>
      </c>
      <c r="J68">
        <v>404944.45</v>
      </c>
      <c r="K68" s="18">
        <f t="shared" si="2"/>
        <v>766704.84000000008</v>
      </c>
      <c r="L68">
        <v>32469.18</v>
      </c>
      <c r="M68">
        <v>6130.01</v>
      </c>
      <c r="N68" s="23">
        <f t="shared" si="3"/>
        <v>38599.19</v>
      </c>
      <c r="O68" t="s">
        <v>307</v>
      </c>
      <c r="P68" t="s">
        <v>309</v>
      </c>
    </row>
    <row r="69" spans="1:16">
      <c r="A69" s="8">
        <v>2650</v>
      </c>
      <c r="B69" t="s">
        <v>72</v>
      </c>
      <c r="C69">
        <v>1144557.07</v>
      </c>
      <c r="D69">
        <v>448621.14</v>
      </c>
      <c r="E69" s="19">
        <f t="shared" ref="E69:E132" si="4">SUM(C69:D69)</f>
        <v>1593178.21</v>
      </c>
      <c r="F69">
        <v>1630093.41</v>
      </c>
      <c r="G69">
        <v>1412001.25</v>
      </c>
      <c r="H69" s="20">
        <f t="shared" ref="H69:H132" si="5">SUM(F69:G69)</f>
        <v>3042094.66</v>
      </c>
      <c r="I69">
        <v>107962.64</v>
      </c>
      <c r="J69">
        <v>105049.73</v>
      </c>
      <c r="K69" s="18">
        <f t="shared" ref="K69:K132" si="6">SUM(I69:J69)</f>
        <v>213012.37</v>
      </c>
      <c r="L69">
        <v>4812</v>
      </c>
      <c r="M69">
        <v>9877.65</v>
      </c>
      <c r="N69" s="23">
        <f t="shared" ref="N69:N132" si="7">SUM(L69:M69)</f>
        <v>14689.65</v>
      </c>
      <c r="O69" t="s">
        <v>307</v>
      </c>
      <c r="P69" t="s">
        <v>309</v>
      </c>
    </row>
    <row r="70" spans="1:16">
      <c r="A70" s="8">
        <v>2725</v>
      </c>
      <c r="B70" t="s">
        <v>73</v>
      </c>
      <c r="C70">
        <v>1251887.43</v>
      </c>
      <c r="D70">
        <v>156069.66</v>
      </c>
      <c r="E70" s="19">
        <f t="shared" si="4"/>
        <v>1407957.0899999999</v>
      </c>
      <c r="F70">
        <v>2355859.88</v>
      </c>
      <c r="G70">
        <v>1994963.4</v>
      </c>
      <c r="H70" s="20">
        <f t="shared" si="5"/>
        <v>4350823.2799999993</v>
      </c>
      <c r="I70">
        <v>199921.52</v>
      </c>
      <c r="J70">
        <v>193632.22</v>
      </c>
      <c r="K70" s="18">
        <f t="shared" si="6"/>
        <v>393553.74</v>
      </c>
      <c r="L70">
        <v>23297.01</v>
      </c>
      <c r="M70">
        <v>2258.9499999999998</v>
      </c>
      <c r="N70" s="23">
        <f t="shared" si="7"/>
        <v>25555.96</v>
      </c>
      <c r="O70" t="s">
        <v>307</v>
      </c>
      <c r="P70" t="s">
        <v>309</v>
      </c>
    </row>
    <row r="71" spans="1:16">
      <c r="A71" s="8">
        <v>2735</v>
      </c>
      <c r="B71" t="s">
        <v>74</v>
      </c>
      <c r="C71">
        <v>2624955.12</v>
      </c>
      <c r="D71">
        <v>192891.89</v>
      </c>
      <c r="E71" s="19">
        <f t="shared" si="4"/>
        <v>2817847.0100000002</v>
      </c>
      <c r="F71">
        <v>4097533.45</v>
      </c>
      <c r="G71">
        <v>4073555.12</v>
      </c>
      <c r="H71" s="20">
        <f t="shared" si="5"/>
        <v>8171088.5700000003</v>
      </c>
      <c r="I71">
        <v>372123.72</v>
      </c>
      <c r="J71">
        <v>433069.34</v>
      </c>
      <c r="K71" s="18">
        <f t="shared" si="6"/>
        <v>805193.06</v>
      </c>
      <c r="L71">
        <v>217611.07</v>
      </c>
      <c r="M71">
        <v>112990.14</v>
      </c>
      <c r="N71" s="23">
        <f t="shared" si="7"/>
        <v>330601.21000000002</v>
      </c>
      <c r="O71" t="s">
        <v>307</v>
      </c>
      <c r="P71" t="s">
        <v>309</v>
      </c>
    </row>
    <row r="72" spans="1:16">
      <c r="A72" s="8">
        <v>2765</v>
      </c>
      <c r="B72" t="s">
        <v>75</v>
      </c>
      <c r="C72">
        <v>2901402.29</v>
      </c>
      <c r="D72">
        <v>94838.32</v>
      </c>
      <c r="E72" s="19">
        <f t="shared" si="4"/>
        <v>2996240.61</v>
      </c>
      <c r="F72">
        <v>2611863.89</v>
      </c>
      <c r="G72">
        <v>2428715.0499999998</v>
      </c>
      <c r="H72" s="20">
        <f t="shared" si="5"/>
        <v>5040578.9399999995</v>
      </c>
      <c r="I72">
        <v>140146.9</v>
      </c>
      <c r="J72">
        <v>163720.59</v>
      </c>
      <c r="K72" s="18">
        <f t="shared" si="6"/>
        <v>303867.49</v>
      </c>
      <c r="L72">
        <v>193617.6</v>
      </c>
      <c r="M72">
        <v>262425</v>
      </c>
      <c r="N72" s="23">
        <f t="shared" si="7"/>
        <v>456042.6</v>
      </c>
      <c r="O72" t="s">
        <v>307</v>
      </c>
      <c r="P72" t="s">
        <v>309</v>
      </c>
    </row>
    <row r="73" spans="1:16">
      <c r="A73" s="8">
        <v>2815</v>
      </c>
      <c r="B73" t="s">
        <v>76</v>
      </c>
      <c r="C73">
        <v>1329840.48</v>
      </c>
      <c r="D73">
        <v>250892.43</v>
      </c>
      <c r="E73" s="19">
        <f t="shared" si="4"/>
        <v>1580732.91</v>
      </c>
      <c r="F73">
        <v>3839230.42</v>
      </c>
      <c r="G73">
        <v>3653336.5</v>
      </c>
      <c r="H73" s="20">
        <f t="shared" si="5"/>
        <v>7492566.9199999999</v>
      </c>
      <c r="I73">
        <v>323975.17</v>
      </c>
      <c r="J73">
        <v>432183.25</v>
      </c>
      <c r="K73" s="18">
        <f t="shared" si="6"/>
        <v>756158.41999999993</v>
      </c>
      <c r="L73">
        <v>2576.5300000000002</v>
      </c>
      <c r="M73">
        <v>2611.63</v>
      </c>
      <c r="N73" s="23">
        <f t="shared" si="7"/>
        <v>5188.16</v>
      </c>
      <c r="O73" t="s">
        <v>307</v>
      </c>
      <c r="P73" t="s">
        <v>309</v>
      </c>
    </row>
    <row r="74" spans="1:16">
      <c r="A74" s="8">
        <v>2825</v>
      </c>
      <c r="B74" t="s">
        <v>77</v>
      </c>
      <c r="C74">
        <v>1431918.04</v>
      </c>
      <c r="D74" s="3">
        <v>279970.23</v>
      </c>
      <c r="E74" s="19">
        <f t="shared" si="4"/>
        <v>1711888.27</v>
      </c>
      <c r="F74">
        <v>3434010.24</v>
      </c>
      <c r="G74">
        <v>3156047.5</v>
      </c>
      <c r="H74" s="20">
        <f t="shared" si="5"/>
        <v>6590057.7400000002</v>
      </c>
      <c r="I74">
        <v>359293.16</v>
      </c>
      <c r="J74">
        <v>509334.03</v>
      </c>
      <c r="K74" s="18">
        <f t="shared" si="6"/>
        <v>868627.19</v>
      </c>
      <c r="L74">
        <v>32963.25</v>
      </c>
      <c r="M74">
        <v>65723.81</v>
      </c>
      <c r="N74" s="23">
        <f t="shared" si="7"/>
        <v>98687.06</v>
      </c>
      <c r="O74" t="s">
        <v>307</v>
      </c>
      <c r="P74" t="s">
        <v>309</v>
      </c>
    </row>
    <row r="75" spans="1:16">
      <c r="A75" s="8">
        <v>2855</v>
      </c>
      <c r="B75" t="s">
        <v>78</v>
      </c>
      <c r="C75">
        <v>1250136.3899999999</v>
      </c>
      <c r="D75">
        <v>299725.56</v>
      </c>
      <c r="E75" s="19">
        <f t="shared" si="4"/>
        <v>1549861.95</v>
      </c>
      <c r="F75" s="3">
        <v>5672856.7999999998</v>
      </c>
      <c r="G75" s="3">
        <v>5350735.88</v>
      </c>
      <c r="H75" s="20">
        <f t="shared" si="5"/>
        <v>11023592.68</v>
      </c>
      <c r="I75" s="3">
        <v>1661199.68</v>
      </c>
      <c r="J75" s="3">
        <v>2497066.67</v>
      </c>
      <c r="K75" s="18">
        <f t="shared" si="6"/>
        <v>4158266.3499999996</v>
      </c>
      <c r="L75">
        <v>365768.01</v>
      </c>
      <c r="M75">
        <v>397232.53</v>
      </c>
      <c r="N75" s="23">
        <f t="shared" si="7"/>
        <v>763000.54</v>
      </c>
      <c r="O75" t="s">
        <v>307</v>
      </c>
      <c r="P75" t="s">
        <v>309</v>
      </c>
    </row>
    <row r="76" spans="1:16">
      <c r="A76" s="9">
        <v>2865</v>
      </c>
      <c r="B76" s="3" t="s">
        <v>79</v>
      </c>
      <c r="C76" s="3">
        <v>7738546.3099999996</v>
      </c>
      <c r="D76">
        <v>1812446.62</v>
      </c>
      <c r="E76" s="19">
        <f t="shared" si="4"/>
        <v>9550992.9299999997</v>
      </c>
      <c r="F76">
        <v>14101791.6</v>
      </c>
      <c r="G76">
        <v>12437512.5</v>
      </c>
      <c r="H76" s="20">
        <f t="shared" si="5"/>
        <v>26539304.100000001</v>
      </c>
      <c r="I76">
        <v>3265826.87</v>
      </c>
      <c r="J76">
        <v>2847678.15</v>
      </c>
      <c r="K76" s="18">
        <f t="shared" si="6"/>
        <v>6113505.0199999996</v>
      </c>
      <c r="L76" s="3">
        <v>464309.37</v>
      </c>
      <c r="M76" s="3">
        <v>81163.45</v>
      </c>
      <c r="N76" s="23">
        <f t="shared" si="7"/>
        <v>545472.81999999995</v>
      </c>
      <c r="O76" t="s">
        <v>307</v>
      </c>
      <c r="P76" t="s">
        <v>309</v>
      </c>
    </row>
    <row r="77" spans="1:16" s="3" customFormat="1">
      <c r="A77" s="8">
        <v>2920</v>
      </c>
      <c r="B77" t="s">
        <v>80</v>
      </c>
      <c r="C77">
        <v>604488.68999999994</v>
      </c>
      <c r="D77">
        <v>303726.03000000003</v>
      </c>
      <c r="E77" s="19">
        <f t="shared" si="4"/>
        <v>908214.72</v>
      </c>
      <c r="F77">
        <v>2194079.06</v>
      </c>
      <c r="G77">
        <v>2425827.56</v>
      </c>
      <c r="H77" s="20">
        <f t="shared" si="5"/>
        <v>4619906.62</v>
      </c>
      <c r="I77">
        <v>206483.39</v>
      </c>
      <c r="J77">
        <v>188233.33</v>
      </c>
      <c r="K77" s="18">
        <f t="shared" si="6"/>
        <v>394716.72</v>
      </c>
      <c r="L77">
        <v>4757.57</v>
      </c>
      <c r="M77">
        <v>14069.55</v>
      </c>
      <c r="N77" s="23">
        <f t="shared" si="7"/>
        <v>18827.12</v>
      </c>
      <c r="O77" t="s">
        <v>307</v>
      </c>
      <c r="P77" t="s">
        <v>309</v>
      </c>
    </row>
    <row r="78" spans="1:16">
      <c r="A78" s="8">
        <v>2940</v>
      </c>
      <c r="B78" t="s">
        <v>81</v>
      </c>
      <c r="C78">
        <v>309097.09000000003</v>
      </c>
      <c r="D78">
        <v>443445.46</v>
      </c>
      <c r="E78" s="19">
        <f t="shared" si="4"/>
        <v>752542.55</v>
      </c>
      <c r="F78">
        <v>2951058.06</v>
      </c>
      <c r="G78">
        <v>3508532.32</v>
      </c>
      <c r="H78" s="20">
        <f t="shared" si="5"/>
        <v>6459590.3799999999</v>
      </c>
      <c r="I78">
        <v>180387.96</v>
      </c>
      <c r="J78">
        <v>334435.92</v>
      </c>
      <c r="K78" s="18">
        <f t="shared" si="6"/>
        <v>514823.88</v>
      </c>
      <c r="L78">
        <v>1092057.19</v>
      </c>
      <c r="M78">
        <v>4833348.9000000004</v>
      </c>
      <c r="N78" s="23">
        <f t="shared" si="7"/>
        <v>5925406.0899999999</v>
      </c>
      <c r="O78" t="s">
        <v>307</v>
      </c>
      <c r="P78" t="s">
        <v>309</v>
      </c>
    </row>
    <row r="79" spans="1:16">
      <c r="A79" s="8">
        <v>2950</v>
      </c>
      <c r="B79" t="s">
        <v>82</v>
      </c>
      <c r="C79">
        <v>882406.94</v>
      </c>
      <c r="D79">
        <v>211947</v>
      </c>
      <c r="E79" s="19">
        <f t="shared" si="4"/>
        <v>1094353.94</v>
      </c>
      <c r="F79">
        <v>3371997.91</v>
      </c>
      <c r="G79">
        <v>3112206.03</v>
      </c>
      <c r="H79" s="20">
        <f t="shared" si="5"/>
        <v>6484203.9399999995</v>
      </c>
      <c r="I79">
        <v>207156.31</v>
      </c>
      <c r="J79">
        <v>385618.64</v>
      </c>
      <c r="K79" s="18">
        <f t="shared" si="6"/>
        <v>592774.94999999995</v>
      </c>
      <c r="L79">
        <v>1528</v>
      </c>
      <c r="N79" s="23">
        <f t="shared" si="7"/>
        <v>1528</v>
      </c>
      <c r="O79" t="s">
        <v>307</v>
      </c>
      <c r="P79" t="s">
        <v>309</v>
      </c>
    </row>
    <row r="80" spans="1:16">
      <c r="A80" s="8">
        <v>2960</v>
      </c>
      <c r="B80" t="s">
        <v>83</v>
      </c>
      <c r="C80">
        <v>479835.94</v>
      </c>
      <c r="D80">
        <v>148962.15</v>
      </c>
      <c r="E80" s="19">
        <f t="shared" si="4"/>
        <v>628798.09</v>
      </c>
      <c r="F80">
        <v>2523519.4</v>
      </c>
      <c r="G80">
        <v>2336459.42</v>
      </c>
      <c r="H80" s="20">
        <f t="shared" si="5"/>
        <v>4859978.82</v>
      </c>
      <c r="I80">
        <v>321872.83</v>
      </c>
      <c r="J80">
        <v>374075.53</v>
      </c>
      <c r="K80" s="18">
        <f t="shared" si="6"/>
        <v>695948.3600000001</v>
      </c>
      <c r="L80">
        <v>4041.94</v>
      </c>
      <c r="M80">
        <v>8779.7000000000007</v>
      </c>
      <c r="N80" s="23">
        <f t="shared" si="7"/>
        <v>12821.640000000001</v>
      </c>
      <c r="O80" t="s">
        <v>307</v>
      </c>
      <c r="P80" t="s">
        <v>309</v>
      </c>
    </row>
    <row r="81" spans="1:16">
      <c r="A81" s="8">
        <v>2980</v>
      </c>
      <c r="B81" t="s">
        <v>84</v>
      </c>
      <c r="C81">
        <v>1136536.0900000001</v>
      </c>
      <c r="D81">
        <v>458022.67</v>
      </c>
      <c r="E81" s="19">
        <f t="shared" si="4"/>
        <v>1594558.76</v>
      </c>
      <c r="F81">
        <v>1878205.9</v>
      </c>
      <c r="G81">
        <v>1851469.63</v>
      </c>
      <c r="H81" s="20">
        <f t="shared" si="5"/>
        <v>3729675.53</v>
      </c>
      <c r="I81">
        <v>296267.58</v>
      </c>
      <c r="J81">
        <v>449981.78</v>
      </c>
      <c r="K81" s="18">
        <f t="shared" si="6"/>
        <v>746249.3600000001</v>
      </c>
      <c r="L81">
        <v>827537.95</v>
      </c>
      <c r="M81">
        <v>102357.89</v>
      </c>
      <c r="N81" s="23">
        <f t="shared" si="7"/>
        <v>929895.84</v>
      </c>
      <c r="O81" t="s">
        <v>307</v>
      </c>
      <c r="P81" t="s">
        <v>309</v>
      </c>
    </row>
    <row r="82" spans="1:16">
      <c r="A82" s="8">
        <v>3005</v>
      </c>
      <c r="B82" t="s">
        <v>85</v>
      </c>
      <c r="C82">
        <v>24799721.5</v>
      </c>
      <c r="D82">
        <v>9972666.5199999996</v>
      </c>
      <c r="E82" s="19">
        <f t="shared" si="4"/>
        <v>34772388.019999996</v>
      </c>
      <c r="F82">
        <v>17889989</v>
      </c>
      <c r="G82">
        <v>18610149.800000001</v>
      </c>
      <c r="H82" s="20">
        <f t="shared" si="5"/>
        <v>36500138.799999997</v>
      </c>
      <c r="I82">
        <v>930424.68</v>
      </c>
      <c r="J82">
        <v>1021403.65</v>
      </c>
      <c r="K82" s="18">
        <f t="shared" si="6"/>
        <v>1951828.33</v>
      </c>
      <c r="L82">
        <v>9991.7000000000007</v>
      </c>
      <c r="M82">
        <v>647632.47</v>
      </c>
      <c r="N82" s="23">
        <f t="shared" si="7"/>
        <v>657624.16999999993</v>
      </c>
      <c r="O82" t="s">
        <v>307</v>
      </c>
      <c r="P82" t="s">
        <v>309</v>
      </c>
    </row>
    <row r="83" spans="1:16">
      <c r="A83" s="8">
        <v>3025</v>
      </c>
      <c r="B83" t="s">
        <v>86</v>
      </c>
      <c r="C83">
        <v>2989167.66</v>
      </c>
      <c r="D83">
        <v>1299186.3999999999</v>
      </c>
      <c r="E83" s="19">
        <f t="shared" si="4"/>
        <v>4288354.0600000005</v>
      </c>
      <c r="F83">
        <v>4309299.68</v>
      </c>
      <c r="G83">
        <v>4095904.97</v>
      </c>
      <c r="H83" s="20">
        <f t="shared" si="5"/>
        <v>8405204.6500000004</v>
      </c>
      <c r="I83">
        <v>174308.11</v>
      </c>
      <c r="J83">
        <v>297476.99</v>
      </c>
      <c r="K83" s="18">
        <f t="shared" si="6"/>
        <v>471785.1</v>
      </c>
      <c r="L83">
        <v>165869.67000000001</v>
      </c>
      <c r="M83">
        <v>528830.66</v>
      </c>
      <c r="N83" s="23">
        <f t="shared" si="7"/>
        <v>694700.33000000007</v>
      </c>
      <c r="O83" t="s">
        <v>307</v>
      </c>
      <c r="P83" t="s">
        <v>309</v>
      </c>
    </row>
    <row r="84" spans="1:16">
      <c r="A84" s="8">
        <v>3030</v>
      </c>
      <c r="B84" t="s">
        <v>87</v>
      </c>
      <c r="C84">
        <v>8872579.8699999992</v>
      </c>
      <c r="D84">
        <v>3050937.3</v>
      </c>
      <c r="E84" s="19">
        <f t="shared" si="4"/>
        <v>11923517.169999998</v>
      </c>
      <c r="F84">
        <v>7176718.9699999997</v>
      </c>
      <c r="G84">
        <v>7291914.6600000001</v>
      </c>
      <c r="H84" s="20">
        <f t="shared" si="5"/>
        <v>14468633.629999999</v>
      </c>
      <c r="I84">
        <v>346020.98</v>
      </c>
      <c r="J84">
        <v>429152.84</v>
      </c>
      <c r="K84" s="18">
        <f t="shared" si="6"/>
        <v>775173.82000000007</v>
      </c>
      <c r="L84">
        <v>237960.49</v>
      </c>
      <c r="M84">
        <v>320578.21999999997</v>
      </c>
      <c r="N84" s="23">
        <f t="shared" si="7"/>
        <v>558538.71</v>
      </c>
      <c r="O84" t="s">
        <v>307</v>
      </c>
      <c r="P84" t="s">
        <v>309</v>
      </c>
    </row>
    <row r="85" spans="1:16">
      <c r="A85" s="8">
        <v>3055</v>
      </c>
      <c r="B85" t="s">
        <v>88</v>
      </c>
      <c r="C85">
        <v>1259565.53</v>
      </c>
      <c r="D85">
        <v>145042.57999999999</v>
      </c>
      <c r="E85" s="19">
        <f t="shared" si="4"/>
        <v>1404608.11</v>
      </c>
      <c r="F85">
        <v>2298801.09</v>
      </c>
      <c r="G85">
        <v>2262516.5099999998</v>
      </c>
      <c r="H85" s="20">
        <f t="shared" si="5"/>
        <v>4561317.5999999996</v>
      </c>
      <c r="I85">
        <v>131634.43</v>
      </c>
      <c r="J85">
        <v>141241.34</v>
      </c>
      <c r="K85" s="18">
        <f t="shared" si="6"/>
        <v>272875.77</v>
      </c>
      <c r="L85">
        <v>72660.75</v>
      </c>
      <c r="M85">
        <v>4302.37</v>
      </c>
      <c r="N85" s="23">
        <f t="shared" si="7"/>
        <v>76963.12</v>
      </c>
      <c r="O85" t="s">
        <v>307</v>
      </c>
      <c r="P85" t="s">
        <v>309</v>
      </c>
    </row>
    <row r="86" spans="1:16">
      <c r="A86" s="8">
        <v>3060</v>
      </c>
      <c r="B86" t="s">
        <v>89</v>
      </c>
      <c r="C86">
        <v>28457945.699999999</v>
      </c>
      <c r="D86">
        <v>11589187.1</v>
      </c>
      <c r="E86" s="19">
        <f t="shared" si="4"/>
        <v>40047132.799999997</v>
      </c>
      <c r="F86">
        <v>11182415.800000001</v>
      </c>
      <c r="G86">
        <v>10387705.4</v>
      </c>
      <c r="H86" s="20">
        <f t="shared" si="5"/>
        <v>21570121.200000003</v>
      </c>
      <c r="I86">
        <v>5031301.45</v>
      </c>
      <c r="J86">
        <v>5219152.6900000004</v>
      </c>
      <c r="K86" s="18">
        <f t="shared" si="6"/>
        <v>10250454.140000001</v>
      </c>
      <c r="L86">
        <v>9028253.8100000005</v>
      </c>
      <c r="M86">
        <v>5694439.3200000003</v>
      </c>
      <c r="N86" s="23">
        <f t="shared" si="7"/>
        <v>14722693.130000001</v>
      </c>
      <c r="O86" t="s">
        <v>307</v>
      </c>
      <c r="P86" t="s">
        <v>309</v>
      </c>
    </row>
    <row r="87" spans="1:16">
      <c r="A87" s="8">
        <v>3070</v>
      </c>
      <c r="B87" t="s">
        <v>90</v>
      </c>
      <c r="C87">
        <v>9845340.5500000007</v>
      </c>
      <c r="D87">
        <v>4080618.5</v>
      </c>
      <c r="E87" s="19">
        <f t="shared" si="4"/>
        <v>13925959.050000001</v>
      </c>
      <c r="F87">
        <v>12476649.1</v>
      </c>
      <c r="G87">
        <v>12400229.300000001</v>
      </c>
      <c r="H87" s="20">
        <f t="shared" si="5"/>
        <v>24876878.399999999</v>
      </c>
      <c r="I87">
        <v>536991.9</v>
      </c>
      <c r="J87">
        <v>851988.22</v>
      </c>
      <c r="K87" s="18">
        <f t="shared" si="6"/>
        <v>1388980.12</v>
      </c>
      <c r="L87">
        <v>262780.28000000003</v>
      </c>
      <c r="M87">
        <v>835712.57</v>
      </c>
      <c r="N87" s="23">
        <f t="shared" si="7"/>
        <v>1098492.8500000001</v>
      </c>
      <c r="O87" t="s">
        <v>307</v>
      </c>
      <c r="P87" t="s">
        <v>309</v>
      </c>
    </row>
    <row r="88" spans="1:16">
      <c r="A88" s="8">
        <v>3115</v>
      </c>
      <c r="B88" t="s">
        <v>91</v>
      </c>
      <c r="C88">
        <v>3541781.34</v>
      </c>
      <c r="D88">
        <v>842758.95</v>
      </c>
      <c r="E88" s="19">
        <f t="shared" si="4"/>
        <v>4384540.29</v>
      </c>
      <c r="F88">
        <v>5761313.8499999996</v>
      </c>
      <c r="G88">
        <v>5531696.4500000002</v>
      </c>
      <c r="H88" s="20">
        <f t="shared" si="5"/>
        <v>11293010.300000001</v>
      </c>
      <c r="I88">
        <v>166763.91</v>
      </c>
      <c r="J88">
        <v>247699.63</v>
      </c>
      <c r="K88" s="18">
        <f t="shared" si="6"/>
        <v>414463.54000000004</v>
      </c>
      <c r="L88">
        <v>59002.23</v>
      </c>
      <c r="M88">
        <v>47060.26</v>
      </c>
      <c r="N88" s="23">
        <f t="shared" si="7"/>
        <v>106062.49</v>
      </c>
      <c r="O88" t="s">
        <v>307</v>
      </c>
      <c r="P88" t="s">
        <v>309</v>
      </c>
    </row>
    <row r="89" spans="1:16">
      <c r="A89" s="8">
        <v>3125</v>
      </c>
      <c r="B89" t="s">
        <v>92</v>
      </c>
      <c r="C89">
        <v>4733452.34</v>
      </c>
      <c r="D89">
        <v>1147000.6499999999</v>
      </c>
      <c r="E89" s="19">
        <f t="shared" si="4"/>
        <v>5880452.9900000002</v>
      </c>
      <c r="F89">
        <v>6768397.8700000001</v>
      </c>
      <c r="G89">
        <v>7493976.3300000001</v>
      </c>
      <c r="H89" s="20">
        <f t="shared" si="5"/>
        <v>14262374.199999999</v>
      </c>
      <c r="I89">
        <v>2619655.42</v>
      </c>
      <c r="J89">
        <v>1817353.87</v>
      </c>
      <c r="K89" s="18">
        <f t="shared" si="6"/>
        <v>4437009.29</v>
      </c>
      <c r="L89">
        <v>3833993.71</v>
      </c>
      <c r="M89">
        <v>3847509.77</v>
      </c>
      <c r="N89" s="23">
        <f t="shared" si="7"/>
        <v>7681503.4800000004</v>
      </c>
      <c r="O89" t="s">
        <v>307</v>
      </c>
      <c r="P89" t="s">
        <v>309</v>
      </c>
    </row>
    <row r="90" spans="1:16">
      <c r="A90" s="8">
        <v>3135</v>
      </c>
      <c r="B90" t="s">
        <v>93</v>
      </c>
      <c r="C90">
        <v>4271380.74</v>
      </c>
      <c r="D90">
        <v>912184.91</v>
      </c>
      <c r="E90" s="19">
        <f t="shared" si="4"/>
        <v>5183565.6500000004</v>
      </c>
      <c r="F90">
        <v>4746549.8099999996</v>
      </c>
      <c r="G90">
        <v>5525306.9400000004</v>
      </c>
      <c r="H90" s="20">
        <f t="shared" si="5"/>
        <v>10271856.75</v>
      </c>
      <c r="I90">
        <v>143834.38</v>
      </c>
      <c r="J90">
        <v>239104.12</v>
      </c>
      <c r="K90" s="18">
        <f t="shared" si="6"/>
        <v>382938.5</v>
      </c>
      <c r="L90">
        <v>61974.97</v>
      </c>
      <c r="M90">
        <v>7767.03</v>
      </c>
      <c r="N90" s="23">
        <f t="shared" si="7"/>
        <v>69742</v>
      </c>
      <c r="O90" t="s">
        <v>307</v>
      </c>
      <c r="P90" t="s">
        <v>309</v>
      </c>
    </row>
    <row r="91" spans="1:16">
      <c r="A91" s="8">
        <v>3145</v>
      </c>
      <c r="B91" t="s">
        <v>94</v>
      </c>
      <c r="C91">
        <v>1190440.77</v>
      </c>
      <c r="D91">
        <v>111109</v>
      </c>
      <c r="E91" s="19">
        <f t="shared" si="4"/>
        <v>1301549.77</v>
      </c>
      <c r="F91">
        <v>2289210.02</v>
      </c>
      <c r="G91">
        <v>2053090.85</v>
      </c>
      <c r="H91" s="20">
        <f t="shared" si="5"/>
        <v>4342300.87</v>
      </c>
      <c r="I91">
        <v>56410.73</v>
      </c>
      <c r="J91">
        <v>62126.71</v>
      </c>
      <c r="K91" s="18">
        <f t="shared" si="6"/>
        <v>118537.44</v>
      </c>
      <c r="L91">
        <v>21511.72</v>
      </c>
      <c r="M91">
        <v>902806.91</v>
      </c>
      <c r="N91" s="23">
        <f t="shared" si="7"/>
        <v>924318.63</v>
      </c>
      <c r="O91" t="s">
        <v>307</v>
      </c>
      <c r="P91" t="s">
        <v>309</v>
      </c>
    </row>
    <row r="92" spans="1:16">
      <c r="A92" s="8">
        <v>3160</v>
      </c>
      <c r="B92" t="s">
        <v>95</v>
      </c>
      <c r="C92">
        <v>666689.56000000006</v>
      </c>
      <c r="D92">
        <v>109564.8</v>
      </c>
      <c r="E92" s="19">
        <f t="shared" si="4"/>
        <v>776254.3600000001</v>
      </c>
      <c r="F92">
        <v>1031632.16</v>
      </c>
      <c r="G92">
        <v>1152716.76</v>
      </c>
      <c r="H92" s="20">
        <f t="shared" si="5"/>
        <v>2184348.92</v>
      </c>
      <c r="I92">
        <v>34159.51</v>
      </c>
      <c r="J92">
        <v>31996.92</v>
      </c>
      <c r="K92" s="18">
        <f t="shared" si="6"/>
        <v>66156.429999999993</v>
      </c>
      <c r="L92">
        <v>9922.39</v>
      </c>
      <c r="M92">
        <v>31194.15</v>
      </c>
      <c r="N92" s="23">
        <f t="shared" si="7"/>
        <v>41116.54</v>
      </c>
      <c r="O92" t="s">
        <v>307</v>
      </c>
      <c r="P92" t="s">
        <v>309</v>
      </c>
    </row>
    <row r="93" spans="1:16">
      <c r="A93" s="8">
        <v>3180</v>
      </c>
      <c r="B93" t="s">
        <v>96</v>
      </c>
      <c r="C93">
        <v>1727625.38</v>
      </c>
      <c r="D93">
        <v>256120.32000000001</v>
      </c>
      <c r="E93" s="19">
        <f t="shared" si="4"/>
        <v>1983745.7</v>
      </c>
      <c r="F93">
        <v>5378322.6100000003</v>
      </c>
      <c r="G93">
        <v>5112482.49</v>
      </c>
      <c r="H93" s="20">
        <f t="shared" si="5"/>
        <v>10490805.100000001</v>
      </c>
      <c r="I93">
        <v>306058.69</v>
      </c>
      <c r="J93">
        <v>501721.2</v>
      </c>
      <c r="K93" s="18">
        <f t="shared" si="6"/>
        <v>807779.89</v>
      </c>
      <c r="L93">
        <v>292663.83</v>
      </c>
      <c r="M93">
        <v>653299.31000000006</v>
      </c>
      <c r="N93" s="23">
        <f t="shared" si="7"/>
        <v>945963.14000000013</v>
      </c>
      <c r="O93" t="s">
        <v>307</v>
      </c>
      <c r="P93" t="s">
        <v>309</v>
      </c>
    </row>
    <row r="94" spans="1:16">
      <c r="A94" s="8">
        <v>3190</v>
      </c>
      <c r="B94" t="s">
        <v>97</v>
      </c>
      <c r="C94">
        <v>3638161.32</v>
      </c>
      <c r="D94">
        <v>554993.93999999994</v>
      </c>
      <c r="E94" s="19">
        <f t="shared" si="4"/>
        <v>4193155.26</v>
      </c>
      <c r="F94">
        <v>6006737.8099999996</v>
      </c>
      <c r="G94">
        <v>5397533.8399999999</v>
      </c>
      <c r="H94" s="20">
        <f t="shared" si="5"/>
        <v>11404271.649999999</v>
      </c>
      <c r="I94">
        <v>1179239.52</v>
      </c>
      <c r="J94">
        <v>1306231.73</v>
      </c>
      <c r="K94" s="18">
        <f t="shared" si="6"/>
        <v>2485471.25</v>
      </c>
      <c r="L94">
        <v>2467107.3199999998</v>
      </c>
      <c r="M94">
        <v>1269399.6399999999</v>
      </c>
      <c r="N94" s="23">
        <f t="shared" si="7"/>
        <v>3736506.96</v>
      </c>
      <c r="O94" t="s">
        <v>307</v>
      </c>
      <c r="P94" t="s">
        <v>309</v>
      </c>
    </row>
    <row r="95" spans="1:16">
      <c r="A95" s="8">
        <v>3295</v>
      </c>
      <c r="B95" t="s">
        <v>98</v>
      </c>
      <c r="C95">
        <v>1989178.54</v>
      </c>
      <c r="D95">
        <v>2031177.64</v>
      </c>
      <c r="E95" s="19">
        <f t="shared" si="4"/>
        <v>4020356.1799999997</v>
      </c>
      <c r="F95">
        <v>2857489.33</v>
      </c>
      <c r="G95">
        <v>2753484.3</v>
      </c>
      <c r="H95" s="20">
        <f t="shared" si="5"/>
        <v>5610973.6299999999</v>
      </c>
      <c r="I95">
        <v>288109.89</v>
      </c>
      <c r="J95">
        <v>254078.78</v>
      </c>
      <c r="K95" s="18">
        <f t="shared" si="6"/>
        <v>542188.67000000004</v>
      </c>
      <c r="L95">
        <v>35954.04</v>
      </c>
      <c r="M95">
        <v>27275.49</v>
      </c>
      <c r="N95" s="23">
        <f t="shared" si="7"/>
        <v>63229.53</v>
      </c>
      <c r="O95" t="s">
        <v>307</v>
      </c>
      <c r="P95" t="s">
        <v>309</v>
      </c>
    </row>
    <row r="96" spans="1:16">
      <c r="A96" s="8">
        <v>3305</v>
      </c>
      <c r="B96" t="s">
        <v>99</v>
      </c>
      <c r="C96">
        <v>7888552.9699999997</v>
      </c>
      <c r="D96">
        <v>8342172.8799999999</v>
      </c>
      <c r="E96" s="19">
        <f t="shared" si="4"/>
        <v>16230725.85</v>
      </c>
      <c r="F96">
        <v>12045879.199999999</v>
      </c>
      <c r="G96">
        <v>11289333.1</v>
      </c>
      <c r="H96" s="20">
        <f t="shared" si="5"/>
        <v>23335212.299999997</v>
      </c>
      <c r="I96">
        <v>797735.03</v>
      </c>
      <c r="J96">
        <v>875224.36</v>
      </c>
      <c r="K96" s="18">
        <f t="shared" si="6"/>
        <v>1672959.3900000001</v>
      </c>
      <c r="L96">
        <v>657360.77</v>
      </c>
      <c r="M96">
        <v>2381120.13</v>
      </c>
      <c r="N96" s="23">
        <f t="shared" si="7"/>
        <v>3038480.9</v>
      </c>
      <c r="O96" t="s">
        <v>307</v>
      </c>
      <c r="P96" t="s">
        <v>309</v>
      </c>
    </row>
    <row r="97" spans="1:16">
      <c r="A97" s="8">
        <v>3315</v>
      </c>
      <c r="B97" t="s">
        <v>100</v>
      </c>
      <c r="C97">
        <v>9107569.0500000007</v>
      </c>
      <c r="D97">
        <v>9279420.8200000003</v>
      </c>
      <c r="E97" s="19">
        <f t="shared" si="4"/>
        <v>18386989.870000001</v>
      </c>
      <c r="F97">
        <v>12650116.9</v>
      </c>
      <c r="G97">
        <v>12532927.9</v>
      </c>
      <c r="H97" s="20">
        <f t="shared" si="5"/>
        <v>25183044.800000001</v>
      </c>
      <c r="I97">
        <v>958798.93</v>
      </c>
      <c r="J97">
        <v>1088627.3600000001</v>
      </c>
      <c r="K97" s="18">
        <f t="shared" si="6"/>
        <v>2047426.29</v>
      </c>
      <c r="L97">
        <v>86813.98</v>
      </c>
      <c r="M97">
        <v>83399.63</v>
      </c>
      <c r="N97" s="23">
        <f t="shared" si="7"/>
        <v>170213.61</v>
      </c>
      <c r="O97" t="s">
        <v>307</v>
      </c>
      <c r="P97" t="s">
        <v>309</v>
      </c>
    </row>
    <row r="98" spans="1:16">
      <c r="A98" s="8">
        <v>3325</v>
      </c>
      <c r="B98" t="s">
        <v>101</v>
      </c>
      <c r="C98">
        <v>2346975.61</v>
      </c>
      <c r="D98">
        <v>2519752.7000000002</v>
      </c>
      <c r="E98" s="19">
        <f t="shared" si="4"/>
        <v>4866728.3100000005</v>
      </c>
      <c r="F98">
        <v>4620479.0199999996</v>
      </c>
      <c r="G98">
        <v>4308054.09</v>
      </c>
      <c r="H98" s="20">
        <f t="shared" si="5"/>
        <v>8928533.1099999994</v>
      </c>
      <c r="I98">
        <v>246674.59</v>
      </c>
      <c r="J98">
        <v>316229.61</v>
      </c>
      <c r="K98" s="18">
        <f t="shared" si="6"/>
        <v>562904.19999999995</v>
      </c>
      <c r="L98">
        <v>218571.95</v>
      </c>
      <c r="M98">
        <v>1241263.58</v>
      </c>
      <c r="N98" s="23">
        <f t="shared" si="7"/>
        <v>1459835.53</v>
      </c>
      <c r="O98" t="s">
        <v>307</v>
      </c>
      <c r="P98" t="s">
        <v>309</v>
      </c>
    </row>
    <row r="99" spans="1:16">
      <c r="A99" s="8">
        <v>3330</v>
      </c>
      <c r="B99" t="s">
        <v>102</v>
      </c>
      <c r="C99">
        <v>4571677.3099999996</v>
      </c>
      <c r="D99">
        <v>5196922.17</v>
      </c>
      <c r="E99" s="19">
        <f t="shared" si="4"/>
        <v>9768599.4800000004</v>
      </c>
      <c r="F99">
        <v>6714776.9699999997</v>
      </c>
      <c r="G99">
        <v>6378209.0999999996</v>
      </c>
      <c r="H99" s="20">
        <f t="shared" si="5"/>
        <v>13092986.07</v>
      </c>
      <c r="I99">
        <v>577111.06000000006</v>
      </c>
      <c r="J99">
        <v>589982.75</v>
      </c>
      <c r="K99" s="18">
        <f t="shared" si="6"/>
        <v>1167093.81</v>
      </c>
      <c r="L99">
        <v>460922.05</v>
      </c>
      <c r="M99">
        <v>1022000.51</v>
      </c>
      <c r="N99" s="23">
        <f t="shared" si="7"/>
        <v>1482922.56</v>
      </c>
      <c r="O99" t="s">
        <v>307</v>
      </c>
      <c r="P99" t="s">
        <v>309</v>
      </c>
    </row>
    <row r="100" spans="1:16">
      <c r="A100" s="8">
        <v>3335</v>
      </c>
      <c r="B100" t="s">
        <v>103</v>
      </c>
      <c r="C100">
        <v>1571461.53</v>
      </c>
      <c r="D100">
        <v>1623297.4</v>
      </c>
      <c r="E100" s="19">
        <f t="shared" si="4"/>
        <v>3194758.9299999997</v>
      </c>
      <c r="F100">
        <v>3086076.18</v>
      </c>
      <c r="G100">
        <v>3044285.49</v>
      </c>
      <c r="H100" s="20">
        <f t="shared" si="5"/>
        <v>6130361.6699999999</v>
      </c>
      <c r="I100">
        <v>92754.63</v>
      </c>
      <c r="J100">
        <v>152017.10999999999</v>
      </c>
      <c r="K100" s="18">
        <f t="shared" si="6"/>
        <v>244771.74</v>
      </c>
      <c r="L100">
        <v>1361470.34</v>
      </c>
      <c r="M100">
        <v>577718.76</v>
      </c>
      <c r="N100" s="23">
        <f t="shared" si="7"/>
        <v>1939189.1</v>
      </c>
      <c r="O100" t="s">
        <v>307</v>
      </c>
      <c r="P100" t="s">
        <v>309</v>
      </c>
    </row>
    <row r="101" spans="1:16">
      <c r="A101" s="8">
        <v>3405</v>
      </c>
      <c r="B101" t="s">
        <v>104</v>
      </c>
      <c r="C101">
        <v>1141109.5900000001</v>
      </c>
      <c r="D101">
        <v>272016.17</v>
      </c>
      <c r="E101" s="19">
        <f t="shared" si="4"/>
        <v>1413125.76</v>
      </c>
      <c r="F101">
        <v>1684329.43</v>
      </c>
      <c r="G101">
        <v>1570715.46</v>
      </c>
      <c r="H101" s="20">
        <f t="shared" si="5"/>
        <v>3255044.8899999997</v>
      </c>
      <c r="I101">
        <v>144499.93</v>
      </c>
      <c r="J101">
        <v>176967.62</v>
      </c>
      <c r="K101" s="18">
        <f t="shared" si="6"/>
        <v>321467.55</v>
      </c>
      <c r="L101">
        <v>19504.53</v>
      </c>
      <c r="M101">
        <v>3504.58</v>
      </c>
      <c r="N101" s="23">
        <f t="shared" si="7"/>
        <v>23009.11</v>
      </c>
      <c r="O101" t="s">
        <v>307</v>
      </c>
      <c r="P101" t="s">
        <v>309</v>
      </c>
    </row>
    <row r="102" spans="1:16">
      <c r="A102" s="10">
        <v>3415</v>
      </c>
      <c r="B102" s="4" t="s">
        <v>105</v>
      </c>
      <c r="C102">
        <v>1192068.44</v>
      </c>
      <c r="D102">
        <v>279599.01</v>
      </c>
      <c r="E102" s="19">
        <f t="shared" si="4"/>
        <v>1471667.45</v>
      </c>
      <c r="F102">
        <v>1853063.78</v>
      </c>
      <c r="G102">
        <v>1651668.55</v>
      </c>
      <c r="H102" s="20">
        <f t="shared" si="5"/>
        <v>3504732.33</v>
      </c>
      <c r="I102">
        <v>59099.32</v>
      </c>
      <c r="J102">
        <v>123730.74</v>
      </c>
      <c r="K102" s="18">
        <f t="shared" si="6"/>
        <v>182830.06</v>
      </c>
      <c r="L102">
        <v>9025.08</v>
      </c>
      <c r="M102">
        <v>1218192.5900000001</v>
      </c>
      <c r="N102" s="23">
        <f t="shared" si="7"/>
        <v>1227217.6700000002</v>
      </c>
      <c r="O102" t="s">
        <v>307</v>
      </c>
      <c r="P102" t="s">
        <v>309</v>
      </c>
    </row>
    <row r="103" spans="1:16">
      <c r="A103" s="8">
        <v>3435</v>
      </c>
      <c r="B103" t="s">
        <v>106</v>
      </c>
      <c r="C103">
        <v>1684900.45</v>
      </c>
      <c r="D103">
        <v>341836.3</v>
      </c>
      <c r="E103" s="19">
        <f t="shared" si="4"/>
        <v>2026736.75</v>
      </c>
      <c r="F103">
        <v>3146102.83</v>
      </c>
      <c r="G103">
        <v>2823699.67</v>
      </c>
      <c r="H103" s="20">
        <f t="shared" si="5"/>
        <v>5969802.5</v>
      </c>
      <c r="I103">
        <v>79813.179999999993</v>
      </c>
      <c r="J103">
        <v>172926.71</v>
      </c>
      <c r="K103" s="18">
        <f t="shared" si="6"/>
        <v>252739.88999999998</v>
      </c>
      <c r="L103">
        <v>99785.42</v>
      </c>
      <c r="M103">
        <v>200317.17</v>
      </c>
      <c r="N103" s="23">
        <f t="shared" si="7"/>
        <v>300102.59000000003</v>
      </c>
      <c r="O103" t="s">
        <v>307</v>
      </c>
      <c r="P103" t="s">
        <v>309</v>
      </c>
    </row>
    <row r="104" spans="1:16">
      <c r="A104" s="8">
        <v>3445</v>
      </c>
      <c r="B104" t="s">
        <v>107</v>
      </c>
      <c r="C104">
        <v>5222760.2699999996</v>
      </c>
      <c r="D104">
        <v>1602915.36</v>
      </c>
      <c r="E104" s="19">
        <f t="shared" si="4"/>
        <v>6825675.6299999999</v>
      </c>
      <c r="F104">
        <v>9971737.4700000007</v>
      </c>
      <c r="G104">
        <v>9115292.1899999995</v>
      </c>
      <c r="H104" s="20">
        <f t="shared" si="5"/>
        <v>19087029.66</v>
      </c>
      <c r="I104">
        <v>2202394.9</v>
      </c>
      <c r="J104">
        <v>2127837.34</v>
      </c>
      <c r="K104" s="18">
        <f t="shared" si="6"/>
        <v>4330232.24</v>
      </c>
      <c r="L104">
        <v>3849838.05</v>
      </c>
      <c r="M104">
        <v>2912238.19</v>
      </c>
      <c r="N104" s="23">
        <f t="shared" si="7"/>
        <v>6762076.2400000002</v>
      </c>
      <c r="O104" t="s">
        <v>307</v>
      </c>
      <c r="P104" t="s">
        <v>309</v>
      </c>
    </row>
    <row r="105" spans="1:16">
      <c r="A105" s="8">
        <v>3455</v>
      </c>
      <c r="B105" t="s">
        <v>108</v>
      </c>
      <c r="C105">
        <v>1504554.7</v>
      </c>
      <c r="D105">
        <v>328889.34999999998</v>
      </c>
      <c r="E105" s="19">
        <f t="shared" si="4"/>
        <v>1833444.0499999998</v>
      </c>
      <c r="F105">
        <v>3404650.71</v>
      </c>
      <c r="G105">
        <v>2308940.2400000002</v>
      </c>
      <c r="H105" s="20">
        <f t="shared" si="5"/>
        <v>5713590.9500000002</v>
      </c>
      <c r="I105">
        <v>144522.98000000001</v>
      </c>
      <c r="J105">
        <v>207392.71</v>
      </c>
      <c r="K105" s="18">
        <f t="shared" si="6"/>
        <v>351915.69</v>
      </c>
      <c r="L105">
        <v>39136.089999999997</v>
      </c>
      <c r="M105">
        <v>78483.73</v>
      </c>
      <c r="N105" s="23">
        <f t="shared" si="7"/>
        <v>117619.81999999999</v>
      </c>
      <c r="O105" t="s">
        <v>307</v>
      </c>
      <c r="P105" t="s">
        <v>309</v>
      </c>
    </row>
    <row r="106" spans="1:16">
      <c r="A106" s="8">
        <v>3460</v>
      </c>
      <c r="B106" t="s">
        <v>109</v>
      </c>
      <c r="C106">
        <v>1796362.77</v>
      </c>
      <c r="D106">
        <v>1922555.58</v>
      </c>
      <c r="E106" s="19">
        <f t="shared" si="4"/>
        <v>3718918.35</v>
      </c>
      <c r="F106">
        <v>3252695.69</v>
      </c>
      <c r="G106">
        <v>2912717.47</v>
      </c>
      <c r="H106" s="20">
        <f t="shared" si="5"/>
        <v>6165413.1600000001</v>
      </c>
      <c r="I106">
        <v>208912.82</v>
      </c>
      <c r="J106">
        <v>238125.34</v>
      </c>
      <c r="K106" s="18">
        <f t="shared" si="6"/>
        <v>447038.16000000003</v>
      </c>
      <c r="L106">
        <v>5072.63</v>
      </c>
      <c r="M106">
        <v>49943.1</v>
      </c>
      <c r="N106" s="23">
        <f t="shared" si="7"/>
        <v>55015.729999999996</v>
      </c>
      <c r="O106" t="s">
        <v>307</v>
      </c>
      <c r="P106" t="s">
        <v>309</v>
      </c>
    </row>
    <row r="107" spans="1:16">
      <c r="A107" s="8">
        <v>3470</v>
      </c>
      <c r="B107" t="s">
        <v>110</v>
      </c>
      <c r="C107">
        <v>3039128.28</v>
      </c>
      <c r="D107">
        <v>2790319.3</v>
      </c>
      <c r="E107" s="19">
        <f t="shared" si="4"/>
        <v>5829447.5800000001</v>
      </c>
      <c r="F107">
        <v>2545883.8199999998</v>
      </c>
      <c r="G107">
        <v>2063597.62</v>
      </c>
      <c r="H107" s="20">
        <f t="shared" si="5"/>
        <v>4609481.4399999995</v>
      </c>
      <c r="I107">
        <v>126617.60000000001</v>
      </c>
      <c r="J107">
        <v>206112.07</v>
      </c>
      <c r="K107" s="18">
        <f t="shared" si="6"/>
        <v>332729.67000000004</v>
      </c>
      <c r="L107">
        <v>4116.51</v>
      </c>
      <c r="M107">
        <v>21474.01</v>
      </c>
      <c r="N107" s="23">
        <f t="shared" si="7"/>
        <v>25590.519999999997</v>
      </c>
      <c r="O107" t="s">
        <v>307</v>
      </c>
      <c r="P107" t="s">
        <v>309</v>
      </c>
    </row>
    <row r="108" spans="1:16">
      <c r="A108" s="8">
        <v>3480</v>
      </c>
      <c r="B108" t="s">
        <v>111</v>
      </c>
      <c r="C108">
        <v>1484458.16</v>
      </c>
      <c r="D108">
        <v>1358506.96</v>
      </c>
      <c r="E108" s="19">
        <f t="shared" si="4"/>
        <v>2842965.12</v>
      </c>
      <c r="F108">
        <v>2742166.29</v>
      </c>
      <c r="G108">
        <v>2501469.62</v>
      </c>
      <c r="H108" s="20">
        <f t="shared" si="5"/>
        <v>5243635.91</v>
      </c>
      <c r="I108">
        <v>104236.65</v>
      </c>
      <c r="J108">
        <v>150165.56</v>
      </c>
      <c r="K108" s="18">
        <f t="shared" si="6"/>
        <v>254402.21</v>
      </c>
      <c r="L108">
        <v>47839.03</v>
      </c>
      <c r="M108">
        <v>43517.1</v>
      </c>
      <c r="N108" s="23">
        <f t="shared" si="7"/>
        <v>91356.13</v>
      </c>
      <c r="O108" t="s">
        <v>307</v>
      </c>
      <c r="P108" t="s">
        <v>309</v>
      </c>
    </row>
    <row r="109" spans="1:16">
      <c r="A109" s="9">
        <v>3490</v>
      </c>
      <c r="B109" s="3" t="s">
        <v>112</v>
      </c>
      <c r="C109">
        <v>1980118.53</v>
      </c>
      <c r="D109">
        <v>2477035.65</v>
      </c>
      <c r="E109" s="19">
        <f t="shared" si="4"/>
        <v>4457154.18</v>
      </c>
      <c r="F109">
        <v>5043388.9000000004</v>
      </c>
      <c r="G109">
        <v>4163760.81</v>
      </c>
      <c r="H109" s="20">
        <f t="shared" si="5"/>
        <v>9207149.7100000009</v>
      </c>
      <c r="I109">
        <v>256891.67</v>
      </c>
      <c r="J109">
        <v>281248.73</v>
      </c>
      <c r="K109" s="18">
        <f t="shared" si="6"/>
        <v>538140.4</v>
      </c>
      <c r="L109">
        <v>1295349.55</v>
      </c>
      <c r="M109">
        <v>75893.23</v>
      </c>
      <c r="N109" s="23">
        <f t="shared" si="7"/>
        <v>1371242.78</v>
      </c>
      <c r="O109" t="s">
        <v>307</v>
      </c>
      <c r="P109" t="s">
        <v>309</v>
      </c>
    </row>
    <row r="110" spans="1:16">
      <c r="A110" s="8">
        <v>3500</v>
      </c>
      <c r="B110" t="s">
        <v>113</v>
      </c>
      <c r="C110">
        <v>11831726.6</v>
      </c>
      <c r="D110" s="3">
        <v>11885536.300000001</v>
      </c>
      <c r="E110" s="19">
        <f t="shared" si="4"/>
        <v>23717262.899999999</v>
      </c>
      <c r="F110">
        <v>13231028.800000001</v>
      </c>
      <c r="G110">
        <v>12265001.1</v>
      </c>
      <c r="H110" s="20">
        <f t="shared" si="5"/>
        <v>25496029.899999999</v>
      </c>
      <c r="I110">
        <v>4873855.5199999996</v>
      </c>
      <c r="J110">
        <v>6168350.04</v>
      </c>
      <c r="K110" s="18">
        <f t="shared" si="6"/>
        <v>11042205.559999999</v>
      </c>
      <c r="L110">
        <v>4128799.87</v>
      </c>
      <c r="M110">
        <v>12125453.4</v>
      </c>
      <c r="N110" s="23">
        <f t="shared" si="7"/>
        <v>16254253.27</v>
      </c>
      <c r="O110" t="s">
        <v>307</v>
      </c>
      <c r="P110" t="s">
        <v>309</v>
      </c>
    </row>
    <row r="111" spans="1:16">
      <c r="A111" s="8">
        <v>3625</v>
      </c>
      <c r="B111" t="s">
        <v>114</v>
      </c>
      <c r="C111">
        <v>5968081.1100000003</v>
      </c>
      <c r="D111">
        <v>5725861.3300000001</v>
      </c>
      <c r="E111" s="19">
        <f t="shared" si="4"/>
        <v>11693942.440000001</v>
      </c>
      <c r="F111" s="3">
        <v>12940861.5</v>
      </c>
      <c r="G111" s="3">
        <v>11464646.6</v>
      </c>
      <c r="H111" s="20">
        <f t="shared" si="5"/>
        <v>24405508.100000001</v>
      </c>
      <c r="I111" s="3">
        <v>2091502.81</v>
      </c>
      <c r="J111" s="3">
        <v>2027063.17</v>
      </c>
      <c r="K111" s="18">
        <f t="shared" si="6"/>
        <v>4118565.98</v>
      </c>
      <c r="L111">
        <v>278231.69</v>
      </c>
      <c r="M111">
        <v>413480.5</v>
      </c>
      <c r="N111" s="23">
        <f t="shared" si="7"/>
        <v>691712.19</v>
      </c>
      <c r="O111" t="s">
        <v>307</v>
      </c>
      <c r="P111" t="s">
        <v>309</v>
      </c>
    </row>
    <row r="112" spans="1:16">
      <c r="A112" s="9">
        <v>3640</v>
      </c>
      <c r="B112" s="3" t="s">
        <v>115</v>
      </c>
      <c r="C112" s="3">
        <v>307367.95</v>
      </c>
      <c r="D112">
        <v>13222.61</v>
      </c>
      <c r="E112" s="19">
        <f t="shared" si="4"/>
        <v>320590.56</v>
      </c>
      <c r="F112">
        <v>867659.66</v>
      </c>
      <c r="G112">
        <v>774937.12</v>
      </c>
      <c r="H112" s="20">
        <f t="shared" si="5"/>
        <v>1642596.78</v>
      </c>
      <c r="I112">
        <v>116668.09</v>
      </c>
      <c r="J112">
        <v>136597.07</v>
      </c>
      <c r="K112" s="18">
        <f t="shared" si="6"/>
        <v>253265.16</v>
      </c>
      <c r="L112" s="3">
        <v>47.79</v>
      </c>
      <c r="M112">
        <v>31.75</v>
      </c>
      <c r="N112" s="23">
        <f t="shared" si="7"/>
        <v>79.539999999999992</v>
      </c>
      <c r="O112" t="s">
        <v>307</v>
      </c>
      <c r="P112" t="s">
        <v>309</v>
      </c>
    </row>
    <row r="113" spans="1:16" s="3" customFormat="1">
      <c r="A113" s="8">
        <v>3675</v>
      </c>
      <c r="B113" t="s">
        <v>116</v>
      </c>
      <c r="C113">
        <v>6771306.3600000003</v>
      </c>
      <c r="D113">
        <v>1760228.33</v>
      </c>
      <c r="E113" s="19">
        <f t="shared" si="4"/>
        <v>8531534.6900000013</v>
      </c>
      <c r="F113">
        <v>6398869.8799999999</v>
      </c>
      <c r="G113">
        <v>6046793.9299999997</v>
      </c>
      <c r="H113" s="20">
        <f t="shared" si="5"/>
        <v>12445663.809999999</v>
      </c>
      <c r="I113">
        <v>1137012.94</v>
      </c>
      <c r="J113">
        <v>1126516.6000000001</v>
      </c>
      <c r="K113" s="18">
        <f t="shared" si="6"/>
        <v>2263529.54</v>
      </c>
      <c r="L113">
        <v>68994.97</v>
      </c>
      <c r="M113" s="3">
        <v>7043.43</v>
      </c>
      <c r="N113" s="23">
        <f t="shared" si="7"/>
        <v>76038.399999999994</v>
      </c>
      <c r="O113" t="s">
        <v>307</v>
      </c>
      <c r="P113" t="s">
        <v>309</v>
      </c>
    </row>
    <row r="114" spans="1:16">
      <c r="A114" s="8">
        <v>3695</v>
      </c>
      <c r="B114" t="s">
        <v>117</v>
      </c>
      <c r="C114">
        <v>1767814.26</v>
      </c>
      <c r="D114">
        <v>364593.07</v>
      </c>
      <c r="E114" s="19">
        <f t="shared" si="4"/>
        <v>2132407.33</v>
      </c>
      <c r="F114">
        <v>3800970.29</v>
      </c>
      <c r="G114">
        <v>3625016.24</v>
      </c>
      <c r="H114" s="20">
        <f t="shared" si="5"/>
        <v>7425986.5300000003</v>
      </c>
      <c r="I114">
        <v>277397.34999999998</v>
      </c>
      <c r="J114">
        <v>332022.06</v>
      </c>
      <c r="K114" s="18">
        <f t="shared" si="6"/>
        <v>609419.40999999992</v>
      </c>
      <c r="L114">
        <v>220769.49</v>
      </c>
      <c r="M114">
        <v>273813.15000000002</v>
      </c>
      <c r="N114" s="23">
        <f t="shared" si="7"/>
        <v>494582.64</v>
      </c>
      <c r="O114" t="s">
        <v>307</v>
      </c>
      <c r="P114" t="s">
        <v>309</v>
      </c>
    </row>
    <row r="115" spans="1:16">
      <c r="A115" s="8">
        <v>3710</v>
      </c>
      <c r="B115" t="s">
        <v>118</v>
      </c>
      <c r="C115">
        <v>1363718.39</v>
      </c>
      <c r="D115">
        <v>56548.36</v>
      </c>
      <c r="E115" s="19">
        <f t="shared" si="4"/>
        <v>1420266.75</v>
      </c>
      <c r="F115">
        <v>1421504.77</v>
      </c>
      <c r="G115">
        <v>1309263.76</v>
      </c>
      <c r="H115" s="20">
        <f t="shared" si="5"/>
        <v>2730768.5300000003</v>
      </c>
      <c r="I115">
        <v>103755.87</v>
      </c>
      <c r="J115">
        <v>89982.22</v>
      </c>
      <c r="K115" s="18">
        <f t="shared" si="6"/>
        <v>193738.09</v>
      </c>
      <c r="L115">
        <v>7902.45</v>
      </c>
      <c r="N115" s="23">
        <f t="shared" si="7"/>
        <v>7902.45</v>
      </c>
      <c r="O115" t="s">
        <v>307</v>
      </c>
      <c r="P115" t="s">
        <v>309</v>
      </c>
    </row>
    <row r="116" spans="1:16">
      <c r="A116" s="8">
        <v>3785</v>
      </c>
      <c r="B116" t="s">
        <v>119</v>
      </c>
      <c r="C116">
        <v>5356895.3099999996</v>
      </c>
      <c r="D116">
        <v>2509317.9500000002</v>
      </c>
      <c r="E116" s="19">
        <f t="shared" si="4"/>
        <v>7866213.2599999998</v>
      </c>
      <c r="F116">
        <v>5051218.47</v>
      </c>
      <c r="G116">
        <v>4681782.97</v>
      </c>
      <c r="H116" s="20">
        <f t="shared" si="5"/>
        <v>9733001.4399999995</v>
      </c>
      <c r="I116">
        <v>496671.17</v>
      </c>
      <c r="J116">
        <v>482689.67</v>
      </c>
      <c r="K116" s="18">
        <f t="shared" si="6"/>
        <v>979360.84</v>
      </c>
      <c r="L116">
        <v>92487.79</v>
      </c>
      <c r="M116">
        <v>70196.47</v>
      </c>
      <c r="N116" s="23">
        <f t="shared" si="7"/>
        <v>162684.26</v>
      </c>
      <c r="O116" t="s">
        <v>307</v>
      </c>
      <c r="P116" t="s">
        <v>309</v>
      </c>
    </row>
    <row r="117" spans="1:16">
      <c r="A117" s="8">
        <v>3815</v>
      </c>
      <c r="B117" t="s">
        <v>120</v>
      </c>
      <c r="C117">
        <v>2275419.4500000002</v>
      </c>
      <c r="D117">
        <v>865452.85</v>
      </c>
      <c r="E117" s="19">
        <f t="shared" si="4"/>
        <v>3140872.3000000003</v>
      </c>
      <c r="F117">
        <v>3491855.64</v>
      </c>
      <c r="G117">
        <v>3206775.7</v>
      </c>
      <c r="H117" s="20">
        <f t="shared" si="5"/>
        <v>6698631.3399999999</v>
      </c>
      <c r="I117">
        <v>259179.13</v>
      </c>
      <c r="J117">
        <v>345607.23</v>
      </c>
      <c r="K117" s="18">
        <f t="shared" si="6"/>
        <v>604786.36</v>
      </c>
      <c r="L117">
        <v>10551.14</v>
      </c>
      <c r="M117">
        <v>30161.5</v>
      </c>
      <c r="N117" s="23">
        <f t="shared" si="7"/>
        <v>40712.639999999999</v>
      </c>
      <c r="O117" t="s">
        <v>307</v>
      </c>
      <c r="P117" t="s">
        <v>309</v>
      </c>
    </row>
    <row r="118" spans="1:16">
      <c r="A118" s="8">
        <v>3945</v>
      </c>
      <c r="B118" t="s">
        <v>121</v>
      </c>
      <c r="C118">
        <v>3158486.77</v>
      </c>
      <c r="D118">
        <v>3135379.41</v>
      </c>
      <c r="E118" s="19">
        <f t="shared" si="4"/>
        <v>6293866.1799999997</v>
      </c>
      <c r="F118">
        <v>9211387.4700000007</v>
      </c>
      <c r="G118">
        <v>8391165.9100000001</v>
      </c>
      <c r="H118" s="20">
        <f t="shared" si="5"/>
        <v>17602553.380000003</v>
      </c>
      <c r="I118">
        <v>1142138.1000000001</v>
      </c>
      <c r="J118">
        <v>1393083.78</v>
      </c>
      <c r="K118" s="18">
        <f t="shared" si="6"/>
        <v>2535221.88</v>
      </c>
      <c r="L118">
        <v>2574477.2599999998</v>
      </c>
      <c r="M118">
        <v>3049970.33</v>
      </c>
      <c r="N118" s="23">
        <f t="shared" si="7"/>
        <v>5624447.5899999999</v>
      </c>
      <c r="O118" t="s">
        <v>307</v>
      </c>
      <c r="P118" t="s">
        <v>309</v>
      </c>
    </row>
    <row r="119" spans="1:16">
      <c r="A119" s="8">
        <v>3995</v>
      </c>
      <c r="B119" t="s">
        <v>122</v>
      </c>
      <c r="C119">
        <v>3879163.17</v>
      </c>
      <c r="D119">
        <v>453502.82</v>
      </c>
      <c r="E119" s="19">
        <f t="shared" si="4"/>
        <v>4332665.99</v>
      </c>
      <c r="F119">
        <v>7436955.2199999997</v>
      </c>
      <c r="G119">
        <v>7021010.5499999998</v>
      </c>
      <c r="H119" s="20">
        <f t="shared" si="5"/>
        <v>14457965.77</v>
      </c>
      <c r="I119">
        <v>801468.4</v>
      </c>
      <c r="J119">
        <v>968726.05</v>
      </c>
      <c r="K119" s="18">
        <f t="shared" si="6"/>
        <v>1770194.4500000002</v>
      </c>
      <c r="L119">
        <v>1652048.02</v>
      </c>
      <c r="M119">
        <v>1903400.41</v>
      </c>
      <c r="N119" s="23">
        <f t="shared" si="7"/>
        <v>3555448.4299999997</v>
      </c>
      <c r="O119" t="s">
        <v>307</v>
      </c>
      <c r="P119" t="s">
        <v>309</v>
      </c>
    </row>
    <row r="120" spans="1:16">
      <c r="A120" s="8">
        <v>4000</v>
      </c>
      <c r="B120" t="s">
        <v>123</v>
      </c>
      <c r="C120">
        <v>1077721.69</v>
      </c>
      <c r="D120">
        <v>173681.44</v>
      </c>
      <c r="E120" s="19">
        <f t="shared" si="4"/>
        <v>1251403.1299999999</v>
      </c>
      <c r="F120">
        <v>3692442.02</v>
      </c>
      <c r="G120">
        <v>3404196.36</v>
      </c>
      <c r="H120" s="20">
        <f t="shared" si="5"/>
        <v>7096638.3799999999</v>
      </c>
      <c r="I120">
        <v>268946.46999999997</v>
      </c>
      <c r="J120">
        <v>481245</v>
      </c>
      <c r="K120" s="18">
        <f t="shared" si="6"/>
        <v>750191.47</v>
      </c>
      <c r="L120">
        <v>2809.34</v>
      </c>
      <c r="M120">
        <v>54196.74</v>
      </c>
      <c r="N120" s="23">
        <f t="shared" si="7"/>
        <v>57006.080000000002</v>
      </c>
      <c r="O120" t="s">
        <v>307</v>
      </c>
      <c r="P120" t="s">
        <v>309</v>
      </c>
    </row>
    <row r="121" spans="1:16">
      <c r="A121" s="8">
        <v>4015</v>
      </c>
      <c r="B121" t="s">
        <v>124</v>
      </c>
      <c r="C121">
        <v>3479219.83</v>
      </c>
      <c r="D121">
        <v>444115.33</v>
      </c>
      <c r="E121" s="19">
        <f t="shared" si="4"/>
        <v>3923335.16</v>
      </c>
      <c r="F121">
        <v>12956961.4</v>
      </c>
      <c r="G121">
        <v>12374713.800000001</v>
      </c>
      <c r="H121" s="20">
        <f t="shared" si="5"/>
        <v>25331675.200000003</v>
      </c>
      <c r="I121">
        <v>1342953.08</v>
      </c>
      <c r="J121">
        <v>1804280.14</v>
      </c>
      <c r="K121" s="18">
        <f t="shared" si="6"/>
        <v>3147233.2199999997</v>
      </c>
      <c r="L121">
        <v>432666.77</v>
      </c>
      <c r="M121">
        <v>280324.96000000002</v>
      </c>
      <c r="N121" s="23">
        <f t="shared" si="7"/>
        <v>712991.73</v>
      </c>
      <c r="O121" t="s">
        <v>307</v>
      </c>
      <c r="P121" t="s">
        <v>309</v>
      </c>
    </row>
    <row r="122" spans="1:16">
      <c r="A122" s="8">
        <v>4145</v>
      </c>
      <c r="B122" t="s">
        <v>125</v>
      </c>
      <c r="C122">
        <v>4993152.41</v>
      </c>
      <c r="D122">
        <v>984519.64</v>
      </c>
      <c r="E122" s="19">
        <f t="shared" si="4"/>
        <v>5977672.0499999998</v>
      </c>
      <c r="F122">
        <v>8966373.1099999994</v>
      </c>
      <c r="G122">
        <v>9506891.8800000008</v>
      </c>
      <c r="H122" s="20">
        <f t="shared" si="5"/>
        <v>18473264.990000002</v>
      </c>
      <c r="I122">
        <v>404948.91</v>
      </c>
      <c r="J122">
        <v>714307.36</v>
      </c>
      <c r="K122" s="18">
        <f t="shared" si="6"/>
        <v>1119256.27</v>
      </c>
      <c r="L122">
        <v>5752965.6799999997</v>
      </c>
      <c r="M122">
        <v>6021503.4100000001</v>
      </c>
      <c r="N122" s="23">
        <f t="shared" si="7"/>
        <v>11774469.09</v>
      </c>
      <c r="O122" t="s">
        <v>307</v>
      </c>
      <c r="P122" t="s">
        <v>309</v>
      </c>
    </row>
    <row r="123" spans="1:16">
      <c r="A123" s="8">
        <v>4205</v>
      </c>
      <c r="B123" t="s">
        <v>126</v>
      </c>
      <c r="C123">
        <v>10148259.4</v>
      </c>
      <c r="D123">
        <v>1032458.95</v>
      </c>
      <c r="E123" s="19">
        <f t="shared" si="4"/>
        <v>11180718.35</v>
      </c>
      <c r="F123">
        <v>10566402.4</v>
      </c>
      <c r="G123">
        <v>9818320.5800000001</v>
      </c>
      <c r="H123" s="20">
        <f t="shared" si="5"/>
        <v>20384722.98</v>
      </c>
      <c r="I123">
        <v>369166.65</v>
      </c>
      <c r="J123">
        <v>278062.21999999997</v>
      </c>
      <c r="K123" s="18">
        <f t="shared" si="6"/>
        <v>647228.87</v>
      </c>
      <c r="L123">
        <v>5806</v>
      </c>
      <c r="M123">
        <v>1761451.14</v>
      </c>
      <c r="N123" s="23">
        <f t="shared" si="7"/>
        <v>1767257.14</v>
      </c>
      <c r="O123" t="s">
        <v>307</v>
      </c>
      <c r="P123" t="s">
        <v>309</v>
      </c>
    </row>
    <row r="124" spans="1:16">
      <c r="A124" s="8">
        <v>4215</v>
      </c>
      <c r="B124" t="s">
        <v>127</v>
      </c>
      <c r="C124">
        <v>915284.24</v>
      </c>
      <c r="D124">
        <v>221592.77</v>
      </c>
      <c r="E124" s="19">
        <f t="shared" si="4"/>
        <v>1136877.01</v>
      </c>
      <c r="F124">
        <v>2418498.41</v>
      </c>
      <c r="G124">
        <v>2140793.88</v>
      </c>
      <c r="H124" s="20">
        <f t="shared" si="5"/>
        <v>4559292.29</v>
      </c>
      <c r="I124">
        <v>261176.72</v>
      </c>
      <c r="J124">
        <v>324319.09999999998</v>
      </c>
      <c r="K124" s="18">
        <f t="shared" si="6"/>
        <v>585495.81999999995</v>
      </c>
      <c r="L124">
        <v>33342.589999999997</v>
      </c>
      <c r="M124">
        <v>41568.42</v>
      </c>
      <c r="N124" s="23">
        <f t="shared" si="7"/>
        <v>74911.009999999995</v>
      </c>
      <c r="O124" t="s">
        <v>307</v>
      </c>
      <c r="P124" t="s">
        <v>309</v>
      </c>
    </row>
    <row r="125" spans="1:16">
      <c r="A125" s="8">
        <v>4225</v>
      </c>
      <c r="B125" t="s">
        <v>128</v>
      </c>
      <c r="C125">
        <v>4981225.59</v>
      </c>
      <c r="D125">
        <v>797940.36</v>
      </c>
      <c r="E125" s="19">
        <f t="shared" si="4"/>
        <v>5779165.9500000002</v>
      </c>
      <c r="F125">
        <v>9216463.1099999994</v>
      </c>
      <c r="G125">
        <v>9014312.9000000004</v>
      </c>
      <c r="H125" s="20">
        <f t="shared" si="5"/>
        <v>18230776.009999998</v>
      </c>
      <c r="I125">
        <v>415426.9</v>
      </c>
      <c r="J125">
        <v>906153.76</v>
      </c>
      <c r="K125" s="18">
        <f t="shared" si="6"/>
        <v>1321580.6600000001</v>
      </c>
      <c r="L125">
        <v>1526123.95</v>
      </c>
      <c r="M125">
        <v>3319379.84</v>
      </c>
      <c r="N125" s="23">
        <f t="shared" si="7"/>
        <v>4845503.79</v>
      </c>
      <c r="O125" t="s">
        <v>307</v>
      </c>
      <c r="P125" t="s">
        <v>309</v>
      </c>
    </row>
    <row r="126" spans="1:16">
      <c r="A126" s="8">
        <v>4245</v>
      </c>
      <c r="B126" t="s">
        <v>129</v>
      </c>
      <c r="C126">
        <v>4942690.24</v>
      </c>
      <c r="D126">
        <v>995411.72</v>
      </c>
      <c r="E126" s="19">
        <f t="shared" si="4"/>
        <v>5938101.96</v>
      </c>
      <c r="F126">
        <v>6668196.7000000002</v>
      </c>
      <c r="G126">
        <v>6229202.8200000003</v>
      </c>
      <c r="H126" s="20">
        <f t="shared" si="5"/>
        <v>12897399.52</v>
      </c>
      <c r="I126">
        <v>512410.43</v>
      </c>
      <c r="J126">
        <v>759146.52</v>
      </c>
      <c r="K126" s="18">
        <f t="shared" si="6"/>
        <v>1271556.95</v>
      </c>
      <c r="L126">
        <v>73810.09</v>
      </c>
      <c r="M126">
        <v>40526.129999999997</v>
      </c>
      <c r="N126" s="23">
        <f t="shared" si="7"/>
        <v>114336.22</v>
      </c>
      <c r="O126" t="s">
        <v>307</v>
      </c>
      <c r="P126" t="s">
        <v>309</v>
      </c>
    </row>
    <row r="127" spans="1:16">
      <c r="A127" s="8">
        <v>4255</v>
      </c>
      <c r="B127" t="s">
        <v>130</v>
      </c>
      <c r="C127">
        <v>2186091.21</v>
      </c>
      <c r="D127">
        <v>323242.34000000003</v>
      </c>
      <c r="E127" s="19">
        <f t="shared" si="4"/>
        <v>2509333.5499999998</v>
      </c>
      <c r="F127">
        <v>3092406.38</v>
      </c>
      <c r="G127">
        <v>2884115.19</v>
      </c>
      <c r="H127" s="20">
        <f t="shared" si="5"/>
        <v>5976521.5700000003</v>
      </c>
      <c r="I127">
        <v>143634.72</v>
      </c>
      <c r="J127">
        <v>172199.47</v>
      </c>
      <c r="K127" s="18">
        <f t="shared" si="6"/>
        <v>315834.19</v>
      </c>
      <c r="L127">
        <v>22643.45</v>
      </c>
      <c r="M127">
        <v>66248.800000000003</v>
      </c>
      <c r="N127" s="23">
        <f t="shared" si="7"/>
        <v>88892.25</v>
      </c>
      <c r="O127" t="s">
        <v>307</v>
      </c>
      <c r="P127" t="s">
        <v>309</v>
      </c>
    </row>
    <row r="128" spans="1:16">
      <c r="A128" s="8">
        <v>4315</v>
      </c>
      <c r="B128" t="s">
        <v>131</v>
      </c>
      <c r="C128">
        <v>1377792.4</v>
      </c>
      <c r="D128">
        <v>125366.76</v>
      </c>
      <c r="E128" s="19">
        <f t="shared" si="4"/>
        <v>1503159.16</v>
      </c>
      <c r="F128">
        <v>3670635.12</v>
      </c>
      <c r="G128">
        <v>3229078.09</v>
      </c>
      <c r="H128" s="20">
        <f t="shared" si="5"/>
        <v>6899713.21</v>
      </c>
      <c r="I128">
        <v>411358.49</v>
      </c>
      <c r="J128">
        <v>590067.76</v>
      </c>
      <c r="K128" s="18">
        <f t="shared" si="6"/>
        <v>1001426.25</v>
      </c>
      <c r="L128">
        <v>9977.0300000000007</v>
      </c>
      <c r="M128">
        <v>425922.07</v>
      </c>
      <c r="N128" s="23">
        <f t="shared" si="7"/>
        <v>435899.10000000003</v>
      </c>
      <c r="O128" t="s">
        <v>307</v>
      </c>
      <c r="P128" t="s">
        <v>309</v>
      </c>
    </row>
    <row r="129" spans="1:16">
      <c r="A129" s="8">
        <v>4325</v>
      </c>
      <c r="B129" t="s">
        <v>132</v>
      </c>
      <c r="C129">
        <v>1604981.2</v>
      </c>
      <c r="D129">
        <v>295437.93</v>
      </c>
      <c r="E129" s="19">
        <f t="shared" si="4"/>
        <v>1900419.13</v>
      </c>
      <c r="F129">
        <v>1474529.94</v>
      </c>
      <c r="G129">
        <v>1564732.29</v>
      </c>
      <c r="H129" s="20">
        <f t="shared" si="5"/>
        <v>3039262.23</v>
      </c>
      <c r="I129">
        <v>172784.39</v>
      </c>
      <c r="J129">
        <v>281390.33</v>
      </c>
      <c r="K129" s="18">
        <f t="shared" si="6"/>
        <v>454174.72000000003</v>
      </c>
      <c r="L129">
        <v>61226.57</v>
      </c>
      <c r="M129">
        <v>23015.21</v>
      </c>
      <c r="N129" s="23">
        <f t="shared" si="7"/>
        <v>84241.78</v>
      </c>
      <c r="O129" t="s">
        <v>307</v>
      </c>
      <c r="P129" t="s">
        <v>309</v>
      </c>
    </row>
    <row r="130" spans="1:16">
      <c r="A130" s="8">
        <v>4335</v>
      </c>
      <c r="B130" t="s">
        <v>133</v>
      </c>
      <c r="C130">
        <v>2997209.86</v>
      </c>
      <c r="D130">
        <v>652046.52</v>
      </c>
      <c r="E130" s="19">
        <f t="shared" si="4"/>
        <v>3649256.38</v>
      </c>
      <c r="F130">
        <v>6505895.79</v>
      </c>
      <c r="G130">
        <v>5843330.0899999999</v>
      </c>
      <c r="H130" s="20">
        <f t="shared" si="5"/>
        <v>12349225.879999999</v>
      </c>
      <c r="I130">
        <v>1687414.71</v>
      </c>
      <c r="J130">
        <v>1646026.25</v>
      </c>
      <c r="K130" s="18">
        <f t="shared" si="6"/>
        <v>3333440.96</v>
      </c>
      <c r="L130">
        <v>34017.81</v>
      </c>
      <c r="M130">
        <v>43380.75</v>
      </c>
      <c r="N130" s="23">
        <f t="shared" si="7"/>
        <v>77398.559999999998</v>
      </c>
      <c r="O130" t="s">
        <v>307</v>
      </c>
      <c r="P130" t="s">
        <v>309</v>
      </c>
    </row>
    <row r="131" spans="1:16">
      <c r="A131" s="8">
        <v>4345</v>
      </c>
      <c r="B131" t="s">
        <v>134</v>
      </c>
      <c r="C131">
        <v>5982151.9900000002</v>
      </c>
      <c r="D131">
        <v>2308531.4500000002</v>
      </c>
      <c r="E131" s="19">
        <f t="shared" si="4"/>
        <v>8290683.4400000004</v>
      </c>
      <c r="F131">
        <v>4350898.0599999996</v>
      </c>
      <c r="G131">
        <v>3836204.72</v>
      </c>
      <c r="H131" s="20">
        <f t="shared" si="5"/>
        <v>8187102.7799999993</v>
      </c>
      <c r="I131">
        <v>688754.04</v>
      </c>
      <c r="J131">
        <v>791494.84</v>
      </c>
      <c r="K131" s="18">
        <f t="shared" si="6"/>
        <v>1480248.88</v>
      </c>
      <c r="L131">
        <v>904865.27</v>
      </c>
      <c r="M131">
        <v>3362838.36</v>
      </c>
      <c r="N131" s="23">
        <f t="shared" si="7"/>
        <v>4267703.63</v>
      </c>
      <c r="O131" t="s">
        <v>307</v>
      </c>
      <c r="P131" t="s">
        <v>309</v>
      </c>
    </row>
    <row r="132" spans="1:16">
      <c r="A132" s="8">
        <v>4415</v>
      </c>
      <c r="B132" t="s">
        <v>135</v>
      </c>
      <c r="C132">
        <v>8668060.0099999998</v>
      </c>
      <c r="D132">
        <v>3421451.83</v>
      </c>
      <c r="E132" s="19">
        <f t="shared" si="4"/>
        <v>12089511.84</v>
      </c>
      <c r="F132">
        <v>11740010.199999999</v>
      </c>
      <c r="G132">
        <v>11025270.9</v>
      </c>
      <c r="H132" s="20">
        <f t="shared" si="5"/>
        <v>22765281.100000001</v>
      </c>
      <c r="I132">
        <v>3381982.85</v>
      </c>
      <c r="J132">
        <v>2744363.29</v>
      </c>
      <c r="K132" s="18">
        <f t="shared" si="6"/>
        <v>6126346.1400000006</v>
      </c>
      <c r="L132">
        <v>137251.91</v>
      </c>
      <c r="M132">
        <v>204128.8</v>
      </c>
      <c r="N132" s="23">
        <f t="shared" si="7"/>
        <v>341380.70999999996</v>
      </c>
      <c r="O132" t="s">
        <v>307</v>
      </c>
      <c r="P132" t="s">
        <v>309</v>
      </c>
    </row>
    <row r="133" spans="1:16">
      <c r="A133" s="8">
        <v>4445</v>
      </c>
      <c r="B133" t="s">
        <v>136</v>
      </c>
      <c r="C133">
        <v>1840494.83</v>
      </c>
      <c r="D133">
        <v>818048.28</v>
      </c>
      <c r="E133" s="19">
        <f t="shared" ref="E133:E196" si="8">SUM(C133:D133)</f>
        <v>2658543.1100000003</v>
      </c>
      <c r="F133">
        <v>4942505.57</v>
      </c>
      <c r="G133">
        <v>4624591.71</v>
      </c>
      <c r="H133" s="20">
        <f t="shared" ref="H133:H196" si="9">SUM(F133:G133)</f>
        <v>9567097.2800000012</v>
      </c>
      <c r="I133">
        <v>605762.64</v>
      </c>
      <c r="J133">
        <v>700931.26</v>
      </c>
      <c r="K133" s="18">
        <f t="shared" ref="K133:K196" si="10">SUM(I133:J133)</f>
        <v>1306693.8999999999</v>
      </c>
      <c r="L133">
        <v>-304162.84000000003</v>
      </c>
      <c r="M133">
        <v>354855.06</v>
      </c>
      <c r="N133" s="23">
        <f t="shared" ref="N133:N196" si="11">SUM(L133:M133)</f>
        <v>50692.219999999972</v>
      </c>
      <c r="O133" t="s">
        <v>307</v>
      </c>
      <c r="P133" t="s">
        <v>309</v>
      </c>
    </row>
    <row r="134" spans="1:16">
      <c r="A134" s="8">
        <v>4455</v>
      </c>
      <c r="B134" t="s">
        <v>137</v>
      </c>
      <c r="C134">
        <v>1822961.3</v>
      </c>
      <c r="D134">
        <v>521187.84000000003</v>
      </c>
      <c r="E134" s="19">
        <f t="shared" si="8"/>
        <v>2344149.14</v>
      </c>
      <c r="F134">
        <v>4196979.12</v>
      </c>
      <c r="G134">
        <v>3866095.2</v>
      </c>
      <c r="H134" s="20">
        <f t="shared" si="9"/>
        <v>8063074.3200000003</v>
      </c>
      <c r="I134">
        <v>483756.48</v>
      </c>
      <c r="J134">
        <v>597771.97</v>
      </c>
      <c r="K134" s="18">
        <f t="shared" si="10"/>
        <v>1081528.45</v>
      </c>
      <c r="L134">
        <v>237319.21</v>
      </c>
      <c r="M134">
        <v>847831.21</v>
      </c>
      <c r="N134" s="23">
        <f t="shared" si="11"/>
        <v>1085150.42</v>
      </c>
      <c r="O134" t="s">
        <v>307</v>
      </c>
      <c r="P134" t="s">
        <v>309</v>
      </c>
    </row>
    <row r="135" spans="1:16">
      <c r="A135" s="8">
        <v>4515</v>
      </c>
      <c r="B135" t="s">
        <v>138</v>
      </c>
      <c r="C135">
        <v>2232832.15</v>
      </c>
      <c r="D135">
        <v>657456.98</v>
      </c>
      <c r="E135" s="19">
        <f t="shared" si="8"/>
        <v>2890289.13</v>
      </c>
      <c r="F135">
        <v>3413302.64</v>
      </c>
      <c r="G135">
        <v>3113248.37</v>
      </c>
      <c r="H135" s="20">
        <f t="shared" si="9"/>
        <v>6526551.0099999998</v>
      </c>
      <c r="I135">
        <v>151009.82</v>
      </c>
      <c r="J135">
        <v>158222.69</v>
      </c>
      <c r="K135" s="18">
        <f t="shared" si="10"/>
        <v>309232.51</v>
      </c>
      <c r="L135">
        <v>631360.21</v>
      </c>
      <c r="M135">
        <v>752063.1</v>
      </c>
      <c r="N135" s="23">
        <f t="shared" si="11"/>
        <v>1383423.31</v>
      </c>
      <c r="O135" t="s">
        <v>307</v>
      </c>
      <c r="P135" t="s">
        <v>309</v>
      </c>
    </row>
    <row r="136" spans="1:16">
      <c r="A136" s="8">
        <v>4525</v>
      </c>
      <c r="B136" t="s">
        <v>139</v>
      </c>
      <c r="C136">
        <v>3092290.98</v>
      </c>
      <c r="D136">
        <v>828283.5</v>
      </c>
      <c r="E136" s="19">
        <f t="shared" si="8"/>
        <v>3920574.48</v>
      </c>
      <c r="F136">
        <v>3969146.24</v>
      </c>
      <c r="G136">
        <v>3598008.75</v>
      </c>
      <c r="H136" s="20">
        <f t="shared" si="9"/>
        <v>7567154.9900000002</v>
      </c>
      <c r="I136">
        <v>627769.76</v>
      </c>
      <c r="J136">
        <v>839972.98</v>
      </c>
      <c r="K136" s="18">
        <f t="shared" si="10"/>
        <v>1467742.74</v>
      </c>
      <c r="L136">
        <v>295754.3</v>
      </c>
      <c r="M136">
        <v>27633.18</v>
      </c>
      <c r="N136" s="23">
        <f t="shared" si="11"/>
        <v>323387.48</v>
      </c>
      <c r="O136" t="s">
        <v>307</v>
      </c>
      <c r="P136" t="s">
        <v>309</v>
      </c>
    </row>
    <row r="137" spans="1:16">
      <c r="A137" s="8">
        <v>4535</v>
      </c>
      <c r="B137" t="s">
        <v>140</v>
      </c>
      <c r="C137">
        <v>2564167.02</v>
      </c>
      <c r="D137">
        <v>580787.68999999994</v>
      </c>
      <c r="E137" s="19">
        <f t="shared" si="8"/>
        <v>3144954.71</v>
      </c>
      <c r="F137">
        <v>4318068.51</v>
      </c>
      <c r="G137">
        <v>3953770.19</v>
      </c>
      <c r="H137" s="20">
        <f t="shared" si="9"/>
        <v>8271838.6999999993</v>
      </c>
      <c r="I137">
        <v>632601.66</v>
      </c>
      <c r="J137">
        <v>464578.47</v>
      </c>
      <c r="K137" s="18">
        <f t="shared" si="10"/>
        <v>1097180.1299999999</v>
      </c>
      <c r="L137">
        <v>35999.58</v>
      </c>
      <c r="M137">
        <v>11208.33</v>
      </c>
      <c r="N137" s="23">
        <f t="shared" si="11"/>
        <v>47207.91</v>
      </c>
      <c r="O137" t="s">
        <v>307</v>
      </c>
      <c r="P137" t="s">
        <v>309</v>
      </c>
    </row>
    <row r="138" spans="1:16">
      <c r="A138" s="8">
        <v>4580</v>
      </c>
      <c r="B138" t="s">
        <v>141</v>
      </c>
      <c r="C138">
        <v>2317782.83</v>
      </c>
      <c r="D138" s="3">
        <v>1360068.33</v>
      </c>
      <c r="E138" s="19">
        <f t="shared" si="8"/>
        <v>3677851.16</v>
      </c>
      <c r="F138">
        <v>3061141.9</v>
      </c>
      <c r="G138">
        <v>3109500.12</v>
      </c>
      <c r="H138" s="20">
        <f t="shared" si="9"/>
        <v>6170642.0199999996</v>
      </c>
      <c r="I138">
        <v>210815.09</v>
      </c>
      <c r="J138">
        <v>185000.95</v>
      </c>
      <c r="K138" s="18">
        <f t="shared" si="10"/>
        <v>395816.04000000004</v>
      </c>
      <c r="L138">
        <v>1454376.09</v>
      </c>
      <c r="M138">
        <v>237501.3</v>
      </c>
      <c r="N138" s="23">
        <f t="shared" si="11"/>
        <v>1691877.3900000001</v>
      </c>
      <c r="O138" t="s">
        <v>307</v>
      </c>
      <c r="P138" t="s">
        <v>309</v>
      </c>
    </row>
    <row r="139" spans="1:16">
      <c r="A139" s="8">
        <v>4590</v>
      </c>
      <c r="B139" t="s">
        <v>142</v>
      </c>
      <c r="C139">
        <v>1665656.98</v>
      </c>
      <c r="D139">
        <v>81083.08</v>
      </c>
      <c r="E139" s="19">
        <f t="shared" si="8"/>
        <v>1746740.06</v>
      </c>
      <c r="F139" s="3">
        <v>4446951.87</v>
      </c>
      <c r="G139" s="3">
        <v>4185639.88</v>
      </c>
      <c r="H139" s="20">
        <f t="shared" si="9"/>
        <v>8632591.75</v>
      </c>
      <c r="I139" s="3">
        <v>541081.27</v>
      </c>
      <c r="J139" s="3">
        <v>790779.17</v>
      </c>
      <c r="K139" s="18">
        <f t="shared" si="10"/>
        <v>1331860.44</v>
      </c>
      <c r="L139">
        <v>8002703.9299999997</v>
      </c>
      <c r="M139">
        <v>2817054.11</v>
      </c>
      <c r="N139" s="23">
        <f t="shared" si="11"/>
        <v>10819758.039999999</v>
      </c>
      <c r="O139" t="s">
        <v>307</v>
      </c>
      <c r="P139" t="s">
        <v>309</v>
      </c>
    </row>
    <row r="140" spans="1:16">
      <c r="A140" s="8">
        <v>4600</v>
      </c>
      <c r="B140" t="s">
        <v>143</v>
      </c>
      <c r="C140">
        <v>15146588.4</v>
      </c>
      <c r="D140">
        <v>2747939.92</v>
      </c>
      <c r="E140" s="19">
        <f t="shared" si="8"/>
        <v>17894528.32</v>
      </c>
      <c r="F140">
        <v>10369170.699999999</v>
      </c>
      <c r="G140">
        <v>9883115.9199999999</v>
      </c>
      <c r="H140" s="20">
        <f t="shared" si="9"/>
        <v>20252286.619999997</v>
      </c>
      <c r="I140">
        <v>910278.86</v>
      </c>
      <c r="J140">
        <v>895620.16</v>
      </c>
      <c r="K140" s="18">
        <f t="shared" si="10"/>
        <v>1805899.02</v>
      </c>
      <c r="L140" s="3">
        <v>164576.24</v>
      </c>
      <c r="M140">
        <v>887135.33</v>
      </c>
      <c r="N140" s="23">
        <f t="shared" si="11"/>
        <v>1051711.5699999998</v>
      </c>
      <c r="O140" t="s">
        <v>307</v>
      </c>
      <c r="P140" t="s">
        <v>309</v>
      </c>
    </row>
    <row r="141" spans="1:16">
      <c r="A141" s="9">
        <v>4615</v>
      </c>
      <c r="B141" s="3" t="s">
        <v>144</v>
      </c>
      <c r="C141">
        <v>20291100.300000001</v>
      </c>
      <c r="D141">
        <v>6618847.8300000001</v>
      </c>
      <c r="E141" s="19">
        <f t="shared" si="8"/>
        <v>26909948.130000003</v>
      </c>
      <c r="F141">
        <v>13431304.800000001</v>
      </c>
      <c r="G141">
        <v>12938967.4</v>
      </c>
      <c r="H141" s="20">
        <f t="shared" si="9"/>
        <v>26370272.200000003</v>
      </c>
      <c r="I141">
        <v>1780422.44</v>
      </c>
      <c r="J141">
        <v>1900910.92</v>
      </c>
      <c r="K141" s="18">
        <f t="shared" si="10"/>
        <v>3681333.36</v>
      </c>
      <c r="L141">
        <v>8787657.3200000003</v>
      </c>
      <c r="M141">
        <v>12420552.4</v>
      </c>
      <c r="N141" s="23">
        <f t="shared" si="11"/>
        <v>21208209.719999999</v>
      </c>
      <c r="O141" t="s">
        <v>307</v>
      </c>
      <c r="P141" t="s">
        <v>309</v>
      </c>
    </row>
    <row r="142" spans="1:16">
      <c r="A142" s="9">
        <v>4645</v>
      </c>
      <c r="B142" s="3" t="s">
        <v>145</v>
      </c>
      <c r="C142" s="3">
        <v>3716731.53</v>
      </c>
      <c r="D142">
        <v>3693190.83</v>
      </c>
      <c r="E142" s="19">
        <f t="shared" si="8"/>
        <v>7409922.3599999994</v>
      </c>
      <c r="F142">
        <v>7358445.4800000004</v>
      </c>
      <c r="G142">
        <v>5566856.6699999999</v>
      </c>
      <c r="H142" s="20">
        <f t="shared" si="9"/>
        <v>12925302.15</v>
      </c>
      <c r="I142">
        <v>303148.84000000003</v>
      </c>
      <c r="J142">
        <v>513792.04</v>
      </c>
      <c r="K142" s="18">
        <f t="shared" si="10"/>
        <v>816940.88</v>
      </c>
      <c r="L142">
        <v>1985168.95</v>
      </c>
      <c r="M142" s="3">
        <v>1527511.6</v>
      </c>
      <c r="N142" s="23">
        <f t="shared" si="11"/>
        <v>3512680.55</v>
      </c>
      <c r="O142" t="s">
        <v>307</v>
      </c>
      <c r="P142" t="s">
        <v>309</v>
      </c>
    </row>
    <row r="143" spans="1:16" s="3" customFormat="1">
      <c r="A143" s="8">
        <v>4650</v>
      </c>
      <c r="B143" t="s">
        <v>146</v>
      </c>
      <c r="C143">
        <v>1918066.49</v>
      </c>
      <c r="D143">
        <v>1223924.96</v>
      </c>
      <c r="E143" s="19">
        <f t="shared" si="8"/>
        <v>3141991.45</v>
      </c>
      <c r="F143">
        <v>7440998.2999999998</v>
      </c>
      <c r="G143">
        <v>7108428.9900000002</v>
      </c>
      <c r="H143" s="20">
        <f t="shared" si="9"/>
        <v>14549427.289999999</v>
      </c>
      <c r="I143">
        <v>1152431.29</v>
      </c>
      <c r="J143">
        <v>1021963.24</v>
      </c>
      <c r="K143" s="18">
        <f t="shared" si="10"/>
        <v>2174394.5300000003</v>
      </c>
      <c r="L143">
        <v>2705050.34</v>
      </c>
      <c r="M143">
        <v>2211325.2200000002</v>
      </c>
      <c r="N143" s="23">
        <f t="shared" si="11"/>
        <v>4916375.5600000005</v>
      </c>
      <c r="O143" t="s">
        <v>307</v>
      </c>
      <c r="P143" t="s">
        <v>309</v>
      </c>
    </row>
    <row r="144" spans="1:16">
      <c r="A144" s="8">
        <v>4660</v>
      </c>
      <c r="B144" t="s">
        <v>147</v>
      </c>
      <c r="C144">
        <v>12136446.800000001</v>
      </c>
      <c r="D144">
        <v>4337323.1500000004</v>
      </c>
      <c r="E144" s="19">
        <f t="shared" si="8"/>
        <v>16473769.950000001</v>
      </c>
      <c r="F144">
        <v>11104934.6</v>
      </c>
      <c r="G144">
        <v>10941015.800000001</v>
      </c>
      <c r="H144" s="20">
        <f t="shared" si="9"/>
        <v>22045950.399999999</v>
      </c>
      <c r="I144">
        <v>395075.33</v>
      </c>
      <c r="J144">
        <v>670810.57999999996</v>
      </c>
      <c r="K144" s="18">
        <f t="shared" si="10"/>
        <v>1065885.9099999999</v>
      </c>
      <c r="L144">
        <v>1673709.26</v>
      </c>
      <c r="M144">
        <v>205494.63</v>
      </c>
      <c r="N144" s="23">
        <f t="shared" si="11"/>
        <v>1879203.8900000001</v>
      </c>
      <c r="O144" t="s">
        <v>307</v>
      </c>
      <c r="P144" t="s">
        <v>309</v>
      </c>
    </row>
    <row r="145" spans="1:16">
      <c r="A145" s="8">
        <v>4670</v>
      </c>
      <c r="B145" t="s">
        <v>148</v>
      </c>
      <c r="C145">
        <v>9857383.7300000004</v>
      </c>
      <c r="D145">
        <v>2156887.39</v>
      </c>
      <c r="E145" s="19">
        <f t="shared" si="8"/>
        <v>12014271.120000001</v>
      </c>
      <c r="F145">
        <v>19355327.399999999</v>
      </c>
      <c r="G145">
        <v>18168553</v>
      </c>
      <c r="H145" s="20">
        <f t="shared" si="9"/>
        <v>37523880.399999999</v>
      </c>
      <c r="I145">
        <v>4699869.1100000003</v>
      </c>
      <c r="J145">
        <v>5924450.6900000004</v>
      </c>
      <c r="K145" s="18">
        <f t="shared" si="10"/>
        <v>10624319.800000001</v>
      </c>
      <c r="L145">
        <v>3485522.12</v>
      </c>
      <c r="M145">
        <v>8149004.6900000004</v>
      </c>
      <c r="N145" s="23">
        <f t="shared" si="11"/>
        <v>11634526.810000001</v>
      </c>
      <c r="O145" t="s">
        <v>307</v>
      </c>
      <c r="P145" t="s">
        <v>309</v>
      </c>
    </row>
    <row r="146" spans="1:16">
      <c r="A146" s="8">
        <v>4680</v>
      </c>
      <c r="B146" t="s">
        <v>149</v>
      </c>
      <c r="C146">
        <v>1197567.9099999999</v>
      </c>
      <c r="D146">
        <v>512470.8</v>
      </c>
      <c r="E146" s="19">
        <f t="shared" si="8"/>
        <v>1710038.71</v>
      </c>
      <c r="F146">
        <v>4526189.8099999996</v>
      </c>
      <c r="G146">
        <v>4141097.05</v>
      </c>
      <c r="H146" s="20">
        <f t="shared" si="9"/>
        <v>8667286.8599999994</v>
      </c>
      <c r="I146">
        <v>597297.15</v>
      </c>
      <c r="J146">
        <v>695233.01</v>
      </c>
      <c r="K146" s="18">
        <f t="shared" si="10"/>
        <v>1292530.1600000001</v>
      </c>
      <c r="L146">
        <v>124535.58</v>
      </c>
      <c r="M146">
        <v>71447.759999999995</v>
      </c>
      <c r="N146" s="23">
        <f t="shared" si="11"/>
        <v>195983.34</v>
      </c>
      <c r="O146" t="s">
        <v>307</v>
      </c>
      <c r="P146" t="s">
        <v>309</v>
      </c>
    </row>
    <row r="147" spans="1:16">
      <c r="A147" s="8">
        <v>4690</v>
      </c>
      <c r="B147" t="s">
        <v>150</v>
      </c>
      <c r="C147">
        <v>22492161.300000001</v>
      </c>
      <c r="D147">
        <v>3620633.44</v>
      </c>
      <c r="E147" s="19">
        <f t="shared" si="8"/>
        <v>26112794.740000002</v>
      </c>
      <c r="F147">
        <v>59422045.399999999</v>
      </c>
      <c r="G147">
        <v>51500986.600000001</v>
      </c>
      <c r="H147" s="20">
        <f t="shared" si="9"/>
        <v>110923032</v>
      </c>
      <c r="I147">
        <v>9560033.4100000001</v>
      </c>
      <c r="J147">
        <v>13897298.199999999</v>
      </c>
      <c r="K147" s="18">
        <f t="shared" si="10"/>
        <v>23457331.609999999</v>
      </c>
      <c r="L147">
        <v>727993.88</v>
      </c>
      <c r="M147">
        <v>3855107.03</v>
      </c>
      <c r="N147" s="23">
        <f t="shared" si="11"/>
        <v>4583100.91</v>
      </c>
      <c r="O147" t="s">
        <v>307</v>
      </c>
      <c r="P147" t="s">
        <v>309</v>
      </c>
    </row>
    <row r="148" spans="1:16">
      <c r="A148" s="8">
        <v>4700</v>
      </c>
      <c r="B148" t="s">
        <v>151</v>
      </c>
      <c r="C148">
        <v>3953461.31</v>
      </c>
      <c r="D148">
        <v>1255185.3899999999</v>
      </c>
      <c r="E148" s="19">
        <f t="shared" si="8"/>
        <v>5208646.7</v>
      </c>
      <c r="F148">
        <v>5624096.7300000004</v>
      </c>
      <c r="G148">
        <v>5357917.3899999997</v>
      </c>
      <c r="H148" s="20">
        <f t="shared" si="9"/>
        <v>10982014.120000001</v>
      </c>
      <c r="I148">
        <v>210811.31</v>
      </c>
      <c r="J148">
        <v>277936.73</v>
      </c>
      <c r="K148" s="18">
        <f t="shared" si="10"/>
        <v>488748.04</v>
      </c>
      <c r="L148">
        <v>54847.29</v>
      </c>
      <c r="M148">
        <v>1521898.6</v>
      </c>
      <c r="N148" s="23">
        <f t="shared" si="11"/>
        <v>1576745.8900000001</v>
      </c>
      <c r="O148" t="s">
        <v>307</v>
      </c>
      <c r="P148" t="s">
        <v>309</v>
      </c>
    </row>
    <row r="149" spans="1:16">
      <c r="A149" s="8">
        <v>4710</v>
      </c>
      <c r="B149" t="s">
        <v>152</v>
      </c>
      <c r="C149">
        <v>12958307.699999999</v>
      </c>
      <c r="D149">
        <v>3310257.8</v>
      </c>
      <c r="E149" s="19">
        <f t="shared" si="8"/>
        <v>16268565.5</v>
      </c>
      <c r="F149">
        <v>38453978.5</v>
      </c>
      <c r="G149">
        <v>36053666.700000003</v>
      </c>
      <c r="H149" s="20">
        <f t="shared" si="9"/>
        <v>74507645.200000003</v>
      </c>
      <c r="I149">
        <v>5704265.2800000003</v>
      </c>
      <c r="J149">
        <v>5864503.21</v>
      </c>
      <c r="K149" s="18">
        <f t="shared" si="10"/>
        <v>11568768.49</v>
      </c>
      <c r="L149">
        <v>1719488.29</v>
      </c>
      <c r="M149">
        <v>1003692.75</v>
      </c>
      <c r="N149" s="23">
        <f t="shared" si="11"/>
        <v>2723181.04</v>
      </c>
      <c r="O149" t="s">
        <v>307</v>
      </c>
      <c r="P149" t="s">
        <v>309</v>
      </c>
    </row>
    <row r="150" spans="1:16">
      <c r="A150" s="8">
        <v>4720</v>
      </c>
      <c r="B150" t="s">
        <v>153</v>
      </c>
      <c r="C150">
        <v>7662430.1600000001</v>
      </c>
      <c r="D150">
        <v>2588650.4500000002</v>
      </c>
      <c r="E150" s="19">
        <f t="shared" si="8"/>
        <v>10251080.609999999</v>
      </c>
      <c r="F150">
        <v>5529744.04</v>
      </c>
      <c r="G150">
        <v>4929271.5199999996</v>
      </c>
      <c r="H150" s="20">
        <f t="shared" si="9"/>
        <v>10459015.559999999</v>
      </c>
      <c r="I150">
        <v>130388.86</v>
      </c>
      <c r="J150">
        <v>332831.65000000002</v>
      </c>
      <c r="K150" s="18">
        <f t="shared" si="10"/>
        <v>463220.51</v>
      </c>
      <c r="L150">
        <v>107.92</v>
      </c>
      <c r="M150">
        <v>3944.64</v>
      </c>
      <c r="N150" s="23">
        <f t="shared" si="11"/>
        <v>4052.56</v>
      </c>
      <c r="O150" t="s">
        <v>307</v>
      </c>
      <c r="P150" t="s">
        <v>309</v>
      </c>
    </row>
    <row r="151" spans="1:16">
      <c r="A151" s="8">
        <v>4730</v>
      </c>
      <c r="B151" t="s">
        <v>154</v>
      </c>
      <c r="C151">
        <v>4505249.3099999996</v>
      </c>
      <c r="D151">
        <v>1492182.72</v>
      </c>
      <c r="E151" s="19">
        <f t="shared" si="8"/>
        <v>5997432.0299999993</v>
      </c>
      <c r="F151">
        <v>8168735.9500000002</v>
      </c>
      <c r="G151">
        <v>7736258.3399999999</v>
      </c>
      <c r="H151" s="20">
        <f t="shared" si="9"/>
        <v>15904994.289999999</v>
      </c>
      <c r="I151">
        <v>390554.02</v>
      </c>
      <c r="J151">
        <v>515427.68</v>
      </c>
      <c r="K151" s="18">
        <f t="shared" si="10"/>
        <v>905981.7</v>
      </c>
      <c r="L151">
        <v>144517.41</v>
      </c>
      <c r="M151">
        <v>61500.43</v>
      </c>
      <c r="N151" s="23">
        <f t="shared" si="11"/>
        <v>206017.84</v>
      </c>
      <c r="O151" t="s">
        <v>307</v>
      </c>
      <c r="P151" t="s">
        <v>309</v>
      </c>
    </row>
    <row r="152" spans="1:16">
      <c r="A152" s="8">
        <v>4740</v>
      </c>
      <c r="B152" t="s">
        <v>155</v>
      </c>
      <c r="C152">
        <v>9102328.0700000003</v>
      </c>
      <c r="D152">
        <v>2673775.79</v>
      </c>
      <c r="E152" s="19">
        <f t="shared" si="8"/>
        <v>11776103.859999999</v>
      </c>
      <c r="F152">
        <v>5831979.29</v>
      </c>
      <c r="G152">
        <v>5489757.6600000001</v>
      </c>
      <c r="H152" s="20">
        <f t="shared" si="9"/>
        <v>11321736.949999999</v>
      </c>
      <c r="I152">
        <v>306479.59000000003</v>
      </c>
      <c r="J152">
        <v>319911.15000000002</v>
      </c>
      <c r="K152" s="18">
        <f t="shared" si="10"/>
        <v>626390.74</v>
      </c>
      <c r="L152">
        <v>4046387.05</v>
      </c>
      <c r="M152">
        <v>1565923.23</v>
      </c>
      <c r="N152" s="23">
        <f t="shared" si="11"/>
        <v>5612310.2799999993</v>
      </c>
      <c r="O152" t="s">
        <v>307</v>
      </c>
      <c r="P152" t="s">
        <v>309</v>
      </c>
    </row>
    <row r="153" spans="1:16">
      <c r="A153" s="8">
        <v>4760</v>
      </c>
      <c r="B153" t="s">
        <v>156</v>
      </c>
      <c r="C153">
        <v>4018641.75</v>
      </c>
      <c r="D153">
        <v>879287.75</v>
      </c>
      <c r="E153" s="19">
        <f t="shared" si="8"/>
        <v>4897929.5</v>
      </c>
      <c r="F153">
        <v>1639489.35</v>
      </c>
      <c r="G153">
        <v>1598495.89</v>
      </c>
      <c r="H153" s="20">
        <f t="shared" si="9"/>
        <v>3237985.24</v>
      </c>
      <c r="I153">
        <v>333817.62</v>
      </c>
      <c r="J153">
        <v>385472.26</v>
      </c>
      <c r="K153" s="18">
        <f t="shared" si="10"/>
        <v>719289.88</v>
      </c>
      <c r="L153">
        <v>12048.21</v>
      </c>
      <c r="M153">
        <v>44867.56</v>
      </c>
      <c r="N153" s="23">
        <f t="shared" si="11"/>
        <v>56915.77</v>
      </c>
      <c r="O153" t="s">
        <v>307</v>
      </c>
      <c r="P153" t="s">
        <v>309</v>
      </c>
    </row>
    <row r="154" spans="1:16">
      <c r="A154" s="9">
        <v>4770</v>
      </c>
      <c r="B154" s="3" t="s">
        <v>157</v>
      </c>
      <c r="C154">
        <v>866923.35</v>
      </c>
      <c r="D154">
        <v>47625.97</v>
      </c>
      <c r="E154" s="19">
        <f t="shared" si="8"/>
        <v>914549.32</v>
      </c>
      <c r="F154">
        <v>485921.23</v>
      </c>
      <c r="G154">
        <v>419265.02</v>
      </c>
      <c r="H154" s="20">
        <f t="shared" si="9"/>
        <v>905186.25</v>
      </c>
      <c r="I154">
        <v>54199.85</v>
      </c>
      <c r="J154">
        <v>56189.98</v>
      </c>
      <c r="K154" s="18">
        <f t="shared" si="10"/>
        <v>110389.83</v>
      </c>
      <c r="M154">
        <v>673</v>
      </c>
      <c r="N154" s="23">
        <f t="shared" si="11"/>
        <v>673</v>
      </c>
      <c r="O154" t="s">
        <v>307</v>
      </c>
      <c r="P154" t="s">
        <v>309</v>
      </c>
    </row>
    <row r="155" spans="1:16">
      <c r="A155" s="9">
        <v>4790</v>
      </c>
      <c r="B155" s="3" t="s">
        <v>158</v>
      </c>
      <c r="C155">
        <v>664602.43999999994</v>
      </c>
      <c r="D155">
        <v>120589.28</v>
      </c>
      <c r="E155" s="19">
        <f t="shared" si="8"/>
        <v>785191.72</v>
      </c>
      <c r="F155">
        <v>423194.86</v>
      </c>
      <c r="G155">
        <v>391753.84</v>
      </c>
      <c r="H155" s="20">
        <f t="shared" si="9"/>
        <v>814948.7</v>
      </c>
      <c r="K155" s="18">
        <f t="shared" si="10"/>
        <v>0</v>
      </c>
      <c r="N155" s="23">
        <f t="shared" si="11"/>
        <v>0</v>
      </c>
      <c r="O155" t="s">
        <v>307</v>
      </c>
      <c r="P155" t="s">
        <v>309</v>
      </c>
    </row>
    <row r="156" spans="1:16">
      <c r="A156" s="8">
        <v>4805</v>
      </c>
      <c r="B156" t="s">
        <v>159</v>
      </c>
      <c r="C156">
        <v>4118872.86</v>
      </c>
      <c r="D156">
        <v>266407.59000000003</v>
      </c>
      <c r="E156" s="19">
        <f t="shared" si="8"/>
        <v>4385280.45</v>
      </c>
      <c r="F156">
        <v>4332199.83</v>
      </c>
      <c r="G156">
        <v>4076340.58</v>
      </c>
      <c r="H156" s="20">
        <f t="shared" si="9"/>
        <v>8408540.4100000001</v>
      </c>
      <c r="I156">
        <v>162785.93</v>
      </c>
      <c r="J156">
        <v>262233.94</v>
      </c>
      <c r="K156" s="18">
        <f t="shared" si="10"/>
        <v>425019.87</v>
      </c>
      <c r="L156">
        <v>2007886.64</v>
      </c>
      <c r="M156">
        <v>416561.3</v>
      </c>
      <c r="N156" s="23">
        <f t="shared" si="11"/>
        <v>2424447.94</v>
      </c>
      <c r="O156" t="s">
        <v>307</v>
      </c>
      <c r="P156" t="s">
        <v>309</v>
      </c>
    </row>
    <row r="157" spans="1:16">
      <c r="A157" s="8">
        <v>4860</v>
      </c>
      <c r="B157" t="s">
        <v>160</v>
      </c>
      <c r="C157">
        <v>844386.71</v>
      </c>
      <c r="D157">
        <v>100391.17</v>
      </c>
      <c r="E157" s="19">
        <f t="shared" si="8"/>
        <v>944777.88</v>
      </c>
      <c r="F157">
        <v>1764217.13</v>
      </c>
      <c r="G157">
        <v>1800171.17</v>
      </c>
      <c r="H157" s="20">
        <f t="shared" si="9"/>
        <v>3564388.3</v>
      </c>
      <c r="I157">
        <v>97216.94</v>
      </c>
      <c r="J157">
        <v>153199.4</v>
      </c>
      <c r="K157" s="18">
        <f t="shared" si="10"/>
        <v>250416.34</v>
      </c>
      <c r="L157">
        <v>14385.08</v>
      </c>
      <c r="M157">
        <v>9621.42</v>
      </c>
      <c r="N157" s="23">
        <f t="shared" si="11"/>
        <v>24006.5</v>
      </c>
      <c r="O157" t="s">
        <v>307</v>
      </c>
      <c r="P157" t="s">
        <v>309</v>
      </c>
    </row>
    <row r="158" spans="1:16">
      <c r="A158" s="9">
        <v>4880</v>
      </c>
      <c r="B158" s="3" t="s">
        <v>161</v>
      </c>
      <c r="C158">
        <v>83850.63</v>
      </c>
      <c r="D158">
        <v>5887.35</v>
      </c>
      <c r="E158" s="19">
        <f t="shared" si="8"/>
        <v>89737.98000000001</v>
      </c>
      <c r="F158">
        <v>170591.63</v>
      </c>
      <c r="G158">
        <v>180295.69</v>
      </c>
      <c r="H158" s="20">
        <f t="shared" si="9"/>
        <v>350887.32</v>
      </c>
      <c r="K158" s="18">
        <f t="shared" si="10"/>
        <v>0</v>
      </c>
      <c r="L158">
        <v>3468.59</v>
      </c>
      <c r="N158" s="23">
        <f t="shared" si="11"/>
        <v>3468.59</v>
      </c>
      <c r="O158" t="s">
        <v>307</v>
      </c>
      <c r="P158" t="s">
        <v>309</v>
      </c>
    </row>
    <row r="159" spans="1:16">
      <c r="A159" s="8">
        <v>4925</v>
      </c>
      <c r="B159" t="s">
        <v>162</v>
      </c>
      <c r="C159">
        <v>11305507.300000001</v>
      </c>
      <c r="D159">
        <v>1142335.82</v>
      </c>
      <c r="E159" s="19">
        <f t="shared" si="8"/>
        <v>12447843.120000001</v>
      </c>
      <c r="F159">
        <v>12503519.300000001</v>
      </c>
      <c r="G159">
        <v>11244198.5</v>
      </c>
      <c r="H159" s="20">
        <f t="shared" si="9"/>
        <v>23747717.800000001</v>
      </c>
      <c r="I159">
        <v>3143641.18</v>
      </c>
      <c r="J159">
        <v>4845311.55</v>
      </c>
      <c r="K159" s="18">
        <f t="shared" si="10"/>
        <v>7988952.7300000004</v>
      </c>
      <c r="L159">
        <v>3041875.55</v>
      </c>
      <c r="M159">
        <v>263373.76</v>
      </c>
      <c r="N159" s="23">
        <f t="shared" si="11"/>
        <v>3305249.3099999996</v>
      </c>
      <c r="O159" t="s">
        <v>307</v>
      </c>
      <c r="P159" t="s">
        <v>309</v>
      </c>
    </row>
    <row r="160" spans="1:16">
      <c r="A160" s="8">
        <v>4940</v>
      </c>
      <c r="B160" t="s">
        <v>163</v>
      </c>
      <c r="C160">
        <v>875160.89</v>
      </c>
      <c r="D160">
        <v>318790.64</v>
      </c>
      <c r="E160" s="19">
        <f t="shared" si="8"/>
        <v>1193951.53</v>
      </c>
      <c r="F160">
        <v>1489297.26</v>
      </c>
      <c r="G160">
        <v>1394277.52</v>
      </c>
      <c r="H160" s="20">
        <f t="shared" si="9"/>
        <v>2883574.7800000003</v>
      </c>
      <c r="I160">
        <v>81405.03</v>
      </c>
      <c r="J160">
        <v>81174.81</v>
      </c>
      <c r="K160" s="18">
        <f t="shared" si="10"/>
        <v>162579.84</v>
      </c>
      <c r="L160">
        <v>29806.85</v>
      </c>
      <c r="M160">
        <v>27107.24</v>
      </c>
      <c r="N160" s="23">
        <f t="shared" si="11"/>
        <v>56914.09</v>
      </c>
      <c r="O160" t="s">
        <v>307</v>
      </c>
      <c r="P160" t="s">
        <v>309</v>
      </c>
    </row>
    <row r="161" spans="1:16">
      <c r="A161" s="8">
        <v>4945</v>
      </c>
      <c r="B161" t="s">
        <v>164</v>
      </c>
      <c r="C161">
        <v>6587527.8899999997</v>
      </c>
      <c r="D161" s="3">
        <v>1010987.58</v>
      </c>
      <c r="E161" s="19">
        <f t="shared" si="8"/>
        <v>7598515.4699999997</v>
      </c>
      <c r="F161">
        <v>12342228.699999999</v>
      </c>
      <c r="G161">
        <v>12023544.300000001</v>
      </c>
      <c r="H161" s="20">
        <f t="shared" si="9"/>
        <v>24365773</v>
      </c>
      <c r="I161">
        <v>1995553.32</v>
      </c>
      <c r="J161">
        <v>2748553.06</v>
      </c>
      <c r="K161" s="18">
        <f t="shared" si="10"/>
        <v>4744106.38</v>
      </c>
      <c r="L161">
        <v>6837326.0599999996</v>
      </c>
      <c r="M161">
        <v>6678890.29</v>
      </c>
      <c r="N161" s="23">
        <f t="shared" si="11"/>
        <v>13516216.35</v>
      </c>
      <c r="O161" t="s">
        <v>307</v>
      </c>
      <c r="P161" t="s">
        <v>309</v>
      </c>
    </row>
    <row r="162" spans="1:16">
      <c r="A162" s="8">
        <v>5075</v>
      </c>
      <c r="B162" t="s">
        <v>165</v>
      </c>
      <c r="C162">
        <v>4285855.47</v>
      </c>
      <c r="D162">
        <v>3060286.92</v>
      </c>
      <c r="E162" s="19">
        <f t="shared" si="8"/>
        <v>7346142.3899999997</v>
      </c>
      <c r="F162" s="3">
        <v>12150948</v>
      </c>
      <c r="G162" s="3">
        <v>11349205.5</v>
      </c>
      <c r="H162" s="20">
        <f t="shared" si="9"/>
        <v>23500153.5</v>
      </c>
      <c r="I162">
        <v>2721600.44</v>
      </c>
      <c r="J162">
        <v>2541379.3199999998</v>
      </c>
      <c r="K162" s="18">
        <f t="shared" si="10"/>
        <v>5262979.76</v>
      </c>
      <c r="L162">
        <v>1676983.25</v>
      </c>
      <c r="M162">
        <v>3284553.05</v>
      </c>
      <c r="N162" s="23">
        <f t="shared" si="11"/>
        <v>4961536.3</v>
      </c>
      <c r="O162" t="s">
        <v>307</v>
      </c>
      <c r="P162" t="s">
        <v>309</v>
      </c>
    </row>
    <row r="163" spans="1:16">
      <c r="A163" s="9">
        <v>5085</v>
      </c>
      <c r="B163" s="3" t="s">
        <v>166</v>
      </c>
      <c r="C163">
        <v>1711259</v>
      </c>
      <c r="D163">
        <v>860987.11</v>
      </c>
      <c r="E163" s="19">
        <f t="shared" si="8"/>
        <v>2572246.11</v>
      </c>
      <c r="F163">
        <v>4159505.85</v>
      </c>
      <c r="G163">
        <v>4497176.8600000003</v>
      </c>
      <c r="H163" s="20">
        <f t="shared" si="9"/>
        <v>8656682.7100000009</v>
      </c>
      <c r="I163">
        <v>197959.81</v>
      </c>
      <c r="J163">
        <v>396927.88</v>
      </c>
      <c r="K163" s="18">
        <f t="shared" si="10"/>
        <v>594887.68999999994</v>
      </c>
      <c r="L163">
        <v>295566.03000000003</v>
      </c>
      <c r="M163">
        <v>14426.24</v>
      </c>
      <c r="N163" s="23">
        <f t="shared" si="11"/>
        <v>309992.27</v>
      </c>
      <c r="O163" t="s">
        <v>307</v>
      </c>
      <c r="P163" t="s">
        <v>309</v>
      </c>
    </row>
    <row r="164" spans="1:16">
      <c r="A164" s="8">
        <v>5245</v>
      </c>
      <c r="B164" t="s">
        <v>167</v>
      </c>
      <c r="C164">
        <v>2078550.96</v>
      </c>
      <c r="D164">
        <v>202713.31</v>
      </c>
      <c r="E164" s="19">
        <f t="shared" si="8"/>
        <v>2281264.27</v>
      </c>
      <c r="F164">
        <v>4742558.3099999996</v>
      </c>
      <c r="G164">
        <v>4578412.33</v>
      </c>
      <c r="H164" s="20">
        <f t="shared" si="9"/>
        <v>9320970.6400000006</v>
      </c>
      <c r="I164" s="3">
        <v>258735.35999999999</v>
      </c>
      <c r="J164" s="3">
        <v>321220.40999999997</v>
      </c>
      <c r="K164" s="18">
        <f t="shared" si="10"/>
        <v>579955.77</v>
      </c>
      <c r="L164">
        <v>10609.52</v>
      </c>
      <c r="M164">
        <v>58535.839999999997</v>
      </c>
      <c r="N164" s="23">
        <f t="shared" si="11"/>
        <v>69145.36</v>
      </c>
      <c r="O164" t="s">
        <v>307</v>
      </c>
      <c r="P164" t="s">
        <v>309</v>
      </c>
    </row>
    <row r="165" spans="1:16">
      <c r="A165" s="9">
        <v>5255</v>
      </c>
      <c r="B165" s="3" t="s">
        <v>168</v>
      </c>
      <c r="C165" s="3">
        <v>3442977.35</v>
      </c>
      <c r="D165" s="3">
        <v>562464.39</v>
      </c>
      <c r="E165" s="19">
        <f t="shared" si="8"/>
        <v>4005441.74</v>
      </c>
      <c r="F165">
        <v>7900917.1299999999</v>
      </c>
      <c r="G165">
        <v>7819248.6600000001</v>
      </c>
      <c r="H165" s="20">
        <f t="shared" si="9"/>
        <v>15720165.789999999</v>
      </c>
      <c r="I165">
        <v>256235.25</v>
      </c>
      <c r="J165">
        <v>229848.71</v>
      </c>
      <c r="K165" s="18">
        <f t="shared" si="10"/>
        <v>486083.95999999996</v>
      </c>
      <c r="L165" s="3">
        <v>2510514.5499999998</v>
      </c>
      <c r="M165">
        <v>517357.27</v>
      </c>
      <c r="N165" s="23">
        <f t="shared" si="11"/>
        <v>3027871.82</v>
      </c>
      <c r="O165" t="s">
        <v>307</v>
      </c>
      <c r="P165" t="s">
        <v>309</v>
      </c>
    </row>
    <row r="166" spans="1:16" s="3" customFormat="1">
      <c r="A166" s="8">
        <v>5265</v>
      </c>
      <c r="B166" t="s">
        <v>169</v>
      </c>
      <c r="C166">
        <v>1354282.81</v>
      </c>
      <c r="D166">
        <v>115289.84</v>
      </c>
      <c r="E166" s="19">
        <f t="shared" si="8"/>
        <v>1469572.6500000001</v>
      </c>
      <c r="F166" s="3">
        <v>4033283.07</v>
      </c>
      <c r="G166" s="3">
        <v>3747478.82</v>
      </c>
      <c r="H166" s="20">
        <f t="shared" si="9"/>
        <v>7780761.8899999997</v>
      </c>
      <c r="I166">
        <v>532035.9</v>
      </c>
      <c r="J166">
        <v>324917.88</v>
      </c>
      <c r="K166" s="18">
        <f t="shared" si="10"/>
        <v>856953.78</v>
      </c>
      <c r="L166">
        <v>12312.4</v>
      </c>
      <c r="M166">
        <v>994.9</v>
      </c>
      <c r="N166" s="23">
        <f t="shared" si="11"/>
        <v>13307.3</v>
      </c>
      <c r="O166" t="s">
        <v>307</v>
      </c>
      <c r="P166" t="s">
        <v>309</v>
      </c>
    </row>
    <row r="167" spans="1:16">
      <c r="A167" s="8">
        <v>5275</v>
      </c>
      <c r="B167" t="s">
        <v>170</v>
      </c>
      <c r="C167">
        <v>10363321.9</v>
      </c>
      <c r="D167">
        <v>1867476.46</v>
      </c>
      <c r="E167" s="19">
        <f t="shared" si="8"/>
        <v>12230798.359999999</v>
      </c>
      <c r="F167">
        <v>24886332</v>
      </c>
      <c r="G167">
        <v>22724082.600000001</v>
      </c>
      <c r="H167" s="20">
        <f t="shared" si="9"/>
        <v>47610414.600000001</v>
      </c>
      <c r="I167">
        <v>4739086.53</v>
      </c>
      <c r="J167">
        <v>5361334.67</v>
      </c>
      <c r="K167" s="18">
        <f t="shared" si="10"/>
        <v>10100421.199999999</v>
      </c>
      <c r="L167">
        <v>947037.78</v>
      </c>
      <c r="M167" s="3">
        <v>12853.68</v>
      </c>
      <c r="N167" s="23">
        <f t="shared" si="11"/>
        <v>959891.46000000008</v>
      </c>
      <c r="O167" t="s">
        <v>307</v>
      </c>
      <c r="P167" t="s">
        <v>309</v>
      </c>
    </row>
    <row r="168" spans="1:16">
      <c r="A168" s="8">
        <v>5280</v>
      </c>
      <c r="B168" t="s">
        <v>171</v>
      </c>
      <c r="C168">
        <v>1000401.12</v>
      </c>
      <c r="D168">
        <v>138412.6</v>
      </c>
      <c r="E168" s="19">
        <f t="shared" si="8"/>
        <v>1138813.72</v>
      </c>
      <c r="F168">
        <v>5386274.4100000001</v>
      </c>
      <c r="G168">
        <v>4219878.5599999996</v>
      </c>
      <c r="H168" s="20">
        <f t="shared" si="9"/>
        <v>9606152.9699999988</v>
      </c>
      <c r="I168" s="3">
        <v>1089816.8899999999</v>
      </c>
      <c r="J168" s="3">
        <v>1188734.72</v>
      </c>
      <c r="K168" s="18">
        <f t="shared" si="10"/>
        <v>2278551.61</v>
      </c>
      <c r="L168">
        <v>15672.13</v>
      </c>
      <c r="M168">
        <v>6670.61</v>
      </c>
      <c r="N168" s="23">
        <f t="shared" si="11"/>
        <v>22342.739999999998</v>
      </c>
      <c r="O168" t="s">
        <v>307</v>
      </c>
      <c r="P168" t="s">
        <v>309</v>
      </c>
    </row>
    <row r="169" spans="1:16">
      <c r="A169" s="9">
        <v>5300</v>
      </c>
      <c r="B169" s="3" t="s">
        <v>172</v>
      </c>
      <c r="C169" s="3">
        <v>4674906.99</v>
      </c>
      <c r="D169">
        <v>2686147.12</v>
      </c>
      <c r="E169" s="19">
        <f t="shared" si="8"/>
        <v>7361054.1100000003</v>
      </c>
      <c r="F169">
        <v>15959434.199999999</v>
      </c>
      <c r="G169">
        <v>15134259.4</v>
      </c>
      <c r="H169" s="20">
        <f t="shared" si="9"/>
        <v>31093693.600000001</v>
      </c>
      <c r="I169">
        <v>1046222.24</v>
      </c>
      <c r="J169">
        <v>1586362.78</v>
      </c>
      <c r="K169" s="18">
        <f t="shared" si="10"/>
        <v>2632585.02</v>
      </c>
      <c r="L169" s="3">
        <v>1844457.76</v>
      </c>
      <c r="M169">
        <v>395491.97</v>
      </c>
      <c r="N169" s="23">
        <f t="shared" si="11"/>
        <v>2239949.73</v>
      </c>
      <c r="O169" t="s">
        <v>307</v>
      </c>
      <c r="P169" t="s">
        <v>309</v>
      </c>
    </row>
    <row r="170" spans="1:16" s="3" customFormat="1">
      <c r="A170" s="8">
        <v>5310</v>
      </c>
      <c r="B170" t="s">
        <v>173</v>
      </c>
      <c r="C170">
        <v>8501948.7599999998</v>
      </c>
      <c r="D170">
        <v>1169126.74</v>
      </c>
      <c r="E170" s="19">
        <f t="shared" si="8"/>
        <v>9671075.5</v>
      </c>
      <c r="F170">
        <v>15131273.800000001</v>
      </c>
      <c r="G170">
        <v>15278987.800000001</v>
      </c>
      <c r="H170" s="20">
        <f t="shared" si="9"/>
        <v>30410261.600000001</v>
      </c>
      <c r="I170">
        <v>621313.41</v>
      </c>
      <c r="J170">
        <v>865656.94</v>
      </c>
      <c r="K170" s="18">
        <f t="shared" si="10"/>
        <v>1486970.35</v>
      </c>
      <c r="L170">
        <v>16256913.4</v>
      </c>
      <c r="M170">
        <v>2975602.66</v>
      </c>
      <c r="N170" s="23">
        <f t="shared" si="11"/>
        <v>19232516.060000002</v>
      </c>
      <c r="O170" t="s">
        <v>307</v>
      </c>
      <c r="P170" t="s">
        <v>309</v>
      </c>
    </row>
    <row r="171" spans="1:16">
      <c r="A171" s="8">
        <v>5330</v>
      </c>
      <c r="B171" t="s">
        <v>174</v>
      </c>
      <c r="C171">
        <v>22689912.899999999</v>
      </c>
      <c r="D171">
        <v>5995777.6799999997</v>
      </c>
      <c r="E171" s="19">
        <f t="shared" si="8"/>
        <v>28685690.579999998</v>
      </c>
      <c r="F171">
        <v>30172585.5</v>
      </c>
      <c r="G171">
        <v>27052099.899999999</v>
      </c>
      <c r="H171" s="20">
        <f t="shared" si="9"/>
        <v>57224685.399999999</v>
      </c>
      <c r="I171">
        <v>4626983.1500000004</v>
      </c>
      <c r="J171">
        <v>4869838.5199999996</v>
      </c>
      <c r="K171" s="18">
        <f t="shared" si="10"/>
        <v>9496821.6699999999</v>
      </c>
      <c r="L171">
        <v>257993.16</v>
      </c>
      <c r="M171" s="3">
        <v>49903360</v>
      </c>
      <c r="N171" s="23">
        <f t="shared" si="11"/>
        <v>50161353.159999996</v>
      </c>
      <c r="O171" t="s">
        <v>307</v>
      </c>
      <c r="P171" t="s">
        <v>309</v>
      </c>
    </row>
    <row r="172" spans="1:16">
      <c r="A172" s="9">
        <v>5340</v>
      </c>
      <c r="B172" s="3" t="s">
        <v>175</v>
      </c>
      <c r="C172">
        <v>15534121.800000001</v>
      </c>
      <c r="D172">
        <v>4693402.97</v>
      </c>
      <c r="E172" s="19">
        <f t="shared" si="8"/>
        <v>20227524.77</v>
      </c>
      <c r="F172">
        <v>29366117.399999999</v>
      </c>
      <c r="G172">
        <v>28137254.100000001</v>
      </c>
      <c r="H172" s="20">
        <f t="shared" si="9"/>
        <v>57503371.5</v>
      </c>
      <c r="I172">
        <v>1753962.72</v>
      </c>
      <c r="J172">
        <v>10182993.300000001</v>
      </c>
      <c r="K172" s="18">
        <f t="shared" si="10"/>
        <v>11936956.020000001</v>
      </c>
      <c r="L172">
        <v>7349412.3700000001</v>
      </c>
      <c r="M172">
        <v>19930863.699999999</v>
      </c>
      <c r="N172" s="23">
        <f t="shared" si="11"/>
        <v>27280276.07</v>
      </c>
      <c r="O172" t="s">
        <v>307</v>
      </c>
      <c r="P172" t="s">
        <v>309</v>
      </c>
    </row>
    <row r="173" spans="1:16">
      <c r="A173" s="8">
        <v>5350</v>
      </c>
      <c r="B173" t="s">
        <v>176</v>
      </c>
      <c r="C173">
        <v>22101173.100000001</v>
      </c>
      <c r="D173">
        <v>7672460.0099999998</v>
      </c>
      <c r="E173" s="19">
        <f t="shared" si="8"/>
        <v>29773633.109999999</v>
      </c>
      <c r="F173">
        <v>11971416.9</v>
      </c>
      <c r="G173">
        <v>10419648.1</v>
      </c>
      <c r="H173" s="20">
        <f t="shared" si="9"/>
        <v>22391065</v>
      </c>
      <c r="I173">
        <v>3531494.44</v>
      </c>
      <c r="J173">
        <v>3484999.7</v>
      </c>
      <c r="K173" s="18">
        <f t="shared" si="10"/>
        <v>7016494.1400000006</v>
      </c>
      <c r="L173">
        <v>17886605.699999999</v>
      </c>
      <c r="M173">
        <v>357224.15</v>
      </c>
      <c r="N173" s="23">
        <f t="shared" si="11"/>
        <v>18243829.849999998</v>
      </c>
      <c r="O173" t="s">
        <v>307</v>
      </c>
      <c r="P173" t="s">
        <v>309</v>
      </c>
    </row>
    <row r="174" spans="1:16">
      <c r="A174" s="8">
        <v>5360</v>
      </c>
      <c r="B174" t="s">
        <v>177</v>
      </c>
      <c r="C174">
        <v>13225024.4</v>
      </c>
      <c r="D174" s="3">
        <v>7601968.1699999999</v>
      </c>
      <c r="E174" s="19">
        <f t="shared" si="8"/>
        <v>20826992.57</v>
      </c>
      <c r="F174">
        <v>27170044.800000001</v>
      </c>
      <c r="G174">
        <v>26299781.5</v>
      </c>
      <c r="H174" s="20">
        <f t="shared" si="9"/>
        <v>53469826.299999997</v>
      </c>
      <c r="I174">
        <v>3379115.93</v>
      </c>
      <c r="J174">
        <v>4302946.72</v>
      </c>
      <c r="K174" s="18">
        <f t="shared" si="10"/>
        <v>7682062.6500000004</v>
      </c>
      <c r="L174">
        <v>304248.08</v>
      </c>
      <c r="M174">
        <v>250319.56</v>
      </c>
      <c r="N174" s="23">
        <f t="shared" si="11"/>
        <v>554567.64</v>
      </c>
      <c r="O174" t="s">
        <v>307</v>
      </c>
      <c r="P174" t="s">
        <v>309</v>
      </c>
    </row>
    <row r="175" spans="1:16">
      <c r="A175" s="8">
        <v>5370</v>
      </c>
      <c r="B175" t="s">
        <v>178</v>
      </c>
      <c r="C175">
        <v>24488350</v>
      </c>
      <c r="D175">
        <v>11172394.800000001</v>
      </c>
      <c r="E175" s="19">
        <f t="shared" si="8"/>
        <v>35660744.799999997</v>
      </c>
      <c r="F175" s="3">
        <v>8500310.0500000007</v>
      </c>
      <c r="G175" s="3">
        <v>7146595.8499999996</v>
      </c>
      <c r="H175" s="20">
        <f t="shared" si="9"/>
        <v>15646905.9</v>
      </c>
      <c r="I175">
        <v>4786651.59</v>
      </c>
      <c r="J175">
        <v>4795817.8499999996</v>
      </c>
      <c r="K175" s="18">
        <f t="shared" si="10"/>
        <v>9582469.4399999995</v>
      </c>
      <c r="L175">
        <v>3659066.76</v>
      </c>
      <c r="M175">
        <v>1748270.12</v>
      </c>
      <c r="N175" s="23">
        <f t="shared" si="11"/>
        <v>5407336.8799999999</v>
      </c>
      <c r="O175" t="s">
        <v>307</v>
      </c>
      <c r="P175" t="s">
        <v>309</v>
      </c>
    </row>
    <row r="176" spans="1:16">
      <c r="A176" s="8">
        <v>5375</v>
      </c>
      <c r="B176" t="s">
        <v>179</v>
      </c>
      <c r="C176" s="3">
        <v>14390322.800000001</v>
      </c>
      <c r="D176">
        <v>5372808.1699999999</v>
      </c>
      <c r="E176" s="19">
        <f t="shared" si="8"/>
        <v>19763130.969999999</v>
      </c>
      <c r="F176">
        <v>34255230.600000001</v>
      </c>
      <c r="G176">
        <v>31952471.899999999</v>
      </c>
      <c r="H176" s="20">
        <f t="shared" si="9"/>
        <v>66207702.5</v>
      </c>
      <c r="I176">
        <v>11376817.199999999</v>
      </c>
      <c r="J176">
        <v>10792445.699999999</v>
      </c>
      <c r="K176" s="18">
        <f t="shared" si="10"/>
        <v>22169262.899999999</v>
      </c>
      <c r="L176">
        <v>10513394</v>
      </c>
      <c r="M176">
        <v>9877100.1199999992</v>
      </c>
      <c r="N176" s="23">
        <f t="shared" si="11"/>
        <v>20390494.119999997</v>
      </c>
      <c r="O176" t="s">
        <v>307</v>
      </c>
      <c r="P176" t="s">
        <v>309</v>
      </c>
    </row>
    <row r="177" spans="1:17">
      <c r="A177" s="8">
        <v>5380</v>
      </c>
      <c r="B177" t="s">
        <v>180</v>
      </c>
      <c r="C177">
        <v>2149257.56</v>
      </c>
      <c r="D177">
        <v>832223.4</v>
      </c>
      <c r="E177" s="19">
        <f t="shared" si="8"/>
        <v>2981480.96</v>
      </c>
      <c r="F177">
        <v>5449005.3899999997</v>
      </c>
      <c r="G177">
        <v>5129055.57</v>
      </c>
      <c r="H177" s="20">
        <f t="shared" si="9"/>
        <v>10578060.960000001</v>
      </c>
      <c r="I177" s="3">
        <v>222218.02</v>
      </c>
      <c r="J177" s="3">
        <v>369743.72</v>
      </c>
      <c r="K177" s="18">
        <f t="shared" si="10"/>
        <v>591961.74</v>
      </c>
      <c r="L177">
        <v>10131.11</v>
      </c>
      <c r="M177">
        <v>898.6</v>
      </c>
      <c r="N177" s="23">
        <f t="shared" si="11"/>
        <v>11029.710000000001</v>
      </c>
      <c r="O177" t="s">
        <v>307</v>
      </c>
      <c r="P177" t="s">
        <v>309</v>
      </c>
    </row>
    <row r="178" spans="1:17">
      <c r="A178" s="74">
        <v>5385</v>
      </c>
      <c r="B178" s="75" t="s">
        <v>181</v>
      </c>
      <c r="C178">
        <v>45953253.600000001</v>
      </c>
      <c r="D178">
        <v>8736793</v>
      </c>
      <c r="E178" s="19">
        <f t="shared" si="8"/>
        <v>54690046.600000001</v>
      </c>
      <c r="F178">
        <v>117436579</v>
      </c>
      <c r="G178">
        <v>103729172</v>
      </c>
      <c r="H178" s="20">
        <f t="shared" si="9"/>
        <v>221165751</v>
      </c>
      <c r="I178">
        <v>34984159.399999999</v>
      </c>
      <c r="J178">
        <v>30935840.100000001</v>
      </c>
      <c r="K178" s="18">
        <f t="shared" si="10"/>
        <v>65919999.5</v>
      </c>
      <c r="L178" s="3">
        <v>70316099.400000006</v>
      </c>
      <c r="M178">
        <v>976417.72</v>
      </c>
      <c r="N178" s="23">
        <f t="shared" si="11"/>
        <v>71292517.120000005</v>
      </c>
      <c r="O178" s="75" t="s">
        <v>307</v>
      </c>
      <c r="P178" s="75" t="s">
        <v>308</v>
      </c>
      <c r="Q178" s="75">
        <v>37057</v>
      </c>
    </row>
    <row r="179" spans="1:17" s="3" customFormat="1">
      <c r="A179" s="8">
        <v>5400</v>
      </c>
      <c r="B179" t="s">
        <v>182</v>
      </c>
      <c r="C179">
        <v>3335789.55</v>
      </c>
      <c r="D179">
        <v>1308115.54</v>
      </c>
      <c r="E179" s="19">
        <f t="shared" si="8"/>
        <v>4643905.09</v>
      </c>
      <c r="F179">
        <v>2357087.85</v>
      </c>
      <c r="G179">
        <v>2127019.48</v>
      </c>
      <c r="H179" s="20">
        <f t="shared" si="9"/>
        <v>4484107.33</v>
      </c>
      <c r="I179">
        <v>311636.76</v>
      </c>
      <c r="J179">
        <v>314948.07</v>
      </c>
      <c r="K179" s="18">
        <f t="shared" si="10"/>
        <v>626584.83000000007</v>
      </c>
      <c r="L179">
        <v>1518.77</v>
      </c>
      <c r="M179">
        <v>79930.740000000005</v>
      </c>
      <c r="N179" s="23">
        <f t="shared" si="11"/>
        <v>81449.510000000009</v>
      </c>
      <c r="O179" t="s">
        <v>307</v>
      </c>
      <c r="P179" t="s">
        <v>309</v>
      </c>
      <c r="Q179"/>
    </row>
    <row r="180" spans="1:17">
      <c r="A180" s="8">
        <v>5455</v>
      </c>
      <c r="B180" t="s">
        <v>183</v>
      </c>
      <c r="C180">
        <v>1778111.1</v>
      </c>
      <c r="D180">
        <v>447474.03</v>
      </c>
      <c r="E180" s="19">
        <f t="shared" si="8"/>
        <v>2225585.13</v>
      </c>
      <c r="F180">
        <v>1931419.35</v>
      </c>
      <c r="G180">
        <v>1780469.99</v>
      </c>
      <c r="H180" s="20">
        <f t="shared" si="9"/>
        <v>3711889.34</v>
      </c>
      <c r="I180">
        <v>403712.59</v>
      </c>
      <c r="J180">
        <v>375901.23</v>
      </c>
      <c r="K180" s="18">
        <f t="shared" si="10"/>
        <v>779613.82000000007</v>
      </c>
      <c r="L180">
        <v>22494.39</v>
      </c>
      <c r="M180" s="3">
        <v>574.77</v>
      </c>
      <c r="N180" s="23">
        <f t="shared" si="11"/>
        <v>23069.16</v>
      </c>
      <c r="O180" t="s">
        <v>307</v>
      </c>
      <c r="P180" t="s">
        <v>309</v>
      </c>
    </row>
    <row r="181" spans="1:17">
      <c r="A181" s="8">
        <v>5470</v>
      </c>
      <c r="B181" t="s">
        <v>184</v>
      </c>
      <c r="C181">
        <v>669555.57999999996</v>
      </c>
      <c r="D181">
        <v>204223.09</v>
      </c>
      <c r="E181" s="19">
        <f t="shared" si="8"/>
        <v>873778.66999999993</v>
      </c>
      <c r="F181">
        <v>1643160.81</v>
      </c>
      <c r="G181">
        <v>1391028.05</v>
      </c>
      <c r="H181" s="20">
        <f t="shared" si="9"/>
        <v>3034188.8600000003</v>
      </c>
      <c r="I181">
        <v>93326.74</v>
      </c>
      <c r="J181">
        <v>122582.92</v>
      </c>
      <c r="K181" s="18">
        <f t="shared" si="10"/>
        <v>215909.66</v>
      </c>
      <c r="L181">
        <v>6700.16</v>
      </c>
      <c r="M181">
        <v>132065.54</v>
      </c>
      <c r="N181" s="23">
        <f t="shared" si="11"/>
        <v>138765.70000000001</v>
      </c>
      <c r="O181" t="s">
        <v>307</v>
      </c>
      <c r="P181" t="s">
        <v>309</v>
      </c>
    </row>
    <row r="182" spans="1:17">
      <c r="A182" s="8">
        <v>5480</v>
      </c>
      <c r="B182" t="s">
        <v>185</v>
      </c>
      <c r="C182">
        <v>1575987.99</v>
      </c>
      <c r="D182">
        <v>488306.62</v>
      </c>
      <c r="E182" s="19">
        <f t="shared" si="8"/>
        <v>2064294.6099999999</v>
      </c>
      <c r="F182">
        <v>2508417.7999999998</v>
      </c>
      <c r="G182">
        <v>2320105.39</v>
      </c>
      <c r="H182" s="20">
        <f t="shared" si="9"/>
        <v>4828523.1899999995</v>
      </c>
      <c r="I182">
        <v>354099.28</v>
      </c>
      <c r="J182">
        <v>315584.43</v>
      </c>
      <c r="K182" s="18">
        <f t="shared" si="10"/>
        <v>669683.71</v>
      </c>
      <c r="L182">
        <v>5449514.3799999999</v>
      </c>
      <c r="M182">
        <v>3641763.97</v>
      </c>
      <c r="N182" s="23">
        <f t="shared" si="11"/>
        <v>9091278.3499999996</v>
      </c>
      <c r="O182" t="s">
        <v>307</v>
      </c>
      <c r="P182" t="s">
        <v>309</v>
      </c>
    </row>
    <row r="183" spans="1:17">
      <c r="A183" s="8">
        <v>5485</v>
      </c>
      <c r="B183" t="s">
        <v>186</v>
      </c>
      <c r="C183">
        <v>3950038.63</v>
      </c>
      <c r="D183">
        <v>1385205.87</v>
      </c>
      <c r="E183" s="19">
        <f t="shared" si="8"/>
        <v>5335244.5</v>
      </c>
      <c r="F183">
        <v>6886841.9900000002</v>
      </c>
      <c r="G183">
        <v>6474587.8099999996</v>
      </c>
      <c r="H183" s="20">
        <f t="shared" si="9"/>
        <v>13361429.800000001</v>
      </c>
      <c r="I183">
        <v>1085879.94</v>
      </c>
      <c r="J183">
        <v>949852.78</v>
      </c>
      <c r="K183" s="18">
        <f t="shared" si="10"/>
        <v>2035732.72</v>
      </c>
      <c r="L183">
        <v>431704.5</v>
      </c>
      <c r="M183">
        <v>159098.18</v>
      </c>
      <c r="N183" s="23">
        <f t="shared" si="11"/>
        <v>590802.67999999993</v>
      </c>
      <c r="O183" t="s">
        <v>307</v>
      </c>
      <c r="P183" t="s">
        <v>309</v>
      </c>
    </row>
    <row r="184" spans="1:17">
      <c r="A184" s="8">
        <v>5495</v>
      </c>
      <c r="B184" t="s">
        <v>187</v>
      </c>
      <c r="C184">
        <v>1073276.9099999999</v>
      </c>
      <c r="D184">
        <v>387514.96</v>
      </c>
      <c r="E184" s="19">
        <f t="shared" si="8"/>
        <v>1460791.8699999999</v>
      </c>
      <c r="F184">
        <v>2255236.9</v>
      </c>
      <c r="G184">
        <v>2077943.04</v>
      </c>
      <c r="H184" s="20">
        <f t="shared" si="9"/>
        <v>4333179.9399999995</v>
      </c>
      <c r="I184">
        <v>129475.17</v>
      </c>
      <c r="J184">
        <v>233630</v>
      </c>
      <c r="K184" s="18">
        <f t="shared" si="10"/>
        <v>363105.17</v>
      </c>
      <c r="L184">
        <v>13270.67</v>
      </c>
      <c r="M184">
        <v>17324.43</v>
      </c>
      <c r="N184" s="23">
        <f t="shared" si="11"/>
        <v>30595.1</v>
      </c>
      <c r="O184" t="s">
        <v>307</v>
      </c>
      <c r="P184" t="s">
        <v>309</v>
      </c>
    </row>
    <row r="185" spans="1:17">
      <c r="A185" s="8">
        <v>5520</v>
      </c>
      <c r="B185" t="s">
        <v>188</v>
      </c>
      <c r="C185">
        <v>589036.48</v>
      </c>
      <c r="D185">
        <v>449116.42</v>
      </c>
      <c r="E185" s="19">
        <f t="shared" si="8"/>
        <v>1038152.8999999999</v>
      </c>
      <c r="F185">
        <v>1837634.26</v>
      </c>
      <c r="G185">
        <v>1645737.43</v>
      </c>
      <c r="H185" s="20">
        <f t="shared" si="9"/>
        <v>3483371.69</v>
      </c>
      <c r="I185">
        <v>132202.57999999999</v>
      </c>
      <c r="J185">
        <v>171413.9</v>
      </c>
      <c r="K185" s="18">
        <f t="shared" si="10"/>
        <v>303616.48</v>
      </c>
      <c r="L185">
        <v>400</v>
      </c>
      <c r="M185">
        <v>72888.710000000006</v>
      </c>
      <c r="N185" s="23">
        <f t="shared" si="11"/>
        <v>73288.710000000006</v>
      </c>
      <c r="O185" t="s">
        <v>307</v>
      </c>
      <c r="P185" t="s">
        <v>309</v>
      </c>
    </row>
    <row r="186" spans="1:17">
      <c r="A186" s="8">
        <v>5525</v>
      </c>
      <c r="B186" t="s">
        <v>189</v>
      </c>
      <c r="C186">
        <v>992561.42</v>
      </c>
      <c r="D186">
        <v>730749.39</v>
      </c>
      <c r="E186" s="19">
        <f t="shared" si="8"/>
        <v>1723310.81</v>
      </c>
      <c r="F186">
        <v>2452350.25</v>
      </c>
      <c r="G186">
        <v>2232188.6</v>
      </c>
      <c r="H186" s="20">
        <f t="shared" si="9"/>
        <v>4684538.8499999996</v>
      </c>
      <c r="I186">
        <v>167722.14000000001</v>
      </c>
      <c r="J186">
        <v>561816.48</v>
      </c>
      <c r="K186" s="18">
        <f t="shared" si="10"/>
        <v>729538.62</v>
      </c>
      <c r="L186">
        <v>6323.84</v>
      </c>
      <c r="M186">
        <v>13701.81</v>
      </c>
      <c r="N186" s="23">
        <f t="shared" si="11"/>
        <v>20025.650000000001</v>
      </c>
      <c r="O186" t="s">
        <v>307</v>
      </c>
      <c r="P186" t="s">
        <v>309</v>
      </c>
    </row>
    <row r="187" spans="1:17">
      <c r="A187" s="8">
        <v>5615</v>
      </c>
      <c r="B187" t="s">
        <v>190</v>
      </c>
      <c r="C187">
        <v>4351781.29</v>
      </c>
      <c r="D187">
        <v>659788.65</v>
      </c>
      <c r="E187" s="19">
        <f t="shared" si="8"/>
        <v>5011569.9400000004</v>
      </c>
      <c r="F187">
        <v>6509206.6200000001</v>
      </c>
      <c r="G187">
        <v>6347342.9400000004</v>
      </c>
      <c r="H187" s="20">
        <f t="shared" si="9"/>
        <v>12856549.560000001</v>
      </c>
      <c r="I187">
        <v>270482.17</v>
      </c>
      <c r="J187">
        <v>356653.4</v>
      </c>
      <c r="K187" s="18">
        <f t="shared" si="10"/>
        <v>627135.57000000007</v>
      </c>
      <c r="L187">
        <v>1254635.94</v>
      </c>
      <c r="M187">
        <v>1612781.86</v>
      </c>
      <c r="N187" s="23">
        <f t="shared" si="11"/>
        <v>2867417.8</v>
      </c>
      <c r="O187" t="s">
        <v>307</v>
      </c>
      <c r="P187" t="s">
        <v>309</v>
      </c>
    </row>
    <row r="188" spans="1:17">
      <c r="A188" s="8">
        <v>5620</v>
      </c>
      <c r="B188" t="s">
        <v>191</v>
      </c>
      <c r="C188">
        <v>1603159.46</v>
      </c>
      <c r="D188">
        <v>211458.48</v>
      </c>
      <c r="E188" s="19">
        <f t="shared" si="8"/>
        <v>1814617.94</v>
      </c>
      <c r="F188">
        <v>2609964.85</v>
      </c>
      <c r="G188">
        <v>2340696.66</v>
      </c>
      <c r="H188" s="20">
        <f t="shared" si="9"/>
        <v>4950661.51</v>
      </c>
      <c r="I188">
        <v>105747.37</v>
      </c>
      <c r="J188">
        <v>137181.44</v>
      </c>
      <c r="K188" s="18">
        <f t="shared" si="10"/>
        <v>242928.81</v>
      </c>
      <c r="L188">
        <v>56242.21</v>
      </c>
      <c r="M188">
        <v>56962.34</v>
      </c>
      <c r="N188" s="23">
        <f t="shared" si="11"/>
        <v>113204.54999999999</v>
      </c>
      <c r="O188" t="s">
        <v>307</v>
      </c>
      <c r="P188" t="s">
        <v>309</v>
      </c>
    </row>
    <row r="189" spans="1:17">
      <c r="A189" s="8">
        <v>5625</v>
      </c>
      <c r="B189" t="s">
        <v>192</v>
      </c>
      <c r="C189">
        <v>1603476.98</v>
      </c>
      <c r="D189">
        <v>332137.48</v>
      </c>
      <c r="E189" s="19">
        <f t="shared" si="8"/>
        <v>1935614.46</v>
      </c>
      <c r="F189">
        <v>3090979.49</v>
      </c>
      <c r="G189">
        <v>2949438.39</v>
      </c>
      <c r="H189" s="20">
        <f t="shared" si="9"/>
        <v>6040417.8800000008</v>
      </c>
      <c r="I189">
        <v>239576.49</v>
      </c>
      <c r="J189">
        <v>400180.41</v>
      </c>
      <c r="K189" s="18">
        <f t="shared" si="10"/>
        <v>639756.89999999991</v>
      </c>
      <c r="L189">
        <v>1154108.6100000001</v>
      </c>
      <c r="M189">
        <v>1684124.58</v>
      </c>
      <c r="N189" s="23">
        <f t="shared" si="11"/>
        <v>2838233.1900000004</v>
      </c>
      <c r="O189" t="s">
        <v>307</v>
      </c>
      <c r="P189" t="s">
        <v>309</v>
      </c>
    </row>
    <row r="190" spans="1:17">
      <c r="A190" s="8">
        <v>5635</v>
      </c>
      <c r="B190" t="s">
        <v>193</v>
      </c>
      <c r="C190">
        <v>2566121.29</v>
      </c>
      <c r="D190">
        <v>605577.67000000004</v>
      </c>
      <c r="E190" s="19">
        <f t="shared" si="8"/>
        <v>3171698.96</v>
      </c>
      <c r="F190">
        <v>6042843.3600000003</v>
      </c>
      <c r="G190">
        <v>5549130.7800000003</v>
      </c>
      <c r="H190" s="20">
        <f t="shared" si="9"/>
        <v>11591974.140000001</v>
      </c>
      <c r="I190">
        <v>609178.69999999995</v>
      </c>
      <c r="J190">
        <v>740523.88</v>
      </c>
      <c r="K190" s="18">
        <f t="shared" si="10"/>
        <v>1349702.58</v>
      </c>
      <c r="L190">
        <v>11820.27</v>
      </c>
      <c r="M190">
        <v>25965.1</v>
      </c>
      <c r="N190" s="23">
        <f t="shared" si="11"/>
        <v>37785.369999999995</v>
      </c>
      <c r="O190" t="s">
        <v>307</v>
      </c>
      <c r="P190" t="s">
        <v>309</v>
      </c>
    </row>
    <row r="191" spans="1:17">
      <c r="A191" s="8">
        <v>5705</v>
      </c>
      <c r="B191" t="s">
        <v>194</v>
      </c>
      <c r="C191">
        <v>3433157.87</v>
      </c>
      <c r="D191">
        <v>849252.43</v>
      </c>
      <c r="E191" s="19">
        <f t="shared" si="8"/>
        <v>4282410.3</v>
      </c>
      <c r="F191">
        <v>5561053.7199999997</v>
      </c>
      <c r="G191">
        <v>4987329.22</v>
      </c>
      <c r="H191" s="20">
        <f t="shared" si="9"/>
        <v>10548382.939999999</v>
      </c>
      <c r="I191">
        <v>808774.52</v>
      </c>
      <c r="J191">
        <v>614688.6</v>
      </c>
      <c r="K191" s="18">
        <f t="shared" si="10"/>
        <v>1423463.12</v>
      </c>
      <c r="L191">
        <v>830966.34</v>
      </c>
      <c r="M191">
        <v>89007.33</v>
      </c>
      <c r="N191" s="23">
        <f t="shared" si="11"/>
        <v>919973.66999999993</v>
      </c>
      <c r="O191" t="s">
        <v>307</v>
      </c>
      <c r="P191" t="s">
        <v>309</v>
      </c>
    </row>
    <row r="192" spans="1:17">
      <c r="A192" s="8">
        <v>5740</v>
      </c>
      <c r="B192" t="s">
        <v>195</v>
      </c>
      <c r="C192">
        <v>19361203.300000001</v>
      </c>
      <c r="D192">
        <v>5404699.6299999999</v>
      </c>
      <c r="E192" s="19">
        <f t="shared" si="8"/>
        <v>24765902.93</v>
      </c>
      <c r="F192">
        <v>13817856</v>
      </c>
      <c r="G192">
        <v>12780070</v>
      </c>
      <c r="H192" s="20">
        <f t="shared" si="9"/>
        <v>26597926</v>
      </c>
      <c r="I192">
        <v>4450732.95</v>
      </c>
      <c r="J192">
        <v>4125769.2</v>
      </c>
      <c r="K192" s="18">
        <f t="shared" si="10"/>
        <v>8576502.1500000004</v>
      </c>
      <c r="L192">
        <v>4811652.68</v>
      </c>
      <c r="M192">
        <v>5213535.45</v>
      </c>
      <c r="N192" s="23">
        <f t="shared" si="11"/>
        <v>10025188.129999999</v>
      </c>
      <c r="O192" t="s">
        <v>307</v>
      </c>
      <c r="P192" t="s">
        <v>309</v>
      </c>
    </row>
    <row r="193" spans="1:16">
      <c r="A193" s="9">
        <v>5835</v>
      </c>
      <c r="B193" s="3" t="s">
        <v>196</v>
      </c>
      <c r="C193">
        <v>2789347.93</v>
      </c>
      <c r="D193">
        <v>586290.78</v>
      </c>
      <c r="E193" s="19">
        <f t="shared" si="8"/>
        <v>3375638.71</v>
      </c>
      <c r="F193">
        <v>3547131.09</v>
      </c>
      <c r="G193">
        <v>3355725.12</v>
      </c>
      <c r="H193" s="20">
        <f t="shared" si="9"/>
        <v>6902856.21</v>
      </c>
      <c r="I193">
        <v>421776.76</v>
      </c>
      <c r="J193">
        <v>598890.06999999995</v>
      </c>
      <c r="K193" s="18">
        <f t="shared" si="10"/>
        <v>1020666.83</v>
      </c>
      <c r="L193">
        <v>46594.27</v>
      </c>
      <c r="M193">
        <v>50108.9</v>
      </c>
      <c r="N193" s="23">
        <f t="shared" si="11"/>
        <v>96703.17</v>
      </c>
      <c r="O193" t="s">
        <v>307</v>
      </c>
      <c r="P193" t="s">
        <v>309</v>
      </c>
    </row>
    <row r="194" spans="1:16">
      <c r="A194" s="8">
        <v>5845</v>
      </c>
      <c r="B194" t="s">
        <v>197</v>
      </c>
      <c r="C194">
        <v>3020604.12</v>
      </c>
      <c r="D194">
        <v>551983.06000000006</v>
      </c>
      <c r="E194" s="19">
        <f t="shared" si="8"/>
        <v>3572587.18</v>
      </c>
      <c r="F194">
        <v>3016474.07</v>
      </c>
      <c r="G194">
        <v>2813744.78</v>
      </c>
      <c r="H194" s="20">
        <f t="shared" si="9"/>
        <v>5830218.8499999996</v>
      </c>
      <c r="I194">
        <v>395278.96</v>
      </c>
      <c r="J194">
        <v>538983.99</v>
      </c>
      <c r="K194" s="18">
        <f t="shared" si="10"/>
        <v>934262.95</v>
      </c>
      <c r="L194">
        <v>55352.67</v>
      </c>
      <c r="M194">
        <v>43925.56</v>
      </c>
      <c r="N194" s="23">
        <f t="shared" si="11"/>
        <v>99278.23</v>
      </c>
      <c r="O194" t="s">
        <v>307</v>
      </c>
      <c r="P194" t="s">
        <v>309</v>
      </c>
    </row>
    <row r="195" spans="1:16">
      <c r="A195" s="8">
        <v>5855</v>
      </c>
      <c r="B195" t="s">
        <v>198</v>
      </c>
      <c r="C195">
        <v>2451636.48</v>
      </c>
      <c r="D195">
        <v>533478.43999999994</v>
      </c>
      <c r="E195" s="19">
        <f t="shared" si="8"/>
        <v>2985114.92</v>
      </c>
      <c r="F195">
        <v>5584925.4500000002</v>
      </c>
      <c r="G195">
        <v>5043754.54</v>
      </c>
      <c r="H195" s="20">
        <f t="shared" si="9"/>
        <v>10628679.99</v>
      </c>
      <c r="I195">
        <v>2502822.4700000002</v>
      </c>
      <c r="J195">
        <v>3639409.6</v>
      </c>
      <c r="K195" s="18">
        <f t="shared" si="10"/>
        <v>6142232.0700000003</v>
      </c>
      <c r="L195">
        <v>2342625.44</v>
      </c>
      <c r="M195">
        <v>3116044.59</v>
      </c>
      <c r="N195" s="23">
        <f t="shared" si="11"/>
        <v>5458670.0299999993</v>
      </c>
      <c r="O195" t="s">
        <v>307</v>
      </c>
      <c r="P195" t="s">
        <v>309</v>
      </c>
    </row>
    <row r="196" spans="1:16">
      <c r="A196" s="8">
        <v>5900</v>
      </c>
      <c r="B196" t="s">
        <v>199</v>
      </c>
      <c r="C196">
        <v>1498116.45</v>
      </c>
      <c r="D196">
        <v>140543.85999999999</v>
      </c>
      <c r="E196" s="19">
        <f t="shared" si="8"/>
        <v>1638660.31</v>
      </c>
      <c r="F196">
        <v>2612940.59</v>
      </c>
      <c r="G196">
        <v>2483073.9900000002</v>
      </c>
      <c r="H196" s="20">
        <f t="shared" si="9"/>
        <v>5096014.58</v>
      </c>
      <c r="I196">
        <v>174458.76</v>
      </c>
      <c r="J196">
        <v>294677.44</v>
      </c>
      <c r="K196" s="18">
        <f t="shared" si="10"/>
        <v>469136.2</v>
      </c>
      <c r="M196">
        <v>57830</v>
      </c>
      <c r="N196" s="23">
        <f t="shared" si="11"/>
        <v>57830</v>
      </c>
      <c r="O196" t="s">
        <v>307</v>
      </c>
      <c r="P196" t="s">
        <v>309</v>
      </c>
    </row>
    <row r="197" spans="1:16">
      <c r="A197" s="8">
        <v>5910</v>
      </c>
      <c r="B197" t="s">
        <v>200</v>
      </c>
      <c r="C197">
        <v>575513.18000000005</v>
      </c>
      <c r="D197">
        <v>79760.77</v>
      </c>
      <c r="E197" s="19">
        <f t="shared" ref="E197:E260" si="12">SUM(C197:D197)</f>
        <v>655273.95000000007</v>
      </c>
      <c r="F197">
        <v>1069555.8400000001</v>
      </c>
      <c r="G197">
        <v>1014485.84</v>
      </c>
      <c r="H197" s="20">
        <f t="shared" ref="H197:H260" si="13">SUM(F197:G197)</f>
        <v>2084041.6800000002</v>
      </c>
      <c r="I197">
        <v>58954.11</v>
      </c>
      <c r="J197">
        <v>70246.66</v>
      </c>
      <c r="K197" s="18">
        <f t="shared" ref="K197:K260" si="14">SUM(I197:J197)</f>
        <v>129200.77</v>
      </c>
      <c r="L197">
        <v>1662.7</v>
      </c>
      <c r="M197">
        <v>3799.76</v>
      </c>
      <c r="N197" s="23">
        <f t="shared" ref="N197:N260" si="15">SUM(L197:M197)</f>
        <v>5462.46</v>
      </c>
      <c r="O197" t="s">
        <v>307</v>
      </c>
      <c r="P197" t="s">
        <v>309</v>
      </c>
    </row>
    <row r="198" spans="1:16">
      <c r="A198" s="8">
        <v>5925</v>
      </c>
      <c r="B198" t="s">
        <v>201</v>
      </c>
      <c r="C198">
        <v>5367797.82</v>
      </c>
      <c r="D198">
        <v>885148.51</v>
      </c>
      <c r="E198" s="19">
        <f t="shared" si="12"/>
        <v>6252946.3300000001</v>
      </c>
      <c r="F198">
        <v>11121013.4</v>
      </c>
      <c r="G198">
        <v>10447814.5</v>
      </c>
      <c r="H198" s="20">
        <f t="shared" si="13"/>
        <v>21568827.899999999</v>
      </c>
      <c r="I198">
        <v>1323043.49</v>
      </c>
      <c r="J198">
        <v>1784400.22</v>
      </c>
      <c r="K198" s="18">
        <f t="shared" si="14"/>
        <v>3107443.71</v>
      </c>
      <c r="L198">
        <v>416353.97</v>
      </c>
      <c r="M198">
        <v>731294.79</v>
      </c>
      <c r="N198" s="23">
        <f t="shared" si="15"/>
        <v>1147648.76</v>
      </c>
      <c r="O198" t="s">
        <v>307</v>
      </c>
      <c r="P198" t="s">
        <v>309</v>
      </c>
    </row>
    <row r="199" spans="1:16">
      <c r="A199" s="8">
        <v>5930</v>
      </c>
      <c r="B199" t="s">
        <v>202</v>
      </c>
      <c r="C199">
        <v>4222247.38</v>
      </c>
      <c r="D199">
        <v>400728.55</v>
      </c>
      <c r="E199" s="19">
        <f t="shared" si="12"/>
        <v>4622975.93</v>
      </c>
      <c r="F199">
        <v>8311098.1799999997</v>
      </c>
      <c r="G199">
        <v>7892971.1600000001</v>
      </c>
      <c r="H199" s="20">
        <f t="shared" si="13"/>
        <v>16204069.34</v>
      </c>
      <c r="I199">
        <v>752786.75</v>
      </c>
      <c r="J199">
        <v>593448.54</v>
      </c>
      <c r="K199" s="18">
        <f t="shared" si="14"/>
        <v>1346235.29</v>
      </c>
      <c r="L199">
        <v>91673.7</v>
      </c>
      <c r="M199">
        <v>193203.56</v>
      </c>
      <c r="N199" s="23">
        <f t="shared" si="15"/>
        <v>284877.26</v>
      </c>
      <c r="O199" t="s">
        <v>307</v>
      </c>
      <c r="P199" t="s">
        <v>309</v>
      </c>
    </row>
    <row r="200" spans="1:16">
      <c r="A200" s="8">
        <v>5945</v>
      </c>
      <c r="B200" t="s">
        <v>203</v>
      </c>
      <c r="C200">
        <v>1789684.03</v>
      </c>
      <c r="D200">
        <v>1716461.23</v>
      </c>
      <c r="E200" s="19">
        <f t="shared" si="12"/>
        <v>3506145.26</v>
      </c>
      <c r="F200">
        <v>3339495.81</v>
      </c>
      <c r="G200">
        <v>3006415.64</v>
      </c>
      <c r="H200" s="20">
        <f t="shared" si="13"/>
        <v>6345911.4500000002</v>
      </c>
      <c r="I200">
        <v>192994.43</v>
      </c>
      <c r="J200">
        <v>287686.59999999998</v>
      </c>
      <c r="K200" s="18">
        <f t="shared" si="14"/>
        <v>480681.02999999997</v>
      </c>
      <c r="L200">
        <v>42814.78</v>
      </c>
      <c r="M200">
        <v>138553.64000000001</v>
      </c>
      <c r="N200" s="23">
        <f t="shared" si="15"/>
        <v>181368.42</v>
      </c>
      <c r="O200" t="s">
        <v>307</v>
      </c>
      <c r="P200" t="s">
        <v>309</v>
      </c>
    </row>
    <row r="201" spans="1:16">
      <c r="A201" s="8">
        <v>5995</v>
      </c>
      <c r="B201" t="s">
        <v>204</v>
      </c>
      <c r="C201">
        <v>1527638.95</v>
      </c>
      <c r="D201">
        <v>1383899.6</v>
      </c>
      <c r="E201" s="19">
        <f t="shared" si="12"/>
        <v>2911538.55</v>
      </c>
      <c r="F201">
        <v>2031306.24</v>
      </c>
      <c r="G201">
        <v>1654793.84</v>
      </c>
      <c r="H201" s="20">
        <f t="shared" si="13"/>
        <v>3686100.08</v>
      </c>
      <c r="I201">
        <v>140709.66</v>
      </c>
      <c r="J201">
        <v>189467.18</v>
      </c>
      <c r="K201" s="18">
        <f t="shared" si="14"/>
        <v>330176.83999999997</v>
      </c>
      <c r="L201">
        <v>107530.53</v>
      </c>
      <c r="M201">
        <v>54910.25</v>
      </c>
      <c r="N201" s="23">
        <f t="shared" si="15"/>
        <v>162440.78</v>
      </c>
      <c r="O201" t="s">
        <v>307</v>
      </c>
      <c r="P201" t="s">
        <v>309</v>
      </c>
    </row>
    <row r="202" spans="1:16">
      <c r="A202" s="8">
        <v>6055</v>
      </c>
      <c r="B202" t="s">
        <v>205</v>
      </c>
      <c r="C202">
        <v>1666633.21</v>
      </c>
      <c r="D202">
        <v>141481.01999999999</v>
      </c>
      <c r="E202" s="19">
        <f t="shared" si="12"/>
        <v>1808114.23</v>
      </c>
      <c r="F202">
        <v>2944224.49</v>
      </c>
      <c r="G202">
        <v>2669954.48</v>
      </c>
      <c r="H202" s="20">
        <f t="shared" si="13"/>
        <v>5614178.9700000007</v>
      </c>
      <c r="I202">
        <v>176083.68</v>
      </c>
      <c r="J202">
        <v>172097.86</v>
      </c>
      <c r="K202" s="18">
        <f t="shared" si="14"/>
        <v>348181.54</v>
      </c>
      <c r="L202">
        <v>38740.81</v>
      </c>
      <c r="M202">
        <v>42390.13</v>
      </c>
      <c r="N202" s="23">
        <f t="shared" si="15"/>
        <v>81130.94</v>
      </c>
      <c r="O202" t="s">
        <v>307</v>
      </c>
      <c r="P202" t="s">
        <v>309</v>
      </c>
    </row>
    <row r="203" spans="1:16">
      <c r="A203" s="8">
        <v>6060</v>
      </c>
      <c r="B203" t="s">
        <v>206</v>
      </c>
      <c r="C203">
        <v>5025085.0199999996</v>
      </c>
      <c r="D203">
        <v>392861.77</v>
      </c>
      <c r="E203" s="19">
        <f t="shared" si="12"/>
        <v>5417946.7899999991</v>
      </c>
      <c r="F203">
        <v>7303661.7199999997</v>
      </c>
      <c r="G203">
        <v>6651425.3700000001</v>
      </c>
      <c r="H203" s="20">
        <f t="shared" si="13"/>
        <v>13955087.09</v>
      </c>
      <c r="I203">
        <v>778112.33</v>
      </c>
      <c r="J203">
        <v>853207.04000000004</v>
      </c>
      <c r="K203" s="18">
        <f t="shared" si="14"/>
        <v>1631319.37</v>
      </c>
      <c r="L203">
        <v>216250.83</v>
      </c>
      <c r="M203">
        <v>57749.13</v>
      </c>
      <c r="N203" s="23">
        <f t="shared" si="15"/>
        <v>273999.95999999996</v>
      </c>
      <c r="O203" t="s">
        <v>307</v>
      </c>
      <c r="P203" t="s">
        <v>309</v>
      </c>
    </row>
    <row r="204" spans="1:16">
      <c r="A204" s="9">
        <v>6065</v>
      </c>
      <c r="B204" s="3" t="s">
        <v>207</v>
      </c>
      <c r="C204">
        <v>1954780.66</v>
      </c>
      <c r="D204">
        <v>206294.56</v>
      </c>
      <c r="E204" s="19">
        <f t="shared" si="12"/>
        <v>2161075.2199999997</v>
      </c>
      <c r="F204">
        <v>6497806.3099999996</v>
      </c>
      <c r="G204">
        <v>6095415.3099999996</v>
      </c>
      <c r="H204" s="20">
        <f t="shared" si="13"/>
        <v>12593221.619999999</v>
      </c>
      <c r="I204">
        <v>857082.91</v>
      </c>
      <c r="J204">
        <v>785450.9</v>
      </c>
      <c r="K204" s="18">
        <f t="shared" si="14"/>
        <v>1642533.81</v>
      </c>
      <c r="L204">
        <v>21450.11</v>
      </c>
      <c r="M204">
        <v>608874.44999999995</v>
      </c>
      <c r="N204" s="23">
        <f t="shared" si="15"/>
        <v>630324.55999999994</v>
      </c>
      <c r="O204" t="s">
        <v>307</v>
      </c>
      <c r="P204" t="s">
        <v>309</v>
      </c>
    </row>
    <row r="205" spans="1:16">
      <c r="A205" s="8">
        <v>6080</v>
      </c>
      <c r="B205" t="s">
        <v>208</v>
      </c>
      <c r="C205">
        <v>1305586.9099999999</v>
      </c>
      <c r="D205">
        <v>706321.32</v>
      </c>
      <c r="E205" s="19">
        <f t="shared" si="12"/>
        <v>2011908.23</v>
      </c>
      <c r="F205">
        <v>1676003.46</v>
      </c>
      <c r="G205">
        <v>1598886.09</v>
      </c>
      <c r="H205" s="20">
        <f t="shared" si="13"/>
        <v>3274889.55</v>
      </c>
      <c r="I205">
        <v>75067.78</v>
      </c>
      <c r="J205">
        <v>127885.98</v>
      </c>
      <c r="K205" s="18">
        <f t="shared" si="14"/>
        <v>202953.76</v>
      </c>
      <c r="L205">
        <v>18215.419999999998</v>
      </c>
      <c r="M205">
        <v>47827.35</v>
      </c>
      <c r="N205" s="23">
        <f t="shared" si="15"/>
        <v>66042.76999999999</v>
      </c>
      <c r="O205" t="s">
        <v>307</v>
      </c>
      <c r="P205" t="s">
        <v>309</v>
      </c>
    </row>
    <row r="206" spans="1:16">
      <c r="A206" s="8">
        <v>6145</v>
      </c>
      <c r="B206" t="s">
        <v>209</v>
      </c>
      <c r="C206">
        <v>788641.95</v>
      </c>
      <c r="D206">
        <v>325494.96000000002</v>
      </c>
      <c r="E206" s="19">
        <f t="shared" si="12"/>
        <v>1114136.9099999999</v>
      </c>
      <c r="F206">
        <v>1831213.31</v>
      </c>
      <c r="G206">
        <v>1781798.69</v>
      </c>
      <c r="H206" s="20">
        <f t="shared" si="13"/>
        <v>3613012</v>
      </c>
      <c r="I206">
        <v>222572.27</v>
      </c>
      <c r="J206">
        <v>248601.25</v>
      </c>
      <c r="K206" s="18">
        <f t="shared" si="14"/>
        <v>471173.52</v>
      </c>
      <c r="L206">
        <v>13580.66</v>
      </c>
      <c r="M206">
        <v>6694.84</v>
      </c>
      <c r="N206" s="23">
        <f t="shared" si="15"/>
        <v>20275.5</v>
      </c>
      <c r="O206" t="s">
        <v>307</v>
      </c>
      <c r="P206" t="s">
        <v>309</v>
      </c>
    </row>
    <row r="207" spans="1:16">
      <c r="A207" s="8">
        <v>6155</v>
      </c>
      <c r="B207" t="s">
        <v>210</v>
      </c>
      <c r="C207">
        <v>1106773.52</v>
      </c>
      <c r="D207">
        <v>497644.27</v>
      </c>
      <c r="E207" s="19">
        <f t="shared" si="12"/>
        <v>1604417.79</v>
      </c>
      <c r="F207">
        <v>4319150.1900000004</v>
      </c>
      <c r="G207">
        <v>4062643</v>
      </c>
      <c r="H207" s="20">
        <f t="shared" si="13"/>
        <v>8381793.1900000004</v>
      </c>
      <c r="I207">
        <v>423823.88</v>
      </c>
      <c r="J207">
        <v>418428.54</v>
      </c>
      <c r="K207" s="18">
        <f t="shared" si="14"/>
        <v>842252.41999999993</v>
      </c>
      <c r="L207">
        <v>248167.66</v>
      </c>
      <c r="M207">
        <v>311003.09999999998</v>
      </c>
      <c r="N207" s="23">
        <f t="shared" si="15"/>
        <v>559170.76</v>
      </c>
      <c r="O207" t="s">
        <v>307</v>
      </c>
      <c r="P207" t="s">
        <v>309</v>
      </c>
    </row>
    <row r="208" spans="1:16">
      <c r="A208" s="8">
        <v>6160</v>
      </c>
      <c r="B208" t="s">
        <v>211</v>
      </c>
      <c r="C208">
        <v>767615.9</v>
      </c>
      <c r="D208" s="3">
        <v>371500.79999999999</v>
      </c>
      <c r="E208" s="19">
        <f t="shared" si="12"/>
        <v>1139116.7</v>
      </c>
      <c r="F208">
        <v>2359053.29</v>
      </c>
      <c r="G208">
        <v>2222134.7000000002</v>
      </c>
      <c r="H208" s="20">
        <f t="shared" si="13"/>
        <v>4581187.99</v>
      </c>
      <c r="I208">
        <v>151895.51</v>
      </c>
      <c r="J208">
        <v>331784.68</v>
      </c>
      <c r="K208" s="18">
        <f t="shared" si="14"/>
        <v>483680.19</v>
      </c>
      <c r="L208">
        <v>16728.02</v>
      </c>
      <c r="M208">
        <v>242758.38</v>
      </c>
      <c r="N208" s="23">
        <f t="shared" si="15"/>
        <v>259486.4</v>
      </c>
      <c r="O208" t="s">
        <v>307</v>
      </c>
      <c r="P208" t="s">
        <v>309</v>
      </c>
    </row>
    <row r="209" spans="1:17">
      <c r="A209" s="8">
        <v>6195</v>
      </c>
      <c r="B209" t="s">
        <v>212</v>
      </c>
      <c r="C209">
        <v>2463445.62</v>
      </c>
      <c r="D209">
        <v>2416062.9300000002</v>
      </c>
      <c r="E209" s="19">
        <f t="shared" si="12"/>
        <v>4879508.5500000007</v>
      </c>
      <c r="F209" s="3">
        <v>7597790.0199999996</v>
      </c>
      <c r="G209" s="3">
        <v>7168581.0499999998</v>
      </c>
      <c r="H209" s="20">
        <f t="shared" si="13"/>
        <v>14766371.07</v>
      </c>
      <c r="I209">
        <v>813327.23</v>
      </c>
      <c r="J209">
        <v>1002057.3</v>
      </c>
      <c r="K209" s="18">
        <f t="shared" si="14"/>
        <v>1815384.53</v>
      </c>
      <c r="L209">
        <v>28877.1</v>
      </c>
      <c r="M209">
        <v>26539.06</v>
      </c>
      <c r="N209" s="23">
        <f t="shared" si="15"/>
        <v>55416.160000000003</v>
      </c>
      <c r="O209" t="s">
        <v>307</v>
      </c>
      <c r="P209" t="s">
        <v>309</v>
      </c>
    </row>
    <row r="210" spans="1:17">
      <c r="A210" s="9">
        <v>6260</v>
      </c>
      <c r="B210" s="3" t="s">
        <v>213</v>
      </c>
      <c r="C210">
        <v>891002.14</v>
      </c>
      <c r="D210">
        <v>255836.22</v>
      </c>
      <c r="E210" s="19">
        <f t="shared" si="12"/>
        <v>1146838.3600000001</v>
      </c>
      <c r="F210">
        <v>2534290.94</v>
      </c>
      <c r="G210">
        <v>2344730.7000000002</v>
      </c>
      <c r="H210" s="20">
        <f t="shared" si="13"/>
        <v>4879021.6400000006</v>
      </c>
      <c r="I210">
        <v>191489.58</v>
      </c>
      <c r="J210">
        <v>348466.71</v>
      </c>
      <c r="K210" s="18">
        <f t="shared" si="14"/>
        <v>539956.29</v>
      </c>
      <c r="L210">
        <v>40716.699999999997</v>
      </c>
      <c r="M210">
        <v>25663.23</v>
      </c>
      <c r="N210" s="23">
        <f t="shared" si="15"/>
        <v>66379.929999999993</v>
      </c>
      <c r="O210" t="s">
        <v>307</v>
      </c>
      <c r="P210" t="s">
        <v>309</v>
      </c>
    </row>
    <row r="211" spans="1:17">
      <c r="A211" s="8">
        <v>6300</v>
      </c>
      <c r="B211" t="s">
        <v>214</v>
      </c>
      <c r="C211">
        <v>869142.63</v>
      </c>
      <c r="D211">
        <v>308539.15000000002</v>
      </c>
      <c r="E211" s="19">
        <f t="shared" si="12"/>
        <v>1177681.78</v>
      </c>
      <c r="F211">
        <v>2010127.24</v>
      </c>
      <c r="G211">
        <v>1825940.72</v>
      </c>
      <c r="H211" s="20">
        <f t="shared" si="13"/>
        <v>3836067.96</v>
      </c>
      <c r="I211" s="3">
        <v>149071.82</v>
      </c>
      <c r="J211" s="3">
        <v>171753.38</v>
      </c>
      <c r="K211" s="18">
        <f t="shared" si="14"/>
        <v>320825.2</v>
      </c>
      <c r="L211">
        <v>556105.99</v>
      </c>
      <c r="M211">
        <v>89992.83</v>
      </c>
      <c r="N211" s="23">
        <f t="shared" si="15"/>
        <v>646098.81999999995</v>
      </c>
      <c r="O211" t="s">
        <v>307</v>
      </c>
      <c r="P211" t="s">
        <v>309</v>
      </c>
    </row>
    <row r="212" spans="1:17">
      <c r="A212" s="8">
        <v>6310</v>
      </c>
      <c r="B212" t="s">
        <v>215</v>
      </c>
      <c r="C212">
        <v>615871.17000000004</v>
      </c>
      <c r="D212">
        <v>258860.34</v>
      </c>
      <c r="E212" s="19">
        <f t="shared" si="12"/>
        <v>874731.51</v>
      </c>
      <c r="F212">
        <v>1389899.88</v>
      </c>
      <c r="G212">
        <v>1300170.7</v>
      </c>
      <c r="H212" s="20">
        <f t="shared" si="13"/>
        <v>2690070.58</v>
      </c>
      <c r="I212">
        <v>214619.01</v>
      </c>
      <c r="J212">
        <v>341978.8</v>
      </c>
      <c r="K212" s="18">
        <f t="shared" si="14"/>
        <v>556597.81000000006</v>
      </c>
      <c r="L212">
        <v>19593.14</v>
      </c>
      <c r="M212">
        <v>18358.23</v>
      </c>
      <c r="N212" s="23">
        <f t="shared" si="15"/>
        <v>37951.369999999995</v>
      </c>
      <c r="O212" t="s">
        <v>307</v>
      </c>
      <c r="P212" t="s">
        <v>309</v>
      </c>
    </row>
    <row r="213" spans="1:17">
      <c r="A213" s="8">
        <v>6325</v>
      </c>
      <c r="B213" t="s">
        <v>216</v>
      </c>
      <c r="C213">
        <v>878693.16</v>
      </c>
      <c r="D213">
        <v>531060.27</v>
      </c>
      <c r="E213" s="19">
        <f t="shared" si="12"/>
        <v>1409753.4300000002</v>
      </c>
      <c r="F213">
        <v>2432037.15</v>
      </c>
      <c r="G213">
        <v>2785723.04</v>
      </c>
      <c r="H213" s="20">
        <f t="shared" si="13"/>
        <v>5217760.1899999995</v>
      </c>
      <c r="I213">
        <v>256681.47</v>
      </c>
      <c r="J213">
        <v>314063.40000000002</v>
      </c>
      <c r="K213" s="18">
        <f t="shared" si="14"/>
        <v>570744.87</v>
      </c>
      <c r="L213" s="3">
        <v>107335.58</v>
      </c>
      <c r="M213">
        <v>33017.050000000003</v>
      </c>
      <c r="N213" s="23">
        <f t="shared" si="15"/>
        <v>140352.63</v>
      </c>
      <c r="O213" t="s">
        <v>307</v>
      </c>
      <c r="P213" t="s">
        <v>309</v>
      </c>
    </row>
    <row r="214" spans="1:17">
      <c r="A214" s="9">
        <v>6340</v>
      </c>
      <c r="B214" s="3" t="s">
        <v>217</v>
      </c>
      <c r="C214" s="3">
        <v>230521.26</v>
      </c>
      <c r="D214">
        <v>121118.11</v>
      </c>
      <c r="E214" s="19">
        <f t="shared" si="12"/>
        <v>351639.37</v>
      </c>
      <c r="F214">
        <v>790233.35</v>
      </c>
      <c r="G214">
        <v>732761.52</v>
      </c>
      <c r="H214" s="20">
        <f t="shared" si="13"/>
        <v>1522994.87</v>
      </c>
      <c r="I214">
        <v>192639.28</v>
      </c>
      <c r="J214">
        <v>190631.73</v>
      </c>
      <c r="K214" s="18">
        <f t="shared" si="14"/>
        <v>383271.01</v>
      </c>
      <c r="L214" s="3"/>
      <c r="N214" s="23">
        <f t="shared" si="15"/>
        <v>0</v>
      </c>
      <c r="O214" t="s">
        <v>307</v>
      </c>
      <c r="P214" t="s">
        <v>309</v>
      </c>
      <c r="Q214" s="3"/>
    </row>
    <row r="215" spans="1:17" s="3" customFormat="1">
      <c r="A215" s="8">
        <v>6350</v>
      </c>
      <c r="B215" t="s">
        <v>218</v>
      </c>
      <c r="C215">
        <v>1491897.43</v>
      </c>
      <c r="D215">
        <v>917461.47</v>
      </c>
      <c r="E215" s="19">
        <f t="shared" si="12"/>
        <v>2409358.9</v>
      </c>
      <c r="F215">
        <v>3697455.59</v>
      </c>
      <c r="G215">
        <v>3379205.14</v>
      </c>
      <c r="H215" s="20">
        <f t="shared" si="13"/>
        <v>7076660.7300000004</v>
      </c>
      <c r="I215">
        <v>327511.53999999998</v>
      </c>
      <c r="J215">
        <v>362533.98</v>
      </c>
      <c r="K215" s="18">
        <f t="shared" si="14"/>
        <v>690045.52</v>
      </c>
      <c r="L215">
        <v>3058207.38</v>
      </c>
      <c r="M215" s="3">
        <v>116540.69</v>
      </c>
      <c r="N215" s="23">
        <f t="shared" si="15"/>
        <v>3174748.07</v>
      </c>
      <c r="O215" t="s">
        <v>307</v>
      </c>
      <c r="P215" t="s">
        <v>309</v>
      </c>
      <c r="Q215"/>
    </row>
    <row r="216" spans="1:17">
      <c r="A216" s="8">
        <v>6445</v>
      </c>
      <c r="B216" t="s">
        <v>219</v>
      </c>
      <c r="C216">
        <v>2711795.86</v>
      </c>
      <c r="D216">
        <v>1628117.68</v>
      </c>
      <c r="E216" s="19">
        <f t="shared" si="12"/>
        <v>4339913.54</v>
      </c>
      <c r="F216">
        <v>3258452.91</v>
      </c>
      <c r="G216">
        <v>3620916.64</v>
      </c>
      <c r="H216" s="20">
        <f t="shared" si="13"/>
        <v>6879369.5500000007</v>
      </c>
      <c r="I216">
        <v>240964.12</v>
      </c>
      <c r="J216">
        <v>410090.49</v>
      </c>
      <c r="K216" s="18">
        <f t="shared" si="14"/>
        <v>651054.61</v>
      </c>
      <c r="L216">
        <v>178625.18</v>
      </c>
      <c r="M216">
        <v>52974.96</v>
      </c>
      <c r="N216" s="23">
        <f t="shared" si="15"/>
        <v>231600.13999999998</v>
      </c>
      <c r="O216" t="s">
        <v>307</v>
      </c>
      <c r="P216" t="s">
        <v>309</v>
      </c>
    </row>
    <row r="217" spans="1:17">
      <c r="A217" s="8">
        <v>6460</v>
      </c>
      <c r="B217" t="s">
        <v>220</v>
      </c>
      <c r="C217">
        <v>1663126.32</v>
      </c>
      <c r="D217">
        <v>638165.4</v>
      </c>
      <c r="E217" s="19">
        <f t="shared" si="12"/>
        <v>2301291.7200000002</v>
      </c>
      <c r="F217">
        <v>2373526.86</v>
      </c>
      <c r="G217">
        <v>2248379.96</v>
      </c>
      <c r="H217" s="20">
        <f t="shared" si="13"/>
        <v>4621906.82</v>
      </c>
      <c r="I217">
        <v>66405.399999999994</v>
      </c>
      <c r="J217">
        <v>83116.039999999994</v>
      </c>
      <c r="K217" s="18">
        <f t="shared" si="14"/>
        <v>149521.44</v>
      </c>
      <c r="L217">
        <v>825940.21</v>
      </c>
      <c r="M217">
        <v>130968.96000000001</v>
      </c>
      <c r="N217" s="23">
        <f t="shared" si="15"/>
        <v>956909.16999999993</v>
      </c>
      <c r="O217" t="s">
        <v>307</v>
      </c>
      <c r="P217" t="s">
        <v>309</v>
      </c>
    </row>
    <row r="218" spans="1:17">
      <c r="A218" s="9">
        <v>6470</v>
      </c>
      <c r="B218" s="3" t="s">
        <v>221</v>
      </c>
      <c r="C218">
        <v>15224359.300000001</v>
      </c>
      <c r="D218">
        <v>5503664.9699999997</v>
      </c>
      <c r="E218" s="19">
        <f t="shared" si="12"/>
        <v>20728024.27</v>
      </c>
      <c r="F218">
        <v>6623732.1299999999</v>
      </c>
      <c r="G218">
        <v>6426536.4100000001</v>
      </c>
      <c r="H218" s="20">
        <f t="shared" si="13"/>
        <v>13050268.539999999</v>
      </c>
      <c r="I218">
        <v>559708.54</v>
      </c>
      <c r="J218">
        <v>659911.81000000006</v>
      </c>
      <c r="K218" s="18">
        <f t="shared" si="14"/>
        <v>1219620.3500000001</v>
      </c>
      <c r="L218">
        <v>2727480.48</v>
      </c>
      <c r="M218">
        <v>3009572.8</v>
      </c>
      <c r="N218" s="23">
        <f t="shared" si="15"/>
        <v>5737053.2799999993</v>
      </c>
      <c r="O218" t="s">
        <v>307</v>
      </c>
      <c r="P218" t="s">
        <v>309</v>
      </c>
    </row>
    <row r="219" spans="1:17">
      <c r="A219" s="8">
        <v>6510</v>
      </c>
      <c r="B219" t="s">
        <v>222</v>
      </c>
      <c r="C219">
        <v>5406122</v>
      </c>
      <c r="D219">
        <v>2237137.2200000002</v>
      </c>
      <c r="E219" s="19">
        <f t="shared" si="12"/>
        <v>7643259.2200000007</v>
      </c>
      <c r="F219">
        <v>3243571.21</v>
      </c>
      <c r="G219">
        <v>3021374.3</v>
      </c>
      <c r="H219" s="20">
        <f t="shared" si="13"/>
        <v>6264945.5099999998</v>
      </c>
      <c r="I219">
        <v>148994.26999999999</v>
      </c>
      <c r="J219">
        <v>151224.34</v>
      </c>
      <c r="K219" s="18">
        <f t="shared" si="14"/>
        <v>300218.61</v>
      </c>
      <c r="L219">
        <v>2152.91</v>
      </c>
      <c r="M219">
        <v>2336.12</v>
      </c>
      <c r="N219" s="23">
        <f t="shared" si="15"/>
        <v>4489.03</v>
      </c>
      <c r="O219" t="s">
        <v>307</v>
      </c>
      <c r="P219" t="s">
        <v>309</v>
      </c>
    </row>
    <row r="220" spans="1:17">
      <c r="A220" s="8">
        <v>6520</v>
      </c>
      <c r="B220" t="s">
        <v>223</v>
      </c>
      <c r="C220">
        <v>2692201.83</v>
      </c>
      <c r="D220">
        <v>1215329.77</v>
      </c>
      <c r="E220" s="19">
        <f t="shared" si="12"/>
        <v>3907531.6</v>
      </c>
      <c r="F220">
        <v>2822062.71</v>
      </c>
      <c r="G220">
        <v>2565930.71</v>
      </c>
      <c r="H220" s="20">
        <f t="shared" si="13"/>
        <v>5387993.4199999999</v>
      </c>
      <c r="I220">
        <v>113992.52</v>
      </c>
      <c r="J220">
        <v>62025.64</v>
      </c>
      <c r="K220" s="18">
        <f t="shared" si="14"/>
        <v>176018.16</v>
      </c>
      <c r="L220">
        <v>271235.23</v>
      </c>
      <c r="M220">
        <v>558182.26</v>
      </c>
      <c r="N220" s="23">
        <f t="shared" si="15"/>
        <v>829417.49</v>
      </c>
      <c r="O220" t="s">
        <v>307</v>
      </c>
      <c r="P220" t="s">
        <v>309</v>
      </c>
    </row>
    <row r="221" spans="1:17">
      <c r="A221" s="8">
        <v>6530</v>
      </c>
      <c r="B221" t="s">
        <v>224</v>
      </c>
      <c r="C221">
        <v>3246767.71</v>
      </c>
      <c r="D221">
        <v>1650337.27</v>
      </c>
      <c r="E221" s="19">
        <f t="shared" si="12"/>
        <v>4897104.9800000004</v>
      </c>
      <c r="F221">
        <v>2708825.95</v>
      </c>
      <c r="G221">
        <v>2635204.0699999998</v>
      </c>
      <c r="H221" s="20">
        <f t="shared" si="13"/>
        <v>5344030.0199999996</v>
      </c>
      <c r="I221">
        <v>78246.44</v>
      </c>
      <c r="J221">
        <v>115325.42</v>
      </c>
      <c r="K221" s="18">
        <f t="shared" si="14"/>
        <v>193571.86</v>
      </c>
      <c r="L221">
        <v>13647.97</v>
      </c>
      <c r="M221">
        <v>14183.07</v>
      </c>
      <c r="N221" s="23">
        <f t="shared" si="15"/>
        <v>27831.040000000001</v>
      </c>
      <c r="O221" t="s">
        <v>307</v>
      </c>
      <c r="P221" t="s">
        <v>309</v>
      </c>
    </row>
    <row r="222" spans="1:17">
      <c r="A222" s="8">
        <v>6550</v>
      </c>
      <c r="B222" t="s">
        <v>225</v>
      </c>
      <c r="C222">
        <v>11062568.4</v>
      </c>
      <c r="D222" s="3">
        <v>4860743.01</v>
      </c>
      <c r="E222" s="19">
        <f t="shared" si="12"/>
        <v>15923311.41</v>
      </c>
      <c r="F222">
        <v>17348039</v>
      </c>
      <c r="G222">
        <v>15529492</v>
      </c>
      <c r="H222" s="20">
        <f t="shared" si="13"/>
        <v>32877531</v>
      </c>
      <c r="I222">
        <v>1325034.68</v>
      </c>
      <c r="J222">
        <v>1892913.84</v>
      </c>
      <c r="K222" s="18">
        <f t="shared" si="14"/>
        <v>3217948.52</v>
      </c>
      <c r="L222">
        <v>2895748.23</v>
      </c>
      <c r="M222">
        <v>1431222.78</v>
      </c>
      <c r="N222" s="23">
        <f t="shared" si="15"/>
        <v>4326971.01</v>
      </c>
      <c r="O222" t="s">
        <v>307</v>
      </c>
      <c r="P222" t="s">
        <v>309</v>
      </c>
    </row>
    <row r="223" spans="1:17">
      <c r="A223" s="8">
        <v>6560</v>
      </c>
      <c r="B223" t="s">
        <v>226</v>
      </c>
      <c r="C223">
        <v>12469488.300000001</v>
      </c>
      <c r="D223">
        <v>5231830.34</v>
      </c>
      <c r="E223" s="19">
        <f t="shared" si="12"/>
        <v>17701318.640000001</v>
      </c>
      <c r="F223" s="3">
        <v>10534128.1</v>
      </c>
      <c r="G223" s="3">
        <v>9037582.7100000009</v>
      </c>
      <c r="H223" s="20">
        <f t="shared" si="13"/>
        <v>19571710.810000002</v>
      </c>
      <c r="I223">
        <v>605651.30000000005</v>
      </c>
      <c r="J223">
        <v>728934.29</v>
      </c>
      <c r="K223" s="18">
        <f t="shared" si="14"/>
        <v>1334585.5900000001</v>
      </c>
      <c r="L223">
        <v>3251958.02</v>
      </c>
      <c r="M223">
        <v>3284311.19</v>
      </c>
      <c r="N223" s="23">
        <f t="shared" si="15"/>
        <v>6536269.21</v>
      </c>
      <c r="O223" t="s">
        <v>307</v>
      </c>
      <c r="P223" t="s">
        <v>309</v>
      </c>
    </row>
    <row r="224" spans="1:17">
      <c r="A224" s="9">
        <v>6590</v>
      </c>
      <c r="B224" s="3" t="s">
        <v>227</v>
      </c>
      <c r="C224">
        <v>9497469.9900000002</v>
      </c>
      <c r="D224">
        <v>2513472.6800000002</v>
      </c>
      <c r="E224" s="19">
        <f t="shared" si="12"/>
        <v>12010942.67</v>
      </c>
      <c r="F224">
        <v>2345820.4900000002</v>
      </c>
      <c r="G224">
        <v>2138392.48</v>
      </c>
      <c r="H224" s="20">
        <f t="shared" si="13"/>
        <v>4484212.9700000007</v>
      </c>
      <c r="I224">
        <v>939307.7</v>
      </c>
      <c r="J224">
        <v>1019930.77</v>
      </c>
      <c r="K224" s="18">
        <f t="shared" si="14"/>
        <v>1959238.47</v>
      </c>
      <c r="L224">
        <v>130831.46</v>
      </c>
      <c r="M224">
        <v>54003.64</v>
      </c>
      <c r="N224" s="23">
        <f t="shared" si="15"/>
        <v>184835.1</v>
      </c>
      <c r="O224" t="s">
        <v>307</v>
      </c>
      <c r="P224" t="s">
        <v>309</v>
      </c>
    </row>
    <row r="225" spans="1:17">
      <c r="A225" s="8">
        <v>6600</v>
      </c>
      <c r="B225" t="s">
        <v>228</v>
      </c>
      <c r="C225">
        <v>2127508.2200000002</v>
      </c>
      <c r="D225">
        <v>498966.08</v>
      </c>
      <c r="E225" s="19">
        <f t="shared" si="12"/>
        <v>2626474.3000000003</v>
      </c>
      <c r="F225">
        <v>3255778.21</v>
      </c>
      <c r="G225">
        <v>2827959.67</v>
      </c>
      <c r="H225" s="20">
        <f t="shared" si="13"/>
        <v>6083737.8799999999</v>
      </c>
      <c r="I225" s="3">
        <v>267515.82</v>
      </c>
      <c r="J225" s="3">
        <v>304992.53999999998</v>
      </c>
      <c r="K225" s="18">
        <f t="shared" si="14"/>
        <v>572508.36</v>
      </c>
      <c r="L225">
        <v>67779.210000000006</v>
      </c>
      <c r="M225">
        <v>127249.87</v>
      </c>
      <c r="N225" s="23">
        <f t="shared" si="15"/>
        <v>195029.08000000002</v>
      </c>
      <c r="O225" t="s">
        <v>307</v>
      </c>
      <c r="P225" t="s">
        <v>309</v>
      </c>
    </row>
    <row r="226" spans="1:17">
      <c r="A226" s="9">
        <v>6610</v>
      </c>
      <c r="B226" s="3" t="s">
        <v>229</v>
      </c>
      <c r="C226">
        <v>614914.53</v>
      </c>
      <c r="D226">
        <v>178125.96</v>
      </c>
      <c r="E226" s="19">
        <f t="shared" si="12"/>
        <v>793040.49</v>
      </c>
      <c r="F226">
        <v>328750.64</v>
      </c>
      <c r="G226">
        <v>325235.28999999998</v>
      </c>
      <c r="H226" s="20">
        <f t="shared" si="13"/>
        <v>653985.92999999993</v>
      </c>
      <c r="I226">
        <v>56654.28</v>
      </c>
      <c r="J226">
        <v>92586.12</v>
      </c>
      <c r="K226" s="18">
        <f t="shared" si="14"/>
        <v>149240.4</v>
      </c>
      <c r="N226" s="23">
        <f t="shared" si="15"/>
        <v>0</v>
      </c>
      <c r="O226" t="s">
        <v>307</v>
      </c>
      <c r="P226" t="s">
        <v>309</v>
      </c>
    </row>
    <row r="227" spans="1:17">
      <c r="A227" s="8">
        <v>6620</v>
      </c>
      <c r="B227" t="s">
        <v>230</v>
      </c>
      <c r="C227">
        <v>2159880.7999999998</v>
      </c>
      <c r="D227">
        <v>452110.15</v>
      </c>
      <c r="E227" s="19">
        <f t="shared" si="12"/>
        <v>2611990.9499999997</v>
      </c>
      <c r="F227">
        <v>2740128.98</v>
      </c>
      <c r="G227">
        <v>2545893.88</v>
      </c>
      <c r="H227" s="20">
        <f t="shared" si="13"/>
        <v>5286022.8599999994</v>
      </c>
      <c r="I227">
        <v>262950.01</v>
      </c>
      <c r="J227">
        <v>304331.05</v>
      </c>
      <c r="K227" s="18">
        <f t="shared" si="14"/>
        <v>567281.06000000006</v>
      </c>
      <c r="L227">
        <v>128264.73</v>
      </c>
      <c r="M227">
        <v>11333.66</v>
      </c>
      <c r="N227" s="23">
        <f t="shared" si="15"/>
        <v>139598.38999999998</v>
      </c>
      <c r="O227" t="s">
        <v>307</v>
      </c>
      <c r="P227" t="s">
        <v>309</v>
      </c>
    </row>
    <row r="228" spans="1:17">
      <c r="A228" s="9">
        <v>6630</v>
      </c>
      <c r="B228" s="3" t="s">
        <v>231</v>
      </c>
      <c r="C228" s="3">
        <v>1466917.53</v>
      </c>
      <c r="D228">
        <v>319578.99</v>
      </c>
      <c r="E228" s="19">
        <f t="shared" si="12"/>
        <v>1786496.52</v>
      </c>
      <c r="F228">
        <v>2011459.31</v>
      </c>
      <c r="G228">
        <v>1898218.62</v>
      </c>
      <c r="H228" s="20">
        <f t="shared" si="13"/>
        <v>3909677.93</v>
      </c>
      <c r="I228">
        <v>1699200.66</v>
      </c>
      <c r="J228">
        <v>1580439.49</v>
      </c>
      <c r="K228" s="18">
        <f t="shared" si="14"/>
        <v>3279640.15</v>
      </c>
      <c r="L228">
        <v>347995.36</v>
      </c>
      <c r="M228">
        <v>811691.45</v>
      </c>
      <c r="N228" s="23">
        <f t="shared" si="15"/>
        <v>1159686.81</v>
      </c>
      <c r="O228" t="s">
        <v>307</v>
      </c>
      <c r="P228" t="s">
        <v>309</v>
      </c>
      <c r="Q228" s="3"/>
    </row>
    <row r="229" spans="1:17" s="3" customFormat="1">
      <c r="A229" s="8">
        <v>6705</v>
      </c>
      <c r="B229" t="s">
        <v>232</v>
      </c>
      <c r="C229">
        <v>5994641.8600000003</v>
      </c>
      <c r="D229">
        <v>215741.96</v>
      </c>
      <c r="E229" s="19">
        <f t="shared" si="12"/>
        <v>6210383.8200000003</v>
      </c>
      <c r="F229">
        <v>3145298.28</v>
      </c>
      <c r="G229">
        <v>2799396.28</v>
      </c>
      <c r="H229" s="20">
        <f t="shared" si="13"/>
        <v>5944694.5599999996</v>
      </c>
      <c r="I229">
        <v>59482.99</v>
      </c>
      <c r="J229">
        <v>201443.42</v>
      </c>
      <c r="K229" s="18">
        <f t="shared" si="14"/>
        <v>260926.41</v>
      </c>
      <c r="L229" s="3">
        <v>203792</v>
      </c>
      <c r="M229">
        <v>292889.81</v>
      </c>
      <c r="N229" s="23">
        <f t="shared" si="15"/>
        <v>496681.81</v>
      </c>
      <c r="O229" t="s">
        <v>307</v>
      </c>
      <c r="P229" t="s">
        <v>309</v>
      </c>
      <c r="Q229"/>
    </row>
    <row r="230" spans="1:17">
      <c r="A230" s="9">
        <v>6715</v>
      </c>
      <c r="B230" s="3" t="s">
        <v>233</v>
      </c>
      <c r="C230">
        <v>1762401.06</v>
      </c>
      <c r="D230">
        <v>181994.74</v>
      </c>
      <c r="E230" s="19">
        <f t="shared" si="12"/>
        <v>1944395.8</v>
      </c>
      <c r="F230">
        <v>3925351.28</v>
      </c>
      <c r="G230">
        <v>3555411</v>
      </c>
      <c r="H230" s="20">
        <f t="shared" si="13"/>
        <v>7480762.2799999993</v>
      </c>
      <c r="I230">
        <v>1271059.45</v>
      </c>
      <c r="J230">
        <v>1383052.46</v>
      </c>
      <c r="K230" s="18">
        <f t="shared" si="14"/>
        <v>2654111.91</v>
      </c>
      <c r="L230">
        <v>1871939.42</v>
      </c>
      <c r="M230" s="3">
        <v>2200618.59</v>
      </c>
      <c r="N230" s="23">
        <f t="shared" si="15"/>
        <v>4072558.01</v>
      </c>
      <c r="O230" t="s">
        <v>307</v>
      </c>
      <c r="P230" t="s">
        <v>309</v>
      </c>
    </row>
    <row r="231" spans="1:17">
      <c r="A231" s="8">
        <v>6750</v>
      </c>
      <c r="B231" t="s">
        <v>234</v>
      </c>
      <c r="C231">
        <v>1087734.51</v>
      </c>
      <c r="D231">
        <v>277020.23</v>
      </c>
      <c r="E231" s="19">
        <f t="shared" si="12"/>
        <v>1364754.74</v>
      </c>
      <c r="F231">
        <v>4051746.89</v>
      </c>
      <c r="G231">
        <v>3667964.22</v>
      </c>
      <c r="H231" s="20">
        <f t="shared" si="13"/>
        <v>7719711.1100000003</v>
      </c>
      <c r="I231">
        <v>283627.69</v>
      </c>
      <c r="J231">
        <v>420888.17</v>
      </c>
      <c r="K231" s="18">
        <f t="shared" si="14"/>
        <v>704515.86</v>
      </c>
      <c r="M231" s="3"/>
      <c r="N231" s="23">
        <f t="shared" si="15"/>
        <v>0</v>
      </c>
      <c r="O231" t="s">
        <v>307</v>
      </c>
      <c r="P231" t="s">
        <v>309</v>
      </c>
    </row>
    <row r="232" spans="1:17">
      <c r="A232" s="8">
        <v>6755</v>
      </c>
      <c r="B232" t="s">
        <v>235</v>
      </c>
      <c r="C232">
        <v>2515050.67</v>
      </c>
      <c r="D232">
        <v>240556.1</v>
      </c>
      <c r="E232" s="19">
        <f t="shared" si="12"/>
        <v>2755606.77</v>
      </c>
      <c r="F232">
        <v>3693096.25</v>
      </c>
      <c r="G232">
        <v>3403713.8</v>
      </c>
      <c r="H232" s="20">
        <f t="shared" si="13"/>
        <v>7096810.0499999998</v>
      </c>
      <c r="I232">
        <v>280942.94</v>
      </c>
      <c r="J232">
        <v>328795.48</v>
      </c>
      <c r="K232" s="18">
        <f t="shared" si="14"/>
        <v>609738.41999999993</v>
      </c>
      <c r="L232">
        <v>49060.75</v>
      </c>
      <c r="M232">
        <v>813416.28</v>
      </c>
      <c r="N232" s="23">
        <f t="shared" si="15"/>
        <v>862477.03</v>
      </c>
      <c r="O232" t="s">
        <v>307</v>
      </c>
      <c r="P232" t="s">
        <v>309</v>
      </c>
    </row>
    <row r="233" spans="1:17">
      <c r="A233" s="8">
        <v>6795</v>
      </c>
      <c r="B233" t="s">
        <v>236</v>
      </c>
      <c r="C233">
        <v>544294.59</v>
      </c>
      <c r="D233">
        <v>51279.25</v>
      </c>
      <c r="E233" s="19">
        <f t="shared" si="12"/>
        <v>595573.84</v>
      </c>
      <c r="F233">
        <v>1104616.33</v>
      </c>
      <c r="G233">
        <v>978726.43</v>
      </c>
      <c r="H233" s="20">
        <f t="shared" si="13"/>
        <v>2083342.7600000002</v>
      </c>
      <c r="I233">
        <v>85449.01</v>
      </c>
      <c r="J233">
        <v>108537.49</v>
      </c>
      <c r="K233" s="18">
        <f t="shared" si="14"/>
        <v>193986.5</v>
      </c>
      <c r="L233">
        <v>4101</v>
      </c>
      <c r="M233">
        <v>3718.83</v>
      </c>
      <c r="N233" s="23">
        <f t="shared" si="15"/>
        <v>7819.83</v>
      </c>
      <c r="O233" t="s">
        <v>307</v>
      </c>
      <c r="P233" t="s">
        <v>309</v>
      </c>
    </row>
    <row r="234" spans="1:17">
      <c r="A234" s="8">
        <v>6805</v>
      </c>
      <c r="B234" t="s">
        <v>237</v>
      </c>
      <c r="C234">
        <v>615469.82999999996</v>
      </c>
      <c r="D234">
        <v>209528.79</v>
      </c>
      <c r="E234" s="19">
        <f t="shared" si="12"/>
        <v>824998.62</v>
      </c>
      <c r="F234">
        <v>1367358.27</v>
      </c>
      <c r="G234">
        <v>1243130.8</v>
      </c>
      <c r="H234" s="20">
        <f t="shared" si="13"/>
        <v>2610489.0700000003</v>
      </c>
      <c r="I234">
        <v>155875.07999999999</v>
      </c>
      <c r="J234">
        <v>214612.22</v>
      </c>
      <c r="K234" s="18">
        <f t="shared" si="14"/>
        <v>370487.3</v>
      </c>
      <c r="L234">
        <v>11958.09</v>
      </c>
      <c r="M234">
        <v>21620.74</v>
      </c>
      <c r="N234" s="23">
        <f t="shared" si="15"/>
        <v>33578.83</v>
      </c>
      <c r="O234" t="s">
        <v>307</v>
      </c>
      <c r="P234" t="s">
        <v>309</v>
      </c>
    </row>
    <row r="235" spans="1:17">
      <c r="A235" s="8">
        <v>6820</v>
      </c>
      <c r="B235" t="s">
        <v>238</v>
      </c>
      <c r="C235">
        <v>829501.55</v>
      </c>
      <c r="D235">
        <v>222073.95</v>
      </c>
      <c r="E235" s="19">
        <f t="shared" si="12"/>
        <v>1051575.5</v>
      </c>
      <c r="F235">
        <v>2371353.87</v>
      </c>
      <c r="G235">
        <v>2138504.5499999998</v>
      </c>
      <c r="H235" s="20">
        <f t="shared" si="13"/>
        <v>4509858.42</v>
      </c>
      <c r="I235">
        <v>299562.33</v>
      </c>
      <c r="J235">
        <v>276114.02</v>
      </c>
      <c r="K235" s="18">
        <f t="shared" si="14"/>
        <v>575676.35000000009</v>
      </c>
      <c r="L235">
        <v>2796.01</v>
      </c>
      <c r="M235">
        <v>54937.04</v>
      </c>
      <c r="N235" s="23">
        <f t="shared" si="15"/>
        <v>57733.05</v>
      </c>
      <c r="O235" t="s">
        <v>307</v>
      </c>
      <c r="P235" t="s">
        <v>309</v>
      </c>
    </row>
    <row r="236" spans="1:17">
      <c r="A236" s="8">
        <v>6825</v>
      </c>
      <c r="B236" t="s">
        <v>239</v>
      </c>
      <c r="C236">
        <v>1405439.43</v>
      </c>
      <c r="D236">
        <v>519531.76</v>
      </c>
      <c r="E236" s="19">
        <f t="shared" si="12"/>
        <v>1924971.19</v>
      </c>
      <c r="F236">
        <v>3762221.8</v>
      </c>
      <c r="G236">
        <v>3517048.07</v>
      </c>
      <c r="H236" s="20">
        <f t="shared" si="13"/>
        <v>7279269.8699999992</v>
      </c>
      <c r="I236">
        <v>436603.5</v>
      </c>
      <c r="J236">
        <v>659131.35</v>
      </c>
      <c r="K236" s="18">
        <f t="shared" si="14"/>
        <v>1095734.8500000001</v>
      </c>
      <c r="L236">
        <v>22559.22</v>
      </c>
      <c r="M236">
        <v>28356.74</v>
      </c>
      <c r="N236" s="23">
        <f t="shared" si="15"/>
        <v>50915.960000000006</v>
      </c>
      <c r="O236" t="s">
        <v>307</v>
      </c>
      <c r="P236" t="s">
        <v>309</v>
      </c>
    </row>
    <row r="237" spans="1:17">
      <c r="A237" s="8">
        <v>6835</v>
      </c>
      <c r="B237" t="s">
        <v>240</v>
      </c>
      <c r="C237">
        <v>746172.8</v>
      </c>
      <c r="D237">
        <v>245767.85</v>
      </c>
      <c r="E237" s="19">
        <f t="shared" si="12"/>
        <v>991940.65</v>
      </c>
      <c r="F237">
        <v>2188826.27</v>
      </c>
      <c r="G237">
        <v>2443445.0299999998</v>
      </c>
      <c r="H237" s="20">
        <f t="shared" si="13"/>
        <v>4632271.3</v>
      </c>
      <c r="I237">
        <v>226948.46</v>
      </c>
      <c r="J237">
        <v>304645.34000000003</v>
      </c>
      <c r="K237" s="18">
        <f t="shared" si="14"/>
        <v>531593.80000000005</v>
      </c>
      <c r="L237">
        <v>2970425.68</v>
      </c>
      <c r="M237">
        <v>574415.68999999994</v>
      </c>
      <c r="N237" s="23">
        <f t="shared" si="15"/>
        <v>3544841.37</v>
      </c>
      <c r="O237" t="s">
        <v>307</v>
      </c>
      <c r="P237" t="s">
        <v>309</v>
      </c>
    </row>
    <row r="238" spans="1:17">
      <c r="A238" s="8">
        <v>6865</v>
      </c>
      <c r="B238" t="s">
        <v>241</v>
      </c>
      <c r="C238">
        <v>1017383.94</v>
      </c>
      <c r="D238">
        <v>250506.48</v>
      </c>
      <c r="E238" s="19">
        <f t="shared" si="12"/>
        <v>1267890.42</v>
      </c>
      <c r="F238">
        <v>3225982.17</v>
      </c>
      <c r="G238">
        <v>2903442.22</v>
      </c>
      <c r="H238" s="20">
        <f t="shared" si="13"/>
        <v>6129424.3900000006</v>
      </c>
      <c r="I238">
        <v>239189.37</v>
      </c>
      <c r="J238">
        <v>338234.96</v>
      </c>
      <c r="K238" s="18">
        <f t="shared" si="14"/>
        <v>577424.33000000007</v>
      </c>
      <c r="L238">
        <v>30500.55</v>
      </c>
      <c r="M238">
        <v>375876.01</v>
      </c>
      <c r="N238" s="23">
        <f t="shared" si="15"/>
        <v>406376.56</v>
      </c>
      <c r="O238" t="s">
        <v>307</v>
      </c>
      <c r="P238" t="s">
        <v>309</v>
      </c>
    </row>
    <row r="239" spans="1:17">
      <c r="A239" s="8">
        <v>6895</v>
      </c>
      <c r="B239" t="s">
        <v>242</v>
      </c>
      <c r="C239">
        <v>2378315.7599999998</v>
      </c>
      <c r="D239">
        <v>1674070.7</v>
      </c>
      <c r="E239" s="19">
        <f t="shared" si="12"/>
        <v>4052386.46</v>
      </c>
      <c r="F239">
        <v>2967937.91</v>
      </c>
      <c r="G239">
        <v>2751166.86</v>
      </c>
      <c r="H239" s="20">
        <f t="shared" si="13"/>
        <v>5719104.7699999996</v>
      </c>
      <c r="I239">
        <v>79713.39</v>
      </c>
      <c r="J239">
        <v>90106.18</v>
      </c>
      <c r="K239" s="18">
        <f t="shared" si="14"/>
        <v>169819.57</v>
      </c>
      <c r="L239">
        <v>18846.57</v>
      </c>
      <c r="M239">
        <v>38446.959999999999</v>
      </c>
      <c r="N239" s="23">
        <f t="shared" si="15"/>
        <v>57293.53</v>
      </c>
      <c r="O239" t="s">
        <v>307</v>
      </c>
      <c r="P239" t="s">
        <v>309</v>
      </c>
    </row>
    <row r="240" spans="1:17">
      <c r="A240" s="8">
        <v>6900</v>
      </c>
      <c r="B240" t="s">
        <v>243</v>
      </c>
      <c r="C240">
        <v>1033369.18</v>
      </c>
      <c r="D240">
        <v>306962.23</v>
      </c>
      <c r="E240" s="19">
        <f t="shared" si="12"/>
        <v>1340331.4100000001</v>
      </c>
      <c r="F240">
        <v>1991637.89</v>
      </c>
      <c r="G240">
        <v>2172617.54</v>
      </c>
      <c r="H240" s="20">
        <f t="shared" si="13"/>
        <v>4164255.4299999997</v>
      </c>
      <c r="I240">
        <v>136683.89000000001</v>
      </c>
      <c r="J240">
        <v>246174.33</v>
      </c>
      <c r="K240" s="18">
        <f t="shared" si="14"/>
        <v>382858.22</v>
      </c>
      <c r="L240">
        <v>1212.4000000000001</v>
      </c>
      <c r="M240">
        <v>5628.42</v>
      </c>
      <c r="N240" s="23">
        <f t="shared" si="15"/>
        <v>6840.82</v>
      </c>
      <c r="O240" t="s">
        <v>307</v>
      </c>
      <c r="P240" t="s">
        <v>309</v>
      </c>
    </row>
    <row r="241" spans="1:16">
      <c r="A241" s="8">
        <v>6910</v>
      </c>
      <c r="B241" t="s">
        <v>244</v>
      </c>
      <c r="C241">
        <v>871697.47</v>
      </c>
      <c r="D241">
        <v>528759.86</v>
      </c>
      <c r="E241" s="19">
        <f t="shared" si="12"/>
        <v>1400457.33</v>
      </c>
      <c r="F241">
        <v>3169349.38</v>
      </c>
      <c r="G241">
        <v>2869067.59</v>
      </c>
      <c r="H241" s="20">
        <f t="shared" si="13"/>
        <v>6038416.9699999997</v>
      </c>
      <c r="I241">
        <v>137741.35999999999</v>
      </c>
      <c r="J241">
        <v>251946.6</v>
      </c>
      <c r="K241" s="18">
        <f t="shared" si="14"/>
        <v>389687.95999999996</v>
      </c>
      <c r="N241" s="23">
        <f t="shared" si="15"/>
        <v>0</v>
      </c>
      <c r="O241" t="s">
        <v>307</v>
      </c>
      <c r="P241" t="s">
        <v>309</v>
      </c>
    </row>
    <row r="242" spans="1:16">
      <c r="A242" s="8">
        <v>6995</v>
      </c>
      <c r="B242" t="s">
        <v>245</v>
      </c>
      <c r="C242">
        <v>2966166.7</v>
      </c>
      <c r="D242">
        <v>907986.03</v>
      </c>
      <c r="E242" s="19">
        <f t="shared" si="12"/>
        <v>3874152.7300000004</v>
      </c>
      <c r="F242">
        <v>5012184.09</v>
      </c>
      <c r="G242">
        <v>4644501.59</v>
      </c>
      <c r="H242" s="20">
        <f t="shared" si="13"/>
        <v>9656685.6799999997</v>
      </c>
      <c r="I242">
        <v>602186.23</v>
      </c>
      <c r="J242">
        <v>788866.24</v>
      </c>
      <c r="K242" s="18">
        <f t="shared" si="14"/>
        <v>1391052.47</v>
      </c>
      <c r="L242">
        <v>36332.74</v>
      </c>
      <c r="M242">
        <v>58573.01</v>
      </c>
      <c r="N242" s="23">
        <f t="shared" si="15"/>
        <v>94905.75</v>
      </c>
      <c r="O242" t="s">
        <v>307</v>
      </c>
      <c r="P242" t="s">
        <v>309</v>
      </c>
    </row>
    <row r="243" spans="1:16">
      <c r="A243" s="8">
        <v>7150</v>
      </c>
      <c r="B243" t="s">
        <v>246</v>
      </c>
      <c r="C243">
        <v>2162349.5499999998</v>
      </c>
      <c r="D243">
        <v>267294.87</v>
      </c>
      <c r="E243" s="19">
        <f t="shared" si="12"/>
        <v>2429644.42</v>
      </c>
      <c r="F243">
        <v>3835506.26</v>
      </c>
      <c r="G243">
        <v>3557093.36</v>
      </c>
      <c r="H243" s="20">
        <f t="shared" si="13"/>
        <v>7392599.6199999992</v>
      </c>
      <c r="I243">
        <v>198076.32</v>
      </c>
      <c r="J243">
        <v>358282.52</v>
      </c>
      <c r="K243" s="18">
        <f t="shared" si="14"/>
        <v>556358.84000000008</v>
      </c>
      <c r="L243">
        <v>104257.92</v>
      </c>
      <c r="M243">
        <v>833454.25</v>
      </c>
      <c r="N243" s="23">
        <f t="shared" si="15"/>
        <v>937712.17</v>
      </c>
      <c r="O243" t="s">
        <v>307</v>
      </c>
      <c r="P243" t="s">
        <v>309</v>
      </c>
    </row>
    <row r="244" spans="1:16">
      <c r="A244" s="8">
        <v>7175</v>
      </c>
      <c r="B244" t="s">
        <v>247</v>
      </c>
      <c r="C244">
        <v>17748102.800000001</v>
      </c>
      <c r="D244">
        <v>1236365.81</v>
      </c>
      <c r="E244" s="19">
        <f t="shared" si="12"/>
        <v>18984468.609999999</v>
      </c>
      <c r="F244">
        <v>19050013.899999999</v>
      </c>
      <c r="G244">
        <v>18022025.5</v>
      </c>
      <c r="H244" s="20">
        <f t="shared" si="13"/>
        <v>37072039.399999999</v>
      </c>
      <c r="I244">
        <v>647833.84</v>
      </c>
      <c r="J244">
        <v>584623.85</v>
      </c>
      <c r="K244" s="18">
        <f t="shared" si="14"/>
        <v>1232457.69</v>
      </c>
      <c r="L244">
        <v>6604912.04</v>
      </c>
      <c r="M244">
        <v>5105265.28</v>
      </c>
      <c r="N244" s="23">
        <f t="shared" si="15"/>
        <v>11710177.32</v>
      </c>
      <c r="O244" t="s">
        <v>307</v>
      </c>
      <c r="P244" t="s">
        <v>309</v>
      </c>
    </row>
    <row r="245" spans="1:16">
      <c r="A245" s="9">
        <v>7200</v>
      </c>
      <c r="B245" s="3" t="s">
        <v>248</v>
      </c>
      <c r="C245">
        <v>5113532.01</v>
      </c>
      <c r="D245">
        <v>-16511.810000000001</v>
      </c>
      <c r="E245" s="19">
        <f t="shared" si="12"/>
        <v>5097020.2</v>
      </c>
      <c r="F245">
        <v>13732252.5</v>
      </c>
      <c r="G245">
        <v>13010706.199999999</v>
      </c>
      <c r="H245" s="20">
        <f t="shared" si="13"/>
        <v>26742958.699999999</v>
      </c>
      <c r="I245">
        <v>2147922.85</v>
      </c>
      <c r="J245">
        <v>4007639.17</v>
      </c>
      <c r="K245" s="18">
        <f t="shared" si="14"/>
        <v>6155562.0199999996</v>
      </c>
      <c r="L245">
        <v>8481162.5999999996</v>
      </c>
      <c r="M245">
        <v>10981625</v>
      </c>
      <c r="N245" s="23">
        <f t="shared" si="15"/>
        <v>19462787.600000001</v>
      </c>
      <c r="O245" t="s">
        <v>307</v>
      </c>
      <c r="P245" t="s">
        <v>309</v>
      </c>
    </row>
    <row r="246" spans="1:16">
      <c r="A246" s="8">
        <v>7205</v>
      </c>
      <c r="B246" t="s">
        <v>249</v>
      </c>
      <c r="C246">
        <v>29871214.399999999</v>
      </c>
      <c r="D246">
        <v>1040128.79</v>
      </c>
      <c r="E246" s="19">
        <f t="shared" si="12"/>
        <v>30911343.189999998</v>
      </c>
      <c r="F246">
        <v>53646963.799999997</v>
      </c>
      <c r="G246">
        <v>48995091.899999999</v>
      </c>
      <c r="H246" s="20">
        <f t="shared" si="13"/>
        <v>102642055.69999999</v>
      </c>
      <c r="I246">
        <v>13004678.1</v>
      </c>
      <c r="J246">
        <v>21418144.5</v>
      </c>
      <c r="K246" s="18">
        <f t="shared" si="14"/>
        <v>34422822.600000001</v>
      </c>
      <c r="L246">
        <v>2848188.68</v>
      </c>
      <c r="M246">
        <v>1381700.85</v>
      </c>
      <c r="N246" s="23">
        <f t="shared" si="15"/>
        <v>4229889.53</v>
      </c>
      <c r="O246" t="s">
        <v>307</v>
      </c>
      <c r="P246" t="s">
        <v>309</v>
      </c>
    </row>
    <row r="247" spans="1:16">
      <c r="A247" s="8">
        <v>7215</v>
      </c>
      <c r="B247" t="s">
        <v>250</v>
      </c>
      <c r="C247">
        <v>1573991.2</v>
      </c>
      <c r="D247">
        <v>258612.62</v>
      </c>
      <c r="E247" s="19">
        <f t="shared" si="12"/>
        <v>1832603.8199999998</v>
      </c>
      <c r="F247">
        <v>2706333.23</v>
      </c>
      <c r="G247">
        <v>2510017.33</v>
      </c>
      <c r="H247" s="20">
        <f t="shared" si="13"/>
        <v>5216350.5600000005</v>
      </c>
      <c r="I247">
        <v>140268.42000000001</v>
      </c>
      <c r="J247">
        <v>183217.57</v>
      </c>
      <c r="K247" s="18">
        <f t="shared" si="14"/>
        <v>323485.99</v>
      </c>
      <c r="L247">
        <v>18726.02</v>
      </c>
      <c r="M247">
        <v>956875.83</v>
      </c>
      <c r="N247" s="23">
        <f t="shared" si="15"/>
        <v>975601.85</v>
      </c>
      <c r="O247" t="s">
        <v>307</v>
      </c>
      <c r="P247" t="s">
        <v>309</v>
      </c>
    </row>
    <row r="248" spans="1:16">
      <c r="A248" s="8">
        <v>7230</v>
      </c>
      <c r="B248" t="s">
        <v>251</v>
      </c>
      <c r="C248">
        <v>1902014.25</v>
      </c>
      <c r="D248">
        <v>114522.07</v>
      </c>
      <c r="E248" s="19">
        <f t="shared" si="12"/>
        <v>2016536.32</v>
      </c>
      <c r="F248">
        <v>4154571.81</v>
      </c>
      <c r="G248">
        <v>3669096.36</v>
      </c>
      <c r="H248" s="20">
        <f t="shared" si="13"/>
        <v>7823668.1699999999</v>
      </c>
      <c r="I248">
        <v>634961.52</v>
      </c>
      <c r="J248">
        <v>612381.92000000004</v>
      </c>
      <c r="K248" s="18">
        <f t="shared" si="14"/>
        <v>1247343.44</v>
      </c>
      <c r="L248">
        <v>67588.28</v>
      </c>
      <c r="M248">
        <v>80398.3</v>
      </c>
      <c r="N248" s="23">
        <f t="shared" si="15"/>
        <v>147986.58000000002</v>
      </c>
      <c r="O248" t="s">
        <v>307</v>
      </c>
      <c r="P248" t="s">
        <v>309</v>
      </c>
    </row>
    <row r="249" spans="1:16">
      <c r="A249" s="8">
        <v>7255</v>
      </c>
      <c r="B249" t="s">
        <v>252</v>
      </c>
      <c r="C249">
        <v>2155762.85</v>
      </c>
      <c r="D249">
        <v>397623.89</v>
      </c>
      <c r="E249" s="19">
        <f t="shared" si="12"/>
        <v>2553386.7400000002</v>
      </c>
      <c r="F249">
        <v>6995932.0099999998</v>
      </c>
      <c r="G249">
        <v>6581757.5899999999</v>
      </c>
      <c r="H249" s="20">
        <f t="shared" si="13"/>
        <v>13577689.6</v>
      </c>
      <c r="I249">
        <v>533899.65</v>
      </c>
      <c r="J249">
        <v>586401.69999999995</v>
      </c>
      <c r="K249" s="18">
        <f t="shared" si="14"/>
        <v>1120301.3500000001</v>
      </c>
      <c r="L249">
        <v>559274.1</v>
      </c>
      <c r="M249">
        <v>89340.42</v>
      </c>
      <c r="N249" s="23">
        <f t="shared" si="15"/>
        <v>648614.52</v>
      </c>
      <c r="O249" t="s">
        <v>307</v>
      </c>
      <c r="P249" t="s">
        <v>309</v>
      </c>
    </row>
    <row r="250" spans="1:16">
      <c r="A250" s="8">
        <v>7285</v>
      </c>
      <c r="B250" t="s">
        <v>253</v>
      </c>
      <c r="C250">
        <v>1859779.23</v>
      </c>
      <c r="D250">
        <v>385846.72</v>
      </c>
      <c r="E250" s="19">
        <f t="shared" si="12"/>
        <v>2245625.9500000002</v>
      </c>
      <c r="F250">
        <v>2995828.01</v>
      </c>
      <c r="G250">
        <v>2656525.63</v>
      </c>
      <c r="H250" s="20">
        <f t="shared" si="13"/>
        <v>5652353.6399999997</v>
      </c>
      <c r="I250">
        <v>171209.69</v>
      </c>
      <c r="J250">
        <v>144431.35999999999</v>
      </c>
      <c r="K250" s="18">
        <f t="shared" si="14"/>
        <v>315641.05</v>
      </c>
      <c r="L250">
        <v>6370.2</v>
      </c>
      <c r="M250">
        <v>25282.99</v>
      </c>
      <c r="N250" s="23">
        <f t="shared" si="15"/>
        <v>31653.190000000002</v>
      </c>
      <c r="O250" t="s">
        <v>307</v>
      </c>
      <c r="P250" t="s">
        <v>309</v>
      </c>
    </row>
    <row r="251" spans="1:16">
      <c r="A251" s="8">
        <v>7350</v>
      </c>
      <c r="B251" t="s">
        <v>254</v>
      </c>
      <c r="C251">
        <v>1681655.79</v>
      </c>
      <c r="D251">
        <v>331822.18</v>
      </c>
      <c r="E251" s="19">
        <f t="shared" si="12"/>
        <v>2013477.97</v>
      </c>
      <c r="F251">
        <v>2914544.09</v>
      </c>
      <c r="G251">
        <v>2529128.77</v>
      </c>
      <c r="H251" s="20">
        <f t="shared" si="13"/>
        <v>5443672.8599999994</v>
      </c>
      <c r="I251">
        <v>153439.04999999999</v>
      </c>
      <c r="J251">
        <v>208608.64000000001</v>
      </c>
      <c r="K251" s="18">
        <f t="shared" si="14"/>
        <v>362047.69</v>
      </c>
      <c r="L251">
        <v>38673.300000000003</v>
      </c>
      <c r="M251">
        <v>35021.980000000003</v>
      </c>
      <c r="N251" s="23">
        <f t="shared" si="15"/>
        <v>73695.28</v>
      </c>
      <c r="O251" t="s">
        <v>307</v>
      </c>
      <c r="P251" t="s">
        <v>309</v>
      </c>
    </row>
    <row r="252" spans="1:16">
      <c r="A252" s="8">
        <v>7360</v>
      </c>
      <c r="B252" t="s">
        <v>255</v>
      </c>
      <c r="C252">
        <v>892747.32</v>
      </c>
      <c r="D252">
        <v>225943.33</v>
      </c>
      <c r="E252" s="19">
        <f t="shared" si="12"/>
        <v>1118690.6499999999</v>
      </c>
      <c r="F252">
        <v>1330097.53</v>
      </c>
      <c r="G252">
        <v>1227718.27</v>
      </c>
      <c r="H252" s="20">
        <f t="shared" si="13"/>
        <v>2557815.7999999998</v>
      </c>
      <c r="I252">
        <v>128787.3</v>
      </c>
      <c r="J252">
        <v>149531.19</v>
      </c>
      <c r="K252" s="18">
        <f t="shared" si="14"/>
        <v>278318.49</v>
      </c>
      <c r="L252">
        <v>14604.94</v>
      </c>
      <c r="M252">
        <v>24406.240000000002</v>
      </c>
      <c r="N252" s="23">
        <f t="shared" si="15"/>
        <v>39011.18</v>
      </c>
      <c r="O252" t="s">
        <v>307</v>
      </c>
      <c r="P252" t="s">
        <v>309</v>
      </c>
    </row>
    <row r="253" spans="1:16">
      <c r="A253" s="8">
        <v>7365</v>
      </c>
      <c r="B253" t="s">
        <v>256</v>
      </c>
      <c r="C253">
        <v>4044738.22</v>
      </c>
      <c r="D253">
        <v>959088.51</v>
      </c>
      <c r="E253" s="19">
        <f t="shared" si="12"/>
        <v>5003826.7300000004</v>
      </c>
      <c r="F253">
        <v>7734378.7000000002</v>
      </c>
      <c r="G253">
        <v>7269032.7800000003</v>
      </c>
      <c r="H253" s="20">
        <f t="shared" si="13"/>
        <v>15003411.48</v>
      </c>
      <c r="I253">
        <v>627382.1</v>
      </c>
      <c r="J253">
        <v>694056.82</v>
      </c>
      <c r="K253" s="18">
        <f t="shared" si="14"/>
        <v>1321438.92</v>
      </c>
      <c r="L253">
        <v>27154</v>
      </c>
      <c r="M253">
        <v>4275</v>
      </c>
      <c r="N253" s="23">
        <f t="shared" si="15"/>
        <v>31429</v>
      </c>
      <c r="O253" t="s">
        <v>307</v>
      </c>
      <c r="P253" t="s">
        <v>309</v>
      </c>
    </row>
    <row r="254" spans="1:16">
      <c r="A254" s="8">
        <v>7385</v>
      </c>
      <c r="B254" t="s">
        <v>257</v>
      </c>
      <c r="C254">
        <v>2181069.91</v>
      </c>
      <c r="D254">
        <v>1838629.84</v>
      </c>
      <c r="E254" s="19">
        <f t="shared" si="12"/>
        <v>4019699.75</v>
      </c>
      <c r="F254">
        <v>4235701.92</v>
      </c>
      <c r="G254">
        <v>3794215.44</v>
      </c>
      <c r="H254" s="20">
        <f t="shared" si="13"/>
        <v>8029917.3599999994</v>
      </c>
      <c r="I254">
        <v>382728.84</v>
      </c>
      <c r="J254">
        <v>396592.56</v>
      </c>
      <c r="K254" s="18">
        <f t="shared" si="14"/>
        <v>779321.4</v>
      </c>
      <c r="L254">
        <v>670389.46</v>
      </c>
      <c r="M254">
        <v>689723.09</v>
      </c>
      <c r="N254" s="23">
        <f t="shared" si="15"/>
        <v>1360112.5499999998</v>
      </c>
      <c r="O254" t="s">
        <v>307</v>
      </c>
      <c r="P254" t="s">
        <v>309</v>
      </c>
    </row>
    <row r="255" spans="1:16">
      <c r="A255" s="8">
        <v>7445</v>
      </c>
      <c r="B255" t="s">
        <v>258</v>
      </c>
      <c r="C255">
        <v>3493181.23</v>
      </c>
      <c r="D255">
        <v>2452199.37</v>
      </c>
      <c r="E255" s="19">
        <f t="shared" si="12"/>
        <v>5945380.5999999996</v>
      </c>
      <c r="F255">
        <v>1340061.68</v>
      </c>
      <c r="G255">
        <v>1340339</v>
      </c>
      <c r="H255" s="20">
        <f t="shared" si="13"/>
        <v>2680400.6799999997</v>
      </c>
      <c r="I255">
        <v>194350.51</v>
      </c>
      <c r="J255">
        <v>270196.71000000002</v>
      </c>
      <c r="K255" s="18">
        <f t="shared" si="14"/>
        <v>464547.22000000003</v>
      </c>
      <c r="L255">
        <v>725.67</v>
      </c>
      <c r="M255">
        <v>3470212.99</v>
      </c>
      <c r="N255" s="23">
        <f t="shared" si="15"/>
        <v>3470938.66</v>
      </c>
      <c r="O255" t="s">
        <v>307</v>
      </c>
      <c r="P255" t="s">
        <v>309</v>
      </c>
    </row>
    <row r="256" spans="1:16">
      <c r="A256" s="8">
        <v>7495</v>
      </c>
      <c r="B256" t="s">
        <v>259</v>
      </c>
      <c r="C256">
        <v>713491.18</v>
      </c>
      <c r="D256">
        <v>113826.18</v>
      </c>
      <c r="E256" s="19">
        <f t="shared" si="12"/>
        <v>827317.3600000001</v>
      </c>
      <c r="F256">
        <v>1756678.77</v>
      </c>
      <c r="G256">
        <v>1603274.26</v>
      </c>
      <c r="H256" s="20">
        <f t="shared" si="13"/>
        <v>3359953.0300000003</v>
      </c>
      <c r="I256">
        <v>103046.19</v>
      </c>
      <c r="J256">
        <v>160721.01</v>
      </c>
      <c r="K256" s="18">
        <f t="shared" si="14"/>
        <v>263767.2</v>
      </c>
      <c r="L256">
        <v>43459.85</v>
      </c>
      <c r="M256">
        <v>14067.17</v>
      </c>
      <c r="N256" s="23">
        <f t="shared" si="15"/>
        <v>57527.02</v>
      </c>
      <c r="O256" t="s">
        <v>307</v>
      </c>
      <c r="P256" t="s">
        <v>309</v>
      </c>
    </row>
    <row r="257" spans="1:16">
      <c r="A257" s="8">
        <v>7515</v>
      </c>
      <c r="B257" t="s">
        <v>260</v>
      </c>
      <c r="C257">
        <v>1088376.6599999999</v>
      </c>
      <c r="D257">
        <v>627970.44999999995</v>
      </c>
      <c r="E257" s="19">
        <f t="shared" si="12"/>
        <v>1716347.1099999999</v>
      </c>
      <c r="F257">
        <v>3912398.72</v>
      </c>
      <c r="G257">
        <v>3591970.07</v>
      </c>
      <c r="H257" s="20">
        <f t="shared" si="13"/>
        <v>7504368.79</v>
      </c>
      <c r="I257">
        <v>226529.41</v>
      </c>
      <c r="J257">
        <v>346642.19</v>
      </c>
      <c r="K257" s="18">
        <f t="shared" si="14"/>
        <v>573171.6</v>
      </c>
      <c r="L257">
        <v>61570.17</v>
      </c>
      <c r="M257">
        <v>37823.550000000003</v>
      </c>
      <c r="N257" s="23">
        <f t="shared" si="15"/>
        <v>99393.72</v>
      </c>
      <c r="O257" t="s">
        <v>307</v>
      </c>
      <c r="P257" t="s">
        <v>309</v>
      </c>
    </row>
    <row r="258" spans="1:16">
      <c r="A258" s="8">
        <v>7525</v>
      </c>
      <c r="B258" t="s">
        <v>261</v>
      </c>
      <c r="C258">
        <v>1535466.22</v>
      </c>
      <c r="D258">
        <v>1199305.04</v>
      </c>
      <c r="E258" s="19">
        <f t="shared" si="12"/>
        <v>2734771.26</v>
      </c>
      <c r="F258">
        <v>4999816.07</v>
      </c>
      <c r="G258">
        <v>4486247.42</v>
      </c>
      <c r="H258" s="20">
        <f t="shared" si="13"/>
        <v>9486063.4900000002</v>
      </c>
      <c r="I258">
        <v>545731.47</v>
      </c>
      <c r="J258">
        <v>800334.57</v>
      </c>
      <c r="K258" s="18">
        <f t="shared" si="14"/>
        <v>1346066.04</v>
      </c>
      <c r="L258">
        <v>77104.94</v>
      </c>
      <c r="M258">
        <v>42271.48</v>
      </c>
      <c r="N258" s="23">
        <f t="shared" si="15"/>
        <v>119376.42000000001</v>
      </c>
      <c r="O258" t="s">
        <v>307</v>
      </c>
      <c r="P258" t="s">
        <v>309</v>
      </c>
    </row>
    <row r="259" spans="1:16">
      <c r="A259" s="8">
        <v>7605</v>
      </c>
      <c r="B259" t="s">
        <v>262</v>
      </c>
      <c r="C259">
        <v>2967201.62</v>
      </c>
      <c r="D259">
        <v>107653.04</v>
      </c>
      <c r="E259" s="19">
        <f t="shared" si="12"/>
        <v>3074854.66</v>
      </c>
      <c r="F259">
        <v>932066.98</v>
      </c>
      <c r="G259">
        <v>782587.61</v>
      </c>
      <c r="H259" s="20">
        <f t="shared" si="13"/>
        <v>1714654.5899999999</v>
      </c>
      <c r="I259">
        <v>773957.8</v>
      </c>
      <c r="J259">
        <v>751570</v>
      </c>
      <c r="K259" s="18">
        <f t="shared" si="14"/>
        <v>1525527.8</v>
      </c>
      <c r="L259">
        <v>9192.9500000000007</v>
      </c>
      <c r="M259">
        <v>36235.589999999997</v>
      </c>
      <c r="N259" s="23">
        <f t="shared" si="15"/>
        <v>45428.539999999994</v>
      </c>
      <c r="O259" t="s">
        <v>307</v>
      </c>
      <c r="P259" t="s">
        <v>309</v>
      </c>
    </row>
    <row r="260" spans="1:16">
      <c r="A260" s="8">
        <v>7610</v>
      </c>
      <c r="B260" t="s">
        <v>263</v>
      </c>
      <c r="C260">
        <v>971290.96</v>
      </c>
      <c r="D260">
        <v>762603.92</v>
      </c>
      <c r="E260" s="19">
        <f t="shared" si="12"/>
        <v>1733894.88</v>
      </c>
      <c r="F260">
        <v>1212842.05</v>
      </c>
      <c r="G260">
        <v>943658.21</v>
      </c>
      <c r="H260" s="20">
        <f t="shared" si="13"/>
        <v>2156500.2599999998</v>
      </c>
      <c r="I260">
        <v>199817.60000000001</v>
      </c>
      <c r="J260">
        <v>239528.79</v>
      </c>
      <c r="K260" s="18">
        <f t="shared" si="14"/>
        <v>439346.39</v>
      </c>
      <c r="L260">
        <v>3301.09</v>
      </c>
      <c r="M260">
        <v>5304.57</v>
      </c>
      <c r="N260" s="23">
        <f t="shared" si="15"/>
        <v>8605.66</v>
      </c>
      <c r="O260" t="s">
        <v>307</v>
      </c>
      <c r="P260" t="s">
        <v>309</v>
      </c>
    </row>
    <row r="261" spans="1:16">
      <c r="A261" s="8">
        <v>7615</v>
      </c>
      <c r="B261" t="s">
        <v>264</v>
      </c>
      <c r="C261">
        <v>4445963.1500000004</v>
      </c>
      <c r="D261">
        <v>1211575.1499999999</v>
      </c>
      <c r="E261" s="19">
        <f t="shared" ref="E261:E296" si="16">SUM(C261:D261)</f>
        <v>5657538.3000000007</v>
      </c>
      <c r="F261">
        <v>4897219.5</v>
      </c>
      <c r="G261">
        <v>4450552.5199999996</v>
      </c>
      <c r="H261" s="20">
        <f t="shared" ref="H261:H296" si="17">SUM(F261:G261)</f>
        <v>9347772.0199999996</v>
      </c>
      <c r="I261">
        <v>359599.86</v>
      </c>
      <c r="J261">
        <v>538677.24</v>
      </c>
      <c r="K261" s="18">
        <f t="shared" ref="K261:K296" si="18">SUM(I261:J261)</f>
        <v>898277.1</v>
      </c>
      <c r="L261">
        <v>27176.51</v>
      </c>
      <c r="M261">
        <v>103974.63</v>
      </c>
      <c r="N261" s="23">
        <f t="shared" ref="N261:N296" si="19">SUM(L261:M261)</f>
        <v>131151.14000000001</v>
      </c>
      <c r="O261" t="s">
        <v>307</v>
      </c>
      <c r="P261" t="s">
        <v>309</v>
      </c>
    </row>
    <row r="262" spans="1:16">
      <c r="A262" s="8">
        <v>7645</v>
      </c>
      <c r="B262" t="s">
        <v>265</v>
      </c>
      <c r="C262">
        <v>1076574.73</v>
      </c>
      <c r="D262">
        <v>422156.64</v>
      </c>
      <c r="E262" s="19">
        <f t="shared" si="16"/>
        <v>1498731.37</v>
      </c>
      <c r="F262">
        <v>3575723.43</v>
      </c>
      <c r="G262">
        <v>3267547.05</v>
      </c>
      <c r="H262" s="20">
        <f t="shared" si="17"/>
        <v>6843270.4800000004</v>
      </c>
      <c r="I262">
        <v>399439.89</v>
      </c>
      <c r="J262">
        <v>498691.72</v>
      </c>
      <c r="K262" s="18">
        <f t="shared" si="18"/>
        <v>898131.61</v>
      </c>
      <c r="L262">
        <v>64532.17</v>
      </c>
      <c r="M262">
        <v>98244.09</v>
      </c>
      <c r="N262" s="23">
        <f t="shared" si="19"/>
        <v>162776.26</v>
      </c>
      <c r="O262" t="s">
        <v>307</v>
      </c>
      <c r="P262" t="s">
        <v>309</v>
      </c>
    </row>
    <row r="263" spans="1:16">
      <c r="A263" s="8">
        <v>7715</v>
      </c>
      <c r="B263" t="s">
        <v>266</v>
      </c>
      <c r="C263">
        <v>1937350.41</v>
      </c>
      <c r="D263">
        <v>753779.6</v>
      </c>
      <c r="E263" s="19">
        <f t="shared" si="16"/>
        <v>2691130.01</v>
      </c>
      <c r="F263">
        <v>3695869.84</v>
      </c>
      <c r="G263">
        <v>3357895.73</v>
      </c>
      <c r="H263" s="20">
        <f t="shared" si="17"/>
        <v>7053765.5700000003</v>
      </c>
      <c r="I263">
        <v>495347.66</v>
      </c>
      <c r="J263">
        <v>477965.95</v>
      </c>
      <c r="K263" s="18">
        <f t="shared" si="18"/>
        <v>973313.61</v>
      </c>
      <c r="L263">
        <v>9988.32</v>
      </c>
      <c r="M263">
        <v>435424.5</v>
      </c>
      <c r="N263" s="23">
        <f t="shared" si="19"/>
        <v>445412.82</v>
      </c>
      <c r="O263" t="s">
        <v>307</v>
      </c>
      <c r="P263" t="s">
        <v>309</v>
      </c>
    </row>
    <row r="264" spans="1:16">
      <c r="A264" s="8">
        <v>7775</v>
      </c>
      <c r="B264" t="s">
        <v>267</v>
      </c>
      <c r="C264">
        <v>1691777.08</v>
      </c>
      <c r="D264">
        <v>1555325.18</v>
      </c>
      <c r="E264" s="19">
        <f t="shared" si="16"/>
        <v>3247102.26</v>
      </c>
      <c r="F264">
        <v>3550561.9</v>
      </c>
      <c r="G264">
        <v>3209906.16</v>
      </c>
      <c r="H264" s="20">
        <f t="shared" si="17"/>
        <v>6760468.0600000005</v>
      </c>
      <c r="I264">
        <v>305091.68</v>
      </c>
      <c r="J264">
        <v>387862.16</v>
      </c>
      <c r="K264" s="18">
        <f t="shared" si="18"/>
        <v>692953.84</v>
      </c>
      <c r="L264">
        <v>68683.39</v>
      </c>
      <c r="M264">
        <v>61388.41</v>
      </c>
      <c r="N264" s="23">
        <f t="shared" si="19"/>
        <v>130071.8</v>
      </c>
      <c r="O264" t="s">
        <v>307</v>
      </c>
      <c r="P264" t="s">
        <v>309</v>
      </c>
    </row>
    <row r="265" spans="1:16">
      <c r="A265" s="8">
        <v>7855</v>
      </c>
      <c r="B265" t="s">
        <v>268</v>
      </c>
      <c r="C265">
        <v>11430663.5</v>
      </c>
      <c r="D265">
        <v>10147322.699999999</v>
      </c>
      <c r="E265" s="19">
        <f t="shared" si="16"/>
        <v>21577986.199999999</v>
      </c>
      <c r="F265">
        <v>14000530.5</v>
      </c>
      <c r="G265">
        <v>13307940.699999999</v>
      </c>
      <c r="H265" s="20">
        <f t="shared" si="17"/>
        <v>27308471.199999999</v>
      </c>
      <c r="I265">
        <v>4241095.58</v>
      </c>
      <c r="J265">
        <v>6000554.8600000003</v>
      </c>
      <c r="K265" s="18">
        <f t="shared" si="18"/>
        <v>10241650.440000001</v>
      </c>
      <c r="L265">
        <v>91421.49</v>
      </c>
      <c r="M265">
        <v>21038.799999999999</v>
      </c>
      <c r="N265" s="23">
        <f t="shared" si="19"/>
        <v>112460.29000000001</v>
      </c>
      <c r="O265" t="s">
        <v>307</v>
      </c>
      <c r="P265" t="s">
        <v>309</v>
      </c>
    </row>
    <row r="266" spans="1:16">
      <c r="A266" s="8">
        <v>7865</v>
      </c>
      <c r="B266" t="s">
        <v>269</v>
      </c>
      <c r="C266">
        <v>17311916.199999999</v>
      </c>
      <c r="D266">
        <v>16558535</v>
      </c>
      <c r="E266" s="19">
        <f t="shared" si="16"/>
        <v>33870451.200000003</v>
      </c>
      <c r="F266">
        <v>16410236.9</v>
      </c>
      <c r="G266">
        <v>15882593</v>
      </c>
      <c r="H266" s="20">
        <f t="shared" si="17"/>
        <v>32292829.899999999</v>
      </c>
      <c r="I266">
        <v>1407640.17</v>
      </c>
      <c r="J266">
        <v>1766266.63</v>
      </c>
      <c r="K266" s="18">
        <f t="shared" si="18"/>
        <v>3173906.8</v>
      </c>
      <c r="L266">
        <v>4211533.71</v>
      </c>
      <c r="M266">
        <v>351482.09</v>
      </c>
      <c r="N266" s="23">
        <f t="shared" si="19"/>
        <v>4563015.8</v>
      </c>
      <c r="O266" t="s">
        <v>307</v>
      </c>
      <c r="P266" t="s">
        <v>309</v>
      </c>
    </row>
    <row r="267" spans="1:16">
      <c r="A267" s="8">
        <v>7875</v>
      </c>
      <c r="B267" t="s">
        <v>270</v>
      </c>
      <c r="C267">
        <v>5898771.6500000004</v>
      </c>
      <c r="D267">
        <v>4634578.25</v>
      </c>
      <c r="E267" s="19">
        <f t="shared" si="16"/>
        <v>10533349.9</v>
      </c>
      <c r="F267">
        <v>1756208.32</v>
      </c>
      <c r="G267">
        <v>1314903.19</v>
      </c>
      <c r="H267" s="20">
        <f t="shared" si="17"/>
        <v>3071111.51</v>
      </c>
      <c r="I267">
        <v>95170</v>
      </c>
      <c r="J267">
        <v>166792.21</v>
      </c>
      <c r="K267" s="18">
        <f t="shared" si="18"/>
        <v>261962.21</v>
      </c>
      <c r="L267">
        <v>174139.01</v>
      </c>
      <c r="M267">
        <v>208110.74</v>
      </c>
      <c r="N267" s="23">
        <f t="shared" si="19"/>
        <v>382249.75</v>
      </c>
      <c r="O267" t="s">
        <v>307</v>
      </c>
      <c r="P267" t="s">
        <v>309</v>
      </c>
    </row>
    <row r="268" spans="1:16">
      <c r="A268" s="8">
        <v>7935</v>
      </c>
      <c r="B268" t="s">
        <v>271</v>
      </c>
      <c r="C268">
        <v>1131565.77</v>
      </c>
      <c r="D268">
        <v>1134840.24</v>
      </c>
      <c r="E268" s="19">
        <f t="shared" si="16"/>
        <v>2266406.0099999998</v>
      </c>
      <c r="F268">
        <v>2170251.98</v>
      </c>
      <c r="G268">
        <v>1942522.95</v>
      </c>
      <c r="H268" s="20">
        <f t="shared" si="17"/>
        <v>4112774.9299999997</v>
      </c>
      <c r="I268">
        <v>148573.85999999999</v>
      </c>
      <c r="J268">
        <v>103132.76</v>
      </c>
      <c r="K268" s="18">
        <f t="shared" si="18"/>
        <v>251706.62</v>
      </c>
      <c r="L268">
        <v>9840.2800000000007</v>
      </c>
      <c r="M268">
        <v>211042.64</v>
      </c>
      <c r="N268" s="23">
        <f t="shared" si="19"/>
        <v>220882.92</v>
      </c>
      <c r="O268" t="s">
        <v>307</v>
      </c>
      <c r="P268" t="s">
        <v>309</v>
      </c>
    </row>
    <row r="269" spans="1:16">
      <c r="A269" s="8">
        <v>7945</v>
      </c>
      <c r="B269" t="s">
        <v>272</v>
      </c>
      <c r="C269">
        <v>2192790.0099999998</v>
      </c>
      <c r="D269">
        <v>2289678.35</v>
      </c>
      <c r="E269" s="19">
        <f t="shared" si="16"/>
        <v>4482468.3599999994</v>
      </c>
      <c r="F269">
        <v>3295750.34</v>
      </c>
      <c r="G269">
        <v>3029040.99</v>
      </c>
      <c r="H269" s="20">
        <f t="shared" si="17"/>
        <v>6324791.3300000001</v>
      </c>
      <c r="I269">
        <v>147099.88</v>
      </c>
      <c r="J269">
        <v>191079.2</v>
      </c>
      <c r="K269" s="18">
        <f t="shared" si="18"/>
        <v>338179.08</v>
      </c>
      <c r="L269">
        <v>215436.12</v>
      </c>
      <c r="M269">
        <v>292355.56</v>
      </c>
      <c r="N269" s="23">
        <f t="shared" si="19"/>
        <v>507791.68</v>
      </c>
      <c r="O269" t="s">
        <v>307</v>
      </c>
      <c r="P269" t="s">
        <v>309</v>
      </c>
    </row>
    <row r="270" spans="1:16">
      <c r="A270" s="8">
        <v>7950</v>
      </c>
      <c r="B270" t="s">
        <v>273</v>
      </c>
      <c r="C270">
        <v>1669458.86</v>
      </c>
      <c r="D270">
        <v>365523.01</v>
      </c>
      <c r="E270" s="19">
        <f t="shared" si="16"/>
        <v>2034981.87</v>
      </c>
      <c r="F270">
        <v>3611716.44</v>
      </c>
      <c r="G270">
        <v>3342287.22</v>
      </c>
      <c r="H270" s="20">
        <f t="shared" si="17"/>
        <v>6954003.6600000001</v>
      </c>
      <c r="I270">
        <v>845877.03</v>
      </c>
      <c r="J270">
        <v>917791.06</v>
      </c>
      <c r="K270" s="18">
        <f t="shared" si="18"/>
        <v>1763668.09</v>
      </c>
      <c r="L270">
        <v>701052.88</v>
      </c>
      <c r="M270">
        <v>1291642.5900000001</v>
      </c>
      <c r="N270" s="23">
        <f t="shared" si="19"/>
        <v>1992695.4700000002</v>
      </c>
      <c r="O270" t="s">
        <v>307</v>
      </c>
      <c r="P270" t="s">
        <v>309</v>
      </c>
    </row>
    <row r="271" spans="1:16">
      <c r="A271" s="8">
        <v>7995</v>
      </c>
      <c r="B271" t="s">
        <v>274</v>
      </c>
      <c r="C271">
        <v>33970684.899999999</v>
      </c>
      <c r="D271">
        <v>33963395.600000001</v>
      </c>
      <c r="E271" s="19">
        <f t="shared" si="16"/>
        <v>67934080.5</v>
      </c>
      <c r="F271">
        <v>40359867.200000003</v>
      </c>
      <c r="G271">
        <v>37200385.200000003</v>
      </c>
      <c r="H271" s="20">
        <f t="shared" si="17"/>
        <v>77560252.400000006</v>
      </c>
      <c r="I271">
        <v>12054798.9</v>
      </c>
      <c r="J271">
        <v>13439810.699999999</v>
      </c>
      <c r="K271" s="18">
        <f t="shared" si="18"/>
        <v>25494609.600000001</v>
      </c>
      <c r="L271">
        <v>1009815.39</v>
      </c>
      <c r="M271">
        <v>713914.27</v>
      </c>
      <c r="N271" s="23">
        <f t="shared" si="19"/>
        <v>1723729.6600000001</v>
      </c>
      <c r="O271" t="s">
        <v>307</v>
      </c>
      <c r="P271" t="s">
        <v>309</v>
      </c>
    </row>
    <row r="272" spans="1:16">
      <c r="A272" s="8">
        <v>8010</v>
      </c>
      <c r="B272" t="s">
        <v>275</v>
      </c>
      <c r="C272">
        <v>1195892.6299999999</v>
      </c>
      <c r="D272">
        <v>438296.82</v>
      </c>
      <c r="E272" s="19">
        <f t="shared" si="16"/>
        <v>1634189.45</v>
      </c>
      <c r="F272">
        <v>1472499.26</v>
      </c>
      <c r="G272">
        <v>1393789.75</v>
      </c>
      <c r="H272" s="20">
        <f t="shared" si="17"/>
        <v>2866289.01</v>
      </c>
      <c r="I272">
        <v>157637.82</v>
      </c>
      <c r="J272">
        <v>257769.51</v>
      </c>
      <c r="K272" s="18">
        <f t="shared" si="18"/>
        <v>415407.33</v>
      </c>
      <c r="L272">
        <v>92960.37</v>
      </c>
      <c r="M272">
        <v>16441.39</v>
      </c>
      <c r="N272" s="23">
        <f t="shared" si="19"/>
        <v>109401.76</v>
      </c>
      <c r="O272" t="s">
        <v>307</v>
      </c>
      <c r="P272" t="s">
        <v>309</v>
      </c>
    </row>
    <row r="273" spans="1:16">
      <c r="A273" s="8">
        <v>8020</v>
      </c>
      <c r="B273" t="s">
        <v>276</v>
      </c>
      <c r="C273">
        <v>2008784.15</v>
      </c>
      <c r="D273">
        <v>702771.49</v>
      </c>
      <c r="E273" s="19">
        <f t="shared" si="16"/>
        <v>2711555.6399999997</v>
      </c>
      <c r="F273">
        <v>4237169.7300000004</v>
      </c>
      <c r="G273">
        <v>3921494.24</v>
      </c>
      <c r="H273" s="20">
        <f t="shared" si="17"/>
        <v>8158663.9700000007</v>
      </c>
      <c r="I273">
        <v>569392.73</v>
      </c>
      <c r="J273">
        <v>840925.58</v>
      </c>
      <c r="K273" s="18">
        <f t="shared" si="18"/>
        <v>1410318.31</v>
      </c>
      <c r="L273">
        <v>313763.77</v>
      </c>
      <c r="M273">
        <v>343674</v>
      </c>
      <c r="N273" s="23">
        <f t="shared" si="19"/>
        <v>657437.77</v>
      </c>
      <c r="O273" t="s">
        <v>307</v>
      </c>
      <c r="P273" t="s">
        <v>309</v>
      </c>
    </row>
    <row r="274" spans="1:16">
      <c r="A274" s="8">
        <v>8030</v>
      </c>
      <c r="B274" t="s">
        <v>277</v>
      </c>
      <c r="C274">
        <v>14102364.699999999</v>
      </c>
      <c r="D274">
        <v>2243246.27</v>
      </c>
      <c r="E274" s="19">
        <f t="shared" si="16"/>
        <v>16345610.969999999</v>
      </c>
      <c r="F274">
        <v>37706597.899999999</v>
      </c>
      <c r="G274">
        <v>34794621.799999997</v>
      </c>
      <c r="H274" s="20">
        <f t="shared" si="17"/>
        <v>72501219.699999988</v>
      </c>
      <c r="I274">
        <v>5432769.0599999996</v>
      </c>
      <c r="J274">
        <v>5708303.3799999999</v>
      </c>
      <c r="K274" s="18">
        <f t="shared" si="18"/>
        <v>11141072.439999999</v>
      </c>
      <c r="L274">
        <v>884847.85</v>
      </c>
      <c r="M274">
        <v>780665.5</v>
      </c>
      <c r="N274" s="23">
        <f t="shared" si="19"/>
        <v>1665513.35</v>
      </c>
      <c r="O274" t="s">
        <v>307</v>
      </c>
      <c r="P274" t="s">
        <v>309</v>
      </c>
    </row>
    <row r="275" spans="1:16">
      <c r="A275" s="8">
        <v>8045</v>
      </c>
      <c r="B275" t="s">
        <v>278</v>
      </c>
      <c r="C275">
        <v>1535184.92</v>
      </c>
      <c r="D275">
        <v>1973760.9</v>
      </c>
      <c r="E275" s="19">
        <f t="shared" si="16"/>
        <v>3508945.82</v>
      </c>
      <c r="F275">
        <v>3388794.52</v>
      </c>
      <c r="G275">
        <v>2930472.64</v>
      </c>
      <c r="H275" s="20">
        <f t="shared" si="17"/>
        <v>6319267.1600000001</v>
      </c>
      <c r="I275">
        <v>207667.76</v>
      </c>
      <c r="J275">
        <v>287069.36</v>
      </c>
      <c r="K275" s="18">
        <f t="shared" si="18"/>
        <v>494737.12</v>
      </c>
      <c r="L275">
        <v>20520.27</v>
      </c>
      <c r="M275">
        <v>16405.05</v>
      </c>
      <c r="N275" s="23">
        <f t="shared" si="19"/>
        <v>36925.32</v>
      </c>
      <c r="O275" t="s">
        <v>307</v>
      </c>
      <c r="P275" t="s">
        <v>309</v>
      </c>
    </row>
    <row r="276" spans="1:16">
      <c r="A276" s="8">
        <v>8050</v>
      </c>
      <c r="B276" t="s">
        <v>279</v>
      </c>
      <c r="C276">
        <v>2595130.84</v>
      </c>
      <c r="D276">
        <v>3713915.09</v>
      </c>
      <c r="E276" s="19">
        <f t="shared" si="16"/>
        <v>6309045.9299999997</v>
      </c>
      <c r="F276">
        <v>5182724.12</v>
      </c>
      <c r="G276">
        <v>4673873.33</v>
      </c>
      <c r="H276" s="20">
        <f t="shared" si="17"/>
        <v>9856597.4499999993</v>
      </c>
      <c r="I276">
        <v>1455982.24</v>
      </c>
      <c r="J276">
        <v>980255.27</v>
      </c>
      <c r="K276" s="18">
        <f t="shared" si="18"/>
        <v>2436237.5099999998</v>
      </c>
      <c r="L276">
        <v>1009128.67</v>
      </c>
      <c r="M276">
        <v>1014303.84</v>
      </c>
      <c r="N276" s="23">
        <f t="shared" si="19"/>
        <v>2023432.51</v>
      </c>
      <c r="O276" t="s">
        <v>307</v>
      </c>
      <c r="P276" t="s">
        <v>309</v>
      </c>
    </row>
    <row r="277" spans="1:16">
      <c r="A277" s="8">
        <v>8060</v>
      </c>
      <c r="B277" t="s">
        <v>280</v>
      </c>
      <c r="C277">
        <v>1698149.32</v>
      </c>
      <c r="D277">
        <v>1653652.46</v>
      </c>
      <c r="E277" s="19">
        <f t="shared" si="16"/>
        <v>3351801.7800000003</v>
      </c>
      <c r="F277">
        <v>3926250.58</v>
      </c>
      <c r="G277">
        <v>3656472.45</v>
      </c>
      <c r="H277" s="20">
        <f t="shared" si="17"/>
        <v>7582723.0300000003</v>
      </c>
      <c r="I277">
        <v>323843.20000000001</v>
      </c>
      <c r="J277">
        <v>382797.38</v>
      </c>
      <c r="K277" s="18">
        <f t="shared" si="18"/>
        <v>706640.58000000007</v>
      </c>
      <c r="L277">
        <v>11517.44</v>
      </c>
      <c r="M277">
        <v>58736.34</v>
      </c>
      <c r="N277" s="23">
        <f t="shared" si="19"/>
        <v>70253.78</v>
      </c>
      <c r="O277" t="s">
        <v>307</v>
      </c>
      <c r="P277" t="s">
        <v>309</v>
      </c>
    </row>
    <row r="278" spans="1:16">
      <c r="A278" s="8">
        <v>8115</v>
      </c>
      <c r="B278" t="s">
        <v>281</v>
      </c>
      <c r="C278">
        <v>1349547.05</v>
      </c>
      <c r="D278">
        <v>475429.03</v>
      </c>
      <c r="E278" s="19">
        <f t="shared" si="16"/>
        <v>1824976.08</v>
      </c>
      <c r="F278">
        <v>2658335.19</v>
      </c>
      <c r="G278">
        <v>2424755.83</v>
      </c>
      <c r="H278" s="20">
        <f t="shared" si="17"/>
        <v>5083091.0199999996</v>
      </c>
      <c r="I278">
        <v>545518.81000000006</v>
      </c>
      <c r="J278">
        <v>700402.97</v>
      </c>
      <c r="K278" s="18">
        <f t="shared" si="18"/>
        <v>1245921.78</v>
      </c>
      <c r="L278">
        <v>336814.2</v>
      </c>
      <c r="M278">
        <v>369710.02</v>
      </c>
      <c r="N278" s="23">
        <f t="shared" si="19"/>
        <v>706524.22</v>
      </c>
      <c r="O278" t="s">
        <v>307</v>
      </c>
      <c r="P278" t="s">
        <v>309</v>
      </c>
    </row>
    <row r="279" spans="1:16">
      <c r="A279" s="8">
        <v>8130</v>
      </c>
      <c r="B279" t="s">
        <v>282</v>
      </c>
      <c r="C279">
        <v>11891433.800000001</v>
      </c>
      <c r="D279">
        <v>1588592.98</v>
      </c>
      <c r="E279" s="19">
        <f t="shared" si="16"/>
        <v>13480026.780000001</v>
      </c>
      <c r="F279">
        <v>14925241.699999999</v>
      </c>
      <c r="G279">
        <v>14077801.199999999</v>
      </c>
      <c r="H279" s="20">
        <f t="shared" si="17"/>
        <v>29003042.899999999</v>
      </c>
      <c r="I279">
        <v>940544.65</v>
      </c>
      <c r="J279">
        <v>1266621.6399999999</v>
      </c>
      <c r="K279" s="18">
        <f t="shared" si="18"/>
        <v>2207166.29</v>
      </c>
      <c r="L279">
        <v>204061.73</v>
      </c>
      <c r="M279">
        <v>222045.08</v>
      </c>
      <c r="N279" s="23">
        <f t="shared" si="19"/>
        <v>426106.81</v>
      </c>
      <c r="O279" t="s">
        <v>307</v>
      </c>
      <c r="P279" t="s">
        <v>309</v>
      </c>
    </row>
    <row r="280" spans="1:16">
      <c r="A280" s="8">
        <v>8205</v>
      </c>
      <c r="B280" t="s">
        <v>283</v>
      </c>
      <c r="C280">
        <v>1567784.06</v>
      </c>
      <c r="D280">
        <v>116024.23</v>
      </c>
      <c r="E280" s="19">
        <f t="shared" si="16"/>
        <v>1683808.29</v>
      </c>
      <c r="F280">
        <v>4617243.7300000004</v>
      </c>
      <c r="G280">
        <v>4395098.8899999997</v>
      </c>
      <c r="H280" s="20">
        <f t="shared" si="17"/>
        <v>9012342.620000001</v>
      </c>
      <c r="I280">
        <v>382261.55</v>
      </c>
      <c r="J280">
        <v>489711.67</v>
      </c>
      <c r="K280" s="18">
        <f t="shared" si="18"/>
        <v>871973.22</v>
      </c>
      <c r="L280">
        <v>13540.46</v>
      </c>
      <c r="M280">
        <v>200.92</v>
      </c>
      <c r="N280" s="23">
        <f t="shared" si="19"/>
        <v>13741.38</v>
      </c>
      <c r="O280" t="s">
        <v>307</v>
      </c>
      <c r="P280" t="s">
        <v>309</v>
      </c>
    </row>
    <row r="281" spans="1:16">
      <c r="A281" s="8">
        <v>8215</v>
      </c>
      <c r="B281" t="s">
        <v>284</v>
      </c>
      <c r="C281">
        <v>1083877.18</v>
      </c>
      <c r="D281">
        <v>244893.37</v>
      </c>
      <c r="E281" s="19">
        <f t="shared" si="16"/>
        <v>1328770.5499999998</v>
      </c>
      <c r="F281">
        <v>4615427.47</v>
      </c>
      <c r="G281">
        <v>4172997.55</v>
      </c>
      <c r="H281" s="20">
        <f t="shared" si="17"/>
        <v>8788425.0199999996</v>
      </c>
      <c r="I281">
        <v>372532.2</v>
      </c>
      <c r="J281">
        <v>397483.85</v>
      </c>
      <c r="K281" s="18">
        <f t="shared" si="18"/>
        <v>770016.05</v>
      </c>
      <c r="L281">
        <v>10905.26</v>
      </c>
      <c r="M281">
        <v>212896.45</v>
      </c>
      <c r="N281" s="23">
        <f t="shared" si="19"/>
        <v>223801.71000000002</v>
      </c>
      <c r="O281" t="s">
        <v>307</v>
      </c>
      <c r="P281" t="s">
        <v>309</v>
      </c>
    </row>
    <row r="282" spans="1:16">
      <c r="A282" s="8">
        <v>8220</v>
      </c>
      <c r="B282" t="s">
        <v>285</v>
      </c>
      <c r="C282">
        <v>889358.84</v>
      </c>
      <c r="D282">
        <v>181889.64</v>
      </c>
      <c r="E282" s="19">
        <f t="shared" si="16"/>
        <v>1071248.48</v>
      </c>
      <c r="F282">
        <v>2546572.83</v>
      </c>
      <c r="G282">
        <v>2179722.36</v>
      </c>
      <c r="H282" s="20">
        <f t="shared" si="17"/>
        <v>4726295.1899999995</v>
      </c>
      <c r="I282">
        <v>86251.25</v>
      </c>
      <c r="J282">
        <v>364996.22</v>
      </c>
      <c r="K282" s="18">
        <f t="shared" si="18"/>
        <v>451247.47</v>
      </c>
      <c r="M282">
        <v>34758.5</v>
      </c>
      <c r="N282" s="23">
        <f t="shared" si="19"/>
        <v>34758.5</v>
      </c>
      <c r="O282" t="s">
        <v>307</v>
      </c>
      <c r="P282" t="s">
        <v>309</v>
      </c>
    </row>
    <row r="283" spans="1:16">
      <c r="A283" s="9">
        <v>8305</v>
      </c>
      <c r="B283" s="3" t="s">
        <v>286</v>
      </c>
      <c r="C283">
        <v>1178846.29</v>
      </c>
      <c r="D283">
        <v>254876.15</v>
      </c>
      <c r="E283" s="19">
        <f t="shared" si="16"/>
        <v>1433722.44</v>
      </c>
      <c r="F283">
        <v>2858347.88</v>
      </c>
      <c r="G283">
        <v>2656088.6</v>
      </c>
      <c r="H283" s="20">
        <f t="shared" si="17"/>
        <v>5514436.4800000004</v>
      </c>
      <c r="I283">
        <v>162887.26999999999</v>
      </c>
      <c r="J283">
        <v>168784.66</v>
      </c>
      <c r="K283" s="18">
        <f t="shared" si="18"/>
        <v>331671.93</v>
      </c>
      <c r="L283">
        <v>55701.16</v>
      </c>
      <c r="M283">
        <v>21120.15</v>
      </c>
      <c r="N283" s="23">
        <f t="shared" si="19"/>
        <v>76821.31</v>
      </c>
      <c r="O283" t="s">
        <v>307</v>
      </c>
      <c r="P283" t="s">
        <v>309</v>
      </c>
    </row>
    <row r="284" spans="1:16">
      <c r="A284" s="8">
        <v>8355</v>
      </c>
      <c r="B284" t="s">
        <v>287</v>
      </c>
      <c r="C284">
        <v>833801.24</v>
      </c>
      <c r="D284">
        <v>204400.74</v>
      </c>
      <c r="E284" s="19">
        <f t="shared" si="16"/>
        <v>1038201.98</v>
      </c>
      <c r="F284">
        <v>2928881.24</v>
      </c>
      <c r="G284">
        <v>2870844.11</v>
      </c>
      <c r="H284" s="20">
        <f t="shared" si="17"/>
        <v>5799725.3499999996</v>
      </c>
      <c r="I284">
        <v>151058.5</v>
      </c>
      <c r="J284">
        <v>313993.13</v>
      </c>
      <c r="K284" s="18">
        <f t="shared" si="18"/>
        <v>465051.63</v>
      </c>
      <c r="L284">
        <v>14099</v>
      </c>
      <c r="M284">
        <v>1307.4000000000001</v>
      </c>
      <c r="N284" s="23">
        <f t="shared" si="19"/>
        <v>15406.4</v>
      </c>
      <c r="O284" t="s">
        <v>307</v>
      </c>
      <c r="P284" t="s">
        <v>309</v>
      </c>
    </row>
    <row r="285" spans="1:16">
      <c r="A285" s="8">
        <v>8360</v>
      </c>
      <c r="B285" t="s">
        <v>288</v>
      </c>
      <c r="C285">
        <v>1328201.18</v>
      </c>
      <c r="D285">
        <v>301644.01</v>
      </c>
      <c r="E285" s="19">
        <f t="shared" si="16"/>
        <v>1629845.19</v>
      </c>
      <c r="F285">
        <v>3663371.17</v>
      </c>
      <c r="G285">
        <v>3419000.84</v>
      </c>
      <c r="H285" s="20">
        <f t="shared" si="17"/>
        <v>7082372.0099999998</v>
      </c>
      <c r="I285">
        <v>148102.31</v>
      </c>
      <c r="J285">
        <v>312799.84000000003</v>
      </c>
      <c r="K285" s="18">
        <f t="shared" si="18"/>
        <v>460902.15</v>
      </c>
      <c r="L285">
        <v>5183.3</v>
      </c>
      <c r="M285">
        <v>6694.56</v>
      </c>
      <c r="N285" s="23">
        <f t="shared" si="19"/>
        <v>11877.86</v>
      </c>
      <c r="O285" t="s">
        <v>307</v>
      </c>
      <c r="P285" t="s">
        <v>309</v>
      </c>
    </row>
    <row r="286" spans="1:16">
      <c r="A286" s="8">
        <v>8375</v>
      </c>
      <c r="B286" t="s">
        <v>289</v>
      </c>
      <c r="C286">
        <v>931523.08</v>
      </c>
      <c r="D286">
        <v>190342.33</v>
      </c>
      <c r="E286" s="19">
        <f t="shared" si="16"/>
        <v>1121865.4099999999</v>
      </c>
      <c r="F286">
        <v>2561376.7400000002</v>
      </c>
      <c r="G286">
        <v>2339152.61</v>
      </c>
      <c r="H286" s="20">
        <f t="shared" si="17"/>
        <v>4900529.3499999996</v>
      </c>
      <c r="I286">
        <v>120067.75</v>
      </c>
      <c r="J286">
        <v>142898.44</v>
      </c>
      <c r="K286" s="18">
        <f t="shared" si="18"/>
        <v>262966.19</v>
      </c>
      <c r="L286">
        <v>2859484</v>
      </c>
      <c r="M286">
        <v>184524.71</v>
      </c>
      <c r="N286" s="23">
        <f t="shared" si="19"/>
        <v>3044008.71</v>
      </c>
      <c r="O286" t="s">
        <v>307</v>
      </c>
      <c r="P286" t="s">
        <v>309</v>
      </c>
    </row>
    <row r="287" spans="1:16">
      <c r="A287" s="8">
        <v>8385</v>
      </c>
      <c r="B287" t="s">
        <v>290</v>
      </c>
      <c r="C287">
        <v>7840021.2699999996</v>
      </c>
      <c r="D287">
        <v>2089127.06</v>
      </c>
      <c r="E287" s="19">
        <f t="shared" si="16"/>
        <v>9929148.3300000001</v>
      </c>
      <c r="F287">
        <v>13294867.300000001</v>
      </c>
      <c r="G287">
        <v>12086475.300000001</v>
      </c>
      <c r="H287" s="20">
        <f t="shared" si="17"/>
        <v>25381342.600000001</v>
      </c>
      <c r="I287">
        <v>2737365.67</v>
      </c>
      <c r="J287">
        <v>3113930.25</v>
      </c>
      <c r="K287" s="18">
        <f t="shared" si="18"/>
        <v>5851295.9199999999</v>
      </c>
      <c r="L287">
        <v>16420.22</v>
      </c>
      <c r="M287">
        <v>191113.16</v>
      </c>
      <c r="N287" s="23">
        <f t="shared" si="19"/>
        <v>207533.38</v>
      </c>
      <c r="O287" t="s">
        <v>307</v>
      </c>
      <c r="P287" t="s">
        <v>309</v>
      </c>
    </row>
    <row r="288" spans="1:16">
      <c r="A288" s="8">
        <v>8425</v>
      </c>
      <c r="B288" t="s">
        <v>291</v>
      </c>
      <c r="C288">
        <v>920886.63</v>
      </c>
      <c r="D288">
        <v>418404.61</v>
      </c>
      <c r="E288" s="19">
        <f t="shared" si="16"/>
        <v>1339291.24</v>
      </c>
      <c r="F288">
        <v>1733862.66</v>
      </c>
      <c r="G288">
        <v>1483583.45</v>
      </c>
      <c r="H288" s="20">
        <f t="shared" si="17"/>
        <v>3217446.11</v>
      </c>
      <c r="I288">
        <v>46260.65</v>
      </c>
      <c r="J288">
        <v>75481.53</v>
      </c>
      <c r="K288" s="18">
        <f t="shared" si="18"/>
        <v>121742.18</v>
      </c>
      <c r="L288">
        <v>240</v>
      </c>
      <c r="M288">
        <v>6058.47</v>
      </c>
      <c r="N288" s="23">
        <f t="shared" si="19"/>
        <v>6298.47</v>
      </c>
      <c r="O288" t="s">
        <v>307</v>
      </c>
      <c r="P288" t="s">
        <v>309</v>
      </c>
    </row>
    <row r="289" spans="1:17">
      <c r="A289" s="8">
        <v>8435</v>
      </c>
      <c r="B289" t="s">
        <v>292</v>
      </c>
      <c r="C289">
        <v>3538100.04</v>
      </c>
      <c r="D289">
        <v>943801.49</v>
      </c>
      <c r="E289" s="19">
        <f t="shared" si="16"/>
        <v>4481901.53</v>
      </c>
      <c r="F289">
        <v>5184191.42</v>
      </c>
      <c r="G289">
        <v>4688407.5199999996</v>
      </c>
      <c r="H289" s="20">
        <f t="shared" si="17"/>
        <v>9872598.9399999995</v>
      </c>
      <c r="I289">
        <v>264274.46000000002</v>
      </c>
      <c r="J289">
        <v>468223.49</v>
      </c>
      <c r="K289" s="18">
        <f t="shared" si="18"/>
        <v>732497.95</v>
      </c>
      <c r="L289">
        <v>201860.78</v>
      </c>
      <c r="M289">
        <v>71410.39</v>
      </c>
      <c r="N289" s="23">
        <f t="shared" si="19"/>
        <v>273271.17</v>
      </c>
      <c r="O289" t="s">
        <v>307</v>
      </c>
      <c r="P289" t="s">
        <v>309</v>
      </c>
    </row>
    <row r="290" spans="1:17">
      <c r="A290" s="8">
        <v>8445</v>
      </c>
      <c r="B290" t="s">
        <v>293</v>
      </c>
      <c r="C290">
        <v>1494854.63</v>
      </c>
      <c r="D290">
        <v>508143.25</v>
      </c>
      <c r="E290" s="19">
        <f t="shared" si="16"/>
        <v>2002997.88</v>
      </c>
      <c r="F290">
        <v>3170824.37</v>
      </c>
      <c r="G290">
        <v>2818028.5</v>
      </c>
      <c r="H290" s="20">
        <f t="shared" si="17"/>
        <v>5988852.8700000001</v>
      </c>
      <c r="I290">
        <v>323314.90999999997</v>
      </c>
      <c r="J290">
        <v>284441.15000000002</v>
      </c>
      <c r="K290" s="18">
        <f t="shared" si="18"/>
        <v>607756.06000000006</v>
      </c>
      <c r="L290">
        <v>23798.75</v>
      </c>
      <c r="M290">
        <v>12309.72</v>
      </c>
      <c r="N290" s="23">
        <f t="shared" si="19"/>
        <v>36108.47</v>
      </c>
      <c r="O290" t="s">
        <v>307</v>
      </c>
      <c r="P290" t="s">
        <v>309</v>
      </c>
    </row>
    <row r="291" spans="1:17">
      <c r="A291" s="8">
        <v>8515</v>
      </c>
      <c r="B291" t="s">
        <v>294</v>
      </c>
      <c r="C291">
        <v>1575455.86</v>
      </c>
      <c r="D291">
        <v>454466.24</v>
      </c>
      <c r="E291" s="19">
        <f t="shared" si="16"/>
        <v>2029922.1</v>
      </c>
      <c r="F291">
        <v>1863927.55</v>
      </c>
      <c r="G291">
        <v>1687656.16</v>
      </c>
      <c r="H291" s="20">
        <f t="shared" si="17"/>
        <v>3551583.71</v>
      </c>
      <c r="I291">
        <v>309976.67</v>
      </c>
      <c r="J291">
        <v>430391.65</v>
      </c>
      <c r="K291" s="18">
        <f t="shared" si="18"/>
        <v>740368.32000000007</v>
      </c>
      <c r="L291">
        <v>41434.519999999997</v>
      </c>
      <c r="M291">
        <v>41589.74</v>
      </c>
      <c r="N291" s="23">
        <f t="shared" si="19"/>
        <v>83024.259999999995</v>
      </c>
      <c r="O291" t="s">
        <v>307</v>
      </c>
      <c r="P291" t="s">
        <v>309</v>
      </c>
    </row>
    <row r="292" spans="1:17">
      <c r="A292" s="8">
        <v>8525</v>
      </c>
      <c r="B292" t="s">
        <v>295</v>
      </c>
      <c r="C292">
        <v>977971.78</v>
      </c>
      <c r="D292">
        <v>256643.17</v>
      </c>
      <c r="E292" s="19">
        <f t="shared" si="16"/>
        <v>1234614.95</v>
      </c>
      <c r="F292">
        <v>1556540.48</v>
      </c>
      <c r="G292">
        <v>1405755.91</v>
      </c>
      <c r="H292" s="20">
        <f t="shared" si="17"/>
        <v>2962296.3899999997</v>
      </c>
      <c r="I292">
        <v>78647.839999999997</v>
      </c>
      <c r="J292">
        <v>131162.6</v>
      </c>
      <c r="K292" s="18">
        <f t="shared" si="18"/>
        <v>209810.44</v>
      </c>
      <c r="L292">
        <v>54877.56</v>
      </c>
      <c r="M292">
        <v>253470.36</v>
      </c>
      <c r="N292" s="23">
        <f t="shared" si="19"/>
        <v>308347.92</v>
      </c>
      <c r="O292" t="s">
        <v>307</v>
      </c>
      <c r="P292" t="s">
        <v>309</v>
      </c>
    </row>
    <row r="293" spans="1:17">
      <c r="A293" s="8">
        <v>8535</v>
      </c>
      <c r="B293" t="s">
        <v>296</v>
      </c>
      <c r="C293">
        <v>2233663.88</v>
      </c>
      <c r="D293">
        <v>442073.2</v>
      </c>
      <c r="E293" s="19">
        <f t="shared" si="16"/>
        <v>2675737.08</v>
      </c>
      <c r="F293">
        <v>878969.41</v>
      </c>
      <c r="G293">
        <v>714517.55</v>
      </c>
      <c r="H293" s="20">
        <f t="shared" si="17"/>
        <v>1593486.96</v>
      </c>
      <c r="I293">
        <v>72918.3</v>
      </c>
      <c r="J293">
        <v>141192.71</v>
      </c>
      <c r="K293" s="18">
        <f t="shared" si="18"/>
        <v>214111.01</v>
      </c>
      <c r="L293">
        <v>15399.68</v>
      </c>
      <c r="M293">
        <v>182057.78</v>
      </c>
      <c r="N293" s="23">
        <f t="shared" si="19"/>
        <v>197457.46</v>
      </c>
      <c r="O293" t="s">
        <v>307</v>
      </c>
      <c r="P293" t="s">
        <v>309</v>
      </c>
    </row>
    <row r="294" spans="1:17">
      <c r="A294" s="8">
        <v>8565</v>
      </c>
      <c r="B294" t="s">
        <v>297</v>
      </c>
      <c r="C294">
        <v>3969530.01</v>
      </c>
      <c r="D294">
        <v>1151105.6599999999</v>
      </c>
      <c r="E294" s="19">
        <f t="shared" si="16"/>
        <v>5120635.67</v>
      </c>
      <c r="F294">
        <v>4276145.34</v>
      </c>
      <c r="G294">
        <v>4036034.41</v>
      </c>
      <c r="H294" s="20">
        <f t="shared" si="17"/>
        <v>8312179.75</v>
      </c>
      <c r="I294">
        <v>586902.77</v>
      </c>
      <c r="J294">
        <v>613627.52</v>
      </c>
      <c r="K294" s="18">
        <f t="shared" si="18"/>
        <v>1200530.29</v>
      </c>
      <c r="L294">
        <v>134241.96</v>
      </c>
      <c r="M294">
        <v>213845.53</v>
      </c>
      <c r="N294" s="23">
        <f t="shared" si="19"/>
        <v>348087.49</v>
      </c>
      <c r="O294" t="s">
        <v>307</v>
      </c>
      <c r="P294" t="s">
        <v>309</v>
      </c>
    </row>
    <row r="295" spans="1:17">
      <c r="A295" s="8">
        <v>8625</v>
      </c>
      <c r="B295" t="s">
        <v>298</v>
      </c>
      <c r="C295">
        <v>1203685.07</v>
      </c>
      <c r="D295">
        <v>217187.59</v>
      </c>
      <c r="E295" s="19">
        <f t="shared" si="16"/>
        <v>1420872.6600000001</v>
      </c>
      <c r="F295">
        <v>2972268.85</v>
      </c>
      <c r="G295">
        <v>2729094.14</v>
      </c>
      <c r="H295" s="20">
        <f t="shared" si="17"/>
        <v>5701362.9900000002</v>
      </c>
      <c r="I295">
        <v>163008.51999999999</v>
      </c>
      <c r="J295">
        <v>338220.05</v>
      </c>
      <c r="K295" s="18">
        <f t="shared" si="18"/>
        <v>501228.56999999995</v>
      </c>
      <c r="L295">
        <v>5712.23</v>
      </c>
      <c r="M295">
        <v>29821.84</v>
      </c>
      <c r="N295" s="23">
        <f t="shared" si="19"/>
        <v>35534.07</v>
      </c>
      <c r="O295" t="s">
        <v>307</v>
      </c>
      <c r="P295" t="s">
        <v>309</v>
      </c>
    </row>
    <row r="296" spans="1:17">
      <c r="A296" s="8">
        <v>8665</v>
      </c>
      <c r="B296" t="s">
        <v>299</v>
      </c>
      <c r="C296">
        <v>5473899.9100000001</v>
      </c>
      <c r="D296">
        <v>1292974.45</v>
      </c>
      <c r="E296" s="19">
        <f t="shared" si="16"/>
        <v>6766874.3600000003</v>
      </c>
      <c r="F296">
        <v>6374923.2800000003</v>
      </c>
      <c r="G296">
        <v>5967451.3099999996</v>
      </c>
      <c r="H296" s="20">
        <f t="shared" si="17"/>
        <v>12342374.59</v>
      </c>
      <c r="I296">
        <v>208112.59</v>
      </c>
      <c r="J296">
        <v>396099.52</v>
      </c>
      <c r="K296" s="18">
        <f t="shared" si="18"/>
        <v>604212.11</v>
      </c>
      <c r="L296">
        <v>103785.04</v>
      </c>
      <c r="M296">
        <v>20648.18</v>
      </c>
      <c r="N296" s="23">
        <f t="shared" si="19"/>
        <v>124433.22</v>
      </c>
      <c r="O296" t="s">
        <v>307</v>
      </c>
      <c r="P296" t="s">
        <v>309</v>
      </c>
    </row>
    <row r="297" spans="1:17">
      <c r="A297" s="5">
        <v>9300</v>
      </c>
      <c r="B297" s="11" t="s">
        <v>311</v>
      </c>
      <c r="E297" s="19">
        <v>326780.32999999996</v>
      </c>
      <c r="F297" s="6"/>
      <c r="G297" s="6"/>
      <c r="H297" s="20">
        <v>807114.87000000011</v>
      </c>
      <c r="I297" s="6"/>
      <c r="J297" s="6"/>
      <c r="K297" s="18">
        <v>101921.09</v>
      </c>
      <c r="L297" s="6"/>
      <c r="M297" s="6"/>
      <c r="N297" s="23">
        <v>666.16</v>
      </c>
      <c r="O297" t="s">
        <v>350</v>
      </c>
      <c r="P297" t="s">
        <v>309</v>
      </c>
      <c r="Q297">
        <v>132</v>
      </c>
    </row>
    <row r="298" spans="1:17">
      <c r="A298" s="5">
        <v>9310</v>
      </c>
      <c r="B298" s="11" t="s">
        <v>310</v>
      </c>
      <c r="E298" s="19">
        <v>1342579.27</v>
      </c>
      <c r="F298" s="6"/>
      <c r="G298" s="6"/>
      <c r="H298" s="20">
        <v>2681037.02</v>
      </c>
      <c r="I298" s="6"/>
      <c r="J298" s="6"/>
      <c r="K298" s="18">
        <v>1028481.99</v>
      </c>
      <c r="L298" s="6"/>
      <c r="M298" s="6"/>
      <c r="N298" s="23">
        <v>0</v>
      </c>
      <c r="O298" t="s">
        <v>350</v>
      </c>
      <c r="P298" t="s">
        <v>309</v>
      </c>
      <c r="Q298">
        <v>490</v>
      </c>
    </row>
    <row r="299" spans="1:17">
      <c r="A299" s="5">
        <v>9315</v>
      </c>
      <c r="B299" s="11" t="s">
        <v>312</v>
      </c>
      <c r="E299" s="19">
        <v>644456.97</v>
      </c>
      <c r="F299" s="6"/>
      <c r="G299" s="6"/>
      <c r="H299" s="20">
        <v>1221566.2799999998</v>
      </c>
      <c r="I299" s="6"/>
      <c r="J299" s="6"/>
      <c r="K299" s="18">
        <v>14193</v>
      </c>
      <c r="L299" s="6"/>
      <c r="M299" s="6"/>
      <c r="N299" s="23">
        <v>4468.0200000000004</v>
      </c>
      <c r="O299" t="s">
        <v>350</v>
      </c>
      <c r="P299" t="s">
        <v>309</v>
      </c>
      <c r="Q299">
        <v>276</v>
      </c>
    </row>
    <row r="300" spans="1:17">
      <c r="A300" s="5">
        <v>9320</v>
      </c>
      <c r="B300" s="11" t="s">
        <v>313</v>
      </c>
      <c r="E300" s="19">
        <v>1068842.24</v>
      </c>
      <c r="F300" s="6"/>
      <c r="G300" s="6"/>
      <c r="H300" s="20">
        <v>1022130.9299999999</v>
      </c>
      <c r="I300" s="6"/>
      <c r="J300" s="6"/>
      <c r="K300" s="18">
        <v>0</v>
      </c>
      <c r="L300" s="6"/>
      <c r="M300" s="6"/>
      <c r="N300" s="23">
        <v>74667.009999999995</v>
      </c>
      <c r="O300" t="s">
        <v>350</v>
      </c>
      <c r="P300" t="s">
        <v>309</v>
      </c>
      <c r="Q300">
        <v>316</v>
      </c>
    </row>
    <row r="301" spans="1:17">
      <c r="A301" s="5">
        <v>9325</v>
      </c>
      <c r="B301" s="11" t="s">
        <v>314</v>
      </c>
      <c r="E301" s="19">
        <v>225369.47999999998</v>
      </c>
      <c r="F301" s="6"/>
      <c r="G301" s="6"/>
      <c r="H301" s="20">
        <v>882330.8</v>
      </c>
      <c r="I301" s="6"/>
      <c r="J301" s="6"/>
      <c r="K301" s="18">
        <v>2691.1</v>
      </c>
      <c r="L301" s="6"/>
      <c r="M301" s="6"/>
      <c r="N301" s="23">
        <v>17088</v>
      </c>
      <c r="O301" t="s">
        <v>350</v>
      </c>
      <c r="P301" t="s">
        <v>309</v>
      </c>
      <c r="Q301">
        <v>316</v>
      </c>
    </row>
    <row r="302" spans="1:17">
      <c r="A302" s="5">
        <v>9330</v>
      </c>
      <c r="B302" s="11" t="s">
        <v>315</v>
      </c>
      <c r="E302" s="19">
        <v>1235976.17</v>
      </c>
      <c r="F302" s="6"/>
      <c r="G302" s="6"/>
      <c r="H302" s="20">
        <v>1960846.58</v>
      </c>
      <c r="I302" s="6"/>
      <c r="J302" s="6"/>
      <c r="K302" s="18">
        <v>171365.85</v>
      </c>
      <c r="L302" s="6"/>
      <c r="M302" s="6"/>
      <c r="N302" s="23">
        <v>612266.4</v>
      </c>
      <c r="O302" t="s">
        <v>350</v>
      </c>
      <c r="P302" t="s">
        <v>308</v>
      </c>
      <c r="Q302">
        <v>460</v>
      </c>
    </row>
    <row r="303" spans="1:17">
      <c r="A303" s="5">
        <v>9340</v>
      </c>
      <c r="B303" s="11" t="s">
        <v>316</v>
      </c>
      <c r="E303" s="19">
        <v>203265.69</v>
      </c>
      <c r="F303" s="6"/>
      <c r="G303" s="6"/>
      <c r="H303" s="20">
        <v>312350.69999999995</v>
      </c>
      <c r="I303" s="6"/>
      <c r="J303" s="6"/>
      <c r="K303" s="18">
        <v>0</v>
      </c>
      <c r="L303" s="6"/>
      <c r="M303" s="6"/>
      <c r="N303" s="23">
        <v>43700.57</v>
      </c>
      <c r="O303" t="s">
        <v>350</v>
      </c>
      <c r="P303" t="s">
        <v>309</v>
      </c>
      <c r="Q303">
        <v>73</v>
      </c>
    </row>
    <row r="304" spans="1:17">
      <c r="A304" s="5">
        <v>9350</v>
      </c>
      <c r="B304" s="11" t="s">
        <v>317</v>
      </c>
      <c r="E304" s="19">
        <v>245493.83000000002</v>
      </c>
      <c r="F304" s="6"/>
      <c r="G304" s="6"/>
      <c r="H304" s="20">
        <v>1003857.7</v>
      </c>
      <c r="I304" s="6"/>
      <c r="J304" s="6"/>
      <c r="K304" s="18">
        <v>294125.31</v>
      </c>
      <c r="L304" s="6"/>
      <c r="M304" s="6"/>
      <c r="N304" s="23">
        <v>4485.9400000000005</v>
      </c>
      <c r="O304" t="s">
        <v>350</v>
      </c>
      <c r="P304" t="s">
        <v>309</v>
      </c>
      <c r="Q304">
        <v>224</v>
      </c>
    </row>
    <row r="305" spans="1:17">
      <c r="A305" s="5">
        <v>9360</v>
      </c>
      <c r="B305" s="11" t="s">
        <v>318</v>
      </c>
      <c r="E305" s="19">
        <v>278144.52999999997</v>
      </c>
      <c r="F305" s="6"/>
      <c r="G305" s="6"/>
      <c r="H305" s="20">
        <v>649584.43999999994</v>
      </c>
      <c r="I305" s="6"/>
      <c r="J305" s="6"/>
      <c r="K305" s="18">
        <v>47855.29</v>
      </c>
      <c r="L305" s="6"/>
      <c r="M305" s="6"/>
      <c r="N305" s="23">
        <v>1585.26</v>
      </c>
      <c r="O305" t="s">
        <v>350</v>
      </c>
      <c r="P305" t="s">
        <v>309</v>
      </c>
      <c r="Q305">
        <v>182</v>
      </c>
    </row>
    <row r="306" spans="1:17">
      <c r="A306" s="5">
        <v>9370</v>
      </c>
      <c r="B306" s="11" t="s">
        <v>319</v>
      </c>
      <c r="E306" s="19">
        <v>711319.8</v>
      </c>
      <c r="F306" s="6"/>
      <c r="G306" s="6"/>
      <c r="H306" s="20">
        <v>1510339.7000000002</v>
      </c>
      <c r="I306" s="6"/>
      <c r="J306" s="6"/>
      <c r="K306" s="18">
        <v>224613.1</v>
      </c>
      <c r="L306" s="6"/>
      <c r="M306" s="6"/>
      <c r="N306" s="23">
        <v>332</v>
      </c>
      <c r="O306" t="s">
        <v>350</v>
      </c>
      <c r="P306" t="s">
        <v>308</v>
      </c>
      <c r="Q306">
        <v>307</v>
      </c>
    </row>
    <row r="307" spans="1:17">
      <c r="A307" s="5">
        <v>9380</v>
      </c>
      <c r="B307" s="11" t="s">
        <v>320</v>
      </c>
      <c r="E307" s="19">
        <v>1949162.61</v>
      </c>
      <c r="F307" s="6"/>
      <c r="G307" s="6"/>
      <c r="H307" s="20">
        <v>1927108.92</v>
      </c>
      <c r="I307" s="6"/>
      <c r="J307" s="6"/>
      <c r="K307" s="18">
        <v>522362.80999999994</v>
      </c>
      <c r="L307" s="6"/>
      <c r="M307" s="6"/>
      <c r="N307" s="23">
        <v>19667.97</v>
      </c>
      <c r="O307" t="s">
        <v>350</v>
      </c>
      <c r="P307" t="s">
        <v>308</v>
      </c>
      <c r="Q307">
        <v>384</v>
      </c>
    </row>
    <row r="308" spans="1:17">
      <c r="A308" s="5">
        <v>9390</v>
      </c>
      <c r="B308" s="11" t="s">
        <v>321</v>
      </c>
      <c r="E308" s="19">
        <v>488614.88</v>
      </c>
      <c r="F308" s="6"/>
      <c r="G308" s="6"/>
      <c r="H308" s="20">
        <v>968099.89</v>
      </c>
      <c r="I308" s="6"/>
      <c r="J308" s="6"/>
      <c r="K308" s="18">
        <v>157918.97</v>
      </c>
      <c r="L308" s="6"/>
      <c r="M308" s="6"/>
      <c r="N308" s="23">
        <v>2690.48</v>
      </c>
      <c r="O308" t="s">
        <v>350</v>
      </c>
      <c r="P308" t="s">
        <v>308</v>
      </c>
      <c r="Q308">
        <v>227</v>
      </c>
    </row>
    <row r="309" spans="1:17">
      <c r="A309" s="5">
        <v>9400</v>
      </c>
      <c r="B309" s="11" t="s">
        <v>322</v>
      </c>
      <c r="E309" s="19">
        <v>582873.54</v>
      </c>
      <c r="F309" s="6"/>
      <c r="G309" s="6"/>
      <c r="H309" s="20">
        <v>917455.33000000007</v>
      </c>
      <c r="I309" s="6"/>
      <c r="J309" s="6"/>
      <c r="K309" s="18">
        <v>267771.11</v>
      </c>
      <c r="L309" s="6"/>
      <c r="M309" s="6"/>
      <c r="N309" s="23">
        <v>453004.39999999997</v>
      </c>
      <c r="O309" t="s">
        <v>350</v>
      </c>
      <c r="P309" t="s">
        <v>308</v>
      </c>
      <c r="Q309">
        <v>214</v>
      </c>
    </row>
    <row r="310" spans="1:17">
      <c r="A310" s="5">
        <v>9445</v>
      </c>
      <c r="B310" s="11" t="s">
        <v>323</v>
      </c>
      <c r="E310" s="19">
        <v>1021456.9299999999</v>
      </c>
      <c r="F310" s="6"/>
      <c r="G310" s="6"/>
      <c r="H310" s="20">
        <v>1085716.7</v>
      </c>
      <c r="I310" s="6"/>
      <c r="J310" s="6"/>
      <c r="K310" s="18">
        <v>183916.7</v>
      </c>
      <c r="L310" s="6"/>
      <c r="M310" s="6"/>
      <c r="N310" s="23">
        <v>334292.08</v>
      </c>
      <c r="O310" t="s">
        <v>350</v>
      </c>
      <c r="P310" t="s">
        <v>308</v>
      </c>
      <c r="Q310">
        <v>245</v>
      </c>
    </row>
    <row r="311" spans="1:17">
      <c r="A311" s="5">
        <v>9460</v>
      </c>
      <c r="B311" s="11" t="s">
        <v>324</v>
      </c>
      <c r="E311" s="19">
        <v>1480101.44</v>
      </c>
      <c r="F311" s="6"/>
      <c r="G311" s="6"/>
      <c r="H311" s="20">
        <v>2896239.5</v>
      </c>
      <c r="I311" s="6"/>
      <c r="J311" s="6"/>
      <c r="K311" s="18">
        <v>665169.22</v>
      </c>
      <c r="L311" s="6"/>
      <c r="M311" s="6"/>
      <c r="N311" s="23">
        <v>0</v>
      </c>
      <c r="O311" t="s">
        <v>350</v>
      </c>
      <c r="P311" t="s">
        <v>309</v>
      </c>
      <c r="Q311">
        <v>572</v>
      </c>
    </row>
    <row r="312" spans="1:17">
      <c r="A312" s="5">
        <v>9465</v>
      </c>
      <c r="B312" s="11" t="s">
        <v>325</v>
      </c>
      <c r="E312" s="19">
        <v>189489.96</v>
      </c>
      <c r="F312" s="6"/>
      <c r="G312" s="6"/>
      <c r="H312" s="20">
        <v>441988.54</v>
      </c>
      <c r="I312" s="6"/>
      <c r="J312" s="6"/>
      <c r="K312" s="18">
        <v>43604.74</v>
      </c>
      <c r="L312" s="6"/>
      <c r="M312" s="6"/>
      <c r="N312" s="23">
        <v>168623.87</v>
      </c>
      <c r="O312" t="s">
        <v>350</v>
      </c>
      <c r="P312" t="s">
        <v>309</v>
      </c>
      <c r="Q312">
        <v>123</v>
      </c>
    </row>
    <row r="313" spans="1:17">
      <c r="A313" s="24">
        <v>9470</v>
      </c>
      <c r="B313" s="16" t="s">
        <v>326</v>
      </c>
      <c r="C313" s="14"/>
      <c r="D313" s="14"/>
      <c r="E313" s="19">
        <v>441615.17000000004</v>
      </c>
      <c r="F313" s="15"/>
      <c r="G313" s="15"/>
      <c r="H313" s="20">
        <v>541937.93999999994</v>
      </c>
      <c r="I313" s="15"/>
      <c r="J313" s="15"/>
      <c r="K313" s="18">
        <v>62221.65</v>
      </c>
      <c r="L313" s="15"/>
      <c r="M313" s="15"/>
      <c r="N313" s="23">
        <v>143309.69</v>
      </c>
      <c r="O313" s="3" t="s">
        <v>350</v>
      </c>
      <c r="P313" s="3" t="s">
        <v>308</v>
      </c>
      <c r="Q313" s="3">
        <v>122</v>
      </c>
    </row>
    <row r="314" spans="1:17">
      <c r="A314" s="24">
        <v>9475</v>
      </c>
      <c r="B314" s="16" t="s">
        <v>327</v>
      </c>
      <c r="C314" s="14"/>
      <c r="D314" s="14"/>
      <c r="E314" s="19">
        <v>418757.25</v>
      </c>
      <c r="F314" s="15"/>
      <c r="G314" s="15"/>
      <c r="H314" s="20">
        <v>536218.84</v>
      </c>
      <c r="I314" s="15"/>
      <c r="J314" s="15"/>
      <c r="K314" s="18">
        <v>50701.99</v>
      </c>
      <c r="L314" s="15"/>
      <c r="M314" s="15"/>
      <c r="N314" s="23">
        <v>134015.94</v>
      </c>
      <c r="O314" s="3" t="s">
        <v>350</v>
      </c>
      <c r="P314" s="3" t="s">
        <v>308</v>
      </c>
      <c r="Q314" s="3">
        <v>125</v>
      </c>
    </row>
    <row r="315" spans="1:17">
      <c r="A315" s="5">
        <v>9480</v>
      </c>
      <c r="B315" s="11" t="s">
        <v>328</v>
      </c>
      <c r="E315" s="19">
        <v>592986.79</v>
      </c>
      <c r="F315" s="6"/>
      <c r="G315" s="6"/>
      <c r="H315" s="20">
        <v>971940.1399999999</v>
      </c>
      <c r="I315" s="6"/>
      <c r="J315" s="6"/>
      <c r="K315" s="18">
        <v>281787.09999999998</v>
      </c>
      <c r="L315" s="6"/>
      <c r="M315" s="6"/>
      <c r="N315" s="23">
        <v>309609</v>
      </c>
      <c r="O315" t="s">
        <v>350</v>
      </c>
      <c r="P315" t="s">
        <v>308</v>
      </c>
      <c r="Q315">
        <v>210</v>
      </c>
    </row>
    <row r="316" spans="1:17">
      <c r="A316" s="5">
        <v>9485</v>
      </c>
      <c r="B316" s="11" t="s">
        <v>329</v>
      </c>
      <c r="E316" s="19">
        <v>396077.36</v>
      </c>
      <c r="F316" s="6"/>
      <c r="G316" s="6"/>
      <c r="H316" s="20">
        <v>925885.97</v>
      </c>
      <c r="I316" s="6"/>
      <c r="J316" s="6"/>
      <c r="K316" s="18">
        <v>246204.83000000002</v>
      </c>
      <c r="L316" s="6"/>
      <c r="M316" s="6"/>
      <c r="N316" s="23">
        <v>214026.16</v>
      </c>
      <c r="O316" t="s">
        <v>350</v>
      </c>
      <c r="P316" t="s">
        <v>308</v>
      </c>
      <c r="Q316">
        <v>235</v>
      </c>
    </row>
    <row r="317" spans="1:17">
      <c r="A317" s="5">
        <v>9495</v>
      </c>
      <c r="B317" s="11" t="s">
        <v>330</v>
      </c>
      <c r="E317" s="19">
        <v>570590.5</v>
      </c>
      <c r="F317" s="6"/>
      <c r="G317" s="6"/>
      <c r="H317" s="20">
        <v>859714.75</v>
      </c>
      <c r="I317" s="6"/>
      <c r="J317" s="6"/>
      <c r="K317" s="18">
        <v>330169.80000000005</v>
      </c>
      <c r="L317" s="6"/>
      <c r="M317" s="6"/>
      <c r="N317" s="23">
        <v>51236.52</v>
      </c>
      <c r="O317" t="s">
        <v>350</v>
      </c>
      <c r="P317" t="s">
        <v>309</v>
      </c>
      <c r="Q317">
        <v>228</v>
      </c>
    </row>
    <row r="318" spans="1:17">
      <c r="A318" s="5">
        <v>9525</v>
      </c>
      <c r="B318" s="11" t="s">
        <v>331</v>
      </c>
      <c r="E318" s="19">
        <v>589468.51</v>
      </c>
      <c r="F318" s="6"/>
      <c r="G318" s="6"/>
      <c r="H318" s="20">
        <v>516467.81000000006</v>
      </c>
      <c r="I318" s="6"/>
      <c r="J318" s="6"/>
      <c r="K318" s="18">
        <v>14853</v>
      </c>
      <c r="L318" s="6"/>
      <c r="M318" s="6"/>
      <c r="N318" s="23">
        <v>549.5</v>
      </c>
      <c r="O318" t="s">
        <v>350</v>
      </c>
      <c r="P318" t="s">
        <v>308</v>
      </c>
      <c r="Q318">
        <v>127</v>
      </c>
    </row>
    <row r="319" spans="1:17">
      <c r="A319" s="5">
        <v>9535</v>
      </c>
      <c r="B319" s="11" t="s">
        <v>332</v>
      </c>
      <c r="E319" s="19">
        <v>1038409.94</v>
      </c>
      <c r="F319" s="6"/>
      <c r="G319" s="6"/>
      <c r="H319" s="20">
        <v>2418239.23</v>
      </c>
      <c r="I319" s="6"/>
      <c r="J319" s="6"/>
      <c r="K319" s="18">
        <v>704490.85000000009</v>
      </c>
      <c r="L319" s="6"/>
      <c r="M319" s="6"/>
      <c r="N319" s="23">
        <v>1544966.18</v>
      </c>
      <c r="O319" t="s">
        <v>350</v>
      </c>
      <c r="P319" t="s">
        <v>309</v>
      </c>
      <c r="Q319">
        <v>516</v>
      </c>
    </row>
    <row r="320" spans="1:17">
      <c r="A320" s="5">
        <v>9545</v>
      </c>
      <c r="B320" s="11" t="s">
        <v>333</v>
      </c>
      <c r="E320" s="19">
        <v>789156.14</v>
      </c>
      <c r="F320" s="6"/>
      <c r="G320" s="6"/>
      <c r="H320" s="20">
        <v>1727589.4</v>
      </c>
      <c r="I320" s="6"/>
      <c r="J320" s="6"/>
      <c r="K320" s="18">
        <v>339417.98</v>
      </c>
      <c r="L320" s="6"/>
      <c r="M320" s="6"/>
      <c r="N320" s="23">
        <v>359002.57</v>
      </c>
      <c r="O320" t="s">
        <v>350</v>
      </c>
      <c r="P320" t="s">
        <v>309</v>
      </c>
      <c r="Q320">
        <v>304</v>
      </c>
    </row>
    <row r="321" spans="1:18">
      <c r="A321" s="5">
        <v>9555</v>
      </c>
      <c r="B321" s="11" t="s">
        <v>334</v>
      </c>
      <c r="E321" s="19">
        <v>482871.96</v>
      </c>
      <c r="F321" s="6"/>
      <c r="G321" s="6"/>
      <c r="H321" s="20">
        <v>1120056.3799999999</v>
      </c>
      <c r="I321" s="6"/>
      <c r="J321" s="6"/>
      <c r="K321" s="18">
        <v>386630.92000000004</v>
      </c>
      <c r="L321" s="6"/>
      <c r="M321" s="6"/>
      <c r="N321" s="23">
        <v>370638</v>
      </c>
      <c r="O321" t="s">
        <v>350</v>
      </c>
      <c r="P321" t="s">
        <v>309</v>
      </c>
      <c r="Q321">
        <v>284</v>
      </c>
    </row>
    <row r="322" spans="1:18">
      <c r="A322" s="5">
        <v>9565</v>
      </c>
      <c r="B322" s="11" t="s">
        <v>335</v>
      </c>
      <c r="E322" s="19">
        <v>304131.31</v>
      </c>
      <c r="F322" s="6"/>
      <c r="G322" s="6"/>
      <c r="H322" s="20">
        <v>722823.75</v>
      </c>
      <c r="I322" s="6"/>
      <c r="J322" s="6"/>
      <c r="K322" s="18">
        <v>286742.13</v>
      </c>
      <c r="L322" s="6"/>
      <c r="M322" s="6"/>
      <c r="N322" s="23">
        <v>124476</v>
      </c>
      <c r="O322" t="s">
        <v>350</v>
      </c>
      <c r="P322" t="s">
        <v>309</v>
      </c>
      <c r="Q322">
        <v>179</v>
      </c>
    </row>
    <row r="323" spans="1:18">
      <c r="A323" s="5">
        <v>9575</v>
      </c>
      <c r="B323" s="11" t="s">
        <v>336</v>
      </c>
      <c r="E323" s="19">
        <v>553095.98</v>
      </c>
      <c r="F323" s="6"/>
      <c r="G323" s="6"/>
      <c r="H323" s="20">
        <v>1726107.7200000002</v>
      </c>
      <c r="I323" s="6"/>
      <c r="J323" s="6"/>
      <c r="K323" s="18">
        <v>587394.15</v>
      </c>
      <c r="L323" s="6"/>
      <c r="M323" s="6"/>
      <c r="N323" s="23">
        <v>4821076.07</v>
      </c>
      <c r="O323" t="s">
        <v>350</v>
      </c>
      <c r="P323" t="s">
        <v>308</v>
      </c>
      <c r="Q323">
        <v>509</v>
      </c>
    </row>
    <row r="324" spans="1:18">
      <c r="A324" s="5">
        <v>9585</v>
      </c>
      <c r="B324" s="11" t="s">
        <v>337</v>
      </c>
      <c r="E324" s="19">
        <v>39946.89</v>
      </c>
      <c r="F324" s="6"/>
      <c r="G324" s="6"/>
      <c r="H324" s="20">
        <v>938733.64</v>
      </c>
      <c r="I324" s="6"/>
      <c r="J324" s="6"/>
      <c r="K324" s="18">
        <v>468182.88</v>
      </c>
      <c r="L324" s="6"/>
      <c r="M324" s="6"/>
      <c r="N324" s="23">
        <v>1853060.96</v>
      </c>
      <c r="O324" t="s">
        <v>350</v>
      </c>
      <c r="P324" t="s">
        <v>309</v>
      </c>
      <c r="Q324">
        <v>340</v>
      </c>
    </row>
    <row r="325" spans="1:18">
      <c r="A325" s="12">
        <v>9590</v>
      </c>
      <c r="B325" s="13" t="s">
        <v>338</v>
      </c>
      <c r="C325" s="14"/>
      <c r="D325" s="14"/>
      <c r="E325" s="19">
        <v>4240.7199999999993</v>
      </c>
      <c r="F325" s="15"/>
      <c r="G325" s="15"/>
      <c r="H325" s="20">
        <v>0</v>
      </c>
      <c r="I325" s="15"/>
      <c r="J325" s="15"/>
      <c r="K325" s="18">
        <v>145000</v>
      </c>
      <c r="L325" s="15"/>
      <c r="M325" s="15"/>
      <c r="N325" s="23">
        <v>56.6</v>
      </c>
      <c r="O325" s="14" t="s">
        <v>350</v>
      </c>
      <c r="P325" s="14"/>
      <c r="Q325" s="14"/>
    </row>
    <row r="326" spans="1:18">
      <c r="A326" s="5">
        <v>9595</v>
      </c>
      <c r="B326" s="11" t="s">
        <v>339</v>
      </c>
      <c r="E326" s="19">
        <v>17190.059999999998</v>
      </c>
      <c r="F326" s="6"/>
      <c r="G326" s="6"/>
      <c r="H326" s="20">
        <v>243996.6</v>
      </c>
      <c r="I326" s="6"/>
      <c r="J326" s="6"/>
      <c r="K326" s="18">
        <v>243811.56</v>
      </c>
      <c r="L326" s="6"/>
      <c r="M326" s="6"/>
      <c r="N326" s="23">
        <v>428778.38</v>
      </c>
      <c r="O326" t="s">
        <v>350</v>
      </c>
      <c r="P326" t="s">
        <v>309</v>
      </c>
      <c r="Q326">
        <v>115</v>
      </c>
    </row>
    <row r="327" spans="1:18">
      <c r="A327" s="5">
        <v>9615</v>
      </c>
      <c r="B327" s="11" t="s">
        <v>340</v>
      </c>
      <c r="E327" s="19">
        <v>1444803.53</v>
      </c>
      <c r="F327" s="6"/>
      <c r="G327" s="6"/>
      <c r="H327" s="20">
        <v>2651463.25</v>
      </c>
      <c r="I327" s="6"/>
      <c r="J327" s="6"/>
      <c r="K327" s="18">
        <v>427758.15</v>
      </c>
      <c r="L327" s="6"/>
      <c r="M327" s="6"/>
      <c r="N327" s="23">
        <v>0</v>
      </c>
      <c r="O327" t="s">
        <v>350</v>
      </c>
      <c r="P327" t="s">
        <v>308</v>
      </c>
      <c r="Q327">
        <v>609</v>
      </c>
    </row>
    <row r="328" spans="1:18">
      <c r="A328" s="5">
        <v>9635</v>
      </c>
      <c r="B328" s="11" t="s">
        <v>341</v>
      </c>
      <c r="E328" s="19">
        <v>53436.800000000003</v>
      </c>
      <c r="F328" s="6"/>
      <c r="G328" s="6"/>
      <c r="H328" s="20">
        <v>257469.88</v>
      </c>
      <c r="I328" s="6"/>
      <c r="J328" s="6"/>
      <c r="K328" s="18">
        <v>263633.93</v>
      </c>
      <c r="L328" s="6"/>
      <c r="M328" s="6"/>
      <c r="N328" s="23">
        <v>429384.7</v>
      </c>
      <c r="O328" t="s">
        <v>350</v>
      </c>
      <c r="P328" t="s">
        <v>309</v>
      </c>
      <c r="Q328">
        <v>81</v>
      </c>
    </row>
    <row r="329" spans="1:18">
      <c r="A329" s="5">
        <v>9640</v>
      </c>
      <c r="B329" s="11" t="s">
        <v>342</v>
      </c>
      <c r="E329" s="19">
        <v>67836.55</v>
      </c>
      <c r="F329" s="6"/>
      <c r="G329" s="6"/>
      <c r="H329" s="20">
        <v>255192.61</v>
      </c>
      <c r="I329" s="6"/>
      <c r="J329" s="6"/>
      <c r="K329" s="18">
        <v>301711.8</v>
      </c>
      <c r="L329" s="6"/>
      <c r="M329" s="6"/>
      <c r="N329" s="23">
        <v>341541.92</v>
      </c>
      <c r="O329" t="s">
        <v>350</v>
      </c>
      <c r="P329" t="s">
        <v>309</v>
      </c>
      <c r="Q329">
        <v>109</v>
      </c>
    </row>
    <row r="330" spans="1:18">
      <c r="A330" s="5">
        <v>9645</v>
      </c>
      <c r="B330" s="11" t="s">
        <v>343</v>
      </c>
      <c r="E330" s="19">
        <v>440684.18</v>
      </c>
      <c r="F330" s="6"/>
      <c r="G330" s="6"/>
      <c r="H330" s="20">
        <v>571500.79</v>
      </c>
      <c r="I330" s="6"/>
      <c r="J330" s="6"/>
      <c r="K330" s="18">
        <v>328509.74</v>
      </c>
      <c r="L330" s="6"/>
      <c r="M330" s="6"/>
      <c r="N330" s="23">
        <v>921409.12</v>
      </c>
      <c r="O330" t="s">
        <v>350</v>
      </c>
      <c r="P330" t="s">
        <v>308</v>
      </c>
      <c r="Q330">
        <v>257</v>
      </c>
    </row>
    <row r="331" spans="1:18">
      <c r="A331" s="5">
        <v>9650</v>
      </c>
      <c r="B331" s="11" t="s">
        <v>344</v>
      </c>
      <c r="E331" s="19">
        <v>459592.69</v>
      </c>
      <c r="F331" s="6"/>
      <c r="G331" s="6"/>
      <c r="H331" s="20">
        <v>232176.24</v>
      </c>
      <c r="I331" s="6"/>
      <c r="J331" s="6"/>
      <c r="K331" s="18">
        <v>383820.84</v>
      </c>
      <c r="L331" s="6"/>
      <c r="M331" s="6"/>
      <c r="N331" s="23">
        <v>513197.92000000004</v>
      </c>
      <c r="O331" t="s">
        <v>350</v>
      </c>
      <c r="P331" t="s">
        <v>308</v>
      </c>
      <c r="Q331">
        <v>98</v>
      </c>
    </row>
    <row r="332" spans="1:18">
      <c r="A332" s="5">
        <v>9655</v>
      </c>
      <c r="B332" s="11" t="s">
        <v>345</v>
      </c>
      <c r="E332" s="19">
        <v>56672.06</v>
      </c>
      <c r="F332" s="6"/>
      <c r="G332" s="6"/>
      <c r="H332" s="20">
        <v>55666.78</v>
      </c>
      <c r="I332" s="6"/>
      <c r="J332" s="6"/>
      <c r="K332" s="18">
        <v>269482.03000000003</v>
      </c>
      <c r="L332" s="6"/>
      <c r="M332" s="6"/>
      <c r="N332" s="23">
        <v>86172.46</v>
      </c>
      <c r="O332" t="s">
        <v>350</v>
      </c>
      <c r="P332" t="s">
        <v>308</v>
      </c>
      <c r="Q332">
        <v>28</v>
      </c>
    </row>
    <row r="333" spans="1:18">
      <c r="A333" s="5">
        <v>9660</v>
      </c>
      <c r="B333" s="11" t="s">
        <v>346</v>
      </c>
      <c r="E333" s="19">
        <v>319775.40000000002</v>
      </c>
      <c r="F333" s="6"/>
      <c r="G333" s="6"/>
      <c r="H333" s="20">
        <v>295688.65000000002</v>
      </c>
      <c r="I333" s="6"/>
      <c r="J333" s="6"/>
      <c r="K333" s="18">
        <v>113489</v>
      </c>
      <c r="L333" s="6"/>
      <c r="M333" s="6"/>
      <c r="N333" s="23">
        <v>480982</v>
      </c>
      <c r="O333" t="s">
        <v>350</v>
      </c>
      <c r="P333" t="s">
        <v>308</v>
      </c>
      <c r="Q333">
        <v>158</v>
      </c>
    </row>
    <row r="334" spans="1:18">
      <c r="A334" s="5">
        <v>9665</v>
      </c>
      <c r="B334" s="11" t="s">
        <v>347</v>
      </c>
      <c r="E334" s="19">
        <v>15977.43</v>
      </c>
      <c r="F334" s="6"/>
      <c r="G334" s="6"/>
      <c r="H334" s="20">
        <v>71778.490000000005</v>
      </c>
      <c r="I334" s="6"/>
      <c r="J334" s="6"/>
      <c r="K334" s="18">
        <v>221000</v>
      </c>
      <c r="L334" s="6"/>
      <c r="M334" s="6"/>
      <c r="N334" s="23">
        <v>152565</v>
      </c>
      <c r="O334" t="s">
        <v>350</v>
      </c>
      <c r="P334" t="s">
        <v>309</v>
      </c>
      <c r="Q334">
        <v>38</v>
      </c>
    </row>
    <row r="335" spans="1:18">
      <c r="A335" s="5">
        <v>9695</v>
      </c>
      <c r="B335" s="11" t="s">
        <v>348</v>
      </c>
      <c r="E335" s="19">
        <v>60000</v>
      </c>
      <c r="F335" s="6"/>
      <c r="G335" s="6"/>
      <c r="H335" s="20">
        <v>0</v>
      </c>
      <c r="I335" s="6"/>
      <c r="J335" s="6"/>
      <c r="K335" s="18">
        <v>0</v>
      </c>
      <c r="L335" s="6"/>
      <c r="M335" s="6"/>
      <c r="N335" s="23">
        <v>0</v>
      </c>
      <c r="O335" t="s">
        <v>358</v>
      </c>
      <c r="P335" t="s">
        <v>358</v>
      </c>
      <c r="Q335">
        <v>0</v>
      </c>
      <c r="R335" t="s">
        <v>355</v>
      </c>
    </row>
    <row r="336" spans="1:18">
      <c r="A336" s="5">
        <v>9785</v>
      </c>
      <c r="B336" s="11" t="s">
        <v>349</v>
      </c>
      <c r="E336" s="19">
        <v>230025</v>
      </c>
      <c r="F336" s="6"/>
      <c r="G336" s="6"/>
      <c r="H336" s="20">
        <v>0</v>
      </c>
      <c r="I336" s="6"/>
      <c r="J336" s="6"/>
      <c r="K336" s="18">
        <v>0</v>
      </c>
      <c r="L336" s="6"/>
      <c r="M336" s="6"/>
      <c r="N336" s="23">
        <v>0</v>
      </c>
      <c r="O336" t="s">
        <v>358</v>
      </c>
      <c r="P336" t="s">
        <v>358</v>
      </c>
      <c r="Q336">
        <v>0</v>
      </c>
      <c r="R336" t="s">
        <v>355</v>
      </c>
    </row>
    <row r="337" spans="1:18">
      <c r="A337" s="8">
        <v>9670</v>
      </c>
      <c r="B337" s="11" t="s">
        <v>351</v>
      </c>
      <c r="E337" s="19" t="s">
        <v>354</v>
      </c>
      <c r="H337" s="21"/>
      <c r="I337" s="6"/>
      <c r="K337" s="22"/>
      <c r="L337" s="6"/>
      <c r="N337" s="23"/>
      <c r="O337" t="s">
        <v>358</v>
      </c>
      <c r="P337" t="s">
        <v>358</v>
      </c>
      <c r="Q337">
        <v>0</v>
      </c>
    </row>
    <row r="338" spans="1:18">
      <c r="A338" s="9">
        <v>9620</v>
      </c>
      <c r="B338" s="16" t="s">
        <v>352</v>
      </c>
      <c r="C338" s="3"/>
      <c r="D338" s="3"/>
      <c r="E338" s="19"/>
      <c r="F338" s="3"/>
      <c r="G338" s="3"/>
      <c r="H338" s="20"/>
      <c r="I338" s="3"/>
      <c r="J338" s="3"/>
      <c r="K338" s="22"/>
      <c r="L338" s="17"/>
      <c r="M338" s="3"/>
      <c r="N338" s="23"/>
      <c r="O338" s="3" t="s">
        <v>358</v>
      </c>
      <c r="P338" s="3" t="s">
        <v>358</v>
      </c>
      <c r="Q338" s="3">
        <v>514</v>
      </c>
      <c r="R338" s="3" t="s">
        <v>356</v>
      </c>
    </row>
    <row r="339" spans="1:18" s="3" customFormat="1">
      <c r="A339" s="9">
        <v>9625</v>
      </c>
      <c r="B339" s="3" t="s">
        <v>353</v>
      </c>
      <c r="E339" s="19"/>
      <c r="H339" s="20"/>
      <c r="K339" s="18"/>
      <c r="N339" s="23"/>
      <c r="O339" s="3" t="s">
        <v>358</v>
      </c>
      <c r="P339" s="3" t="s">
        <v>358</v>
      </c>
      <c r="Q339" s="3">
        <v>295</v>
      </c>
      <c r="R339" s="3" t="s">
        <v>356</v>
      </c>
    </row>
    <row r="340" spans="1:18" s="3" customFormat="1">
      <c r="A340" s="8"/>
      <c r="B340"/>
      <c r="C340"/>
      <c r="D340"/>
      <c r="E340" s="6"/>
      <c r="F340"/>
      <c r="G340"/>
      <c r="H340" s="6"/>
      <c r="I340"/>
      <c r="J340"/>
      <c r="K340" s="6"/>
      <c r="L340"/>
      <c r="M340"/>
      <c r="N340" s="6"/>
      <c r="O340"/>
      <c r="P340"/>
      <c r="Q340"/>
      <c r="R340"/>
    </row>
    <row r="342" spans="1:18">
      <c r="K342" s="6" t="s">
        <v>357</v>
      </c>
      <c r="Q342">
        <v>1035863</v>
      </c>
    </row>
  </sheetData>
  <autoFilter ref="A3:P339">
    <filterColumn colId="14"/>
  </autoFilter>
  <phoneticPr fontId="2" type="noConversion"/>
  <pageMargins left="0.25" right="0.25" top="1" bottom="1" header="0.5" footer="0.5"/>
  <pageSetup orientation="portrait" r:id="rId1"/>
  <headerFooter alignWithMargins="0">
    <oddHeader>&amp;LIndiana Department of Education
Office of Financial Management,
     Analysis, and Reporting&amp;CFiscal Year 2007
Receipts by Source
All Funds&amp;RMarch  24, 2008</oddHeader>
  </headerFooter>
</worksheet>
</file>

<file path=xl/worksheets/sheet4.xml><?xml version="1.0" encoding="utf-8"?>
<worksheet xmlns="http://schemas.openxmlformats.org/spreadsheetml/2006/main" xmlns:r="http://schemas.openxmlformats.org/officeDocument/2006/relationships">
  <dimension ref="A1:B60"/>
  <sheetViews>
    <sheetView workbookViewId="0">
      <selection activeCell="B2" sqref="B2"/>
    </sheetView>
  </sheetViews>
  <sheetFormatPr defaultRowHeight="12.75"/>
  <cols>
    <col min="2" max="2" width="11" bestFit="1" customWidth="1"/>
  </cols>
  <sheetData>
    <row r="1" spans="1:2">
      <c r="A1">
        <v>9300</v>
      </c>
      <c r="B1">
        <v>666.16</v>
      </c>
    </row>
    <row r="2" spans="1:2">
      <c r="A2">
        <v>9315</v>
      </c>
      <c r="B2">
        <v>778.6</v>
      </c>
    </row>
    <row r="3" spans="1:2">
      <c r="A3">
        <v>9315</v>
      </c>
      <c r="B3">
        <v>3689.42</v>
      </c>
    </row>
    <row r="4" spans="1:2">
      <c r="A4">
        <v>9320</v>
      </c>
      <c r="B4">
        <v>74667.009999999995</v>
      </c>
    </row>
    <row r="5" spans="1:2">
      <c r="A5">
        <v>9325</v>
      </c>
      <c r="B5">
        <v>17088</v>
      </c>
    </row>
    <row r="6" spans="1:2">
      <c r="A6">
        <v>9330</v>
      </c>
      <c r="B6">
        <v>48891</v>
      </c>
    </row>
    <row r="7" spans="1:2">
      <c r="A7">
        <v>9330</v>
      </c>
      <c r="B7">
        <v>563375.4</v>
      </c>
    </row>
    <row r="8" spans="1:2">
      <c r="A8">
        <v>9340</v>
      </c>
      <c r="B8">
        <v>38015</v>
      </c>
    </row>
    <row r="9" spans="1:2">
      <c r="A9">
        <v>9340</v>
      </c>
      <c r="B9">
        <v>5685.57</v>
      </c>
    </row>
    <row r="10" spans="1:2">
      <c r="A10">
        <v>9350</v>
      </c>
      <c r="B10">
        <v>500</v>
      </c>
    </row>
    <row r="11" spans="1:2">
      <c r="A11">
        <v>9350</v>
      </c>
      <c r="B11">
        <v>3985.94</v>
      </c>
    </row>
    <row r="12" spans="1:2">
      <c r="A12">
        <v>9360</v>
      </c>
      <c r="B12">
        <v>25</v>
      </c>
    </row>
    <row r="13" spans="1:2">
      <c r="A13">
        <v>9360</v>
      </c>
      <c r="B13">
        <v>1560.26</v>
      </c>
    </row>
    <row r="14" spans="1:2">
      <c r="A14">
        <v>9370</v>
      </c>
      <c r="B14">
        <v>332</v>
      </c>
    </row>
    <row r="15" spans="1:2">
      <c r="A15">
        <v>9380</v>
      </c>
      <c r="B15">
        <v>6471.53</v>
      </c>
    </row>
    <row r="16" spans="1:2">
      <c r="A16">
        <v>9380</v>
      </c>
      <c r="B16">
        <v>13196.44</v>
      </c>
    </row>
    <row r="17" spans="1:2">
      <c r="A17">
        <v>9390</v>
      </c>
      <c r="B17">
        <v>637.37</v>
      </c>
    </row>
    <row r="18" spans="1:2">
      <c r="A18">
        <v>9390</v>
      </c>
      <c r="B18">
        <v>2053.11</v>
      </c>
    </row>
    <row r="19" spans="1:2">
      <c r="A19">
        <v>9400</v>
      </c>
      <c r="B19">
        <v>2258.4899999999998</v>
      </c>
    </row>
    <row r="20" spans="1:2">
      <c r="A20">
        <v>9400</v>
      </c>
      <c r="B20">
        <v>450745.91</v>
      </c>
    </row>
    <row r="21" spans="1:2">
      <c r="A21">
        <v>9445</v>
      </c>
      <c r="B21">
        <v>29150.84</v>
      </c>
    </row>
    <row r="22" spans="1:2">
      <c r="A22">
        <v>9445</v>
      </c>
      <c r="B22">
        <v>305141.24</v>
      </c>
    </row>
    <row r="23" spans="1:2">
      <c r="A23">
        <v>9465</v>
      </c>
      <c r="B23">
        <v>92022</v>
      </c>
    </row>
    <row r="24" spans="1:2">
      <c r="A24">
        <v>9465</v>
      </c>
      <c r="B24">
        <v>76601.87</v>
      </c>
    </row>
    <row r="25" spans="1:2">
      <c r="A25">
        <v>9470</v>
      </c>
      <c r="B25">
        <v>135784</v>
      </c>
    </row>
    <row r="26" spans="1:2">
      <c r="A26">
        <v>9470</v>
      </c>
      <c r="B26">
        <v>7525.69</v>
      </c>
    </row>
    <row r="27" spans="1:2">
      <c r="A27">
        <v>9475</v>
      </c>
      <c r="B27">
        <v>124469</v>
      </c>
    </row>
    <row r="28" spans="1:2">
      <c r="A28">
        <v>9475</v>
      </c>
      <c r="B28">
        <v>9546.94</v>
      </c>
    </row>
    <row r="29" spans="1:2">
      <c r="A29">
        <v>9480</v>
      </c>
      <c r="B29">
        <v>309609</v>
      </c>
    </row>
    <row r="30" spans="1:2">
      <c r="A30">
        <v>9485</v>
      </c>
      <c r="B30">
        <v>-2602.27</v>
      </c>
    </row>
    <row r="31" spans="1:2">
      <c r="A31">
        <v>9485</v>
      </c>
      <c r="B31">
        <v>216628.43</v>
      </c>
    </row>
    <row r="32" spans="1:2">
      <c r="A32">
        <v>9495</v>
      </c>
      <c r="B32">
        <v>843.28</v>
      </c>
    </row>
    <row r="33" spans="1:2">
      <c r="A33">
        <v>9495</v>
      </c>
      <c r="B33">
        <v>50393.24</v>
      </c>
    </row>
    <row r="34" spans="1:2">
      <c r="A34">
        <v>9525</v>
      </c>
      <c r="B34">
        <v>387</v>
      </c>
    </row>
    <row r="35" spans="1:2">
      <c r="A35">
        <v>9525</v>
      </c>
      <c r="B35">
        <v>162.5</v>
      </c>
    </row>
    <row r="36" spans="1:2">
      <c r="A36">
        <v>9535</v>
      </c>
      <c r="B36">
        <v>84371.64</v>
      </c>
    </row>
    <row r="37" spans="1:2">
      <c r="A37">
        <v>9535</v>
      </c>
      <c r="B37">
        <v>1460594.54</v>
      </c>
    </row>
    <row r="38" spans="1:2">
      <c r="A38">
        <v>9545</v>
      </c>
      <c r="B38">
        <v>359002.57</v>
      </c>
    </row>
    <row r="39" spans="1:2">
      <c r="A39">
        <v>9555</v>
      </c>
      <c r="B39">
        <v>370638</v>
      </c>
    </row>
    <row r="40" spans="1:2">
      <c r="A40">
        <v>9565</v>
      </c>
      <c r="B40">
        <v>115</v>
      </c>
    </row>
    <row r="41" spans="1:2">
      <c r="A41">
        <v>9565</v>
      </c>
      <c r="B41">
        <v>124361</v>
      </c>
    </row>
    <row r="42" spans="1:2">
      <c r="A42">
        <v>9575</v>
      </c>
      <c r="B42">
        <v>3808430.9</v>
      </c>
    </row>
    <row r="43" spans="1:2">
      <c r="A43">
        <v>9575</v>
      </c>
      <c r="B43">
        <v>1012645.17</v>
      </c>
    </row>
    <row r="44" spans="1:2">
      <c r="A44">
        <v>9585</v>
      </c>
      <c r="B44">
        <v>250347.95</v>
      </c>
    </row>
    <row r="45" spans="1:2">
      <c r="A45">
        <v>9585</v>
      </c>
      <c r="B45">
        <v>1602713.01</v>
      </c>
    </row>
    <row r="46" spans="1:2">
      <c r="A46">
        <v>9590</v>
      </c>
      <c r="B46">
        <v>56.6</v>
      </c>
    </row>
    <row r="47" spans="1:2">
      <c r="A47">
        <v>9595</v>
      </c>
      <c r="B47">
        <v>25072.9</v>
      </c>
    </row>
    <row r="48" spans="1:2">
      <c r="A48">
        <v>9595</v>
      </c>
      <c r="B48">
        <v>403705.48</v>
      </c>
    </row>
    <row r="49" spans="1:2">
      <c r="A49">
        <v>9635</v>
      </c>
      <c r="B49">
        <v>100</v>
      </c>
    </row>
    <row r="50" spans="1:2">
      <c r="A50">
        <v>9635</v>
      </c>
      <c r="B50">
        <v>429284.7</v>
      </c>
    </row>
    <row r="51" spans="1:2">
      <c r="A51">
        <v>9640</v>
      </c>
      <c r="B51">
        <v>331960</v>
      </c>
    </row>
    <row r="52" spans="1:2">
      <c r="A52">
        <v>9640</v>
      </c>
      <c r="B52">
        <v>9581.92</v>
      </c>
    </row>
    <row r="53" spans="1:2">
      <c r="A53">
        <v>9645</v>
      </c>
      <c r="B53">
        <v>2247.65</v>
      </c>
    </row>
    <row r="54" spans="1:2">
      <c r="A54">
        <v>9645</v>
      </c>
      <c r="B54">
        <v>919161.47</v>
      </c>
    </row>
    <row r="55" spans="1:2">
      <c r="A55">
        <v>9650</v>
      </c>
      <c r="B55">
        <v>429749.9</v>
      </c>
    </row>
    <row r="56" spans="1:2">
      <c r="A56">
        <v>9650</v>
      </c>
      <c r="B56">
        <v>83448.02</v>
      </c>
    </row>
    <row r="57" spans="1:2">
      <c r="A57">
        <v>9655</v>
      </c>
      <c r="B57">
        <v>85342</v>
      </c>
    </row>
    <row r="58" spans="1:2">
      <c r="A58">
        <v>9655</v>
      </c>
      <c r="B58">
        <v>830.46</v>
      </c>
    </row>
    <row r="59" spans="1:2">
      <c r="A59">
        <v>9660</v>
      </c>
      <c r="B59">
        <v>480982</v>
      </c>
    </row>
    <row r="60" spans="1:2">
      <c r="A60">
        <v>9665</v>
      </c>
      <c r="B60">
        <v>152565</v>
      </c>
    </row>
  </sheetData>
  <sortState ref="A1:E78">
    <sortCondition ref="A1:A78"/>
  </sortState>
  <dataConsolidate leftLabels="1">
    <dataRefs count="1">
      <dataRef ref="A1:B60" sheet="Sheet2"/>
    </dataRefs>
  </dataConsolidate>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dimension ref="A1:D18"/>
  <sheetViews>
    <sheetView workbookViewId="0">
      <selection activeCell="C11" sqref="C11"/>
    </sheetView>
  </sheetViews>
  <sheetFormatPr defaultRowHeight="12.75"/>
  <cols>
    <col min="1" max="1" width="39.7109375" customWidth="1"/>
  </cols>
  <sheetData>
    <row r="1" spans="1:4">
      <c r="A1" t="s">
        <v>382</v>
      </c>
    </row>
    <row r="2" spans="1:4">
      <c r="A2" t="s">
        <v>383</v>
      </c>
    </row>
    <row r="3" spans="1:4">
      <c r="A3" s="31" t="s">
        <v>384</v>
      </c>
      <c r="B3" s="31" t="s">
        <v>385</v>
      </c>
      <c r="C3" s="31" t="s">
        <v>386</v>
      </c>
      <c r="D3" s="31" t="s">
        <v>387</v>
      </c>
    </row>
    <row r="4" spans="1:4" ht="26.25" customHeight="1">
      <c r="A4" s="38" t="s">
        <v>388</v>
      </c>
      <c r="B4" s="52" t="s">
        <v>456</v>
      </c>
      <c r="C4" s="31"/>
      <c r="D4" s="31"/>
    </row>
    <row r="5" spans="1:4" ht="12.75" customHeight="1">
      <c r="A5" s="38" t="s">
        <v>389</v>
      </c>
      <c r="B5" s="52" t="s">
        <v>456</v>
      </c>
      <c r="C5" s="31"/>
      <c r="D5" s="31"/>
    </row>
    <row r="6" spans="1:4" ht="12.75" customHeight="1">
      <c r="A6" s="38" t="s">
        <v>390</v>
      </c>
      <c r="B6" s="52" t="s">
        <v>456</v>
      </c>
      <c r="C6" s="31"/>
      <c r="D6" s="31"/>
    </row>
    <row r="7" spans="1:4" ht="25.5" customHeight="1">
      <c r="A7" s="38" t="s">
        <v>391</v>
      </c>
      <c r="B7" s="52" t="s">
        <v>456</v>
      </c>
      <c r="C7" s="31"/>
      <c r="D7" s="31"/>
    </row>
    <row r="8" spans="1:4" ht="12.75" customHeight="1">
      <c r="A8" s="38" t="s">
        <v>392</v>
      </c>
      <c r="B8" s="52" t="s">
        <v>456</v>
      </c>
      <c r="C8" s="31"/>
      <c r="D8" s="31"/>
    </row>
    <row r="9" spans="1:4" ht="37.5" customHeight="1">
      <c r="A9" s="38" t="s">
        <v>393</v>
      </c>
      <c r="B9" s="52" t="s">
        <v>456</v>
      </c>
      <c r="C9" s="31"/>
      <c r="D9" s="31"/>
    </row>
    <row r="10" spans="1:4" ht="25.5" customHeight="1">
      <c r="A10" s="38" t="s">
        <v>394</v>
      </c>
      <c r="B10" s="31"/>
      <c r="C10" s="52" t="s">
        <v>456</v>
      </c>
      <c r="D10" s="31"/>
    </row>
    <row r="11" spans="1:4" ht="25.5" customHeight="1">
      <c r="A11" s="38" t="s">
        <v>395</v>
      </c>
      <c r="B11" s="31"/>
      <c r="C11" s="52" t="s">
        <v>456</v>
      </c>
      <c r="D11" s="31"/>
    </row>
    <row r="12" spans="1:4" ht="25.5" customHeight="1">
      <c r="A12" s="38" t="s">
        <v>396</v>
      </c>
      <c r="B12" s="31"/>
      <c r="C12" s="52" t="s">
        <v>456</v>
      </c>
      <c r="D12" s="31"/>
    </row>
    <row r="13" spans="1:4" ht="12.75" customHeight="1">
      <c r="A13" s="38" t="s">
        <v>397</v>
      </c>
      <c r="B13" s="52" t="s">
        <v>457</v>
      </c>
      <c r="C13" s="31"/>
      <c r="D13" s="31"/>
    </row>
    <row r="14" spans="1:4" ht="25.5" customHeight="1">
      <c r="A14" s="38" t="s">
        <v>398</v>
      </c>
      <c r="B14" s="52" t="s">
        <v>456</v>
      </c>
      <c r="C14" s="31"/>
      <c r="D14" s="31"/>
    </row>
    <row r="15" spans="1:4" ht="25.5" customHeight="1">
      <c r="A15" s="38" t="s">
        <v>399</v>
      </c>
      <c r="B15" s="31"/>
      <c r="C15" s="52" t="s">
        <v>456</v>
      </c>
      <c r="D15" s="31"/>
    </row>
    <row r="16" spans="1:4" ht="12.75" customHeight="1">
      <c r="A16" s="38" t="s">
        <v>400</v>
      </c>
      <c r="B16" s="52" t="s">
        <v>456</v>
      </c>
      <c r="C16" s="31"/>
      <c r="D16" s="31"/>
    </row>
    <row r="18" spans="1:1" ht="51">
      <c r="A18" s="53" t="s">
        <v>458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workbookViewId="0">
      <selection activeCell="A2" sqref="A2:D9"/>
    </sheetView>
  </sheetViews>
  <sheetFormatPr defaultRowHeight="12.75"/>
  <cols>
    <col min="2" max="2" width="23.85546875" customWidth="1"/>
  </cols>
  <sheetData>
    <row r="1" spans="1:4">
      <c r="A1" t="s">
        <v>464</v>
      </c>
      <c r="B1" s="57"/>
      <c r="C1" s="57"/>
      <c r="D1" s="57"/>
    </row>
    <row r="2" spans="1:4" ht="25.5">
      <c r="A2" s="59"/>
      <c r="B2" s="60"/>
      <c r="C2" s="38" t="s">
        <v>377</v>
      </c>
      <c r="D2" s="38" t="s">
        <v>378</v>
      </c>
    </row>
    <row r="3" spans="1:4">
      <c r="A3" s="100" t="s">
        <v>401</v>
      </c>
      <c r="B3" s="100"/>
      <c r="C3" s="51">
        <v>0.374</v>
      </c>
      <c r="D3" s="51">
        <v>0.60299999999999998</v>
      </c>
    </row>
    <row r="4" spans="1:4">
      <c r="A4" s="100" t="s">
        <v>402</v>
      </c>
      <c r="B4" s="100"/>
      <c r="C4" s="40">
        <v>0.4</v>
      </c>
      <c r="D4" s="40">
        <v>0.64900000000000002</v>
      </c>
    </row>
    <row r="5" spans="1:4">
      <c r="A5" s="100" t="s">
        <v>403</v>
      </c>
      <c r="B5" s="100"/>
      <c r="C5" s="40"/>
      <c r="D5" s="40"/>
    </row>
    <row r="6" spans="1:4">
      <c r="A6" s="31"/>
      <c r="B6" s="31" t="s">
        <v>404</v>
      </c>
      <c r="C6" s="40">
        <v>0.47299999999999998</v>
      </c>
      <c r="D6" s="40">
        <v>0.59</v>
      </c>
    </row>
    <row r="7" spans="1:4">
      <c r="A7" s="31"/>
      <c r="B7" s="31" t="s">
        <v>405</v>
      </c>
      <c r="C7" s="40">
        <v>0.20100000000000001</v>
      </c>
      <c r="D7" s="40">
        <v>3.3000000000000002E-2</v>
      </c>
    </row>
    <row r="8" spans="1:4">
      <c r="A8" s="31"/>
      <c r="B8" s="31" t="s">
        <v>406</v>
      </c>
      <c r="C8" s="40">
        <v>0.30499999999999999</v>
      </c>
      <c r="D8" s="40">
        <v>7.4999999999999997E-2</v>
      </c>
    </row>
    <row r="9" spans="1:4">
      <c r="A9" s="31"/>
      <c r="B9" s="31" t="s">
        <v>407</v>
      </c>
      <c r="C9" s="40">
        <v>2.1999999999999999E-2</v>
      </c>
      <c r="D9" s="40">
        <v>0.30199999999999999</v>
      </c>
    </row>
  </sheetData>
  <mergeCells count="3">
    <mergeCell ref="A3:B3"/>
    <mergeCell ref="A4:B4"/>
    <mergeCell ref="A5:B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2:H19"/>
  <sheetViews>
    <sheetView topLeftCell="A2" workbookViewId="0">
      <selection activeCell="A2" sqref="A2:C15"/>
    </sheetView>
  </sheetViews>
  <sheetFormatPr defaultColWidth="5.5703125" defaultRowHeight="12.75"/>
  <cols>
    <col min="2" max="2" width="46.5703125" customWidth="1"/>
    <col min="3" max="3" width="10.42578125" customWidth="1"/>
  </cols>
  <sheetData>
    <row r="2" spans="1:8">
      <c r="A2" s="26"/>
      <c r="B2" s="28" t="s">
        <v>408</v>
      </c>
      <c r="C2" s="73" t="s">
        <v>466</v>
      </c>
      <c r="E2" t="s">
        <v>409</v>
      </c>
    </row>
    <row r="3" spans="1:8" ht="25.5" customHeight="1">
      <c r="A3" s="102" t="s">
        <v>410</v>
      </c>
      <c r="B3" s="38" t="s">
        <v>411</v>
      </c>
      <c r="C3" s="39" t="s">
        <v>412</v>
      </c>
      <c r="E3" s="39" t="s">
        <v>412</v>
      </c>
    </row>
    <row r="4" spans="1:8" ht="39.75" customHeight="1">
      <c r="A4" s="102"/>
      <c r="B4" s="38" t="s">
        <v>414</v>
      </c>
      <c r="C4" s="72" t="s">
        <v>465</v>
      </c>
      <c r="E4" s="33" t="s">
        <v>413</v>
      </c>
    </row>
    <row r="5" spans="1:8" ht="25.5" customHeight="1">
      <c r="A5" s="101" t="s">
        <v>416</v>
      </c>
      <c r="B5" s="35" t="s">
        <v>417</v>
      </c>
      <c r="C5" s="39" t="s">
        <v>412</v>
      </c>
      <c r="E5" s="66" t="s">
        <v>415</v>
      </c>
    </row>
    <row r="6" spans="1:8" ht="39.75" customHeight="1">
      <c r="A6" s="101"/>
      <c r="B6" s="35" t="s">
        <v>418</v>
      </c>
      <c r="C6" s="54" t="s">
        <v>465</v>
      </c>
    </row>
    <row r="7" spans="1:8" ht="25.5" customHeight="1">
      <c r="A7" s="102" t="s">
        <v>419</v>
      </c>
      <c r="B7" s="38" t="s">
        <v>420</v>
      </c>
      <c r="C7" s="39" t="s">
        <v>412</v>
      </c>
    </row>
    <row r="8" spans="1:8" ht="37.5" customHeight="1">
      <c r="A8" s="102"/>
      <c r="B8" s="38" t="s">
        <v>421</v>
      </c>
      <c r="C8" s="54" t="s">
        <v>465</v>
      </c>
    </row>
    <row r="9" spans="1:8" ht="25.5" customHeight="1">
      <c r="A9" s="101" t="s">
        <v>422</v>
      </c>
      <c r="B9" s="35" t="s">
        <v>423</v>
      </c>
      <c r="C9" s="39" t="s">
        <v>460</v>
      </c>
    </row>
    <row r="10" spans="1:8" ht="37.5" customHeight="1">
      <c r="A10" s="101"/>
      <c r="B10" s="35" t="s">
        <v>424</v>
      </c>
      <c r="C10" s="54" t="s">
        <v>459</v>
      </c>
    </row>
    <row r="11" spans="1:8" ht="37.5" customHeight="1">
      <c r="A11" s="102" t="s">
        <v>425</v>
      </c>
      <c r="B11" s="38" t="s">
        <v>426</v>
      </c>
      <c r="C11" s="33" t="s">
        <v>413</v>
      </c>
    </row>
    <row r="12" spans="1:8" ht="37.5" customHeight="1">
      <c r="A12" s="102"/>
      <c r="B12" s="38" t="s">
        <v>427</v>
      </c>
      <c r="C12" s="33" t="s">
        <v>413</v>
      </c>
    </row>
    <row r="13" spans="1:8" ht="25.5" customHeight="1">
      <c r="A13" s="101" t="s">
        <v>428</v>
      </c>
      <c r="B13" s="35" t="s">
        <v>429</v>
      </c>
      <c r="C13" s="33" t="s">
        <v>413</v>
      </c>
    </row>
    <row r="14" spans="1:8" ht="12.75" customHeight="1">
      <c r="A14" s="101"/>
      <c r="B14" s="35" t="s">
        <v>430</v>
      </c>
      <c r="C14" s="39" t="s">
        <v>431</v>
      </c>
      <c r="E14" s="39" t="s">
        <v>431</v>
      </c>
      <c r="F14" s="33" t="s">
        <v>432</v>
      </c>
      <c r="H14" t="s">
        <v>433</v>
      </c>
    </row>
    <row r="15" spans="1:8" ht="25.5" customHeight="1">
      <c r="A15" s="101"/>
      <c r="B15" s="35" t="s">
        <v>434</v>
      </c>
      <c r="C15" s="37" t="s">
        <v>415</v>
      </c>
    </row>
    <row r="17" spans="1:1">
      <c r="A17" t="s">
        <v>435</v>
      </c>
    </row>
    <row r="19" spans="1:1">
      <c r="A19" s="55" t="s">
        <v>461</v>
      </c>
    </row>
  </sheetData>
  <mergeCells count="6">
    <mergeCell ref="A13:A15"/>
    <mergeCell ref="A3:A4"/>
    <mergeCell ref="A5:A6"/>
    <mergeCell ref="A7:A8"/>
    <mergeCell ref="A9:A10"/>
    <mergeCell ref="A11:A1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EV300"/>
  <sheetViews>
    <sheetView topLeftCell="C1" workbookViewId="0">
      <selection activeCell="K1" sqref="K1:O1"/>
    </sheetView>
  </sheetViews>
  <sheetFormatPr defaultRowHeight="12.75"/>
  <cols>
    <col min="2" max="2" width="30.140625" customWidth="1"/>
    <col min="3" max="11" width="16.85546875" customWidth="1"/>
    <col min="18" max="18" width="21.7109375" customWidth="1"/>
  </cols>
  <sheetData>
    <row r="1" spans="1:16376">
      <c r="A1" s="1" t="s">
        <v>5</v>
      </c>
      <c r="B1" s="2" t="s">
        <v>6</v>
      </c>
      <c r="C1" s="7" t="s">
        <v>302</v>
      </c>
      <c r="D1" s="7" t="s">
        <v>303</v>
      </c>
      <c r="E1" s="7" t="s">
        <v>306</v>
      </c>
      <c r="F1" s="7" t="s">
        <v>2</v>
      </c>
      <c r="G1" s="5" t="s">
        <v>437</v>
      </c>
      <c r="H1" s="5"/>
      <c r="I1" s="5"/>
      <c r="J1" s="5"/>
      <c r="K1" t="s">
        <v>444</v>
      </c>
      <c r="L1" t="s">
        <v>445</v>
      </c>
      <c r="M1" t="s">
        <v>446</v>
      </c>
      <c r="N1" t="s">
        <v>447</v>
      </c>
      <c r="O1" t="s">
        <v>448</v>
      </c>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row>
    <row r="2" spans="1:16376">
      <c r="A2" s="8">
        <v>15</v>
      </c>
      <c r="B2" t="s">
        <v>7</v>
      </c>
      <c r="C2" s="19">
        <v>2680595.7800000003</v>
      </c>
      <c r="D2" s="20">
        <v>4156506.46</v>
      </c>
      <c r="E2" s="18">
        <v>586287.69999999995</v>
      </c>
      <c r="F2" s="23">
        <v>1010776.63</v>
      </c>
      <c r="G2" t="s">
        <v>307</v>
      </c>
      <c r="H2" t="s">
        <v>309</v>
      </c>
      <c r="K2" t="str">
        <f>"Adams Central Community Schools   "</f>
        <v xml:space="preserve">Adams Central Community Schools   </v>
      </c>
      <c r="L2" t="str">
        <f>"0015"</f>
        <v>0015</v>
      </c>
      <c r="M2">
        <v>0</v>
      </c>
      <c r="N2">
        <v>1163</v>
      </c>
      <c r="O2">
        <f>N2-M2</f>
        <v>1163</v>
      </c>
    </row>
    <row r="3" spans="1:16376">
      <c r="A3" s="8">
        <v>25</v>
      </c>
      <c r="B3" t="s">
        <v>8</v>
      </c>
      <c r="C3" s="19">
        <v>5616787.1299999999</v>
      </c>
      <c r="D3" s="20">
        <v>8524549.6799999997</v>
      </c>
      <c r="E3" s="18">
        <v>834711.52</v>
      </c>
      <c r="F3" s="23">
        <v>58604.380000000005</v>
      </c>
      <c r="G3" t="s">
        <v>307</v>
      </c>
      <c r="H3" t="s">
        <v>309</v>
      </c>
      <c r="K3" t="str">
        <f>"North Adams Community Schools     "</f>
        <v xml:space="preserve">North Adams Community Schools     </v>
      </c>
      <c r="L3" t="str">
        <f>"0025"</f>
        <v>0025</v>
      </c>
      <c r="M3">
        <v>0</v>
      </c>
      <c r="N3">
        <v>2187</v>
      </c>
      <c r="O3">
        <f t="shared" ref="O3:O66" si="0">N3-M3</f>
        <v>2187</v>
      </c>
    </row>
    <row r="4" spans="1:16376">
      <c r="A4" s="8">
        <v>35</v>
      </c>
      <c r="B4" t="s">
        <v>9</v>
      </c>
      <c r="C4" s="19">
        <v>2998331.61</v>
      </c>
      <c r="D4" s="20">
        <v>5774042.0199999996</v>
      </c>
      <c r="E4" s="18">
        <v>1389538.83</v>
      </c>
      <c r="F4" s="23">
        <v>31391.119999999999</v>
      </c>
      <c r="G4" t="s">
        <v>307</v>
      </c>
      <c r="H4" t="s">
        <v>309</v>
      </c>
      <c r="K4" t="str">
        <f>"South Adams Schools               "</f>
        <v xml:space="preserve">South Adams Schools               </v>
      </c>
      <c r="L4" t="str">
        <f>"0035"</f>
        <v>0035</v>
      </c>
      <c r="M4">
        <v>28</v>
      </c>
      <c r="N4">
        <v>1411</v>
      </c>
      <c r="O4">
        <f t="shared" si="0"/>
        <v>1383</v>
      </c>
    </row>
    <row r="5" spans="1:16376">
      <c r="A5" s="8">
        <v>125</v>
      </c>
      <c r="B5" t="s">
        <v>10</v>
      </c>
      <c r="C5" s="19">
        <v>15617510.689999999</v>
      </c>
      <c r="D5" s="20">
        <v>13235238.940000001</v>
      </c>
      <c r="E5" s="18">
        <v>2963000.92</v>
      </c>
      <c r="F5" s="23">
        <v>5189697.58</v>
      </c>
      <c r="G5" t="s">
        <v>307</v>
      </c>
      <c r="H5" t="s">
        <v>309</v>
      </c>
      <c r="K5" t="str">
        <f>"M S D Southwest Allen County      "</f>
        <v xml:space="preserve">M S D Southwest Allen County      </v>
      </c>
      <c r="L5" t="str">
        <f>"0125"</f>
        <v>0125</v>
      </c>
      <c r="M5">
        <v>0</v>
      </c>
      <c r="N5">
        <v>6612</v>
      </c>
      <c r="O5">
        <f t="shared" si="0"/>
        <v>6612</v>
      </c>
    </row>
    <row r="6" spans="1:16376">
      <c r="A6" s="8">
        <v>225</v>
      </c>
      <c r="B6" t="s">
        <v>11</v>
      </c>
      <c r="C6" s="19">
        <v>10025539.690000001</v>
      </c>
      <c r="D6" s="20">
        <v>17666338.420000002</v>
      </c>
      <c r="E6" s="18">
        <v>1132933.1400000001</v>
      </c>
      <c r="F6" s="23">
        <v>239459.86</v>
      </c>
      <c r="G6" t="s">
        <v>307</v>
      </c>
      <c r="H6" t="s">
        <v>309</v>
      </c>
      <c r="K6" t="str">
        <f>"Northwest Allen County Schools    "</f>
        <v xml:space="preserve">Northwest Allen County Schools    </v>
      </c>
      <c r="L6" t="str">
        <f>"0225"</f>
        <v>0225</v>
      </c>
      <c r="M6">
        <v>0</v>
      </c>
      <c r="N6">
        <v>6035</v>
      </c>
      <c r="O6">
        <f t="shared" si="0"/>
        <v>6035</v>
      </c>
    </row>
    <row r="7" spans="1:16376">
      <c r="A7" s="8">
        <v>235</v>
      </c>
      <c r="B7" t="s">
        <v>12</v>
      </c>
      <c r="C7" s="19">
        <v>42241346.450000003</v>
      </c>
      <c r="D7" s="20">
        <v>132445831.8</v>
      </c>
      <c r="E7" s="18">
        <v>31323335.800000001</v>
      </c>
      <c r="F7" s="23">
        <v>8503019.0800000001</v>
      </c>
      <c r="G7" t="s">
        <v>307</v>
      </c>
      <c r="H7" t="s">
        <v>309</v>
      </c>
      <c r="K7" t="str">
        <f>"Fort Wayne Community Schools      "</f>
        <v xml:space="preserve">Fort Wayne Community Schools      </v>
      </c>
      <c r="L7" t="str">
        <f>"0235"</f>
        <v>0235</v>
      </c>
      <c r="M7">
        <v>870</v>
      </c>
      <c r="N7">
        <v>31884</v>
      </c>
      <c r="O7">
        <f t="shared" si="0"/>
        <v>31014</v>
      </c>
    </row>
    <row r="8" spans="1:16376">
      <c r="A8" s="8">
        <v>255</v>
      </c>
      <c r="B8" t="s">
        <v>13</v>
      </c>
      <c r="C8" s="19">
        <v>13410756.209999999</v>
      </c>
      <c r="D8" s="20">
        <v>40407830.200000003</v>
      </c>
      <c r="E8" s="18">
        <v>6553015.1899999995</v>
      </c>
      <c r="F8" s="23">
        <v>14177318.279999999</v>
      </c>
      <c r="G8" t="s">
        <v>307</v>
      </c>
      <c r="H8" t="s">
        <v>309</v>
      </c>
      <c r="K8" t="str">
        <f>"East Allen County Schools         "</f>
        <v xml:space="preserve">East Allen County Schools         </v>
      </c>
      <c r="L8" t="str">
        <f>"0255"</f>
        <v>0255</v>
      </c>
      <c r="M8">
        <v>111</v>
      </c>
      <c r="N8">
        <v>10228</v>
      </c>
      <c r="O8">
        <f t="shared" si="0"/>
        <v>10117</v>
      </c>
    </row>
    <row r="9" spans="1:16376">
      <c r="A9" s="8">
        <v>365</v>
      </c>
      <c r="B9" t="s">
        <v>14</v>
      </c>
      <c r="C9" s="19">
        <v>19401015.93</v>
      </c>
      <c r="D9" s="20">
        <v>36993027.700000003</v>
      </c>
      <c r="E9" s="18">
        <v>10701245.01</v>
      </c>
      <c r="F9" s="23">
        <v>2771865.9800000004</v>
      </c>
      <c r="G9" t="s">
        <v>307</v>
      </c>
      <c r="H9" t="s">
        <v>309</v>
      </c>
      <c r="K9" t="str">
        <f>"Bartholomew Con School Corp       "</f>
        <v xml:space="preserve">Bartholomew Con School Corp       </v>
      </c>
      <c r="L9" t="str">
        <f>"0365"</f>
        <v>0365</v>
      </c>
      <c r="M9">
        <v>222</v>
      </c>
      <c r="N9">
        <v>11098</v>
      </c>
      <c r="O9">
        <f t="shared" si="0"/>
        <v>10876</v>
      </c>
    </row>
    <row r="10" spans="1:16376">
      <c r="A10" s="8">
        <v>370</v>
      </c>
      <c r="B10" t="s">
        <v>15</v>
      </c>
      <c r="C10" s="19">
        <v>849625.5</v>
      </c>
      <c r="D10" s="20">
        <v>5314330.1400000006</v>
      </c>
      <c r="E10" s="18">
        <v>353526.19999999995</v>
      </c>
      <c r="F10" s="23">
        <v>27271.54</v>
      </c>
      <c r="G10" t="s">
        <v>307</v>
      </c>
      <c r="H10" t="s">
        <v>309</v>
      </c>
      <c r="K10" t="str">
        <f>"Flat Rock-Hawcreek School Corp    "</f>
        <v xml:space="preserve">Flat Rock-Hawcreek School Corp    </v>
      </c>
      <c r="L10" t="str">
        <f>"0370"</f>
        <v>0370</v>
      </c>
      <c r="M10">
        <v>16</v>
      </c>
      <c r="N10">
        <v>1103</v>
      </c>
      <c r="O10">
        <f t="shared" si="0"/>
        <v>1087</v>
      </c>
    </row>
    <row r="11" spans="1:16376">
      <c r="A11" s="8">
        <v>395</v>
      </c>
      <c r="B11" t="s">
        <v>16</v>
      </c>
      <c r="C11" s="19">
        <v>4904107.1099999994</v>
      </c>
      <c r="D11" s="20">
        <v>6835605.4100000001</v>
      </c>
      <c r="E11" s="18">
        <v>337873.81</v>
      </c>
      <c r="F11" s="23">
        <v>164185.01</v>
      </c>
      <c r="G11" t="s">
        <v>307</v>
      </c>
      <c r="H11" t="s">
        <v>309</v>
      </c>
      <c r="K11" t="str">
        <f>"Benton Community School Corp      "</f>
        <v xml:space="preserve">Benton Community School Corp      </v>
      </c>
      <c r="L11" t="str">
        <f>"0395"</f>
        <v>0395</v>
      </c>
      <c r="M11">
        <v>0</v>
      </c>
      <c r="N11">
        <v>1948</v>
      </c>
      <c r="O11">
        <f t="shared" si="0"/>
        <v>1948</v>
      </c>
    </row>
    <row r="12" spans="1:16376">
      <c r="A12" s="8">
        <v>515</v>
      </c>
      <c r="B12" t="s">
        <v>17</v>
      </c>
      <c r="C12" s="19">
        <v>2140558.66</v>
      </c>
      <c r="D12" s="20">
        <v>10350791.780000001</v>
      </c>
      <c r="E12" s="18">
        <v>1470835.51</v>
      </c>
      <c r="F12" s="23">
        <v>95302.53</v>
      </c>
      <c r="G12" t="s">
        <v>307</v>
      </c>
      <c r="H12" t="s">
        <v>309</v>
      </c>
      <c r="K12" t="str">
        <f>"Blackford County Schools          "</f>
        <v xml:space="preserve">Blackford County Schools          </v>
      </c>
      <c r="L12" t="str">
        <f>"0515"</f>
        <v>0515</v>
      </c>
      <c r="M12">
        <v>6</v>
      </c>
      <c r="N12">
        <v>2258</v>
      </c>
      <c r="O12">
        <f t="shared" si="0"/>
        <v>2252</v>
      </c>
    </row>
    <row r="13" spans="1:16376">
      <c r="A13" s="8">
        <v>615</v>
      </c>
      <c r="B13" t="s">
        <v>18</v>
      </c>
      <c r="C13" s="19">
        <v>2501348.7800000003</v>
      </c>
      <c r="D13" s="20">
        <v>7057671.1999999993</v>
      </c>
      <c r="E13" s="18">
        <v>292242.81</v>
      </c>
      <c r="F13" s="23">
        <v>23121.370000000003</v>
      </c>
      <c r="G13" t="s">
        <v>307</v>
      </c>
      <c r="H13" t="s">
        <v>309</v>
      </c>
      <c r="K13" t="str">
        <f>"Western Boone Co Com Sch Dist     "</f>
        <v xml:space="preserve">Western Boone Co Com Sch Dist     </v>
      </c>
      <c r="L13" t="str">
        <f>"0615"</f>
        <v>0615</v>
      </c>
      <c r="M13">
        <v>88</v>
      </c>
      <c r="N13">
        <v>1916</v>
      </c>
      <c r="O13">
        <f t="shared" si="0"/>
        <v>1828</v>
      </c>
    </row>
    <row r="14" spans="1:16376">
      <c r="A14" s="8">
        <v>630</v>
      </c>
      <c r="B14" t="s">
        <v>19</v>
      </c>
      <c r="C14" s="19">
        <v>9193705.3900000006</v>
      </c>
      <c r="D14" s="20">
        <v>14185931.810000001</v>
      </c>
      <c r="E14" s="18">
        <v>387901.62</v>
      </c>
      <c r="F14" s="23">
        <v>325</v>
      </c>
      <c r="G14" t="s">
        <v>307</v>
      </c>
      <c r="H14" t="s">
        <v>309</v>
      </c>
      <c r="K14" t="str">
        <f>"Zionsville Community Schools      "</f>
        <v xml:space="preserve">Zionsville Community Schools      </v>
      </c>
      <c r="L14" t="str">
        <f>"0630"</f>
        <v>0630</v>
      </c>
      <c r="M14">
        <v>37</v>
      </c>
      <c r="N14">
        <v>4959</v>
      </c>
      <c r="O14">
        <f t="shared" si="0"/>
        <v>4922</v>
      </c>
    </row>
    <row r="15" spans="1:16376">
      <c r="A15" s="8">
        <v>665</v>
      </c>
      <c r="B15" t="s">
        <v>20</v>
      </c>
      <c r="C15" s="19">
        <v>4056562.34</v>
      </c>
      <c r="D15" s="20">
        <v>12686102.23</v>
      </c>
      <c r="E15" s="18">
        <v>1414748.67</v>
      </c>
      <c r="F15" s="23">
        <v>544943.89</v>
      </c>
      <c r="G15" t="s">
        <v>307</v>
      </c>
      <c r="H15" t="s">
        <v>309</v>
      </c>
      <c r="K15" t="str">
        <f>"Lebanon Community School Corp     "</f>
        <v xml:space="preserve">Lebanon Community School Corp     </v>
      </c>
      <c r="L15" t="str">
        <f>"0665"</f>
        <v>0665</v>
      </c>
      <c r="M15">
        <v>24</v>
      </c>
      <c r="N15">
        <v>3529</v>
      </c>
      <c r="O15">
        <f t="shared" si="0"/>
        <v>3505</v>
      </c>
    </row>
    <row r="16" spans="1:16376">
      <c r="A16" s="8">
        <v>670</v>
      </c>
      <c r="B16" t="s">
        <v>21</v>
      </c>
      <c r="C16" s="19">
        <v>6578275.8799999999</v>
      </c>
      <c r="D16" s="20">
        <v>7259717.3300000001</v>
      </c>
      <c r="E16" s="18">
        <v>1430207.45</v>
      </c>
      <c r="F16" s="23">
        <v>56193.29</v>
      </c>
      <c r="G16" t="s">
        <v>307</v>
      </c>
      <c r="H16" t="s">
        <v>309</v>
      </c>
      <c r="K16" t="str">
        <f>"Brown County School Corporation   "</f>
        <v xml:space="preserve">Brown County School Corporation   </v>
      </c>
      <c r="L16" t="str">
        <f>"0670"</f>
        <v>0670</v>
      </c>
      <c r="M16">
        <v>18</v>
      </c>
      <c r="N16">
        <v>2295</v>
      </c>
      <c r="O16">
        <f t="shared" si="0"/>
        <v>2277</v>
      </c>
    </row>
    <row r="17" spans="1:15">
      <c r="A17" s="8">
        <v>750</v>
      </c>
      <c r="B17" t="s">
        <v>22</v>
      </c>
      <c r="C17" s="19">
        <v>1931288</v>
      </c>
      <c r="D17" s="20">
        <v>3873234.63</v>
      </c>
      <c r="E17" s="18">
        <v>303165.90999999997</v>
      </c>
      <c r="F17" s="23">
        <v>1783173.54</v>
      </c>
      <c r="G17" t="s">
        <v>307</v>
      </c>
      <c r="H17" t="s">
        <v>309</v>
      </c>
      <c r="K17" t="str">
        <f>"Carroll Consolidated Sch Corp     "</f>
        <v xml:space="preserve">Carroll Consolidated Sch Corp     </v>
      </c>
      <c r="L17" t="str">
        <f>"0750"</f>
        <v>0750</v>
      </c>
      <c r="M17">
        <v>0</v>
      </c>
      <c r="N17">
        <v>1138</v>
      </c>
      <c r="O17">
        <f t="shared" si="0"/>
        <v>1138</v>
      </c>
    </row>
    <row r="18" spans="1:15">
      <c r="A18" s="8">
        <v>755</v>
      </c>
      <c r="B18" t="s">
        <v>23</v>
      </c>
      <c r="C18" s="19">
        <v>2325723.0099999998</v>
      </c>
      <c r="D18" s="20">
        <v>6500627.4699999997</v>
      </c>
      <c r="E18" s="18">
        <v>669567.94999999995</v>
      </c>
      <c r="F18" s="23">
        <v>24535.01</v>
      </c>
      <c r="G18" t="s">
        <v>307</v>
      </c>
      <c r="H18" t="s">
        <v>309</v>
      </c>
      <c r="K18" t="str">
        <f>"Delphi Community School Corp      "</f>
        <v xml:space="preserve">Delphi Community School Corp      </v>
      </c>
      <c r="L18" t="str">
        <f>"0755"</f>
        <v>0755</v>
      </c>
      <c r="M18">
        <v>0</v>
      </c>
      <c r="N18">
        <v>1649</v>
      </c>
      <c r="O18">
        <f t="shared" si="0"/>
        <v>1649</v>
      </c>
    </row>
    <row r="19" spans="1:15">
      <c r="A19" s="8">
        <v>775</v>
      </c>
      <c r="B19" t="s">
        <v>24</v>
      </c>
      <c r="C19" s="19">
        <v>1319358.8400000001</v>
      </c>
      <c r="D19" s="20">
        <v>3768497.44</v>
      </c>
      <c r="E19" s="18">
        <v>314793.05</v>
      </c>
      <c r="F19" s="23">
        <v>89064.09</v>
      </c>
      <c r="G19" t="s">
        <v>307</v>
      </c>
      <c r="H19" t="s">
        <v>309</v>
      </c>
      <c r="K19" t="str">
        <f>"Pioneer Regional School Corp      "</f>
        <v xml:space="preserve">Pioneer Regional School Corp      </v>
      </c>
      <c r="L19" t="str">
        <f>"0775"</f>
        <v>0775</v>
      </c>
      <c r="M19">
        <v>0</v>
      </c>
      <c r="N19">
        <v>1028</v>
      </c>
      <c r="O19">
        <f t="shared" si="0"/>
        <v>1028</v>
      </c>
    </row>
    <row r="20" spans="1:15">
      <c r="A20" s="9">
        <v>815</v>
      </c>
      <c r="B20" s="3" t="s">
        <v>25</v>
      </c>
      <c r="C20" s="19">
        <v>2439634.69</v>
      </c>
      <c r="D20" s="20">
        <v>6365107.5500000007</v>
      </c>
      <c r="E20" s="18">
        <v>520110.87</v>
      </c>
      <c r="F20" s="23">
        <v>15752.98</v>
      </c>
      <c r="G20" t="s">
        <v>307</v>
      </c>
      <c r="H20" t="s">
        <v>309</v>
      </c>
      <c r="K20" t="str">
        <f>"Southeastern School Corp          "</f>
        <v xml:space="preserve">Southeastern School Corp          </v>
      </c>
      <c r="L20" t="str">
        <f>"0815"</f>
        <v>0815</v>
      </c>
      <c r="M20">
        <v>0</v>
      </c>
      <c r="N20">
        <v>1607</v>
      </c>
      <c r="O20">
        <f t="shared" si="0"/>
        <v>1607</v>
      </c>
    </row>
    <row r="21" spans="1:15">
      <c r="A21" s="8">
        <v>875</v>
      </c>
      <c r="B21" t="s">
        <v>26</v>
      </c>
      <c r="C21" s="19">
        <v>4322061.8899999997</v>
      </c>
      <c r="D21" s="20">
        <v>21129512.299999997</v>
      </c>
      <c r="E21" s="18">
        <v>6490186.4100000001</v>
      </c>
      <c r="F21" s="23">
        <v>9321446.1999999993</v>
      </c>
      <c r="G21" t="s">
        <v>307</v>
      </c>
      <c r="H21" t="s">
        <v>309</v>
      </c>
      <c r="K21" t="str">
        <f>"Logansport Community Sch Corp     "</f>
        <v xml:space="preserve">Logansport Community Sch Corp     </v>
      </c>
      <c r="L21" t="str">
        <f>"0875"</f>
        <v>0875</v>
      </c>
      <c r="M21">
        <v>19</v>
      </c>
      <c r="N21">
        <v>4310</v>
      </c>
      <c r="O21">
        <f t="shared" si="0"/>
        <v>4291</v>
      </c>
    </row>
    <row r="22" spans="1:15">
      <c r="A22" s="9">
        <v>940</v>
      </c>
      <c r="B22" s="3" t="s">
        <v>27</v>
      </c>
      <c r="C22" s="19">
        <v>6554991.0300000003</v>
      </c>
      <c r="D22" s="20">
        <v>13024058.739999998</v>
      </c>
      <c r="E22" s="18">
        <v>790700.76</v>
      </c>
      <c r="F22" s="23">
        <v>769021.23</v>
      </c>
      <c r="G22" t="s">
        <v>307</v>
      </c>
      <c r="H22" t="s">
        <v>309</v>
      </c>
      <c r="K22" t="str">
        <f>"West Clark Community Schools      "</f>
        <v xml:space="preserve">West Clark Community Schools      </v>
      </c>
      <c r="L22" t="str">
        <f>"0940"</f>
        <v>0940</v>
      </c>
      <c r="M22">
        <v>50</v>
      </c>
      <c r="N22">
        <v>3796</v>
      </c>
      <c r="O22">
        <f t="shared" si="0"/>
        <v>3746</v>
      </c>
    </row>
    <row r="23" spans="1:15">
      <c r="A23" s="8">
        <v>1000</v>
      </c>
      <c r="B23" t="s">
        <v>28</v>
      </c>
      <c r="C23" s="19">
        <v>3445148.25</v>
      </c>
      <c r="D23" s="20">
        <v>6337788.0099999998</v>
      </c>
      <c r="E23" s="18">
        <v>762827.73</v>
      </c>
      <c r="F23" s="23">
        <v>116460.46</v>
      </c>
      <c r="G23" t="s">
        <v>307</v>
      </c>
      <c r="H23" t="s">
        <v>309</v>
      </c>
      <c r="K23" t="str">
        <f>"Clarksville Com School Corp       "</f>
        <v xml:space="preserve">Clarksville Com School Corp       </v>
      </c>
      <c r="L23" t="str">
        <f>"1000"</f>
        <v>1000</v>
      </c>
      <c r="M23">
        <v>7</v>
      </c>
      <c r="N23">
        <v>1459</v>
      </c>
      <c r="O23">
        <f t="shared" si="0"/>
        <v>1452</v>
      </c>
    </row>
    <row r="24" spans="1:15">
      <c r="A24" s="9">
        <v>1010</v>
      </c>
      <c r="B24" s="3" t="s">
        <v>29</v>
      </c>
      <c r="C24" s="19">
        <v>19132925.700000003</v>
      </c>
      <c r="D24" s="20">
        <v>46073660</v>
      </c>
      <c r="E24" s="18">
        <v>9996640.4900000002</v>
      </c>
      <c r="F24" s="23">
        <v>2092995.7799999998</v>
      </c>
      <c r="G24" t="s">
        <v>307</v>
      </c>
      <c r="H24" t="s">
        <v>309</v>
      </c>
      <c r="K24" t="str">
        <f>"Greater Clark County Schools      "</f>
        <v xml:space="preserve">Greater Clark County Schools      </v>
      </c>
      <c r="L24" t="str">
        <f>"1010"</f>
        <v>1010</v>
      </c>
      <c r="M24">
        <v>0</v>
      </c>
      <c r="N24">
        <v>10768</v>
      </c>
      <c r="O24">
        <f t="shared" si="0"/>
        <v>10768</v>
      </c>
    </row>
    <row r="25" spans="1:15">
      <c r="A25" s="8">
        <v>1125</v>
      </c>
      <c r="B25" t="s">
        <v>30</v>
      </c>
      <c r="C25" s="19">
        <v>4393870.04</v>
      </c>
      <c r="D25" s="20">
        <v>20191172.300000001</v>
      </c>
      <c r="E25" s="18">
        <v>2945554.12</v>
      </c>
      <c r="F25" s="23">
        <v>135971.83000000002</v>
      </c>
      <c r="G25" t="s">
        <v>307</v>
      </c>
      <c r="H25" t="s">
        <v>309</v>
      </c>
      <c r="K25" t="str">
        <f>"Clay Community Schools            "</f>
        <v xml:space="preserve">Clay Community Schools            </v>
      </c>
      <c r="L25" t="str">
        <f>"1125"</f>
        <v>1125</v>
      </c>
      <c r="M25">
        <v>0</v>
      </c>
      <c r="N25">
        <v>4661</v>
      </c>
      <c r="O25">
        <f t="shared" si="0"/>
        <v>4661</v>
      </c>
    </row>
    <row r="26" spans="1:15">
      <c r="A26" s="8">
        <v>1150</v>
      </c>
      <c r="B26" t="s">
        <v>31</v>
      </c>
      <c r="C26" s="19">
        <v>1629194.26</v>
      </c>
      <c r="D26" s="20">
        <v>4127323.5200000005</v>
      </c>
      <c r="E26" s="18">
        <v>534278</v>
      </c>
      <c r="F26" s="23">
        <v>224370.85</v>
      </c>
      <c r="G26" t="s">
        <v>307</v>
      </c>
      <c r="H26" t="s">
        <v>309</v>
      </c>
      <c r="K26" t="str">
        <f>"Clinton Central School Corp       "</f>
        <v xml:space="preserve">Clinton Central School Corp       </v>
      </c>
      <c r="L26" t="str">
        <f>"1150"</f>
        <v>1150</v>
      </c>
      <c r="M26">
        <v>0</v>
      </c>
      <c r="N26">
        <v>1077</v>
      </c>
      <c r="O26">
        <f t="shared" si="0"/>
        <v>1077</v>
      </c>
    </row>
    <row r="27" spans="1:15">
      <c r="A27" s="8">
        <v>1160</v>
      </c>
      <c r="B27" t="s">
        <v>32</v>
      </c>
      <c r="C27" s="19">
        <v>1685131.93</v>
      </c>
      <c r="D27" s="20">
        <v>3418112.7</v>
      </c>
      <c r="E27" s="18">
        <v>379505.1</v>
      </c>
      <c r="F27" s="23">
        <v>274220.08999999997</v>
      </c>
      <c r="G27" t="s">
        <v>307</v>
      </c>
      <c r="H27" t="s">
        <v>309</v>
      </c>
      <c r="K27" t="str">
        <f>"Clinton Prairie School Corp       "</f>
        <v xml:space="preserve">Clinton Prairie School Corp       </v>
      </c>
      <c r="L27" t="str">
        <f>"1160"</f>
        <v>1160</v>
      </c>
      <c r="M27">
        <v>0</v>
      </c>
      <c r="N27">
        <v>1012</v>
      </c>
      <c r="O27">
        <f t="shared" si="0"/>
        <v>1012</v>
      </c>
    </row>
    <row r="28" spans="1:15">
      <c r="A28" s="8">
        <v>1170</v>
      </c>
      <c r="B28" t="s">
        <v>33</v>
      </c>
      <c r="C28" s="19">
        <v>3069582.27</v>
      </c>
      <c r="D28" s="20">
        <v>15191121.07</v>
      </c>
      <c r="E28" s="18">
        <v>5703189.6099999994</v>
      </c>
      <c r="F28" s="23">
        <v>4239430.4000000004</v>
      </c>
      <c r="G28" t="s">
        <v>307</v>
      </c>
      <c r="H28" t="s">
        <v>309</v>
      </c>
      <c r="K28" t="str">
        <f>"Community Schools of Frankfort    "</f>
        <v xml:space="preserve">Community Schools of Frankfort    </v>
      </c>
      <c r="L28" t="str">
        <f>"1170"</f>
        <v>1170</v>
      </c>
      <c r="M28">
        <v>63</v>
      </c>
      <c r="N28">
        <v>3320</v>
      </c>
      <c r="O28">
        <f t="shared" si="0"/>
        <v>3257</v>
      </c>
    </row>
    <row r="29" spans="1:15">
      <c r="A29" s="9">
        <v>1180</v>
      </c>
      <c r="B29" s="3" t="s">
        <v>34</v>
      </c>
      <c r="C29" s="19">
        <v>1349687.9</v>
      </c>
      <c r="D29" s="20">
        <v>3652632.56</v>
      </c>
      <c r="E29" s="18">
        <v>334237.01</v>
      </c>
      <c r="F29" s="23">
        <v>22315.769999999997</v>
      </c>
      <c r="G29" t="s">
        <v>307</v>
      </c>
      <c r="H29" t="s">
        <v>309</v>
      </c>
      <c r="K29" t="str">
        <f>"Rossville Con School District     "</f>
        <v xml:space="preserve">Rossville Con School District     </v>
      </c>
      <c r="L29" t="str">
        <f>"1180"</f>
        <v>1180</v>
      </c>
      <c r="M29">
        <v>0</v>
      </c>
      <c r="N29">
        <v>1014</v>
      </c>
      <c r="O29">
        <f t="shared" si="0"/>
        <v>1014</v>
      </c>
    </row>
    <row r="30" spans="1:15">
      <c r="A30" s="8">
        <v>1300</v>
      </c>
      <c r="B30" t="s">
        <v>35</v>
      </c>
      <c r="C30" s="19">
        <v>1478490.0299999998</v>
      </c>
      <c r="D30" s="20">
        <v>9297521.8900000006</v>
      </c>
      <c r="E30" s="18">
        <v>1460592.81</v>
      </c>
      <c r="F30" s="23">
        <v>338495.57999999996</v>
      </c>
      <c r="G30" t="s">
        <v>307</v>
      </c>
      <c r="H30" t="s">
        <v>309</v>
      </c>
      <c r="K30" t="str">
        <f>"Crawford Co Com School Corp       "</f>
        <v xml:space="preserve">Crawford Co Com School Corp       </v>
      </c>
      <c r="L30" t="str">
        <f>"1300"</f>
        <v>1300</v>
      </c>
      <c r="M30">
        <v>0</v>
      </c>
      <c r="N30">
        <v>1809</v>
      </c>
      <c r="O30">
        <f t="shared" si="0"/>
        <v>1809</v>
      </c>
    </row>
    <row r="31" spans="1:15">
      <c r="A31" s="9">
        <v>1315</v>
      </c>
      <c r="B31" s="3" t="s">
        <v>36</v>
      </c>
      <c r="C31" s="19">
        <v>4578816.9800000004</v>
      </c>
      <c r="D31" s="20">
        <v>0</v>
      </c>
      <c r="E31" s="18">
        <v>0</v>
      </c>
      <c r="F31" s="23">
        <v>0</v>
      </c>
      <c r="G31" t="s">
        <v>307</v>
      </c>
      <c r="H31" t="s">
        <v>309</v>
      </c>
      <c r="K31" t="str">
        <f>"Barr-Reeve Com Schools Inc        "</f>
        <v xml:space="preserve">Barr-Reeve Com Schools Inc        </v>
      </c>
      <c r="L31" t="str">
        <f>"1315"</f>
        <v>1315</v>
      </c>
      <c r="M31">
        <v>0</v>
      </c>
      <c r="N31">
        <v>743</v>
      </c>
      <c r="O31">
        <f t="shared" si="0"/>
        <v>743</v>
      </c>
    </row>
    <row r="32" spans="1:15">
      <c r="A32" s="8">
        <v>1375</v>
      </c>
      <c r="B32" t="s">
        <v>37</v>
      </c>
      <c r="C32" s="19">
        <v>2444644.46</v>
      </c>
      <c r="D32" s="20">
        <v>4552655.82</v>
      </c>
      <c r="E32" s="18">
        <v>701127.79</v>
      </c>
      <c r="F32" s="23">
        <v>18538.04</v>
      </c>
      <c r="G32" t="s">
        <v>307</v>
      </c>
      <c r="H32" t="s">
        <v>309</v>
      </c>
      <c r="K32" t="str">
        <f>"North Daviess Com Schools         "</f>
        <v xml:space="preserve">North Daviess Com Schools         </v>
      </c>
      <c r="L32" t="str">
        <f>"1375"</f>
        <v>1375</v>
      </c>
      <c r="M32">
        <v>0</v>
      </c>
      <c r="N32">
        <v>1137</v>
      </c>
      <c r="O32">
        <f t="shared" si="0"/>
        <v>1137</v>
      </c>
    </row>
    <row r="33" spans="1:15">
      <c r="A33" s="8">
        <v>1405</v>
      </c>
      <c r="B33" t="s">
        <v>38</v>
      </c>
      <c r="C33" s="19">
        <v>3920010.25</v>
      </c>
      <c r="D33" s="20">
        <v>11528692.02</v>
      </c>
      <c r="E33" s="18">
        <v>1175930.6099999999</v>
      </c>
      <c r="F33" s="23">
        <v>2529767.5500000003</v>
      </c>
      <c r="G33" t="s">
        <v>307</v>
      </c>
      <c r="H33" t="s">
        <v>309</v>
      </c>
      <c r="K33" t="str">
        <f>"Washington Com Schools            "</f>
        <v xml:space="preserve">Washington Com Schools            </v>
      </c>
      <c r="L33" t="str">
        <f>"1405"</f>
        <v>1405</v>
      </c>
      <c r="M33">
        <v>0</v>
      </c>
      <c r="N33">
        <v>2433</v>
      </c>
      <c r="O33">
        <f t="shared" si="0"/>
        <v>2433</v>
      </c>
    </row>
    <row r="34" spans="1:15">
      <c r="A34" s="8">
        <v>1560</v>
      </c>
      <c r="B34" t="s">
        <v>39</v>
      </c>
      <c r="C34" s="19">
        <v>7363832.0700000003</v>
      </c>
      <c r="D34" s="20">
        <v>16836755.049999997</v>
      </c>
      <c r="E34" s="18">
        <v>3014104.91</v>
      </c>
      <c r="F34" s="23">
        <v>5222154.3100000005</v>
      </c>
      <c r="G34" t="s">
        <v>307</v>
      </c>
      <c r="H34" t="s">
        <v>309</v>
      </c>
      <c r="K34" t="str">
        <f>"Sunman-Dearborn Com Sch Corp      "</f>
        <v xml:space="preserve">Sunman-Dearborn Com Sch Corp      </v>
      </c>
      <c r="L34" t="str">
        <f>"1560"</f>
        <v>1560</v>
      </c>
      <c r="M34">
        <v>19</v>
      </c>
      <c r="N34">
        <v>4422</v>
      </c>
      <c r="O34">
        <f t="shared" si="0"/>
        <v>4403</v>
      </c>
    </row>
    <row r="35" spans="1:15">
      <c r="A35" s="8">
        <v>1600</v>
      </c>
      <c r="B35" t="s">
        <v>40</v>
      </c>
      <c r="C35" s="19">
        <v>4526849.68</v>
      </c>
      <c r="D35" s="20">
        <v>12811632.109999999</v>
      </c>
      <c r="E35" s="18">
        <v>1109871.92</v>
      </c>
      <c r="F35" s="23">
        <v>1437487.99</v>
      </c>
      <c r="G35" t="s">
        <v>307</v>
      </c>
      <c r="H35" t="s">
        <v>309</v>
      </c>
      <c r="K35" t="str">
        <f>"South Dearborn Com School Corp    "</f>
        <v xml:space="preserve">South Dearborn Com School Corp    </v>
      </c>
      <c r="L35" t="str">
        <f>"1600"</f>
        <v>1600</v>
      </c>
      <c r="M35">
        <v>0</v>
      </c>
      <c r="N35">
        <v>2984</v>
      </c>
      <c r="O35">
        <f t="shared" si="0"/>
        <v>2984</v>
      </c>
    </row>
    <row r="36" spans="1:15">
      <c r="A36" s="8">
        <v>1620</v>
      </c>
      <c r="B36" t="s">
        <v>41</v>
      </c>
      <c r="C36" s="19">
        <v>7014678.9900000002</v>
      </c>
      <c r="D36" s="20">
        <v>1209369.47</v>
      </c>
      <c r="E36" s="18">
        <v>573364.9</v>
      </c>
      <c r="F36" s="23">
        <v>20498.969999999998</v>
      </c>
      <c r="G36" t="s">
        <v>307</v>
      </c>
      <c r="H36" t="s">
        <v>309</v>
      </c>
      <c r="K36" t="str">
        <f>"Lawrenceburg Com School Corp      "</f>
        <v xml:space="preserve">Lawrenceburg Com School Corp      </v>
      </c>
      <c r="L36" t="str">
        <f>"1620"</f>
        <v>1620</v>
      </c>
      <c r="M36">
        <v>15</v>
      </c>
      <c r="N36">
        <v>1628</v>
      </c>
      <c r="O36">
        <f t="shared" si="0"/>
        <v>1613</v>
      </c>
    </row>
    <row r="37" spans="1:15">
      <c r="A37" s="8">
        <v>1655</v>
      </c>
      <c r="B37" t="s">
        <v>42</v>
      </c>
      <c r="C37" s="19">
        <v>3032660.2800000003</v>
      </c>
      <c r="D37" s="20">
        <v>8476286.6999999993</v>
      </c>
      <c r="E37" s="18">
        <v>672623.85000000009</v>
      </c>
      <c r="F37" s="23">
        <v>30508.579999999998</v>
      </c>
      <c r="G37" t="s">
        <v>307</v>
      </c>
      <c r="H37" t="s">
        <v>309</v>
      </c>
      <c r="K37" t="str">
        <f>"Decatur County Com Schools        "</f>
        <v xml:space="preserve">Decatur County Com Schools        </v>
      </c>
      <c r="L37" t="str">
        <f>"1655"</f>
        <v>1655</v>
      </c>
      <c r="M37">
        <v>14</v>
      </c>
      <c r="N37">
        <v>2293</v>
      </c>
      <c r="O37">
        <f t="shared" si="0"/>
        <v>2279</v>
      </c>
    </row>
    <row r="38" spans="1:15">
      <c r="A38" s="8">
        <v>1730</v>
      </c>
      <c r="B38" t="s">
        <v>43</v>
      </c>
      <c r="C38" s="19">
        <v>3537973.33</v>
      </c>
      <c r="D38" s="20">
        <v>7885999.1899999995</v>
      </c>
      <c r="E38" s="18">
        <v>1431382.82</v>
      </c>
      <c r="F38" s="23">
        <v>265721.40000000002</v>
      </c>
      <c r="G38" t="s">
        <v>307</v>
      </c>
      <c r="H38" t="s">
        <v>309</v>
      </c>
      <c r="K38" t="str">
        <f>"Greensburg Community Schools      "</f>
        <v xml:space="preserve">Greensburg Community Schools      </v>
      </c>
      <c r="L38" t="str">
        <f>"1730"</f>
        <v>1730</v>
      </c>
      <c r="M38">
        <v>22</v>
      </c>
      <c r="N38">
        <v>2169</v>
      </c>
      <c r="O38">
        <f t="shared" si="0"/>
        <v>2147</v>
      </c>
    </row>
    <row r="39" spans="1:15">
      <c r="A39" s="8">
        <v>1805</v>
      </c>
      <c r="B39" t="s">
        <v>44</v>
      </c>
      <c r="C39" s="19">
        <v>3331443.05</v>
      </c>
      <c r="D39" s="20">
        <v>5861642.1400000006</v>
      </c>
      <c r="E39" s="18">
        <v>5041477.47</v>
      </c>
      <c r="F39" s="23">
        <v>3283697.7600000002</v>
      </c>
      <c r="G39" t="s">
        <v>307</v>
      </c>
      <c r="H39" t="s">
        <v>309</v>
      </c>
      <c r="K39" t="str">
        <f>"DeKalb Co Eastern Com Sch Dist    "</f>
        <v xml:space="preserve">DeKalb Co Eastern Com Sch Dist    </v>
      </c>
      <c r="L39" t="str">
        <f>"1805"</f>
        <v>1805</v>
      </c>
      <c r="M39">
        <v>0</v>
      </c>
      <c r="N39">
        <v>1507</v>
      </c>
      <c r="O39">
        <f t="shared" si="0"/>
        <v>1507</v>
      </c>
    </row>
    <row r="40" spans="1:15">
      <c r="A40" s="8">
        <v>1820</v>
      </c>
      <c r="B40" t="s">
        <v>45</v>
      </c>
      <c r="C40" s="19">
        <v>3117590.94</v>
      </c>
      <c r="D40" s="20">
        <v>6852767.3100000005</v>
      </c>
      <c r="E40" s="18">
        <v>2431904.5300000003</v>
      </c>
      <c r="F40" s="23">
        <v>2156229.1799999997</v>
      </c>
      <c r="G40" t="s">
        <v>307</v>
      </c>
      <c r="H40" t="s">
        <v>309</v>
      </c>
      <c r="K40" t="str">
        <f>"Garrett-Keyser-Butler Com         "</f>
        <v xml:space="preserve">Garrett-Keyser-Butler Com         </v>
      </c>
      <c r="L40" t="str">
        <f>"1820"</f>
        <v>1820</v>
      </c>
      <c r="M40">
        <v>0</v>
      </c>
      <c r="N40">
        <v>1720</v>
      </c>
      <c r="O40">
        <f t="shared" si="0"/>
        <v>1720</v>
      </c>
    </row>
    <row r="41" spans="1:15">
      <c r="A41" s="8">
        <v>1835</v>
      </c>
      <c r="B41" t="s">
        <v>46</v>
      </c>
      <c r="C41" s="19">
        <v>8504127.129999999</v>
      </c>
      <c r="D41" s="20">
        <v>14908239.52</v>
      </c>
      <c r="E41" s="18">
        <v>1381730.5499999998</v>
      </c>
      <c r="F41" s="23">
        <v>460187.57999999996</v>
      </c>
      <c r="G41" t="s">
        <v>307</v>
      </c>
      <c r="H41" t="s">
        <v>309</v>
      </c>
      <c r="K41" t="str">
        <f>"DeKalb Co Ctl United Sch Dist     "</f>
        <v xml:space="preserve">DeKalb Co Ctl United Sch Dist     </v>
      </c>
      <c r="L41" t="str">
        <f>"1835"</f>
        <v>1835</v>
      </c>
      <c r="M41">
        <v>21</v>
      </c>
      <c r="N41">
        <v>4153</v>
      </c>
      <c r="O41">
        <f t="shared" si="0"/>
        <v>4132</v>
      </c>
    </row>
    <row r="42" spans="1:15">
      <c r="A42" s="8">
        <v>1875</v>
      </c>
      <c r="B42" t="s">
        <v>47</v>
      </c>
      <c r="C42" s="19">
        <v>3016968.61</v>
      </c>
      <c r="D42" s="20">
        <v>11828631.969999999</v>
      </c>
      <c r="E42" s="18">
        <v>1290864.52</v>
      </c>
      <c r="F42" s="23">
        <v>44224.399999999994</v>
      </c>
      <c r="G42" t="s">
        <v>307</v>
      </c>
      <c r="H42" t="s">
        <v>309</v>
      </c>
      <c r="K42" t="str">
        <f>"Delaware Community School Corp    "</f>
        <v xml:space="preserve">Delaware Community School Corp    </v>
      </c>
      <c r="L42" t="str">
        <f>"1875"</f>
        <v>1875</v>
      </c>
      <c r="M42">
        <v>0</v>
      </c>
      <c r="N42">
        <v>2803</v>
      </c>
      <c r="O42">
        <f t="shared" si="0"/>
        <v>2803</v>
      </c>
    </row>
    <row r="43" spans="1:15">
      <c r="A43" s="8">
        <v>1885</v>
      </c>
      <c r="B43" t="s">
        <v>48</v>
      </c>
      <c r="C43" s="19">
        <v>1250701.98</v>
      </c>
      <c r="D43" s="20">
        <v>3249378.7199999997</v>
      </c>
      <c r="E43" s="18">
        <v>323851.52000000002</v>
      </c>
      <c r="F43" s="23">
        <v>1101758.22</v>
      </c>
      <c r="G43" t="s">
        <v>307</v>
      </c>
      <c r="H43" t="s">
        <v>309</v>
      </c>
      <c r="K43" t="str">
        <f>"Wes-Del Community Schools         "</f>
        <v xml:space="preserve">Wes-Del Community Schools         </v>
      </c>
      <c r="L43" t="str">
        <f>"1885"</f>
        <v>1885</v>
      </c>
      <c r="M43">
        <v>0</v>
      </c>
      <c r="N43">
        <v>833</v>
      </c>
      <c r="O43">
        <f t="shared" si="0"/>
        <v>833</v>
      </c>
    </row>
    <row r="44" spans="1:15">
      <c r="A44" s="8">
        <v>1895</v>
      </c>
      <c r="B44" t="s">
        <v>49</v>
      </c>
      <c r="C44" s="19">
        <v>1029134.97</v>
      </c>
      <c r="D44" s="20">
        <v>5232683.55</v>
      </c>
      <c r="E44" s="18">
        <v>669998.97</v>
      </c>
      <c r="F44" s="23">
        <v>71326.09</v>
      </c>
      <c r="G44" t="s">
        <v>307</v>
      </c>
      <c r="H44" t="s">
        <v>309</v>
      </c>
      <c r="K44" t="str">
        <f>"Liberty-Perry Com School Corp     "</f>
        <v xml:space="preserve">Liberty-Perry Com School Corp     </v>
      </c>
      <c r="L44" t="str">
        <f>"1895"</f>
        <v>1895</v>
      </c>
      <c r="M44">
        <v>0</v>
      </c>
      <c r="N44">
        <v>1204</v>
      </c>
      <c r="O44">
        <f t="shared" si="0"/>
        <v>1204</v>
      </c>
    </row>
    <row r="45" spans="1:15">
      <c r="A45" s="8">
        <v>1900</v>
      </c>
      <c r="B45" t="s">
        <v>50</v>
      </c>
      <c r="C45" s="19">
        <v>843025.53</v>
      </c>
      <c r="D45" s="20">
        <v>2732117.12</v>
      </c>
      <c r="E45" s="18">
        <v>267266.95999999996</v>
      </c>
      <c r="F45" s="23">
        <v>256883.52</v>
      </c>
      <c r="G45" t="s">
        <v>307</v>
      </c>
      <c r="H45" t="s">
        <v>309</v>
      </c>
      <c r="K45" t="str">
        <f>"Cowan Community School Corp       "</f>
        <v xml:space="preserve">Cowan Community School Corp       </v>
      </c>
      <c r="L45" t="str">
        <f>"1900"</f>
        <v>1900</v>
      </c>
      <c r="M45">
        <v>0</v>
      </c>
      <c r="N45">
        <v>687</v>
      </c>
      <c r="O45">
        <f t="shared" si="0"/>
        <v>687</v>
      </c>
    </row>
    <row r="46" spans="1:15">
      <c r="A46" s="8">
        <v>1910</v>
      </c>
      <c r="B46" t="s">
        <v>51</v>
      </c>
      <c r="C46" s="19">
        <v>2898011.21</v>
      </c>
      <c r="D46" s="20">
        <v>7545142.9100000001</v>
      </c>
      <c r="E46" s="18">
        <v>667023.16999999993</v>
      </c>
      <c r="F46" s="23">
        <v>70237.88</v>
      </c>
      <c r="G46" t="s">
        <v>307</v>
      </c>
      <c r="H46" t="s">
        <v>309</v>
      </c>
      <c r="K46" t="str">
        <f>"Yorktown Community Schools        "</f>
        <v xml:space="preserve">Yorktown Community Schools        </v>
      </c>
      <c r="L46" t="str">
        <f>"1910"</f>
        <v>1910</v>
      </c>
      <c r="M46">
        <v>0</v>
      </c>
      <c r="N46">
        <v>2297</v>
      </c>
      <c r="O46">
        <f t="shared" si="0"/>
        <v>2297</v>
      </c>
    </row>
    <row r="47" spans="1:15">
      <c r="A47" s="8">
        <v>1940</v>
      </c>
      <c r="B47" t="s">
        <v>52</v>
      </c>
      <c r="C47" s="19">
        <v>857917.19</v>
      </c>
      <c r="D47" s="20">
        <v>2313784.8600000003</v>
      </c>
      <c r="E47" s="18">
        <v>225558.43</v>
      </c>
      <c r="F47" s="23">
        <v>550573.88</v>
      </c>
      <c r="G47" t="s">
        <v>307</v>
      </c>
      <c r="H47" t="s">
        <v>309</v>
      </c>
      <c r="K47" t="str">
        <f>"Daleville Community Schools       "</f>
        <v xml:space="preserve">Daleville Community Schools       </v>
      </c>
      <c r="L47" t="str">
        <f>"1940"</f>
        <v>1940</v>
      </c>
      <c r="M47">
        <v>0</v>
      </c>
      <c r="N47">
        <v>660</v>
      </c>
      <c r="O47">
        <f t="shared" si="0"/>
        <v>660</v>
      </c>
    </row>
    <row r="48" spans="1:15">
      <c r="A48" s="8">
        <v>1970</v>
      </c>
      <c r="B48" t="s">
        <v>53</v>
      </c>
      <c r="C48" s="19">
        <v>10471897.25</v>
      </c>
      <c r="D48" s="20">
        <v>37559638.400000006</v>
      </c>
      <c r="E48" s="18">
        <v>14253176.51</v>
      </c>
      <c r="F48" s="23">
        <v>22210010.510000002</v>
      </c>
      <c r="G48" t="s">
        <v>307</v>
      </c>
      <c r="H48" t="s">
        <v>309</v>
      </c>
      <c r="K48" t="str">
        <f>"Muncie Community Schools          "</f>
        <v xml:space="preserve">Muncie Community Schools          </v>
      </c>
      <c r="L48" t="str">
        <f>"1970"</f>
        <v>1970</v>
      </c>
      <c r="M48">
        <v>169</v>
      </c>
      <c r="N48">
        <v>7761</v>
      </c>
      <c r="O48">
        <f t="shared" si="0"/>
        <v>7592</v>
      </c>
    </row>
    <row r="49" spans="1:15">
      <c r="A49" s="8">
        <v>2040</v>
      </c>
      <c r="B49" t="s">
        <v>54</v>
      </c>
      <c r="C49" s="19">
        <v>2393238.2800000003</v>
      </c>
      <c r="D49" s="20">
        <v>3349012.58</v>
      </c>
      <c r="E49" s="18">
        <v>155963.97999999998</v>
      </c>
      <c r="F49" s="23">
        <v>2759.04</v>
      </c>
      <c r="G49" t="s">
        <v>307</v>
      </c>
      <c r="H49" t="s">
        <v>309</v>
      </c>
      <c r="K49" t="str">
        <f>"Northeast Dubois Co Sch Corp      "</f>
        <v xml:space="preserve">Northeast Dubois Co Sch Corp      </v>
      </c>
      <c r="L49" t="str">
        <f>"2040"</f>
        <v>2040</v>
      </c>
      <c r="M49">
        <v>7</v>
      </c>
      <c r="N49">
        <v>979</v>
      </c>
      <c r="O49">
        <f t="shared" si="0"/>
        <v>972</v>
      </c>
    </row>
    <row r="50" spans="1:15">
      <c r="A50" s="8">
        <v>2100</v>
      </c>
      <c r="B50" t="s">
        <v>55</v>
      </c>
      <c r="C50" s="19">
        <v>2611650.67</v>
      </c>
      <c r="D50" s="20">
        <v>5676015.9100000001</v>
      </c>
      <c r="E50" s="18">
        <v>216082.82</v>
      </c>
      <c r="F50" s="23">
        <v>54485.820000000007</v>
      </c>
      <c r="G50" t="s">
        <v>307</v>
      </c>
      <c r="H50" t="s">
        <v>309</v>
      </c>
      <c r="K50" t="str">
        <f>"Southeast Dubois Co Sch Corp      "</f>
        <v xml:space="preserve">Southeast Dubois Co Sch Corp      </v>
      </c>
      <c r="L50" t="str">
        <f>"2100"</f>
        <v>2100</v>
      </c>
      <c r="M50">
        <v>36</v>
      </c>
      <c r="N50">
        <v>1498</v>
      </c>
      <c r="O50">
        <f t="shared" si="0"/>
        <v>1462</v>
      </c>
    </row>
    <row r="51" spans="1:15">
      <c r="A51" s="8">
        <v>2110</v>
      </c>
      <c r="B51" t="s">
        <v>56</v>
      </c>
      <c r="C51" s="19">
        <v>2957070.0700000003</v>
      </c>
      <c r="D51" s="20">
        <v>7916500.9699999997</v>
      </c>
      <c r="E51" s="18">
        <v>2923390.5700000003</v>
      </c>
      <c r="F51" s="23">
        <v>129868.43</v>
      </c>
      <c r="G51" t="s">
        <v>307</v>
      </c>
      <c r="H51" t="s">
        <v>309</v>
      </c>
      <c r="K51" t="str">
        <f>"Southwest Dubois Co Sch Corp      "</f>
        <v xml:space="preserve">Southwest Dubois Co Sch Corp      </v>
      </c>
      <c r="L51" t="str">
        <f>"2110"</f>
        <v>2110</v>
      </c>
      <c r="M51">
        <v>12</v>
      </c>
      <c r="N51">
        <v>1839</v>
      </c>
      <c r="O51">
        <f t="shared" si="0"/>
        <v>1827</v>
      </c>
    </row>
    <row r="52" spans="1:15">
      <c r="A52" s="8">
        <v>2120</v>
      </c>
      <c r="B52" t="s">
        <v>57</v>
      </c>
      <c r="C52" s="19">
        <v>9524661.3200000003</v>
      </c>
      <c r="D52" s="20">
        <v>8093902.1799999997</v>
      </c>
      <c r="E52" s="18">
        <v>3621659.1500000004</v>
      </c>
      <c r="F52" s="23">
        <v>3274192.8200000003</v>
      </c>
      <c r="G52" t="s">
        <v>307</v>
      </c>
      <c r="H52" t="s">
        <v>309</v>
      </c>
      <c r="K52" t="str">
        <f>"Greater Jasper Con Schs           "</f>
        <v xml:space="preserve">Greater Jasper Con Schs           </v>
      </c>
      <c r="L52" t="str">
        <f>"2120"</f>
        <v>2120</v>
      </c>
      <c r="M52">
        <v>33</v>
      </c>
      <c r="N52">
        <v>3183</v>
      </c>
      <c r="O52">
        <f t="shared" si="0"/>
        <v>3150</v>
      </c>
    </row>
    <row r="53" spans="1:15">
      <c r="A53" s="8">
        <v>2155</v>
      </c>
      <c r="B53" t="s">
        <v>58</v>
      </c>
      <c r="C53" s="19">
        <v>2988394.34</v>
      </c>
      <c r="D53" s="20">
        <v>7676685.8399999999</v>
      </c>
      <c r="E53" s="18">
        <v>825483.8</v>
      </c>
      <c r="F53" s="23">
        <v>216402.74000000002</v>
      </c>
      <c r="G53" t="s">
        <v>307</v>
      </c>
      <c r="H53" t="s">
        <v>309</v>
      </c>
      <c r="K53" t="str">
        <f>"Fairfield Community Schools       "</f>
        <v xml:space="preserve">Fairfield Community Schools       </v>
      </c>
      <c r="L53" t="str">
        <f>"2155"</f>
        <v>2155</v>
      </c>
      <c r="M53">
        <v>0</v>
      </c>
      <c r="N53">
        <v>2094</v>
      </c>
      <c r="O53">
        <f t="shared" si="0"/>
        <v>2094</v>
      </c>
    </row>
    <row r="54" spans="1:15">
      <c r="A54" s="9">
        <v>2260</v>
      </c>
      <c r="B54" s="3" t="s">
        <v>59</v>
      </c>
      <c r="C54" s="19">
        <v>2475481.1</v>
      </c>
      <c r="D54" s="20">
        <v>7368810.5099999998</v>
      </c>
      <c r="E54" s="18">
        <v>675519.19</v>
      </c>
      <c r="F54" s="23">
        <v>31853.089999999997</v>
      </c>
      <c r="G54" t="s">
        <v>307</v>
      </c>
      <c r="H54" t="s">
        <v>309</v>
      </c>
      <c r="K54" t="str">
        <f>"Baugo Community Schools           "</f>
        <v xml:space="preserve">Baugo Community Schools           </v>
      </c>
      <c r="L54" t="str">
        <f>"2260"</f>
        <v>2260</v>
      </c>
      <c r="M54">
        <v>0</v>
      </c>
      <c r="N54">
        <v>1888</v>
      </c>
      <c r="O54">
        <f t="shared" si="0"/>
        <v>1888</v>
      </c>
    </row>
    <row r="55" spans="1:15">
      <c r="A55" s="8">
        <v>2270</v>
      </c>
      <c r="B55" t="s">
        <v>60</v>
      </c>
      <c r="C55" s="19">
        <v>5936932.1099999994</v>
      </c>
      <c r="D55" s="20">
        <v>17292254.960000001</v>
      </c>
      <c r="E55" s="18">
        <v>2725667.46</v>
      </c>
      <c r="F55" s="23">
        <v>3754261.14</v>
      </c>
      <c r="G55" t="s">
        <v>307</v>
      </c>
      <c r="H55" t="s">
        <v>309</v>
      </c>
      <c r="K55" t="str">
        <f>"Concord Community Schools         "</f>
        <v xml:space="preserve">Concord Community Schools         </v>
      </c>
      <c r="L55" t="str">
        <f>"2270"</f>
        <v>2270</v>
      </c>
      <c r="M55">
        <v>0</v>
      </c>
      <c r="N55">
        <v>4764</v>
      </c>
      <c r="O55">
        <f t="shared" si="0"/>
        <v>4764</v>
      </c>
    </row>
    <row r="56" spans="1:15">
      <c r="A56" s="8">
        <v>2275</v>
      </c>
      <c r="B56" t="s">
        <v>61</v>
      </c>
      <c r="C56" s="19">
        <v>5652718.0899999999</v>
      </c>
      <c r="D56" s="20">
        <v>13684329.5</v>
      </c>
      <c r="E56" s="18">
        <v>1591945.27</v>
      </c>
      <c r="F56" s="23">
        <v>1117243.3700000001</v>
      </c>
      <c r="G56" t="s">
        <v>307</v>
      </c>
      <c r="H56" t="s">
        <v>309</v>
      </c>
      <c r="K56" t="str">
        <f>"Middlebury Community Schools      "</f>
        <v xml:space="preserve">Middlebury Community Schools      </v>
      </c>
      <c r="L56" t="str">
        <f>"2275"</f>
        <v>2275</v>
      </c>
      <c r="M56">
        <v>29</v>
      </c>
      <c r="N56">
        <v>4160</v>
      </c>
      <c r="O56">
        <f t="shared" si="0"/>
        <v>4131</v>
      </c>
    </row>
    <row r="57" spans="1:15">
      <c r="A57" s="8">
        <v>2285</v>
      </c>
      <c r="B57" t="s">
        <v>62</v>
      </c>
      <c r="C57" s="19">
        <v>5032806.7700000005</v>
      </c>
      <c r="D57" s="20">
        <v>11523624.970000001</v>
      </c>
      <c r="E57" s="18">
        <v>1801101.67</v>
      </c>
      <c r="F57" s="23">
        <v>282092.11</v>
      </c>
      <c r="G57" t="s">
        <v>307</v>
      </c>
      <c r="H57" t="s">
        <v>309</v>
      </c>
      <c r="K57" t="str">
        <f>"Wa-Nee Community Schools          "</f>
        <v xml:space="preserve">Wa-Nee Community Schools          </v>
      </c>
      <c r="L57" t="str">
        <f>"2285"</f>
        <v>2285</v>
      </c>
      <c r="M57">
        <v>0</v>
      </c>
      <c r="N57">
        <v>3311</v>
      </c>
      <c r="O57">
        <f t="shared" si="0"/>
        <v>3311</v>
      </c>
    </row>
    <row r="58" spans="1:15">
      <c r="A58" s="8">
        <v>2305</v>
      </c>
      <c r="B58" t="s">
        <v>63</v>
      </c>
      <c r="C58" s="19">
        <v>18650953.399999999</v>
      </c>
      <c r="D58" s="20">
        <v>58111236.299999997</v>
      </c>
      <c r="E58" s="18">
        <v>13065969.050000001</v>
      </c>
      <c r="F58" s="23">
        <v>5512793.54</v>
      </c>
      <c r="G58" t="s">
        <v>307</v>
      </c>
      <c r="H58" t="s">
        <v>309</v>
      </c>
      <c r="K58" t="str">
        <f>"Elkhart Community Schools         "</f>
        <v xml:space="preserve">Elkhart Community Schools         </v>
      </c>
      <c r="L58" t="str">
        <f>"2305"</f>
        <v>2305</v>
      </c>
      <c r="M58">
        <v>236</v>
      </c>
      <c r="N58">
        <v>13691</v>
      </c>
      <c r="O58">
        <f t="shared" si="0"/>
        <v>13455</v>
      </c>
    </row>
    <row r="59" spans="1:15">
      <c r="A59" s="8">
        <v>2315</v>
      </c>
      <c r="B59" t="s">
        <v>64</v>
      </c>
      <c r="C59" s="19">
        <v>7367786.3099999996</v>
      </c>
      <c r="D59" s="20">
        <v>27038392.100000001</v>
      </c>
      <c r="E59" s="18">
        <v>8027238.1500000004</v>
      </c>
      <c r="F59" s="23">
        <v>11304467.129999999</v>
      </c>
      <c r="G59" t="s">
        <v>307</v>
      </c>
      <c r="H59" t="s">
        <v>309</v>
      </c>
      <c r="K59" t="str">
        <f>"Goshen Community Schools          "</f>
        <v xml:space="preserve">Goshen Community Schools          </v>
      </c>
      <c r="L59" t="str">
        <f>"2315"</f>
        <v>2315</v>
      </c>
      <c r="M59">
        <v>0</v>
      </c>
      <c r="N59">
        <v>6235</v>
      </c>
      <c r="O59">
        <f t="shared" si="0"/>
        <v>6235</v>
      </c>
    </row>
    <row r="60" spans="1:15">
      <c r="A60" s="8">
        <v>2395</v>
      </c>
      <c r="B60" t="s">
        <v>65</v>
      </c>
      <c r="C60" s="19">
        <v>4980949.3600000003</v>
      </c>
      <c r="D60" s="20">
        <v>18249726.399999999</v>
      </c>
      <c r="E60" s="18">
        <v>5666772.5</v>
      </c>
      <c r="F60" s="23">
        <v>2927622.4699999997</v>
      </c>
      <c r="G60" t="s">
        <v>307</v>
      </c>
      <c r="H60" t="s">
        <v>309</v>
      </c>
      <c r="K60" t="str">
        <f>"Fayette County School Corp        "</f>
        <v xml:space="preserve">Fayette County School Corp        </v>
      </c>
      <c r="L60" t="str">
        <f>"2395"</f>
        <v>2395</v>
      </c>
      <c r="M60">
        <v>199</v>
      </c>
      <c r="N60">
        <v>4187</v>
      </c>
      <c r="O60">
        <f t="shared" si="0"/>
        <v>3988</v>
      </c>
    </row>
    <row r="61" spans="1:15">
      <c r="A61" s="8">
        <v>2400</v>
      </c>
      <c r="B61" t="s">
        <v>66</v>
      </c>
      <c r="C61" s="19">
        <v>16312864.809999999</v>
      </c>
      <c r="D61" s="20">
        <v>45999692.5</v>
      </c>
      <c r="E61" s="18">
        <v>8576641.2800000012</v>
      </c>
      <c r="F61" s="23">
        <v>443985.91000000003</v>
      </c>
      <c r="G61" t="s">
        <v>307</v>
      </c>
      <c r="H61" t="s">
        <v>309</v>
      </c>
      <c r="K61" t="str">
        <f>"New Albany-Floyd Co Con Sch       "</f>
        <v xml:space="preserve">New Albany-Floyd Co Con Sch       </v>
      </c>
      <c r="L61" t="str">
        <f>"2400"</f>
        <v>2400</v>
      </c>
      <c r="M61">
        <v>134</v>
      </c>
      <c r="N61">
        <v>11923</v>
      </c>
      <c r="O61">
        <f t="shared" si="0"/>
        <v>11789</v>
      </c>
    </row>
    <row r="62" spans="1:15">
      <c r="A62" s="8">
        <v>2435</v>
      </c>
      <c r="B62" t="s">
        <v>67</v>
      </c>
      <c r="C62" s="19">
        <v>1669310.78</v>
      </c>
      <c r="D62" s="20">
        <v>4123145.13</v>
      </c>
      <c r="E62" s="18">
        <v>536909.27</v>
      </c>
      <c r="F62" s="23">
        <v>594839.98</v>
      </c>
      <c r="G62" t="s">
        <v>307</v>
      </c>
      <c r="H62" t="s">
        <v>309</v>
      </c>
      <c r="K62" t="str">
        <f>"Attica Consolidated Sch Corp      "</f>
        <v xml:space="preserve">Attica Consolidated Sch Corp      </v>
      </c>
      <c r="L62" t="str">
        <f>"2435"</f>
        <v>2435</v>
      </c>
      <c r="M62">
        <v>0</v>
      </c>
      <c r="N62">
        <v>956</v>
      </c>
      <c r="O62">
        <f t="shared" si="0"/>
        <v>956</v>
      </c>
    </row>
    <row r="63" spans="1:15">
      <c r="A63" s="8">
        <v>2440</v>
      </c>
      <c r="B63" t="s">
        <v>68</v>
      </c>
      <c r="C63" s="19">
        <v>1625250.1600000001</v>
      </c>
      <c r="D63" s="20">
        <v>3807976.13</v>
      </c>
      <c r="E63" s="18">
        <v>462077.56999999995</v>
      </c>
      <c r="F63" s="23">
        <v>390420.02</v>
      </c>
      <c r="G63" t="s">
        <v>307</v>
      </c>
      <c r="H63" t="s">
        <v>309</v>
      </c>
      <c r="K63" t="str">
        <f>"Covington Community Sch Corp      "</f>
        <v xml:space="preserve">Covington Community Sch Corp      </v>
      </c>
      <c r="L63" t="str">
        <f>"2440"</f>
        <v>2440</v>
      </c>
      <c r="M63">
        <v>34</v>
      </c>
      <c r="N63">
        <v>997</v>
      </c>
      <c r="O63">
        <f t="shared" si="0"/>
        <v>963</v>
      </c>
    </row>
    <row r="64" spans="1:15">
      <c r="A64" s="8">
        <v>2455</v>
      </c>
      <c r="B64" t="s">
        <v>69</v>
      </c>
      <c r="C64" s="19">
        <v>2541765.31</v>
      </c>
      <c r="D64" s="20">
        <v>5201429.4700000007</v>
      </c>
      <c r="E64" s="18">
        <v>716779.41</v>
      </c>
      <c r="F64" s="23">
        <v>216065.99</v>
      </c>
      <c r="G64" t="s">
        <v>307</v>
      </c>
      <c r="H64" t="s">
        <v>309</v>
      </c>
      <c r="K64" t="str">
        <f>"Southeast Fountain School Corp    "</f>
        <v xml:space="preserve">Southeast Fountain School Corp    </v>
      </c>
      <c r="L64" t="str">
        <f>"2455"</f>
        <v>2455</v>
      </c>
      <c r="M64">
        <v>0</v>
      </c>
      <c r="N64">
        <v>1353</v>
      </c>
      <c r="O64">
        <f t="shared" si="0"/>
        <v>1353</v>
      </c>
    </row>
    <row r="65" spans="1:16376">
      <c r="A65" s="8">
        <v>2475</v>
      </c>
      <c r="B65" t="s">
        <v>70</v>
      </c>
      <c r="C65" s="19">
        <v>4162083.88</v>
      </c>
      <c r="D65" s="20">
        <v>12570097.719999999</v>
      </c>
      <c r="E65" s="18">
        <v>1322662.6299999999</v>
      </c>
      <c r="F65" s="23">
        <v>262657.52</v>
      </c>
      <c r="G65" t="s">
        <v>307</v>
      </c>
      <c r="H65" t="s">
        <v>309</v>
      </c>
      <c r="K65" t="str">
        <f>"Franklin County Com Sch Corp      "</f>
        <v xml:space="preserve">Franklin County Com Sch Corp      </v>
      </c>
      <c r="L65" t="str">
        <f>"2475"</f>
        <v>2475</v>
      </c>
      <c r="M65">
        <v>67</v>
      </c>
      <c r="N65">
        <v>3065</v>
      </c>
      <c r="O65">
        <f t="shared" si="0"/>
        <v>2998</v>
      </c>
    </row>
    <row r="66" spans="1:16376">
      <c r="A66" s="8">
        <v>2645</v>
      </c>
      <c r="B66" t="s">
        <v>71</v>
      </c>
      <c r="C66" s="19">
        <v>3015866.27</v>
      </c>
      <c r="D66" s="20">
        <v>6676197.9699999997</v>
      </c>
      <c r="E66" s="18">
        <v>766704.84000000008</v>
      </c>
      <c r="F66" s="23">
        <v>38599.19</v>
      </c>
      <c r="G66" t="s">
        <v>307</v>
      </c>
      <c r="H66" t="s">
        <v>309</v>
      </c>
      <c r="K66" t="str">
        <f>"Rochester Community Sch Corp      "</f>
        <v xml:space="preserve">Rochester Community Sch Corp      </v>
      </c>
      <c r="L66" t="str">
        <f>"2645"</f>
        <v>2645</v>
      </c>
      <c r="M66">
        <v>23</v>
      </c>
      <c r="N66">
        <v>1947</v>
      </c>
      <c r="O66">
        <f t="shared" si="0"/>
        <v>1924</v>
      </c>
    </row>
    <row r="67" spans="1:16376">
      <c r="A67" s="8">
        <v>2650</v>
      </c>
      <c r="B67" t="s">
        <v>72</v>
      </c>
      <c r="C67" s="19">
        <v>1593178.21</v>
      </c>
      <c r="D67" s="20">
        <v>3042094.66</v>
      </c>
      <c r="E67" s="18">
        <v>213012.37</v>
      </c>
      <c r="F67" s="23">
        <v>14689.65</v>
      </c>
      <c r="G67" t="s">
        <v>307</v>
      </c>
      <c r="H67" t="s">
        <v>309</v>
      </c>
      <c r="K67" t="str">
        <f>"Caston School Corporation         "</f>
        <v xml:space="preserve">Caston School Corporation         </v>
      </c>
      <c r="L67" t="str">
        <f>"2650"</f>
        <v>2650</v>
      </c>
      <c r="M67">
        <v>0</v>
      </c>
      <c r="N67">
        <v>825</v>
      </c>
      <c r="O67">
        <f t="shared" ref="O67:O130" si="1">N67-M67</f>
        <v>825</v>
      </c>
    </row>
    <row r="68" spans="1:16376">
      <c r="A68" s="8">
        <v>2725</v>
      </c>
      <c r="B68" t="s">
        <v>73</v>
      </c>
      <c r="C68" s="19">
        <v>1407957.0899999999</v>
      </c>
      <c r="D68" s="20">
        <v>4350823.2799999993</v>
      </c>
      <c r="E68" s="18">
        <v>393553.74</v>
      </c>
      <c r="F68" s="23">
        <v>25555.96</v>
      </c>
      <c r="G68" t="s">
        <v>307</v>
      </c>
      <c r="H68" t="s">
        <v>309</v>
      </c>
      <c r="K68" t="str">
        <f>"East Gibson School Corporation    "</f>
        <v xml:space="preserve">East Gibson School Corporation    </v>
      </c>
      <c r="L68" t="str">
        <f>"2725"</f>
        <v>2725</v>
      </c>
      <c r="M68">
        <v>16</v>
      </c>
      <c r="N68">
        <v>1024</v>
      </c>
      <c r="O68">
        <f t="shared" si="1"/>
        <v>1008</v>
      </c>
    </row>
    <row r="69" spans="1:16376">
      <c r="A69" s="8">
        <v>2735</v>
      </c>
      <c r="B69" t="s">
        <v>74</v>
      </c>
      <c r="C69" s="19">
        <v>2817847.0100000002</v>
      </c>
      <c r="D69" s="20">
        <v>8171088.5700000003</v>
      </c>
      <c r="E69" s="18">
        <v>805193.06</v>
      </c>
      <c r="F69" s="23">
        <v>330601.21000000002</v>
      </c>
      <c r="G69" t="s">
        <v>307</v>
      </c>
      <c r="H69" t="s">
        <v>309</v>
      </c>
      <c r="K69" t="str">
        <f>"North Gibson School Corp          "</f>
        <v xml:space="preserve">North Gibson School Corp          </v>
      </c>
      <c r="L69" t="str">
        <f>"2735"</f>
        <v>2735</v>
      </c>
      <c r="M69">
        <v>0</v>
      </c>
      <c r="N69">
        <v>2125</v>
      </c>
      <c r="O69">
        <f t="shared" si="1"/>
        <v>2125</v>
      </c>
    </row>
    <row r="70" spans="1:16376">
      <c r="A70" s="8">
        <v>2765</v>
      </c>
      <c r="B70" t="s">
        <v>75</v>
      </c>
      <c r="C70" s="19">
        <v>2996240.61</v>
      </c>
      <c r="D70" s="20">
        <v>5040578.9399999995</v>
      </c>
      <c r="E70" s="18">
        <v>303867.49</v>
      </c>
      <c r="F70" s="23">
        <v>456042.6</v>
      </c>
      <c r="G70" t="s">
        <v>307</v>
      </c>
      <c r="H70" t="s">
        <v>309</v>
      </c>
      <c r="K70" t="str">
        <f>"South Gibson School Corp          "</f>
        <v xml:space="preserve">South Gibson School Corp          </v>
      </c>
      <c r="L70" t="str">
        <f>"2765"</f>
        <v>2765</v>
      </c>
      <c r="M70">
        <v>0</v>
      </c>
      <c r="N70">
        <v>1971</v>
      </c>
      <c r="O70">
        <f t="shared" si="1"/>
        <v>1971</v>
      </c>
    </row>
    <row r="71" spans="1:16376">
      <c r="A71" s="8">
        <v>2815</v>
      </c>
      <c r="B71" t="s">
        <v>76</v>
      </c>
      <c r="C71" s="19">
        <v>1580732.91</v>
      </c>
      <c r="D71" s="20">
        <v>7492566.9199999999</v>
      </c>
      <c r="E71" s="18">
        <v>756158.41999999993</v>
      </c>
      <c r="F71" s="23">
        <v>5188.16</v>
      </c>
      <c r="G71" t="s">
        <v>307</v>
      </c>
      <c r="H71" t="s">
        <v>309</v>
      </c>
      <c r="K71" t="str">
        <f>"Eastbrook Community Sch Corp      "</f>
        <v xml:space="preserve">Eastbrook Community Sch Corp      </v>
      </c>
      <c r="L71" t="str">
        <f>"2815"</f>
        <v>2815</v>
      </c>
      <c r="M71">
        <v>10</v>
      </c>
      <c r="N71">
        <v>1782</v>
      </c>
      <c r="O71">
        <f t="shared" si="1"/>
        <v>1772</v>
      </c>
    </row>
    <row r="72" spans="1:16376">
      <c r="A72" s="8">
        <v>2825</v>
      </c>
      <c r="B72" t="s">
        <v>77</v>
      </c>
      <c r="C72" s="19">
        <v>1711888.27</v>
      </c>
      <c r="D72" s="20">
        <v>6590057.7400000002</v>
      </c>
      <c r="E72" s="18">
        <v>868627.19</v>
      </c>
      <c r="F72" s="23">
        <v>98687.06</v>
      </c>
      <c r="G72" t="s">
        <v>307</v>
      </c>
      <c r="H72" t="s">
        <v>309</v>
      </c>
      <c r="K72" t="str">
        <f>"Madison-Grant United Sch Corp     "</f>
        <v xml:space="preserve">Madison-Grant United Sch Corp     </v>
      </c>
      <c r="L72" t="str">
        <f>"2825"</f>
        <v>2825</v>
      </c>
      <c r="M72">
        <v>5</v>
      </c>
      <c r="N72">
        <v>1556</v>
      </c>
      <c r="O72">
        <f t="shared" si="1"/>
        <v>1551</v>
      </c>
    </row>
    <row r="73" spans="1:16376">
      <c r="A73" s="8">
        <v>2855</v>
      </c>
      <c r="B73" t="s">
        <v>78</v>
      </c>
      <c r="C73" s="19">
        <v>1549861.95</v>
      </c>
      <c r="D73" s="20">
        <v>11023592.68</v>
      </c>
      <c r="E73" s="18">
        <v>4158266.3499999996</v>
      </c>
      <c r="F73" s="23">
        <v>763000.54</v>
      </c>
      <c r="G73" t="s">
        <v>307</v>
      </c>
      <c r="H73" t="s">
        <v>309</v>
      </c>
      <c r="K73" t="str">
        <f>"Mississinewa Community School Corp"</f>
        <v>Mississinewa Community School Corp</v>
      </c>
      <c r="L73" t="str">
        <f>"2855"</f>
        <v>2855</v>
      </c>
      <c r="M73">
        <v>43</v>
      </c>
      <c r="N73">
        <v>2246</v>
      </c>
      <c r="O73">
        <f t="shared" si="1"/>
        <v>2203</v>
      </c>
    </row>
    <row r="74" spans="1:16376">
      <c r="A74" s="9">
        <v>2865</v>
      </c>
      <c r="B74" s="3" t="s">
        <v>79</v>
      </c>
      <c r="C74" s="19">
        <v>9550992.9299999997</v>
      </c>
      <c r="D74" s="20">
        <v>26539304.100000001</v>
      </c>
      <c r="E74" s="18">
        <v>6113505.0199999996</v>
      </c>
      <c r="F74" s="23">
        <v>545472.81999999995</v>
      </c>
      <c r="G74" t="s">
        <v>307</v>
      </c>
      <c r="H74" t="s">
        <v>309</v>
      </c>
      <c r="K74" t="str">
        <f>"Marion Community Schools          "</f>
        <v xml:space="preserve">Marion Community Schools          </v>
      </c>
      <c r="L74" t="str">
        <f>"2865"</f>
        <v>2865</v>
      </c>
      <c r="M74">
        <v>232</v>
      </c>
      <c r="N74">
        <v>5252</v>
      </c>
      <c r="O74">
        <f t="shared" si="1"/>
        <v>5020</v>
      </c>
    </row>
    <row r="75" spans="1:16376">
      <c r="A75" s="8">
        <v>2920</v>
      </c>
      <c r="B75" t="s">
        <v>80</v>
      </c>
      <c r="C75" s="19">
        <v>908214.72</v>
      </c>
      <c r="D75" s="20">
        <v>4619906.62</v>
      </c>
      <c r="E75" s="18">
        <v>394716.72</v>
      </c>
      <c r="F75" s="23">
        <v>18827.12</v>
      </c>
      <c r="G75" t="s">
        <v>307</v>
      </c>
      <c r="H75" t="s">
        <v>309</v>
      </c>
      <c r="I75" s="3"/>
      <c r="J75" s="3"/>
      <c r="K75" t="str">
        <f>"Bloomfield School District        "</f>
        <v xml:space="preserve">Bloomfield School District        </v>
      </c>
      <c r="L75" t="str">
        <f>"2920"</f>
        <v>2920</v>
      </c>
      <c r="M75">
        <v>0</v>
      </c>
      <c r="N75">
        <v>1122</v>
      </c>
      <c r="O75">
        <f t="shared" si="1"/>
        <v>1122</v>
      </c>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c r="SG75" s="3"/>
      <c r="SH75" s="3"/>
      <c r="SI75" s="3"/>
      <c r="SJ75" s="3"/>
      <c r="SK75" s="3"/>
      <c r="SL75" s="3"/>
      <c r="SM75" s="3"/>
      <c r="SN75" s="3"/>
      <c r="SO75" s="3"/>
      <c r="SP75" s="3"/>
      <c r="SQ75" s="3"/>
      <c r="SR75" s="3"/>
      <c r="SS75" s="3"/>
      <c r="ST75" s="3"/>
      <c r="SU75" s="3"/>
      <c r="SV75" s="3"/>
      <c r="SW75" s="3"/>
      <c r="SX75" s="3"/>
      <c r="SY75" s="3"/>
      <c r="SZ75" s="3"/>
      <c r="TA75" s="3"/>
      <c r="TB75" s="3"/>
      <c r="TC75" s="3"/>
      <c r="TD75" s="3"/>
      <c r="TE75" s="3"/>
      <c r="TF75" s="3"/>
      <c r="TG75" s="3"/>
      <c r="TH75" s="3"/>
      <c r="TI75" s="3"/>
      <c r="TJ75" s="3"/>
      <c r="TK75" s="3"/>
      <c r="TL75" s="3"/>
      <c r="TM75" s="3"/>
      <c r="TN75" s="3"/>
      <c r="TO75" s="3"/>
      <c r="TP75" s="3"/>
      <c r="TQ75" s="3"/>
      <c r="TR75" s="3"/>
      <c r="TS75" s="3"/>
      <c r="TT75" s="3"/>
      <c r="TU75" s="3"/>
      <c r="TV75" s="3"/>
      <c r="TW75" s="3"/>
      <c r="TX75" s="3"/>
      <c r="TY75" s="3"/>
      <c r="TZ75" s="3"/>
      <c r="UA75" s="3"/>
      <c r="UB75" s="3"/>
      <c r="UC75" s="3"/>
      <c r="UD75" s="3"/>
      <c r="UE75" s="3"/>
      <c r="UF75" s="3"/>
      <c r="UG75" s="3"/>
      <c r="UH75" s="3"/>
      <c r="UI75" s="3"/>
      <c r="UJ75" s="3"/>
      <c r="UK75" s="3"/>
      <c r="UL75" s="3"/>
      <c r="UM75" s="3"/>
      <c r="UN75" s="3"/>
      <c r="UO75" s="3"/>
      <c r="UP75" s="3"/>
      <c r="UQ75" s="3"/>
      <c r="UR75" s="3"/>
      <c r="US75" s="3"/>
      <c r="UT75" s="3"/>
      <c r="UU75" s="3"/>
      <c r="UV75" s="3"/>
      <c r="UW75" s="3"/>
      <c r="UX75" s="3"/>
      <c r="UY75" s="3"/>
      <c r="UZ75" s="3"/>
      <c r="VA75" s="3"/>
      <c r="VB75" s="3"/>
      <c r="VC75" s="3"/>
      <c r="VD75" s="3"/>
      <c r="VE75" s="3"/>
      <c r="VF75" s="3"/>
      <c r="VG75" s="3"/>
      <c r="VH75" s="3"/>
      <c r="VI75" s="3"/>
      <c r="VJ75" s="3"/>
      <c r="VK75" s="3"/>
      <c r="VL75" s="3"/>
      <c r="VM75" s="3"/>
      <c r="VN75" s="3"/>
      <c r="VO75" s="3"/>
      <c r="VP75" s="3"/>
      <c r="VQ75" s="3"/>
      <c r="VR75" s="3"/>
      <c r="VS75" s="3"/>
      <c r="VT75" s="3"/>
      <c r="VU75" s="3"/>
      <c r="VV75" s="3"/>
      <c r="VW75" s="3"/>
      <c r="VX75" s="3"/>
      <c r="VY75" s="3"/>
      <c r="VZ75" s="3"/>
      <c r="WA75" s="3"/>
      <c r="WB75" s="3"/>
      <c r="WC75" s="3"/>
      <c r="WD75" s="3"/>
      <c r="WE75" s="3"/>
      <c r="WF75" s="3"/>
      <c r="WG75" s="3"/>
      <c r="WH75" s="3"/>
      <c r="WI75" s="3"/>
      <c r="WJ75" s="3"/>
      <c r="WK75" s="3"/>
      <c r="WL75" s="3"/>
      <c r="WM75" s="3"/>
      <c r="WN75" s="3"/>
      <c r="WO75" s="3"/>
      <c r="WP75" s="3"/>
      <c r="WQ75" s="3"/>
      <c r="WR75" s="3"/>
      <c r="WS75" s="3"/>
      <c r="WT75" s="3"/>
      <c r="WU75" s="3"/>
      <c r="WV75" s="3"/>
      <c r="WW75" s="3"/>
      <c r="WX75" s="3"/>
      <c r="WY75" s="3"/>
      <c r="WZ75" s="3"/>
      <c r="XA75" s="3"/>
      <c r="XB75" s="3"/>
      <c r="XC75" s="3"/>
      <c r="XD75" s="3"/>
      <c r="XE75" s="3"/>
      <c r="XF75" s="3"/>
      <c r="XG75" s="3"/>
      <c r="XH75" s="3"/>
      <c r="XI75" s="3"/>
      <c r="XJ75" s="3"/>
      <c r="XK75" s="3"/>
      <c r="XL75" s="3"/>
      <c r="XM75" s="3"/>
      <c r="XN75" s="3"/>
      <c r="XO75" s="3"/>
      <c r="XP75" s="3"/>
      <c r="XQ75" s="3"/>
      <c r="XR75" s="3"/>
      <c r="XS75" s="3"/>
      <c r="XT75" s="3"/>
      <c r="XU75" s="3"/>
      <c r="XV75" s="3"/>
      <c r="XW75" s="3"/>
      <c r="XX75" s="3"/>
      <c r="XY75" s="3"/>
      <c r="XZ75" s="3"/>
      <c r="YA75" s="3"/>
      <c r="YB75" s="3"/>
      <c r="YC75" s="3"/>
      <c r="YD75" s="3"/>
      <c r="YE75" s="3"/>
      <c r="YF75" s="3"/>
      <c r="YG75" s="3"/>
      <c r="YH75" s="3"/>
      <c r="YI75" s="3"/>
      <c r="YJ75" s="3"/>
      <c r="YK75" s="3"/>
      <c r="YL75" s="3"/>
      <c r="YM75" s="3"/>
      <c r="YN75" s="3"/>
      <c r="YO75" s="3"/>
      <c r="YP75" s="3"/>
      <c r="YQ75" s="3"/>
      <c r="YR75" s="3"/>
      <c r="YS75" s="3"/>
      <c r="YT75" s="3"/>
      <c r="YU75" s="3"/>
      <c r="YV75" s="3"/>
      <c r="YW75" s="3"/>
      <c r="YX75" s="3"/>
      <c r="YY75" s="3"/>
      <c r="YZ75" s="3"/>
      <c r="ZA75" s="3"/>
      <c r="ZB75" s="3"/>
      <c r="ZC75" s="3"/>
      <c r="ZD75" s="3"/>
      <c r="ZE75" s="3"/>
      <c r="ZF75" s="3"/>
      <c r="ZG75" s="3"/>
      <c r="ZH75" s="3"/>
      <c r="ZI75" s="3"/>
      <c r="ZJ75" s="3"/>
      <c r="ZK75" s="3"/>
      <c r="ZL75" s="3"/>
      <c r="ZM75" s="3"/>
      <c r="ZN75" s="3"/>
      <c r="ZO75" s="3"/>
      <c r="ZP75" s="3"/>
      <c r="ZQ75" s="3"/>
      <c r="ZR75" s="3"/>
      <c r="ZS75" s="3"/>
      <c r="ZT75" s="3"/>
      <c r="ZU75" s="3"/>
      <c r="ZV75" s="3"/>
      <c r="ZW75" s="3"/>
      <c r="ZX75" s="3"/>
      <c r="ZY75" s="3"/>
      <c r="ZZ75" s="3"/>
      <c r="AAA75" s="3"/>
      <c r="AAB75" s="3"/>
      <c r="AAC75" s="3"/>
      <c r="AAD75" s="3"/>
      <c r="AAE75" s="3"/>
      <c r="AAF75" s="3"/>
      <c r="AAG75" s="3"/>
      <c r="AAH75" s="3"/>
      <c r="AAI75" s="3"/>
      <c r="AAJ75" s="3"/>
      <c r="AAK75" s="3"/>
      <c r="AAL75" s="3"/>
      <c r="AAM75" s="3"/>
      <c r="AAN75" s="3"/>
      <c r="AAO75" s="3"/>
      <c r="AAP75" s="3"/>
      <c r="AAQ75" s="3"/>
      <c r="AAR75" s="3"/>
      <c r="AAS75" s="3"/>
      <c r="AAT75" s="3"/>
      <c r="AAU75" s="3"/>
      <c r="AAV75" s="3"/>
      <c r="AAW75" s="3"/>
      <c r="AAX75" s="3"/>
      <c r="AAY75" s="3"/>
      <c r="AAZ75" s="3"/>
      <c r="ABA75" s="3"/>
      <c r="ABB75" s="3"/>
      <c r="ABC75" s="3"/>
      <c r="ABD75" s="3"/>
      <c r="ABE75" s="3"/>
      <c r="ABF75" s="3"/>
      <c r="ABG75" s="3"/>
      <c r="ABH75" s="3"/>
      <c r="ABI75" s="3"/>
      <c r="ABJ75" s="3"/>
      <c r="ABK75" s="3"/>
      <c r="ABL75" s="3"/>
      <c r="ABM75" s="3"/>
      <c r="ABN75" s="3"/>
      <c r="ABO75" s="3"/>
      <c r="ABP75" s="3"/>
      <c r="ABQ75" s="3"/>
      <c r="ABR75" s="3"/>
      <c r="ABS75" s="3"/>
      <c r="ABT75" s="3"/>
      <c r="ABU75" s="3"/>
      <c r="ABV75" s="3"/>
      <c r="ABW75" s="3"/>
      <c r="ABX75" s="3"/>
      <c r="ABY75" s="3"/>
      <c r="ABZ75" s="3"/>
      <c r="ACA75" s="3"/>
      <c r="ACB75" s="3"/>
      <c r="ACC75" s="3"/>
      <c r="ACD75" s="3"/>
      <c r="ACE75" s="3"/>
      <c r="ACF75" s="3"/>
      <c r="ACG75" s="3"/>
      <c r="ACH75" s="3"/>
      <c r="ACI75" s="3"/>
      <c r="ACJ75" s="3"/>
      <c r="ACK75" s="3"/>
      <c r="ACL75" s="3"/>
      <c r="ACM75" s="3"/>
      <c r="ACN75" s="3"/>
      <c r="ACO75" s="3"/>
      <c r="ACP75" s="3"/>
      <c r="ACQ75" s="3"/>
      <c r="ACR75" s="3"/>
      <c r="ACS75" s="3"/>
      <c r="ACT75" s="3"/>
      <c r="ACU75" s="3"/>
      <c r="ACV75" s="3"/>
      <c r="ACW75" s="3"/>
      <c r="ACX75" s="3"/>
      <c r="ACY75" s="3"/>
      <c r="ACZ75" s="3"/>
      <c r="ADA75" s="3"/>
      <c r="ADB75" s="3"/>
      <c r="ADC75" s="3"/>
      <c r="ADD75" s="3"/>
      <c r="ADE75" s="3"/>
      <c r="ADF75" s="3"/>
      <c r="ADG75" s="3"/>
      <c r="ADH75" s="3"/>
      <c r="ADI75" s="3"/>
      <c r="ADJ75" s="3"/>
      <c r="ADK75" s="3"/>
      <c r="ADL75" s="3"/>
      <c r="ADM75" s="3"/>
      <c r="ADN75" s="3"/>
      <c r="ADO75" s="3"/>
      <c r="ADP75" s="3"/>
      <c r="ADQ75" s="3"/>
      <c r="ADR75" s="3"/>
      <c r="ADS75" s="3"/>
      <c r="ADT75" s="3"/>
      <c r="ADU75" s="3"/>
      <c r="ADV75" s="3"/>
      <c r="ADW75" s="3"/>
      <c r="ADX75" s="3"/>
      <c r="ADY75" s="3"/>
      <c r="ADZ75" s="3"/>
      <c r="AEA75" s="3"/>
      <c r="AEB75" s="3"/>
      <c r="AEC75" s="3"/>
      <c r="AED75" s="3"/>
      <c r="AEE75" s="3"/>
      <c r="AEF75" s="3"/>
      <c r="AEG75" s="3"/>
      <c r="AEH75" s="3"/>
      <c r="AEI75" s="3"/>
      <c r="AEJ75" s="3"/>
      <c r="AEK75" s="3"/>
      <c r="AEL75" s="3"/>
      <c r="AEM75" s="3"/>
      <c r="AEN75" s="3"/>
      <c r="AEO75" s="3"/>
      <c r="AEP75" s="3"/>
      <c r="AEQ75" s="3"/>
      <c r="AER75" s="3"/>
      <c r="AES75" s="3"/>
      <c r="AET75" s="3"/>
      <c r="AEU75" s="3"/>
      <c r="AEV75" s="3"/>
      <c r="AEW75" s="3"/>
      <c r="AEX75" s="3"/>
      <c r="AEY75" s="3"/>
      <c r="AEZ75" s="3"/>
      <c r="AFA75" s="3"/>
      <c r="AFB75" s="3"/>
      <c r="AFC75" s="3"/>
      <c r="AFD75" s="3"/>
      <c r="AFE75" s="3"/>
      <c r="AFF75" s="3"/>
      <c r="AFG75" s="3"/>
      <c r="AFH75" s="3"/>
      <c r="AFI75" s="3"/>
      <c r="AFJ75" s="3"/>
      <c r="AFK75" s="3"/>
      <c r="AFL75" s="3"/>
      <c r="AFM75" s="3"/>
      <c r="AFN75" s="3"/>
      <c r="AFO75" s="3"/>
      <c r="AFP75" s="3"/>
      <c r="AFQ75" s="3"/>
      <c r="AFR75" s="3"/>
      <c r="AFS75" s="3"/>
      <c r="AFT75" s="3"/>
      <c r="AFU75" s="3"/>
      <c r="AFV75" s="3"/>
      <c r="AFW75" s="3"/>
      <c r="AFX75" s="3"/>
      <c r="AFY75" s="3"/>
      <c r="AFZ75" s="3"/>
      <c r="AGA75" s="3"/>
      <c r="AGB75" s="3"/>
      <c r="AGC75" s="3"/>
      <c r="AGD75" s="3"/>
      <c r="AGE75" s="3"/>
      <c r="AGF75" s="3"/>
      <c r="AGG75" s="3"/>
      <c r="AGH75" s="3"/>
      <c r="AGI75" s="3"/>
      <c r="AGJ75" s="3"/>
      <c r="AGK75" s="3"/>
      <c r="AGL75" s="3"/>
      <c r="AGM75" s="3"/>
      <c r="AGN75" s="3"/>
      <c r="AGO75" s="3"/>
      <c r="AGP75" s="3"/>
      <c r="AGQ75" s="3"/>
      <c r="AGR75" s="3"/>
      <c r="AGS75" s="3"/>
      <c r="AGT75" s="3"/>
      <c r="AGU75" s="3"/>
      <c r="AGV75" s="3"/>
      <c r="AGW75" s="3"/>
      <c r="AGX75" s="3"/>
      <c r="AGY75" s="3"/>
      <c r="AGZ75" s="3"/>
      <c r="AHA75" s="3"/>
      <c r="AHB75" s="3"/>
      <c r="AHC75" s="3"/>
      <c r="AHD75" s="3"/>
      <c r="AHE75" s="3"/>
      <c r="AHF75" s="3"/>
      <c r="AHG75" s="3"/>
      <c r="AHH75" s="3"/>
      <c r="AHI75" s="3"/>
      <c r="AHJ75" s="3"/>
      <c r="AHK75" s="3"/>
      <c r="AHL75" s="3"/>
      <c r="AHM75" s="3"/>
      <c r="AHN75" s="3"/>
      <c r="AHO75" s="3"/>
      <c r="AHP75" s="3"/>
      <c r="AHQ75" s="3"/>
      <c r="AHR75" s="3"/>
      <c r="AHS75" s="3"/>
      <c r="AHT75" s="3"/>
      <c r="AHU75" s="3"/>
      <c r="AHV75" s="3"/>
      <c r="AHW75" s="3"/>
      <c r="AHX75" s="3"/>
      <c r="AHY75" s="3"/>
      <c r="AHZ75" s="3"/>
      <c r="AIA75" s="3"/>
      <c r="AIB75" s="3"/>
      <c r="AIC75" s="3"/>
      <c r="AID75" s="3"/>
      <c r="AIE75" s="3"/>
      <c r="AIF75" s="3"/>
      <c r="AIG75" s="3"/>
      <c r="AIH75" s="3"/>
      <c r="AII75" s="3"/>
      <c r="AIJ75" s="3"/>
      <c r="AIK75" s="3"/>
      <c r="AIL75" s="3"/>
      <c r="AIM75" s="3"/>
      <c r="AIN75" s="3"/>
      <c r="AIO75" s="3"/>
      <c r="AIP75" s="3"/>
      <c r="AIQ75" s="3"/>
      <c r="AIR75" s="3"/>
      <c r="AIS75" s="3"/>
      <c r="AIT75" s="3"/>
      <c r="AIU75" s="3"/>
      <c r="AIV75" s="3"/>
      <c r="AIW75" s="3"/>
      <c r="AIX75" s="3"/>
      <c r="AIY75" s="3"/>
      <c r="AIZ75" s="3"/>
      <c r="AJA75" s="3"/>
      <c r="AJB75" s="3"/>
      <c r="AJC75" s="3"/>
      <c r="AJD75" s="3"/>
      <c r="AJE75" s="3"/>
      <c r="AJF75" s="3"/>
      <c r="AJG75" s="3"/>
      <c r="AJH75" s="3"/>
      <c r="AJI75" s="3"/>
      <c r="AJJ75" s="3"/>
      <c r="AJK75" s="3"/>
      <c r="AJL75" s="3"/>
      <c r="AJM75" s="3"/>
      <c r="AJN75" s="3"/>
      <c r="AJO75" s="3"/>
      <c r="AJP75" s="3"/>
      <c r="AJQ75" s="3"/>
      <c r="AJR75" s="3"/>
      <c r="AJS75" s="3"/>
      <c r="AJT75" s="3"/>
      <c r="AJU75" s="3"/>
      <c r="AJV75" s="3"/>
      <c r="AJW75" s="3"/>
      <c r="AJX75" s="3"/>
      <c r="AJY75" s="3"/>
      <c r="AJZ75" s="3"/>
      <c r="AKA75" s="3"/>
      <c r="AKB75" s="3"/>
      <c r="AKC75" s="3"/>
      <c r="AKD75" s="3"/>
      <c r="AKE75" s="3"/>
      <c r="AKF75" s="3"/>
      <c r="AKG75" s="3"/>
      <c r="AKH75" s="3"/>
      <c r="AKI75" s="3"/>
      <c r="AKJ75" s="3"/>
      <c r="AKK75" s="3"/>
      <c r="AKL75" s="3"/>
      <c r="AKM75" s="3"/>
      <c r="AKN75" s="3"/>
      <c r="AKO75" s="3"/>
      <c r="AKP75" s="3"/>
      <c r="AKQ75" s="3"/>
      <c r="AKR75" s="3"/>
      <c r="AKS75" s="3"/>
      <c r="AKT75" s="3"/>
      <c r="AKU75" s="3"/>
      <c r="AKV75" s="3"/>
      <c r="AKW75" s="3"/>
      <c r="AKX75" s="3"/>
      <c r="AKY75" s="3"/>
      <c r="AKZ75" s="3"/>
      <c r="ALA75" s="3"/>
      <c r="ALB75" s="3"/>
      <c r="ALC75" s="3"/>
      <c r="ALD75" s="3"/>
      <c r="ALE75" s="3"/>
      <c r="ALF75" s="3"/>
      <c r="ALG75" s="3"/>
      <c r="ALH75" s="3"/>
      <c r="ALI75" s="3"/>
      <c r="ALJ75" s="3"/>
      <c r="ALK75" s="3"/>
      <c r="ALL75" s="3"/>
      <c r="ALM75" s="3"/>
      <c r="ALN75" s="3"/>
      <c r="ALO75" s="3"/>
      <c r="ALP75" s="3"/>
      <c r="ALQ75" s="3"/>
      <c r="ALR75" s="3"/>
      <c r="ALS75" s="3"/>
      <c r="ALT75" s="3"/>
      <c r="ALU75" s="3"/>
      <c r="ALV75" s="3"/>
      <c r="ALW75" s="3"/>
      <c r="ALX75" s="3"/>
      <c r="ALY75" s="3"/>
      <c r="ALZ75" s="3"/>
      <c r="AMA75" s="3"/>
      <c r="AMB75" s="3"/>
      <c r="AMC75" s="3"/>
      <c r="AMD75" s="3"/>
      <c r="AME75" s="3"/>
      <c r="AMF75" s="3"/>
      <c r="AMG75" s="3"/>
      <c r="AMH75" s="3"/>
      <c r="AMI75" s="3"/>
      <c r="AMJ75" s="3"/>
      <c r="AMK75" s="3"/>
      <c r="AML75" s="3"/>
      <c r="AMM75" s="3"/>
      <c r="AMN75" s="3"/>
      <c r="AMO75" s="3"/>
      <c r="AMP75" s="3"/>
      <c r="AMQ75" s="3"/>
      <c r="AMR75" s="3"/>
      <c r="AMS75" s="3"/>
      <c r="AMT75" s="3"/>
      <c r="AMU75" s="3"/>
      <c r="AMV75" s="3"/>
      <c r="AMW75" s="3"/>
      <c r="AMX75" s="3"/>
      <c r="AMY75" s="3"/>
      <c r="AMZ75" s="3"/>
      <c r="ANA75" s="3"/>
      <c r="ANB75" s="3"/>
      <c r="ANC75" s="3"/>
      <c r="AND75" s="3"/>
      <c r="ANE75" s="3"/>
      <c r="ANF75" s="3"/>
      <c r="ANG75" s="3"/>
      <c r="ANH75" s="3"/>
      <c r="ANI75" s="3"/>
      <c r="ANJ75" s="3"/>
      <c r="ANK75" s="3"/>
      <c r="ANL75" s="3"/>
      <c r="ANM75" s="3"/>
      <c r="ANN75" s="3"/>
      <c r="ANO75" s="3"/>
      <c r="ANP75" s="3"/>
      <c r="ANQ75" s="3"/>
      <c r="ANR75" s="3"/>
      <c r="ANS75" s="3"/>
      <c r="ANT75" s="3"/>
      <c r="ANU75" s="3"/>
      <c r="ANV75" s="3"/>
      <c r="ANW75" s="3"/>
      <c r="ANX75" s="3"/>
      <c r="ANY75" s="3"/>
      <c r="ANZ75" s="3"/>
      <c r="AOA75" s="3"/>
      <c r="AOB75" s="3"/>
      <c r="AOC75" s="3"/>
      <c r="AOD75" s="3"/>
      <c r="AOE75" s="3"/>
      <c r="AOF75" s="3"/>
      <c r="AOG75" s="3"/>
      <c r="AOH75" s="3"/>
      <c r="AOI75" s="3"/>
      <c r="AOJ75" s="3"/>
      <c r="AOK75" s="3"/>
      <c r="AOL75" s="3"/>
      <c r="AOM75" s="3"/>
      <c r="AON75" s="3"/>
      <c r="AOO75" s="3"/>
      <c r="AOP75" s="3"/>
      <c r="AOQ75" s="3"/>
      <c r="AOR75" s="3"/>
      <c r="AOS75" s="3"/>
      <c r="AOT75" s="3"/>
      <c r="AOU75" s="3"/>
      <c r="AOV75" s="3"/>
      <c r="AOW75" s="3"/>
      <c r="AOX75" s="3"/>
      <c r="AOY75" s="3"/>
      <c r="AOZ75" s="3"/>
      <c r="APA75" s="3"/>
      <c r="APB75" s="3"/>
      <c r="APC75" s="3"/>
      <c r="APD75" s="3"/>
      <c r="APE75" s="3"/>
      <c r="APF75" s="3"/>
      <c r="APG75" s="3"/>
      <c r="APH75" s="3"/>
      <c r="API75" s="3"/>
      <c r="APJ75" s="3"/>
      <c r="APK75" s="3"/>
      <c r="APL75" s="3"/>
      <c r="APM75" s="3"/>
      <c r="APN75" s="3"/>
      <c r="APO75" s="3"/>
      <c r="APP75" s="3"/>
      <c r="APQ75" s="3"/>
      <c r="APR75" s="3"/>
      <c r="APS75" s="3"/>
      <c r="APT75" s="3"/>
      <c r="APU75" s="3"/>
      <c r="APV75" s="3"/>
      <c r="APW75" s="3"/>
      <c r="APX75" s="3"/>
      <c r="APY75" s="3"/>
      <c r="APZ75" s="3"/>
      <c r="AQA75" s="3"/>
      <c r="AQB75" s="3"/>
      <c r="AQC75" s="3"/>
      <c r="AQD75" s="3"/>
      <c r="AQE75" s="3"/>
      <c r="AQF75" s="3"/>
      <c r="AQG75" s="3"/>
      <c r="AQH75" s="3"/>
      <c r="AQI75" s="3"/>
      <c r="AQJ75" s="3"/>
      <c r="AQK75" s="3"/>
      <c r="AQL75" s="3"/>
      <c r="AQM75" s="3"/>
      <c r="AQN75" s="3"/>
      <c r="AQO75" s="3"/>
      <c r="AQP75" s="3"/>
      <c r="AQQ75" s="3"/>
      <c r="AQR75" s="3"/>
      <c r="AQS75" s="3"/>
      <c r="AQT75" s="3"/>
      <c r="AQU75" s="3"/>
      <c r="AQV75" s="3"/>
      <c r="AQW75" s="3"/>
      <c r="AQX75" s="3"/>
      <c r="AQY75" s="3"/>
      <c r="AQZ75" s="3"/>
      <c r="ARA75" s="3"/>
      <c r="ARB75" s="3"/>
      <c r="ARC75" s="3"/>
      <c r="ARD75" s="3"/>
      <c r="ARE75" s="3"/>
      <c r="ARF75" s="3"/>
      <c r="ARG75" s="3"/>
      <c r="ARH75" s="3"/>
      <c r="ARI75" s="3"/>
      <c r="ARJ75" s="3"/>
      <c r="ARK75" s="3"/>
      <c r="ARL75" s="3"/>
      <c r="ARM75" s="3"/>
      <c r="ARN75" s="3"/>
      <c r="ARO75" s="3"/>
      <c r="ARP75" s="3"/>
      <c r="ARQ75" s="3"/>
      <c r="ARR75" s="3"/>
      <c r="ARS75" s="3"/>
      <c r="ART75" s="3"/>
      <c r="ARU75" s="3"/>
      <c r="ARV75" s="3"/>
      <c r="ARW75" s="3"/>
      <c r="ARX75" s="3"/>
      <c r="ARY75" s="3"/>
      <c r="ARZ75" s="3"/>
      <c r="ASA75" s="3"/>
      <c r="ASB75" s="3"/>
      <c r="ASC75" s="3"/>
      <c r="ASD75" s="3"/>
      <c r="ASE75" s="3"/>
      <c r="ASF75" s="3"/>
      <c r="ASG75" s="3"/>
      <c r="ASH75" s="3"/>
      <c r="ASI75" s="3"/>
      <c r="ASJ75" s="3"/>
      <c r="ASK75" s="3"/>
      <c r="ASL75" s="3"/>
      <c r="ASM75" s="3"/>
      <c r="ASN75" s="3"/>
      <c r="ASO75" s="3"/>
      <c r="ASP75" s="3"/>
      <c r="ASQ75" s="3"/>
      <c r="ASR75" s="3"/>
      <c r="ASS75" s="3"/>
      <c r="AST75" s="3"/>
      <c r="ASU75" s="3"/>
      <c r="ASV75" s="3"/>
      <c r="ASW75" s="3"/>
      <c r="ASX75" s="3"/>
      <c r="ASY75" s="3"/>
      <c r="ASZ75" s="3"/>
      <c r="ATA75" s="3"/>
      <c r="ATB75" s="3"/>
      <c r="ATC75" s="3"/>
      <c r="ATD75" s="3"/>
      <c r="ATE75" s="3"/>
      <c r="ATF75" s="3"/>
      <c r="ATG75" s="3"/>
      <c r="ATH75" s="3"/>
      <c r="ATI75" s="3"/>
      <c r="ATJ75" s="3"/>
      <c r="ATK75" s="3"/>
      <c r="ATL75" s="3"/>
      <c r="ATM75" s="3"/>
      <c r="ATN75" s="3"/>
      <c r="ATO75" s="3"/>
      <c r="ATP75" s="3"/>
      <c r="ATQ75" s="3"/>
      <c r="ATR75" s="3"/>
      <c r="ATS75" s="3"/>
      <c r="ATT75" s="3"/>
      <c r="ATU75" s="3"/>
      <c r="ATV75" s="3"/>
      <c r="ATW75" s="3"/>
      <c r="ATX75" s="3"/>
      <c r="ATY75" s="3"/>
      <c r="ATZ75" s="3"/>
      <c r="AUA75" s="3"/>
      <c r="AUB75" s="3"/>
      <c r="AUC75" s="3"/>
      <c r="AUD75" s="3"/>
      <c r="AUE75" s="3"/>
      <c r="AUF75" s="3"/>
      <c r="AUG75" s="3"/>
      <c r="AUH75" s="3"/>
      <c r="AUI75" s="3"/>
      <c r="AUJ75" s="3"/>
      <c r="AUK75" s="3"/>
      <c r="AUL75" s="3"/>
      <c r="AUM75" s="3"/>
      <c r="AUN75" s="3"/>
      <c r="AUO75" s="3"/>
      <c r="AUP75" s="3"/>
      <c r="AUQ75" s="3"/>
      <c r="AUR75" s="3"/>
      <c r="AUS75" s="3"/>
      <c r="AUT75" s="3"/>
      <c r="AUU75" s="3"/>
      <c r="AUV75" s="3"/>
      <c r="AUW75" s="3"/>
      <c r="AUX75" s="3"/>
      <c r="AUY75" s="3"/>
      <c r="AUZ75" s="3"/>
      <c r="AVA75" s="3"/>
      <c r="AVB75" s="3"/>
      <c r="AVC75" s="3"/>
      <c r="AVD75" s="3"/>
      <c r="AVE75" s="3"/>
      <c r="AVF75" s="3"/>
      <c r="AVG75" s="3"/>
      <c r="AVH75" s="3"/>
      <c r="AVI75" s="3"/>
      <c r="AVJ75" s="3"/>
      <c r="AVK75" s="3"/>
      <c r="AVL75" s="3"/>
      <c r="AVM75" s="3"/>
      <c r="AVN75" s="3"/>
      <c r="AVO75" s="3"/>
      <c r="AVP75" s="3"/>
      <c r="AVQ75" s="3"/>
      <c r="AVR75" s="3"/>
      <c r="AVS75" s="3"/>
      <c r="AVT75" s="3"/>
      <c r="AVU75" s="3"/>
      <c r="AVV75" s="3"/>
      <c r="AVW75" s="3"/>
      <c r="AVX75" s="3"/>
      <c r="AVY75" s="3"/>
      <c r="AVZ75" s="3"/>
      <c r="AWA75" s="3"/>
      <c r="AWB75" s="3"/>
      <c r="AWC75" s="3"/>
      <c r="AWD75" s="3"/>
      <c r="AWE75" s="3"/>
      <c r="AWF75" s="3"/>
      <c r="AWG75" s="3"/>
      <c r="AWH75" s="3"/>
      <c r="AWI75" s="3"/>
      <c r="AWJ75" s="3"/>
      <c r="AWK75" s="3"/>
      <c r="AWL75" s="3"/>
      <c r="AWM75" s="3"/>
      <c r="AWN75" s="3"/>
      <c r="AWO75" s="3"/>
      <c r="AWP75" s="3"/>
      <c r="AWQ75" s="3"/>
      <c r="AWR75" s="3"/>
      <c r="AWS75" s="3"/>
      <c r="AWT75" s="3"/>
      <c r="AWU75" s="3"/>
      <c r="AWV75" s="3"/>
      <c r="AWW75" s="3"/>
      <c r="AWX75" s="3"/>
      <c r="AWY75" s="3"/>
      <c r="AWZ75" s="3"/>
      <c r="AXA75" s="3"/>
      <c r="AXB75" s="3"/>
      <c r="AXC75" s="3"/>
      <c r="AXD75" s="3"/>
      <c r="AXE75" s="3"/>
      <c r="AXF75" s="3"/>
      <c r="AXG75" s="3"/>
      <c r="AXH75" s="3"/>
      <c r="AXI75" s="3"/>
      <c r="AXJ75" s="3"/>
      <c r="AXK75" s="3"/>
      <c r="AXL75" s="3"/>
      <c r="AXM75" s="3"/>
      <c r="AXN75" s="3"/>
      <c r="AXO75" s="3"/>
      <c r="AXP75" s="3"/>
      <c r="AXQ75" s="3"/>
      <c r="AXR75" s="3"/>
      <c r="AXS75" s="3"/>
      <c r="AXT75" s="3"/>
      <c r="AXU75" s="3"/>
      <c r="AXV75" s="3"/>
      <c r="AXW75" s="3"/>
      <c r="AXX75" s="3"/>
      <c r="AXY75" s="3"/>
      <c r="AXZ75" s="3"/>
      <c r="AYA75" s="3"/>
      <c r="AYB75" s="3"/>
      <c r="AYC75" s="3"/>
      <c r="AYD75" s="3"/>
      <c r="AYE75" s="3"/>
      <c r="AYF75" s="3"/>
      <c r="AYG75" s="3"/>
      <c r="AYH75" s="3"/>
      <c r="AYI75" s="3"/>
      <c r="AYJ75" s="3"/>
      <c r="AYK75" s="3"/>
      <c r="AYL75" s="3"/>
      <c r="AYM75" s="3"/>
      <c r="AYN75" s="3"/>
      <c r="AYO75" s="3"/>
      <c r="AYP75" s="3"/>
      <c r="AYQ75" s="3"/>
      <c r="AYR75" s="3"/>
      <c r="AYS75" s="3"/>
      <c r="AYT75" s="3"/>
      <c r="AYU75" s="3"/>
      <c r="AYV75" s="3"/>
      <c r="AYW75" s="3"/>
      <c r="AYX75" s="3"/>
      <c r="AYY75" s="3"/>
      <c r="AYZ75" s="3"/>
      <c r="AZA75" s="3"/>
      <c r="AZB75" s="3"/>
      <c r="AZC75" s="3"/>
      <c r="AZD75" s="3"/>
      <c r="AZE75" s="3"/>
      <c r="AZF75" s="3"/>
      <c r="AZG75" s="3"/>
      <c r="AZH75" s="3"/>
      <c r="AZI75" s="3"/>
      <c r="AZJ75" s="3"/>
      <c r="AZK75" s="3"/>
      <c r="AZL75" s="3"/>
      <c r="AZM75" s="3"/>
      <c r="AZN75" s="3"/>
      <c r="AZO75" s="3"/>
      <c r="AZP75" s="3"/>
      <c r="AZQ75" s="3"/>
      <c r="AZR75" s="3"/>
      <c r="AZS75" s="3"/>
      <c r="AZT75" s="3"/>
      <c r="AZU75" s="3"/>
      <c r="AZV75" s="3"/>
      <c r="AZW75" s="3"/>
      <c r="AZX75" s="3"/>
      <c r="AZY75" s="3"/>
      <c r="AZZ75" s="3"/>
      <c r="BAA75" s="3"/>
      <c r="BAB75" s="3"/>
      <c r="BAC75" s="3"/>
      <c r="BAD75" s="3"/>
      <c r="BAE75" s="3"/>
      <c r="BAF75" s="3"/>
      <c r="BAG75" s="3"/>
      <c r="BAH75" s="3"/>
      <c r="BAI75" s="3"/>
      <c r="BAJ75" s="3"/>
      <c r="BAK75" s="3"/>
      <c r="BAL75" s="3"/>
      <c r="BAM75" s="3"/>
      <c r="BAN75" s="3"/>
      <c r="BAO75" s="3"/>
      <c r="BAP75" s="3"/>
      <c r="BAQ75" s="3"/>
      <c r="BAR75" s="3"/>
      <c r="BAS75" s="3"/>
      <c r="BAT75" s="3"/>
      <c r="BAU75" s="3"/>
      <c r="BAV75" s="3"/>
      <c r="BAW75" s="3"/>
      <c r="BAX75" s="3"/>
      <c r="BAY75" s="3"/>
      <c r="BAZ75" s="3"/>
      <c r="BBA75" s="3"/>
      <c r="BBB75" s="3"/>
      <c r="BBC75" s="3"/>
      <c r="BBD75" s="3"/>
      <c r="BBE75" s="3"/>
      <c r="BBF75" s="3"/>
      <c r="BBG75" s="3"/>
      <c r="BBH75" s="3"/>
      <c r="BBI75" s="3"/>
      <c r="BBJ75" s="3"/>
      <c r="BBK75" s="3"/>
      <c r="BBL75" s="3"/>
      <c r="BBM75" s="3"/>
      <c r="BBN75" s="3"/>
      <c r="BBO75" s="3"/>
      <c r="BBP75" s="3"/>
      <c r="BBQ75" s="3"/>
      <c r="BBR75" s="3"/>
      <c r="BBS75" s="3"/>
      <c r="BBT75" s="3"/>
      <c r="BBU75" s="3"/>
      <c r="BBV75" s="3"/>
      <c r="BBW75" s="3"/>
      <c r="BBX75" s="3"/>
      <c r="BBY75" s="3"/>
      <c r="BBZ75" s="3"/>
      <c r="BCA75" s="3"/>
      <c r="BCB75" s="3"/>
      <c r="BCC75" s="3"/>
      <c r="BCD75" s="3"/>
      <c r="BCE75" s="3"/>
      <c r="BCF75" s="3"/>
      <c r="BCG75" s="3"/>
      <c r="BCH75" s="3"/>
      <c r="BCI75" s="3"/>
      <c r="BCJ75" s="3"/>
      <c r="BCK75" s="3"/>
      <c r="BCL75" s="3"/>
      <c r="BCM75" s="3"/>
      <c r="BCN75" s="3"/>
      <c r="BCO75" s="3"/>
      <c r="BCP75" s="3"/>
      <c r="BCQ75" s="3"/>
      <c r="BCR75" s="3"/>
      <c r="BCS75" s="3"/>
      <c r="BCT75" s="3"/>
      <c r="BCU75" s="3"/>
      <c r="BCV75" s="3"/>
      <c r="BCW75" s="3"/>
      <c r="BCX75" s="3"/>
      <c r="BCY75" s="3"/>
      <c r="BCZ75" s="3"/>
      <c r="BDA75" s="3"/>
      <c r="BDB75" s="3"/>
      <c r="BDC75" s="3"/>
      <c r="BDD75" s="3"/>
      <c r="BDE75" s="3"/>
      <c r="BDF75" s="3"/>
      <c r="BDG75" s="3"/>
      <c r="BDH75" s="3"/>
      <c r="BDI75" s="3"/>
      <c r="BDJ75" s="3"/>
      <c r="BDK75" s="3"/>
      <c r="BDL75" s="3"/>
      <c r="BDM75" s="3"/>
      <c r="BDN75" s="3"/>
      <c r="BDO75" s="3"/>
      <c r="BDP75" s="3"/>
      <c r="BDQ75" s="3"/>
      <c r="BDR75" s="3"/>
      <c r="BDS75" s="3"/>
      <c r="BDT75" s="3"/>
      <c r="BDU75" s="3"/>
      <c r="BDV75" s="3"/>
      <c r="BDW75" s="3"/>
      <c r="BDX75" s="3"/>
      <c r="BDY75" s="3"/>
      <c r="BDZ75" s="3"/>
      <c r="BEA75" s="3"/>
      <c r="BEB75" s="3"/>
      <c r="BEC75" s="3"/>
      <c r="BED75" s="3"/>
      <c r="BEE75" s="3"/>
      <c r="BEF75" s="3"/>
      <c r="BEG75" s="3"/>
      <c r="BEH75" s="3"/>
      <c r="BEI75" s="3"/>
      <c r="BEJ75" s="3"/>
      <c r="BEK75" s="3"/>
      <c r="BEL75" s="3"/>
      <c r="BEM75" s="3"/>
      <c r="BEN75" s="3"/>
      <c r="BEO75" s="3"/>
      <c r="BEP75" s="3"/>
      <c r="BEQ75" s="3"/>
      <c r="BER75" s="3"/>
      <c r="BES75" s="3"/>
      <c r="BET75" s="3"/>
      <c r="BEU75" s="3"/>
      <c r="BEV75" s="3"/>
      <c r="BEW75" s="3"/>
      <c r="BEX75" s="3"/>
      <c r="BEY75" s="3"/>
      <c r="BEZ75" s="3"/>
      <c r="BFA75" s="3"/>
      <c r="BFB75" s="3"/>
      <c r="BFC75" s="3"/>
      <c r="BFD75" s="3"/>
      <c r="BFE75" s="3"/>
      <c r="BFF75" s="3"/>
      <c r="BFG75" s="3"/>
      <c r="BFH75" s="3"/>
      <c r="BFI75" s="3"/>
      <c r="BFJ75" s="3"/>
      <c r="BFK75" s="3"/>
      <c r="BFL75" s="3"/>
      <c r="BFM75" s="3"/>
      <c r="BFN75" s="3"/>
      <c r="BFO75" s="3"/>
      <c r="BFP75" s="3"/>
      <c r="BFQ75" s="3"/>
      <c r="BFR75" s="3"/>
      <c r="BFS75" s="3"/>
      <c r="BFT75" s="3"/>
      <c r="BFU75" s="3"/>
      <c r="BFV75" s="3"/>
      <c r="BFW75" s="3"/>
      <c r="BFX75" s="3"/>
      <c r="BFY75" s="3"/>
      <c r="BFZ75" s="3"/>
      <c r="BGA75" s="3"/>
      <c r="BGB75" s="3"/>
      <c r="BGC75" s="3"/>
      <c r="BGD75" s="3"/>
      <c r="BGE75" s="3"/>
      <c r="BGF75" s="3"/>
      <c r="BGG75" s="3"/>
      <c r="BGH75" s="3"/>
      <c r="BGI75" s="3"/>
      <c r="BGJ75" s="3"/>
      <c r="BGK75" s="3"/>
      <c r="BGL75" s="3"/>
      <c r="BGM75" s="3"/>
      <c r="BGN75" s="3"/>
      <c r="BGO75" s="3"/>
      <c r="BGP75" s="3"/>
      <c r="BGQ75" s="3"/>
      <c r="BGR75" s="3"/>
      <c r="BGS75" s="3"/>
      <c r="BGT75" s="3"/>
      <c r="BGU75" s="3"/>
      <c r="BGV75" s="3"/>
      <c r="BGW75" s="3"/>
      <c r="BGX75" s="3"/>
      <c r="BGY75" s="3"/>
      <c r="BGZ75" s="3"/>
      <c r="BHA75" s="3"/>
      <c r="BHB75" s="3"/>
      <c r="BHC75" s="3"/>
      <c r="BHD75" s="3"/>
      <c r="BHE75" s="3"/>
      <c r="BHF75" s="3"/>
      <c r="BHG75" s="3"/>
      <c r="BHH75" s="3"/>
      <c r="BHI75" s="3"/>
      <c r="BHJ75" s="3"/>
      <c r="BHK75" s="3"/>
      <c r="BHL75" s="3"/>
      <c r="BHM75" s="3"/>
      <c r="BHN75" s="3"/>
      <c r="BHO75" s="3"/>
      <c r="BHP75" s="3"/>
      <c r="BHQ75" s="3"/>
      <c r="BHR75" s="3"/>
      <c r="BHS75" s="3"/>
      <c r="BHT75" s="3"/>
      <c r="BHU75" s="3"/>
      <c r="BHV75" s="3"/>
      <c r="BHW75" s="3"/>
      <c r="BHX75" s="3"/>
      <c r="BHY75" s="3"/>
      <c r="BHZ75" s="3"/>
      <c r="BIA75" s="3"/>
      <c r="BIB75" s="3"/>
      <c r="BIC75" s="3"/>
      <c r="BID75" s="3"/>
      <c r="BIE75" s="3"/>
      <c r="BIF75" s="3"/>
      <c r="BIG75" s="3"/>
      <c r="BIH75" s="3"/>
      <c r="BII75" s="3"/>
      <c r="BIJ75" s="3"/>
      <c r="BIK75" s="3"/>
      <c r="BIL75" s="3"/>
      <c r="BIM75" s="3"/>
      <c r="BIN75" s="3"/>
      <c r="BIO75" s="3"/>
      <c r="BIP75" s="3"/>
      <c r="BIQ75" s="3"/>
      <c r="BIR75" s="3"/>
      <c r="BIS75" s="3"/>
      <c r="BIT75" s="3"/>
      <c r="BIU75" s="3"/>
      <c r="BIV75" s="3"/>
      <c r="BIW75" s="3"/>
      <c r="BIX75" s="3"/>
      <c r="BIY75" s="3"/>
      <c r="BIZ75" s="3"/>
      <c r="BJA75" s="3"/>
      <c r="BJB75" s="3"/>
      <c r="BJC75" s="3"/>
      <c r="BJD75" s="3"/>
      <c r="BJE75" s="3"/>
      <c r="BJF75" s="3"/>
      <c r="BJG75" s="3"/>
      <c r="BJH75" s="3"/>
      <c r="BJI75" s="3"/>
      <c r="BJJ75" s="3"/>
      <c r="BJK75" s="3"/>
      <c r="BJL75" s="3"/>
      <c r="BJM75" s="3"/>
      <c r="BJN75" s="3"/>
      <c r="BJO75" s="3"/>
      <c r="BJP75" s="3"/>
      <c r="BJQ75" s="3"/>
      <c r="BJR75" s="3"/>
      <c r="BJS75" s="3"/>
      <c r="BJT75" s="3"/>
      <c r="BJU75" s="3"/>
      <c r="BJV75" s="3"/>
      <c r="BJW75" s="3"/>
      <c r="BJX75" s="3"/>
      <c r="BJY75" s="3"/>
      <c r="BJZ75" s="3"/>
      <c r="BKA75" s="3"/>
      <c r="BKB75" s="3"/>
      <c r="BKC75" s="3"/>
      <c r="BKD75" s="3"/>
      <c r="BKE75" s="3"/>
      <c r="BKF75" s="3"/>
      <c r="BKG75" s="3"/>
      <c r="BKH75" s="3"/>
      <c r="BKI75" s="3"/>
      <c r="BKJ75" s="3"/>
      <c r="BKK75" s="3"/>
      <c r="BKL75" s="3"/>
      <c r="BKM75" s="3"/>
      <c r="BKN75" s="3"/>
      <c r="BKO75" s="3"/>
      <c r="BKP75" s="3"/>
      <c r="BKQ75" s="3"/>
      <c r="BKR75" s="3"/>
      <c r="BKS75" s="3"/>
      <c r="BKT75" s="3"/>
      <c r="BKU75" s="3"/>
      <c r="BKV75" s="3"/>
      <c r="BKW75" s="3"/>
      <c r="BKX75" s="3"/>
      <c r="BKY75" s="3"/>
      <c r="BKZ75" s="3"/>
      <c r="BLA75" s="3"/>
      <c r="BLB75" s="3"/>
      <c r="BLC75" s="3"/>
      <c r="BLD75" s="3"/>
      <c r="BLE75" s="3"/>
      <c r="BLF75" s="3"/>
      <c r="BLG75" s="3"/>
      <c r="BLH75" s="3"/>
      <c r="BLI75" s="3"/>
      <c r="BLJ75" s="3"/>
      <c r="BLK75" s="3"/>
      <c r="BLL75" s="3"/>
      <c r="BLM75" s="3"/>
      <c r="BLN75" s="3"/>
      <c r="BLO75" s="3"/>
      <c r="BLP75" s="3"/>
      <c r="BLQ75" s="3"/>
      <c r="BLR75" s="3"/>
      <c r="BLS75" s="3"/>
      <c r="BLT75" s="3"/>
      <c r="BLU75" s="3"/>
      <c r="BLV75" s="3"/>
      <c r="BLW75" s="3"/>
      <c r="BLX75" s="3"/>
      <c r="BLY75" s="3"/>
      <c r="BLZ75" s="3"/>
      <c r="BMA75" s="3"/>
      <c r="BMB75" s="3"/>
      <c r="BMC75" s="3"/>
      <c r="BMD75" s="3"/>
      <c r="BME75" s="3"/>
      <c r="BMF75" s="3"/>
      <c r="BMG75" s="3"/>
      <c r="BMH75" s="3"/>
      <c r="BMI75" s="3"/>
      <c r="BMJ75" s="3"/>
      <c r="BMK75" s="3"/>
      <c r="BML75" s="3"/>
      <c r="BMM75" s="3"/>
      <c r="BMN75" s="3"/>
      <c r="BMO75" s="3"/>
      <c r="BMP75" s="3"/>
      <c r="BMQ75" s="3"/>
      <c r="BMR75" s="3"/>
      <c r="BMS75" s="3"/>
      <c r="BMT75" s="3"/>
      <c r="BMU75" s="3"/>
      <c r="BMV75" s="3"/>
      <c r="BMW75" s="3"/>
      <c r="BMX75" s="3"/>
      <c r="BMY75" s="3"/>
      <c r="BMZ75" s="3"/>
      <c r="BNA75" s="3"/>
      <c r="BNB75" s="3"/>
      <c r="BNC75" s="3"/>
      <c r="BND75" s="3"/>
      <c r="BNE75" s="3"/>
      <c r="BNF75" s="3"/>
      <c r="BNG75" s="3"/>
      <c r="BNH75" s="3"/>
      <c r="BNI75" s="3"/>
      <c r="BNJ75" s="3"/>
      <c r="BNK75" s="3"/>
      <c r="BNL75" s="3"/>
      <c r="BNM75" s="3"/>
      <c r="BNN75" s="3"/>
      <c r="BNO75" s="3"/>
      <c r="BNP75" s="3"/>
      <c r="BNQ75" s="3"/>
      <c r="BNR75" s="3"/>
      <c r="BNS75" s="3"/>
      <c r="BNT75" s="3"/>
      <c r="BNU75" s="3"/>
      <c r="BNV75" s="3"/>
      <c r="BNW75" s="3"/>
      <c r="BNX75" s="3"/>
      <c r="BNY75" s="3"/>
      <c r="BNZ75" s="3"/>
      <c r="BOA75" s="3"/>
      <c r="BOB75" s="3"/>
      <c r="BOC75" s="3"/>
      <c r="BOD75" s="3"/>
      <c r="BOE75" s="3"/>
      <c r="BOF75" s="3"/>
      <c r="BOG75" s="3"/>
      <c r="BOH75" s="3"/>
      <c r="BOI75" s="3"/>
      <c r="BOJ75" s="3"/>
      <c r="BOK75" s="3"/>
      <c r="BOL75" s="3"/>
      <c r="BOM75" s="3"/>
      <c r="BON75" s="3"/>
      <c r="BOO75" s="3"/>
      <c r="BOP75" s="3"/>
      <c r="BOQ75" s="3"/>
      <c r="BOR75" s="3"/>
      <c r="BOS75" s="3"/>
      <c r="BOT75" s="3"/>
      <c r="BOU75" s="3"/>
      <c r="BOV75" s="3"/>
      <c r="BOW75" s="3"/>
      <c r="BOX75" s="3"/>
      <c r="BOY75" s="3"/>
      <c r="BOZ75" s="3"/>
      <c r="BPA75" s="3"/>
      <c r="BPB75" s="3"/>
      <c r="BPC75" s="3"/>
      <c r="BPD75" s="3"/>
      <c r="BPE75" s="3"/>
      <c r="BPF75" s="3"/>
      <c r="BPG75" s="3"/>
      <c r="BPH75" s="3"/>
      <c r="BPI75" s="3"/>
      <c r="BPJ75" s="3"/>
      <c r="BPK75" s="3"/>
      <c r="BPL75" s="3"/>
      <c r="BPM75" s="3"/>
      <c r="BPN75" s="3"/>
      <c r="BPO75" s="3"/>
      <c r="BPP75" s="3"/>
      <c r="BPQ75" s="3"/>
      <c r="BPR75" s="3"/>
      <c r="BPS75" s="3"/>
      <c r="BPT75" s="3"/>
      <c r="BPU75" s="3"/>
      <c r="BPV75" s="3"/>
      <c r="BPW75" s="3"/>
      <c r="BPX75" s="3"/>
      <c r="BPY75" s="3"/>
      <c r="BPZ75" s="3"/>
      <c r="BQA75" s="3"/>
      <c r="BQB75" s="3"/>
      <c r="BQC75" s="3"/>
      <c r="BQD75" s="3"/>
      <c r="BQE75" s="3"/>
      <c r="BQF75" s="3"/>
      <c r="BQG75" s="3"/>
      <c r="BQH75" s="3"/>
      <c r="BQI75" s="3"/>
      <c r="BQJ75" s="3"/>
      <c r="BQK75" s="3"/>
      <c r="BQL75" s="3"/>
      <c r="BQM75" s="3"/>
      <c r="BQN75" s="3"/>
      <c r="BQO75" s="3"/>
      <c r="BQP75" s="3"/>
      <c r="BQQ75" s="3"/>
      <c r="BQR75" s="3"/>
      <c r="BQS75" s="3"/>
      <c r="BQT75" s="3"/>
      <c r="BQU75" s="3"/>
      <c r="BQV75" s="3"/>
      <c r="BQW75" s="3"/>
      <c r="BQX75" s="3"/>
      <c r="BQY75" s="3"/>
      <c r="BQZ75" s="3"/>
      <c r="BRA75" s="3"/>
      <c r="BRB75" s="3"/>
      <c r="BRC75" s="3"/>
      <c r="BRD75" s="3"/>
      <c r="BRE75" s="3"/>
      <c r="BRF75" s="3"/>
      <c r="BRG75" s="3"/>
      <c r="BRH75" s="3"/>
      <c r="BRI75" s="3"/>
      <c r="BRJ75" s="3"/>
      <c r="BRK75" s="3"/>
      <c r="BRL75" s="3"/>
      <c r="BRM75" s="3"/>
      <c r="BRN75" s="3"/>
      <c r="BRO75" s="3"/>
      <c r="BRP75" s="3"/>
      <c r="BRQ75" s="3"/>
      <c r="BRR75" s="3"/>
      <c r="BRS75" s="3"/>
      <c r="BRT75" s="3"/>
      <c r="BRU75" s="3"/>
      <c r="BRV75" s="3"/>
      <c r="BRW75" s="3"/>
      <c r="BRX75" s="3"/>
      <c r="BRY75" s="3"/>
      <c r="BRZ75" s="3"/>
      <c r="BSA75" s="3"/>
      <c r="BSB75" s="3"/>
      <c r="BSC75" s="3"/>
      <c r="BSD75" s="3"/>
      <c r="BSE75" s="3"/>
      <c r="BSF75" s="3"/>
      <c r="BSG75" s="3"/>
      <c r="BSH75" s="3"/>
      <c r="BSI75" s="3"/>
      <c r="BSJ75" s="3"/>
      <c r="BSK75" s="3"/>
      <c r="BSL75" s="3"/>
      <c r="BSM75" s="3"/>
      <c r="BSN75" s="3"/>
      <c r="BSO75" s="3"/>
      <c r="BSP75" s="3"/>
      <c r="BSQ75" s="3"/>
      <c r="BSR75" s="3"/>
      <c r="BSS75" s="3"/>
      <c r="BST75" s="3"/>
      <c r="BSU75" s="3"/>
      <c r="BSV75" s="3"/>
      <c r="BSW75" s="3"/>
      <c r="BSX75" s="3"/>
      <c r="BSY75" s="3"/>
      <c r="BSZ75" s="3"/>
      <c r="BTA75" s="3"/>
      <c r="BTB75" s="3"/>
      <c r="BTC75" s="3"/>
      <c r="BTD75" s="3"/>
      <c r="BTE75" s="3"/>
      <c r="BTF75" s="3"/>
      <c r="BTG75" s="3"/>
      <c r="BTH75" s="3"/>
      <c r="BTI75" s="3"/>
      <c r="BTJ75" s="3"/>
      <c r="BTK75" s="3"/>
      <c r="BTL75" s="3"/>
      <c r="BTM75" s="3"/>
      <c r="BTN75" s="3"/>
      <c r="BTO75" s="3"/>
      <c r="BTP75" s="3"/>
      <c r="BTQ75" s="3"/>
      <c r="BTR75" s="3"/>
      <c r="BTS75" s="3"/>
      <c r="BTT75" s="3"/>
      <c r="BTU75" s="3"/>
      <c r="BTV75" s="3"/>
      <c r="BTW75" s="3"/>
      <c r="BTX75" s="3"/>
      <c r="BTY75" s="3"/>
      <c r="BTZ75" s="3"/>
      <c r="BUA75" s="3"/>
      <c r="BUB75" s="3"/>
      <c r="BUC75" s="3"/>
      <c r="BUD75" s="3"/>
      <c r="BUE75" s="3"/>
      <c r="BUF75" s="3"/>
      <c r="BUG75" s="3"/>
      <c r="BUH75" s="3"/>
      <c r="BUI75" s="3"/>
      <c r="BUJ75" s="3"/>
      <c r="BUK75" s="3"/>
      <c r="BUL75" s="3"/>
      <c r="BUM75" s="3"/>
      <c r="BUN75" s="3"/>
      <c r="BUO75" s="3"/>
      <c r="BUP75" s="3"/>
      <c r="BUQ75" s="3"/>
      <c r="BUR75" s="3"/>
      <c r="BUS75" s="3"/>
      <c r="BUT75" s="3"/>
      <c r="BUU75" s="3"/>
      <c r="BUV75" s="3"/>
      <c r="BUW75" s="3"/>
      <c r="BUX75" s="3"/>
      <c r="BUY75" s="3"/>
      <c r="BUZ75" s="3"/>
      <c r="BVA75" s="3"/>
      <c r="BVB75" s="3"/>
      <c r="BVC75" s="3"/>
      <c r="BVD75" s="3"/>
      <c r="BVE75" s="3"/>
      <c r="BVF75" s="3"/>
      <c r="BVG75" s="3"/>
      <c r="BVH75" s="3"/>
      <c r="BVI75" s="3"/>
      <c r="BVJ75" s="3"/>
      <c r="BVK75" s="3"/>
      <c r="BVL75" s="3"/>
      <c r="BVM75" s="3"/>
      <c r="BVN75" s="3"/>
      <c r="BVO75" s="3"/>
      <c r="BVP75" s="3"/>
      <c r="BVQ75" s="3"/>
      <c r="BVR75" s="3"/>
      <c r="BVS75" s="3"/>
      <c r="BVT75" s="3"/>
      <c r="BVU75" s="3"/>
      <c r="BVV75" s="3"/>
      <c r="BVW75" s="3"/>
      <c r="BVX75" s="3"/>
      <c r="BVY75" s="3"/>
      <c r="BVZ75" s="3"/>
      <c r="BWA75" s="3"/>
      <c r="BWB75" s="3"/>
      <c r="BWC75" s="3"/>
      <c r="BWD75" s="3"/>
      <c r="BWE75" s="3"/>
      <c r="BWF75" s="3"/>
      <c r="BWG75" s="3"/>
      <c r="BWH75" s="3"/>
      <c r="BWI75" s="3"/>
      <c r="BWJ75" s="3"/>
      <c r="BWK75" s="3"/>
      <c r="BWL75" s="3"/>
      <c r="BWM75" s="3"/>
      <c r="BWN75" s="3"/>
      <c r="BWO75" s="3"/>
      <c r="BWP75" s="3"/>
      <c r="BWQ75" s="3"/>
      <c r="BWR75" s="3"/>
      <c r="BWS75" s="3"/>
      <c r="BWT75" s="3"/>
      <c r="BWU75" s="3"/>
      <c r="BWV75" s="3"/>
      <c r="BWW75" s="3"/>
      <c r="BWX75" s="3"/>
      <c r="BWY75" s="3"/>
      <c r="BWZ75" s="3"/>
      <c r="BXA75" s="3"/>
      <c r="BXB75" s="3"/>
      <c r="BXC75" s="3"/>
      <c r="BXD75" s="3"/>
      <c r="BXE75" s="3"/>
      <c r="BXF75" s="3"/>
      <c r="BXG75" s="3"/>
      <c r="BXH75" s="3"/>
      <c r="BXI75" s="3"/>
      <c r="BXJ75" s="3"/>
      <c r="BXK75" s="3"/>
      <c r="BXL75" s="3"/>
      <c r="BXM75" s="3"/>
      <c r="BXN75" s="3"/>
      <c r="BXO75" s="3"/>
      <c r="BXP75" s="3"/>
      <c r="BXQ75" s="3"/>
      <c r="BXR75" s="3"/>
      <c r="BXS75" s="3"/>
      <c r="BXT75" s="3"/>
      <c r="BXU75" s="3"/>
      <c r="BXV75" s="3"/>
      <c r="BXW75" s="3"/>
      <c r="BXX75" s="3"/>
      <c r="BXY75" s="3"/>
      <c r="BXZ75" s="3"/>
      <c r="BYA75" s="3"/>
      <c r="BYB75" s="3"/>
      <c r="BYC75" s="3"/>
      <c r="BYD75" s="3"/>
      <c r="BYE75" s="3"/>
      <c r="BYF75" s="3"/>
      <c r="BYG75" s="3"/>
      <c r="BYH75" s="3"/>
      <c r="BYI75" s="3"/>
      <c r="BYJ75" s="3"/>
      <c r="BYK75" s="3"/>
      <c r="BYL75" s="3"/>
      <c r="BYM75" s="3"/>
      <c r="BYN75" s="3"/>
      <c r="BYO75" s="3"/>
      <c r="BYP75" s="3"/>
      <c r="BYQ75" s="3"/>
      <c r="BYR75" s="3"/>
      <c r="BYS75" s="3"/>
      <c r="BYT75" s="3"/>
      <c r="BYU75" s="3"/>
      <c r="BYV75" s="3"/>
      <c r="BYW75" s="3"/>
      <c r="BYX75" s="3"/>
      <c r="BYY75" s="3"/>
      <c r="BYZ75" s="3"/>
      <c r="BZA75" s="3"/>
      <c r="BZB75" s="3"/>
      <c r="BZC75" s="3"/>
      <c r="BZD75" s="3"/>
      <c r="BZE75" s="3"/>
      <c r="BZF75" s="3"/>
      <c r="BZG75" s="3"/>
      <c r="BZH75" s="3"/>
      <c r="BZI75" s="3"/>
      <c r="BZJ75" s="3"/>
      <c r="BZK75" s="3"/>
      <c r="BZL75" s="3"/>
      <c r="BZM75" s="3"/>
      <c r="BZN75" s="3"/>
      <c r="BZO75" s="3"/>
      <c r="BZP75" s="3"/>
      <c r="BZQ75" s="3"/>
      <c r="BZR75" s="3"/>
      <c r="BZS75" s="3"/>
      <c r="BZT75" s="3"/>
      <c r="BZU75" s="3"/>
      <c r="BZV75" s="3"/>
      <c r="BZW75" s="3"/>
      <c r="BZX75" s="3"/>
      <c r="BZY75" s="3"/>
      <c r="BZZ75" s="3"/>
      <c r="CAA75" s="3"/>
      <c r="CAB75" s="3"/>
      <c r="CAC75" s="3"/>
      <c r="CAD75" s="3"/>
      <c r="CAE75" s="3"/>
      <c r="CAF75" s="3"/>
      <c r="CAG75" s="3"/>
      <c r="CAH75" s="3"/>
      <c r="CAI75" s="3"/>
      <c r="CAJ75" s="3"/>
      <c r="CAK75" s="3"/>
      <c r="CAL75" s="3"/>
      <c r="CAM75" s="3"/>
      <c r="CAN75" s="3"/>
      <c r="CAO75" s="3"/>
      <c r="CAP75" s="3"/>
      <c r="CAQ75" s="3"/>
      <c r="CAR75" s="3"/>
      <c r="CAS75" s="3"/>
      <c r="CAT75" s="3"/>
      <c r="CAU75" s="3"/>
      <c r="CAV75" s="3"/>
      <c r="CAW75" s="3"/>
      <c r="CAX75" s="3"/>
      <c r="CAY75" s="3"/>
      <c r="CAZ75" s="3"/>
      <c r="CBA75" s="3"/>
      <c r="CBB75" s="3"/>
      <c r="CBC75" s="3"/>
      <c r="CBD75" s="3"/>
      <c r="CBE75" s="3"/>
      <c r="CBF75" s="3"/>
      <c r="CBG75" s="3"/>
      <c r="CBH75" s="3"/>
      <c r="CBI75" s="3"/>
      <c r="CBJ75" s="3"/>
      <c r="CBK75" s="3"/>
      <c r="CBL75" s="3"/>
      <c r="CBM75" s="3"/>
      <c r="CBN75" s="3"/>
      <c r="CBO75" s="3"/>
      <c r="CBP75" s="3"/>
      <c r="CBQ75" s="3"/>
      <c r="CBR75" s="3"/>
      <c r="CBS75" s="3"/>
      <c r="CBT75" s="3"/>
      <c r="CBU75" s="3"/>
      <c r="CBV75" s="3"/>
      <c r="CBW75" s="3"/>
      <c r="CBX75" s="3"/>
      <c r="CBY75" s="3"/>
      <c r="CBZ75" s="3"/>
      <c r="CCA75" s="3"/>
      <c r="CCB75" s="3"/>
      <c r="CCC75" s="3"/>
      <c r="CCD75" s="3"/>
      <c r="CCE75" s="3"/>
      <c r="CCF75" s="3"/>
      <c r="CCG75" s="3"/>
      <c r="CCH75" s="3"/>
      <c r="CCI75" s="3"/>
      <c r="CCJ75" s="3"/>
      <c r="CCK75" s="3"/>
      <c r="CCL75" s="3"/>
      <c r="CCM75" s="3"/>
      <c r="CCN75" s="3"/>
      <c r="CCO75" s="3"/>
      <c r="CCP75" s="3"/>
      <c r="CCQ75" s="3"/>
      <c r="CCR75" s="3"/>
      <c r="CCS75" s="3"/>
      <c r="CCT75" s="3"/>
      <c r="CCU75" s="3"/>
      <c r="CCV75" s="3"/>
      <c r="CCW75" s="3"/>
      <c r="CCX75" s="3"/>
      <c r="CCY75" s="3"/>
      <c r="CCZ75" s="3"/>
      <c r="CDA75" s="3"/>
      <c r="CDB75" s="3"/>
      <c r="CDC75" s="3"/>
      <c r="CDD75" s="3"/>
      <c r="CDE75" s="3"/>
      <c r="CDF75" s="3"/>
      <c r="CDG75" s="3"/>
      <c r="CDH75" s="3"/>
      <c r="CDI75" s="3"/>
      <c r="CDJ75" s="3"/>
      <c r="CDK75" s="3"/>
      <c r="CDL75" s="3"/>
      <c r="CDM75" s="3"/>
      <c r="CDN75" s="3"/>
      <c r="CDO75" s="3"/>
      <c r="CDP75" s="3"/>
      <c r="CDQ75" s="3"/>
      <c r="CDR75" s="3"/>
      <c r="CDS75" s="3"/>
      <c r="CDT75" s="3"/>
      <c r="CDU75" s="3"/>
      <c r="CDV75" s="3"/>
      <c r="CDW75" s="3"/>
      <c r="CDX75" s="3"/>
      <c r="CDY75" s="3"/>
      <c r="CDZ75" s="3"/>
      <c r="CEA75" s="3"/>
      <c r="CEB75" s="3"/>
      <c r="CEC75" s="3"/>
      <c r="CED75" s="3"/>
      <c r="CEE75" s="3"/>
      <c r="CEF75" s="3"/>
      <c r="CEG75" s="3"/>
      <c r="CEH75" s="3"/>
      <c r="CEI75" s="3"/>
      <c r="CEJ75" s="3"/>
      <c r="CEK75" s="3"/>
      <c r="CEL75" s="3"/>
      <c r="CEM75" s="3"/>
      <c r="CEN75" s="3"/>
      <c r="CEO75" s="3"/>
      <c r="CEP75" s="3"/>
      <c r="CEQ75" s="3"/>
      <c r="CER75" s="3"/>
      <c r="CES75" s="3"/>
      <c r="CET75" s="3"/>
      <c r="CEU75" s="3"/>
      <c r="CEV75" s="3"/>
      <c r="CEW75" s="3"/>
      <c r="CEX75" s="3"/>
      <c r="CEY75" s="3"/>
      <c r="CEZ75" s="3"/>
      <c r="CFA75" s="3"/>
      <c r="CFB75" s="3"/>
      <c r="CFC75" s="3"/>
      <c r="CFD75" s="3"/>
      <c r="CFE75" s="3"/>
      <c r="CFF75" s="3"/>
      <c r="CFG75" s="3"/>
      <c r="CFH75" s="3"/>
      <c r="CFI75" s="3"/>
      <c r="CFJ75" s="3"/>
      <c r="CFK75" s="3"/>
      <c r="CFL75" s="3"/>
      <c r="CFM75" s="3"/>
      <c r="CFN75" s="3"/>
      <c r="CFO75" s="3"/>
      <c r="CFP75" s="3"/>
      <c r="CFQ75" s="3"/>
      <c r="CFR75" s="3"/>
      <c r="CFS75" s="3"/>
      <c r="CFT75" s="3"/>
      <c r="CFU75" s="3"/>
      <c r="CFV75" s="3"/>
      <c r="CFW75" s="3"/>
      <c r="CFX75" s="3"/>
      <c r="CFY75" s="3"/>
      <c r="CFZ75" s="3"/>
      <c r="CGA75" s="3"/>
      <c r="CGB75" s="3"/>
      <c r="CGC75" s="3"/>
      <c r="CGD75" s="3"/>
      <c r="CGE75" s="3"/>
      <c r="CGF75" s="3"/>
      <c r="CGG75" s="3"/>
      <c r="CGH75" s="3"/>
      <c r="CGI75" s="3"/>
      <c r="CGJ75" s="3"/>
      <c r="CGK75" s="3"/>
      <c r="CGL75" s="3"/>
      <c r="CGM75" s="3"/>
      <c r="CGN75" s="3"/>
      <c r="CGO75" s="3"/>
      <c r="CGP75" s="3"/>
      <c r="CGQ75" s="3"/>
      <c r="CGR75" s="3"/>
      <c r="CGS75" s="3"/>
      <c r="CGT75" s="3"/>
      <c r="CGU75" s="3"/>
      <c r="CGV75" s="3"/>
      <c r="CGW75" s="3"/>
      <c r="CGX75" s="3"/>
      <c r="CGY75" s="3"/>
      <c r="CGZ75" s="3"/>
      <c r="CHA75" s="3"/>
      <c r="CHB75" s="3"/>
      <c r="CHC75" s="3"/>
      <c r="CHD75" s="3"/>
      <c r="CHE75" s="3"/>
      <c r="CHF75" s="3"/>
      <c r="CHG75" s="3"/>
      <c r="CHH75" s="3"/>
      <c r="CHI75" s="3"/>
      <c r="CHJ75" s="3"/>
      <c r="CHK75" s="3"/>
      <c r="CHL75" s="3"/>
      <c r="CHM75" s="3"/>
      <c r="CHN75" s="3"/>
      <c r="CHO75" s="3"/>
      <c r="CHP75" s="3"/>
      <c r="CHQ75" s="3"/>
      <c r="CHR75" s="3"/>
      <c r="CHS75" s="3"/>
      <c r="CHT75" s="3"/>
      <c r="CHU75" s="3"/>
      <c r="CHV75" s="3"/>
      <c r="CHW75" s="3"/>
      <c r="CHX75" s="3"/>
      <c r="CHY75" s="3"/>
      <c r="CHZ75" s="3"/>
      <c r="CIA75" s="3"/>
      <c r="CIB75" s="3"/>
      <c r="CIC75" s="3"/>
      <c r="CID75" s="3"/>
      <c r="CIE75" s="3"/>
      <c r="CIF75" s="3"/>
      <c r="CIG75" s="3"/>
      <c r="CIH75" s="3"/>
      <c r="CII75" s="3"/>
      <c r="CIJ75" s="3"/>
      <c r="CIK75" s="3"/>
      <c r="CIL75" s="3"/>
      <c r="CIM75" s="3"/>
      <c r="CIN75" s="3"/>
      <c r="CIO75" s="3"/>
      <c r="CIP75" s="3"/>
      <c r="CIQ75" s="3"/>
      <c r="CIR75" s="3"/>
      <c r="CIS75" s="3"/>
      <c r="CIT75" s="3"/>
      <c r="CIU75" s="3"/>
      <c r="CIV75" s="3"/>
      <c r="CIW75" s="3"/>
      <c r="CIX75" s="3"/>
      <c r="CIY75" s="3"/>
      <c r="CIZ75" s="3"/>
      <c r="CJA75" s="3"/>
      <c r="CJB75" s="3"/>
      <c r="CJC75" s="3"/>
      <c r="CJD75" s="3"/>
      <c r="CJE75" s="3"/>
      <c r="CJF75" s="3"/>
      <c r="CJG75" s="3"/>
      <c r="CJH75" s="3"/>
      <c r="CJI75" s="3"/>
      <c r="CJJ75" s="3"/>
      <c r="CJK75" s="3"/>
      <c r="CJL75" s="3"/>
      <c r="CJM75" s="3"/>
      <c r="CJN75" s="3"/>
      <c r="CJO75" s="3"/>
      <c r="CJP75" s="3"/>
      <c r="CJQ75" s="3"/>
      <c r="CJR75" s="3"/>
      <c r="CJS75" s="3"/>
      <c r="CJT75" s="3"/>
      <c r="CJU75" s="3"/>
      <c r="CJV75" s="3"/>
      <c r="CJW75" s="3"/>
      <c r="CJX75" s="3"/>
      <c r="CJY75" s="3"/>
      <c r="CJZ75" s="3"/>
      <c r="CKA75" s="3"/>
      <c r="CKB75" s="3"/>
      <c r="CKC75" s="3"/>
      <c r="CKD75" s="3"/>
      <c r="CKE75" s="3"/>
      <c r="CKF75" s="3"/>
      <c r="CKG75" s="3"/>
      <c r="CKH75" s="3"/>
      <c r="CKI75" s="3"/>
      <c r="CKJ75" s="3"/>
      <c r="CKK75" s="3"/>
      <c r="CKL75" s="3"/>
      <c r="CKM75" s="3"/>
      <c r="CKN75" s="3"/>
      <c r="CKO75" s="3"/>
      <c r="CKP75" s="3"/>
      <c r="CKQ75" s="3"/>
      <c r="CKR75" s="3"/>
      <c r="CKS75" s="3"/>
      <c r="CKT75" s="3"/>
      <c r="CKU75" s="3"/>
      <c r="CKV75" s="3"/>
      <c r="CKW75" s="3"/>
      <c r="CKX75" s="3"/>
      <c r="CKY75" s="3"/>
      <c r="CKZ75" s="3"/>
      <c r="CLA75" s="3"/>
      <c r="CLB75" s="3"/>
      <c r="CLC75" s="3"/>
      <c r="CLD75" s="3"/>
      <c r="CLE75" s="3"/>
      <c r="CLF75" s="3"/>
      <c r="CLG75" s="3"/>
      <c r="CLH75" s="3"/>
      <c r="CLI75" s="3"/>
      <c r="CLJ75" s="3"/>
      <c r="CLK75" s="3"/>
      <c r="CLL75" s="3"/>
      <c r="CLM75" s="3"/>
      <c r="CLN75" s="3"/>
      <c r="CLO75" s="3"/>
      <c r="CLP75" s="3"/>
      <c r="CLQ75" s="3"/>
      <c r="CLR75" s="3"/>
      <c r="CLS75" s="3"/>
      <c r="CLT75" s="3"/>
      <c r="CLU75" s="3"/>
      <c r="CLV75" s="3"/>
      <c r="CLW75" s="3"/>
      <c r="CLX75" s="3"/>
      <c r="CLY75" s="3"/>
      <c r="CLZ75" s="3"/>
      <c r="CMA75" s="3"/>
      <c r="CMB75" s="3"/>
      <c r="CMC75" s="3"/>
      <c r="CMD75" s="3"/>
      <c r="CME75" s="3"/>
      <c r="CMF75" s="3"/>
      <c r="CMG75" s="3"/>
      <c r="CMH75" s="3"/>
      <c r="CMI75" s="3"/>
      <c r="CMJ75" s="3"/>
      <c r="CMK75" s="3"/>
      <c r="CML75" s="3"/>
      <c r="CMM75" s="3"/>
      <c r="CMN75" s="3"/>
      <c r="CMO75" s="3"/>
      <c r="CMP75" s="3"/>
      <c r="CMQ75" s="3"/>
      <c r="CMR75" s="3"/>
      <c r="CMS75" s="3"/>
      <c r="CMT75" s="3"/>
      <c r="CMU75" s="3"/>
      <c r="CMV75" s="3"/>
      <c r="CMW75" s="3"/>
      <c r="CMX75" s="3"/>
      <c r="CMY75" s="3"/>
      <c r="CMZ75" s="3"/>
      <c r="CNA75" s="3"/>
      <c r="CNB75" s="3"/>
      <c r="CNC75" s="3"/>
      <c r="CND75" s="3"/>
      <c r="CNE75" s="3"/>
      <c r="CNF75" s="3"/>
      <c r="CNG75" s="3"/>
      <c r="CNH75" s="3"/>
      <c r="CNI75" s="3"/>
      <c r="CNJ75" s="3"/>
      <c r="CNK75" s="3"/>
      <c r="CNL75" s="3"/>
      <c r="CNM75" s="3"/>
      <c r="CNN75" s="3"/>
      <c r="CNO75" s="3"/>
      <c r="CNP75" s="3"/>
      <c r="CNQ75" s="3"/>
      <c r="CNR75" s="3"/>
      <c r="CNS75" s="3"/>
      <c r="CNT75" s="3"/>
      <c r="CNU75" s="3"/>
      <c r="CNV75" s="3"/>
      <c r="CNW75" s="3"/>
      <c r="CNX75" s="3"/>
      <c r="CNY75" s="3"/>
      <c r="CNZ75" s="3"/>
      <c r="COA75" s="3"/>
      <c r="COB75" s="3"/>
      <c r="COC75" s="3"/>
      <c r="COD75" s="3"/>
      <c r="COE75" s="3"/>
      <c r="COF75" s="3"/>
      <c r="COG75" s="3"/>
      <c r="COH75" s="3"/>
      <c r="COI75" s="3"/>
      <c r="COJ75" s="3"/>
      <c r="COK75" s="3"/>
      <c r="COL75" s="3"/>
      <c r="COM75" s="3"/>
      <c r="CON75" s="3"/>
      <c r="COO75" s="3"/>
      <c r="COP75" s="3"/>
      <c r="COQ75" s="3"/>
      <c r="COR75" s="3"/>
      <c r="COS75" s="3"/>
      <c r="COT75" s="3"/>
      <c r="COU75" s="3"/>
      <c r="COV75" s="3"/>
      <c r="COW75" s="3"/>
      <c r="COX75" s="3"/>
      <c r="COY75" s="3"/>
      <c r="COZ75" s="3"/>
      <c r="CPA75" s="3"/>
      <c r="CPB75" s="3"/>
      <c r="CPC75" s="3"/>
      <c r="CPD75" s="3"/>
      <c r="CPE75" s="3"/>
      <c r="CPF75" s="3"/>
      <c r="CPG75" s="3"/>
      <c r="CPH75" s="3"/>
      <c r="CPI75" s="3"/>
      <c r="CPJ75" s="3"/>
      <c r="CPK75" s="3"/>
      <c r="CPL75" s="3"/>
      <c r="CPM75" s="3"/>
      <c r="CPN75" s="3"/>
      <c r="CPO75" s="3"/>
      <c r="CPP75" s="3"/>
      <c r="CPQ75" s="3"/>
      <c r="CPR75" s="3"/>
      <c r="CPS75" s="3"/>
      <c r="CPT75" s="3"/>
      <c r="CPU75" s="3"/>
      <c r="CPV75" s="3"/>
      <c r="CPW75" s="3"/>
      <c r="CPX75" s="3"/>
      <c r="CPY75" s="3"/>
      <c r="CPZ75" s="3"/>
      <c r="CQA75" s="3"/>
      <c r="CQB75" s="3"/>
      <c r="CQC75" s="3"/>
      <c r="CQD75" s="3"/>
      <c r="CQE75" s="3"/>
      <c r="CQF75" s="3"/>
      <c r="CQG75" s="3"/>
      <c r="CQH75" s="3"/>
      <c r="CQI75" s="3"/>
      <c r="CQJ75" s="3"/>
      <c r="CQK75" s="3"/>
      <c r="CQL75" s="3"/>
      <c r="CQM75" s="3"/>
      <c r="CQN75" s="3"/>
      <c r="CQO75" s="3"/>
      <c r="CQP75" s="3"/>
      <c r="CQQ75" s="3"/>
      <c r="CQR75" s="3"/>
      <c r="CQS75" s="3"/>
      <c r="CQT75" s="3"/>
      <c r="CQU75" s="3"/>
      <c r="CQV75" s="3"/>
      <c r="CQW75" s="3"/>
      <c r="CQX75" s="3"/>
      <c r="CQY75" s="3"/>
      <c r="CQZ75" s="3"/>
      <c r="CRA75" s="3"/>
      <c r="CRB75" s="3"/>
      <c r="CRC75" s="3"/>
      <c r="CRD75" s="3"/>
      <c r="CRE75" s="3"/>
      <c r="CRF75" s="3"/>
      <c r="CRG75" s="3"/>
      <c r="CRH75" s="3"/>
      <c r="CRI75" s="3"/>
      <c r="CRJ75" s="3"/>
      <c r="CRK75" s="3"/>
      <c r="CRL75" s="3"/>
      <c r="CRM75" s="3"/>
      <c r="CRN75" s="3"/>
      <c r="CRO75" s="3"/>
      <c r="CRP75" s="3"/>
      <c r="CRQ75" s="3"/>
      <c r="CRR75" s="3"/>
      <c r="CRS75" s="3"/>
      <c r="CRT75" s="3"/>
      <c r="CRU75" s="3"/>
      <c r="CRV75" s="3"/>
      <c r="CRW75" s="3"/>
      <c r="CRX75" s="3"/>
      <c r="CRY75" s="3"/>
      <c r="CRZ75" s="3"/>
      <c r="CSA75" s="3"/>
      <c r="CSB75" s="3"/>
      <c r="CSC75" s="3"/>
      <c r="CSD75" s="3"/>
      <c r="CSE75" s="3"/>
      <c r="CSF75" s="3"/>
      <c r="CSG75" s="3"/>
      <c r="CSH75" s="3"/>
      <c r="CSI75" s="3"/>
      <c r="CSJ75" s="3"/>
      <c r="CSK75" s="3"/>
      <c r="CSL75" s="3"/>
      <c r="CSM75" s="3"/>
      <c r="CSN75" s="3"/>
      <c r="CSO75" s="3"/>
      <c r="CSP75" s="3"/>
      <c r="CSQ75" s="3"/>
      <c r="CSR75" s="3"/>
      <c r="CSS75" s="3"/>
      <c r="CST75" s="3"/>
      <c r="CSU75" s="3"/>
      <c r="CSV75" s="3"/>
      <c r="CSW75" s="3"/>
      <c r="CSX75" s="3"/>
      <c r="CSY75" s="3"/>
      <c r="CSZ75" s="3"/>
      <c r="CTA75" s="3"/>
      <c r="CTB75" s="3"/>
      <c r="CTC75" s="3"/>
      <c r="CTD75" s="3"/>
      <c r="CTE75" s="3"/>
      <c r="CTF75" s="3"/>
      <c r="CTG75" s="3"/>
      <c r="CTH75" s="3"/>
      <c r="CTI75" s="3"/>
      <c r="CTJ75" s="3"/>
      <c r="CTK75" s="3"/>
      <c r="CTL75" s="3"/>
      <c r="CTM75" s="3"/>
      <c r="CTN75" s="3"/>
      <c r="CTO75" s="3"/>
      <c r="CTP75" s="3"/>
      <c r="CTQ75" s="3"/>
      <c r="CTR75" s="3"/>
      <c r="CTS75" s="3"/>
      <c r="CTT75" s="3"/>
      <c r="CTU75" s="3"/>
      <c r="CTV75" s="3"/>
      <c r="CTW75" s="3"/>
      <c r="CTX75" s="3"/>
      <c r="CTY75" s="3"/>
      <c r="CTZ75" s="3"/>
      <c r="CUA75" s="3"/>
      <c r="CUB75" s="3"/>
      <c r="CUC75" s="3"/>
      <c r="CUD75" s="3"/>
      <c r="CUE75" s="3"/>
      <c r="CUF75" s="3"/>
      <c r="CUG75" s="3"/>
      <c r="CUH75" s="3"/>
      <c r="CUI75" s="3"/>
      <c r="CUJ75" s="3"/>
      <c r="CUK75" s="3"/>
      <c r="CUL75" s="3"/>
      <c r="CUM75" s="3"/>
      <c r="CUN75" s="3"/>
      <c r="CUO75" s="3"/>
      <c r="CUP75" s="3"/>
      <c r="CUQ75" s="3"/>
      <c r="CUR75" s="3"/>
      <c r="CUS75" s="3"/>
      <c r="CUT75" s="3"/>
      <c r="CUU75" s="3"/>
      <c r="CUV75" s="3"/>
      <c r="CUW75" s="3"/>
      <c r="CUX75" s="3"/>
      <c r="CUY75" s="3"/>
      <c r="CUZ75" s="3"/>
      <c r="CVA75" s="3"/>
      <c r="CVB75" s="3"/>
      <c r="CVC75" s="3"/>
      <c r="CVD75" s="3"/>
      <c r="CVE75" s="3"/>
      <c r="CVF75" s="3"/>
      <c r="CVG75" s="3"/>
      <c r="CVH75" s="3"/>
      <c r="CVI75" s="3"/>
      <c r="CVJ75" s="3"/>
      <c r="CVK75" s="3"/>
      <c r="CVL75" s="3"/>
      <c r="CVM75" s="3"/>
      <c r="CVN75" s="3"/>
      <c r="CVO75" s="3"/>
      <c r="CVP75" s="3"/>
      <c r="CVQ75" s="3"/>
      <c r="CVR75" s="3"/>
      <c r="CVS75" s="3"/>
      <c r="CVT75" s="3"/>
      <c r="CVU75" s="3"/>
      <c r="CVV75" s="3"/>
      <c r="CVW75" s="3"/>
      <c r="CVX75" s="3"/>
      <c r="CVY75" s="3"/>
      <c r="CVZ75" s="3"/>
      <c r="CWA75" s="3"/>
      <c r="CWB75" s="3"/>
      <c r="CWC75" s="3"/>
      <c r="CWD75" s="3"/>
      <c r="CWE75" s="3"/>
      <c r="CWF75" s="3"/>
      <c r="CWG75" s="3"/>
      <c r="CWH75" s="3"/>
      <c r="CWI75" s="3"/>
      <c r="CWJ75" s="3"/>
      <c r="CWK75" s="3"/>
      <c r="CWL75" s="3"/>
      <c r="CWM75" s="3"/>
      <c r="CWN75" s="3"/>
      <c r="CWO75" s="3"/>
      <c r="CWP75" s="3"/>
      <c r="CWQ75" s="3"/>
      <c r="CWR75" s="3"/>
      <c r="CWS75" s="3"/>
      <c r="CWT75" s="3"/>
      <c r="CWU75" s="3"/>
      <c r="CWV75" s="3"/>
      <c r="CWW75" s="3"/>
      <c r="CWX75" s="3"/>
      <c r="CWY75" s="3"/>
      <c r="CWZ75" s="3"/>
      <c r="CXA75" s="3"/>
      <c r="CXB75" s="3"/>
      <c r="CXC75" s="3"/>
      <c r="CXD75" s="3"/>
      <c r="CXE75" s="3"/>
      <c r="CXF75" s="3"/>
      <c r="CXG75" s="3"/>
      <c r="CXH75" s="3"/>
      <c r="CXI75" s="3"/>
      <c r="CXJ75" s="3"/>
      <c r="CXK75" s="3"/>
      <c r="CXL75" s="3"/>
      <c r="CXM75" s="3"/>
      <c r="CXN75" s="3"/>
      <c r="CXO75" s="3"/>
      <c r="CXP75" s="3"/>
      <c r="CXQ75" s="3"/>
      <c r="CXR75" s="3"/>
      <c r="CXS75" s="3"/>
      <c r="CXT75" s="3"/>
      <c r="CXU75" s="3"/>
      <c r="CXV75" s="3"/>
      <c r="CXW75" s="3"/>
      <c r="CXX75" s="3"/>
      <c r="CXY75" s="3"/>
      <c r="CXZ75" s="3"/>
      <c r="CYA75" s="3"/>
      <c r="CYB75" s="3"/>
      <c r="CYC75" s="3"/>
      <c r="CYD75" s="3"/>
      <c r="CYE75" s="3"/>
      <c r="CYF75" s="3"/>
      <c r="CYG75" s="3"/>
      <c r="CYH75" s="3"/>
      <c r="CYI75" s="3"/>
      <c r="CYJ75" s="3"/>
      <c r="CYK75" s="3"/>
      <c r="CYL75" s="3"/>
      <c r="CYM75" s="3"/>
      <c r="CYN75" s="3"/>
      <c r="CYO75" s="3"/>
      <c r="CYP75" s="3"/>
      <c r="CYQ75" s="3"/>
      <c r="CYR75" s="3"/>
      <c r="CYS75" s="3"/>
      <c r="CYT75" s="3"/>
      <c r="CYU75" s="3"/>
      <c r="CYV75" s="3"/>
      <c r="CYW75" s="3"/>
      <c r="CYX75" s="3"/>
      <c r="CYY75" s="3"/>
      <c r="CYZ75" s="3"/>
      <c r="CZA75" s="3"/>
      <c r="CZB75" s="3"/>
      <c r="CZC75" s="3"/>
      <c r="CZD75" s="3"/>
      <c r="CZE75" s="3"/>
      <c r="CZF75" s="3"/>
      <c r="CZG75" s="3"/>
      <c r="CZH75" s="3"/>
      <c r="CZI75" s="3"/>
      <c r="CZJ75" s="3"/>
      <c r="CZK75" s="3"/>
      <c r="CZL75" s="3"/>
      <c r="CZM75" s="3"/>
      <c r="CZN75" s="3"/>
      <c r="CZO75" s="3"/>
      <c r="CZP75" s="3"/>
      <c r="CZQ75" s="3"/>
      <c r="CZR75" s="3"/>
      <c r="CZS75" s="3"/>
      <c r="CZT75" s="3"/>
      <c r="CZU75" s="3"/>
      <c r="CZV75" s="3"/>
      <c r="CZW75" s="3"/>
      <c r="CZX75" s="3"/>
      <c r="CZY75" s="3"/>
      <c r="CZZ75" s="3"/>
      <c r="DAA75" s="3"/>
      <c r="DAB75" s="3"/>
      <c r="DAC75" s="3"/>
      <c r="DAD75" s="3"/>
      <c r="DAE75" s="3"/>
      <c r="DAF75" s="3"/>
      <c r="DAG75" s="3"/>
      <c r="DAH75" s="3"/>
      <c r="DAI75" s="3"/>
      <c r="DAJ75" s="3"/>
      <c r="DAK75" s="3"/>
      <c r="DAL75" s="3"/>
      <c r="DAM75" s="3"/>
      <c r="DAN75" s="3"/>
      <c r="DAO75" s="3"/>
      <c r="DAP75" s="3"/>
      <c r="DAQ75" s="3"/>
      <c r="DAR75" s="3"/>
      <c r="DAS75" s="3"/>
      <c r="DAT75" s="3"/>
      <c r="DAU75" s="3"/>
      <c r="DAV75" s="3"/>
      <c r="DAW75" s="3"/>
      <c r="DAX75" s="3"/>
      <c r="DAY75" s="3"/>
      <c r="DAZ75" s="3"/>
      <c r="DBA75" s="3"/>
      <c r="DBB75" s="3"/>
      <c r="DBC75" s="3"/>
      <c r="DBD75" s="3"/>
      <c r="DBE75" s="3"/>
      <c r="DBF75" s="3"/>
      <c r="DBG75" s="3"/>
      <c r="DBH75" s="3"/>
      <c r="DBI75" s="3"/>
      <c r="DBJ75" s="3"/>
      <c r="DBK75" s="3"/>
      <c r="DBL75" s="3"/>
      <c r="DBM75" s="3"/>
      <c r="DBN75" s="3"/>
      <c r="DBO75" s="3"/>
      <c r="DBP75" s="3"/>
      <c r="DBQ75" s="3"/>
      <c r="DBR75" s="3"/>
      <c r="DBS75" s="3"/>
      <c r="DBT75" s="3"/>
      <c r="DBU75" s="3"/>
      <c r="DBV75" s="3"/>
      <c r="DBW75" s="3"/>
      <c r="DBX75" s="3"/>
      <c r="DBY75" s="3"/>
      <c r="DBZ75" s="3"/>
      <c r="DCA75" s="3"/>
      <c r="DCB75" s="3"/>
      <c r="DCC75" s="3"/>
      <c r="DCD75" s="3"/>
      <c r="DCE75" s="3"/>
      <c r="DCF75" s="3"/>
      <c r="DCG75" s="3"/>
      <c r="DCH75" s="3"/>
      <c r="DCI75" s="3"/>
      <c r="DCJ75" s="3"/>
      <c r="DCK75" s="3"/>
      <c r="DCL75" s="3"/>
      <c r="DCM75" s="3"/>
      <c r="DCN75" s="3"/>
      <c r="DCO75" s="3"/>
      <c r="DCP75" s="3"/>
      <c r="DCQ75" s="3"/>
      <c r="DCR75" s="3"/>
      <c r="DCS75" s="3"/>
      <c r="DCT75" s="3"/>
      <c r="DCU75" s="3"/>
      <c r="DCV75" s="3"/>
      <c r="DCW75" s="3"/>
      <c r="DCX75" s="3"/>
      <c r="DCY75" s="3"/>
      <c r="DCZ75" s="3"/>
      <c r="DDA75" s="3"/>
      <c r="DDB75" s="3"/>
      <c r="DDC75" s="3"/>
      <c r="DDD75" s="3"/>
      <c r="DDE75" s="3"/>
      <c r="DDF75" s="3"/>
      <c r="DDG75" s="3"/>
      <c r="DDH75" s="3"/>
      <c r="DDI75" s="3"/>
      <c r="DDJ75" s="3"/>
      <c r="DDK75" s="3"/>
      <c r="DDL75" s="3"/>
      <c r="DDM75" s="3"/>
      <c r="DDN75" s="3"/>
      <c r="DDO75" s="3"/>
      <c r="DDP75" s="3"/>
      <c r="DDQ75" s="3"/>
      <c r="DDR75" s="3"/>
      <c r="DDS75" s="3"/>
      <c r="DDT75" s="3"/>
      <c r="DDU75" s="3"/>
      <c r="DDV75" s="3"/>
      <c r="DDW75" s="3"/>
      <c r="DDX75" s="3"/>
      <c r="DDY75" s="3"/>
      <c r="DDZ75" s="3"/>
      <c r="DEA75" s="3"/>
      <c r="DEB75" s="3"/>
      <c r="DEC75" s="3"/>
      <c r="DED75" s="3"/>
      <c r="DEE75" s="3"/>
      <c r="DEF75" s="3"/>
      <c r="DEG75" s="3"/>
      <c r="DEH75" s="3"/>
      <c r="DEI75" s="3"/>
      <c r="DEJ75" s="3"/>
      <c r="DEK75" s="3"/>
      <c r="DEL75" s="3"/>
      <c r="DEM75" s="3"/>
      <c r="DEN75" s="3"/>
      <c r="DEO75" s="3"/>
      <c r="DEP75" s="3"/>
      <c r="DEQ75" s="3"/>
      <c r="DER75" s="3"/>
      <c r="DES75" s="3"/>
      <c r="DET75" s="3"/>
      <c r="DEU75" s="3"/>
      <c r="DEV75" s="3"/>
      <c r="DEW75" s="3"/>
      <c r="DEX75" s="3"/>
      <c r="DEY75" s="3"/>
      <c r="DEZ75" s="3"/>
      <c r="DFA75" s="3"/>
      <c r="DFB75" s="3"/>
      <c r="DFC75" s="3"/>
      <c r="DFD75" s="3"/>
      <c r="DFE75" s="3"/>
      <c r="DFF75" s="3"/>
      <c r="DFG75" s="3"/>
      <c r="DFH75" s="3"/>
      <c r="DFI75" s="3"/>
      <c r="DFJ75" s="3"/>
      <c r="DFK75" s="3"/>
      <c r="DFL75" s="3"/>
      <c r="DFM75" s="3"/>
      <c r="DFN75" s="3"/>
      <c r="DFO75" s="3"/>
      <c r="DFP75" s="3"/>
      <c r="DFQ75" s="3"/>
      <c r="DFR75" s="3"/>
      <c r="DFS75" s="3"/>
      <c r="DFT75" s="3"/>
      <c r="DFU75" s="3"/>
      <c r="DFV75" s="3"/>
      <c r="DFW75" s="3"/>
      <c r="DFX75" s="3"/>
      <c r="DFY75" s="3"/>
      <c r="DFZ75" s="3"/>
      <c r="DGA75" s="3"/>
      <c r="DGB75" s="3"/>
      <c r="DGC75" s="3"/>
      <c r="DGD75" s="3"/>
      <c r="DGE75" s="3"/>
      <c r="DGF75" s="3"/>
      <c r="DGG75" s="3"/>
      <c r="DGH75" s="3"/>
      <c r="DGI75" s="3"/>
      <c r="DGJ75" s="3"/>
      <c r="DGK75" s="3"/>
      <c r="DGL75" s="3"/>
      <c r="DGM75" s="3"/>
      <c r="DGN75" s="3"/>
      <c r="DGO75" s="3"/>
      <c r="DGP75" s="3"/>
      <c r="DGQ75" s="3"/>
      <c r="DGR75" s="3"/>
      <c r="DGS75" s="3"/>
      <c r="DGT75" s="3"/>
      <c r="DGU75" s="3"/>
      <c r="DGV75" s="3"/>
      <c r="DGW75" s="3"/>
      <c r="DGX75" s="3"/>
      <c r="DGY75" s="3"/>
      <c r="DGZ75" s="3"/>
      <c r="DHA75" s="3"/>
      <c r="DHB75" s="3"/>
      <c r="DHC75" s="3"/>
      <c r="DHD75" s="3"/>
      <c r="DHE75" s="3"/>
      <c r="DHF75" s="3"/>
      <c r="DHG75" s="3"/>
      <c r="DHH75" s="3"/>
      <c r="DHI75" s="3"/>
      <c r="DHJ75" s="3"/>
      <c r="DHK75" s="3"/>
      <c r="DHL75" s="3"/>
      <c r="DHM75" s="3"/>
      <c r="DHN75" s="3"/>
      <c r="DHO75" s="3"/>
      <c r="DHP75" s="3"/>
      <c r="DHQ75" s="3"/>
      <c r="DHR75" s="3"/>
      <c r="DHS75" s="3"/>
      <c r="DHT75" s="3"/>
      <c r="DHU75" s="3"/>
      <c r="DHV75" s="3"/>
      <c r="DHW75" s="3"/>
      <c r="DHX75" s="3"/>
      <c r="DHY75" s="3"/>
      <c r="DHZ75" s="3"/>
      <c r="DIA75" s="3"/>
      <c r="DIB75" s="3"/>
      <c r="DIC75" s="3"/>
      <c r="DID75" s="3"/>
      <c r="DIE75" s="3"/>
      <c r="DIF75" s="3"/>
      <c r="DIG75" s="3"/>
      <c r="DIH75" s="3"/>
      <c r="DII75" s="3"/>
      <c r="DIJ75" s="3"/>
      <c r="DIK75" s="3"/>
      <c r="DIL75" s="3"/>
      <c r="DIM75" s="3"/>
      <c r="DIN75" s="3"/>
      <c r="DIO75" s="3"/>
      <c r="DIP75" s="3"/>
      <c r="DIQ75" s="3"/>
      <c r="DIR75" s="3"/>
      <c r="DIS75" s="3"/>
      <c r="DIT75" s="3"/>
      <c r="DIU75" s="3"/>
      <c r="DIV75" s="3"/>
      <c r="DIW75" s="3"/>
      <c r="DIX75" s="3"/>
      <c r="DIY75" s="3"/>
      <c r="DIZ75" s="3"/>
      <c r="DJA75" s="3"/>
      <c r="DJB75" s="3"/>
      <c r="DJC75" s="3"/>
      <c r="DJD75" s="3"/>
      <c r="DJE75" s="3"/>
      <c r="DJF75" s="3"/>
      <c r="DJG75" s="3"/>
      <c r="DJH75" s="3"/>
      <c r="DJI75" s="3"/>
      <c r="DJJ75" s="3"/>
      <c r="DJK75" s="3"/>
      <c r="DJL75" s="3"/>
      <c r="DJM75" s="3"/>
      <c r="DJN75" s="3"/>
      <c r="DJO75" s="3"/>
      <c r="DJP75" s="3"/>
      <c r="DJQ75" s="3"/>
      <c r="DJR75" s="3"/>
      <c r="DJS75" s="3"/>
      <c r="DJT75" s="3"/>
      <c r="DJU75" s="3"/>
      <c r="DJV75" s="3"/>
      <c r="DJW75" s="3"/>
      <c r="DJX75" s="3"/>
      <c r="DJY75" s="3"/>
      <c r="DJZ75" s="3"/>
      <c r="DKA75" s="3"/>
      <c r="DKB75" s="3"/>
      <c r="DKC75" s="3"/>
      <c r="DKD75" s="3"/>
      <c r="DKE75" s="3"/>
      <c r="DKF75" s="3"/>
      <c r="DKG75" s="3"/>
      <c r="DKH75" s="3"/>
      <c r="DKI75" s="3"/>
      <c r="DKJ75" s="3"/>
      <c r="DKK75" s="3"/>
      <c r="DKL75" s="3"/>
      <c r="DKM75" s="3"/>
      <c r="DKN75" s="3"/>
      <c r="DKO75" s="3"/>
      <c r="DKP75" s="3"/>
      <c r="DKQ75" s="3"/>
      <c r="DKR75" s="3"/>
      <c r="DKS75" s="3"/>
      <c r="DKT75" s="3"/>
      <c r="DKU75" s="3"/>
      <c r="DKV75" s="3"/>
      <c r="DKW75" s="3"/>
      <c r="DKX75" s="3"/>
      <c r="DKY75" s="3"/>
      <c r="DKZ75" s="3"/>
      <c r="DLA75" s="3"/>
      <c r="DLB75" s="3"/>
      <c r="DLC75" s="3"/>
      <c r="DLD75" s="3"/>
      <c r="DLE75" s="3"/>
      <c r="DLF75" s="3"/>
      <c r="DLG75" s="3"/>
      <c r="DLH75" s="3"/>
      <c r="DLI75" s="3"/>
      <c r="DLJ75" s="3"/>
      <c r="DLK75" s="3"/>
      <c r="DLL75" s="3"/>
      <c r="DLM75" s="3"/>
      <c r="DLN75" s="3"/>
      <c r="DLO75" s="3"/>
      <c r="DLP75" s="3"/>
      <c r="DLQ75" s="3"/>
      <c r="DLR75" s="3"/>
      <c r="DLS75" s="3"/>
      <c r="DLT75" s="3"/>
      <c r="DLU75" s="3"/>
      <c r="DLV75" s="3"/>
      <c r="DLW75" s="3"/>
      <c r="DLX75" s="3"/>
      <c r="DLY75" s="3"/>
      <c r="DLZ75" s="3"/>
      <c r="DMA75" s="3"/>
      <c r="DMB75" s="3"/>
      <c r="DMC75" s="3"/>
      <c r="DMD75" s="3"/>
      <c r="DME75" s="3"/>
      <c r="DMF75" s="3"/>
      <c r="DMG75" s="3"/>
      <c r="DMH75" s="3"/>
      <c r="DMI75" s="3"/>
      <c r="DMJ75" s="3"/>
      <c r="DMK75" s="3"/>
      <c r="DML75" s="3"/>
      <c r="DMM75" s="3"/>
      <c r="DMN75" s="3"/>
      <c r="DMO75" s="3"/>
      <c r="DMP75" s="3"/>
      <c r="DMQ75" s="3"/>
      <c r="DMR75" s="3"/>
      <c r="DMS75" s="3"/>
      <c r="DMT75" s="3"/>
      <c r="DMU75" s="3"/>
      <c r="DMV75" s="3"/>
      <c r="DMW75" s="3"/>
      <c r="DMX75" s="3"/>
      <c r="DMY75" s="3"/>
      <c r="DMZ75" s="3"/>
      <c r="DNA75" s="3"/>
      <c r="DNB75" s="3"/>
      <c r="DNC75" s="3"/>
      <c r="DND75" s="3"/>
      <c r="DNE75" s="3"/>
      <c r="DNF75" s="3"/>
      <c r="DNG75" s="3"/>
      <c r="DNH75" s="3"/>
      <c r="DNI75" s="3"/>
      <c r="DNJ75" s="3"/>
      <c r="DNK75" s="3"/>
      <c r="DNL75" s="3"/>
      <c r="DNM75" s="3"/>
      <c r="DNN75" s="3"/>
      <c r="DNO75" s="3"/>
      <c r="DNP75" s="3"/>
      <c r="DNQ75" s="3"/>
      <c r="DNR75" s="3"/>
      <c r="DNS75" s="3"/>
      <c r="DNT75" s="3"/>
      <c r="DNU75" s="3"/>
      <c r="DNV75" s="3"/>
      <c r="DNW75" s="3"/>
      <c r="DNX75" s="3"/>
      <c r="DNY75" s="3"/>
      <c r="DNZ75" s="3"/>
      <c r="DOA75" s="3"/>
      <c r="DOB75" s="3"/>
      <c r="DOC75" s="3"/>
      <c r="DOD75" s="3"/>
      <c r="DOE75" s="3"/>
      <c r="DOF75" s="3"/>
      <c r="DOG75" s="3"/>
      <c r="DOH75" s="3"/>
      <c r="DOI75" s="3"/>
      <c r="DOJ75" s="3"/>
      <c r="DOK75" s="3"/>
      <c r="DOL75" s="3"/>
      <c r="DOM75" s="3"/>
      <c r="DON75" s="3"/>
      <c r="DOO75" s="3"/>
      <c r="DOP75" s="3"/>
      <c r="DOQ75" s="3"/>
      <c r="DOR75" s="3"/>
      <c r="DOS75" s="3"/>
      <c r="DOT75" s="3"/>
      <c r="DOU75" s="3"/>
      <c r="DOV75" s="3"/>
      <c r="DOW75" s="3"/>
      <c r="DOX75" s="3"/>
      <c r="DOY75" s="3"/>
      <c r="DOZ75" s="3"/>
      <c r="DPA75" s="3"/>
      <c r="DPB75" s="3"/>
      <c r="DPC75" s="3"/>
      <c r="DPD75" s="3"/>
      <c r="DPE75" s="3"/>
      <c r="DPF75" s="3"/>
      <c r="DPG75" s="3"/>
      <c r="DPH75" s="3"/>
      <c r="DPI75" s="3"/>
      <c r="DPJ75" s="3"/>
      <c r="DPK75" s="3"/>
      <c r="DPL75" s="3"/>
      <c r="DPM75" s="3"/>
      <c r="DPN75" s="3"/>
      <c r="DPO75" s="3"/>
      <c r="DPP75" s="3"/>
      <c r="DPQ75" s="3"/>
      <c r="DPR75" s="3"/>
      <c r="DPS75" s="3"/>
      <c r="DPT75" s="3"/>
      <c r="DPU75" s="3"/>
      <c r="DPV75" s="3"/>
      <c r="DPW75" s="3"/>
      <c r="DPX75" s="3"/>
      <c r="DPY75" s="3"/>
      <c r="DPZ75" s="3"/>
      <c r="DQA75" s="3"/>
      <c r="DQB75" s="3"/>
      <c r="DQC75" s="3"/>
      <c r="DQD75" s="3"/>
      <c r="DQE75" s="3"/>
      <c r="DQF75" s="3"/>
      <c r="DQG75" s="3"/>
      <c r="DQH75" s="3"/>
      <c r="DQI75" s="3"/>
      <c r="DQJ75" s="3"/>
      <c r="DQK75" s="3"/>
      <c r="DQL75" s="3"/>
      <c r="DQM75" s="3"/>
      <c r="DQN75" s="3"/>
      <c r="DQO75" s="3"/>
      <c r="DQP75" s="3"/>
      <c r="DQQ75" s="3"/>
      <c r="DQR75" s="3"/>
      <c r="DQS75" s="3"/>
      <c r="DQT75" s="3"/>
      <c r="DQU75" s="3"/>
      <c r="DQV75" s="3"/>
      <c r="DQW75" s="3"/>
      <c r="DQX75" s="3"/>
      <c r="DQY75" s="3"/>
      <c r="DQZ75" s="3"/>
      <c r="DRA75" s="3"/>
      <c r="DRB75" s="3"/>
      <c r="DRC75" s="3"/>
      <c r="DRD75" s="3"/>
      <c r="DRE75" s="3"/>
      <c r="DRF75" s="3"/>
      <c r="DRG75" s="3"/>
      <c r="DRH75" s="3"/>
      <c r="DRI75" s="3"/>
      <c r="DRJ75" s="3"/>
      <c r="DRK75" s="3"/>
      <c r="DRL75" s="3"/>
      <c r="DRM75" s="3"/>
      <c r="DRN75" s="3"/>
      <c r="DRO75" s="3"/>
      <c r="DRP75" s="3"/>
      <c r="DRQ75" s="3"/>
      <c r="DRR75" s="3"/>
      <c r="DRS75" s="3"/>
      <c r="DRT75" s="3"/>
      <c r="DRU75" s="3"/>
      <c r="DRV75" s="3"/>
      <c r="DRW75" s="3"/>
      <c r="DRX75" s="3"/>
      <c r="DRY75" s="3"/>
      <c r="DRZ75" s="3"/>
      <c r="DSA75" s="3"/>
      <c r="DSB75" s="3"/>
      <c r="DSC75" s="3"/>
      <c r="DSD75" s="3"/>
      <c r="DSE75" s="3"/>
      <c r="DSF75" s="3"/>
      <c r="DSG75" s="3"/>
      <c r="DSH75" s="3"/>
      <c r="DSI75" s="3"/>
      <c r="DSJ75" s="3"/>
      <c r="DSK75" s="3"/>
      <c r="DSL75" s="3"/>
      <c r="DSM75" s="3"/>
      <c r="DSN75" s="3"/>
      <c r="DSO75" s="3"/>
      <c r="DSP75" s="3"/>
      <c r="DSQ75" s="3"/>
      <c r="DSR75" s="3"/>
      <c r="DSS75" s="3"/>
      <c r="DST75" s="3"/>
      <c r="DSU75" s="3"/>
      <c r="DSV75" s="3"/>
      <c r="DSW75" s="3"/>
      <c r="DSX75" s="3"/>
      <c r="DSY75" s="3"/>
      <c r="DSZ75" s="3"/>
      <c r="DTA75" s="3"/>
      <c r="DTB75" s="3"/>
      <c r="DTC75" s="3"/>
      <c r="DTD75" s="3"/>
      <c r="DTE75" s="3"/>
      <c r="DTF75" s="3"/>
      <c r="DTG75" s="3"/>
      <c r="DTH75" s="3"/>
      <c r="DTI75" s="3"/>
      <c r="DTJ75" s="3"/>
      <c r="DTK75" s="3"/>
      <c r="DTL75" s="3"/>
      <c r="DTM75" s="3"/>
      <c r="DTN75" s="3"/>
      <c r="DTO75" s="3"/>
      <c r="DTP75" s="3"/>
      <c r="DTQ75" s="3"/>
      <c r="DTR75" s="3"/>
      <c r="DTS75" s="3"/>
      <c r="DTT75" s="3"/>
      <c r="DTU75" s="3"/>
      <c r="DTV75" s="3"/>
      <c r="DTW75" s="3"/>
      <c r="DTX75" s="3"/>
      <c r="DTY75" s="3"/>
      <c r="DTZ75" s="3"/>
      <c r="DUA75" s="3"/>
      <c r="DUB75" s="3"/>
      <c r="DUC75" s="3"/>
      <c r="DUD75" s="3"/>
      <c r="DUE75" s="3"/>
      <c r="DUF75" s="3"/>
      <c r="DUG75" s="3"/>
      <c r="DUH75" s="3"/>
      <c r="DUI75" s="3"/>
      <c r="DUJ75" s="3"/>
      <c r="DUK75" s="3"/>
      <c r="DUL75" s="3"/>
      <c r="DUM75" s="3"/>
      <c r="DUN75" s="3"/>
      <c r="DUO75" s="3"/>
      <c r="DUP75" s="3"/>
      <c r="DUQ75" s="3"/>
      <c r="DUR75" s="3"/>
      <c r="DUS75" s="3"/>
      <c r="DUT75" s="3"/>
      <c r="DUU75" s="3"/>
      <c r="DUV75" s="3"/>
      <c r="DUW75" s="3"/>
      <c r="DUX75" s="3"/>
      <c r="DUY75" s="3"/>
      <c r="DUZ75" s="3"/>
      <c r="DVA75" s="3"/>
      <c r="DVB75" s="3"/>
      <c r="DVC75" s="3"/>
      <c r="DVD75" s="3"/>
      <c r="DVE75" s="3"/>
      <c r="DVF75" s="3"/>
      <c r="DVG75" s="3"/>
      <c r="DVH75" s="3"/>
      <c r="DVI75" s="3"/>
      <c r="DVJ75" s="3"/>
      <c r="DVK75" s="3"/>
      <c r="DVL75" s="3"/>
      <c r="DVM75" s="3"/>
      <c r="DVN75" s="3"/>
      <c r="DVO75" s="3"/>
      <c r="DVP75" s="3"/>
      <c r="DVQ75" s="3"/>
      <c r="DVR75" s="3"/>
      <c r="DVS75" s="3"/>
      <c r="DVT75" s="3"/>
      <c r="DVU75" s="3"/>
      <c r="DVV75" s="3"/>
      <c r="DVW75" s="3"/>
      <c r="DVX75" s="3"/>
      <c r="DVY75" s="3"/>
      <c r="DVZ75" s="3"/>
      <c r="DWA75" s="3"/>
      <c r="DWB75" s="3"/>
      <c r="DWC75" s="3"/>
      <c r="DWD75" s="3"/>
      <c r="DWE75" s="3"/>
      <c r="DWF75" s="3"/>
      <c r="DWG75" s="3"/>
      <c r="DWH75" s="3"/>
      <c r="DWI75" s="3"/>
      <c r="DWJ75" s="3"/>
      <c r="DWK75" s="3"/>
      <c r="DWL75" s="3"/>
      <c r="DWM75" s="3"/>
      <c r="DWN75" s="3"/>
      <c r="DWO75" s="3"/>
      <c r="DWP75" s="3"/>
      <c r="DWQ75" s="3"/>
      <c r="DWR75" s="3"/>
      <c r="DWS75" s="3"/>
      <c r="DWT75" s="3"/>
      <c r="DWU75" s="3"/>
      <c r="DWV75" s="3"/>
      <c r="DWW75" s="3"/>
      <c r="DWX75" s="3"/>
      <c r="DWY75" s="3"/>
      <c r="DWZ75" s="3"/>
      <c r="DXA75" s="3"/>
      <c r="DXB75" s="3"/>
      <c r="DXC75" s="3"/>
      <c r="DXD75" s="3"/>
      <c r="DXE75" s="3"/>
      <c r="DXF75" s="3"/>
      <c r="DXG75" s="3"/>
      <c r="DXH75" s="3"/>
      <c r="DXI75" s="3"/>
      <c r="DXJ75" s="3"/>
      <c r="DXK75" s="3"/>
      <c r="DXL75" s="3"/>
      <c r="DXM75" s="3"/>
      <c r="DXN75" s="3"/>
      <c r="DXO75" s="3"/>
      <c r="DXP75" s="3"/>
      <c r="DXQ75" s="3"/>
      <c r="DXR75" s="3"/>
      <c r="DXS75" s="3"/>
      <c r="DXT75" s="3"/>
      <c r="DXU75" s="3"/>
      <c r="DXV75" s="3"/>
      <c r="DXW75" s="3"/>
      <c r="DXX75" s="3"/>
      <c r="DXY75" s="3"/>
      <c r="DXZ75" s="3"/>
      <c r="DYA75" s="3"/>
      <c r="DYB75" s="3"/>
      <c r="DYC75" s="3"/>
      <c r="DYD75" s="3"/>
      <c r="DYE75" s="3"/>
      <c r="DYF75" s="3"/>
      <c r="DYG75" s="3"/>
      <c r="DYH75" s="3"/>
      <c r="DYI75" s="3"/>
      <c r="DYJ75" s="3"/>
      <c r="DYK75" s="3"/>
      <c r="DYL75" s="3"/>
      <c r="DYM75" s="3"/>
      <c r="DYN75" s="3"/>
      <c r="DYO75" s="3"/>
      <c r="DYP75" s="3"/>
      <c r="DYQ75" s="3"/>
      <c r="DYR75" s="3"/>
      <c r="DYS75" s="3"/>
      <c r="DYT75" s="3"/>
      <c r="DYU75" s="3"/>
      <c r="DYV75" s="3"/>
      <c r="DYW75" s="3"/>
      <c r="DYX75" s="3"/>
      <c r="DYY75" s="3"/>
      <c r="DYZ75" s="3"/>
      <c r="DZA75" s="3"/>
      <c r="DZB75" s="3"/>
      <c r="DZC75" s="3"/>
      <c r="DZD75" s="3"/>
      <c r="DZE75" s="3"/>
      <c r="DZF75" s="3"/>
      <c r="DZG75" s="3"/>
      <c r="DZH75" s="3"/>
      <c r="DZI75" s="3"/>
      <c r="DZJ75" s="3"/>
      <c r="DZK75" s="3"/>
      <c r="DZL75" s="3"/>
      <c r="DZM75" s="3"/>
      <c r="DZN75" s="3"/>
      <c r="DZO75" s="3"/>
      <c r="DZP75" s="3"/>
      <c r="DZQ75" s="3"/>
      <c r="DZR75" s="3"/>
      <c r="DZS75" s="3"/>
      <c r="DZT75" s="3"/>
      <c r="DZU75" s="3"/>
      <c r="DZV75" s="3"/>
      <c r="DZW75" s="3"/>
      <c r="DZX75" s="3"/>
      <c r="DZY75" s="3"/>
      <c r="DZZ75" s="3"/>
      <c r="EAA75" s="3"/>
      <c r="EAB75" s="3"/>
      <c r="EAC75" s="3"/>
      <c r="EAD75" s="3"/>
      <c r="EAE75" s="3"/>
      <c r="EAF75" s="3"/>
      <c r="EAG75" s="3"/>
      <c r="EAH75" s="3"/>
      <c r="EAI75" s="3"/>
      <c r="EAJ75" s="3"/>
      <c r="EAK75" s="3"/>
      <c r="EAL75" s="3"/>
      <c r="EAM75" s="3"/>
      <c r="EAN75" s="3"/>
      <c r="EAO75" s="3"/>
      <c r="EAP75" s="3"/>
      <c r="EAQ75" s="3"/>
      <c r="EAR75" s="3"/>
      <c r="EAS75" s="3"/>
      <c r="EAT75" s="3"/>
      <c r="EAU75" s="3"/>
      <c r="EAV75" s="3"/>
      <c r="EAW75" s="3"/>
      <c r="EAX75" s="3"/>
      <c r="EAY75" s="3"/>
      <c r="EAZ75" s="3"/>
      <c r="EBA75" s="3"/>
      <c r="EBB75" s="3"/>
      <c r="EBC75" s="3"/>
      <c r="EBD75" s="3"/>
      <c r="EBE75" s="3"/>
      <c r="EBF75" s="3"/>
      <c r="EBG75" s="3"/>
      <c r="EBH75" s="3"/>
      <c r="EBI75" s="3"/>
      <c r="EBJ75" s="3"/>
      <c r="EBK75" s="3"/>
      <c r="EBL75" s="3"/>
      <c r="EBM75" s="3"/>
      <c r="EBN75" s="3"/>
      <c r="EBO75" s="3"/>
      <c r="EBP75" s="3"/>
      <c r="EBQ75" s="3"/>
      <c r="EBR75" s="3"/>
      <c r="EBS75" s="3"/>
      <c r="EBT75" s="3"/>
      <c r="EBU75" s="3"/>
      <c r="EBV75" s="3"/>
      <c r="EBW75" s="3"/>
      <c r="EBX75" s="3"/>
      <c r="EBY75" s="3"/>
      <c r="EBZ75" s="3"/>
      <c r="ECA75" s="3"/>
      <c r="ECB75" s="3"/>
      <c r="ECC75" s="3"/>
      <c r="ECD75" s="3"/>
      <c r="ECE75" s="3"/>
      <c r="ECF75" s="3"/>
      <c r="ECG75" s="3"/>
      <c r="ECH75" s="3"/>
      <c r="ECI75" s="3"/>
      <c r="ECJ75" s="3"/>
      <c r="ECK75" s="3"/>
      <c r="ECL75" s="3"/>
      <c r="ECM75" s="3"/>
      <c r="ECN75" s="3"/>
      <c r="ECO75" s="3"/>
      <c r="ECP75" s="3"/>
      <c r="ECQ75" s="3"/>
      <c r="ECR75" s="3"/>
      <c r="ECS75" s="3"/>
      <c r="ECT75" s="3"/>
      <c r="ECU75" s="3"/>
      <c r="ECV75" s="3"/>
      <c r="ECW75" s="3"/>
      <c r="ECX75" s="3"/>
      <c r="ECY75" s="3"/>
      <c r="ECZ75" s="3"/>
      <c r="EDA75" s="3"/>
      <c r="EDB75" s="3"/>
      <c r="EDC75" s="3"/>
      <c r="EDD75" s="3"/>
      <c r="EDE75" s="3"/>
      <c r="EDF75" s="3"/>
      <c r="EDG75" s="3"/>
      <c r="EDH75" s="3"/>
      <c r="EDI75" s="3"/>
      <c r="EDJ75" s="3"/>
      <c r="EDK75" s="3"/>
      <c r="EDL75" s="3"/>
      <c r="EDM75" s="3"/>
      <c r="EDN75" s="3"/>
      <c r="EDO75" s="3"/>
      <c r="EDP75" s="3"/>
      <c r="EDQ75" s="3"/>
      <c r="EDR75" s="3"/>
      <c r="EDS75" s="3"/>
      <c r="EDT75" s="3"/>
      <c r="EDU75" s="3"/>
      <c r="EDV75" s="3"/>
      <c r="EDW75" s="3"/>
      <c r="EDX75" s="3"/>
      <c r="EDY75" s="3"/>
      <c r="EDZ75" s="3"/>
      <c r="EEA75" s="3"/>
      <c r="EEB75" s="3"/>
      <c r="EEC75" s="3"/>
      <c r="EED75" s="3"/>
      <c r="EEE75" s="3"/>
      <c r="EEF75" s="3"/>
      <c r="EEG75" s="3"/>
      <c r="EEH75" s="3"/>
      <c r="EEI75" s="3"/>
      <c r="EEJ75" s="3"/>
      <c r="EEK75" s="3"/>
      <c r="EEL75" s="3"/>
      <c r="EEM75" s="3"/>
      <c r="EEN75" s="3"/>
      <c r="EEO75" s="3"/>
      <c r="EEP75" s="3"/>
      <c r="EEQ75" s="3"/>
      <c r="EER75" s="3"/>
      <c r="EES75" s="3"/>
      <c r="EET75" s="3"/>
      <c r="EEU75" s="3"/>
      <c r="EEV75" s="3"/>
      <c r="EEW75" s="3"/>
      <c r="EEX75" s="3"/>
      <c r="EEY75" s="3"/>
      <c r="EEZ75" s="3"/>
      <c r="EFA75" s="3"/>
      <c r="EFB75" s="3"/>
      <c r="EFC75" s="3"/>
      <c r="EFD75" s="3"/>
      <c r="EFE75" s="3"/>
      <c r="EFF75" s="3"/>
      <c r="EFG75" s="3"/>
      <c r="EFH75" s="3"/>
      <c r="EFI75" s="3"/>
      <c r="EFJ75" s="3"/>
      <c r="EFK75" s="3"/>
      <c r="EFL75" s="3"/>
      <c r="EFM75" s="3"/>
      <c r="EFN75" s="3"/>
      <c r="EFO75" s="3"/>
      <c r="EFP75" s="3"/>
      <c r="EFQ75" s="3"/>
      <c r="EFR75" s="3"/>
      <c r="EFS75" s="3"/>
      <c r="EFT75" s="3"/>
      <c r="EFU75" s="3"/>
      <c r="EFV75" s="3"/>
      <c r="EFW75" s="3"/>
      <c r="EFX75" s="3"/>
      <c r="EFY75" s="3"/>
      <c r="EFZ75" s="3"/>
      <c r="EGA75" s="3"/>
      <c r="EGB75" s="3"/>
      <c r="EGC75" s="3"/>
      <c r="EGD75" s="3"/>
      <c r="EGE75" s="3"/>
      <c r="EGF75" s="3"/>
      <c r="EGG75" s="3"/>
      <c r="EGH75" s="3"/>
      <c r="EGI75" s="3"/>
      <c r="EGJ75" s="3"/>
      <c r="EGK75" s="3"/>
      <c r="EGL75" s="3"/>
      <c r="EGM75" s="3"/>
      <c r="EGN75" s="3"/>
      <c r="EGO75" s="3"/>
      <c r="EGP75" s="3"/>
      <c r="EGQ75" s="3"/>
      <c r="EGR75" s="3"/>
      <c r="EGS75" s="3"/>
      <c r="EGT75" s="3"/>
      <c r="EGU75" s="3"/>
      <c r="EGV75" s="3"/>
      <c r="EGW75" s="3"/>
      <c r="EGX75" s="3"/>
      <c r="EGY75" s="3"/>
      <c r="EGZ75" s="3"/>
      <c r="EHA75" s="3"/>
      <c r="EHB75" s="3"/>
      <c r="EHC75" s="3"/>
      <c r="EHD75" s="3"/>
      <c r="EHE75" s="3"/>
      <c r="EHF75" s="3"/>
      <c r="EHG75" s="3"/>
      <c r="EHH75" s="3"/>
      <c r="EHI75" s="3"/>
      <c r="EHJ75" s="3"/>
      <c r="EHK75" s="3"/>
      <c r="EHL75" s="3"/>
      <c r="EHM75" s="3"/>
      <c r="EHN75" s="3"/>
      <c r="EHO75" s="3"/>
      <c r="EHP75" s="3"/>
      <c r="EHQ75" s="3"/>
      <c r="EHR75" s="3"/>
      <c r="EHS75" s="3"/>
      <c r="EHT75" s="3"/>
      <c r="EHU75" s="3"/>
      <c r="EHV75" s="3"/>
      <c r="EHW75" s="3"/>
      <c r="EHX75" s="3"/>
      <c r="EHY75" s="3"/>
      <c r="EHZ75" s="3"/>
      <c r="EIA75" s="3"/>
      <c r="EIB75" s="3"/>
      <c r="EIC75" s="3"/>
      <c r="EID75" s="3"/>
      <c r="EIE75" s="3"/>
      <c r="EIF75" s="3"/>
      <c r="EIG75" s="3"/>
      <c r="EIH75" s="3"/>
      <c r="EII75" s="3"/>
      <c r="EIJ75" s="3"/>
      <c r="EIK75" s="3"/>
      <c r="EIL75" s="3"/>
      <c r="EIM75" s="3"/>
      <c r="EIN75" s="3"/>
      <c r="EIO75" s="3"/>
      <c r="EIP75" s="3"/>
      <c r="EIQ75" s="3"/>
      <c r="EIR75" s="3"/>
      <c r="EIS75" s="3"/>
      <c r="EIT75" s="3"/>
      <c r="EIU75" s="3"/>
      <c r="EIV75" s="3"/>
      <c r="EIW75" s="3"/>
      <c r="EIX75" s="3"/>
      <c r="EIY75" s="3"/>
      <c r="EIZ75" s="3"/>
      <c r="EJA75" s="3"/>
      <c r="EJB75" s="3"/>
      <c r="EJC75" s="3"/>
      <c r="EJD75" s="3"/>
      <c r="EJE75" s="3"/>
      <c r="EJF75" s="3"/>
      <c r="EJG75" s="3"/>
      <c r="EJH75" s="3"/>
      <c r="EJI75" s="3"/>
      <c r="EJJ75" s="3"/>
      <c r="EJK75" s="3"/>
      <c r="EJL75" s="3"/>
      <c r="EJM75" s="3"/>
      <c r="EJN75" s="3"/>
      <c r="EJO75" s="3"/>
      <c r="EJP75" s="3"/>
      <c r="EJQ75" s="3"/>
      <c r="EJR75" s="3"/>
      <c r="EJS75" s="3"/>
      <c r="EJT75" s="3"/>
      <c r="EJU75" s="3"/>
      <c r="EJV75" s="3"/>
      <c r="EJW75" s="3"/>
      <c r="EJX75" s="3"/>
      <c r="EJY75" s="3"/>
      <c r="EJZ75" s="3"/>
      <c r="EKA75" s="3"/>
      <c r="EKB75" s="3"/>
      <c r="EKC75" s="3"/>
      <c r="EKD75" s="3"/>
      <c r="EKE75" s="3"/>
      <c r="EKF75" s="3"/>
      <c r="EKG75" s="3"/>
      <c r="EKH75" s="3"/>
      <c r="EKI75" s="3"/>
      <c r="EKJ75" s="3"/>
      <c r="EKK75" s="3"/>
      <c r="EKL75" s="3"/>
      <c r="EKM75" s="3"/>
      <c r="EKN75" s="3"/>
      <c r="EKO75" s="3"/>
      <c r="EKP75" s="3"/>
      <c r="EKQ75" s="3"/>
      <c r="EKR75" s="3"/>
      <c r="EKS75" s="3"/>
      <c r="EKT75" s="3"/>
      <c r="EKU75" s="3"/>
      <c r="EKV75" s="3"/>
      <c r="EKW75" s="3"/>
      <c r="EKX75" s="3"/>
      <c r="EKY75" s="3"/>
      <c r="EKZ75" s="3"/>
      <c r="ELA75" s="3"/>
      <c r="ELB75" s="3"/>
      <c r="ELC75" s="3"/>
      <c r="ELD75" s="3"/>
      <c r="ELE75" s="3"/>
      <c r="ELF75" s="3"/>
      <c r="ELG75" s="3"/>
      <c r="ELH75" s="3"/>
      <c r="ELI75" s="3"/>
      <c r="ELJ75" s="3"/>
      <c r="ELK75" s="3"/>
      <c r="ELL75" s="3"/>
      <c r="ELM75" s="3"/>
      <c r="ELN75" s="3"/>
      <c r="ELO75" s="3"/>
      <c r="ELP75" s="3"/>
      <c r="ELQ75" s="3"/>
      <c r="ELR75" s="3"/>
      <c r="ELS75" s="3"/>
      <c r="ELT75" s="3"/>
      <c r="ELU75" s="3"/>
      <c r="ELV75" s="3"/>
      <c r="ELW75" s="3"/>
      <c r="ELX75" s="3"/>
      <c r="ELY75" s="3"/>
      <c r="ELZ75" s="3"/>
      <c r="EMA75" s="3"/>
      <c r="EMB75" s="3"/>
      <c r="EMC75" s="3"/>
      <c r="EMD75" s="3"/>
      <c r="EME75" s="3"/>
      <c r="EMF75" s="3"/>
      <c r="EMG75" s="3"/>
      <c r="EMH75" s="3"/>
      <c r="EMI75" s="3"/>
      <c r="EMJ75" s="3"/>
      <c r="EMK75" s="3"/>
      <c r="EML75" s="3"/>
      <c r="EMM75" s="3"/>
      <c r="EMN75" s="3"/>
      <c r="EMO75" s="3"/>
      <c r="EMP75" s="3"/>
      <c r="EMQ75" s="3"/>
      <c r="EMR75" s="3"/>
      <c r="EMS75" s="3"/>
      <c r="EMT75" s="3"/>
      <c r="EMU75" s="3"/>
      <c r="EMV75" s="3"/>
      <c r="EMW75" s="3"/>
      <c r="EMX75" s="3"/>
      <c r="EMY75" s="3"/>
      <c r="EMZ75" s="3"/>
      <c r="ENA75" s="3"/>
      <c r="ENB75" s="3"/>
      <c r="ENC75" s="3"/>
      <c r="END75" s="3"/>
      <c r="ENE75" s="3"/>
      <c r="ENF75" s="3"/>
      <c r="ENG75" s="3"/>
      <c r="ENH75" s="3"/>
      <c r="ENI75" s="3"/>
      <c r="ENJ75" s="3"/>
      <c r="ENK75" s="3"/>
      <c r="ENL75" s="3"/>
      <c r="ENM75" s="3"/>
      <c r="ENN75" s="3"/>
      <c r="ENO75" s="3"/>
      <c r="ENP75" s="3"/>
      <c r="ENQ75" s="3"/>
      <c r="ENR75" s="3"/>
      <c r="ENS75" s="3"/>
      <c r="ENT75" s="3"/>
      <c r="ENU75" s="3"/>
      <c r="ENV75" s="3"/>
      <c r="ENW75" s="3"/>
      <c r="ENX75" s="3"/>
      <c r="ENY75" s="3"/>
      <c r="ENZ75" s="3"/>
      <c r="EOA75" s="3"/>
      <c r="EOB75" s="3"/>
      <c r="EOC75" s="3"/>
      <c r="EOD75" s="3"/>
      <c r="EOE75" s="3"/>
      <c r="EOF75" s="3"/>
      <c r="EOG75" s="3"/>
      <c r="EOH75" s="3"/>
      <c r="EOI75" s="3"/>
      <c r="EOJ75" s="3"/>
      <c r="EOK75" s="3"/>
      <c r="EOL75" s="3"/>
      <c r="EOM75" s="3"/>
      <c r="EON75" s="3"/>
      <c r="EOO75" s="3"/>
      <c r="EOP75" s="3"/>
      <c r="EOQ75" s="3"/>
      <c r="EOR75" s="3"/>
      <c r="EOS75" s="3"/>
      <c r="EOT75" s="3"/>
      <c r="EOU75" s="3"/>
      <c r="EOV75" s="3"/>
      <c r="EOW75" s="3"/>
      <c r="EOX75" s="3"/>
      <c r="EOY75" s="3"/>
      <c r="EOZ75" s="3"/>
      <c r="EPA75" s="3"/>
      <c r="EPB75" s="3"/>
      <c r="EPC75" s="3"/>
      <c r="EPD75" s="3"/>
      <c r="EPE75" s="3"/>
      <c r="EPF75" s="3"/>
      <c r="EPG75" s="3"/>
      <c r="EPH75" s="3"/>
      <c r="EPI75" s="3"/>
      <c r="EPJ75" s="3"/>
      <c r="EPK75" s="3"/>
      <c r="EPL75" s="3"/>
      <c r="EPM75" s="3"/>
      <c r="EPN75" s="3"/>
      <c r="EPO75" s="3"/>
      <c r="EPP75" s="3"/>
      <c r="EPQ75" s="3"/>
      <c r="EPR75" s="3"/>
      <c r="EPS75" s="3"/>
      <c r="EPT75" s="3"/>
      <c r="EPU75" s="3"/>
      <c r="EPV75" s="3"/>
      <c r="EPW75" s="3"/>
      <c r="EPX75" s="3"/>
      <c r="EPY75" s="3"/>
      <c r="EPZ75" s="3"/>
      <c r="EQA75" s="3"/>
      <c r="EQB75" s="3"/>
      <c r="EQC75" s="3"/>
      <c r="EQD75" s="3"/>
      <c r="EQE75" s="3"/>
      <c r="EQF75" s="3"/>
      <c r="EQG75" s="3"/>
      <c r="EQH75" s="3"/>
      <c r="EQI75" s="3"/>
      <c r="EQJ75" s="3"/>
      <c r="EQK75" s="3"/>
      <c r="EQL75" s="3"/>
      <c r="EQM75" s="3"/>
      <c r="EQN75" s="3"/>
      <c r="EQO75" s="3"/>
      <c r="EQP75" s="3"/>
      <c r="EQQ75" s="3"/>
      <c r="EQR75" s="3"/>
      <c r="EQS75" s="3"/>
      <c r="EQT75" s="3"/>
      <c r="EQU75" s="3"/>
      <c r="EQV75" s="3"/>
      <c r="EQW75" s="3"/>
      <c r="EQX75" s="3"/>
      <c r="EQY75" s="3"/>
      <c r="EQZ75" s="3"/>
      <c r="ERA75" s="3"/>
      <c r="ERB75" s="3"/>
      <c r="ERC75" s="3"/>
      <c r="ERD75" s="3"/>
      <c r="ERE75" s="3"/>
      <c r="ERF75" s="3"/>
      <c r="ERG75" s="3"/>
      <c r="ERH75" s="3"/>
      <c r="ERI75" s="3"/>
      <c r="ERJ75" s="3"/>
      <c r="ERK75" s="3"/>
      <c r="ERL75" s="3"/>
      <c r="ERM75" s="3"/>
      <c r="ERN75" s="3"/>
      <c r="ERO75" s="3"/>
      <c r="ERP75" s="3"/>
      <c r="ERQ75" s="3"/>
      <c r="ERR75" s="3"/>
      <c r="ERS75" s="3"/>
      <c r="ERT75" s="3"/>
      <c r="ERU75" s="3"/>
      <c r="ERV75" s="3"/>
      <c r="ERW75" s="3"/>
      <c r="ERX75" s="3"/>
      <c r="ERY75" s="3"/>
      <c r="ERZ75" s="3"/>
      <c r="ESA75" s="3"/>
      <c r="ESB75" s="3"/>
      <c r="ESC75" s="3"/>
      <c r="ESD75" s="3"/>
      <c r="ESE75" s="3"/>
      <c r="ESF75" s="3"/>
      <c r="ESG75" s="3"/>
      <c r="ESH75" s="3"/>
      <c r="ESI75" s="3"/>
      <c r="ESJ75" s="3"/>
      <c r="ESK75" s="3"/>
      <c r="ESL75" s="3"/>
      <c r="ESM75" s="3"/>
      <c r="ESN75" s="3"/>
      <c r="ESO75" s="3"/>
      <c r="ESP75" s="3"/>
      <c r="ESQ75" s="3"/>
      <c r="ESR75" s="3"/>
      <c r="ESS75" s="3"/>
      <c r="EST75" s="3"/>
      <c r="ESU75" s="3"/>
      <c r="ESV75" s="3"/>
      <c r="ESW75" s="3"/>
      <c r="ESX75" s="3"/>
      <c r="ESY75" s="3"/>
      <c r="ESZ75" s="3"/>
      <c r="ETA75" s="3"/>
      <c r="ETB75" s="3"/>
      <c r="ETC75" s="3"/>
      <c r="ETD75" s="3"/>
      <c r="ETE75" s="3"/>
      <c r="ETF75" s="3"/>
      <c r="ETG75" s="3"/>
      <c r="ETH75" s="3"/>
      <c r="ETI75" s="3"/>
      <c r="ETJ75" s="3"/>
      <c r="ETK75" s="3"/>
      <c r="ETL75" s="3"/>
      <c r="ETM75" s="3"/>
      <c r="ETN75" s="3"/>
      <c r="ETO75" s="3"/>
      <c r="ETP75" s="3"/>
      <c r="ETQ75" s="3"/>
      <c r="ETR75" s="3"/>
      <c r="ETS75" s="3"/>
      <c r="ETT75" s="3"/>
      <c r="ETU75" s="3"/>
      <c r="ETV75" s="3"/>
      <c r="ETW75" s="3"/>
      <c r="ETX75" s="3"/>
      <c r="ETY75" s="3"/>
      <c r="ETZ75" s="3"/>
      <c r="EUA75" s="3"/>
      <c r="EUB75" s="3"/>
      <c r="EUC75" s="3"/>
      <c r="EUD75" s="3"/>
      <c r="EUE75" s="3"/>
      <c r="EUF75" s="3"/>
      <c r="EUG75" s="3"/>
      <c r="EUH75" s="3"/>
      <c r="EUI75" s="3"/>
      <c r="EUJ75" s="3"/>
      <c r="EUK75" s="3"/>
      <c r="EUL75" s="3"/>
      <c r="EUM75" s="3"/>
      <c r="EUN75" s="3"/>
      <c r="EUO75" s="3"/>
      <c r="EUP75" s="3"/>
      <c r="EUQ75" s="3"/>
      <c r="EUR75" s="3"/>
      <c r="EUS75" s="3"/>
      <c r="EUT75" s="3"/>
      <c r="EUU75" s="3"/>
      <c r="EUV75" s="3"/>
      <c r="EUW75" s="3"/>
      <c r="EUX75" s="3"/>
      <c r="EUY75" s="3"/>
      <c r="EUZ75" s="3"/>
      <c r="EVA75" s="3"/>
      <c r="EVB75" s="3"/>
      <c r="EVC75" s="3"/>
      <c r="EVD75" s="3"/>
      <c r="EVE75" s="3"/>
      <c r="EVF75" s="3"/>
      <c r="EVG75" s="3"/>
      <c r="EVH75" s="3"/>
      <c r="EVI75" s="3"/>
      <c r="EVJ75" s="3"/>
      <c r="EVK75" s="3"/>
      <c r="EVL75" s="3"/>
      <c r="EVM75" s="3"/>
      <c r="EVN75" s="3"/>
      <c r="EVO75" s="3"/>
      <c r="EVP75" s="3"/>
      <c r="EVQ75" s="3"/>
      <c r="EVR75" s="3"/>
      <c r="EVS75" s="3"/>
      <c r="EVT75" s="3"/>
      <c r="EVU75" s="3"/>
      <c r="EVV75" s="3"/>
      <c r="EVW75" s="3"/>
      <c r="EVX75" s="3"/>
      <c r="EVY75" s="3"/>
      <c r="EVZ75" s="3"/>
      <c r="EWA75" s="3"/>
      <c r="EWB75" s="3"/>
      <c r="EWC75" s="3"/>
      <c r="EWD75" s="3"/>
      <c r="EWE75" s="3"/>
      <c r="EWF75" s="3"/>
      <c r="EWG75" s="3"/>
      <c r="EWH75" s="3"/>
      <c r="EWI75" s="3"/>
      <c r="EWJ75" s="3"/>
      <c r="EWK75" s="3"/>
      <c r="EWL75" s="3"/>
      <c r="EWM75" s="3"/>
      <c r="EWN75" s="3"/>
      <c r="EWO75" s="3"/>
      <c r="EWP75" s="3"/>
      <c r="EWQ75" s="3"/>
      <c r="EWR75" s="3"/>
      <c r="EWS75" s="3"/>
      <c r="EWT75" s="3"/>
      <c r="EWU75" s="3"/>
      <c r="EWV75" s="3"/>
      <c r="EWW75" s="3"/>
      <c r="EWX75" s="3"/>
      <c r="EWY75" s="3"/>
      <c r="EWZ75" s="3"/>
      <c r="EXA75" s="3"/>
      <c r="EXB75" s="3"/>
      <c r="EXC75" s="3"/>
      <c r="EXD75" s="3"/>
      <c r="EXE75" s="3"/>
      <c r="EXF75" s="3"/>
      <c r="EXG75" s="3"/>
      <c r="EXH75" s="3"/>
      <c r="EXI75" s="3"/>
      <c r="EXJ75" s="3"/>
      <c r="EXK75" s="3"/>
      <c r="EXL75" s="3"/>
      <c r="EXM75" s="3"/>
      <c r="EXN75" s="3"/>
      <c r="EXO75" s="3"/>
      <c r="EXP75" s="3"/>
      <c r="EXQ75" s="3"/>
      <c r="EXR75" s="3"/>
      <c r="EXS75" s="3"/>
      <c r="EXT75" s="3"/>
      <c r="EXU75" s="3"/>
      <c r="EXV75" s="3"/>
      <c r="EXW75" s="3"/>
      <c r="EXX75" s="3"/>
      <c r="EXY75" s="3"/>
      <c r="EXZ75" s="3"/>
      <c r="EYA75" s="3"/>
      <c r="EYB75" s="3"/>
      <c r="EYC75" s="3"/>
      <c r="EYD75" s="3"/>
      <c r="EYE75" s="3"/>
      <c r="EYF75" s="3"/>
      <c r="EYG75" s="3"/>
      <c r="EYH75" s="3"/>
      <c r="EYI75" s="3"/>
      <c r="EYJ75" s="3"/>
      <c r="EYK75" s="3"/>
      <c r="EYL75" s="3"/>
      <c r="EYM75" s="3"/>
      <c r="EYN75" s="3"/>
      <c r="EYO75" s="3"/>
      <c r="EYP75" s="3"/>
      <c r="EYQ75" s="3"/>
      <c r="EYR75" s="3"/>
      <c r="EYS75" s="3"/>
      <c r="EYT75" s="3"/>
      <c r="EYU75" s="3"/>
      <c r="EYV75" s="3"/>
      <c r="EYW75" s="3"/>
      <c r="EYX75" s="3"/>
      <c r="EYY75" s="3"/>
      <c r="EYZ75" s="3"/>
      <c r="EZA75" s="3"/>
      <c r="EZB75" s="3"/>
      <c r="EZC75" s="3"/>
      <c r="EZD75" s="3"/>
      <c r="EZE75" s="3"/>
      <c r="EZF75" s="3"/>
      <c r="EZG75" s="3"/>
      <c r="EZH75" s="3"/>
      <c r="EZI75" s="3"/>
      <c r="EZJ75" s="3"/>
      <c r="EZK75" s="3"/>
      <c r="EZL75" s="3"/>
      <c r="EZM75" s="3"/>
      <c r="EZN75" s="3"/>
      <c r="EZO75" s="3"/>
      <c r="EZP75" s="3"/>
      <c r="EZQ75" s="3"/>
      <c r="EZR75" s="3"/>
      <c r="EZS75" s="3"/>
      <c r="EZT75" s="3"/>
      <c r="EZU75" s="3"/>
      <c r="EZV75" s="3"/>
      <c r="EZW75" s="3"/>
      <c r="EZX75" s="3"/>
      <c r="EZY75" s="3"/>
      <c r="EZZ75" s="3"/>
      <c r="FAA75" s="3"/>
      <c r="FAB75" s="3"/>
      <c r="FAC75" s="3"/>
      <c r="FAD75" s="3"/>
      <c r="FAE75" s="3"/>
      <c r="FAF75" s="3"/>
      <c r="FAG75" s="3"/>
      <c r="FAH75" s="3"/>
      <c r="FAI75" s="3"/>
      <c r="FAJ75" s="3"/>
      <c r="FAK75" s="3"/>
      <c r="FAL75" s="3"/>
      <c r="FAM75" s="3"/>
      <c r="FAN75" s="3"/>
      <c r="FAO75" s="3"/>
      <c r="FAP75" s="3"/>
      <c r="FAQ75" s="3"/>
      <c r="FAR75" s="3"/>
      <c r="FAS75" s="3"/>
      <c r="FAT75" s="3"/>
      <c r="FAU75" s="3"/>
      <c r="FAV75" s="3"/>
      <c r="FAW75" s="3"/>
      <c r="FAX75" s="3"/>
      <c r="FAY75" s="3"/>
      <c r="FAZ75" s="3"/>
      <c r="FBA75" s="3"/>
      <c r="FBB75" s="3"/>
      <c r="FBC75" s="3"/>
      <c r="FBD75" s="3"/>
      <c r="FBE75" s="3"/>
      <c r="FBF75" s="3"/>
      <c r="FBG75" s="3"/>
      <c r="FBH75" s="3"/>
      <c r="FBI75" s="3"/>
      <c r="FBJ75" s="3"/>
      <c r="FBK75" s="3"/>
      <c r="FBL75" s="3"/>
      <c r="FBM75" s="3"/>
      <c r="FBN75" s="3"/>
      <c r="FBO75" s="3"/>
      <c r="FBP75" s="3"/>
      <c r="FBQ75" s="3"/>
      <c r="FBR75" s="3"/>
      <c r="FBS75" s="3"/>
      <c r="FBT75" s="3"/>
      <c r="FBU75" s="3"/>
      <c r="FBV75" s="3"/>
      <c r="FBW75" s="3"/>
      <c r="FBX75" s="3"/>
      <c r="FBY75" s="3"/>
      <c r="FBZ75" s="3"/>
      <c r="FCA75" s="3"/>
      <c r="FCB75" s="3"/>
      <c r="FCC75" s="3"/>
      <c r="FCD75" s="3"/>
      <c r="FCE75" s="3"/>
      <c r="FCF75" s="3"/>
      <c r="FCG75" s="3"/>
      <c r="FCH75" s="3"/>
      <c r="FCI75" s="3"/>
      <c r="FCJ75" s="3"/>
      <c r="FCK75" s="3"/>
      <c r="FCL75" s="3"/>
      <c r="FCM75" s="3"/>
      <c r="FCN75" s="3"/>
      <c r="FCO75" s="3"/>
      <c r="FCP75" s="3"/>
      <c r="FCQ75" s="3"/>
      <c r="FCR75" s="3"/>
      <c r="FCS75" s="3"/>
      <c r="FCT75" s="3"/>
      <c r="FCU75" s="3"/>
      <c r="FCV75" s="3"/>
      <c r="FCW75" s="3"/>
      <c r="FCX75" s="3"/>
      <c r="FCY75" s="3"/>
      <c r="FCZ75" s="3"/>
      <c r="FDA75" s="3"/>
      <c r="FDB75" s="3"/>
      <c r="FDC75" s="3"/>
      <c r="FDD75" s="3"/>
      <c r="FDE75" s="3"/>
      <c r="FDF75" s="3"/>
      <c r="FDG75" s="3"/>
      <c r="FDH75" s="3"/>
      <c r="FDI75" s="3"/>
      <c r="FDJ75" s="3"/>
      <c r="FDK75" s="3"/>
      <c r="FDL75" s="3"/>
      <c r="FDM75" s="3"/>
      <c r="FDN75" s="3"/>
      <c r="FDO75" s="3"/>
      <c r="FDP75" s="3"/>
      <c r="FDQ75" s="3"/>
      <c r="FDR75" s="3"/>
      <c r="FDS75" s="3"/>
      <c r="FDT75" s="3"/>
      <c r="FDU75" s="3"/>
      <c r="FDV75" s="3"/>
      <c r="FDW75" s="3"/>
      <c r="FDX75" s="3"/>
      <c r="FDY75" s="3"/>
      <c r="FDZ75" s="3"/>
      <c r="FEA75" s="3"/>
      <c r="FEB75" s="3"/>
      <c r="FEC75" s="3"/>
      <c r="FED75" s="3"/>
      <c r="FEE75" s="3"/>
      <c r="FEF75" s="3"/>
      <c r="FEG75" s="3"/>
      <c r="FEH75" s="3"/>
      <c r="FEI75" s="3"/>
      <c r="FEJ75" s="3"/>
      <c r="FEK75" s="3"/>
      <c r="FEL75" s="3"/>
      <c r="FEM75" s="3"/>
      <c r="FEN75" s="3"/>
      <c r="FEO75" s="3"/>
      <c r="FEP75" s="3"/>
      <c r="FEQ75" s="3"/>
      <c r="FER75" s="3"/>
      <c r="FES75" s="3"/>
      <c r="FET75" s="3"/>
      <c r="FEU75" s="3"/>
      <c r="FEV75" s="3"/>
      <c r="FEW75" s="3"/>
      <c r="FEX75" s="3"/>
      <c r="FEY75" s="3"/>
      <c r="FEZ75" s="3"/>
      <c r="FFA75" s="3"/>
      <c r="FFB75" s="3"/>
      <c r="FFC75" s="3"/>
      <c r="FFD75" s="3"/>
      <c r="FFE75" s="3"/>
      <c r="FFF75" s="3"/>
      <c r="FFG75" s="3"/>
      <c r="FFH75" s="3"/>
      <c r="FFI75" s="3"/>
      <c r="FFJ75" s="3"/>
      <c r="FFK75" s="3"/>
      <c r="FFL75" s="3"/>
      <c r="FFM75" s="3"/>
      <c r="FFN75" s="3"/>
      <c r="FFO75" s="3"/>
      <c r="FFP75" s="3"/>
      <c r="FFQ75" s="3"/>
      <c r="FFR75" s="3"/>
      <c r="FFS75" s="3"/>
      <c r="FFT75" s="3"/>
      <c r="FFU75" s="3"/>
      <c r="FFV75" s="3"/>
      <c r="FFW75" s="3"/>
      <c r="FFX75" s="3"/>
      <c r="FFY75" s="3"/>
      <c r="FFZ75" s="3"/>
      <c r="FGA75" s="3"/>
      <c r="FGB75" s="3"/>
      <c r="FGC75" s="3"/>
      <c r="FGD75" s="3"/>
      <c r="FGE75" s="3"/>
      <c r="FGF75" s="3"/>
      <c r="FGG75" s="3"/>
      <c r="FGH75" s="3"/>
      <c r="FGI75" s="3"/>
      <c r="FGJ75" s="3"/>
      <c r="FGK75" s="3"/>
      <c r="FGL75" s="3"/>
      <c r="FGM75" s="3"/>
      <c r="FGN75" s="3"/>
      <c r="FGO75" s="3"/>
      <c r="FGP75" s="3"/>
      <c r="FGQ75" s="3"/>
      <c r="FGR75" s="3"/>
      <c r="FGS75" s="3"/>
      <c r="FGT75" s="3"/>
      <c r="FGU75" s="3"/>
      <c r="FGV75" s="3"/>
      <c r="FGW75" s="3"/>
      <c r="FGX75" s="3"/>
      <c r="FGY75" s="3"/>
      <c r="FGZ75" s="3"/>
      <c r="FHA75" s="3"/>
      <c r="FHB75" s="3"/>
      <c r="FHC75" s="3"/>
      <c r="FHD75" s="3"/>
      <c r="FHE75" s="3"/>
      <c r="FHF75" s="3"/>
      <c r="FHG75" s="3"/>
      <c r="FHH75" s="3"/>
      <c r="FHI75" s="3"/>
      <c r="FHJ75" s="3"/>
      <c r="FHK75" s="3"/>
      <c r="FHL75" s="3"/>
      <c r="FHM75" s="3"/>
      <c r="FHN75" s="3"/>
      <c r="FHO75" s="3"/>
      <c r="FHP75" s="3"/>
      <c r="FHQ75" s="3"/>
      <c r="FHR75" s="3"/>
      <c r="FHS75" s="3"/>
      <c r="FHT75" s="3"/>
      <c r="FHU75" s="3"/>
      <c r="FHV75" s="3"/>
      <c r="FHW75" s="3"/>
      <c r="FHX75" s="3"/>
      <c r="FHY75" s="3"/>
      <c r="FHZ75" s="3"/>
      <c r="FIA75" s="3"/>
      <c r="FIB75" s="3"/>
      <c r="FIC75" s="3"/>
      <c r="FID75" s="3"/>
      <c r="FIE75" s="3"/>
      <c r="FIF75" s="3"/>
      <c r="FIG75" s="3"/>
      <c r="FIH75" s="3"/>
      <c r="FII75" s="3"/>
      <c r="FIJ75" s="3"/>
      <c r="FIK75" s="3"/>
      <c r="FIL75" s="3"/>
      <c r="FIM75" s="3"/>
      <c r="FIN75" s="3"/>
      <c r="FIO75" s="3"/>
      <c r="FIP75" s="3"/>
      <c r="FIQ75" s="3"/>
      <c r="FIR75" s="3"/>
      <c r="FIS75" s="3"/>
      <c r="FIT75" s="3"/>
      <c r="FIU75" s="3"/>
      <c r="FIV75" s="3"/>
      <c r="FIW75" s="3"/>
      <c r="FIX75" s="3"/>
      <c r="FIY75" s="3"/>
      <c r="FIZ75" s="3"/>
      <c r="FJA75" s="3"/>
      <c r="FJB75" s="3"/>
      <c r="FJC75" s="3"/>
      <c r="FJD75" s="3"/>
      <c r="FJE75" s="3"/>
      <c r="FJF75" s="3"/>
      <c r="FJG75" s="3"/>
      <c r="FJH75" s="3"/>
      <c r="FJI75" s="3"/>
      <c r="FJJ75" s="3"/>
      <c r="FJK75" s="3"/>
      <c r="FJL75" s="3"/>
      <c r="FJM75" s="3"/>
      <c r="FJN75" s="3"/>
      <c r="FJO75" s="3"/>
      <c r="FJP75" s="3"/>
      <c r="FJQ75" s="3"/>
      <c r="FJR75" s="3"/>
      <c r="FJS75" s="3"/>
      <c r="FJT75" s="3"/>
      <c r="FJU75" s="3"/>
      <c r="FJV75" s="3"/>
      <c r="FJW75" s="3"/>
      <c r="FJX75" s="3"/>
      <c r="FJY75" s="3"/>
      <c r="FJZ75" s="3"/>
      <c r="FKA75" s="3"/>
      <c r="FKB75" s="3"/>
      <c r="FKC75" s="3"/>
      <c r="FKD75" s="3"/>
      <c r="FKE75" s="3"/>
      <c r="FKF75" s="3"/>
      <c r="FKG75" s="3"/>
      <c r="FKH75" s="3"/>
      <c r="FKI75" s="3"/>
      <c r="FKJ75" s="3"/>
      <c r="FKK75" s="3"/>
      <c r="FKL75" s="3"/>
      <c r="FKM75" s="3"/>
      <c r="FKN75" s="3"/>
      <c r="FKO75" s="3"/>
      <c r="FKP75" s="3"/>
      <c r="FKQ75" s="3"/>
      <c r="FKR75" s="3"/>
      <c r="FKS75" s="3"/>
      <c r="FKT75" s="3"/>
      <c r="FKU75" s="3"/>
      <c r="FKV75" s="3"/>
      <c r="FKW75" s="3"/>
      <c r="FKX75" s="3"/>
      <c r="FKY75" s="3"/>
      <c r="FKZ75" s="3"/>
      <c r="FLA75" s="3"/>
      <c r="FLB75" s="3"/>
      <c r="FLC75" s="3"/>
      <c r="FLD75" s="3"/>
      <c r="FLE75" s="3"/>
      <c r="FLF75" s="3"/>
      <c r="FLG75" s="3"/>
      <c r="FLH75" s="3"/>
      <c r="FLI75" s="3"/>
      <c r="FLJ75" s="3"/>
      <c r="FLK75" s="3"/>
      <c r="FLL75" s="3"/>
      <c r="FLM75" s="3"/>
      <c r="FLN75" s="3"/>
      <c r="FLO75" s="3"/>
      <c r="FLP75" s="3"/>
      <c r="FLQ75" s="3"/>
      <c r="FLR75" s="3"/>
      <c r="FLS75" s="3"/>
      <c r="FLT75" s="3"/>
      <c r="FLU75" s="3"/>
      <c r="FLV75" s="3"/>
      <c r="FLW75" s="3"/>
      <c r="FLX75" s="3"/>
      <c r="FLY75" s="3"/>
      <c r="FLZ75" s="3"/>
      <c r="FMA75" s="3"/>
      <c r="FMB75" s="3"/>
      <c r="FMC75" s="3"/>
      <c r="FMD75" s="3"/>
      <c r="FME75" s="3"/>
      <c r="FMF75" s="3"/>
      <c r="FMG75" s="3"/>
      <c r="FMH75" s="3"/>
      <c r="FMI75" s="3"/>
      <c r="FMJ75" s="3"/>
      <c r="FMK75" s="3"/>
      <c r="FML75" s="3"/>
      <c r="FMM75" s="3"/>
      <c r="FMN75" s="3"/>
      <c r="FMO75" s="3"/>
      <c r="FMP75" s="3"/>
      <c r="FMQ75" s="3"/>
      <c r="FMR75" s="3"/>
      <c r="FMS75" s="3"/>
      <c r="FMT75" s="3"/>
      <c r="FMU75" s="3"/>
      <c r="FMV75" s="3"/>
      <c r="FMW75" s="3"/>
      <c r="FMX75" s="3"/>
      <c r="FMY75" s="3"/>
      <c r="FMZ75" s="3"/>
      <c r="FNA75" s="3"/>
      <c r="FNB75" s="3"/>
      <c r="FNC75" s="3"/>
      <c r="FND75" s="3"/>
      <c r="FNE75" s="3"/>
      <c r="FNF75" s="3"/>
      <c r="FNG75" s="3"/>
      <c r="FNH75" s="3"/>
      <c r="FNI75" s="3"/>
      <c r="FNJ75" s="3"/>
      <c r="FNK75" s="3"/>
      <c r="FNL75" s="3"/>
      <c r="FNM75" s="3"/>
      <c r="FNN75" s="3"/>
      <c r="FNO75" s="3"/>
      <c r="FNP75" s="3"/>
      <c r="FNQ75" s="3"/>
      <c r="FNR75" s="3"/>
      <c r="FNS75" s="3"/>
      <c r="FNT75" s="3"/>
      <c r="FNU75" s="3"/>
      <c r="FNV75" s="3"/>
      <c r="FNW75" s="3"/>
      <c r="FNX75" s="3"/>
      <c r="FNY75" s="3"/>
      <c r="FNZ75" s="3"/>
      <c r="FOA75" s="3"/>
      <c r="FOB75" s="3"/>
      <c r="FOC75" s="3"/>
      <c r="FOD75" s="3"/>
      <c r="FOE75" s="3"/>
      <c r="FOF75" s="3"/>
      <c r="FOG75" s="3"/>
      <c r="FOH75" s="3"/>
      <c r="FOI75" s="3"/>
      <c r="FOJ75" s="3"/>
      <c r="FOK75" s="3"/>
      <c r="FOL75" s="3"/>
      <c r="FOM75" s="3"/>
      <c r="FON75" s="3"/>
      <c r="FOO75" s="3"/>
      <c r="FOP75" s="3"/>
      <c r="FOQ75" s="3"/>
      <c r="FOR75" s="3"/>
      <c r="FOS75" s="3"/>
      <c r="FOT75" s="3"/>
      <c r="FOU75" s="3"/>
      <c r="FOV75" s="3"/>
      <c r="FOW75" s="3"/>
      <c r="FOX75" s="3"/>
      <c r="FOY75" s="3"/>
      <c r="FOZ75" s="3"/>
      <c r="FPA75" s="3"/>
      <c r="FPB75" s="3"/>
      <c r="FPC75" s="3"/>
      <c r="FPD75" s="3"/>
      <c r="FPE75" s="3"/>
      <c r="FPF75" s="3"/>
      <c r="FPG75" s="3"/>
      <c r="FPH75" s="3"/>
      <c r="FPI75" s="3"/>
      <c r="FPJ75" s="3"/>
      <c r="FPK75" s="3"/>
      <c r="FPL75" s="3"/>
      <c r="FPM75" s="3"/>
      <c r="FPN75" s="3"/>
      <c r="FPO75" s="3"/>
      <c r="FPP75" s="3"/>
      <c r="FPQ75" s="3"/>
      <c r="FPR75" s="3"/>
      <c r="FPS75" s="3"/>
      <c r="FPT75" s="3"/>
      <c r="FPU75" s="3"/>
      <c r="FPV75" s="3"/>
      <c r="FPW75" s="3"/>
      <c r="FPX75" s="3"/>
      <c r="FPY75" s="3"/>
      <c r="FPZ75" s="3"/>
      <c r="FQA75" s="3"/>
      <c r="FQB75" s="3"/>
      <c r="FQC75" s="3"/>
      <c r="FQD75" s="3"/>
      <c r="FQE75" s="3"/>
      <c r="FQF75" s="3"/>
      <c r="FQG75" s="3"/>
      <c r="FQH75" s="3"/>
      <c r="FQI75" s="3"/>
      <c r="FQJ75" s="3"/>
      <c r="FQK75" s="3"/>
      <c r="FQL75" s="3"/>
      <c r="FQM75" s="3"/>
      <c r="FQN75" s="3"/>
      <c r="FQO75" s="3"/>
      <c r="FQP75" s="3"/>
      <c r="FQQ75" s="3"/>
      <c r="FQR75" s="3"/>
      <c r="FQS75" s="3"/>
      <c r="FQT75" s="3"/>
      <c r="FQU75" s="3"/>
      <c r="FQV75" s="3"/>
      <c r="FQW75" s="3"/>
      <c r="FQX75" s="3"/>
      <c r="FQY75" s="3"/>
      <c r="FQZ75" s="3"/>
      <c r="FRA75" s="3"/>
      <c r="FRB75" s="3"/>
      <c r="FRC75" s="3"/>
      <c r="FRD75" s="3"/>
      <c r="FRE75" s="3"/>
      <c r="FRF75" s="3"/>
      <c r="FRG75" s="3"/>
      <c r="FRH75" s="3"/>
      <c r="FRI75" s="3"/>
      <c r="FRJ75" s="3"/>
      <c r="FRK75" s="3"/>
      <c r="FRL75" s="3"/>
      <c r="FRM75" s="3"/>
      <c r="FRN75" s="3"/>
      <c r="FRO75" s="3"/>
      <c r="FRP75" s="3"/>
      <c r="FRQ75" s="3"/>
      <c r="FRR75" s="3"/>
      <c r="FRS75" s="3"/>
      <c r="FRT75" s="3"/>
      <c r="FRU75" s="3"/>
      <c r="FRV75" s="3"/>
      <c r="FRW75" s="3"/>
      <c r="FRX75" s="3"/>
      <c r="FRY75" s="3"/>
      <c r="FRZ75" s="3"/>
      <c r="FSA75" s="3"/>
      <c r="FSB75" s="3"/>
      <c r="FSC75" s="3"/>
      <c r="FSD75" s="3"/>
      <c r="FSE75" s="3"/>
      <c r="FSF75" s="3"/>
      <c r="FSG75" s="3"/>
      <c r="FSH75" s="3"/>
      <c r="FSI75" s="3"/>
      <c r="FSJ75" s="3"/>
      <c r="FSK75" s="3"/>
      <c r="FSL75" s="3"/>
      <c r="FSM75" s="3"/>
      <c r="FSN75" s="3"/>
      <c r="FSO75" s="3"/>
      <c r="FSP75" s="3"/>
      <c r="FSQ75" s="3"/>
      <c r="FSR75" s="3"/>
      <c r="FSS75" s="3"/>
      <c r="FST75" s="3"/>
      <c r="FSU75" s="3"/>
      <c r="FSV75" s="3"/>
      <c r="FSW75" s="3"/>
      <c r="FSX75" s="3"/>
      <c r="FSY75" s="3"/>
      <c r="FSZ75" s="3"/>
      <c r="FTA75" s="3"/>
      <c r="FTB75" s="3"/>
      <c r="FTC75" s="3"/>
      <c r="FTD75" s="3"/>
      <c r="FTE75" s="3"/>
      <c r="FTF75" s="3"/>
      <c r="FTG75" s="3"/>
      <c r="FTH75" s="3"/>
      <c r="FTI75" s="3"/>
      <c r="FTJ75" s="3"/>
      <c r="FTK75" s="3"/>
      <c r="FTL75" s="3"/>
      <c r="FTM75" s="3"/>
      <c r="FTN75" s="3"/>
      <c r="FTO75" s="3"/>
      <c r="FTP75" s="3"/>
      <c r="FTQ75" s="3"/>
      <c r="FTR75" s="3"/>
      <c r="FTS75" s="3"/>
      <c r="FTT75" s="3"/>
      <c r="FTU75" s="3"/>
      <c r="FTV75" s="3"/>
      <c r="FTW75" s="3"/>
      <c r="FTX75" s="3"/>
      <c r="FTY75" s="3"/>
      <c r="FTZ75" s="3"/>
      <c r="FUA75" s="3"/>
      <c r="FUB75" s="3"/>
      <c r="FUC75" s="3"/>
      <c r="FUD75" s="3"/>
      <c r="FUE75" s="3"/>
      <c r="FUF75" s="3"/>
      <c r="FUG75" s="3"/>
      <c r="FUH75" s="3"/>
      <c r="FUI75" s="3"/>
      <c r="FUJ75" s="3"/>
      <c r="FUK75" s="3"/>
      <c r="FUL75" s="3"/>
      <c r="FUM75" s="3"/>
      <c r="FUN75" s="3"/>
      <c r="FUO75" s="3"/>
      <c r="FUP75" s="3"/>
      <c r="FUQ75" s="3"/>
      <c r="FUR75" s="3"/>
      <c r="FUS75" s="3"/>
      <c r="FUT75" s="3"/>
      <c r="FUU75" s="3"/>
      <c r="FUV75" s="3"/>
      <c r="FUW75" s="3"/>
      <c r="FUX75" s="3"/>
      <c r="FUY75" s="3"/>
      <c r="FUZ75" s="3"/>
      <c r="FVA75" s="3"/>
      <c r="FVB75" s="3"/>
      <c r="FVC75" s="3"/>
      <c r="FVD75" s="3"/>
      <c r="FVE75" s="3"/>
      <c r="FVF75" s="3"/>
      <c r="FVG75" s="3"/>
      <c r="FVH75" s="3"/>
      <c r="FVI75" s="3"/>
      <c r="FVJ75" s="3"/>
      <c r="FVK75" s="3"/>
      <c r="FVL75" s="3"/>
      <c r="FVM75" s="3"/>
      <c r="FVN75" s="3"/>
      <c r="FVO75" s="3"/>
      <c r="FVP75" s="3"/>
      <c r="FVQ75" s="3"/>
      <c r="FVR75" s="3"/>
      <c r="FVS75" s="3"/>
      <c r="FVT75" s="3"/>
      <c r="FVU75" s="3"/>
      <c r="FVV75" s="3"/>
      <c r="FVW75" s="3"/>
      <c r="FVX75" s="3"/>
      <c r="FVY75" s="3"/>
      <c r="FVZ75" s="3"/>
      <c r="FWA75" s="3"/>
      <c r="FWB75" s="3"/>
      <c r="FWC75" s="3"/>
      <c r="FWD75" s="3"/>
      <c r="FWE75" s="3"/>
      <c r="FWF75" s="3"/>
      <c r="FWG75" s="3"/>
      <c r="FWH75" s="3"/>
      <c r="FWI75" s="3"/>
      <c r="FWJ75" s="3"/>
      <c r="FWK75" s="3"/>
      <c r="FWL75" s="3"/>
      <c r="FWM75" s="3"/>
      <c r="FWN75" s="3"/>
      <c r="FWO75" s="3"/>
      <c r="FWP75" s="3"/>
      <c r="FWQ75" s="3"/>
      <c r="FWR75" s="3"/>
      <c r="FWS75" s="3"/>
      <c r="FWT75" s="3"/>
      <c r="FWU75" s="3"/>
      <c r="FWV75" s="3"/>
      <c r="FWW75" s="3"/>
      <c r="FWX75" s="3"/>
      <c r="FWY75" s="3"/>
      <c r="FWZ75" s="3"/>
      <c r="FXA75" s="3"/>
      <c r="FXB75" s="3"/>
      <c r="FXC75" s="3"/>
      <c r="FXD75" s="3"/>
      <c r="FXE75" s="3"/>
      <c r="FXF75" s="3"/>
      <c r="FXG75" s="3"/>
      <c r="FXH75" s="3"/>
      <c r="FXI75" s="3"/>
      <c r="FXJ75" s="3"/>
      <c r="FXK75" s="3"/>
      <c r="FXL75" s="3"/>
      <c r="FXM75" s="3"/>
      <c r="FXN75" s="3"/>
      <c r="FXO75" s="3"/>
      <c r="FXP75" s="3"/>
      <c r="FXQ75" s="3"/>
      <c r="FXR75" s="3"/>
      <c r="FXS75" s="3"/>
      <c r="FXT75" s="3"/>
      <c r="FXU75" s="3"/>
      <c r="FXV75" s="3"/>
      <c r="FXW75" s="3"/>
      <c r="FXX75" s="3"/>
      <c r="FXY75" s="3"/>
      <c r="FXZ75" s="3"/>
      <c r="FYA75" s="3"/>
      <c r="FYB75" s="3"/>
      <c r="FYC75" s="3"/>
      <c r="FYD75" s="3"/>
      <c r="FYE75" s="3"/>
      <c r="FYF75" s="3"/>
      <c r="FYG75" s="3"/>
      <c r="FYH75" s="3"/>
      <c r="FYI75" s="3"/>
      <c r="FYJ75" s="3"/>
      <c r="FYK75" s="3"/>
      <c r="FYL75" s="3"/>
      <c r="FYM75" s="3"/>
      <c r="FYN75" s="3"/>
      <c r="FYO75" s="3"/>
      <c r="FYP75" s="3"/>
      <c r="FYQ75" s="3"/>
      <c r="FYR75" s="3"/>
      <c r="FYS75" s="3"/>
      <c r="FYT75" s="3"/>
      <c r="FYU75" s="3"/>
      <c r="FYV75" s="3"/>
      <c r="FYW75" s="3"/>
      <c r="FYX75" s="3"/>
      <c r="FYY75" s="3"/>
      <c r="FYZ75" s="3"/>
      <c r="FZA75" s="3"/>
      <c r="FZB75" s="3"/>
      <c r="FZC75" s="3"/>
      <c r="FZD75" s="3"/>
      <c r="FZE75" s="3"/>
      <c r="FZF75" s="3"/>
      <c r="FZG75" s="3"/>
      <c r="FZH75" s="3"/>
      <c r="FZI75" s="3"/>
      <c r="FZJ75" s="3"/>
      <c r="FZK75" s="3"/>
      <c r="FZL75" s="3"/>
      <c r="FZM75" s="3"/>
      <c r="FZN75" s="3"/>
      <c r="FZO75" s="3"/>
      <c r="FZP75" s="3"/>
      <c r="FZQ75" s="3"/>
      <c r="FZR75" s="3"/>
      <c r="FZS75" s="3"/>
      <c r="FZT75" s="3"/>
      <c r="FZU75" s="3"/>
      <c r="FZV75" s="3"/>
      <c r="FZW75" s="3"/>
      <c r="FZX75" s="3"/>
      <c r="FZY75" s="3"/>
      <c r="FZZ75" s="3"/>
      <c r="GAA75" s="3"/>
      <c r="GAB75" s="3"/>
      <c r="GAC75" s="3"/>
      <c r="GAD75" s="3"/>
      <c r="GAE75" s="3"/>
      <c r="GAF75" s="3"/>
      <c r="GAG75" s="3"/>
      <c r="GAH75" s="3"/>
      <c r="GAI75" s="3"/>
      <c r="GAJ75" s="3"/>
      <c r="GAK75" s="3"/>
      <c r="GAL75" s="3"/>
      <c r="GAM75" s="3"/>
      <c r="GAN75" s="3"/>
      <c r="GAO75" s="3"/>
      <c r="GAP75" s="3"/>
      <c r="GAQ75" s="3"/>
      <c r="GAR75" s="3"/>
      <c r="GAS75" s="3"/>
      <c r="GAT75" s="3"/>
      <c r="GAU75" s="3"/>
      <c r="GAV75" s="3"/>
      <c r="GAW75" s="3"/>
      <c r="GAX75" s="3"/>
      <c r="GAY75" s="3"/>
      <c r="GAZ75" s="3"/>
      <c r="GBA75" s="3"/>
      <c r="GBB75" s="3"/>
      <c r="GBC75" s="3"/>
      <c r="GBD75" s="3"/>
      <c r="GBE75" s="3"/>
      <c r="GBF75" s="3"/>
      <c r="GBG75" s="3"/>
      <c r="GBH75" s="3"/>
      <c r="GBI75" s="3"/>
      <c r="GBJ75" s="3"/>
      <c r="GBK75" s="3"/>
      <c r="GBL75" s="3"/>
      <c r="GBM75" s="3"/>
      <c r="GBN75" s="3"/>
      <c r="GBO75" s="3"/>
      <c r="GBP75" s="3"/>
      <c r="GBQ75" s="3"/>
      <c r="GBR75" s="3"/>
      <c r="GBS75" s="3"/>
      <c r="GBT75" s="3"/>
      <c r="GBU75" s="3"/>
      <c r="GBV75" s="3"/>
      <c r="GBW75" s="3"/>
      <c r="GBX75" s="3"/>
      <c r="GBY75" s="3"/>
      <c r="GBZ75" s="3"/>
      <c r="GCA75" s="3"/>
      <c r="GCB75" s="3"/>
      <c r="GCC75" s="3"/>
      <c r="GCD75" s="3"/>
      <c r="GCE75" s="3"/>
      <c r="GCF75" s="3"/>
      <c r="GCG75" s="3"/>
      <c r="GCH75" s="3"/>
      <c r="GCI75" s="3"/>
      <c r="GCJ75" s="3"/>
      <c r="GCK75" s="3"/>
      <c r="GCL75" s="3"/>
      <c r="GCM75" s="3"/>
      <c r="GCN75" s="3"/>
      <c r="GCO75" s="3"/>
      <c r="GCP75" s="3"/>
      <c r="GCQ75" s="3"/>
      <c r="GCR75" s="3"/>
      <c r="GCS75" s="3"/>
      <c r="GCT75" s="3"/>
      <c r="GCU75" s="3"/>
      <c r="GCV75" s="3"/>
      <c r="GCW75" s="3"/>
      <c r="GCX75" s="3"/>
      <c r="GCY75" s="3"/>
      <c r="GCZ75" s="3"/>
      <c r="GDA75" s="3"/>
      <c r="GDB75" s="3"/>
      <c r="GDC75" s="3"/>
      <c r="GDD75" s="3"/>
      <c r="GDE75" s="3"/>
      <c r="GDF75" s="3"/>
      <c r="GDG75" s="3"/>
      <c r="GDH75" s="3"/>
      <c r="GDI75" s="3"/>
      <c r="GDJ75" s="3"/>
      <c r="GDK75" s="3"/>
      <c r="GDL75" s="3"/>
      <c r="GDM75" s="3"/>
      <c r="GDN75" s="3"/>
      <c r="GDO75" s="3"/>
      <c r="GDP75" s="3"/>
      <c r="GDQ75" s="3"/>
      <c r="GDR75" s="3"/>
      <c r="GDS75" s="3"/>
      <c r="GDT75" s="3"/>
      <c r="GDU75" s="3"/>
      <c r="GDV75" s="3"/>
      <c r="GDW75" s="3"/>
      <c r="GDX75" s="3"/>
      <c r="GDY75" s="3"/>
      <c r="GDZ75" s="3"/>
      <c r="GEA75" s="3"/>
      <c r="GEB75" s="3"/>
      <c r="GEC75" s="3"/>
      <c r="GED75" s="3"/>
      <c r="GEE75" s="3"/>
      <c r="GEF75" s="3"/>
      <c r="GEG75" s="3"/>
      <c r="GEH75" s="3"/>
      <c r="GEI75" s="3"/>
      <c r="GEJ75" s="3"/>
      <c r="GEK75" s="3"/>
      <c r="GEL75" s="3"/>
      <c r="GEM75" s="3"/>
      <c r="GEN75" s="3"/>
      <c r="GEO75" s="3"/>
      <c r="GEP75" s="3"/>
      <c r="GEQ75" s="3"/>
      <c r="GER75" s="3"/>
      <c r="GES75" s="3"/>
      <c r="GET75" s="3"/>
      <c r="GEU75" s="3"/>
      <c r="GEV75" s="3"/>
      <c r="GEW75" s="3"/>
      <c r="GEX75" s="3"/>
      <c r="GEY75" s="3"/>
      <c r="GEZ75" s="3"/>
      <c r="GFA75" s="3"/>
      <c r="GFB75" s="3"/>
      <c r="GFC75" s="3"/>
      <c r="GFD75" s="3"/>
      <c r="GFE75" s="3"/>
      <c r="GFF75" s="3"/>
      <c r="GFG75" s="3"/>
      <c r="GFH75" s="3"/>
      <c r="GFI75" s="3"/>
      <c r="GFJ75" s="3"/>
      <c r="GFK75" s="3"/>
      <c r="GFL75" s="3"/>
      <c r="GFM75" s="3"/>
      <c r="GFN75" s="3"/>
      <c r="GFO75" s="3"/>
      <c r="GFP75" s="3"/>
      <c r="GFQ75" s="3"/>
      <c r="GFR75" s="3"/>
      <c r="GFS75" s="3"/>
      <c r="GFT75" s="3"/>
      <c r="GFU75" s="3"/>
      <c r="GFV75" s="3"/>
      <c r="GFW75" s="3"/>
      <c r="GFX75" s="3"/>
      <c r="GFY75" s="3"/>
      <c r="GFZ75" s="3"/>
      <c r="GGA75" s="3"/>
      <c r="GGB75" s="3"/>
      <c r="GGC75" s="3"/>
      <c r="GGD75" s="3"/>
      <c r="GGE75" s="3"/>
      <c r="GGF75" s="3"/>
      <c r="GGG75" s="3"/>
      <c r="GGH75" s="3"/>
      <c r="GGI75" s="3"/>
      <c r="GGJ75" s="3"/>
      <c r="GGK75" s="3"/>
      <c r="GGL75" s="3"/>
      <c r="GGM75" s="3"/>
      <c r="GGN75" s="3"/>
      <c r="GGO75" s="3"/>
      <c r="GGP75" s="3"/>
      <c r="GGQ75" s="3"/>
      <c r="GGR75" s="3"/>
      <c r="GGS75" s="3"/>
      <c r="GGT75" s="3"/>
      <c r="GGU75" s="3"/>
      <c r="GGV75" s="3"/>
      <c r="GGW75" s="3"/>
      <c r="GGX75" s="3"/>
      <c r="GGY75" s="3"/>
      <c r="GGZ75" s="3"/>
      <c r="GHA75" s="3"/>
      <c r="GHB75" s="3"/>
      <c r="GHC75" s="3"/>
      <c r="GHD75" s="3"/>
      <c r="GHE75" s="3"/>
      <c r="GHF75" s="3"/>
      <c r="GHG75" s="3"/>
      <c r="GHH75" s="3"/>
      <c r="GHI75" s="3"/>
      <c r="GHJ75" s="3"/>
      <c r="GHK75" s="3"/>
      <c r="GHL75" s="3"/>
      <c r="GHM75" s="3"/>
      <c r="GHN75" s="3"/>
      <c r="GHO75" s="3"/>
      <c r="GHP75" s="3"/>
      <c r="GHQ75" s="3"/>
      <c r="GHR75" s="3"/>
      <c r="GHS75" s="3"/>
      <c r="GHT75" s="3"/>
      <c r="GHU75" s="3"/>
      <c r="GHV75" s="3"/>
      <c r="GHW75" s="3"/>
      <c r="GHX75" s="3"/>
      <c r="GHY75" s="3"/>
      <c r="GHZ75" s="3"/>
      <c r="GIA75" s="3"/>
      <c r="GIB75" s="3"/>
      <c r="GIC75" s="3"/>
      <c r="GID75" s="3"/>
      <c r="GIE75" s="3"/>
      <c r="GIF75" s="3"/>
      <c r="GIG75" s="3"/>
      <c r="GIH75" s="3"/>
      <c r="GII75" s="3"/>
      <c r="GIJ75" s="3"/>
      <c r="GIK75" s="3"/>
      <c r="GIL75" s="3"/>
      <c r="GIM75" s="3"/>
      <c r="GIN75" s="3"/>
      <c r="GIO75" s="3"/>
      <c r="GIP75" s="3"/>
      <c r="GIQ75" s="3"/>
      <c r="GIR75" s="3"/>
      <c r="GIS75" s="3"/>
      <c r="GIT75" s="3"/>
      <c r="GIU75" s="3"/>
      <c r="GIV75" s="3"/>
      <c r="GIW75" s="3"/>
      <c r="GIX75" s="3"/>
      <c r="GIY75" s="3"/>
      <c r="GIZ75" s="3"/>
      <c r="GJA75" s="3"/>
      <c r="GJB75" s="3"/>
      <c r="GJC75" s="3"/>
      <c r="GJD75" s="3"/>
      <c r="GJE75" s="3"/>
      <c r="GJF75" s="3"/>
      <c r="GJG75" s="3"/>
      <c r="GJH75" s="3"/>
      <c r="GJI75" s="3"/>
      <c r="GJJ75" s="3"/>
      <c r="GJK75" s="3"/>
      <c r="GJL75" s="3"/>
      <c r="GJM75" s="3"/>
      <c r="GJN75" s="3"/>
      <c r="GJO75" s="3"/>
      <c r="GJP75" s="3"/>
      <c r="GJQ75" s="3"/>
      <c r="GJR75" s="3"/>
      <c r="GJS75" s="3"/>
      <c r="GJT75" s="3"/>
      <c r="GJU75" s="3"/>
      <c r="GJV75" s="3"/>
      <c r="GJW75" s="3"/>
      <c r="GJX75" s="3"/>
      <c r="GJY75" s="3"/>
      <c r="GJZ75" s="3"/>
      <c r="GKA75" s="3"/>
      <c r="GKB75" s="3"/>
      <c r="GKC75" s="3"/>
      <c r="GKD75" s="3"/>
      <c r="GKE75" s="3"/>
      <c r="GKF75" s="3"/>
      <c r="GKG75" s="3"/>
      <c r="GKH75" s="3"/>
      <c r="GKI75" s="3"/>
      <c r="GKJ75" s="3"/>
      <c r="GKK75" s="3"/>
      <c r="GKL75" s="3"/>
      <c r="GKM75" s="3"/>
      <c r="GKN75" s="3"/>
      <c r="GKO75" s="3"/>
      <c r="GKP75" s="3"/>
      <c r="GKQ75" s="3"/>
      <c r="GKR75" s="3"/>
      <c r="GKS75" s="3"/>
      <c r="GKT75" s="3"/>
      <c r="GKU75" s="3"/>
      <c r="GKV75" s="3"/>
      <c r="GKW75" s="3"/>
      <c r="GKX75" s="3"/>
      <c r="GKY75" s="3"/>
      <c r="GKZ75" s="3"/>
      <c r="GLA75" s="3"/>
      <c r="GLB75" s="3"/>
      <c r="GLC75" s="3"/>
      <c r="GLD75" s="3"/>
      <c r="GLE75" s="3"/>
      <c r="GLF75" s="3"/>
      <c r="GLG75" s="3"/>
      <c r="GLH75" s="3"/>
      <c r="GLI75" s="3"/>
      <c r="GLJ75" s="3"/>
      <c r="GLK75" s="3"/>
      <c r="GLL75" s="3"/>
      <c r="GLM75" s="3"/>
      <c r="GLN75" s="3"/>
      <c r="GLO75" s="3"/>
      <c r="GLP75" s="3"/>
      <c r="GLQ75" s="3"/>
      <c r="GLR75" s="3"/>
      <c r="GLS75" s="3"/>
      <c r="GLT75" s="3"/>
      <c r="GLU75" s="3"/>
      <c r="GLV75" s="3"/>
      <c r="GLW75" s="3"/>
      <c r="GLX75" s="3"/>
      <c r="GLY75" s="3"/>
      <c r="GLZ75" s="3"/>
      <c r="GMA75" s="3"/>
      <c r="GMB75" s="3"/>
      <c r="GMC75" s="3"/>
      <c r="GMD75" s="3"/>
      <c r="GME75" s="3"/>
      <c r="GMF75" s="3"/>
      <c r="GMG75" s="3"/>
      <c r="GMH75" s="3"/>
      <c r="GMI75" s="3"/>
      <c r="GMJ75" s="3"/>
      <c r="GMK75" s="3"/>
      <c r="GML75" s="3"/>
      <c r="GMM75" s="3"/>
      <c r="GMN75" s="3"/>
      <c r="GMO75" s="3"/>
      <c r="GMP75" s="3"/>
      <c r="GMQ75" s="3"/>
      <c r="GMR75" s="3"/>
      <c r="GMS75" s="3"/>
      <c r="GMT75" s="3"/>
      <c r="GMU75" s="3"/>
      <c r="GMV75" s="3"/>
      <c r="GMW75" s="3"/>
      <c r="GMX75" s="3"/>
      <c r="GMY75" s="3"/>
      <c r="GMZ75" s="3"/>
      <c r="GNA75" s="3"/>
      <c r="GNB75" s="3"/>
      <c r="GNC75" s="3"/>
      <c r="GND75" s="3"/>
      <c r="GNE75" s="3"/>
      <c r="GNF75" s="3"/>
      <c r="GNG75" s="3"/>
      <c r="GNH75" s="3"/>
      <c r="GNI75" s="3"/>
      <c r="GNJ75" s="3"/>
      <c r="GNK75" s="3"/>
      <c r="GNL75" s="3"/>
      <c r="GNM75" s="3"/>
      <c r="GNN75" s="3"/>
      <c r="GNO75" s="3"/>
      <c r="GNP75" s="3"/>
      <c r="GNQ75" s="3"/>
      <c r="GNR75" s="3"/>
      <c r="GNS75" s="3"/>
      <c r="GNT75" s="3"/>
      <c r="GNU75" s="3"/>
      <c r="GNV75" s="3"/>
      <c r="GNW75" s="3"/>
      <c r="GNX75" s="3"/>
      <c r="GNY75" s="3"/>
      <c r="GNZ75" s="3"/>
      <c r="GOA75" s="3"/>
      <c r="GOB75" s="3"/>
      <c r="GOC75" s="3"/>
      <c r="GOD75" s="3"/>
      <c r="GOE75" s="3"/>
      <c r="GOF75" s="3"/>
      <c r="GOG75" s="3"/>
      <c r="GOH75" s="3"/>
      <c r="GOI75" s="3"/>
      <c r="GOJ75" s="3"/>
      <c r="GOK75" s="3"/>
      <c r="GOL75" s="3"/>
      <c r="GOM75" s="3"/>
      <c r="GON75" s="3"/>
      <c r="GOO75" s="3"/>
      <c r="GOP75" s="3"/>
      <c r="GOQ75" s="3"/>
      <c r="GOR75" s="3"/>
      <c r="GOS75" s="3"/>
      <c r="GOT75" s="3"/>
      <c r="GOU75" s="3"/>
      <c r="GOV75" s="3"/>
      <c r="GOW75" s="3"/>
      <c r="GOX75" s="3"/>
      <c r="GOY75" s="3"/>
      <c r="GOZ75" s="3"/>
      <c r="GPA75" s="3"/>
      <c r="GPB75" s="3"/>
      <c r="GPC75" s="3"/>
      <c r="GPD75" s="3"/>
      <c r="GPE75" s="3"/>
      <c r="GPF75" s="3"/>
      <c r="GPG75" s="3"/>
      <c r="GPH75" s="3"/>
      <c r="GPI75" s="3"/>
      <c r="GPJ75" s="3"/>
      <c r="GPK75" s="3"/>
      <c r="GPL75" s="3"/>
      <c r="GPM75" s="3"/>
      <c r="GPN75" s="3"/>
      <c r="GPO75" s="3"/>
      <c r="GPP75" s="3"/>
      <c r="GPQ75" s="3"/>
      <c r="GPR75" s="3"/>
      <c r="GPS75" s="3"/>
      <c r="GPT75" s="3"/>
      <c r="GPU75" s="3"/>
      <c r="GPV75" s="3"/>
      <c r="GPW75" s="3"/>
      <c r="GPX75" s="3"/>
      <c r="GPY75" s="3"/>
      <c r="GPZ75" s="3"/>
      <c r="GQA75" s="3"/>
      <c r="GQB75" s="3"/>
      <c r="GQC75" s="3"/>
      <c r="GQD75" s="3"/>
      <c r="GQE75" s="3"/>
      <c r="GQF75" s="3"/>
      <c r="GQG75" s="3"/>
      <c r="GQH75" s="3"/>
      <c r="GQI75" s="3"/>
      <c r="GQJ75" s="3"/>
      <c r="GQK75" s="3"/>
      <c r="GQL75" s="3"/>
      <c r="GQM75" s="3"/>
      <c r="GQN75" s="3"/>
      <c r="GQO75" s="3"/>
      <c r="GQP75" s="3"/>
      <c r="GQQ75" s="3"/>
      <c r="GQR75" s="3"/>
      <c r="GQS75" s="3"/>
      <c r="GQT75" s="3"/>
      <c r="GQU75" s="3"/>
      <c r="GQV75" s="3"/>
      <c r="GQW75" s="3"/>
      <c r="GQX75" s="3"/>
      <c r="GQY75" s="3"/>
      <c r="GQZ75" s="3"/>
      <c r="GRA75" s="3"/>
      <c r="GRB75" s="3"/>
      <c r="GRC75" s="3"/>
      <c r="GRD75" s="3"/>
      <c r="GRE75" s="3"/>
      <c r="GRF75" s="3"/>
      <c r="GRG75" s="3"/>
      <c r="GRH75" s="3"/>
      <c r="GRI75" s="3"/>
      <c r="GRJ75" s="3"/>
      <c r="GRK75" s="3"/>
      <c r="GRL75" s="3"/>
      <c r="GRM75" s="3"/>
      <c r="GRN75" s="3"/>
      <c r="GRO75" s="3"/>
      <c r="GRP75" s="3"/>
      <c r="GRQ75" s="3"/>
      <c r="GRR75" s="3"/>
      <c r="GRS75" s="3"/>
      <c r="GRT75" s="3"/>
      <c r="GRU75" s="3"/>
      <c r="GRV75" s="3"/>
      <c r="GRW75" s="3"/>
      <c r="GRX75" s="3"/>
      <c r="GRY75" s="3"/>
      <c r="GRZ75" s="3"/>
      <c r="GSA75" s="3"/>
      <c r="GSB75" s="3"/>
      <c r="GSC75" s="3"/>
      <c r="GSD75" s="3"/>
      <c r="GSE75" s="3"/>
      <c r="GSF75" s="3"/>
      <c r="GSG75" s="3"/>
      <c r="GSH75" s="3"/>
      <c r="GSI75" s="3"/>
      <c r="GSJ75" s="3"/>
      <c r="GSK75" s="3"/>
      <c r="GSL75" s="3"/>
      <c r="GSM75" s="3"/>
      <c r="GSN75" s="3"/>
      <c r="GSO75" s="3"/>
      <c r="GSP75" s="3"/>
      <c r="GSQ75" s="3"/>
      <c r="GSR75" s="3"/>
      <c r="GSS75" s="3"/>
      <c r="GST75" s="3"/>
      <c r="GSU75" s="3"/>
      <c r="GSV75" s="3"/>
      <c r="GSW75" s="3"/>
      <c r="GSX75" s="3"/>
      <c r="GSY75" s="3"/>
      <c r="GSZ75" s="3"/>
      <c r="GTA75" s="3"/>
      <c r="GTB75" s="3"/>
      <c r="GTC75" s="3"/>
      <c r="GTD75" s="3"/>
      <c r="GTE75" s="3"/>
      <c r="GTF75" s="3"/>
      <c r="GTG75" s="3"/>
      <c r="GTH75" s="3"/>
      <c r="GTI75" s="3"/>
      <c r="GTJ75" s="3"/>
      <c r="GTK75" s="3"/>
      <c r="GTL75" s="3"/>
      <c r="GTM75" s="3"/>
      <c r="GTN75" s="3"/>
      <c r="GTO75" s="3"/>
      <c r="GTP75" s="3"/>
      <c r="GTQ75" s="3"/>
      <c r="GTR75" s="3"/>
      <c r="GTS75" s="3"/>
      <c r="GTT75" s="3"/>
      <c r="GTU75" s="3"/>
      <c r="GTV75" s="3"/>
      <c r="GTW75" s="3"/>
      <c r="GTX75" s="3"/>
      <c r="GTY75" s="3"/>
      <c r="GTZ75" s="3"/>
      <c r="GUA75" s="3"/>
      <c r="GUB75" s="3"/>
      <c r="GUC75" s="3"/>
      <c r="GUD75" s="3"/>
      <c r="GUE75" s="3"/>
      <c r="GUF75" s="3"/>
      <c r="GUG75" s="3"/>
      <c r="GUH75" s="3"/>
      <c r="GUI75" s="3"/>
      <c r="GUJ75" s="3"/>
      <c r="GUK75" s="3"/>
      <c r="GUL75" s="3"/>
      <c r="GUM75" s="3"/>
      <c r="GUN75" s="3"/>
      <c r="GUO75" s="3"/>
      <c r="GUP75" s="3"/>
      <c r="GUQ75" s="3"/>
      <c r="GUR75" s="3"/>
      <c r="GUS75" s="3"/>
      <c r="GUT75" s="3"/>
      <c r="GUU75" s="3"/>
      <c r="GUV75" s="3"/>
      <c r="GUW75" s="3"/>
      <c r="GUX75" s="3"/>
      <c r="GUY75" s="3"/>
      <c r="GUZ75" s="3"/>
      <c r="GVA75" s="3"/>
      <c r="GVB75" s="3"/>
      <c r="GVC75" s="3"/>
      <c r="GVD75" s="3"/>
      <c r="GVE75" s="3"/>
      <c r="GVF75" s="3"/>
      <c r="GVG75" s="3"/>
      <c r="GVH75" s="3"/>
      <c r="GVI75" s="3"/>
      <c r="GVJ75" s="3"/>
      <c r="GVK75" s="3"/>
      <c r="GVL75" s="3"/>
      <c r="GVM75" s="3"/>
      <c r="GVN75" s="3"/>
      <c r="GVO75" s="3"/>
      <c r="GVP75" s="3"/>
      <c r="GVQ75" s="3"/>
      <c r="GVR75" s="3"/>
      <c r="GVS75" s="3"/>
      <c r="GVT75" s="3"/>
      <c r="GVU75" s="3"/>
      <c r="GVV75" s="3"/>
      <c r="GVW75" s="3"/>
      <c r="GVX75" s="3"/>
      <c r="GVY75" s="3"/>
      <c r="GVZ75" s="3"/>
      <c r="GWA75" s="3"/>
      <c r="GWB75" s="3"/>
      <c r="GWC75" s="3"/>
      <c r="GWD75" s="3"/>
      <c r="GWE75" s="3"/>
      <c r="GWF75" s="3"/>
      <c r="GWG75" s="3"/>
      <c r="GWH75" s="3"/>
      <c r="GWI75" s="3"/>
      <c r="GWJ75" s="3"/>
      <c r="GWK75" s="3"/>
      <c r="GWL75" s="3"/>
      <c r="GWM75" s="3"/>
      <c r="GWN75" s="3"/>
      <c r="GWO75" s="3"/>
      <c r="GWP75" s="3"/>
      <c r="GWQ75" s="3"/>
      <c r="GWR75" s="3"/>
      <c r="GWS75" s="3"/>
      <c r="GWT75" s="3"/>
      <c r="GWU75" s="3"/>
      <c r="GWV75" s="3"/>
      <c r="GWW75" s="3"/>
      <c r="GWX75" s="3"/>
      <c r="GWY75" s="3"/>
      <c r="GWZ75" s="3"/>
      <c r="GXA75" s="3"/>
      <c r="GXB75" s="3"/>
      <c r="GXC75" s="3"/>
      <c r="GXD75" s="3"/>
      <c r="GXE75" s="3"/>
      <c r="GXF75" s="3"/>
      <c r="GXG75" s="3"/>
      <c r="GXH75" s="3"/>
      <c r="GXI75" s="3"/>
      <c r="GXJ75" s="3"/>
      <c r="GXK75" s="3"/>
      <c r="GXL75" s="3"/>
      <c r="GXM75" s="3"/>
      <c r="GXN75" s="3"/>
      <c r="GXO75" s="3"/>
      <c r="GXP75" s="3"/>
      <c r="GXQ75" s="3"/>
      <c r="GXR75" s="3"/>
      <c r="GXS75" s="3"/>
      <c r="GXT75" s="3"/>
      <c r="GXU75" s="3"/>
      <c r="GXV75" s="3"/>
      <c r="GXW75" s="3"/>
      <c r="GXX75" s="3"/>
      <c r="GXY75" s="3"/>
      <c r="GXZ75" s="3"/>
      <c r="GYA75" s="3"/>
      <c r="GYB75" s="3"/>
      <c r="GYC75" s="3"/>
      <c r="GYD75" s="3"/>
      <c r="GYE75" s="3"/>
      <c r="GYF75" s="3"/>
      <c r="GYG75" s="3"/>
      <c r="GYH75" s="3"/>
      <c r="GYI75" s="3"/>
      <c r="GYJ75" s="3"/>
      <c r="GYK75" s="3"/>
      <c r="GYL75" s="3"/>
      <c r="GYM75" s="3"/>
      <c r="GYN75" s="3"/>
      <c r="GYO75" s="3"/>
      <c r="GYP75" s="3"/>
      <c r="GYQ75" s="3"/>
      <c r="GYR75" s="3"/>
      <c r="GYS75" s="3"/>
      <c r="GYT75" s="3"/>
      <c r="GYU75" s="3"/>
      <c r="GYV75" s="3"/>
      <c r="GYW75" s="3"/>
      <c r="GYX75" s="3"/>
      <c r="GYY75" s="3"/>
      <c r="GYZ75" s="3"/>
      <c r="GZA75" s="3"/>
      <c r="GZB75" s="3"/>
      <c r="GZC75" s="3"/>
      <c r="GZD75" s="3"/>
      <c r="GZE75" s="3"/>
      <c r="GZF75" s="3"/>
      <c r="GZG75" s="3"/>
      <c r="GZH75" s="3"/>
      <c r="GZI75" s="3"/>
      <c r="GZJ75" s="3"/>
      <c r="GZK75" s="3"/>
      <c r="GZL75" s="3"/>
      <c r="GZM75" s="3"/>
      <c r="GZN75" s="3"/>
      <c r="GZO75" s="3"/>
      <c r="GZP75" s="3"/>
      <c r="GZQ75" s="3"/>
      <c r="GZR75" s="3"/>
      <c r="GZS75" s="3"/>
      <c r="GZT75" s="3"/>
      <c r="GZU75" s="3"/>
      <c r="GZV75" s="3"/>
      <c r="GZW75" s="3"/>
      <c r="GZX75" s="3"/>
      <c r="GZY75" s="3"/>
      <c r="GZZ75" s="3"/>
      <c r="HAA75" s="3"/>
      <c r="HAB75" s="3"/>
      <c r="HAC75" s="3"/>
      <c r="HAD75" s="3"/>
      <c r="HAE75" s="3"/>
      <c r="HAF75" s="3"/>
      <c r="HAG75" s="3"/>
      <c r="HAH75" s="3"/>
      <c r="HAI75" s="3"/>
      <c r="HAJ75" s="3"/>
      <c r="HAK75" s="3"/>
      <c r="HAL75" s="3"/>
      <c r="HAM75" s="3"/>
      <c r="HAN75" s="3"/>
      <c r="HAO75" s="3"/>
      <c r="HAP75" s="3"/>
      <c r="HAQ75" s="3"/>
      <c r="HAR75" s="3"/>
      <c r="HAS75" s="3"/>
      <c r="HAT75" s="3"/>
      <c r="HAU75" s="3"/>
      <c r="HAV75" s="3"/>
      <c r="HAW75" s="3"/>
      <c r="HAX75" s="3"/>
      <c r="HAY75" s="3"/>
      <c r="HAZ75" s="3"/>
      <c r="HBA75" s="3"/>
      <c r="HBB75" s="3"/>
      <c r="HBC75" s="3"/>
      <c r="HBD75" s="3"/>
      <c r="HBE75" s="3"/>
      <c r="HBF75" s="3"/>
      <c r="HBG75" s="3"/>
      <c r="HBH75" s="3"/>
      <c r="HBI75" s="3"/>
      <c r="HBJ75" s="3"/>
      <c r="HBK75" s="3"/>
      <c r="HBL75" s="3"/>
      <c r="HBM75" s="3"/>
      <c r="HBN75" s="3"/>
      <c r="HBO75" s="3"/>
      <c r="HBP75" s="3"/>
      <c r="HBQ75" s="3"/>
      <c r="HBR75" s="3"/>
      <c r="HBS75" s="3"/>
      <c r="HBT75" s="3"/>
      <c r="HBU75" s="3"/>
      <c r="HBV75" s="3"/>
      <c r="HBW75" s="3"/>
      <c r="HBX75" s="3"/>
      <c r="HBY75" s="3"/>
      <c r="HBZ75" s="3"/>
      <c r="HCA75" s="3"/>
      <c r="HCB75" s="3"/>
      <c r="HCC75" s="3"/>
      <c r="HCD75" s="3"/>
      <c r="HCE75" s="3"/>
      <c r="HCF75" s="3"/>
      <c r="HCG75" s="3"/>
      <c r="HCH75" s="3"/>
      <c r="HCI75" s="3"/>
      <c r="HCJ75" s="3"/>
      <c r="HCK75" s="3"/>
      <c r="HCL75" s="3"/>
      <c r="HCM75" s="3"/>
      <c r="HCN75" s="3"/>
      <c r="HCO75" s="3"/>
      <c r="HCP75" s="3"/>
      <c r="HCQ75" s="3"/>
      <c r="HCR75" s="3"/>
      <c r="HCS75" s="3"/>
      <c r="HCT75" s="3"/>
      <c r="HCU75" s="3"/>
      <c r="HCV75" s="3"/>
      <c r="HCW75" s="3"/>
      <c r="HCX75" s="3"/>
      <c r="HCY75" s="3"/>
      <c r="HCZ75" s="3"/>
      <c r="HDA75" s="3"/>
      <c r="HDB75" s="3"/>
      <c r="HDC75" s="3"/>
      <c r="HDD75" s="3"/>
      <c r="HDE75" s="3"/>
      <c r="HDF75" s="3"/>
      <c r="HDG75" s="3"/>
      <c r="HDH75" s="3"/>
      <c r="HDI75" s="3"/>
      <c r="HDJ75" s="3"/>
      <c r="HDK75" s="3"/>
      <c r="HDL75" s="3"/>
      <c r="HDM75" s="3"/>
      <c r="HDN75" s="3"/>
      <c r="HDO75" s="3"/>
      <c r="HDP75" s="3"/>
      <c r="HDQ75" s="3"/>
      <c r="HDR75" s="3"/>
      <c r="HDS75" s="3"/>
      <c r="HDT75" s="3"/>
      <c r="HDU75" s="3"/>
      <c r="HDV75" s="3"/>
      <c r="HDW75" s="3"/>
      <c r="HDX75" s="3"/>
      <c r="HDY75" s="3"/>
      <c r="HDZ75" s="3"/>
      <c r="HEA75" s="3"/>
      <c r="HEB75" s="3"/>
      <c r="HEC75" s="3"/>
      <c r="HED75" s="3"/>
      <c r="HEE75" s="3"/>
      <c r="HEF75" s="3"/>
      <c r="HEG75" s="3"/>
      <c r="HEH75" s="3"/>
      <c r="HEI75" s="3"/>
      <c r="HEJ75" s="3"/>
      <c r="HEK75" s="3"/>
      <c r="HEL75" s="3"/>
      <c r="HEM75" s="3"/>
      <c r="HEN75" s="3"/>
      <c r="HEO75" s="3"/>
      <c r="HEP75" s="3"/>
      <c r="HEQ75" s="3"/>
      <c r="HER75" s="3"/>
      <c r="HES75" s="3"/>
      <c r="HET75" s="3"/>
      <c r="HEU75" s="3"/>
      <c r="HEV75" s="3"/>
      <c r="HEW75" s="3"/>
      <c r="HEX75" s="3"/>
      <c r="HEY75" s="3"/>
      <c r="HEZ75" s="3"/>
      <c r="HFA75" s="3"/>
      <c r="HFB75" s="3"/>
      <c r="HFC75" s="3"/>
      <c r="HFD75" s="3"/>
      <c r="HFE75" s="3"/>
      <c r="HFF75" s="3"/>
      <c r="HFG75" s="3"/>
      <c r="HFH75" s="3"/>
      <c r="HFI75" s="3"/>
      <c r="HFJ75" s="3"/>
      <c r="HFK75" s="3"/>
      <c r="HFL75" s="3"/>
      <c r="HFM75" s="3"/>
      <c r="HFN75" s="3"/>
      <c r="HFO75" s="3"/>
      <c r="HFP75" s="3"/>
      <c r="HFQ75" s="3"/>
      <c r="HFR75" s="3"/>
      <c r="HFS75" s="3"/>
      <c r="HFT75" s="3"/>
      <c r="HFU75" s="3"/>
      <c r="HFV75" s="3"/>
      <c r="HFW75" s="3"/>
      <c r="HFX75" s="3"/>
      <c r="HFY75" s="3"/>
      <c r="HFZ75" s="3"/>
      <c r="HGA75" s="3"/>
      <c r="HGB75" s="3"/>
      <c r="HGC75" s="3"/>
      <c r="HGD75" s="3"/>
      <c r="HGE75" s="3"/>
      <c r="HGF75" s="3"/>
      <c r="HGG75" s="3"/>
      <c r="HGH75" s="3"/>
      <c r="HGI75" s="3"/>
      <c r="HGJ75" s="3"/>
      <c r="HGK75" s="3"/>
      <c r="HGL75" s="3"/>
      <c r="HGM75" s="3"/>
      <c r="HGN75" s="3"/>
      <c r="HGO75" s="3"/>
      <c r="HGP75" s="3"/>
      <c r="HGQ75" s="3"/>
      <c r="HGR75" s="3"/>
      <c r="HGS75" s="3"/>
      <c r="HGT75" s="3"/>
      <c r="HGU75" s="3"/>
      <c r="HGV75" s="3"/>
      <c r="HGW75" s="3"/>
      <c r="HGX75" s="3"/>
      <c r="HGY75" s="3"/>
      <c r="HGZ75" s="3"/>
      <c r="HHA75" s="3"/>
      <c r="HHB75" s="3"/>
      <c r="HHC75" s="3"/>
      <c r="HHD75" s="3"/>
      <c r="HHE75" s="3"/>
      <c r="HHF75" s="3"/>
      <c r="HHG75" s="3"/>
      <c r="HHH75" s="3"/>
      <c r="HHI75" s="3"/>
      <c r="HHJ75" s="3"/>
      <c r="HHK75" s="3"/>
      <c r="HHL75" s="3"/>
      <c r="HHM75" s="3"/>
      <c r="HHN75" s="3"/>
      <c r="HHO75" s="3"/>
      <c r="HHP75" s="3"/>
      <c r="HHQ75" s="3"/>
      <c r="HHR75" s="3"/>
      <c r="HHS75" s="3"/>
      <c r="HHT75" s="3"/>
      <c r="HHU75" s="3"/>
      <c r="HHV75" s="3"/>
      <c r="HHW75" s="3"/>
      <c r="HHX75" s="3"/>
      <c r="HHY75" s="3"/>
      <c r="HHZ75" s="3"/>
      <c r="HIA75" s="3"/>
      <c r="HIB75" s="3"/>
      <c r="HIC75" s="3"/>
      <c r="HID75" s="3"/>
      <c r="HIE75" s="3"/>
      <c r="HIF75" s="3"/>
      <c r="HIG75" s="3"/>
      <c r="HIH75" s="3"/>
      <c r="HII75" s="3"/>
      <c r="HIJ75" s="3"/>
      <c r="HIK75" s="3"/>
      <c r="HIL75" s="3"/>
      <c r="HIM75" s="3"/>
      <c r="HIN75" s="3"/>
      <c r="HIO75" s="3"/>
      <c r="HIP75" s="3"/>
      <c r="HIQ75" s="3"/>
      <c r="HIR75" s="3"/>
      <c r="HIS75" s="3"/>
      <c r="HIT75" s="3"/>
      <c r="HIU75" s="3"/>
      <c r="HIV75" s="3"/>
      <c r="HIW75" s="3"/>
      <c r="HIX75" s="3"/>
      <c r="HIY75" s="3"/>
      <c r="HIZ75" s="3"/>
      <c r="HJA75" s="3"/>
      <c r="HJB75" s="3"/>
      <c r="HJC75" s="3"/>
      <c r="HJD75" s="3"/>
      <c r="HJE75" s="3"/>
      <c r="HJF75" s="3"/>
      <c r="HJG75" s="3"/>
      <c r="HJH75" s="3"/>
      <c r="HJI75" s="3"/>
      <c r="HJJ75" s="3"/>
      <c r="HJK75" s="3"/>
      <c r="HJL75" s="3"/>
      <c r="HJM75" s="3"/>
      <c r="HJN75" s="3"/>
      <c r="HJO75" s="3"/>
      <c r="HJP75" s="3"/>
      <c r="HJQ75" s="3"/>
      <c r="HJR75" s="3"/>
      <c r="HJS75" s="3"/>
      <c r="HJT75" s="3"/>
      <c r="HJU75" s="3"/>
      <c r="HJV75" s="3"/>
      <c r="HJW75" s="3"/>
      <c r="HJX75" s="3"/>
      <c r="HJY75" s="3"/>
      <c r="HJZ75" s="3"/>
      <c r="HKA75" s="3"/>
      <c r="HKB75" s="3"/>
      <c r="HKC75" s="3"/>
      <c r="HKD75" s="3"/>
      <c r="HKE75" s="3"/>
      <c r="HKF75" s="3"/>
      <c r="HKG75" s="3"/>
      <c r="HKH75" s="3"/>
      <c r="HKI75" s="3"/>
      <c r="HKJ75" s="3"/>
      <c r="HKK75" s="3"/>
      <c r="HKL75" s="3"/>
      <c r="HKM75" s="3"/>
      <c r="HKN75" s="3"/>
      <c r="HKO75" s="3"/>
      <c r="HKP75" s="3"/>
      <c r="HKQ75" s="3"/>
      <c r="HKR75" s="3"/>
      <c r="HKS75" s="3"/>
      <c r="HKT75" s="3"/>
      <c r="HKU75" s="3"/>
      <c r="HKV75" s="3"/>
      <c r="HKW75" s="3"/>
      <c r="HKX75" s="3"/>
      <c r="HKY75" s="3"/>
      <c r="HKZ75" s="3"/>
      <c r="HLA75" s="3"/>
      <c r="HLB75" s="3"/>
      <c r="HLC75" s="3"/>
      <c r="HLD75" s="3"/>
      <c r="HLE75" s="3"/>
      <c r="HLF75" s="3"/>
      <c r="HLG75" s="3"/>
      <c r="HLH75" s="3"/>
      <c r="HLI75" s="3"/>
      <c r="HLJ75" s="3"/>
      <c r="HLK75" s="3"/>
      <c r="HLL75" s="3"/>
      <c r="HLM75" s="3"/>
      <c r="HLN75" s="3"/>
      <c r="HLO75" s="3"/>
      <c r="HLP75" s="3"/>
      <c r="HLQ75" s="3"/>
      <c r="HLR75" s="3"/>
      <c r="HLS75" s="3"/>
      <c r="HLT75" s="3"/>
      <c r="HLU75" s="3"/>
      <c r="HLV75" s="3"/>
      <c r="HLW75" s="3"/>
      <c r="HLX75" s="3"/>
      <c r="HLY75" s="3"/>
      <c r="HLZ75" s="3"/>
      <c r="HMA75" s="3"/>
      <c r="HMB75" s="3"/>
      <c r="HMC75" s="3"/>
      <c r="HMD75" s="3"/>
      <c r="HME75" s="3"/>
      <c r="HMF75" s="3"/>
      <c r="HMG75" s="3"/>
      <c r="HMH75" s="3"/>
      <c r="HMI75" s="3"/>
      <c r="HMJ75" s="3"/>
      <c r="HMK75" s="3"/>
      <c r="HML75" s="3"/>
      <c r="HMM75" s="3"/>
      <c r="HMN75" s="3"/>
      <c r="HMO75" s="3"/>
      <c r="HMP75" s="3"/>
      <c r="HMQ75" s="3"/>
      <c r="HMR75" s="3"/>
      <c r="HMS75" s="3"/>
      <c r="HMT75" s="3"/>
      <c r="HMU75" s="3"/>
      <c r="HMV75" s="3"/>
      <c r="HMW75" s="3"/>
      <c r="HMX75" s="3"/>
      <c r="HMY75" s="3"/>
      <c r="HMZ75" s="3"/>
      <c r="HNA75" s="3"/>
      <c r="HNB75" s="3"/>
      <c r="HNC75" s="3"/>
      <c r="HND75" s="3"/>
      <c r="HNE75" s="3"/>
      <c r="HNF75" s="3"/>
      <c r="HNG75" s="3"/>
      <c r="HNH75" s="3"/>
      <c r="HNI75" s="3"/>
      <c r="HNJ75" s="3"/>
      <c r="HNK75" s="3"/>
      <c r="HNL75" s="3"/>
      <c r="HNM75" s="3"/>
      <c r="HNN75" s="3"/>
      <c r="HNO75" s="3"/>
      <c r="HNP75" s="3"/>
      <c r="HNQ75" s="3"/>
      <c r="HNR75" s="3"/>
      <c r="HNS75" s="3"/>
      <c r="HNT75" s="3"/>
      <c r="HNU75" s="3"/>
      <c r="HNV75" s="3"/>
      <c r="HNW75" s="3"/>
      <c r="HNX75" s="3"/>
      <c r="HNY75" s="3"/>
      <c r="HNZ75" s="3"/>
      <c r="HOA75" s="3"/>
      <c r="HOB75" s="3"/>
      <c r="HOC75" s="3"/>
      <c r="HOD75" s="3"/>
      <c r="HOE75" s="3"/>
      <c r="HOF75" s="3"/>
      <c r="HOG75" s="3"/>
      <c r="HOH75" s="3"/>
      <c r="HOI75" s="3"/>
      <c r="HOJ75" s="3"/>
      <c r="HOK75" s="3"/>
      <c r="HOL75" s="3"/>
      <c r="HOM75" s="3"/>
      <c r="HON75" s="3"/>
      <c r="HOO75" s="3"/>
      <c r="HOP75" s="3"/>
      <c r="HOQ75" s="3"/>
      <c r="HOR75" s="3"/>
      <c r="HOS75" s="3"/>
      <c r="HOT75" s="3"/>
      <c r="HOU75" s="3"/>
      <c r="HOV75" s="3"/>
      <c r="HOW75" s="3"/>
      <c r="HOX75" s="3"/>
      <c r="HOY75" s="3"/>
      <c r="HOZ75" s="3"/>
      <c r="HPA75" s="3"/>
      <c r="HPB75" s="3"/>
      <c r="HPC75" s="3"/>
      <c r="HPD75" s="3"/>
      <c r="HPE75" s="3"/>
      <c r="HPF75" s="3"/>
      <c r="HPG75" s="3"/>
      <c r="HPH75" s="3"/>
      <c r="HPI75" s="3"/>
      <c r="HPJ75" s="3"/>
      <c r="HPK75" s="3"/>
      <c r="HPL75" s="3"/>
      <c r="HPM75" s="3"/>
      <c r="HPN75" s="3"/>
      <c r="HPO75" s="3"/>
      <c r="HPP75" s="3"/>
      <c r="HPQ75" s="3"/>
      <c r="HPR75" s="3"/>
      <c r="HPS75" s="3"/>
      <c r="HPT75" s="3"/>
      <c r="HPU75" s="3"/>
      <c r="HPV75" s="3"/>
      <c r="HPW75" s="3"/>
      <c r="HPX75" s="3"/>
      <c r="HPY75" s="3"/>
      <c r="HPZ75" s="3"/>
      <c r="HQA75" s="3"/>
      <c r="HQB75" s="3"/>
      <c r="HQC75" s="3"/>
      <c r="HQD75" s="3"/>
      <c r="HQE75" s="3"/>
      <c r="HQF75" s="3"/>
      <c r="HQG75" s="3"/>
      <c r="HQH75" s="3"/>
      <c r="HQI75" s="3"/>
      <c r="HQJ75" s="3"/>
      <c r="HQK75" s="3"/>
      <c r="HQL75" s="3"/>
      <c r="HQM75" s="3"/>
      <c r="HQN75" s="3"/>
      <c r="HQO75" s="3"/>
      <c r="HQP75" s="3"/>
      <c r="HQQ75" s="3"/>
      <c r="HQR75" s="3"/>
      <c r="HQS75" s="3"/>
      <c r="HQT75" s="3"/>
      <c r="HQU75" s="3"/>
      <c r="HQV75" s="3"/>
      <c r="HQW75" s="3"/>
      <c r="HQX75" s="3"/>
      <c r="HQY75" s="3"/>
      <c r="HQZ75" s="3"/>
      <c r="HRA75" s="3"/>
      <c r="HRB75" s="3"/>
      <c r="HRC75" s="3"/>
      <c r="HRD75" s="3"/>
      <c r="HRE75" s="3"/>
      <c r="HRF75" s="3"/>
      <c r="HRG75" s="3"/>
      <c r="HRH75" s="3"/>
      <c r="HRI75" s="3"/>
      <c r="HRJ75" s="3"/>
      <c r="HRK75" s="3"/>
      <c r="HRL75" s="3"/>
      <c r="HRM75" s="3"/>
      <c r="HRN75" s="3"/>
      <c r="HRO75" s="3"/>
      <c r="HRP75" s="3"/>
      <c r="HRQ75" s="3"/>
      <c r="HRR75" s="3"/>
      <c r="HRS75" s="3"/>
      <c r="HRT75" s="3"/>
      <c r="HRU75" s="3"/>
      <c r="HRV75" s="3"/>
      <c r="HRW75" s="3"/>
      <c r="HRX75" s="3"/>
      <c r="HRY75" s="3"/>
      <c r="HRZ75" s="3"/>
      <c r="HSA75" s="3"/>
      <c r="HSB75" s="3"/>
      <c r="HSC75" s="3"/>
      <c r="HSD75" s="3"/>
      <c r="HSE75" s="3"/>
      <c r="HSF75" s="3"/>
      <c r="HSG75" s="3"/>
      <c r="HSH75" s="3"/>
      <c r="HSI75" s="3"/>
      <c r="HSJ75" s="3"/>
      <c r="HSK75" s="3"/>
      <c r="HSL75" s="3"/>
      <c r="HSM75" s="3"/>
      <c r="HSN75" s="3"/>
      <c r="HSO75" s="3"/>
      <c r="HSP75" s="3"/>
      <c r="HSQ75" s="3"/>
      <c r="HSR75" s="3"/>
      <c r="HSS75" s="3"/>
      <c r="HST75" s="3"/>
      <c r="HSU75" s="3"/>
      <c r="HSV75" s="3"/>
      <c r="HSW75" s="3"/>
      <c r="HSX75" s="3"/>
      <c r="HSY75" s="3"/>
      <c r="HSZ75" s="3"/>
      <c r="HTA75" s="3"/>
      <c r="HTB75" s="3"/>
      <c r="HTC75" s="3"/>
      <c r="HTD75" s="3"/>
      <c r="HTE75" s="3"/>
      <c r="HTF75" s="3"/>
      <c r="HTG75" s="3"/>
      <c r="HTH75" s="3"/>
      <c r="HTI75" s="3"/>
      <c r="HTJ75" s="3"/>
      <c r="HTK75" s="3"/>
      <c r="HTL75" s="3"/>
      <c r="HTM75" s="3"/>
      <c r="HTN75" s="3"/>
      <c r="HTO75" s="3"/>
      <c r="HTP75" s="3"/>
      <c r="HTQ75" s="3"/>
      <c r="HTR75" s="3"/>
      <c r="HTS75" s="3"/>
      <c r="HTT75" s="3"/>
      <c r="HTU75" s="3"/>
      <c r="HTV75" s="3"/>
      <c r="HTW75" s="3"/>
      <c r="HTX75" s="3"/>
      <c r="HTY75" s="3"/>
      <c r="HTZ75" s="3"/>
      <c r="HUA75" s="3"/>
      <c r="HUB75" s="3"/>
      <c r="HUC75" s="3"/>
      <c r="HUD75" s="3"/>
      <c r="HUE75" s="3"/>
      <c r="HUF75" s="3"/>
      <c r="HUG75" s="3"/>
      <c r="HUH75" s="3"/>
      <c r="HUI75" s="3"/>
      <c r="HUJ75" s="3"/>
      <c r="HUK75" s="3"/>
      <c r="HUL75" s="3"/>
      <c r="HUM75" s="3"/>
      <c r="HUN75" s="3"/>
      <c r="HUO75" s="3"/>
      <c r="HUP75" s="3"/>
      <c r="HUQ75" s="3"/>
      <c r="HUR75" s="3"/>
      <c r="HUS75" s="3"/>
      <c r="HUT75" s="3"/>
      <c r="HUU75" s="3"/>
      <c r="HUV75" s="3"/>
      <c r="HUW75" s="3"/>
      <c r="HUX75" s="3"/>
      <c r="HUY75" s="3"/>
      <c r="HUZ75" s="3"/>
      <c r="HVA75" s="3"/>
      <c r="HVB75" s="3"/>
      <c r="HVC75" s="3"/>
      <c r="HVD75" s="3"/>
      <c r="HVE75" s="3"/>
      <c r="HVF75" s="3"/>
      <c r="HVG75" s="3"/>
      <c r="HVH75" s="3"/>
      <c r="HVI75" s="3"/>
      <c r="HVJ75" s="3"/>
      <c r="HVK75" s="3"/>
      <c r="HVL75" s="3"/>
      <c r="HVM75" s="3"/>
      <c r="HVN75" s="3"/>
      <c r="HVO75" s="3"/>
      <c r="HVP75" s="3"/>
      <c r="HVQ75" s="3"/>
      <c r="HVR75" s="3"/>
      <c r="HVS75" s="3"/>
      <c r="HVT75" s="3"/>
      <c r="HVU75" s="3"/>
      <c r="HVV75" s="3"/>
      <c r="HVW75" s="3"/>
      <c r="HVX75" s="3"/>
      <c r="HVY75" s="3"/>
      <c r="HVZ75" s="3"/>
      <c r="HWA75" s="3"/>
      <c r="HWB75" s="3"/>
      <c r="HWC75" s="3"/>
      <c r="HWD75" s="3"/>
      <c r="HWE75" s="3"/>
      <c r="HWF75" s="3"/>
      <c r="HWG75" s="3"/>
      <c r="HWH75" s="3"/>
      <c r="HWI75" s="3"/>
      <c r="HWJ75" s="3"/>
      <c r="HWK75" s="3"/>
      <c r="HWL75" s="3"/>
      <c r="HWM75" s="3"/>
      <c r="HWN75" s="3"/>
      <c r="HWO75" s="3"/>
      <c r="HWP75" s="3"/>
      <c r="HWQ75" s="3"/>
      <c r="HWR75" s="3"/>
      <c r="HWS75" s="3"/>
      <c r="HWT75" s="3"/>
      <c r="HWU75" s="3"/>
      <c r="HWV75" s="3"/>
      <c r="HWW75" s="3"/>
      <c r="HWX75" s="3"/>
      <c r="HWY75" s="3"/>
      <c r="HWZ75" s="3"/>
      <c r="HXA75" s="3"/>
      <c r="HXB75" s="3"/>
      <c r="HXC75" s="3"/>
      <c r="HXD75" s="3"/>
      <c r="HXE75" s="3"/>
      <c r="HXF75" s="3"/>
      <c r="HXG75" s="3"/>
      <c r="HXH75" s="3"/>
      <c r="HXI75" s="3"/>
      <c r="HXJ75" s="3"/>
      <c r="HXK75" s="3"/>
      <c r="HXL75" s="3"/>
      <c r="HXM75" s="3"/>
      <c r="HXN75" s="3"/>
      <c r="HXO75" s="3"/>
      <c r="HXP75" s="3"/>
      <c r="HXQ75" s="3"/>
      <c r="HXR75" s="3"/>
      <c r="HXS75" s="3"/>
      <c r="HXT75" s="3"/>
      <c r="HXU75" s="3"/>
      <c r="HXV75" s="3"/>
      <c r="HXW75" s="3"/>
      <c r="HXX75" s="3"/>
      <c r="HXY75" s="3"/>
      <c r="HXZ75" s="3"/>
      <c r="HYA75" s="3"/>
      <c r="HYB75" s="3"/>
      <c r="HYC75" s="3"/>
      <c r="HYD75" s="3"/>
      <c r="HYE75" s="3"/>
      <c r="HYF75" s="3"/>
      <c r="HYG75" s="3"/>
      <c r="HYH75" s="3"/>
      <c r="HYI75" s="3"/>
      <c r="HYJ75" s="3"/>
      <c r="HYK75" s="3"/>
      <c r="HYL75" s="3"/>
      <c r="HYM75" s="3"/>
      <c r="HYN75" s="3"/>
      <c r="HYO75" s="3"/>
      <c r="HYP75" s="3"/>
      <c r="HYQ75" s="3"/>
      <c r="HYR75" s="3"/>
      <c r="HYS75" s="3"/>
      <c r="HYT75" s="3"/>
      <c r="HYU75" s="3"/>
      <c r="HYV75" s="3"/>
      <c r="HYW75" s="3"/>
      <c r="HYX75" s="3"/>
      <c r="HYY75" s="3"/>
      <c r="HYZ75" s="3"/>
      <c r="HZA75" s="3"/>
      <c r="HZB75" s="3"/>
      <c r="HZC75" s="3"/>
      <c r="HZD75" s="3"/>
      <c r="HZE75" s="3"/>
      <c r="HZF75" s="3"/>
      <c r="HZG75" s="3"/>
      <c r="HZH75" s="3"/>
      <c r="HZI75" s="3"/>
      <c r="HZJ75" s="3"/>
      <c r="HZK75" s="3"/>
      <c r="HZL75" s="3"/>
      <c r="HZM75" s="3"/>
      <c r="HZN75" s="3"/>
      <c r="HZO75" s="3"/>
      <c r="HZP75" s="3"/>
      <c r="HZQ75" s="3"/>
      <c r="HZR75" s="3"/>
      <c r="HZS75" s="3"/>
      <c r="HZT75" s="3"/>
      <c r="HZU75" s="3"/>
      <c r="HZV75" s="3"/>
      <c r="HZW75" s="3"/>
      <c r="HZX75" s="3"/>
      <c r="HZY75" s="3"/>
      <c r="HZZ75" s="3"/>
      <c r="IAA75" s="3"/>
      <c r="IAB75" s="3"/>
      <c r="IAC75" s="3"/>
      <c r="IAD75" s="3"/>
      <c r="IAE75" s="3"/>
      <c r="IAF75" s="3"/>
      <c r="IAG75" s="3"/>
      <c r="IAH75" s="3"/>
      <c r="IAI75" s="3"/>
      <c r="IAJ75" s="3"/>
      <c r="IAK75" s="3"/>
      <c r="IAL75" s="3"/>
      <c r="IAM75" s="3"/>
      <c r="IAN75" s="3"/>
      <c r="IAO75" s="3"/>
      <c r="IAP75" s="3"/>
      <c r="IAQ75" s="3"/>
      <c r="IAR75" s="3"/>
      <c r="IAS75" s="3"/>
      <c r="IAT75" s="3"/>
      <c r="IAU75" s="3"/>
      <c r="IAV75" s="3"/>
      <c r="IAW75" s="3"/>
      <c r="IAX75" s="3"/>
      <c r="IAY75" s="3"/>
      <c r="IAZ75" s="3"/>
      <c r="IBA75" s="3"/>
      <c r="IBB75" s="3"/>
      <c r="IBC75" s="3"/>
      <c r="IBD75" s="3"/>
      <c r="IBE75" s="3"/>
      <c r="IBF75" s="3"/>
      <c r="IBG75" s="3"/>
      <c r="IBH75" s="3"/>
      <c r="IBI75" s="3"/>
      <c r="IBJ75" s="3"/>
      <c r="IBK75" s="3"/>
      <c r="IBL75" s="3"/>
      <c r="IBM75" s="3"/>
      <c r="IBN75" s="3"/>
      <c r="IBO75" s="3"/>
      <c r="IBP75" s="3"/>
      <c r="IBQ75" s="3"/>
      <c r="IBR75" s="3"/>
      <c r="IBS75" s="3"/>
      <c r="IBT75" s="3"/>
      <c r="IBU75" s="3"/>
      <c r="IBV75" s="3"/>
      <c r="IBW75" s="3"/>
      <c r="IBX75" s="3"/>
      <c r="IBY75" s="3"/>
      <c r="IBZ75" s="3"/>
      <c r="ICA75" s="3"/>
      <c r="ICB75" s="3"/>
      <c r="ICC75" s="3"/>
      <c r="ICD75" s="3"/>
      <c r="ICE75" s="3"/>
      <c r="ICF75" s="3"/>
      <c r="ICG75" s="3"/>
      <c r="ICH75" s="3"/>
      <c r="ICI75" s="3"/>
      <c r="ICJ75" s="3"/>
      <c r="ICK75" s="3"/>
      <c r="ICL75" s="3"/>
      <c r="ICM75" s="3"/>
      <c r="ICN75" s="3"/>
      <c r="ICO75" s="3"/>
      <c r="ICP75" s="3"/>
      <c r="ICQ75" s="3"/>
      <c r="ICR75" s="3"/>
      <c r="ICS75" s="3"/>
      <c r="ICT75" s="3"/>
      <c r="ICU75" s="3"/>
      <c r="ICV75" s="3"/>
      <c r="ICW75" s="3"/>
      <c r="ICX75" s="3"/>
      <c r="ICY75" s="3"/>
      <c r="ICZ75" s="3"/>
      <c r="IDA75" s="3"/>
      <c r="IDB75" s="3"/>
      <c r="IDC75" s="3"/>
      <c r="IDD75" s="3"/>
      <c r="IDE75" s="3"/>
      <c r="IDF75" s="3"/>
      <c r="IDG75" s="3"/>
      <c r="IDH75" s="3"/>
      <c r="IDI75" s="3"/>
      <c r="IDJ75" s="3"/>
      <c r="IDK75" s="3"/>
      <c r="IDL75" s="3"/>
      <c r="IDM75" s="3"/>
      <c r="IDN75" s="3"/>
      <c r="IDO75" s="3"/>
      <c r="IDP75" s="3"/>
      <c r="IDQ75" s="3"/>
      <c r="IDR75" s="3"/>
      <c r="IDS75" s="3"/>
      <c r="IDT75" s="3"/>
      <c r="IDU75" s="3"/>
      <c r="IDV75" s="3"/>
      <c r="IDW75" s="3"/>
      <c r="IDX75" s="3"/>
      <c r="IDY75" s="3"/>
      <c r="IDZ75" s="3"/>
      <c r="IEA75" s="3"/>
      <c r="IEB75" s="3"/>
      <c r="IEC75" s="3"/>
      <c r="IED75" s="3"/>
      <c r="IEE75" s="3"/>
      <c r="IEF75" s="3"/>
      <c r="IEG75" s="3"/>
      <c r="IEH75" s="3"/>
      <c r="IEI75" s="3"/>
      <c r="IEJ75" s="3"/>
      <c r="IEK75" s="3"/>
      <c r="IEL75" s="3"/>
      <c r="IEM75" s="3"/>
      <c r="IEN75" s="3"/>
      <c r="IEO75" s="3"/>
      <c r="IEP75" s="3"/>
      <c r="IEQ75" s="3"/>
      <c r="IER75" s="3"/>
      <c r="IES75" s="3"/>
      <c r="IET75" s="3"/>
      <c r="IEU75" s="3"/>
      <c r="IEV75" s="3"/>
      <c r="IEW75" s="3"/>
      <c r="IEX75" s="3"/>
      <c r="IEY75" s="3"/>
      <c r="IEZ75" s="3"/>
      <c r="IFA75" s="3"/>
      <c r="IFB75" s="3"/>
      <c r="IFC75" s="3"/>
      <c r="IFD75" s="3"/>
      <c r="IFE75" s="3"/>
      <c r="IFF75" s="3"/>
      <c r="IFG75" s="3"/>
      <c r="IFH75" s="3"/>
      <c r="IFI75" s="3"/>
      <c r="IFJ75" s="3"/>
      <c r="IFK75" s="3"/>
      <c r="IFL75" s="3"/>
      <c r="IFM75" s="3"/>
      <c r="IFN75" s="3"/>
      <c r="IFO75" s="3"/>
      <c r="IFP75" s="3"/>
      <c r="IFQ75" s="3"/>
      <c r="IFR75" s="3"/>
      <c r="IFS75" s="3"/>
      <c r="IFT75" s="3"/>
      <c r="IFU75" s="3"/>
      <c r="IFV75" s="3"/>
      <c r="IFW75" s="3"/>
      <c r="IFX75" s="3"/>
      <c r="IFY75" s="3"/>
      <c r="IFZ75" s="3"/>
      <c r="IGA75" s="3"/>
      <c r="IGB75" s="3"/>
      <c r="IGC75" s="3"/>
      <c r="IGD75" s="3"/>
      <c r="IGE75" s="3"/>
      <c r="IGF75" s="3"/>
      <c r="IGG75" s="3"/>
      <c r="IGH75" s="3"/>
      <c r="IGI75" s="3"/>
      <c r="IGJ75" s="3"/>
      <c r="IGK75" s="3"/>
      <c r="IGL75" s="3"/>
      <c r="IGM75" s="3"/>
      <c r="IGN75" s="3"/>
      <c r="IGO75" s="3"/>
      <c r="IGP75" s="3"/>
      <c r="IGQ75" s="3"/>
      <c r="IGR75" s="3"/>
      <c r="IGS75" s="3"/>
      <c r="IGT75" s="3"/>
      <c r="IGU75" s="3"/>
      <c r="IGV75" s="3"/>
      <c r="IGW75" s="3"/>
      <c r="IGX75" s="3"/>
      <c r="IGY75" s="3"/>
      <c r="IGZ75" s="3"/>
      <c r="IHA75" s="3"/>
      <c r="IHB75" s="3"/>
      <c r="IHC75" s="3"/>
      <c r="IHD75" s="3"/>
      <c r="IHE75" s="3"/>
      <c r="IHF75" s="3"/>
      <c r="IHG75" s="3"/>
      <c r="IHH75" s="3"/>
      <c r="IHI75" s="3"/>
      <c r="IHJ75" s="3"/>
      <c r="IHK75" s="3"/>
      <c r="IHL75" s="3"/>
      <c r="IHM75" s="3"/>
      <c r="IHN75" s="3"/>
      <c r="IHO75" s="3"/>
      <c r="IHP75" s="3"/>
      <c r="IHQ75" s="3"/>
      <c r="IHR75" s="3"/>
      <c r="IHS75" s="3"/>
      <c r="IHT75" s="3"/>
      <c r="IHU75" s="3"/>
      <c r="IHV75" s="3"/>
      <c r="IHW75" s="3"/>
      <c r="IHX75" s="3"/>
      <c r="IHY75" s="3"/>
      <c r="IHZ75" s="3"/>
      <c r="IIA75" s="3"/>
      <c r="IIB75" s="3"/>
      <c r="IIC75" s="3"/>
      <c r="IID75" s="3"/>
      <c r="IIE75" s="3"/>
      <c r="IIF75" s="3"/>
      <c r="IIG75" s="3"/>
      <c r="IIH75" s="3"/>
      <c r="III75" s="3"/>
      <c r="IIJ75" s="3"/>
      <c r="IIK75" s="3"/>
      <c r="IIL75" s="3"/>
      <c r="IIM75" s="3"/>
      <c r="IIN75" s="3"/>
      <c r="IIO75" s="3"/>
      <c r="IIP75" s="3"/>
      <c r="IIQ75" s="3"/>
      <c r="IIR75" s="3"/>
      <c r="IIS75" s="3"/>
      <c r="IIT75" s="3"/>
      <c r="IIU75" s="3"/>
      <c r="IIV75" s="3"/>
      <c r="IIW75" s="3"/>
      <c r="IIX75" s="3"/>
      <c r="IIY75" s="3"/>
      <c r="IIZ75" s="3"/>
      <c r="IJA75" s="3"/>
      <c r="IJB75" s="3"/>
      <c r="IJC75" s="3"/>
      <c r="IJD75" s="3"/>
      <c r="IJE75" s="3"/>
      <c r="IJF75" s="3"/>
      <c r="IJG75" s="3"/>
      <c r="IJH75" s="3"/>
      <c r="IJI75" s="3"/>
      <c r="IJJ75" s="3"/>
      <c r="IJK75" s="3"/>
      <c r="IJL75" s="3"/>
      <c r="IJM75" s="3"/>
      <c r="IJN75" s="3"/>
      <c r="IJO75" s="3"/>
      <c r="IJP75" s="3"/>
      <c r="IJQ75" s="3"/>
      <c r="IJR75" s="3"/>
      <c r="IJS75" s="3"/>
      <c r="IJT75" s="3"/>
      <c r="IJU75" s="3"/>
      <c r="IJV75" s="3"/>
      <c r="IJW75" s="3"/>
      <c r="IJX75" s="3"/>
      <c r="IJY75" s="3"/>
      <c r="IJZ75" s="3"/>
      <c r="IKA75" s="3"/>
      <c r="IKB75" s="3"/>
      <c r="IKC75" s="3"/>
      <c r="IKD75" s="3"/>
      <c r="IKE75" s="3"/>
      <c r="IKF75" s="3"/>
      <c r="IKG75" s="3"/>
      <c r="IKH75" s="3"/>
      <c r="IKI75" s="3"/>
      <c r="IKJ75" s="3"/>
      <c r="IKK75" s="3"/>
      <c r="IKL75" s="3"/>
      <c r="IKM75" s="3"/>
      <c r="IKN75" s="3"/>
      <c r="IKO75" s="3"/>
      <c r="IKP75" s="3"/>
      <c r="IKQ75" s="3"/>
      <c r="IKR75" s="3"/>
      <c r="IKS75" s="3"/>
      <c r="IKT75" s="3"/>
      <c r="IKU75" s="3"/>
      <c r="IKV75" s="3"/>
      <c r="IKW75" s="3"/>
      <c r="IKX75" s="3"/>
      <c r="IKY75" s="3"/>
      <c r="IKZ75" s="3"/>
      <c r="ILA75" s="3"/>
      <c r="ILB75" s="3"/>
      <c r="ILC75" s="3"/>
      <c r="ILD75" s="3"/>
      <c r="ILE75" s="3"/>
      <c r="ILF75" s="3"/>
      <c r="ILG75" s="3"/>
      <c r="ILH75" s="3"/>
      <c r="ILI75" s="3"/>
      <c r="ILJ75" s="3"/>
      <c r="ILK75" s="3"/>
      <c r="ILL75" s="3"/>
      <c r="ILM75" s="3"/>
      <c r="ILN75" s="3"/>
      <c r="ILO75" s="3"/>
      <c r="ILP75" s="3"/>
      <c r="ILQ75" s="3"/>
      <c r="ILR75" s="3"/>
      <c r="ILS75" s="3"/>
      <c r="ILT75" s="3"/>
      <c r="ILU75" s="3"/>
      <c r="ILV75" s="3"/>
      <c r="ILW75" s="3"/>
      <c r="ILX75" s="3"/>
      <c r="ILY75" s="3"/>
      <c r="ILZ75" s="3"/>
      <c r="IMA75" s="3"/>
      <c r="IMB75" s="3"/>
      <c r="IMC75" s="3"/>
      <c r="IMD75" s="3"/>
      <c r="IME75" s="3"/>
      <c r="IMF75" s="3"/>
      <c r="IMG75" s="3"/>
      <c r="IMH75" s="3"/>
      <c r="IMI75" s="3"/>
      <c r="IMJ75" s="3"/>
      <c r="IMK75" s="3"/>
      <c r="IML75" s="3"/>
      <c r="IMM75" s="3"/>
      <c r="IMN75" s="3"/>
      <c r="IMO75" s="3"/>
      <c r="IMP75" s="3"/>
      <c r="IMQ75" s="3"/>
      <c r="IMR75" s="3"/>
      <c r="IMS75" s="3"/>
      <c r="IMT75" s="3"/>
      <c r="IMU75" s="3"/>
      <c r="IMV75" s="3"/>
      <c r="IMW75" s="3"/>
      <c r="IMX75" s="3"/>
      <c r="IMY75" s="3"/>
      <c r="IMZ75" s="3"/>
      <c r="INA75" s="3"/>
      <c r="INB75" s="3"/>
      <c r="INC75" s="3"/>
      <c r="IND75" s="3"/>
      <c r="INE75" s="3"/>
      <c r="INF75" s="3"/>
      <c r="ING75" s="3"/>
      <c r="INH75" s="3"/>
      <c r="INI75" s="3"/>
      <c r="INJ75" s="3"/>
      <c r="INK75" s="3"/>
      <c r="INL75" s="3"/>
      <c r="INM75" s="3"/>
      <c r="INN75" s="3"/>
      <c r="INO75" s="3"/>
      <c r="INP75" s="3"/>
      <c r="INQ75" s="3"/>
      <c r="INR75" s="3"/>
      <c r="INS75" s="3"/>
      <c r="INT75" s="3"/>
      <c r="INU75" s="3"/>
      <c r="INV75" s="3"/>
      <c r="INW75" s="3"/>
      <c r="INX75" s="3"/>
      <c r="INY75" s="3"/>
      <c r="INZ75" s="3"/>
      <c r="IOA75" s="3"/>
      <c r="IOB75" s="3"/>
      <c r="IOC75" s="3"/>
      <c r="IOD75" s="3"/>
      <c r="IOE75" s="3"/>
      <c r="IOF75" s="3"/>
      <c r="IOG75" s="3"/>
      <c r="IOH75" s="3"/>
      <c r="IOI75" s="3"/>
      <c r="IOJ75" s="3"/>
      <c r="IOK75" s="3"/>
      <c r="IOL75" s="3"/>
      <c r="IOM75" s="3"/>
      <c r="ION75" s="3"/>
      <c r="IOO75" s="3"/>
      <c r="IOP75" s="3"/>
      <c r="IOQ75" s="3"/>
      <c r="IOR75" s="3"/>
      <c r="IOS75" s="3"/>
      <c r="IOT75" s="3"/>
      <c r="IOU75" s="3"/>
      <c r="IOV75" s="3"/>
      <c r="IOW75" s="3"/>
      <c r="IOX75" s="3"/>
      <c r="IOY75" s="3"/>
      <c r="IOZ75" s="3"/>
      <c r="IPA75" s="3"/>
      <c r="IPB75" s="3"/>
      <c r="IPC75" s="3"/>
      <c r="IPD75" s="3"/>
      <c r="IPE75" s="3"/>
      <c r="IPF75" s="3"/>
      <c r="IPG75" s="3"/>
      <c r="IPH75" s="3"/>
      <c r="IPI75" s="3"/>
      <c r="IPJ75" s="3"/>
      <c r="IPK75" s="3"/>
      <c r="IPL75" s="3"/>
      <c r="IPM75" s="3"/>
      <c r="IPN75" s="3"/>
      <c r="IPO75" s="3"/>
      <c r="IPP75" s="3"/>
      <c r="IPQ75" s="3"/>
      <c r="IPR75" s="3"/>
      <c r="IPS75" s="3"/>
      <c r="IPT75" s="3"/>
      <c r="IPU75" s="3"/>
      <c r="IPV75" s="3"/>
      <c r="IPW75" s="3"/>
      <c r="IPX75" s="3"/>
      <c r="IPY75" s="3"/>
      <c r="IPZ75" s="3"/>
      <c r="IQA75" s="3"/>
      <c r="IQB75" s="3"/>
      <c r="IQC75" s="3"/>
      <c r="IQD75" s="3"/>
      <c r="IQE75" s="3"/>
      <c r="IQF75" s="3"/>
      <c r="IQG75" s="3"/>
      <c r="IQH75" s="3"/>
      <c r="IQI75" s="3"/>
      <c r="IQJ75" s="3"/>
      <c r="IQK75" s="3"/>
      <c r="IQL75" s="3"/>
      <c r="IQM75" s="3"/>
      <c r="IQN75" s="3"/>
      <c r="IQO75" s="3"/>
      <c r="IQP75" s="3"/>
      <c r="IQQ75" s="3"/>
      <c r="IQR75" s="3"/>
      <c r="IQS75" s="3"/>
      <c r="IQT75" s="3"/>
      <c r="IQU75" s="3"/>
      <c r="IQV75" s="3"/>
      <c r="IQW75" s="3"/>
      <c r="IQX75" s="3"/>
      <c r="IQY75" s="3"/>
      <c r="IQZ75" s="3"/>
      <c r="IRA75" s="3"/>
      <c r="IRB75" s="3"/>
      <c r="IRC75" s="3"/>
      <c r="IRD75" s="3"/>
      <c r="IRE75" s="3"/>
      <c r="IRF75" s="3"/>
      <c r="IRG75" s="3"/>
      <c r="IRH75" s="3"/>
      <c r="IRI75" s="3"/>
      <c r="IRJ75" s="3"/>
      <c r="IRK75" s="3"/>
      <c r="IRL75" s="3"/>
      <c r="IRM75" s="3"/>
      <c r="IRN75" s="3"/>
      <c r="IRO75" s="3"/>
      <c r="IRP75" s="3"/>
      <c r="IRQ75" s="3"/>
      <c r="IRR75" s="3"/>
      <c r="IRS75" s="3"/>
      <c r="IRT75" s="3"/>
      <c r="IRU75" s="3"/>
      <c r="IRV75" s="3"/>
      <c r="IRW75" s="3"/>
      <c r="IRX75" s="3"/>
      <c r="IRY75" s="3"/>
      <c r="IRZ75" s="3"/>
      <c r="ISA75" s="3"/>
      <c r="ISB75" s="3"/>
      <c r="ISC75" s="3"/>
      <c r="ISD75" s="3"/>
      <c r="ISE75" s="3"/>
      <c r="ISF75" s="3"/>
      <c r="ISG75" s="3"/>
      <c r="ISH75" s="3"/>
      <c r="ISI75" s="3"/>
      <c r="ISJ75" s="3"/>
      <c r="ISK75" s="3"/>
      <c r="ISL75" s="3"/>
      <c r="ISM75" s="3"/>
      <c r="ISN75" s="3"/>
      <c r="ISO75" s="3"/>
      <c r="ISP75" s="3"/>
      <c r="ISQ75" s="3"/>
      <c r="ISR75" s="3"/>
      <c r="ISS75" s="3"/>
      <c r="IST75" s="3"/>
      <c r="ISU75" s="3"/>
      <c r="ISV75" s="3"/>
      <c r="ISW75" s="3"/>
      <c r="ISX75" s="3"/>
      <c r="ISY75" s="3"/>
      <c r="ISZ75" s="3"/>
      <c r="ITA75" s="3"/>
      <c r="ITB75" s="3"/>
      <c r="ITC75" s="3"/>
      <c r="ITD75" s="3"/>
      <c r="ITE75" s="3"/>
      <c r="ITF75" s="3"/>
      <c r="ITG75" s="3"/>
      <c r="ITH75" s="3"/>
      <c r="ITI75" s="3"/>
      <c r="ITJ75" s="3"/>
      <c r="ITK75" s="3"/>
      <c r="ITL75" s="3"/>
      <c r="ITM75" s="3"/>
      <c r="ITN75" s="3"/>
      <c r="ITO75" s="3"/>
      <c r="ITP75" s="3"/>
      <c r="ITQ75" s="3"/>
      <c r="ITR75" s="3"/>
      <c r="ITS75" s="3"/>
      <c r="ITT75" s="3"/>
      <c r="ITU75" s="3"/>
      <c r="ITV75" s="3"/>
      <c r="ITW75" s="3"/>
      <c r="ITX75" s="3"/>
      <c r="ITY75" s="3"/>
      <c r="ITZ75" s="3"/>
      <c r="IUA75" s="3"/>
      <c r="IUB75" s="3"/>
      <c r="IUC75" s="3"/>
      <c r="IUD75" s="3"/>
      <c r="IUE75" s="3"/>
      <c r="IUF75" s="3"/>
      <c r="IUG75" s="3"/>
      <c r="IUH75" s="3"/>
      <c r="IUI75" s="3"/>
      <c r="IUJ75" s="3"/>
      <c r="IUK75" s="3"/>
      <c r="IUL75" s="3"/>
      <c r="IUM75" s="3"/>
      <c r="IUN75" s="3"/>
      <c r="IUO75" s="3"/>
      <c r="IUP75" s="3"/>
      <c r="IUQ75" s="3"/>
      <c r="IUR75" s="3"/>
      <c r="IUS75" s="3"/>
      <c r="IUT75" s="3"/>
      <c r="IUU75" s="3"/>
      <c r="IUV75" s="3"/>
      <c r="IUW75" s="3"/>
      <c r="IUX75" s="3"/>
      <c r="IUY75" s="3"/>
      <c r="IUZ75" s="3"/>
      <c r="IVA75" s="3"/>
      <c r="IVB75" s="3"/>
      <c r="IVC75" s="3"/>
      <c r="IVD75" s="3"/>
      <c r="IVE75" s="3"/>
      <c r="IVF75" s="3"/>
      <c r="IVG75" s="3"/>
      <c r="IVH75" s="3"/>
      <c r="IVI75" s="3"/>
      <c r="IVJ75" s="3"/>
      <c r="IVK75" s="3"/>
      <c r="IVL75" s="3"/>
      <c r="IVM75" s="3"/>
      <c r="IVN75" s="3"/>
      <c r="IVO75" s="3"/>
      <c r="IVP75" s="3"/>
      <c r="IVQ75" s="3"/>
      <c r="IVR75" s="3"/>
      <c r="IVS75" s="3"/>
      <c r="IVT75" s="3"/>
      <c r="IVU75" s="3"/>
      <c r="IVV75" s="3"/>
      <c r="IVW75" s="3"/>
      <c r="IVX75" s="3"/>
      <c r="IVY75" s="3"/>
      <c r="IVZ75" s="3"/>
      <c r="IWA75" s="3"/>
      <c r="IWB75" s="3"/>
      <c r="IWC75" s="3"/>
      <c r="IWD75" s="3"/>
      <c r="IWE75" s="3"/>
      <c r="IWF75" s="3"/>
      <c r="IWG75" s="3"/>
      <c r="IWH75" s="3"/>
      <c r="IWI75" s="3"/>
      <c r="IWJ75" s="3"/>
      <c r="IWK75" s="3"/>
      <c r="IWL75" s="3"/>
      <c r="IWM75" s="3"/>
      <c r="IWN75" s="3"/>
      <c r="IWO75" s="3"/>
      <c r="IWP75" s="3"/>
      <c r="IWQ75" s="3"/>
      <c r="IWR75" s="3"/>
      <c r="IWS75" s="3"/>
      <c r="IWT75" s="3"/>
      <c r="IWU75" s="3"/>
      <c r="IWV75" s="3"/>
      <c r="IWW75" s="3"/>
      <c r="IWX75" s="3"/>
      <c r="IWY75" s="3"/>
      <c r="IWZ75" s="3"/>
      <c r="IXA75" s="3"/>
      <c r="IXB75" s="3"/>
      <c r="IXC75" s="3"/>
      <c r="IXD75" s="3"/>
      <c r="IXE75" s="3"/>
      <c r="IXF75" s="3"/>
      <c r="IXG75" s="3"/>
      <c r="IXH75" s="3"/>
      <c r="IXI75" s="3"/>
      <c r="IXJ75" s="3"/>
      <c r="IXK75" s="3"/>
      <c r="IXL75" s="3"/>
      <c r="IXM75" s="3"/>
      <c r="IXN75" s="3"/>
      <c r="IXO75" s="3"/>
      <c r="IXP75" s="3"/>
      <c r="IXQ75" s="3"/>
      <c r="IXR75" s="3"/>
      <c r="IXS75" s="3"/>
      <c r="IXT75" s="3"/>
      <c r="IXU75" s="3"/>
      <c r="IXV75" s="3"/>
      <c r="IXW75" s="3"/>
      <c r="IXX75" s="3"/>
      <c r="IXY75" s="3"/>
      <c r="IXZ75" s="3"/>
      <c r="IYA75" s="3"/>
      <c r="IYB75" s="3"/>
      <c r="IYC75" s="3"/>
      <c r="IYD75" s="3"/>
      <c r="IYE75" s="3"/>
      <c r="IYF75" s="3"/>
      <c r="IYG75" s="3"/>
      <c r="IYH75" s="3"/>
      <c r="IYI75" s="3"/>
      <c r="IYJ75" s="3"/>
      <c r="IYK75" s="3"/>
      <c r="IYL75" s="3"/>
      <c r="IYM75" s="3"/>
      <c r="IYN75" s="3"/>
      <c r="IYO75" s="3"/>
      <c r="IYP75" s="3"/>
      <c r="IYQ75" s="3"/>
      <c r="IYR75" s="3"/>
      <c r="IYS75" s="3"/>
      <c r="IYT75" s="3"/>
      <c r="IYU75" s="3"/>
      <c r="IYV75" s="3"/>
      <c r="IYW75" s="3"/>
      <c r="IYX75" s="3"/>
      <c r="IYY75" s="3"/>
      <c r="IYZ75" s="3"/>
      <c r="IZA75" s="3"/>
      <c r="IZB75" s="3"/>
      <c r="IZC75" s="3"/>
      <c r="IZD75" s="3"/>
      <c r="IZE75" s="3"/>
      <c r="IZF75" s="3"/>
      <c r="IZG75" s="3"/>
      <c r="IZH75" s="3"/>
      <c r="IZI75" s="3"/>
      <c r="IZJ75" s="3"/>
      <c r="IZK75" s="3"/>
      <c r="IZL75" s="3"/>
      <c r="IZM75" s="3"/>
      <c r="IZN75" s="3"/>
      <c r="IZO75" s="3"/>
      <c r="IZP75" s="3"/>
      <c r="IZQ75" s="3"/>
      <c r="IZR75" s="3"/>
      <c r="IZS75" s="3"/>
      <c r="IZT75" s="3"/>
      <c r="IZU75" s="3"/>
      <c r="IZV75" s="3"/>
      <c r="IZW75" s="3"/>
      <c r="IZX75" s="3"/>
      <c r="IZY75" s="3"/>
      <c r="IZZ75" s="3"/>
      <c r="JAA75" s="3"/>
      <c r="JAB75" s="3"/>
      <c r="JAC75" s="3"/>
      <c r="JAD75" s="3"/>
      <c r="JAE75" s="3"/>
      <c r="JAF75" s="3"/>
      <c r="JAG75" s="3"/>
      <c r="JAH75" s="3"/>
      <c r="JAI75" s="3"/>
      <c r="JAJ75" s="3"/>
      <c r="JAK75" s="3"/>
      <c r="JAL75" s="3"/>
      <c r="JAM75" s="3"/>
      <c r="JAN75" s="3"/>
      <c r="JAO75" s="3"/>
      <c r="JAP75" s="3"/>
      <c r="JAQ75" s="3"/>
      <c r="JAR75" s="3"/>
      <c r="JAS75" s="3"/>
      <c r="JAT75" s="3"/>
      <c r="JAU75" s="3"/>
      <c r="JAV75" s="3"/>
      <c r="JAW75" s="3"/>
      <c r="JAX75" s="3"/>
      <c r="JAY75" s="3"/>
      <c r="JAZ75" s="3"/>
      <c r="JBA75" s="3"/>
      <c r="JBB75" s="3"/>
      <c r="JBC75" s="3"/>
      <c r="JBD75" s="3"/>
      <c r="JBE75" s="3"/>
      <c r="JBF75" s="3"/>
      <c r="JBG75" s="3"/>
      <c r="JBH75" s="3"/>
      <c r="JBI75" s="3"/>
      <c r="JBJ75" s="3"/>
      <c r="JBK75" s="3"/>
      <c r="JBL75" s="3"/>
      <c r="JBM75" s="3"/>
      <c r="JBN75" s="3"/>
      <c r="JBO75" s="3"/>
      <c r="JBP75" s="3"/>
      <c r="JBQ75" s="3"/>
      <c r="JBR75" s="3"/>
      <c r="JBS75" s="3"/>
      <c r="JBT75" s="3"/>
      <c r="JBU75" s="3"/>
      <c r="JBV75" s="3"/>
      <c r="JBW75" s="3"/>
      <c r="JBX75" s="3"/>
      <c r="JBY75" s="3"/>
      <c r="JBZ75" s="3"/>
      <c r="JCA75" s="3"/>
      <c r="JCB75" s="3"/>
      <c r="JCC75" s="3"/>
      <c r="JCD75" s="3"/>
      <c r="JCE75" s="3"/>
      <c r="JCF75" s="3"/>
      <c r="JCG75" s="3"/>
      <c r="JCH75" s="3"/>
      <c r="JCI75" s="3"/>
      <c r="JCJ75" s="3"/>
      <c r="JCK75" s="3"/>
      <c r="JCL75" s="3"/>
      <c r="JCM75" s="3"/>
      <c r="JCN75" s="3"/>
      <c r="JCO75" s="3"/>
      <c r="JCP75" s="3"/>
      <c r="JCQ75" s="3"/>
      <c r="JCR75" s="3"/>
      <c r="JCS75" s="3"/>
      <c r="JCT75" s="3"/>
      <c r="JCU75" s="3"/>
      <c r="JCV75" s="3"/>
      <c r="JCW75" s="3"/>
      <c r="JCX75" s="3"/>
      <c r="JCY75" s="3"/>
      <c r="JCZ75" s="3"/>
      <c r="JDA75" s="3"/>
      <c r="JDB75" s="3"/>
      <c r="JDC75" s="3"/>
      <c r="JDD75" s="3"/>
      <c r="JDE75" s="3"/>
      <c r="JDF75" s="3"/>
      <c r="JDG75" s="3"/>
      <c r="JDH75" s="3"/>
      <c r="JDI75" s="3"/>
      <c r="JDJ75" s="3"/>
      <c r="JDK75" s="3"/>
      <c r="JDL75" s="3"/>
      <c r="JDM75" s="3"/>
      <c r="JDN75" s="3"/>
      <c r="JDO75" s="3"/>
      <c r="JDP75" s="3"/>
      <c r="JDQ75" s="3"/>
      <c r="JDR75" s="3"/>
      <c r="JDS75" s="3"/>
      <c r="JDT75" s="3"/>
      <c r="JDU75" s="3"/>
      <c r="JDV75" s="3"/>
      <c r="JDW75" s="3"/>
      <c r="JDX75" s="3"/>
      <c r="JDY75" s="3"/>
      <c r="JDZ75" s="3"/>
      <c r="JEA75" s="3"/>
      <c r="JEB75" s="3"/>
      <c r="JEC75" s="3"/>
      <c r="JED75" s="3"/>
      <c r="JEE75" s="3"/>
      <c r="JEF75" s="3"/>
      <c r="JEG75" s="3"/>
      <c r="JEH75" s="3"/>
      <c r="JEI75" s="3"/>
      <c r="JEJ75" s="3"/>
      <c r="JEK75" s="3"/>
      <c r="JEL75" s="3"/>
      <c r="JEM75" s="3"/>
      <c r="JEN75" s="3"/>
      <c r="JEO75" s="3"/>
      <c r="JEP75" s="3"/>
      <c r="JEQ75" s="3"/>
      <c r="JER75" s="3"/>
      <c r="JES75" s="3"/>
      <c r="JET75" s="3"/>
      <c r="JEU75" s="3"/>
      <c r="JEV75" s="3"/>
      <c r="JEW75" s="3"/>
      <c r="JEX75" s="3"/>
      <c r="JEY75" s="3"/>
      <c r="JEZ75" s="3"/>
      <c r="JFA75" s="3"/>
      <c r="JFB75" s="3"/>
      <c r="JFC75" s="3"/>
      <c r="JFD75" s="3"/>
      <c r="JFE75" s="3"/>
      <c r="JFF75" s="3"/>
      <c r="JFG75" s="3"/>
      <c r="JFH75" s="3"/>
      <c r="JFI75" s="3"/>
      <c r="JFJ75" s="3"/>
      <c r="JFK75" s="3"/>
      <c r="JFL75" s="3"/>
      <c r="JFM75" s="3"/>
      <c r="JFN75" s="3"/>
      <c r="JFO75" s="3"/>
      <c r="JFP75" s="3"/>
      <c r="JFQ75" s="3"/>
      <c r="JFR75" s="3"/>
      <c r="JFS75" s="3"/>
      <c r="JFT75" s="3"/>
      <c r="JFU75" s="3"/>
      <c r="JFV75" s="3"/>
      <c r="JFW75" s="3"/>
      <c r="JFX75" s="3"/>
      <c r="JFY75" s="3"/>
      <c r="JFZ75" s="3"/>
      <c r="JGA75" s="3"/>
      <c r="JGB75" s="3"/>
      <c r="JGC75" s="3"/>
      <c r="JGD75" s="3"/>
      <c r="JGE75" s="3"/>
      <c r="JGF75" s="3"/>
      <c r="JGG75" s="3"/>
      <c r="JGH75" s="3"/>
      <c r="JGI75" s="3"/>
      <c r="JGJ75" s="3"/>
      <c r="JGK75" s="3"/>
      <c r="JGL75" s="3"/>
      <c r="JGM75" s="3"/>
      <c r="JGN75" s="3"/>
      <c r="JGO75" s="3"/>
      <c r="JGP75" s="3"/>
      <c r="JGQ75" s="3"/>
      <c r="JGR75" s="3"/>
      <c r="JGS75" s="3"/>
      <c r="JGT75" s="3"/>
      <c r="JGU75" s="3"/>
      <c r="JGV75" s="3"/>
      <c r="JGW75" s="3"/>
      <c r="JGX75" s="3"/>
      <c r="JGY75" s="3"/>
      <c r="JGZ75" s="3"/>
      <c r="JHA75" s="3"/>
      <c r="JHB75" s="3"/>
      <c r="JHC75" s="3"/>
      <c r="JHD75" s="3"/>
      <c r="JHE75" s="3"/>
      <c r="JHF75" s="3"/>
      <c r="JHG75" s="3"/>
      <c r="JHH75" s="3"/>
      <c r="JHI75" s="3"/>
      <c r="JHJ75" s="3"/>
      <c r="JHK75" s="3"/>
      <c r="JHL75" s="3"/>
      <c r="JHM75" s="3"/>
      <c r="JHN75" s="3"/>
      <c r="JHO75" s="3"/>
      <c r="JHP75" s="3"/>
      <c r="JHQ75" s="3"/>
      <c r="JHR75" s="3"/>
      <c r="JHS75" s="3"/>
      <c r="JHT75" s="3"/>
      <c r="JHU75" s="3"/>
      <c r="JHV75" s="3"/>
      <c r="JHW75" s="3"/>
      <c r="JHX75" s="3"/>
      <c r="JHY75" s="3"/>
      <c r="JHZ75" s="3"/>
      <c r="JIA75" s="3"/>
      <c r="JIB75" s="3"/>
      <c r="JIC75" s="3"/>
      <c r="JID75" s="3"/>
      <c r="JIE75" s="3"/>
      <c r="JIF75" s="3"/>
      <c r="JIG75" s="3"/>
      <c r="JIH75" s="3"/>
      <c r="JII75" s="3"/>
      <c r="JIJ75" s="3"/>
      <c r="JIK75" s="3"/>
      <c r="JIL75" s="3"/>
      <c r="JIM75" s="3"/>
      <c r="JIN75" s="3"/>
      <c r="JIO75" s="3"/>
      <c r="JIP75" s="3"/>
      <c r="JIQ75" s="3"/>
      <c r="JIR75" s="3"/>
      <c r="JIS75" s="3"/>
      <c r="JIT75" s="3"/>
      <c r="JIU75" s="3"/>
      <c r="JIV75" s="3"/>
      <c r="JIW75" s="3"/>
      <c r="JIX75" s="3"/>
      <c r="JIY75" s="3"/>
      <c r="JIZ75" s="3"/>
      <c r="JJA75" s="3"/>
      <c r="JJB75" s="3"/>
      <c r="JJC75" s="3"/>
      <c r="JJD75" s="3"/>
      <c r="JJE75" s="3"/>
      <c r="JJF75" s="3"/>
      <c r="JJG75" s="3"/>
      <c r="JJH75" s="3"/>
      <c r="JJI75" s="3"/>
      <c r="JJJ75" s="3"/>
      <c r="JJK75" s="3"/>
      <c r="JJL75" s="3"/>
      <c r="JJM75" s="3"/>
      <c r="JJN75" s="3"/>
      <c r="JJO75" s="3"/>
      <c r="JJP75" s="3"/>
      <c r="JJQ75" s="3"/>
      <c r="JJR75" s="3"/>
      <c r="JJS75" s="3"/>
      <c r="JJT75" s="3"/>
      <c r="JJU75" s="3"/>
      <c r="JJV75" s="3"/>
      <c r="JJW75" s="3"/>
      <c r="JJX75" s="3"/>
      <c r="JJY75" s="3"/>
      <c r="JJZ75" s="3"/>
      <c r="JKA75" s="3"/>
      <c r="JKB75" s="3"/>
      <c r="JKC75" s="3"/>
      <c r="JKD75" s="3"/>
      <c r="JKE75" s="3"/>
      <c r="JKF75" s="3"/>
      <c r="JKG75" s="3"/>
      <c r="JKH75" s="3"/>
      <c r="JKI75" s="3"/>
      <c r="JKJ75" s="3"/>
      <c r="JKK75" s="3"/>
      <c r="JKL75" s="3"/>
      <c r="JKM75" s="3"/>
      <c r="JKN75" s="3"/>
      <c r="JKO75" s="3"/>
      <c r="JKP75" s="3"/>
      <c r="JKQ75" s="3"/>
      <c r="JKR75" s="3"/>
      <c r="JKS75" s="3"/>
      <c r="JKT75" s="3"/>
      <c r="JKU75" s="3"/>
      <c r="JKV75" s="3"/>
      <c r="JKW75" s="3"/>
      <c r="JKX75" s="3"/>
      <c r="JKY75" s="3"/>
      <c r="JKZ75" s="3"/>
      <c r="JLA75" s="3"/>
      <c r="JLB75" s="3"/>
      <c r="JLC75" s="3"/>
      <c r="JLD75" s="3"/>
      <c r="JLE75" s="3"/>
      <c r="JLF75" s="3"/>
      <c r="JLG75" s="3"/>
      <c r="JLH75" s="3"/>
      <c r="JLI75" s="3"/>
      <c r="JLJ75" s="3"/>
      <c r="JLK75" s="3"/>
      <c r="JLL75" s="3"/>
      <c r="JLM75" s="3"/>
      <c r="JLN75" s="3"/>
      <c r="JLO75" s="3"/>
      <c r="JLP75" s="3"/>
      <c r="JLQ75" s="3"/>
      <c r="JLR75" s="3"/>
      <c r="JLS75" s="3"/>
      <c r="JLT75" s="3"/>
      <c r="JLU75" s="3"/>
      <c r="JLV75" s="3"/>
      <c r="JLW75" s="3"/>
      <c r="JLX75" s="3"/>
      <c r="JLY75" s="3"/>
      <c r="JLZ75" s="3"/>
      <c r="JMA75" s="3"/>
      <c r="JMB75" s="3"/>
      <c r="JMC75" s="3"/>
      <c r="JMD75" s="3"/>
      <c r="JME75" s="3"/>
      <c r="JMF75" s="3"/>
      <c r="JMG75" s="3"/>
      <c r="JMH75" s="3"/>
      <c r="JMI75" s="3"/>
      <c r="JMJ75" s="3"/>
      <c r="JMK75" s="3"/>
      <c r="JML75" s="3"/>
      <c r="JMM75" s="3"/>
      <c r="JMN75" s="3"/>
      <c r="JMO75" s="3"/>
      <c r="JMP75" s="3"/>
      <c r="JMQ75" s="3"/>
      <c r="JMR75" s="3"/>
      <c r="JMS75" s="3"/>
      <c r="JMT75" s="3"/>
      <c r="JMU75" s="3"/>
      <c r="JMV75" s="3"/>
      <c r="JMW75" s="3"/>
      <c r="JMX75" s="3"/>
      <c r="JMY75" s="3"/>
      <c r="JMZ75" s="3"/>
      <c r="JNA75" s="3"/>
      <c r="JNB75" s="3"/>
      <c r="JNC75" s="3"/>
      <c r="JND75" s="3"/>
      <c r="JNE75" s="3"/>
      <c r="JNF75" s="3"/>
      <c r="JNG75" s="3"/>
      <c r="JNH75" s="3"/>
      <c r="JNI75" s="3"/>
      <c r="JNJ75" s="3"/>
      <c r="JNK75" s="3"/>
      <c r="JNL75" s="3"/>
      <c r="JNM75" s="3"/>
      <c r="JNN75" s="3"/>
      <c r="JNO75" s="3"/>
      <c r="JNP75" s="3"/>
      <c r="JNQ75" s="3"/>
      <c r="JNR75" s="3"/>
      <c r="JNS75" s="3"/>
      <c r="JNT75" s="3"/>
      <c r="JNU75" s="3"/>
      <c r="JNV75" s="3"/>
      <c r="JNW75" s="3"/>
      <c r="JNX75" s="3"/>
      <c r="JNY75" s="3"/>
      <c r="JNZ75" s="3"/>
      <c r="JOA75" s="3"/>
      <c r="JOB75" s="3"/>
      <c r="JOC75" s="3"/>
      <c r="JOD75" s="3"/>
      <c r="JOE75" s="3"/>
      <c r="JOF75" s="3"/>
      <c r="JOG75" s="3"/>
      <c r="JOH75" s="3"/>
      <c r="JOI75" s="3"/>
      <c r="JOJ75" s="3"/>
      <c r="JOK75" s="3"/>
      <c r="JOL75" s="3"/>
      <c r="JOM75" s="3"/>
      <c r="JON75" s="3"/>
      <c r="JOO75" s="3"/>
      <c r="JOP75" s="3"/>
      <c r="JOQ75" s="3"/>
      <c r="JOR75" s="3"/>
      <c r="JOS75" s="3"/>
      <c r="JOT75" s="3"/>
      <c r="JOU75" s="3"/>
      <c r="JOV75" s="3"/>
      <c r="JOW75" s="3"/>
      <c r="JOX75" s="3"/>
      <c r="JOY75" s="3"/>
      <c r="JOZ75" s="3"/>
      <c r="JPA75" s="3"/>
      <c r="JPB75" s="3"/>
      <c r="JPC75" s="3"/>
      <c r="JPD75" s="3"/>
      <c r="JPE75" s="3"/>
      <c r="JPF75" s="3"/>
      <c r="JPG75" s="3"/>
      <c r="JPH75" s="3"/>
      <c r="JPI75" s="3"/>
      <c r="JPJ75" s="3"/>
      <c r="JPK75" s="3"/>
      <c r="JPL75" s="3"/>
      <c r="JPM75" s="3"/>
      <c r="JPN75" s="3"/>
      <c r="JPO75" s="3"/>
      <c r="JPP75" s="3"/>
      <c r="JPQ75" s="3"/>
      <c r="JPR75" s="3"/>
      <c r="JPS75" s="3"/>
      <c r="JPT75" s="3"/>
      <c r="JPU75" s="3"/>
      <c r="JPV75" s="3"/>
      <c r="JPW75" s="3"/>
      <c r="JPX75" s="3"/>
      <c r="JPY75" s="3"/>
      <c r="JPZ75" s="3"/>
      <c r="JQA75" s="3"/>
      <c r="JQB75" s="3"/>
      <c r="JQC75" s="3"/>
      <c r="JQD75" s="3"/>
      <c r="JQE75" s="3"/>
      <c r="JQF75" s="3"/>
      <c r="JQG75" s="3"/>
      <c r="JQH75" s="3"/>
      <c r="JQI75" s="3"/>
      <c r="JQJ75" s="3"/>
      <c r="JQK75" s="3"/>
      <c r="JQL75" s="3"/>
      <c r="JQM75" s="3"/>
      <c r="JQN75" s="3"/>
      <c r="JQO75" s="3"/>
      <c r="JQP75" s="3"/>
      <c r="JQQ75" s="3"/>
      <c r="JQR75" s="3"/>
      <c r="JQS75" s="3"/>
      <c r="JQT75" s="3"/>
      <c r="JQU75" s="3"/>
      <c r="JQV75" s="3"/>
      <c r="JQW75" s="3"/>
      <c r="JQX75" s="3"/>
      <c r="JQY75" s="3"/>
      <c r="JQZ75" s="3"/>
      <c r="JRA75" s="3"/>
      <c r="JRB75" s="3"/>
      <c r="JRC75" s="3"/>
      <c r="JRD75" s="3"/>
      <c r="JRE75" s="3"/>
      <c r="JRF75" s="3"/>
      <c r="JRG75" s="3"/>
      <c r="JRH75" s="3"/>
      <c r="JRI75" s="3"/>
      <c r="JRJ75" s="3"/>
      <c r="JRK75" s="3"/>
      <c r="JRL75" s="3"/>
      <c r="JRM75" s="3"/>
      <c r="JRN75" s="3"/>
      <c r="JRO75" s="3"/>
      <c r="JRP75" s="3"/>
      <c r="JRQ75" s="3"/>
      <c r="JRR75" s="3"/>
      <c r="JRS75" s="3"/>
      <c r="JRT75" s="3"/>
      <c r="JRU75" s="3"/>
      <c r="JRV75" s="3"/>
      <c r="JRW75" s="3"/>
      <c r="JRX75" s="3"/>
      <c r="JRY75" s="3"/>
      <c r="JRZ75" s="3"/>
      <c r="JSA75" s="3"/>
      <c r="JSB75" s="3"/>
      <c r="JSC75" s="3"/>
      <c r="JSD75" s="3"/>
      <c r="JSE75" s="3"/>
      <c r="JSF75" s="3"/>
      <c r="JSG75" s="3"/>
      <c r="JSH75" s="3"/>
      <c r="JSI75" s="3"/>
      <c r="JSJ75" s="3"/>
      <c r="JSK75" s="3"/>
      <c r="JSL75" s="3"/>
      <c r="JSM75" s="3"/>
      <c r="JSN75" s="3"/>
      <c r="JSO75" s="3"/>
      <c r="JSP75" s="3"/>
      <c r="JSQ75" s="3"/>
      <c r="JSR75" s="3"/>
      <c r="JSS75" s="3"/>
      <c r="JST75" s="3"/>
      <c r="JSU75" s="3"/>
      <c r="JSV75" s="3"/>
      <c r="JSW75" s="3"/>
      <c r="JSX75" s="3"/>
      <c r="JSY75" s="3"/>
      <c r="JSZ75" s="3"/>
      <c r="JTA75" s="3"/>
      <c r="JTB75" s="3"/>
      <c r="JTC75" s="3"/>
      <c r="JTD75" s="3"/>
      <c r="JTE75" s="3"/>
      <c r="JTF75" s="3"/>
      <c r="JTG75" s="3"/>
      <c r="JTH75" s="3"/>
      <c r="JTI75" s="3"/>
      <c r="JTJ75" s="3"/>
      <c r="JTK75" s="3"/>
      <c r="JTL75" s="3"/>
      <c r="JTM75" s="3"/>
      <c r="JTN75" s="3"/>
      <c r="JTO75" s="3"/>
      <c r="JTP75" s="3"/>
      <c r="JTQ75" s="3"/>
      <c r="JTR75" s="3"/>
      <c r="JTS75" s="3"/>
      <c r="JTT75" s="3"/>
      <c r="JTU75" s="3"/>
      <c r="JTV75" s="3"/>
      <c r="JTW75" s="3"/>
      <c r="JTX75" s="3"/>
      <c r="JTY75" s="3"/>
      <c r="JTZ75" s="3"/>
      <c r="JUA75" s="3"/>
      <c r="JUB75" s="3"/>
      <c r="JUC75" s="3"/>
      <c r="JUD75" s="3"/>
      <c r="JUE75" s="3"/>
      <c r="JUF75" s="3"/>
      <c r="JUG75" s="3"/>
      <c r="JUH75" s="3"/>
      <c r="JUI75" s="3"/>
      <c r="JUJ75" s="3"/>
      <c r="JUK75" s="3"/>
      <c r="JUL75" s="3"/>
      <c r="JUM75" s="3"/>
      <c r="JUN75" s="3"/>
      <c r="JUO75" s="3"/>
      <c r="JUP75" s="3"/>
      <c r="JUQ75" s="3"/>
      <c r="JUR75" s="3"/>
      <c r="JUS75" s="3"/>
      <c r="JUT75" s="3"/>
      <c r="JUU75" s="3"/>
      <c r="JUV75" s="3"/>
      <c r="JUW75" s="3"/>
      <c r="JUX75" s="3"/>
      <c r="JUY75" s="3"/>
      <c r="JUZ75" s="3"/>
      <c r="JVA75" s="3"/>
      <c r="JVB75" s="3"/>
      <c r="JVC75" s="3"/>
      <c r="JVD75" s="3"/>
      <c r="JVE75" s="3"/>
      <c r="JVF75" s="3"/>
      <c r="JVG75" s="3"/>
      <c r="JVH75" s="3"/>
      <c r="JVI75" s="3"/>
      <c r="JVJ75" s="3"/>
      <c r="JVK75" s="3"/>
      <c r="JVL75" s="3"/>
      <c r="JVM75" s="3"/>
      <c r="JVN75" s="3"/>
      <c r="JVO75" s="3"/>
      <c r="JVP75" s="3"/>
      <c r="JVQ75" s="3"/>
      <c r="JVR75" s="3"/>
      <c r="JVS75" s="3"/>
      <c r="JVT75" s="3"/>
      <c r="JVU75" s="3"/>
      <c r="JVV75" s="3"/>
      <c r="JVW75" s="3"/>
      <c r="JVX75" s="3"/>
      <c r="JVY75" s="3"/>
      <c r="JVZ75" s="3"/>
      <c r="JWA75" s="3"/>
      <c r="JWB75" s="3"/>
      <c r="JWC75" s="3"/>
      <c r="JWD75" s="3"/>
      <c r="JWE75" s="3"/>
      <c r="JWF75" s="3"/>
      <c r="JWG75" s="3"/>
      <c r="JWH75" s="3"/>
      <c r="JWI75" s="3"/>
      <c r="JWJ75" s="3"/>
      <c r="JWK75" s="3"/>
      <c r="JWL75" s="3"/>
      <c r="JWM75" s="3"/>
      <c r="JWN75" s="3"/>
      <c r="JWO75" s="3"/>
      <c r="JWP75" s="3"/>
      <c r="JWQ75" s="3"/>
      <c r="JWR75" s="3"/>
      <c r="JWS75" s="3"/>
      <c r="JWT75" s="3"/>
      <c r="JWU75" s="3"/>
      <c r="JWV75" s="3"/>
      <c r="JWW75" s="3"/>
      <c r="JWX75" s="3"/>
      <c r="JWY75" s="3"/>
      <c r="JWZ75" s="3"/>
      <c r="JXA75" s="3"/>
      <c r="JXB75" s="3"/>
      <c r="JXC75" s="3"/>
      <c r="JXD75" s="3"/>
      <c r="JXE75" s="3"/>
      <c r="JXF75" s="3"/>
      <c r="JXG75" s="3"/>
      <c r="JXH75" s="3"/>
      <c r="JXI75" s="3"/>
      <c r="JXJ75" s="3"/>
      <c r="JXK75" s="3"/>
      <c r="JXL75" s="3"/>
      <c r="JXM75" s="3"/>
      <c r="JXN75" s="3"/>
      <c r="JXO75" s="3"/>
      <c r="JXP75" s="3"/>
      <c r="JXQ75" s="3"/>
      <c r="JXR75" s="3"/>
      <c r="JXS75" s="3"/>
      <c r="JXT75" s="3"/>
      <c r="JXU75" s="3"/>
      <c r="JXV75" s="3"/>
      <c r="JXW75" s="3"/>
      <c r="JXX75" s="3"/>
      <c r="JXY75" s="3"/>
      <c r="JXZ75" s="3"/>
      <c r="JYA75" s="3"/>
      <c r="JYB75" s="3"/>
      <c r="JYC75" s="3"/>
      <c r="JYD75" s="3"/>
      <c r="JYE75" s="3"/>
      <c r="JYF75" s="3"/>
      <c r="JYG75" s="3"/>
      <c r="JYH75" s="3"/>
      <c r="JYI75" s="3"/>
      <c r="JYJ75" s="3"/>
      <c r="JYK75" s="3"/>
      <c r="JYL75" s="3"/>
      <c r="JYM75" s="3"/>
      <c r="JYN75" s="3"/>
      <c r="JYO75" s="3"/>
      <c r="JYP75" s="3"/>
      <c r="JYQ75" s="3"/>
      <c r="JYR75" s="3"/>
      <c r="JYS75" s="3"/>
      <c r="JYT75" s="3"/>
      <c r="JYU75" s="3"/>
      <c r="JYV75" s="3"/>
      <c r="JYW75" s="3"/>
      <c r="JYX75" s="3"/>
      <c r="JYY75" s="3"/>
      <c r="JYZ75" s="3"/>
      <c r="JZA75" s="3"/>
      <c r="JZB75" s="3"/>
      <c r="JZC75" s="3"/>
      <c r="JZD75" s="3"/>
      <c r="JZE75" s="3"/>
      <c r="JZF75" s="3"/>
      <c r="JZG75" s="3"/>
      <c r="JZH75" s="3"/>
      <c r="JZI75" s="3"/>
      <c r="JZJ75" s="3"/>
      <c r="JZK75" s="3"/>
      <c r="JZL75" s="3"/>
      <c r="JZM75" s="3"/>
      <c r="JZN75" s="3"/>
      <c r="JZO75" s="3"/>
      <c r="JZP75" s="3"/>
      <c r="JZQ75" s="3"/>
      <c r="JZR75" s="3"/>
      <c r="JZS75" s="3"/>
      <c r="JZT75" s="3"/>
      <c r="JZU75" s="3"/>
      <c r="JZV75" s="3"/>
      <c r="JZW75" s="3"/>
      <c r="JZX75" s="3"/>
      <c r="JZY75" s="3"/>
      <c r="JZZ75" s="3"/>
      <c r="KAA75" s="3"/>
      <c r="KAB75" s="3"/>
      <c r="KAC75" s="3"/>
      <c r="KAD75" s="3"/>
      <c r="KAE75" s="3"/>
      <c r="KAF75" s="3"/>
      <c r="KAG75" s="3"/>
      <c r="KAH75" s="3"/>
      <c r="KAI75" s="3"/>
      <c r="KAJ75" s="3"/>
      <c r="KAK75" s="3"/>
      <c r="KAL75" s="3"/>
      <c r="KAM75" s="3"/>
      <c r="KAN75" s="3"/>
      <c r="KAO75" s="3"/>
      <c r="KAP75" s="3"/>
      <c r="KAQ75" s="3"/>
      <c r="KAR75" s="3"/>
      <c r="KAS75" s="3"/>
      <c r="KAT75" s="3"/>
      <c r="KAU75" s="3"/>
      <c r="KAV75" s="3"/>
      <c r="KAW75" s="3"/>
      <c r="KAX75" s="3"/>
      <c r="KAY75" s="3"/>
      <c r="KAZ75" s="3"/>
      <c r="KBA75" s="3"/>
      <c r="KBB75" s="3"/>
      <c r="KBC75" s="3"/>
      <c r="KBD75" s="3"/>
      <c r="KBE75" s="3"/>
      <c r="KBF75" s="3"/>
      <c r="KBG75" s="3"/>
      <c r="KBH75" s="3"/>
      <c r="KBI75" s="3"/>
      <c r="KBJ75" s="3"/>
      <c r="KBK75" s="3"/>
      <c r="KBL75" s="3"/>
      <c r="KBM75" s="3"/>
      <c r="KBN75" s="3"/>
      <c r="KBO75" s="3"/>
      <c r="KBP75" s="3"/>
      <c r="KBQ75" s="3"/>
      <c r="KBR75" s="3"/>
      <c r="KBS75" s="3"/>
      <c r="KBT75" s="3"/>
      <c r="KBU75" s="3"/>
      <c r="KBV75" s="3"/>
      <c r="KBW75" s="3"/>
      <c r="KBX75" s="3"/>
      <c r="KBY75" s="3"/>
      <c r="KBZ75" s="3"/>
      <c r="KCA75" s="3"/>
      <c r="KCB75" s="3"/>
      <c r="KCC75" s="3"/>
      <c r="KCD75" s="3"/>
      <c r="KCE75" s="3"/>
      <c r="KCF75" s="3"/>
      <c r="KCG75" s="3"/>
      <c r="KCH75" s="3"/>
      <c r="KCI75" s="3"/>
      <c r="KCJ75" s="3"/>
      <c r="KCK75" s="3"/>
      <c r="KCL75" s="3"/>
      <c r="KCM75" s="3"/>
      <c r="KCN75" s="3"/>
      <c r="KCO75" s="3"/>
      <c r="KCP75" s="3"/>
      <c r="KCQ75" s="3"/>
      <c r="KCR75" s="3"/>
      <c r="KCS75" s="3"/>
      <c r="KCT75" s="3"/>
      <c r="KCU75" s="3"/>
      <c r="KCV75" s="3"/>
      <c r="KCW75" s="3"/>
      <c r="KCX75" s="3"/>
      <c r="KCY75" s="3"/>
      <c r="KCZ75" s="3"/>
      <c r="KDA75" s="3"/>
      <c r="KDB75" s="3"/>
      <c r="KDC75" s="3"/>
      <c r="KDD75" s="3"/>
      <c r="KDE75" s="3"/>
      <c r="KDF75" s="3"/>
      <c r="KDG75" s="3"/>
      <c r="KDH75" s="3"/>
      <c r="KDI75" s="3"/>
      <c r="KDJ75" s="3"/>
      <c r="KDK75" s="3"/>
      <c r="KDL75" s="3"/>
      <c r="KDM75" s="3"/>
      <c r="KDN75" s="3"/>
      <c r="KDO75" s="3"/>
      <c r="KDP75" s="3"/>
      <c r="KDQ75" s="3"/>
      <c r="KDR75" s="3"/>
      <c r="KDS75" s="3"/>
      <c r="KDT75" s="3"/>
      <c r="KDU75" s="3"/>
      <c r="KDV75" s="3"/>
      <c r="KDW75" s="3"/>
      <c r="KDX75" s="3"/>
      <c r="KDY75" s="3"/>
      <c r="KDZ75" s="3"/>
      <c r="KEA75" s="3"/>
      <c r="KEB75" s="3"/>
      <c r="KEC75" s="3"/>
      <c r="KED75" s="3"/>
      <c r="KEE75" s="3"/>
      <c r="KEF75" s="3"/>
      <c r="KEG75" s="3"/>
      <c r="KEH75" s="3"/>
      <c r="KEI75" s="3"/>
      <c r="KEJ75" s="3"/>
      <c r="KEK75" s="3"/>
      <c r="KEL75" s="3"/>
      <c r="KEM75" s="3"/>
      <c r="KEN75" s="3"/>
      <c r="KEO75" s="3"/>
      <c r="KEP75" s="3"/>
      <c r="KEQ75" s="3"/>
      <c r="KER75" s="3"/>
      <c r="KES75" s="3"/>
      <c r="KET75" s="3"/>
      <c r="KEU75" s="3"/>
      <c r="KEV75" s="3"/>
      <c r="KEW75" s="3"/>
      <c r="KEX75" s="3"/>
      <c r="KEY75" s="3"/>
      <c r="KEZ75" s="3"/>
      <c r="KFA75" s="3"/>
      <c r="KFB75" s="3"/>
      <c r="KFC75" s="3"/>
      <c r="KFD75" s="3"/>
      <c r="KFE75" s="3"/>
      <c r="KFF75" s="3"/>
      <c r="KFG75" s="3"/>
      <c r="KFH75" s="3"/>
      <c r="KFI75" s="3"/>
      <c r="KFJ75" s="3"/>
      <c r="KFK75" s="3"/>
      <c r="KFL75" s="3"/>
      <c r="KFM75" s="3"/>
      <c r="KFN75" s="3"/>
      <c r="KFO75" s="3"/>
      <c r="KFP75" s="3"/>
      <c r="KFQ75" s="3"/>
      <c r="KFR75" s="3"/>
      <c r="KFS75" s="3"/>
      <c r="KFT75" s="3"/>
      <c r="KFU75" s="3"/>
      <c r="KFV75" s="3"/>
      <c r="KFW75" s="3"/>
      <c r="KFX75" s="3"/>
      <c r="KFY75" s="3"/>
      <c r="KFZ75" s="3"/>
      <c r="KGA75" s="3"/>
      <c r="KGB75" s="3"/>
      <c r="KGC75" s="3"/>
      <c r="KGD75" s="3"/>
      <c r="KGE75" s="3"/>
      <c r="KGF75" s="3"/>
      <c r="KGG75" s="3"/>
      <c r="KGH75" s="3"/>
      <c r="KGI75" s="3"/>
      <c r="KGJ75" s="3"/>
      <c r="KGK75" s="3"/>
      <c r="KGL75" s="3"/>
      <c r="KGM75" s="3"/>
      <c r="KGN75" s="3"/>
      <c r="KGO75" s="3"/>
      <c r="KGP75" s="3"/>
      <c r="KGQ75" s="3"/>
      <c r="KGR75" s="3"/>
      <c r="KGS75" s="3"/>
      <c r="KGT75" s="3"/>
      <c r="KGU75" s="3"/>
      <c r="KGV75" s="3"/>
      <c r="KGW75" s="3"/>
      <c r="KGX75" s="3"/>
      <c r="KGY75" s="3"/>
      <c r="KGZ75" s="3"/>
      <c r="KHA75" s="3"/>
      <c r="KHB75" s="3"/>
      <c r="KHC75" s="3"/>
      <c r="KHD75" s="3"/>
      <c r="KHE75" s="3"/>
      <c r="KHF75" s="3"/>
      <c r="KHG75" s="3"/>
      <c r="KHH75" s="3"/>
      <c r="KHI75" s="3"/>
      <c r="KHJ75" s="3"/>
      <c r="KHK75" s="3"/>
      <c r="KHL75" s="3"/>
      <c r="KHM75" s="3"/>
      <c r="KHN75" s="3"/>
      <c r="KHO75" s="3"/>
      <c r="KHP75" s="3"/>
      <c r="KHQ75" s="3"/>
      <c r="KHR75" s="3"/>
      <c r="KHS75" s="3"/>
      <c r="KHT75" s="3"/>
      <c r="KHU75" s="3"/>
      <c r="KHV75" s="3"/>
      <c r="KHW75" s="3"/>
      <c r="KHX75" s="3"/>
      <c r="KHY75" s="3"/>
      <c r="KHZ75" s="3"/>
      <c r="KIA75" s="3"/>
      <c r="KIB75" s="3"/>
      <c r="KIC75" s="3"/>
      <c r="KID75" s="3"/>
      <c r="KIE75" s="3"/>
      <c r="KIF75" s="3"/>
      <c r="KIG75" s="3"/>
      <c r="KIH75" s="3"/>
      <c r="KII75" s="3"/>
      <c r="KIJ75" s="3"/>
      <c r="KIK75" s="3"/>
      <c r="KIL75" s="3"/>
      <c r="KIM75" s="3"/>
      <c r="KIN75" s="3"/>
      <c r="KIO75" s="3"/>
      <c r="KIP75" s="3"/>
      <c r="KIQ75" s="3"/>
      <c r="KIR75" s="3"/>
      <c r="KIS75" s="3"/>
      <c r="KIT75" s="3"/>
      <c r="KIU75" s="3"/>
      <c r="KIV75" s="3"/>
      <c r="KIW75" s="3"/>
      <c r="KIX75" s="3"/>
      <c r="KIY75" s="3"/>
      <c r="KIZ75" s="3"/>
      <c r="KJA75" s="3"/>
      <c r="KJB75" s="3"/>
      <c r="KJC75" s="3"/>
      <c r="KJD75" s="3"/>
      <c r="KJE75" s="3"/>
      <c r="KJF75" s="3"/>
      <c r="KJG75" s="3"/>
      <c r="KJH75" s="3"/>
      <c r="KJI75" s="3"/>
      <c r="KJJ75" s="3"/>
      <c r="KJK75" s="3"/>
      <c r="KJL75" s="3"/>
      <c r="KJM75" s="3"/>
      <c r="KJN75" s="3"/>
      <c r="KJO75" s="3"/>
      <c r="KJP75" s="3"/>
      <c r="KJQ75" s="3"/>
      <c r="KJR75" s="3"/>
      <c r="KJS75" s="3"/>
      <c r="KJT75" s="3"/>
      <c r="KJU75" s="3"/>
      <c r="KJV75" s="3"/>
      <c r="KJW75" s="3"/>
      <c r="KJX75" s="3"/>
      <c r="KJY75" s="3"/>
      <c r="KJZ75" s="3"/>
      <c r="KKA75" s="3"/>
      <c r="KKB75" s="3"/>
      <c r="KKC75" s="3"/>
      <c r="KKD75" s="3"/>
      <c r="KKE75" s="3"/>
      <c r="KKF75" s="3"/>
      <c r="KKG75" s="3"/>
      <c r="KKH75" s="3"/>
      <c r="KKI75" s="3"/>
      <c r="KKJ75" s="3"/>
      <c r="KKK75" s="3"/>
      <c r="KKL75" s="3"/>
      <c r="KKM75" s="3"/>
      <c r="KKN75" s="3"/>
      <c r="KKO75" s="3"/>
      <c r="KKP75" s="3"/>
      <c r="KKQ75" s="3"/>
      <c r="KKR75" s="3"/>
      <c r="KKS75" s="3"/>
      <c r="KKT75" s="3"/>
      <c r="KKU75" s="3"/>
      <c r="KKV75" s="3"/>
      <c r="KKW75" s="3"/>
      <c r="KKX75" s="3"/>
      <c r="KKY75" s="3"/>
      <c r="KKZ75" s="3"/>
      <c r="KLA75" s="3"/>
      <c r="KLB75" s="3"/>
      <c r="KLC75" s="3"/>
      <c r="KLD75" s="3"/>
      <c r="KLE75" s="3"/>
      <c r="KLF75" s="3"/>
      <c r="KLG75" s="3"/>
      <c r="KLH75" s="3"/>
      <c r="KLI75" s="3"/>
      <c r="KLJ75" s="3"/>
      <c r="KLK75" s="3"/>
      <c r="KLL75" s="3"/>
      <c r="KLM75" s="3"/>
      <c r="KLN75" s="3"/>
      <c r="KLO75" s="3"/>
      <c r="KLP75" s="3"/>
      <c r="KLQ75" s="3"/>
      <c r="KLR75" s="3"/>
      <c r="KLS75" s="3"/>
      <c r="KLT75" s="3"/>
      <c r="KLU75" s="3"/>
      <c r="KLV75" s="3"/>
      <c r="KLW75" s="3"/>
      <c r="KLX75" s="3"/>
      <c r="KLY75" s="3"/>
      <c r="KLZ75" s="3"/>
      <c r="KMA75" s="3"/>
      <c r="KMB75" s="3"/>
      <c r="KMC75" s="3"/>
      <c r="KMD75" s="3"/>
      <c r="KME75" s="3"/>
      <c r="KMF75" s="3"/>
      <c r="KMG75" s="3"/>
      <c r="KMH75" s="3"/>
      <c r="KMI75" s="3"/>
      <c r="KMJ75" s="3"/>
      <c r="KMK75" s="3"/>
      <c r="KML75" s="3"/>
      <c r="KMM75" s="3"/>
      <c r="KMN75" s="3"/>
      <c r="KMO75" s="3"/>
      <c r="KMP75" s="3"/>
      <c r="KMQ75" s="3"/>
      <c r="KMR75" s="3"/>
      <c r="KMS75" s="3"/>
      <c r="KMT75" s="3"/>
      <c r="KMU75" s="3"/>
      <c r="KMV75" s="3"/>
      <c r="KMW75" s="3"/>
      <c r="KMX75" s="3"/>
      <c r="KMY75" s="3"/>
      <c r="KMZ75" s="3"/>
      <c r="KNA75" s="3"/>
      <c r="KNB75" s="3"/>
      <c r="KNC75" s="3"/>
      <c r="KND75" s="3"/>
      <c r="KNE75" s="3"/>
      <c r="KNF75" s="3"/>
      <c r="KNG75" s="3"/>
      <c r="KNH75" s="3"/>
      <c r="KNI75" s="3"/>
      <c r="KNJ75" s="3"/>
      <c r="KNK75" s="3"/>
      <c r="KNL75" s="3"/>
      <c r="KNM75" s="3"/>
      <c r="KNN75" s="3"/>
      <c r="KNO75" s="3"/>
      <c r="KNP75" s="3"/>
      <c r="KNQ75" s="3"/>
      <c r="KNR75" s="3"/>
      <c r="KNS75" s="3"/>
      <c r="KNT75" s="3"/>
      <c r="KNU75" s="3"/>
      <c r="KNV75" s="3"/>
      <c r="KNW75" s="3"/>
      <c r="KNX75" s="3"/>
      <c r="KNY75" s="3"/>
      <c r="KNZ75" s="3"/>
      <c r="KOA75" s="3"/>
      <c r="KOB75" s="3"/>
      <c r="KOC75" s="3"/>
      <c r="KOD75" s="3"/>
      <c r="KOE75" s="3"/>
      <c r="KOF75" s="3"/>
      <c r="KOG75" s="3"/>
      <c r="KOH75" s="3"/>
      <c r="KOI75" s="3"/>
      <c r="KOJ75" s="3"/>
      <c r="KOK75" s="3"/>
      <c r="KOL75" s="3"/>
      <c r="KOM75" s="3"/>
      <c r="KON75" s="3"/>
      <c r="KOO75" s="3"/>
      <c r="KOP75" s="3"/>
      <c r="KOQ75" s="3"/>
      <c r="KOR75" s="3"/>
      <c r="KOS75" s="3"/>
      <c r="KOT75" s="3"/>
      <c r="KOU75" s="3"/>
      <c r="KOV75" s="3"/>
      <c r="KOW75" s="3"/>
      <c r="KOX75" s="3"/>
      <c r="KOY75" s="3"/>
      <c r="KOZ75" s="3"/>
      <c r="KPA75" s="3"/>
      <c r="KPB75" s="3"/>
      <c r="KPC75" s="3"/>
      <c r="KPD75" s="3"/>
      <c r="KPE75" s="3"/>
      <c r="KPF75" s="3"/>
      <c r="KPG75" s="3"/>
      <c r="KPH75" s="3"/>
      <c r="KPI75" s="3"/>
      <c r="KPJ75" s="3"/>
      <c r="KPK75" s="3"/>
      <c r="KPL75" s="3"/>
      <c r="KPM75" s="3"/>
      <c r="KPN75" s="3"/>
      <c r="KPO75" s="3"/>
      <c r="KPP75" s="3"/>
      <c r="KPQ75" s="3"/>
      <c r="KPR75" s="3"/>
      <c r="KPS75" s="3"/>
      <c r="KPT75" s="3"/>
      <c r="KPU75" s="3"/>
      <c r="KPV75" s="3"/>
      <c r="KPW75" s="3"/>
      <c r="KPX75" s="3"/>
      <c r="KPY75" s="3"/>
      <c r="KPZ75" s="3"/>
      <c r="KQA75" s="3"/>
      <c r="KQB75" s="3"/>
      <c r="KQC75" s="3"/>
      <c r="KQD75" s="3"/>
      <c r="KQE75" s="3"/>
      <c r="KQF75" s="3"/>
      <c r="KQG75" s="3"/>
      <c r="KQH75" s="3"/>
      <c r="KQI75" s="3"/>
      <c r="KQJ75" s="3"/>
      <c r="KQK75" s="3"/>
      <c r="KQL75" s="3"/>
      <c r="KQM75" s="3"/>
      <c r="KQN75" s="3"/>
      <c r="KQO75" s="3"/>
      <c r="KQP75" s="3"/>
      <c r="KQQ75" s="3"/>
      <c r="KQR75" s="3"/>
      <c r="KQS75" s="3"/>
      <c r="KQT75" s="3"/>
      <c r="KQU75" s="3"/>
      <c r="KQV75" s="3"/>
      <c r="KQW75" s="3"/>
      <c r="KQX75" s="3"/>
      <c r="KQY75" s="3"/>
      <c r="KQZ75" s="3"/>
      <c r="KRA75" s="3"/>
      <c r="KRB75" s="3"/>
      <c r="KRC75" s="3"/>
      <c r="KRD75" s="3"/>
      <c r="KRE75" s="3"/>
      <c r="KRF75" s="3"/>
      <c r="KRG75" s="3"/>
      <c r="KRH75" s="3"/>
      <c r="KRI75" s="3"/>
      <c r="KRJ75" s="3"/>
      <c r="KRK75" s="3"/>
      <c r="KRL75" s="3"/>
      <c r="KRM75" s="3"/>
      <c r="KRN75" s="3"/>
      <c r="KRO75" s="3"/>
      <c r="KRP75" s="3"/>
      <c r="KRQ75" s="3"/>
      <c r="KRR75" s="3"/>
      <c r="KRS75" s="3"/>
      <c r="KRT75" s="3"/>
      <c r="KRU75" s="3"/>
      <c r="KRV75" s="3"/>
      <c r="KRW75" s="3"/>
      <c r="KRX75" s="3"/>
      <c r="KRY75" s="3"/>
      <c r="KRZ75" s="3"/>
      <c r="KSA75" s="3"/>
      <c r="KSB75" s="3"/>
      <c r="KSC75" s="3"/>
      <c r="KSD75" s="3"/>
      <c r="KSE75" s="3"/>
      <c r="KSF75" s="3"/>
      <c r="KSG75" s="3"/>
      <c r="KSH75" s="3"/>
      <c r="KSI75" s="3"/>
      <c r="KSJ75" s="3"/>
      <c r="KSK75" s="3"/>
      <c r="KSL75" s="3"/>
      <c r="KSM75" s="3"/>
      <c r="KSN75" s="3"/>
      <c r="KSO75" s="3"/>
      <c r="KSP75" s="3"/>
      <c r="KSQ75" s="3"/>
      <c r="KSR75" s="3"/>
      <c r="KSS75" s="3"/>
      <c r="KST75" s="3"/>
      <c r="KSU75" s="3"/>
      <c r="KSV75" s="3"/>
      <c r="KSW75" s="3"/>
      <c r="KSX75" s="3"/>
      <c r="KSY75" s="3"/>
      <c r="KSZ75" s="3"/>
      <c r="KTA75" s="3"/>
      <c r="KTB75" s="3"/>
      <c r="KTC75" s="3"/>
      <c r="KTD75" s="3"/>
      <c r="KTE75" s="3"/>
      <c r="KTF75" s="3"/>
      <c r="KTG75" s="3"/>
      <c r="KTH75" s="3"/>
      <c r="KTI75" s="3"/>
      <c r="KTJ75" s="3"/>
      <c r="KTK75" s="3"/>
      <c r="KTL75" s="3"/>
      <c r="KTM75" s="3"/>
      <c r="KTN75" s="3"/>
      <c r="KTO75" s="3"/>
      <c r="KTP75" s="3"/>
      <c r="KTQ75" s="3"/>
      <c r="KTR75" s="3"/>
      <c r="KTS75" s="3"/>
      <c r="KTT75" s="3"/>
      <c r="KTU75" s="3"/>
      <c r="KTV75" s="3"/>
      <c r="KTW75" s="3"/>
      <c r="KTX75" s="3"/>
      <c r="KTY75" s="3"/>
      <c r="KTZ75" s="3"/>
      <c r="KUA75" s="3"/>
      <c r="KUB75" s="3"/>
      <c r="KUC75" s="3"/>
      <c r="KUD75" s="3"/>
      <c r="KUE75" s="3"/>
      <c r="KUF75" s="3"/>
      <c r="KUG75" s="3"/>
      <c r="KUH75" s="3"/>
      <c r="KUI75" s="3"/>
      <c r="KUJ75" s="3"/>
      <c r="KUK75" s="3"/>
      <c r="KUL75" s="3"/>
      <c r="KUM75" s="3"/>
      <c r="KUN75" s="3"/>
      <c r="KUO75" s="3"/>
      <c r="KUP75" s="3"/>
      <c r="KUQ75" s="3"/>
      <c r="KUR75" s="3"/>
      <c r="KUS75" s="3"/>
      <c r="KUT75" s="3"/>
      <c r="KUU75" s="3"/>
      <c r="KUV75" s="3"/>
      <c r="KUW75" s="3"/>
      <c r="KUX75" s="3"/>
      <c r="KUY75" s="3"/>
      <c r="KUZ75" s="3"/>
      <c r="KVA75" s="3"/>
      <c r="KVB75" s="3"/>
      <c r="KVC75" s="3"/>
      <c r="KVD75" s="3"/>
      <c r="KVE75" s="3"/>
      <c r="KVF75" s="3"/>
      <c r="KVG75" s="3"/>
      <c r="KVH75" s="3"/>
      <c r="KVI75" s="3"/>
      <c r="KVJ75" s="3"/>
      <c r="KVK75" s="3"/>
      <c r="KVL75" s="3"/>
      <c r="KVM75" s="3"/>
      <c r="KVN75" s="3"/>
      <c r="KVO75" s="3"/>
      <c r="KVP75" s="3"/>
      <c r="KVQ75" s="3"/>
      <c r="KVR75" s="3"/>
      <c r="KVS75" s="3"/>
      <c r="KVT75" s="3"/>
      <c r="KVU75" s="3"/>
      <c r="KVV75" s="3"/>
      <c r="KVW75" s="3"/>
      <c r="KVX75" s="3"/>
      <c r="KVY75" s="3"/>
      <c r="KVZ75" s="3"/>
      <c r="KWA75" s="3"/>
      <c r="KWB75" s="3"/>
      <c r="KWC75" s="3"/>
      <c r="KWD75" s="3"/>
      <c r="KWE75" s="3"/>
      <c r="KWF75" s="3"/>
      <c r="KWG75" s="3"/>
      <c r="KWH75" s="3"/>
      <c r="KWI75" s="3"/>
      <c r="KWJ75" s="3"/>
      <c r="KWK75" s="3"/>
      <c r="KWL75" s="3"/>
      <c r="KWM75" s="3"/>
      <c r="KWN75" s="3"/>
      <c r="KWO75" s="3"/>
      <c r="KWP75" s="3"/>
      <c r="KWQ75" s="3"/>
      <c r="KWR75" s="3"/>
      <c r="KWS75" s="3"/>
      <c r="KWT75" s="3"/>
      <c r="KWU75" s="3"/>
      <c r="KWV75" s="3"/>
      <c r="KWW75" s="3"/>
      <c r="KWX75" s="3"/>
      <c r="KWY75" s="3"/>
      <c r="KWZ75" s="3"/>
      <c r="KXA75" s="3"/>
      <c r="KXB75" s="3"/>
      <c r="KXC75" s="3"/>
      <c r="KXD75" s="3"/>
      <c r="KXE75" s="3"/>
      <c r="KXF75" s="3"/>
      <c r="KXG75" s="3"/>
      <c r="KXH75" s="3"/>
      <c r="KXI75" s="3"/>
      <c r="KXJ75" s="3"/>
      <c r="KXK75" s="3"/>
      <c r="KXL75" s="3"/>
      <c r="KXM75" s="3"/>
      <c r="KXN75" s="3"/>
      <c r="KXO75" s="3"/>
      <c r="KXP75" s="3"/>
      <c r="KXQ75" s="3"/>
      <c r="KXR75" s="3"/>
      <c r="KXS75" s="3"/>
      <c r="KXT75" s="3"/>
      <c r="KXU75" s="3"/>
      <c r="KXV75" s="3"/>
      <c r="KXW75" s="3"/>
      <c r="KXX75" s="3"/>
      <c r="KXY75" s="3"/>
      <c r="KXZ75" s="3"/>
      <c r="KYA75" s="3"/>
      <c r="KYB75" s="3"/>
      <c r="KYC75" s="3"/>
      <c r="KYD75" s="3"/>
      <c r="KYE75" s="3"/>
      <c r="KYF75" s="3"/>
      <c r="KYG75" s="3"/>
      <c r="KYH75" s="3"/>
      <c r="KYI75" s="3"/>
      <c r="KYJ75" s="3"/>
      <c r="KYK75" s="3"/>
      <c r="KYL75" s="3"/>
      <c r="KYM75" s="3"/>
      <c r="KYN75" s="3"/>
      <c r="KYO75" s="3"/>
      <c r="KYP75" s="3"/>
      <c r="KYQ75" s="3"/>
      <c r="KYR75" s="3"/>
      <c r="KYS75" s="3"/>
      <c r="KYT75" s="3"/>
      <c r="KYU75" s="3"/>
      <c r="KYV75" s="3"/>
      <c r="KYW75" s="3"/>
      <c r="KYX75" s="3"/>
      <c r="KYY75" s="3"/>
      <c r="KYZ75" s="3"/>
      <c r="KZA75" s="3"/>
      <c r="KZB75" s="3"/>
      <c r="KZC75" s="3"/>
      <c r="KZD75" s="3"/>
      <c r="KZE75" s="3"/>
      <c r="KZF75" s="3"/>
      <c r="KZG75" s="3"/>
      <c r="KZH75" s="3"/>
      <c r="KZI75" s="3"/>
      <c r="KZJ75" s="3"/>
      <c r="KZK75" s="3"/>
      <c r="KZL75" s="3"/>
      <c r="KZM75" s="3"/>
      <c r="KZN75" s="3"/>
      <c r="KZO75" s="3"/>
      <c r="KZP75" s="3"/>
      <c r="KZQ75" s="3"/>
      <c r="KZR75" s="3"/>
      <c r="KZS75" s="3"/>
      <c r="KZT75" s="3"/>
      <c r="KZU75" s="3"/>
      <c r="KZV75" s="3"/>
      <c r="KZW75" s="3"/>
      <c r="KZX75" s="3"/>
      <c r="KZY75" s="3"/>
      <c r="KZZ75" s="3"/>
      <c r="LAA75" s="3"/>
      <c r="LAB75" s="3"/>
      <c r="LAC75" s="3"/>
      <c r="LAD75" s="3"/>
      <c r="LAE75" s="3"/>
      <c r="LAF75" s="3"/>
      <c r="LAG75" s="3"/>
      <c r="LAH75" s="3"/>
      <c r="LAI75" s="3"/>
      <c r="LAJ75" s="3"/>
      <c r="LAK75" s="3"/>
      <c r="LAL75" s="3"/>
      <c r="LAM75" s="3"/>
      <c r="LAN75" s="3"/>
      <c r="LAO75" s="3"/>
      <c r="LAP75" s="3"/>
      <c r="LAQ75" s="3"/>
      <c r="LAR75" s="3"/>
      <c r="LAS75" s="3"/>
      <c r="LAT75" s="3"/>
      <c r="LAU75" s="3"/>
      <c r="LAV75" s="3"/>
      <c r="LAW75" s="3"/>
      <c r="LAX75" s="3"/>
      <c r="LAY75" s="3"/>
      <c r="LAZ75" s="3"/>
      <c r="LBA75" s="3"/>
      <c r="LBB75" s="3"/>
      <c r="LBC75" s="3"/>
      <c r="LBD75" s="3"/>
      <c r="LBE75" s="3"/>
      <c r="LBF75" s="3"/>
      <c r="LBG75" s="3"/>
      <c r="LBH75" s="3"/>
      <c r="LBI75" s="3"/>
      <c r="LBJ75" s="3"/>
      <c r="LBK75" s="3"/>
      <c r="LBL75" s="3"/>
      <c r="LBM75" s="3"/>
      <c r="LBN75" s="3"/>
      <c r="LBO75" s="3"/>
      <c r="LBP75" s="3"/>
      <c r="LBQ75" s="3"/>
      <c r="LBR75" s="3"/>
      <c r="LBS75" s="3"/>
      <c r="LBT75" s="3"/>
      <c r="LBU75" s="3"/>
      <c r="LBV75" s="3"/>
      <c r="LBW75" s="3"/>
      <c r="LBX75" s="3"/>
      <c r="LBY75" s="3"/>
      <c r="LBZ75" s="3"/>
      <c r="LCA75" s="3"/>
      <c r="LCB75" s="3"/>
      <c r="LCC75" s="3"/>
      <c r="LCD75" s="3"/>
      <c r="LCE75" s="3"/>
      <c r="LCF75" s="3"/>
      <c r="LCG75" s="3"/>
      <c r="LCH75" s="3"/>
      <c r="LCI75" s="3"/>
      <c r="LCJ75" s="3"/>
      <c r="LCK75" s="3"/>
      <c r="LCL75" s="3"/>
      <c r="LCM75" s="3"/>
      <c r="LCN75" s="3"/>
      <c r="LCO75" s="3"/>
      <c r="LCP75" s="3"/>
      <c r="LCQ75" s="3"/>
      <c r="LCR75" s="3"/>
      <c r="LCS75" s="3"/>
      <c r="LCT75" s="3"/>
      <c r="LCU75" s="3"/>
      <c r="LCV75" s="3"/>
      <c r="LCW75" s="3"/>
      <c r="LCX75" s="3"/>
      <c r="LCY75" s="3"/>
      <c r="LCZ75" s="3"/>
      <c r="LDA75" s="3"/>
      <c r="LDB75" s="3"/>
      <c r="LDC75" s="3"/>
      <c r="LDD75" s="3"/>
      <c r="LDE75" s="3"/>
      <c r="LDF75" s="3"/>
      <c r="LDG75" s="3"/>
      <c r="LDH75" s="3"/>
      <c r="LDI75" s="3"/>
      <c r="LDJ75" s="3"/>
      <c r="LDK75" s="3"/>
      <c r="LDL75" s="3"/>
      <c r="LDM75" s="3"/>
      <c r="LDN75" s="3"/>
      <c r="LDO75" s="3"/>
      <c r="LDP75" s="3"/>
      <c r="LDQ75" s="3"/>
      <c r="LDR75" s="3"/>
      <c r="LDS75" s="3"/>
      <c r="LDT75" s="3"/>
      <c r="LDU75" s="3"/>
      <c r="LDV75" s="3"/>
      <c r="LDW75" s="3"/>
      <c r="LDX75" s="3"/>
      <c r="LDY75" s="3"/>
      <c r="LDZ75" s="3"/>
      <c r="LEA75" s="3"/>
      <c r="LEB75" s="3"/>
      <c r="LEC75" s="3"/>
      <c r="LED75" s="3"/>
      <c r="LEE75" s="3"/>
      <c r="LEF75" s="3"/>
      <c r="LEG75" s="3"/>
      <c r="LEH75" s="3"/>
      <c r="LEI75" s="3"/>
      <c r="LEJ75" s="3"/>
      <c r="LEK75" s="3"/>
      <c r="LEL75" s="3"/>
      <c r="LEM75" s="3"/>
      <c r="LEN75" s="3"/>
      <c r="LEO75" s="3"/>
      <c r="LEP75" s="3"/>
      <c r="LEQ75" s="3"/>
      <c r="LER75" s="3"/>
      <c r="LES75" s="3"/>
      <c r="LET75" s="3"/>
      <c r="LEU75" s="3"/>
      <c r="LEV75" s="3"/>
      <c r="LEW75" s="3"/>
      <c r="LEX75" s="3"/>
      <c r="LEY75" s="3"/>
      <c r="LEZ75" s="3"/>
      <c r="LFA75" s="3"/>
      <c r="LFB75" s="3"/>
      <c r="LFC75" s="3"/>
      <c r="LFD75" s="3"/>
      <c r="LFE75" s="3"/>
      <c r="LFF75" s="3"/>
      <c r="LFG75" s="3"/>
      <c r="LFH75" s="3"/>
      <c r="LFI75" s="3"/>
      <c r="LFJ75" s="3"/>
      <c r="LFK75" s="3"/>
      <c r="LFL75" s="3"/>
      <c r="LFM75" s="3"/>
      <c r="LFN75" s="3"/>
      <c r="LFO75" s="3"/>
      <c r="LFP75" s="3"/>
      <c r="LFQ75" s="3"/>
      <c r="LFR75" s="3"/>
      <c r="LFS75" s="3"/>
      <c r="LFT75" s="3"/>
      <c r="LFU75" s="3"/>
      <c r="LFV75" s="3"/>
      <c r="LFW75" s="3"/>
      <c r="LFX75" s="3"/>
      <c r="LFY75" s="3"/>
      <c r="LFZ75" s="3"/>
      <c r="LGA75" s="3"/>
      <c r="LGB75" s="3"/>
      <c r="LGC75" s="3"/>
      <c r="LGD75" s="3"/>
      <c r="LGE75" s="3"/>
      <c r="LGF75" s="3"/>
      <c r="LGG75" s="3"/>
      <c r="LGH75" s="3"/>
      <c r="LGI75" s="3"/>
      <c r="LGJ75" s="3"/>
      <c r="LGK75" s="3"/>
      <c r="LGL75" s="3"/>
      <c r="LGM75" s="3"/>
      <c r="LGN75" s="3"/>
      <c r="LGO75" s="3"/>
      <c r="LGP75" s="3"/>
      <c r="LGQ75" s="3"/>
      <c r="LGR75" s="3"/>
      <c r="LGS75" s="3"/>
      <c r="LGT75" s="3"/>
      <c r="LGU75" s="3"/>
      <c r="LGV75" s="3"/>
      <c r="LGW75" s="3"/>
      <c r="LGX75" s="3"/>
      <c r="LGY75" s="3"/>
      <c r="LGZ75" s="3"/>
      <c r="LHA75" s="3"/>
      <c r="LHB75" s="3"/>
      <c r="LHC75" s="3"/>
      <c r="LHD75" s="3"/>
      <c r="LHE75" s="3"/>
      <c r="LHF75" s="3"/>
      <c r="LHG75" s="3"/>
      <c r="LHH75" s="3"/>
      <c r="LHI75" s="3"/>
      <c r="LHJ75" s="3"/>
      <c r="LHK75" s="3"/>
      <c r="LHL75" s="3"/>
      <c r="LHM75" s="3"/>
      <c r="LHN75" s="3"/>
      <c r="LHO75" s="3"/>
      <c r="LHP75" s="3"/>
      <c r="LHQ75" s="3"/>
      <c r="LHR75" s="3"/>
      <c r="LHS75" s="3"/>
      <c r="LHT75" s="3"/>
      <c r="LHU75" s="3"/>
      <c r="LHV75" s="3"/>
      <c r="LHW75" s="3"/>
      <c r="LHX75" s="3"/>
      <c r="LHY75" s="3"/>
      <c r="LHZ75" s="3"/>
      <c r="LIA75" s="3"/>
      <c r="LIB75" s="3"/>
      <c r="LIC75" s="3"/>
      <c r="LID75" s="3"/>
      <c r="LIE75" s="3"/>
      <c r="LIF75" s="3"/>
      <c r="LIG75" s="3"/>
      <c r="LIH75" s="3"/>
      <c r="LII75" s="3"/>
      <c r="LIJ75" s="3"/>
      <c r="LIK75" s="3"/>
      <c r="LIL75" s="3"/>
      <c r="LIM75" s="3"/>
      <c r="LIN75" s="3"/>
      <c r="LIO75" s="3"/>
      <c r="LIP75" s="3"/>
      <c r="LIQ75" s="3"/>
      <c r="LIR75" s="3"/>
      <c r="LIS75" s="3"/>
      <c r="LIT75" s="3"/>
      <c r="LIU75" s="3"/>
      <c r="LIV75" s="3"/>
      <c r="LIW75" s="3"/>
      <c r="LIX75" s="3"/>
      <c r="LIY75" s="3"/>
      <c r="LIZ75" s="3"/>
      <c r="LJA75" s="3"/>
      <c r="LJB75" s="3"/>
      <c r="LJC75" s="3"/>
      <c r="LJD75" s="3"/>
      <c r="LJE75" s="3"/>
      <c r="LJF75" s="3"/>
      <c r="LJG75" s="3"/>
      <c r="LJH75" s="3"/>
      <c r="LJI75" s="3"/>
      <c r="LJJ75" s="3"/>
      <c r="LJK75" s="3"/>
      <c r="LJL75" s="3"/>
      <c r="LJM75" s="3"/>
      <c r="LJN75" s="3"/>
      <c r="LJO75" s="3"/>
      <c r="LJP75" s="3"/>
      <c r="LJQ75" s="3"/>
      <c r="LJR75" s="3"/>
      <c r="LJS75" s="3"/>
      <c r="LJT75" s="3"/>
      <c r="LJU75" s="3"/>
      <c r="LJV75" s="3"/>
      <c r="LJW75" s="3"/>
      <c r="LJX75" s="3"/>
      <c r="LJY75" s="3"/>
      <c r="LJZ75" s="3"/>
      <c r="LKA75" s="3"/>
      <c r="LKB75" s="3"/>
      <c r="LKC75" s="3"/>
      <c r="LKD75" s="3"/>
      <c r="LKE75" s="3"/>
      <c r="LKF75" s="3"/>
      <c r="LKG75" s="3"/>
      <c r="LKH75" s="3"/>
      <c r="LKI75" s="3"/>
      <c r="LKJ75" s="3"/>
      <c r="LKK75" s="3"/>
      <c r="LKL75" s="3"/>
      <c r="LKM75" s="3"/>
      <c r="LKN75" s="3"/>
      <c r="LKO75" s="3"/>
      <c r="LKP75" s="3"/>
      <c r="LKQ75" s="3"/>
      <c r="LKR75" s="3"/>
      <c r="LKS75" s="3"/>
      <c r="LKT75" s="3"/>
      <c r="LKU75" s="3"/>
      <c r="LKV75" s="3"/>
      <c r="LKW75" s="3"/>
      <c r="LKX75" s="3"/>
      <c r="LKY75" s="3"/>
      <c r="LKZ75" s="3"/>
      <c r="LLA75" s="3"/>
      <c r="LLB75" s="3"/>
      <c r="LLC75" s="3"/>
      <c r="LLD75" s="3"/>
      <c r="LLE75" s="3"/>
      <c r="LLF75" s="3"/>
      <c r="LLG75" s="3"/>
      <c r="LLH75" s="3"/>
      <c r="LLI75" s="3"/>
      <c r="LLJ75" s="3"/>
      <c r="LLK75" s="3"/>
      <c r="LLL75" s="3"/>
      <c r="LLM75" s="3"/>
      <c r="LLN75" s="3"/>
      <c r="LLO75" s="3"/>
      <c r="LLP75" s="3"/>
      <c r="LLQ75" s="3"/>
      <c r="LLR75" s="3"/>
      <c r="LLS75" s="3"/>
      <c r="LLT75" s="3"/>
      <c r="LLU75" s="3"/>
      <c r="LLV75" s="3"/>
      <c r="LLW75" s="3"/>
      <c r="LLX75" s="3"/>
      <c r="LLY75" s="3"/>
      <c r="LLZ75" s="3"/>
      <c r="LMA75" s="3"/>
      <c r="LMB75" s="3"/>
      <c r="LMC75" s="3"/>
      <c r="LMD75" s="3"/>
      <c r="LME75" s="3"/>
      <c r="LMF75" s="3"/>
      <c r="LMG75" s="3"/>
      <c r="LMH75" s="3"/>
      <c r="LMI75" s="3"/>
      <c r="LMJ75" s="3"/>
      <c r="LMK75" s="3"/>
      <c r="LML75" s="3"/>
      <c r="LMM75" s="3"/>
      <c r="LMN75" s="3"/>
      <c r="LMO75" s="3"/>
      <c r="LMP75" s="3"/>
      <c r="LMQ75" s="3"/>
      <c r="LMR75" s="3"/>
      <c r="LMS75" s="3"/>
      <c r="LMT75" s="3"/>
      <c r="LMU75" s="3"/>
      <c r="LMV75" s="3"/>
      <c r="LMW75" s="3"/>
      <c r="LMX75" s="3"/>
      <c r="LMY75" s="3"/>
      <c r="LMZ75" s="3"/>
      <c r="LNA75" s="3"/>
      <c r="LNB75" s="3"/>
      <c r="LNC75" s="3"/>
      <c r="LND75" s="3"/>
      <c r="LNE75" s="3"/>
      <c r="LNF75" s="3"/>
      <c r="LNG75" s="3"/>
      <c r="LNH75" s="3"/>
      <c r="LNI75" s="3"/>
      <c r="LNJ75" s="3"/>
      <c r="LNK75" s="3"/>
      <c r="LNL75" s="3"/>
      <c r="LNM75" s="3"/>
      <c r="LNN75" s="3"/>
      <c r="LNO75" s="3"/>
      <c r="LNP75" s="3"/>
      <c r="LNQ75" s="3"/>
      <c r="LNR75" s="3"/>
      <c r="LNS75" s="3"/>
      <c r="LNT75" s="3"/>
      <c r="LNU75" s="3"/>
      <c r="LNV75" s="3"/>
      <c r="LNW75" s="3"/>
      <c r="LNX75" s="3"/>
      <c r="LNY75" s="3"/>
      <c r="LNZ75" s="3"/>
      <c r="LOA75" s="3"/>
      <c r="LOB75" s="3"/>
      <c r="LOC75" s="3"/>
      <c r="LOD75" s="3"/>
      <c r="LOE75" s="3"/>
      <c r="LOF75" s="3"/>
      <c r="LOG75" s="3"/>
      <c r="LOH75" s="3"/>
      <c r="LOI75" s="3"/>
      <c r="LOJ75" s="3"/>
      <c r="LOK75" s="3"/>
      <c r="LOL75" s="3"/>
      <c r="LOM75" s="3"/>
      <c r="LON75" s="3"/>
      <c r="LOO75" s="3"/>
      <c r="LOP75" s="3"/>
      <c r="LOQ75" s="3"/>
      <c r="LOR75" s="3"/>
      <c r="LOS75" s="3"/>
      <c r="LOT75" s="3"/>
      <c r="LOU75" s="3"/>
      <c r="LOV75" s="3"/>
      <c r="LOW75" s="3"/>
      <c r="LOX75" s="3"/>
      <c r="LOY75" s="3"/>
      <c r="LOZ75" s="3"/>
      <c r="LPA75" s="3"/>
      <c r="LPB75" s="3"/>
      <c r="LPC75" s="3"/>
      <c r="LPD75" s="3"/>
      <c r="LPE75" s="3"/>
      <c r="LPF75" s="3"/>
      <c r="LPG75" s="3"/>
      <c r="LPH75" s="3"/>
      <c r="LPI75" s="3"/>
      <c r="LPJ75" s="3"/>
      <c r="LPK75" s="3"/>
      <c r="LPL75" s="3"/>
      <c r="LPM75" s="3"/>
      <c r="LPN75" s="3"/>
      <c r="LPO75" s="3"/>
      <c r="LPP75" s="3"/>
      <c r="LPQ75" s="3"/>
      <c r="LPR75" s="3"/>
      <c r="LPS75" s="3"/>
      <c r="LPT75" s="3"/>
      <c r="LPU75" s="3"/>
      <c r="LPV75" s="3"/>
      <c r="LPW75" s="3"/>
      <c r="LPX75" s="3"/>
      <c r="LPY75" s="3"/>
      <c r="LPZ75" s="3"/>
      <c r="LQA75" s="3"/>
      <c r="LQB75" s="3"/>
      <c r="LQC75" s="3"/>
      <c r="LQD75" s="3"/>
      <c r="LQE75" s="3"/>
      <c r="LQF75" s="3"/>
      <c r="LQG75" s="3"/>
      <c r="LQH75" s="3"/>
      <c r="LQI75" s="3"/>
      <c r="LQJ75" s="3"/>
      <c r="LQK75" s="3"/>
      <c r="LQL75" s="3"/>
      <c r="LQM75" s="3"/>
      <c r="LQN75" s="3"/>
      <c r="LQO75" s="3"/>
      <c r="LQP75" s="3"/>
      <c r="LQQ75" s="3"/>
      <c r="LQR75" s="3"/>
      <c r="LQS75" s="3"/>
      <c r="LQT75" s="3"/>
      <c r="LQU75" s="3"/>
      <c r="LQV75" s="3"/>
      <c r="LQW75" s="3"/>
      <c r="LQX75" s="3"/>
      <c r="LQY75" s="3"/>
      <c r="LQZ75" s="3"/>
      <c r="LRA75" s="3"/>
      <c r="LRB75" s="3"/>
      <c r="LRC75" s="3"/>
      <c r="LRD75" s="3"/>
      <c r="LRE75" s="3"/>
      <c r="LRF75" s="3"/>
      <c r="LRG75" s="3"/>
      <c r="LRH75" s="3"/>
      <c r="LRI75" s="3"/>
      <c r="LRJ75" s="3"/>
      <c r="LRK75" s="3"/>
      <c r="LRL75" s="3"/>
      <c r="LRM75" s="3"/>
      <c r="LRN75" s="3"/>
      <c r="LRO75" s="3"/>
      <c r="LRP75" s="3"/>
      <c r="LRQ75" s="3"/>
      <c r="LRR75" s="3"/>
      <c r="LRS75" s="3"/>
      <c r="LRT75" s="3"/>
      <c r="LRU75" s="3"/>
      <c r="LRV75" s="3"/>
      <c r="LRW75" s="3"/>
      <c r="LRX75" s="3"/>
      <c r="LRY75" s="3"/>
      <c r="LRZ75" s="3"/>
      <c r="LSA75" s="3"/>
      <c r="LSB75" s="3"/>
      <c r="LSC75" s="3"/>
      <c r="LSD75" s="3"/>
      <c r="LSE75" s="3"/>
      <c r="LSF75" s="3"/>
      <c r="LSG75" s="3"/>
      <c r="LSH75" s="3"/>
      <c r="LSI75" s="3"/>
      <c r="LSJ75" s="3"/>
      <c r="LSK75" s="3"/>
      <c r="LSL75" s="3"/>
      <c r="LSM75" s="3"/>
      <c r="LSN75" s="3"/>
      <c r="LSO75" s="3"/>
      <c r="LSP75" s="3"/>
      <c r="LSQ75" s="3"/>
      <c r="LSR75" s="3"/>
      <c r="LSS75" s="3"/>
      <c r="LST75" s="3"/>
      <c r="LSU75" s="3"/>
      <c r="LSV75" s="3"/>
      <c r="LSW75" s="3"/>
      <c r="LSX75" s="3"/>
      <c r="LSY75" s="3"/>
      <c r="LSZ75" s="3"/>
      <c r="LTA75" s="3"/>
      <c r="LTB75" s="3"/>
      <c r="LTC75" s="3"/>
      <c r="LTD75" s="3"/>
      <c r="LTE75" s="3"/>
      <c r="LTF75" s="3"/>
      <c r="LTG75" s="3"/>
      <c r="LTH75" s="3"/>
      <c r="LTI75" s="3"/>
      <c r="LTJ75" s="3"/>
      <c r="LTK75" s="3"/>
      <c r="LTL75" s="3"/>
      <c r="LTM75" s="3"/>
      <c r="LTN75" s="3"/>
      <c r="LTO75" s="3"/>
      <c r="LTP75" s="3"/>
      <c r="LTQ75" s="3"/>
      <c r="LTR75" s="3"/>
      <c r="LTS75" s="3"/>
      <c r="LTT75" s="3"/>
      <c r="LTU75" s="3"/>
      <c r="LTV75" s="3"/>
      <c r="LTW75" s="3"/>
      <c r="LTX75" s="3"/>
      <c r="LTY75" s="3"/>
      <c r="LTZ75" s="3"/>
      <c r="LUA75" s="3"/>
      <c r="LUB75" s="3"/>
      <c r="LUC75" s="3"/>
      <c r="LUD75" s="3"/>
      <c r="LUE75" s="3"/>
      <c r="LUF75" s="3"/>
      <c r="LUG75" s="3"/>
      <c r="LUH75" s="3"/>
      <c r="LUI75" s="3"/>
      <c r="LUJ75" s="3"/>
      <c r="LUK75" s="3"/>
      <c r="LUL75" s="3"/>
      <c r="LUM75" s="3"/>
      <c r="LUN75" s="3"/>
      <c r="LUO75" s="3"/>
      <c r="LUP75" s="3"/>
      <c r="LUQ75" s="3"/>
      <c r="LUR75" s="3"/>
      <c r="LUS75" s="3"/>
      <c r="LUT75" s="3"/>
      <c r="LUU75" s="3"/>
      <c r="LUV75" s="3"/>
      <c r="LUW75" s="3"/>
      <c r="LUX75" s="3"/>
      <c r="LUY75" s="3"/>
      <c r="LUZ75" s="3"/>
      <c r="LVA75" s="3"/>
      <c r="LVB75" s="3"/>
      <c r="LVC75" s="3"/>
      <c r="LVD75" s="3"/>
      <c r="LVE75" s="3"/>
      <c r="LVF75" s="3"/>
      <c r="LVG75" s="3"/>
      <c r="LVH75" s="3"/>
      <c r="LVI75" s="3"/>
      <c r="LVJ75" s="3"/>
      <c r="LVK75" s="3"/>
      <c r="LVL75" s="3"/>
      <c r="LVM75" s="3"/>
      <c r="LVN75" s="3"/>
      <c r="LVO75" s="3"/>
      <c r="LVP75" s="3"/>
      <c r="LVQ75" s="3"/>
      <c r="LVR75" s="3"/>
      <c r="LVS75" s="3"/>
      <c r="LVT75" s="3"/>
      <c r="LVU75" s="3"/>
      <c r="LVV75" s="3"/>
      <c r="LVW75" s="3"/>
      <c r="LVX75" s="3"/>
      <c r="LVY75" s="3"/>
      <c r="LVZ75" s="3"/>
      <c r="LWA75" s="3"/>
      <c r="LWB75" s="3"/>
      <c r="LWC75" s="3"/>
      <c r="LWD75" s="3"/>
      <c r="LWE75" s="3"/>
      <c r="LWF75" s="3"/>
      <c r="LWG75" s="3"/>
      <c r="LWH75" s="3"/>
      <c r="LWI75" s="3"/>
      <c r="LWJ75" s="3"/>
      <c r="LWK75" s="3"/>
      <c r="LWL75" s="3"/>
      <c r="LWM75" s="3"/>
      <c r="LWN75" s="3"/>
      <c r="LWO75" s="3"/>
      <c r="LWP75" s="3"/>
      <c r="LWQ75" s="3"/>
      <c r="LWR75" s="3"/>
      <c r="LWS75" s="3"/>
      <c r="LWT75" s="3"/>
      <c r="LWU75" s="3"/>
      <c r="LWV75" s="3"/>
      <c r="LWW75" s="3"/>
      <c r="LWX75" s="3"/>
      <c r="LWY75" s="3"/>
      <c r="LWZ75" s="3"/>
      <c r="LXA75" s="3"/>
      <c r="LXB75" s="3"/>
      <c r="LXC75" s="3"/>
      <c r="LXD75" s="3"/>
      <c r="LXE75" s="3"/>
      <c r="LXF75" s="3"/>
      <c r="LXG75" s="3"/>
      <c r="LXH75" s="3"/>
      <c r="LXI75" s="3"/>
      <c r="LXJ75" s="3"/>
      <c r="LXK75" s="3"/>
      <c r="LXL75" s="3"/>
      <c r="LXM75" s="3"/>
      <c r="LXN75" s="3"/>
      <c r="LXO75" s="3"/>
      <c r="LXP75" s="3"/>
      <c r="LXQ75" s="3"/>
      <c r="LXR75" s="3"/>
      <c r="LXS75" s="3"/>
      <c r="LXT75" s="3"/>
      <c r="LXU75" s="3"/>
      <c r="LXV75" s="3"/>
      <c r="LXW75" s="3"/>
      <c r="LXX75" s="3"/>
      <c r="LXY75" s="3"/>
      <c r="LXZ75" s="3"/>
      <c r="LYA75" s="3"/>
      <c r="LYB75" s="3"/>
      <c r="LYC75" s="3"/>
      <c r="LYD75" s="3"/>
      <c r="LYE75" s="3"/>
      <c r="LYF75" s="3"/>
      <c r="LYG75" s="3"/>
      <c r="LYH75" s="3"/>
      <c r="LYI75" s="3"/>
      <c r="LYJ75" s="3"/>
      <c r="LYK75" s="3"/>
      <c r="LYL75" s="3"/>
      <c r="LYM75" s="3"/>
      <c r="LYN75" s="3"/>
      <c r="LYO75" s="3"/>
      <c r="LYP75" s="3"/>
      <c r="LYQ75" s="3"/>
      <c r="LYR75" s="3"/>
      <c r="LYS75" s="3"/>
      <c r="LYT75" s="3"/>
      <c r="LYU75" s="3"/>
      <c r="LYV75" s="3"/>
      <c r="LYW75" s="3"/>
      <c r="LYX75" s="3"/>
      <c r="LYY75" s="3"/>
      <c r="LYZ75" s="3"/>
      <c r="LZA75" s="3"/>
      <c r="LZB75" s="3"/>
      <c r="LZC75" s="3"/>
      <c r="LZD75" s="3"/>
      <c r="LZE75" s="3"/>
      <c r="LZF75" s="3"/>
      <c r="LZG75" s="3"/>
      <c r="LZH75" s="3"/>
      <c r="LZI75" s="3"/>
      <c r="LZJ75" s="3"/>
      <c r="LZK75" s="3"/>
      <c r="LZL75" s="3"/>
      <c r="LZM75" s="3"/>
      <c r="LZN75" s="3"/>
      <c r="LZO75" s="3"/>
      <c r="LZP75" s="3"/>
      <c r="LZQ75" s="3"/>
      <c r="LZR75" s="3"/>
      <c r="LZS75" s="3"/>
      <c r="LZT75" s="3"/>
      <c r="LZU75" s="3"/>
      <c r="LZV75" s="3"/>
      <c r="LZW75" s="3"/>
      <c r="LZX75" s="3"/>
      <c r="LZY75" s="3"/>
      <c r="LZZ75" s="3"/>
      <c r="MAA75" s="3"/>
      <c r="MAB75" s="3"/>
      <c r="MAC75" s="3"/>
      <c r="MAD75" s="3"/>
      <c r="MAE75" s="3"/>
      <c r="MAF75" s="3"/>
      <c r="MAG75" s="3"/>
      <c r="MAH75" s="3"/>
      <c r="MAI75" s="3"/>
      <c r="MAJ75" s="3"/>
      <c r="MAK75" s="3"/>
      <c r="MAL75" s="3"/>
      <c r="MAM75" s="3"/>
      <c r="MAN75" s="3"/>
      <c r="MAO75" s="3"/>
      <c r="MAP75" s="3"/>
      <c r="MAQ75" s="3"/>
      <c r="MAR75" s="3"/>
      <c r="MAS75" s="3"/>
      <c r="MAT75" s="3"/>
      <c r="MAU75" s="3"/>
      <c r="MAV75" s="3"/>
      <c r="MAW75" s="3"/>
      <c r="MAX75" s="3"/>
      <c r="MAY75" s="3"/>
      <c r="MAZ75" s="3"/>
      <c r="MBA75" s="3"/>
      <c r="MBB75" s="3"/>
      <c r="MBC75" s="3"/>
      <c r="MBD75" s="3"/>
      <c r="MBE75" s="3"/>
      <c r="MBF75" s="3"/>
      <c r="MBG75" s="3"/>
      <c r="MBH75" s="3"/>
      <c r="MBI75" s="3"/>
      <c r="MBJ75" s="3"/>
      <c r="MBK75" s="3"/>
      <c r="MBL75" s="3"/>
      <c r="MBM75" s="3"/>
      <c r="MBN75" s="3"/>
      <c r="MBO75" s="3"/>
      <c r="MBP75" s="3"/>
      <c r="MBQ75" s="3"/>
      <c r="MBR75" s="3"/>
      <c r="MBS75" s="3"/>
      <c r="MBT75" s="3"/>
      <c r="MBU75" s="3"/>
      <c r="MBV75" s="3"/>
      <c r="MBW75" s="3"/>
      <c r="MBX75" s="3"/>
      <c r="MBY75" s="3"/>
      <c r="MBZ75" s="3"/>
      <c r="MCA75" s="3"/>
      <c r="MCB75" s="3"/>
      <c r="MCC75" s="3"/>
      <c r="MCD75" s="3"/>
      <c r="MCE75" s="3"/>
      <c r="MCF75" s="3"/>
      <c r="MCG75" s="3"/>
      <c r="MCH75" s="3"/>
      <c r="MCI75" s="3"/>
      <c r="MCJ75" s="3"/>
      <c r="MCK75" s="3"/>
      <c r="MCL75" s="3"/>
      <c r="MCM75" s="3"/>
      <c r="MCN75" s="3"/>
      <c r="MCO75" s="3"/>
      <c r="MCP75" s="3"/>
      <c r="MCQ75" s="3"/>
      <c r="MCR75" s="3"/>
      <c r="MCS75" s="3"/>
      <c r="MCT75" s="3"/>
      <c r="MCU75" s="3"/>
      <c r="MCV75" s="3"/>
      <c r="MCW75" s="3"/>
      <c r="MCX75" s="3"/>
      <c r="MCY75" s="3"/>
      <c r="MCZ75" s="3"/>
      <c r="MDA75" s="3"/>
      <c r="MDB75" s="3"/>
      <c r="MDC75" s="3"/>
      <c r="MDD75" s="3"/>
      <c r="MDE75" s="3"/>
      <c r="MDF75" s="3"/>
      <c r="MDG75" s="3"/>
      <c r="MDH75" s="3"/>
      <c r="MDI75" s="3"/>
      <c r="MDJ75" s="3"/>
      <c r="MDK75" s="3"/>
      <c r="MDL75" s="3"/>
      <c r="MDM75" s="3"/>
      <c r="MDN75" s="3"/>
      <c r="MDO75" s="3"/>
      <c r="MDP75" s="3"/>
      <c r="MDQ75" s="3"/>
      <c r="MDR75" s="3"/>
      <c r="MDS75" s="3"/>
      <c r="MDT75" s="3"/>
      <c r="MDU75" s="3"/>
      <c r="MDV75" s="3"/>
      <c r="MDW75" s="3"/>
      <c r="MDX75" s="3"/>
      <c r="MDY75" s="3"/>
      <c r="MDZ75" s="3"/>
      <c r="MEA75" s="3"/>
      <c r="MEB75" s="3"/>
      <c r="MEC75" s="3"/>
      <c r="MED75" s="3"/>
      <c r="MEE75" s="3"/>
      <c r="MEF75" s="3"/>
      <c r="MEG75" s="3"/>
      <c r="MEH75" s="3"/>
      <c r="MEI75" s="3"/>
      <c r="MEJ75" s="3"/>
      <c r="MEK75" s="3"/>
      <c r="MEL75" s="3"/>
      <c r="MEM75" s="3"/>
      <c r="MEN75" s="3"/>
      <c r="MEO75" s="3"/>
      <c r="MEP75" s="3"/>
      <c r="MEQ75" s="3"/>
      <c r="MER75" s="3"/>
      <c r="MES75" s="3"/>
      <c r="MET75" s="3"/>
      <c r="MEU75" s="3"/>
      <c r="MEV75" s="3"/>
      <c r="MEW75" s="3"/>
      <c r="MEX75" s="3"/>
      <c r="MEY75" s="3"/>
      <c r="MEZ75" s="3"/>
      <c r="MFA75" s="3"/>
      <c r="MFB75" s="3"/>
      <c r="MFC75" s="3"/>
      <c r="MFD75" s="3"/>
      <c r="MFE75" s="3"/>
      <c r="MFF75" s="3"/>
      <c r="MFG75" s="3"/>
      <c r="MFH75" s="3"/>
      <c r="MFI75" s="3"/>
      <c r="MFJ75" s="3"/>
      <c r="MFK75" s="3"/>
      <c r="MFL75" s="3"/>
      <c r="MFM75" s="3"/>
      <c r="MFN75" s="3"/>
      <c r="MFO75" s="3"/>
      <c r="MFP75" s="3"/>
      <c r="MFQ75" s="3"/>
      <c r="MFR75" s="3"/>
      <c r="MFS75" s="3"/>
      <c r="MFT75" s="3"/>
      <c r="MFU75" s="3"/>
      <c r="MFV75" s="3"/>
      <c r="MFW75" s="3"/>
      <c r="MFX75" s="3"/>
      <c r="MFY75" s="3"/>
      <c r="MFZ75" s="3"/>
      <c r="MGA75" s="3"/>
      <c r="MGB75" s="3"/>
      <c r="MGC75" s="3"/>
      <c r="MGD75" s="3"/>
      <c r="MGE75" s="3"/>
      <c r="MGF75" s="3"/>
      <c r="MGG75" s="3"/>
      <c r="MGH75" s="3"/>
      <c r="MGI75" s="3"/>
      <c r="MGJ75" s="3"/>
      <c r="MGK75" s="3"/>
      <c r="MGL75" s="3"/>
      <c r="MGM75" s="3"/>
      <c r="MGN75" s="3"/>
      <c r="MGO75" s="3"/>
      <c r="MGP75" s="3"/>
      <c r="MGQ75" s="3"/>
      <c r="MGR75" s="3"/>
      <c r="MGS75" s="3"/>
      <c r="MGT75" s="3"/>
      <c r="MGU75" s="3"/>
      <c r="MGV75" s="3"/>
      <c r="MGW75" s="3"/>
      <c r="MGX75" s="3"/>
      <c r="MGY75" s="3"/>
      <c r="MGZ75" s="3"/>
      <c r="MHA75" s="3"/>
      <c r="MHB75" s="3"/>
      <c r="MHC75" s="3"/>
      <c r="MHD75" s="3"/>
      <c r="MHE75" s="3"/>
      <c r="MHF75" s="3"/>
      <c r="MHG75" s="3"/>
      <c r="MHH75" s="3"/>
      <c r="MHI75" s="3"/>
      <c r="MHJ75" s="3"/>
      <c r="MHK75" s="3"/>
      <c r="MHL75" s="3"/>
      <c r="MHM75" s="3"/>
      <c r="MHN75" s="3"/>
      <c r="MHO75" s="3"/>
      <c r="MHP75" s="3"/>
      <c r="MHQ75" s="3"/>
      <c r="MHR75" s="3"/>
      <c r="MHS75" s="3"/>
      <c r="MHT75" s="3"/>
      <c r="MHU75" s="3"/>
      <c r="MHV75" s="3"/>
      <c r="MHW75" s="3"/>
      <c r="MHX75" s="3"/>
      <c r="MHY75" s="3"/>
      <c r="MHZ75" s="3"/>
      <c r="MIA75" s="3"/>
      <c r="MIB75" s="3"/>
      <c r="MIC75" s="3"/>
      <c r="MID75" s="3"/>
      <c r="MIE75" s="3"/>
      <c r="MIF75" s="3"/>
      <c r="MIG75" s="3"/>
      <c r="MIH75" s="3"/>
      <c r="MII75" s="3"/>
      <c r="MIJ75" s="3"/>
      <c r="MIK75" s="3"/>
      <c r="MIL75" s="3"/>
      <c r="MIM75" s="3"/>
      <c r="MIN75" s="3"/>
      <c r="MIO75" s="3"/>
      <c r="MIP75" s="3"/>
      <c r="MIQ75" s="3"/>
      <c r="MIR75" s="3"/>
      <c r="MIS75" s="3"/>
      <c r="MIT75" s="3"/>
      <c r="MIU75" s="3"/>
      <c r="MIV75" s="3"/>
      <c r="MIW75" s="3"/>
      <c r="MIX75" s="3"/>
      <c r="MIY75" s="3"/>
      <c r="MIZ75" s="3"/>
      <c r="MJA75" s="3"/>
      <c r="MJB75" s="3"/>
      <c r="MJC75" s="3"/>
      <c r="MJD75" s="3"/>
      <c r="MJE75" s="3"/>
      <c r="MJF75" s="3"/>
      <c r="MJG75" s="3"/>
      <c r="MJH75" s="3"/>
      <c r="MJI75" s="3"/>
      <c r="MJJ75" s="3"/>
      <c r="MJK75" s="3"/>
      <c r="MJL75" s="3"/>
      <c r="MJM75" s="3"/>
      <c r="MJN75" s="3"/>
      <c r="MJO75" s="3"/>
      <c r="MJP75" s="3"/>
      <c r="MJQ75" s="3"/>
      <c r="MJR75" s="3"/>
      <c r="MJS75" s="3"/>
      <c r="MJT75" s="3"/>
      <c r="MJU75" s="3"/>
      <c r="MJV75" s="3"/>
      <c r="MJW75" s="3"/>
      <c r="MJX75" s="3"/>
      <c r="MJY75" s="3"/>
      <c r="MJZ75" s="3"/>
      <c r="MKA75" s="3"/>
      <c r="MKB75" s="3"/>
      <c r="MKC75" s="3"/>
      <c r="MKD75" s="3"/>
      <c r="MKE75" s="3"/>
      <c r="MKF75" s="3"/>
      <c r="MKG75" s="3"/>
      <c r="MKH75" s="3"/>
      <c r="MKI75" s="3"/>
      <c r="MKJ75" s="3"/>
      <c r="MKK75" s="3"/>
      <c r="MKL75" s="3"/>
      <c r="MKM75" s="3"/>
      <c r="MKN75" s="3"/>
      <c r="MKO75" s="3"/>
      <c r="MKP75" s="3"/>
      <c r="MKQ75" s="3"/>
      <c r="MKR75" s="3"/>
      <c r="MKS75" s="3"/>
      <c r="MKT75" s="3"/>
      <c r="MKU75" s="3"/>
      <c r="MKV75" s="3"/>
      <c r="MKW75" s="3"/>
      <c r="MKX75" s="3"/>
      <c r="MKY75" s="3"/>
      <c r="MKZ75" s="3"/>
      <c r="MLA75" s="3"/>
      <c r="MLB75" s="3"/>
      <c r="MLC75" s="3"/>
      <c r="MLD75" s="3"/>
      <c r="MLE75" s="3"/>
      <c r="MLF75" s="3"/>
      <c r="MLG75" s="3"/>
      <c r="MLH75" s="3"/>
      <c r="MLI75" s="3"/>
      <c r="MLJ75" s="3"/>
      <c r="MLK75" s="3"/>
      <c r="MLL75" s="3"/>
      <c r="MLM75" s="3"/>
      <c r="MLN75" s="3"/>
      <c r="MLO75" s="3"/>
      <c r="MLP75" s="3"/>
      <c r="MLQ75" s="3"/>
      <c r="MLR75" s="3"/>
      <c r="MLS75" s="3"/>
      <c r="MLT75" s="3"/>
      <c r="MLU75" s="3"/>
      <c r="MLV75" s="3"/>
      <c r="MLW75" s="3"/>
      <c r="MLX75" s="3"/>
      <c r="MLY75" s="3"/>
      <c r="MLZ75" s="3"/>
      <c r="MMA75" s="3"/>
      <c r="MMB75" s="3"/>
      <c r="MMC75" s="3"/>
      <c r="MMD75" s="3"/>
      <c r="MME75" s="3"/>
      <c r="MMF75" s="3"/>
      <c r="MMG75" s="3"/>
      <c r="MMH75" s="3"/>
      <c r="MMI75" s="3"/>
      <c r="MMJ75" s="3"/>
      <c r="MMK75" s="3"/>
      <c r="MML75" s="3"/>
      <c r="MMM75" s="3"/>
      <c r="MMN75" s="3"/>
      <c r="MMO75" s="3"/>
      <c r="MMP75" s="3"/>
      <c r="MMQ75" s="3"/>
      <c r="MMR75" s="3"/>
      <c r="MMS75" s="3"/>
      <c r="MMT75" s="3"/>
      <c r="MMU75" s="3"/>
      <c r="MMV75" s="3"/>
      <c r="MMW75" s="3"/>
      <c r="MMX75" s="3"/>
      <c r="MMY75" s="3"/>
      <c r="MMZ75" s="3"/>
      <c r="MNA75" s="3"/>
      <c r="MNB75" s="3"/>
      <c r="MNC75" s="3"/>
      <c r="MND75" s="3"/>
      <c r="MNE75" s="3"/>
      <c r="MNF75" s="3"/>
      <c r="MNG75" s="3"/>
      <c r="MNH75" s="3"/>
      <c r="MNI75" s="3"/>
      <c r="MNJ75" s="3"/>
      <c r="MNK75" s="3"/>
      <c r="MNL75" s="3"/>
      <c r="MNM75" s="3"/>
      <c r="MNN75" s="3"/>
      <c r="MNO75" s="3"/>
      <c r="MNP75" s="3"/>
      <c r="MNQ75" s="3"/>
      <c r="MNR75" s="3"/>
      <c r="MNS75" s="3"/>
      <c r="MNT75" s="3"/>
      <c r="MNU75" s="3"/>
      <c r="MNV75" s="3"/>
      <c r="MNW75" s="3"/>
      <c r="MNX75" s="3"/>
      <c r="MNY75" s="3"/>
      <c r="MNZ75" s="3"/>
      <c r="MOA75" s="3"/>
      <c r="MOB75" s="3"/>
      <c r="MOC75" s="3"/>
      <c r="MOD75" s="3"/>
      <c r="MOE75" s="3"/>
      <c r="MOF75" s="3"/>
      <c r="MOG75" s="3"/>
      <c r="MOH75" s="3"/>
      <c r="MOI75" s="3"/>
      <c r="MOJ75" s="3"/>
      <c r="MOK75" s="3"/>
      <c r="MOL75" s="3"/>
      <c r="MOM75" s="3"/>
      <c r="MON75" s="3"/>
      <c r="MOO75" s="3"/>
      <c r="MOP75" s="3"/>
      <c r="MOQ75" s="3"/>
      <c r="MOR75" s="3"/>
      <c r="MOS75" s="3"/>
      <c r="MOT75" s="3"/>
      <c r="MOU75" s="3"/>
      <c r="MOV75" s="3"/>
      <c r="MOW75" s="3"/>
      <c r="MOX75" s="3"/>
      <c r="MOY75" s="3"/>
      <c r="MOZ75" s="3"/>
      <c r="MPA75" s="3"/>
      <c r="MPB75" s="3"/>
      <c r="MPC75" s="3"/>
      <c r="MPD75" s="3"/>
      <c r="MPE75" s="3"/>
      <c r="MPF75" s="3"/>
      <c r="MPG75" s="3"/>
      <c r="MPH75" s="3"/>
      <c r="MPI75" s="3"/>
      <c r="MPJ75" s="3"/>
      <c r="MPK75" s="3"/>
      <c r="MPL75" s="3"/>
      <c r="MPM75" s="3"/>
      <c r="MPN75" s="3"/>
      <c r="MPO75" s="3"/>
      <c r="MPP75" s="3"/>
      <c r="MPQ75" s="3"/>
      <c r="MPR75" s="3"/>
      <c r="MPS75" s="3"/>
      <c r="MPT75" s="3"/>
      <c r="MPU75" s="3"/>
      <c r="MPV75" s="3"/>
      <c r="MPW75" s="3"/>
      <c r="MPX75" s="3"/>
      <c r="MPY75" s="3"/>
      <c r="MPZ75" s="3"/>
      <c r="MQA75" s="3"/>
      <c r="MQB75" s="3"/>
      <c r="MQC75" s="3"/>
      <c r="MQD75" s="3"/>
      <c r="MQE75" s="3"/>
      <c r="MQF75" s="3"/>
      <c r="MQG75" s="3"/>
      <c r="MQH75" s="3"/>
      <c r="MQI75" s="3"/>
      <c r="MQJ75" s="3"/>
      <c r="MQK75" s="3"/>
      <c r="MQL75" s="3"/>
      <c r="MQM75" s="3"/>
      <c r="MQN75" s="3"/>
      <c r="MQO75" s="3"/>
      <c r="MQP75" s="3"/>
      <c r="MQQ75" s="3"/>
      <c r="MQR75" s="3"/>
      <c r="MQS75" s="3"/>
      <c r="MQT75" s="3"/>
      <c r="MQU75" s="3"/>
      <c r="MQV75" s="3"/>
      <c r="MQW75" s="3"/>
      <c r="MQX75" s="3"/>
      <c r="MQY75" s="3"/>
      <c r="MQZ75" s="3"/>
      <c r="MRA75" s="3"/>
      <c r="MRB75" s="3"/>
      <c r="MRC75" s="3"/>
      <c r="MRD75" s="3"/>
      <c r="MRE75" s="3"/>
      <c r="MRF75" s="3"/>
      <c r="MRG75" s="3"/>
      <c r="MRH75" s="3"/>
      <c r="MRI75" s="3"/>
      <c r="MRJ75" s="3"/>
      <c r="MRK75" s="3"/>
      <c r="MRL75" s="3"/>
      <c r="MRM75" s="3"/>
      <c r="MRN75" s="3"/>
      <c r="MRO75" s="3"/>
      <c r="MRP75" s="3"/>
      <c r="MRQ75" s="3"/>
      <c r="MRR75" s="3"/>
      <c r="MRS75" s="3"/>
      <c r="MRT75" s="3"/>
      <c r="MRU75" s="3"/>
      <c r="MRV75" s="3"/>
      <c r="MRW75" s="3"/>
      <c r="MRX75" s="3"/>
      <c r="MRY75" s="3"/>
      <c r="MRZ75" s="3"/>
      <c r="MSA75" s="3"/>
      <c r="MSB75" s="3"/>
      <c r="MSC75" s="3"/>
      <c r="MSD75" s="3"/>
      <c r="MSE75" s="3"/>
      <c r="MSF75" s="3"/>
      <c r="MSG75" s="3"/>
      <c r="MSH75" s="3"/>
      <c r="MSI75" s="3"/>
      <c r="MSJ75" s="3"/>
      <c r="MSK75" s="3"/>
      <c r="MSL75" s="3"/>
      <c r="MSM75" s="3"/>
      <c r="MSN75" s="3"/>
      <c r="MSO75" s="3"/>
      <c r="MSP75" s="3"/>
      <c r="MSQ75" s="3"/>
      <c r="MSR75" s="3"/>
      <c r="MSS75" s="3"/>
      <c r="MST75" s="3"/>
      <c r="MSU75" s="3"/>
      <c r="MSV75" s="3"/>
      <c r="MSW75" s="3"/>
      <c r="MSX75" s="3"/>
      <c r="MSY75" s="3"/>
      <c r="MSZ75" s="3"/>
      <c r="MTA75" s="3"/>
      <c r="MTB75" s="3"/>
      <c r="MTC75" s="3"/>
      <c r="MTD75" s="3"/>
      <c r="MTE75" s="3"/>
      <c r="MTF75" s="3"/>
      <c r="MTG75" s="3"/>
      <c r="MTH75" s="3"/>
      <c r="MTI75" s="3"/>
      <c r="MTJ75" s="3"/>
      <c r="MTK75" s="3"/>
      <c r="MTL75" s="3"/>
      <c r="MTM75" s="3"/>
      <c r="MTN75" s="3"/>
      <c r="MTO75" s="3"/>
      <c r="MTP75" s="3"/>
      <c r="MTQ75" s="3"/>
      <c r="MTR75" s="3"/>
      <c r="MTS75" s="3"/>
      <c r="MTT75" s="3"/>
      <c r="MTU75" s="3"/>
      <c r="MTV75" s="3"/>
      <c r="MTW75" s="3"/>
      <c r="MTX75" s="3"/>
      <c r="MTY75" s="3"/>
      <c r="MTZ75" s="3"/>
      <c r="MUA75" s="3"/>
      <c r="MUB75" s="3"/>
      <c r="MUC75" s="3"/>
      <c r="MUD75" s="3"/>
      <c r="MUE75" s="3"/>
      <c r="MUF75" s="3"/>
      <c r="MUG75" s="3"/>
      <c r="MUH75" s="3"/>
      <c r="MUI75" s="3"/>
      <c r="MUJ75" s="3"/>
      <c r="MUK75" s="3"/>
      <c r="MUL75" s="3"/>
      <c r="MUM75" s="3"/>
      <c r="MUN75" s="3"/>
      <c r="MUO75" s="3"/>
      <c r="MUP75" s="3"/>
      <c r="MUQ75" s="3"/>
      <c r="MUR75" s="3"/>
      <c r="MUS75" s="3"/>
      <c r="MUT75" s="3"/>
      <c r="MUU75" s="3"/>
      <c r="MUV75" s="3"/>
      <c r="MUW75" s="3"/>
      <c r="MUX75" s="3"/>
      <c r="MUY75" s="3"/>
      <c r="MUZ75" s="3"/>
      <c r="MVA75" s="3"/>
      <c r="MVB75" s="3"/>
      <c r="MVC75" s="3"/>
      <c r="MVD75" s="3"/>
      <c r="MVE75" s="3"/>
      <c r="MVF75" s="3"/>
      <c r="MVG75" s="3"/>
      <c r="MVH75" s="3"/>
      <c r="MVI75" s="3"/>
      <c r="MVJ75" s="3"/>
      <c r="MVK75" s="3"/>
      <c r="MVL75" s="3"/>
      <c r="MVM75" s="3"/>
      <c r="MVN75" s="3"/>
      <c r="MVO75" s="3"/>
      <c r="MVP75" s="3"/>
      <c r="MVQ75" s="3"/>
      <c r="MVR75" s="3"/>
      <c r="MVS75" s="3"/>
      <c r="MVT75" s="3"/>
      <c r="MVU75" s="3"/>
      <c r="MVV75" s="3"/>
      <c r="MVW75" s="3"/>
      <c r="MVX75" s="3"/>
      <c r="MVY75" s="3"/>
      <c r="MVZ75" s="3"/>
      <c r="MWA75" s="3"/>
      <c r="MWB75" s="3"/>
      <c r="MWC75" s="3"/>
      <c r="MWD75" s="3"/>
      <c r="MWE75" s="3"/>
      <c r="MWF75" s="3"/>
      <c r="MWG75" s="3"/>
      <c r="MWH75" s="3"/>
      <c r="MWI75" s="3"/>
      <c r="MWJ75" s="3"/>
      <c r="MWK75" s="3"/>
      <c r="MWL75" s="3"/>
      <c r="MWM75" s="3"/>
      <c r="MWN75" s="3"/>
      <c r="MWO75" s="3"/>
      <c r="MWP75" s="3"/>
      <c r="MWQ75" s="3"/>
      <c r="MWR75" s="3"/>
      <c r="MWS75" s="3"/>
      <c r="MWT75" s="3"/>
      <c r="MWU75" s="3"/>
      <c r="MWV75" s="3"/>
      <c r="MWW75" s="3"/>
      <c r="MWX75" s="3"/>
      <c r="MWY75" s="3"/>
      <c r="MWZ75" s="3"/>
      <c r="MXA75" s="3"/>
      <c r="MXB75" s="3"/>
      <c r="MXC75" s="3"/>
      <c r="MXD75" s="3"/>
      <c r="MXE75" s="3"/>
      <c r="MXF75" s="3"/>
      <c r="MXG75" s="3"/>
      <c r="MXH75" s="3"/>
      <c r="MXI75" s="3"/>
      <c r="MXJ75" s="3"/>
      <c r="MXK75" s="3"/>
      <c r="MXL75" s="3"/>
      <c r="MXM75" s="3"/>
      <c r="MXN75" s="3"/>
      <c r="MXO75" s="3"/>
      <c r="MXP75" s="3"/>
      <c r="MXQ75" s="3"/>
      <c r="MXR75" s="3"/>
      <c r="MXS75" s="3"/>
      <c r="MXT75" s="3"/>
      <c r="MXU75" s="3"/>
      <c r="MXV75" s="3"/>
      <c r="MXW75" s="3"/>
      <c r="MXX75" s="3"/>
      <c r="MXY75" s="3"/>
      <c r="MXZ75" s="3"/>
      <c r="MYA75" s="3"/>
      <c r="MYB75" s="3"/>
      <c r="MYC75" s="3"/>
      <c r="MYD75" s="3"/>
      <c r="MYE75" s="3"/>
      <c r="MYF75" s="3"/>
      <c r="MYG75" s="3"/>
      <c r="MYH75" s="3"/>
      <c r="MYI75" s="3"/>
      <c r="MYJ75" s="3"/>
      <c r="MYK75" s="3"/>
      <c r="MYL75" s="3"/>
      <c r="MYM75" s="3"/>
      <c r="MYN75" s="3"/>
      <c r="MYO75" s="3"/>
      <c r="MYP75" s="3"/>
      <c r="MYQ75" s="3"/>
      <c r="MYR75" s="3"/>
      <c r="MYS75" s="3"/>
      <c r="MYT75" s="3"/>
      <c r="MYU75" s="3"/>
      <c r="MYV75" s="3"/>
      <c r="MYW75" s="3"/>
      <c r="MYX75" s="3"/>
      <c r="MYY75" s="3"/>
      <c r="MYZ75" s="3"/>
      <c r="MZA75" s="3"/>
      <c r="MZB75" s="3"/>
      <c r="MZC75" s="3"/>
      <c r="MZD75" s="3"/>
      <c r="MZE75" s="3"/>
      <c r="MZF75" s="3"/>
      <c r="MZG75" s="3"/>
      <c r="MZH75" s="3"/>
      <c r="MZI75" s="3"/>
      <c r="MZJ75" s="3"/>
      <c r="MZK75" s="3"/>
      <c r="MZL75" s="3"/>
      <c r="MZM75" s="3"/>
      <c r="MZN75" s="3"/>
      <c r="MZO75" s="3"/>
      <c r="MZP75" s="3"/>
      <c r="MZQ75" s="3"/>
      <c r="MZR75" s="3"/>
      <c r="MZS75" s="3"/>
      <c r="MZT75" s="3"/>
      <c r="MZU75" s="3"/>
      <c r="MZV75" s="3"/>
      <c r="MZW75" s="3"/>
      <c r="MZX75" s="3"/>
      <c r="MZY75" s="3"/>
      <c r="MZZ75" s="3"/>
      <c r="NAA75" s="3"/>
      <c r="NAB75" s="3"/>
      <c r="NAC75" s="3"/>
      <c r="NAD75" s="3"/>
      <c r="NAE75" s="3"/>
      <c r="NAF75" s="3"/>
      <c r="NAG75" s="3"/>
      <c r="NAH75" s="3"/>
      <c r="NAI75" s="3"/>
      <c r="NAJ75" s="3"/>
      <c r="NAK75" s="3"/>
      <c r="NAL75" s="3"/>
      <c r="NAM75" s="3"/>
      <c r="NAN75" s="3"/>
      <c r="NAO75" s="3"/>
      <c r="NAP75" s="3"/>
      <c r="NAQ75" s="3"/>
      <c r="NAR75" s="3"/>
      <c r="NAS75" s="3"/>
      <c r="NAT75" s="3"/>
      <c r="NAU75" s="3"/>
      <c r="NAV75" s="3"/>
      <c r="NAW75" s="3"/>
      <c r="NAX75" s="3"/>
      <c r="NAY75" s="3"/>
      <c r="NAZ75" s="3"/>
      <c r="NBA75" s="3"/>
      <c r="NBB75" s="3"/>
      <c r="NBC75" s="3"/>
      <c r="NBD75" s="3"/>
      <c r="NBE75" s="3"/>
      <c r="NBF75" s="3"/>
      <c r="NBG75" s="3"/>
      <c r="NBH75" s="3"/>
      <c r="NBI75" s="3"/>
      <c r="NBJ75" s="3"/>
      <c r="NBK75" s="3"/>
      <c r="NBL75" s="3"/>
      <c r="NBM75" s="3"/>
      <c r="NBN75" s="3"/>
      <c r="NBO75" s="3"/>
      <c r="NBP75" s="3"/>
      <c r="NBQ75" s="3"/>
      <c r="NBR75" s="3"/>
      <c r="NBS75" s="3"/>
      <c r="NBT75" s="3"/>
      <c r="NBU75" s="3"/>
      <c r="NBV75" s="3"/>
      <c r="NBW75" s="3"/>
      <c r="NBX75" s="3"/>
      <c r="NBY75" s="3"/>
      <c r="NBZ75" s="3"/>
      <c r="NCA75" s="3"/>
      <c r="NCB75" s="3"/>
      <c r="NCC75" s="3"/>
      <c r="NCD75" s="3"/>
      <c r="NCE75" s="3"/>
      <c r="NCF75" s="3"/>
      <c r="NCG75" s="3"/>
      <c r="NCH75" s="3"/>
      <c r="NCI75" s="3"/>
      <c r="NCJ75" s="3"/>
      <c r="NCK75" s="3"/>
      <c r="NCL75" s="3"/>
      <c r="NCM75" s="3"/>
      <c r="NCN75" s="3"/>
      <c r="NCO75" s="3"/>
      <c r="NCP75" s="3"/>
      <c r="NCQ75" s="3"/>
      <c r="NCR75" s="3"/>
      <c r="NCS75" s="3"/>
      <c r="NCT75" s="3"/>
      <c r="NCU75" s="3"/>
      <c r="NCV75" s="3"/>
      <c r="NCW75" s="3"/>
      <c r="NCX75" s="3"/>
      <c r="NCY75" s="3"/>
      <c r="NCZ75" s="3"/>
      <c r="NDA75" s="3"/>
      <c r="NDB75" s="3"/>
      <c r="NDC75" s="3"/>
      <c r="NDD75" s="3"/>
      <c r="NDE75" s="3"/>
      <c r="NDF75" s="3"/>
      <c r="NDG75" s="3"/>
      <c r="NDH75" s="3"/>
      <c r="NDI75" s="3"/>
      <c r="NDJ75" s="3"/>
      <c r="NDK75" s="3"/>
      <c r="NDL75" s="3"/>
      <c r="NDM75" s="3"/>
      <c r="NDN75" s="3"/>
      <c r="NDO75" s="3"/>
      <c r="NDP75" s="3"/>
      <c r="NDQ75" s="3"/>
      <c r="NDR75" s="3"/>
      <c r="NDS75" s="3"/>
      <c r="NDT75" s="3"/>
      <c r="NDU75" s="3"/>
      <c r="NDV75" s="3"/>
      <c r="NDW75" s="3"/>
      <c r="NDX75" s="3"/>
      <c r="NDY75" s="3"/>
      <c r="NDZ75" s="3"/>
      <c r="NEA75" s="3"/>
      <c r="NEB75" s="3"/>
      <c r="NEC75" s="3"/>
      <c r="NED75" s="3"/>
      <c r="NEE75" s="3"/>
      <c r="NEF75" s="3"/>
      <c r="NEG75" s="3"/>
      <c r="NEH75" s="3"/>
      <c r="NEI75" s="3"/>
      <c r="NEJ75" s="3"/>
      <c r="NEK75" s="3"/>
      <c r="NEL75" s="3"/>
      <c r="NEM75" s="3"/>
      <c r="NEN75" s="3"/>
      <c r="NEO75" s="3"/>
      <c r="NEP75" s="3"/>
      <c r="NEQ75" s="3"/>
      <c r="NER75" s="3"/>
      <c r="NES75" s="3"/>
      <c r="NET75" s="3"/>
      <c r="NEU75" s="3"/>
      <c r="NEV75" s="3"/>
      <c r="NEW75" s="3"/>
      <c r="NEX75" s="3"/>
      <c r="NEY75" s="3"/>
      <c r="NEZ75" s="3"/>
      <c r="NFA75" s="3"/>
      <c r="NFB75" s="3"/>
      <c r="NFC75" s="3"/>
      <c r="NFD75" s="3"/>
      <c r="NFE75" s="3"/>
      <c r="NFF75" s="3"/>
      <c r="NFG75" s="3"/>
      <c r="NFH75" s="3"/>
      <c r="NFI75" s="3"/>
      <c r="NFJ75" s="3"/>
      <c r="NFK75" s="3"/>
      <c r="NFL75" s="3"/>
      <c r="NFM75" s="3"/>
      <c r="NFN75" s="3"/>
      <c r="NFO75" s="3"/>
      <c r="NFP75" s="3"/>
      <c r="NFQ75" s="3"/>
      <c r="NFR75" s="3"/>
      <c r="NFS75" s="3"/>
      <c r="NFT75" s="3"/>
      <c r="NFU75" s="3"/>
      <c r="NFV75" s="3"/>
      <c r="NFW75" s="3"/>
      <c r="NFX75" s="3"/>
      <c r="NFY75" s="3"/>
      <c r="NFZ75" s="3"/>
      <c r="NGA75" s="3"/>
      <c r="NGB75" s="3"/>
      <c r="NGC75" s="3"/>
      <c r="NGD75" s="3"/>
      <c r="NGE75" s="3"/>
      <c r="NGF75" s="3"/>
      <c r="NGG75" s="3"/>
      <c r="NGH75" s="3"/>
      <c r="NGI75" s="3"/>
      <c r="NGJ75" s="3"/>
      <c r="NGK75" s="3"/>
      <c r="NGL75" s="3"/>
      <c r="NGM75" s="3"/>
      <c r="NGN75" s="3"/>
      <c r="NGO75" s="3"/>
      <c r="NGP75" s="3"/>
      <c r="NGQ75" s="3"/>
      <c r="NGR75" s="3"/>
      <c r="NGS75" s="3"/>
      <c r="NGT75" s="3"/>
      <c r="NGU75" s="3"/>
      <c r="NGV75" s="3"/>
      <c r="NGW75" s="3"/>
      <c r="NGX75" s="3"/>
      <c r="NGY75" s="3"/>
      <c r="NGZ75" s="3"/>
      <c r="NHA75" s="3"/>
      <c r="NHB75" s="3"/>
      <c r="NHC75" s="3"/>
      <c r="NHD75" s="3"/>
      <c r="NHE75" s="3"/>
      <c r="NHF75" s="3"/>
      <c r="NHG75" s="3"/>
      <c r="NHH75" s="3"/>
      <c r="NHI75" s="3"/>
      <c r="NHJ75" s="3"/>
      <c r="NHK75" s="3"/>
      <c r="NHL75" s="3"/>
      <c r="NHM75" s="3"/>
      <c r="NHN75" s="3"/>
      <c r="NHO75" s="3"/>
      <c r="NHP75" s="3"/>
      <c r="NHQ75" s="3"/>
      <c r="NHR75" s="3"/>
      <c r="NHS75" s="3"/>
      <c r="NHT75" s="3"/>
      <c r="NHU75" s="3"/>
      <c r="NHV75" s="3"/>
      <c r="NHW75" s="3"/>
      <c r="NHX75" s="3"/>
      <c r="NHY75" s="3"/>
      <c r="NHZ75" s="3"/>
      <c r="NIA75" s="3"/>
      <c r="NIB75" s="3"/>
      <c r="NIC75" s="3"/>
      <c r="NID75" s="3"/>
      <c r="NIE75" s="3"/>
      <c r="NIF75" s="3"/>
      <c r="NIG75" s="3"/>
      <c r="NIH75" s="3"/>
      <c r="NII75" s="3"/>
      <c r="NIJ75" s="3"/>
      <c r="NIK75" s="3"/>
      <c r="NIL75" s="3"/>
      <c r="NIM75" s="3"/>
      <c r="NIN75" s="3"/>
      <c r="NIO75" s="3"/>
      <c r="NIP75" s="3"/>
      <c r="NIQ75" s="3"/>
      <c r="NIR75" s="3"/>
      <c r="NIS75" s="3"/>
      <c r="NIT75" s="3"/>
      <c r="NIU75" s="3"/>
      <c r="NIV75" s="3"/>
      <c r="NIW75" s="3"/>
      <c r="NIX75" s="3"/>
      <c r="NIY75" s="3"/>
      <c r="NIZ75" s="3"/>
      <c r="NJA75" s="3"/>
      <c r="NJB75" s="3"/>
      <c r="NJC75" s="3"/>
      <c r="NJD75" s="3"/>
      <c r="NJE75" s="3"/>
      <c r="NJF75" s="3"/>
      <c r="NJG75" s="3"/>
      <c r="NJH75" s="3"/>
      <c r="NJI75" s="3"/>
      <c r="NJJ75" s="3"/>
      <c r="NJK75" s="3"/>
      <c r="NJL75" s="3"/>
      <c r="NJM75" s="3"/>
      <c r="NJN75" s="3"/>
      <c r="NJO75" s="3"/>
      <c r="NJP75" s="3"/>
      <c r="NJQ75" s="3"/>
      <c r="NJR75" s="3"/>
      <c r="NJS75" s="3"/>
      <c r="NJT75" s="3"/>
      <c r="NJU75" s="3"/>
      <c r="NJV75" s="3"/>
      <c r="NJW75" s="3"/>
      <c r="NJX75" s="3"/>
      <c r="NJY75" s="3"/>
      <c r="NJZ75" s="3"/>
      <c r="NKA75" s="3"/>
      <c r="NKB75" s="3"/>
      <c r="NKC75" s="3"/>
      <c r="NKD75" s="3"/>
      <c r="NKE75" s="3"/>
      <c r="NKF75" s="3"/>
      <c r="NKG75" s="3"/>
      <c r="NKH75" s="3"/>
      <c r="NKI75" s="3"/>
      <c r="NKJ75" s="3"/>
      <c r="NKK75" s="3"/>
      <c r="NKL75" s="3"/>
      <c r="NKM75" s="3"/>
      <c r="NKN75" s="3"/>
      <c r="NKO75" s="3"/>
      <c r="NKP75" s="3"/>
      <c r="NKQ75" s="3"/>
      <c r="NKR75" s="3"/>
      <c r="NKS75" s="3"/>
      <c r="NKT75" s="3"/>
      <c r="NKU75" s="3"/>
      <c r="NKV75" s="3"/>
      <c r="NKW75" s="3"/>
      <c r="NKX75" s="3"/>
      <c r="NKY75" s="3"/>
      <c r="NKZ75" s="3"/>
      <c r="NLA75" s="3"/>
      <c r="NLB75" s="3"/>
      <c r="NLC75" s="3"/>
      <c r="NLD75" s="3"/>
      <c r="NLE75" s="3"/>
      <c r="NLF75" s="3"/>
      <c r="NLG75" s="3"/>
      <c r="NLH75" s="3"/>
      <c r="NLI75" s="3"/>
      <c r="NLJ75" s="3"/>
      <c r="NLK75" s="3"/>
      <c r="NLL75" s="3"/>
      <c r="NLM75" s="3"/>
      <c r="NLN75" s="3"/>
      <c r="NLO75" s="3"/>
      <c r="NLP75" s="3"/>
      <c r="NLQ75" s="3"/>
      <c r="NLR75" s="3"/>
      <c r="NLS75" s="3"/>
      <c r="NLT75" s="3"/>
      <c r="NLU75" s="3"/>
      <c r="NLV75" s="3"/>
      <c r="NLW75" s="3"/>
      <c r="NLX75" s="3"/>
      <c r="NLY75" s="3"/>
      <c r="NLZ75" s="3"/>
      <c r="NMA75" s="3"/>
      <c r="NMB75" s="3"/>
      <c r="NMC75" s="3"/>
      <c r="NMD75" s="3"/>
      <c r="NME75" s="3"/>
      <c r="NMF75" s="3"/>
      <c r="NMG75" s="3"/>
      <c r="NMH75" s="3"/>
      <c r="NMI75" s="3"/>
      <c r="NMJ75" s="3"/>
      <c r="NMK75" s="3"/>
      <c r="NML75" s="3"/>
      <c r="NMM75" s="3"/>
      <c r="NMN75" s="3"/>
      <c r="NMO75" s="3"/>
      <c r="NMP75" s="3"/>
      <c r="NMQ75" s="3"/>
      <c r="NMR75" s="3"/>
      <c r="NMS75" s="3"/>
      <c r="NMT75" s="3"/>
      <c r="NMU75" s="3"/>
      <c r="NMV75" s="3"/>
      <c r="NMW75" s="3"/>
      <c r="NMX75" s="3"/>
      <c r="NMY75" s="3"/>
      <c r="NMZ75" s="3"/>
      <c r="NNA75" s="3"/>
      <c r="NNB75" s="3"/>
      <c r="NNC75" s="3"/>
      <c r="NND75" s="3"/>
      <c r="NNE75" s="3"/>
      <c r="NNF75" s="3"/>
      <c r="NNG75" s="3"/>
      <c r="NNH75" s="3"/>
      <c r="NNI75" s="3"/>
      <c r="NNJ75" s="3"/>
      <c r="NNK75" s="3"/>
      <c r="NNL75" s="3"/>
      <c r="NNM75" s="3"/>
      <c r="NNN75" s="3"/>
      <c r="NNO75" s="3"/>
      <c r="NNP75" s="3"/>
      <c r="NNQ75" s="3"/>
      <c r="NNR75" s="3"/>
      <c r="NNS75" s="3"/>
      <c r="NNT75" s="3"/>
      <c r="NNU75" s="3"/>
      <c r="NNV75" s="3"/>
      <c r="NNW75" s="3"/>
      <c r="NNX75" s="3"/>
      <c r="NNY75" s="3"/>
      <c r="NNZ75" s="3"/>
      <c r="NOA75" s="3"/>
      <c r="NOB75" s="3"/>
      <c r="NOC75" s="3"/>
      <c r="NOD75" s="3"/>
      <c r="NOE75" s="3"/>
      <c r="NOF75" s="3"/>
      <c r="NOG75" s="3"/>
      <c r="NOH75" s="3"/>
      <c r="NOI75" s="3"/>
      <c r="NOJ75" s="3"/>
      <c r="NOK75" s="3"/>
      <c r="NOL75" s="3"/>
      <c r="NOM75" s="3"/>
      <c r="NON75" s="3"/>
      <c r="NOO75" s="3"/>
      <c r="NOP75" s="3"/>
      <c r="NOQ75" s="3"/>
      <c r="NOR75" s="3"/>
      <c r="NOS75" s="3"/>
      <c r="NOT75" s="3"/>
      <c r="NOU75" s="3"/>
      <c r="NOV75" s="3"/>
      <c r="NOW75" s="3"/>
      <c r="NOX75" s="3"/>
      <c r="NOY75" s="3"/>
      <c r="NOZ75" s="3"/>
      <c r="NPA75" s="3"/>
      <c r="NPB75" s="3"/>
      <c r="NPC75" s="3"/>
      <c r="NPD75" s="3"/>
      <c r="NPE75" s="3"/>
      <c r="NPF75" s="3"/>
      <c r="NPG75" s="3"/>
      <c r="NPH75" s="3"/>
      <c r="NPI75" s="3"/>
      <c r="NPJ75" s="3"/>
      <c r="NPK75" s="3"/>
      <c r="NPL75" s="3"/>
      <c r="NPM75" s="3"/>
      <c r="NPN75" s="3"/>
      <c r="NPO75" s="3"/>
      <c r="NPP75" s="3"/>
      <c r="NPQ75" s="3"/>
      <c r="NPR75" s="3"/>
      <c r="NPS75" s="3"/>
      <c r="NPT75" s="3"/>
      <c r="NPU75" s="3"/>
      <c r="NPV75" s="3"/>
      <c r="NPW75" s="3"/>
      <c r="NPX75" s="3"/>
      <c r="NPY75" s="3"/>
      <c r="NPZ75" s="3"/>
      <c r="NQA75" s="3"/>
      <c r="NQB75" s="3"/>
      <c r="NQC75" s="3"/>
      <c r="NQD75" s="3"/>
      <c r="NQE75" s="3"/>
      <c r="NQF75" s="3"/>
      <c r="NQG75" s="3"/>
      <c r="NQH75" s="3"/>
      <c r="NQI75" s="3"/>
      <c r="NQJ75" s="3"/>
      <c r="NQK75" s="3"/>
      <c r="NQL75" s="3"/>
      <c r="NQM75" s="3"/>
      <c r="NQN75" s="3"/>
      <c r="NQO75" s="3"/>
      <c r="NQP75" s="3"/>
      <c r="NQQ75" s="3"/>
      <c r="NQR75" s="3"/>
      <c r="NQS75" s="3"/>
      <c r="NQT75" s="3"/>
      <c r="NQU75" s="3"/>
      <c r="NQV75" s="3"/>
      <c r="NQW75" s="3"/>
      <c r="NQX75" s="3"/>
      <c r="NQY75" s="3"/>
      <c r="NQZ75" s="3"/>
      <c r="NRA75" s="3"/>
      <c r="NRB75" s="3"/>
      <c r="NRC75" s="3"/>
      <c r="NRD75" s="3"/>
      <c r="NRE75" s="3"/>
      <c r="NRF75" s="3"/>
      <c r="NRG75" s="3"/>
      <c r="NRH75" s="3"/>
      <c r="NRI75" s="3"/>
      <c r="NRJ75" s="3"/>
      <c r="NRK75" s="3"/>
      <c r="NRL75" s="3"/>
      <c r="NRM75" s="3"/>
      <c r="NRN75" s="3"/>
      <c r="NRO75" s="3"/>
      <c r="NRP75" s="3"/>
      <c r="NRQ75" s="3"/>
      <c r="NRR75" s="3"/>
      <c r="NRS75" s="3"/>
      <c r="NRT75" s="3"/>
      <c r="NRU75" s="3"/>
      <c r="NRV75" s="3"/>
      <c r="NRW75" s="3"/>
      <c r="NRX75" s="3"/>
      <c r="NRY75" s="3"/>
      <c r="NRZ75" s="3"/>
      <c r="NSA75" s="3"/>
      <c r="NSB75" s="3"/>
      <c r="NSC75" s="3"/>
      <c r="NSD75" s="3"/>
      <c r="NSE75" s="3"/>
      <c r="NSF75" s="3"/>
      <c r="NSG75" s="3"/>
      <c r="NSH75" s="3"/>
      <c r="NSI75" s="3"/>
      <c r="NSJ75" s="3"/>
      <c r="NSK75" s="3"/>
      <c r="NSL75" s="3"/>
      <c r="NSM75" s="3"/>
      <c r="NSN75" s="3"/>
      <c r="NSO75" s="3"/>
      <c r="NSP75" s="3"/>
      <c r="NSQ75" s="3"/>
      <c r="NSR75" s="3"/>
      <c r="NSS75" s="3"/>
      <c r="NST75" s="3"/>
      <c r="NSU75" s="3"/>
      <c r="NSV75" s="3"/>
      <c r="NSW75" s="3"/>
      <c r="NSX75" s="3"/>
      <c r="NSY75" s="3"/>
      <c r="NSZ75" s="3"/>
      <c r="NTA75" s="3"/>
      <c r="NTB75" s="3"/>
      <c r="NTC75" s="3"/>
      <c r="NTD75" s="3"/>
      <c r="NTE75" s="3"/>
      <c r="NTF75" s="3"/>
      <c r="NTG75" s="3"/>
      <c r="NTH75" s="3"/>
      <c r="NTI75" s="3"/>
      <c r="NTJ75" s="3"/>
      <c r="NTK75" s="3"/>
      <c r="NTL75" s="3"/>
      <c r="NTM75" s="3"/>
      <c r="NTN75" s="3"/>
      <c r="NTO75" s="3"/>
      <c r="NTP75" s="3"/>
      <c r="NTQ75" s="3"/>
      <c r="NTR75" s="3"/>
      <c r="NTS75" s="3"/>
      <c r="NTT75" s="3"/>
      <c r="NTU75" s="3"/>
      <c r="NTV75" s="3"/>
      <c r="NTW75" s="3"/>
      <c r="NTX75" s="3"/>
      <c r="NTY75" s="3"/>
      <c r="NTZ75" s="3"/>
      <c r="NUA75" s="3"/>
      <c r="NUB75" s="3"/>
      <c r="NUC75" s="3"/>
      <c r="NUD75" s="3"/>
      <c r="NUE75" s="3"/>
      <c r="NUF75" s="3"/>
      <c r="NUG75" s="3"/>
      <c r="NUH75" s="3"/>
      <c r="NUI75" s="3"/>
      <c r="NUJ75" s="3"/>
      <c r="NUK75" s="3"/>
      <c r="NUL75" s="3"/>
      <c r="NUM75" s="3"/>
      <c r="NUN75" s="3"/>
      <c r="NUO75" s="3"/>
      <c r="NUP75" s="3"/>
      <c r="NUQ75" s="3"/>
      <c r="NUR75" s="3"/>
      <c r="NUS75" s="3"/>
      <c r="NUT75" s="3"/>
      <c r="NUU75" s="3"/>
      <c r="NUV75" s="3"/>
      <c r="NUW75" s="3"/>
      <c r="NUX75" s="3"/>
      <c r="NUY75" s="3"/>
      <c r="NUZ75" s="3"/>
      <c r="NVA75" s="3"/>
      <c r="NVB75" s="3"/>
      <c r="NVC75" s="3"/>
      <c r="NVD75" s="3"/>
      <c r="NVE75" s="3"/>
      <c r="NVF75" s="3"/>
      <c r="NVG75" s="3"/>
      <c r="NVH75" s="3"/>
      <c r="NVI75" s="3"/>
      <c r="NVJ75" s="3"/>
      <c r="NVK75" s="3"/>
      <c r="NVL75" s="3"/>
      <c r="NVM75" s="3"/>
      <c r="NVN75" s="3"/>
      <c r="NVO75" s="3"/>
      <c r="NVP75" s="3"/>
      <c r="NVQ75" s="3"/>
      <c r="NVR75" s="3"/>
      <c r="NVS75" s="3"/>
      <c r="NVT75" s="3"/>
      <c r="NVU75" s="3"/>
      <c r="NVV75" s="3"/>
      <c r="NVW75" s="3"/>
      <c r="NVX75" s="3"/>
      <c r="NVY75" s="3"/>
      <c r="NVZ75" s="3"/>
      <c r="NWA75" s="3"/>
      <c r="NWB75" s="3"/>
      <c r="NWC75" s="3"/>
      <c r="NWD75" s="3"/>
      <c r="NWE75" s="3"/>
      <c r="NWF75" s="3"/>
      <c r="NWG75" s="3"/>
      <c r="NWH75" s="3"/>
      <c r="NWI75" s="3"/>
      <c r="NWJ75" s="3"/>
      <c r="NWK75" s="3"/>
      <c r="NWL75" s="3"/>
      <c r="NWM75" s="3"/>
      <c r="NWN75" s="3"/>
      <c r="NWO75" s="3"/>
      <c r="NWP75" s="3"/>
      <c r="NWQ75" s="3"/>
      <c r="NWR75" s="3"/>
      <c r="NWS75" s="3"/>
      <c r="NWT75" s="3"/>
      <c r="NWU75" s="3"/>
      <c r="NWV75" s="3"/>
      <c r="NWW75" s="3"/>
      <c r="NWX75" s="3"/>
      <c r="NWY75" s="3"/>
      <c r="NWZ75" s="3"/>
      <c r="NXA75" s="3"/>
      <c r="NXB75" s="3"/>
      <c r="NXC75" s="3"/>
      <c r="NXD75" s="3"/>
      <c r="NXE75" s="3"/>
      <c r="NXF75" s="3"/>
      <c r="NXG75" s="3"/>
      <c r="NXH75" s="3"/>
      <c r="NXI75" s="3"/>
      <c r="NXJ75" s="3"/>
      <c r="NXK75" s="3"/>
      <c r="NXL75" s="3"/>
      <c r="NXM75" s="3"/>
      <c r="NXN75" s="3"/>
      <c r="NXO75" s="3"/>
      <c r="NXP75" s="3"/>
      <c r="NXQ75" s="3"/>
      <c r="NXR75" s="3"/>
      <c r="NXS75" s="3"/>
      <c r="NXT75" s="3"/>
      <c r="NXU75" s="3"/>
      <c r="NXV75" s="3"/>
      <c r="NXW75" s="3"/>
      <c r="NXX75" s="3"/>
      <c r="NXY75" s="3"/>
      <c r="NXZ75" s="3"/>
      <c r="NYA75" s="3"/>
      <c r="NYB75" s="3"/>
      <c r="NYC75" s="3"/>
      <c r="NYD75" s="3"/>
      <c r="NYE75" s="3"/>
      <c r="NYF75" s="3"/>
      <c r="NYG75" s="3"/>
      <c r="NYH75" s="3"/>
      <c r="NYI75" s="3"/>
      <c r="NYJ75" s="3"/>
      <c r="NYK75" s="3"/>
      <c r="NYL75" s="3"/>
      <c r="NYM75" s="3"/>
      <c r="NYN75" s="3"/>
      <c r="NYO75" s="3"/>
      <c r="NYP75" s="3"/>
      <c r="NYQ75" s="3"/>
      <c r="NYR75" s="3"/>
      <c r="NYS75" s="3"/>
      <c r="NYT75" s="3"/>
      <c r="NYU75" s="3"/>
      <c r="NYV75" s="3"/>
      <c r="NYW75" s="3"/>
      <c r="NYX75" s="3"/>
      <c r="NYY75" s="3"/>
      <c r="NYZ75" s="3"/>
      <c r="NZA75" s="3"/>
      <c r="NZB75" s="3"/>
      <c r="NZC75" s="3"/>
      <c r="NZD75" s="3"/>
      <c r="NZE75" s="3"/>
      <c r="NZF75" s="3"/>
      <c r="NZG75" s="3"/>
      <c r="NZH75" s="3"/>
      <c r="NZI75" s="3"/>
      <c r="NZJ75" s="3"/>
      <c r="NZK75" s="3"/>
      <c r="NZL75" s="3"/>
      <c r="NZM75" s="3"/>
      <c r="NZN75" s="3"/>
      <c r="NZO75" s="3"/>
      <c r="NZP75" s="3"/>
      <c r="NZQ75" s="3"/>
      <c r="NZR75" s="3"/>
      <c r="NZS75" s="3"/>
      <c r="NZT75" s="3"/>
      <c r="NZU75" s="3"/>
      <c r="NZV75" s="3"/>
      <c r="NZW75" s="3"/>
      <c r="NZX75" s="3"/>
      <c r="NZY75" s="3"/>
      <c r="NZZ75" s="3"/>
      <c r="OAA75" s="3"/>
      <c r="OAB75" s="3"/>
      <c r="OAC75" s="3"/>
      <c r="OAD75" s="3"/>
      <c r="OAE75" s="3"/>
      <c r="OAF75" s="3"/>
      <c r="OAG75" s="3"/>
      <c r="OAH75" s="3"/>
      <c r="OAI75" s="3"/>
      <c r="OAJ75" s="3"/>
      <c r="OAK75" s="3"/>
      <c r="OAL75" s="3"/>
      <c r="OAM75" s="3"/>
      <c r="OAN75" s="3"/>
      <c r="OAO75" s="3"/>
      <c r="OAP75" s="3"/>
      <c r="OAQ75" s="3"/>
      <c r="OAR75" s="3"/>
      <c r="OAS75" s="3"/>
      <c r="OAT75" s="3"/>
      <c r="OAU75" s="3"/>
      <c r="OAV75" s="3"/>
      <c r="OAW75" s="3"/>
      <c r="OAX75" s="3"/>
      <c r="OAY75" s="3"/>
      <c r="OAZ75" s="3"/>
      <c r="OBA75" s="3"/>
      <c r="OBB75" s="3"/>
      <c r="OBC75" s="3"/>
      <c r="OBD75" s="3"/>
      <c r="OBE75" s="3"/>
      <c r="OBF75" s="3"/>
      <c r="OBG75" s="3"/>
      <c r="OBH75" s="3"/>
      <c r="OBI75" s="3"/>
      <c r="OBJ75" s="3"/>
      <c r="OBK75" s="3"/>
      <c r="OBL75" s="3"/>
      <c r="OBM75" s="3"/>
      <c r="OBN75" s="3"/>
      <c r="OBO75" s="3"/>
      <c r="OBP75" s="3"/>
      <c r="OBQ75" s="3"/>
      <c r="OBR75" s="3"/>
      <c r="OBS75" s="3"/>
      <c r="OBT75" s="3"/>
      <c r="OBU75" s="3"/>
      <c r="OBV75" s="3"/>
      <c r="OBW75" s="3"/>
      <c r="OBX75" s="3"/>
      <c r="OBY75" s="3"/>
      <c r="OBZ75" s="3"/>
      <c r="OCA75" s="3"/>
      <c r="OCB75" s="3"/>
      <c r="OCC75" s="3"/>
      <c r="OCD75" s="3"/>
      <c r="OCE75" s="3"/>
      <c r="OCF75" s="3"/>
      <c r="OCG75" s="3"/>
      <c r="OCH75" s="3"/>
      <c r="OCI75" s="3"/>
      <c r="OCJ75" s="3"/>
      <c r="OCK75" s="3"/>
      <c r="OCL75" s="3"/>
      <c r="OCM75" s="3"/>
      <c r="OCN75" s="3"/>
      <c r="OCO75" s="3"/>
      <c r="OCP75" s="3"/>
      <c r="OCQ75" s="3"/>
      <c r="OCR75" s="3"/>
      <c r="OCS75" s="3"/>
      <c r="OCT75" s="3"/>
      <c r="OCU75" s="3"/>
      <c r="OCV75" s="3"/>
      <c r="OCW75" s="3"/>
      <c r="OCX75" s="3"/>
      <c r="OCY75" s="3"/>
      <c r="OCZ75" s="3"/>
      <c r="ODA75" s="3"/>
      <c r="ODB75" s="3"/>
      <c r="ODC75" s="3"/>
      <c r="ODD75" s="3"/>
      <c r="ODE75" s="3"/>
      <c r="ODF75" s="3"/>
      <c r="ODG75" s="3"/>
      <c r="ODH75" s="3"/>
      <c r="ODI75" s="3"/>
      <c r="ODJ75" s="3"/>
      <c r="ODK75" s="3"/>
      <c r="ODL75" s="3"/>
      <c r="ODM75" s="3"/>
      <c r="ODN75" s="3"/>
      <c r="ODO75" s="3"/>
      <c r="ODP75" s="3"/>
      <c r="ODQ75" s="3"/>
      <c r="ODR75" s="3"/>
      <c r="ODS75" s="3"/>
      <c r="ODT75" s="3"/>
      <c r="ODU75" s="3"/>
      <c r="ODV75" s="3"/>
      <c r="ODW75" s="3"/>
      <c r="ODX75" s="3"/>
      <c r="ODY75" s="3"/>
      <c r="ODZ75" s="3"/>
      <c r="OEA75" s="3"/>
      <c r="OEB75" s="3"/>
      <c r="OEC75" s="3"/>
      <c r="OED75" s="3"/>
      <c r="OEE75" s="3"/>
      <c r="OEF75" s="3"/>
      <c r="OEG75" s="3"/>
      <c r="OEH75" s="3"/>
      <c r="OEI75" s="3"/>
      <c r="OEJ75" s="3"/>
      <c r="OEK75" s="3"/>
      <c r="OEL75" s="3"/>
      <c r="OEM75" s="3"/>
      <c r="OEN75" s="3"/>
      <c r="OEO75" s="3"/>
      <c r="OEP75" s="3"/>
      <c r="OEQ75" s="3"/>
      <c r="OER75" s="3"/>
      <c r="OES75" s="3"/>
      <c r="OET75" s="3"/>
      <c r="OEU75" s="3"/>
      <c r="OEV75" s="3"/>
      <c r="OEW75" s="3"/>
      <c r="OEX75" s="3"/>
      <c r="OEY75" s="3"/>
      <c r="OEZ75" s="3"/>
      <c r="OFA75" s="3"/>
      <c r="OFB75" s="3"/>
      <c r="OFC75" s="3"/>
      <c r="OFD75" s="3"/>
      <c r="OFE75" s="3"/>
      <c r="OFF75" s="3"/>
      <c r="OFG75" s="3"/>
      <c r="OFH75" s="3"/>
      <c r="OFI75" s="3"/>
      <c r="OFJ75" s="3"/>
      <c r="OFK75" s="3"/>
      <c r="OFL75" s="3"/>
      <c r="OFM75" s="3"/>
      <c r="OFN75" s="3"/>
      <c r="OFO75" s="3"/>
      <c r="OFP75" s="3"/>
      <c r="OFQ75" s="3"/>
      <c r="OFR75" s="3"/>
      <c r="OFS75" s="3"/>
      <c r="OFT75" s="3"/>
      <c r="OFU75" s="3"/>
      <c r="OFV75" s="3"/>
      <c r="OFW75" s="3"/>
      <c r="OFX75" s="3"/>
      <c r="OFY75" s="3"/>
      <c r="OFZ75" s="3"/>
      <c r="OGA75" s="3"/>
      <c r="OGB75" s="3"/>
      <c r="OGC75" s="3"/>
      <c r="OGD75" s="3"/>
      <c r="OGE75" s="3"/>
      <c r="OGF75" s="3"/>
      <c r="OGG75" s="3"/>
      <c r="OGH75" s="3"/>
      <c r="OGI75" s="3"/>
      <c r="OGJ75" s="3"/>
      <c r="OGK75" s="3"/>
      <c r="OGL75" s="3"/>
      <c r="OGM75" s="3"/>
      <c r="OGN75" s="3"/>
      <c r="OGO75" s="3"/>
      <c r="OGP75" s="3"/>
      <c r="OGQ75" s="3"/>
      <c r="OGR75" s="3"/>
      <c r="OGS75" s="3"/>
      <c r="OGT75" s="3"/>
      <c r="OGU75" s="3"/>
      <c r="OGV75" s="3"/>
      <c r="OGW75" s="3"/>
      <c r="OGX75" s="3"/>
      <c r="OGY75" s="3"/>
      <c r="OGZ75" s="3"/>
      <c r="OHA75" s="3"/>
      <c r="OHB75" s="3"/>
      <c r="OHC75" s="3"/>
      <c r="OHD75" s="3"/>
      <c r="OHE75" s="3"/>
      <c r="OHF75" s="3"/>
      <c r="OHG75" s="3"/>
      <c r="OHH75" s="3"/>
      <c r="OHI75" s="3"/>
      <c r="OHJ75" s="3"/>
      <c r="OHK75" s="3"/>
      <c r="OHL75" s="3"/>
      <c r="OHM75" s="3"/>
      <c r="OHN75" s="3"/>
      <c r="OHO75" s="3"/>
      <c r="OHP75" s="3"/>
      <c r="OHQ75" s="3"/>
      <c r="OHR75" s="3"/>
      <c r="OHS75" s="3"/>
      <c r="OHT75" s="3"/>
      <c r="OHU75" s="3"/>
      <c r="OHV75" s="3"/>
      <c r="OHW75" s="3"/>
      <c r="OHX75" s="3"/>
      <c r="OHY75" s="3"/>
      <c r="OHZ75" s="3"/>
      <c r="OIA75" s="3"/>
      <c r="OIB75" s="3"/>
      <c r="OIC75" s="3"/>
      <c r="OID75" s="3"/>
      <c r="OIE75" s="3"/>
      <c r="OIF75" s="3"/>
      <c r="OIG75" s="3"/>
      <c r="OIH75" s="3"/>
      <c r="OII75" s="3"/>
      <c r="OIJ75" s="3"/>
      <c r="OIK75" s="3"/>
      <c r="OIL75" s="3"/>
      <c r="OIM75" s="3"/>
      <c r="OIN75" s="3"/>
      <c r="OIO75" s="3"/>
      <c r="OIP75" s="3"/>
      <c r="OIQ75" s="3"/>
      <c r="OIR75" s="3"/>
      <c r="OIS75" s="3"/>
      <c r="OIT75" s="3"/>
      <c r="OIU75" s="3"/>
      <c r="OIV75" s="3"/>
      <c r="OIW75" s="3"/>
      <c r="OIX75" s="3"/>
      <c r="OIY75" s="3"/>
      <c r="OIZ75" s="3"/>
      <c r="OJA75" s="3"/>
      <c r="OJB75" s="3"/>
      <c r="OJC75" s="3"/>
      <c r="OJD75" s="3"/>
      <c r="OJE75" s="3"/>
      <c r="OJF75" s="3"/>
      <c r="OJG75" s="3"/>
      <c r="OJH75" s="3"/>
      <c r="OJI75" s="3"/>
      <c r="OJJ75" s="3"/>
      <c r="OJK75" s="3"/>
      <c r="OJL75" s="3"/>
      <c r="OJM75" s="3"/>
      <c r="OJN75" s="3"/>
      <c r="OJO75" s="3"/>
      <c r="OJP75" s="3"/>
      <c r="OJQ75" s="3"/>
      <c r="OJR75" s="3"/>
      <c r="OJS75" s="3"/>
      <c r="OJT75" s="3"/>
      <c r="OJU75" s="3"/>
      <c r="OJV75" s="3"/>
      <c r="OJW75" s="3"/>
      <c r="OJX75" s="3"/>
      <c r="OJY75" s="3"/>
      <c r="OJZ75" s="3"/>
      <c r="OKA75" s="3"/>
      <c r="OKB75" s="3"/>
      <c r="OKC75" s="3"/>
      <c r="OKD75" s="3"/>
      <c r="OKE75" s="3"/>
      <c r="OKF75" s="3"/>
      <c r="OKG75" s="3"/>
      <c r="OKH75" s="3"/>
      <c r="OKI75" s="3"/>
      <c r="OKJ75" s="3"/>
      <c r="OKK75" s="3"/>
      <c r="OKL75" s="3"/>
      <c r="OKM75" s="3"/>
      <c r="OKN75" s="3"/>
      <c r="OKO75" s="3"/>
      <c r="OKP75" s="3"/>
      <c r="OKQ75" s="3"/>
      <c r="OKR75" s="3"/>
      <c r="OKS75" s="3"/>
      <c r="OKT75" s="3"/>
      <c r="OKU75" s="3"/>
      <c r="OKV75" s="3"/>
      <c r="OKW75" s="3"/>
      <c r="OKX75" s="3"/>
      <c r="OKY75" s="3"/>
      <c r="OKZ75" s="3"/>
      <c r="OLA75" s="3"/>
      <c r="OLB75" s="3"/>
      <c r="OLC75" s="3"/>
      <c r="OLD75" s="3"/>
      <c r="OLE75" s="3"/>
      <c r="OLF75" s="3"/>
      <c r="OLG75" s="3"/>
      <c r="OLH75" s="3"/>
      <c r="OLI75" s="3"/>
      <c r="OLJ75" s="3"/>
      <c r="OLK75" s="3"/>
      <c r="OLL75" s="3"/>
      <c r="OLM75" s="3"/>
      <c r="OLN75" s="3"/>
      <c r="OLO75" s="3"/>
      <c r="OLP75" s="3"/>
      <c r="OLQ75" s="3"/>
      <c r="OLR75" s="3"/>
      <c r="OLS75" s="3"/>
      <c r="OLT75" s="3"/>
      <c r="OLU75" s="3"/>
      <c r="OLV75" s="3"/>
      <c r="OLW75" s="3"/>
      <c r="OLX75" s="3"/>
      <c r="OLY75" s="3"/>
      <c r="OLZ75" s="3"/>
      <c r="OMA75" s="3"/>
      <c r="OMB75" s="3"/>
      <c r="OMC75" s="3"/>
      <c r="OMD75" s="3"/>
      <c r="OME75" s="3"/>
      <c r="OMF75" s="3"/>
      <c r="OMG75" s="3"/>
      <c r="OMH75" s="3"/>
      <c r="OMI75" s="3"/>
      <c r="OMJ75" s="3"/>
      <c r="OMK75" s="3"/>
      <c r="OML75" s="3"/>
      <c r="OMM75" s="3"/>
      <c r="OMN75" s="3"/>
      <c r="OMO75" s="3"/>
      <c r="OMP75" s="3"/>
      <c r="OMQ75" s="3"/>
      <c r="OMR75" s="3"/>
      <c r="OMS75" s="3"/>
      <c r="OMT75" s="3"/>
      <c r="OMU75" s="3"/>
      <c r="OMV75" s="3"/>
      <c r="OMW75" s="3"/>
      <c r="OMX75" s="3"/>
      <c r="OMY75" s="3"/>
      <c r="OMZ75" s="3"/>
      <c r="ONA75" s="3"/>
      <c r="ONB75" s="3"/>
      <c r="ONC75" s="3"/>
      <c r="OND75" s="3"/>
      <c r="ONE75" s="3"/>
      <c r="ONF75" s="3"/>
      <c r="ONG75" s="3"/>
      <c r="ONH75" s="3"/>
      <c r="ONI75" s="3"/>
      <c r="ONJ75" s="3"/>
      <c r="ONK75" s="3"/>
      <c r="ONL75" s="3"/>
      <c r="ONM75" s="3"/>
      <c r="ONN75" s="3"/>
      <c r="ONO75" s="3"/>
      <c r="ONP75" s="3"/>
      <c r="ONQ75" s="3"/>
      <c r="ONR75" s="3"/>
      <c r="ONS75" s="3"/>
      <c r="ONT75" s="3"/>
      <c r="ONU75" s="3"/>
      <c r="ONV75" s="3"/>
      <c r="ONW75" s="3"/>
      <c r="ONX75" s="3"/>
      <c r="ONY75" s="3"/>
      <c r="ONZ75" s="3"/>
      <c r="OOA75" s="3"/>
      <c r="OOB75" s="3"/>
      <c r="OOC75" s="3"/>
      <c r="OOD75" s="3"/>
      <c r="OOE75" s="3"/>
      <c r="OOF75" s="3"/>
      <c r="OOG75" s="3"/>
      <c r="OOH75" s="3"/>
      <c r="OOI75" s="3"/>
      <c r="OOJ75" s="3"/>
      <c r="OOK75" s="3"/>
      <c r="OOL75" s="3"/>
      <c r="OOM75" s="3"/>
      <c r="OON75" s="3"/>
      <c r="OOO75" s="3"/>
      <c r="OOP75" s="3"/>
      <c r="OOQ75" s="3"/>
      <c r="OOR75" s="3"/>
      <c r="OOS75" s="3"/>
      <c r="OOT75" s="3"/>
      <c r="OOU75" s="3"/>
      <c r="OOV75" s="3"/>
      <c r="OOW75" s="3"/>
      <c r="OOX75" s="3"/>
      <c r="OOY75" s="3"/>
      <c r="OOZ75" s="3"/>
      <c r="OPA75" s="3"/>
      <c r="OPB75" s="3"/>
      <c r="OPC75" s="3"/>
      <c r="OPD75" s="3"/>
      <c r="OPE75" s="3"/>
      <c r="OPF75" s="3"/>
      <c r="OPG75" s="3"/>
      <c r="OPH75" s="3"/>
      <c r="OPI75" s="3"/>
      <c r="OPJ75" s="3"/>
      <c r="OPK75" s="3"/>
      <c r="OPL75" s="3"/>
      <c r="OPM75" s="3"/>
      <c r="OPN75" s="3"/>
      <c r="OPO75" s="3"/>
      <c r="OPP75" s="3"/>
      <c r="OPQ75" s="3"/>
      <c r="OPR75" s="3"/>
      <c r="OPS75" s="3"/>
      <c r="OPT75" s="3"/>
      <c r="OPU75" s="3"/>
      <c r="OPV75" s="3"/>
      <c r="OPW75" s="3"/>
      <c r="OPX75" s="3"/>
      <c r="OPY75" s="3"/>
      <c r="OPZ75" s="3"/>
      <c r="OQA75" s="3"/>
      <c r="OQB75" s="3"/>
      <c r="OQC75" s="3"/>
      <c r="OQD75" s="3"/>
      <c r="OQE75" s="3"/>
      <c r="OQF75" s="3"/>
      <c r="OQG75" s="3"/>
      <c r="OQH75" s="3"/>
      <c r="OQI75" s="3"/>
      <c r="OQJ75" s="3"/>
      <c r="OQK75" s="3"/>
      <c r="OQL75" s="3"/>
      <c r="OQM75" s="3"/>
      <c r="OQN75" s="3"/>
      <c r="OQO75" s="3"/>
      <c r="OQP75" s="3"/>
      <c r="OQQ75" s="3"/>
      <c r="OQR75" s="3"/>
      <c r="OQS75" s="3"/>
      <c r="OQT75" s="3"/>
      <c r="OQU75" s="3"/>
      <c r="OQV75" s="3"/>
      <c r="OQW75" s="3"/>
      <c r="OQX75" s="3"/>
      <c r="OQY75" s="3"/>
      <c r="OQZ75" s="3"/>
      <c r="ORA75" s="3"/>
      <c r="ORB75" s="3"/>
      <c r="ORC75" s="3"/>
      <c r="ORD75" s="3"/>
      <c r="ORE75" s="3"/>
      <c r="ORF75" s="3"/>
      <c r="ORG75" s="3"/>
      <c r="ORH75" s="3"/>
      <c r="ORI75" s="3"/>
      <c r="ORJ75" s="3"/>
      <c r="ORK75" s="3"/>
      <c r="ORL75" s="3"/>
      <c r="ORM75" s="3"/>
      <c r="ORN75" s="3"/>
      <c r="ORO75" s="3"/>
      <c r="ORP75" s="3"/>
      <c r="ORQ75" s="3"/>
      <c r="ORR75" s="3"/>
      <c r="ORS75" s="3"/>
      <c r="ORT75" s="3"/>
      <c r="ORU75" s="3"/>
      <c r="ORV75" s="3"/>
      <c r="ORW75" s="3"/>
      <c r="ORX75" s="3"/>
      <c r="ORY75" s="3"/>
      <c r="ORZ75" s="3"/>
      <c r="OSA75" s="3"/>
      <c r="OSB75" s="3"/>
      <c r="OSC75" s="3"/>
      <c r="OSD75" s="3"/>
      <c r="OSE75" s="3"/>
      <c r="OSF75" s="3"/>
      <c r="OSG75" s="3"/>
      <c r="OSH75" s="3"/>
      <c r="OSI75" s="3"/>
      <c r="OSJ75" s="3"/>
      <c r="OSK75" s="3"/>
      <c r="OSL75" s="3"/>
      <c r="OSM75" s="3"/>
      <c r="OSN75" s="3"/>
      <c r="OSO75" s="3"/>
      <c r="OSP75" s="3"/>
      <c r="OSQ75" s="3"/>
      <c r="OSR75" s="3"/>
      <c r="OSS75" s="3"/>
      <c r="OST75" s="3"/>
      <c r="OSU75" s="3"/>
      <c r="OSV75" s="3"/>
      <c r="OSW75" s="3"/>
      <c r="OSX75" s="3"/>
      <c r="OSY75" s="3"/>
      <c r="OSZ75" s="3"/>
      <c r="OTA75" s="3"/>
      <c r="OTB75" s="3"/>
      <c r="OTC75" s="3"/>
      <c r="OTD75" s="3"/>
      <c r="OTE75" s="3"/>
      <c r="OTF75" s="3"/>
      <c r="OTG75" s="3"/>
      <c r="OTH75" s="3"/>
      <c r="OTI75" s="3"/>
      <c r="OTJ75" s="3"/>
      <c r="OTK75" s="3"/>
      <c r="OTL75" s="3"/>
      <c r="OTM75" s="3"/>
      <c r="OTN75" s="3"/>
      <c r="OTO75" s="3"/>
      <c r="OTP75" s="3"/>
      <c r="OTQ75" s="3"/>
      <c r="OTR75" s="3"/>
      <c r="OTS75" s="3"/>
      <c r="OTT75" s="3"/>
      <c r="OTU75" s="3"/>
      <c r="OTV75" s="3"/>
      <c r="OTW75" s="3"/>
      <c r="OTX75" s="3"/>
      <c r="OTY75" s="3"/>
      <c r="OTZ75" s="3"/>
      <c r="OUA75" s="3"/>
      <c r="OUB75" s="3"/>
      <c r="OUC75" s="3"/>
      <c r="OUD75" s="3"/>
      <c r="OUE75" s="3"/>
      <c r="OUF75" s="3"/>
      <c r="OUG75" s="3"/>
      <c r="OUH75" s="3"/>
      <c r="OUI75" s="3"/>
      <c r="OUJ75" s="3"/>
      <c r="OUK75" s="3"/>
      <c r="OUL75" s="3"/>
      <c r="OUM75" s="3"/>
      <c r="OUN75" s="3"/>
      <c r="OUO75" s="3"/>
      <c r="OUP75" s="3"/>
      <c r="OUQ75" s="3"/>
      <c r="OUR75" s="3"/>
      <c r="OUS75" s="3"/>
      <c r="OUT75" s="3"/>
      <c r="OUU75" s="3"/>
      <c r="OUV75" s="3"/>
      <c r="OUW75" s="3"/>
      <c r="OUX75" s="3"/>
      <c r="OUY75" s="3"/>
      <c r="OUZ75" s="3"/>
      <c r="OVA75" s="3"/>
      <c r="OVB75" s="3"/>
      <c r="OVC75" s="3"/>
      <c r="OVD75" s="3"/>
      <c r="OVE75" s="3"/>
      <c r="OVF75" s="3"/>
      <c r="OVG75" s="3"/>
      <c r="OVH75" s="3"/>
      <c r="OVI75" s="3"/>
      <c r="OVJ75" s="3"/>
      <c r="OVK75" s="3"/>
      <c r="OVL75" s="3"/>
      <c r="OVM75" s="3"/>
      <c r="OVN75" s="3"/>
      <c r="OVO75" s="3"/>
      <c r="OVP75" s="3"/>
      <c r="OVQ75" s="3"/>
      <c r="OVR75" s="3"/>
      <c r="OVS75" s="3"/>
      <c r="OVT75" s="3"/>
      <c r="OVU75" s="3"/>
      <c r="OVV75" s="3"/>
      <c r="OVW75" s="3"/>
      <c r="OVX75" s="3"/>
      <c r="OVY75" s="3"/>
      <c r="OVZ75" s="3"/>
      <c r="OWA75" s="3"/>
      <c r="OWB75" s="3"/>
      <c r="OWC75" s="3"/>
      <c r="OWD75" s="3"/>
      <c r="OWE75" s="3"/>
      <c r="OWF75" s="3"/>
      <c r="OWG75" s="3"/>
      <c r="OWH75" s="3"/>
      <c r="OWI75" s="3"/>
      <c r="OWJ75" s="3"/>
      <c r="OWK75" s="3"/>
      <c r="OWL75" s="3"/>
      <c r="OWM75" s="3"/>
      <c r="OWN75" s="3"/>
      <c r="OWO75" s="3"/>
      <c r="OWP75" s="3"/>
      <c r="OWQ75" s="3"/>
      <c r="OWR75" s="3"/>
      <c r="OWS75" s="3"/>
      <c r="OWT75" s="3"/>
      <c r="OWU75" s="3"/>
      <c r="OWV75" s="3"/>
      <c r="OWW75" s="3"/>
      <c r="OWX75" s="3"/>
      <c r="OWY75" s="3"/>
      <c r="OWZ75" s="3"/>
      <c r="OXA75" s="3"/>
      <c r="OXB75" s="3"/>
      <c r="OXC75" s="3"/>
      <c r="OXD75" s="3"/>
      <c r="OXE75" s="3"/>
      <c r="OXF75" s="3"/>
      <c r="OXG75" s="3"/>
      <c r="OXH75" s="3"/>
      <c r="OXI75" s="3"/>
      <c r="OXJ75" s="3"/>
      <c r="OXK75" s="3"/>
      <c r="OXL75" s="3"/>
      <c r="OXM75" s="3"/>
      <c r="OXN75" s="3"/>
      <c r="OXO75" s="3"/>
      <c r="OXP75" s="3"/>
      <c r="OXQ75" s="3"/>
      <c r="OXR75" s="3"/>
      <c r="OXS75" s="3"/>
      <c r="OXT75" s="3"/>
      <c r="OXU75" s="3"/>
      <c r="OXV75" s="3"/>
      <c r="OXW75" s="3"/>
      <c r="OXX75" s="3"/>
      <c r="OXY75" s="3"/>
      <c r="OXZ75" s="3"/>
      <c r="OYA75" s="3"/>
      <c r="OYB75" s="3"/>
      <c r="OYC75" s="3"/>
      <c r="OYD75" s="3"/>
      <c r="OYE75" s="3"/>
      <c r="OYF75" s="3"/>
      <c r="OYG75" s="3"/>
      <c r="OYH75" s="3"/>
      <c r="OYI75" s="3"/>
      <c r="OYJ75" s="3"/>
      <c r="OYK75" s="3"/>
      <c r="OYL75" s="3"/>
      <c r="OYM75" s="3"/>
      <c r="OYN75" s="3"/>
      <c r="OYO75" s="3"/>
      <c r="OYP75" s="3"/>
      <c r="OYQ75" s="3"/>
      <c r="OYR75" s="3"/>
      <c r="OYS75" s="3"/>
      <c r="OYT75" s="3"/>
      <c r="OYU75" s="3"/>
      <c r="OYV75" s="3"/>
      <c r="OYW75" s="3"/>
      <c r="OYX75" s="3"/>
      <c r="OYY75" s="3"/>
      <c r="OYZ75" s="3"/>
      <c r="OZA75" s="3"/>
      <c r="OZB75" s="3"/>
      <c r="OZC75" s="3"/>
      <c r="OZD75" s="3"/>
      <c r="OZE75" s="3"/>
      <c r="OZF75" s="3"/>
      <c r="OZG75" s="3"/>
      <c r="OZH75" s="3"/>
      <c r="OZI75" s="3"/>
      <c r="OZJ75" s="3"/>
      <c r="OZK75" s="3"/>
      <c r="OZL75" s="3"/>
      <c r="OZM75" s="3"/>
      <c r="OZN75" s="3"/>
      <c r="OZO75" s="3"/>
      <c r="OZP75" s="3"/>
      <c r="OZQ75" s="3"/>
      <c r="OZR75" s="3"/>
      <c r="OZS75" s="3"/>
      <c r="OZT75" s="3"/>
      <c r="OZU75" s="3"/>
      <c r="OZV75" s="3"/>
      <c r="OZW75" s="3"/>
      <c r="OZX75" s="3"/>
      <c r="OZY75" s="3"/>
      <c r="OZZ75" s="3"/>
      <c r="PAA75" s="3"/>
      <c r="PAB75" s="3"/>
      <c r="PAC75" s="3"/>
      <c r="PAD75" s="3"/>
      <c r="PAE75" s="3"/>
      <c r="PAF75" s="3"/>
      <c r="PAG75" s="3"/>
      <c r="PAH75" s="3"/>
      <c r="PAI75" s="3"/>
      <c r="PAJ75" s="3"/>
      <c r="PAK75" s="3"/>
      <c r="PAL75" s="3"/>
      <c r="PAM75" s="3"/>
      <c r="PAN75" s="3"/>
      <c r="PAO75" s="3"/>
      <c r="PAP75" s="3"/>
      <c r="PAQ75" s="3"/>
      <c r="PAR75" s="3"/>
      <c r="PAS75" s="3"/>
      <c r="PAT75" s="3"/>
      <c r="PAU75" s="3"/>
      <c r="PAV75" s="3"/>
      <c r="PAW75" s="3"/>
      <c r="PAX75" s="3"/>
      <c r="PAY75" s="3"/>
      <c r="PAZ75" s="3"/>
      <c r="PBA75" s="3"/>
      <c r="PBB75" s="3"/>
      <c r="PBC75" s="3"/>
      <c r="PBD75" s="3"/>
      <c r="PBE75" s="3"/>
      <c r="PBF75" s="3"/>
      <c r="PBG75" s="3"/>
      <c r="PBH75" s="3"/>
      <c r="PBI75" s="3"/>
      <c r="PBJ75" s="3"/>
      <c r="PBK75" s="3"/>
      <c r="PBL75" s="3"/>
      <c r="PBM75" s="3"/>
      <c r="PBN75" s="3"/>
      <c r="PBO75" s="3"/>
      <c r="PBP75" s="3"/>
      <c r="PBQ75" s="3"/>
      <c r="PBR75" s="3"/>
      <c r="PBS75" s="3"/>
      <c r="PBT75" s="3"/>
      <c r="PBU75" s="3"/>
      <c r="PBV75" s="3"/>
      <c r="PBW75" s="3"/>
      <c r="PBX75" s="3"/>
      <c r="PBY75" s="3"/>
      <c r="PBZ75" s="3"/>
      <c r="PCA75" s="3"/>
      <c r="PCB75" s="3"/>
      <c r="PCC75" s="3"/>
      <c r="PCD75" s="3"/>
      <c r="PCE75" s="3"/>
      <c r="PCF75" s="3"/>
      <c r="PCG75" s="3"/>
      <c r="PCH75" s="3"/>
      <c r="PCI75" s="3"/>
      <c r="PCJ75" s="3"/>
      <c r="PCK75" s="3"/>
      <c r="PCL75" s="3"/>
      <c r="PCM75" s="3"/>
      <c r="PCN75" s="3"/>
      <c r="PCO75" s="3"/>
      <c r="PCP75" s="3"/>
      <c r="PCQ75" s="3"/>
      <c r="PCR75" s="3"/>
      <c r="PCS75" s="3"/>
      <c r="PCT75" s="3"/>
      <c r="PCU75" s="3"/>
      <c r="PCV75" s="3"/>
      <c r="PCW75" s="3"/>
      <c r="PCX75" s="3"/>
      <c r="PCY75" s="3"/>
      <c r="PCZ75" s="3"/>
      <c r="PDA75" s="3"/>
      <c r="PDB75" s="3"/>
      <c r="PDC75" s="3"/>
      <c r="PDD75" s="3"/>
      <c r="PDE75" s="3"/>
      <c r="PDF75" s="3"/>
      <c r="PDG75" s="3"/>
      <c r="PDH75" s="3"/>
      <c r="PDI75" s="3"/>
      <c r="PDJ75" s="3"/>
      <c r="PDK75" s="3"/>
      <c r="PDL75" s="3"/>
      <c r="PDM75" s="3"/>
      <c r="PDN75" s="3"/>
      <c r="PDO75" s="3"/>
      <c r="PDP75" s="3"/>
      <c r="PDQ75" s="3"/>
      <c r="PDR75" s="3"/>
      <c r="PDS75" s="3"/>
      <c r="PDT75" s="3"/>
      <c r="PDU75" s="3"/>
      <c r="PDV75" s="3"/>
      <c r="PDW75" s="3"/>
      <c r="PDX75" s="3"/>
      <c r="PDY75" s="3"/>
      <c r="PDZ75" s="3"/>
      <c r="PEA75" s="3"/>
      <c r="PEB75" s="3"/>
      <c r="PEC75" s="3"/>
      <c r="PED75" s="3"/>
      <c r="PEE75" s="3"/>
      <c r="PEF75" s="3"/>
      <c r="PEG75" s="3"/>
      <c r="PEH75" s="3"/>
      <c r="PEI75" s="3"/>
      <c r="PEJ75" s="3"/>
      <c r="PEK75" s="3"/>
      <c r="PEL75" s="3"/>
      <c r="PEM75" s="3"/>
      <c r="PEN75" s="3"/>
      <c r="PEO75" s="3"/>
      <c r="PEP75" s="3"/>
      <c r="PEQ75" s="3"/>
      <c r="PER75" s="3"/>
      <c r="PES75" s="3"/>
      <c r="PET75" s="3"/>
      <c r="PEU75" s="3"/>
      <c r="PEV75" s="3"/>
      <c r="PEW75" s="3"/>
      <c r="PEX75" s="3"/>
      <c r="PEY75" s="3"/>
      <c r="PEZ75" s="3"/>
      <c r="PFA75" s="3"/>
      <c r="PFB75" s="3"/>
      <c r="PFC75" s="3"/>
      <c r="PFD75" s="3"/>
      <c r="PFE75" s="3"/>
      <c r="PFF75" s="3"/>
      <c r="PFG75" s="3"/>
      <c r="PFH75" s="3"/>
      <c r="PFI75" s="3"/>
      <c r="PFJ75" s="3"/>
      <c r="PFK75" s="3"/>
      <c r="PFL75" s="3"/>
      <c r="PFM75" s="3"/>
      <c r="PFN75" s="3"/>
      <c r="PFO75" s="3"/>
      <c r="PFP75" s="3"/>
      <c r="PFQ75" s="3"/>
      <c r="PFR75" s="3"/>
      <c r="PFS75" s="3"/>
      <c r="PFT75" s="3"/>
      <c r="PFU75" s="3"/>
      <c r="PFV75" s="3"/>
      <c r="PFW75" s="3"/>
      <c r="PFX75" s="3"/>
      <c r="PFY75" s="3"/>
      <c r="PFZ75" s="3"/>
      <c r="PGA75" s="3"/>
      <c r="PGB75" s="3"/>
      <c r="PGC75" s="3"/>
      <c r="PGD75" s="3"/>
      <c r="PGE75" s="3"/>
      <c r="PGF75" s="3"/>
      <c r="PGG75" s="3"/>
      <c r="PGH75" s="3"/>
      <c r="PGI75" s="3"/>
      <c r="PGJ75" s="3"/>
      <c r="PGK75" s="3"/>
      <c r="PGL75" s="3"/>
      <c r="PGM75" s="3"/>
      <c r="PGN75" s="3"/>
      <c r="PGO75" s="3"/>
      <c r="PGP75" s="3"/>
      <c r="PGQ75" s="3"/>
      <c r="PGR75" s="3"/>
      <c r="PGS75" s="3"/>
      <c r="PGT75" s="3"/>
      <c r="PGU75" s="3"/>
      <c r="PGV75" s="3"/>
      <c r="PGW75" s="3"/>
      <c r="PGX75" s="3"/>
      <c r="PGY75" s="3"/>
      <c r="PGZ75" s="3"/>
      <c r="PHA75" s="3"/>
      <c r="PHB75" s="3"/>
      <c r="PHC75" s="3"/>
      <c r="PHD75" s="3"/>
      <c r="PHE75" s="3"/>
      <c r="PHF75" s="3"/>
      <c r="PHG75" s="3"/>
      <c r="PHH75" s="3"/>
      <c r="PHI75" s="3"/>
      <c r="PHJ75" s="3"/>
      <c r="PHK75" s="3"/>
      <c r="PHL75" s="3"/>
      <c r="PHM75" s="3"/>
      <c r="PHN75" s="3"/>
      <c r="PHO75" s="3"/>
      <c r="PHP75" s="3"/>
      <c r="PHQ75" s="3"/>
      <c r="PHR75" s="3"/>
      <c r="PHS75" s="3"/>
      <c r="PHT75" s="3"/>
      <c r="PHU75" s="3"/>
      <c r="PHV75" s="3"/>
      <c r="PHW75" s="3"/>
      <c r="PHX75" s="3"/>
      <c r="PHY75" s="3"/>
      <c r="PHZ75" s="3"/>
      <c r="PIA75" s="3"/>
      <c r="PIB75" s="3"/>
      <c r="PIC75" s="3"/>
      <c r="PID75" s="3"/>
      <c r="PIE75" s="3"/>
      <c r="PIF75" s="3"/>
      <c r="PIG75" s="3"/>
      <c r="PIH75" s="3"/>
      <c r="PII75" s="3"/>
      <c r="PIJ75" s="3"/>
      <c r="PIK75" s="3"/>
      <c r="PIL75" s="3"/>
      <c r="PIM75" s="3"/>
      <c r="PIN75" s="3"/>
      <c r="PIO75" s="3"/>
      <c r="PIP75" s="3"/>
      <c r="PIQ75" s="3"/>
      <c r="PIR75" s="3"/>
      <c r="PIS75" s="3"/>
      <c r="PIT75" s="3"/>
      <c r="PIU75" s="3"/>
      <c r="PIV75" s="3"/>
      <c r="PIW75" s="3"/>
      <c r="PIX75" s="3"/>
      <c r="PIY75" s="3"/>
      <c r="PIZ75" s="3"/>
      <c r="PJA75" s="3"/>
      <c r="PJB75" s="3"/>
      <c r="PJC75" s="3"/>
      <c r="PJD75" s="3"/>
      <c r="PJE75" s="3"/>
      <c r="PJF75" s="3"/>
      <c r="PJG75" s="3"/>
      <c r="PJH75" s="3"/>
      <c r="PJI75" s="3"/>
      <c r="PJJ75" s="3"/>
      <c r="PJK75" s="3"/>
      <c r="PJL75" s="3"/>
      <c r="PJM75" s="3"/>
      <c r="PJN75" s="3"/>
      <c r="PJO75" s="3"/>
      <c r="PJP75" s="3"/>
      <c r="PJQ75" s="3"/>
      <c r="PJR75" s="3"/>
      <c r="PJS75" s="3"/>
      <c r="PJT75" s="3"/>
      <c r="PJU75" s="3"/>
      <c r="PJV75" s="3"/>
      <c r="PJW75" s="3"/>
      <c r="PJX75" s="3"/>
      <c r="PJY75" s="3"/>
      <c r="PJZ75" s="3"/>
      <c r="PKA75" s="3"/>
      <c r="PKB75" s="3"/>
      <c r="PKC75" s="3"/>
      <c r="PKD75" s="3"/>
      <c r="PKE75" s="3"/>
      <c r="PKF75" s="3"/>
      <c r="PKG75" s="3"/>
      <c r="PKH75" s="3"/>
      <c r="PKI75" s="3"/>
      <c r="PKJ75" s="3"/>
      <c r="PKK75" s="3"/>
      <c r="PKL75" s="3"/>
      <c r="PKM75" s="3"/>
      <c r="PKN75" s="3"/>
      <c r="PKO75" s="3"/>
      <c r="PKP75" s="3"/>
      <c r="PKQ75" s="3"/>
      <c r="PKR75" s="3"/>
      <c r="PKS75" s="3"/>
      <c r="PKT75" s="3"/>
      <c r="PKU75" s="3"/>
      <c r="PKV75" s="3"/>
      <c r="PKW75" s="3"/>
      <c r="PKX75" s="3"/>
      <c r="PKY75" s="3"/>
      <c r="PKZ75" s="3"/>
      <c r="PLA75" s="3"/>
      <c r="PLB75" s="3"/>
      <c r="PLC75" s="3"/>
      <c r="PLD75" s="3"/>
      <c r="PLE75" s="3"/>
      <c r="PLF75" s="3"/>
      <c r="PLG75" s="3"/>
      <c r="PLH75" s="3"/>
      <c r="PLI75" s="3"/>
      <c r="PLJ75" s="3"/>
      <c r="PLK75" s="3"/>
      <c r="PLL75" s="3"/>
      <c r="PLM75" s="3"/>
      <c r="PLN75" s="3"/>
      <c r="PLO75" s="3"/>
      <c r="PLP75" s="3"/>
      <c r="PLQ75" s="3"/>
      <c r="PLR75" s="3"/>
      <c r="PLS75" s="3"/>
      <c r="PLT75" s="3"/>
      <c r="PLU75" s="3"/>
      <c r="PLV75" s="3"/>
      <c r="PLW75" s="3"/>
      <c r="PLX75" s="3"/>
      <c r="PLY75" s="3"/>
      <c r="PLZ75" s="3"/>
      <c r="PMA75" s="3"/>
      <c r="PMB75" s="3"/>
      <c r="PMC75" s="3"/>
      <c r="PMD75" s="3"/>
      <c r="PME75" s="3"/>
      <c r="PMF75" s="3"/>
      <c r="PMG75" s="3"/>
      <c r="PMH75" s="3"/>
      <c r="PMI75" s="3"/>
      <c r="PMJ75" s="3"/>
      <c r="PMK75" s="3"/>
      <c r="PML75" s="3"/>
      <c r="PMM75" s="3"/>
      <c r="PMN75" s="3"/>
      <c r="PMO75" s="3"/>
      <c r="PMP75" s="3"/>
      <c r="PMQ75" s="3"/>
      <c r="PMR75" s="3"/>
      <c r="PMS75" s="3"/>
      <c r="PMT75" s="3"/>
      <c r="PMU75" s="3"/>
      <c r="PMV75" s="3"/>
      <c r="PMW75" s="3"/>
      <c r="PMX75" s="3"/>
      <c r="PMY75" s="3"/>
      <c r="PMZ75" s="3"/>
      <c r="PNA75" s="3"/>
      <c r="PNB75" s="3"/>
      <c r="PNC75" s="3"/>
      <c r="PND75" s="3"/>
      <c r="PNE75" s="3"/>
      <c r="PNF75" s="3"/>
      <c r="PNG75" s="3"/>
      <c r="PNH75" s="3"/>
      <c r="PNI75" s="3"/>
      <c r="PNJ75" s="3"/>
      <c r="PNK75" s="3"/>
      <c r="PNL75" s="3"/>
      <c r="PNM75" s="3"/>
      <c r="PNN75" s="3"/>
      <c r="PNO75" s="3"/>
      <c r="PNP75" s="3"/>
      <c r="PNQ75" s="3"/>
      <c r="PNR75" s="3"/>
      <c r="PNS75" s="3"/>
      <c r="PNT75" s="3"/>
      <c r="PNU75" s="3"/>
      <c r="PNV75" s="3"/>
      <c r="PNW75" s="3"/>
      <c r="PNX75" s="3"/>
      <c r="PNY75" s="3"/>
      <c r="PNZ75" s="3"/>
      <c r="POA75" s="3"/>
      <c r="POB75" s="3"/>
      <c r="POC75" s="3"/>
      <c r="POD75" s="3"/>
      <c r="POE75" s="3"/>
      <c r="POF75" s="3"/>
      <c r="POG75" s="3"/>
      <c r="POH75" s="3"/>
      <c r="POI75" s="3"/>
      <c r="POJ75" s="3"/>
      <c r="POK75" s="3"/>
      <c r="POL75" s="3"/>
      <c r="POM75" s="3"/>
      <c r="PON75" s="3"/>
      <c r="POO75" s="3"/>
      <c r="POP75" s="3"/>
      <c r="POQ75" s="3"/>
      <c r="POR75" s="3"/>
      <c r="POS75" s="3"/>
      <c r="POT75" s="3"/>
      <c r="POU75" s="3"/>
      <c r="POV75" s="3"/>
      <c r="POW75" s="3"/>
      <c r="POX75" s="3"/>
      <c r="POY75" s="3"/>
      <c r="POZ75" s="3"/>
      <c r="PPA75" s="3"/>
      <c r="PPB75" s="3"/>
      <c r="PPC75" s="3"/>
      <c r="PPD75" s="3"/>
      <c r="PPE75" s="3"/>
      <c r="PPF75" s="3"/>
      <c r="PPG75" s="3"/>
      <c r="PPH75" s="3"/>
      <c r="PPI75" s="3"/>
      <c r="PPJ75" s="3"/>
      <c r="PPK75" s="3"/>
      <c r="PPL75" s="3"/>
      <c r="PPM75" s="3"/>
      <c r="PPN75" s="3"/>
      <c r="PPO75" s="3"/>
      <c r="PPP75" s="3"/>
      <c r="PPQ75" s="3"/>
      <c r="PPR75" s="3"/>
      <c r="PPS75" s="3"/>
      <c r="PPT75" s="3"/>
      <c r="PPU75" s="3"/>
      <c r="PPV75" s="3"/>
      <c r="PPW75" s="3"/>
      <c r="PPX75" s="3"/>
      <c r="PPY75" s="3"/>
      <c r="PPZ75" s="3"/>
      <c r="PQA75" s="3"/>
      <c r="PQB75" s="3"/>
      <c r="PQC75" s="3"/>
      <c r="PQD75" s="3"/>
      <c r="PQE75" s="3"/>
      <c r="PQF75" s="3"/>
      <c r="PQG75" s="3"/>
      <c r="PQH75" s="3"/>
      <c r="PQI75" s="3"/>
      <c r="PQJ75" s="3"/>
      <c r="PQK75" s="3"/>
      <c r="PQL75" s="3"/>
      <c r="PQM75" s="3"/>
      <c r="PQN75" s="3"/>
      <c r="PQO75" s="3"/>
      <c r="PQP75" s="3"/>
      <c r="PQQ75" s="3"/>
      <c r="PQR75" s="3"/>
      <c r="PQS75" s="3"/>
      <c r="PQT75" s="3"/>
      <c r="PQU75" s="3"/>
      <c r="PQV75" s="3"/>
      <c r="PQW75" s="3"/>
      <c r="PQX75" s="3"/>
      <c r="PQY75" s="3"/>
      <c r="PQZ75" s="3"/>
      <c r="PRA75" s="3"/>
      <c r="PRB75" s="3"/>
      <c r="PRC75" s="3"/>
      <c r="PRD75" s="3"/>
      <c r="PRE75" s="3"/>
      <c r="PRF75" s="3"/>
      <c r="PRG75" s="3"/>
      <c r="PRH75" s="3"/>
      <c r="PRI75" s="3"/>
      <c r="PRJ75" s="3"/>
      <c r="PRK75" s="3"/>
      <c r="PRL75" s="3"/>
      <c r="PRM75" s="3"/>
      <c r="PRN75" s="3"/>
      <c r="PRO75" s="3"/>
      <c r="PRP75" s="3"/>
      <c r="PRQ75" s="3"/>
      <c r="PRR75" s="3"/>
      <c r="PRS75" s="3"/>
      <c r="PRT75" s="3"/>
      <c r="PRU75" s="3"/>
      <c r="PRV75" s="3"/>
      <c r="PRW75" s="3"/>
      <c r="PRX75" s="3"/>
      <c r="PRY75" s="3"/>
      <c r="PRZ75" s="3"/>
      <c r="PSA75" s="3"/>
      <c r="PSB75" s="3"/>
      <c r="PSC75" s="3"/>
      <c r="PSD75" s="3"/>
      <c r="PSE75" s="3"/>
      <c r="PSF75" s="3"/>
      <c r="PSG75" s="3"/>
      <c r="PSH75" s="3"/>
      <c r="PSI75" s="3"/>
      <c r="PSJ75" s="3"/>
      <c r="PSK75" s="3"/>
      <c r="PSL75" s="3"/>
      <c r="PSM75" s="3"/>
      <c r="PSN75" s="3"/>
      <c r="PSO75" s="3"/>
      <c r="PSP75" s="3"/>
      <c r="PSQ75" s="3"/>
      <c r="PSR75" s="3"/>
      <c r="PSS75" s="3"/>
      <c r="PST75" s="3"/>
      <c r="PSU75" s="3"/>
      <c r="PSV75" s="3"/>
      <c r="PSW75" s="3"/>
      <c r="PSX75" s="3"/>
      <c r="PSY75" s="3"/>
      <c r="PSZ75" s="3"/>
      <c r="PTA75" s="3"/>
      <c r="PTB75" s="3"/>
      <c r="PTC75" s="3"/>
      <c r="PTD75" s="3"/>
      <c r="PTE75" s="3"/>
      <c r="PTF75" s="3"/>
      <c r="PTG75" s="3"/>
      <c r="PTH75" s="3"/>
      <c r="PTI75" s="3"/>
      <c r="PTJ75" s="3"/>
      <c r="PTK75" s="3"/>
      <c r="PTL75" s="3"/>
      <c r="PTM75" s="3"/>
      <c r="PTN75" s="3"/>
      <c r="PTO75" s="3"/>
      <c r="PTP75" s="3"/>
      <c r="PTQ75" s="3"/>
      <c r="PTR75" s="3"/>
      <c r="PTS75" s="3"/>
      <c r="PTT75" s="3"/>
      <c r="PTU75" s="3"/>
      <c r="PTV75" s="3"/>
      <c r="PTW75" s="3"/>
      <c r="PTX75" s="3"/>
      <c r="PTY75" s="3"/>
      <c r="PTZ75" s="3"/>
      <c r="PUA75" s="3"/>
      <c r="PUB75" s="3"/>
      <c r="PUC75" s="3"/>
      <c r="PUD75" s="3"/>
      <c r="PUE75" s="3"/>
      <c r="PUF75" s="3"/>
      <c r="PUG75" s="3"/>
      <c r="PUH75" s="3"/>
      <c r="PUI75" s="3"/>
      <c r="PUJ75" s="3"/>
      <c r="PUK75" s="3"/>
      <c r="PUL75" s="3"/>
      <c r="PUM75" s="3"/>
      <c r="PUN75" s="3"/>
      <c r="PUO75" s="3"/>
      <c r="PUP75" s="3"/>
      <c r="PUQ75" s="3"/>
      <c r="PUR75" s="3"/>
      <c r="PUS75" s="3"/>
      <c r="PUT75" s="3"/>
      <c r="PUU75" s="3"/>
      <c r="PUV75" s="3"/>
      <c r="PUW75" s="3"/>
      <c r="PUX75" s="3"/>
      <c r="PUY75" s="3"/>
      <c r="PUZ75" s="3"/>
      <c r="PVA75" s="3"/>
      <c r="PVB75" s="3"/>
      <c r="PVC75" s="3"/>
      <c r="PVD75" s="3"/>
      <c r="PVE75" s="3"/>
      <c r="PVF75" s="3"/>
      <c r="PVG75" s="3"/>
      <c r="PVH75" s="3"/>
      <c r="PVI75" s="3"/>
      <c r="PVJ75" s="3"/>
      <c r="PVK75" s="3"/>
      <c r="PVL75" s="3"/>
      <c r="PVM75" s="3"/>
      <c r="PVN75" s="3"/>
      <c r="PVO75" s="3"/>
      <c r="PVP75" s="3"/>
      <c r="PVQ75" s="3"/>
      <c r="PVR75" s="3"/>
      <c r="PVS75" s="3"/>
      <c r="PVT75" s="3"/>
      <c r="PVU75" s="3"/>
      <c r="PVV75" s="3"/>
      <c r="PVW75" s="3"/>
      <c r="PVX75" s="3"/>
      <c r="PVY75" s="3"/>
      <c r="PVZ75" s="3"/>
      <c r="PWA75" s="3"/>
      <c r="PWB75" s="3"/>
      <c r="PWC75" s="3"/>
      <c r="PWD75" s="3"/>
      <c r="PWE75" s="3"/>
      <c r="PWF75" s="3"/>
      <c r="PWG75" s="3"/>
      <c r="PWH75" s="3"/>
      <c r="PWI75" s="3"/>
      <c r="PWJ75" s="3"/>
      <c r="PWK75" s="3"/>
      <c r="PWL75" s="3"/>
      <c r="PWM75" s="3"/>
      <c r="PWN75" s="3"/>
      <c r="PWO75" s="3"/>
      <c r="PWP75" s="3"/>
      <c r="PWQ75" s="3"/>
      <c r="PWR75" s="3"/>
      <c r="PWS75" s="3"/>
      <c r="PWT75" s="3"/>
      <c r="PWU75" s="3"/>
      <c r="PWV75" s="3"/>
      <c r="PWW75" s="3"/>
      <c r="PWX75" s="3"/>
      <c r="PWY75" s="3"/>
      <c r="PWZ75" s="3"/>
      <c r="PXA75" s="3"/>
      <c r="PXB75" s="3"/>
      <c r="PXC75" s="3"/>
      <c r="PXD75" s="3"/>
      <c r="PXE75" s="3"/>
      <c r="PXF75" s="3"/>
      <c r="PXG75" s="3"/>
      <c r="PXH75" s="3"/>
      <c r="PXI75" s="3"/>
      <c r="PXJ75" s="3"/>
      <c r="PXK75" s="3"/>
      <c r="PXL75" s="3"/>
      <c r="PXM75" s="3"/>
      <c r="PXN75" s="3"/>
      <c r="PXO75" s="3"/>
      <c r="PXP75" s="3"/>
      <c r="PXQ75" s="3"/>
      <c r="PXR75" s="3"/>
      <c r="PXS75" s="3"/>
      <c r="PXT75" s="3"/>
      <c r="PXU75" s="3"/>
      <c r="PXV75" s="3"/>
      <c r="PXW75" s="3"/>
      <c r="PXX75" s="3"/>
      <c r="PXY75" s="3"/>
      <c r="PXZ75" s="3"/>
      <c r="PYA75" s="3"/>
      <c r="PYB75" s="3"/>
      <c r="PYC75" s="3"/>
      <c r="PYD75" s="3"/>
      <c r="PYE75" s="3"/>
      <c r="PYF75" s="3"/>
      <c r="PYG75" s="3"/>
      <c r="PYH75" s="3"/>
      <c r="PYI75" s="3"/>
      <c r="PYJ75" s="3"/>
      <c r="PYK75" s="3"/>
      <c r="PYL75" s="3"/>
      <c r="PYM75" s="3"/>
      <c r="PYN75" s="3"/>
      <c r="PYO75" s="3"/>
      <c r="PYP75" s="3"/>
      <c r="PYQ75" s="3"/>
      <c r="PYR75" s="3"/>
      <c r="PYS75" s="3"/>
      <c r="PYT75" s="3"/>
      <c r="PYU75" s="3"/>
      <c r="PYV75" s="3"/>
      <c r="PYW75" s="3"/>
      <c r="PYX75" s="3"/>
      <c r="PYY75" s="3"/>
      <c r="PYZ75" s="3"/>
      <c r="PZA75" s="3"/>
      <c r="PZB75" s="3"/>
      <c r="PZC75" s="3"/>
      <c r="PZD75" s="3"/>
      <c r="PZE75" s="3"/>
      <c r="PZF75" s="3"/>
      <c r="PZG75" s="3"/>
      <c r="PZH75" s="3"/>
      <c r="PZI75" s="3"/>
      <c r="PZJ75" s="3"/>
      <c r="PZK75" s="3"/>
      <c r="PZL75" s="3"/>
      <c r="PZM75" s="3"/>
      <c r="PZN75" s="3"/>
      <c r="PZO75" s="3"/>
      <c r="PZP75" s="3"/>
      <c r="PZQ75" s="3"/>
      <c r="PZR75" s="3"/>
      <c r="PZS75" s="3"/>
      <c r="PZT75" s="3"/>
      <c r="PZU75" s="3"/>
      <c r="PZV75" s="3"/>
      <c r="PZW75" s="3"/>
      <c r="PZX75" s="3"/>
      <c r="PZY75" s="3"/>
      <c r="PZZ75" s="3"/>
      <c r="QAA75" s="3"/>
      <c r="QAB75" s="3"/>
      <c r="QAC75" s="3"/>
      <c r="QAD75" s="3"/>
      <c r="QAE75" s="3"/>
      <c r="QAF75" s="3"/>
      <c r="QAG75" s="3"/>
      <c r="QAH75" s="3"/>
      <c r="QAI75" s="3"/>
      <c r="QAJ75" s="3"/>
      <c r="QAK75" s="3"/>
      <c r="QAL75" s="3"/>
      <c r="QAM75" s="3"/>
      <c r="QAN75" s="3"/>
      <c r="QAO75" s="3"/>
      <c r="QAP75" s="3"/>
      <c r="QAQ75" s="3"/>
      <c r="QAR75" s="3"/>
      <c r="QAS75" s="3"/>
      <c r="QAT75" s="3"/>
      <c r="QAU75" s="3"/>
      <c r="QAV75" s="3"/>
      <c r="QAW75" s="3"/>
      <c r="QAX75" s="3"/>
      <c r="QAY75" s="3"/>
      <c r="QAZ75" s="3"/>
      <c r="QBA75" s="3"/>
      <c r="QBB75" s="3"/>
      <c r="QBC75" s="3"/>
      <c r="QBD75" s="3"/>
      <c r="QBE75" s="3"/>
      <c r="QBF75" s="3"/>
      <c r="QBG75" s="3"/>
      <c r="QBH75" s="3"/>
      <c r="QBI75" s="3"/>
      <c r="QBJ75" s="3"/>
      <c r="QBK75" s="3"/>
      <c r="QBL75" s="3"/>
      <c r="QBM75" s="3"/>
      <c r="QBN75" s="3"/>
      <c r="QBO75" s="3"/>
      <c r="QBP75" s="3"/>
      <c r="QBQ75" s="3"/>
      <c r="QBR75" s="3"/>
      <c r="QBS75" s="3"/>
      <c r="QBT75" s="3"/>
      <c r="QBU75" s="3"/>
      <c r="QBV75" s="3"/>
      <c r="QBW75" s="3"/>
      <c r="QBX75" s="3"/>
      <c r="QBY75" s="3"/>
      <c r="QBZ75" s="3"/>
      <c r="QCA75" s="3"/>
      <c r="QCB75" s="3"/>
      <c r="QCC75" s="3"/>
      <c r="QCD75" s="3"/>
      <c r="QCE75" s="3"/>
      <c r="QCF75" s="3"/>
      <c r="QCG75" s="3"/>
      <c r="QCH75" s="3"/>
      <c r="QCI75" s="3"/>
      <c r="QCJ75" s="3"/>
      <c r="QCK75" s="3"/>
      <c r="QCL75" s="3"/>
      <c r="QCM75" s="3"/>
      <c r="QCN75" s="3"/>
      <c r="QCO75" s="3"/>
      <c r="QCP75" s="3"/>
      <c r="QCQ75" s="3"/>
      <c r="QCR75" s="3"/>
      <c r="QCS75" s="3"/>
      <c r="QCT75" s="3"/>
      <c r="QCU75" s="3"/>
      <c r="QCV75" s="3"/>
      <c r="QCW75" s="3"/>
      <c r="QCX75" s="3"/>
      <c r="QCY75" s="3"/>
      <c r="QCZ75" s="3"/>
      <c r="QDA75" s="3"/>
      <c r="QDB75" s="3"/>
      <c r="QDC75" s="3"/>
      <c r="QDD75" s="3"/>
      <c r="QDE75" s="3"/>
      <c r="QDF75" s="3"/>
      <c r="QDG75" s="3"/>
      <c r="QDH75" s="3"/>
      <c r="QDI75" s="3"/>
      <c r="QDJ75" s="3"/>
      <c r="QDK75" s="3"/>
      <c r="QDL75" s="3"/>
      <c r="QDM75" s="3"/>
      <c r="QDN75" s="3"/>
      <c r="QDO75" s="3"/>
      <c r="QDP75" s="3"/>
      <c r="QDQ75" s="3"/>
      <c r="QDR75" s="3"/>
      <c r="QDS75" s="3"/>
      <c r="QDT75" s="3"/>
      <c r="QDU75" s="3"/>
      <c r="QDV75" s="3"/>
      <c r="QDW75" s="3"/>
      <c r="QDX75" s="3"/>
      <c r="QDY75" s="3"/>
      <c r="QDZ75" s="3"/>
      <c r="QEA75" s="3"/>
      <c r="QEB75" s="3"/>
      <c r="QEC75" s="3"/>
      <c r="QED75" s="3"/>
      <c r="QEE75" s="3"/>
      <c r="QEF75" s="3"/>
      <c r="QEG75" s="3"/>
      <c r="QEH75" s="3"/>
      <c r="QEI75" s="3"/>
      <c r="QEJ75" s="3"/>
      <c r="QEK75" s="3"/>
      <c r="QEL75" s="3"/>
      <c r="QEM75" s="3"/>
      <c r="QEN75" s="3"/>
      <c r="QEO75" s="3"/>
      <c r="QEP75" s="3"/>
      <c r="QEQ75" s="3"/>
      <c r="QER75" s="3"/>
      <c r="QES75" s="3"/>
      <c r="QET75" s="3"/>
      <c r="QEU75" s="3"/>
      <c r="QEV75" s="3"/>
      <c r="QEW75" s="3"/>
      <c r="QEX75" s="3"/>
      <c r="QEY75" s="3"/>
      <c r="QEZ75" s="3"/>
      <c r="QFA75" s="3"/>
      <c r="QFB75" s="3"/>
      <c r="QFC75" s="3"/>
      <c r="QFD75" s="3"/>
      <c r="QFE75" s="3"/>
      <c r="QFF75" s="3"/>
      <c r="QFG75" s="3"/>
      <c r="QFH75" s="3"/>
      <c r="QFI75" s="3"/>
      <c r="QFJ75" s="3"/>
      <c r="QFK75" s="3"/>
      <c r="QFL75" s="3"/>
      <c r="QFM75" s="3"/>
      <c r="QFN75" s="3"/>
      <c r="QFO75" s="3"/>
      <c r="QFP75" s="3"/>
      <c r="QFQ75" s="3"/>
      <c r="QFR75" s="3"/>
      <c r="QFS75" s="3"/>
      <c r="QFT75" s="3"/>
      <c r="QFU75" s="3"/>
      <c r="QFV75" s="3"/>
      <c r="QFW75" s="3"/>
      <c r="QFX75" s="3"/>
      <c r="QFY75" s="3"/>
      <c r="QFZ75" s="3"/>
      <c r="QGA75" s="3"/>
      <c r="QGB75" s="3"/>
      <c r="QGC75" s="3"/>
      <c r="QGD75" s="3"/>
      <c r="QGE75" s="3"/>
      <c r="QGF75" s="3"/>
      <c r="QGG75" s="3"/>
      <c r="QGH75" s="3"/>
      <c r="QGI75" s="3"/>
      <c r="QGJ75" s="3"/>
      <c r="QGK75" s="3"/>
      <c r="QGL75" s="3"/>
      <c r="QGM75" s="3"/>
      <c r="QGN75" s="3"/>
      <c r="QGO75" s="3"/>
      <c r="QGP75" s="3"/>
      <c r="QGQ75" s="3"/>
      <c r="QGR75" s="3"/>
      <c r="QGS75" s="3"/>
      <c r="QGT75" s="3"/>
      <c r="QGU75" s="3"/>
      <c r="QGV75" s="3"/>
      <c r="QGW75" s="3"/>
      <c r="QGX75" s="3"/>
      <c r="QGY75" s="3"/>
      <c r="QGZ75" s="3"/>
      <c r="QHA75" s="3"/>
      <c r="QHB75" s="3"/>
      <c r="QHC75" s="3"/>
      <c r="QHD75" s="3"/>
      <c r="QHE75" s="3"/>
      <c r="QHF75" s="3"/>
      <c r="QHG75" s="3"/>
      <c r="QHH75" s="3"/>
      <c r="QHI75" s="3"/>
      <c r="QHJ75" s="3"/>
      <c r="QHK75" s="3"/>
      <c r="QHL75" s="3"/>
      <c r="QHM75" s="3"/>
      <c r="QHN75" s="3"/>
      <c r="QHO75" s="3"/>
      <c r="QHP75" s="3"/>
      <c r="QHQ75" s="3"/>
      <c r="QHR75" s="3"/>
      <c r="QHS75" s="3"/>
      <c r="QHT75" s="3"/>
      <c r="QHU75" s="3"/>
      <c r="QHV75" s="3"/>
      <c r="QHW75" s="3"/>
      <c r="QHX75" s="3"/>
      <c r="QHY75" s="3"/>
      <c r="QHZ75" s="3"/>
      <c r="QIA75" s="3"/>
      <c r="QIB75" s="3"/>
      <c r="QIC75" s="3"/>
      <c r="QID75" s="3"/>
      <c r="QIE75" s="3"/>
      <c r="QIF75" s="3"/>
      <c r="QIG75" s="3"/>
      <c r="QIH75" s="3"/>
      <c r="QII75" s="3"/>
      <c r="QIJ75" s="3"/>
      <c r="QIK75" s="3"/>
      <c r="QIL75" s="3"/>
      <c r="QIM75" s="3"/>
      <c r="QIN75" s="3"/>
      <c r="QIO75" s="3"/>
      <c r="QIP75" s="3"/>
      <c r="QIQ75" s="3"/>
      <c r="QIR75" s="3"/>
      <c r="QIS75" s="3"/>
      <c r="QIT75" s="3"/>
      <c r="QIU75" s="3"/>
      <c r="QIV75" s="3"/>
      <c r="QIW75" s="3"/>
      <c r="QIX75" s="3"/>
      <c r="QIY75" s="3"/>
      <c r="QIZ75" s="3"/>
      <c r="QJA75" s="3"/>
      <c r="QJB75" s="3"/>
      <c r="QJC75" s="3"/>
      <c r="QJD75" s="3"/>
      <c r="QJE75" s="3"/>
      <c r="QJF75" s="3"/>
      <c r="QJG75" s="3"/>
      <c r="QJH75" s="3"/>
      <c r="QJI75" s="3"/>
      <c r="QJJ75" s="3"/>
      <c r="QJK75" s="3"/>
      <c r="QJL75" s="3"/>
      <c r="QJM75" s="3"/>
      <c r="QJN75" s="3"/>
      <c r="QJO75" s="3"/>
      <c r="QJP75" s="3"/>
      <c r="QJQ75" s="3"/>
      <c r="QJR75" s="3"/>
      <c r="QJS75" s="3"/>
      <c r="QJT75" s="3"/>
      <c r="QJU75" s="3"/>
      <c r="QJV75" s="3"/>
      <c r="QJW75" s="3"/>
      <c r="QJX75" s="3"/>
      <c r="QJY75" s="3"/>
      <c r="QJZ75" s="3"/>
      <c r="QKA75" s="3"/>
      <c r="QKB75" s="3"/>
      <c r="QKC75" s="3"/>
      <c r="QKD75" s="3"/>
      <c r="QKE75" s="3"/>
      <c r="QKF75" s="3"/>
      <c r="QKG75" s="3"/>
      <c r="QKH75" s="3"/>
      <c r="QKI75" s="3"/>
      <c r="QKJ75" s="3"/>
      <c r="QKK75" s="3"/>
      <c r="QKL75" s="3"/>
      <c r="QKM75" s="3"/>
      <c r="QKN75" s="3"/>
      <c r="QKO75" s="3"/>
      <c r="QKP75" s="3"/>
      <c r="QKQ75" s="3"/>
      <c r="QKR75" s="3"/>
      <c r="QKS75" s="3"/>
      <c r="QKT75" s="3"/>
      <c r="QKU75" s="3"/>
      <c r="QKV75" s="3"/>
      <c r="QKW75" s="3"/>
      <c r="QKX75" s="3"/>
      <c r="QKY75" s="3"/>
      <c r="QKZ75" s="3"/>
      <c r="QLA75" s="3"/>
      <c r="QLB75" s="3"/>
      <c r="QLC75" s="3"/>
      <c r="QLD75" s="3"/>
      <c r="QLE75" s="3"/>
      <c r="QLF75" s="3"/>
      <c r="QLG75" s="3"/>
      <c r="QLH75" s="3"/>
      <c r="QLI75" s="3"/>
      <c r="QLJ75" s="3"/>
      <c r="QLK75" s="3"/>
      <c r="QLL75" s="3"/>
      <c r="QLM75" s="3"/>
      <c r="QLN75" s="3"/>
      <c r="QLO75" s="3"/>
      <c r="QLP75" s="3"/>
      <c r="QLQ75" s="3"/>
      <c r="QLR75" s="3"/>
      <c r="QLS75" s="3"/>
      <c r="QLT75" s="3"/>
      <c r="QLU75" s="3"/>
      <c r="QLV75" s="3"/>
      <c r="QLW75" s="3"/>
      <c r="QLX75" s="3"/>
      <c r="QLY75" s="3"/>
      <c r="QLZ75" s="3"/>
      <c r="QMA75" s="3"/>
      <c r="QMB75" s="3"/>
      <c r="QMC75" s="3"/>
      <c r="QMD75" s="3"/>
      <c r="QME75" s="3"/>
      <c r="QMF75" s="3"/>
      <c r="QMG75" s="3"/>
      <c r="QMH75" s="3"/>
      <c r="QMI75" s="3"/>
      <c r="QMJ75" s="3"/>
      <c r="QMK75" s="3"/>
      <c r="QML75" s="3"/>
      <c r="QMM75" s="3"/>
      <c r="QMN75" s="3"/>
      <c r="QMO75" s="3"/>
      <c r="QMP75" s="3"/>
      <c r="QMQ75" s="3"/>
      <c r="QMR75" s="3"/>
      <c r="QMS75" s="3"/>
      <c r="QMT75" s="3"/>
      <c r="QMU75" s="3"/>
      <c r="QMV75" s="3"/>
      <c r="QMW75" s="3"/>
      <c r="QMX75" s="3"/>
      <c r="QMY75" s="3"/>
      <c r="QMZ75" s="3"/>
      <c r="QNA75" s="3"/>
      <c r="QNB75" s="3"/>
      <c r="QNC75" s="3"/>
      <c r="QND75" s="3"/>
      <c r="QNE75" s="3"/>
      <c r="QNF75" s="3"/>
      <c r="QNG75" s="3"/>
      <c r="QNH75" s="3"/>
      <c r="QNI75" s="3"/>
      <c r="QNJ75" s="3"/>
      <c r="QNK75" s="3"/>
      <c r="QNL75" s="3"/>
      <c r="QNM75" s="3"/>
      <c r="QNN75" s="3"/>
      <c r="QNO75" s="3"/>
      <c r="QNP75" s="3"/>
      <c r="QNQ75" s="3"/>
      <c r="QNR75" s="3"/>
      <c r="QNS75" s="3"/>
      <c r="QNT75" s="3"/>
      <c r="QNU75" s="3"/>
      <c r="QNV75" s="3"/>
      <c r="QNW75" s="3"/>
      <c r="QNX75" s="3"/>
      <c r="QNY75" s="3"/>
      <c r="QNZ75" s="3"/>
      <c r="QOA75" s="3"/>
      <c r="QOB75" s="3"/>
      <c r="QOC75" s="3"/>
      <c r="QOD75" s="3"/>
      <c r="QOE75" s="3"/>
      <c r="QOF75" s="3"/>
      <c r="QOG75" s="3"/>
      <c r="QOH75" s="3"/>
      <c r="QOI75" s="3"/>
      <c r="QOJ75" s="3"/>
      <c r="QOK75" s="3"/>
      <c r="QOL75" s="3"/>
      <c r="QOM75" s="3"/>
      <c r="QON75" s="3"/>
      <c r="QOO75" s="3"/>
      <c r="QOP75" s="3"/>
      <c r="QOQ75" s="3"/>
      <c r="QOR75" s="3"/>
      <c r="QOS75" s="3"/>
      <c r="QOT75" s="3"/>
      <c r="QOU75" s="3"/>
      <c r="QOV75" s="3"/>
      <c r="QOW75" s="3"/>
      <c r="QOX75" s="3"/>
      <c r="QOY75" s="3"/>
      <c r="QOZ75" s="3"/>
      <c r="QPA75" s="3"/>
      <c r="QPB75" s="3"/>
      <c r="QPC75" s="3"/>
      <c r="QPD75" s="3"/>
      <c r="QPE75" s="3"/>
      <c r="QPF75" s="3"/>
      <c r="QPG75" s="3"/>
      <c r="QPH75" s="3"/>
      <c r="QPI75" s="3"/>
      <c r="QPJ75" s="3"/>
      <c r="QPK75" s="3"/>
      <c r="QPL75" s="3"/>
      <c r="QPM75" s="3"/>
      <c r="QPN75" s="3"/>
      <c r="QPO75" s="3"/>
      <c r="QPP75" s="3"/>
      <c r="QPQ75" s="3"/>
      <c r="QPR75" s="3"/>
      <c r="QPS75" s="3"/>
      <c r="QPT75" s="3"/>
      <c r="QPU75" s="3"/>
      <c r="QPV75" s="3"/>
      <c r="QPW75" s="3"/>
      <c r="QPX75" s="3"/>
      <c r="QPY75" s="3"/>
      <c r="QPZ75" s="3"/>
      <c r="QQA75" s="3"/>
      <c r="QQB75" s="3"/>
      <c r="QQC75" s="3"/>
      <c r="QQD75" s="3"/>
      <c r="QQE75" s="3"/>
      <c r="QQF75" s="3"/>
      <c r="QQG75" s="3"/>
      <c r="QQH75" s="3"/>
      <c r="QQI75" s="3"/>
      <c r="QQJ75" s="3"/>
      <c r="QQK75" s="3"/>
      <c r="QQL75" s="3"/>
      <c r="QQM75" s="3"/>
      <c r="QQN75" s="3"/>
      <c r="QQO75" s="3"/>
      <c r="QQP75" s="3"/>
      <c r="QQQ75" s="3"/>
      <c r="QQR75" s="3"/>
      <c r="QQS75" s="3"/>
      <c r="QQT75" s="3"/>
      <c r="QQU75" s="3"/>
      <c r="QQV75" s="3"/>
      <c r="QQW75" s="3"/>
      <c r="QQX75" s="3"/>
      <c r="QQY75" s="3"/>
      <c r="QQZ75" s="3"/>
      <c r="QRA75" s="3"/>
      <c r="QRB75" s="3"/>
      <c r="QRC75" s="3"/>
      <c r="QRD75" s="3"/>
      <c r="QRE75" s="3"/>
      <c r="QRF75" s="3"/>
      <c r="QRG75" s="3"/>
      <c r="QRH75" s="3"/>
      <c r="QRI75" s="3"/>
      <c r="QRJ75" s="3"/>
      <c r="QRK75" s="3"/>
      <c r="QRL75" s="3"/>
      <c r="QRM75" s="3"/>
      <c r="QRN75" s="3"/>
      <c r="QRO75" s="3"/>
      <c r="QRP75" s="3"/>
      <c r="QRQ75" s="3"/>
      <c r="QRR75" s="3"/>
      <c r="QRS75" s="3"/>
      <c r="QRT75" s="3"/>
      <c r="QRU75" s="3"/>
      <c r="QRV75" s="3"/>
      <c r="QRW75" s="3"/>
      <c r="QRX75" s="3"/>
      <c r="QRY75" s="3"/>
      <c r="QRZ75" s="3"/>
      <c r="QSA75" s="3"/>
      <c r="QSB75" s="3"/>
      <c r="QSC75" s="3"/>
      <c r="QSD75" s="3"/>
      <c r="QSE75" s="3"/>
      <c r="QSF75" s="3"/>
      <c r="QSG75" s="3"/>
      <c r="QSH75" s="3"/>
      <c r="QSI75" s="3"/>
      <c r="QSJ75" s="3"/>
      <c r="QSK75" s="3"/>
      <c r="QSL75" s="3"/>
      <c r="QSM75" s="3"/>
      <c r="QSN75" s="3"/>
      <c r="QSO75" s="3"/>
      <c r="QSP75" s="3"/>
      <c r="QSQ75" s="3"/>
      <c r="QSR75" s="3"/>
      <c r="QSS75" s="3"/>
      <c r="QST75" s="3"/>
      <c r="QSU75" s="3"/>
      <c r="QSV75" s="3"/>
      <c r="QSW75" s="3"/>
      <c r="QSX75" s="3"/>
      <c r="QSY75" s="3"/>
      <c r="QSZ75" s="3"/>
      <c r="QTA75" s="3"/>
      <c r="QTB75" s="3"/>
      <c r="QTC75" s="3"/>
      <c r="QTD75" s="3"/>
      <c r="QTE75" s="3"/>
      <c r="QTF75" s="3"/>
      <c r="QTG75" s="3"/>
      <c r="QTH75" s="3"/>
      <c r="QTI75" s="3"/>
      <c r="QTJ75" s="3"/>
      <c r="QTK75" s="3"/>
      <c r="QTL75" s="3"/>
      <c r="QTM75" s="3"/>
      <c r="QTN75" s="3"/>
      <c r="QTO75" s="3"/>
      <c r="QTP75" s="3"/>
      <c r="QTQ75" s="3"/>
      <c r="QTR75" s="3"/>
      <c r="QTS75" s="3"/>
      <c r="QTT75" s="3"/>
      <c r="QTU75" s="3"/>
      <c r="QTV75" s="3"/>
      <c r="QTW75" s="3"/>
      <c r="QTX75" s="3"/>
      <c r="QTY75" s="3"/>
      <c r="QTZ75" s="3"/>
      <c r="QUA75" s="3"/>
      <c r="QUB75" s="3"/>
      <c r="QUC75" s="3"/>
      <c r="QUD75" s="3"/>
      <c r="QUE75" s="3"/>
      <c r="QUF75" s="3"/>
      <c r="QUG75" s="3"/>
      <c r="QUH75" s="3"/>
      <c r="QUI75" s="3"/>
      <c r="QUJ75" s="3"/>
      <c r="QUK75" s="3"/>
      <c r="QUL75" s="3"/>
      <c r="QUM75" s="3"/>
      <c r="QUN75" s="3"/>
      <c r="QUO75" s="3"/>
      <c r="QUP75" s="3"/>
      <c r="QUQ75" s="3"/>
      <c r="QUR75" s="3"/>
      <c r="QUS75" s="3"/>
      <c r="QUT75" s="3"/>
      <c r="QUU75" s="3"/>
      <c r="QUV75" s="3"/>
      <c r="QUW75" s="3"/>
      <c r="QUX75" s="3"/>
      <c r="QUY75" s="3"/>
      <c r="QUZ75" s="3"/>
      <c r="QVA75" s="3"/>
      <c r="QVB75" s="3"/>
      <c r="QVC75" s="3"/>
      <c r="QVD75" s="3"/>
      <c r="QVE75" s="3"/>
      <c r="QVF75" s="3"/>
      <c r="QVG75" s="3"/>
      <c r="QVH75" s="3"/>
      <c r="QVI75" s="3"/>
      <c r="QVJ75" s="3"/>
      <c r="QVK75" s="3"/>
      <c r="QVL75" s="3"/>
      <c r="QVM75" s="3"/>
      <c r="QVN75" s="3"/>
      <c r="QVO75" s="3"/>
      <c r="QVP75" s="3"/>
      <c r="QVQ75" s="3"/>
      <c r="QVR75" s="3"/>
      <c r="QVS75" s="3"/>
      <c r="QVT75" s="3"/>
      <c r="QVU75" s="3"/>
      <c r="QVV75" s="3"/>
      <c r="QVW75" s="3"/>
      <c r="QVX75" s="3"/>
      <c r="QVY75" s="3"/>
      <c r="QVZ75" s="3"/>
      <c r="QWA75" s="3"/>
      <c r="QWB75" s="3"/>
      <c r="QWC75" s="3"/>
      <c r="QWD75" s="3"/>
      <c r="QWE75" s="3"/>
      <c r="QWF75" s="3"/>
      <c r="QWG75" s="3"/>
      <c r="QWH75" s="3"/>
      <c r="QWI75" s="3"/>
      <c r="QWJ75" s="3"/>
      <c r="QWK75" s="3"/>
      <c r="QWL75" s="3"/>
      <c r="QWM75" s="3"/>
      <c r="QWN75" s="3"/>
      <c r="QWO75" s="3"/>
      <c r="QWP75" s="3"/>
      <c r="QWQ75" s="3"/>
      <c r="QWR75" s="3"/>
      <c r="QWS75" s="3"/>
      <c r="QWT75" s="3"/>
      <c r="QWU75" s="3"/>
      <c r="QWV75" s="3"/>
      <c r="QWW75" s="3"/>
      <c r="QWX75" s="3"/>
      <c r="QWY75" s="3"/>
      <c r="QWZ75" s="3"/>
      <c r="QXA75" s="3"/>
      <c r="QXB75" s="3"/>
      <c r="QXC75" s="3"/>
      <c r="QXD75" s="3"/>
      <c r="QXE75" s="3"/>
      <c r="QXF75" s="3"/>
      <c r="QXG75" s="3"/>
      <c r="QXH75" s="3"/>
      <c r="QXI75" s="3"/>
      <c r="QXJ75" s="3"/>
      <c r="QXK75" s="3"/>
      <c r="QXL75" s="3"/>
      <c r="QXM75" s="3"/>
      <c r="QXN75" s="3"/>
      <c r="QXO75" s="3"/>
      <c r="QXP75" s="3"/>
      <c r="QXQ75" s="3"/>
      <c r="QXR75" s="3"/>
      <c r="QXS75" s="3"/>
      <c r="QXT75" s="3"/>
      <c r="QXU75" s="3"/>
      <c r="QXV75" s="3"/>
      <c r="QXW75" s="3"/>
      <c r="QXX75" s="3"/>
      <c r="QXY75" s="3"/>
      <c r="QXZ75" s="3"/>
      <c r="QYA75" s="3"/>
      <c r="QYB75" s="3"/>
      <c r="QYC75" s="3"/>
      <c r="QYD75" s="3"/>
      <c r="QYE75" s="3"/>
      <c r="QYF75" s="3"/>
      <c r="QYG75" s="3"/>
      <c r="QYH75" s="3"/>
      <c r="QYI75" s="3"/>
      <c r="QYJ75" s="3"/>
      <c r="QYK75" s="3"/>
      <c r="QYL75" s="3"/>
      <c r="QYM75" s="3"/>
      <c r="QYN75" s="3"/>
      <c r="QYO75" s="3"/>
      <c r="QYP75" s="3"/>
      <c r="QYQ75" s="3"/>
      <c r="QYR75" s="3"/>
      <c r="QYS75" s="3"/>
      <c r="QYT75" s="3"/>
      <c r="QYU75" s="3"/>
      <c r="QYV75" s="3"/>
      <c r="QYW75" s="3"/>
      <c r="QYX75" s="3"/>
      <c r="QYY75" s="3"/>
      <c r="QYZ75" s="3"/>
      <c r="QZA75" s="3"/>
      <c r="QZB75" s="3"/>
      <c r="QZC75" s="3"/>
      <c r="QZD75" s="3"/>
      <c r="QZE75" s="3"/>
      <c r="QZF75" s="3"/>
      <c r="QZG75" s="3"/>
      <c r="QZH75" s="3"/>
      <c r="QZI75" s="3"/>
      <c r="QZJ75" s="3"/>
      <c r="QZK75" s="3"/>
      <c r="QZL75" s="3"/>
      <c r="QZM75" s="3"/>
      <c r="QZN75" s="3"/>
      <c r="QZO75" s="3"/>
      <c r="QZP75" s="3"/>
      <c r="QZQ75" s="3"/>
      <c r="QZR75" s="3"/>
      <c r="QZS75" s="3"/>
      <c r="QZT75" s="3"/>
      <c r="QZU75" s="3"/>
      <c r="QZV75" s="3"/>
      <c r="QZW75" s="3"/>
      <c r="QZX75" s="3"/>
      <c r="QZY75" s="3"/>
      <c r="QZZ75" s="3"/>
      <c r="RAA75" s="3"/>
      <c r="RAB75" s="3"/>
      <c r="RAC75" s="3"/>
      <c r="RAD75" s="3"/>
      <c r="RAE75" s="3"/>
      <c r="RAF75" s="3"/>
      <c r="RAG75" s="3"/>
      <c r="RAH75" s="3"/>
      <c r="RAI75" s="3"/>
      <c r="RAJ75" s="3"/>
      <c r="RAK75" s="3"/>
      <c r="RAL75" s="3"/>
      <c r="RAM75" s="3"/>
      <c r="RAN75" s="3"/>
      <c r="RAO75" s="3"/>
      <c r="RAP75" s="3"/>
      <c r="RAQ75" s="3"/>
      <c r="RAR75" s="3"/>
      <c r="RAS75" s="3"/>
      <c r="RAT75" s="3"/>
      <c r="RAU75" s="3"/>
      <c r="RAV75" s="3"/>
      <c r="RAW75" s="3"/>
      <c r="RAX75" s="3"/>
      <c r="RAY75" s="3"/>
      <c r="RAZ75" s="3"/>
      <c r="RBA75" s="3"/>
      <c r="RBB75" s="3"/>
      <c r="RBC75" s="3"/>
      <c r="RBD75" s="3"/>
      <c r="RBE75" s="3"/>
      <c r="RBF75" s="3"/>
      <c r="RBG75" s="3"/>
      <c r="RBH75" s="3"/>
      <c r="RBI75" s="3"/>
      <c r="RBJ75" s="3"/>
      <c r="RBK75" s="3"/>
      <c r="RBL75" s="3"/>
      <c r="RBM75" s="3"/>
      <c r="RBN75" s="3"/>
      <c r="RBO75" s="3"/>
      <c r="RBP75" s="3"/>
      <c r="RBQ75" s="3"/>
      <c r="RBR75" s="3"/>
      <c r="RBS75" s="3"/>
      <c r="RBT75" s="3"/>
      <c r="RBU75" s="3"/>
      <c r="RBV75" s="3"/>
      <c r="RBW75" s="3"/>
      <c r="RBX75" s="3"/>
      <c r="RBY75" s="3"/>
      <c r="RBZ75" s="3"/>
      <c r="RCA75" s="3"/>
      <c r="RCB75" s="3"/>
      <c r="RCC75" s="3"/>
      <c r="RCD75" s="3"/>
      <c r="RCE75" s="3"/>
      <c r="RCF75" s="3"/>
      <c r="RCG75" s="3"/>
      <c r="RCH75" s="3"/>
      <c r="RCI75" s="3"/>
      <c r="RCJ75" s="3"/>
      <c r="RCK75" s="3"/>
      <c r="RCL75" s="3"/>
      <c r="RCM75" s="3"/>
      <c r="RCN75" s="3"/>
      <c r="RCO75" s="3"/>
      <c r="RCP75" s="3"/>
      <c r="RCQ75" s="3"/>
      <c r="RCR75" s="3"/>
      <c r="RCS75" s="3"/>
      <c r="RCT75" s="3"/>
      <c r="RCU75" s="3"/>
      <c r="RCV75" s="3"/>
      <c r="RCW75" s="3"/>
      <c r="RCX75" s="3"/>
      <c r="RCY75" s="3"/>
      <c r="RCZ75" s="3"/>
      <c r="RDA75" s="3"/>
      <c r="RDB75" s="3"/>
      <c r="RDC75" s="3"/>
      <c r="RDD75" s="3"/>
      <c r="RDE75" s="3"/>
      <c r="RDF75" s="3"/>
      <c r="RDG75" s="3"/>
      <c r="RDH75" s="3"/>
      <c r="RDI75" s="3"/>
      <c r="RDJ75" s="3"/>
      <c r="RDK75" s="3"/>
      <c r="RDL75" s="3"/>
      <c r="RDM75" s="3"/>
      <c r="RDN75" s="3"/>
      <c r="RDO75" s="3"/>
      <c r="RDP75" s="3"/>
      <c r="RDQ75" s="3"/>
      <c r="RDR75" s="3"/>
      <c r="RDS75" s="3"/>
      <c r="RDT75" s="3"/>
      <c r="RDU75" s="3"/>
      <c r="RDV75" s="3"/>
      <c r="RDW75" s="3"/>
      <c r="RDX75" s="3"/>
      <c r="RDY75" s="3"/>
      <c r="RDZ75" s="3"/>
      <c r="REA75" s="3"/>
      <c r="REB75" s="3"/>
      <c r="REC75" s="3"/>
      <c r="RED75" s="3"/>
      <c r="REE75" s="3"/>
      <c r="REF75" s="3"/>
      <c r="REG75" s="3"/>
      <c r="REH75" s="3"/>
      <c r="REI75" s="3"/>
      <c r="REJ75" s="3"/>
      <c r="REK75" s="3"/>
      <c r="REL75" s="3"/>
      <c r="REM75" s="3"/>
      <c r="REN75" s="3"/>
      <c r="REO75" s="3"/>
      <c r="REP75" s="3"/>
      <c r="REQ75" s="3"/>
      <c r="RER75" s="3"/>
      <c r="RES75" s="3"/>
      <c r="RET75" s="3"/>
      <c r="REU75" s="3"/>
      <c r="REV75" s="3"/>
      <c r="REW75" s="3"/>
      <c r="REX75" s="3"/>
      <c r="REY75" s="3"/>
      <c r="REZ75" s="3"/>
      <c r="RFA75" s="3"/>
      <c r="RFB75" s="3"/>
      <c r="RFC75" s="3"/>
      <c r="RFD75" s="3"/>
      <c r="RFE75" s="3"/>
      <c r="RFF75" s="3"/>
      <c r="RFG75" s="3"/>
      <c r="RFH75" s="3"/>
      <c r="RFI75" s="3"/>
      <c r="RFJ75" s="3"/>
      <c r="RFK75" s="3"/>
      <c r="RFL75" s="3"/>
      <c r="RFM75" s="3"/>
      <c r="RFN75" s="3"/>
      <c r="RFO75" s="3"/>
      <c r="RFP75" s="3"/>
      <c r="RFQ75" s="3"/>
      <c r="RFR75" s="3"/>
      <c r="RFS75" s="3"/>
      <c r="RFT75" s="3"/>
      <c r="RFU75" s="3"/>
      <c r="RFV75" s="3"/>
      <c r="RFW75" s="3"/>
      <c r="RFX75" s="3"/>
      <c r="RFY75" s="3"/>
      <c r="RFZ75" s="3"/>
      <c r="RGA75" s="3"/>
      <c r="RGB75" s="3"/>
      <c r="RGC75" s="3"/>
      <c r="RGD75" s="3"/>
      <c r="RGE75" s="3"/>
      <c r="RGF75" s="3"/>
      <c r="RGG75" s="3"/>
      <c r="RGH75" s="3"/>
      <c r="RGI75" s="3"/>
      <c r="RGJ75" s="3"/>
      <c r="RGK75" s="3"/>
      <c r="RGL75" s="3"/>
      <c r="RGM75" s="3"/>
      <c r="RGN75" s="3"/>
      <c r="RGO75" s="3"/>
      <c r="RGP75" s="3"/>
      <c r="RGQ75" s="3"/>
      <c r="RGR75" s="3"/>
      <c r="RGS75" s="3"/>
      <c r="RGT75" s="3"/>
      <c r="RGU75" s="3"/>
      <c r="RGV75" s="3"/>
      <c r="RGW75" s="3"/>
      <c r="RGX75" s="3"/>
      <c r="RGY75" s="3"/>
      <c r="RGZ75" s="3"/>
      <c r="RHA75" s="3"/>
      <c r="RHB75" s="3"/>
      <c r="RHC75" s="3"/>
      <c r="RHD75" s="3"/>
      <c r="RHE75" s="3"/>
      <c r="RHF75" s="3"/>
      <c r="RHG75" s="3"/>
      <c r="RHH75" s="3"/>
      <c r="RHI75" s="3"/>
      <c r="RHJ75" s="3"/>
      <c r="RHK75" s="3"/>
      <c r="RHL75" s="3"/>
      <c r="RHM75" s="3"/>
      <c r="RHN75" s="3"/>
      <c r="RHO75" s="3"/>
      <c r="RHP75" s="3"/>
      <c r="RHQ75" s="3"/>
      <c r="RHR75" s="3"/>
      <c r="RHS75" s="3"/>
      <c r="RHT75" s="3"/>
      <c r="RHU75" s="3"/>
      <c r="RHV75" s="3"/>
      <c r="RHW75" s="3"/>
      <c r="RHX75" s="3"/>
      <c r="RHY75" s="3"/>
      <c r="RHZ75" s="3"/>
      <c r="RIA75" s="3"/>
      <c r="RIB75" s="3"/>
      <c r="RIC75" s="3"/>
      <c r="RID75" s="3"/>
      <c r="RIE75" s="3"/>
      <c r="RIF75" s="3"/>
      <c r="RIG75" s="3"/>
      <c r="RIH75" s="3"/>
      <c r="RII75" s="3"/>
      <c r="RIJ75" s="3"/>
      <c r="RIK75" s="3"/>
      <c r="RIL75" s="3"/>
      <c r="RIM75" s="3"/>
      <c r="RIN75" s="3"/>
      <c r="RIO75" s="3"/>
      <c r="RIP75" s="3"/>
      <c r="RIQ75" s="3"/>
      <c r="RIR75" s="3"/>
      <c r="RIS75" s="3"/>
      <c r="RIT75" s="3"/>
      <c r="RIU75" s="3"/>
      <c r="RIV75" s="3"/>
      <c r="RIW75" s="3"/>
      <c r="RIX75" s="3"/>
      <c r="RIY75" s="3"/>
      <c r="RIZ75" s="3"/>
      <c r="RJA75" s="3"/>
      <c r="RJB75" s="3"/>
      <c r="RJC75" s="3"/>
      <c r="RJD75" s="3"/>
      <c r="RJE75" s="3"/>
      <c r="RJF75" s="3"/>
      <c r="RJG75" s="3"/>
      <c r="RJH75" s="3"/>
      <c r="RJI75" s="3"/>
      <c r="RJJ75" s="3"/>
      <c r="RJK75" s="3"/>
      <c r="RJL75" s="3"/>
      <c r="RJM75" s="3"/>
      <c r="RJN75" s="3"/>
      <c r="RJO75" s="3"/>
      <c r="RJP75" s="3"/>
      <c r="RJQ75" s="3"/>
      <c r="RJR75" s="3"/>
      <c r="RJS75" s="3"/>
      <c r="RJT75" s="3"/>
      <c r="RJU75" s="3"/>
      <c r="RJV75" s="3"/>
      <c r="RJW75" s="3"/>
      <c r="RJX75" s="3"/>
      <c r="RJY75" s="3"/>
      <c r="RJZ75" s="3"/>
      <c r="RKA75" s="3"/>
      <c r="RKB75" s="3"/>
      <c r="RKC75" s="3"/>
      <c r="RKD75" s="3"/>
      <c r="RKE75" s="3"/>
      <c r="RKF75" s="3"/>
      <c r="RKG75" s="3"/>
      <c r="RKH75" s="3"/>
      <c r="RKI75" s="3"/>
      <c r="RKJ75" s="3"/>
      <c r="RKK75" s="3"/>
      <c r="RKL75" s="3"/>
      <c r="RKM75" s="3"/>
      <c r="RKN75" s="3"/>
      <c r="RKO75" s="3"/>
      <c r="RKP75" s="3"/>
      <c r="RKQ75" s="3"/>
      <c r="RKR75" s="3"/>
      <c r="RKS75" s="3"/>
      <c r="RKT75" s="3"/>
      <c r="RKU75" s="3"/>
      <c r="RKV75" s="3"/>
      <c r="RKW75" s="3"/>
      <c r="RKX75" s="3"/>
      <c r="RKY75" s="3"/>
      <c r="RKZ75" s="3"/>
      <c r="RLA75" s="3"/>
      <c r="RLB75" s="3"/>
      <c r="RLC75" s="3"/>
      <c r="RLD75" s="3"/>
      <c r="RLE75" s="3"/>
      <c r="RLF75" s="3"/>
      <c r="RLG75" s="3"/>
      <c r="RLH75" s="3"/>
      <c r="RLI75" s="3"/>
      <c r="RLJ75" s="3"/>
      <c r="RLK75" s="3"/>
      <c r="RLL75" s="3"/>
      <c r="RLM75" s="3"/>
      <c r="RLN75" s="3"/>
      <c r="RLO75" s="3"/>
      <c r="RLP75" s="3"/>
      <c r="RLQ75" s="3"/>
      <c r="RLR75" s="3"/>
      <c r="RLS75" s="3"/>
      <c r="RLT75" s="3"/>
      <c r="RLU75" s="3"/>
      <c r="RLV75" s="3"/>
      <c r="RLW75" s="3"/>
      <c r="RLX75" s="3"/>
      <c r="RLY75" s="3"/>
      <c r="RLZ75" s="3"/>
      <c r="RMA75" s="3"/>
      <c r="RMB75" s="3"/>
      <c r="RMC75" s="3"/>
      <c r="RMD75" s="3"/>
      <c r="RME75" s="3"/>
      <c r="RMF75" s="3"/>
      <c r="RMG75" s="3"/>
      <c r="RMH75" s="3"/>
      <c r="RMI75" s="3"/>
      <c r="RMJ75" s="3"/>
      <c r="RMK75" s="3"/>
      <c r="RML75" s="3"/>
      <c r="RMM75" s="3"/>
      <c r="RMN75" s="3"/>
      <c r="RMO75" s="3"/>
      <c r="RMP75" s="3"/>
      <c r="RMQ75" s="3"/>
      <c r="RMR75" s="3"/>
      <c r="RMS75" s="3"/>
      <c r="RMT75" s="3"/>
      <c r="RMU75" s="3"/>
      <c r="RMV75" s="3"/>
      <c r="RMW75" s="3"/>
      <c r="RMX75" s="3"/>
      <c r="RMY75" s="3"/>
      <c r="RMZ75" s="3"/>
      <c r="RNA75" s="3"/>
      <c r="RNB75" s="3"/>
      <c r="RNC75" s="3"/>
      <c r="RND75" s="3"/>
      <c r="RNE75" s="3"/>
      <c r="RNF75" s="3"/>
      <c r="RNG75" s="3"/>
      <c r="RNH75" s="3"/>
      <c r="RNI75" s="3"/>
      <c r="RNJ75" s="3"/>
      <c r="RNK75" s="3"/>
      <c r="RNL75" s="3"/>
      <c r="RNM75" s="3"/>
      <c r="RNN75" s="3"/>
      <c r="RNO75" s="3"/>
      <c r="RNP75" s="3"/>
      <c r="RNQ75" s="3"/>
      <c r="RNR75" s="3"/>
      <c r="RNS75" s="3"/>
      <c r="RNT75" s="3"/>
      <c r="RNU75" s="3"/>
      <c r="RNV75" s="3"/>
      <c r="RNW75" s="3"/>
      <c r="RNX75" s="3"/>
      <c r="RNY75" s="3"/>
      <c r="RNZ75" s="3"/>
      <c r="ROA75" s="3"/>
      <c r="ROB75" s="3"/>
      <c r="ROC75" s="3"/>
      <c r="ROD75" s="3"/>
      <c r="ROE75" s="3"/>
      <c r="ROF75" s="3"/>
      <c r="ROG75" s="3"/>
      <c r="ROH75" s="3"/>
      <c r="ROI75" s="3"/>
      <c r="ROJ75" s="3"/>
      <c r="ROK75" s="3"/>
      <c r="ROL75" s="3"/>
      <c r="ROM75" s="3"/>
      <c r="RON75" s="3"/>
      <c r="ROO75" s="3"/>
      <c r="ROP75" s="3"/>
      <c r="ROQ75" s="3"/>
      <c r="ROR75" s="3"/>
      <c r="ROS75" s="3"/>
      <c r="ROT75" s="3"/>
      <c r="ROU75" s="3"/>
      <c r="ROV75" s="3"/>
      <c r="ROW75" s="3"/>
      <c r="ROX75" s="3"/>
      <c r="ROY75" s="3"/>
      <c r="ROZ75" s="3"/>
      <c r="RPA75" s="3"/>
      <c r="RPB75" s="3"/>
      <c r="RPC75" s="3"/>
      <c r="RPD75" s="3"/>
      <c r="RPE75" s="3"/>
      <c r="RPF75" s="3"/>
      <c r="RPG75" s="3"/>
      <c r="RPH75" s="3"/>
      <c r="RPI75" s="3"/>
      <c r="RPJ75" s="3"/>
      <c r="RPK75" s="3"/>
      <c r="RPL75" s="3"/>
      <c r="RPM75" s="3"/>
      <c r="RPN75" s="3"/>
      <c r="RPO75" s="3"/>
      <c r="RPP75" s="3"/>
      <c r="RPQ75" s="3"/>
      <c r="RPR75" s="3"/>
      <c r="RPS75" s="3"/>
      <c r="RPT75" s="3"/>
      <c r="RPU75" s="3"/>
      <c r="RPV75" s="3"/>
      <c r="RPW75" s="3"/>
      <c r="RPX75" s="3"/>
      <c r="RPY75" s="3"/>
      <c r="RPZ75" s="3"/>
      <c r="RQA75" s="3"/>
      <c r="RQB75" s="3"/>
      <c r="RQC75" s="3"/>
      <c r="RQD75" s="3"/>
      <c r="RQE75" s="3"/>
      <c r="RQF75" s="3"/>
      <c r="RQG75" s="3"/>
      <c r="RQH75" s="3"/>
      <c r="RQI75" s="3"/>
      <c r="RQJ75" s="3"/>
      <c r="RQK75" s="3"/>
      <c r="RQL75" s="3"/>
      <c r="RQM75" s="3"/>
      <c r="RQN75" s="3"/>
      <c r="RQO75" s="3"/>
      <c r="RQP75" s="3"/>
      <c r="RQQ75" s="3"/>
      <c r="RQR75" s="3"/>
      <c r="RQS75" s="3"/>
      <c r="RQT75" s="3"/>
      <c r="RQU75" s="3"/>
      <c r="RQV75" s="3"/>
      <c r="RQW75" s="3"/>
      <c r="RQX75" s="3"/>
      <c r="RQY75" s="3"/>
      <c r="RQZ75" s="3"/>
      <c r="RRA75" s="3"/>
      <c r="RRB75" s="3"/>
      <c r="RRC75" s="3"/>
      <c r="RRD75" s="3"/>
      <c r="RRE75" s="3"/>
      <c r="RRF75" s="3"/>
      <c r="RRG75" s="3"/>
      <c r="RRH75" s="3"/>
      <c r="RRI75" s="3"/>
      <c r="RRJ75" s="3"/>
      <c r="RRK75" s="3"/>
      <c r="RRL75" s="3"/>
      <c r="RRM75" s="3"/>
      <c r="RRN75" s="3"/>
      <c r="RRO75" s="3"/>
      <c r="RRP75" s="3"/>
      <c r="RRQ75" s="3"/>
      <c r="RRR75" s="3"/>
      <c r="RRS75" s="3"/>
      <c r="RRT75" s="3"/>
      <c r="RRU75" s="3"/>
      <c r="RRV75" s="3"/>
      <c r="RRW75" s="3"/>
      <c r="RRX75" s="3"/>
      <c r="RRY75" s="3"/>
      <c r="RRZ75" s="3"/>
      <c r="RSA75" s="3"/>
      <c r="RSB75" s="3"/>
      <c r="RSC75" s="3"/>
      <c r="RSD75" s="3"/>
      <c r="RSE75" s="3"/>
      <c r="RSF75" s="3"/>
      <c r="RSG75" s="3"/>
      <c r="RSH75" s="3"/>
      <c r="RSI75" s="3"/>
      <c r="RSJ75" s="3"/>
      <c r="RSK75" s="3"/>
      <c r="RSL75" s="3"/>
      <c r="RSM75" s="3"/>
      <c r="RSN75" s="3"/>
      <c r="RSO75" s="3"/>
      <c r="RSP75" s="3"/>
      <c r="RSQ75" s="3"/>
      <c r="RSR75" s="3"/>
      <c r="RSS75" s="3"/>
      <c r="RST75" s="3"/>
      <c r="RSU75" s="3"/>
      <c r="RSV75" s="3"/>
      <c r="RSW75" s="3"/>
      <c r="RSX75" s="3"/>
      <c r="RSY75" s="3"/>
      <c r="RSZ75" s="3"/>
      <c r="RTA75" s="3"/>
      <c r="RTB75" s="3"/>
      <c r="RTC75" s="3"/>
      <c r="RTD75" s="3"/>
      <c r="RTE75" s="3"/>
      <c r="RTF75" s="3"/>
      <c r="RTG75" s="3"/>
      <c r="RTH75" s="3"/>
      <c r="RTI75" s="3"/>
      <c r="RTJ75" s="3"/>
      <c r="RTK75" s="3"/>
      <c r="RTL75" s="3"/>
      <c r="RTM75" s="3"/>
      <c r="RTN75" s="3"/>
      <c r="RTO75" s="3"/>
      <c r="RTP75" s="3"/>
      <c r="RTQ75" s="3"/>
      <c r="RTR75" s="3"/>
      <c r="RTS75" s="3"/>
      <c r="RTT75" s="3"/>
      <c r="RTU75" s="3"/>
      <c r="RTV75" s="3"/>
      <c r="RTW75" s="3"/>
      <c r="RTX75" s="3"/>
      <c r="RTY75" s="3"/>
      <c r="RTZ75" s="3"/>
      <c r="RUA75" s="3"/>
      <c r="RUB75" s="3"/>
      <c r="RUC75" s="3"/>
      <c r="RUD75" s="3"/>
      <c r="RUE75" s="3"/>
      <c r="RUF75" s="3"/>
      <c r="RUG75" s="3"/>
      <c r="RUH75" s="3"/>
      <c r="RUI75" s="3"/>
      <c r="RUJ75" s="3"/>
      <c r="RUK75" s="3"/>
      <c r="RUL75" s="3"/>
      <c r="RUM75" s="3"/>
      <c r="RUN75" s="3"/>
      <c r="RUO75" s="3"/>
      <c r="RUP75" s="3"/>
      <c r="RUQ75" s="3"/>
      <c r="RUR75" s="3"/>
      <c r="RUS75" s="3"/>
      <c r="RUT75" s="3"/>
      <c r="RUU75" s="3"/>
      <c r="RUV75" s="3"/>
      <c r="RUW75" s="3"/>
      <c r="RUX75" s="3"/>
      <c r="RUY75" s="3"/>
      <c r="RUZ75" s="3"/>
      <c r="RVA75" s="3"/>
      <c r="RVB75" s="3"/>
      <c r="RVC75" s="3"/>
      <c r="RVD75" s="3"/>
      <c r="RVE75" s="3"/>
      <c r="RVF75" s="3"/>
      <c r="RVG75" s="3"/>
      <c r="RVH75" s="3"/>
      <c r="RVI75" s="3"/>
      <c r="RVJ75" s="3"/>
      <c r="RVK75" s="3"/>
      <c r="RVL75" s="3"/>
      <c r="RVM75" s="3"/>
      <c r="RVN75" s="3"/>
      <c r="RVO75" s="3"/>
      <c r="RVP75" s="3"/>
      <c r="RVQ75" s="3"/>
      <c r="RVR75" s="3"/>
      <c r="RVS75" s="3"/>
      <c r="RVT75" s="3"/>
      <c r="RVU75" s="3"/>
      <c r="RVV75" s="3"/>
      <c r="RVW75" s="3"/>
      <c r="RVX75" s="3"/>
      <c r="RVY75" s="3"/>
      <c r="RVZ75" s="3"/>
      <c r="RWA75" s="3"/>
      <c r="RWB75" s="3"/>
      <c r="RWC75" s="3"/>
      <c r="RWD75" s="3"/>
      <c r="RWE75" s="3"/>
      <c r="RWF75" s="3"/>
      <c r="RWG75" s="3"/>
      <c r="RWH75" s="3"/>
      <c r="RWI75" s="3"/>
      <c r="RWJ75" s="3"/>
      <c r="RWK75" s="3"/>
      <c r="RWL75" s="3"/>
      <c r="RWM75" s="3"/>
      <c r="RWN75" s="3"/>
      <c r="RWO75" s="3"/>
      <c r="RWP75" s="3"/>
      <c r="RWQ75" s="3"/>
      <c r="RWR75" s="3"/>
      <c r="RWS75" s="3"/>
      <c r="RWT75" s="3"/>
      <c r="RWU75" s="3"/>
      <c r="RWV75" s="3"/>
      <c r="RWW75" s="3"/>
      <c r="RWX75" s="3"/>
      <c r="RWY75" s="3"/>
      <c r="RWZ75" s="3"/>
      <c r="RXA75" s="3"/>
      <c r="RXB75" s="3"/>
      <c r="RXC75" s="3"/>
      <c r="RXD75" s="3"/>
      <c r="RXE75" s="3"/>
      <c r="RXF75" s="3"/>
      <c r="RXG75" s="3"/>
      <c r="RXH75" s="3"/>
      <c r="RXI75" s="3"/>
      <c r="RXJ75" s="3"/>
      <c r="RXK75" s="3"/>
      <c r="RXL75" s="3"/>
      <c r="RXM75" s="3"/>
      <c r="RXN75" s="3"/>
      <c r="RXO75" s="3"/>
      <c r="RXP75" s="3"/>
      <c r="RXQ75" s="3"/>
      <c r="RXR75" s="3"/>
      <c r="RXS75" s="3"/>
      <c r="RXT75" s="3"/>
      <c r="RXU75" s="3"/>
      <c r="RXV75" s="3"/>
      <c r="RXW75" s="3"/>
      <c r="RXX75" s="3"/>
      <c r="RXY75" s="3"/>
      <c r="RXZ75" s="3"/>
      <c r="RYA75" s="3"/>
      <c r="RYB75" s="3"/>
      <c r="RYC75" s="3"/>
      <c r="RYD75" s="3"/>
      <c r="RYE75" s="3"/>
      <c r="RYF75" s="3"/>
      <c r="RYG75" s="3"/>
      <c r="RYH75" s="3"/>
      <c r="RYI75" s="3"/>
      <c r="RYJ75" s="3"/>
      <c r="RYK75" s="3"/>
      <c r="RYL75" s="3"/>
      <c r="RYM75" s="3"/>
      <c r="RYN75" s="3"/>
      <c r="RYO75" s="3"/>
      <c r="RYP75" s="3"/>
      <c r="RYQ75" s="3"/>
      <c r="RYR75" s="3"/>
      <c r="RYS75" s="3"/>
      <c r="RYT75" s="3"/>
      <c r="RYU75" s="3"/>
      <c r="RYV75" s="3"/>
      <c r="RYW75" s="3"/>
      <c r="RYX75" s="3"/>
      <c r="RYY75" s="3"/>
      <c r="RYZ75" s="3"/>
      <c r="RZA75" s="3"/>
      <c r="RZB75" s="3"/>
      <c r="RZC75" s="3"/>
      <c r="RZD75" s="3"/>
      <c r="RZE75" s="3"/>
      <c r="RZF75" s="3"/>
      <c r="RZG75" s="3"/>
      <c r="RZH75" s="3"/>
      <c r="RZI75" s="3"/>
      <c r="RZJ75" s="3"/>
      <c r="RZK75" s="3"/>
      <c r="RZL75" s="3"/>
      <c r="RZM75" s="3"/>
      <c r="RZN75" s="3"/>
      <c r="RZO75" s="3"/>
      <c r="RZP75" s="3"/>
      <c r="RZQ75" s="3"/>
      <c r="RZR75" s="3"/>
      <c r="RZS75" s="3"/>
      <c r="RZT75" s="3"/>
      <c r="RZU75" s="3"/>
      <c r="RZV75" s="3"/>
      <c r="RZW75" s="3"/>
      <c r="RZX75" s="3"/>
      <c r="RZY75" s="3"/>
      <c r="RZZ75" s="3"/>
      <c r="SAA75" s="3"/>
      <c r="SAB75" s="3"/>
      <c r="SAC75" s="3"/>
      <c r="SAD75" s="3"/>
      <c r="SAE75" s="3"/>
      <c r="SAF75" s="3"/>
      <c r="SAG75" s="3"/>
      <c r="SAH75" s="3"/>
      <c r="SAI75" s="3"/>
      <c r="SAJ75" s="3"/>
      <c r="SAK75" s="3"/>
      <c r="SAL75" s="3"/>
      <c r="SAM75" s="3"/>
      <c r="SAN75" s="3"/>
      <c r="SAO75" s="3"/>
      <c r="SAP75" s="3"/>
      <c r="SAQ75" s="3"/>
      <c r="SAR75" s="3"/>
      <c r="SAS75" s="3"/>
      <c r="SAT75" s="3"/>
      <c r="SAU75" s="3"/>
      <c r="SAV75" s="3"/>
      <c r="SAW75" s="3"/>
      <c r="SAX75" s="3"/>
      <c r="SAY75" s="3"/>
      <c r="SAZ75" s="3"/>
      <c r="SBA75" s="3"/>
      <c r="SBB75" s="3"/>
      <c r="SBC75" s="3"/>
      <c r="SBD75" s="3"/>
      <c r="SBE75" s="3"/>
      <c r="SBF75" s="3"/>
      <c r="SBG75" s="3"/>
      <c r="SBH75" s="3"/>
      <c r="SBI75" s="3"/>
      <c r="SBJ75" s="3"/>
      <c r="SBK75" s="3"/>
      <c r="SBL75" s="3"/>
      <c r="SBM75" s="3"/>
      <c r="SBN75" s="3"/>
      <c r="SBO75" s="3"/>
      <c r="SBP75" s="3"/>
      <c r="SBQ75" s="3"/>
      <c r="SBR75" s="3"/>
      <c r="SBS75" s="3"/>
      <c r="SBT75" s="3"/>
      <c r="SBU75" s="3"/>
      <c r="SBV75" s="3"/>
      <c r="SBW75" s="3"/>
      <c r="SBX75" s="3"/>
      <c r="SBY75" s="3"/>
      <c r="SBZ75" s="3"/>
      <c r="SCA75" s="3"/>
      <c r="SCB75" s="3"/>
      <c r="SCC75" s="3"/>
      <c r="SCD75" s="3"/>
      <c r="SCE75" s="3"/>
      <c r="SCF75" s="3"/>
      <c r="SCG75" s="3"/>
      <c r="SCH75" s="3"/>
      <c r="SCI75" s="3"/>
      <c r="SCJ75" s="3"/>
      <c r="SCK75" s="3"/>
      <c r="SCL75" s="3"/>
      <c r="SCM75" s="3"/>
      <c r="SCN75" s="3"/>
      <c r="SCO75" s="3"/>
      <c r="SCP75" s="3"/>
      <c r="SCQ75" s="3"/>
      <c r="SCR75" s="3"/>
      <c r="SCS75" s="3"/>
      <c r="SCT75" s="3"/>
      <c r="SCU75" s="3"/>
      <c r="SCV75" s="3"/>
      <c r="SCW75" s="3"/>
      <c r="SCX75" s="3"/>
      <c r="SCY75" s="3"/>
      <c r="SCZ75" s="3"/>
      <c r="SDA75" s="3"/>
      <c r="SDB75" s="3"/>
      <c r="SDC75" s="3"/>
      <c r="SDD75" s="3"/>
      <c r="SDE75" s="3"/>
      <c r="SDF75" s="3"/>
      <c r="SDG75" s="3"/>
      <c r="SDH75" s="3"/>
      <c r="SDI75" s="3"/>
      <c r="SDJ75" s="3"/>
      <c r="SDK75" s="3"/>
      <c r="SDL75" s="3"/>
      <c r="SDM75" s="3"/>
      <c r="SDN75" s="3"/>
      <c r="SDO75" s="3"/>
      <c r="SDP75" s="3"/>
      <c r="SDQ75" s="3"/>
      <c r="SDR75" s="3"/>
      <c r="SDS75" s="3"/>
      <c r="SDT75" s="3"/>
      <c r="SDU75" s="3"/>
      <c r="SDV75" s="3"/>
      <c r="SDW75" s="3"/>
      <c r="SDX75" s="3"/>
      <c r="SDY75" s="3"/>
      <c r="SDZ75" s="3"/>
      <c r="SEA75" s="3"/>
      <c r="SEB75" s="3"/>
      <c r="SEC75" s="3"/>
      <c r="SED75" s="3"/>
      <c r="SEE75" s="3"/>
      <c r="SEF75" s="3"/>
      <c r="SEG75" s="3"/>
      <c r="SEH75" s="3"/>
      <c r="SEI75" s="3"/>
      <c r="SEJ75" s="3"/>
      <c r="SEK75" s="3"/>
      <c r="SEL75" s="3"/>
      <c r="SEM75" s="3"/>
      <c r="SEN75" s="3"/>
      <c r="SEO75" s="3"/>
      <c r="SEP75" s="3"/>
      <c r="SEQ75" s="3"/>
      <c r="SER75" s="3"/>
      <c r="SES75" s="3"/>
      <c r="SET75" s="3"/>
      <c r="SEU75" s="3"/>
      <c r="SEV75" s="3"/>
      <c r="SEW75" s="3"/>
      <c r="SEX75" s="3"/>
      <c r="SEY75" s="3"/>
      <c r="SEZ75" s="3"/>
      <c r="SFA75" s="3"/>
      <c r="SFB75" s="3"/>
      <c r="SFC75" s="3"/>
      <c r="SFD75" s="3"/>
      <c r="SFE75" s="3"/>
      <c r="SFF75" s="3"/>
      <c r="SFG75" s="3"/>
      <c r="SFH75" s="3"/>
      <c r="SFI75" s="3"/>
      <c r="SFJ75" s="3"/>
      <c r="SFK75" s="3"/>
      <c r="SFL75" s="3"/>
      <c r="SFM75" s="3"/>
      <c r="SFN75" s="3"/>
      <c r="SFO75" s="3"/>
      <c r="SFP75" s="3"/>
      <c r="SFQ75" s="3"/>
      <c r="SFR75" s="3"/>
      <c r="SFS75" s="3"/>
      <c r="SFT75" s="3"/>
      <c r="SFU75" s="3"/>
      <c r="SFV75" s="3"/>
      <c r="SFW75" s="3"/>
      <c r="SFX75" s="3"/>
      <c r="SFY75" s="3"/>
      <c r="SFZ75" s="3"/>
      <c r="SGA75" s="3"/>
      <c r="SGB75" s="3"/>
      <c r="SGC75" s="3"/>
      <c r="SGD75" s="3"/>
      <c r="SGE75" s="3"/>
      <c r="SGF75" s="3"/>
      <c r="SGG75" s="3"/>
      <c r="SGH75" s="3"/>
      <c r="SGI75" s="3"/>
      <c r="SGJ75" s="3"/>
      <c r="SGK75" s="3"/>
      <c r="SGL75" s="3"/>
      <c r="SGM75" s="3"/>
      <c r="SGN75" s="3"/>
      <c r="SGO75" s="3"/>
      <c r="SGP75" s="3"/>
      <c r="SGQ75" s="3"/>
      <c r="SGR75" s="3"/>
      <c r="SGS75" s="3"/>
      <c r="SGT75" s="3"/>
      <c r="SGU75" s="3"/>
      <c r="SGV75" s="3"/>
      <c r="SGW75" s="3"/>
      <c r="SGX75" s="3"/>
      <c r="SGY75" s="3"/>
      <c r="SGZ75" s="3"/>
      <c r="SHA75" s="3"/>
      <c r="SHB75" s="3"/>
      <c r="SHC75" s="3"/>
      <c r="SHD75" s="3"/>
      <c r="SHE75" s="3"/>
      <c r="SHF75" s="3"/>
      <c r="SHG75" s="3"/>
      <c r="SHH75" s="3"/>
      <c r="SHI75" s="3"/>
      <c r="SHJ75" s="3"/>
      <c r="SHK75" s="3"/>
      <c r="SHL75" s="3"/>
      <c r="SHM75" s="3"/>
      <c r="SHN75" s="3"/>
      <c r="SHO75" s="3"/>
      <c r="SHP75" s="3"/>
      <c r="SHQ75" s="3"/>
      <c r="SHR75" s="3"/>
      <c r="SHS75" s="3"/>
      <c r="SHT75" s="3"/>
      <c r="SHU75" s="3"/>
      <c r="SHV75" s="3"/>
      <c r="SHW75" s="3"/>
      <c r="SHX75" s="3"/>
      <c r="SHY75" s="3"/>
      <c r="SHZ75" s="3"/>
      <c r="SIA75" s="3"/>
      <c r="SIB75" s="3"/>
      <c r="SIC75" s="3"/>
      <c r="SID75" s="3"/>
      <c r="SIE75" s="3"/>
      <c r="SIF75" s="3"/>
      <c r="SIG75" s="3"/>
      <c r="SIH75" s="3"/>
      <c r="SII75" s="3"/>
      <c r="SIJ75" s="3"/>
      <c r="SIK75" s="3"/>
      <c r="SIL75" s="3"/>
      <c r="SIM75" s="3"/>
      <c r="SIN75" s="3"/>
      <c r="SIO75" s="3"/>
      <c r="SIP75" s="3"/>
      <c r="SIQ75" s="3"/>
      <c r="SIR75" s="3"/>
      <c r="SIS75" s="3"/>
      <c r="SIT75" s="3"/>
      <c r="SIU75" s="3"/>
      <c r="SIV75" s="3"/>
      <c r="SIW75" s="3"/>
      <c r="SIX75" s="3"/>
      <c r="SIY75" s="3"/>
      <c r="SIZ75" s="3"/>
      <c r="SJA75" s="3"/>
      <c r="SJB75" s="3"/>
      <c r="SJC75" s="3"/>
      <c r="SJD75" s="3"/>
      <c r="SJE75" s="3"/>
      <c r="SJF75" s="3"/>
      <c r="SJG75" s="3"/>
      <c r="SJH75" s="3"/>
      <c r="SJI75" s="3"/>
      <c r="SJJ75" s="3"/>
      <c r="SJK75" s="3"/>
      <c r="SJL75" s="3"/>
      <c r="SJM75" s="3"/>
      <c r="SJN75" s="3"/>
      <c r="SJO75" s="3"/>
      <c r="SJP75" s="3"/>
      <c r="SJQ75" s="3"/>
      <c r="SJR75" s="3"/>
      <c r="SJS75" s="3"/>
      <c r="SJT75" s="3"/>
      <c r="SJU75" s="3"/>
      <c r="SJV75" s="3"/>
      <c r="SJW75" s="3"/>
      <c r="SJX75" s="3"/>
      <c r="SJY75" s="3"/>
      <c r="SJZ75" s="3"/>
      <c r="SKA75" s="3"/>
      <c r="SKB75" s="3"/>
      <c r="SKC75" s="3"/>
      <c r="SKD75" s="3"/>
      <c r="SKE75" s="3"/>
      <c r="SKF75" s="3"/>
      <c r="SKG75" s="3"/>
      <c r="SKH75" s="3"/>
      <c r="SKI75" s="3"/>
      <c r="SKJ75" s="3"/>
      <c r="SKK75" s="3"/>
      <c r="SKL75" s="3"/>
      <c r="SKM75" s="3"/>
      <c r="SKN75" s="3"/>
      <c r="SKO75" s="3"/>
      <c r="SKP75" s="3"/>
      <c r="SKQ75" s="3"/>
      <c r="SKR75" s="3"/>
      <c r="SKS75" s="3"/>
      <c r="SKT75" s="3"/>
      <c r="SKU75" s="3"/>
      <c r="SKV75" s="3"/>
      <c r="SKW75" s="3"/>
      <c r="SKX75" s="3"/>
      <c r="SKY75" s="3"/>
      <c r="SKZ75" s="3"/>
      <c r="SLA75" s="3"/>
      <c r="SLB75" s="3"/>
      <c r="SLC75" s="3"/>
      <c r="SLD75" s="3"/>
      <c r="SLE75" s="3"/>
      <c r="SLF75" s="3"/>
      <c r="SLG75" s="3"/>
      <c r="SLH75" s="3"/>
      <c r="SLI75" s="3"/>
      <c r="SLJ75" s="3"/>
      <c r="SLK75" s="3"/>
      <c r="SLL75" s="3"/>
      <c r="SLM75" s="3"/>
      <c r="SLN75" s="3"/>
      <c r="SLO75" s="3"/>
      <c r="SLP75" s="3"/>
      <c r="SLQ75" s="3"/>
      <c r="SLR75" s="3"/>
      <c r="SLS75" s="3"/>
      <c r="SLT75" s="3"/>
      <c r="SLU75" s="3"/>
      <c r="SLV75" s="3"/>
      <c r="SLW75" s="3"/>
      <c r="SLX75" s="3"/>
      <c r="SLY75" s="3"/>
      <c r="SLZ75" s="3"/>
      <c r="SMA75" s="3"/>
      <c r="SMB75" s="3"/>
      <c r="SMC75" s="3"/>
      <c r="SMD75" s="3"/>
      <c r="SME75" s="3"/>
      <c r="SMF75" s="3"/>
      <c r="SMG75" s="3"/>
      <c r="SMH75" s="3"/>
      <c r="SMI75" s="3"/>
      <c r="SMJ75" s="3"/>
      <c r="SMK75" s="3"/>
      <c r="SML75" s="3"/>
      <c r="SMM75" s="3"/>
      <c r="SMN75" s="3"/>
      <c r="SMO75" s="3"/>
      <c r="SMP75" s="3"/>
      <c r="SMQ75" s="3"/>
      <c r="SMR75" s="3"/>
      <c r="SMS75" s="3"/>
      <c r="SMT75" s="3"/>
      <c r="SMU75" s="3"/>
      <c r="SMV75" s="3"/>
      <c r="SMW75" s="3"/>
      <c r="SMX75" s="3"/>
      <c r="SMY75" s="3"/>
      <c r="SMZ75" s="3"/>
      <c r="SNA75" s="3"/>
      <c r="SNB75" s="3"/>
      <c r="SNC75" s="3"/>
      <c r="SND75" s="3"/>
      <c r="SNE75" s="3"/>
      <c r="SNF75" s="3"/>
      <c r="SNG75" s="3"/>
      <c r="SNH75" s="3"/>
      <c r="SNI75" s="3"/>
      <c r="SNJ75" s="3"/>
      <c r="SNK75" s="3"/>
      <c r="SNL75" s="3"/>
      <c r="SNM75" s="3"/>
      <c r="SNN75" s="3"/>
      <c r="SNO75" s="3"/>
      <c r="SNP75" s="3"/>
      <c r="SNQ75" s="3"/>
      <c r="SNR75" s="3"/>
      <c r="SNS75" s="3"/>
      <c r="SNT75" s="3"/>
      <c r="SNU75" s="3"/>
      <c r="SNV75" s="3"/>
      <c r="SNW75" s="3"/>
      <c r="SNX75" s="3"/>
      <c r="SNY75" s="3"/>
      <c r="SNZ75" s="3"/>
      <c r="SOA75" s="3"/>
      <c r="SOB75" s="3"/>
      <c r="SOC75" s="3"/>
      <c r="SOD75" s="3"/>
      <c r="SOE75" s="3"/>
      <c r="SOF75" s="3"/>
      <c r="SOG75" s="3"/>
      <c r="SOH75" s="3"/>
      <c r="SOI75" s="3"/>
      <c r="SOJ75" s="3"/>
      <c r="SOK75" s="3"/>
      <c r="SOL75" s="3"/>
      <c r="SOM75" s="3"/>
      <c r="SON75" s="3"/>
      <c r="SOO75" s="3"/>
      <c r="SOP75" s="3"/>
      <c r="SOQ75" s="3"/>
      <c r="SOR75" s="3"/>
      <c r="SOS75" s="3"/>
      <c r="SOT75" s="3"/>
      <c r="SOU75" s="3"/>
      <c r="SOV75" s="3"/>
      <c r="SOW75" s="3"/>
      <c r="SOX75" s="3"/>
      <c r="SOY75" s="3"/>
      <c r="SOZ75" s="3"/>
      <c r="SPA75" s="3"/>
      <c r="SPB75" s="3"/>
      <c r="SPC75" s="3"/>
      <c r="SPD75" s="3"/>
      <c r="SPE75" s="3"/>
      <c r="SPF75" s="3"/>
      <c r="SPG75" s="3"/>
      <c r="SPH75" s="3"/>
      <c r="SPI75" s="3"/>
      <c r="SPJ75" s="3"/>
      <c r="SPK75" s="3"/>
      <c r="SPL75" s="3"/>
      <c r="SPM75" s="3"/>
      <c r="SPN75" s="3"/>
      <c r="SPO75" s="3"/>
      <c r="SPP75" s="3"/>
      <c r="SPQ75" s="3"/>
      <c r="SPR75" s="3"/>
      <c r="SPS75" s="3"/>
      <c r="SPT75" s="3"/>
      <c r="SPU75" s="3"/>
      <c r="SPV75" s="3"/>
      <c r="SPW75" s="3"/>
      <c r="SPX75" s="3"/>
      <c r="SPY75" s="3"/>
      <c r="SPZ75" s="3"/>
      <c r="SQA75" s="3"/>
      <c r="SQB75" s="3"/>
      <c r="SQC75" s="3"/>
      <c r="SQD75" s="3"/>
      <c r="SQE75" s="3"/>
      <c r="SQF75" s="3"/>
      <c r="SQG75" s="3"/>
      <c r="SQH75" s="3"/>
      <c r="SQI75" s="3"/>
      <c r="SQJ75" s="3"/>
      <c r="SQK75" s="3"/>
      <c r="SQL75" s="3"/>
      <c r="SQM75" s="3"/>
      <c r="SQN75" s="3"/>
      <c r="SQO75" s="3"/>
      <c r="SQP75" s="3"/>
      <c r="SQQ75" s="3"/>
      <c r="SQR75" s="3"/>
      <c r="SQS75" s="3"/>
      <c r="SQT75" s="3"/>
      <c r="SQU75" s="3"/>
      <c r="SQV75" s="3"/>
      <c r="SQW75" s="3"/>
      <c r="SQX75" s="3"/>
      <c r="SQY75" s="3"/>
      <c r="SQZ75" s="3"/>
      <c r="SRA75" s="3"/>
      <c r="SRB75" s="3"/>
      <c r="SRC75" s="3"/>
      <c r="SRD75" s="3"/>
      <c r="SRE75" s="3"/>
      <c r="SRF75" s="3"/>
      <c r="SRG75" s="3"/>
      <c r="SRH75" s="3"/>
      <c r="SRI75" s="3"/>
      <c r="SRJ75" s="3"/>
      <c r="SRK75" s="3"/>
      <c r="SRL75" s="3"/>
      <c r="SRM75" s="3"/>
      <c r="SRN75" s="3"/>
      <c r="SRO75" s="3"/>
      <c r="SRP75" s="3"/>
      <c r="SRQ75" s="3"/>
      <c r="SRR75" s="3"/>
      <c r="SRS75" s="3"/>
      <c r="SRT75" s="3"/>
      <c r="SRU75" s="3"/>
      <c r="SRV75" s="3"/>
      <c r="SRW75" s="3"/>
      <c r="SRX75" s="3"/>
      <c r="SRY75" s="3"/>
      <c r="SRZ75" s="3"/>
      <c r="SSA75" s="3"/>
      <c r="SSB75" s="3"/>
      <c r="SSC75" s="3"/>
      <c r="SSD75" s="3"/>
      <c r="SSE75" s="3"/>
      <c r="SSF75" s="3"/>
      <c r="SSG75" s="3"/>
      <c r="SSH75" s="3"/>
      <c r="SSI75" s="3"/>
      <c r="SSJ75" s="3"/>
      <c r="SSK75" s="3"/>
      <c r="SSL75" s="3"/>
      <c r="SSM75" s="3"/>
      <c r="SSN75" s="3"/>
      <c r="SSO75" s="3"/>
      <c r="SSP75" s="3"/>
      <c r="SSQ75" s="3"/>
      <c r="SSR75" s="3"/>
      <c r="SSS75" s="3"/>
      <c r="SST75" s="3"/>
      <c r="SSU75" s="3"/>
      <c r="SSV75" s="3"/>
      <c r="SSW75" s="3"/>
      <c r="SSX75" s="3"/>
      <c r="SSY75" s="3"/>
      <c r="SSZ75" s="3"/>
      <c r="STA75" s="3"/>
      <c r="STB75" s="3"/>
      <c r="STC75" s="3"/>
      <c r="STD75" s="3"/>
      <c r="STE75" s="3"/>
      <c r="STF75" s="3"/>
      <c r="STG75" s="3"/>
      <c r="STH75" s="3"/>
      <c r="STI75" s="3"/>
      <c r="STJ75" s="3"/>
      <c r="STK75" s="3"/>
      <c r="STL75" s="3"/>
      <c r="STM75" s="3"/>
      <c r="STN75" s="3"/>
      <c r="STO75" s="3"/>
      <c r="STP75" s="3"/>
      <c r="STQ75" s="3"/>
      <c r="STR75" s="3"/>
      <c r="STS75" s="3"/>
      <c r="STT75" s="3"/>
      <c r="STU75" s="3"/>
      <c r="STV75" s="3"/>
      <c r="STW75" s="3"/>
      <c r="STX75" s="3"/>
      <c r="STY75" s="3"/>
      <c r="STZ75" s="3"/>
      <c r="SUA75" s="3"/>
      <c r="SUB75" s="3"/>
      <c r="SUC75" s="3"/>
      <c r="SUD75" s="3"/>
      <c r="SUE75" s="3"/>
      <c r="SUF75" s="3"/>
      <c r="SUG75" s="3"/>
      <c r="SUH75" s="3"/>
      <c r="SUI75" s="3"/>
      <c r="SUJ75" s="3"/>
      <c r="SUK75" s="3"/>
      <c r="SUL75" s="3"/>
      <c r="SUM75" s="3"/>
      <c r="SUN75" s="3"/>
      <c r="SUO75" s="3"/>
      <c r="SUP75" s="3"/>
      <c r="SUQ75" s="3"/>
      <c r="SUR75" s="3"/>
      <c r="SUS75" s="3"/>
      <c r="SUT75" s="3"/>
      <c r="SUU75" s="3"/>
      <c r="SUV75" s="3"/>
      <c r="SUW75" s="3"/>
      <c r="SUX75" s="3"/>
      <c r="SUY75" s="3"/>
      <c r="SUZ75" s="3"/>
      <c r="SVA75" s="3"/>
      <c r="SVB75" s="3"/>
      <c r="SVC75" s="3"/>
      <c r="SVD75" s="3"/>
      <c r="SVE75" s="3"/>
      <c r="SVF75" s="3"/>
      <c r="SVG75" s="3"/>
      <c r="SVH75" s="3"/>
      <c r="SVI75" s="3"/>
      <c r="SVJ75" s="3"/>
      <c r="SVK75" s="3"/>
      <c r="SVL75" s="3"/>
      <c r="SVM75" s="3"/>
      <c r="SVN75" s="3"/>
      <c r="SVO75" s="3"/>
      <c r="SVP75" s="3"/>
      <c r="SVQ75" s="3"/>
      <c r="SVR75" s="3"/>
      <c r="SVS75" s="3"/>
      <c r="SVT75" s="3"/>
      <c r="SVU75" s="3"/>
      <c r="SVV75" s="3"/>
      <c r="SVW75" s="3"/>
      <c r="SVX75" s="3"/>
      <c r="SVY75" s="3"/>
      <c r="SVZ75" s="3"/>
      <c r="SWA75" s="3"/>
      <c r="SWB75" s="3"/>
      <c r="SWC75" s="3"/>
      <c r="SWD75" s="3"/>
      <c r="SWE75" s="3"/>
      <c r="SWF75" s="3"/>
      <c r="SWG75" s="3"/>
      <c r="SWH75" s="3"/>
      <c r="SWI75" s="3"/>
      <c r="SWJ75" s="3"/>
      <c r="SWK75" s="3"/>
      <c r="SWL75" s="3"/>
      <c r="SWM75" s="3"/>
      <c r="SWN75" s="3"/>
      <c r="SWO75" s="3"/>
      <c r="SWP75" s="3"/>
      <c r="SWQ75" s="3"/>
      <c r="SWR75" s="3"/>
      <c r="SWS75" s="3"/>
      <c r="SWT75" s="3"/>
      <c r="SWU75" s="3"/>
      <c r="SWV75" s="3"/>
      <c r="SWW75" s="3"/>
      <c r="SWX75" s="3"/>
      <c r="SWY75" s="3"/>
      <c r="SWZ75" s="3"/>
      <c r="SXA75" s="3"/>
      <c r="SXB75" s="3"/>
      <c r="SXC75" s="3"/>
      <c r="SXD75" s="3"/>
      <c r="SXE75" s="3"/>
      <c r="SXF75" s="3"/>
      <c r="SXG75" s="3"/>
      <c r="SXH75" s="3"/>
      <c r="SXI75" s="3"/>
      <c r="SXJ75" s="3"/>
      <c r="SXK75" s="3"/>
      <c r="SXL75" s="3"/>
      <c r="SXM75" s="3"/>
      <c r="SXN75" s="3"/>
      <c r="SXO75" s="3"/>
      <c r="SXP75" s="3"/>
      <c r="SXQ75" s="3"/>
      <c r="SXR75" s="3"/>
      <c r="SXS75" s="3"/>
      <c r="SXT75" s="3"/>
      <c r="SXU75" s="3"/>
      <c r="SXV75" s="3"/>
      <c r="SXW75" s="3"/>
      <c r="SXX75" s="3"/>
      <c r="SXY75" s="3"/>
      <c r="SXZ75" s="3"/>
      <c r="SYA75" s="3"/>
      <c r="SYB75" s="3"/>
      <c r="SYC75" s="3"/>
      <c r="SYD75" s="3"/>
      <c r="SYE75" s="3"/>
      <c r="SYF75" s="3"/>
      <c r="SYG75" s="3"/>
      <c r="SYH75" s="3"/>
      <c r="SYI75" s="3"/>
      <c r="SYJ75" s="3"/>
      <c r="SYK75" s="3"/>
      <c r="SYL75" s="3"/>
      <c r="SYM75" s="3"/>
      <c r="SYN75" s="3"/>
      <c r="SYO75" s="3"/>
      <c r="SYP75" s="3"/>
      <c r="SYQ75" s="3"/>
      <c r="SYR75" s="3"/>
      <c r="SYS75" s="3"/>
      <c r="SYT75" s="3"/>
      <c r="SYU75" s="3"/>
      <c r="SYV75" s="3"/>
      <c r="SYW75" s="3"/>
      <c r="SYX75" s="3"/>
      <c r="SYY75" s="3"/>
      <c r="SYZ75" s="3"/>
      <c r="SZA75" s="3"/>
      <c r="SZB75" s="3"/>
      <c r="SZC75" s="3"/>
      <c r="SZD75" s="3"/>
      <c r="SZE75" s="3"/>
      <c r="SZF75" s="3"/>
      <c r="SZG75" s="3"/>
      <c r="SZH75" s="3"/>
      <c r="SZI75" s="3"/>
      <c r="SZJ75" s="3"/>
      <c r="SZK75" s="3"/>
      <c r="SZL75" s="3"/>
      <c r="SZM75" s="3"/>
      <c r="SZN75" s="3"/>
      <c r="SZO75" s="3"/>
      <c r="SZP75" s="3"/>
      <c r="SZQ75" s="3"/>
      <c r="SZR75" s="3"/>
      <c r="SZS75" s="3"/>
      <c r="SZT75" s="3"/>
      <c r="SZU75" s="3"/>
      <c r="SZV75" s="3"/>
      <c r="SZW75" s="3"/>
      <c r="SZX75" s="3"/>
      <c r="SZY75" s="3"/>
      <c r="SZZ75" s="3"/>
      <c r="TAA75" s="3"/>
      <c r="TAB75" s="3"/>
      <c r="TAC75" s="3"/>
      <c r="TAD75" s="3"/>
      <c r="TAE75" s="3"/>
      <c r="TAF75" s="3"/>
      <c r="TAG75" s="3"/>
      <c r="TAH75" s="3"/>
      <c r="TAI75" s="3"/>
      <c r="TAJ75" s="3"/>
      <c r="TAK75" s="3"/>
      <c r="TAL75" s="3"/>
      <c r="TAM75" s="3"/>
      <c r="TAN75" s="3"/>
      <c r="TAO75" s="3"/>
      <c r="TAP75" s="3"/>
      <c r="TAQ75" s="3"/>
      <c r="TAR75" s="3"/>
      <c r="TAS75" s="3"/>
      <c r="TAT75" s="3"/>
      <c r="TAU75" s="3"/>
      <c r="TAV75" s="3"/>
      <c r="TAW75" s="3"/>
      <c r="TAX75" s="3"/>
      <c r="TAY75" s="3"/>
      <c r="TAZ75" s="3"/>
      <c r="TBA75" s="3"/>
      <c r="TBB75" s="3"/>
      <c r="TBC75" s="3"/>
      <c r="TBD75" s="3"/>
      <c r="TBE75" s="3"/>
      <c r="TBF75" s="3"/>
      <c r="TBG75" s="3"/>
      <c r="TBH75" s="3"/>
      <c r="TBI75" s="3"/>
      <c r="TBJ75" s="3"/>
      <c r="TBK75" s="3"/>
      <c r="TBL75" s="3"/>
      <c r="TBM75" s="3"/>
      <c r="TBN75" s="3"/>
      <c r="TBO75" s="3"/>
      <c r="TBP75" s="3"/>
      <c r="TBQ75" s="3"/>
      <c r="TBR75" s="3"/>
      <c r="TBS75" s="3"/>
      <c r="TBT75" s="3"/>
      <c r="TBU75" s="3"/>
      <c r="TBV75" s="3"/>
      <c r="TBW75" s="3"/>
      <c r="TBX75" s="3"/>
      <c r="TBY75" s="3"/>
      <c r="TBZ75" s="3"/>
      <c r="TCA75" s="3"/>
      <c r="TCB75" s="3"/>
      <c r="TCC75" s="3"/>
      <c r="TCD75" s="3"/>
      <c r="TCE75" s="3"/>
      <c r="TCF75" s="3"/>
      <c r="TCG75" s="3"/>
      <c r="TCH75" s="3"/>
      <c r="TCI75" s="3"/>
      <c r="TCJ75" s="3"/>
      <c r="TCK75" s="3"/>
      <c r="TCL75" s="3"/>
      <c r="TCM75" s="3"/>
      <c r="TCN75" s="3"/>
      <c r="TCO75" s="3"/>
      <c r="TCP75" s="3"/>
      <c r="TCQ75" s="3"/>
      <c r="TCR75" s="3"/>
      <c r="TCS75" s="3"/>
      <c r="TCT75" s="3"/>
      <c r="TCU75" s="3"/>
      <c r="TCV75" s="3"/>
      <c r="TCW75" s="3"/>
      <c r="TCX75" s="3"/>
      <c r="TCY75" s="3"/>
      <c r="TCZ75" s="3"/>
      <c r="TDA75" s="3"/>
      <c r="TDB75" s="3"/>
      <c r="TDC75" s="3"/>
      <c r="TDD75" s="3"/>
      <c r="TDE75" s="3"/>
      <c r="TDF75" s="3"/>
      <c r="TDG75" s="3"/>
      <c r="TDH75" s="3"/>
      <c r="TDI75" s="3"/>
      <c r="TDJ75" s="3"/>
      <c r="TDK75" s="3"/>
      <c r="TDL75" s="3"/>
      <c r="TDM75" s="3"/>
      <c r="TDN75" s="3"/>
      <c r="TDO75" s="3"/>
      <c r="TDP75" s="3"/>
      <c r="TDQ75" s="3"/>
      <c r="TDR75" s="3"/>
      <c r="TDS75" s="3"/>
      <c r="TDT75" s="3"/>
      <c r="TDU75" s="3"/>
      <c r="TDV75" s="3"/>
      <c r="TDW75" s="3"/>
      <c r="TDX75" s="3"/>
      <c r="TDY75" s="3"/>
      <c r="TDZ75" s="3"/>
      <c r="TEA75" s="3"/>
      <c r="TEB75" s="3"/>
      <c r="TEC75" s="3"/>
      <c r="TED75" s="3"/>
      <c r="TEE75" s="3"/>
      <c r="TEF75" s="3"/>
      <c r="TEG75" s="3"/>
      <c r="TEH75" s="3"/>
      <c r="TEI75" s="3"/>
      <c r="TEJ75" s="3"/>
      <c r="TEK75" s="3"/>
      <c r="TEL75" s="3"/>
      <c r="TEM75" s="3"/>
      <c r="TEN75" s="3"/>
      <c r="TEO75" s="3"/>
      <c r="TEP75" s="3"/>
      <c r="TEQ75" s="3"/>
      <c r="TER75" s="3"/>
      <c r="TES75" s="3"/>
      <c r="TET75" s="3"/>
      <c r="TEU75" s="3"/>
      <c r="TEV75" s="3"/>
      <c r="TEW75" s="3"/>
      <c r="TEX75" s="3"/>
      <c r="TEY75" s="3"/>
      <c r="TEZ75" s="3"/>
      <c r="TFA75" s="3"/>
      <c r="TFB75" s="3"/>
      <c r="TFC75" s="3"/>
      <c r="TFD75" s="3"/>
      <c r="TFE75" s="3"/>
      <c r="TFF75" s="3"/>
      <c r="TFG75" s="3"/>
      <c r="TFH75" s="3"/>
      <c r="TFI75" s="3"/>
      <c r="TFJ75" s="3"/>
      <c r="TFK75" s="3"/>
      <c r="TFL75" s="3"/>
      <c r="TFM75" s="3"/>
      <c r="TFN75" s="3"/>
      <c r="TFO75" s="3"/>
      <c r="TFP75" s="3"/>
      <c r="TFQ75" s="3"/>
      <c r="TFR75" s="3"/>
      <c r="TFS75" s="3"/>
      <c r="TFT75" s="3"/>
      <c r="TFU75" s="3"/>
      <c r="TFV75" s="3"/>
      <c r="TFW75" s="3"/>
      <c r="TFX75" s="3"/>
      <c r="TFY75" s="3"/>
      <c r="TFZ75" s="3"/>
      <c r="TGA75" s="3"/>
      <c r="TGB75" s="3"/>
      <c r="TGC75" s="3"/>
      <c r="TGD75" s="3"/>
      <c r="TGE75" s="3"/>
      <c r="TGF75" s="3"/>
      <c r="TGG75" s="3"/>
      <c r="TGH75" s="3"/>
      <c r="TGI75" s="3"/>
      <c r="TGJ75" s="3"/>
      <c r="TGK75" s="3"/>
      <c r="TGL75" s="3"/>
      <c r="TGM75" s="3"/>
      <c r="TGN75" s="3"/>
      <c r="TGO75" s="3"/>
      <c r="TGP75" s="3"/>
      <c r="TGQ75" s="3"/>
      <c r="TGR75" s="3"/>
      <c r="TGS75" s="3"/>
      <c r="TGT75" s="3"/>
      <c r="TGU75" s="3"/>
      <c r="TGV75" s="3"/>
      <c r="TGW75" s="3"/>
      <c r="TGX75" s="3"/>
      <c r="TGY75" s="3"/>
      <c r="TGZ75" s="3"/>
      <c r="THA75" s="3"/>
      <c r="THB75" s="3"/>
      <c r="THC75" s="3"/>
      <c r="THD75" s="3"/>
      <c r="THE75" s="3"/>
      <c r="THF75" s="3"/>
      <c r="THG75" s="3"/>
      <c r="THH75" s="3"/>
      <c r="THI75" s="3"/>
      <c r="THJ75" s="3"/>
      <c r="THK75" s="3"/>
      <c r="THL75" s="3"/>
      <c r="THM75" s="3"/>
      <c r="THN75" s="3"/>
      <c r="THO75" s="3"/>
      <c r="THP75" s="3"/>
      <c r="THQ75" s="3"/>
      <c r="THR75" s="3"/>
      <c r="THS75" s="3"/>
      <c r="THT75" s="3"/>
      <c r="THU75" s="3"/>
      <c r="THV75" s="3"/>
      <c r="THW75" s="3"/>
      <c r="THX75" s="3"/>
      <c r="THY75" s="3"/>
      <c r="THZ75" s="3"/>
      <c r="TIA75" s="3"/>
      <c r="TIB75" s="3"/>
      <c r="TIC75" s="3"/>
      <c r="TID75" s="3"/>
      <c r="TIE75" s="3"/>
      <c r="TIF75" s="3"/>
      <c r="TIG75" s="3"/>
      <c r="TIH75" s="3"/>
      <c r="TII75" s="3"/>
      <c r="TIJ75" s="3"/>
      <c r="TIK75" s="3"/>
      <c r="TIL75" s="3"/>
      <c r="TIM75" s="3"/>
      <c r="TIN75" s="3"/>
      <c r="TIO75" s="3"/>
      <c r="TIP75" s="3"/>
      <c r="TIQ75" s="3"/>
      <c r="TIR75" s="3"/>
      <c r="TIS75" s="3"/>
      <c r="TIT75" s="3"/>
      <c r="TIU75" s="3"/>
      <c r="TIV75" s="3"/>
      <c r="TIW75" s="3"/>
      <c r="TIX75" s="3"/>
      <c r="TIY75" s="3"/>
      <c r="TIZ75" s="3"/>
      <c r="TJA75" s="3"/>
      <c r="TJB75" s="3"/>
      <c r="TJC75" s="3"/>
      <c r="TJD75" s="3"/>
      <c r="TJE75" s="3"/>
      <c r="TJF75" s="3"/>
      <c r="TJG75" s="3"/>
      <c r="TJH75" s="3"/>
      <c r="TJI75" s="3"/>
      <c r="TJJ75" s="3"/>
      <c r="TJK75" s="3"/>
      <c r="TJL75" s="3"/>
      <c r="TJM75" s="3"/>
      <c r="TJN75" s="3"/>
      <c r="TJO75" s="3"/>
      <c r="TJP75" s="3"/>
      <c r="TJQ75" s="3"/>
      <c r="TJR75" s="3"/>
      <c r="TJS75" s="3"/>
      <c r="TJT75" s="3"/>
      <c r="TJU75" s="3"/>
      <c r="TJV75" s="3"/>
      <c r="TJW75" s="3"/>
      <c r="TJX75" s="3"/>
      <c r="TJY75" s="3"/>
      <c r="TJZ75" s="3"/>
      <c r="TKA75" s="3"/>
      <c r="TKB75" s="3"/>
      <c r="TKC75" s="3"/>
      <c r="TKD75" s="3"/>
      <c r="TKE75" s="3"/>
      <c r="TKF75" s="3"/>
      <c r="TKG75" s="3"/>
      <c r="TKH75" s="3"/>
      <c r="TKI75" s="3"/>
      <c r="TKJ75" s="3"/>
      <c r="TKK75" s="3"/>
      <c r="TKL75" s="3"/>
      <c r="TKM75" s="3"/>
      <c r="TKN75" s="3"/>
      <c r="TKO75" s="3"/>
      <c r="TKP75" s="3"/>
      <c r="TKQ75" s="3"/>
      <c r="TKR75" s="3"/>
      <c r="TKS75" s="3"/>
      <c r="TKT75" s="3"/>
      <c r="TKU75" s="3"/>
      <c r="TKV75" s="3"/>
      <c r="TKW75" s="3"/>
      <c r="TKX75" s="3"/>
      <c r="TKY75" s="3"/>
      <c r="TKZ75" s="3"/>
      <c r="TLA75" s="3"/>
      <c r="TLB75" s="3"/>
      <c r="TLC75" s="3"/>
      <c r="TLD75" s="3"/>
      <c r="TLE75" s="3"/>
      <c r="TLF75" s="3"/>
      <c r="TLG75" s="3"/>
      <c r="TLH75" s="3"/>
      <c r="TLI75" s="3"/>
      <c r="TLJ75" s="3"/>
      <c r="TLK75" s="3"/>
      <c r="TLL75" s="3"/>
      <c r="TLM75" s="3"/>
      <c r="TLN75" s="3"/>
      <c r="TLO75" s="3"/>
      <c r="TLP75" s="3"/>
      <c r="TLQ75" s="3"/>
      <c r="TLR75" s="3"/>
      <c r="TLS75" s="3"/>
      <c r="TLT75" s="3"/>
      <c r="TLU75" s="3"/>
      <c r="TLV75" s="3"/>
      <c r="TLW75" s="3"/>
      <c r="TLX75" s="3"/>
      <c r="TLY75" s="3"/>
      <c r="TLZ75" s="3"/>
      <c r="TMA75" s="3"/>
      <c r="TMB75" s="3"/>
      <c r="TMC75" s="3"/>
      <c r="TMD75" s="3"/>
      <c r="TME75" s="3"/>
      <c r="TMF75" s="3"/>
      <c r="TMG75" s="3"/>
      <c r="TMH75" s="3"/>
      <c r="TMI75" s="3"/>
      <c r="TMJ75" s="3"/>
      <c r="TMK75" s="3"/>
      <c r="TML75" s="3"/>
      <c r="TMM75" s="3"/>
      <c r="TMN75" s="3"/>
      <c r="TMO75" s="3"/>
      <c r="TMP75" s="3"/>
      <c r="TMQ75" s="3"/>
      <c r="TMR75" s="3"/>
      <c r="TMS75" s="3"/>
      <c r="TMT75" s="3"/>
      <c r="TMU75" s="3"/>
      <c r="TMV75" s="3"/>
      <c r="TMW75" s="3"/>
      <c r="TMX75" s="3"/>
      <c r="TMY75" s="3"/>
      <c r="TMZ75" s="3"/>
      <c r="TNA75" s="3"/>
      <c r="TNB75" s="3"/>
      <c r="TNC75" s="3"/>
      <c r="TND75" s="3"/>
      <c r="TNE75" s="3"/>
      <c r="TNF75" s="3"/>
      <c r="TNG75" s="3"/>
      <c r="TNH75" s="3"/>
      <c r="TNI75" s="3"/>
      <c r="TNJ75" s="3"/>
      <c r="TNK75" s="3"/>
      <c r="TNL75" s="3"/>
      <c r="TNM75" s="3"/>
      <c r="TNN75" s="3"/>
      <c r="TNO75" s="3"/>
      <c r="TNP75" s="3"/>
      <c r="TNQ75" s="3"/>
      <c r="TNR75" s="3"/>
      <c r="TNS75" s="3"/>
      <c r="TNT75" s="3"/>
      <c r="TNU75" s="3"/>
      <c r="TNV75" s="3"/>
      <c r="TNW75" s="3"/>
      <c r="TNX75" s="3"/>
      <c r="TNY75" s="3"/>
      <c r="TNZ75" s="3"/>
      <c r="TOA75" s="3"/>
      <c r="TOB75" s="3"/>
      <c r="TOC75" s="3"/>
      <c r="TOD75" s="3"/>
      <c r="TOE75" s="3"/>
      <c r="TOF75" s="3"/>
      <c r="TOG75" s="3"/>
      <c r="TOH75" s="3"/>
      <c r="TOI75" s="3"/>
      <c r="TOJ75" s="3"/>
      <c r="TOK75" s="3"/>
      <c r="TOL75" s="3"/>
      <c r="TOM75" s="3"/>
      <c r="TON75" s="3"/>
      <c r="TOO75" s="3"/>
      <c r="TOP75" s="3"/>
      <c r="TOQ75" s="3"/>
      <c r="TOR75" s="3"/>
      <c r="TOS75" s="3"/>
      <c r="TOT75" s="3"/>
      <c r="TOU75" s="3"/>
      <c r="TOV75" s="3"/>
      <c r="TOW75" s="3"/>
      <c r="TOX75" s="3"/>
      <c r="TOY75" s="3"/>
      <c r="TOZ75" s="3"/>
      <c r="TPA75" s="3"/>
      <c r="TPB75" s="3"/>
      <c r="TPC75" s="3"/>
      <c r="TPD75" s="3"/>
      <c r="TPE75" s="3"/>
      <c r="TPF75" s="3"/>
      <c r="TPG75" s="3"/>
      <c r="TPH75" s="3"/>
      <c r="TPI75" s="3"/>
      <c r="TPJ75" s="3"/>
      <c r="TPK75" s="3"/>
      <c r="TPL75" s="3"/>
      <c r="TPM75" s="3"/>
      <c r="TPN75" s="3"/>
      <c r="TPO75" s="3"/>
      <c r="TPP75" s="3"/>
      <c r="TPQ75" s="3"/>
      <c r="TPR75" s="3"/>
      <c r="TPS75" s="3"/>
      <c r="TPT75" s="3"/>
      <c r="TPU75" s="3"/>
      <c r="TPV75" s="3"/>
      <c r="TPW75" s="3"/>
      <c r="TPX75" s="3"/>
      <c r="TPY75" s="3"/>
      <c r="TPZ75" s="3"/>
      <c r="TQA75" s="3"/>
      <c r="TQB75" s="3"/>
      <c r="TQC75" s="3"/>
      <c r="TQD75" s="3"/>
      <c r="TQE75" s="3"/>
      <c r="TQF75" s="3"/>
      <c r="TQG75" s="3"/>
      <c r="TQH75" s="3"/>
      <c r="TQI75" s="3"/>
      <c r="TQJ75" s="3"/>
      <c r="TQK75" s="3"/>
      <c r="TQL75" s="3"/>
      <c r="TQM75" s="3"/>
      <c r="TQN75" s="3"/>
      <c r="TQO75" s="3"/>
      <c r="TQP75" s="3"/>
      <c r="TQQ75" s="3"/>
      <c r="TQR75" s="3"/>
      <c r="TQS75" s="3"/>
      <c r="TQT75" s="3"/>
      <c r="TQU75" s="3"/>
      <c r="TQV75" s="3"/>
      <c r="TQW75" s="3"/>
      <c r="TQX75" s="3"/>
      <c r="TQY75" s="3"/>
      <c r="TQZ75" s="3"/>
      <c r="TRA75" s="3"/>
      <c r="TRB75" s="3"/>
      <c r="TRC75" s="3"/>
      <c r="TRD75" s="3"/>
      <c r="TRE75" s="3"/>
      <c r="TRF75" s="3"/>
      <c r="TRG75" s="3"/>
      <c r="TRH75" s="3"/>
      <c r="TRI75" s="3"/>
      <c r="TRJ75" s="3"/>
      <c r="TRK75" s="3"/>
      <c r="TRL75" s="3"/>
      <c r="TRM75" s="3"/>
      <c r="TRN75" s="3"/>
      <c r="TRO75" s="3"/>
      <c r="TRP75" s="3"/>
      <c r="TRQ75" s="3"/>
      <c r="TRR75" s="3"/>
      <c r="TRS75" s="3"/>
      <c r="TRT75" s="3"/>
      <c r="TRU75" s="3"/>
      <c r="TRV75" s="3"/>
      <c r="TRW75" s="3"/>
      <c r="TRX75" s="3"/>
      <c r="TRY75" s="3"/>
      <c r="TRZ75" s="3"/>
      <c r="TSA75" s="3"/>
      <c r="TSB75" s="3"/>
      <c r="TSC75" s="3"/>
      <c r="TSD75" s="3"/>
      <c r="TSE75" s="3"/>
      <c r="TSF75" s="3"/>
      <c r="TSG75" s="3"/>
      <c r="TSH75" s="3"/>
      <c r="TSI75" s="3"/>
      <c r="TSJ75" s="3"/>
      <c r="TSK75" s="3"/>
      <c r="TSL75" s="3"/>
      <c r="TSM75" s="3"/>
      <c r="TSN75" s="3"/>
      <c r="TSO75" s="3"/>
      <c r="TSP75" s="3"/>
      <c r="TSQ75" s="3"/>
      <c r="TSR75" s="3"/>
      <c r="TSS75" s="3"/>
      <c r="TST75" s="3"/>
      <c r="TSU75" s="3"/>
      <c r="TSV75" s="3"/>
      <c r="TSW75" s="3"/>
      <c r="TSX75" s="3"/>
      <c r="TSY75" s="3"/>
      <c r="TSZ75" s="3"/>
      <c r="TTA75" s="3"/>
      <c r="TTB75" s="3"/>
      <c r="TTC75" s="3"/>
      <c r="TTD75" s="3"/>
      <c r="TTE75" s="3"/>
      <c r="TTF75" s="3"/>
      <c r="TTG75" s="3"/>
      <c r="TTH75" s="3"/>
      <c r="TTI75" s="3"/>
      <c r="TTJ75" s="3"/>
      <c r="TTK75" s="3"/>
      <c r="TTL75" s="3"/>
      <c r="TTM75" s="3"/>
      <c r="TTN75" s="3"/>
      <c r="TTO75" s="3"/>
      <c r="TTP75" s="3"/>
      <c r="TTQ75" s="3"/>
      <c r="TTR75" s="3"/>
      <c r="TTS75" s="3"/>
      <c r="TTT75" s="3"/>
      <c r="TTU75" s="3"/>
      <c r="TTV75" s="3"/>
      <c r="TTW75" s="3"/>
      <c r="TTX75" s="3"/>
      <c r="TTY75" s="3"/>
      <c r="TTZ75" s="3"/>
      <c r="TUA75" s="3"/>
      <c r="TUB75" s="3"/>
      <c r="TUC75" s="3"/>
      <c r="TUD75" s="3"/>
      <c r="TUE75" s="3"/>
      <c r="TUF75" s="3"/>
      <c r="TUG75" s="3"/>
      <c r="TUH75" s="3"/>
      <c r="TUI75" s="3"/>
      <c r="TUJ75" s="3"/>
      <c r="TUK75" s="3"/>
      <c r="TUL75" s="3"/>
      <c r="TUM75" s="3"/>
      <c r="TUN75" s="3"/>
      <c r="TUO75" s="3"/>
      <c r="TUP75" s="3"/>
      <c r="TUQ75" s="3"/>
      <c r="TUR75" s="3"/>
      <c r="TUS75" s="3"/>
      <c r="TUT75" s="3"/>
      <c r="TUU75" s="3"/>
      <c r="TUV75" s="3"/>
      <c r="TUW75" s="3"/>
      <c r="TUX75" s="3"/>
      <c r="TUY75" s="3"/>
      <c r="TUZ75" s="3"/>
      <c r="TVA75" s="3"/>
      <c r="TVB75" s="3"/>
      <c r="TVC75" s="3"/>
      <c r="TVD75" s="3"/>
      <c r="TVE75" s="3"/>
      <c r="TVF75" s="3"/>
      <c r="TVG75" s="3"/>
      <c r="TVH75" s="3"/>
      <c r="TVI75" s="3"/>
      <c r="TVJ75" s="3"/>
      <c r="TVK75" s="3"/>
      <c r="TVL75" s="3"/>
      <c r="TVM75" s="3"/>
      <c r="TVN75" s="3"/>
      <c r="TVO75" s="3"/>
      <c r="TVP75" s="3"/>
      <c r="TVQ75" s="3"/>
      <c r="TVR75" s="3"/>
      <c r="TVS75" s="3"/>
      <c r="TVT75" s="3"/>
      <c r="TVU75" s="3"/>
      <c r="TVV75" s="3"/>
      <c r="TVW75" s="3"/>
      <c r="TVX75" s="3"/>
      <c r="TVY75" s="3"/>
      <c r="TVZ75" s="3"/>
      <c r="TWA75" s="3"/>
      <c r="TWB75" s="3"/>
      <c r="TWC75" s="3"/>
      <c r="TWD75" s="3"/>
      <c r="TWE75" s="3"/>
      <c r="TWF75" s="3"/>
      <c r="TWG75" s="3"/>
      <c r="TWH75" s="3"/>
      <c r="TWI75" s="3"/>
      <c r="TWJ75" s="3"/>
      <c r="TWK75" s="3"/>
      <c r="TWL75" s="3"/>
      <c r="TWM75" s="3"/>
      <c r="TWN75" s="3"/>
      <c r="TWO75" s="3"/>
      <c r="TWP75" s="3"/>
      <c r="TWQ75" s="3"/>
      <c r="TWR75" s="3"/>
      <c r="TWS75" s="3"/>
      <c r="TWT75" s="3"/>
      <c r="TWU75" s="3"/>
      <c r="TWV75" s="3"/>
      <c r="TWW75" s="3"/>
      <c r="TWX75" s="3"/>
      <c r="TWY75" s="3"/>
      <c r="TWZ75" s="3"/>
      <c r="TXA75" s="3"/>
      <c r="TXB75" s="3"/>
      <c r="TXC75" s="3"/>
      <c r="TXD75" s="3"/>
      <c r="TXE75" s="3"/>
      <c r="TXF75" s="3"/>
      <c r="TXG75" s="3"/>
      <c r="TXH75" s="3"/>
      <c r="TXI75" s="3"/>
      <c r="TXJ75" s="3"/>
      <c r="TXK75" s="3"/>
      <c r="TXL75" s="3"/>
      <c r="TXM75" s="3"/>
      <c r="TXN75" s="3"/>
      <c r="TXO75" s="3"/>
      <c r="TXP75" s="3"/>
      <c r="TXQ75" s="3"/>
      <c r="TXR75" s="3"/>
      <c r="TXS75" s="3"/>
      <c r="TXT75" s="3"/>
      <c r="TXU75" s="3"/>
      <c r="TXV75" s="3"/>
      <c r="TXW75" s="3"/>
      <c r="TXX75" s="3"/>
      <c r="TXY75" s="3"/>
      <c r="TXZ75" s="3"/>
      <c r="TYA75" s="3"/>
      <c r="TYB75" s="3"/>
      <c r="TYC75" s="3"/>
      <c r="TYD75" s="3"/>
      <c r="TYE75" s="3"/>
      <c r="TYF75" s="3"/>
      <c r="TYG75" s="3"/>
      <c r="TYH75" s="3"/>
      <c r="TYI75" s="3"/>
      <c r="TYJ75" s="3"/>
      <c r="TYK75" s="3"/>
      <c r="TYL75" s="3"/>
      <c r="TYM75" s="3"/>
      <c r="TYN75" s="3"/>
      <c r="TYO75" s="3"/>
      <c r="TYP75" s="3"/>
      <c r="TYQ75" s="3"/>
      <c r="TYR75" s="3"/>
      <c r="TYS75" s="3"/>
      <c r="TYT75" s="3"/>
      <c r="TYU75" s="3"/>
      <c r="TYV75" s="3"/>
      <c r="TYW75" s="3"/>
      <c r="TYX75" s="3"/>
      <c r="TYY75" s="3"/>
      <c r="TYZ75" s="3"/>
      <c r="TZA75" s="3"/>
      <c r="TZB75" s="3"/>
      <c r="TZC75" s="3"/>
      <c r="TZD75" s="3"/>
      <c r="TZE75" s="3"/>
      <c r="TZF75" s="3"/>
      <c r="TZG75" s="3"/>
      <c r="TZH75" s="3"/>
      <c r="TZI75" s="3"/>
      <c r="TZJ75" s="3"/>
      <c r="TZK75" s="3"/>
      <c r="TZL75" s="3"/>
      <c r="TZM75" s="3"/>
      <c r="TZN75" s="3"/>
      <c r="TZO75" s="3"/>
      <c r="TZP75" s="3"/>
      <c r="TZQ75" s="3"/>
      <c r="TZR75" s="3"/>
      <c r="TZS75" s="3"/>
      <c r="TZT75" s="3"/>
      <c r="TZU75" s="3"/>
      <c r="TZV75" s="3"/>
      <c r="TZW75" s="3"/>
      <c r="TZX75" s="3"/>
      <c r="TZY75" s="3"/>
      <c r="TZZ75" s="3"/>
      <c r="UAA75" s="3"/>
      <c r="UAB75" s="3"/>
      <c r="UAC75" s="3"/>
      <c r="UAD75" s="3"/>
      <c r="UAE75" s="3"/>
      <c r="UAF75" s="3"/>
      <c r="UAG75" s="3"/>
      <c r="UAH75" s="3"/>
      <c r="UAI75" s="3"/>
      <c r="UAJ75" s="3"/>
      <c r="UAK75" s="3"/>
      <c r="UAL75" s="3"/>
      <c r="UAM75" s="3"/>
      <c r="UAN75" s="3"/>
      <c r="UAO75" s="3"/>
      <c r="UAP75" s="3"/>
      <c r="UAQ75" s="3"/>
      <c r="UAR75" s="3"/>
      <c r="UAS75" s="3"/>
      <c r="UAT75" s="3"/>
      <c r="UAU75" s="3"/>
      <c r="UAV75" s="3"/>
      <c r="UAW75" s="3"/>
      <c r="UAX75" s="3"/>
      <c r="UAY75" s="3"/>
      <c r="UAZ75" s="3"/>
      <c r="UBA75" s="3"/>
      <c r="UBB75" s="3"/>
      <c r="UBC75" s="3"/>
      <c r="UBD75" s="3"/>
      <c r="UBE75" s="3"/>
      <c r="UBF75" s="3"/>
      <c r="UBG75" s="3"/>
      <c r="UBH75" s="3"/>
      <c r="UBI75" s="3"/>
      <c r="UBJ75" s="3"/>
      <c r="UBK75" s="3"/>
      <c r="UBL75" s="3"/>
      <c r="UBM75" s="3"/>
      <c r="UBN75" s="3"/>
      <c r="UBO75" s="3"/>
      <c r="UBP75" s="3"/>
      <c r="UBQ75" s="3"/>
      <c r="UBR75" s="3"/>
      <c r="UBS75" s="3"/>
      <c r="UBT75" s="3"/>
      <c r="UBU75" s="3"/>
      <c r="UBV75" s="3"/>
      <c r="UBW75" s="3"/>
      <c r="UBX75" s="3"/>
      <c r="UBY75" s="3"/>
      <c r="UBZ75" s="3"/>
      <c r="UCA75" s="3"/>
      <c r="UCB75" s="3"/>
      <c r="UCC75" s="3"/>
      <c r="UCD75" s="3"/>
      <c r="UCE75" s="3"/>
      <c r="UCF75" s="3"/>
      <c r="UCG75" s="3"/>
      <c r="UCH75" s="3"/>
      <c r="UCI75" s="3"/>
      <c r="UCJ75" s="3"/>
      <c r="UCK75" s="3"/>
      <c r="UCL75" s="3"/>
      <c r="UCM75" s="3"/>
      <c r="UCN75" s="3"/>
      <c r="UCO75" s="3"/>
      <c r="UCP75" s="3"/>
      <c r="UCQ75" s="3"/>
      <c r="UCR75" s="3"/>
      <c r="UCS75" s="3"/>
      <c r="UCT75" s="3"/>
      <c r="UCU75" s="3"/>
      <c r="UCV75" s="3"/>
      <c r="UCW75" s="3"/>
      <c r="UCX75" s="3"/>
      <c r="UCY75" s="3"/>
      <c r="UCZ75" s="3"/>
      <c r="UDA75" s="3"/>
      <c r="UDB75" s="3"/>
      <c r="UDC75" s="3"/>
      <c r="UDD75" s="3"/>
      <c r="UDE75" s="3"/>
      <c r="UDF75" s="3"/>
      <c r="UDG75" s="3"/>
      <c r="UDH75" s="3"/>
      <c r="UDI75" s="3"/>
      <c r="UDJ75" s="3"/>
      <c r="UDK75" s="3"/>
      <c r="UDL75" s="3"/>
      <c r="UDM75" s="3"/>
      <c r="UDN75" s="3"/>
      <c r="UDO75" s="3"/>
      <c r="UDP75" s="3"/>
      <c r="UDQ75" s="3"/>
      <c r="UDR75" s="3"/>
      <c r="UDS75" s="3"/>
      <c r="UDT75" s="3"/>
      <c r="UDU75" s="3"/>
      <c r="UDV75" s="3"/>
      <c r="UDW75" s="3"/>
      <c r="UDX75" s="3"/>
      <c r="UDY75" s="3"/>
      <c r="UDZ75" s="3"/>
      <c r="UEA75" s="3"/>
      <c r="UEB75" s="3"/>
      <c r="UEC75" s="3"/>
      <c r="UED75" s="3"/>
      <c r="UEE75" s="3"/>
      <c r="UEF75" s="3"/>
      <c r="UEG75" s="3"/>
      <c r="UEH75" s="3"/>
      <c r="UEI75" s="3"/>
      <c r="UEJ75" s="3"/>
      <c r="UEK75" s="3"/>
      <c r="UEL75" s="3"/>
      <c r="UEM75" s="3"/>
      <c r="UEN75" s="3"/>
      <c r="UEO75" s="3"/>
      <c r="UEP75" s="3"/>
      <c r="UEQ75" s="3"/>
      <c r="UER75" s="3"/>
      <c r="UES75" s="3"/>
      <c r="UET75" s="3"/>
      <c r="UEU75" s="3"/>
      <c r="UEV75" s="3"/>
      <c r="UEW75" s="3"/>
      <c r="UEX75" s="3"/>
      <c r="UEY75" s="3"/>
      <c r="UEZ75" s="3"/>
      <c r="UFA75" s="3"/>
      <c r="UFB75" s="3"/>
      <c r="UFC75" s="3"/>
      <c r="UFD75" s="3"/>
      <c r="UFE75" s="3"/>
      <c r="UFF75" s="3"/>
      <c r="UFG75" s="3"/>
      <c r="UFH75" s="3"/>
      <c r="UFI75" s="3"/>
      <c r="UFJ75" s="3"/>
      <c r="UFK75" s="3"/>
      <c r="UFL75" s="3"/>
      <c r="UFM75" s="3"/>
      <c r="UFN75" s="3"/>
      <c r="UFO75" s="3"/>
      <c r="UFP75" s="3"/>
      <c r="UFQ75" s="3"/>
      <c r="UFR75" s="3"/>
      <c r="UFS75" s="3"/>
      <c r="UFT75" s="3"/>
      <c r="UFU75" s="3"/>
      <c r="UFV75" s="3"/>
      <c r="UFW75" s="3"/>
      <c r="UFX75" s="3"/>
      <c r="UFY75" s="3"/>
      <c r="UFZ75" s="3"/>
      <c r="UGA75" s="3"/>
      <c r="UGB75" s="3"/>
      <c r="UGC75" s="3"/>
      <c r="UGD75" s="3"/>
      <c r="UGE75" s="3"/>
      <c r="UGF75" s="3"/>
      <c r="UGG75" s="3"/>
      <c r="UGH75" s="3"/>
      <c r="UGI75" s="3"/>
      <c r="UGJ75" s="3"/>
      <c r="UGK75" s="3"/>
      <c r="UGL75" s="3"/>
      <c r="UGM75" s="3"/>
      <c r="UGN75" s="3"/>
      <c r="UGO75" s="3"/>
      <c r="UGP75" s="3"/>
      <c r="UGQ75" s="3"/>
      <c r="UGR75" s="3"/>
      <c r="UGS75" s="3"/>
      <c r="UGT75" s="3"/>
      <c r="UGU75" s="3"/>
      <c r="UGV75" s="3"/>
      <c r="UGW75" s="3"/>
      <c r="UGX75" s="3"/>
      <c r="UGY75" s="3"/>
      <c r="UGZ75" s="3"/>
      <c r="UHA75" s="3"/>
      <c r="UHB75" s="3"/>
      <c r="UHC75" s="3"/>
      <c r="UHD75" s="3"/>
      <c r="UHE75" s="3"/>
      <c r="UHF75" s="3"/>
      <c r="UHG75" s="3"/>
      <c r="UHH75" s="3"/>
      <c r="UHI75" s="3"/>
      <c r="UHJ75" s="3"/>
      <c r="UHK75" s="3"/>
      <c r="UHL75" s="3"/>
      <c r="UHM75" s="3"/>
      <c r="UHN75" s="3"/>
      <c r="UHO75" s="3"/>
      <c r="UHP75" s="3"/>
      <c r="UHQ75" s="3"/>
      <c r="UHR75" s="3"/>
      <c r="UHS75" s="3"/>
      <c r="UHT75" s="3"/>
      <c r="UHU75" s="3"/>
      <c r="UHV75" s="3"/>
      <c r="UHW75" s="3"/>
      <c r="UHX75" s="3"/>
      <c r="UHY75" s="3"/>
      <c r="UHZ75" s="3"/>
      <c r="UIA75" s="3"/>
      <c r="UIB75" s="3"/>
      <c r="UIC75" s="3"/>
      <c r="UID75" s="3"/>
      <c r="UIE75" s="3"/>
      <c r="UIF75" s="3"/>
      <c r="UIG75" s="3"/>
      <c r="UIH75" s="3"/>
      <c r="UII75" s="3"/>
      <c r="UIJ75" s="3"/>
      <c r="UIK75" s="3"/>
      <c r="UIL75" s="3"/>
      <c r="UIM75" s="3"/>
      <c r="UIN75" s="3"/>
      <c r="UIO75" s="3"/>
      <c r="UIP75" s="3"/>
      <c r="UIQ75" s="3"/>
      <c r="UIR75" s="3"/>
      <c r="UIS75" s="3"/>
      <c r="UIT75" s="3"/>
      <c r="UIU75" s="3"/>
      <c r="UIV75" s="3"/>
      <c r="UIW75" s="3"/>
      <c r="UIX75" s="3"/>
      <c r="UIY75" s="3"/>
      <c r="UIZ75" s="3"/>
      <c r="UJA75" s="3"/>
      <c r="UJB75" s="3"/>
      <c r="UJC75" s="3"/>
      <c r="UJD75" s="3"/>
      <c r="UJE75" s="3"/>
      <c r="UJF75" s="3"/>
      <c r="UJG75" s="3"/>
      <c r="UJH75" s="3"/>
      <c r="UJI75" s="3"/>
      <c r="UJJ75" s="3"/>
      <c r="UJK75" s="3"/>
      <c r="UJL75" s="3"/>
      <c r="UJM75" s="3"/>
      <c r="UJN75" s="3"/>
      <c r="UJO75" s="3"/>
      <c r="UJP75" s="3"/>
      <c r="UJQ75" s="3"/>
      <c r="UJR75" s="3"/>
      <c r="UJS75" s="3"/>
      <c r="UJT75" s="3"/>
      <c r="UJU75" s="3"/>
      <c r="UJV75" s="3"/>
      <c r="UJW75" s="3"/>
      <c r="UJX75" s="3"/>
      <c r="UJY75" s="3"/>
      <c r="UJZ75" s="3"/>
      <c r="UKA75" s="3"/>
      <c r="UKB75" s="3"/>
      <c r="UKC75" s="3"/>
      <c r="UKD75" s="3"/>
      <c r="UKE75" s="3"/>
      <c r="UKF75" s="3"/>
      <c r="UKG75" s="3"/>
      <c r="UKH75" s="3"/>
      <c r="UKI75" s="3"/>
      <c r="UKJ75" s="3"/>
      <c r="UKK75" s="3"/>
      <c r="UKL75" s="3"/>
      <c r="UKM75" s="3"/>
      <c r="UKN75" s="3"/>
      <c r="UKO75" s="3"/>
      <c r="UKP75" s="3"/>
      <c r="UKQ75" s="3"/>
      <c r="UKR75" s="3"/>
      <c r="UKS75" s="3"/>
      <c r="UKT75" s="3"/>
      <c r="UKU75" s="3"/>
      <c r="UKV75" s="3"/>
      <c r="UKW75" s="3"/>
      <c r="UKX75" s="3"/>
      <c r="UKY75" s="3"/>
      <c r="UKZ75" s="3"/>
      <c r="ULA75" s="3"/>
      <c r="ULB75" s="3"/>
      <c r="ULC75" s="3"/>
      <c r="ULD75" s="3"/>
      <c r="ULE75" s="3"/>
      <c r="ULF75" s="3"/>
      <c r="ULG75" s="3"/>
      <c r="ULH75" s="3"/>
      <c r="ULI75" s="3"/>
      <c r="ULJ75" s="3"/>
      <c r="ULK75" s="3"/>
      <c r="ULL75" s="3"/>
      <c r="ULM75" s="3"/>
      <c r="ULN75" s="3"/>
      <c r="ULO75" s="3"/>
      <c r="ULP75" s="3"/>
      <c r="ULQ75" s="3"/>
      <c r="ULR75" s="3"/>
      <c r="ULS75" s="3"/>
      <c r="ULT75" s="3"/>
      <c r="ULU75" s="3"/>
      <c r="ULV75" s="3"/>
      <c r="ULW75" s="3"/>
      <c r="ULX75" s="3"/>
      <c r="ULY75" s="3"/>
      <c r="ULZ75" s="3"/>
      <c r="UMA75" s="3"/>
      <c r="UMB75" s="3"/>
      <c r="UMC75" s="3"/>
      <c r="UMD75" s="3"/>
      <c r="UME75" s="3"/>
      <c r="UMF75" s="3"/>
      <c r="UMG75" s="3"/>
      <c r="UMH75" s="3"/>
      <c r="UMI75" s="3"/>
      <c r="UMJ75" s="3"/>
      <c r="UMK75" s="3"/>
      <c r="UML75" s="3"/>
      <c r="UMM75" s="3"/>
      <c r="UMN75" s="3"/>
      <c r="UMO75" s="3"/>
      <c r="UMP75" s="3"/>
      <c r="UMQ75" s="3"/>
      <c r="UMR75" s="3"/>
      <c r="UMS75" s="3"/>
      <c r="UMT75" s="3"/>
      <c r="UMU75" s="3"/>
      <c r="UMV75" s="3"/>
      <c r="UMW75" s="3"/>
      <c r="UMX75" s="3"/>
      <c r="UMY75" s="3"/>
      <c r="UMZ75" s="3"/>
      <c r="UNA75" s="3"/>
      <c r="UNB75" s="3"/>
      <c r="UNC75" s="3"/>
      <c r="UND75" s="3"/>
      <c r="UNE75" s="3"/>
      <c r="UNF75" s="3"/>
      <c r="UNG75" s="3"/>
      <c r="UNH75" s="3"/>
      <c r="UNI75" s="3"/>
      <c r="UNJ75" s="3"/>
      <c r="UNK75" s="3"/>
      <c r="UNL75" s="3"/>
      <c r="UNM75" s="3"/>
      <c r="UNN75" s="3"/>
      <c r="UNO75" s="3"/>
      <c r="UNP75" s="3"/>
      <c r="UNQ75" s="3"/>
      <c r="UNR75" s="3"/>
      <c r="UNS75" s="3"/>
      <c r="UNT75" s="3"/>
      <c r="UNU75" s="3"/>
      <c r="UNV75" s="3"/>
      <c r="UNW75" s="3"/>
      <c r="UNX75" s="3"/>
      <c r="UNY75" s="3"/>
      <c r="UNZ75" s="3"/>
      <c r="UOA75" s="3"/>
      <c r="UOB75" s="3"/>
      <c r="UOC75" s="3"/>
      <c r="UOD75" s="3"/>
      <c r="UOE75" s="3"/>
      <c r="UOF75" s="3"/>
      <c r="UOG75" s="3"/>
      <c r="UOH75" s="3"/>
      <c r="UOI75" s="3"/>
      <c r="UOJ75" s="3"/>
      <c r="UOK75" s="3"/>
      <c r="UOL75" s="3"/>
      <c r="UOM75" s="3"/>
      <c r="UON75" s="3"/>
      <c r="UOO75" s="3"/>
      <c r="UOP75" s="3"/>
      <c r="UOQ75" s="3"/>
      <c r="UOR75" s="3"/>
      <c r="UOS75" s="3"/>
      <c r="UOT75" s="3"/>
      <c r="UOU75" s="3"/>
      <c r="UOV75" s="3"/>
      <c r="UOW75" s="3"/>
      <c r="UOX75" s="3"/>
      <c r="UOY75" s="3"/>
      <c r="UOZ75" s="3"/>
      <c r="UPA75" s="3"/>
      <c r="UPB75" s="3"/>
      <c r="UPC75" s="3"/>
      <c r="UPD75" s="3"/>
      <c r="UPE75" s="3"/>
      <c r="UPF75" s="3"/>
      <c r="UPG75" s="3"/>
      <c r="UPH75" s="3"/>
      <c r="UPI75" s="3"/>
      <c r="UPJ75" s="3"/>
      <c r="UPK75" s="3"/>
      <c r="UPL75" s="3"/>
      <c r="UPM75" s="3"/>
      <c r="UPN75" s="3"/>
      <c r="UPO75" s="3"/>
      <c r="UPP75" s="3"/>
      <c r="UPQ75" s="3"/>
      <c r="UPR75" s="3"/>
      <c r="UPS75" s="3"/>
      <c r="UPT75" s="3"/>
      <c r="UPU75" s="3"/>
      <c r="UPV75" s="3"/>
      <c r="UPW75" s="3"/>
      <c r="UPX75" s="3"/>
      <c r="UPY75" s="3"/>
      <c r="UPZ75" s="3"/>
      <c r="UQA75" s="3"/>
      <c r="UQB75" s="3"/>
      <c r="UQC75" s="3"/>
      <c r="UQD75" s="3"/>
      <c r="UQE75" s="3"/>
      <c r="UQF75" s="3"/>
      <c r="UQG75" s="3"/>
      <c r="UQH75" s="3"/>
      <c r="UQI75" s="3"/>
      <c r="UQJ75" s="3"/>
      <c r="UQK75" s="3"/>
      <c r="UQL75" s="3"/>
      <c r="UQM75" s="3"/>
      <c r="UQN75" s="3"/>
      <c r="UQO75" s="3"/>
      <c r="UQP75" s="3"/>
      <c r="UQQ75" s="3"/>
      <c r="UQR75" s="3"/>
      <c r="UQS75" s="3"/>
      <c r="UQT75" s="3"/>
      <c r="UQU75" s="3"/>
      <c r="UQV75" s="3"/>
      <c r="UQW75" s="3"/>
      <c r="UQX75" s="3"/>
      <c r="UQY75" s="3"/>
      <c r="UQZ75" s="3"/>
      <c r="URA75" s="3"/>
      <c r="URB75" s="3"/>
      <c r="URC75" s="3"/>
      <c r="URD75" s="3"/>
      <c r="URE75" s="3"/>
      <c r="URF75" s="3"/>
      <c r="URG75" s="3"/>
      <c r="URH75" s="3"/>
      <c r="URI75" s="3"/>
      <c r="URJ75" s="3"/>
      <c r="URK75" s="3"/>
      <c r="URL75" s="3"/>
      <c r="URM75" s="3"/>
      <c r="URN75" s="3"/>
      <c r="URO75" s="3"/>
      <c r="URP75" s="3"/>
      <c r="URQ75" s="3"/>
      <c r="URR75" s="3"/>
      <c r="URS75" s="3"/>
      <c r="URT75" s="3"/>
      <c r="URU75" s="3"/>
      <c r="URV75" s="3"/>
      <c r="URW75" s="3"/>
      <c r="URX75" s="3"/>
      <c r="URY75" s="3"/>
      <c r="URZ75" s="3"/>
      <c r="USA75" s="3"/>
      <c r="USB75" s="3"/>
      <c r="USC75" s="3"/>
      <c r="USD75" s="3"/>
      <c r="USE75" s="3"/>
      <c r="USF75" s="3"/>
      <c r="USG75" s="3"/>
      <c r="USH75" s="3"/>
      <c r="USI75" s="3"/>
      <c r="USJ75" s="3"/>
      <c r="USK75" s="3"/>
      <c r="USL75" s="3"/>
      <c r="USM75" s="3"/>
      <c r="USN75" s="3"/>
      <c r="USO75" s="3"/>
      <c r="USP75" s="3"/>
      <c r="USQ75" s="3"/>
      <c r="USR75" s="3"/>
      <c r="USS75" s="3"/>
      <c r="UST75" s="3"/>
      <c r="USU75" s="3"/>
      <c r="USV75" s="3"/>
      <c r="USW75" s="3"/>
      <c r="USX75" s="3"/>
      <c r="USY75" s="3"/>
      <c r="USZ75" s="3"/>
      <c r="UTA75" s="3"/>
      <c r="UTB75" s="3"/>
      <c r="UTC75" s="3"/>
      <c r="UTD75" s="3"/>
      <c r="UTE75" s="3"/>
      <c r="UTF75" s="3"/>
      <c r="UTG75" s="3"/>
      <c r="UTH75" s="3"/>
      <c r="UTI75" s="3"/>
      <c r="UTJ75" s="3"/>
      <c r="UTK75" s="3"/>
      <c r="UTL75" s="3"/>
      <c r="UTM75" s="3"/>
      <c r="UTN75" s="3"/>
      <c r="UTO75" s="3"/>
      <c r="UTP75" s="3"/>
      <c r="UTQ75" s="3"/>
      <c r="UTR75" s="3"/>
      <c r="UTS75" s="3"/>
      <c r="UTT75" s="3"/>
      <c r="UTU75" s="3"/>
      <c r="UTV75" s="3"/>
      <c r="UTW75" s="3"/>
      <c r="UTX75" s="3"/>
      <c r="UTY75" s="3"/>
      <c r="UTZ75" s="3"/>
      <c r="UUA75" s="3"/>
      <c r="UUB75" s="3"/>
      <c r="UUC75" s="3"/>
      <c r="UUD75" s="3"/>
      <c r="UUE75" s="3"/>
      <c r="UUF75" s="3"/>
      <c r="UUG75" s="3"/>
      <c r="UUH75" s="3"/>
      <c r="UUI75" s="3"/>
      <c r="UUJ75" s="3"/>
      <c r="UUK75" s="3"/>
      <c r="UUL75" s="3"/>
      <c r="UUM75" s="3"/>
      <c r="UUN75" s="3"/>
      <c r="UUO75" s="3"/>
      <c r="UUP75" s="3"/>
      <c r="UUQ75" s="3"/>
      <c r="UUR75" s="3"/>
      <c r="UUS75" s="3"/>
      <c r="UUT75" s="3"/>
      <c r="UUU75" s="3"/>
      <c r="UUV75" s="3"/>
      <c r="UUW75" s="3"/>
      <c r="UUX75" s="3"/>
      <c r="UUY75" s="3"/>
      <c r="UUZ75" s="3"/>
      <c r="UVA75" s="3"/>
      <c r="UVB75" s="3"/>
      <c r="UVC75" s="3"/>
      <c r="UVD75" s="3"/>
      <c r="UVE75" s="3"/>
      <c r="UVF75" s="3"/>
      <c r="UVG75" s="3"/>
      <c r="UVH75" s="3"/>
      <c r="UVI75" s="3"/>
      <c r="UVJ75" s="3"/>
      <c r="UVK75" s="3"/>
      <c r="UVL75" s="3"/>
      <c r="UVM75" s="3"/>
      <c r="UVN75" s="3"/>
      <c r="UVO75" s="3"/>
      <c r="UVP75" s="3"/>
      <c r="UVQ75" s="3"/>
      <c r="UVR75" s="3"/>
      <c r="UVS75" s="3"/>
      <c r="UVT75" s="3"/>
      <c r="UVU75" s="3"/>
      <c r="UVV75" s="3"/>
      <c r="UVW75" s="3"/>
      <c r="UVX75" s="3"/>
      <c r="UVY75" s="3"/>
      <c r="UVZ75" s="3"/>
      <c r="UWA75" s="3"/>
      <c r="UWB75" s="3"/>
      <c r="UWC75" s="3"/>
      <c r="UWD75" s="3"/>
      <c r="UWE75" s="3"/>
      <c r="UWF75" s="3"/>
      <c r="UWG75" s="3"/>
      <c r="UWH75" s="3"/>
      <c r="UWI75" s="3"/>
      <c r="UWJ75" s="3"/>
      <c r="UWK75" s="3"/>
      <c r="UWL75" s="3"/>
      <c r="UWM75" s="3"/>
      <c r="UWN75" s="3"/>
      <c r="UWO75" s="3"/>
      <c r="UWP75" s="3"/>
      <c r="UWQ75" s="3"/>
      <c r="UWR75" s="3"/>
      <c r="UWS75" s="3"/>
      <c r="UWT75" s="3"/>
      <c r="UWU75" s="3"/>
      <c r="UWV75" s="3"/>
      <c r="UWW75" s="3"/>
      <c r="UWX75" s="3"/>
      <c r="UWY75" s="3"/>
      <c r="UWZ75" s="3"/>
      <c r="UXA75" s="3"/>
      <c r="UXB75" s="3"/>
      <c r="UXC75" s="3"/>
      <c r="UXD75" s="3"/>
      <c r="UXE75" s="3"/>
      <c r="UXF75" s="3"/>
      <c r="UXG75" s="3"/>
      <c r="UXH75" s="3"/>
      <c r="UXI75" s="3"/>
      <c r="UXJ75" s="3"/>
      <c r="UXK75" s="3"/>
      <c r="UXL75" s="3"/>
      <c r="UXM75" s="3"/>
      <c r="UXN75" s="3"/>
      <c r="UXO75" s="3"/>
      <c r="UXP75" s="3"/>
      <c r="UXQ75" s="3"/>
      <c r="UXR75" s="3"/>
      <c r="UXS75" s="3"/>
      <c r="UXT75" s="3"/>
      <c r="UXU75" s="3"/>
      <c r="UXV75" s="3"/>
      <c r="UXW75" s="3"/>
      <c r="UXX75" s="3"/>
      <c r="UXY75" s="3"/>
      <c r="UXZ75" s="3"/>
      <c r="UYA75" s="3"/>
      <c r="UYB75" s="3"/>
      <c r="UYC75" s="3"/>
      <c r="UYD75" s="3"/>
      <c r="UYE75" s="3"/>
      <c r="UYF75" s="3"/>
      <c r="UYG75" s="3"/>
      <c r="UYH75" s="3"/>
      <c r="UYI75" s="3"/>
      <c r="UYJ75" s="3"/>
      <c r="UYK75" s="3"/>
      <c r="UYL75" s="3"/>
      <c r="UYM75" s="3"/>
      <c r="UYN75" s="3"/>
      <c r="UYO75" s="3"/>
      <c r="UYP75" s="3"/>
      <c r="UYQ75" s="3"/>
      <c r="UYR75" s="3"/>
      <c r="UYS75" s="3"/>
      <c r="UYT75" s="3"/>
      <c r="UYU75" s="3"/>
      <c r="UYV75" s="3"/>
      <c r="UYW75" s="3"/>
      <c r="UYX75" s="3"/>
      <c r="UYY75" s="3"/>
      <c r="UYZ75" s="3"/>
      <c r="UZA75" s="3"/>
      <c r="UZB75" s="3"/>
      <c r="UZC75" s="3"/>
      <c r="UZD75" s="3"/>
      <c r="UZE75" s="3"/>
      <c r="UZF75" s="3"/>
      <c r="UZG75" s="3"/>
      <c r="UZH75" s="3"/>
      <c r="UZI75" s="3"/>
      <c r="UZJ75" s="3"/>
      <c r="UZK75" s="3"/>
      <c r="UZL75" s="3"/>
      <c r="UZM75" s="3"/>
      <c r="UZN75" s="3"/>
      <c r="UZO75" s="3"/>
      <c r="UZP75" s="3"/>
      <c r="UZQ75" s="3"/>
      <c r="UZR75" s="3"/>
      <c r="UZS75" s="3"/>
      <c r="UZT75" s="3"/>
      <c r="UZU75" s="3"/>
      <c r="UZV75" s="3"/>
      <c r="UZW75" s="3"/>
      <c r="UZX75" s="3"/>
      <c r="UZY75" s="3"/>
      <c r="UZZ75" s="3"/>
      <c r="VAA75" s="3"/>
      <c r="VAB75" s="3"/>
      <c r="VAC75" s="3"/>
      <c r="VAD75" s="3"/>
      <c r="VAE75" s="3"/>
      <c r="VAF75" s="3"/>
      <c r="VAG75" s="3"/>
      <c r="VAH75" s="3"/>
      <c r="VAI75" s="3"/>
      <c r="VAJ75" s="3"/>
      <c r="VAK75" s="3"/>
      <c r="VAL75" s="3"/>
      <c r="VAM75" s="3"/>
      <c r="VAN75" s="3"/>
      <c r="VAO75" s="3"/>
      <c r="VAP75" s="3"/>
      <c r="VAQ75" s="3"/>
      <c r="VAR75" s="3"/>
      <c r="VAS75" s="3"/>
      <c r="VAT75" s="3"/>
      <c r="VAU75" s="3"/>
      <c r="VAV75" s="3"/>
      <c r="VAW75" s="3"/>
      <c r="VAX75" s="3"/>
      <c r="VAY75" s="3"/>
      <c r="VAZ75" s="3"/>
      <c r="VBA75" s="3"/>
      <c r="VBB75" s="3"/>
      <c r="VBC75" s="3"/>
      <c r="VBD75" s="3"/>
      <c r="VBE75" s="3"/>
      <c r="VBF75" s="3"/>
      <c r="VBG75" s="3"/>
      <c r="VBH75" s="3"/>
      <c r="VBI75" s="3"/>
      <c r="VBJ75" s="3"/>
      <c r="VBK75" s="3"/>
      <c r="VBL75" s="3"/>
      <c r="VBM75" s="3"/>
      <c r="VBN75" s="3"/>
      <c r="VBO75" s="3"/>
      <c r="VBP75" s="3"/>
      <c r="VBQ75" s="3"/>
      <c r="VBR75" s="3"/>
      <c r="VBS75" s="3"/>
      <c r="VBT75" s="3"/>
      <c r="VBU75" s="3"/>
      <c r="VBV75" s="3"/>
      <c r="VBW75" s="3"/>
      <c r="VBX75" s="3"/>
      <c r="VBY75" s="3"/>
      <c r="VBZ75" s="3"/>
      <c r="VCA75" s="3"/>
      <c r="VCB75" s="3"/>
      <c r="VCC75" s="3"/>
      <c r="VCD75" s="3"/>
      <c r="VCE75" s="3"/>
      <c r="VCF75" s="3"/>
      <c r="VCG75" s="3"/>
      <c r="VCH75" s="3"/>
      <c r="VCI75" s="3"/>
      <c r="VCJ75" s="3"/>
      <c r="VCK75" s="3"/>
      <c r="VCL75" s="3"/>
      <c r="VCM75" s="3"/>
      <c r="VCN75" s="3"/>
      <c r="VCO75" s="3"/>
      <c r="VCP75" s="3"/>
      <c r="VCQ75" s="3"/>
      <c r="VCR75" s="3"/>
      <c r="VCS75" s="3"/>
      <c r="VCT75" s="3"/>
      <c r="VCU75" s="3"/>
      <c r="VCV75" s="3"/>
      <c r="VCW75" s="3"/>
      <c r="VCX75" s="3"/>
      <c r="VCY75" s="3"/>
      <c r="VCZ75" s="3"/>
      <c r="VDA75" s="3"/>
      <c r="VDB75" s="3"/>
      <c r="VDC75" s="3"/>
      <c r="VDD75" s="3"/>
      <c r="VDE75" s="3"/>
      <c r="VDF75" s="3"/>
      <c r="VDG75" s="3"/>
      <c r="VDH75" s="3"/>
      <c r="VDI75" s="3"/>
      <c r="VDJ75" s="3"/>
      <c r="VDK75" s="3"/>
      <c r="VDL75" s="3"/>
      <c r="VDM75" s="3"/>
      <c r="VDN75" s="3"/>
      <c r="VDO75" s="3"/>
      <c r="VDP75" s="3"/>
      <c r="VDQ75" s="3"/>
      <c r="VDR75" s="3"/>
      <c r="VDS75" s="3"/>
      <c r="VDT75" s="3"/>
      <c r="VDU75" s="3"/>
      <c r="VDV75" s="3"/>
      <c r="VDW75" s="3"/>
      <c r="VDX75" s="3"/>
      <c r="VDY75" s="3"/>
      <c r="VDZ75" s="3"/>
      <c r="VEA75" s="3"/>
      <c r="VEB75" s="3"/>
      <c r="VEC75" s="3"/>
      <c r="VED75" s="3"/>
      <c r="VEE75" s="3"/>
      <c r="VEF75" s="3"/>
      <c r="VEG75" s="3"/>
      <c r="VEH75" s="3"/>
      <c r="VEI75" s="3"/>
      <c r="VEJ75" s="3"/>
      <c r="VEK75" s="3"/>
      <c r="VEL75" s="3"/>
      <c r="VEM75" s="3"/>
      <c r="VEN75" s="3"/>
      <c r="VEO75" s="3"/>
      <c r="VEP75" s="3"/>
      <c r="VEQ75" s="3"/>
      <c r="VER75" s="3"/>
      <c r="VES75" s="3"/>
      <c r="VET75" s="3"/>
      <c r="VEU75" s="3"/>
      <c r="VEV75" s="3"/>
      <c r="VEW75" s="3"/>
      <c r="VEX75" s="3"/>
      <c r="VEY75" s="3"/>
      <c r="VEZ75" s="3"/>
      <c r="VFA75" s="3"/>
      <c r="VFB75" s="3"/>
      <c r="VFC75" s="3"/>
      <c r="VFD75" s="3"/>
      <c r="VFE75" s="3"/>
      <c r="VFF75" s="3"/>
      <c r="VFG75" s="3"/>
      <c r="VFH75" s="3"/>
      <c r="VFI75" s="3"/>
      <c r="VFJ75" s="3"/>
      <c r="VFK75" s="3"/>
      <c r="VFL75" s="3"/>
      <c r="VFM75" s="3"/>
      <c r="VFN75" s="3"/>
      <c r="VFO75" s="3"/>
      <c r="VFP75" s="3"/>
      <c r="VFQ75" s="3"/>
      <c r="VFR75" s="3"/>
      <c r="VFS75" s="3"/>
      <c r="VFT75" s="3"/>
      <c r="VFU75" s="3"/>
      <c r="VFV75" s="3"/>
      <c r="VFW75" s="3"/>
      <c r="VFX75" s="3"/>
      <c r="VFY75" s="3"/>
      <c r="VFZ75" s="3"/>
      <c r="VGA75" s="3"/>
      <c r="VGB75" s="3"/>
      <c r="VGC75" s="3"/>
      <c r="VGD75" s="3"/>
      <c r="VGE75" s="3"/>
      <c r="VGF75" s="3"/>
      <c r="VGG75" s="3"/>
      <c r="VGH75" s="3"/>
      <c r="VGI75" s="3"/>
      <c r="VGJ75" s="3"/>
      <c r="VGK75" s="3"/>
      <c r="VGL75" s="3"/>
      <c r="VGM75" s="3"/>
      <c r="VGN75" s="3"/>
      <c r="VGO75" s="3"/>
      <c r="VGP75" s="3"/>
      <c r="VGQ75" s="3"/>
      <c r="VGR75" s="3"/>
      <c r="VGS75" s="3"/>
      <c r="VGT75" s="3"/>
      <c r="VGU75" s="3"/>
      <c r="VGV75" s="3"/>
      <c r="VGW75" s="3"/>
      <c r="VGX75" s="3"/>
      <c r="VGY75" s="3"/>
      <c r="VGZ75" s="3"/>
      <c r="VHA75" s="3"/>
      <c r="VHB75" s="3"/>
      <c r="VHC75" s="3"/>
      <c r="VHD75" s="3"/>
      <c r="VHE75" s="3"/>
      <c r="VHF75" s="3"/>
      <c r="VHG75" s="3"/>
      <c r="VHH75" s="3"/>
      <c r="VHI75" s="3"/>
      <c r="VHJ75" s="3"/>
      <c r="VHK75" s="3"/>
      <c r="VHL75" s="3"/>
      <c r="VHM75" s="3"/>
      <c r="VHN75" s="3"/>
      <c r="VHO75" s="3"/>
      <c r="VHP75" s="3"/>
      <c r="VHQ75" s="3"/>
      <c r="VHR75" s="3"/>
      <c r="VHS75" s="3"/>
      <c r="VHT75" s="3"/>
      <c r="VHU75" s="3"/>
      <c r="VHV75" s="3"/>
      <c r="VHW75" s="3"/>
      <c r="VHX75" s="3"/>
      <c r="VHY75" s="3"/>
      <c r="VHZ75" s="3"/>
      <c r="VIA75" s="3"/>
      <c r="VIB75" s="3"/>
      <c r="VIC75" s="3"/>
      <c r="VID75" s="3"/>
      <c r="VIE75" s="3"/>
      <c r="VIF75" s="3"/>
      <c r="VIG75" s="3"/>
      <c r="VIH75" s="3"/>
      <c r="VII75" s="3"/>
      <c r="VIJ75" s="3"/>
      <c r="VIK75" s="3"/>
      <c r="VIL75" s="3"/>
      <c r="VIM75" s="3"/>
      <c r="VIN75" s="3"/>
      <c r="VIO75" s="3"/>
      <c r="VIP75" s="3"/>
      <c r="VIQ75" s="3"/>
      <c r="VIR75" s="3"/>
      <c r="VIS75" s="3"/>
      <c r="VIT75" s="3"/>
      <c r="VIU75" s="3"/>
      <c r="VIV75" s="3"/>
      <c r="VIW75" s="3"/>
      <c r="VIX75" s="3"/>
      <c r="VIY75" s="3"/>
      <c r="VIZ75" s="3"/>
      <c r="VJA75" s="3"/>
      <c r="VJB75" s="3"/>
      <c r="VJC75" s="3"/>
      <c r="VJD75" s="3"/>
      <c r="VJE75" s="3"/>
      <c r="VJF75" s="3"/>
      <c r="VJG75" s="3"/>
      <c r="VJH75" s="3"/>
      <c r="VJI75" s="3"/>
      <c r="VJJ75" s="3"/>
      <c r="VJK75" s="3"/>
      <c r="VJL75" s="3"/>
      <c r="VJM75" s="3"/>
      <c r="VJN75" s="3"/>
      <c r="VJO75" s="3"/>
      <c r="VJP75" s="3"/>
      <c r="VJQ75" s="3"/>
      <c r="VJR75" s="3"/>
      <c r="VJS75" s="3"/>
      <c r="VJT75" s="3"/>
      <c r="VJU75" s="3"/>
      <c r="VJV75" s="3"/>
      <c r="VJW75" s="3"/>
      <c r="VJX75" s="3"/>
      <c r="VJY75" s="3"/>
      <c r="VJZ75" s="3"/>
      <c r="VKA75" s="3"/>
      <c r="VKB75" s="3"/>
      <c r="VKC75" s="3"/>
      <c r="VKD75" s="3"/>
      <c r="VKE75" s="3"/>
      <c r="VKF75" s="3"/>
      <c r="VKG75" s="3"/>
      <c r="VKH75" s="3"/>
      <c r="VKI75" s="3"/>
      <c r="VKJ75" s="3"/>
      <c r="VKK75" s="3"/>
      <c r="VKL75" s="3"/>
      <c r="VKM75" s="3"/>
      <c r="VKN75" s="3"/>
      <c r="VKO75" s="3"/>
      <c r="VKP75" s="3"/>
      <c r="VKQ75" s="3"/>
      <c r="VKR75" s="3"/>
      <c r="VKS75" s="3"/>
      <c r="VKT75" s="3"/>
      <c r="VKU75" s="3"/>
      <c r="VKV75" s="3"/>
      <c r="VKW75" s="3"/>
      <c r="VKX75" s="3"/>
      <c r="VKY75" s="3"/>
      <c r="VKZ75" s="3"/>
      <c r="VLA75" s="3"/>
      <c r="VLB75" s="3"/>
      <c r="VLC75" s="3"/>
      <c r="VLD75" s="3"/>
      <c r="VLE75" s="3"/>
      <c r="VLF75" s="3"/>
      <c r="VLG75" s="3"/>
      <c r="VLH75" s="3"/>
      <c r="VLI75" s="3"/>
      <c r="VLJ75" s="3"/>
      <c r="VLK75" s="3"/>
      <c r="VLL75" s="3"/>
      <c r="VLM75" s="3"/>
      <c r="VLN75" s="3"/>
      <c r="VLO75" s="3"/>
      <c r="VLP75" s="3"/>
      <c r="VLQ75" s="3"/>
      <c r="VLR75" s="3"/>
      <c r="VLS75" s="3"/>
      <c r="VLT75" s="3"/>
      <c r="VLU75" s="3"/>
      <c r="VLV75" s="3"/>
      <c r="VLW75" s="3"/>
      <c r="VLX75" s="3"/>
      <c r="VLY75" s="3"/>
      <c r="VLZ75" s="3"/>
      <c r="VMA75" s="3"/>
      <c r="VMB75" s="3"/>
      <c r="VMC75" s="3"/>
      <c r="VMD75" s="3"/>
      <c r="VME75" s="3"/>
      <c r="VMF75" s="3"/>
      <c r="VMG75" s="3"/>
      <c r="VMH75" s="3"/>
      <c r="VMI75" s="3"/>
      <c r="VMJ75" s="3"/>
      <c r="VMK75" s="3"/>
      <c r="VML75" s="3"/>
      <c r="VMM75" s="3"/>
      <c r="VMN75" s="3"/>
      <c r="VMO75" s="3"/>
      <c r="VMP75" s="3"/>
      <c r="VMQ75" s="3"/>
      <c r="VMR75" s="3"/>
      <c r="VMS75" s="3"/>
      <c r="VMT75" s="3"/>
      <c r="VMU75" s="3"/>
      <c r="VMV75" s="3"/>
      <c r="VMW75" s="3"/>
      <c r="VMX75" s="3"/>
      <c r="VMY75" s="3"/>
      <c r="VMZ75" s="3"/>
      <c r="VNA75" s="3"/>
      <c r="VNB75" s="3"/>
      <c r="VNC75" s="3"/>
      <c r="VND75" s="3"/>
      <c r="VNE75" s="3"/>
      <c r="VNF75" s="3"/>
      <c r="VNG75" s="3"/>
      <c r="VNH75" s="3"/>
      <c r="VNI75" s="3"/>
      <c r="VNJ75" s="3"/>
      <c r="VNK75" s="3"/>
      <c r="VNL75" s="3"/>
      <c r="VNM75" s="3"/>
      <c r="VNN75" s="3"/>
      <c r="VNO75" s="3"/>
      <c r="VNP75" s="3"/>
      <c r="VNQ75" s="3"/>
      <c r="VNR75" s="3"/>
      <c r="VNS75" s="3"/>
      <c r="VNT75" s="3"/>
      <c r="VNU75" s="3"/>
      <c r="VNV75" s="3"/>
      <c r="VNW75" s="3"/>
      <c r="VNX75" s="3"/>
      <c r="VNY75" s="3"/>
      <c r="VNZ75" s="3"/>
      <c r="VOA75" s="3"/>
      <c r="VOB75" s="3"/>
      <c r="VOC75" s="3"/>
      <c r="VOD75" s="3"/>
      <c r="VOE75" s="3"/>
      <c r="VOF75" s="3"/>
      <c r="VOG75" s="3"/>
      <c r="VOH75" s="3"/>
      <c r="VOI75" s="3"/>
      <c r="VOJ75" s="3"/>
      <c r="VOK75" s="3"/>
      <c r="VOL75" s="3"/>
      <c r="VOM75" s="3"/>
      <c r="VON75" s="3"/>
      <c r="VOO75" s="3"/>
      <c r="VOP75" s="3"/>
      <c r="VOQ75" s="3"/>
      <c r="VOR75" s="3"/>
      <c r="VOS75" s="3"/>
      <c r="VOT75" s="3"/>
      <c r="VOU75" s="3"/>
      <c r="VOV75" s="3"/>
      <c r="VOW75" s="3"/>
      <c r="VOX75" s="3"/>
      <c r="VOY75" s="3"/>
      <c r="VOZ75" s="3"/>
      <c r="VPA75" s="3"/>
      <c r="VPB75" s="3"/>
      <c r="VPC75" s="3"/>
      <c r="VPD75" s="3"/>
      <c r="VPE75" s="3"/>
      <c r="VPF75" s="3"/>
      <c r="VPG75" s="3"/>
      <c r="VPH75" s="3"/>
      <c r="VPI75" s="3"/>
      <c r="VPJ75" s="3"/>
      <c r="VPK75" s="3"/>
      <c r="VPL75" s="3"/>
      <c r="VPM75" s="3"/>
      <c r="VPN75" s="3"/>
      <c r="VPO75" s="3"/>
      <c r="VPP75" s="3"/>
      <c r="VPQ75" s="3"/>
      <c r="VPR75" s="3"/>
      <c r="VPS75" s="3"/>
      <c r="VPT75" s="3"/>
      <c r="VPU75" s="3"/>
      <c r="VPV75" s="3"/>
      <c r="VPW75" s="3"/>
      <c r="VPX75" s="3"/>
      <c r="VPY75" s="3"/>
      <c r="VPZ75" s="3"/>
      <c r="VQA75" s="3"/>
      <c r="VQB75" s="3"/>
      <c r="VQC75" s="3"/>
      <c r="VQD75" s="3"/>
      <c r="VQE75" s="3"/>
      <c r="VQF75" s="3"/>
      <c r="VQG75" s="3"/>
      <c r="VQH75" s="3"/>
      <c r="VQI75" s="3"/>
      <c r="VQJ75" s="3"/>
      <c r="VQK75" s="3"/>
      <c r="VQL75" s="3"/>
      <c r="VQM75" s="3"/>
      <c r="VQN75" s="3"/>
      <c r="VQO75" s="3"/>
      <c r="VQP75" s="3"/>
      <c r="VQQ75" s="3"/>
      <c r="VQR75" s="3"/>
      <c r="VQS75" s="3"/>
      <c r="VQT75" s="3"/>
      <c r="VQU75" s="3"/>
      <c r="VQV75" s="3"/>
      <c r="VQW75" s="3"/>
      <c r="VQX75" s="3"/>
      <c r="VQY75" s="3"/>
      <c r="VQZ75" s="3"/>
      <c r="VRA75" s="3"/>
      <c r="VRB75" s="3"/>
      <c r="VRC75" s="3"/>
      <c r="VRD75" s="3"/>
      <c r="VRE75" s="3"/>
      <c r="VRF75" s="3"/>
      <c r="VRG75" s="3"/>
      <c r="VRH75" s="3"/>
      <c r="VRI75" s="3"/>
      <c r="VRJ75" s="3"/>
      <c r="VRK75" s="3"/>
      <c r="VRL75" s="3"/>
      <c r="VRM75" s="3"/>
      <c r="VRN75" s="3"/>
      <c r="VRO75" s="3"/>
      <c r="VRP75" s="3"/>
      <c r="VRQ75" s="3"/>
      <c r="VRR75" s="3"/>
      <c r="VRS75" s="3"/>
      <c r="VRT75" s="3"/>
      <c r="VRU75" s="3"/>
      <c r="VRV75" s="3"/>
      <c r="VRW75" s="3"/>
      <c r="VRX75" s="3"/>
      <c r="VRY75" s="3"/>
      <c r="VRZ75" s="3"/>
      <c r="VSA75" s="3"/>
      <c r="VSB75" s="3"/>
      <c r="VSC75" s="3"/>
      <c r="VSD75" s="3"/>
      <c r="VSE75" s="3"/>
      <c r="VSF75" s="3"/>
      <c r="VSG75" s="3"/>
      <c r="VSH75" s="3"/>
      <c r="VSI75" s="3"/>
      <c r="VSJ75" s="3"/>
      <c r="VSK75" s="3"/>
      <c r="VSL75" s="3"/>
      <c r="VSM75" s="3"/>
      <c r="VSN75" s="3"/>
      <c r="VSO75" s="3"/>
      <c r="VSP75" s="3"/>
      <c r="VSQ75" s="3"/>
      <c r="VSR75" s="3"/>
      <c r="VSS75" s="3"/>
      <c r="VST75" s="3"/>
      <c r="VSU75" s="3"/>
      <c r="VSV75" s="3"/>
      <c r="VSW75" s="3"/>
      <c r="VSX75" s="3"/>
      <c r="VSY75" s="3"/>
      <c r="VSZ75" s="3"/>
      <c r="VTA75" s="3"/>
      <c r="VTB75" s="3"/>
      <c r="VTC75" s="3"/>
      <c r="VTD75" s="3"/>
      <c r="VTE75" s="3"/>
      <c r="VTF75" s="3"/>
      <c r="VTG75" s="3"/>
      <c r="VTH75" s="3"/>
      <c r="VTI75" s="3"/>
      <c r="VTJ75" s="3"/>
      <c r="VTK75" s="3"/>
      <c r="VTL75" s="3"/>
      <c r="VTM75" s="3"/>
      <c r="VTN75" s="3"/>
      <c r="VTO75" s="3"/>
      <c r="VTP75" s="3"/>
      <c r="VTQ75" s="3"/>
      <c r="VTR75" s="3"/>
      <c r="VTS75" s="3"/>
      <c r="VTT75" s="3"/>
      <c r="VTU75" s="3"/>
      <c r="VTV75" s="3"/>
      <c r="VTW75" s="3"/>
      <c r="VTX75" s="3"/>
      <c r="VTY75" s="3"/>
      <c r="VTZ75" s="3"/>
      <c r="VUA75" s="3"/>
      <c r="VUB75" s="3"/>
      <c r="VUC75" s="3"/>
      <c r="VUD75" s="3"/>
      <c r="VUE75" s="3"/>
      <c r="VUF75" s="3"/>
      <c r="VUG75" s="3"/>
      <c r="VUH75" s="3"/>
      <c r="VUI75" s="3"/>
      <c r="VUJ75" s="3"/>
      <c r="VUK75" s="3"/>
      <c r="VUL75" s="3"/>
      <c r="VUM75" s="3"/>
      <c r="VUN75" s="3"/>
      <c r="VUO75" s="3"/>
      <c r="VUP75" s="3"/>
      <c r="VUQ75" s="3"/>
      <c r="VUR75" s="3"/>
      <c r="VUS75" s="3"/>
      <c r="VUT75" s="3"/>
      <c r="VUU75" s="3"/>
      <c r="VUV75" s="3"/>
      <c r="VUW75" s="3"/>
      <c r="VUX75" s="3"/>
      <c r="VUY75" s="3"/>
      <c r="VUZ75" s="3"/>
      <c r="VVA75" s="3"/>
      <c r="VVB75" s="3"/>
      <c r="VVC75" s="3"/>
      <c r="VVD75" s="3"/>
      <c r="VVE75" s="3"/>
      <c r="VVF75" s="3"/>
      <c r="VVG75" s="3"/>
      <c r="VVH75" s="3"/>
      <c r="VVI75" s="3"/>
      <c r="VVJ75" s="3"/>
      <c r="VVK75" s="3"/>
      <c r="VVL75" s="3"/>
      <c r="VVM75" s="3"/>
      <c r="VVN75" s="3"/>
      <c r="VVO75" s="3"/>
      <c r="VVP75" s="3"/>
      <c r="VVQ75" s="3"/>
      <c r="VVR75" s="3"/>
      <c r="VVS75" s="3"/>
      <c r="VVT75" s="3"/>
      <c r="VVU75" s="3"/>
      <c r="VVV75" s="3"/>
      <c r="VVW75" s="3"/>
      <c r="VVX75" s="3"/>
      <c r="VVY75" s="3"/>
      <c r="VVZ75" s="3"/>
      <c r="VWA75" s="3"/>
      <c r="VWB75" s="3"/>
      <c r="VWC75" s="3"/>
      <c r="VWD75" s="3"/>
      <c r="VWE75" s="3"/>
      <c r="VWF75" s="3"/>
      <c r="VWG75" s="3"/>
      <c r="VWH75" s="3"/>
      <c r="VWI75" s="3"/>
      <c r="VWJ75" s="3"/>
      <c r="VWK75" s="3"/>
      <c r="VWL75" s="3"/>
      <c r="VWM75" s="3"/>
      <c r="VWN75" s="3"/>
      <c r="VWO75" s="3"/>
      <c r="VWP75" s="3"/>
      <c r="VWQ75" s="3"/>
      <c r="VWR75" s="3"/>
      <c r="VWS75" s="3"/>
      <c r="VWT75" s="3"/>
      <c r="VWU75" s="3"/>
      <c r="VWV75" s="3"/>
      <c r="VWW75" s="3"/>
      <c r="VWX75" s="3"/>
      <c r="VWY75" s="3"/>
      <c r="VWZ75" s="3"/>
      <c r="VXA75" s="3"/>
      <c r="VXB75" s="3"/>
      <c r="VXC75" s="3"/>
      <c r="VXD75" s="3"/>
      <c r="VXE75" s="3"/>
      <c r="VXF75" s="3"/>
      <c r="VXG75" s="3"/>
      <c r="VXH75" s="3"/>
      <c r="VXI75" s="3"/>
      <c r="VXJ75" s="3"/>
      <c r="VXK75" s="3"/>
      <c r="VXL75" s="3"/>
      <c r="VXM75" s="3"/>
      <c r="VXN75" s="3"/>
      <c r="VXO75" s="3"/>
      <c r="VXP75" s="3"/>
      <c r="VXQ75" s="3"/>
      <c r="VXR75" s="3"/>
      <c r="VXS75" s="3"/>
      <c r="VXT75" s="3"/>
      <c r="VXU75" s="3"/>
      <c r="VXV75" s="3"/>
      <c r="VXW75" s="3"/>
      <c r="VXX75" s="3"/>
      <c r="VXY75" s="3"/>
      <c r="VXZ75" s="3"/>
      <c r="VYA75" s="3"/>
      <c r="VYB75" s="3"/>
      <c r="VYC75" s="3"/>
      <c r="VYD75" s="3"/>
      <c r="VYE75" s="3"/>
      <c r="VYF75" s="3"/>
      <c r="VYG75" s="3"/>
      <c r="VYH75" s="3"/>
      <c r="VYI75" s="3"/>
      <c r="VYJ75" s="3"/>
      <c r="VYK75" s="3"/>
      <c r="VYL75" s="3"/>
      <c r="VYM75" s="3"/>
      <c r="VYN75" s="3"/>
      <c r="VYO75" s="3"/>
      <c r="VYP75" s="3"/>
      <c r="VYQ75" s="3"/>
      <c r="VYR75" s="3"/>
      <c r="VYS75" s="3"/>
      <c r="VYT75" s="3"/>
      <c r="VYU75" s="3"/>
      <c r="VYV75" s="3"/>
      <c r="VYW75" s="3"/>
      <c r="VYX75" s="3"/>
      <c r="VYY75" s="3"/>
      <c r="VYZ75" s="3"/>
      <c r="VZA75" s="3"/>
      <c r="VZB75" s="3"/>
      <c r="VZC75" s="3"/>
      <c r="VZD75" s="3"/>
      <c r="VZE75" s="3"/>
      <c r="VZF75" s="3"/>
      <c r="VZG75" s="3"/>
      <c r="VZH75" s="3"/>
      <c r="VZI75" s="3"/>
      <c r="VZJ75" s="3"/>
      <c r="VZK75" s="3"/>
      <c r="VZL75" s="3"/>
      <c r="VZM75" s="3"/>
      <c r="VZN75" s="3"/>
      <c r="VZO75" s="3"/>
      <c r="VZP75" s="3"/>
      <c r="VZQ75" s="3"/>
      <c r="VZR75" s="3"/>
      <c r="VZS75" s="3"/>
      <c r="VZT75" s="3"/>
      <c r="VZU75" s="3"/>
      <c r="VZV75" s="3"/>
      <c r="VZW75" s="3"/>
      <c r="VZX75" s="3"/>
      <c r="VZY75" s="3"/>
      <c r="VZZ75" s="3"/>
      <c r="WAA75" s="3"/>
      <c r="WAB75" s="3"/>
      <c r="WAC75" s="3"/>
      <c r="WAD75" s="3"/>
      <c r="WAE75" s="3"/>
      <c r="WAF75" s="3"/>
      <c r="WAG75" s="3"/>
      <c r="WAH75" s="3"/>
      <c r="WAI75" s="3"/>
      <c r="WAJ75" s="3"/>
      <c r="WAK75" s="3"/>
      <c r="WAL75" s="3"/>
      <c r="WAM75" s="3"/>
      <c r="WAN75" s="3"/>
      <c r="WAO75" s="3"/>
      <c r="WAP75" s="3"/>
      <c r="WAQ75" s="3"/>
      <c r="WAR75" s="3"/>
      <c r="WAS75" s="3"/>
      <c r="WAT75" s="3"/>
      <c r="WAU75" s="3"/>
      <c r="WAV75" s="3"/>
      <c r="WAW75" s="3"/>
      <c r="WAX75" s="3"/>
      <c r="WAY75" s="3"/>
      <c r="WAZ75" s="3"/>
      <c r="WBA75" s="3"/>
      <c r="WBB75" s="3"/>
      <c r="WBC75" s="3"/>
      <c r="WBD75" s="3"/>
      <c r="WBE75" s="3"/>
      <c r="WBF75" s="3"/>
      <c r="WBG75" s="3"/>
      <c r="WBH75" s="3"/>
      <c r="WBI75" s="3"/>
      <c r="WBJ75" s="3"/>
      <c r="WBK75" s="3"/>
      <c r="WBL75" s="3"/>
      <c r="WBM75" s="3"/>
      <c r="WBN75" s="3"/>
      <c r="WBO75" s="3"/>
      <c r="WBP75" s="3"/>
      <c r="WBQ75" s="3"/>
      <c r="WBR75" s="3"/>
      <c r="WBS75" s="3"/>
      <c r="WBT75" s="3"/>
      <c r="WBU75" s="3"/>
      <c r="WBV75" s="3"/>
      <c r="WBW75" s="3"/>
      <c r="WBX75" s="3"/>
      <c r="WBY75" s="3"/>
      <c r="WBZ75" s="3"/>
      <c r="WCA75" s="3"/>
      <c r="WCB75" s="3"/>
      <c r="WCC75" s="3"/>
      <c r="WCD75" s="3"/>
      <c r="WCE75" s="3"/>
      <c r="WCF75" s="3"/>
      <c r="WCG75" s="3"/>
      <c r="WCH75" s="3"/>
      <c r="WCI75" s="3"/>
      <c r="WCJ75" s="3"/>
      <c r="WCK75" s="3"/>
      <c r="WCL75" s="3"/>
      <c r="WCM75" s="3"/>
      <c r="WCN75" s="3"/>
      <c r="WCO75" s="3"/>
      <c r="WCP75" s="3"/>
      <c r="WCQ75" s="3"/>
      <c r="WCR75" s="3"/>
      <c r="WCS75" s="3"/>
      <c r="WCT75" s="3"/>
      <c r="WCU75" s="3"/>
      <c r="WCV75" s="3"/>
      <c r="WCW75" s="3"/>
      <c r="WCX75" s="3"/>
      <c r="WCY75" s="3"/>
      <c r="WCZ75" s="3"/>
      <c r="WDA75" s="3"/>
      <c r="WDB75" s="3"/>
      <c r="WDC75" s="3"/>
      <c r="WDD75" s="3"/>
      <c r="WDE75" s="3"/>
      <c r="WDF75" s="3"/>
      <c r="WDG75" s="3"/>
      <c r="WDH75" s="3"/>
      <c r="WDI75" s="3"/>
      <c r="WDJ75" s="3"/>
      <c r="WDK75" s="3"/>
      <c r="WDL75" s="3"/>
      <c r="WDM75" s="3"/>
      <c r="WDN75" s="3"/>
      <c r="WDO75" s="3"/>
      <c r="WDP75" s="3"/>
      <c r="WDQ75" s="3"/>
      <c r="WDR75" s="3"/>
      <c r="WDS75" s="3"/>
      <c r="WDT75" s="3"/>
      <c r="WDU75" s="3"/>
      <c r="WDV75" s="3"/>
      <c r="WDW75" s="3"/>
      <c r="WDX75" s="3"/>
      <c r="WDY75" s="3"/>
      <c r="WDZ75" s="3"/>
      <c r="WEA75" s="3"/>
      <c r="WEB75" s="3"/>
      <c r="WEC75" s="3"/>
      <c r="WED75" s="3"/>
      <c r="WEE75" s="3"/>
      <c r="WEF75" s="3"/>
      <c r="WEG75" s="3"/>
      <c r="WEH75" s="3"/>
      <c r="WEI75" s="3"/>
      <c r="WEJ75" s="3"/>
      <c r="WEK75" s="3"/>
      <c r="WEL75" s="3"/>
      <c r="WEM75" s="3"/>
      <c r="WEN75" s="3"/>
      <c r="WEO75" s="3"/>
      <c r="WEP75" s="3"/>
      <c r="WEQ75" s="3"/>
      <c r="WER75" s="3"/>
      <c r="WES75" s="3"/>
      <c r="WET75" s="3"/>
      <c r="WEU75" s="3"/>
      <c r="WEV75" s="3"/>
      <c r="WEW75" s="3"/>
      <c r="WEX75" s="3"/>
      <c r="WEY75" s="3"/>
      <c r="WEZ75" s="3"/>
      <c r="WFA75" s="3"/>
      <c r="WFB75" s="3"/>
      <c r="WFC75" s="3"/>
      <c r="WFD75" s="3"/>
      <c r="WFE75" s="3"/>
      <c r="WFF75" s="3"/>
      <c r="WFG75" s="3"/>
      <c r="WFH75" s="3"/>
      <c r="WFI75" s="3"/>
      <c r="WFJ75" s="3"/>
      <c r="WFK75" s="3"/>
      <c r="WFL75" s="3"/>
      <c r="WFM75" s="3"/>
      <c r="WFN75" s="3"/>
      <c r="WFO75" s="3"/>
      <c r="WFP75" s="3"/>
      <c r="WFQ75" s="3"/>
      <c r="WFR75" s="3"/>
      <c r="WFS75" s="3"/>
      <c r="WFT75" s="3"/>
      <c r="WFU75" s="3"/>
      <c r="WFV75" s="3"/>
      <c r="WFW75" s="3"/>
      <c r="WFX75" s="3"/>
      <c r="WFY75" s="3"/>
      <c r="WFZ75" s="3"/>
      <c r="WGA75" s="3"/>
      <c r="WGB75" s="3"/>
      <c r="WGC75" s="3"/>
      <c r="WGD75" s="3"/>
      <c r="WGE75" s="3"/>
      <c r="WGF75" s="3"/>
      <c r="WGG75" s="3"/>
      <c r="WGH75" s="3"/>
      <c r="WGI75" s="3"/>
      <c r="WGJ75" s="3"/>
      <c r="WGK75" s="3"/>
      <c r="WGL75" s="3"/>
      <c r="WGM75" s="3"/>
      <c r="WGN75" s="3"/>
      <c r="WGO75" s="3"/>
      <c r="WGP75" s="3"/>
      <c r="WGQ75" s="3"/>
      <c r="WGR75" s="3"/>
      <c r="WGS75" s="3"/>
      <c r="WGT75" s="3"/>
      <c r="WGU75" s="3"/>
      <c r="WGV75" s="3"/>
      <c r="WGW75" s="3"/>
      <c r="WGX75" s="3"/>
      <c r="WGY75" s="3"/>
      <c r="WGZ75" s="3"/>
      <c r="WHA75" s="3"/>
      <c r="WHB75" s="3"/>
      <c r="WHC75" s="3"/>
      <c r="WHD75" s="3"/>
      <c r="WHE75" s="3"/>
      <c r="WHF75" s="3"/>
      <c r="WHG75" s="3"/>
      <c r="WHH75" s="3"/>
      <c r="WHI75" s="3"/>
      <c r="WHJ75" s="3"/>
      <c r="WHK75" s="3"/>
      <c r="WHL75" s="3"/>
      <c r="WHM75" s="3"/>
      <c r="WHN75" s="3"/>
      <c r="WHO75" s="3"/>
      <c r="WHP75" s="3"/>
      <c r="WHQ75" s="3"/>
      <c r="WHR75" s="3"/>
      <c r="WHS75" s="3"/>
      <c r="WHT75" s="3"/>
      <c r="WHU75" s="3"/>
      <c r="WHV75" s="3"/>
      <c r="WHW75" s="3"/>
      <c r="WHX75" s="3"/>
      <c r="WHY75" s="3"/>
      <c r="WHZ75" s="3"/>
      <c r="WIA75" s="3"/>
      <c r="WIB75" s="3"/>
      <c r="WIC75" s="3"/>
      <c r="WID75" s="3"/>
      <c r="WIE75" s="3"/>
      <c r="WIF75" s="3"/>
      <c r="WIG75" s="3"/>
      <c r="WIH75" s="3"/>
      <c r="WII75" s="3"/>
      <c r="WIJ75" s="3"/>
      <c r="WIK75" s="3"/>
      <c r="WIL75" s="3"/>
      <c r="WIM75" s="3"/>
      <c r="WIN75" s="3"/>
      <c r="WIO75" s="3"/>
      <c r="WIP75" s="3"/>
      <c r="WIQ75" s="3"/>
      <c r="WIR75" s="3"/>
      <c r="WIS75" s="3"/>
      <c r="WIT75" s="3"/>
      <c r="WIU75" s="3"/>
      <c r="WIV75" s="3"/>
      <c r="WIW75" s="3"/>
      <c r="WIX75" s="3"/>
      <c r="WIY75" s="3"/>
      <c r="WIZ75" s="3"/>
      <c r="WJA75" s="3"/>
      <c r="WJB75" s="3"/>
      <c r="WJC75" s="3"/>
      <c r="WJD75" s="3"/>
      <c r="WJE75" s="3"/>
      <c r="WJF75" s="3"/>
      <c r="WJG75" s="3"/>
      <c r="WJH75" s="3"/>
      <c r="WJI75" s="3"/>
      <c r="WJJ75" s="3"/>
      <c r="WJK75" s="3"/>
      <c r="WJL75" s="3"/>
      <c r="WJM75" s="3"/>
      <c r="WJN75" s="3"/>
      <c r="WJO75" s="3"/>
      <c r="WJP75" s="3"/>
      <c r="WJQ75" s="3"/>
      <c r="WJR75" s="3"/>
      <c r="WJS75" s="3"/>
      <c r="WJT75" s="3"/>
      <c r="WJU75" s="3"/>
      <c r="WJV75" s="3"/>
      <c r="WJW75" s="3"/>
      <c r="WJX75" s="3"/>
      <c r="WJY75" s="3"/>
      <c r="WJZ75" s="3"/>
      <c r="WKA75" s="3"/>
      <c r="WKB75" s="3"/>
      <c r="WKC75" s="3"/>
      <c r="WKD75" s="3"/>
      <c r="WKE75" s="3"/>
      <c r="WKF75" s="3"/>
      <c r="WKG75" s="3"/>
      <c r="WKH75" s="3"/>
      <c r="WKI75" s="3"/>
      <c r="WKJ75" s="3"/>
      <c r="WKK75" s="3"/>
      <c r="WKL75" s="3"/>
      <c r="WKM75" s="3"/>
      <c r="WKN75" s="3"/>
      <c r="WKO75" s="3"/>
      <c r="WKP75" s="3"/>
      <c r="WKQ75" s="3"/>
      <c r="WKR75" s="3"/>
      <c r="WKS75" s="3"/>
      <c r="WKT75" s="3"/>
      <c r="WKU75" s="3"/>
      <c r="WKV75" s="3"/>
      <c r="WKW75" s="3"/>
      <c r="WKX75" s="3"/>
      <c r="WKY75" s="3"/>
      <c r="WKZ75" s="3"/>
      <c r="WLA75" s="3"/>
      <c r="WLB75" s="3"/>
      <c r="WLC75" s="3"/>
      <c r="WLD75" s="3"/>
      <c r="WLE75" s="3"/>
      <c r="WLF75" s="3"/>
      <c r="WLG75" s="3"/>
      <c r="WLH75" s="3"/>
      <c r="WLI75" s="3"/>
      <c r="WLJ75" s="3"/>
      <c r="WLK75" s="3"/>
      <c r="WLL75" s="3"/>
      <c r="WLM75" s="3"/>
      <c r="WLN75" s="3"/>
      <c r="WLO75" s="3"/>
      <c r="WLP75" s="3"/>
      <c r="WLQ75" s="3"/>
      <c r="WLR75" s="3"/>
      <c r="WLS75" s="3"/>
      <c r="WLT75" s="3"/>
      <c r="WLU75" s="3"/>
      <c r="WLV75" s="3"/>
      <c r="WLW75" s="3"/>
      <c r="WLX75" s="3"/>
      <c r="WLY75" s="3"/>
      <c r="WLZ75" s="3"/>
      <c r="WMA75" s="3"/>
      <c r="WMB75" s="3"/>
      <c r="WMC75" s="3"/>
      <c r="WMD75" s="3"/>
      <c r="WME75" s="3"/>
      <c r="WMF75" s="3"/>
      <c r="WMG75" s="3"/>
      <c r="WMH75" s="3"/>
      <c r="WMI75" s="3"/>
      <c r="WMJ75" s="3"/>
      <c r="WMK75" s="3"/>
      <c r="WML75" s="3"/>
      <c r="WMM75" s="3"/>
      <c r="WMN75" s="3"/>
      <c r="WMO75" s="3"/>
      <c r="WMP75" s="3"/>
      <c r="WMQ75" s="3"/>
      <c r="WMR75" s="3"/>
      <c r="WMS75" s="3"/>
      <c r="WMT75" s="3"/>
      <c r="WMU75" s="3"/>
      <c r="WMV75" s="3"/>
      <c r="WMW75" s="3"/>
      <c r="WMX75" s="3"/>
      <c r="WMY75" s="3"/>
      <c r="WMZ75" s="3"/>
      <c r="WNA75" s="3"/>
      <c r="WNB75" s="3"/>
      <c r="WNC75" s="3"/>
      <c r="WND75" s="3"/>
      <c r="WNE75" s="3"/>
      <c r="WNF75" s="3"/>
      <c r="WNG75" s="3"/>
      <c r="WNH75" s="3"/>
      <c r="WNI75" s="3"/>
      <c r="WNJ75" s="3"/>
      <c r="WNK75" s="3"/>
      <c r="WNL75" s="3"/>
      <c r="WNM75" s="3"/>
      <c r="WNN75" s="3"/>
      <c r="WNO75" s="3"/>
      <c r="WNP75" s="3"/>
      <c r="WNQ75" s="3"/>
      <c r="WNR75" s="3"/>
      <c r="WNS75" s="3"/>
      <c r="WNT75" s="3"/>
      <c r="WNU75" s="3"/>
      <c r="WNV75" s="3"/>
      <c r="WNW75" s="3"/>
      <c r="WNX75" s="3"/>
      <c r="WNY75" s="3"/>
      <c r="WNZ75" s="3"/>
      <c r="WOA75" s="3"/>
      <c r="WOB75" s="3"/>
      <c r="WOC75" s="3"/>
      <c r="WOD75" s="3"/>
      <c r="WOE75" s="3"/>
      <c r="WOF75" s="3"/>
      <c r="WOG75" s="3"/>
      <c r="WOH75" s="3"/>
      <c r="WOI75" s="3"/>
      <c r="WOJ75" s="3"/>
      <c r="WOK75" s="3"/>
      <c r="WOL75" s="3"/>
      <c r="WOM75" s="3"/>
      <c r="WON75" s="3"/>
      <c r="WOO75" s="3"/>
      <c r="WOP75" s="3"/>
      <c r="WOQ75" s="3"/>
      <c r="WOR75" s="3"/>
      <c r="WOS75" s="3"/>
      <c r="WOT75" s="3"/>
      <c r="WOU75" s="3"/>
      <c r="WOV75" s="3"/>
      <c r="WOW75" s="3"/>
      <c r="WOX75" s="3"/>
      <c r="WOY75" s="3"/>
      <c r="WOZ75" s="3"/>
      <c r="WPA75" s="3"/>
      <c r="WPB75" s="3"/>
      <c r="WPC75" s="3"/>
      <c r="WPD75" s="3"/>
      <c r="WPE75" s="3"/>
      <c r="WPF75" s="3"/>
      <c r="WPG75" s="3"/>
      <c r="WPH75" s="3"/>
      <c r="WPI75" s="3"/>
      <c r="WPJ75" s="3"/>
      <c r="WPK75" s="3"/>
      <c r="WPL75" s="3"/>
      <c r="WPM75" s="3"/>
      <c r="WPN75" s="3"/>
      <c r="WPO75" s="3"/>
      <c r="WPP75" s="3"/>
      <c r="WPQ75" s="3"/>
      <c r="WPR75" s="3"/>
      <c r="WPS75" s="3"/>
      <c r="WPT75" s="3"/>
      <c r="WPU75" s="3"/>
      <c r="WPV75" s="3"/>
      <c r="WPW75" s="3"/>
      <c r="WPX75" s="3"/>
      <c r="WPY75" s="3"/>
      <c r="WPZ75" s="3"/>
      <c r="WQA75" s="3"/>
      <c r="WQB75" s="3"/>
      <c r="WQC75" s="3"/>
      <c r="WQD75" s="3"/>
      <c r="WQE75" s="3"/>
      <c r="WQF75" s="3"/>
      <c r="WQG75" s="3"/>
      <c r="WQH75" s="3"/>
      <c r="WQI75" s="3"/>
      <c r="WQJ75" s="3"/>
      <c r="WQK75" s="3"/>
      <c r="WQL75" s="3"/>
      <c r="WQM75" s="3"/>
      <c r="WQN75" s="3"/>
      <c r="WQO75" s="3"/>
      <c r="WQP75" s="3"/>
      <c r="WQQ75" s="3"/>
      <c r="WQR75" s="3"/>
      <c r="WQS75" s="3"/>
      <c r="WQT75" s="3"/>
      <c r="WQU75" s="3"/>
      <c r="WQV75" s="3"/>
      <c r="WQW75" s="3"/>
      <c r="WQX75" s="3"/>
      <c r="WQY75" s="3"/>
      <c r="WQZ75" s="3"/>
      <c r="WRA75" s="3"/>
      <c r="WRB75" s="3"/>
      <c r="WRC75" s="3"/>
      <c r="WRD75" s="3"/>
      <c r="WRE75" s="3"/>
      <c r="WRF75" s="3"/>
      <c r="WRG75" s="3"/>
      <c r="WRH75" s="3"/>
      <c r="WRI75" s="3"/>
      <c r="WRJ75" s="3"/>
      <c r="WRK75" s="3"/>
      <c r="WRL75" s="3"/>
      <c r="WRM75" s="3"/>
      <c r="WRN75" s="3"/>
      <c r="WRO75" s="3"/>
      <c r="WRP75" s="3"/>
      <c r="WRQ75" s="3"/>
      <c r="WRR75" s="3"/>
      <c r="WRS75" s="3"/>
      <c r="WRT75" s="3"/>
      <c r="WRU75" s="3"/>
      <c r="WRV75" s="3"/>
      <c r="WRW75" s="3"/>
      <c r="WRX75" s="3"/>
      <c r="WRY75" s="3"/>
      <c r="WRZ75" s="3"/>
      <c r="WSA75" s="3"/>
      <c r="WSB75" s="3"/>
      <c r="WSC75" s="3"/>
      <c r="WSD75" s="3"/>
      <c r="WSE75" s="3"/>
      <c r="WSF75" s="3"/>
      <c r="WSG75" s="3"/>
      <c r="WSH75" s="3"/>
      <c r="WSI75" s="3"/>
      <c r="WSJ75" s="3"/>
      <c r="WSK75" s="3"/>
      <c r="WSL75" s="3"/>
      <c r="WSM75" s="3"/>
      <c r="WSN75" s="3"/>
      <c r="WSO75" s="3"/>
      <c r="WSP75" s="3"/>
      <c r="WSQ75" s="3"/>
      <c r="WSR75" s="3"/>
      <c r="WSS75" s="3"/>
      <c r="WST75" s="3"/>
      <c r="WSU75" s="3"/>
      <c r="WSV75" s="3"/>
      <c r="WSW75" s="3"/>
      <c r="WSX75" s="3"/>
      <c r="WSY75" s="3"/>
      <c r="WSZ75" s="3"/>
      <c r="WTA75" s="3"/>
      <c r="WTB75" s="3"/>
      <c r="WTC75" s="3"/>
      <c r="WTD75" s="3"/>
      <c r="WTE75" s="3"/>
      <c r="WTF75" s="3"/>
      <c r="WTG75" s="3"/>
      <c r="WTH75" s="3"/>
      <c r="WTI75" s="3"/>
      <c r="WTJ75" s="3"/>
      <c r="WTK75" s="3"/>
      <c r="WTL75" s="3"/>
      <c r="WTM75" s="3"/>
      <c r="WTN75" s="3"/>
      <c r="WTO75" s="3"/>
      <c r="WTP75" s="3"/>
      <c r="WTQ75" s="3"/>
      <c r="WTR75" s="3"/>
      <c r="WTS75" s="3"/>
      <c r="WTT75" s="3"/>
      <c r="WTU75" s="3"/>
      <c r="WTV75" s="3"/>
      <c r="WTW75" s="3"/>
      <c r="WTX75" s="3"/>
      <c r="WTY75" s="3"/>
      <c r="WTZ75" s="3"/>
      <c r="WUA75" s="3"/>
      <c r="WUB75" s="3"/>
      <c r="WUC75" s="3"/>
      <c r="WUD75" s="3"/>
      <c r="WUE75" s="3"/>
      <c r="WUF75" s="3"/>
      <c r="WUG75" s="3"/>
      <c r="WUH75" s="3"/>
      <c r="WUI75" s="3"/>
      <c r="WUJ75" s="3"/>
      <c r="WUK75" s="3"/>
      <c r="WUL75" s="3"/>
      <c r="WUM75" s="3"/>
      <c r="WUN75" s="3"/>
      <c r="WUO75" s="3"/>
      <c r="WUP75" s="3"/>
      <c r="WUQ75" s="3"/>
      <c r="WUR75" s="3"/>
      <c r="WUS75" s="3"/>
      <c r="WUT75" s="3"/>
      <c r="WUU75" s="3"/>
      <c r="WUV75" s="3"/>
      <c r="WUW75" s="3"/>
      <c r="WUX75" s="3"/>
      <c r="WUY75" s="3"/>
      <c r="WUZ75" s="3"/>
      <c r="WVA75" s="3"/>
      <c r="WVB75" s="3"/>
      <c r="WVC75" s="3"/>
      <c r="WVD75" s="3"/>
      <c r="WVE75" s="3"/>
      <c r="WVF75" s="3"/>
      <c r="WVG75" s="3"/>
      <c r="WVH75" s="3"/>
      <c r="WVI75" s="3"/>
      <c r="WVJ75" s="3"/>
      <c r="WVK75" s="3"/>
      <c r="WVL75" s="3"/>
      <c r="WVM75" s="3"/>
      <c r="WVN75" s="3"/>
      <c r="WVO75" s="3"/>
      <c r="WVP75" s="3"/>
      <c r="WVQ75" s="3"/>
      <c r="WVR75" s="3"/>
      <c r="WVS75" s="3"/>
      <c r="WVT75" s="3"/>
      <c r="WVU75" s="3"/>
      <c r="WVV75" s="3"/>
      <c r="WVW75" s="3"/>
      <c r="WVX75" s="3"/>
      <c r="WVY75" s="3"/>
      <c r="WVZ75" s="3"/>
      <c r="WWA75" s="3"/>
      <c r="WWB75" s="3"/>
      <c r="WWC75" s="3"/>
      <c r="WWD75" s="3"/>
      <c r="WWE75" s="3"/>
      <c r="WWF75" s="3"/>
      <c r="WWG75" s="3"/>
      <c r="WWH75" s="3"/>
      <c r="WWI75" s="3"/>
      <c r="WWJ75" s="3"/>
      <c r="WWK75" s="3"/>
      <c r="WWL75" s="3"/>
      <c r="WWM75" s="3"/>
      <c r="WWN75" s="3"/>
      <c r="WWO75" s="3"/>
      <c r="WWP75" s="3"/>
      <c r="WWQ75" s="3"/>
      <c r="WWR75" s="3"/>
      <c r="WWS75" s="3"/>
      <c r="WWT75" s="3"/>
      <c r="WWU75" s="3"/>
      <c r="WWV75" s="3"/>
      <c r="WWW75" s="3"/>
      <c r="WWX75" s="3"/>
      <c r="WWY75" s="3"/>
      <c r="WWZ75" s="3"/>
      <c r="WXA75" s="3"/>
      <c r="WXB75" s="3"/>
      <c r="WXC75" s="3"/>
      <c r="WXD75" s="3"/>
      <c r="WXE75" s="3"/>
      <c r="WXF75" s="3"/>
      <c r="WXG75" s="3"/>
      <c r="WXH75" s="3"/>
      <c r="WXI75" s="3"/>
      <c r="WXJ75" s="3"/>
      <c r="WXK75" s="3"/>
      <c r="WXL75" s="3"/>
      <c r="WXM75" s="3"/>
      <c r="WXN75" s="3"/>
      <c r="WXO75" s="3"/>
      <c r="WXP75" s="3"/>
      <c r="WXQ75" s="3"/>
      <c r="WXR75" s="3"/>
      <c r="WXS75" s="3"/>
      <c r="WXT75" s="3"/>
      <c r="WXU75" s="3"/>
      <c r="WXV75" s="3"/>
      <c r="WXW75" s="3"/>
      <c r="WXX75" s="3"/>
      <c r="WXY75" s="3"/>
      <c r="WXZ75" s="3"/>
      <c r="WYA75" s="3"/>
      <c r="WYB75" s="3"/>
      <c r="WYC75" s="3"/>
      <c r="WYD75" s="3"/>
      <c r="WYE75" s="3"/>
      <c r="WYF75" s="3"/>
      <c r="WYG75" s="3"/>
      <c r="WYH75" s="3"/>
      <c r="WYI75" s="3"/>
      <c r="WYJ75" s="3"/>
      <c r="WYK75" s="3"/>
      <c r="WYL75" s="3"/>
      <c r="WYM75" s="3"/>
      <c r="WYN75" s="3"/>
      <c r="WYO75" s="3"/>
      <c r="WYP75" s="3"/>
      <c r="WYQ75" s="3"/>
      <c r="WYR75" s="3"/>
      <c r="WYS75" s="3"/>
      <c r="WYT75" s="3"/>
      <c r="WYU75" s="3"/>
      <c r="WYV75" s="3"/>
      <c r="WYW75" s="3"/>
      <c r="WYX75" s="3"/>
      <c r="WYY75" s="3"/>
      <c r="WYZ75" s="3"/>
      <c r="WZA75" s="3"/>
      <c r="WZB75" s="3"/>
      <c r="WZC75" s="3"/>
      <c r="WZD75" s="3"/>
      <c r="WZE75" s="3"/>
      <c r="WZF75" s="3"/>
      <c r="WZG75" s="3"/>
      <c r="WZH75" s="3"/>
      <c r="WZI75" s="3"/>
      <c r="WZJ75" s="3"/>
      <c r="WZK75" s="3"/>
      <c r="WZL75" s="3"/>
      <c r="WZM75" s="3"/>
      <c r="WZN75" s="3"/>
      <c r="WZO75" s="3"/>
      <c r="WZP75" s="3"/>
      <c r="WZQ75" s="3"/>
      <c r="WZR75" s="3"/>
      <c r="WZS75" s="3"/>
      <c r="WZT75" s="3"/>
      <c r="WZU75" s="3"/>
      <c r="WZV75" s="3"/>
      <c r="WZW75" s="3"/>
      <c r="WZX75" s="3"/>
      <c r="WZY75" s="3"/>
      <c r="WZZ75" s="3"/>
      <c r="XAA75" s="3"/>
      <c r="XAB75" s="3"/>
      <c r="XAC75" s="3"/>
      <c r="XAD75" s="3"/>
      <c r="XAE75" s="3"/>
      <c r="XAF75" s="3"/>
      <c r="XAG75" s="3"/>
      <c r="XAH75" s="3"/>
      <c r="XAI75" s="3"/>
      <c r="XAJ75" s="3"/>
      <c r="XAK75" s="3"/>
      <c r="XAL75" s="3"/>
      <c r="XAM75" s="3"/>
      <c r="XAN75" s="3"/>
      <c r="XAO75" s="3"/>
      <c r="XAP75" s="3"/>
      <c r="XAQ75" s="3"/>
      <c r="XAR75" s="3"/>
      <c r="XAS75" s="3"/>
      <c r="XAT75" s="3"/>
      <c r="XAU75" s="3"/>
      <c r="XAV75" s="3"/>
      <c r="XAW75" s="3"/>
      <c r="XAX75" s="3"/>
      <c r="XAY75" s="3"/>
      <c r="XAZ75" s="3"/>
      <c r="XBA75" s="3"/>
      <c r="XBB75" s="3"/>
      <c r="XBC75" s="3"/>
      <c r="XBD75" s="3"/>
      <c r="XBE75" s="3"/>
      <c r="XBF75" s="3"/>
      <c r="XBG75" s="3"/>
      <c r="XBH75" s="3"/>
      <c r="XBI75" s="3"/>
      <c r="XBJ75" s="3"/>
      <c r="XBK75" s="3"/>
      <c r="XBL75" s="3"/>
      <c r="XBM75" s="3"/>
      <c r="XBN75" s="3"/>
      <c r="XBO75" s="3"/>
      <c r="XBP75" s="3"/>
      <c r="XBQ75" s="3"/>
      <c r="XBR75" s="3"/>
      <c r="XBS75" s="3"/>
      <c r="XBT75" s="3"/>
      <c r="XBU75" s="3"/>
      <c r="XBV75" s="3"/>
      <c r="XBW75" s="3"/>
      <c r="XBX75" s="3"/>
      <c r="XBY75" s="3"/>
      <c r="XBZ75" s="3"/>
      <c r="XCA75" s="3"/>
      <c r="XCB75" s="3"/>
      <c r="XCC75" s="3"/>
      <c r="XCD75" s="3"/>
      <c r="XCE75" s="3"/>
      <c r="XCF75" s="3"/>
      <c r="XCG75" s="3"/>
      <c r="XCH75" s="3"/>
      <c r="XCI75" s="3"/>
      <c r="XCJ75" s="3"/>
      <c r="XCK75" s="3"/>
      <c r="XCL75" s="3"/>
      <c r="XCM75" s="3"/>
      <c r="XCN75" s="3"/>
      <c r="XCO75" s="3"/>
      <c r="XCP75" s="3"/>
      <c r="XCQ75" s="3"/>
      <c r="XCR75" s="3"/>
      <c r="XCS75" s="3"/>
      <c r="XCT75" s="3"/>
      <c r="XCU75" s="3"/>
      <c r="XCV75" s="3"/>
      <c r="XCW75" s="3"/>
      <c r="XCX75" s="3"/>
      <c r="XCY75" s="3"/>
      <c r="XCZ75" s="3"/>
      <c r="XDA75" s="3"/>
      <c r="XDB75" s="3"/>
      <c r="XDC75" s="3"/>
      <c r="XDD75" s="3"/>
      <c r="XDE75" s="3"/>
      <c r="XDF75" s="3"/>
      <c r="XDG75" s="3"/>
      <c r="XDH75" s="3"/>
      <c r="XDI75" s="3"/>
      <c r="XDJ75" s="3"/>
      <c r="XDK75" s="3"/>
      <c r="XDL75" s="3"/>
      <c r="XDM75" s="3"/>
      <c r="XDN75" s="3"/>
      <c r="XDO75" s="3"/>
      <c r="XDP75" s="3"/>
      <c r="XDQ75" s="3"/>
      <c r="XDR75" s="3"/>
      <c r="XDS75" s="3"/>
      <c r="XDT75" s="3"/>
      <c r="XDU75" s="3"/>
      <c r="XDV75" s="3"/>
      <c r="XDW75" s="3"/>
      <c r="XDX75" s="3"/>
      <c r="XDY75" s="3"/>
      <c r="XDZ75" s="3"/>
      <c r="XEA75" s="3"/>
      <c r="XEB75" s="3"/>
      <c r="XEC75" s="3"/>
      <c r="XED75" s="3"/>
      <c r="XEE75" s="3"/>
      <c r="XEF75" s="3"/>
      <c r="XEG75" s="3"/>
      <c r="XEH75" s="3"/>
      <c r="XEI75" s="3"/>
      <c r="XEJ75" s="3"/>
      <c r="XEK75" s="3"/>
      <c r="XEL75" s="3"/>
      <c r="XEM75" s="3"/>
      <c r="XEN75" s="3"/>
      <c r="XEO75" s="3"/>
      <c r="XEP75" s="3"/>
      <c r="XEQ75" s="3"/>
      <c r="XER75" s="3"/>
      <c r="XES75" s="3"/>
      <c r="XET75" s="3"/>
      <c r="XEU75" s="3"/>
      <c r="XEV75" s="3"/>
    </row>
    <row r="76" spans="1:16376">
      <c r="A76" s="8">
        <v>2940</v>
      </c>
      <c r="B76" t="s">
        <v>81</v>
      </c>
      <c r="C76" s="19">
        <v>752542.55</v>
      </c>
      <c r="D76" s="20">
        <v>6459590.3799999999</v>
      </c>
      <c r="E76" s="18">
        <v>514823.88</v>
      </c>
      <c r="F76" s="23">
        <v>5925406.0899999999</v>
      </c>
      <c r="G76" t="s">
        <v>307</v>
      </c>
      <c r="H76" t="s">
        <v>309</v>
      </c>
      <c r="K76" t="str">
        <f>"Eastern Greene Schools            "</f>
        <v xml:space="preserve">Eastern Greene Schools            </v>
      </c>
      <c r="L76" t="str">
        <f>"2940"</f>
        <v>2940</v>
      </c>
      <c r="M76">
        <v>27</v>
      </c>
      <c r="N76">
        <v>1411</v>
      </c>
      <c r="O76">
        <f t="shared" si="1"/>
        <v>1384</v>
      </c>
    </row>
    <row r="77" spans="1:16376">
      <c r="A77" s="8">
        <v>2950</v>
      </c>
      <c r="B77" t="s">
        <v>82</v>
      </c>
      <c r="C77" s="19">
        <v>1094353.94</v>
      </c>
      <c r="D77" s="20">
        <v>6484203.9399999995</v>
      </c>
      <c r="E77" s="18">
        <v>592774.94999999995</v>
      </c>
      <c r="F77" s="23">
        <v>1528</v>
      </c>
      <c r="G77" t="s">
        <v>307</v>
      </c>
      <c r="H77" t="s">
        <v>309</v>
      </c>
      <c r="K77" t="str">
        <f>"Linton-Stockton School Corp       "</f>
        <v xml:space="preserve">Linton-Stockton School Corp       </v>
      </c>
      <c r="L77" t="str">
        <f>"2950"</f>
        <v>2950</v>
      </c>
      <c r="M77">
        <v>11</v>
      </c>
      <c r="N77">
        <v>1346</v>
      </c>
      <c r="O77">
        <f t="shared" si="1"/>
        <v>1335</v>
      </c>
    </row>
    <row r="78" spans="1:16376">
      <c r="A78" s="8">
        <v>2960</v>
      </c>
      <c r="B78" t="s">
        <v>83</v>
      </c>
      <c r="C78" s="19">
        <v>628798.09</v>
      </c>
      <c r="D78" s="20">
        <v>4859978.82</v>
      </c>
      <c r="E78" s="18">
        <v>695948.3600000001</v>
      </c>
      <c r="F78" s="23">
        <v>12821.640000000001</v>
      </c>
      <c r="G78" t="s">
        <v>307</v>
      </c>
      <c r="H78" t="s">
        <v>309</v>
      </c>
      <c r="K78" t="str">
        <f>"M S D Shakamak Schools            "</f>
        <v xml:space="preserve">M S D Shakamak Schools            </v>
      </c>
      <c r="L78" t="str">
        <f>"2960"</f>
        <v>2960</v>
      </c>
      <c r="M78">
        <v>13</v>
      </c>
      <c r="N78">
        <v>929</v>
      </c>
      <c r="O78">
        <f t="shared" si="1"/>
        <v>916</v>
      </c>
    </row>
    <row r="79" spans="1:16376">
      <c r="A79" s="8">
        <v>2980</v>
      </c>
      <c r="B79" t="s">
        <v>84</v>
      </c>
      <c r="C79" s="19">
        <v>1594558.76</v>
      </c>
      <c r="D79" s="20">
        <v>3729675.53</v>
      </c>
      <c r="E79" s="18">
        <v>746249.3600000001</v>
      </c>
      <c r="F79" s="23">
        <v>929895.84</v>
      </c>
      <c r="G79" t="s">
        <v>307</v>
      </c>
      <c r="H79" t="s">
        <v>309</v>
      </c>
      <c r="K79" t="str">
        <f>"White River Valley Sch Dist       "</f>
        <v xml:space="preserve">White River Valley Sch Dist       </v>
      </c>
      <c r="L79" t="str">
        <f>"2980"</f>
        <v>2980</v>
      </c>
      <c r="M79">
        <v>0</v>
      </c>
      <c r="N79">
        <v>885</v>
      </c>
      <c r="O79">
        <f t="shared" si="1"/>
        <v>885</v>
      </c>
    </row>
    <row r="80" spans="1:16376">
      <c r="A80" s="8">
        <v>3005</v>
      </c>
      <c r="B80" t="s">
        <v>85</v>
      </c>
      <c r="C80" s="19">
        <v>34772388.019999996</v>
      </c>
      <c r="D80" s="20">
        <v>36500138.799999997</v>
      </c>
      <c r="E80" s="18">
        <v>1951828.33</v>
      </c>
      <c r="F80" s="23">
        <v>657624.16999999993</v>
      </c>
      <c r="G80" t="s">
        <v>307</v>
      </c>
      <c r="H80" t="s">
        <v>309</v>
      </c>
      <c r="K80" t="str">
        <f>"Hamilton Southeastern Schools     "</f>
        <v xml:space="preserve">Hamilton Southeastern Schools     </v>
      </c>
      <c r="L80" t="str">
        <f>"3005"</f>
        <v>3005</v>
      </c>
      <c r="M80">
        <v>0</v>
      </c>
      <c r="N80">
        <v>15315</v>
      </c>
      <c r="O80">
        <f t="shared" si="1"/>
        <v>15315</v>
      </c>
    </row>
    <row r="81" spans="1:15">
      <c r="A81" s="8">
        <v>3025</v>
      </c>
      <c r="B81" t="s">
        <v>86</v>
      </c>
      <c r="C81" s="19">
        <v>4288354.0600000005</v>
      </c>
      <c r="D81" s="20">
        <v>8405204.6500000004</v>
      </c>
      <c r="E81" s="18">
        <v>471785.1</v>
      </c>
      <c r="F81" s="23">
        <v>694700.33000000007</v>
      </c>
      <c r="G81" t="s">
        <v>307</v>
      </c>
      <c r="H81" t="s">
        <v>309</v>
      </c>
      <c r="K81" t="str">
        <f>"Hamilton Heights School Corp      "</f>
        <v xml:space="preserve">Hamilton Heights School Corp      </v>
      </c>
      <c r="L81" t="str">
        <f>"3025"</f>
        <v>3025</v>
      </c>
      <c r="M81">
        <v>12</v>
      </c>
      <c r="N81">
        <v>2224</v>
      </c>
      <c r="O81">
        <f t="shared" si="1"/>
        <v>2212</v>
      </c>
    </row>
    <row r="82" spans="1:15">
      <c r="A82" s="8">
        <v>3030</v>
      </c>
      <c r="B82" t="s">
        <v>87</v>
      </c>
      <c r="C82" s="19">
        <v>11923517.169999998</v>
      </c>
      <c r="D82" s="20">
        <v>14468633.629999999</v>
      </c>
      <c r="E82" s="18">
        <v>775173.82000000007</v>
      </c>
      <c r="F82" s="23">
        <v>558538.71</v>
      </c>
      <c r="G82" t="s">
        <v>307</v>
      </c>
      <c r="H82" t="s">
        <v>309</v>
      </c>
      <c r="K82" t="str">
        <f>"Westfield-Washington Schools      "</f>
        <v xml:space="preserve">Westfield-Washington Schools      </v>
      </c>
      <c r="L82" t="str">
        <f>"3030"</f>
        <v>3030</v>
      </c>
      <c r="M82">
        <v>52</v>
      </c>
      <c r="N82">
        <v>5428</v>
      </c>
      <c r="O82">
        <f t="shared" si="1"/>
        <v>5376</v>
      </c>
    </row>
    <row r="83" spans="1:15">
      <c r="A83" s="8">
        <v>3055</v>
      </c>
      <c r="B83" t="s">
        <v>88</v>
      </c>
      <c r="C83" s="19">
        <v>1404608.11</v>
      </c>
      <c r="D83" s="20">
        <v>4561317.5999999996</v>
      </c>
      <c r="E83" s="18">
        <v>272875.77</v>
      </c>
      <c r="F83" s="23">
        <v>76963.12</v>
      </c>
      <c r="G83" t="s">
        <v>307</v>
      </c>
      <c r="H83" t="s">
        <v>309</v>
      </c>
      <c r="K83" t="str">
        <f>"Sheridan Community Schools        "</f>
        <v xml:space="preserve">Sheridan Community Schools        </v>
      </c>
      <c r="L83" t="str">
        <f>"3055"</f>
        <v>3055</v>
      </c>
      <c r="M83">
        <v>9</v>
      </c>
      <c r="N83">
        <v>1203</v>
      </c>
      <c r="O83">
        <f t="shared" si="1"/>
        <v>1194</v>
      </c>
    </row>
    <row r="84" spans="1:15">
      <c r="A84" s="8">
        <v>3060</v>
      </c>
      <c r="B84" t="s">
        <v>89</v>
      </c>
      <c r="C84" s="19">
        <v>40047132.799999997</v>
      </c>
      <c r="D84" s="20">
        <v>21570121.200000003</v>
      </c>
      <c r="E84" s="18">
        <v>10250454.140000001</v>
      </c>
      <c r="F84" s="23">
        <v>14722693.130000001</v>
      </c>
      <c r="G84" t="s">
        <v>307</v>
      </c>
      <c r="H84" t="s">
        <v>309</v>
      </c>
      <c r="K84" t="str">
        <f>"Carmel Clay Schools               "</f>
        <v xml:space="preserve">Carmel Clay Schools               </v>
      </c>
      <c r="L84" t="str">
        <f>"3060"</f>
        <v>3060</v>
      </c>
      <c r="M84">
        <v>114</v>
      </c>
      <c r="N84">
        <v>14680</v>
      </c>
      <c r="O84">
        <f t="shared" si="1"/>
        <v>14566</v>
      </c>
    </row>
    <row r="85" spans="1:15">
      <c r="A85" s="8">
        <v>3070</v>
      </c>
      <c r="B85" t="s">
        <v>90</v>
      </c>
      <c r="C85" s="19">
        <v>13925959.050000001</v>
      </c>
      <c r="D85" s="20">
        <v>24876878.399999999</v>
      </c>
      <c r="E85" s="18">
        <v>1388980.12</v>
      </c>
      <c r="F85" s="23">
        <v>1098492.8500000001</v>
      </c>
      <c r="G85" t="s">
        <v>307</v>
      </c>
      <c r="H85" t="s">
        <v>309</v>
      </c>
      <c r="K85" t="str">
        <f>"Noblesville Schools               "</f>
        <v xml:space="preserve">Noblesville Schools               </v>
      </c>
      <c r="L85" t="str">
        <f>"3070"</f>
        <v>3070</v>
      </c>
      <c r="M85">
        <v>65</v>
      </c>
      <c r="N85">
        <v>8334</v>
      </c>
      <c r="O85">
        <f t="shared" si="1"/>
        <v>8269</v>
      </c>
    </row>
    <row r="86" spans="1:15">
      <c r="A86" s="8">
        <v>3115</v>
      </c>
      <c r="B86" t="s">
        <v>91</v>
      </c>
      <c r="C86" s="19">
        <v>4384540.29</v>
      </c>
      <c r="D86" s="20">
        <v>11293010.300000001</v>
      </c>
      <c r="E86" s="18">
        <v>414463.54000000004</v>
      </c>
      <c r="F86" s="23">
        <v>106062.49</v>
      </c>
      <c r="G86" t="s">
        <v>307</v>
      </c>
      <c r="H86" t="s">
        <v>309</v>
      </c>
      <c r="K86" t="str">
        <f>"Southern Hancock Co Com Sch Corp  "</f>
        <v xml:space="preserve">Southern Hancock Co Com Sch Corp  </v>
      </c>
      <c r="L86" t="str">
        <f>"3115"</f>
        <v>3115</v>
      </c>
      <c r="M86">
        <v>58</v>
      </c>
      <c r="N86">
        <v>3385</v>
      </c>
      <c r="O86">
        <f t="shared" si="1"/>
        <v>3327</v>
      </c>
    </row>
    <row r="87" spans="1:15">
      <c r="A87" s="8">
        <v>3125</v>
      </c>
      <c r="B87" t="s">
        <v>92</v>
      </c>
      <c r="C87" s="19">
        <v>5880452.9900000002</v>
      </c>
      <c r="D87" s="20">
        <v>14262374.199999999</v>
      </c>
      <c r="E87" s="18">
        <v>4437009.29</v>
      </c>
      <c r="F87" s="23">
        <v>7681503.4800000004</v>
      </c>
      <c r="G87" t="s">
        <v>307</v>
      </c>
      <c r="H87" t="s">
        <v>309</v>
      </c>
      <c r="K87" t="str">
        <f>"Greenfield-Central Com Schools    "</f>
        <v xml:space="preserve">Greenfield-Central Com Schools    </v>
      </c>
      <c r="L87" t="str">
        <f>"3125"</f>
        <v>3125</v>
      </c>
      <c r="M87">
        <v>108</v>
      </c>
      <c r="N87">
        <v>4655</v>
      </c>
      <c r="O87">
        <f t="shared" si="1"/>
        <v>4547</v>
      </c>
    </row>
    <row r="88" spans="1:15">
      <c r="A88" s="8">
        <v>3135</v>
      </c>
      <c r="B88" t="s">
        <v>93</v>
      </c>
      <c r="C88" s="19">
        <v>5183565.6500000004</v>
      </c>
      <c r="D88" s="20">
        <v>10271856.75</v>
      </c>
      <c r="E88" s="18">
        <v>382938.5</v>
      </c>
      <c r="F88" s="23">
        <v>69742</v>
      </c>
      <c r="G88" t="s">
        <v>307</v>
      </c>
      <c r="H88" t="s">
        <v>309</v>
      </c>
      <c r="K88" t="str">
        <f>"Mt Vernon Community Sch Corp      "</f>
        <v xml:space="preserve">Mt Vernon Community Sch Corp      </v>
      </c>
      <c r="L88" t="str">
        <f>"3135"</f>
        <v>3135</v>
      </c>
      <c r="M88">
        <v>16</v>
      </c>
      <c r="N88">
        <v>3483</v>
      </c>
      <c r="O88">
        <f t="shared" si="1"/>
        <v>3467</v>
      </c>
    </row>
    <row r="89" spans="1:15">
      <c r="A89" s="8">
        <v>3145</v>
      </c>
      <c r="B89" t="s">
        <v>94</v>
      </c>
      <c r="C89" s="19">
        <v>1301549.77</v>
      </c>
      <c r="D89" s="20">
        <v>4342300.87</v>
      </c>
      <c r="E89" s="18">
        <v>118537.44</v>
      </c>
      <c r="F89" s="23">
        <v>924318.63</v>
      </c>
      <c r="G89" t="s">
        <v>307</v>
      </c>
      <c r="H89" t="s">
        <v>309</v>
      </c>
      <c r="K89" t="str">
        <f>"Eastern Hancock Co Com Sch Corp   "</f>
        <v xml:space="preserve">Eastern Hancock Co Com Sch Corp   </v>
      </c>
      <c r="L89" t="str">
        <f>"3145"</f>
        <v>3145</v>
      </c>
      <c r="M89">
        <v>11</v>
      </c>
      <c r="N89">
        <v>1116</v>
      </c>
      <c r="O89">
        <f t="shared" si="1"/>
        <v>1105</v>
      </c>
    </row>
    <row r="90" spans="1:15">
      <c r="A90" s="8">
        <v>3160</v>
      </c>
      <c r="B90" t="s">
        <v>95</v>
      </c>
      <c r="C90" s="19">
        <v>776254.3600000001</v>
      </c>
      <c r="D90" s="20">
        <v>2184348.92</v>
      </c>
      <c r="E90" s="18">
        <v>66156.429999999993</v>
      </c>
      <c r="F90" s="23">
        <v>41116.54</v>
      </c>
      <c r="G90" t="s">
        <v>307</v>
      </c>
      <c r="H90" t="s">
        <v>309</v>
      </c>
      <c r="K90" t="str">
        <f>"Lanesville Community School Corp  "</f>
        <v xml:space="preserve">Lanesville Community School Corp  </v>
      </c>
      <c r="L90" t="str">
        <f>"3160"</f>
        <v>3160</v>
      </c>
      <c r="M90">
        <v>0</v>
      </c>
      <c r="N90">
        <v>647</v>
      </c>
      <c r="O90">
        <f t="shared" si="1"/>
        <v>647</v>
      </c>
    </row>
    <row r="91" spans="1:15">
      <c r="A91" s="8">
        <v>3180</v>
      </c>
      <c r="B91" t="s">
        <v>96</v>
      </c>
      <c r="C91" s="19">
        <v>1983745.7</v>
      </c>
      <c r="D91" s="20">
        <v>10490805.100000001</v>
      </c>
      <c r="E91" s="18">
        <v>807779.89</v>
      </c>
      <c r="F91" s="23">
        <v>945963.14000000013</v>
      </c>
      <c r="G91" t="s">
        <v>307</v>
      </c>
      <c r="H91" t="s">
        <v>309</v>
      </c>
      <c r="K91" t="str">
        <f>"North Harrison Com School Corp    "</f>
        <v xml:space="preserve">North Harrison Com School Corp    </v>
      </c>
      <c r="L91" t="str">
        <f>"3180"</f>
        <v>3180</v>
      </c>
      <c r="M91">
        <v>0</v>
      </c>
      <c r="N91">
        <v>2280</v>
      </c>
      <c r="O91">
        <f t="shared" si="1"/>
        <v>2280</v>
      </c>
    </row>
    <row r="92" spans="1:15">
      <c r="A92" s="8">
        <v>3190</v>
      </c>
      <c r="B92" t="s">
        <v>97</v>
      </c>
      <c r="C92" s="19">
        <v>4193155.26</v>
      </c>
      <c r="D92" s="20">
        <v>11404271.649999999</v>
      </c>
      <c r="E92" s="18">
        <v>2485471.25</v>
      </c>
      <c r="F92" s="23">
        <v>3736506.96</v>
      </c>
      <c r="G92" t="s">
        <v>307</v>
      </c>
      <c r="H92" t="s">
        <v>309</v>
      </c>
      <c r="K92" t="str">
        <f>"South Harrison Com Schools        "</f>
        <v xml:space="preserve">South Harrison Com Schools        </v>
      </c>
      <c r="L92" t="str">
        <f>"3190"</f>
        <v>3190</v>
      </c>
      <c r="M92">
        <v>32</v>
      </c>
      <c r="N92">
        <v>3212</v>
      </c>
      <c r="O92">
        <f t="shared" si="1"/>
        <v>3180</v>
      </c>
    </row>
    <row r="93" spans="1:15">
      <c r="A93" s="8">
        <v>3295</v>
      </c>
      <c r="B93" t="s">
        <v>98</v>
      </c>
      <c r="C93" s="19">
        <v>4020356.1799999997</v>
      </c>
      <c r="D93" s="20">
        <v>5610973.6299999999</v>
      </c>
      <c r="E93" s="18">
        <v>542188.67000000004</v>
      </c>
      <c r="F93" s="23">
        <v>63229.53</v>
      </c>
      <c r="G93" t="s">
        <v>307</v>
      </c>
      <c r="H93" t="s">
        <v>309</v>
      </c>
      <c r="K93" t="str">
        <f>"North West Hendricks Schools      "</f>
        <v xml:space="preserve">North West Hendricks Schools      </v>
      </c>
      <c r="L93" t="str">
        <f>"3295"</f>
        <v>3295</v>
      </c>
      <c r="M93">
        <v>0</v>
      </c>
      <c r="N93">
        <v>1775</v>
      </c>
      <c r="O93">
        <f t="shared" si="1"/>
        <v>1775</v>
      </c>
    </row>
    <row r="94" spans="1:15">
      <c r="A94" s="8">
        <v>3305</v>
      </c>
      <c r="B94" t="s">
        <v>99</v>
      </c>
      <c r="C94" s="19">
        <v>16230725.85</v>
      </c>
      <c r="D94" s="20">
        <v>23335212.299999997</v>
      </c>
      <c r="E94" s="18">
        <v>1672959.3900000001</v>
      </c>
      <c r="F94" s="23">
        <v>3038480.9</v>
      </c>
      <c r="G94" t="s">
        <v>307</v>
      </c>
      <c r="H94" t="s">
        <v>309</v>
      </c>
      <c r="K94" t="str">
        <f>"Brownsburg Community Sch Corp     "</f>
        <v xml:space="preserve">Brownsburg Community Sch Corp     </v>
      </c>
      <c r="L94" t="str">
        <f>"3305"</f>
        <v>3305</v>
      </c>
      <c r="M94">
        <v>40</v>
      </c>
      <c r="N94">
        <v>6959</v>
      </c>
      <c r="O94">
        <f t="shared" si="1"/>
        <v>6919</v>
      </c>
    </row>
    <row r="95" spans="1:15">
      <c r="A95" s="8">
        <v>3315</v>
      </c>
      <c r="B95" t="s">
        <v>100</v>
      </c>
      <c r="C95" s="19">
        <v>18386989.870000001</v>
      </c>
      <c r="D95" s="20">
        <v>25183044.800000001</v>
      </c>
      <c r="E95" s="18">
        <v>2047426.29</v>
      </c>
      <c r="F95" s="23">
        <v>170213.61</v>
      </c>
      <c r="G95" t="s">
        <v>307</v>
      </c>
      <c r="H95" t="s">
        <v>309</v>
      </c>
      <c r="K95" t="str">
        <f>"Avon Community School Corp        "</f>
        <v xml:space="preserve">Avon Community School Corp        </v>
      </c>
      <c r="L95" t="str">
        <f>"3315"</f>
        <v>3315</v>
      </c>
      <c r="M95">
        <v>52</v>
      </c>
      <c r="N95">
        <v>7785</v>
      </c>
      <c r="O95">
        <f t="shared" si="1"/>
        <v>7733</v>
      </c>
    </row>
    <row r="96" spans="1:15">
      <c r="A96" s="8">
        <v>3325</v>
      </c>
      <c r="B96" t="s">
        <v>101</v>
      </c>
      <c r="C96" s="19">
        <v>4866728.3100000005</v>
      </c>
      <c r="D96" s="20">
        <v>8928533.1099999994</v>
      </c>
      <c r="E96" s="18">
        <v>562904.19999999995</v>
      </c>
      <c r="F96" s="23">
        <v>1459835.53</v>
      </c>
      <c r="G96" t="s">
        <v>307</v>
      </c>
      <c r="H96" t="s">
        <v>309</v>
      </c>
      <c r="K96" t="str">
        <f>"Danville Community School Corp    "</f>
        <v xml:space="preserve">Danville Community School Corp    </v>
      </c>
      <c r="L96" t="str">
        <f>"3325"</f>
        <v>3325</v>
      </c>
      <c r="M96">
        <v>24</v>
      </c>
      <c r="N96">
        <v>2567</v>
      </c>
      <c r="O96">
        <f t="shared" si="1"/>
        <v>2543</v>
      </c>
    </row>
    <row r="97" spans="1:16376">
      <c r="A97" s="8">
        <v>3330</v>
      </c>
      <c r="B97" t="s">
        <v>102</v>
      </c>
      <c r="C97" s="19">
        <v>9768599.4800000004</v>
      </c>
      <c r="D97" s="20">
        <v>13092986.07</v>
      </c>
      <c r="E97" s="18">
        <v>1167093.81</v>
      </c>
      <c r="F97" s="23">
        <v>1482922.56</v>
      </c>
      <c r="G97" t="s">
        <v>307</v>
      </c>
      <c r="H97" t="s">
        <v>309</v>
      </c>
      <c r="K97" t="str">
        <f>"Plainfield Community Sch Corp     "</f>
        <v xml:space="preserve">Plainfield Community Sch Corp     </v>
      </c>
      <c r="L97" t="str">
        <f>"3330"</f>
        <v>3330</v>
      </c>
      <c r="M97">
        <v>24</v>
      </c>
      <c r="N97">
        <v>4281</v>
      </c>
      <c r="O97">
        <f t="shared" si="1"/>
        <v>4257</v>
      </c>
    </row>
    <row r="98" spans="1:16376">
      <c r="A98" s="8">
        <v>3335</v>
      </c>
      <c r="B98" t="s">
        <v>103</v>
      </c>
      <c r="C98" s="19">
        <v>3194758.9299999997</v>
      </c>
      <c r="D98" s="20">
        <v>6130361.6699999999</v>
      </c>
      <c r="E98" s="18">
        <v>244771.74</v>
      </c>
      <c r="F98" s="23">
        <v>1939189.1</v>
      </c>
      <c r="G98" t="s">
        <v>307</v>
      </c>
      <c r="H98" t="s">
        <v>309</v>
      </c>
      <c r="K98" t="str">
        <f>"Mill Creek Community Sch Corp     "</f>
        <v xml:space="preserve">Mill Creek Community Sch Corp     </v>
      </c>
      <c r="L98" t="str">
        <f>"3335"</f>
        <v>3335</v>
      </c>
      <c r="M98">
        <v>18</v>
      </c>
      <c r="N98">
        <v>1683</v>
      </c>
      <c r="O98">
        <f t="shared" si="1"/>
        <v>1665</v>
      </c>
    </row>
    <row r="99" spans="1:16376">
      <c r="A99" s="8">
        <v>3405</v>
      </c>
      <c r="B99" t="s">
        <v>104</v>
      </c>
      <c r="C99" s="19">
        <v>1413125.76</v>
      </c>
      <c r="D99" s="20">
        <v>3255044.8899999997</v>
      </c>
      <c r="E99" s="18">
        <v>321467.55</v>
      </c>
      <c r="F99" s="23">
        <v>23009.11</v>
      </c>
      <c r="G99" t="s">
        <v>307</v>
      </c>
      <c r="H99" t="s">
        <v>309</v>
      </c>
      <c r="K99" t="str">
        <f>"Blue River Valley Schools         "</f>
        <v xml:space="preserve">Blue River Valley Schools         </v>
      </c>
      <c r="L99" t="str">
        <f>"3405"</f>
        <v>3405</v>
      </c>
      <c r="M99">
        <v>0</v>
      </c>
      <c r="N99">
        <v>815</v>
      </c>
      <c r="O99">
        <f t="shared" si="1"/>
        <v>815</v>
      </c>
    </row>
    <row r="100" spans="1:16376">
      <c r="A100" s="10">
        <v>3415</v>
      </c>
      <c r="B100" s="4" t="s">
        <v>105</v>
      </c>
      <c r="C100" s="19">
        <v>1471667.45</v>
      </c>
      <c r="D100" s="20">
        <v>3504732.33</v>
      </c>
      <c r="E100" s="18">
        <v>182830.06</v>
      </c>
      <c r="F100" s="23">
        <v>1227217.6700000002</v>
      </c>
      <c r="G100" t="s">
        <v>307</v>
      </c>
      <c r="H100" t="s">
        <v>309</v>
      </c>
      <c r="K100" t="str">
        <f>"South Henry School Corp           "</f>
        <v xml:space="preserve">South Henry School Corp           </v>
      </c>
      <c r="L100" t="str">
        <f>"3415"</f>
        <v>3415</v>
      </c>
      <c r="M100">
        <v>0</v>
      </c>
      <c r="N100">
        <v>828</v>
      </c>
      <c r="O100">
        <f t="shared" si="1"/>
        <v>828</v>
      </c>
    </row>
    <row r="101" spans="1:16376">
      <c r="A101" s="8">
        <v>3435</v>
      </c>
      <c r="B101" t="s">
        <v>106</v>
      </c>
      <c r="C101" s="19">
        <v>2026736.75</v>
      </c>
      <c r="D101" s="20">
        <v>5969802.5</v>
      </c>
      <c r="E101" s="18">
        <v>252739.88999999998</v>
      </c>
      <c r="F101" s="23">
        <v>300102.59000000003</v>
      </c>
      <c r="G101" t="s">
        <v>307</v>
      </c>
      <c r="H101" t="s">
        <v>309</v>
      </c>
      <c r="K101" t="str">
        <f>"Shenandoah School Corporation     "</f>
        <v xml:space="preserve">Shenandoah School Corporation     </v>
      </c>
      <c r="L101" t="str">
        <f>"3435"</f>
        <v>3435</v>
      </c>
      <c r="M101">
        <v>0</v>
      </c>
      <c r="N101">
        <v>1476</v>
      </c>
      <c r="O101">
        <f t="shared" si="1"/>
        <v>1476</v>
      </c>
    </row>
    <row r="102" spans="1:16376">
      <c r="A102" s="8">
        <v>3445</v>
      </c>
      <c r="B102" t="s">
        <v>107</v>
      </c>
      <c r="C102" s="19">
        <v>6825675.6299999999</v>
      </c>
      <c r="D102" s="20">
        <v>19087029.66</v>
      </c>
      <c r="E102" s="18">
        <v>4330232.24</v>
      </c>
      <c r="F102" s="23">
        <v>6762076.2400000002</v>
      </c>
      <c r="G102" t="s">
        <v>307</v>
      </c>
      <c r="H102" t="s">
        <v>309</v>
      </c>
      <c r="K102" t="str">
        <f>"New Castle Community Sch Corp     "</f>
        <v xml:space="preserve">New Castle Community Sch Corp     </v>
      </c>
      <c r="L102" t="str">
        <f>"3445"</f>
        <v>3445</v>
      </c>
      <c r="M102">
        <v>86</v>
      </c>
      <c r="N102">
        <v>4017</v>
      </c>
      <c r="O102">
        <f t="shared" si="1"/>
        <v>3931</v>
      </c>
    </row>
    <row r="103" spans="1:16376">
      <c r="A103" s="8">
        <v>3455</v>
      </c>
      <c r="B103" t="s">
        <v>108</v>
      </c>
      <c r="C103" s="19">
        <v>1833444.0499999998</v>
      </c>
      <c r="D103" s="20">
        <v>5713590.9500000002</v>
      </c>
      <c r="E103" s="18">
        <v>351915.69</v>
      </c>
      <c r="F103" s="23">
        <v>117619.81999999999</v>
      </c>
      <c r="G103" t="s">
        <v>307</v>
      </c>
      <c r="H103" t="s">
        <v>309</v>
      </c>
      <c r="K103" t="str">
        <f>"C A Beard Memorial School Corp    "</f>
        <v xml:space="preserve">C A Beard Memorial School Corp    </v>
      </c>
      <c r="L103" t="str">
        <f>"3455"</f>
        <v>3455</v>
      </c>
      <c r="M103">
        <v>0</v>
      </c>
      <c r="N103">
        <v>1369</v>
      </c>
      <c r="O103">
        <f t="shared" si="1"/>
        <v>1369</v>
      </c>
    </row>
    <row r="104" spans="1:16376">
      <c r="A104" s="8">
        <v>3460</v>
      </c>
      <c r="B104" t="s">
        <v>109</v>
      </c>
      <c r="C104" s="19">
        <v>3718918.35</v>
      </c>
      <c r="D104" s="20">
        <v>6165413.1600000001</v>
      </c>
      <c r="E104" s="18">
        <v>447038.16000000003</v>
      </c>
      <c r="F104" s="23">
        <v>55015.729999999996</v>
      </c>
      <c r="G104" t="s">
        <v>307</v>
      </c>
      <c r="H104" t="s">
        <v>309</v>
      </c>
      <c r="K104" t="str">
        <f>"Taylor Community School Corp      "</f>
        <v xml:space="preserve">Taylor Community School Corp      </v>
      </c>
      <c r="L104" t="str">
        <f>"3460"</f>
        <v>3460</v>
      </c>
      <c r="M104">
        <v>0</v>
      </c>
      <c r="N104">
        <v>1501</v>
      </c>
      <c r="O104">
        <f t="shared" si="1"/>
        <v>1501</v>
      </c>
    </row>
    <row r="105" spans="1:16376">
      <c r="A105" s="8">
        <v>3470</v>
      </c>
      <c r="B105" t="s">
        <v>110</v>
      </c>
      <c r="C105" s="19">
        <v>5829447.5800000001</v>
      </c>
      <c r="D105" s="20">
        <v>4609481.4399999995</v>
      </c>
      <c r="E105" s="18">
        <v>332729.67000000004</v>
      </c>
      <c r="F105" s="23">
        <v>25590.519999999997</v>
      </c>
      <c r="G105" t="s">
        <v>307</v>
      </c>
      <c r="H105" t="s">
        <v>309</v>
      </c>
      <c r="K105" t="str">
        <f>"Northwestern School Corp          "</f>
        <v xml:space="preserve">Northwestern School Corp          </v>
      </c>
      <c r="L105" t="str">
        <f>"3470"</f>
        <v>3470</v>
      </c>
      <c r="M105">
        <v>0</v>
      </c>
      <c r="N105">
        <v>1667</v>
      </c>
      <c r="O105">
        <f t="shared" si="1"/>
        <v>1667</v>
      </c>
    </row>
    <row r="106" spans="1:16376">
      <c r="A106" s="8">
        <v>3480</v>
      </c>
      <c r="B106" t="s">
        <v>111</v>
      </c>
      <c r="C106" s="19">
        <v>2842965.12</v>
      </c>
      <c r="D106" s="20">
        <v>5243635.91</v>
      </c>
      <c r="E106" s="18">
        <v>254402.21</v>
      </c>
      <c r="F106" s="23">
        <v>91356.13</v>
      </c>
      <c r="G106" t="s">
        <v>307</v>
      </c>
      <c r="H106" t="s">
        <v>309</v>
      </c>
      <c r="K106" t="str">
        <f>"Eastern Howard School Corp        "</f>
        <v xml:space="preserve">Eastern Howard School Corp        </v>
      </c>
      <c r="L106" t="str">
        <f>"3480"</f>
        <v>3480</v>
      </c>
      <c r="M106">
        <v>8</v>
      </c>
      <c r="N106">
        <v>1315</v>
      </c>
      <c r="O106">
        <f t="shared" si="1"/>
        <v>1307</v>
      </c>
    </row>
    <row r="107" spans="1:16376">
      <c r="A107" s="9">
        <v>3490</v>
      </c>
      <c r="B107" s="3" t="s">
        <v>112</v>
      </c>
      <c r="C107" s="19">
        <v>4457154.18</v>
      </c>
      <c r="D107" s="20">
        <v>9207149.7100000009</v>
      </c>
      <c r="E107" s="18">
        <v>538140.4</v>
      </c>
      <c r="F107" s="23">
        <v>1371242.78</v>
      </c>
      <c r="G107" t="s">
        <v>307</v>
      </c>
      <c r="H107" t="s">
        <v>309</v>
      </c>
      <c r="K107" t="str">
        <f>"Western School Corp               "</f>
        <v xml:space="preserve">Western School Corp               </v>
      </c>
      <c r="L107" t="str">
        <f>"3490"</f>
        <v>3490</v>
      </c>
      <c r="M107">
        <v>0</v>
      </c>
      <c r="N107">
        <v>2547</v>
      </c>
      <c r="O107">
        <f t="shared" si="1"/>
        <v>2547</v>
      </c>
    </row>
    <row r="108" spans="1:16376">
      <c r="A108" s="8">
        <v>3500</v>
      </c>
      <c r="B108" t="s">
        <v>113</v>
      </c>
      <c r="C108" s="19">
        <v>23717262.899999999</v>
      </c>
      <c r="D108" s="20">
        <v>25496029.899999999</v>
      </c>
      <c r="E108" s="18">
        <v>11042205.559999999</v>
      </c>
      <c r="F108" s="23">
        <v>16254253.27</v>
      </c>
      <c r="G108" t="s">
        <v>307</v>
      </c>
      <c r="H108" t="s">
        <v>309</v>
      </c>
      <c r="K108" t="str">
        <f>"Kokomo-Center Twp Con Sch Corp    "</f>
        <v xml:space="preserve">Kokomo-Center Twp Con Sch Corp    </v>
      </c>
      <c r="L108" t="str">
        <f>"3500"</f>
        <v>3500</v>
      </c>
      <c r="M108">
        <v>0</v>
      </c>
      <c r="N108">
        <v>7012</v>
      </c>
      <c r="O108">
        <f t="shared" si="1"/>
        <v>7012</v>
      </c>
    </row>
    <row r="109" spans="1:16376">
      <c r="A109" s="8">
        <v>3625</v>
      </c>
      <c r="B109" t="s">
        <v>114</v>
      </c>
      <c r="C109" s="19">
        <v>11693942.440000001</v>
      </c>
      <c r="D109" s="20">
        <v>24405508.100000001</v>
      </c>
      <c r="E109" s="18">
        <v>4118565.98</v>
      </c>
      <c r="F109" s="23">
        <v>691712.19</v>
      </c>
      <c r="G109" t="s">
        <v>307</v>
      </c>
      <c r="H109" t="s">
        <v>309</v>
      </c>
      <c r="K109" t="str">
        <f>"Huntington Co Com Sch Corp        "</f>
        <v xml:space="preserve">Huntington Co Com Sch Corp        </v>
      </c>
      <c r="L109" t="str">
        <f>"3625"</f>
        <v>3625</v>
      </c>
      <c r="M109">
        <v>16</v>
      </c>
      <c r="N109">
        <v>6232</v>
      </c>
      <c r="O109">
        <f t="shared" si="1"/>
        <v>6216</v>
      </c>
    </row>
    <row r="110" spans="1:16376">
      <c r="A110" s="9">
        <v>3640</v>
      </c>
      <c r="B110" s="3" t="s">
        <v>115</v>
      </c>
      <c r="C110" s="19">
        <v>320590.56</v>
      </c>
      <c r="D110" s="20">
        <v>1642596.78</v>
      </c>
      <c r="E110" s="18">
        <v>253265.16</v>
      </c>
      <c r="F110" s="23">
        <v>79.539999999999992</v>
      </c>
      <c r="G110" t="s">
        <v>307</v>
      </c>
      <c r="H110" t="s">
        <v>309</v>
      </c>
      <c r="K110" t="str">
        <f>"Medora Community School Corp      "</f>
        <v xml:space="preserve">Medora Community School Corp      </v>
      </c>
      <c r="L110" t="str">
        <f>"3640"</f>
        <v>3640</v>
      </c>
      <c r="M110">
        <v>0</v>
      </c>
      <c r="N110">
        <v>270</v>
      </c>
      <c r="O110">
        <f t="shared" si="1"/>
        <v>270</v>
      </c>
    </row>
    <row r="111" spans="1:16376">
      <c r="A111" s="8">
        <v>3675</v>
      </c>
      <c r="B111" t="s">
        <v>116</v>
      </c>
      <c r="C111" s="19">
        <v>8531534.6900000013</v>
      </c>
      <c r="D111" s="20">
        <v>12445663.809999999</v>
      </c>
      <c r="E111" s="18">
        <v>2263529.54</v>
      </c>
      <c r="F111" s="23">
        <v>76038.399999999994</v>
      </c>
      <c r="G111" t="s">
        <v>307</v>
      </c>
      <c r="H111" t="s">
        <v>309</v>
      </c>
      <c r="I111" s="3"/>
      <c r="J111" s="3"/>
      <c r="K111" t="str">
        <f>"Seymour Community Schools         "</f>
        <v xml:space="preserve">Seymour Community Schools         </v>
      </c>
      <c r="L111" t="str">
        <f>"3675"</f>
        <v>3675</v>
      </c>
      <c r="M111">
        <v>22</v>
      </c>
      <c r="N111">
        <v>4025</v>
      </c>
      <c r="O111">
        <f t="shared" si="1"/>
        <v>4003</v>
      </c>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3"/>
      <c r="PP111" s="3"/>
      <c r="PQ111" s="3"/>
      <c r="PR111" s="3"/>
      <c r="PS111" s="3"/>
      <c r="PT111" s="3"/>
      <c r="PU111" s="3"/>
      <c r="PV111" s="3"/>
      <c r="PW111" s="3"/>
      <c r="PX111" s="3"/>
      <c r="PY111" s="3"/>
      <c r="PZ111" s="3"/>
      <c r="QA111" s="3"/>
      <c r="QB111" s="3"/>
      <c r="QC111" s="3"/>
      <c r="QD111" s="3"/>
      <c r="QE111" s="3"/>
      <c r="QF111" s="3"/>
      <c r="QG111" s="3"/>
      <c r="QH111" s="3"/>
      <c r="QI111" s="3"/>
      <c r="QJ111" s="3"/>
      <c r="QK111" s="3"/>
      <c r="QL111" s="3"/>
      <c r="QM111" s="3"/>
      <c r="QN111" s="3"/>
      <c r="QO111" s="3"/>
      <c r="QP111" s="3"/>
      <c r="QQ111" s="3"/>
      <c r="QR111" s="3"/>
      <c r="QS111" s="3"/>
      <c r="QT111" s="3"/>
      <c r="QU111" s="3"/>
      <c r="QV111" s="3"/>
      <c r="QW111" s="3"/>
      <c r="QX111" s="3"/>
      <c r="QY111" s="3"/>
      <c r="QZ111" s="3"/>
      <c r="RA111" s="3"/>
      <c r="RB111" s="3"/>
      <c r="RC111" s="3"/>
      <c r="RD111" s="3"/>
      <c r="RE111" s="3"/>
      <c r="RF111" s="3"/>
      <c r="RG111" s="3"/>
      <c r="RH111" s="3"/>
      <c r="RI111" s="3"/>
      <c r="RJ111" s="3"/>
      <c r="RK111" s="3"/>
      <c r="RL111" s="3"/>
      <c r="RM111" s="3"/>
      <c r="RN111" s="3"/>
      <c r="RO111" s="3"/>
      <c r="RP111" s="3"/>
      <c r="RQ111" s="3"/>
      <c r="RR111" s="3"/>
      <c r="RS111" s="3"/>
      <c r="RT111" s="3"/>
      <c r="RU111" s="3"/>
      <c r="RV111" s="3"/>
      <c r="RW111" s="3"/>
      <c r="RX111" s="3"/>
      <c r="RY111" s="3"/>
      <c r="RZ111" s="3"/>
      <c r="SA111" s="3"/>
      <c r="SB111" s="3"/>
      <c r="SC111" s="3"/>
      <c r="SD111" s="3"/>
      <c r="SE111" s="3"/>
      <c r="SF111" s="3"/>
      <c r="SG111" s="3"/>
      <c r="SH111" s="3"/>
      <c r="SI111" s="3"/>
      <c r="SJ111" s="3"/>
      <c r="SK111" s="3"/>
      <c r="SL111" s="3"/>
      <c r="SM111" s="3"/>
      <c r="SN111" s="3"/>
      <c r="SO111" s="3"/>
      <c r="SP111" s="3"/>
      <c r="SQ111" s="3"/>
      <c r="SR111" s="3"/>
      <c r="SS111" s="3"/>
      <c r="ST111" s="3"/>
      <c r="SU111" s="3"/>
      <c r="SV111" s="3"/>
      <c r="SW111" s="3"/>
      <c r="SX111" s="3"/>
      <c r="SY111" s="3"/>
      <c r="SZ111" s="3"/>
      <c r="TA111" s="3"/>
      <c r="TB111" s="3"/>
      <c r="TC111" s="3"/>
      <c r="TD111" s="3"/>
      <c r="TE111" s="3"/>
      <c r="TF111" s="3"/>
      <c r="TG111" s="3"/>
      <c r="TH111" s="3"/>
      <c r="TI111" s="3"/>
      <c r="TJ111" s="3"/>
      <c r="TK111" s="3"/>
      <c r="TL111" s="3"/>
      <c r="TM111" s="3"/>
      <c r="TN111" s="3"/>
      <c r="TO111" s="3"/>
      <c r="TP111" s="3"/>
      <c r="TQ111" s="3"/>
      <c r="TR111" s="3"/>
      <c r="TS111" s="3"/>
      <c r="TT111" s="3"/>
      <c r="TU111" s="3"/>
      <c r="TV111" s="3"/>
      <c r="TW111" s="3"/>
      <c r="TX111" s="3"/>
      <c r="TY111" s="3"/>
      <c r="TZ111" s="3"/>
      <c r="UA111" s="3"/>
      <c r="UB111" s="3"/>
      <c r="UC111" s="3"/>
      <c r="UD111" s="3"/>
      <c r="UE111" s="3"/>
      <c r="UF111" s="3"/>
      <c r="UG111" s="3"/>
      <c r="UH111" s="3"/>
      <c r="UI111" s="3"/>
      <c r="UJ111" s="3"/>
      <c r="UK111" s="3"/>
      <c r="UL111" s="3"/>
      <c r="UM111" s="3"/>
      <c r="UN111" s="3"/>
      <c r="UO111" s="3"/>
      <c r="UP111" s="3"/>
      <c r="UQ111" s="3"/>
      <c r="UR111" s="3"/>
      <c r="US111" s="3"/>
      <c r="UT111" s="3"/>
      <c r="UU111" s="3"/>
      <c r="UV111" s="3"/>
      <c r="UW111" s="3"/>
      <c r="UX111" s="3"/>
      <c r="UY111" s="3"/>
      <c r="UZ111" s="3"/>
      <c r="VA111" s="3"/>
      <c r="VB111" s="3"/>
      <c r="VC111" s="3"/>
      <c r="VD111" s="3"/>
      <c r="VE111" s="3"/>
      <c r="VF111" s="3"/>
      <c r="VG111" s="3"/>
      <c r="VH111" s="3"/>
      <c r="VI111" s="3"/>
      <c r="VJ111" s="3"/>
      <c r="VK111" s="3"/>
      <c r="VL111" s="3"/>
      <c r="VM111" s="3"/>
      <c r="VN111" s="3"/>
      <c r="VO111" s="3"/>
      <c r="VP111" s="3"/>
      <c r="VQ111" s="3"/>
      <c r="VR111" s="3"/>
      <c r="VS111" s="3"/>
      <c r="VT111" s="3"/>
      <c r="VU111" s="3"/>
      <c r="VV111" s="3"/>
      <c r="VW111" s="3"/>
      <c r="VX111" s="3"/>
      <c r="VY111" s="3"/>
      <c r="VZ111" s="3"/>
      <c r="WA111" s="3"/>
      <c r="WB111" s="3"/>
      <c r="WC111" s="3"/>
      <c r="WD111" s="3"/>
      <c r="WE111" s="3"/>
      <c r="WF111" s="3"/>
      <c r="WG111" s="3"/>
      <c r="WH111" s="3"/>
      <c r="WI111" s="3"/>
      <c r="WJ111" s="3"/>
      <c r="WK111" s="3"/>
      <c r="WL111" s="3"/>
      <c r="WM111" s="3"/>
      <c r="WN111" s="3"/>
      <c r="WO111" s="3"/>
      <c r="WP111" s="3"/>
      <c r="WQ111" s="3"/>
      <c r="WR111" s="3"/>
      <c r="WS111" s="3"/>
      <c r="WT111" s="3"/>
      <c r="WU111" s="3"/>
      <c r="WV111" s="3"/>
      <c r="WW111" s="3"/>
      <c r="WX111" s="3"/>
      <c r="WY111" s="3"/>
      <c r="WZ111" s="3"/>
      <c r="XA111" s="3"/>
      <c r="XB111" s="3"/>
      <c r="XC111" s="3"/>
      <c r="XD111" s="3"/>
      <c r="XE111" s="3"/>
      <c r="XF111" s="3"/>
      <c r="XG111" s="3"/>
      <c r="XH111" s="3"/>
      <c r="XI111" s="3"/>
      <c r="XJ111" s="3"/>
      <c r="XK111" s="3"/>
      <c r="XL111" s="3"/>
      <c r="XM111" s="3"/>
      <c r="XN111" s="3"/>
      <c r="XO111" s="3"/>
      <c r="XP111" s="3"/>
      <c r="XQ111" s="3"/>
      <c r="XR111" s="3"/>
      <c r="XS111" s="3"/>
      <c r="XT111" s="3"/>
      <c r="XU111" s="3"/>
      <c r="XV111" s="3"/>
      <c r="XW111" s="3"/>
      <c r="XX111" s="3"/>
      <c r="XY111" s="3"/>
      <c r="XZ111" s="3"/>
      <c r="YA111" s="3"/>
      <c r="YB111" s="3"/>
      <c r="YC111" s="3"/>
      <c r="YD111" s="3"/>
      <c r="YE111" s="3"/>
      <c r="YF111" s="3"/>
      <c r="YG111" s="3"/>
      <c r="YH111" s="3"/>
      <c r="YI111" s="3"/>
      <c r="YJ111" s="3"/>
      <c r="YK111" s="3"/>
      <c r="YL111" s="3"/>
      <c r="YM111" s="3"/>
      <c r="YN111" s="3"/>
      <c r="YO111" s="3"/>
      <c r="YP111" s="3"/>
      <c r="YQ111" s="3"/>
      <c r="YR111" s="3"/>
      <c r="YS111" s="3"/>
      <c r="YT111" s="3"/>
      <c r="YU111" s="3"/>
      <c r="YV111" s="3"/>
      <c r="YW111" s="3"/>
      <c r="YX111" s="3"/>
      <c r="YY111" s="3"/>
      <c r="YZ111" s="3"/>
      <c r="ZA111" s="3"/>
      <c r="ZB111" s="3"/>
      <c r="ZC111" s="3"/>
      <c r="ZD111" s="3"/>
      <c r="ZE111" s="3"/>
      <c r="ZF111" s="3"/>
      <c r="ZG111" s="3"/>
      <c r="ZH111" s="3"/>
      <c r="ZI111" s="3"/>
      <c r="ZJ111" s="3"/>
      <c r="ZK111" s="3"/>
      <c r="ZL111" s="3"/>
      <c r="ZM111" s="3"/>
      <c r="ZN111" s="3"/>
      <c r="ZO111" s="3"/>
      <c r="ZP111" s="3"/>
      <c r="ZQ111" s="3"/>
      <c r="ZR111" s="3"/>
      <c r="ZS111" s="3"/>
      <c r="ZT111" s="3"/>
      <c r="ZU111" s="3"/>
      <c r="ZV111" s="3"/>
      <c r="ZW111" s="3"/>
      <c r="ZX111" s="3"/>
      <c r="ZY111" s="3"/>
      <c r="ZZ111" s="3"/>
      <c r="AAA111" s="3"/>
      <c r="AAB111" s="3"/>
      <c r="AAC111" s="3"/>
      <c r="AAD111" s="3"/>
      <c r="AAE111" s="3"/>
      <c r="AAF111" s="3"/>
      <c r="AAG111" s="3"/>
      <c r="AAH111" s="3"/>
      <c r="AAI111" s="3"/>
      <c r="AAJ111" s="3"/>
      <c r="AAK111" s="3"/>
      <c r="AAL111" s="3"/>
      <c r="AAM111" s="3"/>
      <c r="AAN111" s="3"/>
      <c r="AAO111" s="3"/>
      <c r="AAP111" s="3"/>
      <c r="AAQ111" s="3"/>
      <c r="AAR111" s="3"/>
      <c r="AAS111" s="3"/>
      <c r="AAT111" s="3"/>
      <c r="AAU111" s="3"/>
      <c r="AAV111" s="3"/>
      <c r="AAW111" s="3"/>
      <c r="AAX111" s="3"/>
      <c r="AAY111" s="3"/>
      <c r="AAZ111" s="3"/>
      <c r="ABA111" s="3"/>
      <c r="ABB111" s="3"/>
      <c r="ABC111" s="3"/>
      <c r="ABD111" s="3"/>
      <c r="ABE111" s="3"/>
      <c r="ABF111" s="3"/>
      <c r="ABG111" s="3"/>
      <c r="ABH111" s="3"/>
      <c r="ABI111" s="3"/>
      <c r="ABJ111" s="3"/>
      <c r="ABK111" s="3"/>
      <c r="ABL111" s="3"/>
      <c r="ABM111" s="3"/>
      <c r="ABN111" s="3"/>
      <c r="ABO111" s="3"/>
      <c r="ABP111" s="3"/>
      <c r="ABQ111" s="3"/>
      <c r="ABR111" s="3"/>
      <c r="ABS111" s="3"/>
      <c r="ABT111" s="3"/>
      <c r="ABU111" s="3"/>
      <c r="ABV111" s="3"/>
      <c r="ABW111" s="3"/>
      <c r="ABX111" s="3"/>
      <c r="ABY111" s="3"/>
      <c r="ABZ111" s="3"/>
      <c r="ACA111" s="3"/>
      <c r="ACB111" s="3"/>
      <c r="ACC111" s="3"/>
      <c r="ACD111" s="3"/>
      <c r="ACE111" s="3"/>
      <c r="ACF111" s="3"/>
      <c r="ACG111" s="3"/>
      <c r="ACH111" s="3"/>
      <c r="ACI111" s="3"/>
      <c r="ACJ111" s="3"/>
      <c r="ACK111" s="3"/>
      <c r="ACL111" s="3"/>
      <c r="ACM111" s="3"/>
      <c r="ACN111" s="3"/>
      <c r="ACO111" s="3"/>
      <c r="ACP111" s="3"/>
      <c r="ACQ111" s="3"/>
      <c r="ACR111" s="3"/>
      <c r="ACS111" s="3"/>
      <c r="ACT111" s="3"/>
      <c r="ACU111" s="3"/>
      <c r="ACV111" s="3"/>
      <c r="ACW111" s="3"/>
      <c r="ACX111" s="3"/>
      <c r="ACY111" s="3"/>
      <c r="ACZ111" s="3"/>
      <c r="ADA111" s="3"/>
      <c r="ADB111" s="3"/>
      <c r="ADC111" s="3"/>
      <c r="ADD111" s="3"/>
      <c r="ADE111" s="3"/>
      <c r="ADF111" s="3"/>
      <c r="ADG111" s="3"/>
      <c r="ADH111" s="3"/>
      <c r="ADI111" s="3"/>
      <c r="ADJ111" s="3"/>
      <c r="ADK111" s="3"/>
      <c r="ADL111" s="3"/>
      <c r="ADM111" s="3"/>
      <c r="ADN111" s="3"/>
      <c r="ADO111" s="3"/>
      <c r="ADP111" s="3"/>
      <c r="ADQ111" s="3"/>
      <c r="ADR111" s="3"/>
      <c r="ADS111" s="3"/>
      <c r="ADT111" s="3"/>
      <c r="ADU111" s="3"/>
      <c r="ADV111" s="3"/>
      <c r="ADW111" s="3"/>
      <c r="ADX111" s="3"/>
      <c r="ADY111" s="3"/>
      <c r="ADZ111" s="3"/>
      <c r="AEA111" s="3"/>
      <c r="AEB111" s="3"/>
      <c r="AEC111" s="3"/>
      <c r="AED111" s="3"/>
      <c r="AEE111" s="3"/>
      <c r="AEF111" s="3"/>
      <c r="AEG111" s="3"/>
      <c r="AEH111" s="3"/>
      <c r="AEI111" s="3"/>
      <c r="AEJ111" s="3"/>
      <c r="AEK111" s="3"/>
      <c r="AEL111" s="3"/>
      <c r="AEM111" s="3"/>
      <c r="AEN111" s="3"/>
      <c r="AEO111" s="3"/>
      <c r="AEP111" s="3"/>
      <c r="AEQ111" s="3"/>
      <c r="AER111" s="3"/>
      <c r="AES111" s="3"/>
      <c r="AET111" s="3"/>
      <c r="AEU111" s="3"/>
      <c r="AEV111" s="3"/>
      <c r="AEW111" s="3"/>
      <c r="AEX111" s="3"/>
      <c r="AEY111" s="3"/>
      <c r="AEZ111" s="3"/>
      <c r="AFA111" s="3"/>
      <c r="AFB111" s="3"/>
      <c r="AFC111" s="3"/>
      <c r="AFD111" s="3"/>
      <c r="AFE111" s="3"/>
      <c r="AFF111" s="3"/>
      <c r="AFG111" s="3"/>
      <c r="AFH111" s="3"/>
      <c r="AFI111" s="3"/>
      <c r="AFJ111" s="3"/>
      <c r="AFK111" s="3"/>
      <c r="AFL111" s="3"/>
      <c r="AFM111" s="3"/>
      <c r="AFN111" s="3"/>
      <c r="AFO111" s="3"/>
      <c r="AFP111" s="3"/>
      <c r="AFQ111" s="3"/>
      <c r="AFR111" s="3"/>
      <c r="AFS111" s="3"/>
      <c r="AFT111" s="3"/>
      <c r="AFU111" s="3"/>
      <c r="AFV111" s="3"/>
      <c r="AFW111" s="3"/>
      <c r="AFX111" s="3"/>
      <c r="AFY111" s="3"/>
      <c r="AFZ111" s="3"/>
      <c r="AGA111" s="3"/>
      <c r="AGB111" s="3"/>
      <c r="AGC111" s="3"/>
      <c r="AGD111" s="3"/>
      <c r="AGE111" s="3"/>
      <c r="AGF111" s="3"/>
      <c r="AGG111" s="3"/>
      <c r="AGH111" s="3"/>
      <c r="AGI111" s="3"/>
      <c r="AGJ111" s="3"/>
      <c r="AGK111" s="3"/>
      <c r="AGL111" s="3"/>
      <c r="AGM111" s="3"/>
      <c r="AGN111" s="3"/>
      <c r="AGO111" s="3"/>
      <c r="AGP111" s="3"/>
      <c r="AGQ111" s="3"/>
      <c r="AGR111" s="3"/>
      <c r="AGS111" s="3"/>
      <c r="AGT111" s="3"/>
      <c r="AGU111" s="3"/>
      <c r="AGV111" s="3"/>
      <c r="AGW111" s="3"/>
      <c r="AGX111" s="3"/>
      <c r="AGY111" s="3"/>
      <c r="AGZ111" s="3"/>
      <c r="AHA111" s="3"/>
      <c r="AHB111" s="3"/>
      <c r="AHC111" s="3"/>
      <c r="AHD111" s="3"/>
      <c r="AHE111" s="3"/>
      <c r="AHF111" s="3"/>
      <c r="AHG111" s="3"/>
      <c r="AHH111" s="3"/>
      <c r="AHI111" s="3"/>
      <c r="AHJ111" s="3"/>
      <c r="AHK111" s="3"/>
      <c r="AHL111" s="3"/>
      <c r="AHM111" s="3"/>
      <c r="AHN111" s="3"/>
      <c r="AHO111" s="3"/>
      <c r="AHP111" s="3"/>
      <c r="AHQ111" s="3"/>
      <c r="AHR111" s="3"/>
      <c r="AHS111" s="3"/>
      <c r="AHT111" s="3"/>
      <c r="AHU111" s="3"/>
      <c r="AHV111" s="3"/>
      <c r="AHW111" s="3"/>
      <c r="AHX111" s="3"/>
      <c r="AHY111" s="3"/>
      <c r="AHZ111" s="3"/>
      <c r="AIA111" s="3"/>
      <c r="AIB111" s="3"/>
      <c r="AIC111" s="3"/>
      <c r="AID111" s="3"/>
      <c r="AIE111" s="3"/>
      <c r="AIF111" s="3"/>
      <c r="AIG111" s="3"/>
      <c r="AIH111" s="3"/>
      <c r="AII111" s="3"/>
      <c r="AIJ111" s="3"/>
      <c r="AIK111" s="3"/>
      <c r="AIL111" s="3"/>
      <c r="AIM111" s="3"/>
      <c r="AIN111" s="3"/>
      <c r="AIO111" s="3"/>
      <c r="AIP111" s="3"/>
      <c r="AIQ111" s="3"/>
      <c r="AIR111" s="3"/>
      <c r="AIS111" s="3"/>
      <c r="AIT111" s="3"/>
      <c r="AIU111" s="3"/>
      <c r="AIV111" s="3"/>
      <c r="AIW111" s="3"/>
      <c r="AIX111" s="3"/>
      <c r="AIY111" s="3"/>
      <c r="AIZ111" s="3"/>
      <c r="AJA111" s="3"/>
      <c r="AJB111" s="3"/>
      <c r="AJC111" s="3"/>
      <c r="AJD111" s="3"/>
      <c r="AJE111" s="3"/>
      <c r="AJF111" s="3"/>
      <c r="AJG111" s="3"/>
      <c r="AJH111" s="3"/>
      <c r="AJI111" s="3"/>
      <c r="AJJ111" s="3"/>
      <c r="AJK111" s="3"/>
      <c r="AJL111" s="3"/>
      <c r="AJM111" s="3"/>
      <c r="AJN111" s="3"/>
      <c r="AJO111" s="3"/>
      <c r="AJP111" s="3"/>
      <c r="AJQ111" s="3"/>
      <c r="AJR111" s="3"/>
      <c r="AJS111" s="3"/>
      <c r="AJT111" s="3"/>
      <c r="AJU111" s="3"/>
      <c r="AJV111" s="3"/>
      <c r="AJW111" s="3"/>
      <c r="AJX111" s="3"/>
      <c r="AJY111" s="3"/>
      <c r="AJZ111" s="3"/>
      <c r="AKA111" s="3"/>
      <c r="AKB111" s="3"/>
      <c r="AKC111" s="3"/>
      <c r="AKD111" s="3"/>
      <c r="AKE111" s="3"/>
      <c r="AKF111" s="3"/>
      <c r="AKG111" s="3"/>
      <c r="AKH111" s="3"/>
      <c r="AKI111" s="3"/>
      <c r="AKJ111" s="3"/>
      <c r="AKK111" s="3"/>
      <c r="AKL111" s="3"/>
      <c r="AKM111" s="3"/>
      <c r="AKN111" s="3"/>
      <c r="AKO111" s="3"/>
      <c r="AKP111" s="3"/>
      <c r="AKQ111" s="3"/>
      <c r="AKR111" s="3"/>
      <c r="AKS111" s="3"/>
      <c r="AKT111" s="3"/>
      <c r="AKU111" s="3"/>
      <c r="AKV111" s="3"/>
      <c r="AKW111" s="3"/>
      <c r="AKX111" s="3"/>
      <c r="AKY111" s="3"/>
      <c r="AKZ111" s="3"/>
      <c r="ALA111" s="3"/>
      <c r="ALB111" s="3"/>
      <c r="ALC111" s="3"/>
      <c r="ALD111" s="3"/>
      <c r="ALE111" s="3"/>
      <c r="ALF111" s="3"/>
      <c r="ALG111" s="3"/>
      <c r="ALH111" s="3"/>
      <c r="ALI111" s="3"/>
      <c r="ALJ111" s="3"/>
      <c r="ALK111" s="3"/>
      <c r="ALL111" s="3"/>
      <c r="ALM111" s="3"/>
      <c r="ALN111" s="3"/>
      <c r="ALO111" s="3"/>
      <c r="ALP111" s="3"/>
      <c r="ALQ111" s="3"/>
      <c r="ALR111" s="3"/>
      <c r="ALS111" s="3"/>
      <c r="ALT111" s="3"/>
      <c r="ALU111" s="3"/>
      <c r="ALV111" s="3"/>
      <c r="ALW111" s="3"/>
      <c r="ALX111" s="3"/>
      <c r="ALY111" s="3"/>
      <c r="ALZ111" s="3"/>
      <c r="AMA111" s="3"/>
      <c r="AMB111" s="3"/>
      <c r="AMC111" s="3"/>
      <c r="AMD111" s="3"/>
      <c r="AME111" s="3"/>
      <c r="AMF111" s="3"/>
      <c r="AMG111" s="3"/>
      <c r="AMH111" s="3"/>
      <c r="AMI111" s="3"/>
      <c r="AMJ111" s="3"/>
      <c r="AMK111" s="3"/>
      <c r="AML111" s="3"/>
      <c r="AMM111" s="3"/>
      <c r="AMN111" s="3"/>
      <c r="AMO111" s="3"/>
      <c r="AMP111" s="3"/>
      <c r="AMQ111" s="3"/>
      <c r="AMR111" s="3"/>
      <c r="AMS111" s="3"/>
      <c r="AMT111" s="3"/>
      <c r="AMU111" s="3"/>
      <c r="AMV111" s="3"/>
      <c r="AMW111" s="3"/>
      <c r="AMX111" s="3"/>
      <c r="AMY111" s="3"/>
      <c r="AMZ111" s="3"/>
      <c r="ANA111" s="3"/>
      <c r="ANB111" s="3"/>
      <c r="ANC111" s="3"/>
      <c r="AND111" s="3"/>
      <c r="ANE111" s="3"/>
      <c r="ANF111" s="3"/>
      <c r="ANG111" s="3"/>
      <c r="ANH111" s="3"/>
      <c r="ANI111" s="3"/>
      <c r="ANJ111" s="3"/>
      <c r="ANK111" s="3"/>
      <c r="ANL111" s="3"/>
      <c r="ANM111" s="3"/>
      <c r="ANN111" s="3"/>
      <c r="ANO111" s="3"/>
      <c r="ANP111" s="3"/>
      <c r="ANQ111" s="3"/>
      <c r="ANR111" s="3"/>
      <c r="ANS111" s="3"/>
      <c r="ANT111" s="3"/>
      <c r="ANU111" s="3"/>
      <c r="ANV111" s="3"/>
      <c r="ANW111" s="3"/>
      <c r="ANX111" s="3"/>
      <c r="ANY111" s="3"/>
      <c r="ANZ111" s="3"/>
      <c r="AOA111" s="3"/>
      <c r="AOB111" s="3"/>
      <c r="AOC111" s="3"/>
      <c r="AOD111" s="3"/>
      <c r="AOE111" s="3"/>
      <c r="AOF111" s="3"/>
      <c r="AOG111" s="3"/>
      <c r="AOH111" s="3"/>
      <c r="AOI111" s="3"/>
      <c r="AOJ111" s="3"/>
      <c r="AOK111" s="3"/>
      <c r="AOL111" s="3"/>
      <c r="AOM111" s="3"/>
      <c r="AON111" s="3"/>
      <c r="AOO111" s="3"/>
      <c r="AOP111" s="3"/>
      <c r="AOQ111" s="3"/>
      <c r="AOR111" s="3"/>
      <c r="AOS111" s="3"/>
      <c r="AOT111" s="3"/>
      <c r="AOU111" s="3"/>
      <c r="AOV111" s="3"/>
      <c r="AOW111" s="3"/>
      <c r="AOX111" s="3"/>
      <c r="AOY111" s="3"/>
      <c r="AOZ111" s="3"/>
      <c r="APA111" s="3"/>
      <c r="APB111" s="3"/>
      <c r="APC111" s="3"/>
      <c r="APD111" s="3"/>
      <c r="APE111" s="3"/>
      <c r="APF111" s="3"/>
      <c r="APG111" s="3"/>
      <c r="APH111" s="3"/>
      <c r="API111" s="3"/>
      <c r="APJ111" s="3"/>
      <c r="APK111" s="3"/>
      <c r="APL111" s="3"/>
      <c r="APM111" s="3"/>
      <c r="APN111" s="3"/>
      <c r="APO111" s="3"/>
      <c r="APP111" s="3"/>
      <c r="APQ111" s="3"/>
      <c r="APR111" s="3"/>
      <c r="APS111" s="3"/>
      <c r="APT111" s="3"/>
      <c r="APU111" s="3"/>
      <c r="APV111" s="3"/>
      <c r="APW111" s="3"/>
      <c r="APX111" s="3"/>
      <c r="APY111" s="3"/>
      <c r="APZ111" s="3"/>
      <c r="AQA111" s="3"/>
      <c r="AQB111" s="3"/>
      <c r="AQC111" s="3"/>
      <c r="AQD111" s="3"/>
      <c r="AQE111" s="3"/>
      <c r="AQF111" s="3"/>
      <c r="AQG111" s="3"/>
      <c r="AQH111" s="3"/>
      <c r="AQI111" s="3"/>
      <c r="AQJ111" s="3"/>
      <c r="AQK111" s="3"/>
      <c r="AQL111" s="3"/>
      <c r="AQM111" s="3"/>
      <c r="AQN111" s="3"/>
      <c r="AQO111" s="3"/>
      <c r="AQP111" s="3"/>
      <c r="AQQ111" s="3"/>
      <c r="AQR111" s="3"/>
      <c r="AQS111" s="3"/>
      <c r="AQT111" s="3"/>
      <c r="AQU111" s="3"/>
      <c r="AQV111" s="3"/>
      <c r="AQW111" s="3"/>
      <c r="AQX111" s="3"/>
      <c r="AQY111" s="3"/>
      <c r="AQZ111" s="3"/>
      <c r="ARA111" s="3"/>
      <c r="ARB111" s="3"/>
      <c r="ARC111" s="3"/>
      <c r="ARD111" s="3"/>
      <c r="ARE111" s="3"/>
      <c r="ARF111" s="3"/>
      <c r="ARG111" s="3"/>
      <c r="ARH111" s="3"/>
      <c r="ARI111" s="3"/>
      <c r="ARJ111" s="3"/>
      <c r="ARK111" s="3"/>
      <c r="ARL111" s="3"/>
      <c r="ARM111" s="3"/>
      <c r="ARN111" s="3"/>
      <c r="ARO111" s="3"/>
      <c r="ARP111" s="3"/>
      <c r="ARQ111" s="3"/>
      <c r="ARR111" s="3"/>
      <c r="ARS111" s="3"/>
      <c r="ART111" s="3"/>
      <c r="ARU111" s="3"/>
      <c r="ARV111" s="3"/>
      <c r="ARW111" s="3"/>
      <c r="ARX111" s="3"/>
      <c r="ARY111" s="3"/>
      <c r="ARZ111" s="3"/>
      <c r="ASA111" s="3"/>
      <c r="ASB111" s="3"/>
      <c r="ASC111" s="3"/>
      <c r="ASD111" s="3"/>
      <c r="ASE111" s="3"/>
      <c r="ASF111" s="3"/>
      <c r="ASG111" s="3"/>
      <c r="ASH111" s="3"/>
      <c r="ASI111" s="3"/>
      <c r="ASJ111" s="3"/>
      <c r="ASK111" s="3"/>
      <c r="ASL111" s="3"/>
      <c r="ASM111" s="3"/>
      <c r="ASN111" s="3"/>
      <c r="ASO111" s="3"/>
      <c r="ASP111" s="3"/>
      <c r="ASQ111" s="3"/>
      <c r="ASR111" s="3"/>
      <c r="ASS111" s="3"/>
      <c r="AST111" s="3"/>
      <c r="ASU111" s="3"/>
      <c r="ASV111" s="3"/>
      <c r="ASW111" s="3"/>
      <c r="ASX111" s="3"/>
      <c r="ASY111" s="3"/>
      <c r="ASZ111" s="3"/>
      <c r="ATA111" s="3"/>
      <c r="ATB111" s="3"/>
      <c r="ATC111" s="3"/>
      <c r="ATD111" s="3"/>
      <c r="ATE111" s="3"/>
      <c r="ATF111" s="3"/>
      <c r="ATG111" s="3"/>
      <c r="ATH111" s="3"/>
      <c r="ATI111" s="3"/>
      <c r="ATJ111" s="3"/>
      <c r="ATK111" s="3"/>
      <c r="ATL111" s="3"/>
      <c r="ATM111" s="3"/>
      <c r="ATN111" s="3"/>
      <c r="ATO111" s="3"/>
      <c r="ATP111" s="3"/>
      <c r="ATQ111" s="3"/>
      <c r="ATR111" s="3"/>
      <c r="ATS111" s="3"/>
      <c r="ATT111" s="3"/>
      <c r="ATU111" s="3"/>
      <c r="ATV111" s="3"/>
      <c r="ATW111" s="3"/>
      <c r="ATX111" s="3"/>
      <c r="ATY111" s="3"/>
      <c r="ATZ111" s="3"/>
      <c r="AUA111" s="3"/>
      <c r="AUB111" s="3"/>
      <c r="AUC111" s="3"/>
      <c r="AUD111" s="3"/>
      <c r="AUE111" s="3"/>
      <c r="AUF111" s="3"/>
      <c r="AUG111" s="3"/>
      <c r="AUH111" s="3"/>
      <c r="AUI111" s="3"/>
      <c r="AUJ111" s="3"/>
      <c r="AUK111" s="3"/>
      <c r="AUL111" s="3"/>
      <c r="AUM111" s="3"/>
      <c r="AUN111" s="3"/>
      <c r="AUO111" s="3"/>
      <c r="AUP111" s="3"/>
      <c r="AUQ111" s="3"/>
      <c r="AUR111" s="3"/>
      <c r="AUS111" s="3"/>
      <c r="AUT111" s="3"/>
      <c r="AUU111" s="3"/>
      <c r="AUV111" s="3"/>
      <c r="AUW111" s="3"/>
      <c r="AUX111" s="3"/>
      <c r="AUY111" s="3"/>
      <c r="AUZ111" s="3"/>
      <c r="AVA111" s="3"/>
      <c r="AVB111" s="3"/>
      <c r="AVC111" s="3"/>
      <c r="AVD111" s="3"/>
      <c r="AVE111" s="3"/>
      <c r="AVF111" s="3"/>
      <c r="AVG111" s="3"/>
      <c r="AVH111" s="3"/>
      <c r="AVI111" s="3"/>
      <c r="AVJ111" s="3"/>
      <c r="AVK111" s="3"/>
      <c r="AVL111" s="3"/>
      <c r="AVM111" s="3"/>
      <c r="AVN111" s="3"/>
      <c r="AVO111" s="3"/>
      <c r="AVP111" s="3"/>
      <c r="AVQ111" s="3"/>
      <c r="AVR111" s="3"/>
      <c r="AVS111" s="3"/>
      <c r="AVT111" s="3"/>
      <c r="AVU111" s="3"/>
      <c r="AVV111" s="3"/>
      <c r="AVW111" s="3"/>
      <c r="AVX111" s="3"/>
      <c r="AVY111" s="3"/>
      <c r="AVZ111" s="3"/>
      <c r="AWA111" s="3"/>
      <c r="AWB111" s="3"/>
      <c r="AWC111" s="3"/>
      <c r="AWD111" s="3"/>
      <c r="AWE111" s="3"/>
      <c r="AWF111" s="3"/>
      <c r="AWG111" s="3"/>
      <c r="AWH111" s="3"/>
      <c r="AWI111" s="3"/>
      <c r="AWJ111" s="3"/>
      <c r="AWK111" s="3"/>
      <c r="AWL111" s="3"/>
      <c r="AWM111" s="3"/>
      <c r="AWN111" s="3"/>
      <c r="AWO111" s="3"/>
      <c r="AWP111" s="3"/>
      <c r="AWQ111" s="3"/>
      <c r="AWR111" s="3"/>
      <c r="AWS111" s="3"/>
      <c r="AWT111" s="3"/>
      <c r="AWU111" s="3"/>
      <c r="AWV111" s="3"/>
      <c r="AWW111" s="3"/>
      <c r="AWX111" s="3"/>
      <c r="AWY111" s="3"/>
      <c r="AWZ111" s="3"/>
      <c r="AXA111" s="3"/>
      <c r="AXB111" s="3"/>
      <c r="AXC111" s="3"/>
      <c r="AXD111" s="3"/>
      <c r="AXE111" s="3"/>
      <c r="AXF111" s="3"/>
      <c r="AXG111" s="3"/>
      <c r="AXH111" s="3"/>
      <c r="AXI111" s="3"/>
      <c r="AXJ111" s="3"/>
      <c r="AXK111" s="3"/>
      <c r="AXL111" s="3"/>
      <c r="AXM111" s="3"/>
      <c r="AXN111" s="3"/>
      <c r="AXO111" s="3"/>
      <c r="AXP111" s="3"/>
      <c r="AXQ111" s="3"/>
      <c r="AXR111" s="3"/>
      <c r="AXS111" s="3"/>
      <c r="AXT111" s="3"/>
      <c r="AXU111" s="3"/>
      <c r="AXV111" s="3"/>
      <c r="AXW111" s="3"/>
      <c r="AXX111" s="3"/>
      <c r="AXY111" s="3"/>
      <c r="AXZ111" s="3"/>
      <c r="AYA111" s="3"/>
      <c r="AYB111" s="3"/>
      <c r="AYC111" s="3"/>
      <c r="AYD111" s="3"/>
      <c r="AYE111" s="3"/>
      <c r="AYF111" s="3"/>
      <c r="AYG111" s="3"/>
      <c r="AYH111" s="3"/>
      <c r="AYI111" s="3"/>
      <c r="AYJ111" s="3"/>
      <c r="AYK111" s="3"/>
      <c r="AYL111" s="3"/>
      <c r="AYM111" s="3"/>
      <c r="AYN111" s="3"/>
      <c r="AYO111" s="3"/>
      <c r="AYP111" s="3"/>
      <c r="AYQ111" s="3"/>
      <c r="AYR111" s="3"/>
      <c r="AYS111" s="3"/>
      <c r="AYT111" s="3"/>
      <c r="AYU111" s="3"/>
      <c r="AYV111" s="3"/>
      <c r="AYW111" s="3"/>
      <c r="AYX111" s="3"/>
      <c r="AYY111" s="3"/>
      <c r="AYZ111" s="3"/>
      <c r="AZA111" s="3"/>
      <c r="AZB111" s="3"/>
      <c r="AZC111" s="3"/>
      <c r="AZD111" s="3"/>
      <c r="AZE111" s="3"/>
      <c r="AZF111" s="3"/>
      <c r="AZG111" s="3"/>
      <c r="AZH111" s="3"/>
      <c r="AZI111" s="3"/>
      <c r="AZJ111" s="3"/>
      <c r="AZK111" s="3"/>
      <c r="AZL111" s="3"/>
      <c r="AZM111" s="3"/>
      <c r="AZN111" s="3"/>
      <c r="AZO111" s="3"/>
      <c r="AZP111" s="3"/>
      <c r="AZQ111" s="3"/>
      <c r="AZR111" s="3"/>
      <c r="AZS111" s="3"/>
      <c r="AZT111" s="3"/>
      <c r="AZU111" s="3"/>
      <c r="AZV111" s="3"/>
      <c r="AZW111" s="3"/>
      <c r="AZX111" s="3"/>
      <c r="AZY111" s="3"/>
      <c r="AZZ111" s="3"/>
      <c r="BAA111" s="3"/>
      <c r="BAB111" s="3"/>
      <c r="BAC111" s="3"/>
      <c r="BAD111" s="3"/>
      <c r="BAE111" s="3"/>
      <c r="BAF111" s="3"/>
      <c r="BAG111" s="3"/>
      <c r="BAH111" s="3"/>
      <c r="BAI111" s="3"/>
      <c r="BAJ111" s="3"/>
      <c r="BAK111" s="3"/>
      <c r="BAL111" s="3"/>
      <c r="BAM111" s="3"/>
      <c r="BAN111" s="3"/>
      <c r="BAO111" s="3"/>
      <c r="BAP111" s="3"/>
      <c r="BAQ111" s="3"/>
      <c r="BAR111" s="3"/>
      <c r="BAS111" s="3"/>
      <c r="BAT111" s="3"/>
      <c r="BAU111" s="3"/>
      <c r="BAV111" s="3"/>
      <c r="BAW111" s="3"/>
      <c r="BAX111" s="3"/>
      <c r="BAY111" s="3"/>
      <c r="BAZ111" s="3"/>
      <c r="BBA111" s="3"/>
      <c r="BBB111" s="3"/>
      <c r="BBC111" s="3"/>
      <c r="BBD111" s="3"/>
      <c r="BBE111" s="3"/>
      <c r="BBF111" s="3"/>
      <c r="BBG111" s="3"/>
      <c r="BBH111" s="3"/>
      <c r="BBI111" s="3"/>
      <c r="BBJ111" s="3"/>
      <c r="BBK111" s="3"/>
      <c r="BBL111" s="3"/>
      <c r="BBM111" s="3"/>
      <c r="BBN111" s="3"/>
      <c r="BBO111" s="3"/>
      <c r="BBP111" s="3"/>
      <c r="BBQ111" s="3"/>
      <c r="BBR111" s="3"/>
      <c r="BBS111" s="3"/>
      <c r="BBT111" s="3"/>
      <c r="BBU111" s="3"/>
      <c r="BBV111" s="3"/>
      <c r="BBW111" s="3"/>
      <c r="BBX111" s="3"/>
      <c r="BBY111" s="3"/>
      <c r="BBZ111" s="3"/>
      <c r="BCA111" s="3"/>
      <c r="BCB111" s="3"/>
      <c r="BCC111" s="3"/>
      <c r="BCD111" s="3"/>
      <c r="BCE111" s="3"/>
      <c r="BCF111" s="3"/>
      <c r="BCG111" s="3"/>
      <c r="BCH111" s="3"/>
      <c r="BCI111" s="3"/>
      <c r="BCJ111" s="3"/>
      <c r="BCK111" s="3"/>
      <c r="BCL111" s="3"/>
      <c r="BCM111" s="3"/>
      <c r="BCN111" s="3"/>
      <c r="BCO111" s="3"/>
      <c r="BCP111" s="3"/>
      <c r="BCQ111" s="3"/>
      <c r="BCR111" s="3"/>
      <c r="BCS111" s="3"/>
      <c r="BCT111" s="3"/>
      <c r="BCU111" s="3"/>
      <c r="BCV111" s="3"/>
      <c r="BCW111" s="3"/>
      <c r="BCX111" s="3"/>
      <c r="BCY111" s="3"/>
      <c r="BCZ111" s="3"/>
      <c r="BDA111" s="3"/>
      <c r="BDB111" s="3"/>
      <c r="BDC111" s="3"/>
      <c r="BDD111" s="3"/>
      <c r="BDE111" s="3"/>
      <c r="BDF111" s="3"/>
      <c r="BDG111" s="3"/>
      <c r="BDH111" s="3"/>
      <c r="BDI111" s="3"/>
      <c r="BDJ111" s="3"/>
      <c r="BDK111" s="3"/>
      <c r="BDL111" s="3"/>
      <c r="BDM111" s="3"/>
      <c r="BDN111" s="3"/>
      <c r="BDO111" s="3"/>
      <c r="BDP111" s="3"/>
      <c r="BDQ111" s="3"/>
      <c r="BDR111" s="3"/>
      <c r="BDS111" s="3"/>
      <c r="BDT111" s="3"/>
      <c r="BDU111" s="3"/>
      <c r="BDV111" s="3"/>
      <c r="BDW111" s="3"/>
      <c r="BDX111" s="3"/>
      <c r="BDY111" s="3"/>
      <c r="BDZ111" s="3"/>
      <c r="BEA111" s="3"/>
      <c r="BEB111" s="3"/>
      <c r="BEC111" s="3"/>
      <c r="BED111" s="3"/>
      <c r="BEE111" s="3"/>
      <c r="BEF111" s="3"/>
      <c r="BEG111" s="3"/>
      <c r="BEH111" s="3"/>
      <c r="BEI111" s="3"/>
      <c r="BEJ111" s="3"/>
      <c r="BEK111" s="3"/>
      <c r="BEL111" s="3"/>
      <c r="BEM111" s="3"/>
      <c r="BEN111" s="3"/>
      <c r="BEO111" s="3"/>
      <c r="BEP111" s="3"/>
      <c r="BEQ111" s="3"/>
      <c r="BER111" s="3"/>
      <c r="BES111" s="3"/>
      <c r="BET111" s="3"/>
      <c r="BEU111" s="3"/>
      <c r="BEV111" s="3"/>
      <c r="BEW111" s="3"/>
      <c r="BEX111" s="3"/>
      <c r="BEY111" s="3"/>
      <c r="BEZ111" s="3"/>
      <c r="BFA111" s="3"/>
      <c r="BFB111" s="3"/>
      <c r="BFC111" s="3"/>
      <c r="BFD111" s="3"/>
      <c r="BFE111" s="3"/>
      <c r="BFF111" s="3"/>
      <c r="BFG111" s="3"/>
      <c r="BFH111" s="3"/>
      <c r="BFI111" s="3"/>
      <c r="BFJ111" s="3"/>
      <c r="BFK111" s="3"/>
      <c r="BFL111" s="3"/>
      <c r="BFM111" s="3"/>
      <c r="BFN111" s="3"/>
      <c r="BFO111" s="3"/>
      <c r="BFP111" s="3"/>
      <c r="BFQ111" s="3"/>
      <c r="BFR111" s="3"/>
      <c r="BFS111" s="3"/>
      <c r="BFT111" s="3"/>
      <c r="BFU111" s="3"/>
      <c r="BFV111" s="3"/>
      <c r="BFW111" s="3"/>
      <c r="BFX111" s="3"/>
      <c r="BFY111" s="3"/>
      <c r="BFZ111" s="3"/>
      <c r="BGA111" s="3"/>
      <c r="BGB111" s="3"/>
      <c r="BGC111" s="3"/>
      <c r="BGD111" s="3"/>
      <c r="BGE111" s="3"/>
      <c r="BGF111" s="3"/>
      <c r="BGG111" s="3"/>
      <c r="BGH111" s="3"/>
      <c r="BGI111" s="3"/>
      <c r="BGJ111" s="3"/>
      <c r="BGK111" s="3"/>
      <c r="BGL111" s="3"/>
      <c r="BGM111" s="3"/>
      <c r="BGN111" s="3"/>
      <c r="BGO111" s="3"/>
      <c r="BGP111" s="3"/>
      <c r="BGQ111" s="3"/>
      <c r="BGR111" s="3"/>
      <c r="BGS111" s="3"/>
      <c r="BGT111" s="3"/>
      <c r="BGU111" s="3"/>
      <c r="BGV111" s="3"/>
      <c r="BGW111" s="3"/>
      <c r="BGX111" s="3"/>
      <c r="BGY111" s="3"/>
      <c r="BGZ111" s="3"/>
      <c r="BHA111" s="3"/>
      <c r="BHB111" s="3"/>
      <c r="BHC111" s="3"/>
      <c r="BHD111" s="3"/>
      <c r="BHE111" s="3"/>
      <c r="BHF111" s="3"/>
      <c r="BHG111" s="3"/>
      <c r="BHH111" s="3"/>
      <c r="BHI111" s="3"/>
      <c r="BHJ111" s="3"/>
      <c r="BHK111" s="3"/>
      <c r="BHL111" s="3"/>
      <c r="BHM111" s="3"/>
      <c r="BHN111" s="3"/>
      <c r="BHO111" s="3"/>
      <c r="BHP111" s="3"/>
      <c r="BHQ111" s="3"/>
      <c r="BHR111" s="3"/>
      <c r="BHS111" s="3"/>
      <c r="BHT111" s="3"/>
      <c r="BHU111" s="3"/>
      <c r="BHV111" s="3"/>
      <c r="BHW111" s="3"/>
      <c r="BHX111" s="3"/>
      <c r="BHY111" s="3"/>
      <c r="BHZ111" s="3"/>
      <c r="BIA111" s="3"/>
      <c r="BIB111" s="3"/>
      <c r="BIC111" s="3"/>
      <c r="BID111" s="3"/>
      <c r="BIE111" s="3"/>
      <c r="BIF111" s="3"/>
      <c r="BIG111" s="3"/>
      <c r="BIH111" s="3"/>
      <c r="BII111" s="3"/>
      <c r="BIJ111" s="3"/>
      <c r="BIK111" s="3"/>
      <c r="BIL111" s="3"/>
      <c r="BIM111" s="3"/>
      <c r="BIN111" s="3"/>
      <c r="BIO111" s="3"/>
      <c r="BIP111" s="3"/>
      <c r="BIQ111" s="3"/>
      <c r="BIR111" s="3"/>
      <c r="BIS111" s="3"/>
      <c r="BIT111" s="3"/>
      <c r="BIU111" s="3"/>
      <c r="BIV111" s="3"/>
      <c r="BIW111" s="3"/>
      <c r="BIX111" s="3"/>
      <c r="BIY111" s="3"/>
      <c r="BIZ111" s="3"/>
      <c r="BJA111" s="3"/>
      <c r="BJB111" s="3"/>
      <c r="BJC111" s="3"/>
      <c r="BJD111" s="3"/>
      <c r="BJE111" s="3"/>
      <c r="BJF111" s="3"/>
      <c r="BJG111" s="3"/>
      <c r="BJH111" s="3"/>
      <c r="BJI111" s="3"/>
      <c r="BJJ111" s="3"/>
      <c r="BJK111" s="3"/>
      <c r="BJL111" s="3"/>
      <c r="BJM111" s="3"/>
      <c r="BJN111" s="3"/>
      <c r="BJO111" s="3"/>
      <c r="BJP111" s="3"/>
      <c r="BJQ111" s="3"/>
      <c r="BJR111" s="3"/>
      <c r="BJS111" s="3"/>
      <c r="BJT111" s="3"/>
      <c r="BJU111" s="3"/>
      <c r="BJV111" s="3"/>
      <c r="BJW111" s="3"/>
      <c r="BJX111" s="3"/>
      <c r="BJY111" s="3"/>
      <c r="BJZ111" s="3"/>
      <c r="BKA111" s="3"/>
      <c r="BKB111" s="3"/>
      <c r="BKC111" s="3"/>
      <c r="BKD111" s="3"/>
      <c r="BKE111" s="3"/>
      <c r="BKF111" s="3"/>
      <c r="BKG111" s="3"/>
      <c r="BKH111" s="3"/>
      <c r="BKI111" s="3"/>
      <c r="BKJ111" s="3"/>
      <c r="BKK111" s="3"/>
      <c r="BKL111" s="3"/>
      <c r="BKM111" s="3"/>
      <c r="BKN111" s="3"/>
      <c r="BKO111" s="3"/>
      <c r="BKP111" s="3"/>
      <c r="BKQ111" s="3"/>
      <c r="BKR111" s="3"/>
      <c r="BKS111" s="3"/>
      <c r="BKT111" s="3"/>
      <c r="BKU111" s="3"/>
      <c r="BKV111" s="3"/>
      <c r="BKW111" s="3"/>
      <c r="BKX111" s="3"/>
      <c r="BKY111" s="3"/>
      <c r="BKZ111" s="3"/>
      <c r="BLA111" s="3"/>
      <c r="BLB111" s="3"/>
      <c r="BLC111" s="3"/>
      <c r="BLD111" s="3"/>
      <c r="BLE111" s="3"/>
      <c r="BLF111" s="3"/>
      <c r="BLG111" s="3"/>
      <c r="BLH111" s="3"/>
      <c r="BLI111" s="3"/>
      <c r="BLJ111" s="3"/>
      <c r="BLK111" s="3"/>
      <c r="BLL111" s="3"/>
      <c r="BLM111" s="3"/>
      <c r="BLN111" s="3"/>
      <c r="BLO111" s="3"/>
      <c r="BLP111" s="3"/>
      <c r="BLQ111" s="3"/>
      <c r="BLR111" s="3"/>
      <c r="BLS111" s="3"/>
      <c r="BLT111" s="3"/>
      <c r="BLU111" s="3"/>
      <c r="BLV111" s="3"/>
      <c r="BLW111" s="3"/>
      <c r="BLX111" s="3"/>
      <c r="BLY111" s="3"/>
      <c r="BLZ111" s="3"/>
      <c r="BMA111" s="3"/>
      <c r="BMB111" s="3"/>
      <c r="BMC111" s="3"/>
      <c r="BMD111" s="3"/>
      <c r="BME111" s="3"/>
      <c r="BMF111" s="3"/>
      <c r="BMG111" s="3"/>
      <c r="BMH111" s="3"/>
      <c r="BMI111" s="3"/>
      <c r="BMJ111" s="3"/>
      <c r="BMK111" s="3"/>
      <c r="BML111" s="3"/>
      <c r="BMM111" s="3"/>
      <c r="BMN111" s="3"/>
      <c r="BMO111" s="3"/>
      <c r="BMP111" s="3"/>
      <c r="BMQ111" s="3"/>
      <c r="BMR111" s="3"/>
      <c r="BMS111" s="3"/>
      <c r="BMT111" s="3"/>
      <c r="BMU111" s="3"/>
      <c r="BMV111" s="3"/>
      <c r="BMW111" s="3"/>
      <c r="BMX111" s="3"/>
      <c r="BMY111" s="3"/>
      <c r="BMZ111" s="3"/>
      <c r="BNA111" s="3"/>
      <c r="BNB111" s="3"/>
      <c r="BNC111" s="3"/>
      <c r="BND111" s="3"/>
      <c r="BNE111" s="3"/>
      <c r="BNF111" s="3"/>
      <c r="BNG111" s="3"/>
      <c r="BNH111" s="3"/>
      <c r="BNI111" s="3"/>
      <c r="BNJ111" s="3"/>
      <c r="BNK111" s="3"/>
      <c r="BNL111" s="3"/>
      <c r="BNM111" s="3"/>
      <c r="BNN111" s="3"/>
      <c r="BNO111" s="3"/>
      <c r="BNP111" s="3"/>
      <c r="BNQ111" s="3"/>
      <c r="BNR111" s="3"/>
      <c r="BNS111" s="3"/>
      <c r="BNT111" s="3"/>
      <c r="BNU111" s="3"/>
      <c r="BNV111" s="3"/>
      <c r="BNW111" s="3"/>
      <c r="BNX111" s="3"/>
      <c r="BNY111" s="3"/>
      <c r="BNZ111" s="3"/>
      <c r="BOA111" s="3"/>
      <c r="BOB111" s="3"/>
      <c r="BOC111" s="3"/>
      <c r="BOD111" s="3"/>
      <c r="BOE111" s="3"/>
      <c r="BOF111" s="3"/>
      <c r="BOG111" s="3"/>
      <c r="BOH111" s="3"/>
      <c r="BOI111" s="3"/>
      <c r="BOJ111" s="3"/>
      <c r="BOK111" s="3"/>
      <c r="BOL111" s="3"/>
      <c r="BOM111" s="3"/>
      <c r="BON111" s="3"/>
      <c r="BOO111" s="3"/>
      <c r="BOP111" s="3"/>
      <c r="BOQ111" s="3"/>
      <c r="BOR111" s="3"/>
      <c r="BOS111" s="3"/>
      <c r="BOT111" s="3"/>
      <c r="BOU111" s="3"/>
      <c r="BOV111" s="3"/>
      <c r="BOW111" s="3"/>
      <c r="BOX111" s="3"/>
      <c r="BOY111" s="3"/>
      <c r="BOZ111" s="3"/>
      <c r="BPA111" s="3"/>
      <c r="BPB111" s="3"/>
      <c r="BPC111" s="3"/>
      <c r="BPD111" s="3"/>
      <c r="BPE111" s="3"/>
      <c r="BPF111" s="3"/>
      <c r="BPG111" s="3"/>
      <c r="BPH111" s="3"/>
      <c r="BPI111" s="3"/>
      <c r="BPJ111" s="3"/>
      <c r="BPK111" s="3"/>
      <c r="BPL111" s="3"/>
      <c r="BPM111" s="3"/>
      <c r="BPN111" s="3"/>
      <c r="BPO111" s="3"/>
      <c r="BPP111" s="3"/>
      <c r="BPQ111" s="3"/>
      <c r="BPR111" s="3"/>
      <c r="BPS111" s="3"/>
      <c r="BPT111" s="3"/>
      <c r="BPU111" s="3"/>
      <c r="BPV111" s="3"/>
      <c r="BPW111" s="3"/>
      <c r="BPX111" s="3"/>
      <c r="BPY111" s="3"/>
      <c r="BPZ111" s="3"/>
      <c r="BQA111" s="3"/>
      <c r="BQB111" s="3"/>
      <c r="BQC111" s="3"/>
      <c r="BQD111" s="3"/>
      <c r="BQE111" s="3"/>
      <c r="BQF111" s="3"/>
      <c r="BQG111" s="3"/>
      <c r="BQH111" s="3"/>
      <c r="BQI111" s="3"/>
      <c r="BQJ111" s="3"/>
      <c r="BQK111" s="3"/>
      <c r="BQL111" s="3"/>
      <c r="BQM111" s="3"/>
      <c r="BQN111" s="3"/>
      <c r="BQO111" s="3"/>
      <c r="BQP111" s="3"/>
      <c r="BQQ111" s="3"/>
      <c r="BQR111" s="3"/>
      <c r="BQS111" s="3"/>
      <c r="BQT111" s="3"/>
      <c r="BQU111" s="3"/>
      <c r="BQV111" s="3"/>
      <c r="BQW111" s="3"/>
      <c r="BQX111" s="3"/>
      <c r="BQY111" s="3"/>
      <c r="BQZ111" s="3"/>
      <c r="BRA111" s="3"/>
      <c r="BRB111" s="3"/>
      <c r="BRC111" s="3"/>
      <c r="BRD111" s="3"/>
      <c r="BRE111" s="3"/>
      <c r="BRF111" s="3"/>
      <c r="BRG111" s="3"/>
      <c r="BRH111" s="3"/>
      <c r="BRI111" s="3"/>
      <c r="BRJ111" s="3"/>
      <c r="BRK111" s="3"/>
      <c r="BRL111" s="3"/>
      <c r="BRM111" s="3"/>
      <c r="BRN111" s="3"/>
      <c r="BRO111" s="3"/>
      <c r="BRP111" s="3"/>
      <c r="BRQ111" s="3"/>
      <c r="BRR111" s="3"/>
      <c r="BRS111" s="3"/>
      <c r="BRT111" s="3"/>
      <c r="BRU111" s="3"/>
      <c r="BRV111" s="3"/>
      <c r="BRW111" s="3"/>
      <c r="BRX111" s="3"/>
      <c r="BRY111" s="3"/>
      <c r="BRZ111" s="3"/>
      <c r="BSA111" s="3"/>
      <c r="BSB111" s="3"/>
      <c r="BSC111" s="3"/>
      <c r="BSD111" s="3"/>
      <c r="BSE111" s="3"/>
      <c r="BSF111" s="3"/>
      <c r="BSG111" s="3"/>
      <c r="BSH111" s="3"/>
      <c r="BSI111" s="3"/>
      <c r="BSJ111" s="3"/>
      <c r="BSK111" s="3"/>
      <c r="BSL111" s="3"/>
      <c r="BSM111" s="3"/>
      <c r="BSN111" s="3"/>
      <c r="BSO111" s="3"/>
      <c r="BSP111" s="3"/>
      <c r="BSQ111" s="3"/>
      <c r="BSR111" s="3"/>
      <c r="BSS111" s="3"/>
      <c r="BST111" s="3"/>
      <c r="BSU111" s="3"/>
      <c r="BSV111" s="3"/>
      <c r="BSW111" s="3"/>
      <c r="BSX111" s="3"/>
      <c r="BSY111" s="3"/>
      <c r="BSZ111" s="3"/>
      <c r="BTA111" s="3"/>
      <c r="BTB111" s="3"/>
      <c r="BTC111" s="3"/>
      <c r="BTD111" s="3"/>
      <c r="BTE111" s="3"/>
      <c r="BTF111" s="3"/>
      <c r="BTG111" s="3"/>
      <c r="BTH111" s="3"/>
      <c r="BTI111" s="3"/>
      <c r="BTJ111" s="3"/>
      <c r="BTK111" s="3"/>
      <c r="BTL111" s="3"/>
      <c r="BTM111" s="3"/>
      <c r="BTN111" s="3"/>
      <c r="BTO111" s="3"/>
      <c r="BTP111" s="3"/>
      <c r="BTQ111" s="3"/>
      <c r="BTR111" s="3"/>
      <c r="BTS111" s="3"/>
      <c r="BTT111" s="3"/>
      <c r="BTU111" s="3"/>
      <c r="BTV111" s="3"/>
      <c r="BTW111" s="3"/>
      <c r="BTX111" s="3"/>
      <c r="BTY111" s="3"/>
      <c r="BTZ111" s="3"/>
      <c r="BUA111" s="3"/>
      <c r="BUB111" s="3"/>
      <c r="BUC111" s="3"/>
      <c r="BUD111" s="3"/>
      <c r="BUE111" s="3"/>
      <c r="BUF111" s="3"/>
      <c r="BUG111" s="3"/>
      <c r="BUH111" s="3"/>
      <c r="BUI111" s="3"/>
      <c r="BUJ111" s="3"/>
      <c r="BUK111" s="3"/>
      <c r="BUL111" s="3"/>
      <c r="BUM111" s="3"/>
      <c r="BUN111" s="3"/>
      <c r="BUO111" s="3"/>
      <c r="BUP111" s="3"/>
      <c r="BUQ111" s="3"/>
      <c r="BUR111" s="3"/>
      <c r="BUS111" s="3"/>
      <c r="BUT111" s="3"/>
      <c r="BUU111" s="3"/>
      <c r="BUV111" s="3"/>
      <c r="BUW111" s="3"/>
      <c r="BUX111" s="3"/>
      <c r="BUY111" s="3"/>
      <c r="BUZ111" s="3"/>
      <c r="BVA111" s="3"/>
      <c r="BVB111" s="3"/>
      <c r="BVC111" s="3"/>
      <c r="BVD111" s="3"/>
      <c r="BVE111" s="3"/>
      <c r="BVF111" s="3"/>
      <c r="BVG111" s="3"/>
      <c r="BVH111" s="3"/>
      <c r="BVI111" s="3"/>
      <c r="BVJ111" s="3"/>
      <c r="BVK111" s="3"/>
      <c r="BVL111" s="3"/>
      <c r="BVM111" s="3"/>
      <c r="BVN111" s="3"/>
      <c r="BVO111" s="3"/>
      <c r="BVP111" s="3"/>
      <c r="BVQ111" s="3"/>
      <c r="BVR111" s="3"/>
      <c r="BVS111" s="3"/>
      <c r="BVT111" s="3"/>
      <c r="BVU111" s="3"/>
      <c r="BVV111" s="3"/>
      <c r="BVW111" s="3"/>
      <c r="BVX111" s="3"/>
      <c r="BVY111" s="3"/>
      <c r="BVZ111" s="3"/>
      <c r="BWA111" s="3"/>
      <c r="BWB111" s="3"/>
      <c r="BWC111" s="3"/>
      <c r="BWD111" s="3"/>
      <c r="BWE111" s="3"/>
      <c r="BWF111" s="3"/>
      <c r="BWG111" s="3"/>
      <c r="BWH111" s="3"/>
      <c r="BWI111" s="3"/>
      <c r="BWJ111" s="3"/>
      <c r="BWK111" s="3"/>
      <c r="BWL111" s="3"/>
      <c r="BWM111" s="3"/>
      <c r="BWN111" s="3"/>
      <c r="BWO111" s="3"/>
      <c r="BWP111" s="3"/>
      <c r="BWQ111" s="3"/>
      <c r="BWR111" s="3"/>
      <c r="BWS111" s="3"/>
      <c r="BWT111" s="3"/>
      <c r="BWU111" s="3"/>
      <c r="BWV111" s="3"/>
      <c r="BWW111" s="3"/>
      <c r="BWX111" s="3"/>
      <c r="BWY111" s="3"/>
      <c r="BWZ111" s="3"/>
      <c r="BXA111" s="3"/>
      <c r="BXB111" s="3"/>
      <c r="BXC111" s="3"/>
      <c r="BXD111" s="3"/>
      <c r="BXE111" s="3"/>
      <c r="BXF111" s="3"/>
      <c r="BXG111" s="3"/>
      <c r="BXH111" s="3"/>
      <c r="BXI111" s="3"/>
      <c r="BXJ111" s="3"/>
      <c r="BXK111" s="3"/>
      <c r="BXL111" s="3"/>
      <c r="BXM111" s="3"/>
      <c r="BXN111" s="3"/>
      <c r="BXO111" s="3"/>
      <c r="BXP111" s="3"/>
      <c r="BXQ111" s="3"/>
      <c r="BXR111" s="3"/>
      <c r="BXS111" s="3"/>
      <c r="BXT111" s="3"/>
      <c r="BXU111" s="3"/>
      <c r="BXV111" s="3"/>
      <c r="BXW111" s="3"/>
      <c r="BXX111" s="3"/>
      <c r="BXY111" s="3"/>
      <c r="BXZ111" s="3"/>
      <c r="BYA111" s="3"/>
      <c r="BYB111" s="3"/>
      <c r="BYC111" s="3"/>
      <c r="BYD111" s="3"/>
      <c r="BYE111" s="3"/>
      <c r="BYF111" s="3"/>
      <c r="BYG111" s="3"/>
      <c r="BYH111" s="3"/>
      <c r="BYI111" s="3"/>
      <c r="BYJ111" s="3"/>
      <c r="BYK111" s="3"/>
      <c r="BYL111" s="3"/>
      <c r="BYM111" s="3"/>
      <c r="BYN111" s="3"/>
      <c r="BYO111" s="3"/>
      <c r="BYP111" s="3"/>
      <c r="BYQ111" s="3"/>
      <c r="BYR111" s="3"/>
      <c r="BYS111" s="3"/>
      <c r="BYT111" s="3"/>
      <c r="BYU111" s="3"/>
      <c r="BYV111" s="3"/>
      <c r="BYW111" s="3"/>
      <c r="BYX111" s="3"/>
      <c r="BYY111" s="3"/>
      <c r="BYZ111" s="3"/>
      <c r="BZA111" s="3"/>
      <c r="BZB111" s="3"/>
      <c r="BZC111" s="3"/>
      <c r="BZD111" s="3"/>
      <c r="BZE111" s="3"/>
      <c r="BZF111" s="3"/>
      <c r="BZG111" s="3"/>
      <c r="BZH111" s="3"/>
      <c r="BZI111" s="3"/>
      <c r="BZJ111" s="3"/>
      <c r="BZK111" s="3"/>
      <c r="BZL111" s="3"/>
      <c r="BZM111" s="3"/>
      <c r="BZN111" s="3"/>
      <c r="BZO111" s="3"/>
      <c r="BZP111" s="3"/>
      <c r="BZQ111" s="3"/>
      <c r="BZR111" s="3"/>
      <c r="BZS111" s="3"/>
      <c r="BZT111" s="3"/>
      <c r="BZU111" s="3"/>
      <c r="BZV111" s="3"/>
      <c r="BZW111" s="3"/>
      <c r="BZX111" s="3"/>
      <c r="BZY111" s="3"/>
      <c r="BZZ111" s="3"/>
      <c r="CAA111" s="3"/>
      <c r="CAB111" s="3"/>
      <c r="CAC111" s="3"/>
      <c r="CAD111" s="3"/>
      <c r="CAE111" s="3"/>
      <c r="CAF111" s="3"/>
      <c r="CAG111" s="3"/>
      <c r="CAH111" s="3"/>
      <c r="CAI111" s="3"/>
      <c r="CAJ111" s="3"/>
      <c r="CAK111" s="3"/>
      <c r="CAL111" s="3"/>
      <c r="CAM111" s="3"/>
      <c r="CAN111" s="3"/>
      <c r="CAO111" s="3"/>
      <c r="CAP111" s="3"/>
      <c r="CAQ111" s="3"/>
      <c r="CAR111" s="3"/>
      <c r="CAS111" s="3"/>
      <c r="CAT111" s="3"/>
      <c r="CAU111" s="3"/>
      <c r="CAV111" s="3"/>
      <c r="CAW111" s="3"/>
      <c r="CAX111" s="3"/>
      <c r="CAY111" s="3"/>
      <c r="CAZ111" s="3"/>
      <c r="CBA111" s="3"/>
      <c r="CBB111" s="3"/>
      <c r="CBC111" s="3"/>
      <c r="CBD111" s="3"/>
      <c r="CBE111" s="3"/>
      <c r="CBF111" s="3"/>
      <c r="CBG111" s="3"/>
      <c r="CBH111" s="3"/>
      <c r="CBI111" s="3"/>
      <c r="CBJ111" s="3"/>
      <c r="CBK111" s="3"/>
      <c r="CBL111" s="3"/>
      <c r="CBM111" s="3"/>
      <c r="CBN111" s="3"/>
      <c r="CBO111" s="3"/>
      <c r="CBP111" s="3"/>
      <c r="CBQ111" s="3"/>
      <c r="CBR111" s="3"/>
      <c r="CBS111" s="3"/>
      <c r="CBT111" s="3"/>
      <c r="CBU111" s="3"/>
      <c r="CBV111" s="3"/>
      <c r="CBW111" s="3"/>
      <c r="CBX111" s="3"/>
      <c r="CBY111" s="3"/>
      <c r="CBZ111" s="3"/>
      <c r="CCA111" s="3"/>
      <c r="CCB111" s="3"/>
      <c r="CCC111" s="3"/>
      <c r="CCD111" s="3"/>
      <c r="CCE111" s="3"/>
      <c r="CCF111" s="3"/>
      <c r="CCG111" s="3"/>
      <c r="CCH111" s="3"/>
      <c r="CCI111" s="3"/>
      <c r="CCJ111" s="3"/>
      <c r="CCK111" s="3"/>
      <c r="CCL111" s="3"/>
      <c r="CCM111" s="3"/>
      <c r="CCN111" s="3"/>
      <c r="CCO111" s="3"/>
      <c r="CCP111" s="3"/>
      <c r="CCQ111" s="3"/>
      <c r="CCR111" s="3"/>
      <c r="CCS111" s="3"/>
      <c r="CCT111" s="3"/>
      <c r="CCU111" s="3"/>
      <c r="CCV111" s="3"/>
      <c r="CCW111" s="3"/>
      <c r="CCX111" s="3"/>
      <c r="CCY111" s="3"/>
      <c r="CCZ111" s="3"/>
      <c r="CDA111" s="3"/>
      <c r="CDB111" s="3"/>
      <c r="CDC111" s="3"/>
      <c r="CDD111" s="3"/>
      <c r="CDE111" s="3"/>
      <c r="CDF111" s="3"/>
      <c r="CDG111" s="3"/>
      <c r="CDH111" s="3"/>
      <c r="CDI111" s="3"/>
      <c r="CDJ111" s="3"/>
      <c r="CDK111" s="3"/>
      <c r="CDL111" s="3"/>
      <c r="CDM111" s="3"/>
      <c r="CDN111" s="3"/>
      <c r="CDO111" s="3"/>
      <c r="CDP111" s="3"/>
      <c r="CDQ111" s="3"/>
      <c r="CDR111" s="3"/>
      <c r="CDS111" s="3"/>
      <c r="CDT111" s="3"/>
      <c r="CDU111" s="3"/>
      <c r="CDV111" s="3"/>
      <c r="CDW111" s="3"/>
      <c r="CDX111" s="3"/>
      <c r="CDY111" s="3"/>
      <c r="CDZ111" s="3"/>
      <c r="CEA111" s="3"/>
      <c r="CEB111" s="3"/>
      <c r="CEC111" s="3"/>
      <c r="CED111" s="3"/>
      <c r="CEE111" s="3"/>
      <c r="CEF111" s="3"/>
      <c r="CEG111" s="3"/>
      <c r="CEH111" s="3"/>
      <c r="CEI111" s="3"/>
      <c r="CEJ111" s="3"/>
      <c r="CEK111" s="3"/>
      <c r="CEL111" s="3"/>
      <c r="CEM111" s="3"/>
      <c r="CEN111" s="3"/>
      <c r="CEO111" s="3"/>
      <c r="CEP111" s="3"/>
      <c r="CEQ111" s="3"/>
      <c r="CER111" s="3"/>
      <c r="CES111" s="3"/>
      <c r="CET111" s="3"/>
      <c r="CEU111" s="3"/>
      <c r="CEV111" s="3"/>
      <c r="CEW111" s="3"/>
      <c r="CEX111" s="3"/>
      <c r="CEY111" s="3"/>
      <c r="CEZ111" s="3"/>
      <c r="CFA111" s="3"/>
      <c r="CFB111" s="3"/>
      <c r="CFC111" s="3"/>
      <c r="CFD111" s="3"/>
      <c r="CFE111" s="3"/>
      <c r="CFF111" s="3"/>
      <c r="CFG111" s="3"/>
      <c r="CFH111" s="3"/>
      <c r="CFI111" s="3"/>
      <c r="CFJ111" s="3"/>
      <c r="CFK111" s="3"/>
      <c r="CFL111" s="3"/>
      <c r="CFM111" s="3"/>
      <c r="CFN111" s="3"/>
      <c r="CFO111" s="3"/>
      <c r="CFP111" s="3"/>
      <c r="CFQ111" s="3"/>
      <c r="CFR111" s="3"/>
      <c r="CFS111" s="3"/>
      <c r="CFT111" s="3"/>
      <c r="CFU111" s="3"/>
      <c r="CFV111" s="3"/>
      <c r="CFW111" s="3"/>
      <c r="CFX111" s="3"/>
      <c r="CFY111" s="3"/>
      <c r="CFZ111" s="3"/>
      <c r="CGA111" s="3"/>
      <c r="CGB111" s="3"/>
      <c r="CGC111" s="3"/>
      <c r="CGD111" s="3"/>
      <c r="CGE111" s="3"/>
      <c r="CGF111" s="3"/>
      <c r="CGG111" s="3"/>
      <c r="CGH111" s="3"/>
      <c r="CGI111" s="3"/>
      <c r="CGJ111" s="3"/>
      <c r="CGK111" s="3"/>
      <c r="CGL111" s="3"/>
      <c r="CGM111" s="3"/>
      <c r="CGN111" s="3"/>
      <c r="CGO111" s="3"/>
      <c r="CGP111" s="3"/>
      <c r="CGQ111" s="3"/>
      <c r="CGR111" s="3"/>
      <c r="CGS111" s="3"/>
      <c r="CGT111" s="3"/>
      <c r="CGU111" s="3"/>
      <c r="CGV111" s="3"/>
      <c r="CGW111" s="3"/>
      <c r="CGX111" s="3"/>
      <c r="CGY111" s="3"/>
      <c r="CGZ111" s="3"/>
      <c r="CHA111" s="3"/>
      <c r="CHB111" s="3"/>
      <c r="CHC111" s="3"/>
      <c r="CHD111" s="3"/>
      <c r="CHE111" s="3"/>
      <c r="CHF111" s="3"/>
      <c r="CHG111" s="3"/>
      <c r="CHH111" s="3"/>
      <c r="CHI111" s="3"/>
      <c r="CHJ111" s="3"/>
      <c r="CHK111" s="3"/>
      <c r="CHL111" s="3"/>
      <c r="CHM111" s="3"/>
      <c r="CHN111" s="3"/>
      <c r="CHO111" s="3"/>
      <c r="CHP111" s="3"/>
      <c r="CHQ111" s="3"/>
      <c r="CHR111" s="3"/>
      <c r="CHS111" s="3"/>
      <c r="CHT111" s="3"/>
      <c r="CHU111" s="3"/>
      <c r="CHV111" s="3"/>
      <c r="CHW111" s="3"/>
      <c r="CHX111" s="3"/>
      <c r="CHY111" s="3"/>
      <c r="CHZ111" s="3"/>
      <c r="CIA111" s="3"/>
      <c r="CIB111" s="3"/>
      <c r="CIC111" s="3"/>
      <c r="CID111" s="3"/>
      <c r="CIE111" s="3"/>
      <c r="CIF111" s="3"/>
      <c r="CIG111" s="3"/>
      <c r="CIH111" s="3"/>
      <c r="CII111" s="3"/>
      <c r="CIJ111" s="3"/>
      <c r="CIK111" s="3"/>
      <c r="CIL111" s="3"/>
      <c r="CIM111" s="3"/>
      <c r="CIN111" s="3"/>
      <c r="CIO111" s="3"/>
      <c r="CIP111" s="3"/>
      <c r="CIQ111" s="3"/>
      <c r="CIR111" s="3"/>
      <c r="CIS111" s="3"/>
      <c r="CIT111" s="3"/>
      <c r="CIU111" s="3"/>
      <c r="CIV111" s="3"/>
      <c r="CIW111" s="3"/>
      <c r="CIX111" s="3"/>
      <c r="CIY111" s="3"/>
      <c r="CIZ111" s="3"/>
      <c r="CJA111" s="3"/>
      <c r="CJB111" s="3"/>
      <c r="CJC111" s="3"/>
      <c r="CJD111" s="3"/>
      <c r="CJE111" s="3"/>
      <c r="CJF111" s="3"/>
      <c r="CJG111" s="3"/>
      <c r="CJH111" s="3"/>
      <c r="CJI111" s="3"/>
      <c r="CJJ111" s="3"/>
      <c r="CJK111" s="3"/>
      <c r="CJL111" s="3"/>
      <c r="CJM111" s="3"/>
      <c r="CJN111" s="3"/>
      <c r="CJO111" s="3"/>
      <c r="CJP111" s="3"/>
      <c r="CJQ111" s="3"/>
      <c r="CJR111" s="3"/>
      <c r="CJS111" s="3"/>
      <c r="CJT111" s="3"/>
      <c r="CJU111" s="3"/>
      <c r="CJV111" s="3"/>
      <c r="CJW111" s="3"/>
      <c r="CJX111" s="3"/>
      <c r="CJY111" s="3"/>
      <c r="CJZ111" s="3"/>
      <c r="CKA111" s="3"/>
      <c r="CKB111" s="3"/>
      <c r="CKC111" s="3"/>
      <c r="CKD111" s="3"/>
      <c r="CKE111" s="3"/>
      <c r="CKF111" s="3"/>
      <c r="CKG111" s="3"/>
      <c r="CKH111" s="3"/>
      <c r="CKI111" s="3"/>
      <c r="CKJ111" s="3"/>
      <c r="CKK111" s="3"/>
      <c r="CKL111" s="3"/>
      <c r="CKM111" s="3"/>
      <c r="CKN111" s="3"/>
      <c r="CKO111" s="3"/>
      <c r="CKP111" s="3"/>
      <c r="CKQ111" s="3"/>
      <c r="CKR111" s="3"/>
      <c r="CKS111" s="3"/>
      <c r="CKT111" s="3"/>
      <c r="CKU111" s="3"/>
      <c r="CKV111" s="3"/>
      <c r="CKW111" s="3"/>
      <c r="CKX111" s="3"/>
      <c r="CKY111" s="3"/>
      <c r="CKZ111" s="3"/>
      <c r="CLA111" s="3"/>
      <c r="CLB111" s="3"/>
      <c r="CLC111" s="3"/>
      <c r="CLD111" s="3"/>
      <c r="CLE111" s="3"/>
      <c r="CLF111" s="3"/>
      <c r="CLG111" s="3"/>
      <c r="CLH111" s="3"/>
      <c r="CLI111" s="3"/>
      <c r="CLJ111" s="3"/>
      <c r="CLK111" s="3"/>
      <c r="CLL111" s="3"/>
      <c r="CLM111" s="3"/>
      <c r="CLN111" s="3"/>
      <c r="CLO111" s="3"/>
      <c r="CLP111" s="3"/>
      <c r="CLQ111" s="3"/>
      <c r="CLR111" s="3"/>
      <c r="CLS111" s="3"/>
      <c r="CLT111" s="3"/>
      <c r="CLU111" s="3"/>
      <c r="CLV111" s="3"/>
      <c r="CLW111" s="3"/>
      <c r="CLX111" s="3"/>
      <c r="CLY111" s="3"/>
      <c r="CLZ111" s="3"/>
      <c r="CMA111" s="3"/>
      <c r="CMB111" s="3"/>
      <c r="CMC111" s="3"/>
      <c r="CMD111" s="3"/>
      <c r="CME111" s="3"/>
      <c r="CMF111" s="3"/>
      <c r="CMG111" s="3"/>
      <c r="CMH111" s="3"/>
      <c r="CMI111" s="3"/>
      <c r="CMJ111" s="3"/>
      <c r="CMK111" s="3"/>
      <c r="CML111" s="3"/>
      <c r="CMM111" s="3"/>
      <c r="CMN111" s="3"/>
      <c r="CMO111" s="3"/>
      <c r="CMP111" s="3"/>
      <c r="CMQ111" s="3"/>
      <c r="CMR111" s="3"/>
      <c r="CMS111" s="3"/>
      <c r="CMT111" s="3"/>
      <c r="CMU111" s="3"/>
      <c r="CMV111" s="3"/>
      <c r="CMW111" s="3"/>
      <c r="CMX111" s="3"/>
      <c r="CMY111" s="3"/>
      <c r="CMZ111" s="3"/>
      <c r="CNA111" s="3"/>
      <c r="CNB111" s="3"/>
      <c r="CNC111" s="3"/>
      <c r="CND111" s="3"/>
      <c r="CNE111" s="3"/>
      <c r="CNF111" s="3"/>
      <c r="CNG111" s="3"/>
      <c r="CNH111" s="3"/>
      <c r="CNI111" s="3"/>
      <c r="CNJ111" s="3"/>
      <c r="CNK111" s="3"/>
      <c r="CNL111" s="3"/>
      <c r="CNM111" s="3"/>
      <c r="CNN111" s="3"/>
      <c r="CNO111" s="3"/>
      <c r="CNP111" s="3"/>
      <c r="CNQ111" s="3"/>
      <c r="CNR111" s="3"/>
      <c r="CNS111" s="3"/>
      <c r="CNT111" s="3"/>
      <c r="CNU111" s="3"/>
      <c r="CNV111" s="3"/>
      <c r="CNW111" s="3"/>
      <c r="CNX111" s="3"/>
      <c r="CNY111" s="3"/>
      <c r="CNZ111" s="3"/>
      <c r="COA111" s="3"/>
      <c r="COB111" s="3"/>
      <c r="COC111" s="3"/>
      <c r="COD111" s="3"/>
      <c r="COE111" s="3"/>
      <c r="COF111" s="3"/>
      <c r="COG111" s="3"/>
      <c r="COH111" s="3"/>
      <c r="COI111" s="3"/>
      <c r="COJ111" s="3"/>
      <c r="COK111" s="3"/>
      <c r="COL111" s="3"/>
      <c r="COM111" s="3"/>
      <c r="CON111" s="3"/>
      <c r="COO111" s="3"/>
      <c r="COP111" s="3"/>
      <c r="COQ111" s="3"/>
      <c r="COR111" s="3"/>
      <c r="COS111" s="3"/>
      <c r="COT111" s="3"/>
      <c r="COU111" s="3"/>
      <c r="COV111" s="3"/>
      <c r="COW111" s="3"/>
      <c r="COX111" s="3"/>
      <c r="COY111" s="3"/>
      <c r="COZ111" s="3"/>
      <c r="CPA111" s="3"/>
      <c r="CPB111" s="3"/>
      <c r="CPC111" s="3"/>
      <c r="CPD111" s="3"/>
      <c r="CPE111" s="3"/>
      <c r="CPF111" s="3"/>
      <c r="CPG111" s="3"/>
      <c r="CPH111" s="3"/>
      <c r="CPI111" s="3"/>
      <c r="CPJ111" s="3"/>
      <c r="CPK111" s="3"/>
      <c r="CPL111" s="3"/>
      <c r="CPM111" s="3"/>
      <c r="CPN111" s="3"/>
      <c r="CPO111" s="3"/>
      <c r="CPP111" s="3"/>
      <c r="CPQ111" s="3"/>
      <c r="CPR111" s="3"/>
      <c r="CPS111" s="3"/>
      <c r="CPT111" s="3"/>
      <c r="CPU111" s="3"/>
      <c r="CPV111" s="3"/>
      <c r="CPW111" s="3"/>
      <c r="CPX111" s="3"/>
      <c r="CPY111" s="3"/>
      <c r="CPZ111" s="3"/>
      <c r="CQA111" s="3"/>
      <c r="CQB111" s="3"/>
      <c r="CQC111" s="3"/>
      <c r="CQD111" s="3"/>
      <c r="CQE111" s="3"/>
      <c r="CQF111" s="3"/>
      <c r="CQG111" s="3"/>
      <c r="CQH111" s="3"/>
      <c r="CQI111" s="3"/>
      <c r="CQJ111" s="3"/>
      <c r="CQK111" s="3"/>
      <c r="CQL111" s="3"/>
      <c r="CQM111" s="3"/>
      <c r="CQN111" s="3"/>
      <c r="CQO111" s="3"/>
      <c r="CQP111" s="3"/>
      <c r="CQQ111" s="3"/>
      <c r="CQR111" s="3"/>
      <c r="CQS111" s="3"/>
      <c r="CQT111" s="3"/>
      <c r="CQU111" s="3"/>
      <c r="CQV111" s="3"/>
      <c r="CQW111" s="3"/>
      <c r="CQX111" s="3"/>
      <c r="CQY111" s="3"/>
      <c r="CQZ111" s="3"/>
      <c r="CRA111" s="3"/>
      <c r="CRB111" s="3"/>
      <c r="CRC111" s="3"/>
      <c r="CRD111" s="3"/>
      <c r="CRE111" s="3"/>
      <c r="CRF111" s="3"/>
      <c r="CRG111" s="3"/>
      <c r="CRH111" s="3"/>
      <c r="CRI111" s="3"/>
      <c r="CRJ111" s="3"/>
      <c r="CRK111" s="3"/>
      <c r="CRL111" s="3"/>
      <c r="CRM111" s="3"/>
      <c r="CRN111" s="3"/>
      <c r="CRO111" s="3"/>
      <c r="CRP111" s="3"/>
      <c r="CRQ111" s="3"/>
      <c r="CRR111" s="3"/>
      <c r="CRS111" s="3"/>
      <c r="CRT111" s="3"/>
      <c r="CRU111" s="3"/>
      <c r="CRV111" s="3"/>
      <c r="CRW111" s="3"/>
      <c r="CRX111" s="3"/>
      <c r="CRY111" s="3"/>
      <c r="CRZ111" s="3"/>
      <c r="CSA111" s="3"/>
      <c r="CSB111" s="3"/>
      <c r="CSC111" s="3"/>
      <c r="CSD111" s="3"/>
      <c r="CSE111" s="3"/>
      <c r="CSF111" s="3"/>
      <c r="CSG111" s="3"/>
      <c r="CSH111" s="3"/>
      <c r="CSI111" s="3"/>
      <c r="CSJ111" s="3"/>
      <c r="CSK111" s="3"/>
      <c r="CSL111" s="3"/>
      <c r="CSM111" s="3"/>
      <c r="CSN111" s="3"/>
      <c r="CSO111" s="3"/>
      <c r="CSP111" s="3"/>
      <c r="CSQ111" s="3"/>
      <c r="CSR111" s="3"/>
      <c r="CSS111" s="3"/>
      <c r="CST111" s="3"/>
      <c r="CSU111" s="3"/>
      <c r="CSV111" s="3"/>
      <c r="CSW111" s="3"/>
      <c r="CSX111" s="3"/>
      <c r="CSY111" s="3"/>
      <c r="CSZ111" s="3"/>
      <c r="CTA111" s="3"/>
      <c r="CTB111" s="3"/>
      <c r="CTC111" s="3"/>
      <c r="CTD111" s="3"/>
      <c r="CTE111" s="3"/>
      <c r="CTF111" s="3"/>
      <c r="CTG111" s="3"/>
      <c r="CTH111" s="3"/>
      <c r="CTI111" s="3"/>
      <c r="CTJ111" s="3"/>
      <c r="CTK111" s="3"/>
      <c r="CTL111" s="3"/>
      <c r="CTM111" s="3"/>
      <c r="CTN111" s="3"/>
      <c r="CTO111" s="3"/>
      <c r="CTP111" s="3"/>
      <c r="CTQ111" s="3"/>
      <c r="CTR111" s="3"/>
      <c r="CTS111" s="3"/>
      <c r="CTT111" s="3"/>
      <c r="CTU111" s="3"/>
      <c r="CTV111" s="3"/>
      <c r="CTW111" s="3"/>
      <c r="CTX111" s="3"/>
      <c r="CTY111" s="3"/>
      <c r="CTZ111" s="3"/>
      <c r="CUA111" s="3"/>
      <c r="CUB111" s="3"/>
      <c r="CUC111" s="3"/>
      <c r="CUD111" s="3"/>
      <c r="CUE111" s="3"/>
      <c r="CUF111" s="3"/>
      <c r="CUG111" s="3"/>
      <c r="CUH111" s="3"/>
      <c r="CUI111" s="3"/>
      <c r="CUJ111" s="3"/>
      <c r="CUK111" s="3"/>
      <c r="CUL111" s="3"/>
      <c r="CUM111" s="3"/>
      <c r="CUN111" s="3"/>
      <c r="CUO111" s="3"/>
      <c r="CUP111" s="3"/>
      <c r="CUQ111" s="3"/>
      <c r="CUR111" s="3"/>
      <c r="CUS111" s="3"/>
      <c r="CUT111" s="3"/>
      <c r="CUU111" s="3"/>
      <c r="CUV111" s="3"/>
      <c r="CUW111" s="3"/>
      <c r="CUX111" s="3"/>
      <c r="CUY111" s="3"/>
      <c r="CUZ111" s="3"/>
      <c r="CVA111" s="3"/>
      <c r="CVB111" s="3"/>
      <c r="CVC111" s="3"/>
      <c r="CVD111" s="3"/>
      <c r="CVE111" s="3"/>
      <c r="CVF111" s="3"/>
      <c r="CVG111" s="3"/>
      <c r="CVH111" s="3"/>
      <c r="CVI111" s="3"/>
      <c r="CVJ111" s="3"/>
      <c r="CVK111" s="3"/>
      <c r="CVL111" s="3"/>
      <c r="CVM111" s="3"/>
      <c r="CVN111" s="3"/>
      <c r="CVO111" s="3"/>
      <c r="CVP111" s="3"/>
      <c r="CVQ111" s="3"/>
      <c r="CVR111" s="3"/>
      <c r="CVS111" s="3"/>
      <c r="CVT111" s="3"/>
      <c r="CVU111" s="3"/>
      <c r="CVV111" s="3"/>
      <c r="CVW111" s="3"/>
      <c r="CVX111" s="3"/>
      <c r="CVY111" s="3"/>
      <c r="CVZ111" s="3"/>
      <c r="CWA111" s="3"/>
      <c r="CWB111" s="3"/>
      <c r="CWC111" s="3"/>
      <c r="CWD111" s="3"/>
      <c r="CWE111" s="3"/>
      <c r="CWF111" s="3"/>
      <c r="CWG111" s="3"/>
      <c r="CWH111" s="3"/>
      <c r="CWI111" s="3"/>
      <c r="CWJ111" s="3"/>
      <c r="CWK111" s="3"/>
      <c r="CWL111" s="3"/>
      <c r="CWM111" s="3"/>
      <c r="CWN111" s="3"/>
      <c r="CWO111" s="3"/>
      <c r="CWP111" s="3"/>
      <c r="CWQ111" s="3"/>
      <c r="CWR111" s="3"/>
      <c r="CWS111" s="3"/>
      <c r="CWT111" s="3"/>
      <c r="CWU111" s="3"/>
      <c r="CWV111" s="3"/>
      <c r="CWW111" s="3"/>
      <c r="CWX111" s="3"/>
      <c r="CWY111" s="3"/>
      <c r="CWZ111" s="3"/>
      <c r="CXA111" s="3"/>
      <c r="CXB111" s="3"/>
      <c r="CXC111" s="3"/>
      <c r="CXD111" s="3"/>
      <c r="CXE111" s="3"/>
      <c r="CXF111" s="3"/>
      <c r="CXG111" s="3"/>
      <c r="CXH111" s="3"/>
      <c r="CXI111" s="3"/>
      <c r="CXJ111" s="3"/>
      <c r="CXK111" s="3"/>
      <c r="CXL111" s="3"/>
      <c r="CXM111" s="3"/>
      <c r="CXN111" s="3"/>
      <c r="CXO111" s="3"/>
      <c r="CXP111" s="3"/>
      <c r="CXQ111" s="3"/>
      <c r="CXR111" s="3"/>
      <c r="CXS111" s="3"/>
      <c r="CXT111" s="3"/>
      <c r="CXU111" s="3"/>
      <c r="CXV111" s="3"/>
      <c r="CXW111" s="3"/>
      <c r="CXX111" s="3"/>
      <c r="CXY111" s="3"/>
      <c r="CXZ111" s="3"/>
      <c r="CYA111" s="3"/>
      <c r="CYB111" s="3"/>
      <c r="CYC111" s="3"/>
      <c r="CYD111" s="3"/>
      <c r="CYE111" s="3"/>
      <c r="CYF111" s="3"/>
      <c r="CYG111" s="3"/>
      <c r="CYH111" s="3"/>
      <c r="CYI111" s="3"/>
      <c r="CYJ111" s="3"/>
      <c r="CYK111" s="3"/>
      <c r="CYL111" s="3"/>
      <c r="CYM111" s="3"/>
      <c r="CYN111" s="3"/>
      <c r="CYO111" s="3"/>
      <c r="CYP111" s="3"/>
      <c r="CYQ111" s="3"/>
      <c r="CYR111" s="3"/>
      <c r="CYS111" s="3"/>
      <c r="CYT111" s="3"/>
      <c r="CYU111" s="3"/>
      <c r="CYV111" s="3"/>
      <c r="CYW111" s="3"/>
      <c r="CYX111" s="3"/>
      <c r="CYY111" s="3"/>
      <c r="CYZ111" s="3"/>
      <c r="CZA111" s="3"/>
      <c r="CZB111" s="3"/>
      <c r="CZC111" s="3"/>
      <c r="CZD111" s="3"/>
      <c r="CZE111" s="3"/>
      <c r="CZF111" s="3"/>
      <c r="CZG111" s="3"/>
      <c r="CZH111" s="3"/>
      <c r="CZI111" s="3"/>
      <c r="CZJ111" s="3"/>
      <c r="CZK111" s="3"/>
      <c r="CZL111" s="3"/>
      <c r="CZM111" s="3"/>
      <c r="CZN111" s="3"/>
      <c r="CZO111" s="3"/>
      <c r="CZP111" s="3"/>
      <c r="CZQ111" s="3"/>
      <c r="CZR111" s="3"/>
      <c r="CZS111" s="3"/>
      <c r="CZT111" s="3"/>
      <c r="CZU111" s="3"/>
      <c r="CZV111" s="3"/>
      <c r="CZW111" s="3"/>
      <c r="CZX111" s="3"/>
      <c r="CZY111" s="3"/>
      <c r="CZZ111" s="3"/>
      <c r="DAA111" s="3"/>
      <c r="DAB111" s="3"/>
      <c r="DAC111" s="3"/>
      <c r="DAD111" s="3"/>
      <c r="DAE111" s="3"/>
      <c r="DAF111" s="3"/>
      <c r="DAG111" s="3"/>
      <c r="DAH111" s="3"/>
      <c r="DAI111" s="3"/>
      <c r="DAJ111" s="3"/>
      <c r="DAK111" s="3"/>
      <c r="DAL111" s="3"/>
      <c r="DAM111" s="3"/>
      <c r="DAN111" s="3"/>
      <c r="DAO111" s="3"/>
      <c r="DAP111" s="3"/>
      <c r="DAQ111" s="3"/>
      <c r="DAR111" s="3"/>
      <c r="DAS111" s="3"/>
      <c r="DAT111" s="3"/>
      <c r="DAU111" s="3"/>
      <c r="DAV111" s="3"/>
      <c r="DAW111" s="3"/>
      <c r="DAX111" s="3"/>
      <c r="DAY111" s="3"/>
      <c r="DAZ111" s="3"/>
      <c r="DBA111" s="3"/>
      <c r="DBB111" s="3"/>
      <c r="DBC111" s="3"/>
      <c r="DBD111" s="3"/>
      <c r="DBE111" s="3"/>
      <c r="DBF111" s="3"/>
      <c r="DBG111" s="3"/>
      <c r="DBH111" s="3"/>
      <c r="DBI111" s="3"/>
      <c r="DBJ111" s="3"/>
      <c r="DBK111" s="3"/>
      <c r="DBL111" s="3"/>
      <c r="DBM111" s="3"/>
      <c r="DBN111" s="3"/>
      <c r="DBO111" s="3"/>
      <c r="DBP111" s="3"/>
      <c r="DBQ111" s="3"/>
      <c r="DBR111" s="3"/>
      <c r="DBS111" s="3"/>
      <c r="DBT111" s="3"/>
      <c r="DBU111" s="3"/>
      <c r="DBV111" s="3"/>
      <c r="DBW111" s="3"/>
      <c r="DBX111" s="3"/>
      <c r="DBY111" s="3"/>
      <c r="DBZ111" s="3"/>
      <c r="DCA111" s="3"/>
      <c r="DCB111" s="3"/>
      <c r="DCC111" s="3"/>
      <c r="DCD111" s="3"/>
      <c r="DCE111" s="3"/>
      <c r="DCF111" s="3"/>
      <c r="DCG111" s="3"/>
      <c r="DCH111" s="3"/>
      <c r="DCI111" s="3"/>
      <c r="DCJ111" s="3"/>
      <c r="DCK111" s="3"/>
      <c r="DCL111" s="3"/>
      <c r="DCM111" s="3"/>
      <c r="DCN111" s="3"/>
      <c r="DCO111" s="3"/>
      <c r="DCP111" s="3"/>
      <c r="DCQ111" s="3"/>
      <c r="DCR111" s="3"/>
      <c r="DCS111" s="3"/>
      <c r="DCT111" s="3"/>
      <c r="DCU111" s="3"/>
      <c r="DCV111" s="3"/>
      <c r="DCW111" s="3"/>
      <c r="DCX111" s="3"/>
      <c r="DCY111" s="3"/>
      <c r="DCZ111" s="3"/>
      <c r="DDA111" s="3"/>
      <c r="DDB111" s="3"/>
      <c r="DDC111" s="3"/>
      <c r="DDD111" s="3"/>
      <c r="DDE111" s="3"/>
      <c r="DDF111" s="3"/>
      <c r="DDG111" s="3"/>
      <c r="DDH111" s="3"/>
      <c r="DDI111" s="3"/>
      <c r="DDJ111" s="3"/>
      <c r="DDK111" s="3"/>
      <c r="DDL111" s="3"/>
      <c r="DDM111" s="3"/>
      <c r="DDN111" s="3"/>
      <c r="DDO111" s="3"/>
      <c r="DDP111" s="3"/>
      <c r="DDQ111" s="3"/>
      <c r="DDR111" s="3"/>
      <c r="DDS111" s="3"/>
      <c r="DDT111" s="3"/>
      <c r="DDU111" s="3"/>
      <c r="DDV111" s="3"/>
      <c r="DDW111" s="3"/>
      <c r="DDX111" s="3"/>
      <c r="DDY111" s="3"/>
      <c r="DDZ111" s="3"/>
      <c r="DEA111" s="3"/>
      <c r="DEB111" s="3"/>
      <c r="DEC111" s="3"/>
      <c r="DED111" s="3"/>
      <c r="DEE111" s="3"/>
      <c r="DEF111" s="3"/>
      <c r="DEG111" s="3"/>
      <c r="DEH111" s="3"/>
      <c r="DEI111" s="3"/>
      <c r="DEJ111" s="3"/>
      <c r="DEK111" s="3"/>
      <c r="DEL111" s="3"/>
      <c r="DEM111" s="3"/>
      <c r="DEN111" s="3"/>
      <c r="DEO111" s="3"/>
      <c r="DEP111" s="3"/>
      <c r="DEQ111" s="3"/>
      <c r="DER111" s="3"/>
      <c r="DES111" s="3"/>
      <c r="DET111" s="3"/>
      <c r="DEU111" s="3"/>
      <c r="DEV111" s="3"/>
      <c r="DEW111" s="3"/>
      <c r="DEX111" s="3"/>
      <c r="DEY111" s="3"/>
      <c r="DEZ111" s="3"/>
      <c r="DFA111" s="3"/>
      <c r="DFB111" s="3"/>
      <c r="DFC111" s="3"/>
      <c r="DFD111" s="3"/>
      <c r="DFE111" s="3"/>
      <c r="DFF111" s="3"/>
      <c r="DFG111" s="3"/>
      <c r="DFH111" s="3"/>
      <c r="DFI111" s="3"/>
      <c r="DFJ111" s="3"/>
      <c r="DFK111" s="3"/>
      <c r="DFL111" s="3"/>
      <c r="DFM111" s="3"/>
      <c r="DFN111" s="3"/>
      <c r="DFO111" s="3"/>
      <c r="DFP111" s="3"/>
      <c r="DFQ111" s="3"/>
      <c r="DFR111" s="3"/>
      <c r="DFS111" s="3"/>
      <c r="DFT111" s="3"/>
      <c r="DFU111" s="3"/>
      <c r="DFV111" s="3"/>
      <c r="DFW111" s="3"/>
      <c r="DFX111" s="3"/>
      <c r="DFY111" s="3"/>
      <c r="DFZ111" s="3"/>
      <c r="DGA111" s="3"/>
      <c r="DGB111" s="3"/>
      <c r="DGC111" s="3"/>
      <c r="DGD111" s="3"/>
      <c r="DGE111" s="3"/>
      <c r="DGF111" s="3"/>
      <c r="DGG111" s="3"/>
      <c r="DGH111" s="3"/>
      <c r="DGI111" s="3"/>
      <c r="DGJ111" s="3"/>
      <c r="DGK111" s="3"/>
      <c r="DGL111" s="3"/>
      <c r="DGM111" s="3"/>
      <c r="DGN111" s="3"/>
      <c r="DGO111" s="3"/>
      <c r="DGP111" s="3"/>
      <c r="DGQ111" s="3"/>
      <c r="DGR111" s="3"/>
      <c r="DGS111" s="3"/>
      <c r="DGT111" s="3"/>
      <c r="DGU111" s="3"/>
      <c r="DGV111" s="3"/>
      <c r="DGW111" s="3"/>
      <c r="DGX111" s="3"/>
      <c r="DGY111" s="3"/>
      <c r="DGZ111" s="3"/>
      <c r="DHA111" s="3"/>
      <c r="DHB111" s="3"/>
      <c r="DHC111" s="3"/>
      <c r="DHD111" s="3"/>
      <c r="DHE111" s="3"/>
      <c r="DHF111" s="3"/>
      <c r="DHG111" s="3"/>
      <c r="DHH111" s="3"/>
      <c r="DHI111" s="3"/>
      <c r="DHJ111" s="3"/>
      <c r="DHK111" s="3"/>
      <c r="DHL111" s="3"/>
      <c r="DHM111" s="3"/>
      <c r="DHN111" s="3"/>
      <c r="DHO111" s="3"/>
      <c r="DHP111" s="3"/>
      <c r="DHQ111" s="3"/>
      <c r="DHR111" s="3"/>
      <c r="DHS111" s="3"/>
      <c r="DHT111" s="3"/>
      <c r="DHU111" s="3"/>
      <c r="DHV111" s="3"/>
      <c r="DHW111" s="3"/>
      <c r="DHX111" s="3"/>
      <c r="DHY111" s="3"/>
      <c r="DHZ111" s="3"/>
      <c r="DIA111" s="3"/>
      <c r="DIB111" s="3"/>
      <c r="DIC111" s="3"/>
      <c r="DID111" s="3"/>
      <c r="DIE111" s="3"/>
      <c r="DIF111" s="3"/>
      <c r="DIG111" s="3"/>
      <c r="DIH111" s="3"/>
      <c r="DII111" s="3"/>
      <c r="DIJ111" s="3"/>
      <c r="DIK111" s="3"/>
      <c r="DIL111" s="3"/>
      <c r="DIM111" s="3"/>
      <c r="DIN111" s="3"/>
      <c r="DIO111" s="3"/>
      <c r="DIP111" s="3"/>
      <c r="DIQ111" s="3"/>
      <c r="DIR111" s="3"/>
      <c r="DIS111" s="3"/>
      <c r="DIT111" s="3"/>
      <c r="DIU111" s="3"/>
      <c r="DIV111" s="3"/>
      <c r="DIW111" s="3"/>
      <c r="DIX111" s="3"/>
      <c r="DIY111" s="3"/>
      <c r="DIZ111" s="3"/>
      <c r="DJA111" s="3"/>
      <c r="DJB111" s="3"/>
      <c r="DJC111" s="3"/>
      <c r="DJD111" s="3"/>
      <c r="DJE111" s="3"/>
      <c r="DJF111" s="3"/>
      <c r="DJG111" s="3"/>
      <c r="DJH111" s="3"/>
      <c r="DJI111" s="3"/>
      <c r="DJJ111" s="3"/>
      <c r="DJK111" s="3"/>
      <c r="DJL111" s="3"/>
      <c r="DJM111" s="3"/>
      <c r="DJN111" s="3"/>
      <c r="DJO111" s="3"/>
      <c r="DJP111" s="3"/>
      <c r="DJQ111" s="3"/>
      <c r="DJR111" s="3"/>
      <c r="DJS111" s="3"/>
      <c r="DJT111" s="3"/>
      <c r="DJU111" s="3"/>
      <c r="DJV111" s="3"/>
      <c r="DJW111" s="3"/>
      <c r="DJX111" s="3"/>
      <c r="DJY111" s="3"/>
      <c r="DJZ111" s="3"/>
      <c r="DKA111" s="3"/>
      <c r="DKB111" s="3"/>
      <c r="DKC111" s="3"/>
      <c r="DKD111" s="3"/>
      <c r="DKE111" s="3"/>
      <c r="DKF111" s="3"/>
      <c r="DKG111" s="3"/>
      <c r="DKH111" s="3"/>
      <c r="DKI111" s="3"/>
      <c r="DKJ111" s="3"/>
      <c r="DKK111" s="3"/>
      <c r="DKL111" s="3"/>
      <c r="DKM111" s="3"/>
      <c r="DKN111" s="3"/>
      <c r="DKO111" s="3"/>
      <c r="DKP111" s="3"/>
      <c r="DKQ111" s="3"/>
      <c r="DKR111" s="3"/>
      <c r="DKS111" s="3"/>
      <c r="DKT111" s="3"/>
      <c r="DKU111" s="3"/>
      <c r="DKV111" s="3"/>
      <c r="DKW111" s="3"/>
      <c r="DKX111" s="3"/>
      <c r="DKY111" s="3"/>
      <c r="DKZ111" s="3"/>
      <c r="DLA111" s="3"/>
      <c r="DLB111" s="3"/>
      <c r="DLC111" s="3"/>
      <c r="DLD111" s="3"/>
      <c r="DLE111" s="3"/>
      <c r="DLF111" s="3"/>
      <c r="DLG111" s="3"/>
      <c r="DLH111" s="3"/>
      <c r="DLI111" s="3"/>
      <c r="DLJ111" s="3"/>
      <c r="DLK111" s="3"/>
      <c r="DLL111" s="3"/>
      <c r="DLM111" s="3"/>
      <c r="DLN111" s="3"/>
      <c r="DLO111" s="3"/>
      <c r="DLP111" s="3"/>
      <c r="DLQ111" s="3"/>
      <c r="DLR111" s="3"/>
      <c r="DLS111" s="3"/>
      <c r="DLT111" s="3"/>
      <c r="DLU111" s="3"/>
      <c r="DLV111" s="3"/>
      <c r="DLW111" s="3"/>
      <c r="DLX111" s="3"/>
      <c r="DLY111" s="3"/>
      <c r="DLZ111" s="3"/>
      <c r="DMA111" s="3"/>
      <c r="DMB111" s="3"/>
      <c r="DMC111" s="3"/>
      <c r="DMD111" s="3"/>
      <c r="DME111" s="3"/>
      <c r="DMF111" s="3"/>
      <c r="DMG111" s="3"/>
      <c r="DMH111" s="3"/>
      <c r="DMI111" s="3"/>
      <c r="DMJ111" s="3"/>
      <c r="DMK111" s="3"/>
      <c r="DML111" s="3"/>
      <c r="DMM111" s="3"/>
      <c r="DMN111" s="3"/>
      <c r="DMO111" s="3"/>
      <c r="DMP111" s="3"/>
      <c r="DMQ111" s="3"/>
      <c r="DMR111" s="3"/>
      <c r="DMS111" s="3"/>
      <c r="DMT111" s="3"/>
      <c r="DMU111" s="3"/>
      <c r="DMV111" s="3"/>
      <c r="DMW111" s="3"/>
      <c r="DMX111" s="3"/>
      <c r="DMY111" s="3"/>
      <c r="DMZ111" s="3"/>
      <c r="DNA111" s="3"/>
      <c r="DNB111" s="3"/>
      <c r="DNC111" s="3"/>
      <c r="DND111" s="3"/>
      <c r="DNE111" s="3"/>
      <c r="DNF111" s="3"/>
      <c r="DNG111" s="3"/>
      <c r="DNH111" s="3"/>
      <c r="DNI111" s="3"/>
      <c r="DNJ111" s="3"/>
      <c r="DNK111" s="3"/>
      <c r="DNL111" s="3"/>
      <c r="DNM111" s="3"/>
      <c r="DNN111" s="3"/>
      <c r="DNO111" s="3"/>
      <c r="DNP111" s="3"/>
      <c r="DNQ111" s="3"/>
      <c r="DNR111" s="3"/>
      <c r="DNS111" s="3"/>
      <c r="DNT111" s="3"/>
      <c r="DNU111" s="3"/>
      <c r="DNV111" s="3"/>
      <c r="DNW111" s="3"/>
      <c r="DNX111" s="3"/>
      <c r="DNY111" s="3"/>
      <c r="DNZ111" s="3"/>
      <c r="DOA111" s="3"/>
      <c r="DOB111" s="3"/>
      <c r="DOC111" s="3"/>
      <c r="DOD111" s="3"/>
      <c r="DOE111" s="3"/>
      <c r="DOF111" s="3"/>
      <c r="DOG111" s="3"/>
      <c r="DOH111" s="3"/>
      <c r="DOI111" s="3"/>
      <c r="DOJ111" s="3"/>
      <c r="DOK111" s="3"/>
      <c r="DOL111" s="3"/>
      <c r="DOM111" s="3"/>
      <c r="DON111" s="3"/>
      <c r="DOO111" s="3"/>
      <c r="DOP111" s="3"/>
      <c r="DOQ111" s="3"/>
      <c r="DOR111" s="3"/>
      <c r="DOS111" s="3"/>
      <c r="DOT111" s="3"/>
      <c r="DOU111" s="3"/>
      <c r="DOV111" s="3"/>
      <c r="DOW111" s="3"/>
      <c r="DOX111" s="3"/>
      <c r="DOY111" s="3"/>
      <c r="DOZ111" s="3"/>
      <c r="DPA111" s="3"/>
      <c r="DPB111" s="3"/>
      <c r="DPC111" s="3"/>
      <c r="DPD111" s="3"/>
      <c r="DPE111" s="3"/>
      <c r="DPF111" s="3"/>
      <c r="DPG111" s="3"/>
      <c r="DPH111" s="3"/>
      <c r="DPI111" s="3"/>
      <c r="DPJ111" s="3"/>
      <c r="DPK111" s="3"/>
      <c r="DPL111" s="3"/>
      <c r="DPM111" s="3"/>
      <c r="DPN111" s="3"/>
      <c r="DPO111" s="3"/>
      <c r="DPP111" s="3"/>
      <c r="DPQ111" s="3"/>
      <c r="DPR111" s="3"/>
      <c r="DPS111" s="3"/>
      <c r="DPT111" s="3"/>
      <c r="DPU111" s="3"/>
      <c r="DPV111" s="3"/>
      <c r="DPW111" s="3"/>
      <c r="DPX111" s="3"/>
      <c r="DPY111" s="3"/>
      <c r="DPZ111" s="3"/>
      <c r="DQA111" s="3"/>
      <c r="DQB111" s="3"/>
      <c r="DQC111" s="3"/>
      <c r="DQD111" s="3"/>
      <c r="DQE111" s="3"/>
      <c r="DQF111" s="3"/>
      <c r="DQG111" s="3"/>
      <c r="DQH111" s="3"/>
      <c r="DQI111" s="3"/>
      <c r="DQJ111" s="3"/>
      <c r="DQK111" s="3"/>
      <c r="DQL111" s="3"/>
      <c r="DQM111" s="3"/>
      <c r="DQN111" s="3"/>
      <c r="DQO111" s="3"/>
      <c r="DQP111" s="3"/>
      <c r="DQQ111" s="3"/>
      <c r="DQR111" s="3"/>
      <c r="DQS111" s="3"/>
      <c r="DQT111" s="3"/>
      <c r="DQU111" s="3"/>
      <c r="DQV111" s="3"/>
      <c r="DQW111" s="3"/>
      <c r="DQX111" s="3"/>
      <c r="DQY111" s="3"/>
      <c r="DQZ111" s="3"/>
      <c r="DRA111" s="3"/>
      <c r="DRB111" s="3"/>
      <c r="DRC111" s="3"/>
      <c r="DRD111" s="3"/>
      <c r="DRE111" s="3"/>
      <c r="DRF111" s="3"/>
      <c r="DRG111" s="3"/>
      <c r="DRH111" s="3"/>
      <c r="DRI111" s="3"/>
      <c r="DRJ111" s="3"/>
      <c r="DRK111" s="3"/>
      <c r="DRL111" s="3"/>
      <c r="DRM111" s="3"/>
      <c r="DRN111" s="3"/>
      <c r="DRO111" s="3"/>
      <c r="DRP111" s="3"/>
      <c r="DRQ111" s="3"/>
      <c r="DRR111" s="3"/>
      <c r="DRS111" s="3"/>
      <c r="DRT111" s="3"/>
      <c r="DRU111" s="3"/>
      <c r="DRV111" s="3"/>
      <c r="DRW111" s="3"/>
      <c r="DRX111" s="3"/>
      <c r="DRY111" s="3"/>
      <c r="DRZ111" s="3"/>
      <c r="DSA111" s="3"/>
      <c r="DSB111" s="3"/>
      <c r="DSC111" s="3"/>
      <c r="DSD111" s="3"/>
      <c r="DSE111" s="3"/>
      <c r="DSF111" s="3"/>
      <c r="DSG111" s="3"/>
      <c r="DSH111" s="3"/>
      <c r="DSI111" s="3"/>
      <c r="DSJ111" s="3"/>
      <c r="DSK111" s="3"/>
      <c r="DSL111" s="3"/>
      <c r="DSM111" s="3"/>
      <c r="DSN111" s="3"/>
      <c r="DSO111" s="3"/>
      <c r="DSP111" s="3"/>
      <c r="DSQ111" s="3"/>
      <c r="DSR111" s="3"/>
      <c r="DSS111" s="3"/>
      <c r="DST111" s="3"/>
      <c r="DSU111" s="3"/>
      <c r="DSV111" s="3"/>
      <c r="DSW111" s="3"/>
      <c r="DSX111" s="3"/>
      <c r="DSY111" s="3"/>
      <c r="DSZ111" s="3"/>
      <c r="DTA111" s="3"/>
      <c r="DTB111" s="3"/>
      <c r="DTC111" s="3"/>
      <c r="DTD111" s="3"/>
      <c r="DTE111" s="3"/>
      <c r="DTF111" s="3"/>
      <c r="DTG111" s="3"/>
      <c r="DTH111" s="3"/>
      <c r="DTI111" s="3"/>
      <c r="DTJ111" s="3"/>
      <c r="DTK111" s="3"/>
      <c r="DTL111" s="3"/>
      <c r="DTM111" s="3"/>
      <c r="DTN111" s="3"/>
      <c r="DTO111" s="3"/>
      <c r="DTP111" s="3"/>
      <c r="DTQ111" s="3"/>
      <c r="DTR111" s="3"/>
      <c r="DTS111" s="3"/>
      <c r="DTT111" s="3"/>
      <c r="DTU111" s="3"/>
      <c r="DTV111" s="3"/>
      <c r="DTW111" s="3"/>
      <c r="DTX111" s="3"/>
      <c r="DTY111" s="3"/>
      <c r="DTZ111" s="3"/>
      <c r="DUA111" s="3"/>
      <c r="DUB111" s="3"/>
      <c r="DUC111" s="3"/>
      <c r="DUD111" s="3"/>
      <c r="DUE111" s="3"/>
      <c r="DUF111" s="3"/>
      <c r="DUG111" s="3"/>
      <c r="DUH111" s="3"/>
      <c r="DUI111" s="3"/>
      <c r="DUJ111" s="3"/>
      <c r="DUK111" s="3"/>
      <c r="DUL111" s="3"/>
      <c r="DUM111" s="3"/>
      <c r="DUN111" s="3"/>
      <c r="DUO111" s="3"/>
      <c r="DUP111" s="3"/>
      <c r="DUQ111" s="3"/>
      <c r="DUR111" s="3"/>
      <c r="DUS111" s="3"/>
      <c r="DUT111" s="3"/>
      <c r="DUU111" s="3"/>
      <c r="DUV111" s="3"/>
      <c r="DUW111" s="3"/>
      <c r="DUX111" s="3"/>
      <c r="DUY111" s="3"/>
      <c r="DUZ111" s="3"/>
      <c r="DVA111" s="3"/>
      <c r="DVB111" s="3"/>
      <c r="DVC111" s="3"/>
      <c r="DVD111" s="3"/>
      <c r="DVE111" s="3"/>
      <c r="DVF111" s="3"/>
      <c r="DVG111" s="3"/>
      <c r="DVH111" s="3"/>
      <c r="DVI111" s="3"/>
      <c r="DVJ111" s="3"/>
      <c r="DVK111" s="3"/>
      <c r="DVL111" s="3"/>
      <c r="DVM111" s="3"/>
      <c r="DVN111" s="3"/>
      <c r="DVO111" s="3"/>
      <c r="DVP111" s="3"/>
      <c r="DVQ111" s="3"/>
      <c r="DVR111" s="3"/>
      <c r="DVS111" s="3"/>
      <c r="DVT111" s="3"/>
      <c r="DVU111" s="3"/>
      <c r="DVV111" s="3"/>
      <c r="DVW111" s="3"/>
      <c r="DVX111" s="3"/>
      <c r="DVY111" s="3"/>
      <c r="DVZ111" s="3"/>
      <c r="DWA111" s="3"/>
      <c r="DWB111" s="3"/>
      <c r="DWC111" s="3"/>
      <c r="DWD111" s="3"/>
      <c r="DWE111" s="3"/>
      <c r="DWF111" s="3"/>
      <c r="DWG111" s="3"/>
      <c r="DWH111" s="3"/>
      <c r="DWI111" s="3"/>
      <c r="DWJ111" s="3"/>
      <c r="DWK111" s="3"/>
      <c r="DWL111" s="3"/>
      <c r="DWM111" s="3"/>
      <c r="DWN111" s="3"/>
      <c r="DWO111" s="3"/>
      <c r="DWP111" s="3"/>
      <c r="DWQ111" s="3"/>
      <c r="DWR111" s="3"/>
      <c r="DWS111" s="3"/>
      <c r="DWT111" s="3"/>
      <c r="DWU111" s="3"/>
      <c r="DWV111" s="3"/>
      <c r="DWW111" s="3"/>
      <c r="DWX111" s="3"/>
      <c r="DWY111" s="3"/>
      <c r="DWZ111" s="3"/>
      <c r="DXA111" s="3"/>
      <c r="DXB111" s="3"/>
      <c r="DXC111" s="3"/>
      <c r="DXD111" s="3"/>
      <c r="DXE111" s="3"/>
      <c r="DXF111" s="3"/>
      <c r="DXG111" s="3"/>
      <c r="DXH111" s="3"/>
      <c r="DXI111" s="3"/>
      <c r="DXJ111" s="3"/>
      <c r="DXK111" s="3"/>
      <c r="DXL111" s="3"/>
      <c r="DXM111" s="3"/>
      <c r="DXN111" s="3"/>
      <c r="DXO111" s="3"/>
      <c r="DXP111" s="3"/>
      <c r="DXQ111" s="3"/>
      <c r="DXR111" s="3"/>
      <c r="DXS111" s="3"/>
      <c r="DXT111" s="3"/>
      <c r="DXU111" s="3"/>
      <c r="DXV111" s="3"/>
      <c r="DXW111" s="3"/>
      <c r="DXX111" s="3"/>
      <c r="DXY111" s="3"/>
      <c r="DXZ111" s="3"/>
      <c r="DYA111" s="3"/>
      <c r="DYB111" s="3"/>
      <c r="DYC111" s="3"/>
      <c r="DYD111" s="3"/>
      <c r="DYE111" s="3"/>
      <c r="DYF111" s="3"/>
      <c r="DYG111" s="3"/>
      <c r="DYH111" s="3"/>
      <c r="DYI111" s="3"/>
      <c r="DYJ111" s="3"/>
      <c r="DYK111" s="3"/>
      <c r="DYL111" s="3"/>
      <c r="DYM111" s="3"/>
      <c r="DYN111" s="3"/>
      <c r="DYO111" s="3"/>
      <c r="DYP111" s="3"/>
      <c r="DYQ111" s="3"/>
      <c r="DYR111" s="3"/>
      <c r="DYS111" s="3"/>
      <c r="DYT111" s="3"/>
      <c r="DYU111" s="3"/>
      <c r="DYV111" s="3"/>
      <c r="DYW111" s="3"/>
      <c r="DYX111" s="3"/>
      <c r="DYY111" s="3"/>
      <c r="DYZ111" s="3"/>
      <c r="DZA111" s="3"/>
      <c r="DZB111" s="3"/>
      <c r="DZC111" s="3"/>
      <c r="DZD111" s="3"/>
      <c r="DZE111" s="3"/>
      <c r="DZF111" s="3"/>
      <c r="DZG111" s="3"/>
      <c r="DZH111" s="3"/>
      <c r="DZI111" s="3"/>
      <c r="DZJ111" s="3"/>
      <c r="DZK111" s="3"/>
      <c r="DZL111" s="3"/>
      <c r="DZM111" s="3"/>
      <c r="DZN111" s="3"/>
      <c r="DZO111" s="3"/>
      <c r="DZP111" s="3"/>
      <c r="DZQ111" s="3"/>
      <c r="DZR111" s="3"/>
      <c r="DZS111" s="3"/>
      <c r="DZT111" s="3"/>
      <c r="DZU111" s="3"/>
      <c r="DZV111" s="3"/>
      <c r="DZW111" s="3"/>
      <c r="DZX111" s="3"/>
      <c r="DZY111" s="3"/>
      <c r="DZZ111" s="3"/>
      <c r="EAA111" s="3"/>
      <c r="EAB111" s="3"/>
      <c r="EAC111" s="3"/>
      <c r="EAD111" s="3"/>
      <c r="EAE111" s="3"/>
      <c r="EAF111" s="3"/>
      <c r="EAG111" s="3"/>
      <c r="EAH111" s="3"/>
      <c r="EAI111" s="3"/>
      <c r="EAJ111" s="3"/>
      <c r="EAK111" s="3"/>
      <c r="EAL111" s="3"/>
      <c r="EAM111" s="3"/>
      <c r="EAN111" s="3"/>
      <c r="EAO111" s="3"/>
      <c r="EAP111" s="3"/>
      <c r="EAQ111" s="3"/>
      <c r="EAR111" s="3"/>
      <c r="EAS111" s="3"/>
      <c r="EAT111" s="3"/>
      <c r="EAU111" s="3"/>
      <c r="EAV111" s="3"/>
      <c r="EAW111" s="3"/>
      <c r="EAX111" s="3"/>
      <c r="EAY111" s="3"/>
      <c r="EAZ111" s="3"/>
      <c r="EBA111" s="3"/>
      <c r="EBB111" s="3"/>
      <c r="EBC111" s="3"/>
      <c r="EBD111" s="3"/>
      <c r="EBE111" s="3"/>
      <c r="EBF111" s="3"/>
      <c r="EBG111" s="3"/>
      <c r="EBH111" s="3"/>
      <c r="EBI111" s="3"/>
      <c r="EBJ111" s="3"/>
      <c r="EBK111" s="3"/>
      <c r="EBL111" s="3"/>
      <c r="EBM111" s="3"/>
      <c r="EBN111" s="3"/>
      <c r="EBO111" s="3"/>
      <c r="EBP111" s="3"/>
      <c r="EBQ111" s="3"/>
      <c r="EBR111" s="3"/>
      <c r="EBS111" s="3"/>
      <c r="EBT111" s="3"/>
      <c r="EBU111" s="3"/>
      <c r="EBV111" s="3"/>
      <c r="EBW111" s="3"/>
      <c r="EBX111" s="3"/>
      <c r="EBY111" s="3"/>
      <c r="EBZ111" s="3"/>
      <c r="ECA111" s="3"/>
      <c r="ECB111" s="3"/>
      <c r="ECC111" s="3"/>
      <c r="ECD111" s="3"/>
      <c r="ECE111" s="3"/>
      <c r="ECF111" s="3"/>
      <c r="ECG111" s="3"/>
      <c r="ECH111" s="3"/>
      <c r="ECI111" s="3"/>
      <c r="ECJ111" s="3"/>
      <c r="ECK111" s="3"/>
      <c r="ECL111" s="3"/>
      <c r="ECM111" s="3"/>
      <c r="ECN111" s="3"/>
      <c r="ECO111" s="3"/>
      <c r="ECP111" s="3"/>
      <c r="ECQ111" s="3"/>
      <c r="ECR111" s="3"/>
      <c r="ECS111" s="3"/>
      <c r="ECT111" s="3"/>
      <c r="ECU111" s="3"/>
      <c r="ECV111" s="3"/>
      <c r="ECW111" s="3"/>
      <c r="ECX111" s="3"/>
      <c r="ECY111" s="3"/>
      <c r="ECZ111" s="3"/>
      <c r="EDA111" s="3"/>
      <c r="EDB111" s="3"/>
      <c r="EDC111" s="3"/>
      <c r="EDD111" s="3"/>
      <c r="EDE111" s="3"/>
      <c r="EDF111" s="3"/>
      <c r="EDG111" s="3"/>
      <c r="EDH111" s="3"/>
      <c r="EDI111" s="3"/>
      <c r="EDJ111" s="3"/>
      <c r="EDK111" s="3"/>
      <c r="EDL111" s="3"/>
      <c r="EDM111" s="3"/>
      <c r="EDN111" s="3"/>
      <c r="EDO111" s="3"/>
      <c r="EDP111" s="3"/>
      <c r="EDQ111" s="3"/>
      <c r="EDR111" s="3"/>
      <c r="EDS111" s="3"/>
      <c r="EDT111" s="3"/>
      <c r="EDU111" s="3"/>
      <c r="EDV111" s="3"/>
      <c r="EDW111" s="3"/>
      <c r="EDX111" s="3"/>
      <c r="EDY111" s="3"/>
      <c r="EDZ111" s="3"/>
      <c r="EEA111" s="3"/>
      <c r="EEB111" s="3"/>
      <c r="EEC111" s="3"/>
      <c r="EED111" s="3"/>
      <c r="EEE111" s="3"/>
      <c r="EEF111" s="3"/>
      <c r="EEG111" s="3"/>
      <c r="EEH111" s="3"/>
      <c r="EEI111" s="3"/>
      <c r="EEJ111" s="3"/>
      <c r="EEK111" s="3"/>
      <c r="EEL111" s="3"/>
      <c r="EEM111" s="3"/>
      <c r="EEN111" s="3"/>
      <c r="EEO111" s="3"/>
      <c r="EEP111" s="3"/>
      <c r="EEQ111" s="3"/>
      <c r="EER111" s="3"/>
      <c r="EES111" s="3"/>
      <c r="EET111" s="3"/>
      <c r="EEU111" s="3"/>
      <c r="EEV111" s="3"/>
      <c r="EEW111" s="3"/>
      <c r="EEX111" s="3"/>
      <c r="EEY111" s="3"/>
      <c r="EEZ111" s="3"/>
      <c r="EFA111" s="3"/>
      <c r="EFB111" s="3"/>
      <c r="EFC111" s="3"/>
      <c r="EFD111" s="3"/>
      <c r="EFE111" s="3"/>
      <c r="EFF111" s="3"/>
      <c r="EFG111" s="3"/>
      <c r="EFH111" s="3"/>
      <c r="EFI111" s="3"/>
      <c r="EFJ111" s="3"/>
      <c r="EFK111" s="3"/>
      <c r="EFL111" s="3"/>
      <c r="EFM111" s="3"/>
      <c r="EFN111" s="3"/>
      <c r="EFO111" s="3"/>
      <c r="EFP111" s="3"/>
      <c r="EFQ111" s="3"/>
      <c r="EFR111" s="3"/>
      <c r="EFS111" s="3"/>
      <c r="EFT111" s="3"/>
      <c r="EFU111" s="3"/>
      <c r="EFV111" s="3"/>
      <c r="EFW111" s="3"/>
      <c r="EFX111" s="3"/>
      <c r="EFY111" s="3"/>
      <c r="EFZ111" s="3"/>
      <c r="EGA111" s="3"/>
      <c r="EGB111" s="3"/>
      <c r="EGC111" s="3"/>
      <c r="EGD111" s="3"/>
      <c r="EGE111" s="3"/>
      <c r="EGF111" s="3"/>
      <c r="EGG111" s="3"/>
      <c r="EGH111" s="3"/>
      <c r="EGI111" s="3"/>
      <c r="EGJ111" s="3"/>
      <c r="EGK111" s="3"/>
      <c r="EGL111" s="3"/>
      <c r="EGM111" s="3"/>
      <c r="EGN111" s="3"/>
      <c r="EGO111" s="3"/>
      <c r="EGP111" s="3"/>
      <c r="EGQ111" s="3"/>
      <c r="EGR111" s="3"/>
      <c r="EGS111" s="3"/>
      <c r="EGT111" s="3"/>
      <c r="EGU111" s="3"/>
      <c r="EGV111" s="3"/>
      <c r="EGW111" s="3"/>
      <c r="EGX111" s="3"/>
      <c r="EGY111" s="3"/>
      <c r="EGZ111" s="3"/>
      <c r="EHA111" s="3"/>
      <c r="EHB111" s="3"/>
      <c r="EHC111" s="3"/>
      <c r="EHD111" s="3"/>
      <c r="EHE111" s="3"/>
      <c r="EHF111" s="3"/>
      <c r="EHG111" s="3"/>
      <c r="EHH111" s="3"/>
      <c r="EHI111" s="3"/>
      <c r="EHJ111" s="3"/>
      <c r="EHK111" s="3"/>
      <c r="EHL111" s="3"/>
      <c r="EHM111" s="3"/>
      <c r="EHN111" s="3"/>
      <c r="EHO111" s="3"/>
      <c r="EHP111" s="3"/>
      <c r="EHQ111" s="3"/>
      <c r="EHR111" s="3"/>
      <c r="EHS111" s="3"/>
      <c r="EHT111" s="3"/>
      <c r="EHU111" s="3"/>
      <c r="EHV111" s="3"/>
      <c r="EHW111" s="3"/>
      <c r="EHX111" s="3"/>
      <c r="EHY111" s="3"/>
      <c r="EHZ111" s="3"/>
      <c r="EIA111" s="3"/>
      <c r="EIB111" s="3"/>
      <c r="EIC111" s="3"/>
      <c r="EID111" s="3"/>
      <c r="EIE111" s="3"/>
      <c r="EIF111" s="3"/>
      <c r="EIG111" s="3"/>
      <c r="EIH111" s="3"/>
      <c r="EII111" s="3"/>
      <c r="EIJ111" s="3"/>
      <c r="EIK111" s="3"/>
      <c r="EIL111" s="3"/>
      <c r="EIM111" s="3"/>
      <c r="EIN111" s="3"/>
      <c r="EIO111" s="3"/>
      <c r="EIP111" s="3"/>
      <c r="EIQ111" s="3"/>
      <c r="EIR111" s="3"/>
      <c r="EIS111" s="3"/>
      <c r="EIT111" s="3"/>
      <c r="EIU111" s="3"/>
      <c r="EIV111" s="3"/>
      <c r="EIW111" s="3"/>
      <c r="EIX111" s="3"/>
      <c r="EIY111" s="3"/>
      <c r="EIZ111" s="3"/>
      <c r="EJA111" s="3"/>
      <c r="EJB111" s="3"/>
      <c r="EJC111" s="3"/>
      <c r="EJD111" s="3"/>
      <c r="EJE111" s="3"/>
      <c r="EJF111" s="3"/>
      <c r="EJG111" s="3"/>
      <c r="EJH111" s="3"/>
      <c r="EJI111" s="3"/>
      <c r="EJJ111" s="3"/>
      <c r="EJK111" s="3"/>
      <c r="EJL111" s="3"/>
      <c r="EJM111" s="3"/>
      <c r="EJN111" s="3"/>
      <c r="EJO111" s="3"/>
      <c r="EJP111" s="3"/>
      <c r="EJQ111" s="3"/>
      <c r="EJR111" s="3"/>
      <c r="EJS111" s="3"/>
      <c r="EJT111" s="3"/>
      <c r="EJU111" s="3"/>
      <c r="EJV111" s="3"/>
      <c r="EJW111" s="3"/>
      <c r="EJX111" s="3"/>
      <c r="EJY111" s="3"/>
      <c r="EJZ111" s="3"/>
      <c r="EKA111" s="3"/>
      <c r="EKB111" s="3"/>
      <c r="EKC111" s="3"/>
      <c r="EKD111" s="3"/>
      <c r="EKE111" s="3"/>
      <c r="EKF111" s="3"/>
      <c r="EKG111" s="3"/>
      <c r="EKH111" s="3"/>
      <c r="EKI111" s="3"/>
      <c r="EKJ111" s="3"/>
      <c r="EKK111" s="3"/>
      <c r="EKL111" s="3"/>
      <c r="EKM111" s="3"/>
      <c r="EKN111" s="3"/>
      <c r="EKO111" s="3"/>
      <c r="EKP111" s="3"/>
      <c r="EKQ111" s="3"/>
      <c r="EKR111" s="3"/>
      <c r="EKS111" s="3"/>
      <c r="EKT111" s="3"/>
      <c r="EKU111" s="3"/>
      <c r="EKV111" s="3"/>
      <c r="EKW111" s="3"/>
      <c r="EKX111" s="3"/>
      <c r="EKY111" s="3"/>
      <c r="EKZ111" s="3"/>
      <c r="ELA111" s="3"/>
      <c r="ELB111" s="3"/>
      <c r="ELC111" s="3"/>
      <c r="ELD111" s="3"/>
      <c r="ELE111" s="3"/>
      <c r="ELF111" s="3"/>
      <c r="ELG111" s="3"/>
      <c r="ELH111" s="3"/>
      <c r="ELI111" s="3"/>
      <c r="ELJ111" s="3"/>
      <c r="ELK111" s="3"/>
      <c r="ELL111" s="3"/>
      <c r="ELM111" s="3"/>
      <c r="ELN111" s="3"/>
      <c r="ELO111" s="3"/>
      <c r="ELP111" s="3"/>
      <c r="ELQ111" s="3"/>
      <c r="ELR111" s="3"/>
      <c r="ELS111" s="3"/>
      <c r="ELT111" s="3"/>
      <c r="ELU111" s="3"/>
      <c r="ELV111" s="3"/>
      <c r="ELW111" s="3"/>
      <c r="ELX111" s="3"/>
      <c r="ELY111" s="3"/>
      <c r="ELZ111" s="3"/>
      <c r="EMA111" s="3"/>
      <c r="EMB111" s="3"/>
      <c r="EMC111" s="3"/>
      <c r="EMD111" s="3"/>
      <c r="EME111" s="3"/>
      <c r="EMF111" s="3"/>
      <c r="EMG111" s="3"/>
      <c r="EMH111" s="3"/>
      <c r="EMI111" s="3"/>
      <c r="EMJ111" s="3"/>
      <c r="EMK111" s="3"/>
      <c r="EML111" s="3"/>
      <c r="EMM111" s="3"/>
      <c r="EMN111" s="3"/>
      <c r="EMO111" s="3"/>
      <c r="EMP111" s="3"/>
      <c r="EMQ111" s="3"/>
      <c r="EMR111" s="3"/>
      <c r="EMS111" s="3"/>
      <c r="EMT111" s="3"/>
      <c r="EMU111" s="3"/>
      <c r="EMV111" s="3"/>
      <c r="EMW111" s="3"/>
      <c r="EMX111" s="3"/>
      <c r="EMY111" s="3"/>
      <c r="EMZ111" s="3"/>
      <c r="ENA111" s="3"/>
      <c r="ENB111" s="3"/>
      <c r="ENC111" s="3"/>
      <c r="END111" s="3"/>
      <c r="ENE111" s="3"/>
      <c r="ENF111" s="3"/>
      <c r="ENG111" s="3"/>
      <c r="ENH111" s="3"/>
      <c r="ENI111" s="3"/>
      <c r="ENJ111" s="3"/>
      <c r="ENK111" s="3"/>
      <c r="ENL111" s="3"/>
      <c r="ENM111" s="3"/>
      <c r="ENN111" s="3"/>
      <c r="ENO111" s="3"/>
      <c r="ENP111" s="3"/>
      <c r="ENQ111" s="3"/>
      <c r="ENR111" s="3"/>
      <c r="ENS111" s="3"/>
      <c r="ENT111" s="3"/>
      <c r="ENU111" s="3"/>
      <c r="ENV111" s="3"/>
      <c r="ENW111" s="3"/>
      <c r="ENX111" s="3"/>
      <c r="ENY111" s="3"/>
      <c r="ENZ111" s="3"/>
      <c r="EOA111" s="3"/>
      <c r="EOB111" s="3"/>
      <c r="EOC111" s="3"/>
      <c r="EOD111" s="3"/>
      <c r="EOE111" s="3"/>
      <c r="EOF111" s="3"/>
      <c r="EOG111" s="3"/>
      <c r="EOH111" s="3"/>
      <c r="EOI111" s="3"/>
      <c r="EOJ111" s="3"/>
      <c r="EOK111" s="3"/>
      <c r="EOL111" s="3"/>
      <c r="EOM111" s="3"/>
      <c r="EON111" s="3"/>
      <c r="EOO111" s="3"/>
      <c r="EOP111" s="3"/>
      <c r="EOQ111" s="3"/>
      <c r="EOR111" s="3"/>
      <c r="EOS111" s="3"/>
      <c r="EOT111" s="3"/>
      <c r="EOU111" s="3"/>
      <c r="EOV111" s="3"/>
      <c r="EOW111" s="3"/>
      <c r="EOX111" s="3"/>
      <c r="EOY111" s="3"/>
      <c r="EOZ111" s="3"/>
      <c r="EPA111" s="3"/>
      <c r="EPB111" s="3"/>
      <c r="EPC111" s="3"/>
      <c r="EPD111" s="3"/>
      <c r="EPE111" s="3"/>
      <c r="EPF111" s="3"/>
      <c r="EPG111" s="3"/>
      <c r="EPH111" s="3"/>
      <c r="EPI111" s="3"/>
      <c r="EPJ111" s="3"/>
      <c r="EPK111" s="3"/>
      <c r="EPL111" s="3"/>
      <c r="EPM111" s="3"/>
      <c r="EPN111" s="3"/>
      <c r="EPO111" s="3"/>
      <c r="EPP111" s="3"/>
      <c r="EPQ111" s="3"/>
      <c r="EPR111" s="3"/>
      <c r="EPS111" s="3"/>
      <c r="EPT111" s="3"/>
      <c r="EPU111" s="3"/>
      <c r="EPV111" s="3"/>
      <c r="EPW111" s="3"/>
      <c r="EPX111" s="3"/>
      <c r="EPY111" s="3"/>
      <c r="EPZ111" s="3"/>
      <c r="EQA111" s="3"/>
      <c r="EQB111" s="3"/>
      <c r="EQC111" s="3"/>
      <c r="EQD111" s="3"/>
      <c r="EQE111" s="3"/>
      <c r="EQF111" s="3"/>
      <c r="EQG111" s="3"/>
      <c r="EQH111" s="3"/>
      <c r="EQI111" s="3"/>
      <c r="EQJ111" s="3"/>
      <c r="EQK111" s="3"/>
      <c r="EQL111" s="3"/>
      <c r="EQM111" s="3"/>
      <c r="EQN111" s="3"/>
      <c r="EQO111" s="3"/>
      <c r="EQP111" s="3"/>
      <c r="EQQ111" s="3"/>
      <c r="EQR111" s="3"/>
      <c r="EQS111" s="3"/>
      <c r="EQT111" s="3"/>
      <c r="EQU111" s="3"/>
      <c r="EQV111" s="3"/>
      <c r="EQW111" s="3"/>
      <c r="EQX111" s="3"/>
      <c r="EQY111" s="3"/>
      <c r="EQZ111" s="3"/>
      <c r="ERA111" s="3"/>
      <c r="ERB111" s="3"/>
      <c r="ERC111" s="3"/>
      <c r="ERD111" s="3"/>
      <c r="ERE111" s="3"/>
      <c r="ERF111" s="3"/>
      <c r="ERG111" s="3"/>
      <c r="ERH111" s="3"/>
      <c r="ERI111" s="3"/>
      <c r="ERJ111" s="3"/>
      <c r="ERK111" s="3"/>
      <c r="ERL111" s="3"/>
      <c r="ERM111" s="3"/>
      <c r="ERN111" s="3"/>
      <c r="ERO111" s="3"/>
      <c r="ERP111" s="3"/>
      <c r="ERQ111" s="3"/>
      <c r="ERR111" s="3"/>
      <c r="ERS111" s="3"/>
      <c r="ERT111" s="3"/>
      <c r="ERU111" s="3"/>
      <c r="ERV111" s="3"/>
      <c r="ERW111" s="3"/>
      <c r="ERX111" s="3"/>
      <c r="ERY111" s="3"/>
      <c r="ERZ111" s="3"/>
      <c r="ESA111" s="3"/>
      <c r="ESB111" s="3"/>
      <c r="ESC111" s="3"/>
      <c r="ESD111" s="3"/>
      <c r="ESE111" s="3"/>
      <c r="ESF111" s="3"/>
      <c r="ESG111" s="3"/>
      <c r="ESH111" s="3"/>
      <c r="ESI111" s="3"/>
      <c r="ESJ111" s="3"/>
      <c r="ESK111" s="3"/>
      <c r="ESL111" s="3"/>
      <c r="ESM111" s="3"/>
      <c r="ESN111" s="3"/>
      <c r="ESO111" s="3"/>
      <c r="ESP111" s="3"/>
      <c r="ESQ111" s="3"/>
      <c r="ESR111" s="3"/>
      <c r="ESS111" s="3"/>
      <c r="EST111" s="3"/>
      <c r="ESU111" s="3"/>
      <c r="ESV111" s="3"/>
      <c r="ESW111" s="3"/>
      <c r="ESX111" s="3"/>
      <c r="ESY111" s="3"/>
      <c r="ESZ111" s="3"/>
      <c r="ETA111" s="3"/>
      <c r="ETB111" s="3"/>
      <c r="ETC111" s="3"/>
      <c r="ETD111" s="3"/>
      <c r="ETE111" s="3"/>
      <c r="ETF111" s="3"/>
      <c r="ETG111" s="3"/>
      <c r="ETH111" s="3"/>
      <c r="ETI111" s="3"/>
      <c r="ETJ111" s="3"/>
      <c r="ETK111" s="3"/>
      <c r="ETL111" s="3"/>
      <c r="ETM111" s="3"/>
      <c r="ETN111" s="3"/>
      <c r="ETO111" s="3"/>
      <c r="ETP111" s="3"/>
      <c r="ETQ111" s="3"/>
      <c r="ETR111" s="3"/>
      <c r="ETS111" s="3"/>
      <c r="ETT111" s="3"/>
      <c r="ETU111" s="3"/>
      <c r="ETV111" s="3"/>
      <c r="ETW111" s="3"/>
      <c r="ETX111" s="3"/>
      <c r="ETY111" s="3"/>
      <c r="ETZ111" s="3"/>
      <c r="EUA111" s="3"/>
      <c r="EUB111" s="3"/>
      <c r="EUC111" s="3"/>
      <c r="EUD111" s="3"/>
      <c r="EUE111" s="3"/>
      <c r="EUF111" s="3"/>
      <c r="EUG111" s="3"/>
      <c r="EUH111" s="3"/>
      <c r="EUI111" s="3"/>
      <c r="EUJ111" s="3"/>
      <c r="EUK111" s="3"/>
      <c r="EUL111" s="3"/>
      <c r="EUM111" s="3"/>
      <c r="EUN111" s="3"/>
      <c r="EUO111" s="3"/>
      <c r="EUP111" s="3"/>
      <c r="EUQ111" s="3"/>
      <c r="EUR111" s="3"/>
      <c r="EUS111" s="3"/>
      <c r="EUT111" s="3"/>
      <c r="EUU111" s="3"/>
      <c r="EUV111" s="3"/>
      <c r="EUW111" s="3"/>
      <c r="EUX111" s="3"/>
      <c r="EUY111" s="3"/>
      <c r="EUZ111" s="3"/>
      <c r="EVA111" s="3"/>
      <c r="EVB111" s="3"/>
      <c r="EVC111" s="3"/>
      <c r="EVD111" s="3"/>
      <c r="EVE111" s="3"/>
      <c r="EVF111" s="3"/>
      <c r="EVG111" s="3"/>
      <c r="EVH111" s="3"/>
      <c r="EVI111" s="3"/>
      <c r="EVJ111" s="3"/>
      <c r="EVK111" s="3"/>
      <c r="EVL111" s="3"/>
      <c r="EVM111" s="3"/>
      <c r="EVN111" s="3"/>
      <c r="EVO111" s="3"/>
      <c r="EVP111" s="3"/>
      <c r="EVQ111" s="3"/>
      <c r="EVR111" s="3"/>
      <c r="EVS111" s="3"/>
      <c r="EVT111" s="3"/>
      <c r="EVU111" s="3"/>
      <c r="EVV111" s="3"/>
      <c r="EVW111" s="3"/>
      <c r="EVX111" s="3"/>
      <c r="EVY111" s="3"/>
      <c r="EVZ111" s="3"/>
      <c r="EWA111" s="3"/>
      <c r="EWB111" s="3"/>
      <c r="EWC111" s="3"/>
      <c r="EWD111" s="3"/>
      <c r="EWE111" s="3"/>
      <c r="EWF111" s="3"/>
      <c r="EWG111" s="3"/>
      <c r="EWH111" s="3"/>
      <c r="EWI111" s="3"/>
      <c r="EWJ111" s="3"/>
      <c r="EWK111" s="3"/>
      <c r="EWL111" s="3"/>
      <c r="EWM111" s="3"/>
      <c r="EWN111" s="3"/>
      <c r="EWO111" s="3"/>
      <c r="EWP111" s="3"/>
      <c r="EWQ111" s="3"/>
      <c r="EWR111" s="3"/>
      <c r="EWS111" s="3"/>
      <c r="EWT111" s="3"/>
      <c r="EWU111" s="3"/>
      <c r="EWV111" s="3"/>
      <c r="EWW111" s="3"/>
      <c r="EWX111" s="3"/>
      <c r="EWY111" s="3"/>
      <c r="EWZ111" s="3"/>
      <c r="EXA111" s="3"/>
      <c r="EXB111" s="3"/>
      <c r="EXC111" s="3"/>
      <c r="EXD111" s="3"/>
      <c r="EXE111" s="3"/>
      <c r="EXF111" s="3"/>
      <c r="EXG111" s="3"/>
      <c r="EXH111" s="3"/>
      <c r="EXI111" s="3"/>
      <c r="EXJ111" s="3"/>
      <c r="EXK111" s="3"/>
      <c r="EXL111" s="3"/>
      <c r="EXM111" s="3"/>
      <c r="EXN111" s="3"/>
      <c r="EXO111" s="3"/>
      <c r="EXP111" s="3"/>
      <c r="EXQ111" s="3"/>
      <c r="EXR111" s="3"/>
      <c r="EXS111" s="3"/>
      <c r="EXT111" s="3"/>
      <c r="EXU111" s="3"/>
      <c r="EXV111" s="3"/>
      <c r="EXW111" s="3"/>
      <c r="EXX111" s="3"/>
      <c r="EXY111" s="3"/>
      <c r="EXZ111" s="3"/>
      <c r="EYA111" s="3"/>
      <c r="EYB111" s="3"/>
      <c r="EYC111" s="3"/>
      <c r="EYD111" s="3"/>
      <c r="EYE111" s="3"/>
      <c r="EYF111" s="3"/>
      <c r="EYG111" s="3"/>
      <c r="EYH111" s="3"/>
      <c r="EYI111" s="3"/>
      <c r="EYJ111" s="3"/>
      <c r="EYK111" s="3"/>
      <c r="EYL111" s="3"/>
      <c r="EYM111" s="3"/>
      <c r="EYN111" s="3"/>
      <c r="EYO111" s="3"/>
      <c r="EYP111" s="3"/>
      <c r="EYQ111" s="3"/>
      <c r="EYR111" s="3"/>
      <c r="EYS111" s="3"/>
      <c r="EYT111" s="3"/>
      <c r="EYU111" s="3"/>
      <c r="EYV111" s="3"/>
      <c r="EYW111" s="3"/>
      <c r="EYX111" s="3"/>
      <c r="EYY111" s="3"/>
      <c r="EYZ111" s="3"/>
      <c r="EZA111" s="3"/>
      <c r="EZB111" s="3"/>
      <c r="EZC111" s="3"/>
      <c r="EZD111" s="3"/>
      <c r="EZE111" s="3"/>
      <c r="EZF111" s="3"/>
      <c r="EZG111" s="3"/>
      <c r="EZH111" s="3"/>
      <c r="EZI111" s="3"/>
      <c r="EZJ111" s="3"/>
      <c r="EZK111" s="3"/>
      <c r="EZL111" s="3"/>
      <c r="EZM111" s="3"/>
      <c r="EZN111" s="3"/>
      <c r="EZO111" s="3"/>
      <c r="EZP111" s="3"/>
      <c r="EZQ111" s="3"/>
      <c r="EZR111" s="3"/>
      <c r="EZS111" s="3"/>
      <c r="EZT111" s="3"/>
      <c r="EZU111" s="3"/>
      <c r="EZV111" s="3"/>
      <c r="EZW111" s="3"/>
      <c r="EZX111" s="3"/>
      <c r="EZY111" s="3"/>
      <c r="EZZ111" s="3"/>
      <c r="FAA111" s="3"/>
      <c r="FAB111" s="3"/>
      <c r="FAC111" s="3"/>
      <c r="FAD111" s="3"/>
      <c r="FAE111" s="3"/>
      <c r="FAF111" s="3"/>
      <c r="FAG111" s="3"/>
      <c r="FAH111" s="3"/>
      <c r="FAI111" s="3"/>
      <c r="FAJ111" s="3"/>
      <c r="FAK111" s="3"/>
      <c r="FAL111" s="3"/>
      <c r="FAM111" s="3"/>
      <c r="FAN111" s="3"/>
      <c r="FAO111" s="3"/>
      <c r="FAP111" s="3"/>
      <c r="FAQ111" s="3"/>
      <c r="FAR111" s="3"/>
      <c r="FAS111" s="3"/>
      <c r="FAT111" s="3"/>
      <c r="FAU111" s="3"/>
      <c r="FAV111" s="3"/>
      <c r="FAW111" s="3"/>
      <c r="FAX111" s="3"/>
      <c r="FAY111" s="3"/>
      <c r="FAZ111" s="3"/>
      <c r="FBA111" s="3"/>
      <c r="FBB111" s="3"/>
      <c r="FBC111" s="3"/>
      <c r="FBD111" s="3"/>
      <c r="FBE111" s="3"/>
      <c r="FBF111" s="3"/>
      <c r="FBG111" s="3"/>
      <c r="FBH111" s="3"/>
      <c r="FBI111" s="3"/>
      <c r="FBJ111" s="3"/>
      <c r="FBK111" s="3"/>
      <c r="FBL111" s="3"/>
      <c r="FBM111" s="3"/>
      <c r="FBN111" s="3"/>
      <c r="FBO111" s="3"/>
      <c r="FBP111" s="3"/>
      <c r="FBQ111" s="3"/>
      <c r="FBR111" s="3"/>
      <c r="FBS111" s="3"/>
      <c r="FBT111" s="3"/>
      <c r="FBU111" s="3"/>
      <c r="FBV111" s="3"/>
      <c r="FBW111" s="3"/>
      <c r="FBX111" s="3"/>
      <c r="FBY111" s="3"/>
      <c r="FBZ111" s="3"/>
      <c r="FCA111" s="3"/>
      <c r="FCB111" s="3"/>
      <c r="FCC111" s="3"/>
      <c r="FCD111" s="3"/>
      <c r="FCE111" s="3"/>
      <c r="FCF111" s="3"/>
      <c r="FCG111" s="3"/>
      <c r="FCH111" s="3"/>
      <c r="FCI111" s="3"/>
      <c r="FCJ111" s="3"/>
      <c r="FCK111" s="3"/>
      <c r="FCL111" s="3"/>
      <c r="FCM111" s="3"/>
      <c r="FCN111" s="3"/>
      <c r="FCO111" s="3"/>
      <c r="FCP111" s="3"/>
      <c r="FCQ111" s="3"/>
      <c r="FCR111" s="3"/>
      <c r="FCS111" s="3"/>
      <c r="FCT111" s="3"/>
      <c r="FCU111" s="3"/>
      <c r="FCV111" s="3"/>
      <c r="FCW111" s="3"/>
      <c r="FCX111" s="3"/>
      <c r="FCY111" s="3"/>
      <c r="FCZ111" s="3"/>
      <c r="FDA111" s="3"/>
      <c r="FDB111" s="3"/>
      <c r="FDC111" s="3"/>
      <c r="FDD111" s="3"/>
      <c r="FDE111" s="3"/>
      <c r="FDF111" s="3"/>
      <c r="FDG111" s="3"/>
      <c r="FDH111" s="3"/>
      <c r="FDI111" s="3"/>
      <c r="FDJ111" s="3"/>
      <c r="FDK111" s="3"/>
      <c r="FDL111" s="3"/>
      <c r="FDM111" s="3"/>
      <c r="FDN111" s="3"/>
      <c r="FDO111" s="3"/>
      <c r="FDP111" s="3"/>
      <c r="FDQ111" s="3"/>
      <c r="FDR111" s="3"/>
      <c r="FDS111" s="3"/>
      <c r="FDT111" s="3"/>
      <c r="FDU111" s="3"/>
      <c r="FDV111" s="3"/>
      <c r="FDW111" s="3"/>
      <c r="FDX111" s="3"/>
      <c r="FDY111" s="3"/>
      <c r="FDZ111" s="3"/>
      <c r="FEA111" s="3"/>
      <c r="FEB111" s="3"/>
      <c r="FEC111" s="3"/>
      <c r="FED111" s="3"/>
      <c r="FEE111" s="3"/>
      <c r="FEF111" s="3"/>
      <c r="FEG111" s="3"/>
      <c r="FEH111" s="3"/>
      <c r="FEI111" s="3"/>
      <c r="FEJ111" s="3"/>
      <c r="FEK111" s="3"/>
      <c r="FEL111" s="3"/>
      <c r="FEM111" s="3"/>
      <c r="FEN111" s="3"/>
      <c r="FEO111" s="3"/>
      <c r="FEP111" s="3"/>
      <c r="FEQ111" s="3"/>
      <c r="FER111" s="3"/>
      <c r="FES111" s="3"/>
      <c r="FET111" s="3"/>
      <c r="FEU111" s="3"/>
      <c r="FEV111" s="3"/>
      <c r="FEW111" s="3"/>
      <c r="FEX111" s="3"/>
      <c r="FEY111" s="3"/>
      <c r="FEZ111" s="3"/>
      <c r="FFA111" s="3"/>
      <c r="FFB111" s="3"/>
      <c r="FFC111" s="3"/>
      <c r="FFD111" s="3"/>
      <c r="FFE111" s="3"/>
      <c r="FFF111" s="3"/>
      <c r="FFG111" s="3"/>
      <c r="FFH111" s="3"/>
      <c r="FFI111" s="3"/>
      <c r="FFJ111" s="3"/>
      <c r="FFK111" s="3"/>
      <c r="FFL111" s="3"/>
      <c r="FFM111" s="3"/>
      <c r="FFN111" s="3"/>
      <c r="FFO111" s="3"/>
      <c r="FFP111" s="3"/>
      <c r="FFQ111" s="3"/>
      <c r="FFR111" s="3"/>
      <c r="FFS111" s="3"/>
      <c r="FFT111" s="3"/>
      <c r="FFU111" s="3"/>
      <c r="FFV111" s="3"/>
      <c r="FFW111" s="3"/>
      <c r="FFX111" s="3"/>
      <c r="FFY111" s="3"/>
      <c r="FFZ111" s="3"/>
      <c r="FGA111" s="3"/>
      <c r="FGB111" s="3"/>
      <c r="FGC111" s="3"/>
      <c r="FGD111" s="3"/>
      <c r="FGE111" s="3"/>
      <c r="FGF111" s="3"/>
      <c r="FGG111" s="3"/>
      <c r="FGH111" s="3"/>
      <c r="FGI111" s="3"/>
      <c r="FGJ111" s="3"/>
      <c r="FGK111" s="3"/>
      <c r="FGL111" s="3"/>
      <c r="FGM111" s="3"/>
      <c r="FGN111" s="3"/>
      <c r="FGO111" s="3"/>
      <c r="FGP111" s="3"/>
      <c r="FGQ111" s="3"/>
      <c r="FGR111" s="3"/>
      <c r="FGS111" s="3"/>
      <c r="FGT111" s="3"/>
      <c r="FGU111" s="3"/>
      <c r="FGV111" s="3"/>
      <c r="FGW111" s="3"/>
      <c r="FGX111" s="3"/>
      <c r="FGY111" s="3"/>
      <c r="FGZ111" s="3"/>
      <c r="FHA111" s="3"/>
      <c r="FHB111" s="3"/>
      <c r="FHC111" s="3"/>
      <c r="FHD111" s="3"/>
      <c r="FHE111" s="3"/>
      <c r="FHF111" s="3"/>
      <c r="FHG111" s="3"/>
      <c r="FHH111" s="3"/>
      <c r="FHI111" s="3"/>
      <c r="FHJ111" s="3"/>
      <c r="FHK111" s="3"/>
      <c r="FHL111" s="3"/>
      <c r="FHM111" s="3"/>
      <c r="FHN111" s="3"/>
      <c r="FHO111" s="3"/>
      <c r="FHP111" s="3"/>
      <c r="FHQ111" s="3"/>
      <c r="FHR111" s="3"/>
      <c r="FHS111" s="3"/>
      <c r="FHT111" s="3"/>
      <c r="FHU111" s="3"/>
      <c r="FHV111" s="3"/>
      <c r="FHW111" s="3"/>
      <c r="FHX111" s="3"/>
      <c r="FHY111" s="3"/>
      <c r="FHZ111" s="3"/>
      <c r="FIA111" s="3"/>
      <c r="FIB111" s="3"/>
      <c r="FIC111" s="3"/>
      <c r="FID111" s="3"/>
      <c r="FIE111" s="3"/>
      <c r="FIF111" s="3"/>
      <c r="FIG111" s="3"/>
      <c r="FIH111" s="3"/>
      <c r="FII111" s="3"/>
      <c r="FIJ111" s="3"/>
      <c r="FIK111" s="3"/>
      <c r="FIL111" s="3"/>
      <c r="FIM111" s="3"/>
      <c r="FIN111" s="3"/>
      <c r="FIO111" s="3"/>
      <c r="FIP111" s="3"/>
      <c r="FIQ111" s="3"/>
      <c r="FIR111" s="3"/>
      <c r="FIS111" s="3"/>
      <c r="FIT111" s="3"/>
      <c r="FIU111" s="3"/>
      <c r="FIV111" s="3"/>
      <c r="FIW111" s="3"/>
      <c r="FIX111" s="3"/>
      <c r="FIY111" s="3"/>
      <c r="FIZ111" s="3"/>
      <c r="FJA111" s="3"/>
      <c r="FJB111" s="3"/>
      <c r="FJC111" s="3"/>
      <c r="FJD111" s="3"/>
      <c r="FJE111" s="3"/>
      <c r="FJF111" s="3"/>
      <c r="FJG111" s="3"/>
      <c r="FJH111" s="3"/>
      <c r="FJI111" s="3"/>
      <c r="FJJ111" s="3"/>
      <c r="FJK111" s="3"/>
      <c r="FJL111" s="3"/>
      <c r="FJM111" s="3"/>
      <c r="FJN111" s="3"/>
      <c r="FJO111" s="3"/>
      <c r="FJP111" s="3"/>
      <c r="FJQ111" s="3"/>
      <c r="FJR111" s="3"/>
      <c r="FJS111" s="3"/>
      <c r="FJT111" s="3"/>
      <c r="FJU111" s="3"/>
      <c r="FJV111" s="3"/>
      <c r="FJW111" s="3"/>
      <c r="FJX111" s="3"/>
      <c r="FJY111" s="3"/>
      <c r="FJZ111" s="3"/>
      <c r="FKA111" s="3"/>
      <c r="FKB111" s="3"/>
      <c r="FKC111" s="3"/>
      <c r="FKD111" s="3"/>
      <c r="FKE111" s="3"/>
      <c r="FKF111" s="3"/>
      <c r="FKG111" s="3"/>
      <c r="FKH111" s="3"/>
      <c r="FKI111" s="3"/>
      <c r="FKJ111" s="3"/>
      <c r="FKK111" s="3"/>
      <c r="FKL111" s="3"/>
      <c r="FKM111" s="3"/>
      <c r="FKN111" s="3"/>
      <c r="FKO111" s="3"/>
      <c r="FKP111" s="3"/>
      <c r="FKQ111" s="3"/>
      <c r="FKR111" s="3"/>
      <c r="FKS111" s="3"/>
      <c r="FKT111" s="3"/>
      <c r="FKU111" s="3"/>
      <c r="FKV111" s="3"/>
      <c r="FKW111" s="3"/>
      <c r="FKX111" s="3"/>
      <c r="FKY111" s="3"/>
      <c r="FKZ111" s="3"/>
      <c r="FLA111" s="3"/>
      <c r="FLB111" s="3"/>
      <c r="FLC111" s="3"/>
      <c r="FLD111" s="3"/>
      <c r="FLE111" s="3"/>
      <c r="FLF111" s="3"/>
      <c r="FLG111" s="3"/>
      <c r="FLH111" s="3"/>
      <c r="FLI111" s="3"/>
      <c r="FLJ111" s="3"/>
      <c r="FLK111" s="3"/>
      <c r="FLL111" s="3"/>
      <c r="FLM111" s="3"/>
      <c r="FLN111" s="3"/>
      <c r="FLO111" s="3"/>
      <c r="FLP111" s="3"/>
      <c r="FLQ111" s="3"/>
      <c r="FLR111" s="3"/>
      <c r="FLS111" s="3"/>
      <c r="FLT111" s="3"/>
      <c r="FLU111" s="3"/>
      <c r="FLV111" s="3"/>
      <c r="FLW111" s="3"/>
      <c r="FLX111" s="3"/>
      <c r="FLY111" s="3"/>
      <c r="FLZ111" s="3"/>
      <c r="FMA111" s="3"/>
      <c r="FMB111" s="3"/>
      <c r="FMC111" s="3"/>
      <c r="FMD111" s="3"/>
      <c r="FME111" s="3"/>
      <c r="FMF111" s="3"/>
      <c r="FMG111" s="3"/>
      <c r="FMH111" s="3"/>
      <c r="FMI111" s="3"/>
      <c r="FMJ111" s="3"/>
      <c r="FMK111" s="3"/>
      <c r="FML111" s="3"/>
      <c r="FMM111" s="3"/>
      <c r="FMN111" s="3"/>
      <c r="FMO111" s="3"/>
      <c r="FMP111" s="3"/>
      <c r="FMQ111" s="3"/>
      <c r="FMR111" s="3"/>
      <c r="FMS111" s="3"/>
      <c r="FMT111" s="3"/>
      <c r="FMU111" s="3"/>
      <c r="FMV111" s="3"/>
      <c r="FMW111" s="3"/>
      <c r="FMX111" s="3"/>
      <c r="FMY111" s="3"/>
      <c r="FMZ111" s="3"/>
      <c r="FNA111" s="3"/>
      <c r="FNB111" s="3"/>
      <c r="FNC111" s="3"/>
      <c r="FND111" s="3"/>
      <c r="FNE111" s="3"/>
      <c r="FNF111" s="3"/>
      <c r="FNG111" s="3"/>
      <c r="FNH111" s="3"/>
      <c r="FNI111" s="3"/>
      <c r="FNJ111" s="3"/>
      <c r="FNK111" s="3"/>
      <c r="FNL111" s="3"/>
      <c r="FNM111" s="3"/>
      <c r="FNN111" s="3"/>
      <c r="FNO111" s="3"/>
      <c r="FNP111" s="3"/>
      <c r="FNQ111" s="3"/>
      <c r="FNR111" s="3"/>
      <c r="FNS111" s="3"/>
      <c r="FNT111" s="3"/>
      <c r="FNU111" s="3"/>
      <c r="FNV111" s="3"/>
      <c r="FNW111" s="3"/>
      <c r="FNX111" s="3"/>
      <c r="FNY111" s="3"/>
      <c r="FNZ111" s="3"/>
      <c r="FOA111" s="3"/>
      <c r="FOB111" s="3"/>
      <c r="FOC111" s="3"/>
      <c r="FOD111" s="3"/>
      <c r="FOE111" s="3"/>
      <c r="FOF111" s="3"/>
      <c r="FOG111" s="3"/>
      <c r="FOH111" s="3"/>
      <c r="FOI111" s="3"/>
      <c r="FOJ111" s="3"/>
      <c r="FOK111" s="3"/>
      <c r="FOL111" s="3"/>
      <c r="FOM111" s="3"/>
      <c r="FON111" s="3"/>
      <c r="FOO111" s="3"/>
      <c r="FOP111" s="3"/>
      <c r="FOQ111" s="3"/>
      <c r="FOR111" s="3"/>
      <c r="FOS111" s="3"/>
      <c r="FOT111" s="3"/>
      <c r="FOU111" s="3"/>
      <c r="FOV111" s="3"/>
      <c r="FOW111" s="3"/>
      <c r="FOX111" s="3"/>
      <c r="FOY111" s="3"/>
      <c r="FOZ111" s="3"/>
      <c r="FPA111" s="3"/>
      <c r="FPB111" s="3"/>
      <c r="FPC111" s="3"/>
      <c r="FPD111" s="3"/>
      <c r="FPE111" s="3"/>
      <c r="FPF111" s="3"/>
      <c r="FPG111" s="3"/>
      <c r="FPH111" s="3"/>
      <c r="FPI111" s="3"/>
      <c r="FPJ111" s="3"/>
      <c r="FPK111" s="3"/>
      <c r="FPL111" s="3"/>
      <c r="FPM111" s="3"/>
      <c r="FPN111" s="3"/>
      <c r="FPO111" s="3"/>
      <c r="FPP111" s="3"/>
      <c r="FPQ111" s="3"/>
      <c r="FPR111" s="3"/>
      <c r="FPS111" s="3"/>
      <c r="FPT111" s="3"/>
      <c r="FPU111" s="3"/>
      <c r="FPV111" s="3"/>
      <c r="FPW111" s="3"/>
      <c r="FPX111" s="3"/>
      <c r="FPY111" s="3"/>
      <c r="FPZ111" s="3"/>
      <c r="FQA111" s="3"/>
      <c r="FQB111" s="3"/>
      <c r="FQC111" s="3"/>
      <c r="FQD111" s="3"/>
      <c r="FQE111" s="3"/>
      <c r="FQF111" s="3"/>
      <c r="FQG111" s="3"/>
      <c r="FQH111" s="3"/>
      <c r="FQI111" s="3"/>
      <c r="FQJ111" s="3"/>
      <c r="FQK111" s="3"/>
      <c r="FQL111" s="3"/>
      <c r="FQM111" s="3"/>
      <c r="FQN111" s="3"/>
      <c r="FQO111" s="3"/>
      <c r="FQP111" s="3"/>
      <c r="FQQ111" s="3"/>
      <c r="FQR111" s="3"/>
      <c r="FQS111" s="3"/>
      <c r="FQT111" s="3"/>
      <c r="FQU111" s="3"/>
      <c r="FQV111" s="3"/>
      <c r="FQW111" s="3"/>
      <c r="FQX111" s="3"/>
      <c r="FQY111" s="3"/>
      <c r="FQZ111" s="3"/>
      <c r="FRA111" s="3"/>
      <c r="FRB111" s="3"/>
      <c r="FRC111" s="3"/>
      <c r="FRD111" s="3"/>
      <c r="FRE111" s="3"/>
      <c r="FRF111" s="3"/>
      <c r="FRG111" s="3"/>
      <c r="FRH111" s="3"/>
      <c r="FRI111" s="3"/>
      <c r="FRJ111" s="3"/>
      <c r="FRK111" s="3"/>
      <c r="FRL111" s="3"/>
      <c r="FRM111" s="3"/>
      <c r="FRN111" s="3"/>
      <c r="FRO111" s="3"/>
      <c r="FRP111" s="3"/>
      <c r="FRQ111" s="3"/>
      <c r="FRR111" s="3"/>
      <c r="FRS111" s="3"/>
      <c r="FRT111" s="3"/>
      <c r="FRU111" s="3"/>
      <c r="FRV111" s="3"/>
      <c r="FRW111" s="3"/>
      <c r="FRX111" s="3"/>
      <c r="FRY111" s="3"/>
      <c r="FRZ111" s="3"/>
      <c r="FSA111" s="3"/>
      <c r="FSB111" s="3"/>
      <c r="FSC111" s="3"/>
      <c r="FSD111" s="3"/>
      <c r="FSE111" s="3"/>
      <c r="FSF111" s="3"/>
      <c r="FSG111" s="3"/>
      <c r="FSH111" s="3"/>
      <c r="FSI111" s="3"/>
      <c r="FSJ111" s="3"/>
      <c r="FSK111" s="3"/>
      <c r="FSL111" s="3"/>
      <c r="FSM111" s="3"/>
      <c r="FSN111" s="3"/>
      <c r="FSO111" s="3"/>
      <c r="FSP111" s="3"/>
      <c r="FSQ111" s="3"/>
      <c r="FSR111" s="3"/>
      <c r="FSS111" s="3"/>
      <c r="FST111" s="3"/>
      <c r="FSU111" s="3"/>
      <c r="FSV111" s="3"/>
      <c r="FSW111" s="3"/>
      <c r="FSX111" s="3"/>
      <c r="FSY111" s="3"/>
      <c r="FSZ111" s="3"/>
      <c r="FTA111" s="3"/>
      <c r="FTB111" s="3"/>
      <c r="FTC111" s="3"/>
      <c r="FTD111" s="3"/>
      <c r="FTE111" s="3"/>
      <c r="FTF111" s="3"/>
      <c r="FTG111" s="3"/>
      <c r="FTH111" s="3"/>
      <c r="FTI111" s="3"/>
      <c r="FTJ111" s="3"/>
      <c r="FTK111" s="3"/>
      <c r="FTL111" s="3"/>
      <c r="FTM111" s="3"/>
      <c r="FTN111" s="3"/>
      <c r="FTO111" s="3"/>
      <c r="FTP111" s="3"/>
      <c r="FTQ111" s="3"/>
      <c r="FTR111" s="3"/>
      <c r="FTS111" s="3"/>
      <c r="FTT111" s="3"/>
      <c r="FTU111" s="3"/>
      <c r="FTV111" s="3"/>
      <c r="FTW111" s="3"/>
      <c r="FTX111" s="3"/>
      <c r="FTY111" s="3"/>
      <c r="FTZ111" s="3"/>
      <c r="FUA111" s="3"/>
      <c r="FUB111" s="3"/>
      <c r="FUC111" s="3"/>
      <c r="FUD111" s="3"/>
      <c r="FUE111" s="3"/>
      <c r="FUF111" s="3"/>
      <c r="FUG111" s="3"/>
      <c r="FUH111" s="3"/>
      <c r="FUI111" s="3"/>
      <c r="FUJ111" s="3"/>
      <c r="FUK111" s="3"/>
      <c r="FUL111" s="3"/>
      <c r="FUM111" s="3"/>
      <c r="FUN111" s="3"/>
      <c r="FUO111" s="3"/>
      <c r="FUP111" s="3"/>
      <c r="FUQ111" s="3"/>
      <c r="FUR111" s="3"/>
      <c r="FUS111" s="3"/>
      <c r="FUT111" s="3"/>
      <c r="FUU111" s="3"/>
      <c r="FUV111" s="3"/>
      <c r="FUW111" s="3"/>
      <c r="FUX111" s="3"/>
      <c r="FUY111" s="3"/>
      <c r="FUZ111" s="3"/>
      <c r="FVA111" s="3"/>
      <c r="FVB111" s="3"/>
      <c r="FVC111" s="3"/>
      <c r="FVD111" s="3"/>
      <c r="FVE111" s="3"/>
      <c r="FVF111" s="3"/>
      <c r="FVG111" s="3"/>
      <c r="FVH111" s="3"/>
      <c r="FVI111" s="3"/>
      <c r="FVJ111" s="3"/>
      <c r="FVK111" s="3"/>
      <c r="FVL111" s="3"/>
      <c r="FVM111" s="3"/>
      <c r="FVN111" s="3"/>
      <c r="FVO111" s="3"/>
      <c r="FVP111" s="3"/>
      <c r="FVQ111" s="3"/>
      <c r="FVR111" s="3"/>
      <c r="FVS111" s="3"/>
      <c r="FVT111" s="3"/>
      <c r="FVU111" s="3"/>
      <c r="FVV111" s="3"/>
      <c r="FVW111" s="3"/>
      <c r="FVX111" s="3"/>
      <c r="FVY111" s="3"/>
      <c r="FVZ111" s="3"/>
      <c r="FWA111" s="3"/>
      <c r="FWB111" s="3"/>
      <c r="FWC111" s="3"/>
      <c r="FWD111" s="3"/>
      <c r="FWE111" s="3"/>
      <c r="FWF111" s="3"/>
      <c r="FWG111" s="3"/>
      <c r="FWH111" s="3"/>
      <c r="FWI111" s="3"/>
      <c r="FWJ111" s="3"/>
      <c r="FWK111" s="3"/>
      <c r="FWL111" s="3"/>
      <c r="FWM111" s="3"/>
      <c r="FWN111" s="3"/>
      <c r="FWO111" s="3"/>
      <c r="FWP111" s="3"/>
      <c r="FWQ111" s="3"/>
      <c r="FWR111" s="3"/>
      <c r="FWS111" s="3"/>
      <c r="FWT111" s="3"/>
      <c r="FWU111" s="3"/>
      <c r="FWV111" s="3"/>
      <c r="FWW111" s="3"/>
      <c r="FWX111" s="3"/>
      <c r="FWY111" s="3"/>
      <c r="FWZ111" s="3"/>
      <c r="FXA111" s="3"/>
      <c r="FXB111" s="3"/>
      <c r="FXC111" s="3"/>
      <c r="FXD111" s="3"/>
      <c r="FXE111" s="3"/>
      <c r="FXF111" s="3"/>
      <c r="FXG111" s="3"/>
      <c r="FXH111" s="3"/>
      <c r="FXI111" s="3"/>
      <c r="FXJ111" s="3"/>
      <c r="FXK111" s="3"/>
      <c r="FXL111" s="3"/>
      <c r="FXM111" s="3"/>
      <c r="FXN111" s="3"/>
      <c r="FXO111" s="3"/>
      <c r="FXP111" s="3"/>
      <c r="FXQ111" s="3"/>
      <c r="FXR111" s="3"/>
      <c r="FXS111" s="3"/>
      <c r="FXT111" s="3"/>
      <c r="FXU111" s="3"/>
      <c r="FXV111" s="3"/>
      <c r="FXW111" s="3"/>
      <c r="FXX111" s="3"/>
      <c r="FXY111" s="3"/>
      <c r="FXZ111" s="3"/>
      <c r="FYA111" s="3"/>
      <c r="FYB111" s="3"/>
      <c r="FYC111" s="3"/>
      <c r="FYD111" s="3"/>
      <c r="FYE111" s="3"/>
      <c r="FYF111" s="3"/>
      <c r="FYG111" s="3"/>
      <c r="FYH111" s="3"/>
      <c r="FYI111" s="3"/>
      <c r="FYJ111" s="3"/>
      <c r="FYK111" s="3"/>
      <c r="FYL111" s="3"/>
      <c r="FYM111" s="3"/>
      <c r="FYN111" s="3"/>
      <c r="FYO111" s="3"/>
      <c r="FYP111" s="3"/>
      <c r="FYQ111" s="3"/>
      <c r="FYR111" s="3"/>
      <c r="FYS111" s="3"/>
      <c r="FYT111" s="3"/>
      <c r="FYU111" s="3"/>
      <c r="FYV111" s="3"/>
      <c r="FYW111" s="3"/>
      <c r="FYX111" s="3"/>
      <c r="FYY111" s="3"/>
      <c r="FYZ111" s="3"/>
      <c r="FZA111" s="3"/>
      <c r="FZB111" s="3"/>
      <c r="FZC111" s="3"/>
      <c r="FZD111" s="3"/>
      <c r="FZE111" s="3"/>
      <c r="FZF111" s="3"/>
      <c r="FZG111" s="3"/>
      <c r="FZH111" s="3"/>
      <c r="FZI111" s="3"/>
      <c r="FZJ111" s="3"/>
      <c r="FZK111" s="3"/>
      <c r="FZL111" s="3"/>
      <c r="FZM111" s="3"/>
      <c r="FZN111" s="3"/>
      <c r="FZO111" s="3"/>
      <c r="FZP111" s="3"/>
      <c r="FZQ111" s="3"/>
      <c r="FZR111" s="3"/>
      <c r="FZS111" s="3"/>
      <c r="FZT111" s="3"/>
      <c r="FZU111" s="3"/>
      <c r="FZV111" s="3"/>
      <c r="FZW111" s="3"/>
      <c r="FZX111" s="3"/>
      <c r="FZY111" s="3"/>
      <c r="FZZ111" s="3"/>
      <c r="GAA111" s="3"/>
      <c r="GAB111" s="3"/>
      <c r="GAC111" s="3"/>
      <c r="GAD111" s="3"/>
      <c r="GAE111" s="3"/>
      <c r="GAF111" s="3"/>
      <c r="GAG111" s="3"/>
      <c r="GAH111" s="3"/>
      <c r="GAI111" s="3"/>
      <c r="GAJ111" s="3"/>
      <c r="GAK111" s="3"/>
      <c r="GAL111" s="3"/>
      <c r="GAM111" s="3"/>
      <c r="GAN111" s="3"/>
      <c r="GAO111" s="3"/>
      <c r="GAP111" s="3"/>
      <c r="GAQ111" s="3"/>
      <c r="GAR111" s="3"/>
      <c r="GAS111" s="3"/>
      <c r="GAT111" s="3"/>
      <c r="GAU111" s="3"/>
      <c r="GAV111" s="3"/>
      <c r="GAW111" s="3"/>
      <c r="GAX111" s="3"/>
      <c r="GAY111" s="3"/>
      <c r="GAZ111" s="3"/>
      <c r="GBA111" s="3"/>
      <c r="GBB111" s="3"/>
      <c r="GBC111" s="3"/>
      <c r="GBD111" s="3"/>
      <c r="GBE111" s="3"/>
      <c r="GBF111" s="3"/>
      <c r="GBG111" s="3"/>
      <c r="GBH111" s="3"/>
      <c r="GBI111" s="3"/>
      <c r="GBJ111" s="3"/>
      <c r="GBK111" s="3"/>
      <c r="GBL111" s="3"/>
      <c r="GBM111" s="3"/>
      <c r="GBN111" s="3"/>
      <c r="GBO111" s="3"/>
      <c r="GBP111" s="3"/>
      <c r="GBQ111" s="3"/>
      <c r="GBR111" s="3"/>
      <c r="GBS111" s="3"/>
      <c r="GBT111" s="3"/>
      <c r="GBU111" s="3"/>
      <c r="GBV111" s="3"/>
      <c r="GBW111" s="3"/>
      <c r="GBX111" s="3"/>
      <c r="GBY111" s="3"/>
      <c r="GBZ111" s="3"/>
      <c r="GCA111" s="3"/>
      <c r="GCB111" s="3"/>
      <c r="GCC111" s="3"/>
      <c r="GCD111" s="3"/>
      <c r="GCE111" s="3"/>
      <c r="GCF111" s="3"/>
      <c r="GCG111" s="3"/>
      <c r="GCH111" s="3"/>
      <c r="GCI111" s="3"/>
      <c r="GCJ111" s="3"/>
      <c r="GCK111" s="3"/>
      <c r="GCL111" s="3"/>
      <c r="GCM111" s="3"/>
      <c r="GCN111" s="3"/>
      <c r="GCO111" s="3"/>
      <c r="GCP111" s="3"/>
      <c r="GCQ111" s="3"/>
      <c r="GCR111" s="3"/>
      <c r="GCS111" s="3"/>
      <c r="GCT111" s="3"/>
      <c r="GCU111" s="3"/>
      <c r="GCV111" s="3"/>
      <c r="GCW111" s="3"/>
      <c r="GCX111" s="3"/>
      <c r="GCY111" s="3"/>
      <c r="GCZ111" s="3"/>
      <c r="GDA111" s="3"/>
      <c r="GDB111" s="3"/>
      <c r="GDC111" s="3"/>
      <c r="GDD111" s="3"/>
      <c r="GDE111" s="3"/>
      <c r="GDF111" s="3"/>
      <c r="GDG111" s="3"/>
      <c r="GDH111" s="3"/>
      <c r="GDI111" s="3"/>
      <c r="GDJ111" s="3"/>
      <c r="GDK111" s="3"/>
      <c r="GDL111" s="3"/>
      <c r="GDM111" s="3"/>
      <c r="GDN111" s="3"/>
      <c r="GDO111" s="3"/>
      <c r="GDP111" s="3"/>
      <c r="GDQ111" s="3"/>
      <c r="GDR111" s="3"/>
      <c r="GDS111" s="3"/>
      <c r="GDT111" s="3"/>
      <c r="GDU111" s="3"/>
      <c r="GDV111" s="3"/>
      <c r="GDW111" s="3"/>
      <c r="GDX111" s="3"/>
      <c r="GDY111" s="3"/>
      <c r="GDZ111" s="3"/>
      <c r="GEA111" s="3"/>
      <c r="GEB111" s="3"/>
      <c r="GEC111" s="3"/>
      <c r="GED111" s="3"/>
      <c r="GEE111" s="3"/>
      <c r="GEF111" s="3"/>
      <c r="GEG111" s="3"/>
      <c r="GEH111" s="3"/>
      <c r="GEI111" s="3"/>
      <c r="GEJ111" s="3"/>
      <c r="GEK111" s="3"/>
      <c r="GEL111" s="3"/>
      <c r="GEM111" s="3"/>
      <c r="GEN111" s="3"/>
      <c r="GEO111" s="3"/>
      <c r="GEP111" s="3"/>
      <c r="GEQ111" s="3"/>
      <c r="GER111" s="3"/>
      <c r="GES111" s="3"/>
      <c r="GET111" s="3"/>
      <c r="GEU111" s="3"/>
      <c r="GEV111" s="3"/>
      <c r="GEW111" s="3"/>
      <c r="GEX111" s="3"/>
      <c r="GEY111" s="3"/>
      <c r="GEZ111" s="3"/>
      <c r="GFA111" s="3"/>
      <c r="GFB111" s="3"/>
      <c r="GFC111" s="3"/>
      <c r="GFD111" s="3"/>
      <c r="GFE111" s="3"/>
      <c r="GFF111" s="3"/>
      <c r="GFG111" s="3"/>
      <c r="GFH111" s="3"/>
      <c r="GFI111" s="3"/>
      <c r="GFJ111" s="3"/>
      <c r="GFK111" s="3"/>
      <c r="GFL111" s="3"/>
      <c r="GFM111" s="3"/>
      <c r="GFN111" s="3"/>
      <c r="GFO111" s="3"/>
      <c r="GFP111" s="3"/>
      <c r="GFQ111" s="3"/>
      <c r="GFR111" s="3"/>
      <c r="GFS111" s="3"/>
      <c r="GFT111" s="3"/>
      <c r="GFU111" s="3"/>
      <c r="GFV111" s="3"/>
      <c r="GFW111" s="3"/>
      <c r="GFX111" s="3"/>
      <c r="GFY111" s="3"/>
      <c r="GFZ111" s="3"/>
      <c r="GGA111" s="3"/>
      <c r="GGB111" s="3"/>
      <c r="GGC111" s="3"/>
      <c r="GGD111" s="3"/>
      <c r="GGE111" s="3"/>
      <c r="GGF111" s="3"/>
      <c r="GGG111" s="3"/>
      <c r="GGH111" s="3"/>
      <c r="GGI111" s="3"/>
      <c r="GGJ111" s="3"/>
      <c r="GGK111" s="3"/>
      <c r="GGL111" s="3"/>
      <c r="GGM111" s="3"/>
      <c r="GGN111" s="3"/>
      <c r="GGO111" s="3"/>
      <c r="GGP111" s="3"/>
      <c r="GGQ111" s="3"/>
      <c r="GGR111" s="3"/>
      <c r="GGS111" s="3"/>
      <c r="GGT111" s="3"/>
      <c r="GGU111" s="3"/>
      <c r="GGV111" s="3"/>
      <c r="GGW111" s="3"/>
      <c r="GGX111" s="3"/>
      <c r="GGY111" s="3"/>
      <c r="GGZ111" s="3"/>
      <c r="GHA111" s="3"/>
      <c r="GHB111" s="3"/>
      <c r="GHC111" s="3"/>
      <c r="GHD111" s="3"/>
      <c r="GHE111" s="3"/>
      <c r="GHF111" s="3"/>
      <c r="GHG111" s="3"/>
      <c r="GHH111" s="3"/>
      <c r="GHI111" s="3"/>
      <c r="GHJ111" s="3"/>
      <c r="GHK111" s="3"/>
      <c r="GHL111" s="3"/>
      <c r="GHM111" s="3"/>
      <c r="GHN111" s="3"/>
      <c r="GHO111" s="3"/>
      <c r="GHP111" s="3"/>
      <c r="GHQ111" s="3"/>
      <c r="GHR111" s="3"/>
      <c r="GHS111" s="3"/>
      <c r="GHT111" s="3"/>
      <c r="GHU111" s="3"/>
      <c r="GHV111" s="3"/>
      <c r="GHW111" s="3"/>
      <c r="GHX111" s="3"/>
      <c r="GHY111" s="3"/>
      <c r="GHZ111" s="3"/>
      <c r="GIA111" s="3"/>
      <c r="GIB111" s="3"/>
      <c r="GIC111" s="3"/>
      <c r="GID111" s="3"/>
      <c r="GIE111" s="3"/>
      <c r="GIF111" s="3"/>
      <c r="GIG111" s="3"/>
      <c r="GIH111" s="3"/>
      <c r="GII111" s="3"/>
      <c r="GIJ111" s="3"/>
      <c r="GIK111" s="3"/>
      <c r="GIL111" s="3"/>
      <c r="GIM111" s="3"/>
      <c r="GIN111" s="3"/>
      <c r="GIO111" s="3"/>
      <c r="GIP111" s="3"/>
      <c r="GIQ111" s="3"/>
      <c r="GIR111" s="3"/>
      <c r="GIS111" s="3"/>
      <c r="GIT111" s="3"/>
      <c r="GIU111" s="3"/>
      <c r="GIV111" s="3"/>
      <c r="GIW111" s="3"/>
      <c r="GIX111" s="3"/>
      <c r="GIY111" s="3"/>
      <c r="GIZ111" s="3"/>
      <c r="GJA111" s="3"/>
      <c r="GJB111" s="3"/>
      <c r="GJC111" s="3"/>
      <c r="GJD111" s="3"/>
      <c r="GJE111" s="3"/>
      <c r="GJF111" s="3"/>
      <c r="GJG111" s="3"/>
      <c r="GJH111" s="3"/>
      <c r="GJI111" s="3"/>
      <c r="GJJ111" s="3"/>
      <c r="GJK111" s="3"/>
      <c r="GJL111" s="3"/>
      <c r="GJM111" s="3"/>
      <c r="GJN111" s="3"/>
      <c r="GJO111" s="3"/>
      <c r="GJP111" s="3"/>
      <c r="GJQ111" s="3"/>
      <c r="GJR111" s="3"/>
      <c r="GJS111" s="3"/>
      <c r="GJT111" s="3"/>
      <c r="GJU111" s="3"/>
      <c r="GJV111" s="3"/>
      <c r="GJW111" s="3"/>
      <c r="GJX111" s="3"/>
      <c r="GJY111" s="3"/>
      <c r="GJZ111" s="3"/>
      <c r="GKA111" s="3"/>
      <c r="GKB111" s="3"/>
      <c r="GKC111" s="3"/>
      <c r="GKD111" s="3"/>
      <c r="GKE111" s="3"/>
      <c r="GKF111" s="3"/>
      <c r="GKG111" s="3"/>
      <c r="GKH111" s="3"/>
      <c r="GKI111" s="3"/>
      <c r="GKJ111" s="3"/>
      <c r="GKK111" s="3"/>
      <c r="GKL111" s="3"/>
      <c r="GKM111" s="3"/>
      <c r="GKN111" s="3"/>
      <c r="GKO111" s="3"/>
      <c r="GKP111" s="3"/>
      <c r="GKQ111" s="3"/>
      <c r="GKR111" s="3"/>
      <c r="GKS111" s="3"/>
      <c r="GKT111" s="3"/>
      <c r="GKU111" s="3"/>
      <c r="GKV111" s="3"/>
      <c r="GKW111" s="3"/>
      <c r="GKX111" s="3"/>
      <c r="GKY111" s="3"/>
      <c r="GKZ111" s="3"/>
      <c r="GLA111" s="3"/>
      <c r="GLB111" s="3"/>
      <c r="GLC111" s="3"/>
      <c r="GLD111" s="3"/>
      <c r="GLE111" s="3"/>
      <c r="GLF111" s="3"/>
      <c r="GLG111" s="3"/>
      <c r="GLH111" s="3"/>
      <c r="GLI111" s="3"/>
      <c r="GLJ111" s="3"/>
      <c r="GLK111" s="3"/>
      <c r="GLL111" s="3"/>
      <c r="GLM111" s="3"/>
      <c r="GLN111" s="3"/>
      <c r="GLO111" s="3"/>
      <c r="GLP111" s="3"/>
      <c r="GLQ111" s="3"/>
      <c r="GLR111" s="3"/>
      <c r="GLS111" s="3"/>
      <c r="GLT111" s="3"/>
      <c r="GLU111" s="3"/>
      <c r="GLV111" s="3"/>
      <c r="GLW111" s="3"/>
      <c r="GLX111" s="3"/>
      <c r="GLY111" s="3"/>
      <c r="GLZ111" s="3"/>
      <c r="GMA111" s="3"/>
      <c r="GMB111" s="3"/>
      <c r="GMC111" s="3"/>
      <c r="GMD111" s="3"/>
      <c r="GME111" s="3"/>
      <c r="GMF111" s="3"/>
      <c r="GMG111" s="3"/>
      <c r="GMH111" s="3"/>
      <c r="GMI111" s="3"/>
      <c r="GMJ111" s="3"/>
      <c r="GMK111" s="3"/>
      <c r="GML111" s="3"/>
      <c r="GMM111" s="3"/>
      <c r="GMN111" s="3"/>
      <c r="GMO111" s="3"/>
      <c r="GMP111" s="3"/>
      <c r="GMQ111" s="3"/>
      <c r="GMR111" s="3"/>
      <c r="GMS111" s="3"/>
      <c r="GMT111" s="3"/>
      <c r="GMU111" s="3"/>
      <c r="GMV111" s="3"/>
      <c r="GMW111" s="3"/>
      <c r="GMX111" s="3"/>
      <c r="GMY111" s="3"/>
      <c r="GMZ111" s="3"/>
      <c r="GNA111" s="3"/>
      <c r="GNB111" s="3"/>
      <c r="GNC111" s="3"/>
      <c r="GND111" s="3"/>
      <c r="GNE111" s="3"/>
      <c r="GNF111" s="3"/>
      <c r="GNG111" s="3"/>
      <c r="GNH111" s="3"/>
      <c r="GNI111" s="3"/>
      <c r="GNJ111" s="3"/>
      <c r="GNK111" s="3"/>
      <c r="GNL111" s="3"/>
      <c r="GNM111" s="3"/>
      <c r="GNN111" s="3"/>
      <c r="GNO111" s="3"/>
      <c r="GNP111" s="3"/>
      <c r="GNQ111" s="3"/>
      <c r="GNR111" s="3"/>
      <c r="GNS111" s="3"/>
      <c r="GNT111" s="3"/>
      <c r="GNU111" s="3"/>
      <c r="GNV111" s="3"/>
      <c r="GNW111" s="3"/>
      <c r="GNX111" s="3"/>
      <c r="GNY111" s="3"/>
      <c r="GNZ111" s="3"/>
      <c r="GOA111" s="3"/>
      <c r="GOB111" s="3"/>
      <c r="GOC111" s="3"/>
      <c r="GOD111" s="3"/>
      <c r="GOE111" s="3"/>
      <c r="GOF111" s="3"/>
      <c r="GOG111" s="3"/>
      <c r="GOH111" s="3"/>
      <c r="GOI111" s="3"/>
      <c r="GOJ111" s="3"/>
      <c r="GOK111" s="3"/>
      <c r="GOL111" s="3"/>
      <c r="GOM111" s="3"/>
      <c r="GON111" s="3"/>
      <c r="GOO111" s="3"/>
      <c r="GOP111" s="3"/>
      <c r="GOQ111" s="3"/>
      <c r="GOR111" s="3"/>
      <c r="GOS111" s="3"/>
      <c r="GOT111" s="3"/>
      <c r="GOU111" s="3"/>
      <c r="GOV111" s="3"/>
      <c r="GOW111" s="3"/>
      <c r="GOX111" s="3"/>
      <c r="GOY111" s="3"/>
      <c r="GOZ111" s="3"/>
      <c r="GPA111" s="3"/>
      <c r="GPB111" s="3"/>
      <c r="GPC111" s="3"/>
      <c r="GPD111" s="3"/>
      <c r="GPE111" s="3"/>
      <c r="GPF111" s="3"/>
      <c r="GPG111" s="3"/>
      <c r="GPH111" s="3"/>
      <c r="GPI111" s="3"/>
      <c r="GPJ111" s="3"/>
      <c r="GPK111" s="3"/>
      <c r="GPL111" s="3"/>
      <c r="GPM111" s="3"/>
      <c r="GPN111" s="3"/>
      <c r="GPO111" s="3"/>
      <c r="GPP111" s="3"/>
      <c r="GPQ111" s="3"/>
      <c r="GPR111" s="3"/>
      <c r="GPS111" s="3"/>
      <c r="GPT111" s="3"/>
      <c r="GPU111" s="3"/>
      <c r="GPV111" s="3"/>
      <c r="GPW111" s="3"/>
      <c r="GPX111" s="3"/>
      <c r="GPY111" s="3"/>
      <c r="GPZ111" s="3"/>
      <c r="GQA111" s="3"/>
      <c r="GQB111" s="3"/>
      <c r="GQC111" s="3"/>
      <c r="GQD111" s="3"/>
      <c r="GQE111" s="3"/>
      <c r="GQF111" s="3"/>
      <c r="GQG111" s="3"/>
      <c r="GQH111" s="3"/>
      <c r="GQI111" s="3"/>
      <c r="GQJ111" s="3"/>
      <c r="GQK111" s="3"/>
      <c r="GQL111" s="3"/>
      <c r="GQM111" s="3"/>
      <c r="GQN111" s="3"/>
      <c r="GQO111" s="3"/>
      <c r="GQP111" s="3"/>
      <c r="GQQ111" s="3"/>
      <c r="GQR111" s="3"/>
      <c r="GQS111" s="3"/>
      <c r="GQT111" s="3"/>
      <c r="GQU111" s="3"/>
      <c r="GQV111" s="3"/>
      <c r="GQW111" s="3"/>
      <c r="GQX111" s="3"/>
      <c r="GQY111" s="3"/>
      <c r="GQZ111" s="3"/>
      <c r="GRA111" s="3"/>
      <c r="GRB111" s="3"/>
      <c r="GRC111" s="3"/>
      <c r="GRD111" s="3"/>
      <c r="GRE111" s="3"/>
      <c r="GRF111" s="3"/>
      <c r="GRG111" s="3"/>
      <c r="GRH111" s="3"/>
      <c r="GRI111" s="3"/>
      <c r="GRJ111" s="3"/>
      <c r="GRK111" s="3"/>
      <c r="GRL111" s="3"/>
      <c r="GRM111" s="3"/>
      <c r="GRN111" s="3"/>
      <c r="GRO111" s="3"/>
      <c r="GRP111" s="3"/>
      <c r="GRQ111" s="3"/>
      <c r="GRR111" s="3"/>
      <c r="GRS111" s="3"/>
      <c r="GRT111" s="3"/>
      <c r="GRU111" s="3"/>
      <c r="GRV111" s="3"/>
      <c r="GRW111" s="3"/>
      <c r="GRX111" s="3"/>
      <c r="GRY111" s="3"/>
      <c r="GRZ111" s="3"/>
      <c r="GSA111" s="3"/>
      <c r="GSB111" s="3"/>
      <c r="GSC111" s="3"/>
      <c r="GSD111" s="3"/>
      <c r="GSE111" s="3"/>
      <c r="GSF111" s="3"/>
      <c r="GSG111" s="3"/>
      <c r="GSH111" s="3"/>
      <c r="GSI111" s="3"/>
      <c r="GSJ111" s="3"/>
      <c r="GSK111" s="3"/>
      <c r="GSL111" s="3"/>
      <c r="GSM111" s="3"/>
      <c r="GSN111" s="3"/>
      <c r="GSO111" s="3"/>
      <c r="GSP111" s="3"/>
      <c r="GSQ111" s="3"/>
      <c r="GSR111" s="3"/>
      <c r="GSS111" s="3"/>
      <c r="GST111" s="3"/>
      <c r="GSU111" s="3"/>
      <c r="GSV111" s="3"/>
      <c r="GSW111" s="3"/>
      <c r="GSX111" s="3"/>
      <c r="GSY111" s="3"/>
      <c r="GSZ111" s="3"/>
      <c r="GTA111" s="3"/>
      <c r="GTB111" s="3"/>
      <c r="GTC111" s="3"/>
      <c r="GTD111" s="3"/>
      <c r="GTE111" s="3"/>
      <c r="GTF111" s="3"/>
      <c r="GTG111" s="3"/>
      <c r="GTH111" s="3"/>
      <c r="GTI111" s="3"/>
      <c r="GTJ111" s="3"/>
      <c r="GTK111" s="3"/>
      <c r="GTL111" s="3"/>
      <c r="GTM111" s="3"/>
      <c r="GTN111" s="3"/>
      <c r="GTO111" s="3"/>
      <c r="GTP111" s="3"/>
      <c r="GTQ111" s="3"/>
      <c r="GTR111" s="3"/>
      <c r="GTS111" s="3"/>
      <c r="GTT111" s="3"/>
      <c r="GTU111" s="3"/>
      <c r="GTV111" s="3"/>
      <c r="GTW111" s="3"/>
      <c r="GTX111" s="3"/>
      <c r="GTY111" s="3"/>
      <c r="GTZ111" s="3"/>
      <c r="GUA111" s="3"/>
      <c r="GUB111" s="3"/>
      <c r="GUC111" s="3"/>
      <c r="GUD111" s="3"/>
      <c r="GUE111" s="3"/>
      <c r="GUF111" s="3"/>
      <c r="GUG111" s="3"/>
      <c r="GUH111" s="3"/>
      <c r="GUI111" s="3"/>
      <c r="GUJ111" s="3"/>
      <c r="GUK111" s="3"/>
      <c r="GUL111" s="3"/>
      <c r="GUM111" s="3"/>
      <c r="GUN111" s="3"/>
      <c r="GUO111" s="3"/>
      <c r="GUP111" s="3"/>
      <c r="GUQ111" s="3"/>
      <c r="GUR111" s="3"/>
      <c r="GUS111" s="3"/>
      <c r="GUT111" s="3"/>
      <c r="GUU111" s="3"/>
      <c r="GUV111" s="3"/>
      <c r="GUW111" s="3"/>
      <c r="GUX111" s="3"/>
      <c r="GUY111" s="3"/>
      <c r="GUZ111" s="3"/>
      <c r="GVA111" s="3"/>
      <c r="GVB111" s="3"/>
      <c r="GVC111" s="3"/>
      <c r="GVD111" s="3"/>
      <c r="GVE111" s="3"/>
      <c r="GVF111" s="3"/>
      <c r="GVG111" s="3"/>
      <c r="GVH111" s="3"/>
      <c r="GVI111" s="3"/>
      <c r="GVJ111" s="3"/>
      <c r="GVK111" s="3"/>
      <c r="GVL111" s="3"/>
      <c r="GVM111" s="3"/>
      <c r="GVN111" s="3"/>
      <c r="GVO111" s="3"/>
      <c r="GVP111" s="3"/>
      <c r="GVQ111" s="3"/>
      <c r="GVR111" s="3"/>
      <c r="GVS111" s="3"/>
      <c r="GVT111" s="3"/>
      <c r="GVU111" s="3"/>
      <c r="GVV111" s="3"/>
      <c r="GVW111" s="3"/>
      <c r="GVX111" s="3"/>
      <c r="GVY111" s="3"/>
      <c r="GVZ111" s="3"/>
      <c r="GWA111" s="3"/>
      <c r="GWB111" s="3"/>
      <c r="GWC111" s="3"/>
      <c r="GWD111" s="3"/>
      <c r="GWE111" s="3"/>
      <c r="GWF111" s="3"/>
      <c r="GWG111" s="3"/>
      <c r="GWH111" s="3"/>
      <c r="GWI111" s="3"/>
      <c r="GWJ111" s="3"/>
      <c r="GWK111" s="3"/>
      <c r="GWL111" s="3"/>
      <c r="GWM111" s="3"/>
      <c r="GWN111" s="3"/>
      <c r="GWO111" s="3"/>
      <c r="GWP111" s="3"/>
      <c r="GWQ111" s="3"/>
      <c r="GWR111" s="3"/>
      <c r="GWS111" s="3"/>
      <c r="GWT111" s="3"/>
      <c r="GWU111" s="3"/>
      <c r="GWV111" s="3"/>
      <c r="GWW111" s="3"/>
      <c r="GWX111" s="3"/>
      <c r="GWY111" s="3"/>
      <c r="GWZ111" s="3"/>
      <c r="GXA111" s="3"/>
      <c r="GXB111" s="3"/>
      <c r="GXC111" s="3"/>
      <c r="GXD111" s="3"/>
      <c r="GXE111" s="3"/>
      <c r="GXF111" s="3"/>
      <c r="GXG111" s="3"/>
      <c r="GXH111" s="3"/>
      <c r="GXI111" s="3"/>
      <c r="GXJ111" s="3"/>
      <c r="GXK111" s="3"/>
      <c r="GXL111" s="3"/>
      <c r="GXM111" s="3"/>
      <c r="GXN111" s="3"/>
      <c r="GXO111" s="3"/>
      <c r="GXP111" s="3"/>
      <c r="GXQ111" s="3"/>
      <c r="GXR111" s="3"/>
      <c r="GXS111" s="3"/>
      <c r="GXT111" s="3"/>
      <c r="GXU111" s="3"/>
      <c r="GXV111" s="3"/>
      <c r="GXW111" s="3"/>
      <c r="GXX111" s="3"/>
      <c r="GXY111" s="3"/>
      <c r="GXZ111" s="3"/>
      <c r="GYA111" s="3"/>
      <c r="GYB111" s="3"/>
      <c r="GYC111" s="3"/>
      <c r="GYD111" s="3"/>
      <c r="GYE111" s="3"/>
      <c r="GYF111" s="3"/>
      <c r="GYG111" s="3"/>
      <c r="GYH111" s="3"/>
      <c r="GYI111" s="3"/>
      <c r="GYJ111" s="3"/>
      <c r="GYK111" s="3"/>
      <c r="GYL111" s="3"/>
      <c r="GYM111" s="3"/>
      <c r="GYN111" s="3"/>
      <c r="GYO111" s="3"/>
      <c r="GYP111" s="3"/>
      <c r="GYQ111" s="3"/>
      <c r="GYR111" s="3"/>
      <c r="GYS111" s="3"/>
      <c r="GYT111" s="3"/>
      <c r="GYU111" s="3"/>
      <c r="GYV111" s="3"/>
      <c r="GYW111" s="3"/>
      <c r="GYX111" s="3"/>
      <c r="GYY111" s="3"/>
      <c r="GYZ111" s="3"/>
      <c r="GZA111" s="3"/>
      <c r="GZB111" s="3"/>
      <c r="GZC111" s="3"/>
      <c r="GZD111" s="3"/>
      <c r="GZE111" s="3"/>
      <c r="GZF111" s="3"/>
      <c r="GZG111" s="3"/>
      <c r="GZH111" s="3"/>
      <c r="GZI111" s="3"/>
      <c r="GZJ111" s="3"/>
      <c r="GZK111" s="3"/>
      <c r="GZL111" s="3"/>
      <c r="GZM111" s="3"/>
      <c r="GZN111" s="3"/>
      <c r="GZO111" s="3"/>
      <c r="GZP111" s="3"/>
      <c r="GZQ111" s="3"/>
      <c r="GZR111" s="3"/>
      <c r="GZS111" s="3"/>
      <c r="GZT111" s="3"/>
      <c r="GZU111" s="3"/>
      <c r="GZV111" s="3"/>
      <c r="GZW111" s="3"/>
      <c r="GZX111" s="3"/>
      <c r="GZY111" s="3"/>
      <c r="GZZ111" s="3"/>
      <c r="HAA111" s="3"/>
      <c r="HAB111" s="3"/>
      <c r="HAC111" s="3"/>
      <c r="HAD111" s="3"/>
      <c r="HAE111" s="3"/>
      <c r="HAF111" s="3"/>
      <c r="HAG111" s="3"/>
      <c r="HAH111" s="3"/>
      <c r="HAI111" s="3"/>
      <c r="HAJ111" s="3"/>
      <c r="HAK111" s="3"/>
      <c r="HAL111" s="3"/>
      <c r="HAM111" s="3"/>
      <c r="HAN111" s="3"/>
      <c r="HAO111" s="3"/>
      <c r="HAP111" s="3"/>
      <c r="HAQ111" s="3"/>
      <c r="HAR111" s="3"/>
      <c r="HAS111" s="3"/>
      <c r="HAT111" s="3"/>
      <c r="HAU111" s="3"/>
      <c r="HAV111" s="3"/>
      <c r="HAW111" s="3"/>
      <c r="HAX111" s="3"/>
      <c r="HAY111" s="3"/>
      <c r="HAZ111" s="3"/>
      <c r="HBA111" s="3"/>
      <c r="HBB111" s="3"/>
      <c r="HBC111" s="3"/>
      <c r="HBD111" s="3"/>
      <c r="HBE111" s="3"/>
      <c r="HBF111" s="3"/>
      <c r="HBG111" s="3"/>
      <c r="HBH111" s="3"/>
      <c r="HBI111" s="3"/>
      <c r="HBJ111" s="3"/>
      <c r="HBK111" s="3"/>
      <c r="HBL111" s="3"/>
      <c r="HBM111" s="3"/>
      <c r="HBN111" s="3"/>
      <c r="HBO111" s="3"/>
      <c r="HBP111" s="3"/>
      <c r="HBQ111" s="3"/>
      <c r="HBR111" s="3"/>
      <c r="HBS111" s="3"/>
      <c r="HBT111" s="3"/>
      <c r="HBU111" s="3"/>
      <c r="HBV111" s="3"/>
      <c r="HBW111" s="3"/>
      <c r="HBX111" s="3"/>
      <c r="HBY111" s="3"/>
      <c r="HBZ111" s="3"/>
      <c r="HCA111" s="3"/>
      <c r="HCB111" s="3"/>
      <c r="HCC111" s="3"/>
      <c r="HCD111" s="3"/>
      <c r="HCE111" s="3"/>
      <c r="HCF111" s="3"/>
      <c r="HCG111" s="3"/>
      <c r="HCH111" s="3"/>
      <c r="HCI111" s="3"/>
      <c r="HCJ111" s="3"/>
      <c r="HCK111" s="3"/>
      <c r="HCL111" s="3"/>
      <c r="HCM111" s="3"/>
      <c r="HCN111" s="3"/>
      <c r="HCO111" s="3"/>
      <c r="HCP111" s="3"/>
      <c r="HCQ111" s="3"/>
      <c r="HCR111" s="3"/>
      <c r="HCS111" s="3"/>
      <c r="HCT111" s="3"/>
      <c r="HCU111" s="3"/>
      <c r="HCV111" s="3"/>
      <c r="HCW111" s="3"/>
      <c r="HCX111" s="3"/>
      <c r="HCY111" s="3"/>
      <c r="HCZ111" s="3"/>
      <c r="HDA111" s="3"/>
      <c r="HDB111" s="3"/>
      <c r="HDC111" s="3"/>
      <c r="HDD111" s="3"/>
      <c r="HDE111" s="3"/>
      <c r="HDF111" s="3"/>
      <c r="HDG111" s="3"/>
      <c r="HDH111" s="3"/>
      <c r="HDI111" s="3"/>
      <c r="HDJ111" s="3"/>
      <c r="HDK111" s="3"/>
      <c r="HDL111" s="3"/>
      <c r="HDM111" s="3"/>
      <c r="HDN111" s="3"/>
      <c r="HDO111" s="3"/>
      <c r="HDP111" s="3"/>
      <c r="HDQ111" s="3"/>
      <c r="HDR111" s="3"/>
      <c r="HDS111" s="3"/>
      <c r="HDT111" s="3"/>
      <c r="HDU111" s="3"/>
      <c r="HDV111" s="3"/>
      <c r="HDW111" s="3"/>
      <c r="HDX111" s="3"/>
      <c r="HDY111" s="3"/>
      <c r="HDZ111" s="3"/>
      <c r="HEA111" s="3"/>
      <c r="HEB111" s="3"/>
      <c r="HEC111" s="3"/>
      <c r="HED111" s="3"/>
      <c r="HEE111" s="3"/>
      <c r="HEF111" s="3"/>
      <c r="HEG111" s="3"/>
      <c r="HEH111" s="3"/>
      <c r="HEI111" s="3"/>
      <c r="HEJ111" s="3"/>
      <c r="HEK111" s="3"/>
      <c r="HEL111" s="3"/>
      <c r="HEM111" s="3"/>
      <c r="HEN111" s="3"/>
      <c r="HEO111" s="3"/>
      <c r="HEP111" s="3"/>
      <c r="HEQ111" s="3"/>
      <c r="HER111" s="3"/>
      <c r="HES111" s="3"/>
      <c r="HET111" s="3"/>
      <c r="HEU111" s="3"/>
      <c r="HEV111" s="3"/>
      <c r="HEW111" s="3"/>
      <c r="HEX111" s="3"/>
      <c r="HEY111" s="3"/>
      <c r="HEZ111" s="3"/>
      <c r="HFA111" s="3"/>
      <c r="HFB111" s="3"/>
      <c r="HFC111" s="3"/>
      <c r="HFD111" s="3"/>
      <c r="HFE111" s="3"/>
      <c r="HFF111" s="3"/>
      <c r="HFG111" s="3"/>
      <c r="HFH111" s="3"/>
      <c r="HFI111" s="3"/>
      <c r="HFJ111" s="3"/>
      <c r="HFK111" s="3"/>
      <c r="HFL111" s="3"/>
      <c r="HFM111" s="3"/>
      <c r="HFN111" s="3"/>
      <c r="HFO111" s="3"/>
      <c r="HFP111" s="3"/>
      <c r="HFQ111" s="3"/>
      <c r="HFR111" s="3"/>
      <c r="HFS111" s="3"/>
      <c r="HFT111" s="3"/>
      <c r="HFU111" s="3"/>
      <c r="HFV111" s="3"/>
      <c r="HFW111" s="3"/>
      <c r="HFX111" s="3"/>
      <c r="HFY111" s="3"/>
      <c r="HFZ111" s="3"/>
      <c r="HGA111" s="3"/>
      <c r="HGB111" s="3"/>
      <c r="HGC111" s="3"/>
      <c r="HGD111" s="3"/>
      <c r="HGE111" s="3"/>
      <c r="HGF111" s="3"/>
      <c r="HGG111" s="3"/>
      <c r="HGH111" s="3"/>
      <c r="HGI111" s="3"/>
      <c r="HGJ111" s="3"/>
      <c r="HGK111" s="3"/>
      <c r="HGL111" s="3"/>
      <c r="HGM111" s="3"/>
      <c r="HGN111" s="3"/>
      <c r="HGO111" s="3"/>
      <c r="HGP111" s="3"/>
      <c r="HGQ111" s="3"/>
      <c r="HGR111" s="3"/>
      <c r="HGS111" s="3"/>
      <c r="HGT111" s="3"/>
      <c r="HGU111" s="3"/>
      <c r="HGV111" s="3"/>
      <c r="HGW111" s="3"/>
      <c r="HGX111" s="3"/>
      <c r="HGY111" s="3"/>
      <c r="HGZ111" s="3"/>
      <c r="HHA111" s="3"/>
      <c r="HHB111" s="3"/>
      <c r="HHC111" s="3"/>
      <c r="HHD111" s="3"/>
      <c r="HHE111" s="3"/>
      <c r="HHF111" s="3"/>
      <c r="HHG111" s="3"/>
      <c r="HHH111" s="3"/>
      <c r="HHI111" s="3"/>
      <c r="HHJ111" s="3"/>
      <c r="HHK111" s="3"/>
      <c r="HHL111" s="3"/>
      <c r="HHM111" s="3"/>
      <c r="HHN111" s="3"/>
      <c r="HHO111" s="3"/>
      <c r="HHP111" s="3"/>
      <c r="HHQ111" s="3"/>
      <c r="HHR111" s="3"/>
      <c r="HHS111" s="3"/>
      <c r="HHT111" s="3"/>
      <c r="HHU111" s="3"/>
      <c r="HHV111" s="3"/>
      <c r="HHW111" s="3"/>
      <c r="HHX111" s="3"/>
      <c r="HHY111" s="3"/>
      <c r="HHZ111" s="3"/>
      <c r="HIA111" s="3"/>
      <c r="HIB111" s="3"/>
      <c r="HIC111" s="3"/>
      <c r="HID111" s="3"/>
      <c r="HIE111" s="3"/>
      <c r="HIF111" s="3"/>
      <c r="HIG111" s="3"/>
      <c r="HIH111" s="3"/>
      <c r="HII111" s="3"/>
      <c r="HIJ111" s="3"/>
      <c r="HIK111" s="3"/>
      <c r="HIL111" s="3"/>
      <c r="HIM111" s="3"/>
      <c r="HIN111" s="3"/>
      <c r="HIO111" s="3"/>
      <c r="HIP111" s="3"/>
      <c r="HIQ111" s="3"/>
      <c r="HIR111" s="3"/>
      <c r="HIS111" s="3"/>
      <c r="HIT111" s="3"/>
      <c r="HIU111" s="3"/>
      <c r="HIV111" s="3"/>
      <c r="HIW111" s="3"/>
      <c r="HIX111" s="3"/>
      <c r="HIY111" s="3"/>
      <c r="HIZ111" s="3"/>
      <c r="HJA111" s="3"/>
      <c r="HJB111" s="3"/>
      <c r="HJC111" s="3"/>
      <c r="HJD111" s="3"/>
      <c r="HJE111" s="3"/>
      <c r="HJF111" s="3"/>
      <c r="HJG111" s="3"/>
      <c r="HJH111" s="3"/>
      <c r="HJI111" s="3"/>
      <c r="HJJ111" s="3"/>
      <c r="HJK111" s="3"/>
      <c r="HJL111" s="3"/>
      <c r="HJM111" s="3"/>
      <c r="HJN111" s="3"/>
      <c r="HJO111" s="3"/>
      <c r="HJP111" s="3"/>
      <c r="HJQ111" s="3"/>
      <c r="HJR111" s="3"/>
      <c r="HJS111" s="3"/>
      <c r="HJT111" s="3"/>
      <c r="HJU111" s="3"/>
      <c r="HJV111" s="3"/>
      <c r="HJW111" s="3"/>
      <c r="HJX111" s="3"/>
      <c r="HJY111" s="3"/>
      <c r="HJZ111" s="3"/>
      <c r="HKA111" s="3"/>
      <c r="HKB111" s="3"/>
      <c r="HKC111" s="3"/>
      <c r="HKD111" s="3"/>
      <c r="HKE111" s="3"/>
      <c r="HKF111" s="3"/>
      <c r="HKG111" s="3"/>
      <c r="HKH111" s="3"/>
      <c r="HKI111" s="3"/>
      <c r="HKJ111" s="3"/>
      <c r="HKK111" s="3"/>
      <c r="HKL111" s="3"/>
      <c r="HKM111" s="3"/>
      <c r="HKN111" s="3"/>
      <c r="HKO111" s="3"/>
      <c r="HKP111" s="3"/>
      <c r="HKQ111" s="3"/>
      <c r="HKR111" s="3"/>
      <c r="HKS111" s="3"/>
      <c r="HKT111" s="3"/>
      <c r="HKU111" s="3"/>
      <c r="HKV111" s="3"/>
      <c r="HKW111" s="3"/>
      <c r="HKX111" s="3"/>
      <c r="HKY111" s="3"/>
      <c r="HKZ111" s="3"/>
      <c r="HLA111" s="3"/>
      <c r="HLB111" s="3"/>
      <c r="HLC111" s="3"/>
      <c r="HLD111" s="3"/>
      <c r="HLE111" s="3"/>
      <c r="HLF111" s="3"/>
      <c r="HLG111" s="3"/>
      <c r="HLH111" s="3"/>
      <c r="HLI111" s="3"/>
      <c r="HLJ111" s="3"/>
      <c r="HLK111" s="3"/>
      <c r="HLL111" s="3"/>
      <c r="HLM111" s="3"/>
      <c r="HLN111" s="3"/>
      <c r="HLO111" s="3"/>
      <c r="HLP111" s="3"/>
      <c r="HLQ111" s="3"/>
      <c r="HLR111" s="3"/>
      <c r="HLS111" s="3"/>
      <c r="HLT111" s="3"/>
      <c r="HLU111" s="3"/>
      <c r="HLV111" s="3"/>
      <c r="HLW111" s="3"/>
      <c r="HLX111" s="3"/>
      <c r="HLY111" s="3"/>
      <c r="HLZ111" s="3"/>
      <c r="HMA111" s="3"/>
      <c r="HMB111" s="3"/>
      <c r="HMC111" s="3"/>
      <c r="HMD111" s="3"/>
      <c r="HME111" s="3"/>
      <c r="HMF111" s="3"/>
      <c r="HMG111" s="3"/>
      <c r="HMH111" s="3"/>
      <c r="HMI111" s="3"/>
      <c r="HMJ111" s="3"/>
      <c r="HMK111" s="3"/>
      <c r="HML111" s="3"/>
      <c r="HMM111" s="3"/>
      <c r="HMN111" s="3"/>
      <c r="HMO111" s="3"/>
      <c r="HMP111" s="3"/>
      <c r="HMQ111" s="3"/>
      <c r="HMR111" s="3"/>
      <c r="HMS111" s="3"/>
      <c r="HMT111" s="3"/>
      <c r="HMU111" s="3"/>
      <c r="HMV111" s="3"/>
      <c r="HMW111" s="3"/>
      <c r="HMX111" s="3"/>
      <c r="HMY111" s="3"/>
      <c r="HMZ111" s="3"/>
      <c r="HNA111" s="3"/>
      <c r="HNB111" s="3"/>
      <c r="HNC111" s="3"/>
      <c r="HND111" s="3"/>
      <c r="HNE111" s="3"/>
      <c r="HNF111" s="3"/>
      <c r="HNG111" s="3"/>
      <c r="HNH111" s="3"/>
      <c r="HNI111" s="3"/>
      <c r="HNJ111" s="3"/>
      <c r="HNK111" s="3"/>
      <c r="HNL111" s="3"/>
      <c r="HNM111" s="3"/>
      <c r="HNN111" s="3"/>
      <c r="HNO111" s="3"/>
      <c r="HNP111" s="3"/>
      <c r="HNQ111" s="3"/>
      <c r="HNR111" s="3"/>
      <c r="HNS111" s="3"/>
      <c r="HNT111" s="3"/>
      <c r="HNU111" s="3"/>
      <c r="HNV111" s="3"/>
      <c r="HNW111" s="3"/>
      <c r="HNX111" s="3"/>
      <c r="HNY111" s="3"/>
      <c r="HNZ111" s="3"/>
      <c r="HOA111" s="3"/>
      <c r="HOB111" s="3"/>
      <c r="HOC111" s="3"/>
      <c r="HOD111" s="3"/>
      <c r="HOE111" s="3"/>
      <c r="HOF111" s="3"/>
      <c r="HOG111" s="3"/>
      <c r="HOH111" s="3"/>
      <c r="HOI111" s="3"/>
      <c r="HOJ111" s="3"/>
      <c r="HOK111" s="3"/>
      <c r="HOL111" s="3"/>
      <c r="HOM111" s="3"/>
      <c r="HON111" s="3"/>
      <c r="HOO111" s="3"/>
      <c r="HOP111" s="3"/>
      <c r="HOQ111" s="3"/>
      <c r="HOR111" s="3"/>
      <c r="HOS111" s="3"/>
      <c r="HOT111" s="3"/>
      <c r="HOU111" s="3"/>
      <c r="HOV111" s="3"/>
      <c r="HOW111" s="3"/>
      <c r="HOX111" s="3"/>
      <c r="HOY111" s="3"/>
      <c r="HOZ111" s="3"/>
      <c r="HPA111" s="3"/>
      <c r="HPB111" s="3"/>
      <c r="HPC111" s="3"/>
      <c r="HPD111" s="3"/>
      <c r="HPE111" s="3"/>
      <c r="HPF111" s="3"/>
      <c r="HPG111" s="3"/>
      <c r="HPH111" s="3"/>
      <c r="HPI111" s="3"/>
      <c r="HPJ111" s="3"/>
      <c r="HPK111" s="3"/>
      <c r="HPL111" s="3"/>
      <c r="HPM111" s="3"/>
      <c r="HPN111" s="3"/>
      <c r="HPO111" s="3"/>
      <c r="HPP111" s="3"/>
      <c r="HPQ111" s="3"/>
      <c r="HPR111" s="3"/>
      <c r="HPS111" s="3"/>
      <c r="HPT111" s="3"/>
      <c r="HPU111" s="3"/>
      <c r="HPV111" s="3"/>
      <c r="HPW111" s="3"/>
      <c r="HPX111" s="3"/>
      <c r="HPY111" s="3"/>
      <c r="HPZ111" s="3"/>
      <c r="HQA111" s="3"/>
      <c r="HQB111" s="3"/>
      <c r="HQC111" s="3"/>
      <c r="HQD111" s="3"/>
      <c r="HQE111" s="3"/>
      <c r="HQF111" s="3"/>
      <c r="HQG111" s="3"/>
      <c r="HQH111" s="3"/>
      <c r="HQI111" s="3"/>
      <c r="HQJ111" s="3"/>
      <c r="HQK111" s="3"/>
      <c r="HQL111" s="3"/>
      <c r="HQM111" s="3"/>
      <c r="HQN111" s="3"/>
      <c r="HQO111" s="3"/>
      <c r="HQP111" s="3"/>
      <c r="HQQ111" s="3"/>
      <c r="HQR111" s="3"/>
      <c r="HQS111" s="3"/>
      <c r="HQT111" s="3"/>
      <c r="HQU111" s="3"/>
      <c r="HQV111" s="3"/>
      <c r="HQW111" s="3"/>
      <c r="HQX111" s="3"/>
      <c r="HQY111" s="3"/>
      <c r="HQZ111" s="3"/>
      <c r="HRA111" s="3"/>
      <c r="HRB111" s="3"/>
      <c r="HRC111" s="3"/>
      <c r="HRD111" s="3"/>
      <c r="HRE111" s="3"/>
      <c r="HRF111" s="3"/>
      <c r="HRG111" s="3"/>
      <c r="HRH111" s="3"/>
      <c r="HRI111" s="3"/>
      <c r="HRJ111" s="3"/>
      <c r="HRK111" s="3"/>
      <c r="HRL111" s="3"/>
      <c r="HRM111" s="3"/>
      <c r="HRN111" s="3"/>
      <c r="HRO111" s="3"/>
      <c r="HRP111" s="3"/>
      <c r="HRQ111" s="3"/>
      <c r="HRR111" s="3"/>
      <c r="HRS111" s="3"/>
      <c r="HRT111" s="3"/>
      <c r="HRU111" s="3"/>
      <c r="HRV111" s="3"/>
      <c r="HRW111" s="3"/>
      <c r="HRX111" s="3"/>
      <c r="HRY111" s="3"/>
      <c r="HRZ111" s="3"/>
      <c r="HSA111" s="3"/>
      <c r="HSB111" s="3"/>
      <c r="HSC111" s="3"/>
      <c r="HSD111" s="3"/>
      <c r="HSE111" s="3"/>
      <c r="HSF111" s="3"/>
      <c r="HSG111" s="3"/>
      <c r="HSH111" s="3"/>
      <c r="HSI111" s="3"/>
      <c r="HSJ111" s="3"/>
      <c r="HSK111" s="3"/>
      <c r="HSL111" s="3"/>
      <c r="HSM111" s="3"/>
      <c r="HSN111" s="3"/>
      <c r="HSO111" s="3"/>
      <c r="HSP111" s="3"/>
      <c r="HSQ111" s="3"/>
      <c r="HSR111" s="3"/>
      <c r="HSS111" s="3"/>
      <c r="HST111" s="3"/>
      <c r="HSU111" s="3"/>
      <c r="HSV111" s="3"/>
      <c r="HSW111" s="3"/>
      <c r="HSX111" s="3"/>
      <c r="HSY111" s="3"/>
      <c r="HSZ111" s="3"/>
      <c r="HTA111" s="3"/>
      <c r="HTB111" s="3"/>
      <c r="HTC111" s="3"/>
      <c r="HTD111" s="3"/>
      <c r="HTE111" s="3"/>
      <c r="HTF111" s="3"/>
      <c r="HTG111" s="3"/>
      <c r="HTH111" s="3"/>
      <c r="HTI111" s="3"/>
      <c r="HTJ111" s="3"/>
      <c r="HTK111" s="3"/>
      <c r="HTL111" s="3"/>
      <c r="HTM111" s="3"/>
      <c r="HTN111" s="3"/>
      <c r="HTO111" s="3"/>
      <c r="HTP111" s="3"/>
      <c r="HTQ111" s="3"/>
      <c r="HTR111" s="3"/>
      <c r="HTS111" s="3"/>
      <c r="HTT111" s="3"/>
      <c r="HTU111" s="3"/>
      <c r="HTV111" s="3"/>
      <c r="HTW111" s="3"/>
      <c r="HTX111" s="3"/>
      <c r="HTY111" s="3"/>
      <c r="HTZ111" s="3"/>
      <c r="HUA111" s="3"/>
      <c r="HUB111" s="3"/>
      <c r="HUC111" s="3"/>
      <c r="HUD111" s="3"/>
      <c r="HUE111" s="3"/>
      <c r="HUF111" s="3"/>
      <c r="HUG111" s="3"/>
      <c r="HUH111" s="3"/>
      <c r="HUI111" s="3"/>
      <c r="HUJ111" s="3"/>
      <c r="HUK111" s="3"/>
      <c r="HUL111" s="3"/>
      <c r="HUM111" s="3"/>
      <c r="HUN111" s="3"/>
      <c r="HUO111" s="3"/>
      <c r="HUP111" s="3"/>
      <c r="HUQ111" s="3"/>
      <c r="HUR111" s="3"/>
      <c r="HUS111" s="3"/>
      <c r="HUT111" s="3"/>
      <c r="HUU111" s="3"/>
      <c r="HUV111" s="3"/>
      <c r="HUW111" s="3"/>
      <c r="HUX111" s="3"/>
      <c r="HUY111" s="3"/>
      <c r="HUZ111" s="3"/>
      <c r="HVA111" s="3"/>
      <c r="HVB111" s="3"/>
      <c r="HVC111" s="3"/>
      <c r="HVD111" s="3"/>
      <c r="HVE111" s="3"/>
      <c r="HVF111" s="3"/>
      <c r="HVG111" s="3"/>
      <c r="HVH111" s="3"/>
      <c r="HVI111" s="3"/>
      <c r="HVJ111" s="3"/>
      <c r="HVK111" s="3"/>
      <c r="HVL111" s="3"/>
      <c r="HVM111" s="3"/>
      <c r="HVN111" s="3"/>
      <c r="HVO111" s="3"/>
      <c r="HVP111" s="3"/>
      <c r="HVQ111" s="3"/>
      <c r="HVR111" s="3"/>
      <c r="HVS111" s="3"/>
      <c r="HVT111" s="3"/>
      <c r="HVU111" s="3"/>
      <c r="HVV111" s="3"/>
      <c r="HVW111" s="3"/>
      <c r="HVX111" s="3"/>
      <c r="HVY111" s="3"/>
      <c r="HVZ111" s="3"/>
      <c r="HWA111" s="3"/>
      <c r="HWB111" s="3"/>
      <c r="HWC111" s="3"/>
      <c r="HWD111" s="3"/>
      <c r="HWE111" s="3"/>
      <c r="HWF111" s="3"/>
      <c r="HWG111" s="3"/>
      <c r="HWH111" s="3"/>
      <c r="HWI111" s="3"/>
      <c r="HWJ111" s="3"/>
      <c r="HWK111" s="3"/>
      <c r="HWL111" s="3"/>
      <c r="HWM111" s="3"/>
      <c r="HWN111" s="3"/>
      <c r="HWO111" s="3"/>
      <c r="HWP111" s="3"/>
      <c r="HWQ111" s="3"/>
      <c r="HWR111" s="3"/>
      <c r="HWS111" s="3"/>
      <c r="HWT111" s="3"/>
      <c r="HWU111" s="3"/>
      <c r="HWV111" s="3"/>
      <c r="HWW111" s="3"/>
      <c r="HWX111" s="3"/>
      <c r="HWY111" s="3"/>
      <c r="HWZ111" s="3"/>
      <c r="HXA111" s="3"/>
      <c r="HXB111" s="3"/>
      <c r="HXC111" s="3"/>
      <c r="HXD111" s="3"/>
      <c r="HXE111" s="3"/>
      <c r="HXF111" s="3"/>
      <c r="HXG111" s="3"/>
      <c r="HXH111" s="3"/>
      <c r="HXI111" s="3"/>
      <c r="HXJ111" s="3"/>
      <c r="HXK111" s="3"/>
      <c r="HXL111" s="3"/>
      <c r="HXM111" s="3"/>
      <c r="HXN111" s="3"/>
      <c r="HXO111" s="3"/>
      <c r="HXP111" s="3"/>
      <c r="HXQ111" s="3"/>
      <c r="HXR111" s="3"/>
      <c r="HXS111" s="3"/>
      <c r="HXT111" s="3"/>
      <c r="HXU111" s="3"/>
      <c r="HXV111" s="3"/>
      <c r="HXW111" s="3"/>
      <c r="HXX111" s="3"/>
      <c r="HXY111" s="3"/>
      <c r="HXZ111" s="3"/>
      <c r="HYA111" s="3"/>
      <c r="HYB111" s="3"/>
      <c r="HYC111" s="3"/>
      <c r="HYD111" s="3"/>
      <c r="HYE111" s="3"/>
      <c r="HYF111" s="3"/>
      <c r="HYG111" s="3"/>
      <c r="HYH111" s="3"/>
      <c r="HYI111" s="3"/>
      <c r="HYJ111" s="3"/>
      <c r="HYK111" s="3"/>
      <c r="HYL111" s="3"/>
      <c r="HYM111" s="3"/>
      <c r="HYN111" s="3"/>
      <c r="HYO111" s="3"/>
      <c r="HYP111" s="3"/>
      <c r="HYQ111" s="3"/>
      <c r="HYR111" s="3"/>
      <c r="HYS111" s="3"/>
      <c r="HYT111" s="3"/>
      <c r="HYU111" s="3"/>
      <c r="HYV111" s="3"/>
      <c r="HYW111" s="3"/>
      <c r="HYX111" s="3"/>
      <c r="HYY111" s="3"/>
      <c r="HYZ111" s="3"/>
      <c r="HZA111" s="3"/>
      <c r="HZB111" s="3"/>
      <c r="HZC111" s="3"/>
      <c r="HZD111" s="3"/>
      <c r="HZE111" s="3"/>
      <c r="HZF111" s="3"/>
      <c r="HZG111" s="3"/>
      <c r="HZH111" s="3"/>
      <c r="HZI111" s="3"/>
      <c r="HZJ111" s="3"/>
      <c r="HZK111" s="3"/>
      <c r="HZL111" s="3"/>
      <c r="HZM111" s="3"/>
      <c r="HZN111" s="3"/>
      <c r="HZO111" s="3"/>
      <c r="HZP111" s="3"/>
      <c r="HZQ111" s="3"/>
      <c r="HZR111" s="3"/>
      <c r="HZS111" s="3"/>
      <c r="HZT111" s="3"/>
      <c r="HZU111" s="3"/>
      <c r="HZV111" s="3"/>
      <c r="HZW111" s="3"/>
      <c r="HZX111" s="3"/>
      <c r="HZY111" s="3"/>
      <c r="HZZ111" s="3"/>
      <c r="IAA111" s="3"/>
      <c r="IAB111" s="3"/>
      <c r="IAC111" s="3"/>
      <c r="IAD111" s="3"/>
      <c r="IAE111" s="3"/>
      <c r="IAF111" s="3"/>
      <c r="IAG111" s="3"/>
      <c r="IAH111" s="3"/>
      <c r="IAI111" s="3"/>
      <c r="IAJ111" s="3"/>
      <c r="IAK111" s="3"/>
      <c r="IAL111" s="3"/>
      <c r="IAM111" s="3"/>
      <c r="IAN111" s="3"/>
      <c r="IAO111" s="3"/>
      <c r="IAP111" s="3"/>
      <c r="IAQ111" s="3"/>
      <c r="IAR111" s="3"/>
      <c r="IAS111" s="3"/>
      <c r="IAT111" s="3"/>
      <c r="IAU111" s="3"/>
      <c r="IAV111" s="3"/>
      <c r="IAW111" s="3"/>
      <c r="IAX111" s="3"/>
      <c r="IAY111" s="3"/>
      <c r="IAZ111" s="3"/>
      <c r="IBA111" s="3"/>
      <c r="IBB111" s="3"/>
      <c r="IBC111" s="3"/>
      <c r="IBD111" s="3"/>
      <c r="IBE111" s="3"/>
      <c r="IBF111" s="3"/>
      <c r="IBG111" s="3"/>
      <c r="IBH111" s="3"/>
      <c r="IBI111" s="3"/>
      <c r="IBJ111" s="3"/>
      <c r="IBK111" s="3"/>
      <c r="IBL111" s="3"/>
      <c r="IBM111" s="3"/>
      <c r="IBN111" s="3"/>
      <c r="IBO111" s="3"/>
      <c r="IBP111" s="3"/>
      <c r="IBQ111" s="3"/>
      <c r="IBR111" s="3"/>
      <c r="IBS111" s="3"/>
      <c r="IBT111" s="3"/>
      <c r="IBU111" s="3"/>
      <c r="IBV111" s="3"/>
      <c r="IBW111" s="3"/>
      <c r="IBX111" s="3"/>
      <c r="IBY111" s="3"/>
      <c r="IBZ111" s="3"/>
      <c r="ICA111" s="3"/>
      <c r="ICB111" s="3"/>
      <c r="ICC111" s="3"/>
      <c r="ICD111" s="3"/>
      <c r="ICE111" s="3"/>
      <c r="ICF111" s="3"/>
      <c r="ICG111" s="3"/>
      <c r="ICH111" s="3"/>
      <c r="ICI111" s="3"/>
      <c r="ICJ111" s="3"/>
      <c r="ICK111" s="3"/>
      <c r="ICL111" s="3"/>
      <c r="ICM111" s="3"/>
      <c r="ICN111" s="3"/>
      <c r="ICO111" s="3"/>
      <c r="ICP111" s="3"/>
      <c r="ICQ111" s="3"/>
      <c r="ICR111" s="3"/>
      <c r="ICS111" s="3"/>
      <c r="ICT111" s="3"/>
      <c r="ICU111" s="3"/>
      <c r="ICV111" s="3"/>
      <c r="ICW111" s="3"/>
      <c r="ICX111" s="3"/>
      <c r="ICY111" s="3"/>
      <c r="ICZ111" s="3"/>
      <c r="IDA111" s="3"/>
      <c r="IDB111" s="3"/>
      <c r="IDC111" s="3"/>
      <c r="IDD111" s="3"/>
      <c r="IDE111" s="3"/>
      <c r="IDF111" s="3"/>
      <c r="IDG111" s="3"/>
      <c r="IDH111" s="3"/>
      <c r="IDI111" s="3"/>
      <c r="IDJ111" s="3"/>
      <c r="IDK111" s="3"/>
      <c r="IDL111" s="3"/>
      <c r="IDM111" s="3"/>
      <c r="IDN111" s="3"/>
      <c r="IDO111" s="3"/>
      <c r="IDP111" s="3"/>
      <c r="IDQ111" s="3"/>
      <c r="IDR111" s="3"/>
      <c r="IDS111" s="3"/>
      <c r="IDT111" s="3"/>
      <c r="IDU111" s="3"/>
      <c r="IDV111" s="3"/>
      <c r="IDW111" s="3"/>
      <c r="IDX111" s="3"/>
      <c r="IDY111" s="3"/>
      <c r="IDZ111" s="3"/>
      <c r="IEA111" s="3"/>
      <c r="IEB111" s="3"/>
      <c r="IEC111" s="3"/>
      <c r="IED111" s="3"/>
      <c r="IEE111" s="3"/>
      <c r="IEF111" s="3"/>
      <c r="IEG111" s="3"/>
      <c r="IEH111" s="3"/>
      <c r="IEI111" s="3"/>
      <c r="IEJ111" s="3"/>
      <c r="IEK111" s="3"/>
      <c r="IEL111" s="3"/>
      <c r="IEM111" s="3"/>
      <c r="IEN111" s="3"/>
      <c r="IEO111" s="3"/>
      <c r="IEP111" s="3"/>
      <c r="IEQ111" s="3"/>
      <c r="IER111" s="3"/>
      <c r="IES111" s="3"/>
      <c r="IET111" s="3"/>
      <c r="IEU111" s="3"/>
      <c r="IEV111" s="3"/>
      <c r="IEW111" s="3"/>
      <c r="IEX111" s="3"/>
      <c r="IEY111" s="3"/>
      <c r="IEZ111" s="3"/>
      <c r="IFA111" s="3"/>
      <c r="IFB111" s="3"/>
      <c r="IFC111" s="3"/>
      <c r="IFD111" s="3"/>
      <c r="IFE111" s="3"/>
      <c r="IFF111" s="3"/>
      <c r="IFG111" s="3"/>
      <c r="IFH111" s="3"/>
      <c r="IFI111" s="3"/>
      <c r="IFJ111" s="3"/>
      <c r="IFK111" s="3"/>
      <c r="IFL111" s="3"/>
      <c r="IFM111" s="3"/>
      <c r="IFN111" s="3"/>
      <c r="IFO111" s="3"/>
      <c r="IFP111" s="3"/>
      <c r="IFQ111" s="3"/>
      <c r="IFR111" s="3"/>
      <c r="IFS111" s="3"/>
      <c r="IFT111" s="3"/>
      <c r="IFU111" s="3"/>
      <c r="IFV111" s="3"/>
      <c r="IFW111" s="3"/>
      <c r="IFX111" s="3"/>
      <c r="IFY111" s="3"/>
      <c r="IFZ111" s="3"/>
      <c r="IGA111" s="3"/>
      <c r="IGB111" s="3"/>
      <c r="IGC111" s="3"/>
      <c r="IGD111" s="3"/>
      <c r="IGE111" s="3"/>
      <c r="IGF111" s="3"/>
      <c r="IGG111" s="3"/>
      <c r="IGH111" s="3"/>
      <c r="IGI111" s="3"/>
      <c r="IGJ111" s="3"/>
      <c r="IGK111" s="3"/>
      <c r="IGL111" s="3"/>
      <c r="IGM111" s="3"/>
      <c r="IGN111" s="3"/>
      <c r="IGO111" s="3"/>
      <c r="IGP111" s="3"/>
      <c r="IGQ111" s="3"/>
      <c r="IGR111" s="3"/>
      <c r="IGS111" s="3"/>
      <c r="IGT111" s="3"/>
      <c r="IGU111" s="3"/>
      <c r="IGV111" s="3"/>
      <c r="IGW111" s="3"/>
      <c r="IGX111" s="3"/>
      <c r="IGY111" s="3"/>
      <c r="IGZ111" s="3"/>
      <c r="IHA111" s="3"/>
      <c r="IHB111" s="3"/>
      <c r="IHC111" s="3"/>
      <c r="IHD111" s="3"/>
      <c r="IHE111" s="3"/>
      <c r="IHF111" s="3"/>
      <c r="IHG111" s="3"/>
      <c r="IHH111" s="3"/>
      <c r="IHI111" s="3"/>
      <c r="IHJ111" s="3"/>
      <c r="IHK111" s="3"/>
      <c r="IHL111" s="3"/>
      <c r="IHM111" s="3"/>
      <c r="IHN111" s="3"/>
      <c r="IHO111" s="3"/>
      <c r="IHP111" s="3"/>
      <c r="IHQ111" s="3"/>
      <c r="IHR111" s="3"/>
      <c r="IHS111" s="3"/>
      <c r="IHT111" s="3"/>
      <c r="IHU111" s="3"/>
      <c r="IHV111" s="3"/>
      <c r="IHW111" s="3"/>
      <c r="IHX111" s="3"/>
      <c r="IHY111" s="3"/>
      <c r="IHZ111" s="3"/>
      <c r="IIA111" s="3"/>
      <c r="IIB111" s="3"/>
      <c r="IIC111" s="3"/>
      <c r="IID111" s="3"/>
      <c r="IIE111" s="3"/>
      <c r="IIF111" s="3"/>
      <c r="IIG111" s="3"/>
      <c r="IIH111" s="3"/>
      <c r="III111" s="3"/>
      <c r="IIJ111" s="3"/>
      <c r="IIK111" s="3"/>
      <c r="IIL111" s="3"/>
      <c r="IIM111" s="3"/>
      <c r="IIN111" s="3"/>
      <c r="IIO111" s="3"/>
      <c r="IIP111" s="3"/>
      <c r="IIQ111" s="3"/>
      <c r="IIR111" s="3"/>
      <c r="IIS111" s="3"/>
      <c r="IIT111" s="3"/>
      <c r="IIU111" s="3"/>
      <c r="IIV111" s="3"/>
      <c r="IIW111" s="3"/>
      <c r="IIX111" s="3"/>
      <c r="IIY111" s="3"/>
      <c r="IIZ111" s="3"/>
      <c r="IJA111" s="3"/>
      <c r="IJB111" s="3"/>
      <c r="IJC111" s="3"/>
      <c r="IJD111" s="3"/>
      <c r="IJE111" s="3"/>
      <c r="IJF111" s="3"/>
      <c r="IJG111" s="3"/>
      <c r="IJH111" s="3"/>
      <c r="IJI111" s="3"/>
      <c r="IJJ111" s="3"/>
      <c r="IJK111" s="3"/>
      <c r="IJL111" s="3"/>
      <c r="IJM111" s="3"/>
      <c r="IJN111" s="3"/>
      <c r="IJO111" s="3"/>
      <c r="IJP111" s="3"/>
      <c r="IJQ111" s="3"/>
      <c r="IJR111" s="3"/>
      <c r="IJS111" s="3"/>
      <c r="IJT111" s="3"/>
      <c r="IJU111" s="3"/>
      <c r="IJV111" s="3"/>
      <c r="IJW111" s="3"/>
      <c r="IJX111" s="3"/>
      <c r="IJY111" s="3"/>
      <c r="IJZ111" s="3"/>
      <c r="IKA111" s="3"/>
      <c r="IKB111" s="3"/>
      <c r="IKC111" s="3"/>
      <c r="IKD111" s="3"/>
      <c r="IKE111" s="3"/>
      <c r="IKF111" s="3"/>
      <c r="IKG111" s="3"/>
      <c r="IKH111" s="3"/>
      <c r="IKI111" s="3"/>
      <c r="IKJ111" s="3"/>
      <c r="IKK111" s="3"/>
      <c r="IKL111" s="3"/>
      <c r="IKM111" s="3"/>
      <c r="IKN111" s="3"/>
      <c r="IKO111" s="3"/>
      <c r="IKP111" s="3"/>
      <c r="IKQ111" s="3"/>
      <c r="IKR111" s="3"/>
      <c r="IKS111" s="3"/>
      <c r="IKT111" s="3"/>
      <c r="IKU111" s="3"/>
      <c r="IKV111" s="3"/>
      <c r="IKW111" s="3"/>
      <c r="IKX111" s="3"/>
      <c r="IKY111" s="3"/>
      <c r="IKZ111" s="3"/>
      <c r="ILA111" s="3"/>
      <c r="ILB111" s="3"/>
      <c r="ILC111" s="3"/>
      <c r="ILD111" s="3"/>
      <c r="ILE111" s="3"/>
      <c r="ILF111" s="3"/>
      <c r="ILG111" s="3"/>
      <c r="ILH111" s="3"/>
      <c r="ILI111" s="3"/>
      <c r="ILJ111" s="3"/>
      <c r="ILK111" s="3"/>
      <c r="ILL111" s="3"/>
      <c r="ILM111" s="3"/>
      <c r="ILN111" s="3"/>
      <c r="ILO111" s="3"/>
      <c r="ILP111" s="3"/>
      <c r="ILQ111" s="3"/>
      <c r="ILR111" s="3"/>
      <c r="ILS111" s="3"/>
      <c r="ILT111" s="3"/>
      <c r="ILU111" s="3"/>
      <c r="ILV111" s="3"/>
      <c r="ILW111" s="3"/>
      <c r="ILX111" s="3"/>
      <c r="ILY111" s="3"/>
      <c r="ILZ111" s="3"/>
      <c r="IMA111" s="3"/>
      <c r="IMB111" s="3"/>
      <c r="IMC111" s="3"/>
      <c r="IMD111" s="3"/>
      <c r="IME111" s="3"/>
      <c r="IMF111" s="3"/>
      <c r="IMG111" s="3"/>
      <c r="IMH111" s="3"/>
      <c r="IMI111" s="3"/>
      <c r="IMJ111" s="3"/>
      <c r="IMK111" s="3"/>
      <c r="IML111" s="3"/>
      <c r="IMM111" s="3"/>
      <c r="IMN111" s="3"/>
      <c r="IMO111" s="3"/>
      <c r="IMP111" s="3"/>
      <c r="IMQ111" s="3"/>
      <c r="IMR111" s="3"/>
      <c r="IMS111" s="3"/>
      <c r="IMT111" s="3"/>
      <c r="IMU111" s="3"/>
      <c r="IMV111" s="3"/>
      <c r="IMW111" s="3"/>
      <c r="IMX111" s="3"/>
      <c r="IMY111" s="3"/>
      <c r="IMZ111" s="3"/>
      <c r="INA111" s="3"/>
      <c r="INB111" s="3"/>
      <c r="INC111" s="3"/>
      <c r="IND111" s="3"/>
      <c r="INE111" s="3"/>
      <c r="INF111" s="3"/>
      <c r="ING111" s="3"/>
      <c r="INH111" s="3"/>
      <c r="INI111" s="3"/>
      <c r="INJ111" s="3"/>
      <c r="INK111" s="3"/>
      <c r="INL111" s="3"/>
      <c r="INM111" s="3"/>
      <c r="INN111" s="3"/>
      <c r="INO111" s="3"/>
      <c r="INP111" s="3"/>
      <c r="INQ111" s="3"/>
      <c r="INR111" s="3"/>
      <c r="INS111" s="3"/>
      <c r="INT111" s="3"/>
      <c r="INU111" s="3"/>
      <c r="INV111" s="3"/>
      <c r="INW111" s="3"/>
      <c r="INX111" s="3"/>
      <c r="INY111" s="3"/>
      <c r="INZ111" s="3"/>
      <c r="IOA111" s="3"/>
      <c r="IOB111" s="3"/>
      <c r="IOC111" s="3"/>
      <c r="IOD111" s="3"/>
      <c r="IOE111" s="3"/>
      <c r="IOF111" s="3"/>
      <c r="IOG111" s="3"/>
      <c r="IOH111" s="3"/>
      <c r="IOI111" s="3"/>
      <c r="IOJ111" s="3"/>
      <c r="IOK111" s="3"/>
      <c r="IOL111" s="3"/>
      <c r="IOM111" s="3"/>
      <c r="ION111" s="3"/>
      <c r="IOO111" s="3"/>
      <c r="IOP111" s="3"/>
      <c r="IOQ111" s="3"/>
      <c r="IOR111" s="3"/>
      <c r="IOS111" s="3"/>
      <c r="IOT111" s="3"/>
      <c r="IOU111" s="3"/>
      <c r="IOV111" s="3"/>
      <c r="IOW111" s="3"/>
      <c r="IOX111" s="3"/>
      <c r="IOY111" s="3"/>
      <c r="IOZ111" s="3"/>
      <c r="IPA111" s="3"/>
      <c r="IPB111" s="3"/>
      <c r="IPC111" s="3"/>
      <c r="IPD111" s="3"/>
      <c r="IPE111" s="3"/>
      <c r="IPF111" s="3"/>
      <c r="IPG111" s="3"/>
      <c r="IPH111" s="3"/>
      <c r="IPI111" s="3"/>
      <c r="IPJ111" s="3"/>
      <c r="IPK111" s="3"/>
      <c r="IPL111" s="3"/>
      <c r="IPM111" s="3"/>
      <c r="IPN111" s="3"/>
      <c r="IPO111" s="3"/>
      <c r="IPP111" s="3"/>
      <c r="IPQ111" s="3"/>
      <c r="IPR111" s="3"/>
      <c r="IPS111" s="3"/>
      <c r="IPT111" s="3"/>
      <c r="IPU111" s="3"/>
      <c r="IPV111" s="3"/>
      <c r="IPW111" s="3"/>
      <c r="IPX111" s="3"/>
      <c r="IPY111" s="3"/>
      <c r="IPZ111" s="3"/>
      <c r="IQA111" s="3"/>
      <c r="IQB111" s="3"/>
      <c r="IQC111" s="3"/>
      <c r="IQD111" s="3"/>
      <c r="IQE111" s="3"/>
      <c r="IQF111" s="3"/>
      <c r="IQG111" s="3"/>
      <c r="IQH111" s="3"/>
      <c r="IQI111" s="3"/>
      <c r="IQJ111" s="3"/>
      <c r="IQK111" s="3"/>
      <c r="IQL111" s="3"/>
      <c r="IQM111" s="3"/>
      <c r="IQN111" s="3"/>
      <c r="IQO111" s="3"/>
      <c r="IQP111" s="3"/>
      <c r="IQQ111" s="3"/>
      <c r="IQR111" s="3"/>
      <c r="IQS111" s="3"/>
      <c r="IQT111" s="3"/>
      <c r="IQU111" s="3"/>
      <c r="IQV111" s="3"/>
      <c r="IQW111" s="3"/>
      <c r="IQX111" s="3"/>
      <c r="IQY111" s="3"/>
      <c r="IQZ111" s="3"/>
      <c r="IRA111" s="3"/>
      <c r="IRB111" s="3"/>
      <c r="IRC111" s="3"/>
      <c r="IRD111" s="3"/>
      <c r="IRE111" s="3"/>
      <c r="IRF111" s="3"/>
      <c r="IRG111" s="3"/>
      <c r="IRH111" s="3"/>
      <c r="IRI111" s="3"/>
      <c r="IRJ111" s="3"/>
      <c r="IRK111" s="3"/>
      <c r="IRL111" s="3"/>
      <c r="IRM111" s="3"/>
      <c r="IRN111" s="3"/>
      <c r="IRO111" s="3"/>
      <c r="IRP111" s="3"/>
      <c r="IRQ111" s="3"/>
      <c r="IRR111" s="3"/>
      <c r="IRS111" s="3"/>
      <c r="IRT111" s="3"/>
      <c r="IRU111" s="3"/>
      <c r="IRV111" s="3"/>
      <c r="IRW111" s="3"/>
      <c r="IRX111" s="3"/>
      <c r="IRY111" s="3"/>
      <c r="IRZ111" s="3"/>
      <c r="ISA111" s="3"/>
      <c r="ISB111" s="3"/>
      <c r="ISC111" s="3"/>
      <c r="ISD111" s="3"/>
      <c r="ISE111" s="3"/>
      <c r="ISF111" s="3"/>
      <c r="ISG111" s="3"/>
      <c r="ISH111" s="3"/>
      <c r="ISI111" s="3"/>
      <c r="ISJ111" s="3"/>
      <c r="ISK111" s="3"/>
      <c r="ISL111" s="3"/>
      <c r="ISM111" s="3"/>
      <c r="ISN111" s="3"/>
      <c r="ISO111" s="3"/>
      <c r="ISP111" s="3"/>
      <c r="ISQ111" s="3"/>
      <c r="ISR111" s="3"/>
      <c r="ISS111" s="3"/>
      <c r="IST111" s="3"/>
      <c r="ISU111" s="3"/>
      <c r="ISV111" s="3"/>
      <c r="ISW111" s="3"/>
      <c r="ISX111" s="3"/>
      <c r="ISY111" s="3"/>
      <c r="ISZ111" s="3"/>
      <c r="ITA111" s="3"/>
      <c r="ITB111" s="3"/>
      <c r="ITC111" s="3"/>
      <c r="ITD111" s="3"/>
      <c r="ITE111" s="3"/>
      <c r="ITF111" s="3"/>
      <c r="ITG111" s="3"/>
      <c r="ITH111" s="3"/>
      <c r="ITI111" s="3"/>
      <c r="ITJ111" s="3"/>
      <c r="ITK111" s="3"/>
      <c r="ITL111" s="3"/>
      <c r="ITM111" s="3"/>
      <c r="ITN111" s="3"/>
      <c r="ITO111" s="3"/>
      <c r="ITP111" s="3"/>
      <c r="ITQ111" s="3"/>
      <c r="ITR111" s="3"/>
      <c r="ITS111" s="3"/>
      <c r="ITT111" s="3"/>
      <c r="ITU111" s="3"/>
      <c r="ITV111" s="3"/>
      <c r="ITW111" s="3"/>
      <c r="ITX111" s="3"/>
      <c r="ITY111" s="3"/>
      <c r="ITZ111" s="3"/>
      <c r="IUA111" s="3"/>
      <c r="IUB111" s="3"/>
      <c r="IUC111" s="3"/>
      <c r="IUD111" s="3"/>
      <c r="IUE111" s="3"/>
      <c r="IUF111" s="3"/>
      <c r="IUG111" s="3"/>
      <c r="IUH111" s="3"/>
      <c r="IUI111" s="3"/>
      <c r="IUJ111" s="3"/>
      <c r="IUK111" s="3"/>
      <c r="IUL111" s="3"/>
      <c r="IUM111" s="3"/>
      <c r="IUN111" s="3"/>
      <c r="IUO111" s="3"/>
      <c r="IUP111" s="3"/>
      <c r="IUQ111" s="3"/>
      <c r="IUR111" s="3"/>
      <c r="IUS111" s="3"/>
      <c r="IUT111" s="3"/>
      <c r="IUU111" s="3"/>
      <c r="IUV111" s="3"/>
      <c r="IUW111" s="3"/>
      <c r="IUX111" s="3"/>
      <c r="IUY111" s="3"/>
      <c r="IUZ111" s="3"/>
      <c r="IVA111" s="3"/>
      <c r="IVB111" s="3"/>
      <c r="IVC111" s="3"/>
      <c r="IVD111" s="3"/>
      <c r="IVE111" s="3"/>
      <c r="IVF111" s="3"/>
      <c r="IVG111" s="3"/>
      <c r="IVH111" s="3"/>
      <c r="IVI111" s="3"/>
      <c r="IVJ111" s="3"/>
      <c r="IVK111" s="3"/>
      <c r="IVL111" s="3"/>
      <c r="IVM111" s="3"/>
      <c r="IVN111" s="3"/>
      <c r="IVO111" s="3"/>
      <c r="IVP111" s="3"/>
      <c r="IVQ111" s="3"/>
      <c r="IVR111" s="3"/>
      <c r="IVS111" s="3"/>
      <c r="IVT111" s="3"/>
      <c r="IVU111" s="3"/>
      <c r="IVV111" s="3"/>
      <c r="IVW111" s="3"/>
      <c r="IVX111" s="3"/>
      <c r="IVY111" s="3"/>
      <c r="IVZ111" s="3"/>
      <c r="IWA111" s="3"/>
      <c r="IWB111" s="3"/>
      <c r="IWC111" s="3"/>
      <c r="IWD111" s="3"/>
      <c r="IWE111" s="3"/>
      <c r="IWF111" s="3"/>
      <c r="IWG111" s="3"/>
      <c r="IWH111" s="3"/>
      <c r="IWI111" s="3"/>
      <c r="IWJ111" s="3"/>
      <c r="IWK111" s="3"/>
      <c r="IWL111" s="3"/>
      <c r="IWM111" s="3"/>
      <c r="IWN111" s="3"/>
      <c r="IWO111" s="3"/>
      <c r="IWP111" s="3"/>
      <c r="IWQ111" s="3"/>
      <c r="IWR111" s="3"/>
      <c r="IWS111" s="3"/>
      <c r="IWT111" s="3"/>
      <c r="IWU111" s="3"/>
      <c r="IWV111" s="3"/>
      <c r="IWW111" s="3"/>
      <c r="IWX111" s="3"/>
      <c r="IWY111" s="3"/>
      <c r="IWZ111" s="3"/>
      <c r="IXA111" s="3"/>
      <c r="IXB111" s="3"/>
      <c r="IXC111" s="3"/>
      <c r="IXD111" s="3"/>
      <c r="IXE111" s="3"/>
      <c r="IXF111" s="3"/>
      <c r="IXG111" s="3"/>
      <c r="IXH111" s="3"/>
      <c r="IXI111" s="3"/>
      <c r="IXJ111" s="3"/>
      <c r="IXK111" s="3"/>
      <c r="IXL111" s="3"/>
      <c r="IXM111" s="3"/>
      <c r="IXN111" s="3"/>
      <c r="IXO111" s="3"/>
      <c r="IXP111" s="3"/>
      <c r="IXQ111" s="3"/>
      <c r="IXR111" s="3"/>
      <c r="IXS111" s="3"/>
      <c r="IXT111" s="3"/>
      <c r="IXU111" s="3"/>
      <c r="IXV111" s="3"/>
      <c r="IXW111" s="3"/>
      <c r="IXX111" s="3"/>
      <c r="IXY111" s="3"/>
      <c r="IXZ111" s="3"/>
      <c r="IYA111" s="3"/>
      <c r="IYB111" s="3"/>
      <c r="IYC111" s="3"/>
      <c r="IYD111" s="3"/>
      <c r="IYE111" s="3"/>
      <c r="IYF111" s="3"/>
      <c r="IYG111" s="3"/>
      <c r="IYH111" s="3"/>
      <c r="IYI111" s="3"/>
      <c r="IYJ111" s="3"/>
      <c r="IYK111" s="3"/>
      <c r="IYL111" s="3"/>
      <c r="IYM111" s="3"/>
      <c r="IYN111" s="3"/>
      <c r="IYO111" s="3"/>
      <c r="IYP111" s="3"/>
      <c r="IYQ111" s="3"/>
      <c r="IYR111" s="3"/>
      <c r="IYS111" s="3"/>
      <c r="IYT111" s="3"/>
      <c r="IYU111" s="3"/>
      <c r="IYV111" s="3"/>
      <c r="IYW111" s="3"/>
      <c r="IYX111" s="3"/>
      <c r="IYY111" s="3"/>
      <c r="IYZ111" s="3"/>
      <c r="IZA111" s="3"/>
      <c r="IZB111" s="3"/>
      <c r="IZC111" s="3"/>
      <c r="IZD111" s="3"/>
      <c r="IZE111" s="3"/>
      <c r="IZF111" s="3"/>
      <c r="IZG111" s="3"/>
      <c r="IZH111" s="3"/>
      <c r="IZI111" s="3"/>
      <c r="IZJ111" s="3"/>
      <c r="IZK111" s="3"/>
      <c r="IZL111" s="3"/>
      <c r="IZM111" s="3"/>
      <c r="IZN111" s="3"/>
      <c r="IZO111" s="3"/>
      <c r="IZP111" s="3"/>
      <c r="IZQ111" s="3"/>
      <c r="IZR111" s="3"/>
      <c r="IZS111" s="3"/>
      <c r="IZT111" s="3"/>
      <c r="IZU111" s="3"/>
      <c r="IZV111" s="3"/>
      <c r="IZW111" s="3"/>
      <c r="IZX111" s="3"/>
      <c r="IZY111" s="3"/>
      <c r="IZZ111" s="3"/>
      <c r="JAA111" s="3"/>
      <c r="JAB111" s="3"/>
      <c r="JAC111" s="3"/>
      <c r="JAD111" s="3"/>
      <c r="JAE111" s="3"/>
      <c r="JAF111" s="3"/>
      <c r="JAG111" s="3"/>
      <c r="JAH111" s="3"/>
      <c r="JAI111" s="3"/>
      <c r="JAJ111" s="3"/>
      <c r="JAK111" s="3"/>
      <c r="JAL111" s="3"/>
      <c r="JAM111" s="3"/>
      <c r="JAN111" s="3"/>
      <c r="JAO111" s="3"/>
      <c r="JAP111" s="3"/>
      <c r="JAQ111" s="3"/>
      <c r="JAR111" s="3"/>
      <c r="JAS111" s="3"/>
      <c r="JAT111" s="3"/>
      <c r="JAU111" s="3"/>
      <c r="JAV111" s="3"/>
      <c r="JAW111" s="3"/>
      <c r="JAX111" s="3"/>
      <c r="JAY111" s="3"/>
      <c r="JAZ111" s="3"/>
      <c r="JBA111" s="3"/>
      <c r="JBB111" s="3"/>
      <c r="JBC111" s="3"/>
      <c r="JBD111" s="3"/>
      <c r="JBE111" s="3"/>
      <c r="JBF111" s="3"/>
      <c r="JBG111" s="3"/>
      <c r="JBH111" s="3"/>
      <c r="JBI111" s="3"/>
      <c r="JBJ111" s="3"/>
      <c r="JBK111" s="3"/>
      <c r="JBL111" s="3"/>
      <c r="JBM111" s="3"/>
      <c r="JBN111" s="3"/>
      <c r="JBO111" s="3"/>
      <c r="JBP111" s="3"/>
      <c r="JBQ111" s="3"/>
      <c r="JBR111" s="3"/>
      <c r="JBS111" s="3"/>
      <c r="JBT111" s="3"/>
      <c r="JBU111" s="3"/>
      <c r="JBV111" s="3"/>
      <c r="JBW111" s="3"/>
      <c r="JBX111" s="3"/>
      <c r="JBY111" s="3"/>
      <c r="JBZ111" s="3"/>
      <c r="JCA111" s="3"/>
      <c r="JCB111" s="3"/>
      <c r="JCC111" s="3"/>
      <c r="JCD111" s="3"/>
      <c r="JCE111" s="3"/>
      <c r="JCF111" s="3"/>
      <c r="JCG111" s="3"/>
      <c r="JCH111" s="3"/>
      <c r="JCI111" s="3"/>
      <c r="JCJ111" s="3"/>
      <c r="JCK111" s="3"/>
      <c r="JCL111" s="3"/>
      <c r="JCM111" s="3"/>
      <c r="JCN111" s="3"/>
      <c r="JCO111" s="3"/>
      <c r="JCP111" s="3"/>
      <c r="JCQ111" s="3"/>
      <c r="JCR111" s="3"/>
      <c r="JCS111" s="3"/>
      <c r="JCT111" s="3"/>
      <c r="JCU111" s="3"/>
      <c r="JCV111" s="3"/>
      <c r="JCW111" s="3"/>
      <c r="JCX111" s="3"/>
      <c r="JCY111" s="3"/>
      <c r="JCZ111" s="3"/>
      <c r="JDA111" s="3"/>
      <c r="JDB111" s="3"/>
      <c r="JDC111" s="3"/>
      <c r="JDD111" s="3"/>
      <c r="JDE111" s="3"/>
      <c r="JDF111" s="3"/>
      <c r="JDG111" s="3"/>
      <c r="JDH111" s="3"/>
      <c r="JDI111" s="3"/>
      <c r="JDJ111" s="3"/>
      <c r="JDK111" s="3"/>
      <c r="JDL111" s="3"/>
      <c r="JDM111" s="3"/>
      <c r="JDN111" s="3"/>
      <c r="JDO111" s="3"/>
      <c r="JDP111" s="3"/>
      <c r="JDQ111" s="3"/>
      <c r="JDR111" s="3"/>
      <c r="JDS111" s="3"/>
      <c r="JDT111" s="3"/>
      <c r="JDU111" s="3"/>
      <c r="JDV111" s="3"/>
      <c r="JDW111" s="3"/>
      <c r="JDX111" s="3"/>
      <c r="JDY111" s="3"/>
      <c r="JDZ111" s="3"/>
      <c r="JEA111" s="3"/>
      <c r="JEB111" s="3"/>
      <c r="JEC111" s="3"/>
      <c r="JED111" s="3"/>
      <c r="JEE111" s="3"/>
      <c r="JEF111" s="3"/>
      <c r="JEG111" s="3"/>
      <c r="JEH111" s="3"/>
      <c r="JEI111" s="3"/>
      <c r="JEJ111" s="3"/>
      <c r="JEK111" s="3"/>
      <c r="JEL111" s="3"/>
      <c r="JEM111" s="3"/>
      <c r="JEN111" s="3"/>
      <c r="JEO111" s="3"/>
      <c r="JEP111" s="3"/>
      <c r="JEQ111" s="3"/>
      <c r="JER111" s="3"/>
      <c r="JES111" s="3"/>
      <c r="JET111" s="3"/>
      <c r="JEU111" s="3"/>
      <c r="JEV111" s="3"/>
      <c r="JEW111" s="3"/>
      <c r="JEX111" s="3"/>
      <c r="JEY111" s="3"/>
      <c r="JEZ111" s="3"/>
      <c r="JFA111" s="3"/>
      <c r="JFB111" s="3"/>
      <c r="JFC111" s="3"/>
      <c r="JFD111" s="3"/>
      <c r="JFE111" s="3"/>
      <c r="JFF111" s="3"/>
      <c r="JFG111" s="3"/>
      <c r="JFH111" s="3"/>
      <c r="JFI111" s="3"/>
      <c r="JFJ111" s="3"/>
      <c r="JFK111" s="3"/>
      <c r="JFL111" s="3"/>
      <c r="JFM111" s="3"/>
      <c r="JFN111" s="3"/>
      <c r="JFO111" s="3"/>
      <c r="JFP111" s="3"/>
      <c r="JFQ111" s="3"/>
      <c r="JFR111" s="3"/>
      <c r="JFS111" s="3"/>
      <c r="JFT111" s="3"/>
      <c r="JFU111" s="3"/>
      <c r="JFV111" s="3"/>
      <c r="JFW111" s="3"/>
      <c r="JFX111" s="3"/>
      <c r="JFY111" s="3"/>
      <c r="JFZ111" s="3"/>
      <c r="JGA111" s="3"/>
      <c r="JGB111" s="3"/>
      <c r="JGC111" s="3"/>
      <c r="JGD111" s="3"/>
      <c r="JGE111" s="3"/>
      <c r="JGF111" s="3"/>
      <c r="JGG111" s="3"/>
      <c r="JGH111" s="3"/>
      <c r="JGI111" s="3"/>
      <c r="JGJ111" s="3"/>
      <c r="JGK111" s="3"/>
      <c r="JGL111" s="3"/>
      <c r="JGM111" s="3"/>
      <c r="JGN111" s="3"/>
      <c r="JGO111" s="3"/>
      <c r="JGP111" s="3"/>
      <c r="JGQ111" s="3"/>
      <c r="JGR111" s="3"/>
      <c r="JGS111" s="3"/>
      <c r="JGT111" s="3"/>
      <c r="JGU111" s="3"/>
      <c r="JGV111" s="3"/>
      <c r="JGW111" s="3"/>
      <c r="JGX111" s="3"/>
      <c r="JGY111" s="3"/>
      <c r="JGZ111" s="3"/>
      <c r="JHA111" s="3"/>
      <c r="JHB111" s="3"/>
      <c r="JHC111" s="3"/>
      <c r="JHD111" s="3"/>
      <c r="JHE111" s="3"/>
      <c r="JHF111" s="3"/>
      <c r="JHG111" s="3"/>
      <c r="JHH111" s="3"/>
      <c r="JHI111" s="3"/>
      <c r="JHJ111" s="3"/>
      <c r="JHK111" s="3"/>
      <c r="JHL111" s="3"/>
      <c r="JHM111" s="3"/>
      <c r="JHN111" s="3"/>
      <c r="JHO111" s="3"/>
      <c r="JHP111" s="3"/>
      <c r="JHQ111" s="3"/>
      <c r="JHR111" s="3"/>
      <c r="JHS111" s="3"/>
      <c r="JHT111" s="3"/>
      <c r="JHU111" s="3"/>
      <c r="JHV111" s="3"/>
      <c r="JHW111" s="3"/>
      <c r="JHX111" s="3"/>
      <c r="JHY111" s="3"/>
      <c r="JHZ111" s="3"/>
      <c r="JIA111" s="3"/>
      <c r="JIB111" s="3"/>
      <c r="JIC111" s="3"/>
      <c r="JID111" s="3"/>
      <c r="JIE111" s="3"/>
      <c r="JIF111" s="3"/>
      <c r="JIG111" s="3"/>
      <c r="JIH111" s="3"/>
      <c r="JII111" s="3"/>
      <c r="JIJ111" s="3"/>
      <c r="JIK111" s="3"/>
      <c r="JIL111" s="3"/>
      <c r="JIM111" s="3"/>
      <c r="JIN111" s="3"/>
      <c r="JIO111" s="3"/>
      <c r="JIP111" s="3"/>
      <c r="JIQ111" s="3"/>
      <c r="JIR111" s="3"/>
      <c r="JIS111" s="3"/>
      <c r="JIT111" s="3"/>
      <c r="JIU111" s="3"/>
      <c r="JIV111" s="3"/>
      <c r="JIW111" s="3"/>
      <c r="JIX111" s="3"/>
      <c r="JIY111" s="3"/>
      <c r="JIZ111" s="3"/>
      <c r="JJA111" s="3"/>
      <c r="JJB111" s="3"/>
      <c r="JJC111" s="3"/>
      <c r="JJD111" s="3"/>
      <c r="JJE111" s="3"/>
      <c r="JJF111" s="3"/>
      <c r="JJG111" s="3"/>
      <c r="JJH111" s="3"/>
      <c r="JJI111" s="3"/>
      <c r="JJJ111" s="3"/>
      <c r="JJK111" s="3"/>
      <c r="JJL111" s="3"/>
      <c r="JJM111" s="3"/>
      <c r="JJN111" s="3"/>
      <c r="JJO111" s="3"/>
      <c r="JJP111" s="3"/>
      <c r="JJQ111" s="3"/>
      <c r="JJR111" s="3"/>
      <c r="JJS111" s="3"/>
      <c r="JJT111" s="3"/>
      <c r="JJU111" s="3"/>
      <c r="JJV111" s="3"/>
      <c r="JJW111" s="3"/>
      <c r="JJX111" s="3"/>
      <c r="JJY111" s="3"/>
      <c r="JJZ111" s="3"/>
      <c r="JKA111" s="3"/>
      <c r="JKB111" s="3"/>
      <c r="JKC111" s="3"/>
      <c r="JKD111" s="3"/>
      <c r="JKE111" s="3"/>
      <c r="JKF111" s="3"/>
      <c r="JKG111" s="3"/>
      <c r="JKH111" s="3"/>
      <c r="JKI111" s="3"/>
      <c r="JKJ111" s="3"/>
      <c r="JKK111" s="3"/>
      <c r="JKL111" s="3"/>
      <c r="JKM111" s="3"/>
      <c r="JKN111" s="3"/>
      <c r="JKO111" s="3"/>
      <c r="JKP111" s="3"/>
      <c r="JKQ111" s="3"/>
      <c r="JKR111" s="3"/>
      <c r="JKS111" s="3"/>
      <c r="JKT111" s="3"/>
      <c r="JKU111" s="3"/>
      <c r="JKV111" s="3"/>
      <c r="JKW111" s="3"/>
      <c r="JKX111" s="3"/>
      <c r="JKY111" s="3"/>
      <c r="JKZ111" s="3"/>
      <c r="JLA111" s="3"/>
      <c r="JLB111" s="3"/>
      <c r="JLC111" s="3"/>
      <c r="JLD111" s="3"/>
      <c r="JLE111" s="3"/>
      <c r="JLF111" s="3"/>
      <c r="JLG111" s="3"/>
      <c r="JLH111" s="3"/>
      <c r="JLI111" s="3"/>
      <c r="JLJ111" s="3"/>
      <c r="JLK111" s="3"/>
      <c r="JLL111" s="3"/>
      <c r="JLM111" s="3"/>
      <c r="JLN111" s="3"/>
      <c r="JLO111" s="3"/>
      <c r="JLP111" s="3"/>
      <c r="JLQ111" s="3"/>
      <c r="JLR111" s="3"/>
      <c r="JLS111" s="3"/>
      <c r="JLT111" s="3"/>
      <c r="JLU111" s="3"/>
      <c r="JLV111" s="3"/>
      <c r="JLW111" s="3"/>
      <c r="JLX111" s="3"/>
      <c r="JLY111" s="3"/>
      <c r="JLZ111" s="3"/>
      <c r="JMA111" s="3"/>
      <c r="JMB111" s="3"/>
      <c r="JMC111" s="3"/>
      <c r="JMD111" s="3"/>
      <c r="JME111" s="3"/>
      <c r="JMF111" s="3"/>
      <c r="JMG111" s="3"/>
      <c r="JMH111" s="3"/>
      <c r="JMI111" s="3"/>
      <c r="JMJ111" s="3"/>
      <c r="JMK111" s="3"/>
      <c r="JML111" s="3"/>
      <c r="JMM111" s="3"/>
      <c r="JMN111" s="3"/>
      <c r="JMO111" s="3"/>
      <c r="JMP111" s="3"/>
      <c r="JMQ111" s="3"/>
      <c r="JMR111" s="3"/>
      <c r="JMS111" s="3"/>
      <c r="JMT111" s="3"/>
      <c r="JMU111" s="3"/>
      <c r="JMV111" s="3"/>
      <c r="JMW111" s="3"/>
      <c r="JMX111" s="3"/>
      <c r="JMY111" s="3"/>
      <c r="JMZ111" s="3"/>
      <c r="JNA111" s="3"/>
      <c r="JNB111" s="3"/>
      <c r="JNC111" s="3"/>
      <c r="JND111" s="3"/>
      <c r="JNE111" s="3"/>
      <c r="JNF111" s="3"/>
      <c r="JNG111" s="3"/>
      <c r="JNH111" s="3"/>
      <c r="JNI111" s="3"/>
      <c r="JNJ111" s="3"/>
      <c r="JNK111" s="3"/>
      <c r="JNL111" s="3"/>
      <c r="JNM111" s="3"/>
      <c r="JNN111" s="3"/>
      <c r="JNO111" s="3"/>
      <c r="JNP111" s="3"/>
      <c r="JNQ111" s="3"/>
      <c r="JNR111" s="3"/>
      <c r="JNS111" s="3"/>
      <c r="JNT111" s="3"/>
      <c r="JNU111" s="3"/>
      <c r="JNV111" s="3"/>
      <c r="JNW111" s="3"/>
      <c r="JNX111" s="3"/>
      <c r="JNY111" s="3"/>
      <c r="JNZ111" s="3"/>
      <c r="JOA111" s="3"/>
      <c r="JOB111" s="3"/>
      <c r="JOC111" s="3"/>
      <c r="JOD111" s="3"/>
      <c r="JOE111" s="3"/>
      <c r="JOF111" s="3"/>
      <c r="JOG111" s="3"/>
      <c r="JOH111" s="3"/>
      <c r="JOI111" s="3"/>
      <c r="JOJ111" s="3"/>
      <c r="JOK111" s="3"/>
      <c r="JOL111" s="3"/>
      <c r="JOM111" s="3"/>
      <c r="JON111" s="3"/>
      <c r="JOO111" s="3"/>
      <c r="JOP111" s="3"/>
      <c r="JOQ111" s="3"/>
      <c r="JOR111" s="3"/>
      <c r="JOS111" s="3"/>
      <c r="JOT111" s="3"/>
      <c r="JOU111" s="3"/>
      <c r="JOV111" s="3"/>
      <c r="JOW111" s="3"/>
      <c r="JOX111" s="3"/>
      <c r="JOY111" s="3"/>
      <c r="JOZ111" s="3"/>
      <c r="JPA111" s="3"/>
      <c r="JPB111" s="3"/>
      <c r="JPC111" s="3"/>
      <c r="JPD111" s="3"/>
      <c r="JPE111" s="3"/>
      <c r="JPF111" s="3"/>
      <c r="JPG111" s="3"/>
      <c r="JPH111" s="3"/>
      <c r="JPI111" s="3"/>
      <c r="JPJ111" s="3"/>
      <c r="JPK111" s="3"/>
      <c r="JPL111" s="3"/>
      <c r="JPM111" s="3"/>
      <c r="JPN111" s="3"/>
      <c r="JPO111" s="3"/>
      <c r="JPP111" s="3"/>
      <c r="JPQ111" s="3"/>
      <c r="JPR111" s="3"/>
      <c r="JPS111" s="3"/>
      <c r="JPT111" s="3"/>
      <c r="JPU111" s="3"/>
      <c r="JPV111" s="3"/>
      <c r="JPW111" s="3"/>
      <c r="JPX111" s="3"/>
      <c r="JPY111" s="3"/>
      <c r="JPZ111" s="3"/>
      <c r="JQA111" s="3"/>
      <c r="JQB111" s="3"/>
      <c r="JQC111" s="3"/>
      <c r="JQD111" s="3"/>
      <c r="JQE111" s="3"/>
      <c r="JQF111" s="3"/>
      <c r="JQG111" s="3"/>
      <c r="JQH111" s="3"/>
      <c r="JQI111" s="3"/>
      <c r="JQJ111" s="3"/>
      <c r="JQK111" s="3"/>
      <c r="JQL111" s="3"/>
      <c r="JQM111" s="3"/>
      <c r="JQN111" s="3"/>
      <c r="JQO111" s="3"/>
      <c r="JQP111" s="3"/>
      <c r="JQQ111" s="3"/>
      <c r="JQR111" s="3"/>
      <c r="JQS111" s="3"/>
      <c r="JQT111" s="3"/>
      <c r="JQU111" s="3"/>
      <c r="JQV111" s="3"/>
      <c r="JQW111" s="3"/>
      <c r="JQX111" s="3"/>
      <c r="JQY111" s="3"/>
      <c r="JQZ111" s="3"/>
      <c r="JRA111" s="3"/>
      <c r="JRB111" s="3"/>
      <c r="JRC111" s="3"/>
      <c r="JRD111" s="3"/>
      <c r="JRE111" s="3"/>
      <c r="JRF111" s="3"/>
      <c r="JRG111" s="3"/>
      <c r="JRH111" s="3"/>
      <c r="JRI111" s="3"/>
      <c r="JRJ111" s="3"/>
      <c r="JRK111" s="3"/>
      <c r="JRL111" s="3"/>
      <c r="JRM111" s="3"/>
      <c r="JRN111" s="3"/>
      <c r="JRO111" s="3"/>
      <c r="JRP111" s="3"/>
      <c r="JRQ111" s="3"/>
      <c r="JRR111" s="3"/>
      <c r="JRS111" s="3"/>
      <c r="JRT111" s="3"/>
      <c r="JRU111" s="3"/>
      <c r="JRV111" s="3"/>
      <c r="JRW111" s="3"/>
      <c r="JRX111" s="3"/>
      <c r="JRY111" s="3"/>
      <c r="JRZ111" s="3"/>
      <c r="JSA111" s="3"/>
      <c r="JSB111" s="3"/>
      <c r="JSC111" s="3"/>
      <c r="JSD111" s="3"/>
      <c r="JSE111" s="3"/>
      <c r="JSF111" s="3"/>
      <c r="JSG111" s="3"/>
      <c r="JSH111" s="3"/>
      <c r="JSI111" s="3"/>
      <c r="JSJ111" s="3"/>
      <c r="JSK111" s="3"/>
      <c r="JSL111" s="3"/>
      <c r="JSM111" s="3"/>
      <c r="JSN111" s="3"/>
      <c r="JSO111" s="3"/>
      <c r="JSP111" s="3"/>
      <c r="JSQ111" s="3"/>
      <c r="JSR111" s="3"/>
      <c r="JSS111" s="3"/>
      <c r="JST111" s="3"/>
      <c r="JSU111" s="3"/>
      <c r="JSV111" s="3"/>
      <c r="JSW111" s="3"/>
      <c r="JSX111" s="3"/>
      <c r="JSY111" s="3"/>
      <c r="JSZ111" s="3"/>
      <c r="JTA111" s="3"/>
      <c r="JTB111" s="3"/>
      <c r="JTC111" s="3"/>
      <c r="JTD111" s="3"/>
      <c r="JTE111" s="3"/>
      <c r="JTF111" s="3"/>
      <c r="JTG111" s="3"/>
      <c r="JTH111" s="3"/>
      <c r="JTI111" s="3"/>
      <c r="JTJ111" s="3"/>
      <c r="JTK111" s="3"/>
      <c r="JTL111" s="3"/>
      <c r="JTM111" s="3"/>
      <c r="JTN111" s="3"/>
      <c r="JTO111" s="3"/>
      <c r="JTP111" s="3"/>
      <c r="JTQ111" s="3"/>
      <c r="JTR111" s="3"/>
      <c r="JTS111" s="3"/>
      <c r="JTT111" s="3"/>
      <c r="JTU111" s="3"/>
      <c r="JTV111" s="3"/>
      <c r="JTW111" s="3"/>
      <c r="JTX111" s="3"/>
      <c r="JTY111" s="3"/>
      <c r="JTZ111" s="3"/>
      <c r="JUA111" s="3"/>
      <c r="JUB111" s="3"/>
      <c r="JUC111" s="3"/>
      <c r="JUD111" s="3"/>
      <c r="JUE111" s="3"/>
      <c r="JUF111" s="3"/>
      <c r="JUG111" s="3"/>
      <c r="JUH111" s="3"/>
      <c r="JUI111" s="3"/>
      <c r="JUJ111" s="3"/>
      <c r="JUK111" s="3"/>
      <c r="JUL111" s="3"/>
      <c r="JUM111" s="3"/>
      <c r="JUN111" s="3"/>
      <c r="JUO111" s="3"/>
      <c r="JUP111" s="3"/>
      <c r="JUQ111" s="3"/>
      <c r="JUR111" s="3"/>
      <c r="JUS111" s="3"/>
      <c r="JUT111" s="3"/>
      <c r="JUU111" s="3"/>
      <c r="JUV111" s="3"/>
      <c r="JUW111" s="3"/>
      <c r="JUX111" s="3"/>
      <c r="JUY111" s="3"/>
      <c r="JUZ111" s="3"/>
      <c r="JVA111" s="3"/>
      <c r="JVB111" s="3"/>
      <c r="JVC111" s="3"/>
      <c r="JVD111" s="3"/>
      <c r="JVE111" s="3"/>
      <c r="JVF111" s="3"/>
      <c r="JVG111" s="3"/>
      <c r="JVH111" s="3"/>
      <c r="JVI111" s="3"/>
      <c r="JVJ111" s="3"/>
      <c r="JVK111" s="3"/>
      <c r="JVL111" s="3"/>
      <c r="JVM111" s="3"/>
      <c r="JVN111" s="3"/>
      <c r="JVO111" s="3"/>
      <c r="JVP111" s="3"/>
      <c r="JVQ111" s="3"/>
      <c r="JVR111" s="3"/>
      <c r="JVS111" s="3"/>
      <c r="JVT111" s="3"/>
      <c r="JVU111" s="3"/>
      <c r="JVV111" s="3"/>
      <c r="JVW111" s="3"/>
      <c r="JVX111" s="3"/>
      <c r="JVY111" s="3"/>
      <c r="JVZ111" s="3"/>
      <c r="JWA111" s="3"/>
      <c r="JWB111" s="3"/>
      <c r="JWC111" s="3"/>
      <c r="JWD111" s="3"/>
      <c r="JWE111" s="3"/>
      <c r="JWF111" s="3"/>
      <c r="JWG111" s="3"/>
      <c r="JWH111" s="3"/>
      <c r="JWI111" s="3"/>
      <c r="JWJ111" s="3"/>
      <c r="JWK111" s="3"/>
      <c r="JWL111" s="3"/>
      <c r="JWM111" s="3"/>
      <c r="JWN111" s="3"/>
      <c r="JWO111" s="3"/>
      <c r="JWP111" s="3"/>
      <c r="JWQ111" s="3"/>
      <c r="JWR111" s="3"/>
      <c r="JWS111" s="3"/>
      <c r="JWT111" s="3"/>
      <c r="JWU111" s="3"/>
      <c r="JWV111" s="3"/>
      <c r="JWW111" s="3"/>
      <c r="JWX111" s="3"/>
      <c r="JWY111" s="3"/>
      <c r="JWZ111" s="3"/>
      <c r="JXA111" s="3"/>
      <c r="JXB111" s="3"/>
      <c r="JXC111" s="3"/>
      <c r="JXD111" s="3"/>
      <c r="JXE111" s="3"/>
      <c r="JXF111" s="3"/>
      <c r="JXG111" s="3"/>
      <c r="JXH111" s="3"/>
      <c r="JXI111" s="3"/>
      <c r="JXJ111" s="3"/>
      <c r="JXK111" s="3"/>
      <c r="JXL111" s="3"/>
      <c r="JXM111" s="3"/>
      <c r="JXN111" s="3"/>
      <c r="JXO111" s="3"/>
      <c r="JXP111" s="3"/>
      <c r="JXQ111" s="3"/>
      <c r="JXR111" s="3"/>
      <c r="JXS111" s="3"/>
      <c r="JXT111" s="3"/>
      <c r="JXU111" s="3"/>
      <c r="JXV111" s="3"/>
      <c r="JXW111" s="3"/>
      <c r="JXX111" s="3"/>
      <c r="JXY111" s="3"/>
      <c r="JXZ111" s="3"/>
      <c r="JYA111" s="3"/>
      <c r="JYB111" s="3"/>
      <c r="JYC111" s="3"/>
      <c r="JYD111" s="3"/>
      <c r="JYE111" s="3"/>
      <c r="JYF111" s="3"/>
      <c r="JYG111" s="3"/>
      <c r="JYH111" s="3"/>
      <c r="JYI111" s="3"/>
      <c r="JYJ111" s="3"/>
      <c r="JYK111" s="3"/>
      <c r="JYL111" s="3"/>
      <c r="JYM111" s="3"/>
      <c r="JYN111" s="3"/>
      <c r="JYO111" s="3"/>
      <c r="JYP111" s="3"/>
      <c r="JYQ111" s="3"/>
      <c r="JYR111" s="3"/>
      <c r="JYS111" s="3"/>
      <c r="JYT111" s="3"/>
      <c r="JYU111" s="3"/>
      <c r="JYV111" s="3"/>
      <c r="JYW111" s="3"/>
      <c r="JYX111" s="3"/>
      <c r="JYY111" s="3"/>
      <c r="JYZ111" s="3"/>
      <c r="JZA111" s="3"/>
      <c r="JZB111" s="3"/>
      <c r="JZC111" s="3"/>
      <c r="JZD111" s="3"/>
      <c r="JZE111" s="3"/>
      <c r="JZF111" s="3"/>
      <c r="JZG111" s="3"/>
      <c r="JZH111" s="3"/>
      <c r="JZI111" s="3"/>
      <c r="JZJ111" s="3"/>
      <c r="JZK111" s="3"/>
      <c r="JZL111" s="3"/>
      <c r="JZM111" s="3"/>
      <c r="JZN111" s="3"/>
      <c r="JZO111" s="3"/>
      <c r="JZP111" s="3"/>
      <c r="JZQ111" s="3"/>
      <c r="JZR111" s="3"/>
      <c r="JZS111" s="3"/>
      <c r="JZT111" s="3"/>
      <c r="JZU111" s="3"/>
      <c r="JZV111" s="3"/>
      <c r="JZW111" s="3"/>
      <c r="JZX111" s="3"/>
      <c r="JZY111" s="3"/>
      <c r="JZZ111" s="3"/>
      <c r="KAA111" s="3"/>
      <c r="KAB111" s="3"/>
      <c r="KAC111" s="3"/>
      <c r="KAD111" s="3"/>
      <c r="KAE111" s="3"/>
      <c r="KAF111" s="3"/>
      <c r="KAG111" s="3"/>
      <c r="KAH111" s="3"/>
      <c r="KAI111" s="3"/>
      <c r="KAJ111" s="3"/>
      <c r="KAK111" s="3"/>
      <c r="KAL111" s="3"/>
      <c r="KAM111" s="3"/>
      <c r="KAN111" s="3"/>
      <c r="KAO111" s="3"/>
      <c r="KAP111" s="3"/>
      <c r="KAQ111" s="3"/>
      <c r="KAR111" s="3"/>
      <c r="KAS111" s="3"/>
      <c r="KAT111" s="3"/>
      <c r="KAU111" s="3"/>
      <c r="KAV111" s="3"/>
      <c r="KAW111" s="3"/>
      <c r="KAX111" s="3"/>
      <c r="KAY111" s="3"/>
      <c r="KAZ111" s="3"/>
      <c r="KBA111" s="3"/>
      <c r="KBB111" s="3"/>
      <c r="KBC111" s="3"/>
      <c r="KBD111" s="3"/>
      <c r="KBE111" s="3"/>
      <c r="KBF111" s="3"/>
      <c r="KBG111" s="3"/>
      <c r="KBH111" s="3"/>
      <c r="KBI111" s="3"/>
      <c r="KBJ111" s="3"/>
      <c r="KBK111" s="3"/>
      <c r="KBL111" s="3"/>
      <c r="KBM111" s="3"/>
      <c r="KBN111" s="3"/>
      <c r="KBO111" s="3"/>
      <c r="KBP111" s="3"/>
      <c r="KBQ111" s="3"/>
      <c r="KBR111" s="3"/>
      <c r="KBS111" s="3"/>
      <c r="KBT111" s="3"/>
      <c r="KBU111" s="3"/>
      <c r="KBV111" s="3"/>
      <c r="KBW111" s="3"/>
      <c r="KBX111" s="3"/>
      <c r="KBY111" s="3"/>
      <c r="KBZ111" s="3"/>
      <c r="KCA111" s="3"/>
      <c r="KCB111" s="3"/>
      <c r="KCC111" s="3"/>
      <c r="KCD111" s="3"/>
      <c r="KCE111" s="3"/>
      <c r="KCF111" s="3"/>
      <c r="KCG111" s="3"/>
      <c r="KCH111" s="3"/>
      <c r="KCI111" s="3"/>
      <c r="KCJ111" s="3"/>
      <c r="KCK111" s="3"/>
      <c r="KCL111" s="3"/>
      <c r="KCM111" s="3"/>
      <c r="KCN111" s="3"/>
      <c r="KCO111" s="3"/>
      <c r="KCP111" s="3"/>
      <c r="KCQ111" s="3"/>
      <c r="KCR111" s="3"/>
      <c r="KCS111" s="3"/>
      <c r="KCT111" s="3"/>
      <c r="KCU111" s="3"/>
      <c r="KCV111" s="3"/>
      <c r="KCW111" s="3"/>
      <c r="KCX111" s="3"/>
      <c r="KCY111" s="3"/>
      <c r="KCZ111" s="3"/>
      <c r="KDA111" s="3"/>
      <c r="KDB111" s="3"/>
      <c r="KDC111" s="3"/>
      <c r="KDD111" s="3"/>
      <c r="KDE111" s="3"/>
      <c r="KDF111" s="3"/>
      <c r="KDG111" s="3"/>
      <c r="KDH111" s="3"/>
      <c r="KDI111" s="3"/>
      <c r="KDJ111" s="3"/>
      <c r="KDK111" s="3"/>
      <c r="KDL111" s="3"/>
      <c r="KDM111" s="3"/>
      <c r="KDN111" s="3"/>
      <c r="KDO111" s="3"/>
      <c r="KDP111" s="3"/>
      <c r="KDQ111" s="3"/>
      <c r="KDR111" s="3"/>
      <c r="KDS111" s="3"/>
      <c r="KDT111" s="3"/>
      <c r="KDU111" s="3"/>
      <c r="KDV111" s="3"/>
      <c r="KDW111" s="3"/>
      <c r="KDX111" s="3"/>
      <c r="KDY111" s="3"/>
      <c r="KDZ111" s="3"/>
      <c r="KEA111" s="3"/>
      <c r="KEB111" s="3"/>
      <c r="KEC111" s="3"/>
      <c r="KED111" s="3"/>
      <c r="KEE111" s="3"/>
      <c r="KEF111" s="3"/>
      <c r="KEG111" s="3"/>
      <c r="KEH111" s="3"/>
      <c r="KEI111" s="3"/>
      <c r="KEJ111" s="3"/>
      <c r="KEK111" s="3"/>
      <c r="KEL111" s="3"/>
      <c r="KEM111" s="3"/>
      <c r="KEN111" s="3"/>
      <c r="KEO111" s="3"/>
      <c r="KEP111" s="3"/>
      <c r="KEQ111" s="3"/>
      <c r="KER111" s="3"/>
      <c r="KES111" s="3"/>
      <c r="KET111" s="3"/>
      <c r="KEU111" s="3"/>
      <c r="KEV111" s="3"/>
      <c r="KEW111" s="3"/>
      <c r="KEX111" s="3"/>
      <c r="KEY111" s="3"/>
      <c r="KEZ111" s="3"/>
      <c r="KFA111" s="3"/>
      <c r="KFB111" s="3"/>
      <c r="KFC111" s="3"/>
      <c r="KFD111" s="3"/>
      <c r="KFE111" s="3"/>
      <c r="KFF111" s="3"/>
      <c r="KFG111" s="3"/>
      <c r="KFH111" s="3"/>
      <c r="KFI111" s="3"/>
      <c r="KFJ111" s="3"/>
      <c r="KFK111" s="3"/>
      <c r="KFL111" s="3"/>
      <c r="KFM111" s="3"/>
      <c r="KFN111" s="3"/>
      <c r="KFO111" s="3"/>
      <c r="KFP111" s="3"/>
      <c r="KFQ111" s="3"/>
      <c r="KFR111" s="3"/>
      <c r="KFS111" s="3"/>
      <c r="KFT111" s="3"/>
      <c r="KFU111" s="3"/>
      <c r="KFV111" s="3"/>
      <c r="KFW111" s="3"/>
      <c r="KFX111" s="3"/>
      <c r="KFY111" s="3"/>
      <c r="KFZ111" s="3"/>
      <c r="KGA111" s="3"/>
      <c r="KGB111" s="3"/>
      <c r="KGC111" s="3"/>
      <c r="KGD111" s="3"/>
      <c r="KGE111" s="3"/>
      <c r="KGF111" s="3"/>
      <c r="KGG111" s="3"/>
      <c r="KGH111" s="3"/>
      <c r="KGI111" s="3"/>
      <c r="KGJ111" s="3"/>
      <c r="KGK111" s="3"/>
      <c r="KGL111" s="3"/>
      <c r="KGM111" s="3"/>
      <c r="KGN111" s="3"/>
      <c r="KGO111" s="3"/>
      <c r="KGP111" s="3"/>
      <c r="KGQ111" s="3"/>
      <c r="KGR111" s="3"/>
      <c r="KGS111" s="3"/>
      <c r="KGT111" s="3"/>
      <c r="KGU111" s="3"/>
      <c r="KGV111" s="3"/>
      <c r="KGW111" s="3"/>
      <c r="KGX111" s="3"/>
      <c r="KGY111" s="3"/>
      <c r="KGZ111" s="3"/>
      <c r="KHA111" s="3"/>
      <c r="KHB111" s="3"/>
      <c r="KHC111" s="3"/>
      <c r="KHD111" s="3"/>
      <c r="KHE111" s="3"/>
      <c r="KHF111" s="3"/>
      <c r="KHG111" s="3"/>
      <c r="KHH111" s="3"/>
      <c r="KHI111" s="3"/>
      <c r="KHJ111" s="3"/>
      <c r="KHK111" s="3"/>
      <c r="KHL111" s="3"/>
      <c r="KHM111" s="3"/>
      <c r="KHN111" s="3"/>
      <c r="KHO111" s="3"/>
      <c r="KHP111" s="3"/>
      <c r="KHQ111" s="3"/>
      <c r="KHR111" s="3"/>
      <c r="KHS111" s="3"/>
      <c r="KHT111" s="3"/>
      <c r="KHU111" s="3"/>
      <c r="KHV111" s="3"/>
      <c r="KHW111" s="3"/>
      <c r="KHX111" s="3"/>
      <c r="KHY111" s="3"/>
      <c r="KHZ111" s="3"/>
      <c r="KIA111" s="3"/>
      <c r="KIB111" s="3"/>
      <c r="KIC111" s="3"/>
      <c r="KID111" s="3"/>
      <c r="KIE111" s="3"/>
      <c r="KIF111" s="3"/>
      <c r="KIG111" s="3"/>
      <c r="KIH111" s="3"/>
      <c r="KII111" s="3"/>
      <c r="KIJ111" s="3"/>
      <c r="KIK111" s="3"/>
      <c r="KIL111" s="3"/>
      <c r="KIM111" s="3"/>
      <c r="KIN111" s="3"/>
      <c r="KIO111" s="3"/>
      <c r="KIP111" s="3"/>
      <c r="KIQ111" s="3"/>
      <c r="KIR111" s="3"/>
      <c r="KIS111" s="3"/>
      <c r="KIT111" s="3"/>
      <c r="KIU111" s="3"/>
      <c r="KIV111" s="3"/>
      <c r="KIW111" s="3"/>
      <c r="KIX111" s="3"/>
      <c r="KIY111" s="3"/>
      <c r="KIZ111" s="3"/>
      <c r="KJA111" s="3"/>
      <c r="KJB111" s="3"/>
      <c r="KJC111" s="3"/>
      <c r="KJD111" s="3"/>
      <c r="KJE111" s="3"/>
      <c r="KJF111" s="3"/>
      <c r="KJG111" s="3"/>
      <c r="KJH111" s="3"/>
      <c r="KJI111" s="3"/>
      <c r="KJJ111" s="3"/>
      <c r="KJK111" s="3"/>
      <c r="KJL111" s="3"/>
      <c r="KJM111" s="3"/>
      <c r="KJN111" s="3"/>
      <c r="KJO111" s="3"/>
      <c r="KJP111" s="3"/>
      <c r="KJQ111" s="3"/>
      <c r="KJR111" s="3"/>
      <c r="KJS111" s="3"/>
      <c r="KJT111" s="3"/>
      <c r="KJU111" s="3"/>
      <c r="KJV111" s="3"/>
      <c r="KJW111" s="3"/>
      <c r="KJX111" s="3"/>
      <c r="KJY111" s="3"/>
      <c r="KJZ111" s="3"/>
      <c r="KKA111" s="3"/>
      <c r="KKB111" s="3"/>
      <c r="KKC111" s="3"/>
      <c r="KKD111" s="3"/>
      <c r="KKE111" s="3"/>
      <c r="KKF111" s="3"/>
      <c r="KKG111" s="3"/>
      <c r="KKH111" s="3"/>
      <c r="KKI111" s="3"/>
      <c r="KKJ111" s="3"/>
      <c r="KKK111" s="3"/>
      <c r="KKL111" s="3"/>
      <c r="KKM111" s="3"/>
      <c r="KKN111" s="3"/>
      <c r="KKO111" s="3"/>
      <c r="KKP111" s="3"/>
      <c r="KKQ111" s="3"/>
      <c r="KKR111" s="3"/>
      <c r="KKS111" s="3"/>
      <c r="KKT111" s="3"/>
      <c r="KKU111" s="3"/>
      <c r="KKV111" s="3"/>
      <c r="KKW111" s="3"/>
      <c r="KKX111" s="3"/>
      <c r="KKY111" s="3"/>
      <c r="KKZ111" s="3"/>
      <c r="KLA111" s="3"/>
      <c r="KLB111" s="3"/>
      <c r="KLC111" s="3"/>
      <c r="KLD111" s="3"/>
      <c r="KLE111" s="3"/>
      <c r="KLF111" s="3"/>
      <c r="KLG111" s="3"/>
      <c r="KLH111" s="3"/>
      <c r="KLI111" s="3"/>
      <c r="KLJ111" s="3"/>
      <c r="KLK111" s="3"/>
      <c r="KLL111" s="3"/>
      <c r="KLM111" s="3"/>
      <c r="KLN111" s="3"/>
      <c r="KLO111" s="3"/>
      <c r="KLP111" s="3"/>
      <c r="KLQ111" s="3"/>
      <c r="KLR111" s="3"/>
      <c r="KLS111" s="3"/>
      <c r="KLT111" s="3"/>
      <c r="KLU111" s="3"/>
      <c r="KLV111" s="3"/>
      <c r="KLW111" s="3"/>
      <c r="KLX111" s="3"/>
      <c r="KLY111" s="3"/>
      <c r="KLZ111" s="3"/>
      <c r="KMA111" s="3"/>
      <c r="KMB111" s="3"/>
      <c r="KMC111" s="3"/>
      <c r="KMD111" s="3"/>
      <c r="KME111" s="3"/>
      <c r="KMF111" s="3"/>
      <c r="KMG111" s="3"/>
      <c r="KMH111" s="3"/>
      <c r="KMI111" s="3"/>
      <c r="KMJ111" s="3"/>
      <c r="KMK111" s="3"/>
      <c r="KML111" s="3"/>
      <c r="KMM111" s="3"/>
      <c r="KMN111" s="3"/>
      <c r="KMO111" s="3"/>
      <c r="KMP111" s="3"/>
      <c r="KMQ111" s="3"/>
      <c r="KMR111" s="3"/>
      <c r="KMS111" s="3"/>
      <c r="KMT111" s="3"/>
      <c r="KMU111" s="3"/>
      <c r="KMV111" s="3"/>
      <c r="KMW111" s="3"/>
      <c r="KMX111" s="3"/>
      <c r="KMY111" s="3"/>
      <c r="KMZ111" s="3"/>
      <c r="KNA111" s="3"/>
      <c r="KNB111" s="3"/>
      <c r="KNC111" s="3"/>
      <c r="KND111" s="3"/>
      <c r="KNE111" s="3"/>
      <c r="KNF111" s="3"/>
      <c r="KNG111" s="3"/>
      <c r="KNH111" s="3"/>
      <c r="KNI111" s="3"/>
      <c r="KNJ111" s="3"/>
      <c r="KNK111" s="3"/>
      <c r="KNL111" s="3"/>
      <c r="KNM111" s="3"/>
      <c r="KNN111" s="3"/>
      <c r="KNO111" s="3"/>
      <c r="KNP111" s="3"/>
      <c r="KNQ111" s="3"/>
      <c r="KNR111" s="3"/>
      <c r="KNS111" s="3"/>
      <c r="KNT111" s="3"/>
      <c r="KNU111" s="3"/>
      <c r="KNV111" s="3"/>
      <c r="KNW111" s="3"/>
      <c r="KNX111" s="3"/>
      <c r="KNY111" s="3"/>
      <c r="KNZ111" s="3"/>
      <c r="KOA111" s="3"/>
      <c r="KOB111" s="3"/>
      <c r="KOC111" s="3"/>
      <c r="KOD111" s="3"/>
      <c r="KOE111" s="3"/>
      <c r="KOF111" s="3"/>
      <c r="KOG111" s="3"/>
      <c r="KOH111" s="3"/>
      <c r="KOI111" s="3"/>
      <c r="KOJ111" s="3"/>
      <c r="KOK111" s="3"/>
      <c r="KOL111" s="3"/>
      <c r="KOM111" s="3"/>
      <c r="KON111" s="3"/>
      <c r="KOO111" s="3"/>
      <c r="KOP111" s="3"/>
      <c r="KOQ111" s="3"/>
      <c r="KOR111" s="3"/>
      <c r="KOS111" s="3"/>
      <c r="KOT111" s="3"/>
      <c r="KOU111" s="3"/>
      <c r="KOV111" s="3"/>
      <c r="KOW111" s="3"/>
      <c r="KOX111" s="3"/>
      <c r="KOY111" s="3"/>
      <c r="KOZ111" s="3"/>
      <c r="KPA111" s="3"/>
      <c r="KPB111" s="3"/>
      <c r="KPC111" s="3"/>
      <c r="KPD111" s="3"/>
      <c r="KPE111" s="3"/>
      <c r="KPF111" s="3"/>
      <c r="KPG111" s="3"/>
      <c r="KPH111" s="3"/>
      <c r="KPI111" s="3"/>
      <c r="KPJ111" s="3"/>
      <c r="KPK111" s="3"/>
      <c r="KPL111" s="3"/>
      <c r="KPM111" s="3"/>
      <c r="KPN111" s="3"/>
      <c r="KPO111" s="3"/>
      <c r="KPP111" s="3"/>
      <c r="KPQ111" s="3"/>
      <c r="KPR111" s="3"/>
      <c r="KPS111" s="3"/>
      <c r="KPT111" s="3"/>
      <c r="KPU111" s="3"/>
      <c r="KPV111" s="3"/>
      <c r="KPW111" s="3"/>
      <c r="KPX111" s="3"/>
      <c r="KPY111" s="3"/>
      <c r="KPZ111" s="3"/>
      <c r="KQA111" s="3"/>
      <c r="KQB111" s="3"/>
      <c r="KQC111" s="3"/>
      <c r="KQD111" s="3"/>
      <c r="KQE111" s="3"/>
      <c r="KQF111" s="3"/>
      <c r="KQG111" s="3"/>
      <c r="KQH111" s="3"/>
      <c r="KQI111" s="3"/>
      <c r="KQJ111" s="3"/>
      <c r="KQK111" s="3"/>
      <c r="KQL111" s="3"/>
      <c r="KQM111" s="3"/>
      <c r="KQN111" s="3"/>
      <c r="KQO111" s="3"/>
      <c r="KQP111" s="3"/>
      <c r="KQQ111" s="3"/>
      <c r="KQR111" s="3"/>
      <c r="KQS111" s="3"/>
      <c r="KQT111" s="3"/>
      <c r="KQU111" s="3"/>
      <c r="KQV111" s="3"/>
      <c r="KQW111" s="3"/>
      <c r="KQX111" s="3"/>
      <c r="KQY111" s="3"/>
      <c r="KQZ111" s="3"/>
      <c r="KRA111" s="3"/>
      <c r="KRB111" s="3"/>
      <c r="KRC111" s="3"/>
      <c r="KRD111" s="3"/>
      <c r="KRE111" s="3"/>
      <c r="KRF111" s="3"/>
      <c r="KRG111" s="3"/>
      <c r="KRH111" s="3"/>
      <c r="KRI111" s="3"/>
      <c r="KRJ111" s="3"/>
      <c r="KRK111" s="3"/>
      <c r="KRL111" s="3"/>
      <c r="KRM111" s="3"/>
      <c r="KRN111" s="3"/>
      <c r="KRO111" s="3"/>
      <c r="KRP111" s="3"/>
      <c r="KRQ111" s="3"/>
      <c r="KRR111" s="3"/>
      <c r="KRS111" s="3"/>
      <c r="KRT111" s="3"/>
      <c r="KRU111" s="3"/>
      <c r="KRV111" s="3"/>
      <c r="KRW111" s="3"/>
      <c r="KRX111" s="3"/>
      <c r="KRY111" s="3"/>
      <c r="KRZ111" s="3"/>
      <c r="KSA111" s="3"/>
      <c r="KSB111" s="3"/>
      <c r="KSC111" s="3"/>
      <c r="KSD111" s="3"/>
      <c r="KSE111" s="3"/>
      <c r="KSF111" s="3"/>
      <c r="KSG111" s="3"/>
      <c r="KSH111" s="3"/>
      <c r="KSI111" s="3"/>
      <c r="KSJ111" s="3"/>
      <c r="KSK111" s="3"/>
      <c r="KSL111" s="3"/>
      <c r="KSM111" s="3"/>
      <c r="KSN111" s="3"/>
      <c r="KSO111" s="3"/>
      <c r="KSP111" s="3"/>
      <c r="KSQ111" s="3"/>
      <c r="KSR111" s="3"/>
      <c r="KSS111" s="3"/>
      <c r="KST111" s="3"/>
      <c r="KSU111" s="3"/>
      <c r="KSV111" s="3"/>
      <c r="KSW111" s="3"/>
      <c r="KSX111" s="3"/>
      <c r="KSY111" s="3"/>
      <c r="KSZ111" s="3"/>
      <c r="KTA111" s="3"/>
      <c r="KTB111" s="3"/>
      <c r="KTC111" s="3"/>
      <c r="KTD111" s="3"/>
      <c r="KTE111" s="3"/>
      <c r="KTF111" s="3"/>
      <c r="KTG111" s="3"/>
      <c r="KTH111" s="3"/>
      <c r="KTI111" s="3"/>
      <c r="KTJ111" s="3"/>
      <c r="KTK111" s="3"/>
      <c r="KTL111" s="3"/>
      <c r="KTM111" s="3"/>
      <c r="KTN111" s="3"/>
      <c r="KTO111" s="3"/>
      <c r="KTP111" s="3"/>
      <c r="KTQ111" s="3"/>
      <c r="KTR111" s="3"/>
      <c r="KTS111" s="3"/>
      <c r="KTT111" s="3"/>
      <c r="KTU111" s="3"/>
      <c r="KTV111" s="3"/>
      <c r="KTW111" s="3"/>
      <c r="KTX111" s="3"/>
      <c r="KTY111" s="3"/>
      <c r="KTZ111" s="3"/>
      <c r="KUA111" s="3"/>
      <c r="KUB111" s="3"/>
      <c r="KUC111" s="3"/>
      <c r="KUD111" s="3"/>
      <c r="KUE111" s="3"/>
      <c r="KUF111" s="3"/>
      <c r="KUG111" s="3"/>
      <c r="KUH111" s="3"/>
      <c r="KUI111" s="3"/>
      <c r="KUJ111" s="3"/>
      <c r="KUK111" s="3"/>
      <c r="KUL111" s="3"/>
      <c r="KUM111" s="3"/>
      <c r="KUN111" s="3"/>
      <c r="KUO111" s="3"/>
      <c r="KUP111" s="3"/>
      <c r="KUQ111" s="3"/>
      <c r="KUR111" s="3"/>
      <c r="KUS111" s="3"/>
      <c r="KUT111" s="3"/>
      <c r="KUU111" s="3"/>
      <c r="KUV111" s="3"/>
      <c r="KUW111" s="3"/>
      <c r="KUX111" s="3"/>
      <c r="KUY111" s="3"/>
      <c r="KUZ111" s="3"/>
      <c r="KVA111" s="3"/>
      <c r="KVB111" s="3"/>
      <c r="KVC111" s="3"/>
      <c r="KVD111" s="3"/>
      <c r="KVE111" s="3"/>
      <c r="KVF111" s="3"/>
      <c r="KVG111" s="3"/>
      <c r="KVH111" s="3"/>
      <c r="KVI111" s="3"/>
      <c r="KVJ111" s="3"/>
      <c r="KVK111" s="3"/>
      <c r="KVL111" s="3"/>
      <c r="KVM111" s="3"/>
      <c r="KVN111" s="3"/>
      <c r="KVO111" s="3"/>
      <c r="KVP111" s="3"/>
      <c r="KVQ111" s="3"/>
      <c r="KVR111" s="3"/>
      <c r="KVS111" s="3"/>
      <c r="KVT111" s="3"/>
      <c r="KVU111" s="3"/>
      <c r="KVV111" s="3"/>
      <c r="KVW111" s="3"/>
      <c r="KVX111" s="3"/>
      <c r="KVY111" s="3"/>
      <c r="KVZ111" s="3"/>
      <c r="KWA111" s="3"/>
      <c r="KWB111" s="3"/>
      <c r="KWC111" s="3"/>
      <c r="KWD111" s="3"/>
      <c r="KWE111" s="3"/>
      <c r="KWF111" s="3"/>
      <c r="KWG111" s="3"/>
      <c r="KWH111" s="3"/>
      <c r="KWI111" s="3"/>
      <c r="KWJ111" s="3"/>
      <c r="KWK111" s="3"/>
      <c r="KWL111" s="3"/>
      <c r="KWM111" s="3"/>
      <c r="KWN111" s="3"/>
      <c r="KWO111" s="3"/>
      <c r="KWP111" s="3"/>
      <c r="KWQ111" s="3"/>
      <c r="KWR111" s="3"/>
      <c r="KWS111" s="3"/>
      <c r="KWT111" s="3"/>
      <c r="KWU111" s="3"/>
      <c r="KWV111" s="3"/>
      <c r="KWW111" s="3"/>
      <c r="KWX111" s="3"/>
      <c r="KWY111" s="3"/>
      <c r="KWZ111" s="3"/>
      <c r="KXA111" s="3"/>
      <c r="KXB111" s="3"/>
      <c r="KXC111" s="3"/>
      <c r="KXD111" s="3"/>
      <c r="KXE111" s="3"/>
      <c r="KXF111" s="3"/>
      <c r="KXG111" s="3"/>
      <c r="KXH111" s="3"/>
      <c r="KXI111" s="3"/>
      <c r="KXJ111" s="3"/>
      <c r="KXK111" s="3"/>
      <c r="KXL111" s="3"/>
      <c r="KXM111" s="3"/>
      <c r="KXN111" s="3"/>
      <c r="KXO111" s="3"/>
      <c r="KXP111" s="3"/>
      <c r="KXQ111" s="3"/>
      <c r="KXR111" s="3"/>
      <c r="KXS111" s="3"/>
      <c r="KXT111" s="3"/>
      <c r="KXU111" s="3"/>
      <c r="KXV111" s="3"/>
      <c r="KXW111" s="3"/>
      <c r="KXX111" s="3"/>
      <c r="KXY111" s="3"/>
      <c r="KXZ111" s="3"/>
      <c r="KYA111" s="3"/>
      <c r="KYB111" s="3"/>
      <c r="KYC111" s="3"/>
      <c r="KYD111" s="3"/>
      <c r="KYE111" s="3"/>
      <c r="KYF111" s="3"/>
      <c r="KYG111" s="3"/>
      <c r="KYH111" s="3"/>
      <c r="KYI111" s="3"/>
      <c r="KYJ111" s="3"/>
      <c r="KYK111" s="3"/>
      <c r="KYL111" s="3"/>
      <c r="KYM111" s="3"/>
      <c r="KYN111" s="3"/>
      <c r="KYO111" s="3"/>
      <c r="KYP111" s="3"/>
      <c r="KYQ111" s="3"/>
      <c r="KYR111" s="3"/>
      <c r="KYS111" s="3"/>
      <c r="KYT111" s="3"/>
      <c r="KYU111" s="3"/>
      <c r="KYV111" s="3"/>
      <c r="KYW111" s="3"/>
      <c r="KYX111" s="3"/>
      <c r="KYY111" s="3"/>
      <c r="KYZ111" s="3"/>
      <c r="KZA111" s="3"/>
      <c r="KZB111" s="3"/>
      <c r="KZC111" s="3"/>
      <c r="KZD111" s="3"/>
      <c r="KZE111" s="3"/>
      <c r="KZF111" s="3"/>
      <c r="KZG111" s="3"/>
      <c r="KZH111" s="3"/>
      <c r="KZI111" s="3"/>
      <c r="KZJ111" s="3"/>
      <c r="KZK111" s="3"/>
      <c r="KZL111" s="3"/>
      <c r="KZM111" s="3"/>
      <c r="KZN111" s="3"/>
      <c r="KZO111" s="3"/>
      <c r="KZP111" s="3"/>
      <c r="KZQ111" s="3"/>
      <c r="KZR111" s="3"/>
      <c r="KZS111" s="3"/>
      <c r="KZT111" s="3"/>
      <c r="KZU111" s="3"/>
      <c r="KZV111" s="3"/>
      <c r="KZW111" s="3"/>
      <c r="KZX111" s="3"/>
      <c r="KZY111" s="3"/>
      <c r="KZZ111" s="3"/>
      <c r="LAA111" s="3"/>
      <c r="LAB111" s="3"/>
      <c r="LAC111" s="3"/>
      <c r="LAD111" s="3"/>
      <c r="LAE111" s="3"/>
      <c r="LAF111" s="3"/>
      <c r="LAG111" s="3"/>
      <c r="LAH111" s="3"/>
      <c r="LAI111" s="3"/>
      <c r="LAJ111" s="3"/>
      <c r="LAK111" s="3"/>
      <c r="LAL111" s="3"/>
      <c r="LAM111" s="3"/>
      <c r="LAN111" s="3"/>
      <c r="LAO111" s="3"/>
      <c r="LAP111" s="3"/>
      <c r="LAQ111" s="3"/>
      <c r="LAR111" s="3"/>
      <c r="LAS111" s="3"/>
      <c r="LAT111" s="3"/>
      <c r="LAU111" s="3"/>
      <c r="LAV111" s="3"/>
      <c r="LAW111" s="3"/>
      <c r="LAX111" s="3"/>
      <c r="LAY111" s="3"/>
      <c r="LAZ111" s="3"/>
      <c r="LBA111" s="3"/>
      <c r="LBB111" s="3"/>
      <c r="LBC111" s="3"/>
      <c r="LBD111" s="3"/>
      <c r="LBE111" s="3"/>
      <c r="LBF111" s="3"/>
      <c r="LBG111" s="3"/>
      <c r="LBH111" s="3"/>
      <c r="LBI111" s="3"/>
      <c r="LBJ111" s="3"/>
      <c r="LBK111" s="3"/>
      <c r="LBL111" s="3"/>
      <c r="LBM111" s="3"/>
      <c r="LBN111" s="3"/>
      <c r="LBO111" s="3"/>
      <c r="LBP111" s="3"/>
      <c r="LBQ111" s="3"/>
      <c r="LBR111" s="3"/>
      <c r="LBS111" s="3"/>
      <c r="LBT111" s="3"/>
      <c r="LBU111" s="3"/>
      <c r="LBV111" s="3"/>
      <c r="LBW111" s="3"/>
      <c r="LBX111" s="3"/>
      <c r="LBY111" s="3"/>
      <c r="LBZ111" s="3"/>
      <c r="LCA111" s="3"/>
      <c r="LCB111" s="3"/>
      <c r="LCC111" s="3"/>
      <c r="LCD111" s="3"/>
      <c r="LCE111" s="3"/>
      <c r="LCF111" s="3"/>
      <c r="LCG111" s="3"/>
      <c r="LCH111" s="3"/>
      <c r="LCI111" s="3"/>
      <c r="LCJ111" s="3"/>
      <c r="LCK111" s="3"/>
      <c r="LCL111" s="3"/>
      <c r="LCM111" s="3"/>
      <c r="LCN111" s="3"/>
      <c r="LCO111" s="3"/>
      <c r="LCP111" s="3"/>
      <c r="LCQ111" s="3"/>
      <c r="LCR111" s="3"/>
      <c r="LCS111" s="3"/>
      <c r="LCT111" s="3"/>
      <c r="LCU111" s="3"/>
      <c r="LCV111" s="3"/>
      <c r="LCW111" s="3"/>
      <c r="LCX111" s="3"/>
      <c r="LCY111" s="3"/>
      <c r="LCZ111" s="3"/>
      <c r="LDA111" s="3"/>
      <c r="LDB111" s="3"/>
      <c r="LDC111" s="3"/>
      <c r="LDD111" s="3"/>
      <c r="LDE111" s="3"/>
      <c r="LDF111" s="3"/>
      <c r="LDG111" s="3"/>
      <c r="LDH111" s="3"/>
      <c r="LDI111" s="3"/>
      <c r="LDJ111" s="3"/>
      <c r="LDK111" s="3"/>
      <c r="LDL111" s="3"/>
      <c r="LDM111" s="3"/>
      <c r="LDN111" s="3"/>
      <c r="LDO111" s="3"/>
      <c r="LDP111" s="3"/>
      <c r="LDQ111" s="3"/>
      <c r="LDR111" s="3"/>
      <c r="LDS111" s="3"/>
      <c r="LDT111" s="3"/>
      <c r="LDU111" s="3"/>
      <c r="LDV111" s="3"/>
      <c r="LDW111" s="3"/>
      <c r="LDX111" s="3"/>
      <c r="LDY111" s="3"/>
      <c r="LDZ111" s="3"/>
      <c r="LEA111" s="3"/>
      <c r="LEB111" s="3"/>
      <c r="LEC111" s="3"/>
      <c r="LED111" s="3"/>
      <c r="LEE111" s="3"/>
      <c r="LEF111" s="3"/>
      <c r="LEG111" s="3"/>
      <c r="LEH111" s="3"/>
      <c r="LEI111" s="3"/>
      <c r="LEJ111" s="3"/>
      <c r="LEK111" s="3"/>
      <c r="LEL111" s="3"/>
      <c r="LEM111" s="3"/>
      <c r="LEN111" s="3"/>
      <c r="LEO111" s="3"/>
      <c r="LEP111" s="3"/>
      <c r="LEQ111" s="3"/>
      <c r="LER111" s="3"/>
      <c r="LES111" s="3"/>
      <c r="LET111" s="3"/>
      <c r="LEU111" s="3"/>
      <c r="LEV111" s="3"/>
      <c r="LEW111" s="3"/>
      <c r="LEX111" s="3"/>
      <c r="LEY111" s="3"/>
      <c r="LEZ111" s="3"/>
      <c r="LFA111" s="3"/>
      <c r="LFB111" s="3"/>
      <c r="LFC111" s="3"/>
      <c r="LFD111" s="3"/>
      <c r="LFE111" s="3"/>
      <c r="LFF111" s="3"/>
      <c r="LFG111" s="3"/>
      <c r="LFH111" s="3"/>
      <c r="LFI111" s="3"/>
      <c r="LFJ111" s="3"/>
      <c r="LFK111" s="3"/>
      <c r="LFL111" s="3"/>
      <c r="LFM111" s="3"/>
      <c r="LFN111" s="3"/>
      <c r="LFO111" s="3"/>
      <c r="LFP111" s="3"/>
      <c r="LFQ111" s="3"/>
      <c r="LFR111" s="3"/>
      <c r="LFS111" s="3"/>
      <c r="LFT111" s="3"/>
      <c r="LFU111" s="3"/>
      <c r="LFV111" s="3"/>
      <c r="LFW111" s="3"/>
      <c r="LFX111" s="3"/>
      <c r="LFY111" s="3"/>
      <c r="LFZ111" s="3"/>
      <c r="LGA111" s="3"/>
      <c r="LGB111" s="3"/>
      <c r="LGC111" s="3"/>
      <c r="LGD111" s="3"/>
      <c r="LGE111" s="3"/>
      <c r="LGF111" s="3"/>
      <c r="LGG111" s="3"/>
      <c r="LGH111" s="3"/>
      <c r="LGI111" s="3"/>
      <c r="LGJ111" s="3"/>
      <c r="LGK111" s="3"/>
      <c r="LGL111" s="3"/>
      <c r="LGM111" s="3"/>
      <c r="LGN111" s="3"/>
      <c r="LGO111" s="3"/>
      <c r="LGP111" s="3"/>
      <c r="LGQ111" s="3"/>
      <c r="LGR111" s="3"/>
      <c r="LGS111" s="3"/>
      <c r="LGT111" s="3"/>
      <c r="LGU111" s="3"/>
      <c r="LGV111" s="3"/>
      <c r="LGW111" s="3"/>
      <c r="LGX111" s="3"/>
      <c r="LGY111" s="3"/>
      <c r="LGZ111" s="3"/>
      <c r="LHA111" s="3"/>
      <c r="LHB111" s="3"/>
      <c r="LHC111" s="3"/>
      <c r="LHD111" s="3"/>
      <c r="LHE111" s="3"/>
      <c r="LHF111" s="3"/>
      <c r="LHG111" s="3"/>
      <c r="LHH111" s="3"/>
      <c r="LHI111" s="3"/>
      <c r="LHJ111" s="3"/>
      <c r="LHK111" s="3"/>
      <c r="LHL111" s="3"/>
      <c r="LHM111" s="3"/>
      <c r="LHN111" s="3"/>
      <c r="LHO111" s="3"/>
      <c r="LHP111" s="3"/>
      <c r="LHQ111" s="3"/>
      <c r="LHR111" s="3"/>
      <c r="LHS111" s="3"/>
      <c r="LHT111" s="3"/>
      <c r="LHU111" s="3"/>
      <c r="LHV111" s="3"/>
      <c r="LHW111" s="3"/>
      <c r="LHX111" s="3"/>
      <c r="LHY111" s="3"/>
      <c r="LHZ111" s="3"/>
      <c r="LIA111" s="3"/>
      <c r="LIB111" s="3"/>
      <c r="LIC111" s="3"/>
      <c r="LID111" s="3"/>
      <c r="LIE111" s="3"/>
      <c r="LIF111" s="3"/>
      <c r="LIG111" s="3"/>
      <c r="LIH111" s="3"/>
      <c r="LII111" s="3"/>
      <c r="LIJ111" s="3"/>
      <c r="LIK111" s="3"/>
      <c r="LIL111" s="3"/>
      <c r="LIM111" s="3"/>
      <c r="LIN111" s="3"/>
      <c r="LIO111" s="3"/>
      <c r="LIP111" s="3"/>
      <c r="LIQ111" s="3"/>
      <c r="LIR111" s="3"/>
      <c r="LIS111" s="3"/>
      <c r="LIT111" s="3"/>
      <c r="LIU111" s="3"/>
      <c r="LIV111" s="3"/>
      <c r="LIW111" s="3"/>
      <c r="LIX111" s="3"/>
      <c r="LIY111" s="3"/>
      <c r="LIZ111" s="3"/>
      <c r="LJA111" s="3"/>
      <c r="LJB111" s="3"/>
      <c r="LJC111" s="3"/>
      <c r="LJD111" s="3"/>
      <c r="LJE111" s="3"/>
      <c r="LJF111" s="3"/>
      <c r="LJG111" s="3"/>
      <c r="LJH111" s="3"/>
      <c r="LJI111" s="3"/>
      <c r="LJJ111" s="3"/>
      <c r="LJK111" s="3"/>
      <c r="LJL111" s="3"/>
      <c r="LJM111" s="3"/>
      <c r="LJN111" s="3"/>
      <c r="LJO111" s="3"/>
      <c r="LJP111" s="3"/>
      <c r="LJQ111" s="3"/>
      <c r="LJR111" s="3"/>
      <c r="LJS111" s="3"/>
      <c r="LJT111" s="3"/>
      <c r="LJU111" s="3"/>
      <c r="LJV111" s="3"/>
      <c r="LJW111" s="3"/>
      <c r="LJX111" s="3"/>
      <c r="LJY111" s="3"/>
      <c r="LJZ111" s="3"/>
      <c r="LKA111" s="3"/>
      <c r="LKB111" s="3"/>
      <c r="LKC111" s="3"/>
      <c r="LKD111" s="3"/>
      <c r="LKE111" s="3"/>
      <c r="LKF111" s="3"/>
      <c r="LKG111" s="3"/>
      <c r="LKH111" s="3"/>
      <c r="LKI111" s="3"/>
      <c r="LKJ111" s="3"/>
      <c r="LKK111" s="3"/>
      <c r="LKL111" s="3"/>
      <c r="LKM111" s="3"/>
      <c r="LKN111" s="3"/>
      <c r="LKO111" s="3"/>
      <c r="LKP111" s="3"/>
      <c r="LKQ111" s="3"/>
      <c r="LKR111" s="3"/>
      <c r="LKS111" s="3"/>
      <c r="LKT111" s="3"/>
      <c r="LKU111" s="3"/>
      <c r="LKV111" s="3"/>
      <c r="LKW111" s="3"/>
      <c r="LKX111" s="3"/>
      <c r="LKY111" s="3"/>
      <c r="LKZ111" s="3"/>
      <c r="LLA111" s="3"/>
      <c r="LLB111" s="3"/>
      <c r="LLC111" s="3"/>
      <c r="LLD111" s="3"/>
      <c r="LLE111" s="3"/>
      <c r="LLF111" s="3"/>
      <c r="LLG111" s="3"/>
      <c r="LLH111" s="3"/>
      <c r="LLI111" s="3"/>
      <c r="LLJ111" s="3"/>
      <c r="LLK111" s="3"/>
      <c r="LLL111" s="3"/>
      <c r="LLM111" s="3"/>
      <c r="LLN111" s="3"/>
      <c r="LLO111" s="3"/>
      <c r="LLP111" s="3"/>
      <c r="LLQ111" s="3"/>
      <c r="LLR111" s="3"/>
      <c r="LLS111" s="3"/>
      <c r="LLT111" s="3"/>
      <c r="LLU111" s="3"/>
      <c r="LLV111" s="3"/>
      <c r="LLW111" s="3"/>
      <c r="LLX111" s="3"/>
      <c r="LLY111" s="3"/>
      <c r="LLZ111" s="3"/>
      <c r="LMA111" s="3"/>
      <c r="LMB111" s="3"/>
      <c r="LMC111" s="3"/>
      <c r="LMD111" s="3"/>
      <c r="LME111" s="3"/>
      <c r="LMF111" s="3"/>
      <c r="LMG111" s="3"/>
      <c r="LMH111" s="3"/>
      <c r="LMI111" s="3"/>
      <c r="LMJ111" s="3"/>
      <c r="LMK111" s="3"/>
      <c r="LML111" s="3"/>
      <c r="LMM111" s="3"/>
      <c r="LMN111" s="3"/>
      <c r="LMO111" s="3"/>
      <c r="LMP111" s="3"/>
      <c r="LMQ111" s="3"/>
      <c r="LMR111" s="3"/>
      <c r="LMS111" s="3"/>
      <c r="LMT111" s="3"/>
      <c r="LMU111" s="3"/>
      <c r="LMV111" s="3"/>
      <c r="LMW111" s="3"/>
      <c r="LMX111" s="3"/>
      <c r="LMY111" s="3"/>
      <c r="LMZ111" s="3"/>
      <c r="LNA111" s="3"/>
      <c r="LNB111" s="3"/>
      <c r="LNC111" s="3"/>
      <c r="LND111" s="3"/>
      <c r="LNE111" s="3"/>
      <c r="LNF111" s="3"/>
      <c r="LNG111" s="3"/>
      <c r="LNH111" s="3"/>
      <c r="LNI111" s="3"/>
      <c r="LNJ111" s="3"/>
      <c r="LNK111" s="3"/>
      <c r="LNL111" s="3"/>
      <c r="LNM111" s="3"/>
      <c r="LNN111" s="3"/>
      <c r="LNO111" s="3"/>
      <c r="LNP111" s="3"/>
      <c r="LNQ111" s="3"/>
      <c r="LNR111" s="3"/>
      <c r="LNS111" s="3"/>
      <c r="LNT111" s="3"/>
      <c r="LNU111" s="3"/>
      <c r="LNV111" s="3"/>
      <c r="LNW111" s="3"/>
      <c r="LNX111" s="3"/>
      <c r="LNY111" s="3"/>
      <c r="LNZ111" s="3"/>
      <c r="LOA111" s="3"/>
      <c r="LOB111" s="3"/>
      <c r="LOC111" s="3"/>
      <c r="LOD111" s="3"/>
      <c r="LOE111" s="3"/>
      <c r="LOF111" s="3"/>
      <c r="LOG111" s="3"/>
      <c r="LOH111" s="3"/>
      <c r="LOI111" s="3"/>
      <c r="LOJ111" s="3"/>
      <c r="LOK111" s="3"/>
      <c r="LOL111" s="3"/>
      <c r="LOM111" s="3"/>
      <c r="LON111" s="3"/>
      <c r="LOO111" s="3"/>
      <c r="LOP111" s="3"/>
      <c r="LOQ111" s="3"/>
      <c r="LOR111" s="3"/>
      <c r="LOS111" s="3"/>
      <c r="LOT111" s="3"/>
      <c r="LOU111" s="3"/>
      <c r="LOV111" s="3"/>
      <c r="LOW111" s="3"/>
      <c r="LOX111" s="3"/>
      <c r="LOY111" s="3"/>
      <c r="LOZ111" s="3"/>
      <c r="LPA111" s="3"/>
      <c r="LPB111" s="3"/>
      <c r="LPC111" s="3"/>
      <c r="LPD111" s="3"/>
      <c r="LPE111" s="3"/>
      <c r="LPF111" s="3"/>
      <c r="LPG111" s="3"/>
      <c r="LPH111" s="3"/>
      <c r="LPI111" s="3"/>
      <c r="LPJ111" s="3"/>
      <c r="LPK111" s="3"/>
      <c r="LPL111" s="3"/>
      <c r="LPM111" s="3"/>
      <c r="LPN111" s="3"/>
      <c r="LPO111" s="3"/>
      <c r="LPP111" s="3"/>
      <c r="LPQ111" s="3"/>
      <c r="LPR111" s="3"/>
      <c r="LPS111" s="3"/>
      <c r="LPT111" s="3"/>
      <c r="LPU111" s="3"/>
      <c r="LPV111" s="3"/>
      <c r="LPW111" s="3"/>
      <c r="LPX111" s="3"/>
      <c r="LPY111" s="3"/>
      <c r="LPZ111" s="3"/>
      <c r="LQA111" s="3"/>
      <c r="LQB111" s="3"/>
      <c r="LQC111" s="3"/>
      <c r="LQD111" s="3"/>
      <c r="LQE111" s="3"/>
      <c r="LQF111" s="3"/>
      <c r="LQG111" s="3"/>
      <c r="LQH111" s="3"/>
      <c r="LQI111" s="3"/>
      <c r="LQJ111" s="3"/>
      <c r="LQK111" s="3"/>
      <c r="LQL111" s="3"/>
      <c r="LQM111" s="3"/>
      <c r="LQN111" s="3"/>
      <c r="LQO111" s="3"/>
      <c r="LQP111" s="3"/>
      <c r="LQQ111" s="3"/>
      <c r="LQR111" s="3"/>
      <c r="LQS111" s="3"/>
      <c r="LQT111" s="3"/>
      <c r="LQU111" s="3"/>
      <c r="LQV111" s="3"/>
      <c r="LQW111" s="3"/>
      <c r="LQX111" s="3"/>
      <c r="LQY111" s="3"/>
      <c r="LQZ111" s="3"/>
      <c r="LRA111" s="3"/>
      <c r="LRB111" s="3"/>
      <c r="LRC111" s="3"/>
      <c r="LRD111" s="3"/>
      <c r="LRE111" s="3"/>
      <c r="LRF111" s="3"/>
      <c r="LRG111" s="3"/>
      <c r="LRH111" s="3"/>
      <c r="LRI111" s="3"/>
      <c r="LRJ111" s="3"/>
      <c r="LRK111" s="3"/>
      <c r="LRL111" s="3"/>
      <c r="LRM111" s="3"/>
      <c r="LRN111" s="3"/>
      <c r="LRO111" s="3"/>
      <c r="LRP111" s="3"/>
      <c r="LRQ111" s="3"/>
      <c r="LRR111" s="3"/>
      <c r="LRS111" s="3"/>
      <c r="LRT111" s="3"/>
      <c r="LRU111" s="3"/>
      <c r="LRV111" s="3"/>
      <c r="LRW111" s="3"/>
      <c r="LRX111" s="3"/>
      <c r="LRY111" s="3"/>
      <c r="LRZ111" s="3"/>
      <c r="LSA111" s="3"/>
      <c r="LSB111" s="3"/>
      <c r="LSC111" s="3"/>
      <c r="LSD111" s="3"/>
      <c r="LSE111" s="3"/>
      <c r="LSF111" s="3"/>
      <c r="LSG111" s="3"/>
      <c r="LSH111" s="3"/>
      <c r="LSI111" s="3"/>
      <c r="LSJ111" s="3"/>
      <c r="LSK111" s="3"/>
      <c r="LSL111" s="3"/>
      <c r="LSM111" s="3"/>
      <c r="LSN111" s="3"/>
      <c r="LSO111" s="3"/>
      <c r="LSP111" s="3"/>
      <c r="LSQ111" s="3"/>
      <c r="LSR111" s="3"/>
      <c r="LSS111" s="3"/>
      <c r="LST111" s="3"/>
      <c r="LSU111" s="3"/>
      <c r="LSV111" s="3"/>
      <c r="LSW111" s="3"/>
      <c r="LSX111" s="3"/>
      <c r="LSY111" s="3"/>
      <c r="LSZ111" s="3"/>
      <c r="LTA111" s="3"/>
      <c r="LTB111" s="3"/>
      <c r="LTC111" s="3"/>
      <c r="LTD111" s="3"/>
      <c r="LTE111" s="3"/>
      <c r="LTF111" s="3"/>
      <c r="LTG111" s="3"/>
      <c r="LTH111" s="3"/>
      <c r="LTI111" s="3"/>
      <c r="LTJ111" s="3"/>
      <c r="LTK111" s="3"/>
      <c r="LTL111" s="3"/>
      <c r="LTM111" s="3"/>
      <c r="LTN111" s="3"/>
      <c r="LTO111" s="3"/>
      <c r="LTP111" s="3"/>
      <c r="LTQ111" s="3"/>
      <c r="LTR111" s="3"/>
      <c r="LTS111" s="3"/>
      <c r="LTT111" s="3"/>
      <c r="LTU111" s="3"/>
      <c r="LTV111" s="3"/>
      <c r="LTW111" s="3"/>
      <c r="LTX111" s="3"/>
      <c r="LTY111" s="3"/>
      <c r="LTZ111" s="3"/>
      <c r="LUA111" s="3"/>
      <c r="LUB111" s="3"/>
      <c r="LUC111" s="3"/>
      <c r="LUD111" s="3"/>
      <c r="LUE111" s="3"/>
      <c r="LUF111" s="3"/>
      <c r="LUG111" s="3"/>
      <c r="LUH111" s="3"/>
      <c r="LUI111" s="3"/>
      <c r="LUJ111" s="3"/>
      <c r="LUK111" s="3"/>
      <c r="LUL111" s="3"/>
      <c r="LUM111" s="3"/>
      <c r="LUN111" s="3"/>
      <c r="LUO111" s="3"/>
      <c r="LUP111" s="3"/>
      <c r="LUQ111" s="3"/>
      <c r="LUR111" s="3"/>
      <c r="LUS111" s="3"/>
      <c r="LUT111" s="3"/>
      <c r="LUU111" s="3"/>
      <c r="LUV111" s="3"/>
      <c r="LUW111" s="3"/>
      <c r="LUX111" s="3"/>
      <c r="LUY111" s="3"/>
      <c r="LUZ111" s="3"/>
      <c r="LVA111" s="3"/>
      <c r="LVB111" s="3"/>
      <c r="LVC111" s="3"/>
      <c r="LVD111" s="3"/>
      <c r="LVE111" s="3"/>
      <c r="LVF111" s="3"/>
      <c r="LVG111" s="3"/>
      <c r="LVH111" s="3"/>
      <c r="LVI111" s="3"/>
      <c r="LVJ111" s="3"/>
      <c r="LVK111" s="3"/>
      <c r="LVL111" s="3"/>
      <c r="LVM111" s="3"/>
      <c r="LVN111" s="3"/>
      <c r="LVO111" s="3"/>
      <c r="LVP111" s="3"/>
      <c r="LVQ111" s="3"/>
      <c r="LVR111" s="3"/>
      <c r="LVS111" s="3"/>
      <c r="LVT111" s="3"/>
      <c r="LVU111" s="3"/>
      <c r="LVV111" s="3"/>
      <c r="LVW111" s="3"/>
      <c r="LVX111" s="3"/>
      <c r="LVY111" s="3"/>
      <c r="LVZ111" s="3"/>
      <c r="LWA111" s="3"/>
      <c r="LWB111" s="3"/>
      <c r="LWC111" s="3"/>
      <c r="LWD111" s="3"/>
      <c r="LWE111" s="3"/>
      <c r="LWF111" s="3"/>
      <c r="LWG111" s="3"/>
      <c r="LWH111" s="3"/>
      <c r="LWI111" s="3"/>
      <c r="LWJ111" s="3"/>
      <c r="LWK111" s="3"/>
      <c r="LWL111" s="3"/>
      <c r="LWM111" s="3"/>
      <c r="LWN111" s="3"/>
      <c r="LWO111" s="3"/>
      <c r="LWP111" s="3"/>
      <c r="LWQ111" s="3"/>
      <c r="LWR111" s="3"/>
      <c r="LWS111" s="3"/>
      <c r="LWT111" s="3"/>
      <c r="LWU111" s="3"/>
      <c r="LWV111" s="3"/>
      <c r="LWW111" s="3"/>
      <c r="LWX111" s="3"/>
      <c r="LWY111" s="3"/>
      <c r="LWZ111" s="3"/>
      <c r="LXA111" s="3"/>
      <c r="LXB111" s="3"/>
      <c r="LXC111" s="3"/>
      <c r="LXD111" s="3"/>
      <c r="LXE111" s="3"/>
      <c r="LXF111" s="3"/>
      <c r="LXG111" s="3"/>
      <c r="LXH111" s="3"/>
      <c r="LXI111" s="3"/>
      <c r="LXJ111" s="3"/>
      <c r="LXK111" s="3"/>
      <c r="LXL111" s="3"/>
      <c r="LXM111" s="3"/>
      <c r="LXN111" s="3"/>
      <c r="LXO111" s="3"/>
      <c r="LXP111" s="3"/>
      <c r="LXQ111" s="3"/>
      <c r="LXR111" s="3"/>
      <c r="LXS111" s="3"/>
      <c r="LXT111" s="3"/>
      <c r="LXU111" s="3"/>
      <c r="LXV111" s="3"/>
      <c r="LXW111" s="3"/>
      <c r="LXX111" s="3"/>
      <c r="LXY111" s="3"/>
      <c r="LXZ111" s="3"/>
      <c r="LYA111" s="3"/>
      <c r="LYB111" s="3"/>
      <c r="LYC111" s="3"/>
      <c r="LYD111" s="3"/>
      <c r="LYE111" s="3"/>
      <c r="LYF111" s="3"/>
      <c r="LYG111" s="3"/>
      <c r="LYH111" s="3"/>
      <c r="LYI111" s="3"/>
      <c r="LYJ111" s="3"/>
      <c r="LYK111" s="3"/>
      <c r="LYL111" s="3"/>
      <c r="LYM111" s="3"/>
      <c r="LYN111" s="3"/>
      <c r="LYO111" s="3"/>
      <c r="LYP111" s="3"/>
      <c r="LYQ111" s="3"/>
      <c r="LYR111" s="3"/>
      <c r="LYS111" s="3"/>
      <c r="LYT111" s="3"/>
      <c r="LYU111" s="3"/>
      <c r="LYV111" s="3"/>
      <c r="LYW111" s="3"/>
      <c r="LYX111" s="3"/>
      <c r="LYY111" s="3"/>
      <c r="LYZ111" s="3"/>
      <c r="LZA111" s="3"/>
      <c r="LZB111" s="3"/>
      <c r="LZC111" s="3"/>
      <c r="LZD111" s="3"/>
      <c r="LZE111" s="3"/>
      <c r="LZF111" s="3"/>
      <c r="LZG111" s="3"/>
      <c r="LZH111" s="3"/>
      <c r="LZI111" s="3"/>
      <c r="LZJ111" s="3"/>
      <c r="LZK111" s="3"/>
      <c r="LZL111" s="3"/>
      <c r="LZM111" s="3"/>
      <c r="LZN111" s="3"/>
      <c r="LZO111" s="3"/>
      <c r="LZP111" s="3"/>
      <c r="LZQ111" s="3"/>
      <c r="LZR111" s="3"/>
      <c r="LZS111" s="3"/>
      <c r="LZT111" s="3"/>
      <c r="LZU111" s="3"/>
      <c r="LZV111" s="3"/>
      <c r="LZW111" s="3"/>
      <c r="LZX111" s="3"/>
      <c r="LZY111" s="3"/>
      <c r="LZZ111" s="3"/>
      <c r="MAA111" s="3"/>
      <c r="MAB111" s="3"/>
      <c r="MAC111" s="3"/>
      <c r="MAD111" s="3"/>
      <c r="MAE111" s="3"/>
      <c r="MAF111" s="3"/>
      <c r="MAG111" s="3"/>
      <c r="MAH111" s="3"/>
      <c r="MAI111" s="3"/>
      <c r="MAJ111" s="3"/>
      <c r="MAK111" s="3"/>
      <c r="MAL111" s="3"/>
      <c r="MAM111" s="3"/>
      <c r="MAN111" s="3"/>
      <c r="MAO111" s="3"/>
      <c r="MAP111" s="3"/>
      <c r="MAQ111" s="3"/>
      <c r="MAR111" s="3"/>
      <c r="MAS111" s="3"/>
      <c r="MAT111" s="3"/>
      <c r="MAU111" s="3"/>
      <c r="MAV111" s="3"/>
      <c r="MAW111" s="3"/>
      <c r="MAX111" s="3"/>
      <c r="MAY111" s="3"/>
      <c r="MAZ111" s="3"/>
      <c r="MBA111" s="3"/>
      <c r="MBB111" s="3"/>
      <c r="MBC111" s="3"/>
      <c r="MBD111" s="3"/>
      <c r="MBE111" s="3"/>
      <c r="MBF111" s="3"/>
      <c r="MBG111" s="3"/>
      <c r="MBH111" s="3"/>
      <c r="MBI111" s="3"/>
      <c r="MBJ111" s="3"/>
      <c r="MBK111" s="3"/>
      <c r="MBL111" s="3"/>
      <c r="MBM111" s="3"/>
      <c r="MBN111" s="3"/>
      <c r="MBO111" s="3"/>
      <c r="MBP111" s="3"/>
      <c r="MBQ111" s="3"/>
      <c r="MBR111" s="3"/>
      <c r="MBS111" s="3"/>
      <c r="MBT111" s="3"/>
      <c r="MBU111" s="3"/>
      <c r="MBV111" s="3"/>
      <c r="MBW111" s="3"/>
      <c r="MBX111" s="3"/>
      <c r="MBY111" s="3"/>
      <c r="MBZ111" s="3"/>
      <c r="MCA111" s="3"/>
      <c r="MCB111" s="3"/>
      <c r="MCC111" s="3"/>
      <c r="MCD111" s="3"/>
      <c r="MCE111" s="3"/>
      <c r="MCF111" s="3"/>
      <c r="MCG111" s="3"/>
      <c r="MCH111" s="3"/>
      <c r="MCI111" s="3"/>
      <c r="MCJ111" s="3"/>
      <c r="MCK111" s="3"/>
      <c r="MCL111" s="3"/>
      <c r="MCM111" s="3"/>
      <c r="MCN111" s="3"/>
      <c r="MCO111" s="3"/>
      <c r="MCP111" s="3"/>
      <c r="MCQ111" s="3"/>
      <c r="MCR111" s="3"/>
      <c r="MCS111" s="3"/>
      <c r="MCT111" s="3"/>
      <c r="MCU111" s="3"/>
      <c r="MCV111" s="3"/>
      <c r="MCW111" s="3"/>
      <c r="MCX111" s="3"/>
      <c r="MCY111" s="3"/>
      <c r="MCZ111" s="3"/>
      <c r="MDA111" s="3"/>
      <c r="MDB111" s="3"/>
      <c r="MDC111" s="3"/>
      <c r="MDD111" s="3"/>
      <c r="MDE111" s="3"/>
      <c r="MDF111" s="3"/>
      <c r="MDG111" s="3"/>
      <c r="MDH111" s="3"/>
      <c r="MDI111" s="3"/>
      <c r="MDJ111" s="3"/>
      <c r="MDK111" s="3"/>
      <c r="MDL111" s="3"/>
      <c r="MDM111" s="3"/>
      <c r="MDN111" s="3"/>
      <c r="MDO111" s="3"/>
      <c r="MDP111" s="3"/>
      <c r="MDQ111" s="3"/>
      <c r="MDR111" s="3"/>
      <c r="MDS111" s="3"/>
      <c r="MDT111" s="3"/>
      <c r="MDU111" s="3"/>
      <c r="MDV111" s="3"/>
      <c r="MDW111" s="3"/>
      <c r="MDX111" s="3"/>
      <c r="MDY111" s="3"/>
      <c r="MDZ111" s="3"/>
      <c r="MEA111" s="3"/>
      <c r="MEB111" s="3"/>
      <c r="MEC111" s="3"/>
      <c r="MED111" s="3"/>
      <c r="MEE111" s="3"/>
      <c r="MEF111" s="3"/>
      <c r="MEG111" s="3"/>
      <c r="MEH111" s="3"/>
      <c r="MEI111" s="3"/>
      <c r="MEJ111" s="3"/>
      <c r="MEK111" s="3"/>
      <c r="MEL111" s="3"/>
      <c r="MEM111" s="3"/>
      <c r="MEN111" s="3"/>
      <c r="MEO111" s="3"/>
      <c r="MEP111" s="3"/>
      <c r="MEQ111" s="3"/>
      <c r="MER111" s="3"/>
      <c r="MES111" s="3"/>
      <c r="MET111" s="3"/>
      <c r="MEU111" s="3"/>
      <c r="MEV111" s="3"/>
      <c r="MEW111" s="3"/>
      <c r="MEX111" s="3"/>
      <c r="MEY111" s="3"/>
      <c r="MEZ111" s="3"/>
      <c r="MFA111" s="3"/>
      <c r="MFB111" s="3"/>
      <c r="MFC111" s="3"/>
      <c r="MFD111" s="3"/>
      <c r="MFE111" s="3"/>
      <c r="MFF111" s="3"/>
      <c r="MFG111" s="3"/>
      <c r="MFH111" s="3"/>
      <c r="MFI111" s="3"/>
      <c r="MFJ111" s="3"/>
      <c r="MFK111" s="3"/>
      <c r="MFL111" s="3"/>
      <c r="MFM111" s="3"/>
      <c r="MFN111" s="3"/>
      <c r="MFO111" s="3"/>
      <c r="MFP111" s="3"/>
      <c r="MFQ111" s="3"/>
      <c r="MFR111" s="3"/>
      <c r="MFS111" s="3"/>
      <c r="MFT111" s="3"/>
      <c r="MFU111" s="3"/>
      <c r="MFV111" s="3"/>
      <c r="MFW111" s="3"/>
      <c r="MFX111" s="3"/>
      <c r="MFY111" s="3"/>
      <c r="MFZ111" s="3"/>
      <c r="MGA111" s="3"/>
      <c r="MGB111" s="3"/>
      <c r="MGC111" s="3"/>
      <c r="MGD111" s="3"/>
      <c r="MGE111" s="3"/>
      <c r="MGF111" s="3"/>
      <c r="MGG111" s="3"/>
      <c r="MGH111" s="3"/>
      <c r="MGI111" s="3"/>
      <c r="MGJ111" s="3"/>
      <c r="MGK111" s="3"/>
      <c r="MGL111" s="3"/>
      <c r="MGM111" s="3"/>
      <c r="MGN111" s="3"/>
      <c r="MGO111" s="3"/>
      <c r="MGP111" s="3"/>
      <c r="MGQ111" s="3"/>
      <c r="MGR111" s="3"/>
      <c r="MGS111" s="3"/>
      <c r="MGT111" s="3"/>
      <c r="MGU111" s="3"/>
      <c r="MGV111" s="3"/>
      <c r="MGW111" s="3"/>
      <c r="MGX111" s="3"/>
      <c r="MGY111" s="3"/>
      <c r="MGZ111" s="3"/>
      <c r="MHA111" s="3"/>
      <c r="MHB111" s="3"/>
      <c r="MHC111" s="3"/>
      <c r="MHD111" s="3"/>
      <c r="MHE111" s="3"/>
      <c r="MHF111" s="3"/>
      <c r="MHG111" s="3"/>
      <c r="MHH111" s="3"/>
      <c r="MHI111" s="3"/>
      <c r="MHJ111" s="3"/>
      <c r="MHK111" s="3"/>
      <c r="MHL111" s="3"/>
      <c r="MHM111" s="3"/>
      <c r="MHN111" s="3"/>
      <c r="MHO111" s="3"/>
      <c r="MHP111" s="3"/>
      <c r="MHQ111" s="3"/>
      <c r="MHR111" s="3"/>
      <c r="MHS111" s="3"/>
      <c r="MHT111" s="3"/>
      <c r="MHU111" s="3"/>
      <c r="MHV111" s="3"/>
      <c r="MHW111" s="3"/>
      <c r="MHX111" s="3"/>
      <c r="MHY111" s="3"/>
      <c r="MHZ111" s="3"/>
      <c r="MIA111" s="3"/>
      <c r="MIB111" s="3"/>
      <c r="MIC111" s="3"/>
      <c r="MID111" s="3"/>
      <c r="MIE111" s="3"/>
      <c r="MIF111" s="3"/>
      <c r="MIG111" s="3"/>
      <c r="MIH111" s="3"/>
      <c r="MII111" s="3"/>
      <c r="MIJ111" s="3"/>
      <c r="MIK111" s="3"/>
      <c r="MIL111" s="3"/>
      <c r="MIM111" s="3"/>
      <c r="MIN111" s="3"/>
      <c r="MIO111" s="3"/>
      <c r="MIP111" s="3"/>
      <c r="MIQ111" s="3"/>
      <c r="MIR111" s="3"/>
      <c r="MIS111" s="3"/>
      <c r="MIT111" s="3"/>
      <c r="MIU111" s="3"/>
      <c r="MIV111" s="3"/>
      <c r="MIW111" s="3"/>
      <c r="MIX111" s="3"/>
      <c r="MIY111" s="3"/>
      <c r="MIZ111" s="3"/>
      <c r="MJA111" s="3"/>
      <c r="MJB111" s="3"/>
      <c r="MJC111" s="3"/>
      <c r="MJD111" s="3"/>
      <c r="MJE111" s="3"/>
      <c r="MJF111" s="3"/>
      <c r="MJG111" s="3"/>
      <c r="MJH111" s="3"/>
      <c r="MJI111" s="3"/>
      <c r="MJJ111" s="3"/>
      <c r="MJK111" s="3"/>
      <c r="MJL111" s="3"/>
      <c r="MJM111" s="3"/>
      <c r="MJN111" s="3"/>
      <c r="MJO111" s="3"/>
      <c r="MJP111" s="3"/>
      <c r="MJQ111" s="3"/>
      <c r="MJR111" s="3"/>
      <c r="MJS111" s="3"/>
      <c r="MJT111" s="3"/>
      <c r="MJU111" s="3"/>
      <c r="MJV111" s="3"/>
      <c r="MJW111" s="3"/>
      <c r="MJX111" s="3"/>
      <c r="MJY111" s="3"/>
      <c r="MJZ111" s="3"/>
      <c r="MKA111" s="3"/>
      <c r="MKB111" s="3"/>
      <c r="MKC111" s="3"/>
      <c r="MKD111" s="3"/>
      <c r="MKE111" s="3"/>
      <c r="MKF111" s="3"/>
      <c r="MKG111" s="3"/>
      <c r="MKH111" s="3"/>
      <c r="MKI111" s="3"/>
      <c r="MKJ111" s="3"/>
      <c r="MKK111" s="3"/>
      <c r="MKL111" s="3"/>
      <c r="MKM111" s="3"/>
      <c r="MKN111" s="3"/>
      <c r="MKO111" s="3"/>
      <c r="MKP111" s="3"/>
      <c r="MKQ111" s="3"/>
      <c r="MKR111" s="3"/>
      <c r="MKS111" s="3"/>
      <c r="MKT111" s="3"/>
      <c r="MKU111" s="3"/>
      <c r="MKV111" s="3"/>
      <c r="MKW111" s="3"/>
      <c r="MKX111" s="3"/>
      <c r="MKY111" s="3"/>
      <c r="MKZ111" s="3"/>
      <c r="MLA111" s="3"/>
      <c r="MLB111" s="3"/>
      <c r="MLC111" s="3"/>
      <c r="MLD111" s="3"/>
      <c r="MLE111" s="3"/>
      <c r="MLF111" s="3"/>
      <c r="MLG111" s="3"/>
      <c r="MLH111" s="3"/>
      <c r="MLI111" s="3"/>
      <c r="MLJ111" s="3"/>
      <c r="MLK111" s="3"/>
      <c r="MLL111" s="3"/>
      <c r="MLM111" s="3"/>
      <c r="MLN111" s="3"/>
      <c r="MLO111" s="3"/>
      <c r="MLP111" s="3"/>
      <c r="MLQ111" s="3"/>
      <c r="MLR111" s="3"/>
      <c r="MLS111" s="3"/>
      <c r="MLT111" s="3"/>
      <c r="MLU111" s="3"/>
      <c r="MLV111" s="3"/>
      <c r="MLW111" s="3"/>
      <c r="MLX111" s="3"/>
      <c r="MLY111" s="3"/>
      <c r="MLZ111" s="3"/>
      <c r="MMA111" s="3"/>
      <c r="MMB111" s="3"/>
      <c r="MMC111" s="3"/>
      <c r="MMD111" s="3"/>
      <c r="MME111" s="3"/>
      <c r="MMF111" s="3"/>
      <c r="MMG111" s="3"/>
      <c r="MMH111" s="3"/>
      <c r="MMI111" s="3"/>
      <c r="MMJ111" s="3"/>
      <c r="MMK111" s="3"/>
      <c r="MML111" s="3"/>
      <c r="MMM111" s="3"/>
      <c r="MMN111" s="3"/>
      <c r="MMO111" s="3"/>
      <c r="MMP111" s="3"/>
      <c r="MMQ111" s="3"/>
      <c r="MMR111" s="3"/>
      <c r="MMS111" s="3"/>
      <c r="MMT111" s="3"/>
      <c r="MMU111" s="3"/>
      <c r="MMV111" s="3"/>
      <c r="MMW111" s="3"/>
      <c r="MMX111" s="3"/>
      <c r="MMY111" s="3"/>
      <c r="MMZ111" s="3"/>
      <c r="MNA111" s="3"/>
      <c r="MNB111" s="3"/>
      <c r="MNC111" s="3"/>
      <c r="MND111" s="3"/>
      <c r="MNE111" s="3"/>
      <c r="MNF111" s="3"/>
      <c r="MNG111" s="3"/>
      <c r="MNH111" s="3"/>
      <c r="MNI111" s="3"/>
      <c r="MNJ111" s="3"/>
      <c r="MNK111" s="3"/>
      <c r="MNL111" s="3"/>
      <c r="MNM111" s="3"/>
      <c r="MNN111" s="3"/>
      <c r="MNO111" s="3"/>
      <c r="MNP111" s="3"/>
      <c r="MNQ111" s="3"/>
      <c r="MNR111" s="3"/>
      <c r="MNS111" s="3"/>
      <c r="MNT111" s="3"/>
      <c r="MNU111" s="3"/>
      <c r="MNV111" s="3"/>
      <c r="MNW111" s="3"/>
      <c r="MNX111" s="3"/>
      <c r="MNY111" s="3"/>
      <c r="MNZ111" s="3"/>
      <c r="MOA111" s="3"/>
      <c r="MOB111" s="3"/>
      <c r="MOC111" s="3"/>
      <c r="MOD111" s="3"/>
      <c r="MOE111" s="3"/>
      <c r="MOF111" s="3"/>
      <c r="MOG111" s="3"/>
      <c r="MOH111" s="3"/>
      <c r="MOI111" s="3"/>
      <c r="MOJ111" s="3"/>
      <c r="MOK111" s="3"/>
      <c r="MOL111" s="3"/>
      <c r="MOM111" s="3"/>
      <c r="MON111" s="3"/>
      <c r="MOO111" s="3"/>
      <c r="MOP111" s="3"/>
      <c r="MOQ111" s="3"/>
      <c r="MOR111" s="3"/>
      <c r="MOS111" s="3"/>
      <c r="MOT111" s="3"/>
      <c r="MOU111" s="3"/>
      <c r="MOV111" s="3"/>
      <c r="MOW111" s="3"/>
      <c r="MOX111" s="3"/>
      <c r="MOY111" s="3"/>
      <c r="MOZ111" s="3"/>
      <c r="MPA111" s="3"/>
      <c r="MPB111" s="3"/>
      <c r="MPC111" s="3"/>
      <c r="MPD111" s="3"/>
      <c r="MPE111" s="3"/>
      <c r="MPF111" s="3"/>
      <c r="MPG111" s="3"/>
      <c r="MPH111" s="3"/>
      <c r="MPI111" s="3"/>
      <c r="MPJ111" s="3"/>
      <c r="MPK111" s="3"/>
      <c r="MPL111" s="3"/>
      <c r="MPM111" s="3"/>
      <c r="MPN111" s="3"/>
      <c r="MPO111" s="3"/>
      <c r="MPP111" s="3"/>
      <c r="MPQ111" s="3"/>
      <c r="MPR111" s="3"/>
      <c r="MPS111" s="3"/>
      <c r="MPT111" s="3"/>
      <c r="MPU111" s="3"/>
      <c r="MPV111" s="3"/>
      <c r="MPW111" s="3"/>
      <c r="MPX111" s="3"/>
      <c r="MPY111" s="3"/>
      <c r="MPZ111" s="3"/>
      <c r="MQA111" s="3"/>
      <c r="MQB111" s="3"/>
      <c r="MQC111" s="3"/>
      <c r="MQD111" s="3"/>
      <c r="MQE111" s="3"/>
      <c r="MQF111" s="3"/>
      <c r="MQG111" s="3"/>
      <c r="MQH111" s="3"/>
      <c r="MQI111" s="3"/>
      <c r="MQJ111" s="3"/>
      <c r="MQK111" s="3"/>
      <c r="MQL111" s="3"/>
      <c r="MQM111" s="3"/>
      <c r="MQN111" s="3"/>
      <c r="MQO111" s="3"/>
      <c r="MQP111" s="3"/>
      <c r="MQQ111" s="3"/>
      <c r="MQR111" s="3"/>
      <c r="MQS111" s="3"/>
      <c r="MQT111" s="3"/>
      <c r="MQU111" s="3"/>
      <c r="MQV111" s="3"/>
      <c r="MQW111" s="3"/>
      <c r="MQX111" s="3"/>
      <c r="MQY111" s="3"/>
      <c r="MQZ111" s="3"/>
      <c r="MRA111" s="3"/>
      <c r="MRB111" s="3"/>
      <c r="MRC111" s="3"/>
      <c r="MRD111" s="3"/>
      <c r="MRE111" s="3"/>
      <c r="MRF111" s="3"/>
      <c r="MRG111" s="3"/>
      <c r="MRH111" s="3"/>
      <c r="MRI111" s="3"/>
      <c r="MRJ111" s="3"/>
      <c r="MRK111" s="3"/>
      <c r="MRL111" s="3"/>
      <c r="MRM111" s="3"/>
      <c r="MRN111" s="3"/>
      <c r="MRO111" s="3"/>
      <c r="MRP111" s="3"/>
      <c r="MRQ111" s="3"/>
      <c r="MRR111" s="3"/>
      <c r="MRS111" s="3"/>
      <c r="MRT111" s="3"/>
      <c r="MRU111" s="3"/>
      <c r="MRV111" s="3"/>
      <c r="MRW111" s="3"/>
      <c r="MRX111" s="3"/>
      <c r="MRY111" s="3"/>
      <c r="MRZ111" s="3"/>
      <c r="MSA111" s="3"/>
      <c r="MSB111" s="3"/>
      <c r="MSC111" s="3"/>
      <c r="MSD111" s="3"/>
      <c r="MSE111" s="3"/>
      <c r="MSF111" s="3"/>
      <c r="MSG111" s="3"/>
      <c r="MSH111" s="3"/>
      <c r="MSI111" s="3"/>
      <c r="MSJ111" s="3"/>
      <c r="MSK111" s="3"/>
      <c r="MSL111" s="3"/>
      <c r="MSM111" s="3"/>
      <c r="MSN111" s="3"/>
      <c r="MSO111" s="3"/>
      <c r="MSP111" s="3"/>
      <c r="MSQ111" s="3"/>
      <c r="MSR111" s="3"/>
      <c r="MSS111" s="3"/>
      <c r="MST111" s="3"/>
      <c r="MSU111" s="3"/>
      <c r="MSV111" s="3"/>
      <c r="MSW111" s="3"/>
      <c r="MSX111" s="3"/>
      <c r="MSY111" s="3"/>
      <c r="MSZ111" s="3"/>
      <c r="MTA111" s="3"/>
      <c r="MTB111" s="3"/>
      <c r="MTC111" s="3"/>
      <c r="MTD111" s="3"/>
      <c r="MTE111" s="3"/>
      <c r="MTF111" s="3"/>
      <c r="MTG111" s="3"/>
      <c r="MTH111" s="3"/>
      <c r="MTI111" s="3"/>
      <c r="MTJ111" s="3"/>
      <c r="MTK111" s="3"/>
      <c r="MTL111" s="3"/>
      <c r="MTM111" s="3"/>
      <c r="MTN111" s="3"/>
      <c r="MTO111" s="3"/>
      <c r="MTP111" s="3"/>
      <c r="MTQ111" s="3"/>
      <c r="MTR111" s="3"/>
      <c r="MTS111" s="3"/>
      <c r="MTT111" s="3"/>
      <c r="MTU111" s="3"/>
      <c r="MTV111" s="3"/>
      <c r="MTW111" s="3"/>
      <c r="MTX111" s="3"/>
      <c r="MTY111" s="3"/>
      <c r="MTZ111" s="3"/>
      <c r="MUA111" s="3"/>
      <c r="MUB111" s="3"/>
      <c r="MUC111" s="3"/>
      <c r="MUD111" s="3"/>
      <c r="MUE111" s="3"/>
      <c r="MUF111" s="3"/>
      <c r="MUG111" s="3"/>
      <c r="MUH111" s="3"/>
      <c r="MUI111" s="3"/>
      <c r="MUJ111" s="3"/>
      <c r="MUK111" s="3"/>
      <c r="MUL111" s="3"/>
      <c r="MUM111" s="3"/>
      <c r="MUN111" s="3"/>
      <c r="MUO111" s="3"/>
      <c r="MUP111" s="3"/>
      <c r="MUQ111" s="3"/>
      <c r="MUR111" s="3"/>
      <c r="MUS111" s="3"/>
      <c r="MUT111" s="3"/>
      <c r="MUU111" s="3"/>
      <c r="MUV111" s="3"/>
      <c r="MUW111" s="3"/>
      <c r="MUX111" s="3"/>
      <c r="MUY111" s="3"/>
      <c r="MUZ111" s="3"/>
      <c r="MVA111" s="3"/>
      <c r="MVB111" s="3"/>
      <c r="MVC111" s="3"/>
      <c r="MVD111" s="3"/>
      <c r="MVE111" s="3"/>
      <c r="MVF111" s="3"/>
      <c r="MVG111" s="3"/>
      <c r="MVH111" s="3"/>
      <c r="MVI111" s="3"/>
      <c r="MVJ111" s="3"/>
      <c r="MVK111" s="3"/>
      <c r="MVL111" s="3"/>
      <c r="MVM111" s="3"/>
      <c r="MVN111" s="3"/>
      <c r="MVO111" s="3"/>
      <c r="MVP111" s="3"/>
      <c r="MVQ111" s="3"/>
      <c r="MVR111" s="3"/>
      <c r="MVS111" s="3"/>
      <c r="MVT111" s="3"/>
      <c r="MVU111" s="3"/>
      <c r="MVV111" s="3"/>
      <c r="MVW111" s="3"/>
      <c r="MVX111" s="3"/>
      <c r="MVY111" s="3"/>
      <c r="MVZ111" s="3"/>
      <c r="MWA111" s="3"/>
      <c r="MWB111" s="3"/>
      <c r="MWC111" s="3"/>
      <c r="MWD111" s="3"/>
      <c r="MWE111" s="3"/>
      <c r="MWF111" s="3"/>
      <c r="MWG111" s="3"/>
      <c r="MWH111" s="3"/>
      <c r="MWI111" s="3"/>
      <c r="MWJ111" s="3"/>
      <c r="MWK111" s="3"/>
      <c r="MWL111" s="3"/>
      <c r="MWM111" s="3"/>
      <c r="MWN111" s="3"/>
      <c r="MWO111" s="3"/>
      <c r="MWP111" s="3"/>
      <c r="MWQ111" s="3"/>
      <c r="MWR111" s="3"/>
      <c r="MWS111" s="3"/>
      <c r="MWT111" s="3"/>
      <c r="MWU111" s="3"/>
      <c r="MWV111" s="3"/>
      <c r="MWW111" s="3"/>
      <c r="MWX111" s="3"/>
      <c r="MWY111" s="3"/>
      <c r="MWZ111" s="3"/>
      <c r="MXA111" s="3"/>
      <c r="MXB111" s="3"/>
      <c r="MXC111" s="3"/>
      <c r="MXD111" s="3"/>
      <c r="MXE111" s="3"/>
      <c r="MXF111" s="3"/>
      <c r="MXG111" s="3"/>
      <c r="MXH111" s="3"/>
      <c r="MXI111" s="3"/>
      <c r="MXJ111" s="3"/>
      <c r="MXK111" s="3"/>
      <c r="MXL111" s="3"/>
      <c r="MXM111" s="3"/>
      <c r="MXN111" s="3"/>
      <c r="MXO111" s="3"/>
      <c r="MXP111" s="3"/>
      <c r="MXQ111" s="3"/>
      <c r="MXR111" s="3"/>
      <c r="MXS111" s="3"/>
      <c r="MXT111" s="3"/>
      <c r="MXU111" s="3"/>
      <c r="MXV111" s="3"/>
      <c r="MXW111" s="3"/>
      <c r="MXX111" s="3"/>
      <c r="MXY111" s="3"/>
      <c r="MXZ111" s="3"/>
      <c r="MYA111" s="3"/>
      <c r="MYB111" s="3"/>
      <c r="MYC111" s="3"/>
      <c r="MYD111" s="3"/>
      <c r="MYE111" s="3"/>
      <c r="MYF111" s="3"/>
      <c r="MYG111" s="3"/>
      <c r="MYH111" s="3"/>
      <c r="MYI111" s="3"/>
      <c r="MYJ111" s="3"/>
      <c r="MYK111" s="3"/>
      <c r="MYL111" s="3"/>
      <c r="MYM111" s="3"/>
      <c r="MYN111" s="3"/>
      <c r="MYO111" s="3"/>
      <c r="MYP111" s="3"/>
      <c r="MYQ111" s="3"/>
      <c r="MYR111" s="3"/>
      <c r="MYS111" s="3"/>
      <c r="MYT111" s="3"/>
      <c r="MYU111" s="3"/>
      <c r="MYV111" s="3"/>
      <c r="MYW111" s="3"/>
      <c r="MYX111" s="3"/>
      <c r="MYY111" s="3"/>
      <c r="MYZ111" s="3"/>
      <c r="MZA111" s="3"/>
      <c r="MZB111" s="3"/>
      <c r="MZC111" s="3"/>
      <c r="MZD111" s="3"/>
      <c r="MZE111" s="3"/>
      <c r="MZF111" s="3"/>
      <c r="MZG111" s="3"/>
      <c r="MZH111" s="3"/>
      <c r="MZI111" s="3"/>
      <c r="MZJ111" s="3"/>
      <c r="MZK111" s="3"/>
      <c r="MZL111" s="3"/>
      <c r="MZM111" s="3"/>
      <c r="MZN111" s="3"/>
      <c r="MZO111" s="3"/>
      <c r="MZP111" s="3"/>
      <c r="MZQ111" s="3"/>
      <c r="MZR111" s="3"/>
      <c r="MZS111" s="3"/>
      <c r="MZT111" s="3"/>
      <c r="MZU111" s="3"/>
      <c r="MZV111" s="3"/>
      <c r="MZW111" s="3"/>
      <c r="MZX111" s="3"/>
      <c r="MZY111" s="3"/>
      <c r="MZZ111" s="3"/>
      <c r="NAA111" s="3"/>
      <c r="NAB111" s="3"/>
      <c r="NAC111" s="3"/>
      <c r="NAD111" s="3"/>
      <c r="NAE111" s="3"/>
      <c r="NAF111" s="3"/>
      <c r="NAG111" s="3"/>
      <c r="NAH111" s="3"/>
      <c r="NAI111" s="3"/>
      <c r="NAJ111" s="3"/>
      <c r="NAK111" s="3"/>
      <c r="NAL111" s="3"/>
      <c r="NAM111" s="3"/>
      <c r="NAN111" s="3"/>
      <c r="NAO111" s="3"/>
      <c r="NAP111" s="3"/>
      <c r="NAQ111" s="3"/>
      <c r="NAR111" s="3"/>
      <c r="NAS111" s="3"/>
      <c r="NAT111" s="3"/>
      <c r="NAU111" s="3"/>
      <c r="NAV111" s="3"/>
      <c r="NAW111" s="3"/>
      <c r="NAX111" s="3"/>
      <c r="NAY111" s="3"/>
      <c r="NAZ111" s="3"/>
      <c r="NBA111" s="3"/>
      <c r="NBB111" s="3"/>
      <c r="NBC111" s="3"/>
      <c r="NBD111" s="3"/>
      <c r="NBE111" s="3"/>
      <c r="NBF111" s="3"/>
      <c r="NBG111" s="3"/>
      <c r="NBH111" s="3"/>
      <c r="NBI111" s="3"/>
      <c r="NBJ111" s="3"/>
      <c r="NBK111" s="3"/>
      <c r="NBL111" s="3"/>
      <c r="NBM111" s="3"/>
      <c r="NBN111" s="3"/>
      <c r="NBO111" s="3"/>
      <c r="NBP111" s="3"/>
      <c r="NBQ111" s="3"/>
      <c r="NBR111" s="3"/>
      <c r="NBS111" s="3"/>
      <c r="NBT111" s="3"/>
      <c r="NBU111" s="3"/>
      <c r="NBV111" s="3"/>
      <c r="NBW111" s="3"/>
      <c r="NBX111" s="3"/>
      <c r="NBY111" s="3"/>
      <c r="NBZ111" s="3"/>
      <c r="NCA111" s="3"/>
      <c r="NCB111" s="3"/>
      <c r="NCC111" s="3"/>
      <c r="NCD111" s="3"/>
      <c r="NCE111" s="3"/>
      <c r="NCF111" s="3"/>
      <c r="NCG111" s="3"/>
      <c r="NCH111" s="3"/>
      <c r="NCI111" s="3"/>
      <c r="NCJ111" s="3"/>
      <c r="NCK111" s="3"/>
      <c r="NCL111" s="3"/>
      <c r="NCM111" s="3"/>
      <c r="NCN111" s="3"/>
      <c r="NCO111" s="3"/>
      <c r="NCP111" s="3"/>
      <c r="NCQ111" s="3"/>
      <c r="NCR111" s="3"/>
      <c r="NCS111" s="3"/>
      <c r="NCT111" s="3"/>
      <c r="NCU111" s="3"/>
      <c r="NCV111" s="3"/>
      <c r="NCW111" s="3"/>
      <c r="NCX111" s="3"/>
      <c r="NCY111" s="3"/>
      <c r="NCZ111" s="3"/>
      <c r="NDA111" s="3"/>
      <c r="NDB111" s="3"/>
      <c r="NDC111" s="3"/>
      <c r="NDD111" s="3"/>
      <c r="NDE111" s="3"/>
      <c r="NDF111" s="3"/>
      <c r="NDG111" s="3"/>
      <c r="NDH111" s="3"/>
      <c r="NDI111" s="3"/>
      <c r="NDJ111" s="3"/>
      <c r="NDK111" s="3"/>
      <c r="NDL111" s="3"/>
      <c r="NDM111" s="3"/>
      <c r="NDN111" s="3"/>
      <c r="NDO111" s="3"/>
      <c r="NDP111" s="3"/>
      <c r="NDQ111" s="3"/>
      <c r="NDR111" s="3"/>
      <c r="NDS111" s="3"/>
      <c r="NDT111" s="3"/>
      <c r="NDU111" s="3"/>
      <c r="NDV111" s="3"/>
      <c r="NDW111" s="3"/>
      <c r="NDX111" s="3"/>
      <c r="NDY111" s="3"/>
      <c r="NDZ111" s="3"/>
      <c r="NEA111" s="3"/>
      <c r="NEB111" s="3"/>
      <c r="NEC111" s="3"/>
      <c r="NED111" s="3"/>
      <c r="NEE111" s="3"/>
      <c r="NEF111" s="3"/>
      <c r="NEG111" s="3"/>
      <c r="NEH111" s="3"/>
      <c r="NEI111" s="3"/>
      <c r="NEJ111" s="3"/>
      <c r="NEK111" s="3"/>
      <c r="NEL111" s="3"/>
      <c r="NEM111" s="3"/>
      <c r="NEN111" s="3"/>
      <c r="NEO111" s="3"/>
      <c r="NEP111" s="3"/>
      <c r="NEQ111" s="3"/>
      <c r="NER111" s="3"/>
      <c r="NES111" s="3"/>
      <c r="NET111" s="3"/>
      <c r="NEU111" s="3"/>
      <c r="NEV111" s="3"/>
      <c r="NEW111" s="3"/>
      <c r="NEX111" s="3"/>
      <c r="NEY111" s="3"/>
      <c r="NEZ111" s="3"/>
      <c r="NFA111" s="3"/>
      <c r="NFB111" s="3"/>
      <c r="NFC111" s="3"/>
      <c r="NFD111" s="3"/>
      <c r="NFE111" s="3"/>
      <c r="NFF111" s="3"/>
      <c r="NFG111" s="3"/>
      <c r="NFH111" s="3"/>
      <c r="NFI111" s="3"/>
      <c r="NFJ111" s="3"/>
      <c r="NFK111" s="3"/>
      <c r="NFL111" s="3"/>
      <c r="NFM111" s="3"/>
      <c r="NFN111" s="3"/>
      <c r="NFO111" s="3"/>
      <c r="NFP111" s="3"/>
      <c r="NFQ111" s="3"/>
      <c r="NFR111" s="3"/>
      <c r="NFS111" s="3"/>
      <c r="NFT111" s="3"/>
      <c r="NFU111" s="3"/>
      <c r="NFV111" s="3"/>
      <c r="NFW111" s="3"/>
      <c r="NFX111" s="3"/>
      <c r="NFY111" s="3"/>
      <c r="NFZ111" s="3"/>
      <c r="NGA111" s="3"/>
      <c r="NGB111" s="3"/>
      <c r="NGC111" s="3"/>
      <c r="NGD111" s="3"/>
      <c r="NGE111" s="3"/>
      <c r="NGF111" s="3"/>
      <c r="NGG111" s="3"/>
      <c r="NGH111" s="3"/>
      <c r="NGI111" s="3"/>
      <c r="NGJ111" s="3"/>
      <c r="NGK111" s="3"/>
      <c r="NGL111" s="3"/>
      <c r="NGM111" s="3"/>
      <c r="NGN111" s="3"/>
      <c r="NGO111" s="3"/>
      <c r="NGP111" s="3"/>
      <c r="NGQ111" s="3"/>
      <c r="NGR111" s="3"/>
      <c r="NGS111" s="3"/>
      <c r="NGT111" s="3"/>
      <c r="NGU111" s="3"/>
      <c r="NGV111" s="3"/>
      <c r="NGW111" s="3"/>
      <c r="NGX111" s="3"/>
      <c r="NGY111" s="3"/>
      <c r="NGZ111" s="3"/>
      <c r="NHA111" s="3"/>
      <c r="NHB111" s="3"/>
      <c r="NHC111" s="3"/>
      <c r="NHD111" s="3"/>
      <c r="NHE111" s="3"/>
      <c r="NHF111" s="3"/>
      <c r="NHG111" s="3"/>
      <c r="NHH111" s="3"/>
      <c r="NHI111" s="3"/>
      <c r="NHJ111" s="3"/>
      <c r="NHK111" s="3"/>
      <c r="NHL111" s="3"/>
      <c r="NHM111" s="3"/>
      <c r="NHN111" s="3"/>
      <c r="NHO111" s="3"/>
      <c r="NHP111" s="3"/>
      <c r="NHQ111" s="3"/>
      <c r="NHR111" s="3"/>
      <c r="NHS111" s="3"/>
      <c r="NHT111" s="3"/>
      <c r="NHU111" s="3"/>
      <c r="NHV111" s="3"/>
      <c r="NHW111" s="3"/>
      <c r="NHX111" s="3"/>
      <c r="NHY111" s="3"/>
      <c r="NHZ111" s="3"/>
      <c r="NIA111" s="3"/>
      <c r="NIB111" s="3"/>
      <c r="NIC111" s="3"/>
      <c r="NID111" s="3"/>
      <c r="NIE111" s="3"/>
      <c r="NIF111" s="3"/>
      <c r="NIG111" s="3"/>
      <c r="NIH111" s="3"/>
      <c r="NII111" s="3"/>
      <c r="NIJ111" s="3"/>
      <c r="NIK111" s="3"/>
      <c r="NIL111" s="3"/>
      <c r="NIM111" s="3"/>
      <c r="NIN111" s="3"/>
      <c r="NIO111" s="3"/>
      <c r="NIP111" s="3"/>
      <c r="NIQ111" s="3"/>
      <c r="NIR111" s="3"/>
      <c r="NIS111" s="3"/>
      <c r="NIT111" s="3"/>
      <c r="NIU111" s="3"/>
      <c r="NIV111" s="3"/>
      <c r="NIW111" s="3"/>
      <c r="NIX111" s="3"/>
      <c r="NIY111" s="3"/>
      <c r="NIZ111" s="3"/>
      <c r="NJA111" s="3"/>
      <c r="NJB111" s="3"/>
      <c r="NJC111" s="3"/>
      <c r="NJD111" s="3"/>
      <c r="NJE111" s="3"/>
      <c r="NJF111" s="3"/>
      <c r="NJG111" s="3"/>
      <c r="NJH111" s="3"/>
      <c r="NJI111" s="3"/>
      <c r="NJJ111" s="3"/>
      <c r="NJK111" s="3"/>
      <c r="NJL111" s="3"/>
      <c r="NJM111" s="3"/>
      <c r="NJN111" s="3"/>
      <c r="NJO111" s="3"/>
      <c r="NJP111" s="3"/>
      <c r="NJQ111" s="3"/>
      <c r="NJR111" s="3"/>
      <c r="NJS111" s="3"/>
      <c r="NJT111" s="3"/>
      <c r="NJU111" s="3"/>
      <c r="NJV111" s="3"/>
      <c r="NJW111" s="3"/>
      <c r="NJX111" s="3"/>
      <c r="NJY111" s="3"/>
      <c r="NJZ111" s="3"/>
      <c r="NKA111" s="3"/>
      <c r="NKB111" s="3"/>
      <c r="NKC111" s="3"/>
      <c r="NKD111" s="3"/>
      <c r="NKE111" s="3"/>
      <c r="NKF111" s="3"/>
      <c r="NKG111" s="3"/>
      <c r="NKH111" s="3"/>
      <c r="NKI111" s="3"/>
      <c r="NKJ111" s="3"/>
      <c r="NKK111" s="3"/>
      <c r="NKL111" s="3"/>
      <c r="NKM111" s="3"/>
      <c r="NKN111" s="3"/>
      <c r="NKO111" s="3"/>
      <c r="NKP111" s="3"/>
      <c r="NKQ111" s="3"/>
      <c r="NKR111" s="3"/>
      <c r="NKS111" s="3"/>
      <c r="NKT111" s="3"/>
      <c r="NKU111" s="3"/>
      <c r="NKV111" s="3"/>
      <c r="NKW111" s="3"/>
      <c r="NKX111" s="3"/>
      <c r="NKY111" s="3"/>
      <c r="NKZ111" s="3"/>
      <c r="NLA111" s="3"/>
      <c r="NLB111" s="3"/>
      <c r="NLC111" s="3"/>
      <c r="NLD111" s="3"/>
      <c r="NLE111" s="3"/>
      <c r="NLF111" s="3"/>
      <c r="NLG111" s="3"/>
      <c r="NLH111" s="3"/>
      <c r="NLI111" s="3"/>
      <c r="NLJ111" s="3"/>
      <c r="NLK111" s="3"/>
      <c r="NLL111" s="3"/>
      <c r="NLM111" s="3"/>
      <c r="NLN111" s="3"/>
      <c r="NLO111" s="3"/>
      <c r="NLP111" s="3"/>
      <c r="NLQ111" s="3"/>
      <c r="NLR111" s="3"/>
      <c r="NLS111" s="3"/>
      <c r="NLT111" s="3"/>
      <c r="NLU111" s="3"/>
      <c r="NLV111" s="3"/>
      <c r="NLW111" s="3"/>
      <c r="NLX111" s="3"/>
      <c r="NLY111" s="3"/>
      <c r="NLZ111" s="3"/>
      <c r="NMA111" s="3"/>
      <c r="NMB111" s="3"/>
      <c r="NMC111" s="3"/>
      <c r="NMD111" s="3"/>
      <c r="NME111" s="3"/>
      <c r="NMF111" s="3"/>
      <c r="NMG111" s="3"/>
      <c r="NMH111" s="3"/>
      <c r="NMI111" s="3"/>
      <c r="NMJ111" s="3"/>
      <c r="NMK111" s="3"/>
      <c r="NML111" s="3"/>
      <c r="NMM111" s="3"/>
      <c r="NMN111" s="3"/>
      <c r="NMO111" s="3"/>
      <c r="NMP111" s="3"/>
      <c r="NMQ111" s="3"/>
      <c r="NMR111" s="3"/>
      <c r="NMS111" s="3"/>
      <c r="NMT111" s="3"/>
      <c r="NMU111" s="3"/>
      <c r="NMV111" s="3"/>
      <c r="NMW111" s="3"/>
      <c r="NMX111" s="3"/>
      <c r="NMY111" s="3"/>
      <c r="NMZ111" s="3"/>
      <c r="NNA111" s="3"/>
      <c r="NNB111" s="3"/>
      <c r="NNC111" s="3"/>
      <c r="NND111" s="3"/>
      <c r="NNE111" s="3"/>
      <c r="NNF111" s="3"/>
      <c r="NNG111" s="3"/>
      <c r="NNH111" s="3"/>
      <c r="NNI111" s="3"/>
      <c r="NNJ111" s="3"/>
      <c r="NNK111" s="3"/>
      <c r="NNL111" s="3"/>
      <c r="NNM111" s="3"/>
      <c r="NNN111" s="3"/>
      <c r="NNO111" s="3"/>
      <c r="NNP111" s="3"/>
      <c r="NNQ111" s="3"/>
      <c r="NNR111" s="3"/>
      <c r="NNS111" s="3"/>
      <c r="NNT111" s="3"/>
      <c r="NNU111" s="3"/>
      <c r="NNV111" s="3"/>
      <c r="NNW111" s="3"/>
      <c r="NNX111" s="3"/>
      <c r="NNY111" s="3"/>
      <c r="NNZ111" s="3"/>
      <c r="NOA111" s="3"/>
      <c r="NOB111" s="3"/>
      <c r="NOC111" s="3"/>
      <c r="NOD111" s="3"/>
      <c r="NOE111" s="3"/>
      <c r="NOF111" s="3"/>
      <c r="NOG111" s="3"/>
      <c r="NOH111" s="3"/>
      <c r="NOI111" s="3"/>
      <c r="NOJ111" s="3"/>
      <c r="NOK111" s="3"/>
      <c r="NOL111" s="3"/>
      <c r="NOM111" s="3"/>
      <c r="NON111" s="3"/>
      <c r="NOO111" s="3"/>
      <c r="NOP111" s="3"/>
      <c r="NOQ111" s="3"/>
      <c r="NOR111" s="3"/>
      <c r="NOS111" s="3"/>
      <c r="NOT111" s="3"/>
      <c r="NOU111" s="3"/>
      <c r="NOV111" s="3"/>
      <c r="NOW111" s="3"/>
      <c r="NOX111" s="3"/>
      <c r="NOY111" s="3"/>
      <c r="NOZ111" s="3"/>
      <c r="NPA111" s="3"/>
      <c r="NPB111" s="3"/>
      <c r="NPC111" s="3"/>
      <c r="NPD111" s="3"/>
      <c r="NPE111" s="3"/>
      <c r="NPF111" s="3"/>
      <c r="NPG111" s="3"/>
      <c r="NPH111" s="3"/>
      <c r="NPI111" s="3"/>
      <c r="NPJ111" s="3"/>
      <c r="NPK111" s="3"/>
      <c r="NPL111" s="3"/>
      <c r="NPM111" s="3"/>
      <c r="NPN111" s="3"/>
      <c r="NPO111" s="3"/>
      <c r="NPP111" s="3"/>
      <c r="NPQ111" s="3"/>
      <c r="NPR111" s="3"/>
      <c r="NPS111" s="3"/>
      <c r="NPT111" s="3"/>
      <c r="NPU111" s="3"/>
      <c r="NPV111" s="3"/>
      <c r="NPW111" s="3"/>
      <c r="NPX111" s="3"/>
      <c r="NPY111" s="3"/>
      <c r="NPZ111" s="3"/>
      <c r="NQA111" s="3"/>
      <c r="NQB111" s="3"/>
      <c r="NQC111" s="3"/>
      <c r="NQD111" s="3"/>
      <c r="NQE111" s="3"/>
      <c r="NQF111" s="3"/>
      <c r="NQG111" s="3"/>
      <c r="NQH111" s="3"/>
      <c r="NQI111" s="3"/>
      <c r="NQJ111" s="3"/>
      <c r="NQK111" s="3"/>
      <c r="NQL111" s="3"/>
      <c r="NQM111" s="3"/>
      <c r="NQN111" s="3"/>
      <c r="NQO111" s="3"/>
      <c r="NQP111" s="3"/>
      <c r="NQQ111" s="3"/>
      <c r="NQR111" s="3"/>
      <c r="NQS111" s="3"/>
      <c r="NQT111" s="3"/>
      <c r="NQU111" s="3"/>
      <c r="NQV111" s="3"/>
      <c r="NQW111" s="3"/>
      <c r="NQX111" s="3"/>
      <c r="NQY111" s="3"/>
      <c r="NQZ111" s="3"/>
      <c r="NRA111" s="3"/>
      <c r="NRB111" s="3"/>
      <c r="NRC111" s="3"/>
      <c r="NRD111" s="3"/>
      <c r="NRE111" s="3"/>
      <c r="NRF111" s="3"/>
      <c r="NRG111" s="3"/>
      <c r="NRH111" s="3"/>
      <c r="NRI111" s="3"/>
      <c r="NRJ111" s="3"/>
      <c r="NRK111" s="3"/>
      <c r="NRL111" s="3"/>
      <c r="NRM111" s="3"/>
      <c r="NRN111" s="3"/>
      <c r="NRO111" s="3"/>
      <c r="NRP111" s="3"/>
      <c r="NRQ111" s="3"/>
      <c r="NRR111" s="3"/>
      <c r="NRS111" s="3"/>
      <c r="NRT111" s="3"/>
      <c r="NRU111" s="3"/>
      <c r="NRV111" s="3"/>
      <c r="NRW111" s="3"/>
      <c r="NRX111" s="3"/>
      <c r="NRY111" s="3"/>
      <c r="NRZ111" s="3"/>
      <c r="NSA111" s="3"/>
      <c r="NSB111" s="3"/>
      <c r="NSC111" s="3"/>
      <c r="NSD111" s="3"/>
      <c r="NSE111" s="3"/>
      <c r="NSF111" s="3"/>
      <c r="NSG111" s="3"/>
      <c r="NSH111" s="3"/>
      <c r="NSI111" s="3"/>
      <c r="NSJ111" s="3"/>
      <c r="NSK111" s="3"/>
      <c r="NSL111" s="3"/>
      <c r="NSM111" s="3"/>
      <c r="NSN111" s="3"/>
      <c r="NSO111" s="3"/>
      <c r="NSP111" s="3"/>
      <c r="NSQ111" s="3"/>
      <c r="NSR111" s="3"/>
      <c r="NSS111" s="3"/>
      <c r="NST111" s="3"/>
      <c r="NSU111" s="3"/>
      <c r="NSV111" s="3"/>
      <c r="NSW111" s="3"/>
      <c r="NSX111" s="3"/>
      <c r="NSY111" s="3"/>
      <c r="NSZ111" s="3"/>
      <c r="NTA111" s="3"/>
      <c r="NTB111" s="3"/>
      <c r="NTC111" s="3"/>
      <c r="NTD111" s="3"/>
      <c r="NTE111" s="3"/>
      <c r="NTF111" s="3"/>
      <c r="NTG111" s="3"/>
      <c r="NTH111" s="3"/>
      <c r="NTI111" s="3"/>
      <c r="NTJ111" s="3"/>
      <c r="NTK111" s="3"/>
      <c r="NTL111" s="3"/>
      <c r="NTM111" s="3"/>
      <c r="NTN111" s="3"/>
      <c r="NTO111" s="3"/>
      <c r="NTP111" s="3"/>
      <c r="NTQ111" s="3"/>
      <c r="NTR111" s="3"/>
      <c r="NTS111" s="3"/>
      <c r="NTT111" s="3"/>
      <c r="NTU111" s="3"/>
      <c r="NTV111" s="3"/>
      <c r="NTW111" s="3"/>
      <c r="NTX111" s="3"/>
      <c r="NTY111" s="3"/>
      <c r="NTZ111" s="3"/>
      <c r="NUA111" s="3"/>
      <c r="NUB111" s="3"/>
      <c r="NUC111" s="3"/>
      <c r="NUD111" s="3"/>
      <c r="NUE111" s="3"/>
      <c r="NUF111" s="3"/>
      <c r="NUG111" s="3"/>
      <c r="NUH111" s="3"/>
      <c r="NUI111" s="3"/>
      <c r="NUJ111" s="3"/>
      <c r="NUK111" s="3"/>
      <c r="NUL111" s="3"/>
      <c r="NUM111" s="3"/>
      <c r="NUN111" s="3"/>
      <c r="NUO111" s="3"/>
      <c r="NUP111" s="3"/>
      <c r="NUQ111" s="3"/>
      <c r="NUR111" s="3"/>
      <c r="NUS111" s="3"/>
      <c r="NUT111" s="3"/>
      <c r="NUU111" s="3"/>
      <c r="NUV111" s="3"/>
      <c r="NUW111" s="3"/>
      <c r="NUX111" s="3"/>
      <c r="NUY111" s="3"/>
      <c r="NUZ111" s="3"/>
      <c r="NVA111" s="3"/>
      <c r="NVB111" s="3"/>
      <c r="NVC111" s="3"/>
      <c r="NVD111" s="3"/>
      <c r="NVE111" s="3"/>
      <c r="NVF111" s="3"/>
      <c r="NVG111" s="3"/>
      <c r="NVH111" s="3"/>
      <c r="NVI111" s="3"/>
      <c r="NVJ111" s="3"/>
      <c r="NVK111" s="3"/>
      <c r="NVL111" s="3"/>
      <c r="NVM111" s="3"/>
      <c r="NVN111" s="3"/>
      <c r="NVO111" s="3"/>
      <c r="NVP111" s="3"/>
      <c r="NVQ111" s="3"/>
      <c r="NVR111" s="3"/>
      <c r="NVS111" s="3"/>
      <c r="NVT111" s="3"/>
      <c r="NVU111" s="3"/>
      <c r="NVV111" s="3"/>
      <c r="NVW111" s="3"/>
      <c r="NVX111" s="3"/>
      <c r="NVY111" s="3"/>
      <c r="NVZ111" s="3"/>
      <c r="NWA111" s="3"/>
      <c r="NWB111" s="3"/>
      <c r="NWC111" s="3"/>
      <c r="NWD111" s="3"/>
      <c r="NWE111" s="3"/>
      <c r="NWF111" s="3"/>
      <c r="NWG111" s="3"/>
      <c r="NWH111" s="3"/>
      <c r="NWI111" s="3"/>
      <c r="NWJ111" s="3"/>
      <c r="NWK111" s="3"/>
      <c r="NWL111" s="3"/>
      <c r="NWM111" s="3"/>
      <c r="NWN111" s="3"/>
      <c r="NWO111" s="3"/>
      <c r="NWP111" s="3"/>
      <c r="NWQ111" s="3"/>
      <c r="NWR111" s="3"/>
      <c r="NWS111" s="3"/>
      <c r="NWT111" s="3"/>
      <c r="NWU111" s="3"/>
      <c r="NWV111" s="3"/>
      <c r="NWW111" s="3"/>
      <c r="NWX111" s="3"/>
      <c r="NWY111" s="3"/>
      <c r="NWZ111" s="3"/>
      <c r="NXA111" s="3"/>
      <c r="NXB111" s="3"/>
      <c r="NXC111" s="3"/>
      <c r="NXD111" s="3"/>
      <c r="NXE111" s="3"/>
      <c r="NXF111" s="3"/>
      <c r="NXG111" s="3"/>
      <c r="NXH111" s="3"/>
      <c r="NXI111" s="3"/>
      <c r="NXJ111" s="3"/>
      <c r="NXK111" s="3"/>
      <c r="NXL111" s="3"/>
      <c r="NXM111" s="3"/>
      <c r="NXN111" s="3"/>
      <c r="NXO111" s="3"/>
      <c r="NXP111" s="3"/>
      <c r="NXQ111" s="3"/>
      <c r="NXR111" s="3"/>
      <c r="NXS111" s="3"/>
      <c r="NXT111" s="3"/>
      <c r="NXU111" s="3"/>
      <c r="NXV111" s="3"/>
      <c r="NXW111" s="3"/>
      <c r="NXX111" s="3"/>
      <c r="NXY111" s="3"/>
      <c r="NXZ111" s="3"/>
      <c r="NYA111" s="3"/>
      <c r="NYB111" s="3"/>
      <c r="NYC111" s="3"/>
      <c r="NYD111" s="3"/>
      <c r="NYE111" s="3"/>
      <c r="NYF111" s="3"/>
      <c r="NYG111" s="3"/>
      <c r="NYH111" s="3"/>
      <c r="NYI111" s="3"/>
      <c r="NYJ111" s="3"/>
      <c r="NYK111" s="3"/>
      <c r="NYL111" s="3"/>
      <c r="NYM111" s="3"/>
      <c r="NYN111" s="3"/>
      <c r="NYO111" s="3"/>
      <c r="NYP111" s="3"/>
      <c r="NYQ111" s="3"/>
      <c r="NYR111" s="3"/>
      <c r="NYS111" s="3"/>
      <c r="NYT111" s="3"/>
      <c r="NYU111" s="3"/>
      <c r="NYV111" s="3"/>
      <c r="NYW111" s="3"/>
      <c r="NYX111" s="3"/>
      <c r="NYY111" s="3"/>
      <c r="NYZ111" s="3"/>
      <c r="NZA111" s="3"/>
      <c r="NZB111" s="3"/>
      <c r="NZC111" s="3"/>
      <c r="NZD111" s="3"/>
      <c r="NZE111" s="3"/>
      <c r="NZF111" s="3"/>
      <c r="NZG111" s="3"/>
      <c r="NZH111" s="3"/>
      <c r="NZI111" s="3"/>
      <c r="NZJ111" s="3"/>
      <c r="NZK111" s="3"/>
      <c r="NZL111" s="3"/>
      <c r="NZM111" s="3"/>
      <c r="NZN111" s="3"/>
      <c r="NZO111" s="3"/>
      <c r="NZP111" s="3"/>
      <c r="NZQ111" s="3"/>
      <c r="NZR111" s="3"/>
      <c r="NZS111" s="3"/>
      <c r="NZT111" s="3"/>
      <c r="NZU111" s="3"/>
      <c r="NZV111" s="3"/>
      <c r="NZW111" s="3"/>
      <c r="NZX111" s="3"/>
      <c r="NZY111" s="3"/>
      <c r="NZZ111" s="3"/>
      <c r="OAA111" s="3"/>
      <c r="OAB111" s="3"/>
      <c r="OAC111" s="3"/>
      <c r="OAD111" s="3"/>
      <c r="OAE111" s="3"/>
      <c r="OAF111" s="3"/>
      <c r="OAG111" s="3"/>
      <c r="OAH111" s="3"/>
      <c r="OAI111" s="3"/>
      <c r="OAJ111" s="3"/>
      <c r="OAK111" s="3"/>
      <c r="OAL111" s="3"/>
      <c r="OAM111" s="3"/>
      <c r="OAN111" s="3"/>
      <c r="OAO111" s="3"/>
      <c r="OAP111" s="3"/>
      <c r="OAQ111" s="3"/>
      <c r="OAR111" s="3"/>
      <c r="OAS111" s="3"/>
      <c r="OAT111" s="3"/>
      <c r="OAU111" s="3"/>
      <c r="OAV111" s="3"/>
      <c r="OAW111" s="3"/>
      <c r="OAX111" s="3"/>
      <c r="OAY111" s="3"/>
      <c r="OAZ111" s="3"/>
      <c r="OBA111" s="3"/>
      <c r="OBB111" s="3"/>
      <c r="OBC111" s="3"/>
      <c r="OBD111" s="3"/>
      <c r="OBE111" s="3"/>
      <c r="OBF111" s="3"/>
      <c r="OBG111" s="3"/>
      <c r="OBH111" s="3"/>
      <c r="OBI111" s="3"/>
      <c r="OBJ111" s="3"/>
      <c r="OBK111" s="3"/>
      <c r="OBL111" s="3"/>
      <c r="OBM111" s="3"/>
      <c r="OBN111" s="3"/>
      <c r="OBO111" s="3"/>
      <c r="OBP111" s="3"/>
      <c r="OBQ111" s="3"/>
      <c r="OBR111" s="3"/>
      <c r="OBS111" s="3"/>
      <c r="OBT111" s="3"/>
      <c r="OBU111" s="3"/>
      <c r="OBV111" s="3"/>
      <c r="OBW111" s="3"/>
      <c r="OBX111" s="3"/>
      <c r="OBY111" s="3"/>
      <c r="OBZ111" s="3"/>
      <c r="OCA111" s="3"/>
      <c r="OCB111" s="3"/>
      <c r="OCC111" s="3"/>
      <c r="OCD111" s="3"/>
      <c r="OCE111" s="3"/>
      <c r="OCF111" s="3"/>
      <c r="OCG111" s="3"/>
      <c r="OCH111" s="3"/>
      <c r="OCI111" s="3"/>
      <c r="OCJ111" s="3"/>
      <c r="OCK111" s="3"/>
      <c r="OCL111" s="3"/>
      <c r="OCM111" s="3"/>
      <c r="OCN111" s="3"/>
      <c r="OCO111" s="3"/>
      <c r="OCP111" s="3"/>
      <c r="OCQ111" s="3"/>
      <c r="OCR111" s="3"/>
      <c r="OCS111" s="3"/>
      <c r="OCT111" s="3"/>
      <c r="OCU111" s="3"/>
      <c r="OCV111" s="3"/>
      <c r="OCW111" s="3"/>
      <c r="OCX111" s="3"/>
      <c r="OCY111" s="3"/>
      <c r="OCZ111" s="3"/>
      <c r="ODA111" s="3"/>
      <c r="ODB111" s="3"/>
      <c r="ODC111" s="3"/>
      <c r="ODD111" s="3"/>
      <c r="ODE111" s="3"/>
      <c r="ODF111" s="3"/>
      <c r="ODG111" s="3"/>
      <c r="ODH111" s="3"/>
      <c r="ODI111" s="3"/>
      <c r="ODJ111" s="3"/>
      <c r="ODK111" s="3"/>
      <c r="ODL111" s="3"/>
      <c r="ODM111" s="3"/>
      <c r="ODN111" s="3"/>
      <c r="ODO111" s="3"/>
      <c r="ODP111" s="3"/>
      <c r="ODQ111" s="3"/>
      <c r="ODR111" s="3"/>
      <c r="ODS111" s="3"/>
      <c r="ODT111" s="3"/>
      <c r="ODU111" s="3"/>
      <c r="ODV111" s="3"/>
      <c r="ODW111" s="3"/>
      <c r="ODX111" s="3"/>
      <c r="ODY111" s="3"/>
      <c r="ODZ111" s="3"/>
      <c r="OEA111" s="3"/>
      <c r="OEB111" s="3"/>
      <c r="OEC111" s="3"/>
      <c r="OED111" s="3"/>
      <c r="OEE111" s="3"/>
      <c r="OEF111" s="3"/>
      <c r="OEG111" s="3"/>
      <c r="OEH111" s="3"/>
      <c r="OEI111" s="3"/>
      <c r="OEJ111" s="3"/>
      <c r="OEK111" s="3"/>
      <c r="OEL111" s="3"/>
      <c r="OEM111" s="3"/>
      <c r="OEN111" s="3"/>
      <c r="OEO111" s="3"/>
      <c r="OEP111" s="3"/>
      <c r="OEQ111" s="3"/>
      <c r="OER111" s="3"/>
      <c r="OES111" s="3"/>
      <c r="OET111" s="3"/>
      <c r="OEU111" s="3"/>
      <c r="OEV111" s="3"/>
      <c r="OEW111" s="3"/>
      <c r="OEX111" s="3"/>
      <c r="OEY111" s="3"/>
      <c r="OEZ111" s="3"/>
      <c r="OFA111" s="3"/>
      <c r="OFB111" s="3"/>
      <c r="OFC111" s="3"/>
      <c r="OFD111" s="3"/>
      <c r="OFE111" s="3"/>
      <c r="OFF111" s="3"/>
      <c r="OFG111" s="3"/>
      <c r="OFH111" s="3"/>
      <c r="OFI111" s="3"/>
      <c r="OFJ111" s="3"/>
      <c r="OFK111" s="3"/>
      <c r="OFL111" s="3"/>
      <c r="OFM111" s="3"/>
      <c r="OFN111" s="3"/>
      <c r="OFO111" s="3"/>
      <c r="OFP111" s="3"/>
      <c r="OFQ111" s="3"/>
      <c r="OFR111" s="3"/>
      <c r="OFS111" s="3"/>
      <c r="OFT111" s="3"/>
      <c r="OFU111" s="3"/>
      <c r="OFV111" s="3"/>
      <c r="OFW111" s="3"/>
      <c r="OFX111" s="3"/>
      <c r="OFY111" s="3"/>
      <c r="OFZ111" s="3"/>
      <c r="OGA111" s="3"/>
      <c r="OGB111" s="3"/>
      <c r="OGC111" s="3"/>
      <c r="OGD111" s="3"/>
      <c r="OGE111" s="3"/>
      <c r="OGF111" s="3"/>
      <c r="OGG111" s="3"/>
      <c r="OGH111" s="3"/>
      <c r="OGI111" s="3"/>
      <c r="OGJ111" s="3"/>
      <c r="OGK111" s="3"/>
      <c r="OGL111" s="3"/>
      <c r="OGM111" s="3"/>
      <c r="OGN111" s="3"/>
      <c r="OGO111" s="3"/>
      <c r="OGP111" s="3"/>
      <c r="OGQ111" s="3"/>
      <c r="OGR111" s="3"/>
      <c r="OGS111" s="3"/>
      <c r="OGT111" s="3"/>
      <c r="OGU111" s="3"/>
      <c r="OGV111" s="3"/>
      <c r="OGW111" s="3"/>
      <c r="OGX111" s="3"/>
      <c r="OGY111" s="3"/>
      <c r="OGZ111" s="3"/>
      <c r="OHA111" s="3"/>
      <c r="OHB111" s="3"/>
      <c r="OHC111" s="3"/>
      <c r="OHD111" s="3"/>
      <c r="OHE111" s="3"/>
      <c r="OHF111" s="3"/>
      <c r="OHG111" s="3"/>
      <c r="OHH111" s="3"/>
      <c r="OHI111" s="3"/>
      <c r="OHJ111" s="3"/>
      <c r="OHK111" s="3"/>
      <c r="OHL111" s="3"/>
      <c r="OHM111" s="3"/>
      <c r="OHN111" s="3"/>
      <c r="OHO111" s="3"/>
      <c r="OHP111" s="3"/>
      <c r="OHQ111" s="3"/>
      <c r="OHR111" s="3"/>
      <c r="OHS111" s="3"/>
      <c r="OHT111" s="3"/>
      <c r="OHU111" s="3"/>
      <c r="OHV111" s="3"/>
      <c r="OHW111" s="3"/>
      <c r="OHX111" s="3"/>
      <c r="OHY111" s="3"/>
      <c r="OHZ111" s="3"/>
      <c r="OIA111" s="3"/>
      <c r="OIB111" s="3"/>
      <c r="OIC111" s="3"/>
      <c r="OID111" s="3"/>
      <c r="OIE111" s="3"/>
      <c r="OIF111" s="3"/>
      <c r="OIG111" s="3"/>
      <c r="OIH111" s="3"/>
      <c r="OII111" s="3"/>
      <c r="OIJ111" s="3"/>
      <c r="OIK111" s="3"/>
      <c r="OIL111" s="3"/>
      <c r="OIM111" s="3"/>
      <c r="OIN111" s="3"/>
      <c r="OIO111" s="3"/>
      <c r="OIP111" s="3"/>
      <c r="OIQ111" s="3"/>
      <c r="OIR111" s="3"/>
      <c r="OIS111" s="3"/>
      <c r="OIT111" s="3"/>
      <c r="OIU111" s="3"/>
      <c r="OIV111" s="3"/>
      <c r="OIW111" s="3"/>
      <c r="OIX111" s="3"/>
      <c r="OIY111" s="3"/>
      <c r="OIZ111" s="3"/>
      <c r="OJA111" s="3"/>
      <c r="OJB111" s="3"/>
      <c r="OJC111" s="3"/>
      <c r="OJD111" s="3"/>
      <c r="OJE111" s="3"/>
      <c r="OJF111" s="3"/>
      <c r="OJG111" s="3"/>
      <c r="OJH111" s="3"/>
      <c r="OJI111" s="3"/>
      <c r="OJJ111" s="3"/>
      <c r="OJK111" s="3"/>
      <c r="OJL111" s="3"/>
      <c r="OJM111" s="3"/>
      <c r="OJN111" s="3"/>
      <c r="OJO111" s="3"/>
      <c r="OJP111" s="3"/>
      <c r="OJQ111" s="3"/>
      <c r="OJR111" s="3"/>
      <c r="OJS111" s="3"/>
      <c r="OJT111" s="3"/>
      <c r="OJU111" s="3"/>
      <c r="OJV111" s="3"/>
      <c r="OJW111" s="3"/>
      <c r="OJX111" s="3"/>
      <c r="OJY111" s="3"/>
      <c r="OJZ111" s="3"/>
      <c r="OKA111" s="3"/>
      <c r="OKB111" s="3"/>
      <c r="OKC111" s="3"/>
      <c r="OKD111" s="3"/>
      <c r="OKE111" s="3"/>
      <c r="OKF111" s="3"/>
      <c r="OKG111" s="3"/>
      <c r="OKH111" s="3"/>
      <c r="OKI111" s="3"/>
      <c r="OKJ111" s="3"/>
      <c r="OKK111" s="3"/>
      <c r="OKL111" s="3"/>
      <c r="OKM111" s="3"/>
      <c r="OKN111" s="3"/>
      <c r="OKO111" s="3"/>
      <c r="OKP111" s="3"/>
      <c r="OKQ111" s="3"/>
      <c r="OKR111" s="3"/>
      <c r="OKS111" s="3"/>
      <c r="OKT111" s="3"/>
      <c r="OKU111" s="3"/>
      <c r="OKV111" s="3"/>
      <c r="OKW111" s="3"/>
      <c r="OKX111" s="3"/>
      <c r="OKY111" s="3"/>
      <c r="OKZ111" s="3"/>
      <c r="OLA111" s="3"/>
      <c r="OLB111" s="3"/>
      <c r="OLC111" s="3"/>
      <c r="OLD111" s="3"/>
      <c r="OLE111" s="3"/>
      <c r="OLF111" s="3"/>
      <c r="OLG111" s="3"/>
      <c r="OLH111" s="3"/>
      <c r="OLI111" s="3"/>
      <c r="OLJ111" s="3"/>
      <c r="OLK111" s="3"/>
      <c r="OLL111" s="3"/>
      <c r="OLM111" s="3"/>
      <c r="OLN111" s="3"/>
      <c r="OLO111" s="3"/>
      <c r="OLP111" s="3"/>
      <c r="OLQ111" s="3"/>
      <c r="OLR111" s="3"/>
      <c r="OLS111" s="3"/>
      <c r="OLT111" s="3"/>
      <c r="OLU111" s="3"/>
      <c r="OLV111" s="3"/>
      <c r="OLW111" s="3"/>
      <c r="OLX111" s="3"/>
      <c r="OLY111" s="3"/>
      <c r="OLZ111" s="3"/>
      <c r="OMA111" s="3"/>
      <c r="OMB111" s="3"/>
      <c r="OMC111" s="3"/>
      <c r="OMD111" s="3"/>
      <c r="OME111" s="3"/>
      <c r="OMF111" s="3"/>
      <c r="OMG111" s="3"/>
      <c r="OMH111" s="3"/>
      <c r="OMI111" s="3"/>
      <c r="OMJ111" s="3"/>
      <c r="OMK111" s="3"/>
      <c r="OML111" s="3"/>
      <c r="OMM111" s="3"/>
      <c r="OMN111" s="3"/>
      <c r="OMO111" s="3"/>
      <c r="OMP111" s="3"/>
      <c r="OMQ111" s="3"/>
      <c r="OMR111" s="3"/>
      <c r="OMS111" s="3"/>
      <c r="OMT111" s="3"/>
      <c r="OMU111" s="3"/>
      <c r="OMV111" s="3"/>
      <c r="OMW111" s="3"/>
      <c r="OMX111" s="3"/>
      <c r="OMY111" s="3"/>
      <c r="OMZ111" s="3"/>
      <c r="ONA111" s="3"/>
      <c r="ONB111" s="3"/>
      <c r="ONC111" s="3"/>
      <c r="OND111" s="3"/>
      <c r="ONE111" s="3"/>
      <c r="ONF111" s="3"/>
      <c r="ONG111" s="3"/>
      <c r="ONH111" s="3"/>
      <c r="ONI111" s="3"/>
      <c r="ONJ111" s="3"/>
      <c r="ONK111" s="3"/>
      <c r="ONL111" s="3"/>
      <c r="ONM111" s="3"/>
      <c r="ONN111" s="3"/>
      <c r="ONO111" s="3"/>
      <c r="ONP111" s="3"/>
      <c r="ONQ111" s="3"/>
      <c r="ONR111" s="3"/>
      <c r="ONS111" s="3"/>
      <c r="ONT111" s="3"/>
      <c r="ONU111" s="3"/>
      <c r="ONV111" s="3"/>
      <c r="ONW111" s="3"/>
      <c r="ONX111" s="3"/>
      <c r="ONY111" s="3"/>
      <c r="ONZ111" s="3"/>
      <c r="OOA111" s="3"/>
      <c r="OOB111" s="3"/>
      <c r="OOC111" s="3"/>
      <c r="OOD111" s="3"/>
      <c r="OOE111" s="3"/>
      <c r="OOF111" s="3"/>
      <c r="OOG111" s="3"/>
      <c r="OOH111" s="3"/>
      <c r="OOI111" s="3"/>
      <c r="OOJ111" s="3"/>
      <c r="OOK111" s="3"/>
      <c r="OOL111" s="3"/>
      <c r="OOM111" s="3"/>
      <c r="OON111" s="3"/>
      <c r="OOO111" s="3"/>
      <c r="OOP111" s="3"/>
      <c r="OOQ111" s="3"/>
      <c r="OOR111" s="3"/>
      <c r="OOS111" s="3"/>
      <c r="OOT111" s="3"/>
      <c r="OOU111" s="3"/>
      <c r="OOV111" s="3"/>
      <c r="OOW111" s="3"/>
      <c r="OOX111" s="3"/>
      <c r="OOY111" s="3"/>
      <c r="OOZ111" s="3"/>
      <c r="OPA111" s="3"/>
      <c r="OPB111" s="3"/>
      <c r="OPC111" s="3"/>
      <c r="OPD111" s="3"/>
      <c r="OPE111" s="3"/>
      <c r="OPF111" s="3"/>
      <c r="OPG111" s="3"/>
      <c r="OPH111" s="3"/>
      <c r="OPI111" s="3"/>
      <c r="OPJ111" s="3"/>
      <c r="OPK111" s="3"/>
      <c r="OPL111" s="3"/>
      <c r="OPM111" s="3"/>
      <c r="OPN111" s="3"/>
      <c r="OPO111" s="3"/>
      <c r="OPP111" s="3"/>
      <c r="OPQ111" s="3"/>
      <c r="OPR111" s="3"/>
      <c r="OPS111" s="3"/>
      <c r="OPT111" s="3"/>
      <c r="OPU111" s="3"/>
      <c r="OPV111" s="3"/>
      <c r="OPW111" s="3"/>
      <c r="OPX111" s="3"/>
      <c r="OPY111" s="3"/>
      <c r="OPZ111" s="3"/>
      <c r="OQA111" s="3"/>
      <c r="OQB111" s="3"/>
      <c r="OQC111" s="3"/>
      <c r="OQD111" s="3"/>
      <c r="OQE111" s="3"/>
      <c r="OQF111" s="3"/>
      <c r="OQG111" s="3"/>
      <c r="OQH111" s="3"/>
      <c r="OQI111" s="3"/>
      <c r="OQJ111" s="3"/>
      <c r="OQK111" s="3"/>
      <c r="OQL111" s="3"/>
      <c r="OQM111" s="3"/>
      <c r="OQN111" s="3"/>
      <c r="OQO111" s="3"/>
      <c r="OQP111" s="3"/>
      <c r="OQQ111" s="3"/>
      <c r="OQR111" s="3"/>
      <c r="OQS111" s="3"/>
      <c r="OQT111" s="3"/>
      <c r="OQU111" s="3"/>
      <c r="OQV111" s="3"/>
      <c r="OQW111" s="3"/>
      <c r="OQX111" s="3"/>
      <c r="OQY111" s="3"/>
      <c r="OQZ111" s="3"/>
      <c r="ORA111" s="3"/>
      <c r="ORB111" s="3"/>
      <c r="ORC111" s="3"/>
      <c r="ORD111" s="3"/>
      <c r="ORE111" s="3"/>
      <c r="ORF111" s="3"/>
      <c r="ORG111" s="3"/>
      <c r="ORH111" s="3"/>
      <c r="ORI111" s="3"/>
      <c r="ORJ111" s="3"/>
      <c r="ORK111" s="3"/>
      <c r="ORL111" s="3"/>
      <c r="ORM111" s="3"/>
      <c r="ORN111" s="3"/>
      <c r="ORO111" s="3"/>
      <c r="ORP111" s="3"/>
      <c r="ORQ111" s="3"/>
      <c r="ORR111" s="3"/>
      <c r="ORS111" s="3"/>
      <c r="ORT111" s="3"/>
      <c r="ORU111" s="3"/>
      <c r="ORV111" s="3"/>
      <c r="ORW111" s="3"/>
      <c r="ORX111" s="3"/>
      <c r="ORY111" s="3"/>
      <c r="ORZ111" s="3"/>
      <c r="OSA111" s="3"/>
      <c r="OSB111" s="3"/>
      <c r="OSC111" s="3"/>
      <c r="OSD111" s="3"/>
      <c r="OSE111" s="3"/>
      <c r="OSF111" s="3"/>
      <c r="OSG111" s="3"/>
      <c r="OSH111" s="3"/>
      <c r="OSI111" s="3"/>
      <c r="OSJ111" s="3"/>
      <c r="OSK111" s="3"/>
      <c r="OSL111" s="3"/>
      <c r="OSM111" s="3"/>
      <c r="OSN111" s="3"/>
      <c r="OSO111" s="3"/>
      <c r="OSP111" s="3"/>
      <c r="OSQ111" s="3"/>
      <c r="OSR111" s="3"/>
      <c r="OSS111" s="3"/>
      <c r="OST111" s="3"/>
      <c r="OSU111" s="3"/>
      <c r="OSV111" s="3"/>
      <c r="OSW111" s="3"/>
      <c r="OSX111" s="3"/>
      <c r="OSY111" s="3"/>
      <c r="OSZ111" s="3"/>
      <c r="OTA111" s="3"/>
      <c r="OTB111" s="3"/>
      <c r="OTC111" s="3"/>
      <c r="OTD111" s="3"/>
      <c r="OTE111" s="3"/>
      <c r="OTF111" s="3"/>
      <c r="OTG111" s="3"/>
      <c r="OTH111" s="3"/>
      <c r="OTI111" s="3"/>
      <c r="OTJ111" s="3"/>
      <c r="OTK111" s="3"/>
      <c r="OTL111" s="3"/>
      <c r="OTM111" s="3"/>
      <c r="OTN111" s="3"/>
      <c r="OTO111" s="3"/>
      <c r="OTP111" s="3"/>
      <c r="OTQ111" s="3"/>
      <c r="OTR111" s="3"/>
      <c r="OTS111" s="3"/>
      <c r="OTT111" s="3"/>
      <c r="OTU111" s="3"/>
      <c r="OTV111" s="3"/>
      <c r="OTW111" s="3"/>
      <c r="OTX111" s="3"/>
      <c r="OTY111" s="3"/>
      <c r="OTZ111" s="3"/>
      <c r="OUA111" s="3"/>
      <c r="OUB111" s="3"/>
      <c r="OUC111" s="3"/>
      <c r="OUD111" s="3"/>
      <c r="OUE111" s="3"/>
      <c r="OUF111" s="3"/>
      <c r="OUG111" s="3"/>
      <c r="OUH111" s="3"/>
      <c r="OUI111" s="3"/>
      <c r="OUJ111" s="3"/>
      <c r="OUK111" s="3"/>
      <c r="OUL111" s="3"/>
      <c r="OUM111" s="3"/>
      <c r="OUN111" s="3"/>
      <c r="OUO111" s="3"/>
      <c r="OUP111" s="3"/>
      <c r="OUQ111" s="3"/>
      <c r="OUR111" s="3"/>
      <c r="OUS111" s="3"/>
      <c r="OUT111" s="3"/>
      <c r="OUU111" s="3"/>
      <c r="OUV111" s="3"/>
      <c r="OUW111" s="3"/>
      <c r="OUX111" s="3"/>
      <c r="OUY111" s="3"/>
      <c r="OUZ111" s="3"/>
      <c r="OVA111" s="3"/>
      <c r="OVB111" s="3"/>
      <c r="OVC111" s="3"/>
      <c r="OVD111" s="3"/>
      <c r="OVE111" s="3"/>
      <c r="OVF111" s="3"/>
      <c r="OVG111" s="3"/>
      <c r="OVH111" s="3"/>
      <c r="OVI111" s="3"/>
      <c r="OVJ111" s="3"/>
      <c r="OVK111" s="3"/>
      <c r="OVL111" s="3"/>
      <c r="OVM111" s="3"/>
      <c r="OVN111" s="3"/>
      <c r="OVO111" s="3"/>
      <c r="OVP111" s="3"/>
      <c r="OVQ111" s="3"/>
      <c r="OVR111" s="3"/>
      <c r="OVS111" s="3"/>
      <c r="OVT111" s="3"/>
      <c r="OVU111" s="3"/>
      <c r="OVV111" s="3"/>
      <c r="OVW111" s="3"/>
      <c r="OVX111" s="3"/>
      <c r="OVY111" s="3"/>
      <c r="OVZ111" s="3"/>
      <c r="OWA111" s="3"/>
      <c r="OWB111" s="3"/>
      <c r="OWC111" s="3"/>
      <c r="OWD111" s="3"/>
      <c r="OWE111" s="3"/>
      <c r="OWF111" s="3"/>
      <c r="OWG111" s="3"/>
      <c r="OWH111" s="3"/>
      <c r="OWI111" s="3"/>
      <c r="OWJ111" s="3"/>
      <c r="OWK111" s="3"/>
      <c r="OWL111" s="3"/>
      <c r="OWM111" s="3"/>
      <c r="OWN111" s="3"/>
      <c r="OWO111" s="3"/>
      <c r="OWP111" s="3"/>
      <c r="OWQ111" s="3"/>
      <c r="OWR111" s="3"/>
      <c r="OWS111" s="3"/>
      <c r="OWT111" s="3"/>
      <c r="OWU111" s="3"/>
      <c r="OWV111" s="3"/>
      <c r="OWW111" s="3"/>
      <c r="OWX111" s="3"/>
      <c r="OWY111" s="3"/>
      <c r="OWZ111" s="3"/>
      <c r="OXA111" s="3"/>
      <c r="OXB111" s="3"/>
      <c r="OXC111" s="3"/>
      <c r="OXD111" s="3"/>
      <c r="OXE111" s="3"/>
      <c r="OXF111" s="3"/>
      <c r="OXG111" s="3"/>
      <c r="OXH111" s="3"/>
      <c r="OXI111" s="3"/>
      <c r="OXJ111" s="3"/>
      <c r="OXK111" s="3"/>
      <c r="OXL111" s="3"/>
      <c r="OXM111" s="3"/>
      <c r="OXN111" s="3"/>
      <c r="OXO111" s="3"/>
      <c r="OXP111" s="3"/>
      <c r="OXQ111" s="3"/>
      <c r="OXR111" s="3"/>
      <c r="OXS111" s="3"/>
      <c r="OXT111" s="3"/>
      <c r="OXU111" s="3"/>
      <c r="OXV111" s="3"/>
      <c r="OXW111" s="3"/>
      <c r="OXX111" s="3"/>
      <c r="OXY111" s="3"/>
      <c r="OXZ111" s="3"/>
      <c r="OYA111" s="3"/>
      <c r="OYB111" s="3"/>
      <c r="OYC111" s="3"/>
      <c r="OYD111" s="3"/>
      <c r="OYE111" s="3"/>
      <c r="OYF111" s="3"/>
      <c r="OYG111" s="3"/>
      <c r="OYH111" s="3"/>
      <c r="OYI111" s="3"/>
      <c r="OYJ111" s="3"/>
      <c r="OYK111" s="3"/>
      <c r="OYL111" s="3"/>
      <c r="OYM111" s="3"/>
      <c r="OYN111" s="3"/>
      <c r="OYO111" s="3"/>
      <c r="OYP111" s="3"/>
      <c r="OYQ111" s="3"/>
      <c r="OYR111" s="3"/>
      <c r="OYS111" s="3"/>
      <c r="OYT111" s="3"/>
      <c r="OYU111" s="3"/>
      <c r="OYV111" s="3"/>
      <c r="OYW111" s="3"/>
      <c r="OYX111" s="3"/>
      <c r="OYY111" s="3"/>
      <c r="OYZ111" s="3"/>
      <c r="OZA111" s="3"/>
      <c r="OZB111" s="3"/>
      <c r="OZC111" s="3"/>
      <c r="OZD111" s="3"/>
      <c r="OZE111" s="3"/>
      <c r="OZF111" s="3"/>
      <c r="OZG111" s="3"/>
      <c r="OZH111" s="3"/>
      <c r="OZI111" s="3"/>
      <c r="OZJ111" s="3"/>
      <c r="OZK111" s="3"/>
      <c r="OZL111" s="3"/>
      <c r="OZM111" s="3"/>
      <c r="OZN111" s="3"/>
      <c r="OZO111" s="3"/>
      <c r="OZP111" s="3"/>
      <c r="OZQ111" s="3"/>
      <c r="OZR111" s="3"/>
      <c r="OZS111" s="3"/>
      <c r="OZT111" s="3"/>
      <c r="OZU111" s="3"/>
      <c r="OZV111" s="3"/>
      <c r="OZW111" s="3"/>
      <c r="OZX111" s="3"/>
      <c r="OZY111" s="3"/>
      <c r="OZZ111" s="3"/>
      <c r="PAA111" s="3"/>
      <c r="PAB111" s="3"/>
      <c r="PAC111" s="3"/>
      <c r="PAD111" s="3"/>
      <c r="PAE111" s="3"/>
      <c r="PAF111" s="3"/>
      <c r="PAG111" s="3"/>
      <c r="PAH111" s="3"/>
      <c r="PAI111" s="3"/>
      <c r="PAJ111" s="3"/>
      <c r="PAK111" s="3"/>
      <c r="PAL111" s="3"/>
      <c r="PAM111" s="3"/>
      <c r="PAN111" s="3"/>
      <c r="PAO111" s="3"/>
      <c r="PAP111" s="3"/>
      <c r="PAQ111" s="3"/>
      <c r="PAR111" s="3"/>
      <c r="PAS111" s="3"/>
      <c r="PAT111" s="3"/>
      <c r="PAU111" s="3"/>
      <c r="PAV111" s="3"/>
      <c r="PAW111" s="3"/>
      <c r="PAX111" s="3"/>
      <c r="PAY111" s="3"/>
      <c r="PAZ111" s="3"/>
      <c r="PBA111" s="3"/>
      <c r="PBB111" s="3"/>
      <c r="PBC111" s="3"/>
      <c r="PBD111" s="3"/>
      <c r="PBE111" s="3"/>
      <c r="PBF111" s="3"/>
      <c r="PBG111" s="3"/>
      <c r="PBH111" s="3"/>
      <c r="PBI111" s="3"/>
      <c r="PBJ111" s="3"/>
      <c r="PBK111" s="3"/>
      <c r="PBL111" s="3"/>
      <c r="PBM111" s="3"/>
      <c r="PBN111" s="3"/>
      <c r="PBO111" s="3"/>
      <c r="PBP111" s="3"/>
      <c r="PBQ111" s="3"/>
      <c r="PBR111" s="3"/>
      <c r="PBS111" s="3"/>
      <c r="PBT111" s="3"/>
      <c r="PBU111" s="3"/>
      <c r="PBV111" s="3"/>
      <c r="PBW111" s="3"/>
      <c r="PBX111" s="3"/>
      <c r="PBY111" s="3"/>
      <c r="PBZ111" s="3"/>
      <c r="PCA111" s="3"/>
      <c r="PCB111" s="3"/>
      <c r="PCC111" s="3"/>
      <c r="PCD111" s="3"/>
      <c r="PCE111" s="3"/>
      <c r="PCF111" s="3"/>
      <c r="PCG111" s="3"/>
      <c r="PCH111" s="3"/>
      <c r="PCI111" s="3"/>
      <c r="PCJ111" s="3"/>
      <c r="PCK111" s="3"/>
      <c r="PCL111" s="3"/>
      <c r="PCM111" s="3"/>
      <c r="PCN111" s="3"/>
      <c r="PCO111" s="3"/>
      <c r="PCP111" s="3"/>
      <c r="PCQ111" s="3"/>
      <c r="PCR111" s="3"/>
      <c r="PCS111" s="3"/>
      <c r="PCT111" s="3"/>
      <c r="PCU111" s="3"/>
      <c r="PCV111" s="3"/>
      <c r="PCW111" s="3"/>
      <c r="PCX111" s="3"/>
      <c r="PCY111" s="3"/>
      <c r="PCZ111" s="3"/>
      <c r="PDA111" s="3"/>
      <c r="PDB111" s="3"/>
      <c r="PDC111" s="3"/>
      <c r="PDD111" s="3"/>
      <c r="PDE111" s="3"/>
      <c r="PDF111" s="3"/>
      <c r="PDG111" s="3"/>
      <c r="PDH111" s="3"/>
      <c r="PDI111" s="3"/>
      <c r="PDJ111" s="3"/>
      <c r="PDK111" s="3"/>
      <c r="PDL111" s="3"/>
      <c r="PDM111" s="3"/>
      <c r="PDN111" s="3"/>
      <c r="PDO111" s="3"/>
      <c r="PDP111" s="3"/>
      <c r="PDQ111" s="3"/>
      <c r="PDR111" s="3"/>
      <c r="PDS111" s="3"/>
      <c r="PDT111" s="3"/>
      <c r="PDU111" s="3"/>
      <c r="PDV111" s="3"/>
      <c r="PDW111" s="3"/>
      <c r="PDX111" s="3"/>
      <c r="PDY111" s="3"/>
      <c r="PDZ111" s="3"/>
      <c r="PEA111" s="3"/>
      <c r="PEB111" s="3"/>
      <c r="PEC111" s="3"/>
      <c r="PED111" s="3"/>
      <c r="PEE111" s="3"/>
      <c r="PEF111" s="3"/>
      <c r="PEG111" s="3"/>
      <c r="PEH111" s="3"/>
      <c r="PEI111" s="3"/>
      <c r="PEJ111" s="3"/>
      <c r="PEK111" s="3"/>
      <c r="PEL111" s="3"/>
      <c r="PEM111" s="3"/>
      <c r="PEN111" s="3"/>
      <c r="PEO111" s="3"/>
      <c r="PEP111" s="3"/>
      <c r="PEQ111" s="3"/>
      <c r="PER111" s="3"/>
      <c r="PES111" s="3"/>
      <c r="PET111" s="3"/>
      <c r="PEU111" s="3"/>
      <c r="PEV111" s="3"/>
      <c r="PEW111" s="3"/>
      <c r="PEX111" s="3"/>
      <c r="PEY111" s="3"/>
      <c r="PEZ111" s="3"/>
      <c r="PFA111" s="3"/>
      <c r="PFB111" s="3"/>
      <c r="PFC111" s="3"/>
      <c r="PFD111" s="3"/>
      <c r="PFE111" s="3"/>
      <c r="PFF111" s="3"/>
      <c r="PFG111" s="3"/>
      <c r="PFH111" s="3"/>
      <c r="PFI111" s="3"/>
      <c r="PFJ111" s="3"/>
      <c r="PFK111" s="3"/>
      <c r="PFL111" s="3"/>
      <c r="PFM111" s="3"/>
      <c r="PFN111" s="3"/>
      <c r="PFO111" s="3"/>
      <c r="PFP111" s="3"/>
      <c r="PFQ111" s="3"/>
      <c r="PFR111" s="3"/>
      <c r="PFS111" s="3"/>
      <c r="PFT111" s="3"/>
      <c r="PFU111" s="3"/>
      <c r="PFV111" s="3"/>
      <c r="PFW111" s="3"/>
      <c r="PFX111" s="3"/>
      <c r="PFY111" s="3"/>
      <c r="PFZ111" s="3"/>
      <c r="PGA111" s="3"/>
      <c r="PGB111" s="3"/>
      <c r="PGC111" s="3"/>
      <c r="PGD111" s="3"/>
      <c r="PGE111" s="3"/>
      <c r="PGF111" s="3"/>
      <c r="PGG111" s="3"/>
      <c r="PGH111" s="3"/>
      <c r="PGI111" s="3"/>
      <c r="PGJ111" s="3"/>
      <c r="PGK111" s="3"/>
      <c r="PGL111" s="3"/>
      <c r="PGM111" s="3"/>
      <c r="PGN111" s="3"/>
      <c r="PGO111" s="3"/>
      <c r="PGP111" s="3"/>
      <c r="PGQ111" s="3"/>
      <c r="PGR111" s="3"/>
      <c r="PGS111" s="3"/>
      <c r="PGT111" s="3"/>
      <c r="PGU111" s="3"/>
      <c r="PGV111" s="3"/>
      <c r="PGW111" s="3"/>
      <c r="PGX111" s="3"/>
      <c r="PGY111" s="3"/>
      <c r="PGZ111" s="3"/>
      <c r="PHA111" s="3"/>
      <c r="PHB111" s="3"/>
      <c r="PHC111" s="3"/>
      <c r="PHD111" s="3"/>
      <c r="PHE111" s="3"/>
      <c r="PHF111" s="3"/>
      <c r="PHG111" s="3"/>
      <c r="PHH111" s="3"/>
      <c r="PHI111" s="3"/>
      <c r="PHJ111" s="3"/>
      <c r="PHK111" s="3"/>
      <c r="PHL111" s="3"/>
      <c r="PHM111" s="3"/>
      <c r="PHN111" s="3"/>
      <c r="PHO111" s="3"/>
      <c r="PHP111" s="3"/>
      <c r="PHQ111" s="3"/>
      <c r="PHR111" s="3"/>
      <c r="PHS111" s="3"/>
      <c r="PHT111" s="3"/>
      <c r="PHU111" s="3"/>
      <c r="PHV111" s="3"/>
      <c r="PHW111" s="3"/>
      <c r="PHX111" s="3"/>
      <c r="PHY111" s="3"/>
      <c r="PHZ111" s="3"/>
      <c r="PIA111" s="3"/>
      <c r="PIB111" s="3"/>
      <c r="PIC111" s="3"/>
      <c r="PID111" s="3"/>
      <c r="PIE111" s="3"/>
      <c r="PIF111" s="3"/>
      <c r="PIG111" s="3"/>
      <c r="PIH111" s="3"/>
      <c r="PII111" s="3"/>
      <c r="PIJ111" s="3"/>
      <c r="PIK111" s="3"/>
      <c r="PIL111" s="3"/>
      <c r="PIM111" s="3"/>
      <c r="PIN111" s="3"/>
      <c r="PIO111" s="3"/>
      <c r="PIP111" s="3"/>
      <c r="PIQ111" s="3"/>
      <c r="PIR111" s="3"/>
      <c r="PIS111" s="3"/>
      <c r="PIT111" s="3"/>
      <c r="PIU111" s="3"/>
      <c r="PIV111" s="3"/>
      <c r="PIW111" s="3"/>
      <c r="PIX111" s="3"/>
      <c r="PIY111" s="3"/>
      <c r="PIZ111" s="3"/>
      <c r="PJA111" s="3"/>
      <c r="PJB111" s="3"/>
      <c r="PJC111" s="3"/>
      <c r="PJD111" s="3"/>
      <c r="PJE111" s="3"/>
      <c r="PJF111" s="3"/>
      <c r="PJG111" s="3"/>
      <c r="PJH111" s="3"/>
      <c r="PJI111" s="3"/>
      <c r="PJJ111" s="3"/>
      <c r="PJK111" s="3"/>
      <c r="PJL111" s="3"/>
      <c r="PJM111" s="3"/>
      <c r="PJN111" s="3"/>
      <c r="PJO111" s="3"/>
      <c r="PJP111" s="3"/>
      <c r="PJQ111" s="3"/>
      <c r="PJR111" s="3"/>
      <c r="PJS111" s="3"/>
      <c r="PJT111" s="3"/>
      <c r="PJU111" s="3"/>
      <c r="PJV111" s="3"/>
      <c r="PJW111" s="3"/>
      <c r="PJX111" s="3"/>
      <c r="PJY111" s="3"/>
      <c r="PJZ111" s="3"/>
      <c r="PKA111" s="3"/>
      <c r="PKB111" s="3"/>
      <c r="PKC111" s="3"/>
      <c r="PKD111" s="3"/>
      <c r="PKE111" s="3"/>
      <c r="PKF111" s="3"/>
      <c r="PKG111" s="3"/>
      <c r="PKH111" s="3"/>
      <c r="PKI111" s="3"/>
      <c r="PKJ111" s="3"/>
      <c r="PKK111" s="3"/>
      <c r="PKL111" s="3"/>
      <c r="PKM111" s="3"/>
      <c r="PKN111" s="3"/>
      <c r="PKO111" s="3"/>
      <c r="PKP111" s="3"/>
      <c r="PKQ111" s="3"/>
      <c r="PKR111" s="3"/>
      <c r="PKS111" s="3"/>
      <c r="PKT111" s="3"/>
      <c r="PKU111" s="3"/>
      <c r="PKV111" s="3"/>
      <c r="PKW111" s="3"/>
      <c r="PKX111" s="3"/>
      <c r="PKY111" s="3"/>
      <c r="PKZ111" s="3"/>
      <c r="PLA111" s="3"/>
      <c r="PLB111" s="3"/>
      <c r="PLC111" s="3"/>
      <c r="PLD111" s="3"/>
      <c r="PLE111" s="3"/>
      <c r="PLF111" s="3"/>
      <c r="PLG111" s="3"/>
      <c r="PLH111" s="3"/>
      <c r="PLI111" s="3"/>
      <c r="PLJ111" s="3"/>
      <c r="PLK111" s="3"/>
      <c r="PLL111" s="3"/>
      <c r="PLM111" s="3"/>
      <c r="PLN111" s="3"/>
      <c r="PLO111" s="3"/>
      <c r="PLP111" s="3"/>
      <c r="PLQ111" s="3"/>
      <c r="PLR111" s="3"/>
      <c r="PLS111" s="3"/>
      <c r="PLT111" s="3"/>
      <c r="PLU111" s="3"/>
      <c r="PLV111" s="3"/>
      <c r="PLW111" s="3"/>
      <c r="PLX111" s="3"/>
      <c r="PLY111" s="3"/>
      <c r="PLZ111" s="3"/>
      <c r="PMA111" s="3"/>
      <c r="PMB111" s="3"/>
      <c r="PMC111" s="3"/>
      <c r="PMD111" s="3"/>
      <c r="PME111" s="3"/>
      <c r="PMF111" s="3"/>
      <c r="PMG111" s="3"/>
      <c r="PMH111" s="3"/>
      <c r="PMI111" s="3"/>
      <c r="PMJ111" s="3"/>
      <c r="PMK111" s="3"/>
      <c r="PML111" s="3"/>
      <c r="PMM111" s="3"/>
      <c r="PMN111" s="3"/>
      <c r="PMO111" s="3"/>
      <c r="PMP111" s="3"/>
      <c r="PMQ111" s="3"/>
      <c r="PMR111" s="3"/>
      <c r="PMS111" s="3"/>
      <c r="PMT111" s="3"/>
      <c r="PMU111" s="3"/>
      <c r="PMV111" s="3"/>
      <c r="PMW111" s="3"/>
      <c r="PMX111" s="3"/>
      <c r="PMY111" s="3"/>
      <c r="PMZ111" s="3"/>
      <c r="PNA111" s="3"/>
      <c r="PNB111" s="3"/>
      <c r="PNC111" s="3"/>
      <c r="PND111" s="3"/>
      <c r="PNE111" s="3"/>
      <c r="PNF111" s="3"/>
      <c r="PNG111" s="3"/>
      <c r="PNH111" s="3"/>
      <c r="PNI111" s="3"/>
      <c r="PNJ111" s="3"/>
      <c r="PNK111" s="3"/>
      <c r="PNL111" s="3"/>
      <c r="PNM111" s="3"/>
      <c r="PNN111" s="3"/>
      <c r="PNO111" s="3"/>
      <c r="PNP111" s="3"/>
      <c r="PNQ111" s="3"/>
      <c r="PNR111" s="3"/>
      <c r="PNS111" s="3"/>
      <c r="PNT111" s="3"/>
      <c r="PNU111" s="3"/>
      <c r="PNV111" s="3"/>
      <c r="PNW111" s="3"/>
      <c r="PNX111" s="3"/>
      <c r="PNY111" s="3"/>
      <c r="PNZ111" s="3"/>
      <c r="POA111" s="3"/>
      <c r="POB111" s="3"/>
      <c r="POC111" s="3"/>
      <c r="POD111" s="3"/>
      <c r="POE111" s="3"/>
      <c r="POF111" s="3"/>
      <c r="POG111" s="3"/>
      <c r="POH111" s="3"/>
      <c r="POI111" s="3"/>
      <c r="POJ111" s="3"/>
      <c r="POK111" s="3"/>
      <c r="POL111" s="3"/>
      <c r="POM111" s="3"/>
      <c r="PON111" s="3"/>
      <c r="POO111" s="3"/>
      <c r="POP111" s="3"/>
      <c r="POQ111" s="3"/>
      <c r="POR111" s="3"/>
      <c r="POS111" s="3"/>
      <c r="POT111" s="3"/>
      <c r="POU111" s="3"/>
      <c r="POV111" s="3"/>
      <c r="POW111" s="3"/>
      <c r="POX111" s="3"/>
      <c r="POY111" s="3"/>
      <c r="POZ111" s="3"/>
      <c r="PPA111" s="3"/>
      <c r="PPB111" s="3"/>
      <c r="PPC111" s="3"/>
      <c r="PPD111" s="3"/>
      <c r="PPE111" s="3"/>
      <c r="PPF111" s="3"/>
      <c r="PPG111" s="3"/>
      <c r="PPH111" s="3"/>
      <c r="PPI111" s="3"/>
      <c r="PPJ111" s="3"/>
      <c r="PPK111" s="3"/>
      <c r="PPL111" s="3"/>
      <c r="PPM111" s="3"/>
      <c r="PPN111" s="3"/>
      <c r="PPO111" s="3"/>
      <c r="PPP111" s="3"/>
      <c r="PPQ111" s="3"/>
      <c r="PPR111" s="3"/>
      <c r="PPS111" s="3"/>
      <c r="PPT111" s="3"/>
      <c r="PPU111" s="3"/>
      <c r="PPV111" s="3"/>
      <c r="PPW111" s="3"/>
      <c r="PPX111" s="3"/>
      <c r="PPY111" s="3"/>
      <c r="PPZ111" s="3"/>
      <c r="PQA111" s="3"/>
      <c r="PQB111" s="3"/>
      <c r="PQC111" s="3"/>
      <c r="PQD111" s="3"/>
      <c r="PQE111" s="3"/>
      <c r="PQF111" s="3"/>
      <c r="PQG111" s="3"/>
      <c r="PQH111" s="3"/>
      <c r="PQI111" s="3"/>
      <c r="PQJ111" s="3"/>
      <c r="PQK111" s="3"/>
      <c r="PQL111" s="3"/>
      <c r="PQM111" s="3"/>
      <c r="PQN111" s="3"/>
      <c r="PQO111" s="3"/>
      <c r="PQP111" s="3"/>
      <c r="PQQ111" s="3"/>
      <c r="PQR111" s="3"/>
      <c r="PQS111" s="3"/>
      <c r="PQT111" s="3"/>
      <c r="PQU111" s="3"/>
      <c r="PQV111" s="3"/>
      <c r="PQW111" s="3"/>
      <c r="PQX111" s="3"/>
      <c r="PQY111" s="3"/>
      <c r="PQZ111" s="3"/>
      <c r="PRA111" s="3"/>
      <c r="PRB111" s="3"/>
      <c r="PRC111" s="3"/>
      <c r="PRD111" s="3"/>
      <c r="PRE111" s="3"/>
      <c r="PRF111" s="3"/>
      <c r="PRG111" s="3"/>
      <c r="PRH111" s="3"/>
      <c r="PRI111" s="3"/>
      <c r="PRJ111" s="3"/>
      <c r="PRK111" s="3"/>
      <c r="PRL111" s="3"/>
      <c r="PRM111" s="3"/>
      <c r="PRN111" s="3"/>
      <c r="PRO111" s="3"/>
      <c r="PRP111" s="3"/>
      <c r="PRQ111" s="3"/>
      <c r="PRR111" s="3"/>
      <c r="PRS111" s="3"/>
      <c r="PRT111" s="3"/>
      <c r="PRU111" s="3"/>
      <c r="PRV111" s="3"/>
      <c r="PRW111" s="3"/>
      <c r="PRX111" s="3"/>
      <c r="PRY111" s="3"/>
      <c r="PRZ111" s="3"/>
      <c r="PSA111" s="3"/>
      <c r="PSB111" s="3"/>
      <c r="PSC111" s="3"/>
      <c r="PSD111" s="3"/>
      <c r="PSE111" s="3"/>
      <c r="PSF111" s="3"/>
      <c r="PSG111" s="3"/>
      <c r="PSH111" s="3"/>
      <c r="PSI111" s="3"/>
      <c r="PSJ111" s="3"/>
      <c r="PSK111" s="3"/>
      <c r="PSL111" s="3"/>
      <c r="PSM111" s="3"/>
      <c r="PSN111" s="3"/>
      <c r="PSO111" s="3"/>
      <c r="PSP111" s="3"/>
      <c r="PSQ111" s="3"/>
      <c r="PSR111" s="3"/>
      <c r="PSS111" s="3"/>
      <c r="PST111" s="3"/>
      <c r="PSU111" s="3"/>
      <c r="PSV111" s="3"/>
      <c r="PSW111" s="3"/>
      <c r="PSX111" s="3"/>
      <c r="PSY111" s="3"/>
      <c r="PSZ111" s="3"/>
      <c r="PTA111" s="3"/>
      <c r="PTB111" s="3"/>
      <c r="PTC111" s="3"/>
      <c r="PTD111" s="3"/>
      <c r="PTE111" s="3"/>
      <c r="PTF111" s="3"/>
      <c r="PTG111" s="3"/>
      <c r="PTH111" s="3"/>
      <c r="PTI111" s="3"/>
      <c r="PTJ111" s="3"/>
      <c r="PTK111" s="3"/>
      <c r="PTL111" s="3"/>
      <c r="PTM111" s="3"/>
      <c r="PTN111" s="3"/>
      <c r="PTO111" s="3"/>
      <c r="PTP111" s="3"/>
      <c r="PTQ111" s="3"/>
      <c r="PTR111" s="3"/>
      <c r="PTS111" s="3"/>
      <c r="PTT111" s="3"/>
      <c r="PTU111" s="3"/>
      <c r="PTV111" s="3"/>
      <c r="PTW111" s="3"/>
      <c r="PTX111" s="3"/>
      <c r="PTY111" s="3"/>
      <c r="PTZ111" s="3"/>
      <c r="PUA111" s="3"/>
      <c r="PUB111" s="3"/>
      <c r="PUC111" s="3"/>
      <c r="PUD111" s="3"/>
      <c r="PUE111" s="3"/>
      <c r="PUF111" s="3"/>
      <c r="PUG111" s="3"/>
      <c r="PUH111" s="3"/>
      <c r="PUI111" s="3"/>
      <c r="PUJ111" s="3"/>
      <c r="PUK111" s="3"/>
      <c r="PUL111" s="3"/>
      <c r="PUM111" s="3"/>
      <c r="PUN111" s="3"/>
      <c r="PUO111" s="3"/>
      <c r="PUP111" s="3"/>
      <c r="PUQ111" s="3"/>
      <c r="PUR111" s="3"/>
      <c r="PUS111" s="3"/>
      <c r="PUT111" s="3"/>
      <c r="PUU111" s="3"/>
      <c r="PUV111" s="3"/>
      <c r="PUW111" s="3"/>
      <c r="PUX111" s="3"/>
      <c r="PUY111" s="3"/>
      <c r="PUZ111" s="3"/>
      <c r="PVA111" s="3"/>
      <c r="PVB111" s="3"/>
      <c r="PVC111" s="3"/>
      <c r="PVD111" s="3"/>
      <c r="PVE111" s="3"/>
      <c r="PVF111" s="3"/>
      <c r="PVG111" s="3"/>
      <c r="PVH111" s="3"/>
      <c r="PVI111" s="3"/>
      <c r="PVJ111" s="3"/>
      <c r="PVK111" s="3"/>
      <c r="PVL111" s="3"/>
      <c r="PVM111" s="3"/>
      <c r="PVN111" s="3"/>
      <c r="PVO111" s="3"/>
      <c r="PVP111" s="3"/>
      <c r="PVQ111" s="3"/>
      <c r="PVR111" s="3"/>
      <c r="PVS111" s="3"/>
      <c r="PVT111" s="3"/>
      <c r="PVU111" s="3"/>
      <c r="PVV111" s="3"/>
      <c r="PVW111" s="3"/>
      <c r="PVX111" s="3"/>
      <c r="PVY111" s="3"/>
      <c r="PVZ111" s="3"/>
      <c r="PWA111" s="3"/>
      <c r="PWB111" s="3"/>
      <c r="PWC111" s="3"/>
      <c r="PWD111" s="3"/>
      <c r="PWE111" s="3"/>
      <c r="PWF111" s="3"/>
      <c r="PWG111" s="3"/>
      <c r="PWH111" s="3"/>
      <c r="PWI111" s="3"/>
      <c r="PWJ111" s="3"/>
      <c r="PWK111" s="3"/>
      <c r="PWL111" s="3"/>
      <c r="PWM111" s="3"/>
      <c r="PWN111" s="3"/>
      <c r="PWO111" s="3"/>
      <c r="PWP111" s="3"/>
      <c r="PWQ111" s="3"/>
      <c r="PWR111" s="3"/>
      <c r="PWS111" s="3"/>
      <c r="PWT111" s="3"/>
      <c r="PWU111" s="3"/>
      <c r="PWV111" s="3"/>
      <c r="PWW111" s="3"/>
      <c r="PWX111" s="3"/>
      <c r="PWY111" s="3"/>
      <c r="PWZ111" s="3"/>
      <c r="PXA111" s="3"/>
      <c r="PXB111" s="3"/>
      <c r="PXC111" s="3"/>
      <c r="PXD111" s="3"/>
      <c r="PXE111" s="3"/>
      <c r="PXF111" s="3"/>
      <c r="PXG111" s="3"/>
      <c r="PXH111" s="3"/>
      <c r="PXI111" s="3"/>
      <c r="PXJ111" s="3"/>
      <c r="PXK111" s="3"/>
      <c r="PXL111" s="3"/>
      <c r="PXM111" s="3"/>
      <c r="PXN111" s="3"/>
      <c r="PXO111" s="3"/>
      <c r="PXP111" s="3"/>
      <c r="PXQ111" s="3"/>
      <c r="PXR111" s="3"/>
      <c r="PXS111" s="3"/>
      <c r="PXT111" s="3"/>
      <c r="PXU111" s="3"/>
      <c r="PXV111" s="3"/>
      <c r="PXW111" s="3"/>
      <c r="PXX111" s="3"/>
      <c r="PXY111" s="3"/>
      <c r="PXZ111" s="3"/>
      <c r="PYA111" s="3"/>
      <c r="PYB111" s="3"/>
      <c r="PYC111" s="3"/>
      <c r="PYD111" s="3"/>
      <c r="PYE111" s="3"/>
      <c r="PYF111" s="3"/>
      <c r="PYG111" s="3"/>
      <c r="PYH111" s="3"/>
      <c r="PYI111" s="3"/>
      <c r="PYJ111" s="3"/>
      <c r="PYK111" s="3"/>
      <c r="PYL111" s="3"/>
      <c r="PYM111" s="3"/>
      <c r="PYN111" s="3"/>
      <c r="PYO111" s="3"/>
      <c r="PYP111" s="3"/>
      <c r="PYQ111" s="3"/>
      <c r="PYR111" s="3"/>
      <c r="PYS111" s="3"/>
      <c r="PYT111" s="3"/>
      <c r="PYU111" s="3"/>
      <c r="PYV111" s="3"/>
      <c r="PYW111" s="3"/>
      <c r="PYX111" s="3"/>
      <c r="PYY111" s="3"/>
      <c r="PYZ111" s="3"/>
      <c r="PZA111" s="3"/>
      <c r="PZB111" s="3"/>
      <c r="PZC111" s="3"/>
      <c r="PZD111" s="3"/>
      <c r="PZE111" s="3"/>
      <c r="PZF111" s="3"/>
      <c r="PZG111" s="3"/>
      <c r="PZH111" s="3"/>
      <c r="PZI111" s="3"/>
      <c r="PZJ111" s="3"/>
      <c r="PZK111" s="3"/>
      <c r="PZL111" s="3"/>
      <c r="PZM111" s="3"/>
      <c r="PZN111" s="3"/>
      <c r="PZO111" s="3"/>
      <c r="PZP111" s="3"/>
      <c r="PZQ111" s="3"/>
      <c r="PZR111" s="3"/>
      <c r="PZS111" s="3"/>
      <c r="PZT111" s="3"/>
      <c r="PZU111" s="3"/>
      <c r="PZV111" s="3"/>
      <c r="PZW111" s="3"/>
      <c r="PZX111" s="3"/>
      <c r="PZY111" s="3"/>
      <c r="PZZ111" s="3"/>
      <c r="QAA111" s="3"/>
      <c r="QAB111" s="3"/>
      <c r="QAC111" s="3"/>
      <c r="QAD111" s="3"/>
      <c r="QAE111" s="3"/>
      <c r="QAF111" s="3"/>
      <c r="QAG111" s="3"/>
      <c r="QAH111" s="3"/>
      <c r="QAI111" s="3"/>
      <c r="QAJ111" s="3"/>
      <c r="QAK111" s="3"/>
      <c r="QAL111" s="3"/>
      <c r="QAM111" s="3"/>
      <c r="QAN111" s="3"/>
      <c r="QAO111" s="3"/>
      <c r="QAP111" s="3"/>
      <c r="QAQ111" s="3"/>
      <c r="QAR111" s="3"/>
      <c r="QAS111" s="3"/>
      <c r="QAT111" s="3"/>
      <c r="QAU111" s="3"/>
      <c r="QAV111" s="3"/>
      <c r="QAW111" s="3"/>
      <c r="QAX111" s="3"/>
      <c r="QAY111" s="3"/>
      <c r="QAZ111" s="3"/>
      <c r="QBA111" s="3"/>
      <c r="QBB111" s="3"/>
      <c r="QBC111" s="3"/>
      <c r="QBD111" s="3"/>
      <c r="QBE111" s="3"/>
      <c r="QBF111" s="3"/>
      <c r="QBG111" s="3"/>
      <c r="QBH111" s="3"/>
      <c r="QBI111" s="3"/>
      <c r="QBJ111" s="3"/>
      <c r="QBK111" s="3"/>
      <c r="QBL111" s="3"/>
      <c r="QBM111" s="3"/>
      <c r="QBN111" s="3"/>
      <c r="QBO111" s="3"/>
      <c r="QBP111" s="3"/>
      <c r="QBQ111" s="3"/>
      <c r="QBR111" s="3"/>
      <c r="QBS111" s="3"/>
      <c r="QBT111" s="3"/>
      <c r="QBU111" s="3"/>
      <c r="QBV111" s="3"/>
      <c r="QBW111" s="3"/>
      <c r="QBX111" s="3"/>
      <c r="QBY111" s="3"/>
      <c r="QBZ111" s="3"/>
      <c r="QCA111" s="3"/>
      <c r="QCB111" s="3"/>
      <c r="QCC111" s="3"/>
      <c r="QCD111" s="3"/>
      <c r="QCE111" s="3"/>
      <c r="QCF111" s="3"/>
      <c r="QCG111" s="3"/>
      <c r="QCH111" s="3"/>
      <c r="QCI111" s="3"/>
      <c r="QCJ111" s="3"/>
      <c r="QCK111" s="3"/>
      <c r="QCL111" s="3"/>
      <c r="QCM111" s="3"/>
      <c r="QCN111" s="3"/>
      <c r="QCO111" s="3"/>
      <c r="QCP111" s="3"/>
      <c r="QCQ111" s="3"/>
      <c r="QCR111" s="3"/>
      <c r="QCS111" s="3"/>
      <c r="QCT111" s="3"/>
      <c r="QCU111" s="3"/>
      <c r="QCV111" s="3"/>
      <c r="QCW111" s="3"/>
      <c r="QCX111" s="3"/>
      <c r="QCY111" s="3"/>
      <c r="QCZ111" s="3"/>
      <c r="QDA111" s="3"/>
      <c r="QDB111" s="3"/>
      <c r="QDC111" s="3"/>
      <c r="QDD111" s="3"/>
      <c r="QDE111" s="3"/>
      <c r="QDF111" s="3"/>
      <c r="QDG111" s="3"/>
      <c r="QDH111" s="3"/>
      <c r="QDI111" s="3"/>
      <c r="QDJ111" s="3"/>
      <c r="QDK111" s="3"/>
      <c r="QDL111" s="3"/>
      <c r="QDM111" s="3"/>
      <c r="QDN111" s="3"/>
      <c r="QDO111" s="3"/>
      <c r="QDP111" s="3"/>
      <c r="QDQ111" s="3"/>
      <c r="QDR111" s="3"/>
      <c r="QDS111" s="3"/>
      <c r="QDT111" s="3"/>
      <c r="QDU111" s="3"/>
      <c r="QDV111" s="3"/>
      <c r="QDW111" s="3"/>
      <c r="QDX111" s="3"/>
      <c r="QDY111" s="3"/>
      <c r="QDZ111" s="3"/>
      <c r="QEA111" s="3"/>
      <c r="QEB111" s="3"/>
      <c r="QEC111" s="3"/>
      <c r="QED111" s="3"/>
      <c r="QEE111" s="3"/>
      <c r="QEF111" s="3"/>
      <c r="QEG111" s="3"/>
      <c r="QEH111" s="3"/>
      <c r="QEI111" s="3"/>
      <c r="QEJ111" s="3"/>
      <c r="QEK111" s="3"/>
      <c r="QEL111" s="3"/>
      <c r="QEM111" s="3"/>
      <c r="QEN111" s="3"/>
      <c r="QEO111" s="3"/>
      <c r="QEP111" s="3"/>
      <c r="QEQ111" s="3"/>
      <c r="QER111" s="3"/>
      <c r="QES111" s="3"/>
      <c r="QET111" s="3"/>
      <c r="QEU111" s="3"/>
      <c r="QEV111" s="3"/>
      <c r="QEW111" s="3"/>
      <c r="QEX111" s="3"/>
      <c r="QEY111" s="3"/>
      <c r="QEZ111" s="3"/>
      <c r="QFA111" s="3"/>
      <c r="QFB111" s="3"/>
      <c r="QFC111" s="3"/>
      <c r="QFD111" s="3"/>
      <c r="QFE111" s="3"/>
      <c r="QFF111" s="3"/>
      <c r="QFG111" s="3"/>
      <c r="QFH111" s="3"/>
      <c r="QFI111" s="3"/>
      <c r="QFJ111" s="3"/>
      <c r="QFK111" s="3"/>
      <c r="QFL111" s="3"/>
      <c r="QFM111" s="3"/>
      <c r="QFN111" s="3"/>
      <c r="QFO111" s="3"/>
      <c r="QFP111" s="3"/>
      <c r="QFQ111" s="3"/>
      <c r="QFR111" s="3"/>
      <c r="QFS111" s="3"/>
      <c r="QFT111" s="3"/>
      <c r="QFU111" s="3"/>
      <c r="QFV111" s="3"/>
      <c r="QFW111" s="3"/>
      <c r="QFX111" s="3"/>
      <c r="QFY111" s="3"/>
      <c r="QFZ111" s="3"/>
      <c r="QGA111" s="3"/>
      <c r="QGB111" s="3"/>
      <c r="QGC111" s="3"/>
      <c r="QGD111" s="3"/>
      <c r="QGE111" s="3"/>
      <c r="QGF111" s="3"/>
      <c r="QGG111" s="3"/>
      <c r="QGH111" s="3"/>
      <c r="QGI111" s="3"/>
      <c r="QGJ111" s="3"/>
      <c r="QGK111" s="3"/>
      <c r="QGL111" s="3"/>
      <c r="QGM111" s="3"/>
      <c r="QGN111" s="3"/>
      <c r="QGO111" s="3"/>
      <c r="QGP111" s="3"/>
      <c r="QGQ111" s="3"/>
      <c r="QGR111" s="3"/>
      <c r="QGS111" s="3"/>
      <c r="QGT111" s="3"/>
      <c r="QGU111" s="3"/>
      <c r="QGV111" s="3"/>
      <c r="QGW111" s="3"/>
      <c r="QGX111" s="3"/>
      <c r="QGY111" s="3"/>
      <c r="QGZ111" s="3"/>
      <c r="QHA111" s="3"/>
      <c r="QHB111" s="3"/>
      <c r="QHC111" s="3"/>
      <c r="QHD111" s="3"/>
      <c r="QHE111" s="3"/>
      <c r="QHF111" s="3"/>
      <c r="QHG111" s="3"/>
      <c r="QHH111" s="3"/>
      <c r="QHI111" s="3"/>
      <c r="QHJ111" s="3"/>
      <c r="QHK111" s="3"/>
      <c r="QHL111" s="3"/>
      <c r="QHM111" s="3"/>
      <c r="QHN111" s="3"/>
      <c r="QHO111" s="3"/>
      <c r="QHP111" s="3"/>
      <c r="QHQ111" s="3"/>
      <c r="QHR111" s="3"/>
      <c r="QHS111" s="3"/>
      <c r="QHT111" s="3"/>
      <c r="QHU111" s="3"/>
      <c r="QHV111" s="3"/>
      <c r="QHW111" s="3"/>
      <c r="QHX111" s="3"/>
      <c r="QHY111" s="3"/>
      <c r="QHZ111" s="3"/>
      <c r="QIA111" s="3"/>
      <c r="QIB111" s="3"/>
      <c r="QIC111" s="3"/>
      <c r="QID111" s="3"/>
      <c r="QIE111" s="3"/>
      <c r="QIF111" s="3"/>
      <c r="QIG111" s="3"/>
      <c r="QIH111" s="3"/>
      <c r="QII111" s="3"/>
      <c r="QIJ111" s="3"/>
      <c r="QIK111" s="3"/>
      <c r="QIL111" s="3"/>
      <c r="QIM111" s="3"/>
      <c r="QIN111" s="3"/>
      <c r="QIO111" s="3"/>
      <c r="QIP111" s="3"/>
      <c r="QIQ111" s="3"/>
      <c r="QIR111" s="3"/>
      <c r="QIS111" s="3"/>
      <c r="QIT111" s="3"/>
      <c r="QIU111" s="3"/>
      <c r="QIV111" s="3"/>
      <c r="QIW111" s="3"/>
      <c r="QIX111" s="3"/>
      <c r="QIY111" s="3"/>
      <c r="QIZ111" s="3"/>
      <c r="QJA111" s="3"/>
      <c r="QJB111" s="3"/>
      <c r="QJC111" s="3"/>
      <c r="QJD111" s="3"/>
      <c r="QJE111" s="3"/>
      <c r="QJF111" s="3"/>
      <c r="QJG111" s="3"/>
      <c r="QJH111" s="3"/>
      <c r="QJI111" s="3"/>
      <c r="QJJ111" s="3"/>
      <c r="QJK111" s="3"/>
      <c r="QJL111" s="3"/>
      <c r="QJM111" s="3"/>
      <c r="QJN111" s="3"/>
      <c r="QJO111" s="3"/>
      <c r="QJP111" s="3"/>
      <c r="QJQ111" s="3"/>
      <c r="QJR111" s="3"/>
      <c r="QJS111" s="3"/>
      <c r="QJT111" s="3"/>
      <c r="QJU111" s="3"/>
      <c r="QJV111" s="3"/>
      <c r="QJW111" s="3"/>
      <c r="QJX111" s="3"/>
      <c r="QJY111" s="3"/>
      <c r="QJZ111" s="3"/>
      <c r="QKA111" s="3"/>
      <c r="QKB111" s="3"/>
      <c r="QKC111" s="3"/>
      <c r="QKD111" s="3"/>
      <c r="QKE111" s="3"/>
      <c r="QKF111" s="3"/>
      <c r="QKG111" s="3"/>
      <c r="QKH111" s="3"/>
      <c r="QKI111" s="3"/>
      <c r="QKJ111" s="3"/>
      <c r="QKK111" s="3"/>
      <c r="QKL111" s="3"/>
      <c r="QKM111" s="3"/>
      <c r="QKN111" s="3"/>
      <c r="QKO111" s="3"/>
      <c r="QKP111" s="3"/>
      <c r="QKQ111" s="3"/>
      <c r="QKR111" s="3"/>
      <c r="QKS111" s="3"/>
      <c r="QKT111" s="3"/>
      <c r="QKU111" s="3"/>
      <c r="QKV111" s="3"/>
      <c r="QKW111" s="3"/>
      <c r="QKX111" s="3"/>
      <c r="QKY111" s="3"/>
      <c r="QKZ111" s="3"/>
      <c r="QLA111" s="3"/>
      <c r="QLB111" s="3"/>
      <c r="QLC111" s="3"/>
      <c r="QLD111" s="3"/>
      <c r="QLE111" s="3"/>
      <c r="QLF111" s="3"/>
      <c r="QLG111" s="3"/>
      <c r="QLH111" s="3"/>
      <c r="QLI111" s="3"/>
      <c r="QLJ111" s="3"/>
      <c r="QLK111" s="3"/>
      <c r="QLL111" s="3"/>
      <c r="QLM111" s="3"/>
      <c r="QLN111" s="3"/>
      <c r="QLO111" s="3"/>
      <c r="QLP111" s="3"/>
      <c r="QLQ111" s="3"/>
      <c r="QLR111" s="3"/>
      <c r="QLS111" s="3"/>
      <c r="QLT111" s="3"/>
      <c r="QLU111" s="3"/>
      <c r="QLV111" s="3"/>
      <c r="QLW111" s="3"/>
      <c r="QLX111" s="3"/>
      <c r="QLY111" s="3"/>
      <c r="QLZ111" s="3"/>
      <c r="QMA111" s="3"/>
      <c r="QMB111" s="3"/>
      <c r="QMC111" s="3"/>
      <c r="QMD111" s="3"/>
      <c r="QME111" s="3"/>
      <c r="QMF111" s="3"/>
      <c r="QMG111" s="3"/>
      <c r="QMH111" s="3"/>
      <c r="QMI111" s="3"/>
      <c r="QMJ111" s="3"/>
      <c r="QMK111" s="3"/>
      <c r="QML111" s="3"/>
      <c r="QMM111" s="3"/>
      <c r="QMN111" s="3"/>
      <c r="QMO111" s="3"/>
      <c r="QMP111" s="3"/>
      <c r="QMQ111" s="3"/>
      <c r="QMR111" s="3"/>
      <c r="QMS111" s="3"/>
      <c r="QMT111" s="3"/>
      <c r="QMU111" s="3"/>
      <c r="QMV111" s="3"/>
      <c r="QMW111" s="3"/>
      <c r="QMX111" s="3"/>
      <c r="QMY111" s="3"/>
      <c r="QMZ111" s="3"/>
      <c r="QNA111" s="3"/>
      <c r="QNB111" s="3"/>
      <c r="QNC111" s="3"/>
      <c r="QND111" s="3"/>
      <c r="QNE111" s="3"/>
      <c r="QNF111" s="3"/>
      <c r="QNG111" s="3"/>
      <c r="QNH111" s="3"/>
      <c r="QNI111" s="3"/>
      <c r="QNJ111" s="3"/>
      <c r="QNK111" s="3"/>
      <c r="QNL111" s="3"/>
      <c r="QNM111" s="3"/>
      <c r="QNN111" s="3"/>
      <c r="QNO111" s="3"/>
      <c r="QNP111" s="3"/>
      <c r="QNQ111" s="3"/>
      <c r="QNR111" s="3"/>
      <c r="QNS111" s="3"/>
      <c r="QNT111" s="3"/>
      <c r="QNU111" s="3"/>
      <c r="QNV111" s="3"/>
      <c r="QNW111" s="3"/>
      <c r="QNX111" s="3"/>
      <c r="QNY111" s="3"/>
      <c r="QNZ111" s="3"/>
      <c r="QOA111" s="3"/>
      <c r="QOB111" s="3"/>
      <c r="QOC111" s="3"/>
      <c r="QOD111" s="3"/>
      <c r="QOE111" s="3"/>
      <c r="QOF111" s="3"/>
      <c r="QOG111" s="3"/>
      <c r="QOH111" s="3"/>
      <c r="QOI111" s="3"/>
      <c r="QOJ111" s="3"/>
      <c r="QOK111" s="3"/>
      <c r="QOL111" s="3"/>
      <c r="QOM111" s="3"/>
      <c r="QON111" s="3"/>
      <c r="QOO111" s="3"/>
      <c r="QOP111" s="3"/>
      <c r="QOQ111" s="3"/>
      <c r="QOR111" s="3"/>
      <c r="QOS111" s="3"/>
      <c r="QOT111" s="3"/>
      <c r="QOU111" s="3"/>
      <c r="QOV111" s="3"/>
      <c r="QOW111" s="3"/>
      <c r="QOX111" s="3"/>
      <c r="QOY111" s="3"/>
      <c r="QOZ111" s="3"/>
      <c r="QPA111" s="3"/>
      <c r="QPB111" s="3"/>
      <c r="QPC111" s="3"/>
      <c r="QPD111" s="3"/>
      <c r="QPE111" s="3"/>
      <c r="QPF111" s="3"/>
      <c r="QPG111" s="3"/>
      <c r="QPH111" s="3"/>
      <c r="QPI111" s="3"/>
      <c r="QPJ111" s="3"/>
      <c r="QPK111" s="3"/>
      <c r="QPL111" s="3"/>
      <c r="QPM111" s="3"/>
      <c r="QPN111" s="3"/>
      <c r="QPO111" s="3"/>
      <c r="QPP111" s="3"/>
      <c r="QPQ111" s="3"/>
      <c r="QPR111" s="3"/>
      <c r="QPS111" s="3"/>
      <c r="QPT111" s="3"/>
      <c r="QPU111" s="3"/>
      <c r="QPV111" s="3"/>
      <c r="QPW111" s="3"/>
      <c r="QPX111" s="3"/>
      <c r="QPY111" s="3"/>
      <c r="QPZ111" s="3"/>
      <c r="QQA111" s="3"/>
      <c r="QQB111" s="3"/>
      <c r="QQC111" s="3"/>
      <c r="QQD111" s="3"/>
      <c r="QQE111" s="3"/>
      <c r="QQF111" s="3"/>
      <c r="QQG111" s="3"/>
      <c r="QQH111" s="3"/>
      <c r="QQI111" s="3"/>
      <c r="QQJ111" s="3"/>
      <c r="QQK111" s="3"/>
      <c r="QQL111" s="3"/>
      <c r="QQM111" s="3"/>
      <c r="QQN111" s="3"/>
      <c r="QQO111" s="3"/>
      <c r="QQP111" s="3"/>
      <c r="QQQ111" s="3"/>
      <c r="QQR111" s="3"/>
      <c r="QQS111" s="3"/>
      <c r="QQT111" s="3"/>
      <c r="QQU111" s="3"/>
      <c r="QQV111" s="3"/>
      <c r="QQW111" s="3"/>
      <c r="QQX111" s="3"/>
      <c r="QQY111" s="3"/>
      <c r="QQZ111" s="3"/>
      <c r="QRA111" s="3"/>
      <c r="QRB111" s="3"/>
      <c r="QRC111" s="3"/>
      <c r="QRD111" s="3"/>
      <c r="QRE111" s="3"/>
      <c r="QRF111" s="3"/>
      <c r="QRG111" s="3"/>
      <c r="QRH111" s="3"/>
      <c r="QRI111" s="3"/>
      <c r="QRJ111" s="3"/>
      <c r="QRK111" s="3"/>
      <c r="QRL111" s="3"/>
      <c r="QRM111" s="3"/>
      <c r="QRN111" s="3"/>
      <c r="QRO111" s="3"/>
      <c r="QRP111" s="3"/>
      <c r="QRQ111" s="3"/>
      <c r="QRR111" s="3"/>
      <c r="QRS111" s="3"/>
      <c r="QRT111" s="3"/>
      <c r="QRU111" s="3"/>
      <c r="QRV111" s="3"/>
      <c r="QRW111" s="3"/>
      <c r="QRX111" s="3"/>
      <c r="QRY111" s="3"/>
      <c r="QRZ111" s="3"/>
      <c r="QSA111" s="3"/>
      <c r="QSB111" s="3"/>
      <c r="QSC111" s="3"/>
      <c r="QSD111" s="3"/>
      <c r="QSE111" s="3"/>
      <c r="QSF111" s="3"/>
      <c r="QSG111" s="3"/>
      <c r="QSH111" s="3"/>
      <c r="QSI111" s="3"/>
      <c r="QSJ111" s="3"/>
      <c r="QSK111" s="3"/>
      <c r="QSL111" s="3"/>
      <c r="QSM111" s="3"/>
      <c r="QSN111" s="3"/>
      <c r="QSO111" s="3"/>
      <c r="QSP111" s="3"/>
      <c r="QSQ111" s="3"/>
      <c r="QSR111" s="3"/>
      <c r="QSS111" s="3"/>
      <c r="QST111" s="3"/>
      <c r="QSU111" s="3"/>
      <c r="QSV111" s="3"/>
      <c r="QSW111" s="3"/>
      <c r="QSX111" s="3"/>
      <c r="QSY111" s="3"/>
      <c r="QSZ111" s="3"/>
      <c r="QTA111" s="3"/>
      <c r="QTB111" s="3"/>
      <c r="QTC111" s="3"/>
      <c r="QTD111" s="3"/>
      <c r="QTE111" s="3"/>
      <c r="QTF111" s="3"/>
      <c r="QTG111" s="3"/>
      <c r="QTH111" s="3"/>
      <c r="QTI111" s="3"/>
      <c r="QTJ111" s="3"/>
      <c r="QTK111" s="3"/>
      <c r="QTL111" s="3"/>
      <c r="QTM111" s="3"/>
      <c r="QTN111" s="3"/>
      <c r="QTO111" s="3"/>
      <c r="QTP111" s="3"/>
      <c r="QTQ111" s="3"/>
      <c r="QTR111" s="3"/>
      <c r="QTS111" s="3"/>
      <c r="QTT111" s="3"/>
      <c r="QTU111" s="3"/>
      <c r="QTV111" s="3"/>
      <c r="QTW111" s="3"/>
      <c r="QTX111" s="3"/>
      <c r="QTY111" s="3"/>
      <c r="QTZ111" s="3"/>
      <c r="QUA111" s="3"/>
      <c r="QUB111" s="3"/>
      <c r="QUC111" s="3"/>
      <c r="QUD111" s="3"/>
      <c r="QUE111" s="3"/>
      <c r="QUF111" s="3"/>
      <c r="QUG111" s="3"/>
      <c r="QUH111" s="3"/>
      <c r="QUI111" s="3"/>
      <c r="QUJ111" s="3"/>
      <c r="QUK111" s="3"/>
      <c r="QUL111" s="3"/>
      <c r="QUM111" s="3"/>
      <c r="QUN111" s="3"/>
      <c r="QUO111" s="3"/>
      <c r="QUP111" s="3"/>
      <c r="QUQ111" s="3"/>
      <c r="QUR111" s="3"/>
      <c r="QUS111" s="3"/>
      <c r="QUT111" s="3"/>
      <c r="QUU111" s="3"/>
      <c r="QUV111" s="3"/>
      <c r="QUW111" s="3"/>
      <c r="QUX111" s="3"/>
      <c r="QUY111" s="3"/>
      <c r="QUZ111" s="3"/>
      <c r="QVA111" s="3"/>
      <c r="QVB111" s="3"/>
      <c r="QVC111" s="3"/>
      <c r="QVD111" s="3"/>
      <c r="QVE111" s="3"/>
      <c r="QVF111" s="3"/>
      <c r="QVG111" s="3"/>
      <c r="QVH111" s="3"/>
      <c r="QVI111" s="3"/>
      <c r="QVJ111" s="3"/>
      <c r="QVK111" s="3"/>
      <c r="QVL111" s="3"/>
      <c r="QVM111" s="3"/>
      <c r="QVN111" s="3"/>
      <c r="QVO111" s="3"/>
      <c r="QVP111" s="3"/>
      <c r="QVQ111" s="3"/>
      <c r="QVR111" s="3"/>
      <c r="QVS111" s="3"/>
      <c r="QVT111" s="3"/>
      <c r="QVU111" s="3"/>
      <c r="QVV111" s="3"/>
      <c r="QVW111" s="3"/>
      <c r="QVX111" s="3"/>
      <c r="QVY111" s="3"/>
      <c r="QVZ111" s="3"/>
      <c r="QWA111" s="3"/>
      <c r="QWB111" s="3"/>
      <c r="QWC111" s="3"/>
      <c r="QWD111" s="3"/>
      <c r="QWE111" s="3"/>
      <c r="QWF111" s="3"/>
      <c r="QWG111" s="3"/>
      <c r="QWH111" s="3"/>
      <c r="QWI111" s="3"/>
      <c r="QWJ111" s="3"/>
      <c r="QWK111" s="3"/>
      <c r="QWL111" s="3"/>
      <c r="QWM111" s="3"/>
      <c r="QWN111" s="3"/>
      <c r="QWO111" s="3"/>
      <c r="QWP111" s="3"/>
      <c r="QWQ111" s="3"/>
      <c r="QWR111" s="3"/>
      <c r="QWS111" s="3"/>
      <c r="QWT111" s="3"/>
      <c r="QWU111" s="3"/>
      <c r="QWV111" s="3"/>
      <c r="QWW111" s="3"/>
      <c r="QWX111" s="3"/>
      <c r="QWY111" s="3"/>
      <c r="QWZ111" s="3"/>
      <c r="QXA111" s="3"/>
      <c r="QXB111" s="3"/>
      <c r="QXC111" s="3"/>
      <c r="QXD111" s="3"/>
      <c r="QXE111" s="3"/>
      <c r="QXF111" s="3"/>
      <c r="QXG111" s="3"/>
      <c r="QXH111" s="3"/>
      <c r="QXI111" s="3"/>
      <c r="QXJ111" s="3"/>
      <c r="QXK111" s="3"/>
      <c r="QXL111" s="3"/>
      <c r="QXM111" s="3"/>
      <c r="QXN111" s="3"/>
      <c r="QXO111" s="3"/>
      <c r="QXP111" s="3"/>
      <c r="QXQ111" s="3"/>
      <c r="QXR111" s="3"/>
      <c r="QXS111" s="3"/>
      <c r="QXT111" s="3"/>
      <c r="QXU111" s="3"/>
      <c r="QXV111" s="3"/>
      <c r="QXW111" s="3"/>
      <c r="QXX111" s="3"/>
      <c r="QXY111" s="3"/>
      <c r="QXZ111" s="3"/>
      <c r="QYA111" s="3"/>
      <c r="QYB111" s="3"/>
      <c r="QYC111" s="3"/>
      <c r="QYD111" s="3"/>
      <c r="QYE111" s="3"/>
      <c r="QYF111" s="3"/>
      <c r="QYG111" s="3"/>
      <c r="QYH111" s="3"/>
      <c r="QYI111" s="3"/>
      <c r="QYJ111" s="3"/>
      <c r="QYK111" s="3"/>
      <c r="QYL111" s="3"/>
      <c r="QYM111" s="3"/>
      <c r="QYN111" s="3"/>
      <c r="QYO111" s="3"/>
      <c r="QYP111" s="3"/>
      <c r="QYQ111" s="3"/>
      <c r="QYR111" s="3"/>
      <c r="QYS111" s="3"/>
      <c r="QYT111" s="3"/>
      <c r="QYU111" s="3"/>
      <c r="QYV111" s="3"/>
      <c r="QYW111" s="3"/>
      <c r="QYX111" s="3"/>
      <c r="QYY111" s="3"/>
      <c r="QYZ111" s="3"/>
      <c r="QZA111" s="3"/>
      <c r="QZB111" s="3"/>
      <c r="QZC111" s="3"/>
      <c r="QZD111" s="3"/>
      <c r="QZE111" s="3"/>
      <c r="QZF111" s="3"/>
      <c r="QZG111" s="3"/>
      <c r="QZH111" s="3"/>
      <c r="QZI111" s="3"/>
      <c r="QZJ111" s="3"/>
      <c r="QZK111" s="3"/>
      <c r="QZL111" s="3"/>
      <c r="QZM111" s="3"/>
      <c r="QZN111" s="3"/>
      <c r="QZO111" s="3"/>
      <c r="QZP111" s="3"/>
      <c r="QZQ111" s="3"/>
      <c r="QZR111" s="3"/>
      <c r="QZS111" s="3"/>
      <c r="QZT111" s="3"/>
      <c r="QZU111" s="3"/>
      <c r="QZV111" s="3"/>
      <c r="QZW111" s="3"/>
      <c r="QZX111" s="3"/>
      <c r="QZY111" s="3"/>
      <c r="QZZ111" s="3"/>
      <c r="RAA111" s="3"/>
      <c r="RAB111" s="3"/>
      <c r="RAC111" s="3"/>
      <c r="RAD111" s="3"/>
      <c r="RAE111" s="3"/>
      <c r="RAF111" s="3"/>
      <c r="RAG111" s="3"/>
      <c r="RAH111" s="3"/>
      <c r="RAI111" s="3"/>
      <c r="RAJ111" s="3"/>
      <c r="RAK111" s="3"/>
      <c r="RAL111" s="3"/>
      <c r="RAM111" s="3"/>
      <c r="RAN111" s="3"/>
      <c r="RAO111" s="3"/>
      <c r="RAP111" s="3"/>
      <c r="RAQ111" s="3"/>
      <c r="RAR111" s="3"/>
      <c r="RAS111" s="3"/>
      <c r="RAT111" s="3"/>
      <c r="RAU111" s="3"/>
      <c r="RAV111" s="3"/>
      <c r="RAW111" s="3"/>
      <c r="RAX111" s="3"/>
      <c r="RAY111" s="3"/>
      <c r="RAZ111" s="3"/>
      <c r="RBA111" s="3"/>
      <c r="RBB111" s="3"/>
      <c r="RBC111" s="3"/>
      <c r="RBD111" s="3"/>
      <c r="RBE111" s="3"/>
      <c r="RBF111" s="3"/>
      <c r="RBG111" s="3"/>
      <c r="RBH111" s="3"/>
      <c r="RBI111" s="3"/>
      <c r="RBJ111" s="3"/>
      <c r="RBK111" s="3"/>
      <c r="RBL111" s="3"/>
      <c r="RBM111" s="3"/>
      <c r="RBN111" s="3"/>
      <c r="RBO111" s="3"/>
      <c r="RBP111" s="3"/>
      <c r="RBQ111" s="3"/>
      <c r="RBR111" s="3"/>
      <c r="RBS111" s="3"/>
      <c r="RBT111" s="3"/>
      <c r="RBU111" s="3"/>
      <c r="RBV111" s="3"/>
      <c r="RBW111" s="3"/>
      <c r="RBX111" s="3"/>
      <c r="RBY111" s="3"/>
      <c r="RBZ111" s="3"/>
      <c r="RCA111" s="3"/>
      <c r="RCB111" s="3"/>
      <c r="RCC111" s="3"/>
      <c r="RCD111" s="3"/>
      <c r="RCE111" s="3"/>
      <c r="RCF111" s="3"/>
      <c r="RCG111" s="3"/>
      <c r="RCH111" s="3"/>
      <c r="RCI111" s="3"/>
      <c r="RCJ111" s="3"/>
      <c r="RCK111" s="3"/>
      <c r="RCL111" s="3"/>
      <c r="RCM111" s="3"/>
      <c r="RCN111" s="3"/>
      <c r="RCO111" s="3"/>
      <c r="RCP111" s="3"/>
      <c r="RCQ111" s="3"/>
      <c r="RCR111" s="3"/>
      <c r="RCS111" s="3"/>
      <c r="RCT111" s="3"/>
      <c r="RCU111" s="3"/>
      <c r="RCV111" s="3"/>
      <c r="RCW111" s="3"/>
      <c r="RCX111" s="3"/>
      <c r="RCY111" s="3"/>
      <c r="RCZ111" s="3"/>
      <c r="RDA111" s="3"/>
      <c r="RDB111" s="3"/>
      <c r="RDC111" s="3"/>
      <c r="RDD111" s="3"/>
      <c r="RDE111" s="3"/>
      <c r="RDF111" s="3"/>
      <c r="RDG111" s="3"/>
      <c r="RDH111" s="3"/>
      <c r="RDI111" s="3"/>
      <c r="RDJ111" s="3"/>
      <c r="RDK111" s="3"/>
      <c r="RDL111" s="3"/>
      <c r="RDM111" s="3"/>
      <c r="RDN111" s="3"/>
      <c r="RDO111" s="3"/>
      <c r="RDP111" s="3"/>
      <c r="RDQ111" s="3"/>
      <c r="RDR111" s="3"/>
      <c r="RDS111" s="3"/>
      <c r="RDT111" s="3"/>
      <c r="RDU111" s="3"/>
      <c r="RDV111" s="3"/>
      <c r="RDW111" s="3"/>
      <c r="RDX111" s="3"/>
      <c r="RDY111" s="3"/>
      <c r="RDZ111" s="3"/>
      <c r="REA111" s="3"/>
      <c r="REB111" s="3"/>
      <c r="REC111" s="3"/>
      <c r="RED111" s="3"/>
      <c r="REE111" s="3"/>
      <c r="REF111" s="3"/>
      <c r="REG111" s="3"/>
      <c r="REH111" s="3"/>
      <c r="REI111" s="3"/>
      <c r="REJ111" s="3"/>
      <c r="REK111" s="3"/>
      <c r="REL111" s="3"/>
      <c r="REM111" s="3"/>
      <c r="REN111" s="3"/>
      <c r="REO111" s="3"/>
      <c r="REP111" s="3"/>
      <c r="REQ111" s="3"/>
      <c r="RER111" s="3"/>
      <c r="RES111" s="3"/>
      <c r="RET111" s="3"/>
      <c r="REU111" s="3"/>
      <c r="REV111" s="3"/>
      <c r="REW111" s="3"/>
      <c r="REX111" s="3"/>
      <c r="REY111" s="3"/>
      <c r="REZ111" s="3"/>
      <c r="RFA111" s="3"/>
      <c r="RFB111" s="3"/>
      <c r="RFC111" s="3"/>
      <c r="RFD111" s="3"/>
      <c r="RFE111" s="3"/>
      <c r="RFF111" s="3"/>
      <c r="RFG111" s="3"/>
      <c r="RFH111" s="3"/>
      <c r="RFI111" s="3"/>
      <c r="RFJ111" s="3"/>
      <c r="RFK111" s="3"/>
      <c r="RFL111" s="3"/>
      <c r="RFM111" s="3"/>
      <c r="RFN111" s="3"/>
      <c r="RFO111" s="3"/>
      <c r="RFP111" s="3"/>
      <c r="RFQ111" s="3"/>
      <c r="RFR111" s="3"/>
      <c r="RFS111" s="3"/>
      <c r="RFT111" s="3"/>
      <c r="RFU111" s="3"/>
      <c r="RFV111" s="3"/>
      <c r="RFW111" s="3"/>
      <c r="RFX111" s="3"/>
      <c r="RFY111" s="3"/>
      <c r="RFZ111" s="3"/>
      <c r="RGA111" s="3"/>
      <c r="RGB111" s="3"/>
      <c r="RGC111" s="3"/>
      <c r="RGD111" s="3"/>
      <c r="RGE111" s="3"/>
      <c r="RGF111" s="3"/>
      <c r="RGG111" s="3"/>
      <c r="RGH111" s="3"/>
      <c r="RGI111" s="3"/>
      <c r="RGJ111" s="3"/>
      <c r="RGK111" s="3"/>
      <c r="RGL111" s="3"/>
      <c r="RGM111" s="3"/>
      <c r="RGN111" s="3"/>
      <c r="RGO111" s="3"/>
      <c r="RGP111" s="3"/>
      <c r="RGQ111" s="3"/>
      <c r="RGR111" s="3"/>
      <c r="RGS111" s="3"/>
      <c r="RGT111" s="3"/>
      <c r="RGU111" s="3"/>
      <c r="RGV111" s="3"/>
      <c r="RGW111" s="3"/>
      <c r="RGX111" s="3"/>
      <c r="RGY111" s="3"/>
      <c r="RGZ111" s="3"/>
      <c r="RHA111" s="3"/>
      <c r="RHB111" s="3"/>
      <c r="RHC111" s="3"/>
      <c r="RHD111" s="3"/>
      <c r="RHE111" s="3"/>
      <c r="RHF111" s="3"/>
      <c r="RHG111" s="3"/>
      <c r="RHH111" s="3"/>
      <c r="RHI111" s="3"/>
      <c r="RHJ111" s="3"/>
      <c r="RHK111" s="3"/>
      <c r="RHL111" s="3"/>
      <c r="RHM111" s="3"/>
      <c r="RHN111" s="3"/>
      <c r="RHO111" s="3"/>
      <c r="RHP111" s="3"/>
      <c r="RHQ111" s="3"/>
      <c r="RHR111" s="3"/>
      <c r="RHS111" s="3"/>
      <c r="RHT111" s="3"/>
      <c r="RHU111" s="3"/>
      <c r="RHV111" s="3"/>
      <c r="RHW111" s="3"/>
      <c r="RHX111" s="3"/>
      <c r="RHY111" s="3"/>
      <c r="RHZ111" s="3"/>
      <c r="RIA111" s="3"/>
      <c r="RIB111" s="3"/>
      <c r="RIC111" s="3"/>
      <c r="RID111" s="3"/>
      <c r="RIE111" s="3"/>
      <c r="RIF111" s="3"/>
      <c r="RIG111" s="3"/>
      <c r="RIH111" s="3"/>
      <c r="RII111" s="3"/>
      <c r="RIJ111" s="3"/>
      <c r="RIK111" s="3"/>
      <c r="RIL111" s="3"/>
      <c r="RIM111" s="3"/>
      <c r="RIN111" s="3"/>
      <c r="RIO111" s="3"/>
      <c r="RIP111" s="3"/>
      <c r="RIQ111" s="3"/>
      <c r="RIR111" s="3"/>
      <c r="RIS111" s="3"/>
      <c r="RIT111" s="3"/>
      <c r="RIU111" s="3"/>
      <c r="RIV111" s="3"/>
      <c r="RIW111" s="3"/>
      <c r="RIX111" s="3"/>
      <c r="RIY111" s="3"/>
      <c r="RIZ111" s="3"/>
      <c r="RJA111" s="3"/>
      <c r="RJB111" s="3"/>
      <c r="RJC111" s="3"/>
      <c r="RJD111" s="3"/>
      <c r="RJE111" s="3"/>
      <c r="RJF111" s="3"/>
      <c r="RJG111" s="3"/>
      <c r="RJH111" s="3"/>
      <c r="RJI111" s="3"/>
      <c r="RJJ111" s="3"/>
      <c r="RJK111" s="3"/>
      <c r="RJL111" s="3"/>
      <c r="RJM111" s="3"/>
      <c r="RJN111" s="3"/>
      <c r="RJO111" s="3"/>
      <c r="RJP111" s="3"/>
      <c r="RJQ111" s="3"/>
      <c r="RJR111" s="3"/>
      <c r="RJS111" s="3"/>
      <c r="RJT111" s="3"/>
      <c r="RJU111" s="3"/>
      <c r="RJV111" s="3"/>
      <c r="RJW111" s="3"/>
      <c r="RJX111" s="3"/>
      <c r="RJY111" s="3"/>
      <c r="RJZ111" s="3"/>
      <c r="RKA111" s="3"/>
      <c r="RKB111" s="3"/>
      <c r="RKC111" s="3"/>
      <c r="RKD111" s="3"/>
      <c r="RKE111" s="3"/>
      <c r="RKF111" s="3"/>
      <c r="RKG111" s="3"/>
      <c r="RKH111" s="3"/>
      <c r="RKI111" s="3"/>
      <c r="RKJ111" s="3"/>
      <c r="RKK111" s="3"/>
      <c r="RKL111" s="3"/>
      <c r="RKM111" s="3"/>
      <c r="RKN111" s="3"/>
      <c r="RKO111" s="3"/>
      <c r="RKP111" s="3"/>
      <c r="RKQ111" s="3"/>
      <c r="RKR111" s="3"/>
      <c r="RKS111" s="3"/>
      <c r="RKT111" s="3"/>
      <c r="RKU111" s="3"/>
      <c r="RKV111" s="3"/>
      <c r="RKW111" s="3"/>
      <c r="RKX111" s="3"/>
      <c r="RKY111" s="3"/>
      <c r="RKZ111" s="3"/>
      <c r="RLA111" s="3"/>
      <c r="RLB111" s="3"/>
      <c r="RLC111" s="3"/>
      <c r="RLD111" s="3"/>
      <c r="RLE111" s="3"/>
      <c r="RLF111" s="3"/>
      <c r="RLG111" s="3"/>
      <c r="RLH111" s="3"/>
      <c r="RLI111" s="3"/>
      <c r="RLJ111" s="3"/>
      <c r="RLK111" s="3"/>
      <c r="RLL111" s="3"/>
      <c r="RLM111" s="3"/>
      <c r="RLN111" s="3"/>
      <c r="RLO111" s="3"/>
      <c r="RLP111" s="3"/>
      <c r="RLQ111" s="3"/>
      <c r="RLR111" s="3"/>
      <c r="RLS111" s="3"/>
      <c r="RLT111" s="3"/>
      <c r="RLU111" s="3"/>
      <c r="RLV111" s="3"/>
      <c r="RLW111" s="3"/>
      <c r="RLX111" s="3"/>
      <c r="RLY111" s="3"/>
      <c r="RLZ111" s="3"/>
      <c r="RMA111" s="3"/>
      <c r="RMB111" s="3"/>
      <c r="RMC111" s="3"/>
      <c r="RMD111" s="3"/>
      <c r="RME111" s="3"/>
      <c r="RMF111" s="3"/>
      <c r="RMG111" s="3"/>
      <c r="RMH111" s="3"/>
      <c r="RMI111" s="3"/>
      <c r="RMJ111" s="3"/>
      <c r="RMK111" s="3"/>
      <c r="RML111" s="3"/>
      <c r="RMM111" s="3"/>
      <c r="RMN111" s="3"/>
      <c r="RMO111" s="3"/>
      <c r="RMP111" s="3"/>
      <c r="RMQ111" s="3"/>
      <c r="RMR111" s="3"/>
      <c r="RMS111" s="3"/>
      <c r="RMT111" s="3"/>
      <c r="RMU111" s="3"/>
      <c r="RMV111" s="3"/>
      <c r="RMW111" s="3"/>
      <c r="RMX111" s="3"/>
      <c r="RMY111" s="3"/>
      <c r="RMZ111" s="3"/>
      <c r="RNA111" s="3"/>
      <c r="RNB111" s="3"/>
      <c r="RNC111" s="3"/>
      <c r="RND111" s="3"/>
      <c r="RNE111" s="3"/>
      <c r="RNF111" s="3"/>
      <c r="RNG111" s="3"/>
      <c r="RNH111" s="3"/>
      <c r="RNI111" s="3"/>
      <c r="RNJ111" s="3"/>
      <c r="RNK111" s="3"/>
      <c r="RNL111" s="3"/>
      <c r="RNM111" s="3"/>
      <c r="RNN111" s="3"/>
      <c r="RNO111" s="3"/>
      <c r="RNP111" s="3"/>
      <c r="RNQ111" s="3"/>
      <c r="RNR111" s="3"/>
      <c r="RNS111" s="3"/>
      <c r="RNT111" s="3"/>
      <c r="RNU111" s="3"/>
      <c r="RNV111" s="3"/>
      <c r="RNW111" s="3"/>
      <c r="RNX111" s="3"/>
      <c r="RNY111" s="3"/>
      <c r="RNZ111" s="3"/>
      <c r="ROA111" s="3"/>
      <c r="ROB111" s="3"/>
      <c r="ROC111" s="3"/>
      <c r="ROD111" s="3"/>
      <c r="ROE111" s="3"/>
      <c r="ROF111" s="3"/>
      <c r="ROG111" s="3"/>
      <c r="ROH111" s="3"/>
      <c r="ROI111" s="3"/>
      <c r="ROJ111" s="3"/>
      <c r="ROK111" s="3"/>
      <c r="ROL111" s="3"/>
      <c r="ROM111" s="3"/>
      <c r="RON111" s="3"/>
      <c r="ROO111" s="3"/>
      <c r="ROP111" s="3"/>
      <c r="ROQ111" s="3"/>
      <c r="ROR111" s="3"/>
      <c r="ROS111" s="3"/>
      <c r="ROT111" s="3"/>
      <c r="ROU111" s="3"/>
      <c r="ROV111" s="3"/>
      <c r="ROW111" s="3"/>
      <c r="ROX111" s="3"/>
      <c r="ROY111" s="3"/>
      <c r="ROZ111" s="3"/>
      <c r="RPA111" s="3"/>
      <c r="RPB111" s="3"/>
      <c r="RPC111" s="3"/>
      <c r="RPD111" s="3"/>
      <c r="RPE111" s="3"/>
      <c r="RPF111" s="3"/>
      <c r="RPG111" s="3"/>
      <c r="RPH111" s="3"/>
      <c r="RPI111" s="3"/>
      <c r="RPJ111" s="3"/>
      <c r="RPK111" s="3"/>
      <c r="RPL111" s="3"/>
      <c r="RPM111" s="3"/>
      <c r="RPN111" s="3"/>
      <c r="RPO111" s="3"/>
      <c r="RPP111" s="3"/>
      <c r="RPQ111" s="3"/>
      <c r="RPR111" s="3"/>
      <c r="RPS111" s="3"/>
      <c r="RPT111" s="3"/>
      <c r="RPU111" s="3"/>
      <c r="RPV111" s="3"/>
      <c r="RPW111" s="3"/>
      <c r="RPX111" s="3"/>
      <c r="RPY111" s="3"/>
      <c r="RPZ111" s="3"/>
      <c r="RQA111" s="3"/>
      <c r="RQB111" s="3"/>
      <c r="RQC111" s="3"/>
      <c r="RQD111" s="3"/>
      <c r="RQE111" s="3"/>
      <c r="RQF111" s="3"/>
      <c r="RQG111" s="3"/>
      <c r="RQH111" s="3"/>
      <c r="RQI111" s="3"/>
      <c r="RQJ111" s="3"/>
      <c r="RQK111" s="3"/>
      <c r="RQL111" s="3"/>
      <c r="RQM111" s="3"/>
      <c r="RQN111" s="3"/>
      <c r="RQO111" s="3"/>
      <c r="RQP111" s="3"/>
      <c r="RQQ111" s="3"/>
      <c r="RQR111" s="3"/>
      <c r="RQS111" s="3"/>
      <c r="RQT111" s="3"/>
      <c r="RQU111" s="3"/>
      <c r="RQV111" s="3"/>
      <c r="RQW111" s="3"/>
      <c r="RQX111" s="3"/>
      <c r="RQY111" s="3"/>
      <c r="RQZ111" s="3"/>
      <c r="RRA111" s="3"/>
      <c r="RRB111" s="3"/>
      <c r="RRC111" s="3"/>
      <c r="RRD111" s="3"/>
      <c r="RRE111" s="3"/>
      <c r="RRF111" s="3"/>
      <c r="RRG111" s="3"/>
      <c r="RRH111" s="3"/>
      <c r="RRI111" s="3"/>
      <c r="RRJ111" s="3"/>
      <c r="RRK111" s="3"/>
      <c r="RRL111" s="3"/>
      <c r="RRM111" s="3"/>
      <c r="RRN111" s="3"/>
      <c r="RRO111" s="3"/>
      <c r="RRP111" s="3"/>
      <c r="RRQ111" s="3"/>
      <c r="RRR111" s="3"/>
      <c r="RRS111" s="3"/>
      <c r="RRT111" s="3"/>
      <c r="RRU111" s="3"/>
      <c r="RRV111" s="3"/>
      <c r="RRW111" s="3"/>
      <c r="RRX111" s="3"/>
      <c r="RRY111" s="3"/>
      <c r="RRZ111" s="3"/>
      <c r="RSA111" s="3"/>
      <c r="RSB111" s="3"/>
      <c r="RSC111" s="3"/>
      <c r="RSD111" s="3"/>
      <c r="RSE111" s="3"/>
      <c r="RSF111" s="3"/>
      <c r="RSG111" s="3"/>
      <c r="RSH111" s="3"/>
      <c r="RSI111" s="3"/>
      <c r="RSJ111" s="3"/>
      <c r="RSK111" s="3"/>
      <c r="RSL111" s="3"/>
      <c r="RSM111" s="3"/>
      <c r="RSN111" s="3"/>
      <c r="RSO111" s="3"/>
      <c r="RSP111" s="3"/>
      <c r="RSQ111" s="3"/>
      <c r="RSR111" s="3"/>
      <c r="RSS111" s="3"/>
      <c r="RST111" s="3"/>
      <c r="RSU111" s="3"/>
      <c r="RSV111" s="3"/>
      <c r="RSW111" s="3"/>
      <c r="RSX111" s="3"/>
      <c r="RSY111" s="3"/>
      <c r="RSZ111" s="3"/>
      <c r="RTA111" s="3"/>
      <c r="RTB111" s="3"/>
      <c r="RTC111" s="3"/>
      <c r="RTD111" s="3"/>
      <c r="RTE111" s="3"/>
      <c r="RTF111" s="3"/>
      <c r="RTG111" s="3"/>
      <c r="RTH111" s="3"/>
      <c r="RTI111" s="3"/>
      <c r="RTJ111" s="3"/>
      <c r="RTK111" s="3"/>
      <c r="RTL111" s="3"/>
      <c r="RTM111" s="3"/>
      <c r="RTN111" s="3"/>
      <c r="RTO111" s="3"/>
      <c r="RTP111" s="3"/>
      <c r="RTQ111" s="3"/>
      <c r="RTR111" s="3"/>
      <c r="RTS111" s="3"/>
      <c r="RTT111" s="3"/>
      <c r="RTU111" s="3"/>
      <c r="RTV111" s="3"/>
      <c r="RTW111" s="3"/>
      <c r="RTX111" s="3"/>
      <c r="RTY111" s="3"/>
      <c r="RTZ111" s="3"/>
      <c r="RUA111" s="3"/>
      <c r="RUB111" s="3"/>
      <c r="RUC111" s="3"/>
      <c r="RUD111" s="3"/>
      <c r="RUE111" s="3"/>
      <c r="RUF111" s="3"/>
      <c r="RUG111" s="3"/>
      <c r="RUH111" s="3"/>
      <c r="RUI111" s="3"/>
      <c r="RUJ111" s="3"/>
      <c r="RUK111" s="3"/>
      <c r="RUL111" s="3"/>
      <c r="RUM111" s="3"/>
      <c r="RUN111" s="3"/>
      <c r="RUO111" s="3"/>
      <c r="RUP111" s="3"/>
      <c r="RUQ111" s="3"/>
      <c r="RUR111" s="3"/>
      <c r="RUS111" s="3"/>
      <c r="RUT111" s="3"/>
      <c r="RUU111" s="3"/>
      <c r="RUV111" s="3"/>
      <c r="RUW111" s="3"/>
      <c r="RUX111" s="3"/>
      <c r="RUY111" s="3"/>
      <c r="RUZ111" s="3"/>
      <c r="RVA111" s="3"/>
      <c r="RVB111" s="3"/>
      <c r="RVC111" s="3"/>
      <c r="RVD111" s="3"/>
      <c r="RVE111" s="3"/>
      <c r="RVF111" s="3"/>
      <c r="RVG111" s="3"/>
      <c r="RVH111" s="3"/>
      <c r="RVI111" s="3"/>
      <c r="RVJ111" s="3"/>
      <c r="RVK111" s="3"/>
      <c r="RVL111" s="3"/>
      <c r="RVM111" s="3"/>
      <c r="RVN111" s="3"/>
      <c r="RVO111" s="3"/>
      <c r="RVP111" s="3"/>
      <c r="RVQ111" s="3"/>
      <c r="RVR111" s="3"/>
      <c r="RVS111" s="3"/>
      <c r="RVT111" s="3"/>
      <c r="RVU111" s="3"/>
      <c r="RVV111" s="3"/>
      <c r="RVW111" s="3"/>
      <c r="RVX111" s="3"/>
      <c r="RVY111" s="3"/>
      <c r="RVZ111" s="3"/>
      <c r="RWA111" s="3"/>
      <c r="RWB111" s="3"/>
      <c r="RWC111" s="3"/>
      <c r="RWD111" s="3"/>
      <c r="RWE111" s="3"/>
      <c r="RWF111" s="3"/>
      <c r="RWG111" s="3"/>
      <c r="RWH111" s="3"/>
      <c r="RWI111" s="3"/>
      <c r="RWJ111" s="3"/>
      <c r="RWK111" s="3"/>
      <c r="RWL111" s="3"/>
      <c r="RWM111" s="3"/>
      <c r="RWN111" s="3"/>
      <c r="RWO111" s="3"/>
      <c r="RWP111" s="3"/>
      <c r="RWQ111" s="3"/>
      <c r="RWR111" s="3"/>
      <c r="RWS111" s="3"/>
      <c r="RWT111" s="3"/>
      <c r="RWU111" s="3"/>
      <c r="RWV111" s="3"/>
      <c r="RWW111" s="3"/>
      <c r="RWX111" s="3"/>
      <c r="RWY111" s="3"/>
      <c r="RWZ111" s="3"/>
      <c r="RXA111" s="3"/>
      <c r="RXB111" s="3"/>
      <c r="RXC111" s="3"/>
      <c r="RXD111" s="3"/>
      <c r="RXE111" s="3"/>
      <c r="RXF111" s="3"/>
      <c r="RXG111" s="3"/>
      <c r="RXH111" s="3"/>
      <c r="RXI111" s="3"/>
      <c r="RXJ111" s="3"/>
      <c r="RXK111" s="3"/>
      <c r="RXL111" s="3"/>
      <c r="RXM111" s="3"/>
      <c r="RXN111" s="3"/>
      <c r="RXO111" s="3"/>
      <c r="RXP111" s="3"/>
      <c r="RXQ111" s="3"/>
      <c r="RXR111" s="3"/>
      <c r="RXS111" s="3"/>
      <c r="RXT111" s="3"/>
      <c r="RXU111" s="3"/>
      <c r="RXV111" s="3"/>
      <c r="RXW111" s="3"/>
      <c r="RXX111" s="3"/>
      <c r="RXY111" s="3"/>
      <c r="RXZ111" s="3"/>
      <c r="RYA111" s="3"/>
      <c r="RYB111" s="3"/>
      <c r="RYC111" s="3"/>
      <c r="RYD111" s="3"/>
      <c r="RYE111" s="3"/>
      <c r="RYF111" s="3"/>
      <c r="RYG111" s="3"/>
      <c r="RYH111" s="3"/>
      <c r="RYI111" s="3"/>
      <c r="RYJ111" s="3"/>
      <c r="RYK111" s="3"/>
      <c r="RYL111" s="3"/>
      <c r="RYM111" s="3"/>
      <c r="RYN111" s="3"/>
      <c r="RYO111" s="3"/>
      <c r="RYP111" s="3"/>
      <c r="RYQ111" s="3"/>
      <c r="RYR111" s="3"/>
      <c r="RYS111" s="3"/>
      <c r="RYT111" s="3"/>
      <c r="RYU111" s="3"/>
      <c r="RYV111" s="3"/>
      <c r="RYW111" s="3"/>
      <c r="RYX111" s="3"/>
      <c r="RYY111" s="3"/>
      <c r="RYZ111" s="3"/>
      <c r="RZA111" s="3"/>
      <c r="RZB111" s="3"/>
      <c r="RZC111" s="3"/>
      <c r="RZD111" s="3"/>
      <c r="RZE111" s="3"/>
      <c r="RZF111" s="3"/>
      <c r="RZG111" s="3"/>
      <c r="RZH111" s="3"/>
      <c r="RZI111" s="3"/>
      <c r="RZJ111" s="3"/>
      <c r="RZK111" s="3"/>
      <c r="RZL111" s="3"/>
      <c r="RZM111" s="3"/>
      <c r="RZN111" s="3"/>
      <c r="RZO111" s="3"/>
      <c r="RZP111" s="3"/>
      <c r="RZQ111" s="3"/>
      <c r="RZR111" s="3"/>
      <c r="RZS111" s="3"/>
      <c r="RZT111" s="3"/>
      <c r="RZU111" s="3"/>
      <c r="RZV111" s="3"/>
      <c r="RZW111" s="3"/>
      <c r="RZX111" s="3"/>
      <c r="RZY111" s="3"/>
      <c r="RZZ111" s="3"/>
      <c r="SAA111" s="3"/>
      <c r="SAB111" s="3"/>
      <c r="SAC111" s="3"/>
      <c r="SAD111" s="3"/>
      <c r="SAE111" s="3"/>
      <c r="SAF111" s="3"/>
      <c r="SAG111" s="3"/>
      <c r="SAH111" s="3"/>
      <c r="SAI111" s="3"/>
      <c r="SAJ111" s="3"/>
      <c r="SAK111" s="3"/>
      <c r="SAL111" s="3"/>
      <c r="SAM111" s="3"/>
      <c r="SAN111" s="3"/>
      <c r="SAO111" s="3"/>
      <c r="SAP111" s="3"/>
      <c r="SAQ111" s="3"/>
      <c r="SAR111" s="3"/>
      <c r="SAS111" s="3"/>
      <c r="SAT111" s="3"/>
      <c r="SAU111" s="3"/>
      <c r="SAV111" s="3"/>
      <c r="SAW111" s="3"/>
      <c r="SAX111" s="3"/>
      <c r="SAY111" s="3"/>
      <c r="SAZ111" s="3"/>
      <c r="SBA111" s="3"/>
      <c r="SBB111" s="3"/>
      <c r="SBC111" s="3"/>
      <c r="SBD111" s="3"/>
      <c r="SBE111" s="3"/>
      <c r="SBF111" s="3"/>
      <c r="SBG111" s="3"/>
      <c r="SBH111" s="3"/>
      <c r="SBI111" s="3"/>
      <c r="SBJ111" s="3"/>
      <c r="SBK111" s="3"/>
      <c r="SBL111" s="3"/>
      <c r="SBM111" s="3"/>
      <c r="SBN111" s="3"/>
      <c r="SBO111" s="3"/>
      <c r="SBP111" s="3"/>
      <c r="SBQ111" s="3"/>
      <c r="SBR111" s="3"/>
      <c r="SBS111" s="3"/>
      <c r="SBT111" s="3"/>
      <c r="SBU111" s="3"/>
      <c r="SBV111" s="3"/>
      <c r="SBW111" s="3"/>
      <c r="SBX111" s="3"/>
      <c r="SBY111" s="3"/>
      <c r="SBZ111" s="3"/>
      <c r="SCA111" s="3"/>
      <c r="SCB111" s="3"/>
      <c r="SCC111" s="3"/>
      <c r="SCD111" s="3"/>
      <c r="SCE111" s="3"/>
      <c r="SCF111" s="3"/>
      <c r="SCG111" s="3"/>
      <c r="SCH111" s="3"/>
      <c r="SCI111" s="3"/>
      <c r="SCJ111" s="3"/>
      <c r="SCK111" s="3"/>
      <c r="SCL111" s="3"/>
      <c r="SCM111" s="3"/>
      <c r="SCN111" s="3"/>
      <c r="SCO111" s="3"/>
      <c r="SCP111" s="3"/>
      <c r="SCQ111" s="3"/>
      <c r="SCR111" s="3"/>
      <c r="SCS111" s="3"/>
      <c r="SCT111" s="3"/>
      <c r="SCU111" s="3"/>
      <c r="SCV111" s="3"/>
      <c r="SCW111" s="3"/>
      <c r="SCX111" s="3"/>
      <c r="SCY111" s="3"/>
      <c r="SCZ111" s="3"/>
      <c r="SDA111" s="3"/>
      <c r="SDB111" s="3"/>
      <c r="SDC111" s="3"/>
      <c r="SDD111" s="3"/>
      <c r="SDE111" s="3"/>
      <c r="SDF111" s="3"/>
      <c r="SDG111" s="3"/>
      <c r="SDH111" s="3"/>
      <c r="SDI111" s="3"/>
      <c r="SDJ111" s="3"/>
      <c r="SDK111" s="3"/>
      <c r="SDL111" s="3"/>
      <c r="SDM111" s="3"/>
      <c r="SDN111" s="3"/>
      <c r="SDO111" s="3"/>
      <c r="SDP111" s="3"/>
      <c r="SDQ111" s="3"/>
      <c r="SDR111" s="3"/>
      <c r="SDS111" s="3"/>
      <c r="SDT111" s="3"/>
      <c r="SDU111" s="3"/>
      <c r="SDV111" s="3"/>
      <c r="SDW111" s="3"/>
      <c r="SDX111" s="3"/>
      <c r="SDY111" s="3"/>
      <c r="SDZ111" s="3"/>
      <c r="SEA111" s="3"/>
      <c r="SEB111" s="3"/>
      <c r="SEC111" s="3"/>
      <c r="SED111" s="3"/>
      <c r="SEE111" s="3"/>
      <c r="SEF111" s="3"/>
      <c r="SEG111" s="3"/>
      <c r="SEH111" s="3"/>
      <c r="SEI111" s="3"/>
      <c r="SEJ111" s="3"/>
      <c r="SEK111" s="3"/>
      <c r="SEL111" s="3"/>
      <c r="SEM111" s="3"/>
      <c r="SEN111" s="3"/>
      <c r="SEO111" s="3"/>
      <c r="SEP111" s="3"/>
      <c r="SEQ111" s="3"/>
      <c r="SER111" s="3"/>
      <c r="SES111" s="3"/>
      <c r="SET111" s="3"/>
      <c r="SEU111" s="3"/>
      <c r="SEV111" s="3"/>
      <c r="SEW111" s="3"/>
      <c r="SEX111" s="3"/>
      <c r="SEY111" s="3"/>
      <c r="SEZ111" s="3"/>
      <c r="SFA111" s="3"/>
      <c r="SFB111" s="3"/>
      <c r="SFC111" s="3"/>
      <c r="SFD111" s="3"/>
      <c r="SFE111" s="3"/>
      <c r="SFF111" s="3"/>
      <c r="SFG111" s="3"/>
      <c r="SFH111" s="3"/>
      <c r="SFI111" s="3"/>
      <c r="SFJ111" s="3"/>
      <c r="SFK111" s="3"/>
      <c r="SFL111" s="3"/>
      <c r="SFM111" s="3"/>
      <c r="SFN111" s="3"/>
      <c r="SFO111" s="3"/>
      <c r="SFP111" s="3"/>
      <c r="SFQ111" s="3"/>
      <c r="SFR111" s="3"/>
      <c r="SFS111" s="3"/>
      <c r="SFT111" s="3"/>
      <c r="SFU111" s="3"/>
      <c r="SFV111" s="3"/>
      <c r="SFW111" s="3"/>
      <c r="SFX111" s="3"/>
      <c r="SFY111" s="3"/>
      <c r="SFZ111" s="3"/>
      <c r="SGA111" s="3"/>
      <c r="SGB111" s="3"/>
      <c r="SGC111" s="3"/>
      <c r="SGD111" s="3"/>
      <c r="SGE111" s="3"/>
      <c r="SGF111" s="3"/>
      <c r="SGG111" s="3"/>
      <c r="SGH111" s="3"/>
      <c r="SGI111" s="3"/>
      <c r="SGJ111" s="3"/>
      <c r="SGK111" s="3"/>
      <c r="SGL111" s="3"/>
      <c r="SGM111" s="3"/>
      <c r="SGN111" s="3"/>
      <c r="SGO111" s="3"/>
      <c r="SGP111" s="3"/>
      <c r="SGQ111" s="3"/>
      <c r="SGR111" s="3"/>
      <c r="SGS111" s="3"/>
      <c r="SGT111" s="3"/>
      <c r="SGU111" s="3"/>
      <c r="SGV111" s="3"/>
      <c r="SGW111" s="3"/>
      <c r="SGX111" s="3"/>
      <c r="SGY111" s="3"/>
      <c r="SGZ111" s="3"/>
      <c r="SHA111" s="3"/>
      <c r="SHB111" s="3"/>
      <c r="SHC111" s="3"/>
      <c r="SHD111" s="3"/>
      <c r="SHE111" s="3"/>
      <c r="SHF111" s="3"/>
      <c r="SHG111" s="3"/>
      <c r="SHH111" s="3"/>
      <c r="SHI111" s="3"/>
      <c r="SHJ111" s="3"/>
      <c r="SHK111" s="3"/>
      <c r="SHL111" s="3"/>
      <c r="SHM111" s="3"/>
      <c r="SHN111" s="3"/>
      <c r="SHO111" s="3"/>
      <c r="SHP111" s="3"/>
      <c r="SHQ111" s="3"/>
      <c r="SHR111" s="3"/>
      <c r="SHS111" s="3"/>
      <c r="SHT111" s="3"/>
      <c r="SHU111" s="3"/>
      <c r="SHV111" s="3"/>
      <c r="SHW111" s="3"/>
      <c r="SHX111" s="3"/>
      <c r="SHY111" s="3"/>
      <c r="SHZ111" s="3"/>
      <c r="SIA111" s="3"/>
      <c r="SIB111" s="3"/>
      <c r="SIC111" s="3"/>
      <c r="SID111" s="3"/>
      <c r="SIE111" s="3"/>
      <c r="SIF111" s="3"/>
      <c r="SIG111" s="3"/>
      <c r="SIH111" s="3"/>
      <c r="SII111" s="3"/>
      <c r="SIJ111" s="3"/>
      <c r="SIK111" s="3"/>
      <c r="SIL111" s="3"/>
      <c r="SIM111" s="3"/>
      <c r="SIN111" s="3"/>
      <c r="SIO111" s="3"/>
      <c r="SIP111" s="3"/>
      <c r="SIQ111" s="3"/>
      <c r="SIR111" s="3"/>
      <c r="SIS111" s="3"/>
      <c r="SIT111" s="3"/>
      <c r="SIU111" s="3"/>
      <c r="SIV111" s="3"/>
      <c r="SIW111" s="3"/>
      <c r="SIX111" s="3"/>
      <c r="SIY111" s="3"/>
      <c r="SIZ111" s="3"/>
      <c r="SJA111" s="3"/>
      <c r="SJB111" s="3"/>
      <c r="SJC111" s="3"/>
      <c r="SJD111" s="3"/>
      <c r="SJE111" s="3"/>
      <c r="SJF111" s="3"/>
      <c r="SJG111" s="3"/>
      <c r="SJH111" s="3"/>
      <c r="SJI111" s="3"/>
      <c r="SJJ111" s="3"/>
      <c r="SJK111" s="3"/>
      <c r="SJL111" s="3"/>
      <c r="SJM111" s="3"/>
      <c r="SJN111" s="3"/>
      <c r="SJO111" s="3"/>
      <c r="SJP111" s="3"/>
      <c r="SJQ111" s="3"/>
      <c r="SJR111" s="3"/>
      <c r="SJS111" s="3"/>
      <c r="SJT111" s="3"/>
      <c r="SJU111" s="3"/>
      <c r="SJV111" s="3"/>
      <c r="SJW111" s="3"/>
      <c r="SJX111" s="3"/>
      <c r="SJY111" s="3"/>
      <c r="SJZ111" s="3"/>
      <c r="SKA111" s="3"/>
      <c r="SKB111" s="3"/>
      <c r="SKC111" s="3"/>
      <c r="SKD111" s="3"/>
      <c r="SKE111" s="3"/>
      <c r="SKF111" s="3"/>
      <c r="SKG111" s="3"/>
      <c r="SKH111" s="3"/>
      <c r="SKI111" s="3"/>
      <c r="SKJ111" s="3"/>
      <c r="SKK111" s="3"/>
      <c r="SKL111" s="3"/>
      <c r="SKM111" s="3"/>
      <c r="SKN111" s="3"/>
      <c r="SKO111" s="3"/>
      <c r="SKP111" s="3"/>
      <c r="SKQ111" s="3"/>
      <c r="SKR111" s="3"/>
      <c r="SKS111" s="3"/>
      <c r="SKT111" s="3"/>
      <c r="SKU111" s="3"/>
      <c r="SKV111" s="3"/>
      <c r="SKW111" s="3"/>
      <c r="SKX111" s="3"/>
      <c r="SKY111" s="3"/>
      <c r="SKZ111" s="3"/>
      <c r="SLA111" s="3"/>
      <c r="SLB111" s="3"/>
      <c r="SLC111" s="3"/>
      <c r="SLD111" s="3"/>
      <c r="SLE111" s="3"/>
      <c r="SLF111" s="3"/>
      <c r="SLG111" s="3"/>
      <c r="SLH111" s="3"/>
      <c r="SLI111" s="3"/>
      <c r="SLJ111" s="3"/>
      <c r="SLK111" s="3"/>
      <c r="SLL111" s="3"/>
      <c r="SLM111" s="3"/>
      <c r="SLN111" s="3"/>
      <c r="SLO111" s="3"/>
      <c r="SLP111" s="3"/>
      <c r="SLQ111" s="3"/>
      <c r="SLR111" s="3"/>
      <c r="SLS111" s="3"/>
      <c r="SLT111" s="3"/>
      <c r="SLU111" s="3"/>
      <c r="SLV111" s="3"/>
      <c r="SLW111" s="3"/>
      <c r="SLX111" s="3"/>
      <c r="SLY111" s="3"/>
      <c r="SLZ111" s="3"/>
      <c r="SMA111" s="3"/>
      <c r="SMB111" s="3"/>
      <c r="SMC111" s="3"/>
      <c r="SMD111" s="3"/>
      <c r="SME111" s="3"/>
      <c r="SMF111" s="3"/>
      <c r="SMG111" s="3"/>
      <c r="SMH111" s="3"/>
      <c r="SMI111" s="3"/>
      <c r="SMJ111" s="3"/>
      <c r="SMK111" s="3"/>
      <c r="SML111" s="3"/>
      <c r="SMM111" s="3"/>
      <c r="SMN111" s="3"/>
      <c r="SMO111" s="3"/>
      <c r="SMP111" s="3"/>
      <c r="SMQ111" s="3"/>
      <c r="SMR111" s="3"/>
      <c r="SMS111" s="3"/>
      <c r="SMT111" s="3"/>
      <c r="SMU111" s="3"/>
      <c r="SMV111" s="3"/>
      <c r="SMW111" s="3"/>
      <c r="SMX111" s="3"/>
      <c r="SMY111" s="3"/>
      <c r="SMZ111" s="3"/>
      <c r="SNA111" s="3"/>
      <c r="SNB111" s="3"/>
      <c r="SNC111" s="3"/>
      <c r="SND111" s="3"/>
      <c r="SNE111" s="3"/>
      <c r="SNF111" s="3"/>
      <c r="SNG111" s="3"/>
      <c r="SNH111" s="3"/>
      <c r="SNI111" s="3"/>
      <c r="SNJ111" s="3"/>
      <c r="SNK111" s="3"/>
      <c r="SNL111" s="3"/>
      <c r="SNM111" s="3"/>
      <c r="SNN111" s="3"/>
      <c r="SNO111" s="3"/>
      <c r="SNP111" s="3"/>
      <c r="SNQ111" s="3"/>
      <c r="SNR111" s="3"/>
      <c r="SNS111" s="3"/>
      <c r="SNT111" s="3"/>
      <c r="SNU111" s="3"/>
      <c r="SNV111" s="3"/>
      <c r="SNW111" s="3"/>
      <c r="SNX111" s="3"/>
      <c r="SNY111" s="3"/>
      <c r="SNZ111" s="3"/>
      <c r="SOA111" s="3"/>
      <c r="SOB111" s="3"/>
      <c r="SOC111" s="3"/>
      <c r="SOD111" s="3"/>
      <c r="SOE111" s="3"/>
      <c r="SOF111" s="3"/>
      <c r="SOG111" s="3"/>
      <c r="SOH111" s="3"/>
      <c r="SOI111" s="3"/>
      <c r="SOJ111" s="3"/>
      <c r="SOK111" s="3"/>
      <c r="SOL111" s="3"/>
      <c r="SOM111" s="3"/>
      <c r="SON111" s="3"/>
      <c r="SOO111" s="3"/>
      <c r="SOP111" s="3"/>
      <c r="SOQ111" s="3"/>
      <c r="SOR111" s="3"/>
      <c r="SOS111" s="3"/>
      <c r="SOT111" s="3"/>
      <c r="SOU111" s="3"/>
      <c r="SOV111" s="3"/>
      <c r="SOW111" s="3"/>
      <c r="SOX111" s="3"/>
      <c r="SOY111" s="3"/>
      <c r="SOZ111" s="3"/>
      <c r="SPA111" s="3"/>
      <c r="SPB111" s="3"/>
      <c r="SPC111" s="3"/>
      <c r="SPD111" s="3"/>
      <c r="SPE111" s="3"/>
      <c r="SPF111" s="3"/>
      <c r="SPG111" s="3"/>
      <c r="SPH111" s="3"/>
      <c r="SPI111" s="3"/>
      <c r="SPJ111" s="3"/>
      <c r="SPK111" s="3"/>
      <c r="SPL111" s="3"/>
      <c r="SPM111" s="3"/>
      <c r="SPN111" s="3"/>
      <c r="SPO111" s="3"/>
      <c r="SPP111" s="3"/>
      <c r="SPQ111" s="3"/>
      <c r="SPR111" s="3"/>
      <c r="SPS111" s="3"/>
      <c r="SPT111" s="3"/>
      <c r="SPU111" s="3"/>
      <c r="SPV111" s="3"/>
      <c r="SPW111" s="3"/>
      <c r="SPX111" s="3"/>
      <c r="SPY111" s="3"/>
      <c r="SPZ111" s="3"/>
      <c r="SQA111" s="3"/>
      <c r="SQB111" s="3"/>
      <c r="SQC111" s="3"/>
      <c r="SQD111" s="3"/>
      <c r="SQE111" s="3"/>
      <c r="SQF111" s="3"/>
      <c r="SQG111" s="3"/>
      <c r="SQH111" s="3"/>
      <c r="SQI111" s="3"/>
      <c r="SQJ111" s="3"/>
      <c r="SQK111" s="3"/>
      <c r="SQL111" s="3"/>
      <c r="SQM111" s="3"/>
      <c r="SQN111" s="3"/>
      <c r="SQO111" s="3"/>
      <c r="SQP111" s="3"/>
      <c r="SQQ111" s="3"/>
      <c r="SQR111" s="3"/>
      <c r="SQS111" s="3"/>
      <c r="SQT111" s="3"/>
      <c r="SQU111" s="3"/>
      <c r="SQV111" s="3"/>
      <c r="SQW111" s="3"/>
      <c r="SQX111" s="3"/>
      <c r="SQY111" s="3"/>
      <c r="SQZ111" s="3"/>
      <c r="SRA111" s="3"/>
      <c r="SRB111" s="3"/>
      <c r="SRC111" s="3"/>
      <c r="SRD111" s="3"/>
      <c r="SRE111" s="3"/>
      <c r="SRF111" s="3"/>
      <c r="SRG111" s="3"/>
      <c r="SRH111" s="3"/>
      <c r="SRI111" s="3"/>
      <c r="SRJ111" s="3"/>
      <c r="SRK111" s="3"/>
      <c r="SRL111" s="3"/>
      <c r="SRM111" s="3"/>
      <c r="SRN111" s="3"/>
      <c r="SRO111" s="3"/>
      <c r="SRP111" s="3"/>
      <c r="SRQ111" s="3"/>
      <c r="SRR111" s="3"/>
      <c r="SRS111" s="3"/>
      <c r="SRT111" s="3"/>
      <c r="SRU111" s="3"/>
      <c r="SRV111" s="3"/>
      <c r="SRW111" s="3"/>
      <c r="SRX111" s="3"/>
      <c r="SRY111" s="3"/>
      <c r="SRZ111" s="3"/>
      <c r="SSA111" s="3"/>
      <c r="SSB111" s="3"/>
      <c r="SSC111" s="3"/>
      <c r="SSD111" s="3"/>
      <c r="SSE111" s="3"/>
      <c r="SSF111" s="3"/>
      <c r="SSG111" s="3"/>
      <c r="SSH111" s="3"/>
      <c r="SSI111" s="3"/>
      <c r="SSJ111" s="3"/>
      <c r="SSK111" s="3"/>
      <c r="SSL111" s="3"/>
      <c r="SSM111" s="3"/>
      <c r="SSN111" s="3"/>
      <c r="SSO111" s="3"/>
      <c r="SSP111" s="3"/>
      <c r="SSQ111" s="3"/>
      <c r="SSR111" s="3"/>
      <c r="SSS111" s="3"/>
      <c r="SST111" s="3"/>
      <c r="SSU111" s="3"/>
      <c r="SSV111" s="3"/>
      <c r="SSW111" s="3"/>
      <c r="SSX111" s="3"/>
      <c r="SSY111" s="3"/>
      <c r="SSZ111" s="3"/>
      <c r="STA111" s="3"/>
      <c r="STB111" s="3"/>
      <c r="STC111" s="3"/>
      <c r="STD111" s="3"/>
      <c r="STE111" s="3"/>
      <c r="STF111" s="3"/>
      <c r="STG111" s="3"/>
      <c r="STH111" s="3"/>
      <c r="STI111" s="3"/>
      <c r="STJ111" s="3"/>
      <c r="STK111" s="3"/>
      <c r="STL111" s="3"/>
      <c r="STM111" s="3"/>
      <c r="STN111" s="3"/>
      <c r="STO111" s="3"/>
      <c r="STP111" s="3"/>
      <c r="STQ111" s="3"/>
      <c r="STR111" s="3"/>
      <c r="STS111" s="3"/>
      <c r="STT111" s="3"/>
      <c r="STU111" s="3"/>
      <c r="STV111" s="3"/>
      <c r="STW111" s="3"/>
      <c r="STX111" s="3"/>
      <c r="STY111" s="3"/>
      <c r="STZ111" s="3"/>
      <c r="SUA111" s="3"/>
      <c r="SUB111" s="3"/>
      <c r="SUC111" s="3"/>
      <c r="SUD111" s="3"/>
      <c r="SUE111" s="3"/>
      <c r="SUF111" s="3"/>
      <c r="SUG111" s="3"/>
      <c r="SUH111" s="3"/>
      <c r="SUI111" s="3"/>
      <c r="SUJ111" s="3"/>
      <c r="SUK111" s="3"/>
      <c r="SUL111" s="3"/>
      <c r="SUM111" s="3"/>
      <c r="SUN111" s="3"/>
      <c r="SUO111" s="3"/>
      <c r="SUP111" s="3"/>
      <c r="SUQ111" s="3"/>
      <c r="SUR111" s="3"/>
      <c r="SUS111" s="3"/>
      <c r="SUT111" s="3"/>
      <c r="SUU111" s="3"/>
      <c r="SUV111" s="3"/>
      <c r="SUW111" s="3"/>
      <c r="SUX111" s="3"/>
      <c r="SUY111" s="3"/>
      <c r="SUZ111" s="3"/>
      <c r="SVA111" s="3"/>
      <c r="SVB111" s="3"/>
      <c r="SVC111" s="3"/>
      <c r="SVD111" s="3"/>
      <c r="SVE111" s="3"/>
      <c r="SVF111" s="3"/>
      <c r="SVG111" s="3"/>
      <c r="SVH111" s="3"/>
      <c r="SVI111" s="3"/>
      <c r="SVJ111" s="3"/>
      <c r="SVK111" s="3"/>
      <c r="SVL111" s="3"/>
      <c r="SVM111" s="3"/>
      <c r="SVN111" s="3"/>
      <c r="SVO111" s="3"/>
      <c r="SVP111" s="3"/>
      <c r="SVQ111" s="3"/>
      <c r="SVR111" s="3"/>
      <c r="SVS111" s="3"/>
      <c r="SVT111" s="3"/>
      <c r="SVU111" s="3"/>
      <c r="SVV111" s="3"/>
      <c r="SVW111" s="3"/>
      <c r="SVX111" s="3"/>
      <c r="SVY111" s="3"/>
      <c r="SVZ111" s="3"/>
      <c r="SWA111" s="3"/>
      <c r="SWB111" s="3"/>
      <c r="SWC111" s="3"/>
      <c r="SWD111" s="3"/>
      <c r="SWE111" s="3"/>
      <c r="SWF111" s="3"/>
      <c r="SWG111" s="3"/>
      <c r="SWH111" s="3"/>
      <c r="SWI111" s="3"/>
      <c r="SWJ111" s="3"/>
      <c r="SWK111" s="3"/>
      <c r="SWL111" s="3"/>
      <c r="SWM111" s="3"/>
      <c r="SWN111" s="3"/>
      <c r="SWO111" s="3"/>
      <c r="SWP111" s="3"/>
      <c r="SWQ111" s="3"/>
      <c r="SWR111" s="3"/>
      <c r="SWS111" s="3"/>
      <c r="SWT111" s="3"/>
      <c r="SWU111" s="3"/>
      <c r="SWV111" s="3"/>
      <c r="SWW111" s="3"/>
      <c r="SWX111" s="3"/>
      <c r="SWY111" s="3"/>
      <c r="SWZ111" s="3"/>
      <c r="SXA111" s="3"/>
      <c r="SXB111" s="3"/>
      <c r="SXC111" s="3"/>
      <c r="SXD111" s="3"/>
      <c r="SXE111" s="3"/>
      <c r="SXF111" s="3"/>
      <c r="SXG111" s="3"/>
      <c r="SXH111" s="3"/>
      <c r="SXI111" s="3"/>
      <c r="SXJ111" s="3"/>
      <c r="SXK111" s="3"/>
      <c r="SXL111" s="3"/>
      <c r="SXM111" s="3"/>
      <c r="SXN111" s="3"/>
      <c r="SXO111" s="3"/>
      <c r="SXP111" s="3"/>
      <c r="SXQ111" s="3"/>
      <c r="SXR111" s="3"/>
      <c r="SXS111" s="3"/>
      <c r="SXT111" s="3"/>
      <c r="SXU111" s="3"/>
      <c r="SXV111" s="3"/>
      <c r="SXW111" s="3"/>
      <c r="SXX111" s="3"/>
      <c r="SXY111" s="3"/>
      <c r="SXZ111" s="3"/>
      <c r="SYA111" s="3"/>
      <c r="SYB111" s="3"/>
      <c r="SYC111" s="3"/>
      <c r="SYD111" s="3"/>
      <c r="SYE111" s="3"/>
      <c r="SYF111" s="3"/>
      <c r="SYG111" s="3"/>
      <c r="SYH111" s="3"/>
      <c r="SYI111" s="3"/>
      <c r="SYJ111" s="3"/>
      <c r="SYK111" s="3"/>
      <c r="SYL111" s="3"/>
      <c r="SYM111" s="3"/>
      <c r="SYN111" s="3"/>
      <c r="SYO111" s="3"/>
      <c r="SYP111" s="3"/>
      <c r="SYQ111" s="3"/>
      <c r="SYR111" s="3"/>
      <c r="SYS111" s="3"/>
      <c r="SYT111" s="3"/>
      <c r="SYU111" s="3"/>
      <c r="SYV111" s="3"/>
      <c r="SYW111" s="3"/>
      <c r="SYX111" s="3"/>
      <c r="SYY111" s="3"/>
      <c r="SYZ111" s="3"/>
      <c r="SZA111" s="3"/>
      <c r="SZB111" s="3"/>
      <c r="SZC111" s="3"/>
      <c r="SZD111" s="3"/>
      <c r="SZE111" s="3"/>
      <c r="SZF111" s="3"/>
      <c r="SZG111" s="3"/>
      <c r="SZH111" s="3"/>
      <c r="SZI111" s="3"/>
      <c r="SZJ111" s="3"/>
      <c r="SZK111" s="3"/>
      <c r="SZL111" s="3"/>
      <c r="SZM111" s="3"/>
      <c r="SZN111" s="3"/>
      <c r="SZO111" s="3"/>
      <c r="SZP111" s="3"/>
      <c r="SZQ111" s="3"/>
      <c r="SZR111" s="3"/>
      <c r="SZS111" s="3"/>
      <c r="SZT111" s="3"/>
      <c r="SZU111" s="3"/>
      <c r="SZV111" s="3"/>
      <c r="SZW111" s="3"/>
      <c r="SZX111" s="3"/>
      <c r="SZY111" s="3"/>
      <c r="SZZ111" s="3"/>
      <c r="TAA111" s="3"/>
      <c r="TAB111" s="3"/>
      <c r="TAC111" s="3"/>
      <c r="TAD111" s="3"/>
      <c r="TAE111" s="3"/>
      <c r="TAF111" s="3"/>
      <c r="TAG111" s="3"/>
      <c r="TAH111" s="3"/>
      <c r="TAI111" s="3"/>
      <c r="TAJ111" s="3"/>
      <c r="TAK111" s="3"/>
      <c r="TAL111" s="3"/>
      <c r="TAM111" s="3"/>
      <c r="TAN111" s="3"/>
      <c r="TAO111" s="3"/>
      <c r="TAP111" s="3"/>
      <c r="TAQ111" s="3"/>
      <c r="TAR111" s="3"/>
      <c r="TAS111" s="3"/>
      <c r="TAT111" s="3"/>
      <c r="TAU111" s="3"/>
      <c r="TAV111" s="3"/>
      <c r="TAW111" s="3"/>
      <c r="TAX111" s="3"/>
      <c r="TAY111" s="3"/>
      <c r="TAZ111" s="3"/>
      <c r="TBA111" s="3"/>
      <c r="TBB111" s="3"/>
      <c r="TBC111" s="3"/>
      <c r="TBD111" s="3"/>
      <c r="TBE111" s="3"/>
      <c r="TBF111" s="3"/>
      <c r="TBG111" s="3"/>
      <c r="TBH111" s="3"/>
      <c r="TBI111" s="3"/>
      <c r="TBJ111" s="3"/>
      <c r="TBK111" s="3"/>
      <c r="TBL111" s="3"/>
      <c r="TBM111" s="3"/>
      <c r="TBN111" s="3"/>
      <c r="TBO111" s="3"/>
      <c r="TBP111" s="3"/>
      <c r="TBQ111" s="3"/>
      <c r="TBR111" s="3"/>
      <c r="TBS111" s="3"/>
      <c r="TBT111" s="3"/>
      <c r="TBU111" s="3"/>
      <c r="TBV111" s="3"/>
      <c r="TBW111" s="3"/>
      <c r="TBX111" s="3"/>
      <c r="TBY111" s="3"/>
      <c r="TBZ111" s="3"/>
      <c r="TCA111" s="3"/>
      <c r="TCB111" s="3"/>
      <c r="TCC111" s="3"/>
      <c r="TCD111" s="3"/>
      <c r="TCE111" s="3"/>
      <c r="TCF111" s="3"/>
      <c r="TCG111" s="3"/>
      <c r="TCH111" s="3"/>
      <c r="TCI111" s="3"/>
      <c r="TCJ111" s="3"/>
      <c r="TCK111" s="3"/>
      <c r="TCL111" s="3"/>
      <c r="TCM111" s="3"/>
      <c r="TCN111" s="3"/>
      <c r="TCO111" s="3"/>
      <c r="TCP111" s="3"/>
      <c r="TCQ111" s="3"/>
      <c r="TCR111" s="3"/>
      <c r="TCS111" s="3"/>
      <c r="TCT111" s="3"/>
      <c r="TCU111" s="3"/>
      <c r="TCV111" s="3"/>
      <c r="TCW111" s="3"/>
      <c r="TCX111" s="3"/>
      <c r="TCY111" s="3"/>
      <c r="TCZ111" s="3"/>
      <c r="TDA111" s="3"/>
      <c r="TDB111" s="3"/>
      <c r="TDC111" s="3"/>
      <c r="TDD111" s="3"/>
      <c r="TDE111" s="3"/>
      <c r="TDF111" s="3"/>
      <c r="TDG111" s="3"/>
      <c r="TDH111" s="3"/>
      <c r="TDI111" s="3"/>
      <c r="TDJ111" s="3"/>
      <c r="TDK111" s="3"/>
      <c r="TDL111" s="3"/>
      <c r="TDM111" s="3"/>
      <c r="TDN111" s="3"/>
      <c r="TDO111" s="3"/>
      <c r="TDP111" s="3"/>
      <c r="TDQ111" s="3"/>
      <c r="TDR111" s="3"/>
      <c r="TDS111" s="3"/>
      <c r="TDT111" s="3"/>
      <c r="TDU111" s="3"/>
      <c r="TDV111" s="3"/>
      <c r="TDW111" s="3"/>
      <c r="TDX111" s="3"/>
      <c r="TDY111" s="3"/>
      <c r="TDZ111" s="3"/>
      <c r="TEA111" s="3"/>
      <c r="TEB111" s="3"/>
      <c r="TEC111" s="3"/>
      <c r="TED111" s="3"/>
      <c r="TEE111" s="3"/>
      <c r="TEF111" s="3"/>
      <c r="TEG111" s="3"/>
      <c r="TEH111" s="3"/>
      <c r="TEI111" s="3"/>
      <c r="TEJ111" s="3"/>
      <c r="TEK111" s="3"/>
      <c r="TEL111" s="3"/>
      <c r="TEM111" s="3"/>
      <c r="TEN111" s="3"/>
      <c r="TEO111" s="3"/>
      <c r="TEP111" s="3"/>
      <c r="TEQ111" s="3"/>
      <c r="TER111" s="3"/>
      <c r="TES111" s="3"/>
      <c r="TET111" s="3"/>
      <c r="TEU111" s="3"/>
      <c r="TEV111" s="3"/>
      <c r="TEW111" s="3"/>
      <c r="TEX111" s="3"/>
      <c r="TEY111" s="3"/>
      <c r="TEZ111" s="3"/>
      <c r="TFA111" s="3"/>
      <c r="TFB111" s="3"/>
      <c r="TFC111" s="3"/>
      <c r="TFD111" s="3"/>
      <c r="TFE111" s="3"/>
      <c r="TFF111" s="3"/>
      <c r="TFG111" s="3"/>
      <c r="TFH111" s="3"/>
      <c r="TFI111" s="3"/>
      <c r="TFJ111" s="3"/>
      <c r="TFK111" s="3"/>
      <c r="TFL111" s="3"/>
      <c r="TFM111" s="3"/>
      <c r="TFN111" s="3"/>
      <c r="TFO111" s="3"/>
      <c r="TFP111" s="3"/>
      <c r="TFQ111" s="3"/>
      <c r="TFR111" s="3"/>
      <c r="TFS111" s="3"/>
      <c r="TFT111" s="3"/>
      <c r="TFU111" s="3"/>
      <c r="TFV111" s="3"/>
      <c r="TFW111" s="3"/>
      <c r="TFX111" s="3"/>
      <c r="TFY111" s="3"/>
      <c r="TFZ111" s="3"/>
      <c r="TGA111" s="3"/>
      <c r="TGB111" s="3"/>
      <c r="TGC111" s="3"/>
      <c r="TGD111" s="3"/>
      <c r="TGE111" s="3"/>
      <c r="TGF111" s="3"/>
      <c r="TGG111" s="3"/>
      <c r="TGH111" s="3"/>
      <c r="TGI111" s="3"/>
      <c r="TGJ111" s="3"/>
      <c r="TGK111" s="3"/>
      <c r="TGL111" s="3"/>
      <c r="TGM111" s="3"/>
      <c r="TGN111" s="3"/>
      <c r="TGO111" s="3"/>
      <c r="TGP111" s="3"/>
      <c r="TGQ111" s="3"/>
      <c r="TGR111" s="3"/>
      <c r="TGS111" s="3"/>
      <c r="TGT111" s="3"/>
      <c r="TGU111" s="3"/>
      <c r="TGV111" s="3"/>
      <c r="TGW111" s="3"/>
      <c r="TGX111" s="3"/>
      <c r="TGY111" s="3"/>
      <c r="TGZ111" s="3"/>
      <c r="THA111" s="3"/>
      <c r="THB111" s="3"/>
      <c r="THC111" s="3"/>
      <c r="THD111" s="3"/>
      <c r="THE111" s="3"/>
      <c r="THF111" s="3"/>
      <c r="THG111" s="3"/>
      <c r="THH111" s="3"/>
      <c r="THI111" s="3"/>
      <c r="THJ111" s="3"/>
      <c r="THK111" s="3"/>
      <c r="THL111" s="3"/>
      <c r="THM111" s="3"/>
      <c r="THN111" s="3"/>
      <c r="THO111" s="3"/>
      <c r="THP111" s="3"/>
      <c r="THQ111" s="3"/>
      <c r="THR111" s="3"/>
      <c r="THS111" s="3"/>
      <c r="THT111" s="3"/>
      <c r="THU111" s="3"/>
      <c r="THV111" s="3"/>
      <c r="THW111" s="3"/>
      <c r="THX111" s="3"/>
      <c r="THY111" s="3"/>
      <c r="THZ111" s="3"/>
      <c r="TIA111" s="3"/>
      <c r="TIB111" s="3"/>
      <c r="TIC111" s="3"/>
      <c r="TID111" s="3"/>
      <c r="TIE111" s="3"/>
      <c r="TIF111" s="3"/>
      <c r="TIG111" s="3"/>
      <c r="TIH111" s="3"/>
      <c r="TII111" s="3"/>
      <c r="TIJ111" s="3"/>
      <c r="TIK111" s="3"/>
      <c r="TIL111" s="3"/>
      <c r="TIM111" s="3"/>
      <c r="TIN111" s="3"/>
      <c r="TIO111" s="3"/>
      <c r="TIP111" s="3"/>
      <c r="TIQ111" s="3"/>
      <c r="TIR111" s="3"/>
      <c r="TIS111" s="3"/>
      <c r="TIT111" s="3"/>
      <c r="TIU111" s="3"/>
      <c r="TIV111" s="3"/>
      <c r="TIW111" s="3"/>
      <c r="TIX111" s="3"/>
      <c r="TIY111" s="3"/>
      <c r="TIZ111" s="3"/>
      <c r="TJA111" s="3"/>
      <c r="TJB111" s="3"/>
      <c r="TJC111" s="3"/>
      <c r="TJD111" s="3"/>
      <c r="TJE111" s="3"/>
      <c r="TJF111" s="3"/>
      <c r="TJG111" s="3"/>
      <c r="TJH111" s="3"/>
      <c r="TJI111" s="3"/>
      <c r="TJJ111" s="3"/>
      <c r="TJK111" s="3"/>
      <c r="TJL111" s="3"/>
      <c r="TJM111" s="3"/>
      <c r="TJN111" s="3"/>
      <c r="TJO111" s="3"/>
      <c r="TJP111" s="3"/>
      <c r="TJQ111" s="3"/>
      <c r="TJR111" s="3"/>
      <c r="TJS111" s="3"/>
      <c r="TJT111" s="3"/>
      <c r="TJU111" s="3"/>
      <c r="TJV111" s="3"/>
      <c r="TJW111" s="3"/>
      <c r="TJX111" s="3"/>
      <c r="TJY111" s="3"/>
      <c r="TJZ111" s="3"/>
      <c r="TKA111" s="3"/>
      <c r="TKB111" s="3"/>
      <c r="TKC111" s="3"/>
      <c r="TKD111" s="3"/>
      <c r="TKE111" s="3"/>
      <c r="TKF111" s="3"/>
      <c r="TKG111" s="3"/>
      <c r="TKH111" s="3"/>
      <c r="TKI111" s="3"/>
      <c r="TKJ111" s="3"/>
      <c r="TKK111" s="3"/>
      <c r="TKL111" s="3"/>
      <c r="TKM111" s="3"/>
      <c r="TKN111" s="3"/>
      <c r="TKO111" s="3"/>
      <c r="TKP111" s="3"/>
      <c r="TKQ111" s="3"/>
      <c r="TKR111" s="3"/>
      <c r="TKS111" s="3"/>
      <c r="TKT111" s="3"/>
      <c r="TKU111" s="3"/>
      <c r="TKV111" s="3"/>
      <c r="TKW111" s="3"/>
      <c r="TKX111" s="3"/>
      <c r="TKY111" s="3"/>
      <c r="TKZ111" s="3"/>
      <c r="TLA111" s="3"/>
      <c r="TLB111" s="3"/>
      <c r="TLC111" s="3"/>
      <c r="TLD111" s="3"/>
      <c r="TLE111" s="3"/>
      <c r="TLF111" s="3"/>
      <c r="TLG111" s="3"/>
      <c r="TLH111" s="3"/>
      <c r="TLI111" s="3"/>
      <c r="TLJ111" s="3"/>
      <c r="TLK111" s="3"/>
      <c r="TLL111" s="3"/>
      <c r="TLM111" s="3"/>
      <c r="TLN111" s="3"/>
      <c r="TLO111" s="3"/>
      <c r="TLP111" s="3"/>
      <c r="TLQ111" s="3"/>
      <c r="TLR111" s="3"/>
      <c r="TLS111" s="3"/>
      <c r="TLT111" s="3"/>
      <c r="TLU111" s="3"/>
      <c r="TLV111" s="3"/>
      <c r="TLW111" s="3"/>
      <c r="TLX111" s="3"/>
      <c r="TLY111" s="3"/>
      <c r="TLZ111" s="3"/>
      <c r="TMA111" s="3"/>
      <c r="TMB111" s="3"/>
      <c r="TMC111" s="3"/>
      <c r="TMD111" s="3"/>
      <c r="TME111" s="3"/>
      <c r="TMF111" s="3"/>
      <c r="TMG111" s="3"/>
      <c r="TMH111" s="3"/>
      <c r="TMI111" s="3"/>
      <c r="TMJ111" s="3"/>
      <c r="TMK111" s="3"/>
      <c r="TML111" s="3"/>
      <c r="TMM111" s="3"/>
      <c r="TMN111" s="3"/>
      <c r="TMO111" s="3"/>
      <c r="TMP111" s="3"/>
      <c r="TMQ111" s="3"/>
      <c r="TMR111" s="3"/>
      <c r="TMS111" s="3"/>
      <c r="TMT111" s="3"/>
      <c r="TMU111" s="3"/>
      <c r="TMV111" s="3"/>
      <c r="TMW111" s="3"/>
      <c r="TMX111" s="3"/>
      <c r="TMY111" s="3"/>
      <c r="TMZ111" s="3"/>
      <c r="TNA111" s="3"/>
      <c r="TNB111" s="3"/>
      <c r="TNC111" s="3"/>
      <c r="TND111" s="3"/>
      <c r="TNE111" s="3"/>
      <c r="TNF111" s="3"/>
      <c r="TNG111" s="3"/>
      <c r="TNH111" s="3"/>
      <c r="TNI111" s="3"/>
      <c r="TNJ111" s="3"/>
      <c r="TNK111" s="3"/>
      <c r="TNL111" s="3"/>
      <c r="TNM111" s="3"/>
      <c r="TNN111" s="3"/>
      <c r="TNO111" s="3"/>
      <c r="TNP111" s="3"/>
      <c r="TNQ111" s="3"/>
      <c r="TNR111" s="3"/>
      <c r="TNS111" s="3"/>
      <c r="TNT111" s="3"/>
      <c r="TNU111" s="3"/>
      <c r="TNV111" s="3"/>
      <c r="TNW111" s="3"/>
      <c r="TNX111" s="3"/>
      <c r="TNY111" s="3"/>
      <c r="TNZ111" s="3"/>
      <c r="TOA111" s="3"/>
      <c r="TOB111" s="3"/>
      <c r="TOC111" s="3"/>
      <c r="TOD111" s="3"/>
      <c r="TOE111" s="3"/>
      <c r="TOF111" s="3"/>
      <c r="TOG111" s="3"/>
      <c r="TOH111" s="3"/>
      <c r="TOI111" s="3"/>
      <c r="TOJ111" s="3"/>
      <c r="TOK111" s="3"/>
      <c r="TOL111" s="3"/>
      <c r="TOM111" s="3"/>
      <c r="TON111" s="3"/>
      <c r="TOO111" s="3"/>
      <c r="TOP111" s="3"/>
      <c r="TOQ111" s="3"/>
      <c r="TOR111" s="3"/>
      <c r="TOS111" s="3"/>
      <c r="TOT111" s="3"/>
      <c r="TOU111" s="3"/>
      <c r="TOV111" s="3"/>
      <c r="TOW111" s="3"/>
      <c r="TOX111" s="3"/>
      <c r="TOY111" s="3"/>
      <c r="TOZ111" s="3"/>
      <c r="TPA111" s="3"/>
      <c r="TPB111" s="3"/>
      <c r="TPC111" s="3"/>
      <c r="TPD111" s="3"/>
      <c r="TPE111" s="3"/>
      <c r="TPF111" s="3"/>
      <c r="TPG111" s="3"/>
      <c r="TPH111" s="3"/>
      <c r="TPI111" s="3"/>
      <c r="TPJ111" s="3"/>
      <c r="TPK111" s="3"/>
      <c r="TPL111" s="3"/>
      <c r="TPM111" s="3"/>
      <c r="TPN111" s="3"/>
      <c r="TPO111" s="3"/>
      <c r="TPP111" s="3"/>
      <c r="TPQ111" s="3"/>
      <c r="TPR111" s="3"/>
      <c r="TPS111" s="3"/>
      <c r="TPT111" s="3"/>
      <c r="TPU111" s="3"/>
      <c r="TPV111" s="3"/>
      <c r="TPW111" s="3"/>
      <c r="TPX111" s="3"/>
      <c r="TPY111" s="3"/>
      <c r="TPZ111" s="3"/>
      <c r="TQA111" s="3"/>
      <c r="TQB111" s="3"/>
      <c r="TQC111" s="3"/>
      <c r="TQD111" s="3"/>
      <c r="TQE111" s="3"/>
      <c r="TQF111" s="3"/>
      <c r="TQG111" s="3"/>
      <c r="TQH111" s="3"/>
      <c r="TQI111" s="3"/>
      <c r="TQJ111" s="3"/>
      <c r="TQK111" s="3"/>
      <c r="TQL111" s="3"/>
      <c r="TQM111" s="3"/>
      <c r="TQN111" s="3"/>
      <c r="TQO111" s="3"/>
      <c r="TQP111" s="3"/>
      <c r="TQQ111" s="3"/>
      <c r="TQR111" s="3"/>
      <c r="TQS111" s="3"/>
      <c r="TQT111" s="3"/>
      <c r="TQU111" s="3"/>
      <c r="TQV111" s="3"/>
      <c r="TQW111" s="3"/>
      <c r="TQX111" s="3"/>
      <c r="TQY111" s="3"/>
      <c r="TQZ111" s="3"/>
      <c r="TRA111" s="3"/>
      <c r="TRB111" s="3"/>
      <c r="TRC111" s="3"/>
      <c r="TRD111" s="3"/>
      <c r="TRE111" s="3"/>
      <c r="TRF111" s="3"/>
      <c r="TRG111" s="3"/>
      <c r="TRH111" s="3"/>
      <c r="TRI111" s="3"/>
      <c r="TRJ111" s="3"/>
      <c r="TRK111" s="3"/>
      <c r="TRL111" s="3"/>
      <c r="TRM111" s="3"/>
      <c r="TRN111" s="3"/>
      <c r="TRO111" s="3"/>
      <c r="TRP111" s="3"/>
      <c r="TRQ111" s="3"/>
      <c r="TRR111" s="3"/>
      <c r="TRS111" s="3"/>
      <c r="TRT111" s="3"/>
      <c r="TRU111" s="3"/>
      <c r="TRV111" s="3"/>
      <c r="TRW111" s="3"/>
      <c r="TRX111" s="3"/>
      <c r="TRY111" s="3"/>
      <c r="TRZ111" s="3"/>
      <c r="TSA111" s="3"/>
      <c r="TSB111" s="3"/>
      <c r="TSC111" s="3"/>
      <c r="TSD111" s="3"/>
      <c r="TSE111" s="3"/>
      <c r="TSF111" s="3"/>
      <c r="TSG111" s="3"/>
      <c r="TSH111" s="3"/>
      <c r="TSI111" s="3"/>
      <c r="TSJ111" s="3"/>
      <c r="TSK111" s="3"/>
      <c r="TSL111" s="3"/>
      <c r="TSM111" s="3"/>
      <c r="TSN111" s="3"/>
      <c r="TSO111" s="3"/>
      <c r="TSP111" s="3"/>
      <c r="TSQ111" s="3"/>
      <c r="TSR111" s="3"/>
      <c r="TSS111" s="3"/>
      <c r="TST111" s="3"/>
      <c r="TSU111" s="3"/>
      <c r="TSV111" s="3"/>
      <c r="TSW111" s="3"/>
      <c r="TSX111" s="3"/>
      <c r="TSY111" s="3"/>
      <c r="TSZ111" s="3"/>
      <c r="TTA111" s="3"/>
      <c r="TTB111" s="3"/>
      <c r="TTC111" s="3"/>
      <c r="TTD111" s="3"/>
      <c r="TTE111" s="3"/>
      <c r="TTF111" s="3"/>
      <c r="TTG111" s="3"/>
      <c r="TTH111" s="3"/>
      <c r="TTI111" s="3"/>
      <c r="TTJ111" s="3"/>
      <c r="TTK111" s="3"/>
      <c r="TTL111" s="3"/>
      <c r="TTM111" s="3"/>
      <c r="TTN111" s="3"/>
      <c r="TTO111" s="3"/>
      <c r="TTP111" s="3"/>
      <c r="TTQ111" s="3"/>
      <c r="TTR111" s="3"/>
      <c r="TTS111" s="3"/>
      <c r="TTT111" s="3"/>
      <c r="TTU111" s="3"/>
      <c r="TTV111" s="3"/>
      <c r="TTW111" s="3"/>
      <c r="TTX111" s="3"/>
      <c r="TTY111" s="3"/>
      <c r="TTZ111" s="3"/>
      <c r="TUA111" s="3"/>
      <c r="TUB111" s="3"/>
      <c r="TUC111" s="3"/>
      <c r="TUD111" s="3"/>
      <c r="TUE111" s="3"/>
      <c r="TUF111" s="3"/>
      <c r="TUG111" s="3"/>
      <c r="TUH111" s="3"/>
      <c r="TUI111" s="3"/>
      <c r="TUJ111" s="3"/>
      <c r="TUK111" s="3"/>
      <c r="TUL111" s="3"/>
      <c r="TUM111" s="3"/>
      <c r="TUN111" s="3"/>
      <c r="TUO111" s="3"/>
      <c r="TUP111" s="3"/>
      <c r="TUQ111" s="3"/>
      <c r="TUR111" s="3"/>
      <c r="TUS111" s="3"/>
      <c r="TUT111" s="3"/>
      <c r="TUU111" s="3"/>
      <c r="TUV111" s="3"/>
      <c r="TUW111" s="3"/>
      <c r="TUX111" s="3"/>
      <c r="TUY111" s="3"/>
      <c r="TUZ111" s="3"/>
      <c r="TVA111" s="3"/>
      <c r="TVB111" s="3"/>
      <c r="TVC111" s="3"/>
      <c r="TVD111" s="3"/>
      <c r="TVE111" s="3"/>
      <c r="TVF111" s="3"/>
      <c r="TVG111" s="3"/>
      <c r="TVH111" s="3"/>
      <c r="TVI111" s="3"/>
      <c r="TVJ111" s="3"/>
      <c r="TVK111" s="3"/>
      <c r="TVL111" s="3"/>
      <c r="TVM111" s="3"/>
      <c r="TVN111" s="3"/>
      <c r="TVO111" s="3"/>
      <c r="TVP111" s="3"/>
      <c r="TVQ111" s="3"/>
      <c r="TVR111" s="3"/>
      <c r="TVS111" s="3"/>
      <c r="TVT111" s="3"/>
      <c r="TVU111" s="3"/>
      <c r="TVV111" s="3"/>
      <c r="TVW111" s="3"/>
      <c r="TVX111" s="3"/>
      <c r="TVY111" s="3"/>
      <c r="TVZ111" s="3"/>
      <c r="TWA111" s="3"/>
      <c r="TWB111" s="3"/>
      <c r="TWC111" s="3"/>
      <c r="TWD111" s="3"/>
      <c r="TWE111" s="3"/>
      <c r="TWF111" s="3"/>
      <c r="TWG111" s="3"/>
      <c r="TWH111" s="3"/>
      <c r="TWI111" s="3"/>
      <c r="TWJ111" s="3"/>
      <c r="TWK111" s="3"/>
      <c r="TWL111" s="3"/>
      <c r="TWM111" s="3"/>
      <c r="TWN111" s="3"/>
      <c r="TWO111" s="3"/>
      <c r="TWP111" s="3"/>
      <c r="TWQ111" s="3"/>
      <c r="TWR111" s="3"/>
      <c r="TWS111" s="3"/>
      <c r="TWT111" s="3"/>
      <c r="TWU111" s="3"/>
      <c r="TWV111" s="3"/>
      <c r="TWW111" s="3"/>
      <c r="TWX111" s="3"/>
      <c r="TWY111" s="3"/>
      <c r="TWZ111" s="3"/>
      <c r="TXA111" s="3"/>
      <c r="TXB111" s="3"/>
      <c r="TXC111" s="3"/>
      <c r="TXD111" s="3"/>
      <c r="TXE111" s="3"/>
      <c r="TXF111" s="3"/>
      <c r="TXG111" s="3"/>
      <c r="TXH111" s="3"/>
      <c r="TXI111" s="3"/>
      <c r="TXJ111" s="3"/>
      <c r="TXK111" s="3"/>
      <c r="TXL111" s="3"/>
      <c r="TXM111" s="3"/>
      <c r="TXN111" s="3"/>
      <c r="TXO111" s="3"/>
      <c r="TXP111" s="3"/>
      <c r="TXQ111" s="3"/>
      <c r="TXR111" s="3"/>
      <c r="TXS111" s="3"/>
      <c r="TXT111" s="3"/>
      <c r="TXU111" s="3"/>
      <c r="TXV111" s="3"/>
      <c r="TXW111" s="3"/>
      <c r="TXX111" s="3"/>
      <c r="TXY111" s="3"/>
      <c r="TXZ111" s="3"/>
      <c r="TYA111" s="3"/>
      <c r="TYB111" s="3"/>
      <c r="TYC111" s="3"/>
      <c r="TYD111" s="3"/>
      <c r="TYE111" s="3"/>
      <c r="TYF111" s="3"/>
      <c r="TYG111" s="3"/>
      <c r="TYH111" s="3"/>
      <c r="TYI111" s="3"/>
      <c r="TYJ111" s="3"/>
      <c r="TYK111" s="3"/>
      <c r="TYL111" s="3"/>
      <c r="TYM111" s="3"/>
      <c r="TYN111" s="3"/>
      <c r="TYO111" s="3"/>
      <c r="TYP111" s="3"/>
      <c r="TYQ111" s="3"/>
      <c r="TYR111" s="3"/>
      <c r="TYS111" s="3"/>
      <c r="TYT111" s="3"/>
      <c r="TYU111" s="3"/>
      <c r="TYV111" s="3"/>
      <c r="TYW111" s="3"/>
      <c r="TYX111" s="3"/>
      <c r="TYY111" s="3"/>
      <c r="TYZ111" s="3"/>
      <c r="TZA111" s="3"/>
      <c r="TZB111" s="3"/>
      <c r="TZC111" s="3"/>
      <c r="TZD111" s="3"/>
      <c r="TZE111" s="3"/>
      <c r="TZF111" s="3"/>
      <c r="TZG111" s="3"/>
      <c r="TZH111" s="3"/>
      <c r="TZI111" s="3"/>
      <c r="TZJ111" s="3"/>
      <c r="TZK111" s="3"/>
      <c r="TZL111" s="3"/>
      <c r="TZM111" s="3"/>
      <c r="TZN111" s="3"/>
      <c r="TZO111" s="3"/>
      <c r="TZP111" s="3"/>
      <c r="TZQ111" s="3"/>
      <c r="TZR111" s="3"/>
      <c r="TZS111" s="3"/>
      <c r="TZT111" s="3"/>
      <c r="TZU111" s="3"/>
      <c r="TZV111" s="3"/>
      <c r="TZW111" s="3"/>
      <c r="TZX111" s="3"/>
      <c r="TZY111" s="3"/>
      <c r="TZZ111" s="3"/>
      <c r="UAA111" s="3"/>
      <c r="UAB111" s="3"/>
      <c r="UAC111" s="3"/>
      <c r="UAD111" s="3"/>
      <c r="UAE111" s="3"/>
      <c r="UAF111" s="3"/>
      <c r="UAG111" s="3"/>
      <c r="UAH111" s="3"/>
      <c r="UAI111" s="3"/>
      <c r="UAJ111" s="3"/>
      <c r="UAK111" s="3"/>
      <c r="UAL111" s="3"/>
      <c r="UAM111" s="3"/>
      <c r="UAN111" s="3"/>
      <c r="UAO111" s="3"/>
      <c r="UAP111" s="3"/>
      <c r="UAQ111" s="3"/>
      <c r="UAR111" s="3"/>
      <c r="UAS111" s="3"/>
      <c r="UAT111" s="3"/>
      <c r="UAU111" s="3"/>
      <c r="UAV111" s="3"/>
      <c r="UAW111" s="3"/>
      <c r="UAX111" s="3"/>
      <c r="UAY111" s="3"/>
      <c r="UAZ111" s="3"/>
      <c r="UBA111" s="3"/>
      <c r="UBB111" s="3"/>
      <c r="UBC111" s="3"/>
      <c r="UBD111" s="3"/>
      <c r="UBE111" s="3"/>
      <c r="UBF111" s="3"/>
      <c r="UBG111" s="3"/>
      <c r="UBH111" s="3"/>
      <c r="UBI111" s="3"/>
      <c r="UBJ111" s="3"/>
      <c r="UBK111" s="3"/>
      <c r="UBL111" s="3"/>
      <c r="UBM111" s="3"/>
      <c r="UBN111" s="3"/>
      <c r="UBO111" s="3"/>
      <c r="UBP111" s="3"/>
      <c r="UBQ111" s="3"/>
      <c r="UBR111" s="3"/>
      <c r="UBS111" s="3"/>
      <c r="UBT111" s="3"/>
      <c r="UBU111" s="3"/>
      <c r="UBV111" s="3"/>
      <c r="UBW111" s="3"/>
      <c r="UBX111" s="3"/>
      <c r="UBY111" s="3"/>
      <c r="UBZ111" s="3"/>
      <c r="UCA111" s="3"/>
      <c r="UCB111" s="3"/>
      <c r="UCC111" s="3"/>
      <c r="UCD111" s="3"/>
      <c r="UCE111" s="3"/>
      <c r="UCF111" s="3"/>
      <c r="UCG111" s="3"/>
      <c r="UCH111" s="3"/>
      <c r="UCI111" s="3"/>
      <c r="UCJ111" s="3"/>
      <c r="UCK111" s="3"/>
      <c r="UCL111" s="3"/>
      <c r="UCM111" s="3"/>
      <c r="UCN111" s="3"/>
      <c r="UCO111" s="3"/>
      <c r="UCP111" s="3"/>
      <c r="UCQ111" s="3"/>
      <c r="UCR111" s="3"/>
      <c r="UCS111" s="3"/>
      <c r="UCT111" s="3"/>
      <c r="UCU111" s="3"/>
      <c r="UCV111" s="3"/>
      <c r="UCW111" s="3"/>
      <c r="UCX111" s="3"/>
      <c r="UCY111" s="3"/>
      <c r="UCZ111" s="3"/>
      <c r="UDA111" s="3"/>
      <c r="UDB111" s="3"/>
      <c r="UDC111" s="3"/>
      <c r="UDD111" s="3"/>
      <c r="UDE111" s="3"/>
      <c r="UDF111" s="3"/>
      <c r="UDG111" s="3"/>
      <c r="UDH111" s="3"/>
      <c r="UDI111" s="3"/>
      <c r="UDJ111" s="3"/>
      <c r="UDK111" s="3"/>
      <c r="UDL111" s="3"/>
      <c r="UDM111" s="3"/>
      <c r="UDN111" s="3"/>
      <c r="UDO111" s="3"/>
      <c r="UDP111" s="3"/>
      <c r="UDQ111" s="3"/>
      <c r="UDR111" s="3"/>
      <c r="UDS111" s="3"/>
      <c r="UDT111" s="3"/>
      <c r="UDU111" s="3"/>
      <c r="UDV111" s="3"/>
      <c r="UDW111" s="3"/>
      <c r="UDX111" s="3"/>
      <c r="UDY111" s="3"/>
      <c r="UDZ111" s="3"/>
      <c r="UEA111" s="3"/>
      <c r="UEB111" s="3"/>
      <c r="UEC111" s="3"/>
      <c r="UED111" s="3"/>
      <c r="UEE111" s="3"/>
      <c r="UEF111" s="3"/>
      <c r="UEG111" s="3"/>
      <c r="UEH111" s="3"/>
      <c r="UEI111" s="3"/>
      <c r="UEJ111" s="3"/>
      <c r="UEK111" s="3"/>
      <c r="UEL111" s="3"/>
      <c r="UEM111" s="3"/>
      <c r="UEN111" s="3"/>
      <c r="UEO111" s="3"/>
      <c r="UEP111" s="3"/>
      <c r="UEQ111" s="3"/>
      <c r="UER111" s="3"/>
      <c r="UES111" s="3"/>
      <c r="UET111" s="3"/>
      <c r="UEU111" s="3"/>
      <c r="UEV111" s="3"/>
      <c r="UEW111" s="3"/>
      <c r="UEX111" s="3"/>
      <c r="UEY111" s="3"/>
      <c r="UEZ111" s="3"/>
      <c r="UFA111" s="3"/>
      <c r="UFB111" s="3"/>
      <c r="UFC111" s="3"/>
      <c r="UFD111" s="3"/>
      <c r="UFE111" s="3"/>
      <c r="UFF111" s="3"/>
      <c r="UFG111" s="3"/>
      <c r="UFH111" s="3"/>
      <c r="UFI111" s="3"/>
      <c r="UFJ111" s="3"/>
      <c r="UFK111" s="3"/>
      <c r="UFL111" s="3"/>
      <c r="UFM111" s="3"/>
      <c r="UFN111" s="3"/>
      <c r="UFO111" s="3"/>
      <c r="UFP111" s="3"/>
      <c r="UFQ111" s="3"/>
      <c r="UFR111" s="3"/>
      <c r="UFS111" s="3"/>
      <c r="UFT111" s="3"/>
      <c r="UFU111" s="3"/>
      <c r="UFV111" s="3"/>
      <c r="UFW111" s="3"/>
      <c r="UFX111" s="3"/>
      <c r="UFY111" s="3"/>
      <c r="UFZ111" s="3"/>
      <c r="UGA111" s="3"/>
      <c r="UGB111" s="3"/>
      <c r="UGC111" s="3"/>
      <c r="UGD111" s="3"/>
      <c r="UGE111" s="3"/>
      <c r="UGF111" s="3"/>
      <c r="UGG111" s="3"/>
      <c r="UGH111" s="3"/>
      <c r="UGI111" s="3"/>
      <c r="UGJ111" s="3"/>
      <c r="UGK111" s="3"/>
      <c r="UGL111" s="3"/>
      <c r="UGM111" s="3"/>
      <c r="UGN111" s="3"/>
      <c r="UGO111" s="3"/>
      <c r="UGP111" s="3"/>
      <c r="UGQ111" s="3"/>
      <c r="UGR111" s="3"/>
      <c r="UGS111" s="3"/>
      <c r="UGT111" s="3"/>
      <c r="UGU111" s="3"/>
      <c r="UGV111" s="3"/>
      <c r="UGW111" s="3"/>
      <c r="UGX111" s="3"/>
      <c r="UGY111" s="3"/>
      <c r="UGZ111" s="3"/>
      <c r="UHA111" s="3"/>
      <c r="UHB111" s="3"/>
      <c r="UHC111" s="3"/>
      <c r="UHD111" s="3"/>
      <c r="UHE111" s="3"/>
      <c r="UHF111" s="3"/>
      <c r="UHG111" s="3"/>
      <c r="UHH111" s="3"/>
      <c r="UHI111" s="3"/>
      <c r="UHJ111" s="3"/>
      <c r="UHK111" s="3"/>
      <c r="UHL111" s="3"/>
      <c r="UHM111" s="3"/>
      <c r="UHN111" s="3"/>
      <c r="UHO111" s="3"/>
      <c r="UHP111" s="3"/>
      <c r="UHQ111" s="3"/>
      <c r="UHR111" s="3"/>
      <c r="UHS111" s="3"/>
      <c r="UHT111" s="3"/>
      <c r="UHU111" s="3"/>
      <c r="UHV111" s="3"/>
      <c r="UHW111" s="3"/>
      <c r="UHX111" s="3"/>
      <c r="UHY111" s="3"/>
      <c r="UHZ111" s="3"/>
      <c r="UIA111" s="3"/>
      <c r="UIB111" s="3"/>
      <c r="UIC111" s="3"/>
      <c r="UID111" s="3"/>
      <c r="UIE111" s="3"/>
      <c r="UIF111" s="3"/>
      <c r="UIG111" s="3"/>
      <c r="UIH111" s="3"/>
      <c r="UII111" s="3"/>
      <c r="UIJ111" s="3"/>
      <c r="UIK111" s="3"/>
      <c r="UIL111" s="3"/>
      <c r="UIM111" s="3"/>
      <c r="UIN111" s="3"/>
      <c r="UIO111" s="3"/>
      <c r="UIP111" s="3"/>
      <c r="UIQ111" s="3"/>
      <c r="UIR111" s="3"/>
      <c r="UIS111" s="3"/>
      <c r="UIT111" s="3"/>
      <c r="UIU111" s="3"/>
      <c r="UIV111" s="3"/>
      <c r="UIW111" s="3"/>
      <c r="UIX111" s="3"/>
      <c r="UIY111" s="3"/>
      <c r="UIZ111" s="3"/>
      <c r="UJA111" s="3"/>
      <c r="UJB111" s="3"/>
      <c r="UJC111" s="3"/>
      <c r="UJD111" s="3"/>
      <c r="UJE111" s="3"/>
      <c r="UJF111" s="3"/>
      <c r="UJG111" s="3"/>
      <c r="UJH111" s="3"/>
      <c r="UJI111" s="3"/>
      <c r="UJJ111" s="3"/>
      <c r="UJK111" s="3"/>
      <c r="UJL111" s="3"/>
      <c r="UJM111" s="3"/>
      <c r="UJN111" s="3"/>
      <c r="UJO111" s="3"/>
      <c r="UJP111" s="3"/>
      <c r="UJQ111" s="3"/>
      <c r="UJR111" s="3"/>
      <c r="UJS111" s="3"/>
      <c r="UJT111" s="3"/>
      <c r="UJU111" s="3"/>
      <c r="UJV111" s="3"/>
      <c r="UJW111" s="3"/>
      <c r="UJX111" s="3"/>
      <c r="UJY111" s="3"/>
      <c r="UJZ111" s="3"/>
      <c r="UKA111" s="3"/>
      <c r="UKB111" s="3"/>
      <c r="UKC111" s="3"/>
      <c r="UKD111" s="3"/>
      <c r="UKE111" s="3"/>
      <c r="UKF111" s="3"/>
      <c r="UKG111" s="3"/>
      <c r="UKH111" s="3"/>
      <c r="UKI111" s="3"/>
      <c r="UKJ111" s="3"/>
      <c r="UKK111" s="3"/>
      <c r="UKL111" s="3"/>
      <c r="UKM111" s="3"/>
      <c r="UKN111" s="3"/>
      <c r="UKO111" s="3"/>
      <c r="UKP111" s="3"/>
      <c r="UKQ111" s="3"/>
      <c r="UKR111" s="3"/>
      <c r="UKS111" s="3"/>
      <c r="UKT111" s="3"/>
      <c r="UKU111" s="3"/>
      <c r="UKV111" s="3"/>
      <c r="UKW111" s="3"/>
      <c r="UKX111" s="3"/>
      <c r="UKY111" s="3"/>
      <c r="UKZ111" s="3"/>
      <c r="ULA111" s="3"/>
      <c r="ULB111" s="3"/>
      <c r="ULC111" s="3"/>
      <c r="ULD111" s="3"/>
      <c r="ULE111" s="3"/>
      <c r="ULF111" s="3"/>
      <c r="ULG111" s="3"/>
      <c r="ULH111" s="3"/>
      <c r="ULI111" s="3"/>
      <c r="ULJ111" s="3"/>
      <c r="ULK111" s="3"/>
      <c r="ULL111" s="3"/>
      <c r="ULM111" s="3"/>
      <c r="ULN111" s="3"/>
      <c r="ULO111" s="3"/>
      <c r="ULP111" s="3"/>
      <c r="ULQ111" s="3"/>
      <c r="ULR111" s="3"/>
      <c r="ULS111" s="3"/>
      <c r="ULT111" s="3"/>
      <c r="ULU111" s="3"/>
      <c r="ULV111" s="3"/>
      <c r="ULW111" s="3"/>
      <c r="ULX111" s="3"/>
      <c r="ULY111" s="3"/>
      <c r="ULZ111" s="3"/>
      <c r="UMA111" s="3"/>
      <c r="UMB111" s="3"/>
      <c r="UMC111" s="3"/>
      <c r="UMD111" s="3"/>
      <c r="UME111" s="3"/>
      <c r="UMF111" s="3"/>
      <c r="UMG111" s="3"/>
      <c r="UMH111" s="3"/>
      <c r="UMI111" s="3"/>
      <c r="UMJ111" s="3"/>
      <c r="UMK111" s="3"/>
      <c r="UML111" s="3"/>
      <c r="UMM111" s="3"/>
      <c r="UMN111" s="3"/>
      <c r="UMO111" s="3"/>
      <c r="UMP111" s="3"/>
      <c r="UMQ111" s="3"/>
      <c r="UMR111" s="3"/>
      <c r="UMS111" s="3"/>
      <c r="UMT111" s="3"/>
      <c r="UMU111" s="3"/>
      <c r="UMV111" s="3"/>
      <c r="UMW111" s="3"/>
      <c r="UMX111" s="3"/>
      <c r="UMY111" s="3"/>
      <c r="UMZ111" s="3"/>
      <c r="UNA111" s="3"/>
      <c r="UNB111" s="3"/>
      <c r="UNC111" s="3"/>
      <c r="UND111" s="3"/>
      <c r="UNE111" s="3"/>
      <c r="UNF111" s="3"/>
      <c r="UNG111" s="3"/>
      <c r="UNH111" s="3"/>
      <c r="UNI111" s="3"/>
      <c r="UNJ111" s="3"/>
      <c r="UNK111" s="3"/>
      <c r="UNL111" s="3"/>
      <c r="UNM111" s="3"/>
      <c r="UNN111" s="3"/>
      <c r="UNO111" s="3"/>
      <c r="UNP111" s="3"/>
      <c r="UNQ111" s="3"/>
      <c r="UNR111" s="3"/>
      <c r="UNS111" s="3"/>
      <c r="UNT111" s="3"/>
      <c r="UNU111" s="3"/>
      <c r="UNV111" s="3"/>
      <c r="UNW111" s="3"/>
      <c r="UNX111" s="3"/>
      <c r="UNY111" s="3"/>
      <c r="UNZ111" s="3"/>
      <c r="UOA111" s="3"/>
      <c r="UOB111" s="3"/>
      <c r="UOC111" s="3"/>
      <c r="UOD111" s="3"/>
      <c r="UOE111" s="3"/>
      <c r="UOF111" s="3"/>
      <c r="UOG111" s="3"/>
      <c r="UOH111" s="3"/>
      <c r="UOI111" s="3"/>
      <c r="UOJ111" s="3"/>
      <c r="UOK111" s="3"/>
      <c r="UOL111" s="3"/>
      <c r="UOM111" s="3"/>
      <c r="UON111" s="3"/>
      <c r="UOO111" s="3"/>
      <c r="UOP111" s="3"/>
      <c r="UOQ111" s="3"/>
      <c r="UOR111" s="3"/>
      <c r="UOS111" s="3"/>
      <c r="UOT111" s="3"/>
      <c r="UOU111" s="3"/>
      <c r="UOV111" s="3"/>
      <c r="UOW111" s="3"/>
      <c r="UOX111" s="3"/>
      <c r="UOY111" s="3"/>
      <c r="UOZ111" s="3"/>
      <c r="UPA111" s="3"/>
      <c r="UPB111" s="3"/>
      <c r="UPC111" s="3"/>
      <c r="UPD111" s="3"/>
      <c r="UPE111" s="3"/>
      <c r="UPF111" s="3"/>
      <c r="UPG111" s="3"/>
      <c r="UPH111" s="3"/>
      <c r="UPI111" s="3"/>
      <c r="UPJ111" s="3"/>
      <c r="UPK111" s="3"/>
      <c r="UPL111" s="3"/>
      <c r="UPM111" s="3"/>
      <c r="UPN111" s="3"/>
      <c r="UPO111" s="3"/>
      <c r="UPP111" s="3"/>
      <c r="UPQ111" s="3"/>
      <c r="UPR111" s="3"/>
      <c r="UPS111" s="3"/>
      <c r="UPT111" s="3"/>
      <c r="UPU111" s="3"/>
      <c r="UPV111" s="3"/>
      <c r="UPW111" s="3"/>
      <c r="UPX111" s="3"/>
      <c r="UPY111" s="3"/>
      <c r="UPZ111" s="3"/>
      <c r="UQA111" s="3"/>
      <c r="UQB111" s="3"/>
      <c r="UQC111" s="3"/>
      <c r="UQD111" s="3"/>
      <c r="UQE111" s="3"/>
      <c r="UQF111" s="3"/>
      <c r="UQG111" s="3"/>
      <c r="UQH111" s="3"/>
      <c r="UQI111" s="3"/>
      <c r="UQJ111" s="3"/>
      <c r="UQK111" s="3"/>
      <c r="UQL111" s="3"/>
      <c r="UQM111" s="3"/>
      <c r="UQN111" s="3"/>
      <c r="UQO111" s="3"/>
      <c r="UQP111" s="3"/>
      <c r="UQQ111" s="3"/>
      <c r="UQR111" s="3"/>
      <c r="UQS111" s="3"/>
      <c r="UQT111" s="3"/>
      <c r="UQU111" s="3"/>
      <c r="UQV111" s="3"/>
      <c r="UQW111" s="3"/>
      <c r="UQX111" s="3"/>
      <c r="UQY111" s="3"/>
      <c r="UQZ111" s="3"/>
      <c r="URA111" s="3"/>
      <c r="URB111" s="3"/>
      <c r="URC111" s="3"/>
      <c r="URD111" s="3"/>
      <c r="URE111" s="3"/>
      <c r="URF111" s="3"/>
      <c r="URG111" s="3"/>
      <c r="URH111" s="3"/>
      <c r="URI111" s="3"/>
      <c r="URJ111" s="3"/>
      <c r="URK111" s="3"/>
      <c r="URL111" s="3"/>
      <c r="URM111" s="3"/>
      <c r="URN111" s="3"/>
      <c r="URO111" s="3"/>
      <c r="URP111" s="3"/>
      <c r="URQ111" s="3"/>
      <c r="URR111" s="3"/>
      <c r="URS111" s="3"/>
      <c r="URT111" s="3"/>
      <c r="URU111" s="3"/>
      <c r="URV111" s="3"/>
      <c r="URW111" s="3"/>
      <c r="URX111" s="3"/>
      <c r="URY111" s="3"/>
      <c r="URZ111" s="3"/>
      <c r="USA111" s="3"/>
      <c r="USB111" s="3"/>
      <c r="USC111" s="3"/>
      <c r="USD111" s="3"/>
      <c r="USE111" s="3"/>
      <c r="USF111" s="3"/>
      <c r="USG111" s="3"/>
      <c r="USH111" s="3"/>
      <c r="USI111" s="3"/>
      <c r="USJ111" s="3"/>
      <c r="USK111" s="3"/>
      <c r="USL111" s="3"/>
      <c r="USM111" s="3"/>
      <c r="USN111" s="3"/>
      <c r="USO111" s="3"/>
      <c r="USP111" s="3"/>
      <c r="USQ111" s="3"/>
      <c r="USR111" s="3"/>
      <c r="USS111" s="3"/>
      <c r="UST111" s="3"/>
      <c r="USU111" s="3"/>
      <c r="USV111" s="3"/>
      <c r="USW111" s="3"/>
      <c r="USX111" s="3"/>
      <c r="USY111" s="3"/>
      <c r="USZ111" s="3"/>
      <c r="UTA111" s="3"/>
      <c r="UTB111" s="3"/>
      <c r="UTC111" s="3"/>
      <c r="UTD111" s="3"/>
      <c r="UTE111" s="3"/>
      <c r="UTF111" s="3"/>
      <c r="UTG111" s="3"/>
      <c r="UTH111" s="3"/>
      <c r="UTI111" s="3"/>
      <c r="UTJ111" s="3"/>
      <c r="UTK111" s="3"/>
      <c r="UTL111" s="3"/>
      <c r="UTM111" s="3"/>
      <c r="UTN111" s="3"/>
      <c r="UTO111" s="3"/>
      <c r="UTP111" s="3"/>
      <c r="UTQ111" s="3"/>
      <c r="UTR111" s="3"/>
      <c r="UTS111" s="3"/>
      <c r="UTT111" s="3"/>
      <c r="UTU111" s="3"/>
      <c r="UTV111" s="3"/>
      <c r="UTW111" s="3"/>
      <c r="UTX111" s="3"/>
      <c r="UTY111" s="3"/>
      <c r="UTZ111" s="3"/>
      <c r="UUA111" s="3"/>
      <c r="UUB111" s="3"/>
      <c r="UUC111" s="3"/>
      <c r="UUD111" s="3"/>
      <c r="UUE111" s="3"/>
      <c r="UUF111" s="3"/>
      <c r="UUG111" s="3"/>
      <c r="UUH111" s="3"/>
      <c r="UUI111" s="3"/>
      <c r="UUJ111" s="3"/>
      <c r="UUK111" s="3"/>
      <c r="UUL111" s="3"/>
      <c r="UUM111" s="3"/>
      <c r="UUN111" s="3"/>
      <c r="UUO111" s="3"/>
      <c r="UUP111" s="3"/>
      <c r="UUQ111" s="3"/>
      <c r="UUR111" s="3"/>
      <c r="UUS111" s="3"/>
      <c r="UUT111" s="3"/>
      <c r="UUU111" s="3"/>
      <c r="UUV111" s="3"/>
      <c r="UUW111" s="3"/>
      <c r="UUX111" s="3"/>
      <c r="UUY111" s="3"/>
      <c r="UUZ111" s="3"/>
      <c r="UVA111" s="3"/>
      <c r="UVB111" s="3"/>
      <c r="UVC111" s="3"/>
      <c r="UVD111" s="3"/>
      <c r="UVE111" s="3"/>
      <c r="UVF111" s="3"/>
      <c r="UVG111" s="3"/>
      <c r="UVH111" s="3"/>
      <c r="UVI111" s="3"/>
      <c r="UVJ111" s="3"/>
      <c r="UVK111" s="3"/>
      <c r="UVL111" s="3"/>
      <c r="UVM111" s="3"/>
      <c r="UVN111" s="3"/>
      <c r="UVO111" s="3"/>
      <c r="UVP111" s="3"/>
      <c r="UVQ111" s="3"/>
      <c r="UVR111" s="3"/>
      <c r="UVS111" s="3"/>
      <c r="UVT111" s="3"/>
      <c r="UVU111" s="3"/>
      <c r="UVV111" s="3"/>
      <c r="UVW111" s="3"/>
      <c r="UVX111" s="3"/>
      <c r="UVY111" s="3"/>
      <c r="UVZ111" s="3"/>
      <c r="UWA111" s="3"/>
      <c r="UWB111" s="3"/>
      <c r="UWC111" s="3"/>
      <c r="UWD111" s="3"/>
      <c r="UWE111" s="3"/>
      <c r="UWF111" s="3"/>
      <c r="UWG111" s="3"/>
      <c r="UWH111" s="3"/>
      <c r="UWI111" s="3"/>
      <c r="UWJ111" s="3"/>
      <c r="UWK111" s="3"/>
      <c r="UWL111" s="3"/>
      <c r="UWM111" s="3"/>
      <c r="UWN111" s="3"/>
      <c r="UWO111" s="3"/>
      <c r="UWP111" s="3"/>
      <c r="UWQ111" s="3"/>
      <c r="UWR111" s="3"/>
      <c r="UWS111" s="3"/>
      <c r="UWT111" s="3"/>
      <c r="UWU111" s="3"/>
      <c r="UWV111" s="3"/>
      <c r="UWW111" s="3"/>
      <c r="UWX111" s="3"/>
      <c r="UWY111" s="3"/>
      <c r="UWZ111" s="3"/>
      <c r="UXA111" s="3"/>
      <c r="UXB111" s="3"/>
      <c r="UXC111" s="3"/>
      <c r="UXD111" s="3"/>
      <c r="UXE111" s="3"/>
      <c r="UXF111" s="3"/>
      <c r="UXG111" s="3"/>
      <c r="UXH111" s="3"/>
      <c r="UXI111" s="3"/>
      <c r="UXJ111" s="3"/>
      <c r="UXK111" s="3"/>
      <c r="UXL111" s="3"/>
      <c r="UXM111" s="3"/>
      <c r="UXN111" s="3"/>
      <c r="UXO111" s="3"/>
      <c r="UXP111" s="3"/>
      <c r="UXQ111" s="3"/>
      <c r="UXR111" s="3"/>
      <c r="UXS111" s="3"/>
      <c r="UXT111" s="3"/>
      <c r="UXU111" s="3"/>
      <c r="UXV111" s="3"/>
      <c r="UXW111" s="3"/>
      <c r="UXX111" s="3"/>
      <c r="UXY111" s="3"/>
      <c r="UXZ111" s="3"/>
      <c r="UYA111" s="3"/>
      <c r="UYB111" s="3"/>
      <c r="UYC111" s="3"/>
      <c r="UYD111" s="3"/>
      <c r="UYE111" s="3"/>
      <c r="UYF111" s="3"/>
      <c r="UYG111" s="3"/>
      <c r="UYH111" s="3"/>
      <c r="UYI111" s="3"/>
      <c r="UYJ111" s="3"/>
      <c r="UYK111" s="3"/>
      <c r="UYL111" s="3"/>
      <c r="UYM111" s="3"/>
      <c r="UYN111" s="3"/>
      <c r="UYO111" s="3"/>
      <c r="UYP111" s="3"/>
      <c r="UYQ111" s="3"/>
      <c r="UYR111" s="3"/>
      <c r="UYS111" s="3"/>
      <c r="UYT111" s="3"/>
      <c r="UYU111" s="3"/>
      <c r="UYV111" s="3"/>
      <c r="UYW111" s="3"/>
      <c r="UYX111" s="3"/>
      <c r="UYY111" s="3"/>
      <c r="UYZ111" s="3"/>
      <c r="UZA111" s="3"/>
      <c r="UZB111" s="3"/>
      <c r="UZC111" s="3"/>
      <c r="UZD111" s="3"/>
      <c r="UZE111" s="3"/>
      <c r="UZF111" s="3"/>
      <c r="UZG111" s="3"/>
      <c r="UZH111" s="3"/>
      <c r="UZI111" s="3"/>
      <c r="UZJ111" s="3"/>
      <c r="UZK111" s="3"/>
      <c r="UZL111" s="3"/>
      <c r="UZM111" s="3"/>
      <c r="UZN111" s="3"/>
      <c r="UZO111" s="3"/>
      <c r="UZP111" s="3"/>
      <c r="UZQ111" s="3"/>
      <c r="UZR111" s="3"/>
      <c r="UZS111" s="3"/>
      <c r="UZT111" s="3"/>
      <c r="UZU111" s="3"/>
      <c r="UZV111" s="3"/>
      <c r="UZW111" s="3"/>
      <c r="UZX111" s="3"/>
      <c r="UZY111" s="3"/>
      <c r="UZZ111" s="3"/>
      <c r="VAA111" s="3"/>
      <c r="VAB111" s="3"/>
      <c r="VAC111" s="3"/>
      <c r="VAD111" s="3"/>
      <c r="VAE111" s="3"/>
      <c r="VAF111" s="3"/>
      <c r="VAG111" s="3"/>
      <c r="VAH111" s="3"/>
      <c r="VAI111" s="3"/>
      <c r="VAJ111" s="3"/>
      <c r="VAK111" s="3"/>
      <c r="VAL111" s="3"/>
      <c r="VAM111" s="3"/>
      <c r="VAN111" s="3"/>
      <c r="VAO111" s="3"/>
      <c r="VAP111" s="3"/>
      <c r="VAQ111" s="3"/>
      <c r="VAR111" s="3"/>
      <c r="VAS111" s="3"/>
      <c r="VAT111" s="3"/>
      <c r="VAU111" s="3"/>
      <c r="VAV111" s="3"/>
      <c r="VAW111" s="3"/>
      <c r="VAX111" s="3"/>
      <c r="VAY111" s="3"/>
      <c r="VAZ111" s="3"/>
      <c r="VBA111" s="3"/>
      <c r="VBB111" s="3"/>
      <c r="VBC111" s="3"/>
      <c r="VBD111" s="3"/>
      <c r="VBE111" s="3"/>
      <c r="VBF111" s="3"/>
      <c r="VBG111" s="3"/>
      <c r="VBH111" s="3"/>
      <c r="VBI111" s="3"/>
      <c r="VBJ111" s="3"/>
      <c r="VBK111" s="3"/>
      <c r="VBL111" s="3"/>
      <c r="VBM111" s="3"/>
      <c r="VBN111" s="3"/>
      <c r="VBO111" s="3"/>
      <c r="VBP111" s="3"/>
      <c r="VBQ111" s="3"/>
      <c r="VBR111" s="3"/>
      <c r="VBS111" s="3"/>
      <c r="VBT111" s="3"/>
      <c r="VBU111" s="3"/>
      <c r="VBV111" s="3"/>
      <c r="VBW111" s="3"/>
      <c r="VBX111" s="3"/>
      <c r="VBY111" s="3"/>
      <c r="VBZ111" s="3"/>
      <c r="VCA111" s="3"/>
      <c r="VCB111" s="3"/>
      <c r="VCC111" s="3"/>
      <c r="VCD111" s="3"/>
      <c r="VCE111" s="3"/>
      <c r="VCF111" s="3"/>
      <c r="VCG111" s="3"/>
      <c r="VCH111" s="3"/>
      <c r="VCI111" s="3"/>
      <c r="VCJ111" s="3"/>
      <c r="VCK111" s="3"/>
      <c r="VCL111" s="3"/>
      <c r="VCM111" s="3"/>
      <c r="VCN111" s="3"/>
      <c r="VCO111" s="3"/>
      <c r="VCP111" s="3"/>
      <c r="VCQ111" s="3"/>
      <c r="VCR111" s="3"/>
      <c r="VCS111" s="3"/>
      <c r="VCT111" s="3"/>
      <c r="VCU111" s="3"/>
      <c r="VCV111" s="3"/>
      <c r="VCW111" s="3"/>
      <c r="VCX111" s="3"/>
      <c r="VCY111" s="3"/>
      <c r="VCZ111" s="3"/>
      <c r="VDA111" s="3"/>
      <c r="VDB111" s="3"/>
      <c r="VDC111" s="3"/>
      <c r="VDD111" s="3"/>
      <c r="VDE111" s="3"/>
      <c r="VDF111" s="3"/>
      <c r="VDG111" s="3"/>
      <c r="VDH111" s="3"/>
      <c r="VDI111" s="3"/>
      <c r="VDJ111" s="3"/>
      <c r="VDK111" s="3"/>
      <c r="VDL111" s="3"/>
      <c r="VDM111" s="3"/>
      <c r="VDN111" s="3"/>
      <c r="VDO111" s="3"/>
      <c r="VDP111" s="3"/>
      <c r="VDQ111" s="3"/>
      <c r="VDR111" s="3"/>
      <c r="VDS111" s="3"/>
      <c r="VDT111" s="3"/>
      <c r="VDU111" s="3"/>
      <c r="VDV111" s="3"/>
      <c r="VDW111" s="3"/>
      <c r="VDX111" s="3"/>
      <c r="VDY111" s="3"/>
      <c r="VDZ111" s="3"/>
      <c r="VEA111" s="3"/>
      <c r="VEB111" s="3"/>
      <c r="VEC111" s="3"/>
      <c r="VED111" s="3"/>
      <c r="VEE111" s="3"/>
      <c r="VEF111" s="3"/>
      <c r="VEG111" s="3"/>
      <c r="VEH111" s="3"/>
      <c r="VEI111" s="3"/>
      <c r="VEJ111" s="3"/>
      <c r="VEK111" s="3"/>
      <c r="VEL111" s="3"/>
      <c r="VEM111" s="3"/>
      <c r="VEN111" s="3"/>
      <c r="VEO111" s="3"/>
      <c r="VEP111" s="3"/>
      <c r="VEQ111" s="3"/>
      <c r="VER111" s="3"/>
      <c r="VES111" s="3"/>
      <c r="VET111" s="3"/>
      <c r="VEU111" s="3"/>
      <c r="VEV111" s="3"/>
      <c r="VEW111" s="3"/>
      <c r="VEX111" s="3"/>
      <c r="VEY111" s="3"/>
      <c r="VEZ111" s="3"/>
      <c r="VFA111" s="3"/>
      <c r="VFB111" s="3"/>
      <c r="VFC111" s="3"/>
      <c r="VFD111" s="3"/>
      <c r="VFE111" s="3"/>
      <c r="VFF111" s="3"/>
      <c r="VFG111" s="3"/>
      <c r="VFH111" s="3"/>
      <c r="VFI111" s="3"/>
      <c r="VFJ111" s="3"/>
      <c r="VFK111" s="3"/>
      <c r="VFL111" s="3"/>
      <c r="VFM111" s="3"/>
      <c r="VFN111" s="3"/>
      <c r="VFO111" s="3"/>
      <c r="VFP111" s="3"/>
      <c r="VFQ111" s="3"/>
      <c r="VFR111" s="3"/>
      <c r="VFS111" s="3"/>
      <c r="VFT111" s="3"/>
      <c r="VFU111" s="3"/>
      <c r="VFV111" s="3"/>
      <c r="VFW111" s="3"/>
      <c r="VFX111" s="3"/>
      <c r="VFY111" s="3"/>
      <c r="VFZ111" s="3"/>
      <c r="VGA111" s="3"/>
      <c r="VGB111" s="3"/>
      <c r="VGC111" s="3"/>
      <c r="VGD111" s="3"/>
      <c r="VGE111" s="3"/>
      <c r="VGF111" s="3"/>
      <c r="VGG111" s="3"/>
      <c r="VGH111" s="3"/>
      <c r="VGI111" s="3"/>
      <c r="VGJ111" s="3"/>
      <c r="VGK111" s="3"/>
      <c r="VGL111" s="3"/>
      <c r="VGM111" s="3"/>
      <c r="VGN111" s="3"/>
      <c r="VGO111" s="3"/>
      <c r="VGP111" s="3"/>
      <c r="VGQ111" s="3"/>
      <c r="VGR111" s="3"/>
      <c r="VGS111" s="3"/>
      <c r="VGT111" s="3"/>
      <c r="VGU111" s="3"/>
      <c r="VGV111" s="3"/>
      <c r="VGW111" s="3"/>
      <c r="VGX111" s="3"/>
      <c r="VGY111" s="3"/>
      <c r="VGZ111" s="3"/>
      <c r="VHA111" s="3"/>
      <c r="VHB111" s="3"/>
      <c r="VHC111" s="3"/>
      <c r="VHD111" s="3"/>
      <c r="VHE111" s="3"/>
      <c r="VHF111" s="3"/>
      <c r="VHG111" s="3"/>
      <c r="VHH111" s="3"/>
      <c r="VHI111" s="3"/>
      <c r="VHJ111" s="3"/>
      <c r="VHK111" s="3"/>
      <c r="VHL111" s="3"/>
      <c r="VHM111" s="3"/>
      <c r="VHN111" s="3"/>
      <c r="VHO111" s="3"/>
      <c r="VHP111" s="3"/>
      <c r="VHQ111" s="3"/>
      <c r="VHR111" s="3"/>
      <c r="VHS111" s="3"/>
      <c r="VHT111" s="3"/>
      <c r="VHU111" s="3"/>
      <c r="VHV111" s="3"/>
      <c r="VHW111" s="3"/>
      <c r="VHX111" s="3"/>
      <c r="VHY111" s="3"/>
      <c r="VHZ111" s="3"/>
      <c r="VIA111" s="3"/>
      <c r="VIB111" s="3"/>
      <c r="VIC111" s="3"/>
      <c r="VID111" s="3"/>
      <c r="VIE111" s="3"/>
      <c r="VIF111" s="3"/>
      <c r="VIG111" s="3"/>
      <c r="VIH111" s="3"/>
      <c r="VII111" s="3"/>
      <c r="VIJ111" s="3"/>
      <c r="VIK111" s="3"/>
      <c r="VIL111" s="3"/>
      <c r="VIM111" s="3"/>
      <c r="VIN111" s="3"/>
      <c r="VIO111" s="3"/>
      <c r="VIP111" s="3"/>
      <c r="VIQ111" s="3"/>
      <c r="VIR111" s="3"/>
      <c r="VIS111" s="3"/>
      <c r="VIT111" s="3"/>
      <c r="VIU111" s="3"/>
      <c r="VIV111" s="3"/>
      <c r="VIW111" s="3"/>
      <c r="VIX111" s="3"/>
      <c r="VIY111" s="3"/>
      <c r="VIZ111" s="3"/>
      <c r="VJA111" s="3"/>
      <c r="VJB111" s="3"/>
      <c r="VJC111" s="3"/>
      <c r="VJD111" s="3"/>
      <c r="VJE111" s="3"/>
      <c r="VJF111" s="3"/>
      <c r="VJG111" s="3"/>
      <c r="VJH111" s="3"/>
      <c r="VJI111" s="3"/>
      <c r="VJJ111" s="3"/>
      <c r="VJK111" s="3"/>
      <c r="VJL111" s="3"/>
      <c r="VJM111" s="3"/>
      <c r="VJN111" s="3"/>
      <c r="VJO111" s="3"/>
      <c r="VJP111" s="3"/>
      <c r="VJQ111" s="3"/>
      <c r="VJR111" s="3"/>
      <c r="VJS111" s="3"/>
      <c r="VJT111" s="3"/>
      <c r="VJU111" s="3"/>
      <c r="VJV111" s="3"/>
      <c r="VJW111" s="3"/>
      <c r="VJX111" s="3"/>
      <c r="VJY111" s="3"/>
      <c r="VJZ111" s="3"/>
      <c r="VKA111" s="3"/>
      <c r="VKB111" s="3"/>
      <c r="VKC111" s="3"/>
      <c r="VKD111" s="3"/>
      <c r="VKE111" s="3"/>
      <c r="VKF111" s="3"/>
      <c r="VKG111" s="3"/>
      <c r="VKH111" s="3"/>
      <c r="VKI111" s="3"/>
      <c r="VKJ111" s="3"/>
      <c r="VKK111" s="3"/>
      <c r="VKL111" s="3"/>
      <c r="VKM111" s="3"/>
      <c r="VKN111" s="3"/>
      <c r="VKO111" s="3"/>
      <c r="VKP111" s="3"/>
      <c r="VKQ111" s="3"/>
      <c r="VKR111" s="3"/>
      <c r="VKS111" s="3"/>
      <c r="VKT111" s="3"/>
      <c r="VKU111" s="3"/>
      <c r="VKV111" s="3"/>
      <c r="VKW111" s="3"/>
      <c r="VKX111" s="3"/>
      <c r="VKY111" s="3"/>
      <c r="VKZ111" s="3"/>
      <c r="VLA111" s="3"/>
      <c r="VLB111" s="3"/>
      <c r="VLC111" s="3"/>
      <c r="VLD111" s="3"/>
      <c r="VLE111" s="3"/>
      <c r="VLF111" s="3"/>
      <c r="VLG111" s="3"/>
      <c r="VLH111" s="3"/>
      <c r="VLI111" s="3"/>
      <c r="VLJ111" s="3"/>
      <c r="VLK111" s="3"/>
      <c r="VLL111" s="3"/>
      <c r="VLM111" s="3"/>
      <c r="VLN111" s="3"/>
      <c r="VLO111" s="3"/>
      <c r="VLP111" s="3"/>
      <c r="VLQ111" s="3"/>
      <c r="VLR111" s="3"/>
      <c r="VLS111" s="3"/>
      <c r="VLT111" s="3"/>
      <c r="VLU111" s="3"/>
      <c r="VLV111" s="3"/>
      <c r="VLW111" s="3"/>
      <c r="VLX111" s="3"/>
      <c r="VLY111" s="3"/>
      <c r="VLZ111" s="3"/>
      <c r="VMA111" s="3"/>
      <c r="VMB111" s="3"/>
      <c r="VMC111" s="3"/>
      <c r="VMD111" s="3"/>
      <c r="VME111" s="3"/>
      <c r="VMF111" s="3"/>
      <c r="VMG111" s="3"/>
      <c r="VMH111" s="3"/>
      <c r="VMI111" s="3"/>
      <c r="VMJ111" s="3"/>
      <c r="VMK111" s="3"/>
      <c r="VML111" s="3"/>
      <c r="VMM111" s="3"/>
      <c r="VMN111" s="3"/>
      <c r="VMO111" s="3"/>
      <c r="VMP111" s="3"/>
      <c r="VMQ111" s="3"/>
      <c r="VMR111" s="3"/>
      <c r="VMS111" s="3"/>
      <c r="VMT111" s="3"/>
      <c r="VMU111" s="3"/>
      <c r="VMV111" s="3"/>
      <c r="VMW111" s="3"/>
      <c r="VMX111" s="3"/>
      <c r="VMY111" s="3"/>
      <c r="VMZ111" s="3"/>
      <c r="VNA111" s="3"/>
      <c r="VNB111" s="3"/>
      <c r="VNC111" s="3"/>
      <c r="VND111" s="3"/>
      <c r="VNE111" s="3"/>
      <c r="VNF111" s="3"/>
      <c r="VNG111" s="3"/>
      <c r="VNH111" s="3"/>
      <c r="VNI111" s="3"/>
      <c r="VNJ111" s="3"/>
      <c r="VNK111" s="3"/>
      <c r="VNL111" s="3"/>
      <c r="VNM111" s="3"/>
      <c r="VNN111" s="3"/>
      <c r="VNO111" s="3"/>
      <c r="VNP111" s="3"/>
      <c r="VNQ111" s="3"/>
      <c r="VNR111" s="3"/>
      <c r="VNS111" s="3"/>
      <c r="VNT111" s="3"/>
      <c r="VNU111" s="3"/>
      <c r="VNV111" s="3"/>
      <c r="VNW111" s="3"/>
      <c r="VNX111" s="3"/>
      <c r="VNY111" s="3"/>
      <c r="VNZ111" s="3"/>
      <c r="VOA111" s="3"/>
      <c r="VOB111" s="3"/>
      <c r="VOC111" s="3"/>
      <c r="VOD111" s="3"/>
      <c r="VOE111" s="3"/>
      <c r="VOF111" s="3"/>
      <c r="VOG111" s="3"/>
      <c r="VOH111" s="3"/>
      <c r="VOI111" s="3"/>
      <c r="VOJ111" s="3"/>
      <c r="VOK111" s="3"/>
      <c r="VOL111" s="3"/>
      <c r="VOM111" s="3"/>
      <c r="VON111" s="3"/>
      <c r="VOO111" s="3"/>
      <c r="VOP111" s="3"/>
      <c r="VOQ111" s="3"/>
      <c r="VOR111" s="3"/>
      <c r="VOS111" s="3"/>
      <c r="VOT111" s="3"/>
      <c r="VOU111" s="3"/>
      <c r="VOV111" s="3"/>
      <c r="VOW111" s="3"/>
      <c r="VOX111" s="3"/>
      <c r="VOY111" s="3"/>
      <c r="VOZ111" s="3"/>
      <c r="VPA111" s="3"/>
      <c r="VPB111" s="3"/>
      <c r="VPC111" s="3"/>
      <c r="VPD111" s="3"/>
      <c r="VPE111" s="3"/>
      <c r="VPF111" s="3"/>
      <c r="VPG111" s="3"/>
      <c r="VPH111" s="3"/>
      <c r="VPI111" s="3"/>
      <c r="VPJ111" s="3"/>
      <c r="VPK111" s="3"/>
      <c r="VPL111" s="3"/>
      <c r="VPM111" s="3"/>
      <c r="VPN111" s="3"/>
      <c r="VPO111" s="3"/>
      <c r="VPP111" s="3"/>
      <c r="VPQ111" s="3"/>
      <c r="VPR111" s="3"/>
      <c r="VPS111" s="3"/>
      <c r="VPT111" s="3"/>
      <c r="VPU111" s="3"/>
      <c r="VPV111" s="3"/>
      <c r="VPW111" s="3"/>
      <c r="VPX111" s="3"/>
      <c r="VPY111" s="3"/>
      <c r="VPZ111" s="3"/>
      <c r="VQA111" s="3"/>
      <c r="VQB111" s="3"/>
      <c r="VQC111" s="3"/>
      <c r="VQD111" s="3"/>
      <c r="VQE111" s="3"/>
      <c r="VQF111" s="3"/>
      <c r="VQG111" s="3"/>
      <c r="VQH111" s="3"/>
      <c r="VQI111" s="3"/>
      <c r="VQJ111" s="3"/>
      <c r="VQK111" s="3"/>
      <c r="VQL111" s="3"/>
      <c r="VQM111" s="3"/>
      <c r="VQN111" s="3"/>
      <c r="VQO111" s="3"/>
      <c r="VQP111" s="3"/>
      <c r="VQQ111" s="3"/>
      <c r="VQR111" s="3"/>
      <c r="VQS111" s="3"/>
      <c r="VQT111" s="3"/>
      <c r="VQU111" s="3"/>
      <c r="VQV111" s="3"/>
      <c r="VQW111" s="3"/>
      <c r="VQX111" s="3"/>
      <c r="VQY111" s="3"/>
      <c r="VQZ111" s="3"/>
      <c r="VRA111" s="3"/>
      <c r="VRB111" s="3"/>
      <c r="VRC111" s="3"/>
      <c r="VRD111" s="3"/>
      <c r="VRE111" s="3"/>
      <c r="VRF111" s="3"/>
      <c r="VRG111" s="3"/>
      <c r="VRH111" s="3"/>
      <c r="VRI111" s="3"/>
      <c r="VRJ111" s="3"/>
      <c r="VRK111" s="3"/>
      <c r="VRL111" s="3"/>
      <c r="VRM111" s="3"/>
      <c r="VRN111" s="3"/>
      <c r="VRO111" s="3"/>
      <c r="VRP111" s="3"/>
      <c r="VRQ111" s="3"/>
      <c r="VRR111" s="3"/>
      <c r="VRS111" s="3"/>
      <c r="VRT111" s="3"/>
      <c r="VRU111" s="3"/>
      <c r="VRV111" s="3"/>
      <c r="VRW111" s="3"/>
      <c r="VRX111" s="3"/>
      <c r="VRY111" s="3"/>
      <c r="VRZ111" s="3"/>
      <c r="VSA111" s="3"/>
      <c r="VSB111" s="3"/>
      <c r="VSC111" s="3"/>
      <c r="VSD111" s="3"/>
      <c r="VSE111" s="3"/>
      <c r="VSF111" s="3"/>
      <c r="VSG111" s="3"/>
      <c r="VSH111" s="3"/>
      <c r="VSI111" s="3"/>
      <c r="VSJ111" s="3"/>
      <c r="VSK111" s="3"/>
      <c r="VSL111" s="3"/>
      <c r="VSM111" s="3"/>
      <c r="VSN111" s="3"/>
      <c r="VSO111" s="3"/>
      <c r="VSP111" s="3"/>
      <c r="VSQ111" s="3"/>
      <c r="VSR111" s="3"/>
      <c r="VSS111" s="3"/>
      <c r="VST111" s="3"/>
      <c r="VSU111" s="3"/>
      <c r="VSV111" s="3"/>
      <c r="VSW111" s="3"/>
      <c r="VSX111" s="3"/>
      <c r="VSY111" s="3"/>
      <c r="VSZ111" s="3"/>
      <c r="VTA111" s="3"/>
      <c r="VTB111" s="3"/>
      <c r="VTC111" s="3"/>
      <c r="VTD111" s="3"/>
      <c r="VTE111" s="3"/>
      <c r="VTF111" s="3"/>
      <c r="VTG111" s="3"/>
      <c r="VTH111" s="3"/>
      <c r="VTI111" s="3"/>
      <c r="VTJ111" s="3"/>
      <c r="VTK111" s="3"/>
      <c r="VTL111" s="3"/>
      <c r="VTM111" s="3"/>
      <c r="VTN111" s="3"/>
      <c r="VTO111" s="3"/>
      <c r="VTP111" s="3"/>
      <c r="VTQ111" s="3"/>
      <c r="VTR111" s="3"/>
      <c r="VTS111" s="3"/>
      <c r="VTT111" s="3"/>
      <c r="VTU111" s="3"/>
      <c r="VTV111" s="3"/>
      <c r="VTW111" s="3"/>
      <c r="VTX111" s="3"/>
      <c r="VTY111" s="3"/>
      <c r="VTZ111" s="3"/>
      <c r="VUA111" s="3"/>
      <c r="VUB111" s="3"/>
      <c r="VUC111" s="3"/>
      <c r="VUD111" s="3"/>
      <c r="VUE111" s="3"/>
      <c r="VUF111" s="3"/>
      <c r="VUG111" s="3"/>
      <c r="VUH111" s="3"/>
      <c r="VUI111" s="3"/>
      <c r="VUJ111" s="3"/>
      <c r="VUK111" s="3"/>
      <c r="VUL111" s="3"/>
      <c r="VUM111" s="3"/>
      <c r="VUN111" s="3"/>
      <c r="VUO111" s="3"/>
      <c r="VUP111" s="3"/>
      <c r="VUQ111" s="3"/>
      <c r="VUR111" s="3"/>
      <c r="VUS111" s="3"/>
      <c r="VUT111" s="3"/>
      <c r="VUU111" s="3"/>
      <c r="VUV111" s="3"/>
      <c r="VUW111" s="3"/>
      <c r="VUX111" s="3"/>
      <c r="VUY111" s="3"/>
      <c r="VUZ111" s="3"/>
      <c r="VVA111" s="3"/>
      <c r="VVB111" s="3"/>
      <c r="VVC111" s="3"/>
      <c r="VVD111" s="3"/>
      <c r="VVE111" s="3"/>
      <c r="VVF111" s="3"/>
      <c r="VVG111" s="3"/>
      <c r="VVH111" s="3"/>
      <c r="VVI111" s="3"/>
      <c r="VVJ111" s="3"/>
      <c r="VVK111" s="3"/>
      <c r="VVL111" s="3"/>
      <c r="VVM111" s="3"/>
      <c r="VVN111" s="3"/>
      <c r="VVO111" s="3"/>
      <c r="VVP111" s="3"/>
      <c r="VVQ111" s="3"/>
      <c r="VVR111" s="3"/>
      <c r="VVS111" s="3"/>
      <c r="VVT111" s="3"/>
      <c r="VVU111" s="3"/>
      <c r="VVV111" s="3"/>
      <c r="VVW111" s="3"/>
      <c r="VVX111" s="3"/>
      <c r="VVY111" s="3"/>
      <c r="VVZ111" s="3"/>
      <c r="VWA111" s="3"/>
      <c r="VWB111" s="3"/>
      <c r="VWC111" s="3"/>
      <c r="VWD111" s="3"/>
      <c r="VWE111" s="3"/>
      <c r="VWF111" s="3"/>
      <c r="VWG111" s="3"/>
      <c r="VWH111" s="3"/>
      <c r="VWI111" s="3"/>
      <c r="VWJ111" s="3"/>
      <c r="VWK111" s="3"/>
      <c r="VWL111" s="3"/>
      <c r="VWM111" s="3"/>
      <c r="VWN111" s="3"/>
      <c r="VWO111" s="3"/>
      <c r="VWP111" s="3"/>
      <c r="VWQ111" s="3"/>
      <c r="VWR111" s="3"/>
      <c r="VWS111" s="3"/>
      <c r="VWT111" s="3"/>
      <c r="VWU111" s="3"/>
      <c r="VWV111" s="3"/>
      <c r="VWW111" s="3"/>
      <c r="VWX111" s="3"/>
      <c r="VWY111" s="3"/>
      <c r="VWZ111" s="3"/>
      <c r="VXA111" s="3"/>
      <c r="VXB111" s="3"/>
      <c r="VXC111" s="3"/>
      <c r="VXD111" s="3"/>
      <c r="VXE111" s="3"/>
      <c r="VXF111" s="3"/>
      <c r="VXG111" s="3"/>
      <c r="VXH111" s="3"/>
      <c r="VXI111" s="3"/>
      <c r="VXJ111" s="3"/>
      <c r="VXK111" s="3"/>
      <c r="VXL111" s="3"/>
      <c r="VXM111" s="3"/>
      <c r="VXN111" s="3"/>
      <c r="VXO111" s="3"/>
      <c r="VXP111" s="3"/>
      <c r="VXQ111" s="3"/>
      <c r="VXR111" s="3"/>
      <c r="VXS111" s="3"/>
      <c r="VXT111" s="3"/>
      <c r="VXU111" s="3"/>
      <c r="VXV111" s="3"/>
      <c r="VXW111" s="3"/>
      <c r="VXX111" s="3"/>
      <c r="VXY111" s="3"/>
      <c r="VXZ111" s="3"/>
      <c r="VYA111" s="3"/>
      <c r="VYB111" s="3"/>
      <c r="VYC111" s="3"/>
      <c r="VYD111" s="3"/>
      <c r="VYE111" s="3"/>
      <c r="VYF111" s="3"/>
      <c r="VYG111" s="3"/>
      <c r="VYH111" s="3"/>
      <c r="VYI111" s="3"/>
      <c r="VYJ111" s="3"/>
      <c r="VYK111" s="3"/>
      <c r="VYL111" s="3"/>
      <c r="VYM111" s="3"/>
      <c r="VYN111" s="3"/>
      <c r="VYO111" s="3"/>
      <c r="VYP111" s="3"/>
      <c r="VYQ111" s="3"/>
      <c r="VYR111" s="3"/>
      <c r="VYS111" s="3"/>
      <c r="VYT111" s="3"/>
      <c r="VYU111" s="3"/>
      <c r="VYV111" s="3"/>
      <c r="VYW111" s="3"/>
      <c r="VYX111" s="3"/>
      <c r="VYY111" s="3"/>
      <c r="VYZ111" s="3"/>
      <c r="VZA111" s="3"/>
      <c r="VZB111" s="3"/>
      <c r="VZC111" s="3"/>
      <c r="VZD111" s="3"/>
      <c r="VZE111" s="3"/>
      <c r="VZF111" s="3"/>
      <c r="VZG111" s="3"/>
      <c r="VZH111" s="3"/>
      <c r="VZI111" s="3"/>
      <c r="VZJ111" s="3"/>
      <c r="VZK111" s="3"/>
      <c r="VZL111" s="3"/>
      <c r="VZM111" s="3"/>
      <c r="VZN111" s="3"/>
      <c r="VZO111" s="3"/>
      <c r="VZP111" s="3"/>
      <c r="VZQ111" s="3"/>
      <c r="VZR111" s="3"/>
      <c r="VZS111" s="3"/>
      <c r="VZT111" s="3"/>
      <c r="VZU111" s="3"/>
      <c r="VZV111" s="3"/>
      <c r="VZW111" s="3"/>
      <c r="VZX111" s="3"/>
      <c r="VZY111" s="3"/>
      <c r="VZZ111" s="3"/>
      <c r="WAA111" s="3"/>
      <c r="WAB111" s="3"/>
      <c r="WAC111" s="3"/>
      <c r="WAD111" s="3"/>
      <c r="WAE111" s="3"/>
      <c r="WAF111" s="3"/>
      <c r="WAG111" s="3"/>
      <c r="WAH111" s="3"/>
      <c r="WAI111" s="3"/>
      <c r="WAJ111" s="3"/>
      <c r="WAK111" s="3"/>
      <c r="WAL111" s="3"/>
      <c r="WAM111" s="3"/>
      <c r="WAN111" s="3"/>
      <c r="WAO111" s="3"/>
      <c r="WAP111" s="3"/>
      <c r="WAQ111" s="3"/>
      <c r="WAR111" s="3"/>
      <c r="WAS111" s="3"/>
      <c r="WAT111" s="3"/>
      <c r="WAU111" s="3"/>
      <c r="WAV111" s="3"/>
      <c r="WAW111" s="3"/>
      <c r="WAX111" s="3"/>
      <c r="WAY111" s="3"/>
      <c r="WAZ111" s="3"/>
      <c r="WBA111" s="3"/>
      <c r="WBB111" s="3"/>
      <c r="WBC111" s="3"/>
      <c r="WBD111" s="3"/>
      <c r="WBE111" s="3"/>
      <c r="WBF111" s="3"/>
      <c r="WBG111" s="3"/>
      <c r="WBH111" s="3"/>
      <c r="WBI111" s="3"/>
      <c r="WBJ111" s="3"/>
      <c r="WBK111" s="3"/>
      <c r="WBL111" s="3"/>
      <c r="WBM111" s="3"/>
      <c r="WBN111" s="3"/>
      <c r="WBO111" s="3"/>
      <c r="WBP111" s="3"/>
      <c r="WBQ111" s="3"/>
      <c r="WBR111" s="3"/>
      <c r="WBS111" s="3"/>
      <c r="WBT111" s="3"/>
      <c r="WBU111" s="3"/>
      <c r="WBV111" s="3"/>
      <c r="WBW111" s="3"/>
      <c r="WBX111" s="3"/>
      <c r="WBY111" s="3"/>
      <c r="WBZ111" s="3"/>
      <c r="WCA111" s="3"/>
      <c r="WCB111" s="3"/>
      <c r="WCC111" s="3"/>
      <c r="WCD111" s="3"/>
      <c r="WCE111" s="3"/>
      <c r="WCF111" s="3"/>
      <c r="WCG111" s="3"/>
      <c r="WCH111" s="3"/>
      <c r="WCI111" s="3"/>
      <c r="WCJ111" s="3"/>
      <c r="WCK111" s="3"/>
      <c r="WCL111" s="3"/>
      <c r="WCM111" s="3"/>
      <c r="WCN111" s="3"/>
      <c r="WCO111" s="3"/>
      <c r="WCP111" s="3"/>
      <c r="WCQ111" s="3"/>
      <c r="WCR111" s="3"/>
      <c r="WCS111" s="3"/>
      <c r="WCT111" s="3"/>
      <c r="WCU111" s="3"/>
      <c r="WCV111" s="3"/>
      <c r="WCW111" s="3"/>
      <c r="WCX111" s="3"/>
      <c r="WCY111" s="3"/>
      <c r="WCZ111" s="3"/>
      <c r="WDA111" s="3"/>
      <c r="WDB111" s="3"/>
      <c r="WDC111" s="3"/>
      <c r="WDD111" s="3"/>
      <c r="WDE111" s="3"/>
      <c r="WDF111" s="3"/>
      <c r="WDG111" s="3"/>
      <c r="WDH111" s="3"/>
      <c r="WDI111" s="3"/>
      <c r="WDJ111" s="3"/>
      <c r="WDK111" s="3"/>
      <c r="WDL111" s="3"/>
      <c r="WDM111" s="3"/>
      <c r="WDN111" s="3"/>
      <c r="WDO111" s="3"/>
      <c r="WDP111" s="3"/>
      <c r="WDQ111" s="3"/>
      <c r="WDR111" s="3"/>
      <c r="WDS111" s="3"/>
      <c r="WDT111" s="3"/>
      <c r="WDU111" s="3"/>
      <c r="WDV111" s="3"/>
      <c r="WDW111" s="3"/>
      <c r="WDX111" s="3"/>
      <c r="WDY111" s="3"/>
      <c r="WDZ111" s="3"/>
      <c r="WEA111" s="3"/>
      <c r="WEB111" s="3"/>
      <c r="WEC111" s="3"/>
      <c r="WED111" s="3"/>
      <c r="WEE111" s="3"/>
      <c r="WEF111" s="3"/>
      <c r="WEG111" s="3"/>
      <c r="WEH111" s="3"/>
      <c r="WEI111" s="3"/>
      <c r="WEJ111" s="3"/>
      <c r="WEK111" s="3"/>
      <c r="WEL111" s="3"/>
      <c r="WEM111" s="3"/>
      <c r="WEN111" s="3"/>
      <c r="WEO111" s="3"/>
      <c r="WEP111" s="3"/>
      <c r="WEQ111" s="3"/>
      <c r="WER111" s="3"/>
      <c r="WES111" s="3"/>
      <c r="WET111" s="3"/>
      <c r="WEU111" s="3"/>
      <c r="WEV111" s="3"/>
      <c r="WEW111" s="3"/>
      <c r="WEX111" s="3"/>
      <c r="WEY111" s="3"/>
      <c r="WEZ111" s="3"/>
      <c r="WFA111" s="3"/>
      <c r="WFB111" s="3"/>
      <c r="WFC111" s="3"/>
      <c r="WFD111" s="3"/>
      <c r="WFE111" s="3"/>
      <c r="WFF111" s="3"/>
      <c r="WFG111" s="3"/>
      <c r="WFH111" s="3"/>
      <c r="WFI111" s="3"/>
      <c r="WFJ111" s="3"/>
      <c r="WFK111" s="3"/>
      <c r="WFL111" s="3"/>
      <c r="WFM111" s="3"/>
      <c r="WFN111" s="3"/>
      <c r="WFO111" s="3"/>
      <c r="WFP111" s="3"/>
      <c r="WFQ111" s="3"/>
      <c r="WFR111" s="3"/>
      <c r="WFS111" s="3"/>
      <c r="WFT111" s="3"/>
      <c r="WFU111" s="3"/>
      <c r="WFV111" s="3"/>
      <c r="WFW111" s="3"/>
      <c r="WFX111" s="3"/>
      <c r="WFY111" s="3"/>
      <c r="WFZ111" s="3"/>
      <c r="WGA111" s="3"/>
      <c r="WGB111" s="3"/>
      <c r="WGC111" s="3"/>
      <c r="WGD111" s="3"/>
      <c r="WGE111" s="3"/>
      <c r="WGF111" s="3"/>
      <c r="WGG111" s="3"/>
      <c r="WGH111" s="3"/>
      <c r="WGI111" s="3"/>
      <c r="WGJ111" s="3"/>
      <c r="WGK111" s="3"/>
      <c r="WGL111" s="3"/>
      <c r="WGM111" s="3"/>
      <c r="WGN111" s="3"/>
      <c r="WGO111" s="3"/>
      <c r="WGP111" s="3"/>
      <c r="WGQ111" s="3"/>
      <c r="WGR111" s="3"/>
      <c r="WGS111" s="3"/>
      <c r="WGT111" s="3"/>
      <c r="WGU111" s="3"/>
      <c r="WGV111" s="3"/>
      <c r="WGW111" s="3"/>
      <c r="WGX111" s="3"/>
      <c r="WGY111" s="3"/>
      <c r="WGZ111" s="3"/>
      <c r="WHA111" s="3"/>
      <c r="WHB111" s="3"/>
      <c r="WHC111" s="3"/>
      <c r="WHD111" s="3"/>
      <c r="WHE111" s="3"/>
      <c r="WHF111" s="3"/>
      <c r="WHG111" s="3"/>
      <c r="WHH111" s="3"/>
      <c r="WHI111" s="3"/>
      <c r="WHJ111" s="3"/>
      <c r="WHK111" s="3"/>
      <c r="WHL111" s="3"/>
      <c r="WHM111" s="3"/>
      <c r="WHN111" s="3"/>
      <c r="WHO111" s="3"/>
      <c r="WHP111" s="3"/>
      <c r="WHQ111" s="3"/>
      <c r="WHR111" s="3"/>
      <c r="WHS111" s="3"/>
      <c r="WHT111" s="3"/>
      <c r="WHU111" s="3"/>
      <c r="WHV111" s="3"/>
      <c r="WHW111" s="3"/>
      <c r="WHX111" s="3"/>
      <c r="WHY111" s="3"/>
      <c r="WHZ111" s="3"/>
      <c r="WIA111" s="3"/>
      <c r="WIB111" s="3"/>
      <c r="WIC111" s="3"/>
      <c r="WID111" s="3"/>
      <c r="WIE111" s="3"/>
      <c r="WIF111" s="3"/>
      <c r="WIG111" s="3"/>
      <c r="WIH111" s="3"/>
      <c r="WII111" s="3"/>
      <c r="WIJ111" s="3"/>
      <c r="WIK111" s="3"/>
      <c r="WIL111" s="3"/>
      <c r="WIM111" s="3"/>
      <c r="WIN111" s="3"/>
      <c r="WIO111" s="3"/>
      <c r="WIP111" s="3"/>
      <c r="WIQ111" s="3"/>
      <c r="WIR111" s="3"/>
      <c r="WIS111" s="3"/>
      <c r="WIT111" s="3"/>
      <c r="WIU111" s="3"/>
      <c r="WIV111" s="3"/>
      <c r="WIW111" s="3"/>
      <c r="WIX111" s="3"/>
      <c r="WIY111" s="3"/>
      <c r="WIZ111" s="3"/>
      <c r="WJA111" s="3"/>
      <c r="WJB111" s="3"/>
      <c r="WJC111" s="3"/>
      <c r="WJD111" s="3"/>
      <c r="WJE111" s="3"/>
      <c r="WJF111" s="3"/>
      <c r="WJG111" s="3"/>
      <c r="WJH111" s="3"/>
      <c r="WJI111" s="3"/>
      <c r="WJJ111" s="3"/>
      <c r="WJK111" s="3"/>
      <c r="WJL111" s="3"/>
      <c r="WJM111" s="3"/>
      <c r="WJN111" s="3"/>
      <c r="WJO111" s="3"/>
      <c r="WJP111" s="3"/>
      <c r="WJQ111" s="3"/>
      <c r="WJR111" s="3"/>
      <c r="WJS111" s="3"/>
      <c r="WJT111" s="3"/>
      <c r="WJU111" s="3"/>
      <c r="WJV111" s="3"/>
      <c r="WJW111" s="3"/>
      <c r="WJX111" s="3"/>
      <c r="WJY111" s="3"/>
      <c r="WJZ111" s="3"/>
      <c r="WKA111" s="3"/>
      <c r="WKB111" s="3"/>
      <c r="WKC111" s="3"/>
      <c r="WKD111" s="3"/>
      <c r="WKE111" s="3"/>
      <c r="WKF111" s="3"/>
      <c r="WKG111" s="3"/>
      <c r="WKH111" s="3"/>
      <c r="WKI111" s="3"/>
      <c r="WKJ111" s="3"/>
      <c r="WKK111" s="3"/>
      <c r="WKL111" s="3"/>
      <c r="WKM111" s="3"/>
      <c r="WKN111" s="3"/>
      <c r="WKO111" s="3"/>
      <c r="WKP111" s="3"/>
      <c r="WKQ111" s="3"/>
      <c r="WKR111" s="3"/>
      <c r="WKS111" s="3"/>
      <c r="WKT111" s="3"/>
      <c r="WKU111" s="3"/>
      <c r="WKV111" s="3"/>
      <c r="WKW111" s="3"/>
      <c r="WKX111" s="3"/>
      <c r="WKY111" s="3"/>
      <c r="WKZ111" s="3"/>
      <c r="WLA111" s="3"/>
      <c r="WLB111" s="3"/>
      <c r="WLC111" s="3"/>
      <c r="WLD111" s="3"/>
      <c r="WLE111" s="3"/>
      <c r="WLF111" s="3"/>
      <c r="WLG111" s="3"/>
      <c r="WLH111" s="3"/>
      <c r="WLI111" s="3"/>
      <c r="WLJ111" s="3"/>
      <c r="WLK111" s="3"/>
      <c r="WLL111" s="3"/>
      <c r="WLM111" s="3"/>
      <c r="WLN111" s="3"/>
      <c r="WLO111" s="3"/>
      <c r="WLP111" s="3"/>
      <c r="WLQ111" s="3"/>
      <c r="WLR111" s="3"/>
      <c r="WLS111" s="3"/>
      <c r="WLT111" s="3"/>
      <c r="WLU111" s="3"/>
      <c r="WLV111" s="3"/>
      <c r="WLW111" s="3"/>
      <c r="WLX111" s="3"/>
      <c r="WLY111" s="3"/>
      <c r="WLZ111" s="3"/>
      <c r="WMA111" s="3"/>
      <c r="WMB111" s="3"/>
      <c r="WMC111" s="3"/>
      <c r="WMD111" s="3"/>
      <c r="WME111" s="3"/>
      <c r="WMF111" s="3"/>
      <c r="WMG111" s="3"/>
      <c r="WMH111" s="3"/>
      <c r="WMI111" s="3"/>
      <c r="WMJ111" s="3"/>
      <c r="WMK111" s="3"/>
      <c r="WML111" s="3"/>
      <c r="WMM111" s="3"/>
      <c r="WMN111" s="3"/>
      <c r="WMO111" s="3"/>
      <c r="WMP111" s="3"/>
      <c r="WMQ111" s="3"/>
      <c r="WMR111" s="3"/>
      <c r="WMS111" s="3"/>
      <c r="WMT111" s="3"/>
      <c r="WMU111" s="3"/>
      <c r="WMV111" s="3"/>
      <c r="WMW111" s="3"/>
      <c r="WMX111" s="3"/>
      <c r="WMY111" s="3"/>
      <c r="WMZ111" s="3"/>
      <c r="WNA111" s="3"/>
      <c r="WNB111" s="3"/>
      <c r="WNC111" s="3"/>
      <c r="WND111" s="3"/>
      <c r="WNE111" s="3"/>
      <c r="WNF111" s="3"/>
      <c r="WNG111" s="3"/>
      <c r="WNH111" s="3"/>
      <c r="WNI111" s="3"/>
      <c r="WNJ111" s="3"/>
      <c r="WNK111" s="3"/>
      <c r="WNL111" s="3"/>
      <c r="WNM111" s="3"/>
      <c r="WNN111" s="3"/>
      <c r="WNO111" s="3"/>
      <c r="WNP111" s="3"/>
      <c r="WNQ111" s="3"/>
      <c r="WNR111" s="3"/>
      <c r="WNS111" s="3"/>
      <c r="WNT111" s="3"/>
      <c r="WNU111" s="3"/>
      <c r="WNV111" s="3"/>
      <c r="WNW111" s="3"/>
      <c r="WNX111" s="3"/>
      <c r="WNY111" s="3"/>
      <c r="WNZ111" s="3"/>
      <c r="WOA111" s="3"/>
      <c r="WOB111" s="3"/>
      <c r="WOC111" s="3"/>
      <c r="WOD111" s="3"/>
      <c r="WOE111" s="3"/>
      <c r="WOF111" s="3"/>
      <c r="WOG111" s="3"/>
      <c r="WOH111" s="3"/>
      <c r="WOI111" s="3"/>
      <c r="WOJ111" s="3"/>
      <c r="WOK111" s="3"/>
      <c r="WOL111" s="3"/>
      <c r="WOM111" s="3"/>
      <c r="WON111" s="3"/>
      <c r="WOO111" s="3"/>
      <c r="WOP111" s="3"/>
      <c r="WOQ111" s="3"/>
      <c r="WOR111" s="3"/>
      <c r="WOS111" s="3"/>
      <c r="WOT111" s="3"/>
      <c r="WOU111" s="3"/>
      <c r="WOV111" s="3"/>
      <c r="WOW111" s="3"/>
      <c r="WOX111" s="3"/>
      <c r="WOY111" s="3"/>
      <c r="WOZ111" s="3"/>
      <c r="WPA111" s="3"/>
      <c r="WPB111" s="3"/>
      <c r="WPC111" s="3"/>
      <c r="WPD111" s="3"/>
      <c r="WPE111" s="3"/>
      <c r="WPF111" s="3"/>
      <c r="WPG111" s="3"/>
      <c r="WPH111" s="3"/>
      <c r="WPI111" s="3"/>
      <c r="WPJ111" s="3"/>
      <c r="WPK111" s="3"/>
      <c r="WPL111" s="3"/>
      <c r="WPM111" s="3"/>
      <c r="WPN111" s="3"/>
      <c r="WPO111" s="3"/>
      <c r="WPP111" s="3"/>
      <c r="WPQ111" s="3"/>
      <c r="WPR111" s="3"/>
      <c r="WPS111" s="3"/>
      <c r="WPT111" s="3"/>
      <c r="WPU111" s="3"/>
      <c r="WPV111" s="3"/>
      <c r="WPW111" s="3"/>
      <c r="WPX111" s="3"/>
      <c r="WPY111" s="3"/>
      <c r="WPZ111" s="3"/>
      <c r="WQA111" s="3"/>
      <c r="WQB111" s="3"/>
      <c r="WQC111" s="3"/>
      <c r="WQD111" s="3"/>
      <c r="WQE111" s="3"/>
      <c r="WQF111" s="3"/>
      <c r="WQG111" s="3"/>
      <c r="WQH111" s="3"/>
      <c r="WQI111" s="3"/>
      <c r="WQJ111" s="3"/>
      <c r="WQK111" s="3"/>
      <c r="WQL111" s="3"/>
      <c r="WQM111" s="3"/>
      <c r="WQN111" s="3"/>
      <c r="WQO111" s="3"/>
      <c r="WQP111" s="3"/>
      <c r="WQQ111" s="3"/>
      <c r="WQR111" s="3"/>
      <c r="WQS111" s="3"/>
      <c r="WQT111" s="3"/>
      <c r="WQU111" s="3"/>
      <c r="WQV111" s="3"/>
      <c r="WQW111" s="3"/>
      <c r="WQX111" s="3"/>
      <c r="WQY111" s="3"/>
      <c r="WQZ111" s="3"/>
      <c r="WRA111" s="3"/>
      <c r="WRB111" s="3"/>
      <c r="WRC111" s="3"/>
      <c r="WRD111" s="3"/>
      <c r="WRE111" s="3"/>
      <c r="WRF111" s="3"/>
      <c r="WRG111" s="3"/>
      <c r="WRH111" s="3"/>
      <c r="WRI111" s="3"/>
      <c r="WRJ111" s="3"/>
      <c r="WRK111" s="3"/>
      <c r="WRL111" s="3"/>
      <c r="WRM111" s="3"/>
      <c r="WRN111" s="3"/>
      <c r="WRO111" s="3"/>
      <c r="WRP111" s="3"/>
      <c r="WRQ111" s="3"/>
      <c r="WRR111" s="3"/>
      <c r="WRS111" s="3"/>
      <c r="WRT111" s="3"/>
      <c r="WRU111" s="3"/>
      <c r="WRV111" s="3"/>
      <c r="WRW111" s="3"/>
      <c r="WRX111" s="3"/>
      <c r="WRY111" s="3"/>
      <c r="WRZ111" s="3"/>
      <c r="WSA111" s="3"/>
      <c r="WSB111" s="3"/>
      <c r="WSC111" s="3"/>
      <c r="WSD111" s="3"/>
      <c r="WSE111" s="3"/>
      <c r="WSF111" s="3"/>
      <c r="WSG111" s="3"/>
      <c r="WSH111" s="3"/>
      <c r="WSI111" s="3"/>
      <c r="WSJ111" s="3"/>
      <c r="WSK111" s="3"/>
      <c r="WSL111" s="3"/>
      <c r="WSM111" s="3"/>
      <c r="WSN111" s="3"/>
      <c r="WSO111" s="3"/>
      <c r="WSP111" s="3"/>
      <c r="WSQ111" s="3"/>
      <c r="WSR111" s="3"/>
      <c r="WSS111" s="3"/>
      <c r="WST111" s="3"/>
      <c r="WSU111" s="3"/>
      <c r="WSV111" s="3"/>
      <c r="WSW111" s="3"/>
      <c r="WSX111" s="3"/>
      <c r="WSY111" s="3"/>
      <c r="WSZ111" s="3"/>
      <c r="WTA111" s="3"/>
      <c r="WTB111" s="3"/>
      <c r="WTC111" s="3"/>
      <c r="WTD111" s="3"/>
      <c r="WTE111" s="3"/>
      <c r="WTF111" s="3"/>
      <c r="WTG111" s="3"/>
      <c r="WTH111" s="3"/>
      <c r="WTI111" s="3"/>
      <c r="WTJ111" s="3"/>
      <c r="WTK111" s="3"/>
      <c r="WTL111" s="3"/>
      <c r="WTM111" s="3"/>
      <c r="WTN111" s="3"/>
      <c r="WTO111" s="3"/>
      <c r="WTP111" s="3"/>
      <c r="WTQ111" s="3"/>
      <c r="WTR111" s="3"/>
      <c r="WTS111" s="3"/>
      <c r="WTT111" s="3"/>
      <c r="WTU111" s="3"/>
      <c r="WTV111" s="3"/>
      <c r="WTW111" s="3"/>
      <c r="WTX111" s="3"/>
      <c r="WTY111" s="3"/>
      <c r="WTZ111" s="3"/>
      <c r="WUA111" s="3"/>
      <c r="WUB111" s="3"/>
      <c r="WUC111" s="3"/>
      <c r="WUD111" s="3"/>
      <c r="WUE111" s="3"/>
      <c r="WUF111" s="3"/>
      <c r="WUG111" s="3"/>
      <c r="WUH111" s="3"/>
      <c r="WUI111" s="3"/>
      <c r="WUJ111" s="3"/>
      <c r="WUK111" s="3"/>
      <c r="WUL111" s="3"/>
      <c r="WUM111" s="3"/>
      <c r="WUN111" s="3"/>
      <c r="WUO111" s="3"/>
      <c r="WUP111" s="3"/>
      <c r="WUQ111" s="3"/>
      <c r="WUR111" s="3"/>
      <c r="WUS111" s="3"/>
      <c r="WUT111" s="3"/>
      <c r="WUU111" s="3"/>
      <c r="WUV111" s="3"/>
      <c r="WUW111" s="3"/>
      <c r="WUX111" s="3"/>
      <c r="WUY111" s="3"/>
      <c r="WUZ111" s="3"/>
      <c r="WVA111" s="3"/>
      <c r="WVB111" s="3"/>
      <c r="WVC111" s="3"/>
      <c r="WVD111" s="3"/>
      <c r="WVE111" s="3"/>
      <c r="WVF111" s="3"/>
      <c r="WVG111" s="3"/>
      <c r="WVH111" s="3"/>
      <c r="WVI111" s="3"/>
      <c r="WVJ111" s="3"/>
      <c r="WVK111" s="3"/>
      <c r="WVL111" s="3"/>
      <c r="WVM111" s="3"/>
      <c r="WVN111" s="3"/>
      <c r="WVO111" s="3"/>
      <c r="WVP111" s="3"/>
      <c r="WVQ111" s="3"/>
      <c r="WVR111" s="3"/>
      <c r="WVS111" s="3"/>
      <c r="WVT111" s="3"/>
      <c r="WVU111" s="3"/>
      <c r="WVV111" s="3"/>
      <c r="WVW111" s="3"/>
      <c r="WVX111" s="3"/>
      <c r="WVY111" s="3"/>
      <c r="WVZ111" s="3"/>
      <c r="WWA111" s="3"/>
      <c r="WWB111" s="3"/>
      <c r="WWC111" s="3"/>
      <c r="WWD111" s="3"/>
      <c r="WWE111" s="3"/>
      <c r="WWF111" s="3"/>
      <c r="WWG111" s="3"/>
      <c r="WWH111" s="3"/>
      <c r="WWI111" s="3"/>
      <c r="WWJ111" s="3"/>
      <c r="WWK111" s="3"/>
      <c r="WWL111" s="3"/>
      <c r="WWM111" s="3"/>
      <c r="WWN111" s="3"/>
      <c r="WWO111" s="3"/>
      <c r="WWP111" s="3"/>
      <c r="WWQ111" s="3"/>
      <c r="WWR111" s="3"/>
      <c r="WWS111" s="3"/>
      <c r="WWT111" s="3"/>
      <c r="WWU111" s="3"/>
      <c r="WWV111" s="3"/>
      <c r="WWW111" s="3"/>
      <c r="WWX111" s="3"/>
      <c r="WWY111" s="3"/>
      <c r="WWZ111" s="3"/>
      <c r="WXA111" s="3"/>
      <c r="WXB111" s="3"/>
      <c r="WXC111" s="3"/>
      <c r="WXD111" s="3"/>
      <c r="WXE111" s="3"/>
      <c r="WXF111" s="3"/>
      <c r="WXG111" s="3"/>
      <c r="WXH111" s="3"/>
      <c r="WXI111" s="3"/>
      <c r="WXJ111" s="3"/>
      <c r="WXK111" s="3"/>
      <c r="WXL111" s="3"/>
      <c r="WXM111" s="3"/>
      <c r="WXN111" s="3"/>
      <c r="WXO111" s="3"/>
      <c r="WXP111" s="3"/>
      <c r="WXQ111" s="3"/>
      <c r="WXR111" s="3"/>
      <c r="WXS111" s="3"/>
      <c r="WXT111" s="3"/>
      <c r="WXU111" s="3"/>
      <c r="WXV111" s="3"/>
      <c r="WXW111" s="3"/>
      <c r="WXX111" s="3"/>
      <c r="WXY111" s="3"/>
      <c r="WXZ111" s="3"/>
      <c r="WYA111" s="3"/>
      <c r="WYB111" s="3"/>
      <c r="WYC111" s="3"/>
      <c r="WYD111" s="3"/>
      <c r="WYE111" s="3"/>
      <c r="WYF111" s="3"/>
      <c r="WYG111" s="3"/>
      <c r="WYH111" s="3"/>
      <c r="WYI111" s="3"/>
      <c r="WYJ111" s="3"/>
      <c r="WYK111" s="3"/>
      <c r="WYL111" s="3"/>
      <c r="WYM111" s="3"/>
      <c r="WYN111" s="3"/>
      <c r="WYO111" s="3"/>
      <c r="WYP111" s="3"/>
      <c r="WYQ111" s="3"/>
      <c r="WYR111" s="3"/>
      <c r="WYS111" s="3"/>
      <c r="WYT111" s="3"/>
      <c r="WYU111" s="3"/>
      <c r="WYV111" s="3"/>
      <c r="WYW111" s="3"/>
      <c r="WYX111" s="3"/>
      <c r="WYY111" s="3"/>
      <c r="WYZ111" s="3"/>
      <c r="WZA111" s="3"/>
      <c r="WZB111" s="3"/>
      <c r="WZC111" s="3"/>
      <c r="WZD111" s="3"/>
      <c r="WZE111" s="3"/>
      <c r="WZF111" s="3"/>
      <c r="WZG111" s="3"/>
      <c r="WZH111" s="3"/>
      <c r="WZI111" s="3"/>
      <c r="WZJ111" s="3"/>
      <c r="WZK111" s="3"/>
      <c r="WZL111" s="3"/>
      <c r="WZM111" s="3"/>
      <c r="WZN111" s="3"/>
      <c r="WZO111" s="3"/>
      <c r="WZP111" s="3"/>
      <c r="WZQ111" s="3"/>
      <c r="WZR111" s="3"/>
      <c r="WZS111" s="3"/>
      <c r="WZT111" s="3"/>
      <c r="WZU111" s="3"/>
      <c r="WZV111" s="3"/>
      <c r="WZW111" s="3"/>
      <c r="WZX111" s="3"/>
      <c r="WZY111" s="3"/>
      <c r="WZZ111" s="3"/>
      <c r="XAA111" s="3"/>
      <c r="XAB111" s="3"/>
      <c r="XAC111" s="3"/>
      <c r="XAD111" s="3"/>
      <c r="XAE111" s="3"/>
      <c r="XAF111" s="3"/>
      <c r="XAG111" s="3"/>
      <c r="XAH111" s="3"/>
      <c r="XAI111" s="3"/>
      <c r="XAJ111" s="3"/>
      <c r="XAK111" s="3"/>
      <c r="XAL111" s="3"/>
      <c r="XAM111" s="3"/>
      <c r="XAN111" s="3"/>
      <c r="XAO111" s="3"/>
      <c r="XAP111" s="3"/>
      <c r="XAQ111" s="3"/>
      <c r="XAR111" s="3"/>
      <c r="XAS111" s="3"/>
      <c r="XAT111" s="3"/>
      <c r="XAU111" s="3"/>
      <c r="XAV111" s="3"/>
      <c r="XAW111" s="3"/>
      <c r="XAX111" s="3"/>
      <c r="XAY111" s="3"/>
      <c r="XAZ111" s="3"/>
      <c r="XBA111" s="3"/>
      <c r="XBB111" s="3"/>
      <c r="XBC111" s="3"/>
      <c r="XBD111" s="3"/>
      <c r="XBE111" s="3"/>
      <c r="XBF111" s="3"/>
      <c r="XBG111" s="3"/>
      <c r="XBH111" s="3"/>
      <c r="XBI111" s="3"/>
      <c r="XBJ111" s="3"/>
      <c r="XBK111" s="3"/>
      <c r="XBL111" s="3"/>
      <c r="XBM111" s="3"/>
      <c r="XBN111" s="3"/>
      <c r="XBO111" s="3"/>
      <c r="XBP111" s="3"/>
      <c r="XBQ111" s="3"/>
      <c r="XBR111" s="3"/>
      <c r="XBS111" s="3"/>
      <c r="XBT111" s="3"/>
      <c r="XBU111" s="3"/>
      <c r="XBV111" s="3"/>
      <c r="XBW111" s="3"/>
      <c r="XBX111" s="3"/>
      <c r="XBY111" s="3"/>
      <c r="XBZ111" s="3"/>
      <c r="XCA111" s="3"/>
      <c r="XCB111" s="3"/>
      <c r="XCC111" s="3"/>
      <c r="XCD111" s="3"/>
      <c r="XCE111" s="3"/>
      <c r="XCF111" s="3"/>
      <c r="XCG111" s="3"/>
      <c r="XCH111" s="3"/>
      <c r="XCI111" s="3"/>
      <c r="XCJ111" s="3"/>
      <c r="XCK111" s="3"/>
      <c r="XCL111" s="3"/>
      <c r="XCM111" s="3"/>
      <c r="XCN111" s="3"/>
      <c r="XCO111" s="3"/>
      <c r="XCP111" s="3"/>
      <c r="XCQ111" s="3"/>
      <c r="XCR111" s="3"/>
      <c r="XCS111" s="3"/>
      <c r="XCT111" s="3"/>
      <c r="XCU111" s="3"/>
      <c r="XCV111" s="3"/>
      <c r="XCW111" s="3"/>
      <c r="XCX111" s="3"/>
      <c r="XCY111" s="3"/>
      <c r="XCZ111" s="3"/>
      <c r="XDA111" s="3"/>
      <c r="XDB111" s="3"/>
      <c r="XDC111" s="3"/>
      <c r="XDD111" s="3"/>
      <c r="XDE111" s="3"/>
      <c r="XDF111" s="3"/>
      <c r="XDG111" s="3"/>
      <c r="XDH111" s="3"/>
      <c r="XDI111" s="3"/>
      <c r="XDJ111" s="3"/>
      <c r="XDK111" s="3"/>
      <c r="XDL111" s="3"/>
      <c r="XDM111" s="3"/>
      <c r="XDN111" s="3"/>
      <c r="XDO111" s="3"/>
      <c r="XDP111" s="3"/>
      <c r="XDQ111" s="3"/>
      <c r="XDR111" s="3"/>
      <c r="XDS111" s="3"/>
      <c r="XDT111" s="3"/>
      <c r="XDU111" s="3"/>
      <c r="XDV111" s="3"/>
      <c r="XDW111" s="3"/>
      <c r="XDX111" s="3"/>
      <c r="XDY111" s="3"/>
      <c r="XDZ111" s="3"/>
      <c r="XEA111" s="3"/>
      <c r="XEB111" s="3"/>
      <c r="XEC111" s="3"/>
      <c r="XED111" s="3"/>
      <c r="XEE111" s="3"/>
      <c r="XEF111" s="3"/>
      <c r="XEG111" s="3"/>
      <c r="XEH111" s="3"/>
      <c r="XEI111" s="3"/>
      <c r="XEJ111" s="3"/>
      <c r="XEK111" s="3"/>
      <c r="XEL111" s="3"/>
      <c r="XEM111" s="3"/>
      <c r="XEN111" s="3"/>
      <c r="XEO111" s="3"/>
      <c r="XEP111" s="3"/>
      <c r="XEQ111" s="3"/>
      <c r="XER111" s="3"/>
      <c r="XES111" s="3"/>
      <c r="XET111" s="3"/>
      <c r="XEU111" s="3"/>
      <c r="XEV111" s="3"/>
    </row>
    <row r="112" spans="1:16376">
      <c r="A112" s="8">
        <v>3695</v>
      </c>
      <c r="B112" t="s">
        <v>117</v>
      </c>
      <c r="C112" s="19">
        <v>2132407.33</v>
      </c>
      <c r="D112" s="20">
        <v>7425986.5300000003</v>
      </c>
      <c r="E112" s="18">
        <v>609419.40999999992</v>
      </c>
      <c r="F112" s="23">
        <v>494582.64</v>
      </c>
      <c r="G112" t="s">
        <v>307</v>
      </c>
      <c r="H112" t="s">
        <v>309</v>
      </c>
      <c r="K112" t="str">
        <f>"Brownstown Cnt Com Sch Corp       "</f>
        <v xml:space="preserve">Brownstown Cnt Com Sch Corp       </v>
      </c>
      <c r="L112" t="str">
        <f>"3695"</f>
        <v>3695</v>
      </c>
      <c r="M112">
        <v>14</v>
      </c>
      <c r="N112">
        <v>1836</v>
      </c>
      <c r="O112">
        <f t="shared" si="1"/>
        <v>1822</v>
      </c>
    </row>
    <row r="113" spans="1:15">
      <c r="A113" s="8">
        <v>3710</v>
      </c>
      <c r="B113" t="s">
        <v>118</v>
      </c>
      <c r="C113" s="19">
        <v>1420266.75</v>
      </c>
      <c r="D113" s="20">
        <v>2730768.5300000003</v>
      </c>
      <c r="E113" s="18">
        <v>193738.09</v>
      </c>
      <c r="F113" s="23">
        <v>7902.45</v>
      </c>
      <c r="G113" t="s">
        <v>307</v>
      </c>
      <c r="H113" t="s">
        <v>309</v>
      </c>
      <c r="K113" t="str">
        <f>"Crothersville Community Schools   "</f>
        <v xml:space="preserve">Crothersville Community Schools   </v>
      </c>
      <c r="L113" t="str">
        <f>"3710"</f>
        <v>3710</v>
      </c>
      <c r="M113">
        <v>3</v>
      </c>
      <c r="N113">
        <v>564</v>
      </c>
      <c r="O113">
        <f t="shared" si="1"/>
        <v>561</v>
      </c>
    </row>
    <row r="114" spans="1:15">
      <c r="A114" s="8">
        <v>3785</v>
      </c>
      <c r="B114" t="s">
        <v>119</v>
      </c>
      <c r="C114" s="19">
        <v>7866213.2599999998</v>
      </c>
      <c r="D114" s="20">
        <v>9733001.4399999995</v>
      </c>
      <c r="E114" s="18">
        <v>979360.84</v>
      </c>
      <c r="F114" s="23">
        <v>162684.26</v>
      </c>
      <c r="G114" t="s">
        <v>307</v>
      </c>
      <c r="H114" t="s">
        <v>309</v>
      </c>
      <c r="K114" t="str">
        <f>"Kankakee Valley School Corp       "</f>
        <v xml:space="preserve">Kankakee Valley School Corp       </v>
      </c>
      <c r="L114" t="str">
        <f>"3785"</f>
        <v>3785</v>
      </c>
      <c r="M114">
        <v>0</v>
      </c>
      <c r="N114">
        <v>3511</v>
      </c>
      <c r="O114">
        <f t="shared" si="1"/>
        <v>3511</v>
      </c>
    </row>
    <row r="115" spans="1:15">
      <c r="A115" s="8">
        <v>3815</v>
      </c>
      <c r="B115" t="s">
        <v>120</v>
      </c>
      <c r="C115" s="19">
        <v>3140872.3000000003</v>
      </c>
      <c r="D115" s="20">
        <v>6698631.3399999999</v>
      </c>
      <c r="E115" s="18">
        <v>604786.36</v>
      </c>
      <c r="F115" s="23">
        <v>40712.639999999999</v>
      </c>
      <c r="G115" t="s">
        <v>307</v>
      </c>
      <c r="H115" t="s">
        <v>309</v>
      </c>
      <c r="K115" t="str">
        <f>"Rensselaer Central School Corp    "</f>
        <v xml:space="preserve">Rensselaer Central School Corp    </v>
      </c>
      <c r="L115" t="str">
        <f>"3815"</f>
        <v>3815</v>
      </c>
      <c r="M115">
        <v>21</v>
      </c>
      <c r="N115">
        <v>1845</v>
      </c>
      <c r="O115">
        <f t="shared" si="1"/>
        <v>1824</v>
      </c>
    </row>
    <row r="116" spans="1:15">
      <c r="A116" s="8">
        <v>3945</v>
      </c>
      <c r="B116" t="s">
        <v>121</v>
      </c>
      <c r="C116" s="19">
        <v>6293866.1799999997</v>
      </c>
      <c r="D116" s="20">
        <v>17602553.380000003</v>
      </c>
      <c r="E116" s="18">
        <v>2535221.88</v>
      </c>
      <c r="F116" s="23">
        <v>5624447.5899999999</v>
      </c>
      <c r="G116" t="s">
        <v>307</v>
      </c>
      <c r="H116" t="s">
        <v>309</v>
      </c>
      <c r="K116" t="str">
        <f>"Jay School Corp                   "</f>
        <v xml:space="preserve">Jay School Corp                   </v>
      </c>
      <c r="L116" t="str">
        <f>"3945"</f>
        <v>3945</v>
      </c>
      <c r="M116">
        <v>0</v>
      </c>
      <c r="N116">
        <v>3879</v>
      </c>
      <c r="O116">
        <f t="shared" si="1"/>
        <v>3879</v>
      </c>
    </row>
    <row r="117" spans="1:15">
      <c r="A117" s="8">
        <v>3995</v>
      </c>
      <c r="B117" t="s">
        <v>122</v>
      </c>
      <c r="C117" s="19">
        <v>4332665.99</v>
      </c>
      <c r="D117" s="20">
        <v>14457965.77</v>
      </c>
      <c r="E117" s="18">
        <v>1770194.4500000002</v>
      </c>
      <c r="F117" s="23">
        <v>3555448.4299999997</v>
      </c>
      <c r="G117" t="s">
        <v>307</v>
      </c>
      <c r="H117" t="s">
        <v>309</v>
      </c>
      <c r="K117" t="str">
        <f>"Madison Consolidated Schools      "</f>
        <v xml:space="preserve">Madison Consolidated Schools      </v>
      </c>
      <c r="L117" t="str">
        <f>"3995"</f>
        <v>3995</v>
      </c>
      <c r="M117">
        <v>0</v>
      </c>
      <c r="N117">
        <v>3474</v>
      </c>
      <c r="O117">
        <f t="shared" si="1"/>
        <v>3474</v>
      </c>
    </row>
    <row r="118" spans="1:15">
      <c r="A118" s="8">
        <v>4000</v>
      </c>
      <c r="B118" t="s">
        <v>123</v>
      </c>
      <c r="C118" s="19">
        <v>1251403.1299999999</v>
      </c>
      <c r="D118" s="20">
        <v>7096638.3799999999</v>
      </c>
      <c r="E118" s="18">
        <v>750191.47</v>
      </c>
      <c r="F118" s="23">
        <v>57006.080000000002</v>
      </c>
      <c r="G118" t="s">
        <v>307</v>
      </c>
      <c r="H118" t="s">
        <v>309</v>
      </c>
      <c r="K118" t="str">
        <f>"Southwestern-Jefferson Co Con     "</f>
        <v xml:space="preserve">Southwestern-Jefferson Co Con     </v>
      </c>
      <c r="L118" t="str">
        <f>"4000"</f>
        <v>4000</v>
      </c>
      <c r="M118">
        <v>9</v>
      </c>
      <c r="N118">
        <v>1442</v>
      </c>
      <c r="O118">
        <f t="shared" si="1"/>
        <v>1433</v>
      </c>
    </row>
    <row r="119" spans="1:15">
      <c r="A119" s="8">
        <v>4015</v>
      </c>
      <c r="B119" t="s">
        <v>124</v>
      </c>
      <c r="C119" s="19">
        <v>3923335.16</v>
      </c>
      <c r="D119" s="20">
        <v>25331675.200000003</v>
      </c>
      <c r="E119" s="18">
        <v>3147233.2199999997</v>
      </c>
      <c r="F119" s="23">
        <v>712991.73</v>
      </c>
      <c r="G119" t="s">
        <v>307</v>
      </c>
      <c r="H119" t="s">
        <v>309</v>
      </c>
      <c r="K119" t="str">
        <f>"Jennings County Schools           "</f>
        <v xml:space="preserve">Jennings County Schools           </v>
      </c>
      <c r="L119" t="str">
        <f>"4015"</f>
        <v>4015</v>
      </c>
      <c r="M119">
        <v>23</v>
      </c>
      <c r="N119">
        <v>5289</v>
      </c>
      <c r="O119">
        <f t="shared" si="1"/>
        <v>5266</v>
      </c>
    </row>
    <row r="120" spans="1:15">
      <c r="A120" s="8">
        <v>4145</v>
      </c>
      <c r="B120" t="s">
        <v>125</v>
      </c>
      <c r="C120" s="19">
        <v>5977672.0499999998</v>
      </c>
      <c r="D120" s="20">
        <v>18473264.990000002</v>
      </c>
      <c r="E120" s="18">
        <v>1119256.27</v>
      </c>
      <c r="F120" s="23">
        <v>11774469.09</v>
      </c>
      <c r="G120" t="s">
        <v>307</v>
      </c>
      <c r="H120" t="s">
        <v>309</v>
      </c>
      <c r="K120" t="str">
        <f>"Clark-Pleasant Com School Corp    "</f>
        <v xml:space="preserve">Clark-Pleasant Com School Corp    </v>
      </c>
      <c r="L120" t="str">
        <f>"4145"</f>
        <v>4145</v>
      </c>
      <c r="M120">
        <v>0</v>
      </c>
      <c r="N120">
        <v>5169</v>
      </c>
      <c r="O120">
        <f t="shared" si="1"/>
        <v>5169</v>
      </c>
    </row>
    <row r="121" spans="1:15">
      <c r="A121" s="8">
        <v>4205</v>
      </c>
      <c r="B121" t="s">
        <v>126</v>
      </c>
      <c r="C121" s="19">
        <v>11180718.35</v>
      </c>
      <c r="D121" s="20">
        <v>20384722.98</v>
      </c>
      <c r="E121" s="18">
        <v>647228.87</v>
      </c>
      <c r="F121" s="23">
        <v>1767257.14</v>
      </c>
      <c r="G121" t="s">
        <v>307</v>
      </c>
      <c r="H121" t="s">
        <v>309</v>
      </c>
      <c r="K121" t="str">
        <f>"Center Grove Com Sch Corp         "</f>
        <v xml:space="preserve">Center Grove Com Sch Corp         </v>
      </c>
      <c r="L121" t="str">
        <f>"4205"</f>
        <v>4205</v>
      </c>
      <c r="M121">
        <v>47</v>
      </c>
      <c r="N121">
        <v>7361</v>
      </c>
      <c r="O121">
        <f t="shared" si="1"/>
        <v>7314</v>
      </c>
    </row>
    <row r="122" spans="1:15">
      <c r="A122" s="8">
        <v>4215</v>
      </c>
      <c r="B122" t="s">
        <v>127</v>
      </c>
      <c r="C122" s="19">
        <v>1136877.01</v>
      </c>
      <c r="D122" s="20">
        <v>4559292.29</v>
      </c>
      <c r="E122" s="18">
        <v>585495.81999999995</v>
      </c>
      <c r="F122" s="23">
        <v>74911.009999999995</v>
      </c>
      <c r="G122" t="s">
        <v>307</v>
      </c>
      <c r="H122" t="s">
        <v>309</v>
      </c>
      <c r="K122" t="str">
        <f>"Edinburgh Community Sch Corp      "</f>
        <v xml:space="preserve">Edinburgh Community Sch Corp      </v>
      </c>
      <c r="L122" t="str">
        <f>"4215"</f>
        <v>4215</v>
      </c>
      <c r="M122">
        <v>0</v>
      </c>
      <c r="N122">
        <v>871</v>
      </c>
      <c r="O122">
        <f t="shared" si="1"/>
        <v>871</v>
      </c>
    </row>
    <row r="123" spans="1:15">
      <c r="A123" s="8">
        <v>4225</v>
      </c>
      <c r="B123" t="s">
        <v>128</v>
      </c>
      <c r="C123" s="19">
        <v>5779165.9500000002</v>
      </c>
      <c r="D123" s="20">
        <v>18230776.009999998</v>
      </c>
      <c r="E123" s="18">
        <v>1321580.6600000001</v>
      </c>
      <c r="F123" s="23">
        <v>4845503.79</v>
      </c>
      <c r="G123" t="s">
        <v>307</v>
      </c>
      <c r="H123" t="s">
        <v>309</v>
      </c>
      <c r="K123" t="str">
        <f>"Franklin Community School Corp    "</f>
        <v xml:space="preserve">Franklin Community School Corp    </v>
      </c>
      <c r="L123" t="str">
        <f>"4225"</f>
        <v>4225</v>
      </c>
      <c r="M123">
        <v>0</v>
      </c>
      <c r="N123">
        <v>4913</v>
      </c>
      <c r="O123">
        <f t="shared" si="1"/>
        <v>4913</v>
      </c>
    </row>
    <row r="124" spans="1:15">
      <c r="A124" s="8">
        <v>4245</v>
      </c>
      <c r="B124" t="s">
        <v>129</v>
      </c>
      <c r="C124" s="19">
        <v>5938101.96</v>
      </c>
      <c r="D124" s="20">
        <v>12897399.52</v>
      </c>
      <c r="E124" s="18">
        <v>1271556.95</v>
      </c>
      <c r="F124" s="23">
        <v>114336.22</v>
      </c>
      <c r="G124" t="s">
        <v>307</v>
      </c>
      <c r="H124" t="s">
        <v>309</v>
      </c>
      <c r="K124" t="str">
        <f>"Greenwood Community Sch Corp      "</f>
        <v xml:space="preserve">Greenwood Community Sch Corp      </v>
      </c>
      <c r="L124" t="str">
        <f>"4245"</f>
        <v>4245</v>
      </c>
      <c r="M124">
        <v>38</v>
      </c>
      <c r="N124">
        <v>3880</v>
      </c>
      <c r="O124">
        <f t="shared" si="1"/>
        <v>3842</v>
      </c>
    </row>
    <row r="125" spans="1:15">
      <c r="A125" s="8">
        <v>4255</v>
      </c>
      <c r="B125" t="s">
        <v>130</v>
      </c>
      <c r="C125" s="19">
        <v>2509333.5499999998</v>
      </c>
      <c r="D125" s="20">
        <v>5976521.5700000003</v>
      </c>
      <c r="E125" s="18">
        <v>315834.19</v>
      </c>
      <c r="F125" s="23">
        <v>88892.25</v>
      </c>
      <c r="G125" t="s">
        <v>307</v>
      </c>
      <c r="H125" t="s">
        <v>309</v>
      </c>
      <c r="K125" t="str">
        <f>"Nineveh-Hensley-Jackson United    "</f>
        <v xml:space="preserve">Nineveh-Hensley-Jackson United    </v>
      </c>
      <c r="L125" t="str">
        <f>"4255"</f>
        <v>4255</v>
      </c>
      <c r="M125">
        <v>8</v>
      </c>
      <c r="N125">
        <v>1854</v>
      </c>
      <c r="O125">
        <f t="shared" si="1"/>
        <v>1846</v>
      </c>
    </row>
    <row r="126" spans="1:15">
      <c r="A126" s="8">
        <v>4315</v>
      </c>
      <c r="B126" t="s">
        <v>131</v>
      </c>
      <c r="C126" s="19">
        <v>1503159.16</v>
      </c>
      <c r="D126" s="20">
        <v>6899713.21</v>
      </c>
      <c r="E126" s="18">
        <v>1001426.25</v>
      </c>
      <c r="F126" s="23">
        <v>435899.10000000003</v>
      </c>
      <c r="G126" t="s">
        <v>307</v>
      </c>
      <c r="H126" t="s">
        <v>309</v>
      </c>
      <c r="K126" t="str">
        <f>"North Knox School Corp            "</f>
        <v xml:space="preserve">North Knox School Corp            </v>
      </c>
      <c r="L126" t="str">
        <f>"4315"</f>
        <v>4315</v>
      </c>
      <c r="M126">
        <v>8</v>
      </c>
      <c r="N126">
        <v>1449</v>
      </c>
      <c r="O126">
        <f t="shared" si="1"/>
        <v>1441</v>
      </c>
    </row>
    <row r="127" spans="1:15">
      <c r="A127" s="8">
        <v>4325</v>
      </c>
      <c r="B127" t="s">
        <v>132</v>
      </c>
      <c r="C127" s="19">
        <v>1900419.13</v>
      </c>
      <c r="D127" s="20">
        <v>3039262.23</v>
      </c>
      <c r="E127" s="18">
        <v>454174.72000000003</v>
      </c>
      <c r="F127" s="23">
        <v>84241.78</v>
      </c>
      <c r="G127" t="s">
        <v>307</v>
      </c>
      <c r="H127" t="s">
        <v>309</v>
      </c>
      <c r="K127" t="str">
        <f>"South Knox School Corp            "</f>
        <v xml:space="preserve">South Knox School Corp            </v>
      </c>
      <c r="L127" t="str">
        <f>"4325"</f>
        <v>4325</v>
      </c>
      <c r="M127">
        <v>0</v>
      </c>
      <c r="N127">
        <v>1170</v>
      </c>
      <c r="O127">
        <f t="shared" si="1"/>
        <v>1170</v>
      </c>
    </row>
    <row r="128" spans="1:15">
      <c r="A128" s="8">
        <v>4335</v>
      </c>
      <c r="B128" t="s">
        <v>133</v>
      </c>
      <c r="C128" s="19">
        <v>3649256.38</v>
      </c>
      <c r="D128" s="20">
        <v>12349225.879999999</v>
      </c>
      <c r="E128" s="18">
        <v>3333440.96</v>
      </c>
      <c r="F128" s="23">
        <v>77398.559999999998</v>
      </c>
      <c r="G128" t="s">
        <v>307</v>
      </c>
      <c r="H128" t="s">
        <v>309</v>
      </c>
      <c r="K128" t="str">
        <f>"Vincennes Community Sch Corp      "</f>
        <v xml:space="preserve">Vincennes Community Sch Corp      </v>
      </c>
      <c r="L128" t="str">
        <f>"4335"</f>
        <v>4335</v>
      </c>
      <c r="M128">
        <v>0</v>
      </c>
      <c r="N128">
        <v>2794</v>
      </c>
      <c r="O128">
        <f t="shared" si="1"/>
        <v>2794</v>
      </c>
    </row>
    <row r="129" spans="1:16376">
      <c r="A129" s="8">
        <v>4345</v>
      </c>
      <c r="B129" t="s">
        <v>134</v>
      </c>
      <c r="C129" s="19">
        <v>8290683.4400000004</v>
      </c>
      <c r="D129" s="20">
        <v>8187102.7799999993</v>
      </c>
      <c r="E129" s="18">
        <v>1480248.88</v>
      </c>
      <c r="F129" s="23">
        <v>4267703.63</v>
      </c>
      <c r="G129" t="s">
        <v>307</v>
      </c>
      <c r="H129" t="s">
        <v>309</v>
      </c>
      <c r="K129" t="str">
        <f>"Wawasee Community School Corp     "</f>
        <v xml:space="preserve">Wawasee Community School Corp     </v>
      </c>
      <c r="L129" t="str">
        <f>"4345"</f>
        <v>4345</v>
      </c>
      <c r="M129">
        <v>34</v>
      </c>
      <c r="N129">
        <v>3481</v>
      </c>
      <c r="O129">
        <f t="shared" si="1"/>
        <v>3447</v>
      </c>
    </row>
    <row r="130" spans="1:16376">
      <c r="A130" s="8">
        <v>4415</v>
      </c>
      <c r="B130" t="s">
        <v>135</v>
      </c>
      <c r="C130" s="19">
        <v>12089511.84</v>
      </c>
      <c r="D130" s="20">
        <v>22765281.100000001</v>
      </c>
      <c r="E130" s="18">
        <v>6126346.1400000006</v>
      </c>
      <c r="F130" s="23">
        <v>341380.70999999996</v>
      </c>
      <c r="G130" t="s">
        <v>307</v>
      </c>
      <c r="H130" t="s">
        <v>309</v>
      </c>
      <c r="K130" t="str">
        <f>"Warsaw Community Schools          "</f>
        <v xml:space="preserve">Warsaw Community Schools          </v>
      </c>
      <c r="L130" t="str">
        <f>"4415"</f>
        <v>4415</v>
      </c>
      <c r="M130">
        <v>0</v>
      </c>
      <c r="N130">
        <v>6934</v>
      </c>
      <c r="O130">
        <f t="shared" si="1"/>
        <v>6934</v>
      </c>
    </row>
    <row r="131" spans="1:16376">
      <c r="A131" s="8">
        <v>4445</v>
      </c>
      <c r="B131" t="s">
        <v>136</v>
      </c>
      <c r="C131" s="19">
        <v>2658543.1100000003</v>
      </c>
      <c r="D131" s="20">
        <v>9567097.2800000012</v>
      </c>
      <c r="E131" s="18">
        <v>1306693.8999999999</v>
      </c>
      <c r="F131" s="23">
        <v>50692.219999999972</v>
      </c>
      <c r="G131" t="s">
        <v>307</v>
      </c>
      <c r="H131" t="s">
        <v>309</v>
      </c>
      <c r="K131" t="str">
        <f>"Tippecanoe Valley School Corp     "</f>
        <v xml:space="preserve">Tippecanoe Valley School Corp     </v>
      </c>
      <c r="L131" t="str">
        <f>"4445"</f>
        <v>4445</v>
      </c>
      <c r="M131">
        <v>0</v>
      </c>
      <c r="N131">
        <v>2211</v>
      </c>
      <c r="O131">
        <f t="shared" ref="O131:O194" si="2">N131-M131</f>
        <v>2211</v>
      </c>
    </row>
    <row r="132" spans="1:16376">
      <c r="A132" s="8">
        <v>4455</v>
      </c>
      <c r="B132" t="s">
        <v>137</v>
      </c>
      <c r="C132" s="19">
        <v>2344149.14</v>
      </c>
      <c r="D132" s="20">
        <v>8063074.3200000003</v>
      </c>
      <c r="E132" s="18">
        <v>1081528.45</v>
      </c>
      <c r="F132" s="23">
        <v>1085150.42</v>
      </c>
      <c r="G132" t="s">
        <v>307</v>
      </c>
      <c r="H132" t="s">
        <v>309</v>
      </c>
      <c r="K132" t="str">
        <f>"Whitko Community School Corp      "</f>
        <v xml:space="preserve">Whitko Community School Corp      </v>
      </c>
      <c r="L132" t="str">
        <f>"4455"</f>
        <v>4455</v>
      </c>
      <c r="M132">
        <v>62</v>
      </c>
      <c r="N132">
        <v>1997</v>
      </c>
      <c r="O132">
        <f t="shared" si="2"/>
        <v>1935</v>
      </c>
    </row>
    <row r="133" spans="1:16376">
      <c r="A133" s="8">
        <v>4515</v>
      </c>
      <c r="B133" t="s">
        <v>138</v>
      </c>
      <c r="C133" s="19">
        <v>2890289.13</v>
      </c>
      <c r="D133" s="20">
        <v>6526551.0099999998</v>
      </c>
      <c r="E133" s="18">
        <v>309232.51</v>
      </c>
      <c r="F133" s="23">
        <v>1383423.31</v>
      </c>
      <c r="G133" t="s">
        <v>307</v>
      </c>
      <c r="H133" t="s">
        <v>309</v>
      </c>
      <c r="K133" t="str">
        <f>"Prairie Heights Com Sch Corp      "</f>
        <v xml:space="preserve">Prairie Heights Com Sch Corp      </v>
      </c>
      <c r="L133" t="str">
        <f>"4515"</f>
        <v>4515</v>
      </c>
      <c r="M133">
        <v>0</v>
      </c>
      <c r="N133">
        <v>1734</v>
      </c>
      <c r="O133">
        <f t="shared" si="2"/>
        <v>1734</v>
      </c>
    </row>
    <row r="134" spans="1:16376">
      <c r="A134" s="8">
        <v>4525</v>
      </c>
      <c r="B134" t="s">
        <v>139</v>
      </c>
      <c r="C134" s="19">
        <v>3920574.48</v>
      </c>
      <c r="D134" s="20">
        <v>7567154.9900000002</v>
      </c>
      <c r="E134" s="18">
        <v>1467742.74</v>
      </c>
      <c r="F134" s="23">
        <v>323387.48</v>
      </c>
      <c r="G134" t="s">
        <v>307</v>
      </c>
      <c r="H134" t="s">
        <v>309</v>
      </c>
      <c r="K134" t="str">
        <f>"Westview School Corporation       "</f>
        <v xml:space="preserve">Westview School Corporation       </v>
      </c>
      <c r="L134" t="str">
        <f>"4525"</f>
        <v>4525</v>
      </c>
      <c r="M134">
        <v>0</v>
      </c>
      <c r="N134">
        <v>2255</v>
      </c>
      <c r="O134">
        <f t="shared" si="2"/>
        <v>2255</v>
      </c>
    </row>
    <row r="135" spans="1:16376">
      <c r="A135" s="8">
        <v>4535</v>
      </c>
      <c r="B135" t="s">
        <v>140</v>
      </c>
      <c r="C135" s="19">
        <v>3144954.71</v>
      </c>
      <c r="D135" s="20">
        <v>8271838.6999999993</v>
      </c>
      <c r="E135" s="18">
        <v>1097180.1299999999</v>
      </c>
      <c r="F135" s="23">
        <v>47207.91</v>
      </c>
      <c r="G135" t="s">
        <v>307</v>
      </c>
      <c r="H135" t="s">
        <v>309</v>
      </c>
      <c r="K135" t="str">
        <f>"Lakeland School Corporation       "</f>
        <v xml:space="preserve">Lakeland School Corporation       </v>
      </c>
      <c r="L135" t="str">
        <f>"4535"</f>
        <v>4535</v>
      </c>
      <c r="M135">
        <v>0</v>
      </c>
      <c r="N135">
        <v>2275</v>
      </c>
      <c r="O135">
        <f t="shared" si="2"/>
        <v>2275</v>
      </c>
    </row>
    <row r="136" spans="1:16376">
      <c r="A136" s="8">
        <v>4580</v>
      </c>
      <c r="B136" t="s">
        <v>141</v>
      </c>
      <c r="C136" s="19">
        <v>3677851.16</v>
      </c>
      <c r="D136" s="20">
        <v>6170642.0199999996</v>
      </c>
      <c r="E136" s="18">
        <v>395816.04000000004</v>
      </c>
      <c r="F136" s="23">
        <v>1691877.3900000001</v>
      </c>
      <c r="G136" t="s">
        <v>307</v>
      </c>
      <c r="H136" t="s">
        <v>309</v>
      </c>
      <c r="K136" t="str">
        <f>"Hanover Community School Corp     "</f>
        <v xml:space="preserve">Hanover Community School Corp     </v>
      </c>
      <c r="L136" t="str">
        <f>"4580"</f>
        <v>4580</v>
      </c>
      <c r="M136">
        <v>0</v>
      </c>
      <c r="N136">
        <v>1792</v>
      </c>
      <c r="O136">
        <f t="shared" si="2"/>
        <v>1792</v>
      </c>
      <c r="Q136" s="49" t="str">
        <f>"Northwest Indiana Spec Ed Coop    "</f>
        <v xml:space="preserve">Northwest Indiana Spec Ed Coop    </v>
      </c>
      <c r="R136" s="49" t="str">
        <f>"4570"</f>
        <v>4570</v>
      </c>
      <c r="S136" s="49">
        <v>0</v>
      </c>
      <c r="T136" s="49">
        <v>53</v>
      </c>
      <c r="U136" s="49">
        <f t="shared" ref="U136" si="3">T136-S136</f>
        <v>53</v>
      </c>
    </row>
    <row r="137" spans="1:16376">
      <c r="A137" s="8">
        <v>4590</v>
      </c>
      <c r="B137" t="s">
        <v>142</v>
      </c>
      <c r="C137" s="19">
        <v>1746740.06</v>
      </c>
      <c r="D137" s="20">
        <v>8632591.75</v>
      </c>
      <c r="E137" s="18">
        <v>1331860.44</v>
      </c>
      <c r="F137" s="23">
        <v>10819758.039999999</v>
      </c>
      <c r="G137" t="s">
        <v>307</v>
      </c>
      <c r="H137" t="s">
        <v>309</v>
      </c>
      <c r="K137" t="str">
        <f>"River Forest Community Sch Corp   "</f>
        <v xml:space="preserve">River Forest Community Sch Corp   </v>
      </c>
      <c r="L137" t="str">
        <f>"4590"</f>
        <v>4590</v>
      </c>
      <c r="M137">
        <v>0</v>
      </c>
      <c r="N137">
        <v>1487</v>
      </c>
      <c r="O137">
        <f t="shared" si="2"/>
        <v>1487</v>
      </c>
    </row>
    <row r="138" spans="1:16376">
      <c r="A138" s="8">
        <v>4600</v>
      </c>
      <c r="B138" t="s">
        <v>143</v>
      </c>
      <c r="C138" s="19">
        <v>17894528.32</v>
      </c>
      <c r="D138" s="20">
        <v>20252286.619999997</v>
      </c>
      <c r="E138" s="18">
        <v>1805899.02</v>
      </c>
      <c r="F138" s="23">
        <v>1051711.5699999998</v>
      </c>
      <c r="G138" t="s">
        <v>307</v>
      </c>
      <c r="H138" t="s">
        <v>309</v>
      </c>
      <c r="K138" t="str">
        <f>"Merrillville Community School     "</f>
        <v xml:space="preserve">Merrillville Community School     </v>
      </c>
      <c r="L138" t="str">
        <f>"4600"</f>
        <v>4600</v>
      </c>
      <c r="M138">
        <v>56</v>
      </c>
      <c r="N138">
        <v>7173</v>
      </c>
      <c r="O138">
        <f t="shared" si="2"/>
        <v>7117</v>
      </c>
    </row>
    <row r="139" spans="1:16376">
      <c r="A139" s="9">
        <v>4615</v>
      </c>
      <c r="B139" s="3" t="s">
        <v>144</v>
      </c>
      <c r="C139" s="19">
        <v>26909948.130000003</v>
      </c>
      <c r="D139" s="20">
        <v>26370272.200000003</v>
      </c>
      <c r="E139" s="18">
        <v>3681333.36</v>
      </c>
      <c r="F139" s="23">
        <v>21208209.719999999</v>
      </c>
      <c r="G139" t="s">
        <v>307</v>
      </c>
      <c r="H139" t="s">
        <v>309</v>
      </c>
      <c r="K139" t="str">
        <f>"Lake Central School Corp          "</f>
        <v xml:space="preserve">Lake Central School Corp          </v>
      </c>
      <c r="L139" t="str">
        <f>"4615"</f>
        <v>4615</v>
      </c>
      <c r="M139">
        <v>29</v>
      </c>
      <c r="N139">
        <v>9728</v>
      </c>
      <c r="O139">
        <f t="shared" si="2"/>
        <v>9699</v>
      </c>
    </row>
    <row r="140" spans="1:16376">
      <c r="A140" s="9">
        <v>4645</v>
      </c>
      <c r="B140" s="3" t="s">
        <v>145</v>
      </c>
      <c r="C140" s="19">
        <v>7409922.3599999994</v>
      </c>
      <c r="D140" s="20">
        <v>12925302.15</v>
      </c>
      <c r="E140" s="18">
        <v>816940.88</v>
      </c>
      <c r="F140" s="23">
        <v>3512680.55</v>
      </c>
      <c r="G140" t="s">
        <v>307</v>
      </c>
      <c r="H140" t="s">
        <v>309</v>
      </c>
      <c r="K140" t="str">
        <f>"Tri-Creek School Corporation      "</f>
        <v xml:space="preserve">Tri-Creek School Corporation      </v>
      </c>
      <c r="L140" t="str">
        <f>"4645"</f>
        <v>4645</v>
      </c>
      <c r="M140">
        <v>0</v>
      </c>
      <c r="N140">
        <v>3695</v>
      </c>
      <c r="O140">
        <f t="shared" si="2"/>
        <v>3695</v>
      </c>
    </row>
    <row r="141" spans="1:16376">
      <c r="A141" s="8">
        <v>4650</v>
      </c>
      <c r="B141" t="s">
        <v>146</v>
      </c>
      <c r="C141" s="19">
        <v>3141991.45</v>
      </c>
      <c r="D141" s="20">
        <v>14549427.289999999</v>
      </c>
      <c r="E141" s="18">
        <v>2174394.5300000003</v>
      </c>
      <c r="F141" s="23">
        <v>4916375.5600000005</v>
      </c>
      <c r="G141" t="s">
        <v>307</v>
      </c>
      <c r="H141" t="s">
        <v>309</v>
      </c>
      <c r="I141" s="3"/>
      <c r="J141" s="3"/>
      <c r="K141" t="str">
        <f>"Lake Ridge Schools                "</f>
        <v xml:space="preserve">Lake Ridge Schools                </v>
      </c>
      <c r="L141" t="str">
        <f>"4650"</f>
        <v>4650</v>
      </c>
      <c r="M141">
        <v>0</v>
      </c>
      <c r="N141">
        <v>2310</v>
      </c>
      <c r="O141">
        <f t="shared" si="2"/>
        <v>2310</v>
      </c>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c r="IM141" s="3"/>
      <c r="IN141" s="3"/>
      <c r="IO141" s="3"/>
      <c r="IP141" s="3"/>
      <c r="IQ141" s="3"/>
      <c r="IR141" s="3"/>
      <c r="IS141" s="3"/>
      <c r="IT141" s="3"/>
      <c r="IU141" s="3"/>
      <c r="IV141" s="3"/>
      <c r="IW141" s="3"/>
      <c r="IX141" s="3"/>
      <c r="IY141" s="3"/>
      <c r="IZ141" s="3"/>
      <c r="JA141" s="3"/>
      <c r="JB141" s="3"/>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c r="KC141" s="3"/>
      <c r="KD141" s="3"/>
      <c r="KE141" s="3"/>
      <c r="KF141" s="3"/>
      <c r="KG141" s="3"/>
      <c r="KH141" s="3"/>
      <c r="KI141" s="3"/>
      <c r="KJ141" s="3"/>
      <c r="KK141" s="3"/>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c r="LK141" s="3"/>
      <c r="LL141" s="3"/>
      <c r="LM141" s="3"/>
      <c r="LN141" s="3"/>
      <c r="LO141" s="3"/>
      <c r="LP141" s="3"/>
      <c r="LQ141" s="3"/>
      <c r="LR141" s="3"/>
      <c r="LS141" s="3"/>
      <c r="LT141" s="3"/>
      <c r="LU141" s="3"/>
      <c r="LV141" s="3"/>
      <c r="LW141" s="3"/>
      <c r="LX141" s="3"/>
      <c r="LY141" s="3"/>
      <c r="LZ141" s="3"/>
      <c r="MA141" s="3"/>
      <c r="MB141" s="3"/>
      <c r="MC141" s="3"/>
      <c r="MD141" s="3"/>
      <c r="ME141" s="3"/>
      <c r="MF141" s="3"/>
      <c r="MG141" s="3"/>
      <c r="MH141" s="3"/>
      <c r="MI141" s="3"/>
      <c r="MJ141" s="3"/>
      <c r="MK141" s="3"/>
      <c r="ML141" s="3"/>
      <c r="MM141" s="3"/>
      <c r="MN141" s="3"/>
      <c r="MO141" s="3"/>
      <c r="MP141" s="3"/>
      <c r="MQ141" s="3"/>
      <c r="MR141" s="3"/>
      <c r="MS141" s="3"/>
      <c r="MT141" s="3"/>
      <c r="MU141" s="3"/>
      <c r="MV141" s="3"/>
      <c r="MW141" s="3"/>
      <c r="MX141" s="3"/>
      <c r="MY141" s="3"/>
      <c r="MZ141" s="3"/>
      <c r="NA141" s="3"/>
      <c r="NB141" s="3"/>
      <c r="NC141" s="3"/>
      <c r="ND141" s="3"/>
      <c r="NE141" s="3"/>
      <c r="NF141" s="3"/>
      <c r="NG141" s="3"/>
      <c r="NH141" s="3"/>
      <c r="NI141" s="3"/>
      <c r="NJ141" s="3"/>
      <c r="NK141" s="3"/>
      <c r="NL141" s="3"/>
      <c r="NM141" s="3"/>
      <c r="NN141" s="3"/>
      <c r="NO141" s="3"/>
      <c r="NP141" s="3"/>
      <c r="NQ141" s="3"/>
      <c r="NR141" s="3"/>
      <c r="NS141" s="3"/>
      <c r="NT141" s="3"/>
      <c r="NU141" s="3"/>
      <c r="NV141" s="3"/>
      <c r="NW141" s="3"/>
      <c r="NX141" s="3"/>
      <c r="NY141" s="3"/>
      <c r="NZ141" s="3"/>
      <c r="OA141" s="3"/>
      <c r="OB141" s="3"/>
      <c r="OC141" s="3"/>
      <c r="OD141" s="3"/>
      <c r="OE141" s="3"/>
      <c r="OF141" s="3"/>
      <c r="OG141" s="3"/>
      <c r="OH141" s="3"/>
      <c r="OI141" s="3"/>
      <c r="OJ141" s="3"/>
      <c r="OK141" s="3"/>
      <c r="OL141" s="3"/>
      <c r="OM141" s="3"/>
      <c r="ON141" s="3"/>
      <c r="OO141" s="3"/>
      <c r="OP141" s="3"/>
      <c r="OQ141" s="3"/>
      <c r="OR141" s="3"/>
      <c r="OS141" s="3"/>
      <c r="OT141" s="3"/>
      <c r="OU141" s="3"/>
      <c r="OV141" s="3"/>
      <c r="OW141" s="3"/>
      <c r="OX141" s="3"/>
      <c r="OY141" s="3"/>
      <c r="OZ141" s="3"/>
      <c r="PA141" s="3"/>
      <c r="PB141" s="3"/>
      <c r="PC141" s="3"/>
      <c r="PD141" s="3"/>
      <c r="PE141" s="3"/>
      <c r="PF141" s="3"/>
      <c r="PG141" s="3"/>
      <c r="PH141" s="3"/>
      <c r="PI141" s="3"/>
      <c r="PJ141" s="3"/>
      <c r="PK141" s="3"/>
      <c r="PL141" s="3"/>
      <c r="PM141" s="3"/>
      <c r="PN141" s="3"/>
      <c r="PO141" s="3"/>
      <c r="PP141" s="3"/>
      <c r="PQ141" s="3"/>
      <c r="PR141" s="3"/>
      <c r="PS141" s="3"/>
      <c r="PT141" s="3"/>
      <c r="PU141" s="3"/>
      <c r="PV141" s="3"/>
      <c r="PW141" s="3"/>
      <c r="PX141" s="3"/>
      <c r="PY141" s="3"/>
      <c r="PZ141" s="3"/>
      <c r="QA141" s="3"/>
      <c r="QB141" s="3"/>
      <c r="QC141" s="3"/>
      <c r="QD141" s="3"/>
      <c r="QE141" s="3"/>
      <c r="QF141" s="3"/>
      <c r="QG141" s="3"/>
      <c r="QH141" s="3"/>
      <c r="QI141" s="3"/>
      <c r="QJ141" s="3"/>
      <c r="QK141" s="3"/>
      <c r="QL141" s="3"/>
      <c r="QM141" s="3"/>
      <c r="QN141" s="3"/>
      <c r="QO141" s="3"/>
      <c r="QP141" s="3"/>
      <c r="QQ141" s="3"/>
      <c r="QR141" s="3"/>
      <c r="QS141" s="3"/>
      <c r="QT141" s="3"/>
      <c r="QU141" s="3"/>
      <c r="QV141" s="3"/>
      <c r="QW141" s="3"/>
      <c r="QX141" s="3"/>
      <c r="QY141" s="3"/>
      <c r="QZ141" s="3"/>
      <c r="RA141" s="3"/>
      <c r="RB141" s="3"/>
      <c r="RC141" s="3"/>
      <c r="RD141" s="3"/>
      <c r="RE141" s="3"/>
      <c r="RF141" s="3"/>
      <c r="RG141" s="3"/>
      <c r="RH141" s="3"/>
      <c r="RI141" s="3"/>
      <c r="RJ141" s="3"/>
      <c r="RK141" s="3"/>
      <c r="RL141" s="3"/>
      <c r="RM141" s="3"/>
      <c r="RN141" s="3"/>
      <c r="RO141" s="3"/>
      <c r="RP141" s="3"/>
      <c r="RQ141" s="3"/>
      <c r="RR141" s="3"/>
      <c r="RS141" s="3"/>
      <c r="RT141" s="3"/>
      <c r="RU141" s="3"/>
      <c r="RV141" s="3"/>
      <c r="RW141" s="3"/>
      <c r="RX141" s="3"/>
      <c r="RY141" s="3"/>
      <c r="RZ141" s="3"/>
      <c r="SA141" s="3"/>
      <c r="SB141" s="3"/>
      <c r="SC141" s="3"/>
      <c r="SD141" s="3"/>
      <c r="SE141" s="3"/>
      <c r="SF141" s="3"/>
      <c r="SG141" s="3"/>
      <c r="SH141" s="3"/>
      <c r="SI141" s="3"/>
      <c r="SJ141" s="3"/>
      <c r="SK141" s="3"/>
      <c r="SL141" s="3"/>
      <c r="SM141" s="3"/>
      <c r="SN141" s="3"/>
      <c r="SO141" s="3"/>
      <c r="SP141" s="3"/>
      <c r="SQ141" s="3"/>
      <c r="SR141" s="3"/>
      <c r="SS141" s="3"/>
      <c r="ST141" s="3"/>
      <c r="SU141" s="3"/>
      <c r="SV141" s="3"/>
      <c r="SW141" s="3"/>
      <c r="SX141" s="3"/>
      <c r="SY141" s="3"/>
      <c r="SZ141" s="3"/>
      <c r="TA141" s="3"/>
      <c r="TB141" s="3"/>
      <c r="TC141" s="3"/>
      <c r="TD141" s="3"/>
      <c r="TE141" s="3"/>
      <c r="TF141" s="3"/>
      <c r="TG141" s="3"/>
      <c r="TH141" s="3"/>
      <c r="TI141" s="3"/>
      <c r="TJ141" s="3"/>
      <c r="TK141" s="3"/>
      <c r="TL141" s="3"/>
      <c r="TM141" s="3"/>
      <c r="TN141" s="3"/>
      <c r="TO141" s="3"/>
      <c r="TP141" s="3"/>
      <c r="TQ141" s="3"/>
      <c r="TR141" s="3"/>
      <c r="TS141" s="3"/>
      <c r="TT141" s="3"/>
      <c r="TU141" s="3"/>
      <c r="TV141" s="3"/>
      <c r="TW141" s="3"/>
      <c r="TX141" s="3"/>
      <c r="TY141" s="3"/>
      <c r="TZ141" s="3"/>
      <c r="UA141" s="3"/>
      <c r="UB141" s="3"/>
      <c r="UC141" s="3"/>
      <c r="UD141" s="3"/>
      <c r="UE141" s="3"/>
      <c r="UF141" s="3"/>
      <c r="UG141" s="3"/>
      <c r="UH141" s="3"/>
      <c r="UI141" s="3"/>
      <c r="UJ141" s="3"/>
      <c r="UK141" s="3"/>
      <c r="UL141" s="3"/>
      <c r="UM141" s="3"/>
      <c r="UN141" s="3"/>
      <c r="UO141" s="3"/>
      <c r="UP141" s="3"/>
      <c r="UQ141" s="3"/>
      <c r="UR141" s="3"/>
      <c r="US141" s="3"/>
      <c r="UT141" s="3"/>
      <c r="UU141" s="3"/>
      <c r="UV141" s="3"/>
      <c r="UW141" s="3"/>
      <c r="UX141" s="3"/>
      <c r="UY141" s="3"/>
      <c r="UZ141" s="3"/>
      <c r="VA141" s="3"/>
      <c r="VB141" s="3"/>
      <c r="VC141" s="3"/>
      <c r="VD141" s="3"/>
      <c r="VE141" s="3"/>
      <c r="VF141" s="3"/>
      <c r="VG141" s="3"/>
      <c r="VH141" s="3"/>
      <c r="VI141" s="3"/>
      <c r="VJ141" s="3"/>
      <c r="VK141" s="3"/>
      <c r="VL141" s="3"/>
      <c r="VM141" s="3"/>
      <c r="VN141" s="3"/>
      <c r="VO141" s="3"/>
      <c r="VP141" s="3"/>
      <c r="VQ141" s="3"/>
      <c r="VR141" s="3"/>
      <c r="VS141" s="3"/>
      <c r="VT141" s="3"/>
      <c r="VU141" s="3"/>
      <c r="VV141" s="3"/>
      <c r="VW141" s="3"/>
      <c r="VX141" s="3"/>
      <c r="VY141" s="3"/>
      <c r="VZ141" s="3"/>
      <c r="WA141" s="3"/>
      <c r="WB141" s="3"/>
      <c r="WC141" s="3"/>
      <c r="WD141" s="3"/>
      <c r="WE141" s="3"/>
      <c r="WF141" s="3"/>
      <c r="WG141" s="3"/>
      <c r="WH141" s="3"/>
      <c r="WI141" s="3"/>
      <c r="WJ141" s="3"/>
      <c r="WK141" s="3"/>
      <c r="WL141" s="3"/>
      <c r="WM141" s="3"/>
      <c r="WN141" s="3"/>
      <c r="WO141" s="3"/>
      <c r="WP141" s="3"/>
      <c r="WQ141" s="3"/>
      <c r="WR141" s="3"/>
      <c r="WS141" s="3"/>
      <c r="WT141" s="3"/>
      <c r="WU141" s="3"/>
      <c r="WV141" s="3"/>
      <c r="WW141" s="3"/>
      <c r="WX141" s="3"/>
      <c r="WY141" s="3"/>
      <c r="WZ141" s="3"/>
      <c r="XA141" s="3"/>
      <c r="XB141" s="3"/>
      <c r="XC141" s="3"/>
      <c r="XD141" s="3"/>
      <c r="XE141" s="3"/>
      <c r="XF141" s="3"/>
      <c r="XG141" s="3"/>
      <c r="XH141" s="3"/>
      <c r="XI141" s="3"/>
      <c r="XJ141" s="3"/>
      <c r="XK141" s="3"/>
      <c r="XL141" s="3"/>
      <c r="XM141" s="3"/>
      <c r="XN141" s="3"/>
      <c r="XO141" s="3"/>
      <c r="XP141" s="3"/>
      <c r="XQ141" s="3"/>
      <c r="XR141" s="3"/>
      <c r="XS141" s="3"/>
      <c r="XT141" s="3"/>
      <c r="XU141" s="3"/>
      <c r="XV141" s="3"/>
      <c r="XW141" s="3"/>
      <c r="XX141" s="3"/>
      <c r="XY141" s="3"/>
      <c r="XZ141" s="3"/>
      <c r="YA141" s="3"/>
      <c r="YB141" s="3"/>
      <c r="YC141" s="3"/>
      <c r="YD141" s="3"/>
      <c r="YE141" s="3"/>
      <c r="YF141" s="3"/>
      <c r="YG141" s="3"/>
      <c r="YH141" s="3"/>
      <c r="YI141" s="3"/>
      <c r="YJ141" s="3"/>
      <c r="YK141" s="3"/>
      <c r="YL141" s="3"/>
      <c r="YM141" s="3"/>
      <c r="YN141" s="3"/>
      <c r="YO141" s="3"/>
      <c r="YP141" s="3"/>
      <c r="YQ141" s="3"/>
      <c r="YR141" s="3"/>
      <c r="YS141" s="3"/>
      <c r="YT141" s="3"/>
      <c r="YU141" s="3"/>
      <c r="YV141" s="3"/>
      <c r="YW141" s="3"/>
      <c r="YX141" s="3"/>
      <c r="YY141" s="3"/>
      <c r="YZ141" s="3"/>
      <c r="ZA141" s="3"/>
      <c r="ZB141" s="3"/>
      <c r="ZC141" s="3"/>
      <c r="ZD141" s="3"/>
      <c r="ZE141" s="3"/>
      <c r="ZF141" s="3"/>
      <c r="ZG141" s="3"/>
      <c r="ZH141" s="3"/>
      <c r="ZI141" s="3"/>
      <c r="ZJ141" s="3"/>
      <c r="ZK141" s="3"/>
      <c r="ZL141" s="3"/>
      <c r="ZM141" s="3"/>
      <c r="ZN141" s="3"/>
      <c r="ZO141" s="3"/>
      <c r="ZP141" s="3"/>
      <c r="ZQ141" s="3"/>
      <c r="ZR141" s="3"/>
      <c r="ZS141" s="3"/>
      <c r="ZT141" s="3"/>
      <c r="ZU141" s="3"/>
      <c r="ZV141" s="3"/>
      <c r="ZW141" s="3"/>
      <c r="ZX141" s="3"/>
      <c r="ZY141" s="3"/>
      <c r="ZZ141" s="3"/>
      <c r="AAA141" s="3"/>
      <c r="AAB141" s="3"/>
      <c r="AAC141" s="3"/>
      <c r="AAD141" s="3"/>
      <c r="AAE141" s="3"/>
      <c r="AAF141" s="3"/>
      <c r="AAG141" s="3"/>
      <c r="AAH141" s="3"/>
      <c r="AAI141" s="3"/>
      <c r="AAJ141" s="3"/>
      <c r="AAK141" s="3"/>
      <c r="AAL141" s="3"/>
      <c r="AAM141" s="3"/>
      <c r="AAN141" s="3"/>
      <c r="AAO141" s="3"/>
      <c r="AAP141" s="3"/>
      <c r="AAQ141" s="3"/>
      <c r="AAR141" s="3"/>
      <c r="AAS141" s="3"/>
      <c r="AAT141" s="3"/>
      <c r="AAU141" s="3"/>
      <c r="AAV141" s="3"/>
      <c r="AAW141" s="3"/>
      <c r="AAX141" s="3"/>
      <c r="AAY141" s="3"/>
      <c r="AAZ141" s="3"/>
      <c r="ABA141" s="3"/>
      <c r="ABB141" s="3"/>
      <c r="ABC141" s="3"/>
      <c r="ABD141" s="3"/>
      <c r="ABE141" s="3"/>
      <c r="ABF141" s="3"/>
      <c r="ABG141" s="3"/>
      <c r="ABH141" s="3"/>
      <c r="ABI141" s="3"/>
      <c r="ABJ141" s="3"/>
      <c r="ABK141" s="3"/>
      <c r="ABL141" s="3"/>
      <c r="ABM141" s="3"/>
      <c r="ABN141" s="3"/>
      <c r="ABO141" s="3"/>
      <c r="ABP141" s="3"/>
      <c r="ABQ141" s="3"/>
      <c r="ABR141" s="3"/>
      <c r="ABS141" s="3"/>
      <c r="ABT141" s="3"/>
      <c r="ABU141" s="3"/>
      <c r="ABV141" s="3"/>
      <c r="ABW141" s="3"/>
      <c r="ABX141" s="3"/>
      <c r="ABY141" s="3"/>
      <c r="ABZ141" s="3"/>
      <c r="ACA141" s="3"/>
      <c r="ACB141" s="3"/>
      <c r="ACC141" s="3"/>
      <c r="ACD141" s="3"/>
      <c r="ACE141" s="3"/>
      <c r="ACF141" s="3"/>
      <c r="ACG141" s="3"/>
      <c r="ACH141" s="3"/>
      <c r="ACI141" s="3"/>
      <c r="ACJ141" s="3"/>
      <c r="ACK141" s="3"/>
      <c r="ACL141" s="3"/>
      <c r="ACM141" s="3"/>
      <c r="ACN141" s="3"/>
      <c r="ACO141" s="3"/>
      <c r="ACP141" s="3"/>
      <c r="ACQ141" s="3"/>
      <c r="ACR141" s="3"/>
      <c r="ACS141" s="3"/>
      <c r="ACT141" s="3"/>
      <c r="ACU141" s="3"/>
      <c r="ACV141" s="3"/>
      <c r="ACW141" s="3"/>
      <c r="ACX141" s="3"/>
      <c r="ACY141" s="3"/>
      <c r="ACZ141" s="3"/>
      <c r="ADA141" s="3"/>
      <c r="ADB141" s="3"/>
      <c r="ADC141" s="3"/>
      <c r="ADD141" s="3"/>
      <c r="ADE141" s="3"/>
      <c r="ADF141" s="3"/>
      <c r="ADG141" s="3"/>
      <c r="ADH141" s="3"/>
      <c r="ADI141" s="3"/>
      <c r="ADJ141" s="3"/>
      <c r="ADK141" s="3"/>
      <c r="ADL141" s="3"/>
      <c r="ADM141" s="3"/>
      <c r="ADN141" s="3"/>
      <c r="ADO141" s="3"/>
      <c r="ADP141" s="3"/>
      <c r="ADQ141" s="3"/>
      <c r="ADR141" s="3"/>
      <c r="ADS141" s="3"/>
      <c r="ADT141" s="3"/>
      <c r="ADU141" s="3"/>
      <c r="ADV141" s="3"/>
      <c r="ADW141" s="3"/>
      <c r="ADX141" s="3"/>
      <c r="ADY141" s="3"/>
      <c r="ADZ141" s="3"/>
      <c r="AEA141" s="3"/>
      <c r="AEB141" s="3"/>
      <c r="AEC141" s="3"/>
      <c r="AED141" s="3"/>
      <c r="AEE141" s="3"/>
      <c r="AEF141" s="3"/>
      <c r="AEG141" s="3"/>
      <c r="AEH141" s="3"/>
      <c r="AEI141" s="3"/>
      <c r="AEJ141" s="3"/>
      <c r="AEK141" s="3"/>
      <c r="AEL141" s="3"/>
      <c r="AEM141" s="3"/>
      <c r="AEN141" s="3"/>
      <c r="AEO141" s="3"/>
      <c r="AEP141" s="3"/>
      <c r="AEQ141" s="3"/>
      <c r="AER141" s="3"/>
      <c r="AES141" s="3"/>
      <c r="AET141" s="3"/>
      <c r="AEU141" s="3"/>
      <c r="AEV141" s="3"/>
      <c r="AEW141" s="3"/>
      <c r="AEX141" s="3"/>
      <c r="AEY141" s="3"/>
      <c r="AEZ141" s="3"/>
      <c r="AFA141" s="3"/>
      <c r="AFB141" s="3"/>
      <c r="AFC141" s="3"/>
      <c r="AFD141" s="3"/>
      <c r="AFE141" s="3"/>
      <c r="AFF141" s="3"/>
      <c r="AFG141" s="3"/>
      <c r="AFH141" s="3"/>
      <c r="AFI141" s="3"/>
      <c r="AFJ141" s="3"/>
      <c r="AFK141" s="3"/>
      <c r="AFL141" s="3"/>
      <c r="AFM141" s="3"/>
      <c r="AFN141" s="3"/>
      <c r="AFO141" s="3"/>
      <c r="AFP141" s="3"/>
      <c r="AFQ141" s="3"/>
      <c r="AFR141" s="3"/>
      <c r="AFS141" s="3"/>
      <c r="AFT141" s="3"/>
      <c r="AFU141" s="3"/>
      <c r="AFV141" s="3"/>
      <c r="AFW141" s="3"/>
      <c r="AFX141" s="3"/>
      <c r="AFY141" s="3"/>
      <c r="AFZ141" s="3"/>
      <c r="AGA141" s="3"/>
      <c r="AGB141" s="3"/>
      <c r="AGC141" s="3"/>
      <c r="AGD141" s="3"/>
      <c r="AGE141" s="3"/>
      <c r="AGF141" s="3"/>
      <c r="AGG141" s="3"/>
      <c r="AGH141" s="3"/>
      <c r="AGI141" s="3"/>
      <c r="AGJ141" s="3"/>
      <c r="AGK141" s="3"/>
      <c r="AGL141" s="3"/>
      <c r="AGM141" s="3"/>
      <c r="AGN141" s="3"/>
      <c r="AGO141" s="3"/>
      <c r="AGP141" s="3"/>
      <c r="AGQ141" s="3"/>
      <c r="AGR141" s="3"/>
      <c r="AGS141" s="3"/>
      <c r="AGT141" s="3"/>
      <c r="AGU141" s="3"/>
      <c r="AGV141" s="3"/>
      <c r="AGW141" s="3"/>
      <c r="AGX141" s="3"/>
      <c r="AGY141" s="3"/>
      <c r="AGZ141" s="3"/>
      <c r="AHA141" s="3"/>
      <c r="AHB141" s="3"/>
      <c r="AHC141" s="3"/>
      <c r="AHD141" s="3"/>
      <c r="AHE141" s="3"/>
      <c r="AHF141" s="3"/>
      <c r="AHG141" s="3"/>
      <c r="AHH141" s="3"/>
      <c r="AHI141" s="3"/>
      <c r="AHJ141" s="3"/>
      <c r="AHK141" s="3"/>
      <c r="AHL141" s="3"/>
      <c r="AHM141" s="3"/>
      <c r="AHN141" s="3"/>
      <c r="AHO141" s="3"/>
      <c r="AHP141" s="3"/>
      <c r="AHQ141" s="3"/>
      <c r="AHR141" s="3"/>
      <c r="AHS141" s="3"/>
      <c r="AHT141" s="3"/>
      <c r="AHU141" s="3"/>
      <c r="AHV141" s="3"/>
      <c r="AHW141" s="3"/>
      <c r="AHX141" s="3"/>
      <c r="AHY141" s="3"/>
      <c r="AHZ141" s="3"/>
      <c r="AIA141" s="3"/>
      <c r="AIB141" s="3"/>
      <c r="AIC141" s="3"/>
      <c r="AID141" s="3"/>
      <c r="AIE141" s="3"/>
      <c r="AIF141" s="3"/>
      <c r="AIG141" s="3"/>
      <c r="AIH141" s="3"/>
      <c r="AII141" s="3"/>
      <c r="AIJ141" s="3"/>
      <c r="AIK141" s="3"/>
      <c r="AIL141" s="3"/>
      <c r="AIM141" s="3"/>
      <c r="AIN141" s="3"/>
      <c r="AIO141" s="3"/>
      <c r="AIP141" s="3"/>
      <c r="AIQ141" s="3"/>
      <c r="AIR141" s="3"/>
      <c r="AIS141" s="3"/>
      <c r="AIT141" s="3"/>
      <c r="AIU141" s="3"/>
      <c r="AIV141" s="3"/>
      <c r="AIW141" s="3"/>
      <c r="AIX141" s="3"/>
      <c r="AIY141" s="3"/>
      <c r="AIZ141" s="3"/>
      <c r="AJA141" s="3"/>
      <c r="AJB141" s="3"/>
      <c r="AJC141" s="3"/>
      <c r="AJD141" s="3"/>
      <c r="AJE141" s="3"/>
      <c r="AJF141" s="3"/>
      <c r="AJG141" s="3"/>
      <c r="AJH141" s="3"/>
      <c r="AJI141" s="3"/>
      <c r="AJJ141" s="3"/>
      <c r="AJK141" s="3"/>
      <c r="AJL141" s="3"/>
      <c r="AJM141" s="3"/>
      <c r="AJN141" s="3"/>
      <c r="AJO141" s="3"/>
      <c r="AJP141" s="3"/>
      <c r="AJQ141" s="3"/>
      <c r="AJR141" s="3"/>
      <c r="AJS141" s="3"/>
      <c r="AJT141" s="3"/>
      <c r="AJU141" s="3"/>
      <c r="AJV141" s="3"/>
      <c r="AJW141" s="3"/>
      <c r="AJX141" s="3"/>
      <c r="AJY141" s="3"/>
      <c r="AJZ141" s="3"/>
      <c r="AKA141" s="3"/>
      <c r="AKB141" s="3"/>
      <c r="AKC141" s="3"/>
      <c r="AKD141" s="3"/>
      <c r="AKE141" s="3"/>
      <c r="AKF141" s="3"/>
      <c r="AKG141" s="3"/>
      <c r="AKH141" s="3"/>
      <c r="AKI141" s="3"/>
      <c r="AKJ141" s="3"/>
      <c r="AKK141" s="3"/>
      <c r="AKL141" s="3"/>
      <c r="AKM141" s="3"/>
      <c r="AKN141" s="3"/>
      <c r="AKO141" s="3"/>
      <c r="AKP141" s="3"/>
      <c r="AKQ141" s="3"/>
      <c r="AKR141" s="3"/>
      <c r="AKS141" s="3"/>
      <c r="AKT141" s="3"/>
      <c r="AKU141" s="3"/>
      <c r="AKV141" s="3"/>
      <c r="AKW141" s="3"/>
      <c r="AKX141" s="3"/>
      <c r="AKY141" s="3"/>
      <c r="AKZ141" s="3"/>
      <c r="ALA141" s="3"/>
      <c r="ALB141" s="3"/>
      <c r="ALC141" s="3"/>
      <c r="ALD141" s="3"/>
      <c r="ALE141" s="3"/>
      <c r="ALF141" s="3"/>
      <c r="ALG141" s="3"/>
      <c r="ALH141" s="3"/>
      <c r="ALI141" s="3"/>
      <c r="ALJ141" s="3"/>
      <c r="ALK141" s="3"/>
      <c r="ALL141" s="3"/>
      <c r="ALM141" s="3"/>
      <c r="ALN141" s="3"/>
      <c r="ALO141" s="3"/>
      <c r="ALP141" s="3"/>
      <c r="ALQ141" s="3"/>
      <c r="ALR141" s="3"/>
      <c r="ALS141" s="3"/>
      <c r="ALT141" s="3"/>
      <c r="ALU141" s="3"/>
      <c r="ALV141" s="3"/>
      <c r="ALW141" s="3"/>
      <c r="ALX141" s="3"/>
      <c r="ALY141" s="3"/>
      <c r="ALZ141" s="3"/>
      <c r="AMA141" s="3"/>
      <c r="AMB141" s="3"/>
      <c r="AMC141" s="3"/>
      <c r="AMD141" s="3"/>
      <c r="AME141" s="3"/>
      <c r="AMF141" s="3"/>
      <c r="AMG141" s="3"/>
      <c r="AMH141" s="3"/>
      <c r="AMI141" s="3"/>
      <c r="AMJ141" s="3"/>
      <c r="AMK141" s="3"/>
      <c r="AML141" s="3"/>
      <c r="AMM141" s="3"/>
      <c r="AMN141" s="3"/>
      <c r="AMO141" s="3"/>
      <c r="AMP141" s="3"/>
      <c r="AMQ141" s="3"/>
      <c r="AMR141" s="3"/>
      <c r="AMS141" s="3"/>
      <c r="AMT141" s="3"/>
      <c r="AMU141" s="3"/>
      <c r="AMV141" s="3"/>
      <c r="AMW141" s="3"/>
      <c r="AMX141" s="3"/>
      <c r="AMY141" s="3"/>
      <c r="AMZ141" s="3"/>
      <c r="ANA141" s="3"/>
      <c r="ANB141" s="3"/>
      <c r="ANC141" s="3"/>
      <c r="AND141" s="3"/>
      <c r="ANE141" s="3"/>
      <c r="ANF141" s="3"/>
      <c r="ANG141" s="3"/>
      <c r="ANH141" s="3"/>
      <c r="ANI141" s="3"/>
      <c r="ANJ141" s="3"/>
      <c r="ANK141" s="3"/>
      <c r="ANL141" s="3"/>
      <c r="ANM141" s="3"/>
      <c r="ANN141" s="3"/>
      <c r="ANO141" s="3"/>
      <c r="ANP141" s="3"/>
      <c r="ANQ141" s="3"/>
      <c r="ANR141" s="3"/>
      <c r="ANS141" s="3"/>
      <c r="ANT141" s="3"/>
      <c r="ANU141" s="3"/>
      <c r="ANV141" s="3"/>
      <c r="ANW141" s="3"/>
      <c r="ANX141" s="3"/>
      <c r="ANY141" s="3"/>
      <c r="ANZ141" s="3"/>
      <c r="AOA141" s="3"/>
      <c r="AOB141" s="3"/>
      <c r="AOC141" s="3"/>
      <c r="AOD141" s="3"/>
      <c r="AOE141" s="3"/>
      <c r="AOF141" s="3"/>
      <c r="AOG141" s="3"/>
      <c r="AOH141" s="3"/>
      <c r="AOI141" s="3"/>
      <c r="AOJ141" s="3"/>
      <c r="AOK141" s="3"/>
      <c r="AOL141" s="3"/>
      <c r="AOM141" s="3"/>
      <c r="AON141" s="3"/>
      <c r="AOO141" s="3"/>
      <c r="AOP141" s="3"/>
      <c r="AOQ141" s="3"/>
      <c r="AOR141" s="3"/>
      <c r="AOS141" s="3"/>
      <c r="AOT141" s="3"/>
      <c r="AOU141" s="3"/>
      <c r="AOV141" s="3"/>
      <c r="AOW141" s="3"/>
      <c r="AOX141" s="3"/>
      <c r="AOY141" s="3"/>
      <c r="AOZ141" s="3"/>
      <c r="APA141" s="3"/>
      <c r="APB141" s="3"/>
      <c r="APC141" s="3"/>
      <c r="APD141" s="3"/>
      <c r="APE141" s="3"/>
      <c r="APF141" s="3"/>
      <c r="APG141" s="3"/>
      <c r="APH141" s="3"/>
      <c r="API141" s="3"/>
      <c r="APJ141" s="3"/>
      <c r="APK141" s="3"/>
      <c r="APL141" s="3"/>
      <c r="APM141" s="3"/>
      <c r="APN141" s="3"/>
      <c r="APO141" s="3"/>
      <c r="APP141" s="3"/>
      <c r="APQ141" s="3"/>
      <c r="APR141" s="3"/>
      <c r="APS141" s="3"/>
      <c r="APT141" s="3"/>
      <c r="APU141" s="3"/>
      <c r="APV141" s="3"/>
      <c r="APW141" s="3"/>
      <c r="APX141" s="3"/>
      <c r="APY141" s="3"/>
      <c r="APZ141" s="3"/>
      <c r="AQA141" s="3"/>
      <c r="AQB141" s="3"/>
      <c r="AQC141" s="3"/>
      <c r="AQD141" s="3"/>
      <c r="AQE141" s="3"/>
      <c r="AQF141" s="3"/>
      <c r="AQG141" s="3"/>
      <c r="AQH141" s="3"/>
      <c r="AQI141" s="3"/>
      <c r="AQJ141" s="3"/>
      <c r="AQK141" s="3"/>
      <c r="AQL141" s="3"/>
      <c r="AQM141" s="3"/>
      <c r="AQN141" s="3"/>
      <c r="AQO141" s="3"/>
      <c r="AQP141" s="3"/>
      <c r="AQQ141" s="3"/>
      <c r="AQR141" s="3"/>
      <c r="AQS141" s="3"/>
      <c r="AQT141" s="3"/>
      <c r="AQU141" s="3"/>
      <c r="AQV141" s="3"/>
      <c r="AQW141" s="3"/>
      <c r="AQX141" s="3"/>
      <c r="AQY141" s="3"/>
      <c r="AQZ141" s="3"/>
      <c r="ARA141" s="3"/>
      <c r="ARB141" s="3"/>
      <c r="ARC141" s="3"/>
      <c r="ARD141" s="3"/>
      <c r="ARE141" s="3"/>
      <c r="ARF141" s="3"/>
      <c r="ARG141" s="3"/>
      <c r="ARH141" s="3"/>
      <c r="ARI141" s="3"/>
      <c r="ARJ141" s="3"/>
      <c r="ARK141" s="3"/>
      <c r="ARL141" s="3"/>
      <c r="ARM141" s="3"/>
      <c r="ARN141" s="3"/>
      <c r="ARO141" s="3"/>
      <c r="ARP141" s="3"/>
      <c r="ARQ141" s="3"/>
      <c r="ARR141" s="3"/>
      <c r="ARS141" s="3"/>
      <c r="ART141" s="3"/>
      <c r="ARU141" s="3"/>
      <c r="ARV141" s="3"/>
      <c r="ARW141" s="3"/>
      <c r="ARX141" s="3"/>
      <c r="ARY141" s="3"/>
      <c r="ARZ141" s="3"/>
      <c r="ASA141" s="3"/>
      <c r="ASB141" s="3"/>
      <c r="ASC141" s="3"/>
      <c r="ASD141" s="3"/>
      <c r="ASE141" s="3"/>
      <c r="ASF141" s="3"/>
      <c r="ASG141" s="3"/>
      <c r="ASH141" s="3"/>
      <c r="ASI141" s="3"/>
      <c r="ASJ141" s="3"/>
      <c r="ASK141" s="3"/>
      <c r="ASL141" s="3"/>
      <c r="ASM141" s="3"/>
      <c r="ASN141" s="3"/>
      <c r="ASO141" s="3"/>
      <c r="ASP141" s="3"/>
      <c r="ASQ141" s="3"/>
      <c r="ASR141" s="3"/>
      <c r="ASS141" s="3"/>
      <c r="AST141" s="3"/>
      <c r="ASU141" s="3"/>
      <c r="ASV141" s="3"/>
      <c r="ASW141" s="3"/>
      <c r="ASX141" s="3"/>
      <c r="ASY141" s="3"/>
      <c r="ASZ141" s="3"/>
      <c r="ATA141" s="3"/>
      <c r="ATB141" s="3"/>
      <c r="ATC141" s="3"/>
      <c r="ATD141" s="3"/>
      <c r="ATE141" s="3"/>
      <c r="ATF141" s="3"/>
      <c r="ATG141" s="3"/>
      <c r="ATH141" s="3"/>
      <c r="ATI141" s="3"/>
      <c r="ATJ141" s="3"/>
      <c r="ATK141" s="3"/>
      <c r="ATL141" s="3"/>
      <c r="ATM141" s="3"/>
      <c r="ATN141" s="3"/>
      <c r="ATO141" s="3"/>
      <c r="ATP141" s="3"/>
      <c r="ATQ141" s="3"/>
      <c r="ATR141" s="3"/>
      <c r="ATS141" s="3"/>
      <c r="ATT141" s="3"/>
      <c r="ATU141" s="3"/>
      <c r="ATV141" s="3"/>
      <c r="ATW141" s="3"/>
      <c r="ATX141" s="3"/>
      <c r="ATY141" s="3"/>
      <c r="ATZ141" s="3"/>
      <c r="AUA141" s="3"/>
      <c r="AUB141" s="3"/>
      <c r="AUC141" s="3"/>
      <c r="AUD141" s="3"/>
      <c r="AUE141" s="3"/>
      <c r="AUF141" s="3"/>
      <c r="AUG141" s="3"/>
      <c r="AUH141" s="3"/>
      <c r="AUI141" s="3"/>
      <c r="AUJ141" s="3"/>
      <c r="AUK141" s="3"/>
      <c r="AUL141" s="3"/>
      <c r="AUM141" s="3"/>
      <c r="AUN141" s="3"/>
      <c r="AUO141" s="3"/>
      <c r="AUP141" s="3"/>
      <c r="AUQ141" s="3"/>
      <c r="AUR141" s="3"/>
      <c r="AUS141" s="3"/>
      <c r="AUT141" s="3"/>
      <c r="AUU141" s="3"/>
      <c r="AUV141" s="3"/>
      <c r="AUW141" s="3"/>
      <c r="AUX141" s="3"/>
      <c r="AUY141" s="3"/>
      <c r="AUZ141" s="3"/>
      <c r="AVA141" s="3"/>
      <c r="AVB141" s="3"/>
      <c r="AVC141" s="3"/>
      <c r="AVD141" s="3"/>
      <c r="AVE141" s="3"/>
      <c r="AVF141" s="3"/>
      <c r="AVG141" s="3"/>
      <c r="AVH141" s="3"/>
      <c r="AVI141" s="3"/>
      <c r="AVJ141" s="3"/>
      <c r="AVK141" s="3"/>
      <c r="AVL141" s="3"/>
      <c r="AVM141" s="3"/>
      <c r="AVN141" s="3"/>
      <c r="AVO141" s="3"/>
      <c r="AVP141" s="3"/>
      <c r="AVQ141" s="3"/>
      <c r="AVR141" s="3"/>
      <c r="AVS141" s="3"/>
      <c r="AVT141" s="3"/>
      <c r="AVU141" s="3"/>
      <c r="AVV141" s="3"/>
      <c r="AVW141" s="3"/>
      <c r="AVX141" s="3"/>
      <c r="AVY141" s="3"/>
      <c r="AVZ141" s="3"/>
      <c r="AWA141" s="3"/>
      <c r="AWB141" s="3"/>
      <c r="AWC141" s="3"/>
      <c r="AWD141" s="3"/>
      <c r="AWE141" s="3"/>
      <c r="AWF141" s="3"/>
      <c r="AWG141" s="3"/>
      <c r="AWH141" s="3"/>
      <c r="AWI141" s="3"/>
      <c r="AWJ141" s="3"/>
      <c r="AWK141" s="3"/>
      <c r="AWL141" s="3"/>
      <c r="AWM141" s="3"/>
      <c r="AWN141" s="3"/>
      <c r="AWO141" s="3"/>
      <c r="AWP141" s="3"/>
      <c r="AWQ141" s="3"/>
      <c r="AWR141" s="3"/>
      <c r="AWS141" s="3"/>
      <c r="AWT141" s="3"/>
      <c r="AWU141" s="3"/>
      <c r="AWV141" s="3"/>
      <c r="AWW141" s="3"/>
      <c r="AWX141" s="3"/>
      <c r="AWY141" s="3"/>
      <c r="AWZ141" s="3"/>
      <c r="AXA141" s="3"/>
      <c r="AXB141" s="3"/>
      <c r="AXC141" s="3"/>
      <c r="AXD141" s="3"/>
      <c r="AXE141" s="3"/>
      <c r="AXF141" s="3"/>
      <c r="AXG141" s="3"/>
      <c r="AXH141" s="3"/>
      <c r="AXI141" s="3"/>
      <c r="AXJ141" s="3"/>
      <c r="AXK141" s="3"/>
      <c r="AXL141" s="3"/>
      <c r="AXM141" s="3"/>
      <c r="AXN141" s="3"/>
      <c r="AXO141" s="3"/>
      <c r="AXP141" s="3"/>
      <c r="AXQ141" s="3"/>
      <c r="AXR141" s="3"/>
      <c r="AXS141" s="3"/>
      <c r="AXT141" s="3"/>
      <c r="AXU141" s="3"/>
      <c r="AXV141" s="3"/>
      <c r="AXW141" s="3"/>
      <c r="AXX141" s="3"/>
      <c r="AXY141" s="3"/>
      <c r="AXZ141" s="3"/>
      <c r="AYA141" s="3"/>
      <c r="AYB141" s="3"/>
      <c r="AYC141" s="3"/>
      <c r="AYD141" s="3"/>
      <c r="AYE141" s="3"/>
      <c r="AYF141" s="3"/>
      <c r="AYG141" s="3"/>
      <c r="AYH141" s="3"/>
      <c r="AYI141" s="3"/>
      <c r="AYJ141" s="3"/>
      <c r="AYK141" s="3"/>
      <c r="AYL141" s="3"/>
      <c r="AYM141" s="3"/>
      <c r="AYN141" s="3"/>
      <c r="AYO141" s="3"/>
      <c r="AYP141" s="3"/>
      <c r="AYQ141" s="3"/>
      <c r="AYR141" s="3"/>
      <c r="AYS141" s="3"/>
      <c r="AYT141" s="3"/>
      <c r="AYU141" s="3"/>
      <c r="AYV141" s="3"/>
      <c r="AYW141" s="3"/>
      <c r="AYX141" s="3"/>
      <c r="AYY141" s="3"/>
      <c r="AYZ141" s="3"/>
      <c r="AZA141" s="3"/>
      <c r="AZB141" s="3"/>
      <c r="AZC141" s="3"/>
      <c r="AZD141" s="3"/>
      <c r="AZE141" s="3"/>
      <c r="AZF141" s="3"/>
      <c r="AZG141" s="3"/>
      <c r="AZH141" s="3"/>
      <c r="AZI141" s="3"/>
      <c r="AZJ141" s="3"/>
      <c r="AZK141" s="3"/>
      <c r="AZL141" s="3"/>
      <c r="AZM141" s="3"/>
      <c r="AZN141" s="3"/>
      <c r="AZO141" s="3"/>
      <c r="AZP141" s="3"/>
      <c r="AZQ141" s="3"/>
      <c r="AZR141" s="3"/>
      <c r="AZS141" s="3"/>
      <c r="AZT141" s="3"/>
      <c r="AZU141" s="3"/>
      <c r="AZV141" s="3"/>
      <c r="AZW141" s="3"/>
      <c r="AZX141" s="3"/>
      <c r="AZY141" s="3"/>
      <c r="AZZ141" s="3"/>
      <c r="BAA141" s="3"/>
      <c r="BAB141" s="3"/>
      <c r="BAC141" s="3"/>
      <c r="BAD141" s="3"/>
      <c r="BAE141" s="3"/>
      <c r="BAF141" s="3"/>
      <c r="BAG141" s="3"/>
      <c r="BAH141" s="3"/>
      <c r="BAI141" s="3"/>
      <c r="BAJ141" s="3"/>
      <c r="BAK141" s="3"/>
      <c r="BAL141" s="3"/>
      <c r="BAM141" s="3"/>
      <c r="BAN141" s="3"/>
      <c r="BAO141" s="3"/>
      <c r="BAP141" s="3"/>
      <c r="BAQ141" s="3"/>
      <c r="BAR141" s="3"/>
      <c r="BAS141" s="3"/>
      <c r="BAT141" s="3"/>
      <c r="BAU141" s="3"/>
      <c r="BAV141" s="3"/>
      <c r="BAW141" s="3"/>
      <c r="BAX141" s="3"/>
      <c r="BAY141" s="3"/>
      <c r="BAZ141" s="3"/>
      <c r="BBA141" s="3"/>
      <c r="BBB141" s="3"/>
      <c r="BBC141" s="3"/>
      <c r="BBD141" s="3"/>
      <c r="BBE141" s="3"/>
      <c r="BBF141" s="3"/>
      <c r="BBG141" s="3"/>
      <c r="BBH141" s="3"/>
      <c r="BBI141" s="3"/>
      <c r="BBJ141" s="3"/>
      <c r="BBK141" s="3"/>
      <c r="BBL141" s="3"/>
      <c r="BBM141" s="3"/>
      <c r="BBN141" s="3"/>
      <c r="BBO141" s="3"/>
      <c r="BBP141" s="3"/>
      <c r="BBQ141" s="3"/>
      <c r="BBR141" s="3"/>
      <c r="BBS141" s="3"/>
      <c r="BBT141" s="3"/>
      <c r="BBU141" s="3"/>
      <c r="BBV141" s="3"/>
      <c r="BBW141" s="3"/>
      <c r="BBX141" s="3"/>
      <c r="BBY141" s="3"/>
      <c r="BBZ141" s="3"/>
      <c r="BCA141" s="3"/>
      <c r="BCB141" s="3"/>
      <c r="BCC141" s="3"/>
      <c r="BCD141" s="3"/>
      <c r="BCE141" s="3"/>
      <c r="BCF141" s="3"/>
      <c r="BCG141" s="3"/>
      <c r="BCH141" s="3"/>
      <c r="BCI141" s="3"/>
      <c r="BCJ141" s="3"/>
      <c r="BCK141" s="3"/>
      <c r="BCL141" s="3"/>
      <c r="BCM141" s="3"/>
      <c r="BCN141" s="3"/>
      <c r="BCO141" s="3"/>
      <c r="BCP141" s="3"/>
      <c r="BCQ141" s="3"/>
      <c r="BCR141" s="3"/>
      <c r="BCS141" s="3"/>
      <c r="BCT141" s="3"/>
      <c r="BCU141" s="3"/>
      <c r="BCV141" s="3"/>
      <c r="BCW141" s="3"/>
      <c r="BCX141" s="3"/>
      <c r="BCY141" s="3"/>
      <c r="BCZ141" s="3"/>
      <c r="BDA141" s="3"/>
      <c r="BDB141" s="3"/>
      <c r="BDC141" s="3"/>
      <c r="BDD141" s="3"/>
      <c r="BDE141" s="3"/>
      <c r="BDF141" s="3"/>
      <c r="BDG141" s="3"/>
      <c r="BDH141" s="3"/>
      <c r="BDI141" s="3"/>
      <c r="BDJ141" s="3"/>
      <c r="BDK141" s="3"/>
      <c r="BDL141" s="3"/>
      <c r="BDM141" s="3"/>
      <c r="BDN141" s="3"/>
      <c r="BDO141" s="3"/>
      <c r="BDP141" s="3"/>
      <c r="BDQ141" s="3"/>
      <c r="BDR141" s="3"/>
      <c r="BDS141" s="3"/>
      <c r="BDT141" s="3"/>
      <c r="BDU141" s="3"/>
      <c r="BDV141" s="3"/>
      <c r="BDW141" s="3"/>
      <c r="BDX141" s="3"/>
      <c r="BDY141" s="3"/>
      <c r="BDZ141" s="3"/>
      <c r="BEA141" s="3"/>
      <c r="BEB141" s="3"/>
      <c r="BEC141" s="3"/>
      <c r="BED141" s="3"/>
      <c r="BEE141" s="3"/>
      <c r="BEF141" s="3"/>
      <c r="BEG141" s="3"/>
      <c r="BEH141" s="3"/>
      <c r="BEI141" s="3"/>
      <c r="BEJ141" s="3"/>
      <c r="BEK141" s="3"/>
      <c r="BEL141" s="3"/>
      <c r="BEM141" s="3"/>
      <c r="BEN141" s="3"/>
      <c r="BEO141" s="3"/>
      <c r="BEP141" s="3"/>
      <c r="BEQ141" s="3"/>
      <c r="BER141" s="3"/>
      <c r="BES141" s="3"/>
      <c r="BET141" s="3"/>
      <c r="BEU141" s="3"/>
      <c r="BEV141" s="3"/>
      <c r="BEW141" s="3"/>
      <c r="BEX141" s="3"/>
      <c r="BEY141" s="3"/>
      <c r="BEZ141" s="3"/>
      <c r="BFA141" s="3"/>
      <c r="BFB141" s="3"/>
      <c r="BFC141" s="3"/>
      <c r="BFD141" s="3"/>
      <c r="BFE141" s="3"/>
      <c r="BFF141" s="3"/>
      <c r="BFG141" s="3"/>
      <c r="BFH141" s="3"/>
      <c r="BFI141" s="3"/>
      <c r="BFJ141" s="3"/>
      <c r="BFK141" s="3"/>
      <c r="BFL141" s="3"/>
      <c r="BFM141" s="3"/>
      <c r="BFN141" s="3"/>
      <c r="BFO141" s="3"/>
      <c r="BFP141" s="3"/>
      <c r="BFQ141" s="3"/>
      <c r="BFR141" s="3"/>
      <c r="BFS141" s="3"/>
      <c r="BFT141" s="3"/>
      <c r="BFU141" s="3"/>
      <c r="BFV141" s="3"/>
      <c r="BFW141" s="3"/>
      <c r="BFX141" s="3"/>
      <c r="BFY141" s="3"/>
      <c r="BFZ141" s="3"/>
      <c r="BGA141" s="3"/>
      <c r="BGB141" s="3"/>
      <c r="BGC141" s="3"/>
      <c r="BGD141" s="3"/>
      <c r="BGE141" s="3"/>
      <c r="BGF141" s="3"/>
      <c r="BGG141" s="3"/>
      <c r="BGH141" s="3"/>
      <c r="BGI141" s="3"/>
      <c r="BGJ141" s="3"/>
      <c r="BGK141" s="3"/>
      <c r="BGL141" s="3"/>
      <c r="BGM141" s="3"/>
      <c r="BGN141" s="3"/>
      <c r="BGO141" s="3"/>
      <c r="BGP141" s="3"/>
      <c r="BGQ141" s="3"/>
      <c r="BGR141" s="3"/>
      <c r="BGS141" s="3"/>
      <c r="BGT141" s="3"/>
      <c r="BGU141" s="3"/>
      <c r="BGV141" s="3"/>
      <c r="BGW141" s="3"/>
      <c r="BGX141" s="3"/>
      <c r="BGY141" s="3"/>
      <c r="BGZ141" s="3"/>
      <c r="BHA141" s="3"/>
      <c r="BHB141" s="3"/>
      <c r="BHC141" s="3"/>
      <c r="BHD141" s="3"/>
      <c r="BHE141" s="3"/>
      <c r="BHF141" s="3"/>
      <c r="BHG141" s="3"/>
      <c r="BHH141" s="3"/>
      <c r="BHI141" s="3"/>
      <c r="BHJ141" s="3"/>
      <c r="BHK141" s="3"/>
      <c r="BHL141" s="3"/>
      <c r="BHM141" s="3"/>
      <c r="BHN141" s="3"/>
      <c r="BHO141" s="3"/>
      <c r="BHP141" s="3"/>
      <c r="BHQ141" s="3"/>
      <c r="BHR141" s="3"/>
      <c r="BHS141" s="3"/>
      <c r="BHT141" s="3"/>
      <c r="BHU141" s="3"/>
      <c r="BHV141" s="3"/>
      <c r="BHW141" s="3"/>
      <c r="BHX141" s="3"/>
      <c r="BHY141" s="3"/>
      <c r="BHZ141" s="3"/>
      <c r="BIA141" s="3"/>
      <c r="BIB141" s="3"/>
      <c r="BIC141" s="3"/>
      <c r="BID141" s="3"/>
      <c r="BIE141" s="3"/>
      <c r="BIF141" s="3"/>
      <c r="BIG141" s="3"/>
      <c r="BIH141" s="3"/>
      <c r="BII141" s="3"/>
      <c r="BIJ141" s="3"/>
      <c r="BIK141" s="3"/>
      <c r="BIL141" s="3"/>
      <c r="BIM141" s="3"/>
      <c r="BIN141" s="3"/>
      <c r="BIO141" s="3"/>
      <c r="BIP141" s="3"/>
      <c r="BIQ141" s="3"/>
      <c r="BIR141" s="3"/>
      <c r="BIS141" s="3"/>
      <c r="BIT141" s="3"/>
      <c r="BIU141" s="3"/>
      <c r="BIV141" s="3"/>
      <c r="BIW141" s="3"/>
      <c r="BIX141" s="3"/>
      <c r="BIY141" s="3"/>
      <c r="BIZ141" s="3"/>
      <c r="BJA141" s="3"/>
      <c r="BJB141" s="3"/>
      <c r="BJC141" s="3"/>
      <c r="BJD141" s="3"/>
      <c r="BJE141" s="3"/>
      <c r="BJF141" s="3"/>
      <c r="BJG141" s="3"/>
      <c r="BJH141" s="3"/>
      <c r="BJI141" s="3"/>
      <c r="BJJ141" s="3"/>
      <c r="BJK141" s="3"/>
      <c r="BJL141" s="3"/>
      <c r="BJM141" s="3"/>
      <c r="BJN141" s="3"/>
      <c r="BJO141" s="3"/>
      <c r="BJP141" s="3"/>
      <c r="BJQ141" s="3"/>
      <c r="BJR141" s="3"/>
      <c r="BJS141" s="3"/>
      <c r="BJT141" s="3"/>
      <c r="BJU141" s="3"/>
      <c r="BJV141" s="3"/>
      <c r="BJW141" s="3"/>
      <c r="BJX141" s="3"/>
      <c r="BJY141" s="3"/>
      <c r="BJZ141" s="3"/>
      <c r="BKA141" s="3"/>
      <c r="BKB141" s="3"/>
      <c r="BKC141" s="3"/>
      <c r="BKD141" s="3"/>
      <c r="BKE141" s="3"/>
      <c r="BKF141" s="3"/>
      <c r="BKG141" s="3"/>
      <c r="BKH141" s="3"/>
      <c r="BKI141" s="3"/>
      <c r="BKJ141" s="3"/>
      <c r="BKK141" s="3"/>
      <c r="BKL141" s="3"/>
      <c r="BKM141" s="3"/>
      <c r="BKN141" s="3"/>
      <c r="BKO141" s="3"/>
      <c r="BKP141" s="3"/>
      <c r="BKQ141" s="3"/>
      <c r="BKR141" s="3"/>
      <c r="BKS141" s="3"/>
      <c r="BKT141" s="3"/>
      <c r="BKU141" s="3"/>
      <c r="BKV141" s="3"/>
      <c r="BKW141" s="3"/>
      <c r="BKX141" s="3"/>
      <c r="BKY141" s="3"/>
      <c r="BKZ141" s="3"/>
      <c r="BLA141" s="3"/>
      <c r="BLB141" s="3"/>
      <c r="BLC141" s="3"/>
      <c r="BLD141" s="3"/>
      <c r="BLE141" s="3"/>
      <c r="BLF141" s="3"/>
      <c r="BLG141" s="3"/>
      <c r="BLH141" s="3"/>
      <c r="BLI141" s="3"/>
      <c r="BLJ141" s="3"/>
      <c r="BLK141" s="3"/>
      <c r="BLL141" s="3"/>
      <c r="BLM141" s="3"/>
      <c r="BLN141" s="3"/>
      <c r="BLO141" s="3"/>
      <c r="BLP141" s="3"/>
      <c r="BLQ141" s="3"/>
      <c r="BLR141" s="3"/>
      <c r="BLS141" s="3"/>
      <c r="BLT141" s="3"/>
      <c r="BLU141" s="3"/>
      <c r="BLV141" s="3"/>
      <c r="BLW141" s="3"/>
      <c r="BLX141" s="3"/>
      <c r="BLY141" s="3"/>
      <c r="BLZ141" s="3"/>
      <c r="BMA141" s="3"/>
      <c r="BMB141" s="3"/>
      <c r="BMC141" s="3"/>
      <c r="BMD141" s="3"/>
      <c r="BME141" s="3"/>
      <c r="BMF141" s="3"/>
      <c r="BMG141" s="3"/>
      <c r="BMH141" s="3"/>
      <c r="BMI141" s="3"/>
      <c r="BMJ141" s="3"/>
      <c r="BMK141" s="3"/>
      <c r="BML141" s="3"/>
      <c r="BMM141" s="3"/>
      <c r="BMN141" s="3"/>
      <c r="BMO141" s="3"/>
      <c r="BMP141" s="3"/>
      <c r="BMQ141" s="3"/>
      <c r="BMR141" s="3"/>
      <c r="BMS141" s="3"/>
      <c r="BMT141" s="3"/>
      <c r="BMU141" s="3"/>
      <c r="BMV141" s="3"/>
      <c r="BMW141" s="3"/>
      <c r="BMX141" s="3"/>
      <c r="BMY141" s="3"/>
      <c r="BMZ141" s="3"/>
      <c r="BNA141" s="3"/>
      <c r="BNB141" s="3"/>
      <c r="BNC141" s="3"/>
      <c r="BND141" s="3"/>
      <c r="BNE141" s="3"/>
      <c r="BNF141" s="3"/>
      <c r="BNG141" s="3"/>
      <c r="BNH141" s="3"/>
      <c r="BNI141" s="3"/>
      <c r="BNJ141" s="3"/>
      <c r="BNK141" s="3"/>
      <c r="BNL141" s="3"/>
      <c r="BNM141" s="3"/>
      <c r="BNN141" s="3"/>
      <c r="BNO141" s="3"/>
      <c r="BNP141" s="3"/>
      <c r="BNQ141" s="3"/>
      <c r="BNR141" s="3"/>
      <c r="BNS141" s="3"/>
      <c r="BNT141" s="3"/>
      <c r="BNU141" s="3"/>
      <c r="BNV141" s="3"/>
      <c r="BNW141" s="3"/>
      <c r="BNX141" s="3"/>
      <c r="BNY141" s="3"/>
      <c r="BNZ141" s="3"/>
      <c r="BOA141" s="3"/>
      <c r="BOB141" s="3"/>
      <c r="BOC141" s="3"/>
      <c r="BOD141" s="3"/>
      <c r="BOE141" s="3"/>
      <c r="BOF141" s="3"/>
      <c r="BOG141" s="3"/>
      <c r="BOH141" s="3"/>
      <c r="BOI141" s="3"/>
      <c r="BOJ141" s="3"/>
      <c r="BOK141" s="3"/>
      <c r="BOL141" s="3"/>
      <c r="BOM141" s="3"/>
      <c r="BON141" s="3"/>
      <c r="BOO141" s="3"/>
      <c r="BOP141" s="3"/>
      <c r="BOQ141" s="3"/>
      <c r="BOR141" s="3"/>
      <c r="BOS141" s="3"/>
      <c r="BOT141" s="3"/>
      <c r="BOU141" s="3"/>
      <c r="BOV141" s="3"/>
      <c r="BOW141" s="3"/>
      <c r="BOX141" s="3"/>
      <c r="BOY141" s="3"/>
      <c r="BOZ141" s="3"/>
      <c r="BPA141" s="3"/>
      <c r="BPB141" s="3"/>
      <c r="BPC141" s="3"/>
      <c r="BPD141" s="3"/>
      <c r="BPE141" s="3"/>
      <c r="BPF141" s="3"/>
      <c r="BPG141" s="3"/>
      <c r="BPH141" s="3"/>
      <c r="BPI141" s="3"/>
      <c r="BPJ141" s="3"/>
      <c r="BPK141" s="3"/>
      <c r="BPL141" s="3"/>
      <c r="BPM141" s="3"/>
      <c r="BPN141" s="3"/>
      <c r="BPO141" s="3"/>
      <c r="BPP141" s="3"/>
      <c r="BPQ141" s="3"/>
      <c r="BPR141" s="3"/>
      <c r="BPS141" s="3"/>
      <c r="BPT141" s="3"/>
      <c r="BPU141" s="3"/>
      <c r="BPV141" s="3"/>
      <c r="BPW141" s="3"/>
      <c r="BPX141" s="3"/>
      <c r="BPY141" s="3"/>
      <c r="BPZ141" s="3"/>
      <c r="BQA141" s="3"/>
      <c r="BQB141" s="3"/>
      <c r="BQC141" s="3"/>
      <c r="BQD141" s="3"/>
      <c r="BQE141" s="3"/>
      <c r="BQF141" s="3"/>
      <c r="BQG141" s="3"/>
      <c r="BQH141" s="3"/>
      <c r="BQI141" s="3"/>
      <c r="BQJ141" s="3"/>
      <c r="BQK141" s="3"/>
      <c r="BQL141" s="3"/>
      <c r="BQM141" s="3"/>
      <c r="BQN141" s="3"/>
      <c r="BQO141" s="3"/>
      <c r="BQP141" s="3"/>
      <c r="BQQ141" s="3"/>
      <c r="BQR141" s="3"/>
      <c r="BQS141" s="3"/>
      <c r="BQT141" s="3"/>
      <c r="BQU141" s="3"/>
      <c r="BQV141" s="3"/>
      <c r="BQW141" s="3"/>
      <c r="BQX141" s="3"/>
      <c r="BQY141" s="3"/>
      <c r="BQZ141" s="3"/>
      <c r="BRA141" s="3"/>
      <c r="BRB141" s="3"/>
      <c r="BRC141" s="3"/>
      <c r="BRD141" s="3"/>
      <c r="BRE141" s="3"/>
      <c r="BRF141" s="3"/>
      <c r="BRG141" s="3"/>
      <c r="BRH141" s="3"/>
      <c r="BRI141" s="3"/>
      <c r="BRJ141" s="3"/>
      <c r="BRK141" s="3"/>
      <c r="BRL141" s="3"/>
      <c r="BRM141" s="3"/>
      <c r="BRN141" s="3"/>
      <c r="BRO141" s="3"/>
      <c r="BRP141" s="3"/>
      <c r="BRQ141" s="3"/>
      <c r="BRR141" s="3"/>
      <c r="BRS141" s="3"/>
      <c r="BRT141" s="3"/>
      <c r="BRU141" s="3"/>
      <c r="BRV141" s="3"/>
      <c r="BRW141" s="3"/>
      <c r="BRX141" s="3"/>
      <c r="BRY141" s="3"/>
      <c r="BRZ141" s="3"/>
      <c r="BSA141" s="3"/>
      <c r="BSB141" s="3"/>
      <c r="BSC141" s="3"/>
      <c r="BSD141" s="3"/>
      <c r="BSE141" s="3"/>
      <c r="BSF141" s="3"/>
      <c r="BSG141" s="3"/>
      <c r="BSH141" s="3"/>
      <c r="BSI141" s="3"/>
      <c r="BSJ141" s="3"/>
      <c r="BSK141" s="3"/>
      <c r="BSL141" s="3"/>
      <c r="BSM141" s="3"/>
      <c r="BSN141" s="3"/>
      <c r="BSO141" s="3"/>
      <c r="BSP141" s="3"/>
      <c r="BSQ141" s="3"/>
      <c r="BSR141" s="3"/>
      <c r="BSS141" s="3"/>
      <c r="BST141" s="3"/>
      <c r="BSU141" s="3"/>
      <c r="BSV141" s="3"/>
      <c r="BSW141" s="3"/>
      <c r="BSX141" s="3"/>
      <c r="BSY141" s="3"/>
      <c r="BSZ141" s="3"/>
      <c r="BTA141" s="3"/>
      <c r="BTB141" s="3"/>
      <c r="BTC141" s="3"/>
      <c r="BTD141" s="3"/>
      <c r="BTE141" s="3"/>
      <c r="BTF141" s="3"/>
      <c r="BTG141" s="3"/>
      <c r="BTH141" s="3"/>
      <c r="BTI141" s="3"/>
      <c r="BTJ141" s="3"/>
      <c r="BTK141" s="3"/>
      <c r="BTL141" s="3"/>
      <c r="BTM141" s="3"/>
      <c r="BTN141" s="3"/>
      <c r="BTO141" s="3"/>
      <c r="BTP141" s="3"/>
      <c r="BTQ141" s="3"/>
      <c r="BTR141" s="3"/>
      <c r="BTS141" s="3"/>
      <c r="BTT141" s="3"/>
      <c r="BTU141" s="3"/>
      <c r="BTV141" s="3"/>
      <c r="BTW141" s="3"/>
      <c r="BTX141" s="3"/>
      <c r="BTY141" s="3"/>
      <c r="BTZ141" s="3"/>
      <c r="BUA141" s="3"/>
      <c r="BUB141" s="3"/>
      <c r="BUC141" s="3"/>
      <c r="BUD141" s="3"/>
      <c r="BUE141" s="3"/>
      <c r="BUF141" s="3"/>
      <c r="BUG141" s="3"/>
      <c r="BUH141" s="3"/>
      <c r="BUI141" s="3"/>
      <c r="BUJ141" s="3"/>
      <c r="BUK141" s="3"/>
      <c r="BUL141" s="3"/>
      <c r="BUM141" s="3"/>
      <c r="BUN141" s="3"/>
      <c r="BUO141" s="3"/>
      <c r="BUP141" s="3"/>
      <c r="BUQ141" s="3"/>
      <c r="BUR141" s="3"/>
      <c r="BUS141" s="3"/>
      <c r="BUT141" s="3"/>
      <c r="BUU141" s="3"/>
      <c r="BUV141" s="3"/>
      <c r="BUW141" s="3"/>
      <c r="BUX141" s="3"/>
      <c r="BUY141" s="3"/>
      <c r="BUZ141" s="3"/>
      <c r="BVA141" s="3"/>
      <c r="BVB141" s="3"/>
      <c r="BVC141" s="3"/>
      <c r="BVD141" s="3"/>
      <c r="BVE141" s="3"/>
      <c r="BVF141" s="3"/>
      <c r="BVG141" s="3"/>
      <c r="BVH141" s="3"/>
      <c r="BVI141" s="3"/>
      <c r="BVJ141" s="3"/>
      <c r="BVK141" s="3"/>
      <c r="BVL141" s="3"/>
      <c r="BVM141" s="3"/>
      <c r="BVN141" s="3"/>
      <c r="BVO141" s="3"/>
      <c r="BVP141" s="3"/>
      <c r="BVQ141" s="3"/>
      <c r="BVR141" s="3"/>
      <c r="BVS141" s="3"/>
      <c r="BVT141" s="3"/>
      <c r="BVU141" s="3"/>
      <c r="BVV141" s="3"/>
      <c r="BVW141" s="3"/>
      <c r="BVX141" s="3"/>
      <c r="BVY141" s="3"/>
      <c r="BVZ141" s="3"/>
      <c r="BWA141" s="3"/>
      <c r="BWB141" s="3"/>
      <c r="BWC141" s="3"/>
      <c r="BWD141" s="3"/>
      <c r="BWE141" s="3"/>
      <c r="BWF141" s="3"/>
      <c r="BWG141" s="3"/>
      <c r="BWH141" s="3"/>
      <c r="BWI141" s="3"/>
      <c r="BWJ141" s="3"/>
      <c r="BWK141" s="3"/>
      <c r="BWL141" s="3"/>
      <c r="BWM141" s="3"/>
      <c r="BWN141" s="3"/>
      <c r="BWO141" s="3"/>
      <c r="BWP141" s="3"/>
      <c r="BWQ141" s="3"/>
      <c r="BWR141" s="3"/>
      <c r="BWS141" s="3"/>
      <c r="BWT141" s="3"/>
      <c r="BWU141" s="3"/>
      <c r="BWV141" s="3"/>
      <c r="BWW141" s="3"/>
      <c r="BWX141" s="3"/>
      <c r="BWY141" s="3"/>
      <c r="BWZ141" s="3"/>
      <c r="BXA141" s="3"/>
      <c r="BXB141" s="3"/>
      <c r="BXC141" s="3"/>
      <c r="BXD141" s="3"/>
      <c r="BXE141" s="3"/>
      <c r="BXF141" s="3"/>
      <c r="BXG141" s="3"/>
      <c r="BXH141" s="3"/>
      <c r="BXI141" s="3"/>
      <c r="BXJ141" s="3"/>
      <c r="BXK141" s="3"/>
      <c r="BXL141" s="3"/>
      <c r="BXM141" s="3"/>
      <c r="BXN141" s="3"/>
      <c r="BXO141" s="3"/>
      <c r="BXP141" s="3"/>
      <c r="BXQ141" s="3"/>
      <c r="BXR141" s="3"/>
      <c r="BXS141" s="3"/>
      <c r="BXT141" s="3"/>
      <c r="BXU141" s="3"/>
      <c r="BXV141" s="3"/>
      <c r="BXW141" s="3"/>
      <c r="BXX141" s="3"/>
      <c r="BXY141" s="3"/>
      <c r="BXZ141" s="3"/>
      <c r="BYA141" s="3"/>
      <c r="BYB141" s="3"/>
      <c r="BYC141" s="3"/>
      <c r="BYD141" s="3"/>
      <c r="BYE141" s="3"/>
      <c r="BYF141" s="3"/>
      <c r="BYG141" s="3"/>
      <c r="BYH141" s="3"/>
      <c r="BYI141" s="3"/>
      <c r="BYJ141" s="3"/>
      <c r="BYK141" s="3"/>
      <c r="BYL141" s="3"/>
      <c r="BYM141" s="3"/>
      <c r="BYN141" s="3"/>
      <c r="BYO141" s="3"/>
      <c r="BYP141" s="3"/>
      <c r="BYQ141" s="3"/>
      <c r="BYR141" s="3"/>
      <c r="BYS141" s="3"/>
      <c r="BYT141" s="3"/>
      <c r="BYU141" s="3"/>
      <c r="BYV141" s="3"/>
      <c r="BYW141" s="3"/>
      <c r="BYX141" s="3"/>
      <c r="BYY141" s="3"/>
      <c r="BYZ141" s="3"/>
      <c r="BZA141" s="3"/>
      <c r="BZB141" s="3"/>
      <c r="BZC141" s="3"/>
      <c r="BZD141" s="3"/>
      <c r="BZE141" s="3"/>
      <c r="BZF141" s="3"/>
      <c r="BZG141" s="3"/>
      <c r="BZH141" s="3"/>
      <c r="BZI141" s="3"/>
      <c r="BZJ141" s="3"/>
      <c r="BZK141" s="3"/>
      <c r="BZL141" s="3"/>
      <c r="BZM141" s="3"/>
      <c r="BZN141" s="3"/>
      <c r="BZO141" s="3"/>
      <c r="BZP141" s="3"/>
      <c r="BZQ141" s="3"/>
      <c r="BZR141" s="3"/>
      <c r="BZS141" s="3"/>
      <c r="BZT141" s="3"/>
      <c r="BZU141" s="3"/>
      <c r="BZV141" s="3"/>
      <c r="BZW141" s="3"/>
      <c r="BZX141" s="3"/>
      <c r="BZY141" s="3"/>
      <c r="BZZ141" s="3"/>
      <c r="CAA141" s="3"/>
      <c r="CAB141" s="3"/>
      <c r="CAC141" s="3"/>
      <c r="CAD141" s="3"/>
      <c r="CAE141" s="3"/>
      <c r="CAF141" s="3"/>
      <c r="CAG141" s="3"/>
      <c r="CAH141" s="3"/>
      <c r="CAI141" s="3"/>
      <c r="CAJ141" s="3"/>
      <c r="CAK141" s="3"/>
      <c r="CAL141" s="3"/>
      <c r="CAM141" s="3"/>
      <c r="CAN141" s="3"/>
      <c r="CAO141" s="3"/>
      <c r="CAP141" s="3"/>
      <c r="CAQ141" s="3"/>
      <c r="CAR141" s="3"/>
      <c r="CAS141" s="3"/>
      <c r="CAT141" s="3"/>
      <c r="CAU141" s="3"/>
      <c r="CAV141" s="3"/>
      <c r="CAW141" s="3"/>
      <c r="CAX141" s="3"/>
      <c r="CAY141" s="3"/>
      <c r="CAZ141" s="3"/>
      <c r="CBA141" s="3"/>
      <c r="CBB141" s="3"/>
      <c r="CBC141" s="3"/>
      <c r="CBD141" s="3"/>
      <c r="CBE141" s="3"/>
      <c r="CBF141" s="3"/>
      <c r="CBG141" s="3"/>
      <c r="CBH141" s="3"/>
      <c r="CBI141" s="3"/>
      <c r="CBJ141" s="3"/>
      <c r="CBK141" s="3"/>
      <c r="CBL141" s="3"/>
      <c r="CBM141" s="3"/>
      <c r="CBN141" s="3"/>
      <c r="CBO141" s="3"/>
      <c r="CBP141" s="3"/>
      <c r="CBQ141" s="3"/>
      <c r="CBR141" s="3"/>
      <c r="CBS141" s="3"/>
      <c r="CBT141" s="3"/>
      <c r="CBU141" s="3"/>
      <c r="CBV141" s="3"/>
      <c r="CBW141" s="3"/>
      <c r="CBX141" s="3"/>
      <c r="CBY141" s="3"/>
      <c r="CBZ141" s="3"/>
      <c r="CCA141" s="3"/>
      <c r="CCB141" s="3"/>
      <c r="CCC141" s="3"/>
      <c r="CCD141" s="3"/>
      <c r="CCE141" s="3"/>
      <c r="CCF141" s="3"/>
      <c r="CCG141" s="3"/>
      <c r="CCH141" s="3"/>
      <c r="CCI141" s="3"/>
      <c r="CCJ141" s="3"/>
      <c r="CCK141" s="3"/>
      <c r="CCL141" s="3"/>
      <c r="CCM141" s="3"/>
      <c r="CCN141" s="3"/>
      <c r="CCO141" s="3"/>
      <c r="CCP141" s="3"/>
      <c r="CCQ141" s="3"/>
      <c r="CCR141" s="3"/>
      <c r="CCS141" s="3"/>
      <c r="CCT141" s="3"/>
      <c r="CCU141" s="3"/>
      <c r="CCV141" s="3"/>
      <c r="CCW141" s="3"/>
      <c r="CCX141" s="3"/>
      <c r="CCY141" s="3"/>
      <c r="CCZ141" s="3"/>
      <c r="CDA141" s="3"/>
      <c r="CDB141" s="3"/>
      <c r="CDC141" s="3"/>
      <c r="CDD141" s="3"/>
      <c r="CDE141" s="3"/>
      <c r="CDF141" s="3"/>
      <c r="CDG141" s="3"/>
      <c r="CDH141" s="3"/>
      <c r="CDI141" s="3"/>
      <c r="CDJ141" s="3"/>
      <c r="CDK141" s="3"/>
      <c r="CDL141" s="3"/>
      <c r="CDM141" s="3"/>
      <c r="CDN141" s="3"/>
      <c r="CDO141" s="3"/>
      <c r="CDP141" s="3"/>
      <c r="CDQ141" s="3"/>
      <c r="CDR141" s="3"/>
      <c r="CDS141" s="3"/>
      <c r="CDT141" s="3"/>
      <c r="CDU141" s="3"/>
      <c r="CDV141" s="3"/>
      <c r="CDW141" s="3"/>
      <c r="CDX141" s="3"/>
      <c r="CDY141" s="3"/>
      <c r="CDZ141" s="3"/>
      <c r="CEA141" s="3"/>
      <c r="CEB141" s="3"/>
      <c r="CEC141" s="3"/>
      <c r="CED141" s="3"/>
      <c r="CEE141" s="3"/>
      <c r="CEF141" s="3"/>
      <c r="CEG141" s="3"/>
      <c r="CEH141" s="3"/>
      <c r="CEI141" s="3"/>
      <c r="CEJ141" s="3"/>
      <c r="CEK141" s="3"/>
      <c r="CEL141" s="3"/>
      <c r="CEM141" s="3"/>
      <c r="CEN141" s="3"/>
      <c r="CEO141" s="3"/>
      <c r="CEP141" s="3"/>
      <c r="CEQ141" s="3"/>
      <c r="CER141" s="3"/>
      <c r="CES141" s="3"/>
      <c r="CET141" s="3"/>
      <c r="CEU141" s="3"/>
      <c r="CEV141" s="3"/>
      <c r="CEW141" s="3"/>
      <c r="CEX141" s="3"/>
      <c r="CEY141" s="3"/>
      <c r="CEZ141" s="3"/>
      <c r="CFA141" s="3"/>
      <c r="CFB141" s="3"/>
      <c r="CFC141" s="3"/>
      <c r="CFD141" s="3"/>
      <c r="CFE141" s="3"/>
      <c r="CFF141" s="3"/>
      <c r="CFG141" s="3"/>
      <c r="CFH141" s="3"/>
      <c r="CFI141" s="3"/>
      <c r="CFJ141" s="3"/>
      <c r="CFK141" s="3"/>
      <c r="CFL141" s="3"/>
      <c r="CFM141" s="3"/>
      <c r="CFN141" s="3"/>
      <c r="CFO141" s="3"/>
      <c r="CFP141" s="3"/>
      <c r="CFQ141" s="3"/>
      <c r="CFR141" s="3"/>
      <c r="CFS141" s="3"/>
      <c r="CFT141" s="3"/>
      <c r="CFU141" s="3"/>
      <c r="CFV141" s="3"/>
      <c r="CFW141" s="3"/>
      <c r="CFX141" s="3"/>
      <c r="CFY141" s="3"/>
      <c r="CFZ141" s="3"/>
      <c r="CGA141" s="3"/>
      <c r="CGB141" s="3"/>
      <c r="CGC141" s="3"/>
      <c r="CGD141" s="3"/>
      <c r="CGE141" s="3"/>
      <c r="CGF141" s="3"/>
      <c r="CGG141" s="3"/>
      <c r="CGH141" s="3"/>
      <c r="CGI141" s="3"/>
      <c r="CGJ141" s="3"/>
      <c r="CGK141" s="3"/>
      <c r="CGL141" s="3"/>
      <c r="CGM141" s="3"/>
      <c r="CGN141" s="3"/>
      <c r="CGO141" s="3"/>
      <c r="CGP141" s="3"/>
      <c r="CGQ141" s="3"/>
      <c r="CGR141" s="3"/>
      <c r="CGS141" s="3"/>
      <c r="CGT141" s="3"/>
      <c r="CGU141" s="3"/>
      <c r="CGV141" s="3"/>
      <c r="CGW141" s="3"/>
      <c r="CGX141" s="3"/>
      <c r="CGY141" s="3"/>
      <c r="CGZ141" s="3"/>
      <c r="CHA141" s="3"/>
      <c r="CHB141" s="3"/>
      <c r="CHC141" s="3"/>
      <c r="CHD141" s="3"/>
      <c r="CHE141" s="3"/>
      <c r="CHF141" s="3"/>
      <c r="CHG141" s="3"/>
      <c r="CHH141" s="3"/>
      <c r="CHI141" s="3"/>
      <c r="CHJ141" s="3"/>
      <c r="CHK141" s="3"/>
      <c r="CHL141" s="3"/>
      <c r="CHM141" s="3"/>
      <c r="CHN141" s="3"/>
      <c r="CHO141" s="3"/>
      <c r="CHP141" s="3"/>
      <c r="CHQ141" s="3"/>
      <c r="CHR141" s="3"/>
      <c r="CHS141" s="3"/>
      <c r="CHT141" s="3"/>
      <c r="CHU141" s="3"/>
      <c r="CHV141" s="3"/>
      <c r="CHW141" s="3"/>
      <c r="CHX141" s="3"/>
      <c r="CHY141" s="3"/>
      <c r="CHZ141" s="3"/>
      <c r="CIA141" s="3"/>
      <c r="CIB141" s="3"/>
      <c r="CIC141" s="3"/>
      <c r="CID141" s="3"/>
      <c r="CIE141" s="3"/>
      <c r="CIF141" s="3"/>
      <c r="CIG141" s="3"/>
      <c r="CIH141" s="3"/>
      <c r="CII141" s="3"/>
      <c r="CIJ141" s="3"/>
      <c r="CIK141" s="3"/>
      <c r="CIL141" s="3"/>
      <c r="CIM141" s="3"/>
      <c r="CIN141" s="3"/>
      <c r="CIO141" s="3"/>
      <c r="CIP141" s="3"/>
      <c r="CIQ141" s="3"/>
      <c r="CIR141" s="3"/>
      <c r="CIS141" s="3"/>
      <c r="CIT141" s="3"/>
      <c r="CIU141" s="3"/>
      <c r="CIV141" s="3"/>
      <c r="CIW141" s="3"/>
      <c r="CIX141" s="3"/>
      <c r="CIY141" s="3"/>
      <c r="CIZ141" s="3"/>
      <c r="CJA141" s="3"/>
      <c r="CJB141" s="3"/>
      <c r="CJC141" s="3"/>
      <c r="CJD141" s="3"/>
      <c r="CJE141" s="3"/>
      <c r="CJF141" s="3"/>
      <c r="CJG141" s="3"/>
      <c r="CJH141" s="3"/>
      <c r="CJI141" s="3"/>
      <c r="CJJ141" s="3"/>
      <c r="CJK141" s="3"/>
      <c r="CJL141" s="3"/>
      <c r="CJM141" s="3"/>
      <c r="CJN141" s="3"/>
      <c r="CJO141" s="3"/>
      <c r="CJP141" s="3"/>
      <c r="CJQ141" s="3"/>
      <c r="CJR141" s="3"/>
      <c r="CJS141" s="3"/>
      <c r="CJT141" s="3"/>
      <c r="CJU141" s="3"/>
      <c r="CJV141" s="3"/>
      <c r="CJW141" s="3"/>
      <c r="CJX141" s="3"/>
      <c r="CJY141" s="3"/>
      <c r="CJZ141" s="3"/>
      <c r="CKA141" s="3"/>
      <c r="CKB141" s="3"/>
      <c r="CKC141" s="3"/>
      <c r="CKD141" s="3"/>
      <c r="CKE141" s="3"/>
      <c r="CKF141" s="3"/>
      <c r="CKG141" s="3"/>
      <c r="CKH141" s="3"/>
      <c r="CKI141" s="3"/>
      <c r="CKJ141" s="3"/>
      <c r="CKK141" s="3"/>
      <c r="CKL141" s="3"/>
      <c r="CKM141" s="3"/>
      <c r="CKN141" s="3"/>
      <c r="CKO141" s="3"/>
      <c r="CKP141" s="3"/>
      <c r="CKQ141" s="3"/>
      <c r="CKR141" s="3"/>
      <c r="CKS141" s="3"/>
      <c r="CKT141" s="3"/>
      <c r="CKU141" s="3"/>
      <c r="CKV141" s="3"/>
      <c r="CKW141" s="3"/>
      <c r="CKX141" s="3"/>
      <c r="CKY141" s="3"/>
      <c r="CKZ141" s="3"/>
      <c r="CLA141" s="3"/>
      <c r="CLB141" s="3"/>
      <c r="CLC141" s="3"/>
      <c r="CLD141" s="3"/>
      <c r="CLE141" s="3"/>
      <c r="CLF141" s="3"/>
      <c r="CLG141" s="3"/>
      <c r="CLH141" s="3"/>
      <c r="CLI141" s="3"/>
      <c r="CLJ141" s="3"/>
      <c r="CLK141" s="3"/>
      <c r="CLL141" s="3"/>
      <c r="CLM141" s="3"/>
      <c r="CLN141" s="3"/>
      <c r="CLO141" s="3"/>
      <c r="CLP141" s="3"/>
      <c r="CLQ141" s="3"/>
      <c r="CLR141" s="3"/>
      <c r="CLS141" s="3"/>
      <c r="CLT141" s="3"/>
      <c r="CLU141" s="3"/>
      <c r="CLV141" s="3"/>
      <c r="CLW141" s="3"/>
      <c r="CLX141" s="3"/>
      <c r="CLY141" s="3"/>
      <c r="CLZ141" s="3"/>
      <c r="CMA141" s="3"/>
      <c r="CMB141" s="3"/>
      <c r="CMC141" s="3"/>
      <c r="CMD141" s="3"/>
      <c r="CME141" s="3"/>
      <c r="CMF141" s="3"/>
      <c r="CMG141" s="3"/>
      <c r="CMH141" s="3"/>
      <c r="CMI141" s="3"/>
      <c r="CMJ141" s="3"/>
      <c r="CMK141" s="3"/>
      <c r="CML141" s="3"/>
      <c r="CMM141" s="3"/>
      <c r="CMN141" s="3"/>
      <c r="CMO141" s="3"/>
      <c r="CMP141" s="3"/>
      <c r="CMQ141" s="3"/>
      <c r="CMR141" s="3"/>
      <c r="CMS141" s="3"/>
      <c r="CMT141" s="3"/>
      <c r="CMU141" s="3"/>
      <c r="CMV141" s="3"/>
      <c r="CMW141" s="3"/>
      <c r="CMX141" s="3"/>
      <c r="CMY141" s="3"/>
      <c r="CMZ141" s="3"/>
      <c r="CNA141" s="3"/>
      <c r="CNB141" s="3"/>
      <c r="CNC141" s="3"/>
      <c r="CND141" s="3"/>
      <c r="CNE141" s="3"/>
      <c r="CNF141" s="3"/>
      <c r="CNG141" s="3"/>
      <c r="CNH141" s="3"/>
      <c r="CNI141" s="3"/>
      <c r="CNJ141" s="3"/>
      <c r="CNK141" s="3"/>
      <c r="CNL141" s="3"/>
      <c r="CNM141" s="3"/>
      <c r="CNN141" s="3"/>
      <c r="CNO141" s="3"/>
      <c r="CNP141" s="3"/>
      <c r="CNQ141" s="3"/>
      <c r="CNR141" s="3"/>
      <c r="CNS141" s="3"/>
      <c r="CNT141" s="3"/>
      <c r="CNU141" s="3"/>
      <c r="CNV141" s="3"/>
      <c r="CNW141" s="3"/>
      <c r="CNX141" s="3"/>
      <c r="CNY141" s="3"/>
      <c r="CNZ141" s="3"/>
      <c r="COA141" s="3"/>
      <c r="COB141" s="3"/>
      <c r="COC141" s="3"/>
      <c r="COD141" s="3"/>
      <c r="COE141" s="3"/>
      <c r="COF141" s="3"/>
      <c r="COG141" s="3"/>
      <c r="COH141" s="3"/>
      <c r="COI141" s="3"/>
      <c r="COJ141" s="3"/>
      <c r="COK141" s="3"/>
      <c r="COL141" s="3"/>
      <c r="COM141" s="3"/>
      <c r="CON141" s="3"/>
      <c r="COO141" s="3"/>
      <c r="COP141" s="3"/>
      <c r="COQ141" s="3"/>
      <c r="COR141" s="3"/>
      <c r="COS141" s="3"/>
      <c r="COT141" s="3"/>
      <c r="COU141" s="3"/>
      <c r="COV141" s="3"/>
      <c r="COW141" s="3"/>
      <c r="COX141" s="3"/>
      <c r="COY141" s="3"/>
      <c r="COZ141" s="3"/>
      <c r="CPA141" s="3"/>
      <c r="CPB141" s="3"/>
      <c r="CPC141" s="3"/>
      <c r="CPD141" s="3"/>
      <c r="CPE141" s="3"/>
      <c r="CPF141" s="3"/>
      <c r="CPG141" s="3"/>
      <c r="CPH141" s="3"/>
      <c r="CPI141" s="3"/>
      <c r="CPJ141" s="3"/>
      <c r="CPK141" s="3"/>
      <c r="CPL141" s="3"/>
      <c r="CPM141" s="3"/>
      <c r="CPN141" s="3"/>
      <c r="CPO141" s="3"/>
      <c r="CPP141" s="3"/>
      <c r="CPQ141" s="3"/>
      <c r="CPR141" s="3"/>
      <c r="CPS141" s="3"/>
      <c r="CPT141" s="3"/>
      <c r="CPU141" s="3"/>
      <c r="CPV141" s="3"/>
      <c r="CPW141" s="3"/>
      <c r="CPX141" s="3"/>
      <c r="CPY141" s="3"/>
      <c r="CPZ141" s="3"/>
      <c r="CQA141" s="3"/>
      <c r="CQB141" s="3"/>
      <c r="CQC141" s="3"/>
      <c r="CQD141" s="3"/>
      <c r="CQE141" s="3"/>
      <c r="CQF141" s="3"/>
      <c r="CQG141" s="3"/>
      <c r="CQH141" s="3"/>
      <c r="CQI141" s="3"/>
      <c r="CQJ141" s="3"/>
      <c r="CQK141" s="3"/>
      <c r="CQL141" s="3"/>
      <c r="CQM141" s="3"/>
      <c r="CQN141" s="3"/>
      <c r="CQO141" s="3"/>
      <c r="CQP141" s="3"/>
      <c r="CQQ141" s="3"/>
      <c r="CQR141" s="3"/>
      <c r="CQS141" s="3"/>
      <c r="CQT141" s="3"/>
      <c r="CQU141" s="3"/>
      <c r="CQV141" s="3"/>
      <c r="CQW141" s="3"/>
      <c r="CQX141" s="3"/>
      <c r="CQY141" s="3"/>
      <c r="CQZ141" s="3"/>
      <c r="CRA141" s="3"/>
      <c r="CRB141" s="3"/>
      <c r="CRC141" s="3"/>
      <c r="CRD141" s="3"/>
      <c r="CRE141" s="3"/>
      <c r="CRF141" s="3"/>
      <c r="CRG141" s="3"/>
      <c r="CRH141" s="3"/>
      <c r="CRI141" s="3"/>
      <c r="CRJ141" s="3"/>
      <c r="CRK141" s="3"/>
      <c r="CRL141" s="3"/>
      <c r="CRM141" s="3"/>
      <c r="CRN141" s="3"/>
      <c r="CRO141" s="3"/>
      <c r="CRP141" s="3"/>
      <c r="CRQ141" s="3"/>
      <c r="CRR141" s="3"/>
      <c r="CRS141" s="3"/>
      <c r="CRT141" s="3"/>
      <c r="CRU141" s="3"/>
      <c r="CRV141" s="3"/>
      <c r="CRW141" s="3"/>
      <c r="CRX141" s="3"/>
      <c r="CRY141" s="3"/>
      <c r="CRZ141" s="3"/>
      <c r="CSA141" s="3"/>
      <c r="CSB141" s="3"/>
      <c r="CSC141" s="3"/>
      <c r="CSD141" s="3"/>
      <c r="CSE141" s="3"/>
      <c r="CSF141" s="3"/>
      <c r="CSG141" s="3"/>
      <c r="CSH141" s="3"/>
      <c r="CSI141" s="3"/>
      <c r="CSJ141" s="3"/>
      <c r="CSK141" s="3"/>
      <c r="CSL141" s="3"/>
      <c r="CSM141" s="3"/>
      <c r="CSN141" s="3"/>
      <c r="CSO141" s="3"/>
      <c r="CSP141" s="3"/>
      <c r="CSQ141" s="3"/>
      <c r="CSR141" s="3"/>
      <c r="CSS141" s="3"/>
      <c r="CST141" s="3"/>
      <c r="CSU141" s="3"/>
      <c r="CSV141" s="3"/>
      <c r="CSW141" s="3"/>
      <c r="CSX141" s="3"/>
      <c r="CSY141" s="3"/>
      <c r="CSZ141" s="3"/>
      <c r="CTA141" s="3"/>
      <c r="CTB141" s="3"/>
      <c r="CTC141" s="3"/>
      <c r="CTD141" s="3"/>
      <c r="CTE141" s="3"/>
      <c r="CTF141" s="3"/>
      <c r="CTG141" s="3"/>
      <c r="CTH141" s="3"/>
      <c r="CTI141" s="3"/>
      <c r="CTJ141" s="3"/>
      <c r="CTK141" s="3"/>
      <c r="CTL141" s="3"/>
      <c r="CTM141" s="3"/>
      <c r="CTN141" s="3"/>
      <c r="CTO141" s="3"/>
      <c r="CTP141" s="3"/>
      <c r="CTQ141" s="3"/>
      <c r="CTR141" s="3"/>
      <c r="CTS141" s="3"/>
      <c r="CTT141" s="3"/>
      <c r="CTU141" s="3"/>
      <c r="CTV141" s="3"/>
      <c r="CTW141" s="3"/>
      <c r="CTX141" s="3"/>
      <c r="CTY141" s="3"/>
      <c r="CTZ141" s="3"/>
      <c r="CUA141" s="3"/>
      <c r="CUB141" s="3"/>
      <c r="CUC141" s="3"/>
      <c r="CUD141" s="3"/>
      <c r="CUE141" s="3"/>
      <c r="CUF141" s="3"/>
      <c r="CUG141" s="3"/>
      <c r="CUH141" s="3"/>
      <c r="CUI141" s="3"/>
      <c r="CUJ141" s="3"/>
      <c r="CUK141" s="3"/>
      <c r="CUL141" s="3"/>
      <c r="CUM141" s="3"/>
      <c r="CUN141" s="3"/>
      <c r="CUO141" s="3"/>
      <c r="CUP141" s="3"/>
      <c r="CUQ141" s="3"/>
      <c r="CUR141" s="3"/>
      <c r="CUS141" s="3"/>
      <c r="CUT141" s="3"/>
      <c r="CUU141" s="3"/>
      <c r="CUV141" s="3"/>
      <c r="CUW141" s="3"/>
      <c r="CUX141" s="3"/>
      <c r="CUY141" s="3"/>
      <c r="CUZ141" s="3"/>
      <c r="CVA141" s="3"/>
      <c r="CVB141" s="3"/>
      <c r="CVC141" s="3"/>
      <c r="CVD141" s="3"/>
      <c r="CVE141" s="3"/>
      <c r="CVF141" s="3"/>
      <c r="CVG141" s="3"/>
      <c r="CVH141" s="3"/>
      <c r="CVI141" s="3"/>
      <c r="CVJ141" s="3"/>
      <c r="CVK141" s="3"/>
      <c r="CVL141" s="3"/>
      <c r="CVM141" s="3"/>
      <c r="CVN141" s="3"/>
      <c r="CVO141" s="3"/>
      <c r="CVP141" s="3"/>
      <c r="CVQ141" s="3"/>
      <c r="CVR141" s="3"/>
      <c r="CVS141" s="3"/>
      <c r="CVT141" s="3"/>
      <c r="CVU141" s="3"/>
      <c r="CVV141" s="3"/>
      <c r="CVW141" s="3"/>
      <c r="CVX141" s="3"/>
      <c r="CVY141" s="3"/>
      <c r="CVZ141" s="3"/>
      <c r="CWA141" s="3"/>
      <c r="CWB141" s="3"/>
      <c r="CWC141" s="3"/>
      <c r="CWD141" s="3"/>
      <c r="CWE141" s="3"/>
      <c r="CWF141" s="3"/>
      <c r="CWG141" s="3"/>
      <c r="CWH141" s="3"/>
      <c r="CWI141" s="3"/>
      <c r="CWJ141" s="3"/>
      <c r="CWK141" s="3"/>
      <c r="CWL141" s="3"/>
      <c r="CWM141" s="3"/>
      <c r="CWN141" s="3"/>
      <c r="CWO141" s="3"/>
      <c r="CWP141" s="3"/>
      <c r="CWQ141" s="3"/>
      <c r="CWR141" s="3"/>
      <c r="CWS141" s="3"/>
      <c r="CWT141" s="3"/>
      <c r="CWU141" s="3"/>
      <c r="CWV141" s="3"/>
      <c r="CWW141" s="3"/>
      <c r="CWX141" s="3"/>
      <c r="CWY141" s="3"/>
      <c r="CWZ141" s="3"/>
      <c r="CXA141" s="3"/>
      <c r="CXB141" s="3"/>
      <c r="CXC141" s="3"/>
      <c r="CXD141" s="3"/>
      <c r="CXE141" s="3"/>
      <c r="CXF141" s="3"/>
      <c r="CXG141" s="3"/>
      <c r="CXH141" s="3"/>
      <c r="CXI141" s="3"/>
      <c r="CXJ141" s="3"/>
      <c r="CXK141" s="3"/>
      <c r="CXL141" s="3"/>
      <c r="CXM141" s="3"/>
      <c r="CXN141" s="3"/>
      <c r="CXO141" s="3"/>
      <c r="CXP141" s="3"/>
      <c r="CXQ141" s="3"/>
      <c r="CXR141" s="3"/>
      <c r="CXS141" s="3"/>
      <c r="CXT141" s="3"/>
      <c r="CXU141" s="3"/>
      <c r="CXV141" s="3"/>
      <c r="CXW141" s="3"/>
      <c r="CXX141" s="3"/>
      <c r="CXY141" s="3"/>
      <c r="CXZ141" s="3"/>
      <c r="CYA141" s="3"/>
      <c r="CYB141" s="3"/>
      <c r="CYC141" s="3"/>
      <c r="CYD141" s="3"/>
      <c r="CYE141" s="3"/>
      <c r="CYF141" s="3"/>
      <c r="CYG141" s="3"/>
      <c r="CYH141" s="3"/>
      <c r="CYI141" s="3"/>
      <c r="CYJ141" s="3"/>
      <c r="CYK141" s="3"/>
      <c r="CYL141" s="3"/>
      <c r="CYM141" s="3"/>
      <c r="CYN141" s="3"/>
      <c r="CYO141" s="3"/>
      <c r="CYP141" s="3"/>
      <c r="CYQ141" s="3"/>
      <c r="CYR141" s="3"/>
      <c r="CYS141" s="3"/>
      <c r="CYT141" s="3"/>
      <c r="CYU141" s="3"/>
      <c r="CYV141" s="3"/>
      <c r="CYW141" s="3"/>
      <c r="CYX141" s="3"/>
      <c r="CYY141" s="3"/>
      <c r="CYZ141" s="3"/>
      <c r="CZA141" s="3"/>
      <c r="CZB141" s="3"/>
      <c r="CZC141" s="3"/>
      <c r="CZD141" s="3"/>
      <c r="CZE141" s="3"/>
      <c r="CZF141" s="3"/>
      <c r="CZG141" s="3"/>
      <c r="CZH141" s="3"/>
      <c r="CZI141" s="3"/>
      <c r="CZJ141" s="3"/>
      <c r="CZK141" s="3"/>
      <c r="CZL141" s="3"/>
      <c r="CZM141" s="3"/>
      <c r="CZN141" s="3"/>
      <c r="CZO141" s="3"/>
      <c r="CZP141" s="3"/>
      <c r="CZQ141" s="3"/>
      <c r="CZR141" s="3"/>
      <c r="CZS141" s="3"/>
      <c r="CZT141" s="3"/>
      <c r="CZU141" s="3"/>
      <c r="CZV141" s="3"/>
      <c r="CZW141" s="3"/>
      <c r="CZX141" s="3"/>
      <c r="CZY141" s="3"/>
      <c r="CZZ141" s="3"/>
      <c r="DAA141" s="3"/>
      <c r="DAB141" s="3"/>
      <c r="DAC141" s="3"/>
      <c r="DAD141" s="3"/>
      <c r="DAE141" s="3"/>
      <c r="DAF141" s="3"/>
      <c r="DAG141" s="3"/>
      <c r="DAH141" s="3"/>
      <c r="DAI141" s="3"/>
      <c r="DAJ141" s="3"/>
      <c r="DAK141" s="3"/>
      <c r="DAL141" s="3"/>
      <c r="DAM141" s="3"/>
      <c r="DAN141" s="3"/>
      <c r="DAO141" s="3"/>
      <c r="DAP141" s="3"/>
      <c r="DAQ141" s="3"/>
      <c r="DAR141" s="3"/>
      <c r="DAS141" s="3"/>
      <c r="DAT141" s="3"/>
      <c r="DAU141" s="3"/>
      <c r="DAV141" s="3"/>
      <c r="DAW141" s="3"/>
      <c r="DAX141" s="3"/>
      <c r="DAY141" s="3"/>
      <c r="DAZ141" s="3"/>
      <c r="DBA141" s="3"/>
      <c r="DBB141" s="3"/>
      <c r="DBC141" s="3"/>
      <c r="DBD141" s="3"/>
      <c r="DBE141" s="3"/>
      <c r="DBF141" s="3"/>
      <c r="DBG141" s="3"/>
      <c r="DBH141" s="3"/>
      <c r="DBI141" s="3"/>
      <c r="DBJ141" s="3"/>
      <c r="DBK141" s="3"/>
      <c r="DBL141" s="3"/>
      <c r="DBM141" s="3"/>
      <c r="DBN141" s="3"/>
      <c r="DBO141" s="3"/>
      <c r="DBP141" s="3"/>
      <c r="DBQ141" s="3"/>
      <c r="DBR141" s="3"/>
      <c r="DBS141" s="3"/>
      <c r="DBT141" s="3"/>
      <c r="DBU141" s="3"/>
      <c r="DBV141" s="3"/>
      <c r="DBW141" s="3"/>
      <c r="DBX141" s="3"/>
      <c r="DBY141" s="3"/>
      <c r="DBZ141" s="3"/>
      <c r="DCA141" s="3"/>
      <c r="DCB141" s="3"/>
      <c r="DCC141" s="3"/>
      <c r="DCD141" s="3"/>
      <c r="DCE141" s="3"/>
      <c r="DCF141" s="3"/>
      <c r="DCG141" s="3"/>
      <c r="DCH141" s="3"/>
      <c r="DCI141" s="3"/>
      <c r="DCJ141" s="3"/>
      <c r="DCK141" s="3"/>
      <c r="DCL141" s="3"/>
      <c r="DCM141" s="3"/>
      <c r="DCN141" s="3"/>
      <c r="DCO141" s="3"/>
      <c r="DCP141" s="3"/>
      <c r="DCQ141" s="3"/>
      <c r="DCR141" s="3"/>
      <c r="DCS141" s="3"/>
      <c r="DCT141" s="3"/>
      <c r="DCU141" s="3"/>
      <c r="DCV141" s="3"/>
      <c r="DCW141" s="3"/>
      <c r="DCX141" s="3"/>
      <c r="DCY141" s="3"/>
      <c r="DCZ141" s="3"/>
      <c r="DDA141" s="3"/>
      <c r="DDB141" s="3"/>
      <c r="DDC141" s="3"/>
      <c r="DDD141" s="3"/>
      <c r="DDE141" s="3"/>
      <c r="DDF141" s="3"/>
      <c r="DDG141" s="3"/>
      <c r="DDH141" s="3"/>
      <c r="DDI141" s="3"/>
      <c r="DDJ141" s="3"/>
      <c r="DDK141" s="3"/>
      <c r="DDL141" s="3"/>
      <c r="DDM141" s="3"/>
      <c r="DDN141" s="3"/>
      <c r="DDO141" s="3"/>
      <c r="DDP141" s="3"/>
      <c r="DDQ141" s="3"/>
      <c r="DDR141" s="3"/>
      <c r="DDS141" s="3"/>
      <c r="DDT141" s="3"/>
      <c r="DDU141" s="3"/>
      <c r="DDV141" s="3"/>
      <c r="DDW141" s="3"/>
      <c r="DDX141" s="3"/>
      <c r="DDY141" s="3"/>
      <c r="DDZ141" s="3"/>
      <c r="DEA141" s="3"/>
      <c r="DEB141" s="3"/>
      <c r="DEC141" s="3"/>
      <c r="DED141" s="3"/>
      <c r="DEE141" s="3"/>
      <c r="DEF141" s="3"/>
      <c r="DEG141" s="3"/>
      <c r="DEH141" s="3"/>
      <c r="DEI141" s="3"/>
      <c r="DEJ141" s="3"/>
      <c r="DEK141" s="3"/>
      <c r="DEL141" s="3"/>
      <c r="DEM141" s="3"/>
      <c r="DEN141" s="3"/>
      <c r="DEO141" s="3"/>
      <c r="DEP141" s="3"/>
      <c r="DEQ141" s="3"/>
      <c r="DER141" s="3"/>
      <c r="DES141" s="3"/>
      <c r="DET141" s="3"/>
      <c r="DEU141" s="3"/>
      <c r="DEV141" s="3"/>
      <c r="DEW141" s="3"/>
      <c r="DEX141" s="3"/>
      <c r="DEY141" s="3"/>
      <c r="DEZ141" s="3"/>
      <c r="DFA141" s="3"/>
      <c r="DFB141" s="3"/>
      <c r="DFC141" s="3"/>
      <c r="DFD141" s="3"/>
      <c r="DFE141" s="3"/>
      <c r="DFF141" s="3"/>
      <c r="DFG141" s="3"/>
      <c r="DFH141" s="3"/>
      <c r="DFI141" s="3"/>
      <c r="DFJ141" s="3"/>
      <c r="DFK141" s="3"/>
      <c r="DFL141" s="3"/>
      <c r="DFM141" s="3"/>
      <c r="DFN141" s="3"/>
      <c r="DFO141" s="3"/>
      <c r="DFP141" s="3"/>
      <c r="DFQ141" s="3"/>
      <c r="DFR141" s="3"/>
      <c r="DFS141" s="3"/>
      <c r="DFT141" s="3"/>
      <c r="DFU141" s="3"/>
      <c r="DFV141" s="3"/>
      <c r="DFW141" s="3"/>
      <c r="DFX141" s="3"/>
      <c r="DFY141" s="3"/>
      <c r="DFZ141" s="3"/>
      <c r="DGA141" s="3"/>
      <c r="DGB141" s="3"/>
      <c r="DGC141" s="3"/>
      <c r="DGD141" s="3"/>
      <c r="DGE141" s="3"/>
      <c r="DGF141" s="3"/>
      <c r="DGG141" s="3"/>
      <c r="DGH141" s="3"/>
      <c r="DGI141" s="3"/>
      <c r="DGJ141" s="3"/>
      <c r="DGK141" s="3"/>
      <c r="DGL141" s="3"/>
      <c r="DGM141" s="3"/>
      <c r="DGN141" s="3"/>
      <c r="DGO141" s="3"/>
      <c r="DGP141" s="3"/>
      <c r="DGQ141" s="3"/>
      <c r="DGR141" s="3"/>
      <c r="DGS141" s="3"/>
      <c r="DGT141" s="3"/>
      <c r="DGU141" s="3"/>
      <c r="DGV141" s="3"/>
      <c r="DGW141" s="3"/>
      <c r="DGX141" s="3"/>
      <c r="DGY141" s="3"/>
      <c r="DGZ141" s="3"/>
      <c r="DHA141" s="3"/>
      <c r="DHB141" s="3"/>
      <c r="DHC141" s="3"/>
      <c r="DHD141" s="3"/>
      <c r="DHE141" s="3"/>
      <c r="DHF141" s="3"/>
      <c r="DHG141" s="3"/>
      <c r="DHH141" s="3"/>
      <c r="DHI141" s="3"/>
      <c r="DHJ141" s="3"/>
      <c r="DHK141" s="3"/>
      <c r="DHL141" s="3"/>
      <c r="DHM141" s="3"/>
      <c r="DHN141" s="3"/>
      <c r="DHO141" s="3"/>
      <c r="DHP141" s="3"/>
      <c r="DHQ141" s="3"/>
      <c r="DHR141" s="3"/>
      <c r="DHS141" s="3"/>
      <c r="DHT141" s="3"/>
      <c r="DHU141" s="3"/>
      <c r="DHV141" s="3"/>
      <c r="DHW141" s="3"/>
      <c r="DHX141" s="3"/>
      <c r="DHY141" s="3"/>
      <c r="DHZ141" s="3"/>
      <c r="DIA141" s="3"/>
      <c r="DIB141" s="3"/>
      <c r="DIC141" s="3"/>
      <c r="DID141" s="3"/>
      <c r="DIE141" s="3"/>
      <c r="DIF141" s="3"/>
      <c r="DIG141" s="3"/>
      <c r="DIH141" s="3"/>
      <c r="DII141" s="3"/>
      <c r="DIJ141" s="3"/>
      <c r="DIK141" s="3"/>
      <c r="DIL141" s="3"/>
      <c r="DIM141" s="3"/>
      <c r="DIN141" s="3"/>
      <c r="DIO141" s="3"/>
      <c r="DIP141" s="3"/>
      <c r="DIQ141" s="3"/>
      <c r="DIR141" s="3"/>
      <c r="DIS141" s="3"/>
      <c r="DIT141" s="3"/>
      <c r="DIU141" s="3"/>
      <c r="DIV141" s="3"/>
      <c r="DIW141" s="3"/>
      <c r="DIX141" s="3"/>
      <c r="DIY141" s="3"/>
      <c r="DIZ141" s="3"/>
      <c r="DJA141" s="3"/>
      <c r="DJB141" s="3"/>
      <c r="DJC141" s="3"/>
      <c r="DJD141" s="3"/>
      <c r="DJE141" s="3"/>
      <c r="DJF141" s="3"/>
      <c r="DJG141" s="3"/>
      <c r="DJH141" s="3"/>
      <c r="DJI141" s="3"/>
      <c r="DJJ141" s="3"/>
      <c r="DJK141" s="3"/>
      <c r="DJL141" s="3"/>
      <c r="DJM141" s="3"/>
      <c r="DJN141" s="3"/>
      <c r="DJO141" s="3"/>
      <c r="DJP141" s="3"/>
      <c r="DJQ141" s="3"/>
      <c r="DJR141" s="3"/>
      <c r="DJS141" s="3"/>
      <c r="DJT141" s="3"/>
      <c r="DJU141" s="3"/>
      <c r="DJV141" s="3"/>
      <c r="DJW141" s="3"/>
      <c r="DJX141" s="3"/>
      <c r="DJY141" s="3"/>
      <c r="DJZ141" s="3"/>
      <c r="DKA141" s="3"/>
      <c r="DKB141" s="3"/>
      <c r="DKC141" s="3"/>
      <c r="DKD141" s="3"/>
      <c r="DKE141" s="3"/>
      <c r="DKF141" s="3"/>
      <c r="DKG141" s="3"/>
      <c r="DKH141" s="3"/>
      <c r="DKI141" s="3"/>
      <c r="DKJ141" s="3"/>
      <c r="DKK141" s="3"/>
      <c r="DKL141" s="3"/>
      <c r="DKM141" s="3"/>
      <c r="DKN141" s="3"/>
      <c r="DKO141" s="3"/>
      <c r="DKP141" s="3"/>
      <c r="DKQ141" s="3"/>
      <c r="DKR141" s="3"/>
      <c r="DKS141" s="3"/>
      <c r="DKT141" s="3"/>
      <c r="DKU141" s="3"/>
      <c r="DKV141" s="3"/>
      <c r="DKW141" s="3"/>
      <c r="DKX141" s="3"/>
      <c r="DKY141" s="3"/>
      <c r="DKZ141" s="3"/>
      <c r="DLA141" s="3"/>
      <c r="DLB141" s="3"/>
      <c r="DLC141" s="3"/>
      <c r="DLD141" s="3"/>
      <c r="DLE141" s="3"/>
      <c r="DLF141" s="3"/>
      <c r="DLG141" s="3"/>
      <c r="DLH141" s="3"/>
      <c r="DLI141" s="3"/>
      <c r="DLJ141" s="3"/>
      <c r="DLK141" s="3"/>
      <c r="DLL141" s="3"/>
      <c r="DLM141" s="3"/>
      <c r="DLN141" s="3"/>
      <c r="DLO141" s="3"/>
      <c r="DLP141" s="3"/>
      <c r="DLQ141" s="3"/>
      <c r="DLR141" s="3"/>
      <c r="DLS141" s="3"/>
      <c r="DLT141" s="3"/>
      <c r="DLU141" s="3"/>
      <c r="DLV141" s="3"/>
      <c r="DLW141" s="3"/>
      <c r="DLX141" s="3"/>
      <c r="DLY141" s="3"/>
      <c r="DLZ141" s="3"/>
      <c r="DMA141" s="3"/>
      <c r="DMB141" s="3"/>
      <c r="DMC141" s="3"/>
      <c r="DMD141" s="3"/>
      <c r="DME141" s="3"/>
      <c r="DMF141" s="3"/>
      <c r="DMG141" s="3"/>
      <c r="DMH141" s="3"/>
      <c r="DMI141" s="3"/>
      <c r="DMJ141" s="3"/>
      <c r="DMK141" s="3"/>
      <c r="DML141" s="3"/>
      <c r="DMM141" s="3"/>
      <c r="DMN141" s="3"/>
      <c r="DMO141" s="3"/>
      <c r="DMP141" s="3"/>
      <c r="DMQ141" s="3"/>
      <c r="DMR141" s="3"/>
      <c r="DMS141" s="3"/>
      <c r="DMT141" s="3"/>
      <c r="DMU141" s="3"/>
      <c r="DMV141" s="3"/>
      <c r="DMW141" s="3"/>
      <c r="DMX141" s="3"/>
      <c r="DMY141" s="3"/>
      <c r="DMZ141" s="3"/>
      <c r="DNA141" s="3"/>
      <c r="DNB141" s="3"/>
      <c r="DNC141" s="3"/>
      <c r="DND141" s="3"/>
      <c r="DNE141" s="3"/>
      <c r="DNF141" s="3"/>
      <c r="DNG141" s="3"/>
      <c r="DNH141" s="3"/>
      <c r="DNI141" s="3"/>
      <c r="DNJ141" s="3"/>
      <c r="DNK141" s="3"/>
      <c r="DNL141" s="3"/>
      <c r="DNM141" s="3"/>
      <c r="DNN141" s="3"/>
      <c r="DNO141" s="3"/>
      <c r="DNP141" s="3"/>
      <c r="DNQ141" s="3"/>
      <c r="DNR141" s="3"/>
      <c r="DNS141" s="3"/>
      <c r="DNT141" s="3"/>
      <c r="DNU141" s="3"/>
      <c r="DNV141" s="3"/>
      <c r="DNW141" s="3"/>
      <c r="DNX141" s="3"/>
      <c r="DNY141" s="3"/>
      <c r="DNZ141" s="3"/>
      <c r="DOA141" s="3"/>
      <c r="DOB141" s="3"/>
      <c r="DOC141" s="3"/>
      <c r="DOD141" s="3"/>
      <c r="DOE141" s="3"/>
      <c r="DOF141" s="3"/>
      <c r="DOG141" s="3"/>
      <c r="DOH141" s="3"/>
      <c r="DOI141" s="3"/>
      <c r="DOJ141" s="3"/>
      <c r="DOK141" s="3"/>
      <c r="DOL141" s="3"/>
      <c r="DOM141" s="3"/>
      <c r="DON141" s="3"/>
      <c r="DOO141" s="3"/>
      <c r="DOP141" s="3"/>
      <c r="DOQ141" s="3"/>
      <c r="DOR141" s="3"/>
      <c r="DOS141" s="3"/>
      <c r="DOT141" s="3"/>
      <c r="DOU141" s="3"/>
      <c r="DOV141" s="3"/>
      <c r="DOW141" s="3"/>
      <c r="DOX141" s="3"/>
      <c r="DOY141" s="3"/>
      <c r="DOZ141" s="3"/>
      <c r="DPA141" s="3"/>
      <c r="DPB141" s="3"/>
      <c r="DPC141" s="3"/>
      <c r="DPD141" s="3"/>
      <c r="DPE141" s="3"/>
      <c r="DPF141" s="3"/>
      <c r="DPG141" s="3"/>
      <c r="DPH141" s="3"/>
      <c r="DPI141" s="3"/>
      <c r="DPJ141" s="3"/>
      <c r="DPK141" s="3"/>
      <c r="DPL141" s="3"/>
      <c r="DPM141" s="3"/>
      <c r="DPN141" s="3"/>
      <c r="DPO141" s="3"/>
      <c r="DPP141" s="3"/>
      <c r="DPQ141" s="3"/>
      <c r="DPR141" s="3"/>
      <c r="DPS141" s="3"/>
      <c r="DPT141" s="3"/>
      <c r="DPU141" s="3"/>
      <c r="DPV141" s="3"/>
      <c r="DPW141" s="3"/>
      <c r="DPX141" s="3"/>
      <c r="DPY141" s="3"/>
      <c r="DPZ141" s="3"/>
      <c r="DQA141" s="3"/>
      <c r="DQB141" s="3"/>
      <c r="DQC141" s="3"/>
      <c r="DQD141" s="3"/>
      <c r="DQE141" s="3"/>
      <c r="DQF141" s="3"/>
      <c r="DQG141" s="3"/>
      <c r="DQH141" s="3"/>
      <c r="DQI141" s="3"/>
      <c r="DQJ141" s="3"/>
      <c r="DQK141" s="3"/>
      <c r="DQL141" s="3"/>
      <c r="DQM141" s="3"/>
      <c r="DQN141" s="3"/>
      <c r="DQO141" s="3"/>
      <c r="DQP141" s="3"/>
      <c r="DQQ141" s="3"/>
      <c r="DQR141" s="3"/>
      <c r="DQS141" s="3"/>
      <c r="DQT141" s="3"/>
      <c r="DQU141" s="3"/>
      <c r="DQV141" s="3"/>
      <c r="DQW141" s="3"/>
      <c r="DQX141" s="3"/>
      <c r="DQY141" s="3"/>
      <c r="DQZ141" s="3"/>
      <c r="DRA141" s="3"/>
      <c r="DRB141" s="3"/>
      <c r="DRC141" s="3"/>
      <c r="DRD141" s="3"/>
      <c r="DRE141" s="3"/>
      <c r="DRF141" s="3"/>
      <c r="DRG141" s="3"/>
      <c r="DRH141" s="3"/>
      <c r="DRI141" s="3"/>
      <c r="DRJ141" s="3"/>
      <c r="DRK141" s="3"/>
      <c r="DRL141" s="3"/>
      <c r="DRM141" s="3"/>
      <c r="DRN141" s="3"/>
      <c r="DRO141" s="3"/>
      <c r="DRP141" s="3"/>
      <c r="DRQ141" s="3"/>
      <c r="DRR141" s="3"/>
      <c r="DRS141" s="3"/>
      <c r="DRT141" s="3"/>
      <c r="DRU141" s="3"/>
      <c r="DRV141" s="3"/>
      <c r="DRW141" s="3"/>
      <c r="DRX141" s="3"/>
      <c r="DRY141" s="3"/>
      <c r="DRZ141" s="3"/>
      <c r="DSA141" s="3"/>
      <c r="DSB141" s="3"/>
      <c r="DSC141" s="3"/>
      <c r="DSD141" s="3"/>
      <c r="DSE141" s="3"/>
      <c r="DSF141" s="3"/>
      <c r="DSG141" s="3"/>
      <c r="DSH141" s="3"/>
      <c r="DSI141" s="3"/>
      <c r="DSJ141" s="3"/>
      <c r="DSK141" s="3"/>
      <c r="DSL141" s="3"/>
      <c r="DSM141" s="3"/>
      <c r="DSN141" s="3"/>
      <c r="DSO141" s="3"/>
      <c r="DSP141" s="3"/>
      <c r="DSQ141" s="3"/>
      <c r="DSR141" s="3"/>
      <c r="DSS141" s="3"/>
      <c r="DST141" s="3"/>
      <c r="DSU141" s="3"/>
      <c r="DSV141" s="3"/>
      <c r="DSW141" s="3"/>
      <c r="DSX141" s="3"/>
      <c r="DSY141" s="3"/>
      <c r="DSZ141" s="3"/>
      <c r="DTA141" s="3"/>
      <c r="DTB141" s="3"/>
      <c r="DTC141" s="3"/>
      <c r="DTD141" s="3"/>
      <c r="DTE141" s="3"/>
      <c r="DTF141" s="3"/>
      <c r="DTG141" s="3"/>
      <c r="DTH141" s="3"/>
      <c r="DTI141" s="3"/>
      <c r="DTJ141" s="3"/>
      <c r="DTK141" s="3"/>
      <c r="DTL141" s="3"/>
      <c r="DTM141" s="3"/>
      <c r="DTN141" s="3"/>
      <c r="DTO141" s="3"/>
      <c r="DTP141" s="3"/>
      <c r="DTQ141" s="3"/>
      <c r="DTR141" s="3"/>
      <c r="DTS141" s="3"/>
      <c r="DTT141" s="3"/>
      <c r="DTU141" s="3"/>
      <c r="DTV141" s="3"/>
      <c r="DTW141" s="3"/>
      <c r="DTX141" s="3"/>
      <c r="DTY141" s="3"/>
      <c r="DTZ141" s="3"/>
      <c r="DUA141" s="3"/>
      <c r="DUB141" s="3"/>
      <c r="DUC141" s="3"/>
      <c r="DUD141" s="3"/>
      <c r="DUE141" s="3"/>
      <c r="DUF141" s="3"/>
      <c r="DUG141" s="3"/>
      <c r="DUH141" s="3"/>
      <c r="DUI141" s="3"/>
      <c r="DUJ141" s="3"/>
      <c r="DUK141" s="3"/>
      <c r="DUL141" s="3"/>
      <c r="DUM141" s="3"/>
      <c r="DUN141" s="3"/>
      <c r="DUO141" s="3"/>
      <c r="DUP141" s="3"/>
      <c r="DUQ141" s="3"/>
      <c r="DUR141" s="3"/>
      <c r="DUS141" s="3"/>
      <c r="DUT141" s="3"/>
      <c r="DUU141" s="3"/>
      <c r="DUV141" s="3"/>
      <c r="DUW141" s="3"/>
      <c r="DUX141" s="3"/>
      <c r="DUY141" s="3"/>
      <c r="DUZ141" s="3"/>
      <c r="DVA141" s="3"/>
      <c r="DVB141" s="3"/>
      <c r="DVC141" s="3"/>
      <c r="DVD141" s="3"/>
      <c r="DVE141" s="3"/>
      <c r="DVF141" s="3"/>
      <c r="DVG141" s="3"/>
      <c r="DVH141" s="3"/>
      <c r="DVI141" s="3"/>
      <c r="DVJ141" s="3"/>
      <c r="DVK141" s="3"/>
      <c r="DVL141" s="3"/>
      <c r="DVM141" s="3"/>
      <c r="DVN141" s="3"/>
      <c r="DVO141" s="3"/>
      <c r="DVP141" s="3"/>
      <c r="DVQ141" s="3"/>
      <c r="DVR141" s="3"/>
      <c r="DVS141" s="3"/>
      <c r="DVT141" s="3"/>
      <c r="DVU141" s="3"/>
      <c r="DVV141" s="3"/>
      <c r="DVW141" s="3"/>
      <c r="DVX141" s="3"/>
      <c r="DVY141" s="3"/>
      <c r="DVZ141" s="3"/>
      <c r="DWA141" s="3"/>
      <c r="DWB141" s="3"/>
      <c r="DWC141" s="3"/>
      <c r="DWD141" s="3"/>
      <c r="DWE141" s="3"/>
      <c r="DWF141" s="3"/>
      <c r="DWG141" s="3"/>
      <c r="DWH141" s="3"/>
      <c r="DWI141" s="3"/>
      <c r="DWJ141" s="3"/>
      <c r="DWK141" s="3"/>
      <c r="DWL141" s="3"/>
      <c r="DWM141" s="3"/>
      <c r="DWN141" s="3"/>
      <c r="DWO141" s="3"/>
      <c r="DWP141" s="3"/>
      <c r="DWQ141" s="3"/>
      <c r="DWR141" s="3"/>
      <c r="DWS141" s="3"/>
      <c r="DWT141" s="3"/>
      <c r="DWU141" s="3"/>
      <c r="DWV141" s="3"/>
      <c r="DWW141" s="3"/>
      <c r="DWX141" s="3"/>
      <c r="DWY141" s="3"/>
      <c r="DWZ141" s="3"/>
      <c r="DXA141" s="3"/>
      <c r="DXB141" s="3"/>
      <c r="DXC141" s="3"/>
      <c r="DXD141" s="3"/>
      <c r="DXE141" s="3"/>
      <c r="DXF141" s="3"/>
      <c r="DXG141" s="3"/>
      <c r="DXH141" s="3"/>
      <c r="DXI141" s="3"/>
      <c r="DXJ141" s="3"/>
      <c r="DXK141" s="3"/>
      <c r="DXL141" s="3"/>
      <c r="DXM141" s="3"/>
      <c r="DXN141" s="3"/>
      <c r="DXO141" s="3"/>
      <c r="DXP141" s="3"/>
      <c r="DXQ141" s="3"/>
      <c r="DXR141" s="3"/>
      <c r="DXS141" s="3"/>
      <c r="DXT141" s="3"/>
      <c r="DXU141" s="3"/>
      <c r="DXV141" s="3"/>
      <c r="DXW141" s="3"/>
      <c r="DXX141" s="3"/>
      <c r="DXY141" s="3"/>
      <c r="DXZ141" s="3"/>
      <c r="DYA141" s="3"/>
      <c r="DYB141" s="3"/>
      <c r="DYC141" s="3"/>
      <c r="DYD141" s="3"/>
      <c r="DYE141" s="3"/>
      <c r="DYF141" s="3"/>
      <c r="DYG141" s="3"/>
      <c r="DYH141" s="3"/>
      <c r="DYI141" s="3"/>
      <c r="DYJ141" s="3"/>
      <c r="DYK141" s="3"/>
      <c r="DYL141" s="3"/>
      <c r="DYM141" s="3"/>
      <c r="DYN141" s="3"/>
      <c r="DYO141" s="3"/>
      <c r="DYP141" s="3"/>
      <c r="DYQ141" s="3"/>
      <c r="DYR141" s="3"/>
      <c r="DYS141" s="3"/>
      <c r="DYT141" s="3"/>
      <c r="DYU141" s="3"/>
      <c r="DYV141" s="3"/>
      <c r="DYW141" s="3"/>
      <c r="DYX141" s="3"/>
      <c r="DYY141" s="3"/>
      <c r="DYZ141" s="3"/>
      <c r="DZA141" s="3"/>
      <c r="DZB141" s="3"/>
      <c r="DZC141" s="3"/>
      <c r="DZD141" s="3"/>
      <c r="DZE141" s="3"/>
      <c r="DZF141" s="3"/>
      <c r="DZG141" s="3"/>
      <c r="DZH141" s="3"/>
      <c r="DZI141" s="3"/>
      <c r="DZJ141" s="3"/>
      <c r="DZK141" s="3"/>
      <c r="DZL141" s="3"/>
      <c r="DZM141" s="3"/>
      <c r="DZN141" s="3"/>
      <c r="DZO141" s="3"/>
      <c r="DZP141" s="3"/>
      <c r="DZQ141" s="3"/>
      <c r="DZR141" s="3"/>
      <c r="DZS141" s="3"/>
      <c r="DZT141" s="3"/>
      <c r="DZU141" s="3"/>
      <c r="DZV141" s="3"/>
      <c r="DZW141" s="3"/>
      <c r="DZX141" s="3"/>
      <c r="DZY141" s="3"/>
      <c r="DZZ141" s="3"/>
      <c r="EAA141" s="3"/>
      <c r="EAB141" s="3"/>
      <c r="EAC141" s="3"/>
      <c r="EAD141" s="3"/>
      <c r="EAE141" s="3"/>
      <c r="EAF141" s="3"/>
      <c r="EAG141" s="3"/>
      <c r="EAH141" s="3"/>
      <c r="EAI141" s="3"/>
      <c r="EAJ141" s="3"/>
      <c r="EAK141" s="3"/>
      <c r="EAL141" s="3"/>
      <c r="EAM141" s="3"/>
      <c r="EAN141" s="3"/>
      <c r="EAO141" s="3"/>
      <c r="EAP141" s="3"/>
      <c r="EAQ141" s="3"/>
      <c r="EAR141" s="3"/>
      <c r="EAS141" s="3"/>
      <c r="EAT141" s="3"/>
      <c r="EAU141" s="3"/>
      <c r="EAV141" s="3"/>
      <c r="EAW141" s="3"/>
      <c r="EAX141" s="3"/>
      <c r="EAY141" s="3"/>
      <c r="EAZ141" s="3"/>
      <c r="EBA141" s="3"/>
      <c r="EBB141" s="3"/>
      <c r="EBC141" s="3"/>
      <c r="EBD141" s="3"/>
      <c r="EBE141" s="3"/>
      <c r="EBF141" s="3"/>
      <c r="EBG141" s="3"/>
      <c r="EBH141" s="3"/>
      <c r="EBI141" s="3"/>
      <c r="EBJ141" s="3"/>
      <c r="EBK141" s="3"/>
      <c r="EBL141" s="3"/>
      <c r="EBM141" s="3"/>
      <c r="EBN141" s="3"/>
      <c r="EBO141" s="3"/>
      <c r="EBP141" s="3"/>
      <c r="EBQ141" s="3"/>
      <c r="EBR141" s="3"/>
      <c r="EBS141" s="3"/>
      <c r="EBT141" s="3"/>
      <c r="EBU141" s="3"/>
      <c r="EBV141" s="3"/>
      <c r="EBW141" s="3"/>
      <c r="EBX141" s="3"/>
      <c r="EBY141" s="3"/>
      <c r="EBZ141" s="3"/>
      <c r="ECA141" s="3"/>
      <c r="ECB141" s="3"/>
      <c r="ECC141" s="3"/>
      <c r="ECD141" s="3"/>
      <c r="ECE141" s="3"/>
      <c r="ECF141" s="3"/>
      <c r="ECG141" s="3"/>
      <c r="ECH141" s="3"/>
      <c r="ECI141" s="3"/>
      <c r="ECJ141" s="3"/>
      <c r="ECK141" s="3"/>
      <c r="ECL141" s="3"/>
      <c r="ECM141" s="3"/>
      <c r="ECN141" s="3"/>
      <c r="ECO141" s="3"/>
      <c r="ECP141" s="3"/>
      <c r="ECQ141" s="3"/>
      <c r="ECR141" s="3"/>
      <c r="ECS141" s="3"/>
      <c r="ECT141" s="3"/>
      <c r="ECU141" s="3"/>
      <c r="ECV141" s="3"/>
      <c r="ECW141" s="3"/>
      <c r="ECX141" s="3"/>
      <c r="ECY141" s="3"/>
      <c r="ECZ141" s="3"/>
      <c r="EDA141" s="3"/>
      <c r="EDB141" s="3"/>
      <c r="EDC141" s="3"/>
      <c r="EDD141" s="3"/>
      <c r="EDE141" s="3"/>
      <c r="EDF141" s="3"/>
      <c r="EDG141" s="3"/>
      <c r="EDH141" s="3"/>
      <c r="EDI141" s="3"/>
      <c r="EDJ141" s="3"/>
      <c r="EDK141" s="3"/>
      <c r="EDL141" s="3"/>
      <c r="EDM141" s="3"/>
      <c r="EDN141" s="3"/>
      <c r="EDO141" s="3"/>
      <c r="EDP141" s="3"/>
      <c r="EDQ141" s="3"/>
      <c r="EDR141" s="3"/>
      <c r="EDS141" s="3"/>
      <c r="EDT141" s="3"/>
      <c r="EDU141" s="3"/>
      <c r="EDV141" s="3"/>
      <c r="EDW141" s="3"/>
      <c r="EDX141" s="3"/>
      <c r="EDY141" s="3"/>
      <c r="EDZ141" s="3"/>
      <c r="EEA141" s="3"/>
      <c r="EEB141" s="3"/>
      <c r="EEC141" s="3"/>
      <c r="EED141" s="3"/>
      <c r="EEE141" s="3"/>
      <c r="EEF141" s="3"/>
      <c r="EEG141" s="3"/>
      <c r="EEH141" s="3"/>
      <c r="EEI141" s="3"/>
      <c r="EEJ141" s="3"/>
      <c r="EEK141" s="3"/>
      <c r="EEL141" s="3"/>
      <c r="EEM141" s="3"/>
      <c r="EEN141" s="3"/>
      <c r="EEO141" s="3"/>
      <c r="EEP141" s="3"/>
      <c r="EEQ141" s="3"/>
      <c r="EER141" s="3"/>
      <c r="EES141" s="3"/>
      <c r="EET141" s="3"/>
      <c r="EEU141" s="3"/>
      <c r="EEV141" s="3"/>
      <c r="EEW141" s="3"/>
      <c r="EEX141" s="3"/>
      <c r="EEY141" s="3"/>
      <c r="EEZ141" s="3"/>
      <c r="EFA141" s="3"/>
      <c r="EFB141" s="3"/>
      <c r="EFC141" s="3"/>
      <c r="EFD141" s="3"/>
      <c r="EFE141" s="3"/>
      <c r="EFF141" s="3"/>
      <c r="EFG141" s="3"/>
      <c r="EFH141" s="3"/>
      <c r="EFI141" s="3"/>
      <c r="EFJ141" s="3"/>
      <c r="EFK141" s="3"/>
      <c r="EFL141" s="3"/>
      <c r="EFM141" s="3"/>
      <c r="EFN141" s="3"/>
      <c r="EFO141" s="3"/>
      <c r="EFP141" s="3"/>
      <c r="EFQ141" s="3"/>
      <c r="EFR141" s="3"/>
      <c r="EFS141" s="3"/>
      <c r="EFT141" s="3"/>
      <c r="EFU141" s="3"/>
      <c r="EFV141" s="3"/>
      <c r="EFW141" s="3"/>
      <c r="EFX141" s="3"/>
      <c r="EFY141" s="3"/>
      <c r="EFZ141" s="3"/>
      <c r="EGA141" s="3"/>
      <c r="EGB141" s="3"/>
      <c r="EGC141" s="3"/>
      <c r="EGD141" s="3"/>
      <c r="EGE141" s="3"/>
      <c r="EGF141" s="3"/>
      <c r="EGG141" s="3"/>
      <c r="EGH141" s="3"/>
      <c r="EGI141" s="3"/>
      <c r="EGJ141" s="3"/>
      <c r="EGK141" s="3"/>
      <c r="EGL141" s="3"/>
      <c r="EGM141" s="3"/>
      <c r="EGN141" s="3"/>
      <c r="EGO141" s="3"/>
      <c r="EGP141" s="3"/>
      <c r="EGQ141" s="3"/>
      <c r="EGR141" s="3"/>
      <c r="EGS141" s="3"/>
      <c r="EGT141" s="3"/>
      <c r="EGU141" s="3"/>
      <c r="EGV141" s="3"/>
      <c r="EGW141" s="3"/>
      <c r="EGX141" s="3"/>
      <c r="EGY141" s="3"/>
      <c r="EGZ141" s="3"/>
      <c r="EHA141" s="3"/>
      <c r="EHB141" s="3"/>
      <c r="EHC141" s="3"/>
      <c r="EHD141" s="3"/>
      <c r="EHE141" s="3"/>
      <c r="EHF141" s="3"/>
      <c r="EHG141" s="3"/>
      <c r="EHH141" s="3"/>
      <c r="EHI141" s="3"/>
      <c r="EHJ141" s="3"/>
      <c r="EHK141" s="3"/>
      <c r="EHL141" s="3"/>
      <c r="EHM141" s="3"/>
      <c r="EHN141" s="3"/>
      <c r="EHO141" s="3"/>
      <c r="EHP141" s="3"/>
      <c r="EHQ141" s="3"/>
      <c r="EHR141" s="3"/>
      <c r="EHS141" s="3"/>
      <c r="EHT141" s="3"/>
      <c r="EHU141" s="3"/>
      <c r="EHV141" s="3"/>
      <c r="EHW141" s="3"/>
      <c r="EHX141" s="3"/>
      <c r="EHY141" s="3"/>
      <c r="EHZ141" s="3"/>
      <c r="EIA141" s="3"/>
      <c r="EIB141" s="3"/>
      <c r="EIC141" s="3"/>
      <c r="EID141" s="3"/>
      <c r="EIE141" s="3"/>
      <c r="EIF141" s="3"/>
      <c r="EIG141" s="3"/>
      <c r="EIH141" s="3"/>
      <c r="EII141" s="3"/>
      <c r="EIJ141" s="3"/>
      <c r="EIK141" s="3"/>
      <c r="EIL141" s="3"/>
      <c r="EIM141" s="3"/>
      <c r="EIN141" s="3"/>
      <c r="EIO141" s="3"/>
      <c r="EIP141" s="3"/>
      <c r="EIQ141" s="3"/>
      <c r="EIR141" s="3"/>
      <c r="EIS141" s="3"/>
      <c r="EIT141" s="3"/>
      <c r="EIU141" s="3"/>
      <c r="EIV141" s="3"/>
      <c r="EIW141" s="3"/>
      <c r="EIX141" s="3"/>
      <c r="EIY141" s="3"/>
      <c r="EIZ141" s="3"/>
      <c r="EJA141" s="3"/>
      <c r="EJB141" s="3"/>
      <c r="EJC141" s="3"/>
      <c r="EJD141" s="3"/>
      <c r="EJE141" s="3"/>
      <c r="EJF141" s="3"/>
      <c r="EJG141" s="3"/>
      <c r="EJH141" s="3"/>
      <c r="EJI141" s="3"/>
      <c r="EJJ141" s="3"/>
      <c r="EJK141" s="3"/>
      <c r="EJL141" s="3"/>
      <c r="EJM141" s="3"/>
      <c r="EJN141" s="3"/>
      <c r="EJO141" s="3"/>
      <c r="EJP141" s="3"/>
      <c r="EJQ141" s="3"/>
      <c r="EJR141" s="3"/>
      <c r="EJS141" s="3"/>
      <c r="EJT141" s="3"/>
      <c r="EJU141" s="3"/>
      <c r="EJV141" s="3"/>
      <c r="EJW141" s="3"/>
      <c r="EJX141" s="3"/>
      <c r="EJY141" s="3"/>
      <c r="EJZ141" s="3"/>
      <c r="EKA141" s="3"/>
      <c r="EKB141" s="3"/>
      <c r="EKC141" s="3"/>
      <c r="EKD141" s="3"/>
      <c r="EKE141" s="3"/>
      <c r="EKF141" s="3"/>
      <c r="EKG141" s="3"/>
      <c r="EKH141" s="3"/>
      <c r="EKI141" s="3"/>
      <c r="EKJ141" s="3"/>
      <c r="EKK141" s="3"/>
      <c r="EKL141" s="3"/>
      <c r="EKM141" s="3"/>
      <c r="EKN141" s="3"/>
      <c r="EKO141" s="3"/>
      <c r="EKP141" s="3"/>
      <c r="EKQ141" s="3"/>
      <c r="EKR141" s="3"/>
      <c r="EKS141" s="3"/>
      <c r="EKT141" s="3"/>
      <c r="EKU141" s="3"/>
      <c r="EKV141" s="3"/>
      <c r="EKW141" s="3"/>
      <c r="EKX141" s="3"/>
      <c r="EKY141" s="3"/>
      <c r="EKZ141" s="3"/>
      <c r="ELA141" s="3"/>
      <c r="ELB141" s="3"/>
      <c r="ELC141" s="3"/>
      <c r="ELD141" s="3"/>
      <c r="ELE141" s="3"/>
      <c r="ELF141" s="3"/>
      <c r="ELG141" s="3"/>
      <c r="ELH141" s="3"/>
      <c r="ELI141" s="3"/>
      <c r="ELJ141" s="3"/>
      <c r="ELK141" s="3"/>
      <c r="ELL141" s="3"/>
      <c r="ELM141" s="3"/>
      <c r="ELN141" s="3"/>
      <c r="ELO141" s="3"/>
      <c r="ELP141" s="3"/>
      <c r="ELQ141" s="3"/>
      <c r="ELR141" s="3"/>
      <c r="ELS141" s="3"/>
      <c r="ELT141" s="3"/>
      <c r="ELU141" s="3"/>
      <c r="ELV141" s="3"/>
      <c r="ELW141" s="3"/>
      <c r="ELX141" s="3"/>
      <c r="ELY141" s="3"/>
      <c r="ELZ141" s="3"/>
      <c r="EMA141" s="3"/>
      <c r="EMB141" s="3"/>
      <c r="EMC141" s="3"/>
      <c r="EMD141" s="3"/>
      <c r="EME141" s="3"/>
      <c r="EMF141" s="3"/>
      <c r="EMG141" s="3"/>
      <c r="EMH141" s="3"/>
      <c r="EMI141" s="3"/>
      <c r="EMJ141" s="3"/>
      <c r="EMK141" s="3"/>
      <c r="EML141" s="3"/>
      <c r="EMM141" s="3"/>
      <c r="EMN141" s="3"/>
      <c r="EMO141" s="3"/>
      <c r="EMP141" s="3"/>
      <c r="EMQ141" s="3"/>
      <c r="EMR141" s="3"/>
      <c r="EMS141" s="3"/>
      <c r="EMT141" s="3"/>
      <c r="EMU141" s="3"/>
      <c r="EMV141" s="3"/>
      <c r="EMW141" s="3"/>
      <c r="EMX141" s="3"/>
      <c r="EMY141" s="3"/>
      <c r="EMZ141" s="3"/>
      <c r="ENA141" s="3"/>
      <c r="ENB141" s="3"/>
      <c r="ENC141" s="3"/>
      <c r="END141" s="3"/>
      <c r="ENE141" s="3"/>
      <c r="ENF141" s="3"/>
      <c r="ENG141" s="3"/>
      <c r="ENH141" s="3"/>
      <c r="ENI141" s="3"/>
      <c r="ENJ141" s="3"/>
      <c r="ENK141" s="3"/>
      <c r="ENL141" s="3"/>
      <c r="ENM141" s="3"/>
      <c r="ENN141" s="3"/>
      <c r="ENO141" s="3"/>
      <c r="ENP141" s="3"/>
      <c r="ENQ141" s="3"/>
      <c r="ENR141" s="3"/>
      <c r="ENS141" s="3"/>
      <c r="ENT141" s="3"/>
      <c r="ENU141" s="3"/>
      <c r="ENV141" s="3"/>
      <c r="ENW141" s="3"/>
      <c r="ENX141" s="3"/>
      <c r="ENY141" s="3"/>
      <c r="ENZ141" s="3"/>
      <c r="EOA141" s="3"/>
      <c r="EOB141" s="3"/>
      <c r="EOC141" s="3"/>
      <c r="EOD141" s="3"/>
      <c r="EOE141" s="3"/>
      <c r="EOF141" s="3"/>
      <c r="EOG141" s="3"/>
      <c r="EOH141" s="3"/>
      <c r="EOI141" s="3"/>
      <c r="EOJ141" s="3"/>
      <c r="EOK141" s="3"/>
      <c r="EOL141" s="3"/>
      <c r="EOM141" s="3"/>
      <c r="EON141" s="3"/>
      <c r="EOO141" s="3"/>
      <c r="EOP141" s="3"/>
      <c r="EOQ141" s="3"/>
      <c r="EOR141" s="3"/>
      <c r="EOS141" s="3"/>
      <c r="EOT141" s="3"/>
      <c r="EOU141" s="3"/>
      <c r="EOV141" s="3"/>
      <c r="EOW141" s="3"/>
      <c r="EOX141" s="3"/>
      <c r="EOY141" s="3"/>
      <c r="EOZ141" s="3"/>
      <c r="EPA141" s="3"/>
      <c r="EPB141" s="3"/>
      <c r="EPC141" s="3"/>
      <c r="EPD141" s="3"/>
      <c r="EPE141" s="3"/>
      <c r="EPF141" s="3"/>
      <c r="EPG141" s="3"/>
      <c r="EPH141" s="3"/>
      <c r="EPI141" s="3"/>
      <c r="EPJ141" s="3"/>
      <c r="EPK141" s="3"/>
      <c r="EPL141" s="3"/>
      <c r="EPM141" s="3"/>
      <c r="EPN141" s="3"/>
      <c r="EPO141" s="3"/>
      <c r="EPP141" s="3"/>
      <c r="EPQ141" s="3"/>
      <c r="EPR141" s="3"/>
      <c r="EPS141" s="3"/>
      <c r="EPT141" s="3"/>
      <c r="EPU141" s="3"/>
      <c r="EPV141" s="3"/>
      <c r="EPW141" s="3"/>
      <c r="EPX141" s="3"/>
      <c r="EPY141" s="3"/>
      <c r="EPZ141" s="3"/>
      <c r="EQA141" s="3"/>
      <c r="EQB141" s="3"/>
      <c r="EQC141" s="3"/>
      <c r="EQD141" s="3"/>
      <c r="EQE141" s="3"/>
      <c r="EQF141" s="3"/>
      <c r="EQG141" s="3"/>
      <c r="EQH141" s="3"/>
      <c r="EQI141" s="3"/>
      <c r="EQJ141" s="3"/>
      <c r="EQK141" s="3"/>
      <c r="EQL141" s="3"/>
      <c r="EQM141" s="3"/>
      <c r="EQN141" s="3"/>
      <c r="EQO141" s="3"/>
      <c r="EQP141" s="3"/>
      <c r="EQQ141" s="3"/>
      <c r="EQR141" s="3"/>
      <c r="EQS141" s="3"/>
      <c r="EQT141" s="3"/>
      <c r="EQU141" s="3"/>
      <c r="EQV141" s="3"/>
      <c r="EQW141" s="3"/>
      <c r="EQX141" s="3"/>
      <c r="EQY141" s="3"/>
      <c r="EQZ141" s="3"/>
      <c r="ERA141" s="3"/>
      <c r="ERB141" s="3"/>
      <c r="ERC141" s="3"/>
      <c r="ERD141" s="3"/>
      <c r="ERE141" s="3"/>
      <c r="ERF141" s="3"/>
      <c r="ERG141" s="3"/>
      <c r="ERH141" s="3"/>
      <c r="ERI141" s="3"/>
      <c r="ERJ141" s="3"/>
      <c r="ERK141" s="3"/>
      <c r="ERL141" s="3"/>
      <c r="ERM141" s="3"/>
      <c r="ERN141" s="3"/>
      <c r="ERO141" s="3"/>
      <c r="ERP141" s="3"/>
      <c r="ERQ141" s="3"/>
      <c r="ERR141" s="3"/>
      <c r="ERS141" s="3"/>
      <c r="ERT141" s="3"/>
      <c r="ERU141" s="3"/>
      <c r="ERV141" s="3"/>
      <c r="ERW141" s="3"/>
      <c r="ERX141" s="3"/>
      <c r="ERY141" s="3"/>
      <c r="ERZ141" s="3"/>
      <c r="ESA141" s="3"/>
      <c r="ESB141" s="3"/>
      <c r="ESC141" s="3"/>
      <c r="ESD141" s="3"/>
      <c r="ESE141" s="3"/>
      <c r="ESF141" s="3"/>
      <c r="ESG141" s="3"/>
      <c r="ESH141" s="3"/>
      <c r="ESI141" s="3"/>
      <c r="ESJ141" s="3"/>
      <c r="ESK141" s="3"/>
      <c r="ESL141" s="3"/>
      <c r="ESM141" s="3"/>
      <c r="ESN141" s="3"/>
      <c r="ESO141" s="3"/>
      <c r="ESP141" s="3"/>
      <c r="ESQ141" s="3"/>
      <c r="ESR141" s="3"/>
      <c r="ESS141" s="3"/>
      <c r="EST141" s="3"/>
      <c r="ESU141" s="3"/>
      <c r="ESV141" s="3"/>
      <c r="ESW141" s="3"/>
      <c r="ESX141" s="3"/>
      <c r="ESY141" s="3"/>
      <c r="ESZ141" s="3"/>
      <c r="ETA141" s="3"/>
      <c r="ETB141" s="3"/>
      <c r="ETC141" s="3"/>
      <c r="ETD141" s="3"/>
      <c r="ETE141" s="3"/>
      <c r="ETF141" s="3"/>
      <c r="ETG141" s="3"/>
      <c r="ETH141" s="3"/>
      <c r="ETI141" s="3"/>
      <c r="ETJ141" s="3"/>
      <c r="ETK141" s="3"/>
      <c r="ETL141" s="3"/>
      <c r="ETM141" s="3"/>
      <c r="ETN141" s="3"/>
      <c r="ETO141" s="3"/>
      <c r="ETP141" s="3"/>
      <c r="ETQ141" s="3"/>
      <c r="ETR141" s="3"/>
      <c r="ETS141" s="3"/>
      <c r="ETT141" s="3"/>
      <c r="ETU141" s="3"/>
      <c r="ETV141" s="3"/>
      <c r="ETW141" s="3"/>
      <c r="ETX141" s="3"/>
      <c r="ETY141" s="3"/>
      <c r="ETZ141" s="3"/>
      <c r="EUA141" s="3"/>
      <c r="EUB141" s="3"/>
      <c r="EUC141" s="3"/>
      <c r="EUD141" s="3"/>
      <c r="EUE141" s="3"/>
      <c r="EUF141" s="3"/>
      <c r="EUG141" s="3"/>
      <c r="EUH141" s="3"/>
      <c r="EUI141" s="3"/>
      <c r="EUJ141" s="3"/>
      <c r="EUK141" s="3"/>
      <c r="EUL141" s="3"/>
      <c r="EUM141" s="3"/>
      <c r="EUN141" s="3"/>
      <c r="EUO141" s="3"/>
      <c r="EUP141" s="3"/>
      <c r="EUQ141" s="3"/>
      <c r="EUR141" s="3"/>
      <c r="EUS141" s="3"/>
      <c r="EUT141" s="3"/>
      <c r="EUU141" s="3"/>
      <c r="EUV141" s="3"/>
      <c r="EUW141" s="3"/>
      <c r="EUX141" s="3"/>
      <c r="EUY141" s="3"/>
      <c r="EUZ141" s="3"/>
      <c r="EVA141" s="3"/>
      <c r="EVB141" s="3"/>
      <c r="EVC141" s="3"/>
      <c r="EVD141" s="3"/>
      <c r="EVE141" s="3"/>
      <c r="EVF141" s="3"/>
      <c r="EVG141" s="3"/>
      <c r="EVH141" s="3"/>
      <c r="EVI141" s="3"/>
      <c r="EVJ141" s="3"/>
      <c r="EVK141" s="3"/>
      <c r="EVL141" s="3"/>
      <c r="EVM141" s="3"/>
      <c r="EVN141" s="3"/>
      <c r="EVO141" s="3"/>
      <c r="EVP141" s="3"/>
      <c r="EVQ141" s="3"/>
      <c r="EVR141" s="3"/>
      <c r="EVS141" s="3"/>
      <c r="EVT141" s="3"/>
      <c r="EVU141" s="3"/>
      <c r="EVV141" s="3"/>
      <c r="EVW141" s="3"/>
      <c r="EVX141" s="3"/>
      <c r="EVY141" s="3"/>
      <c r="EVZ141" s="3"/>
      <c r="EWA141" s="3"/>
      <c r="EWB141" s="3"/>
      <c r="EWC141" s="3"/>
      <c r="EWD141" s="3"/>
      <c r="EWE141" s="3"/>
      <c r="EWF141" s="3"/>
      <c r="EWG141" s="3"/>
      <c r="EWH141" s="3"/>
      <c r="EWI141" s="3"/>
      <c r="EWJ141" s="3"/>
      <c r="EWK141" s="3"/>
      <c r="EWL141" s="3"/>
      <c r="EWM141" s="3"/>
      <c r="EWN141" s="3"/>
      <c r="EWO141" s="3"/>
      <c r="EWP141" s="3"/>
      <c r="EWQ141" s="3"/>
      <c r="EWR141" s="3"/>
      <c r="EWS141" s="3"/>
      <c r="EWT141" s="3"/>
      <c r="EWU141" s="3"/>
      <c r="EWV141" s="3"/>
      <c r="EWW141" s="3"/>
      <c r="EWX141" s="3"/>
      <c r="EWY141" s="3"/>
      <c r="EWZ141" s="3"/>
      <c r="EXA141" s="3"/>
      <c r="EXB141" s="3"/>
      <c r="EXC141" s="3"/>
      <c r="EXD141" s="3"/>
      <c r="EXE141" s="3"/>
      <c r="EXF141" s="3"/>
      <c r="EXG141" s="3"/>
      <c r="EXH141" s="3"/>
      <c r="EXI141" s="3"/>
      <c r="EXJ141" s="3"/>
      <c r="EXK141" s="3"/>
      <c r="EXL141" s="3"/>
      <c r="EXM141" s="3"/>
      <c r="EXN141" s="3"/>
      <c r="EXO141" s="3"/>
      <c r="EXP141" s="3"/>
      <c r="EXQ141" s="3"/>
      <c r="EXR141" s="3"/>
      <c r="EXS141" s="3"/>
      <c r="EXT141" s="3"/>
      <c r="EXU141" s="3"/>
      <c r="EXV141" s="3"/>
      <c r="EXW141" s="3"/>
      <c r="EXX141" s="3"/>
      <c r="EXY141" s="3"/>
      <c r="EXZ141" s="3"/>
      <c r="EYA141" s="3"/>
      <c r="EYB141" s="3"/>
      <c r="EYC141" s="3"/>
      <c r="EYD141" s="3"/>
      <c r="EYE141" s="3"/>
      <c r="EYF141" s="3"/>
      <c r="EYG141" s="3"/>
      <c r="EYH141" s="3"/>
      <c r="EYI141" s="3"/>
      <c r="EYJ141" s="3"/>
      <c r="EYK141" s="3"/>
      <c r="EYL141" s="3"/>
      <c r="EYM141" s="3"/>
      <c r="EYN141" s="3"/>
      <c r="EYO141" s="3"/>
      <c r="EYP141" s="3"/>
      <c r="EYQ141" s="3"/>
      <c r="EYR141" s="3"/>
      <c r="EYS141" s="3"/>
      <c r="EYT141" s="3"/>
      <c r="EYU141" s="3"/>
      <c r="EYV141" s="3"/>
      <c r="EYW141" s="3"/>
      <c r="EYX141" s="3"/>
      <c r="EYY141" s="3"/>
      <c r="EYZ141" s="3"/>
      <c r="EZA141" s="3"/>
      <c r="EZB141" s="3"/>
      <c r="EZC141" s="3"/>
      <c r="EZD141" s="3"/>
      <c r="EZE141" s="3"/>
      <c r="EZF141" s="3"/>
      <c r="EZG141" s="3"/>
      <c r="EZH141" s="3"/>
      <c r="EZI141" s="3"/>
      <c r="EZJ141" s="3"/>
      <c r="EZK141" s="3"/>
      <c r="EZL141" s="3"/>
      <c r="EZM141" s="3"/>
      <c r="EZN141" s="3"/>
      <c r="EZO141" s="3"/>
      <c r="EZP141" s="3"/>
      <c r="EZQ141" s="3"/>
      <c r="EZR141" s="3"/>
      <c r="EZS141" s="3"/>
      <c r="EZT141" s="3"/>
      <c r="EZU141" s="3"/>
      <c r="EZV141" s="3"/>
      <c r="EZW141" s="3"/>
      <c r="EZX141" s="3"/>
      <c r="EZY141" s="3"/>
      <c r="EZZ141" s="3"/>
      <c r="FAA141" s="3"/>
      <c r="FAB141" s="3"/>
      <c r="FAC141" s="3"/>
      <c r="FAD141" s="3"/>
      <c r="FAE141" s="3"/>
      <c r="FAF141" s="3"/>
      <c r="FAG141" s="3"/>
      <c r="FAH141" s="3"/>
      <c r="FAI141" s="3"/>
      <c r="FAJ141" s="3"/>
      <c r="FAK141" s="3"/>
      <c r="FAL141" s="3"/>
      <c r="FAM141" s="3"/>
      <c r="FAN141" s="3"/>
      <c r="FAO141" s="3"/>
      <c r="FAP141" s="3"/>
      <c r="FAQ141" s="3"/>
      <c r="FAR141" s="3"/>
      <c r="FAS141" s="3"/>
      <c r="FAT141" s="3"/>
      <c r="FAU141" s="3"/>
      <c r="FAV141" s="3"/>
      <c r="FAW141" s="3"/>
      <c r="FAX141" s="3"/>
      <c r="FAY141" s="3"/>
      <c r="FAZ141" s="3"/>
      <c r="FBA141" s="3"/>
      <c r="FBB141" s="3"/>
      <c r="FBC141" s="3"/>
      <c r="FBD141" s="3"/>
      <c r="FBE141" s="3"/>
      <c r="FBF141" s="3"/>
      <c r="FBG141" s="3"/>
      <c r="FBH141" s="3"/>
      <c r="FBI141" s="3"/>
      <c r="FBJ141" s="3"/>
      <c r="FBK141" s="3"/>
      <c r="FBL141" s="3"/>
      <c r="FBM141" s="3"/>
      <c r="FBN141" s="3"/>
      <c r="FBO141" s="3"/>
      <c r="FBP141" s="3"/>
      <c r="FBQ141" s="3"/>
      <c r="FBR141" s="3"/>
      <c r="FBS141" s="3"/>
      <c r="FBT141" s="3"/>
      <c r="FBU141" s="3"/>
      <c r="FBV141" s="3"/>
      <c r="FBW141" s="3"/>
      <c r="FBX141" s="3"/>
      <c r="FBY141" s="3"/>
      <c r="FBZ141" s="3"/>
      <c r="FCA141" s="3"/>
      <c r="FCB141" s="3"/>
      <c r="FCC141" s="3"/>
      <c r="FCD141" s="3"/>
      <c r="FCE141" s="3"/>
      <c r="FCF141" s="3"/>
      <c r="FCG141" s="3"/>
      <c r="FCH141" s="3"/>
      <c r="FCI141" s="3"/>
      <c r="FCJ141" s="3"/>
      <c r="FCK141" s="3"/>
      <c r="FCL141" s="3"/>
      <c r="FCM141" s="3"/>
      <c r="FCN141" s="3"/>
      <c r="FCO141" s="3"/>
      <c r="FCP141" s="3"/>
      <c r="FCQ141" s="3"/>
      <c r="FCR141" s="3"/>
      <c r="FCS141" s="3"/>
      <c r="FCT141" s="3"/>
      <c r="FCU141" s="3"/>
      <c r="FCV141" s="3"/>
      <c r="FCW141" s="3"/>
      <c r="FCX141" s="3"/>
      <c r="FCY141" s="3"/>
      <c r="FCZ141" s="3"/>
      <c r="FDA141" s="3"/>
      <c r="FDB141" s="3"/>
      <c r="FDC141" s="3"/>
      <c r="FDD141" s="3"/>
      <c r="FDE141" s="3"/>
      <c r="FDF141" s="3"/>
      <c r="FDG141" s="3"/>
      <c r="FDH141" s="3"/>
      <c r="FDI141" s="3"/>
      <c r="FDJ141" s="3"/>
      <c r="FDK141" s="3"/>
      <c r="FDL141" s="3"/>
      <c r="FDM141" s="3"/>
      <c r="FDN141" s="3"/>
      <c r="FDO141" s="3"/>
      <c r="FDP141" s="3"/>
      <c r="FDQ141" s="3"/>
      <c r="FDR141" s="3"/>
      <c r="FDS141" s="3"/>
      <c r="FDT141" s="3"/>
      <c r="FDU141" s="3"/>
      <c r="FDV141" s="3"/>
      <c r="FDW141" s="3"/>
      <c r="FDX141" s="3"/>
      <c r="FDY141" s="3"/>
      <c r="FDZ141" s="3"/>
      <c r="FEA141" s="3"/>
      <c r="FEB141" s="3"/>
      <c r="FEC141" s="3"/>
      <c r="FED141" s="3"/>
      <c r="FEE141" s="3"/>
      <c r="FEF141" s="3"/>
      <c r="FEG141" s="3"/>
      <c r="FEH141" s="3"/>
      <c r="FEI141" s="3"/>
      <c r="FEJ141" s="3"/>
      <c r="FEK141" s="3"/>
      <c r="FEL141" s="3"/>
      <c r="FEM141" s="3"/>
      <c r="FEN141" s="3"/>
      <c r="FEO141" s="3"/>
      <c r="FEP141" s="3"/>
      <c r="FEQ141" s="3"/>
      <c r="FER141" s="3"/>
      <c r="FES141" s="3"/>
      <c r="FET141" s="3"/>
      <c r="FEU141" s="3"/>
      <c r="FEV141" s="3"/>
      <c r="FEW141" s="3"/>
      <c r="FEX141" s="3"/>
      <c r="FEY141" s="3"/>
      <c r="FEZ141" s="3"/>
      <c r="FFA141" s="3"/>
      <c r="FFB141" s="3"/>
      <c r="FFC141" s="3"/>
      <c r="FFD141" s="3"/>
      <c r="FFE141" s="3"/>
      <c r="FFF141" s="3"/>
      <c r="FFG141" s="3"/>
      <c r="FFH141" s="3"/>
      <c r="FFI141" s="3"/>
      <c r="FFJ141" s="3"/>
      <c r="FFK141" s="3"/>
      <c r="FFL141" s="3"/>
      <c r="FFM141" s="3"/>
      <c r="FFN141" s="3"/>
      <c r="FFO141" s="3"/>
      <c r="FFP141" s="3"/>
      <c r="FFQ141" s="3"/>
      <c r="FFR141" s="3"/>
      <c r="FFS141" s="3"/>
      <c r="FFT141" s="3"/>
      <c r="FFU141" s="3"/>
      <c r="FFV141" s="3"/>
      <c r="FFW141" s="3"/>
      <c r="FFX141" s="3"/>
      <c r="FFY141" s="3"/>
      <c r="FFZ141" s="3"/>
      <c r="FGA141" s="3"/>
      <c r="FGB141" s="3"/>
      <c r="FGC141" s="3"/>
      <c r="FGD141" s="3"/>
      <c r="FGE141" s="3"/>
      <c r="FGF141" s="3"/>
      <c r="FGG141" s="3"/>
      <c r="FGH141" s="3"/>
      <c r="FGI141" s="3"/>
      <c r="FGJ141" s="3"/>
      <c r="FGK141" s="3"/>
      <c r="FGL141" s="3"/>
      <c r="FGM141" s="3"/>
      <c r="FGN141" s="3"/>
      <c r="FGO141" s="3"/>
      <c r="FGP141" s="3"/>
      <c r="FGQ141" s="3"/>
      <c r="FGR141" s="3"/>
      <c r="FGS141" s="3"/>
      <c r="FGT141" s="3"/>
      <c r="FGU141" s="3"/>
      <c r="FGV141" s="3"/>
      <c r="FGW141" s="3"/>
      <c r="FGX141" s="3"/>
      <c r="FGY141" s="3"/>
      <c r="FGZ141" s="3"/>
      <c r="FHA141" s="3"/>
      <c r="FHB141" s="3"/>
      <c r="FHC141" s="3"/>
      <c r="FHD141" s="3"/>
      <c r="FHE141" s="3"/>
      <c r="FHF141" s="3"/>
      <c r="FHG141" s="3"/>
      <c r="FHH141" s="3"/>
      <c r="FHI141" s="3"/>
      <c r="FHJ141" s="3"/>
      <c r="FHK141" s="3"/>
      <c r="FHL141" s="3"/>
      <c r="FHM141" s="3"/>
      <c r="FHN141" s="3"/>
      <c r="FHO141" s="3"/>
      <c r="FHP141" s="3"/>
      <c r="FHQ141" s="3"/>
      <c r="FHR141" s="3"/>
      <c r="FHS141" s="3"/>
      <c r="FHT141" s="3"/>
      <c r="FHU141" s="3"/>
      <c r="FHV141" s="3"/>
      <c r="FHW141" s="3"/>
      <c r="FHX141" s="3"/>
      <c r="FHY141" s="3"/>
      <c r="FHZ141" s="3"/>
      <c r="FIA141" s="3"/>
      <c r="FIB141" s="3"/>
      <c r="FIC141" s="3"/>
      <c r="FID141" s="3"/>
      <c r="FIE141" s="3"/>
      <c r="FIF141" s="3"/>
      <c r="FIG141" s="3"/>
      <c r="FIH141" s="3"/>
      <c r="FII141" s="3"/>
      <c r="FIJ141" s="3"/>
      <c r="FIK141" s="3"/>
      <c r="FIL141" s="3"/>
      <c r="FIM141" s="3"/>
      <c r="FIN141" s="3"/>
      <c r="FIO141" s="3"/>
      <c r="FIP141" s="3"/>
      <c r="FIQ141" s="3"/>
      <c r="FIR141" s="3"/>
      <c r="FIS141" s="3"/>
      <c r="FIT141" s="3"/>
      <c r="FIU141" s="3"/>
      <c r="FIV141" s="3"/>
      <c r="FIW141" s="3"/>
      <c r="FIX141" s="3"/>
      <c r="FIY141" s="3"/>
      <c r="FIZ141" s="3"/>
      <c r="FJA141" s="3"/>
      <c r="FJB141" s="3"/>
      <c r="FJC141" s="3"/>
      <c r="FJD141" s="3"/>
      <c r="FJE141" s="3"/>
      <c r="FJF141" s="3"/>
      <c r="FJG141" s="3"/>
      <c r="FJH141" s="3"/>
      <c r="FJI141" s="3"/>
      <c r="FJJ141" s="3"/>
      <c r="FJK141" s="3"/>
      <c r="FJL141" s="3"/>
      <c r="FJM141" s="3"/>
      <c r="FJN141" s="3"/>
      <c r="FJO141" s="3"/>
      <c r="FJP141" s="3"/>
      <c r="FJQ141" s="3"/>
      <c r="FJR141" s="3"/>
      <c r="FJS141" s="3"/>
      <c r="FJT141" s="3"/>
      <c r="FJU141" s="3"/>
      <c r="FJV141" s="3"/>
      <c r="FJW141" s="3"/>
      <c r="FJX141" s="3"/>
      <c r="FJY141" s="3"/>
      <c r="FJZ141" s="3"/>
      <c r="FKA141" s="3"/>
      <c r="FKB141" s="3"/>
      <c r="FKC141" s="3"/>
      <c r="FKD141" s="3"/>
      <c r="FKE141" s="3"/>
      <c r="FKF141" s="3"/>
      <c r="FKG141" s="3"/>
      <c r="FKH141" s="3"/>
      <c r="FKI141" s="3"/>
      <c r="FKJ141" s="3"/>
      <c r="FKK141" s="3"/>
      <c r="FKL141" s="3"/>
      <c r="FKM141" s="3"/>
      <c r="FKN141" s="3"/>
      <c r="FKO141" s="3"/>
      <c r="FKP141" s="3"/>
      <c r="FKQ141" s="3"/>
      <c r="FKR141" s="3"/>
      <c r="FKS141" s="3"/>
      <c r="FKT141" s="3"/>
      <c r="FKU141" s="3"/>
      <c r="FKV141" s="3"/>
      <c r="FKW141" s="3"/>
      <c r="FKX141" s="3"/>
      <c r="FKY141" s="3"/>
      <c r="FKZ141" s="3"/>
      <c r="FLA141" s="3"/>
      <c r="FLB141" s="3"/>
      <c r="FLC141" s="3"/>
      <c r="FLD141" s="3"/>
      <c r="FLE141" s="3"/>
      <c r="FLF141" s="3"/>
      <c r="FLG141" s="3"/>
      <c r="FLH141" s="3"/>
      <c r="FLI141" s="3"/>
      <c r="FLJ141" s="3"/>
      <c r="FLK141" s="3"/>
      <c r="FLL141" s="3"/>
      <c r="FLM141" s="3"/>
      <c r="FLN141" s="3"/>
      <c r="FLO141" s="3"/>
      <c r="FLP141" s="3"/>
      <c r="FLQ141" s="3"/>
      <c r="FLR141" s="3"/>
      <c r="FLS141" s="3"/>
      <c r="FLT141" s="3"/>
      <c r="FLU141" s="3"/>
      <c r="FLV141" s="3"/>
      <c r="FLW141" s="3"/>
      <c r="FLX141" s="3"/>
      <c r="FLY141" s="3"/>
      <c r="FLZ141" s="3"/>
      <c r="FMA141" s="3"/>
      <c r="FMB141" s="3"/>
      <c r="FMC141" s="3"/>
      <c r="FMD141" s="3"/>
      <c r="FME141" s="3"/>
      <c r="FMF141" s="3"/>
      <c r="FMG141" s="3"/>
      <c r="FMH141" s="3"/>
      <c r="FMI141" s="3"/>
      <c r="FMJ141" s="3"/>
      <c r="FMK141" s="3"/>
      <c r="FML141" s="3"/>
      <c r="FMM141" s="3"/>
      <c r="FMN141" s="3"/>
      <c r="FMO141" s="3"/>
      <c r="FMP141" s="3"/>
      <c r="FMQ141" s="3"/>
      <c r="FMR141" s="3"/>
      <c r="FMS141" s="3"/>
      <c r="FMT141" s="3"/>
      <c r="FMU141" s="3"/>
      <c r="FMV141" s="3"/>
      <c r="FMW141" s="3"/>
      <c r="FMX141" s="3"/>
      <c r="FMY141" s="3"/>
      <c r="FMZ141" s="3"/>
      <c r="FNA141" s="3"/>
      <c r="FNB141" s="3"/>
      <c r="FNC141" s="3"/>
      <c r="FND141" s="3"/>
      <c r="FNE141" s="3"/>
      <c r="FNF141" s="3"/>
      <c r="FNG141" s="3"/>
      <c r="FNH141" s="3"/>
      <c r="FNI141" s="3"/>
      <c r="FNJ141" s="3"/>
      <c r="FNK141" s="3"/>
      <c r="FNL141" s="3"/>
      <c r="FNM141" s="3"/>
      <c r="FNN141" s="3"/>
      <c r="FNO141" s="3"/>
      <c r="FNP141" s="3"/>
      <c r="FNQ141" s="3"/>
      <c r="FNR141" s="3"/>
      <c r="FNS141" s="3"/>
      <c r="FNT141" s="3"/>
      <c r="FNU141" s="3"/>
      <c r="FNV141" s="3"/>
      <c r="FNW141" s="3"/>
      <c r="FNX141" s="3"/>
      <c r="FNY141" s="3"/>
      <c r="FNZ141" s="3"/>
      <c r="FOA141" s="3"/>
      <c r="FOB141" s="3"/>
      <c r="FOC141" s="3"/>
      <c r="FOD141" s="3"/>
      <c r="FOE141" s="3"/>
      <c r="FOF141" s="3"/>
      <c r="FOG141" s="3"/>
      <c r="FOH141" s="3"/>
      <c r="FOI141" s="3"/>
      <c r="FOJ141" s="3"/>
      <c r="FOK141" s="3"/>
      <c r="FOL141" s="3"/>
      <c r="FOM141" s="3"/>
      <c r="FON141" s="3"/>
      <c r="FOO141" s="3"/>
      <c r="FOP141" s="3"/>
      <c r="FOQ141" s="3"/>
      <c r="FOR141" s="3"/>
      <c r="FOS141" s="3"/>
      <c r="FOT141" s="3"/>
      <c r="FOU141" s="3"/>
      <c r="FOV141" s="3"/>
      <c r="FOW141" s="3"/>
      <c r="FOX141" s="3"/>
      <c r="FOY141" s="3"/>
      <c r="FOZ141" s="3"/>
      <c r="FPA141" s="3"/>
      <c r="FPB141" s="3"/>
      <c r="FPC141" s="3"/>
      <c r="FPD141" s="3"/>
      <c r="FPE141" s="3"/>
      <c r="FPF141" s="3"/>
      <c r="FPG141" s="3"/>
      <c r="FPH141" s="3"/>
      <c r="FPI141" s="3"/>
      <c r="FPJ141" s="3"/>
      <c r="FPK141" s="3"/>
      <c r="FPL141" s="3"/>
      <c r="FPM141" s="3"/>
      <c r="FPN141" s="3"/>
      <c r="FPO141" s="3"/>
      <c r="FPP141" s="3"/>
      <c r="FPQ141" s="3"/>
      <c r="FPR141" s="3"/>
      <c r="FPS141" s="3"/>
      <c r="FPT141" s="3"/>
      <c r="FPU141" s="3"/>
      <c r="FPV141" s="3"/>
      <c r="FPW141" s="3"/>
      <c r="FPX141" s="3"/>
      <c r="FPY141" s="3"/>
      <c r="FPZ141" s="3"/>
      <c r="FQA141" s="3"/>
      <c r="FQB141" s="3"/>
      <c r="FQC141" s="3"/>
      <c r="FQD141" s="3"/>
      <c r="FQE141" s="3"/>
      <c r="FQF141" s="3"/>
      <c r="FQG141" s="3"/>
      <c r="FQH141" s="3"/>
      <c r="FQI141" s="3"/>
      <c r="FQJ141" s="3"/>
      <c r="FQK141" s="3"/>
      <c r="FQL141" s="3"/>
      <c r="FQM141" s="3"/>
      <c r="FQN141" s="3"/>
      <c r="FQO141" s="3"/>
      <c r="FQP141" s="3"/>
      <c r="FQQ141" s="3"/>
      <c r="FQR141" s="3"/>
      <c r="FQS141" s="3"/>
      <c r="FQT141" s="3"/>
      <c r="FQU141" s="3"/>
      <c r="FQV141" s="3"/>
      <c r="FQW141" s="3"/>
      <c r="FQX141" s="3"/>
      <c r="FQY141" s="3"/>
      <c r="FQZ141" s="3"/>
      <c r="FRA141" s="3"/>
      <c r="FRB141" s="3"/>
      <c r="FRC141" s="3"/>
      <c r="FRD141" s="3"/>
      <c r="FRE141" s="3"/>
      <c r="FRF141" s="3"/>
      <c r="FRG141" s="3"/>
      <c r="FRH141" s="3"/>
      <c r="FRI141" s="3"/>
      <c r="FRJ141" s="3"/>
      <c r="FRK141" s="3"/>
      <c r="FRL141" s="3"/>
      <c r="FRM141" s="3"/>
      <c r="FRN141" s="3"/>
      <c r="FRO141" s="3"/>
      <c r="FRP141" s="3"/>
      <c r="FRQ141" s="3"/>
      <c r="FRR141" s="3"/>
      <c r="FRS141" s="3"/>
      <c r="FRT141" s="3"/>
      <c r="FRU141" s="3"/>
      <c r="FRV141" s="3"/>
      <c r="FRW141" s="3"/>
      <c r="FRX141" s="3"/>
      <c r="FRY141" s="3"/>
      <c r="FRZ141" s="3"/>
      <c r="FSA141" s="3"/>
      <c r="FSB141" s="3"/>
      <c r="FSC141" s="3"/>
      <c r="FSD141" s="3"/>
      <c r="FSE141" s="3"/>
      <c r="FSF141" s="3"/>
      <c r="FSG141" s="3"/>
      <c r="FSH141" s="3"/>
      <c r="FSI141" s="3"/>
      <c r="FSJ141" s="3"/>
      <c r="FSK141" s="3"/>
      <c r="FSL141" s="3"/>
      <c r="FSM141" s="3"/>
      <c r="FSN141" s="3"/>
      <c r="FSO141" s="3"/>
      <c r="FSP141" s="3"/>
      <c r="FSQ141" s="3"/>
      <c r="FSR141" s="3"/>
      <c r="FSS141" s="3"/>
      <c r="FST141" s="3"/>
      <c r="FSU141" s="3"/>
      <c r="FSV141" s="3"/>
      <c r="FSW141" s="3"/>
      <c r="FSX141" s="3"/>
      <c r="FSY141" s="3"/>
      <c r="FSZ141" s="3"/>
      <c r="FTA141" s="3"/>
      <c r="FTB141" s="3"/>
      <c r="FTC141" s="3"/>
      <c r="FTD141" s="3"/>
      <c r="FTE141" s="3"/>
      <c r="FTF141" s="3"/>
      <c r="FTG141" s="3"/>
      <c r="FTH141" s="3"/>
      <c r="FTI141" s="3"/>
      <c r="FTJ141" s="3"/>
      <c r="FTK141" s="3"/>
      <c r="FTL141" s="3"/>
      <c r="FTM141" s="3"/>
      <c r="FTN141" s="3"/>
      <c r="FTO141" s="3"/>
      <c r="FTP141" s="3"/>
      <c r="FTQ141" s="3"/>
      <c r="FTR141" s="3"/>
      <c r="FTS141" s="3"/>
      <c r="FTT141" s="3"/>
      <c r="FTU141" s="3"/>
      <c r="FTV141" s="3"/>
      <c r="FTW141" s="3"/>
      <c r="FTX141" s="3"/>
      <c r="FTY141" s="3"/>
      <c r="FTZ141" s="3"/>
      <c r="FUA141" s="3"/>
      <c r="FUB141" s="3"/>
      <c r="FUC141" s="3"/>
      <c r="FUD141" s="3"/>
      <c r="FUE141" s="3"/>
      <c r="FUF141" s="3"/>
      <c r="FUG141" s="3"/>
      <c r="FUH141" s="3"/>
      <c r="FUI141" s="3"/>
      <c r="FUJ141" s="3"/>
      <c r="FUK141" s="3"/>
      <c r="FUL141" s="3"/>
      <c r="FUM141" s="3"/>
      <c r="FUN141" s="3"/>
      <c r="FUO141" s="3"/>
      <c r="FUP141" s="3"/>
      <c r="FUQ141" s="3"/>
      <c r="FUR141" s="3"/>
      <c r="FUS141" s="3"/>
      <c r="FUT141" s="3"/>
      <c r="FUU141" s="3"/>
      <c r="FUV141" s="3"/>
      <c r="FUW141" s="3"/>
      <c r="FUX141" s="3"/>
      <c r="FUY141" s="3"/>
      <c r="FUZ141" s="3"/>
      <c r="FVA141" s="3"/>
      <c r="FVB141" s="3"/>
      <c r="FVC141" s="3"/>
      <c r="FVD141" s="3"/>
      <c r="FVE141" s="3"/>
      <c r="FVF141" s="3"/>
      <c r="FVG141" s="3"/>
      <c r="FVH141" s="3"/>
      <c r="FVI141" s="3"/>
      <c r="FVJ141" s="3"/>
      <c r="FVK141" s="3"/>
      <c r="FVL141" s="3"/>
      <c r="FVM141" s="3"/>
      <c r="FVN141" s="3"/>
      <c r="FVO141" s="3"/>
      <c r="FVP141" s="3"/>
      <c r="FVQ141" s="3"/>
      <c r="FVR141" s="3"/>
      <c r="FVS141" s="3"/>
      <c r="FVT141" s="3"/>
      <c r="FVU141" s="3"/>
      <c r="FVV141" s="3"/>
      <c r="FVW141" s="3"/>
      <c r="FVX141" s="3"/>
      <c r="FVY141" s="3"/>
      <c r="FVZ141" s="3"/>
      <c r="FWA141" s="3"/>
      <c r="FWB141" s="3"/>
      <c r="FWC141" s="3"/>
      <c r="FWD141" s="3"/>
      <c r="FWE141" s="3"/>
      <c r="FWF141" s="3"/>
      <c r="FWG141" s="3"/>
      <c r="FWH141" s="3"/>
      <c r="FWI141" s="3"/>
      <c r="FWJ141" s="3"/>
      <c r="FWK141" s="3"/>
      <c r="FWL141" s="3"/>
      <c r="FWM141" s="3"/>
      <c r="FWN141" s="3"/>
      <c r="FWO141" s="3"/>
      <c r="FWP141" s="3"/>
      <c r="FWQ141" s="3"/>
      <c r="FWR141" s="3"/>
      <c r="FWS141" s="3"/>
      <c r="FWT141" s="3"/>
      <c r="FWU141" s="3"/>
      <c r="FWV141" s="3"/>
      <c r="FWW141" s="3"/>
      <c r="FWX141" s="3"/>
      <c r="FWY141" s="3"/>
      <c r="FWZ141" s="3"/>
      <c r="FXA141" s="3"/>
      <c r="FXB141" s="3"/>
      <c r="FXC141" s="3"/>
      <c r="FXD141" s="3"/>
      <c r="FXE141" s="3"/>
      <c r="FXF141" s="3"/>
      <c r="FXG141" s="3"/>
      <c r="FXH141" s="3"/>
      <c r="FXI141" s="3"/>
      <c r="FXJ141" s="3"/>
      <c r="FXK141" s="3"/>
      <c r="FXL141" s="3"/>
      <c r="FXM141" s="3"/>
      <c r="FXN141" s="3"/>
      <c r="FXO141" s="3"/>
      <c r="FXP141" s="3"/>
      <c r="FXQ141" s="3"/>
      <c r="FXR141" s="3"/>
      <c r="FXS141" s="3"/>
      <c r="FXT141" s="3"/>
      <c r="FXU141" s="3"/>
      <c r="FXV141" s="3"/>
      <c r="FXW141" s="3"/>
      <c r="FXX141" s="3"/>
      <c r="FXY141" s="3"/>
      <c r="FXZ141" s="3"/>
      <c r="FYA141" s="3"/>
      <c r="FYB141" s="3"/>
      <c r="FYC141" s="3"/>
      <c r="FYD141" s="3"/>
      <c r="FYE141" s="3"/>
      <c r="FYF141" s="3"/>
      <c r="FYG141" s="3"/>
      <c r="FYH141" s="3"/>
      <c r="FYI141" s="3"/>
      <c r="FYJ141" s="3"/>
      <c r="FYK141" s="3"/>
      <c r="FYL141" s="3"/>
      <c r="FYM141" s="3"/>
      <c r="FYN141" s="3"/>
      <c r="FYO141" s="3"/>
      <c r="FYP141" s="3"/>
      <c r="FYQ141" s="3"/>
      <c r="FYR141" s="3"/>
      <c r="FYS141" s="3"/>
      <c r="FYT141" s="3"/>
      <c r="FYU141" s="3"/>
      <c r="FYV141" s="3"/>
      <c r="FYW141" s="3"/>
      <c r="FYX141" s="3"/>
      <c r="FYY141" s="3"/>
      <c r="FYZ141" s="3"/>
      <c r="FZA141" s="3"/>
      <c r="FZB141" s="3"/>
      <c r="FZC141" s="3"/>
      <c r="FZD141" s="3"/>
      <c r="FZE141" s="3"/>
      <c r="FZF141" s="3"/>
      <c r="FZG141" s="3"/>
      <c r="FZH141" s="3"/>
      <c r="FZI141" s="3"/>
      <c r="FZJ141" s="3"/>
      <c r="FZK141" s="3"/>
      <c r="FZL141" s="3"/>
      <c r="FZM141" s="3"/>
      <c r="FZN141" s="3"/>
      <c r="FZO141" s="3"/>
      <c r="FZP141" s="3"/>
      <c r="FZQ141" s="3"/>
      <c r="FZR141" s="3"/>
      <c r="FZS141" s="3"/>
      <c r="FZT141" s="3"/>
      <c r="FZU141" s="3"/>
      <c r="FZV141" s="3"/>
      <c r="FZW141" s="3"/>
      <c r="FZX141" s="3"/>
      <c r="FZY141" s="3"/>
      <c r="FZZ141" s="3"/>
      <c r="GAA141" s="3"/>
      <c r="GAB141" s="3"/>
      <c r="GAC141" s="3"/>
      <c r="GAD141" s="3"/>
      <c r="GAE141" s="3"/>
      <c r="GAF141" s="3"/>
      <c r="GAG141" s="3"/>
      <c r="GAH141" s="3"/>
      <c r="GAI141" s="3"/>
      <c r="GAJ141" s="3"/>
      <c r="GAK141" s="3"/>
      <c r="GAL141" s="3"/>
      <c r="GAM141" s="3"/>
      <c r="GAN141" s="3"/>
      <c r="GAO141" s="3"/>
      <c r="GAP141" s="3"/>
      <c r="GAQ141" s="3"/>
      <c r="GAR141" s="3"/>
      <c r="GAS141" s="3"/>
      <c r="GAT141" s="3"/>
      <c r="GAU141" s="3"/>
      <c r="GAV141" s="3"/>
      <c r="GAW141" s="3"/>
      <c r="GAX141" s="3"/>
      <c r="GAY141" s="3"/>
      <c r="GAZ141" s="3"/>
      <c r="GBA141" s="3"/>
      <c r="GBB141" s="3"/>
      <c r="GBC141" s="3"/>
      <c r="GBD141" s="3"/>
      <c r="GBE141" s="3"/>
      <c r="GBF141" s="3"/>
      <c r="GBG141" s="3"/>
      <c r="GBH141" s="3"/>
      <c r="GBI141" s="3"/>
      <c r="GBJ141" s="3"/>
      <c r="GBK141" s="3"/>
      <c r="GBL141" s="3"/>
      <c r="GBM141" s="3"/>
      <c r="GBN141" s="3"/>
      <c r="GBO141" s="3"/>
      <c r="GBP141" s="3"/>
      <c r="GBQ141" s="3"/>
      <c r="GBR141" s="3"/>
      <c r="GBS141" s="3"/>
      <c r="GBT141" s="3"/>
      <c r="GBU141" s="3"/>
      <c r="GBV141" s="3"/>
      <c r="GBW141" s="3"/>
      <c r="GBX141" s="3"/>
      <c r="GBY141" s="3"/>
      <c r="GBZ141" s="3"/>
      <c r="GCA141" s="3"/>
      <c r="GCB141" s="3"/>
      <c r="GCC141" s="3"/>
      <c r="GCD141" s="3"/>
      <c r="GCE141" s="3"/>
      <c r="GCF141" s="3"/>
      <c r="GCG141" s="3"/>
      <c r="GCH141" s="3"/>
      <c r="GCI141" s="3"/>
      <c r="GCJ141" s="3"/>
      <c r="GCK141" s="3"/>
      <c r="GCL141" s="3"/>
      <c r="GCM141" s="3"/>
      <c r="GCN141" s="3"/>
      <c r="GCO141" s="3"/>
      <c r="GCP141" s="3"/>
      <c r="GCQ141" s="3"/>
      <c r="GCR141" s="3"/>
      <c r="GCS141" s="3"/>
      <c r="GCT141" s="3"/>
      <c r="GCU141" s="3"/>
      <c r="GCV141" s="3"/>
      <c r="GCW141" s="3"/>
      <c r="GCX141" s="3"/>
      <c r="GCY141" s="3"/>
      <c r="GCZ141" s="3"/>
      <c r="GDA141" s="3"/>
      <c r="GDB141" s="3"/>
      <c r="GDC141" s="3"/>
      <c r="GDD141" s="3"/>
      <c r="GDE141" s="3"/>
      <c r="GDF141" s="3"/>
      <c r="GDG141" s="3"/>
      <c r="GDH141" s="3"/>
      <c r="GDI141" s="3"/>
      <c r="GDJ141" s="3"/>
      <c r="GDK141" s="3"/>
      <c r="GDL141" s="3"/>
      <c r="GDM141" s="3"/>
      <c r="GDN141" s="3"/>
      <c r="GDO141" s="3"/>
      <c r="GDP141" s="3"/>
      <c r="GDQ141" s="3"/>
      <c r="GDR141" s="3"/>
      <c r="GDS141" s="3"/>
      <c r="GDT141" s="3"/>
      <c r="GDU141" s="3"/>
      <c r="GDV141" s="3"/>
      <c r="GDW141" s="3"/>
      <c r="GDX141" s="3"/>
      <c r="GDY141" s="3"/>
      <c r="GDZ141" s="3"/>
      <c r="GEA141" s="3"/>
      <c r="GEB141" s="3"/>
      <c r="GEC141" s="3"/>
      <c r="GED141" s="3"/>
      <c r="GEE141" s="3"/>
      <c r="GEF141" s="3"/>
      <c r="GEG141" s="3"/>
      <c r="GEH141" s="3"/>
      <c r="GEI141" s="3"/>
      <c r="GEJ141" s="3"/>
      <c r="GEK141" s="3"/>
      <c r="GEL141" s="3"/>
      <c r="GEM141" s="3"/>
      <c r="GEN141" s="3"/>
      <c r="GEO141" s="3"/>
      <c r="GEP141" s="3"/>
      <c r="GEQ141" s="3"/>
      <c r="GER141" s="3"/>
      <c r="GES141" s="3"/>
      <c r="GET141" s="3"/>
      <c r="GEU141" s="3"/>
      <c r="GEV141" s="3"/>
      <c r="GEW141" s="3"/>
      <c r="GEX141" s="3"/>
      <c r="GEY141" s="3"/>
      <c r="GEZ141" s="3"/>
      <c r="GFA141" s="3"/>
      <c r="GFB141" s="3"/>
      <c r="GFC141" s="3"/>
      <c r="GFD141" s="3"/>
      <c r="GFE141" s="3"/>
      <c r="GFF141" s="3"/>
      <c r="GFG141" s="3"/>
      <c r="GFH141" s="3"/>
      <c r="GFI141" s="3"/>
      <c r="GFJ141" s="3"/>
      <c r="GFK141" s="3"/>
      <c r="GFL141" s="3"/>
      <c r="GFM141" s="3"/>
      <c r="GFN141" s="3"/>
      <c r="GFO141" s="3"/>
      <c r="GFP141" s="3"/>
      <c r="GFQ141" s="3"/>
      <c r="GFR141" s="3"/>
      <c r="GFS141" s="3"/>
      <c r="GFT141" s="3"/>
      <c r="GFU141" s="3"/>
      <c r="GFV141" s="3"/>
      <c r="GFW141" s="3"/>
      <c r="GFX141" s="3"/>
      <c r="GFY141" s="3"/>
      <c r="GFZ141" s="3"/>
      <c r="GGA141" s="3"/>
      <c r="GGB141" s="3"/>
      <c r="GGC141" s="3"/>
      <c r="GGD141" s="3"/>
      <c r="GGE141" s="3"/>
      <c r="GGF141" s="3"/>
      <c r="GGG141" s="3"/>
      <c r="GGH141" s="3"/>
      <c r="GGI141" s="3"/>
      <c r="GGJ141" s="3"/>
      <c r="GGK141" s="3"/>
      <c r="GGL141" s="3"/>
      <c r="GGM141" s="3"/>
      <c r="GGN141" s="3"/>
      <c r="GGO141" s="3"/>
      <c r="GGP141" s="3"/>
      <c r="GGQ141" s="3"/>
      <c r="GGR141" s="3"/>
      <c r="GGS141" s="3"/>
      <c r="GGT141" s="3"/>
      <c r="GGU141" s="3"/>
      <c r="GGV141" s="3"/>
      <c r="GGW141" s="3"/>
      <c r="GGX141" s="3"/>
      <c r="GGY141" s="3"/>
      <c r="GGZ141" s="3"/>
      <c r="GHA141" s="3"/>
      <c r="GHB141" s="3"/>
      <c r="GHC141" s="3"/>
      <c r="GHD141" s="3"/>
      <c r="GHE141" s="3"/>
      <c r="GHF141" s="3"/>
      <c r="GHG141" s="3"/>
      <c r="GHH141" s="3"/>
      <c r="GHI141" s="3"/>
      <c r="GHJ141" s="3"/>
      <c r="GHK141" s="3"/>
      <c r="GHL141" s="3"/>
      <c r="GHM141" s="3"/>
      <c r="GHN141" s="3"/>
      <c r="GHO141" s="3"/>
      <c r="GHP141" s="3"/>
      <c r="GHQ141" s="3"/>
      <c r="GHR141" s="3"/>
      <c r="GHS141" s="3"/>
      <c r="GHT141" s="3"/>
      <c r="GHU141" s="3"/>
      <c r="GHV141" s="3"/>
      <c r="GHW141" s="3"/>
      <c r="GHX141" s="3"/>
      <c r="GHY141" s="3"/>
      <c r="GHZ141" s="3"/>
      <c r="GIA141" s="3"/>
      <c r="GIB141" s="3"/>
      <c r="GIC141" s="3"/>
      <c r="GID141" s="3"/>
      <c r="GIE141" s="3"/>
      <c r="GIF141" s="3"/>
      <c r="GIG141" s="3"/>
      <c r="GIH141" s="3"/>
      <c r="GII141" s="3"/>
      <c r="GIJ141" s="3"/>
      <c r="GIK141" s="3"/>
      <c r="GIL141" s="3"/>
      <c r="GIM141" s="3"/>
      <c r="GIN141" s="3"/>
      <c r="GIO141" s="3"/>
      <c r="GIP141" s="3"/>
      <c r="GIQ141" s="3"/>
      <c r="GIR141" s="3"/>
      <c r="GIS141" s="3"/>
      <c r="GIT141" s="3"/>
      <c r="GIU141" s="3"/>
      <c r="GIV141" s="3"/>
      <c r="GIW141" s="3"/>
      <c r="GIX141" s="3"/>
      <c r="GIY141" s="3"/>
      <c r="GIZ141" s="3"/>
      <c r="GJA141" s="3"/>
      <c r="GJB141" s="3"/>
      <c r="GJC141" s="3"/>
      <c r="GJD141" s="3"/>
      <c r="GJE141" s="3"/>
      <c r="GJF141" s="3"/>
      <c r="GJG141" s="3"/>
      <c r="GJH141" s="3"/>
      <c r="GJI141" s="3"/>
      <c r="GJJ141" s="3"/>
      <c r="GJK141" s="3"/>
      <c r="GJL141" s="3"/>
      <c r="GJM141" s="3"/>
      <c r="GJN141" s="3"/>
      <c r="GJO141" s="3"/>
      <c r="GJP141" s="3"/>
      <c r="GJQ141" s="3"/>
      <c r="GJR141" s="3"/>
      <c r="GJS141" s="3"/>
      <c r="GJT141" s="3"/>
      <c r="GJU141" s="3"/>
      <c r="GJV141" s="3"/>
      <c r="GJW141" s="3"/>
      <c r="GJX141" s="3"/>
      <c r="GJY141" s="3"/>
      <c r="GJZ141" s="3"/>
      <c r="GKA141" s="3"/>
      <c r="GKB141" s="3"/>
      <c r="GKC141" s="3"/>
      <c r="GKD141" s="3"/>
      <c r="GKE141" s="3"/>
      <c r="GKF141" s="3"/>
      <c r="GKG141" s="3"/>
      <c r="GKH141" s="3"/>
      <c r="GKI141" s="3"/>
      <c r="GKJ141" s="3"/>
      <c r="GKK141" s="3"/>
      <c r="GKL141" s="3"/>
      <c r="GKM141" s="3"/>
      <c r="GKN141" s="3"/>
      <c r="GKO141" s="3"/>
      <c r="GKP141" s="3"/>
      <c r="GKQ141" s="3"/>
      <c r="GKR141" s="3"/>
      <c r="GKS141" s="3"/>
      <c r="GKT141" s="3"/>
      <c r="GKU141" s="3"/>
      <c r="GKV141" s="3"/>
      <c r="GKW141" s="3"/>
      <c r="GKX141" s="3"/>
      <c r="GKY141" s="3"/>
      <c r="GKZ141" s="3"/>
      <c r="GLA141" s="3"/>
      <c r="GLB141" s="3"/>
      <c r="GLC141" s="3"/>
      <c r="GLD141" s="3"/>
      <c r="GLE141" s="3"/>
      <c r="GLF141" s="3"/>
      <c r="GLG141" s="3"/>
      <c r="GLH141" s="3"/>
      <c r="GLI141" s="3"/>
      <c r="GLJ141" s="3"/>
      <c r="GLK141" s="3"/>
      <c r="GLL141" s="3"/>
      <c r="GLM141" s="3"/>
      <c r="GLN141" s="3"/>
      <c r="GLO141" s="3"/>
      <c r="GLP141" s="3"/>
      <c r="GLQ141" s="3"/>
      <c r="GLR141" s="3"/>
      <c r="GLS141" s="3"/>
      <c r="GLT141" s="3"/>
      <c r="GLU141" s="3"/>
      <c r="GLV141" s="3"/>
      <c r="GLW141" s="3"/>
      <c r="GLX141" s="3"/>
      <c r="GLY141" s="3"/>
      <c r="GLZ141" s="3"/>
      <c r="GMA141" s="3"/>
      <c r="GMB141" s="3"/>
      <c r="GMC141" s="3"/>
      <c r="GMD141" s="3"/>
      <c r="GME141" s="3"/>
      <c r="GMF141" s="3"/>
      <c r="GMG141" s="3"/>
      <c r="GMH141" s="3"/>
      <c r="GMI141" s="3"/>
      <c r="GMJ141" s="3"/>
      <c r="GMK141" s="3"/>
      <c r="GML141" s="3"/>
      <c r="GMM141" s="3"/>
      <c r="GMN141" s="3"/>
      <c r="GMO141" s="3"/>
      <c r="GMP141" s="3"/>
      <c r="GMQ141" s="3"/>
      <c r="GMR141" s="3"/>
      <c r="GMS141" s="3"/>
      <c r="GMT141" s="3"/>
      <c r="GMU141" s="3"/>
      <c r="GMV141" s="3"/>
      <c r="GMW141" s="3"/>
      <c r="GMX141" s="3"/>
      <c r="GMY141" s="3"/>
      <c r="GMZ141" s="3"/>
      <c r="GNA141" s="3"/>
      <c r="GNB141" s="3"/>
      <c r="GNC141" s="3"/>
      <c r="GND141" s="3"/>
      <c r="GNE141" s="3"/>
      <c r="GNF141" s="3"/>
      <c r="GNG141" s="3"/>
      <c r="GNH141" s="3"/>
      <c r="GNI141" s="3"/>
      <c r="GNJ141" s="3"/>
      <c r="GNK141" s="3"/>
      <c r="GNL141" s="3"/>
      <c r="GNM141" s="3"/>
      <c r="GNN141" s="3"/>
      <c r="GNO141" s="3"/>
      <c r="GNP141" s="3"/>
      <c r="GNQ141" s="3"/>
      <c r="GNR141" s="3"/>
      <c r="GNS141" s="3"/>
      <c r="GNT141" s="3"/>
      <c r="GNU141" s="3"/>
      <c r="GNV141" s="3"/>
      <c r="GNW141" s="3"/>
      <c r="GNX141" s="3"/>
      <c r="GNY141" s="3"/>
      <c r="GNZ141" s="3"/>
      <c r="GOA141" s="3"/>
      <c r="GOB141" s="3"/>
      <c r="GOC141" s="3"/>
      <c r="GOD141" s="3"/>
      <c r="GOE141" s="3"/>
      <c r="GOF141" s="3"/>
      <c r="GOG141" s="3"/>
      <c r="GOH141" s="3"/>
      <c r="GOI141" s="3"/>
      <c r="GOJ141" s="3"/>
      <c r="GOK141" s="3"/>
      <c r="GOL141" s="3"/>
      <c r="GOM141" s="3"/>
      <c r="GON141" s="3"/>
      <c r="GOO141" s="3"/>
      <c r="GOP141" s="3"/>
      <c r="GOQ141" s="3"/>
      <c r="GOR141" s="3"/>
      <c r="GOS141" s="3"/>
      <c r="GOT141" s="3"/>
      <c r="GOU141" s="3"/>
      <c r="GOV141" s="3"/>
      <c r="GOW141" s="3"/>
      <c r="GOX141" s="3"/>
      <c r="GOY141" s="3"/>
      <c r="GOZ141" s="3"/>
      <c r="GPA141" s="3"/>
      <c r="GPB141" s="3"/>
      <c r="GPC141" s="3"/>
      <c r="GPD141" s="3"/>
      <c r="GPE141" s="3"/>
      <c r="GPF141" s="3"/>
      <c r="GPG141" s="3"/>
      <c r="GPH141" s="3"/>
      <c r="GPI141" s="3"/>
      <c r="GPJ141" s="3"/>
      <c r="GPK141" s="3"/>
      <c r="GPL141" s="3"/>
      <c r="GPM141" s="3"/>
      <c r="GPN141" s="3"/>
      <c r="GPO141" s="3"/>
      <c r="GPP141" s="3"/>
      <c r="GPQ141" s="3"/>
      <c r="GPR141" s="3"/>
      <c r="GPS141" s="3"/>
      <c r="GPT141" s="3"/>
      <c r="GPU141" s="3"/>
      <c r="GPV141" s="3"/>
      <c r="GPW141" s="3"/>
      <c r="GPX141" s="3"/>
      <c r="GPY141" s="3"/>
      <c r="GPZ141" s="3"/>
      <c r="GQA141" s="3"/>
      <c r="GQB141" s="3"/>
      <c r="GQC141" s="3"/>
      <c r="GQD141" s="3"/>
      <c r="GQE141" s="3"/>
      <c r="GQF141" s="3"/>
      <c r="GQG141" s="3"/>
      <c r="GQH141" s="3"/>
      <c r="GQI141" s="3"/>
      <c r="GQJ141" s="3"/>
      <c r="GQK141" s="3"/>
      <c r="GQL141" s="3"/>
      <c r="GQM141" s="3"/>
      <c r="GQN141" s="3"/>
      <c r="GQO141" s="3"/>
      <c r="GQP141" s="3"/>
      <c r="GQQ141" s="3"/>
      <c r="GQR141" s="3"/>
      <c r="GQS141" s="3"/>
      <c r="GQT141" s="3"/>
      <c r="GQU141" s="3"/>
      <c r="GQV141" s="3"/>
      <c r="GQW141" s="3"/>
      <c r="GQX141" s="3"/>
      <c r="GQY141" s="3"/>
      <c r="GQZ141" s="3"/>
      <c r="GRA141" s="3"/>
      <c r="GRB141" s="3"/>
      <c r="GRC141" s="3"/>
      <c r="GRD141" s="3"/>
      <c r="GRE141" s="3"/>
      <c r="GRF141" s="3"/>
      <c r="GRG141" s="3"/>
      <c r="GRH141" s="3"/>
      <c r="GRI141" s="3"/>
      <c r="GRJ141" s="3"/>
      <c r="GRK141" s="3"/>
      <c r="GRL141" s="3"/>
      <c r="GRM141" s="3"/>
      <c r="GRN141" s="3"/>
      <c r="GRO141" s="3"/>
      <c r="GRP141" s="3"/>
      <c r="GRQ141" s="3"/>
      <c r="GRR141" s="3"/>
      <c r="GRS141" s="3"/>
      <c r="GRT141" s="3"/>
      <c r="GRU141" s="3"/>
      <c r="GRV141" s="3"/>
      <c r="GRW141" s="3"/>
      <c r="GRX141" s="3"/>
      <c r="GRY141" s="3"/>
      <c r="GRZ141" s="3"/>
      <c r="GSA141" s="3"/>
      <c r="GSB141" s="3"/>
      <c r="GSC141" s="3"/>
      <c r="GSD141" s="3"/>
      <c r="GSE141" s="3"/>
      <c r="GSF141" s="3"/>
      <c r="GSG141" s="3"/>
      <c r="GSH141" s="3"/>
      <c r="GSI141" s="3"/>
      <c r="GSJ141" s="3"/>
      <c r="GSK141" s="3"/>
      <c r="GSL141" s="3"/>
      <c r="GSM141" s="3"/>
      <c r="GSN141" s="3"/>
      <c r="GSO141" s="3"/>
      <c r="GSP141" s="3"/>
      <c r="GSQ141" s="3"/>
      <c r="GSR141" s="3"/>
      <c r="GSS141" s="3"/>
      <c r="GST141" s="3"/>
      <c r="GSU141" s="3"/>
      <c r="GSV141" s="3"/>
      <c r="GSW141" s="3"/>
      <c r="GSX141" s="3"/>
      <c r="GSY141" s="3"/>
      <c r="GSZ141" s="3"/>
      <c r="GTA141" s="3"/>
      <c r="GTB141" s="3"/>
      <c r="GTC141" s="3"/>
      <c r="GTD141" s="3"/>
      <c r="GTE141" s="3"/>
      <c r="GTF141" s="3"/>
      <c r="GTG141" s="3"/>
      <c r="GTH141" s="3"/>
      <c r="GTI141" s="3"/>
      <c r="GTJ141" s="3"/>
      <c r="GTK141" s="3"/>
      <c r="GTL141" s="3"/>
      <c r="GTM141" s="3"/>
      <c r="GTN141" s="3"/>
      <c r="GTO141" s="3"/>
      <c r="GTP141" s="3"/>
      <c r="GTQ141" s="3"/>
      <c r="GTR141" s="3"/>
      <c r="GTS141" s="3"/>
      <c r="GTT141" s="3"/>
      <c r="GTU141" s="3"/>
      <c r="GTV141" s="3"/>
      <c r="GTW141" s="3"/>
      <c r="GTX141" s="3"/>
      <c r="GTY141" s="3"/>
      <c r="GTZ141" s="3"/>
      <c r="GUA141" s="3"/>
      <c r="GUB141" s="3"/>
      <c r="GUC141" s="3"/>
      <c r="GUD141" s="3"/>
      <c r="GUE141" s="3"/>
      <c r="GUF141" s="3"/>
      <c r="GUG141" s="3"/>
      <c r="GUH141" s="3"/>
      <c r="GUI141" s="3"/>
      <c r="GUJ141" s="3"/>
      <c r="GUK141" s="3"/>
      <c r="GUL141" s="3"/>
      <c r="GUM141" s="3"/>
      <c r="GUN141" s="3"/>
      <c r="GUO141" s="3"/>
      <c r="GUP141" s="3"/>
      <c r="GUQ141" s="3"/>
      <c r="GUR141" s="3"/>
      <c r="GUS141" s="3"/>
      <c r="GUT141" s="3"/>
      <c r="GUU141" s="3"/>
      <c r="GUV141" s="3"/>
      <c r="GUW141" s="3"/>
      <c r="GUX141" s="3"/>
      <c r="GUY141" s="3"/>
      <c r="GUZ141" s="3"/>
      <c r="GVA141" s="3"/>
      <c r="GVB141" s="3"/>
      <c r="GVC141" s="3"/>
      <c r="GVD141" s="3"/>
      <c r="GVE141" s="3"/>
      <c r="GVF141" s="3"/>
      <c r="GVG141" s="3"/>
      <c r="GVH141" s="3"/>
      <c r="GVI141" s="3"/>
      <c r="GVJ141" s="3"/>
      <c r="GVK141" s="3"/>
      <c r="GVL141" s="3"/>
      <c r="GVM141" s="3"/>
      <c r="GVN141" s="3"/>
      <c r="GVO141" s="3"/>
      <c r="GVP141" s="3"/>
      <c r="GVQ141" s="3"/>
      <c r="GVR141" s="3"/>
      <c r="GVS141" s="3"/>
      <c r="GVT141" s="3"/>
      <c r="GVU141" s="3"/>
      <c r="GVV141" s="3"/>
      <c r="GVW141" s="3"/>
      <c r="GVX141" s="3"/>
      <c r="GVY141" s="3"/>
      <c r="GVZ141" s="3"/>
      <c r="GWA141" s="3"/>
      <c r="GWB141" s="3"/>
      <c r="GWC141" s="3"/>
      <c r="GWD141" s="3"/>
      <c r="GWE141" s="3"/>
      <c r="GWF141" s="3"/>
      <c r="GWG141" s="3"/>
      <c r="GWH141" s="3"/>
      <c r="GWI141" s="3"/>
      <c r="GWJ141" s="3"/>
      <c r="GWK141" s="3"/>
      <c r="GWL141" s="3"/>
      <c r="GWM141" s="3"/>
      <c r="GWN141" s="3"/>
      <c r="GWO141" s="3"/>
      <c r="GWP141" s="3"/>
      <c r="GWQ141" s="3"/>
      <c r="GWR141" s="3"/>
      <c r="GWS141" s="3"/>
      <c r="GWT141" s="3"/>
      <c r="GWU141" s="3"/>
      <c r="GWV141" s="3"/>
      <c r="GWW141" s="3"/>
      <c r="GWX141" s="3"/>
      <c r="GWY141" s="3"/>
      <c r="GWZ141" s="3"/>
      <c r="GXA141" s="3"/>
      <c r="GXB141" s="3"/>
      <c r="GXC141" s="3"/>
      <c r="GXD141" s="3"/>
      <c r="GXE141" s="3"/>
      <c r="GXF141" s="3"/>
      <c r="GXG141" s="3"/>
      <c r="GXH141" s="3"/>
      <c r="GXI141" s="3"/>
      <c r="GXJ141" s="3"/>
      <c r="GXK141" s="3"/>
      <c r="GXL141" s="3"/>
      <c r="GXM141" s="3"/>
      <c r="GXN141" s="3"/>
      <c r="GXO141" s="3"/>
      <c r="GXP141" s="3"/>
      <c r="GXQ141" s="3"/>
      <c r="GXR141" s="3"/>
      <c r="GXS141" s="3"/>
      <c r="GXT141" s="3"/>
      <c r="GXU141" s="3"/>
      <c r="GXV141" s="3"/>
      <c r="GXW141" s="3"/>
      <c r="GXX141" s="3"/>
      <c r="GXY141" s="3"/>
      <c r="GXZ141" s="3"/>
      <c r="GYA141" s="3"/>
      <c r="GYB141" s="3"/>
      <c r="GYC141" s="3"/>
      <c r="GYD141" s="3"/>
      <c r="GYE141" s="3"/>
      <c r="GYF141" s="3"/>
      <c r="GYG141" s="3"/>
      <c r="GYH141" s="3"/>
      <c r="GYI141" s="3"/>
      <c r="GYJ141" s="3"/>
      <c r="GYK141" s="3"/>
      <c r="GYL141" s="3"/>
      <c r="GYM141" s="3"/>
      <c r="GYN141" s="3"/>
      <c r="GYO141" s="3"/>
      <c r="GYP141" s="3"/>
      <c r="GYQ141" s="3"/>
      <c r="GYR141" s="3"/>
      <c r="GYS141" s="3"/>
      <c r="GYT141" s="3"/>
      <c r="GYU141" s="3"/>
      <c r="GYV141" s="3"/>
      <c r="GYW141" s="3"/>
      <c r="GYX141" s="3"/>
      <c r="GYY141" s="3"/>
      <c r="GYZ141" s="3"/>
      <c r="GZA141" s="3"/>
      <c r="GZB141" s="3"/>
      <c r="GZC141" s="3"/>
      <c r="GZD141" s="3"/>
      <c r="GZE141" s="3"/>
      <c r="GZF141" s="3"/>
      <c r="GZG141" s="3"/>
      <c r="GZH141" s="3"/>
      <c r="GZI141" s="3"/>
      <c r="GZJ141" s="3"/>
      <c r="GZK141" s="3"/>
      <c r="GZL141" s="3"/>
      <c r="GZM141" s="3"/>
      <c r="GZN141" s="3"/>
      <c r="GZO141" s="3"/>
      <c r="GZP141" s="3"/>
      <c r="GZQ141" s="3"/>
      <c r="GZR141" s="3"/>
      <c r="GZS141" s="3"/>
      <c r="GZT141" s="3"/>
      <c r="GZU141" s="3"/>
      <c r="GZV141" s="3"/>
      <c r="GZW141" s="3"/>
      <c r="GZX141" s="3"/>
      <c r="GZY141" s="3"/>
      <c r="GZZ141" s="3"/>
      <c r="HAA141" s="3"/>
      <c r="HAB141" s="3"/>
      <c r="HAC141" s="3"/>
      <c r="HAD141" s="3"/>
      <c r="HAE141" s="3"/>
      <c r="HAF141" s="3"/>
      <c r="HAG141" s="3"/>
      <c r="HAH141" s="3"/>
      <c r="HAI141" s="3"/>
      <c r="HAJ141" s="3"/>
      <c r="HAK141" s="3"/>
      <c r="HAL141" s="3"/>
      <c r="HAM141" s="3"/>
      <c r="HAN141" s="3"/>
      <c r="HAO141" s="3"/>
      <c r="HAP141" s="3"/>
      <c r="HAQ141" s="3"/>
      <c r="HAR141" s="3"/>
      <c r="HAS141" s="3"/>
      <c r="HAT141" s="3"/>
      <c r="HAU141" s="3"/>
      <c r="HAV141" s="3"/>
      <c r="HAW141" s="3"/>
      <c r="HAX141" s="3"/>
      <c r="HAY141" s="3"/>
      <c r="HAZ141" s="3"/>
      <c r="HBA141" s="3"/>
      <c r="HBB141" s="3"/>
      <c r="HBC141" s="3"/>
      <c r="HBD141" s="3"/>
      <c r="HBE141" s="3"/>
      <c r="HBF141" s="3"/>
      <c r="HBG141" s="3"/>
      <c r="HBH141" s="3"/>
      <c r="HBI141" s="3"/>
      <c r="HBJ141" s="3"/>
      <c r="HBK141" s="3"/>
      <c r="HBL141" s="3"/>
      <c r="HBM141" s="3"/>
      <c r="HBN141" s="3"/>
      <c r="HBO141" s="3"/>
      <c r="HBP141" s="3"/>
      <c r="HBQ141" s="3"/>
      <c r="HBR141" s="3"/>
      <c r="HBS141" s="3"/>
      <c r="HBT141" s="3"/>
      <c r="HBU141" s="3"/>
      <c r="HBV141" s="3"/>
      <c r="HBW141" s="3"/>
      <c r="HBX141" s="3"/>
      <c r="HBY141" s="3"/>
      <c r="HBZ141" s="3"/>
      <c r="HCA141" s="3"/>
      <c r="HCB141" s="3"/>
      <c r="HCC141" s="3"/>
      <c r="HCD141" s="3"/>
      <c r="HCE141" s="3"/>
      <c r="HCF141" s="3"/>
      <c r="HCG141" s="3"/>
      <c r="HCH141" s="3"/>
      <c r="HCI141" s="3"/>
      <c r="HCJ141" s="3"/>
      <c r="HCK141" s="3"/>
      <c r="HCL141" s="3"/>
      <c r="HCM141" s="3"/>
      <c r="HCN141" s="3"/>
      <c r="HCO141" s="3"/>
      <c r="HCP141" s="3"/>
      <c r="HCQ141" s="3"/>
      <c r="HCR141" s="3"/>
      <c r="HCS141" s="3"/>
      <c r="HCT141" s="3"/>
      <c r="HCU141" s="3"/>
      <c r="HCV141" s="3"/>
      <c r="HCW141" s="3"/>
      <c r="HCX141" s="3"/>
      <c r="HCY141" s="3"/>
      <c r="HCZ141" s="3"/>
      <c r="HDA141" s="3"/>
      <c r="HDB141" s="3"/>
      <c r="HDC141" s="3"/>
      <c r="HDD141" s="3"/>
      <c r="HDE141" s="3"/>
      <c r="HDF141" s="3"/>
      <c r="HDG141" s="3"/>
      <c r="HDH141" s="3"/>
      <c r="HDI141" s="3"/>
      <c r="HDJ141" s="3"/>
      <c r="HDK141" s="3"/>
      <c r="HDL141" s="3"/>
      <c r="HDM141" s="3"/>
      <c r="HDN141" s="3"/>
      <c r="HDO141" s="3"/>
      <c r="HDP141" s="3"/>
      <c r="HDQ141" s="3"/>
      <c r="HDR141" s="3"/>
      <c r="HDS141" s="3"/>
      <c r="HDT141" s="3"/>
      <c r="HDU141" s="3"/>
      <c r="HDV141" s="3"/>
      <c r="HDW141" s="3"/>
      <c r="HDX141" s="3"/>
      <c r="HDY141" s="3"/>
      <c r="HDZ141" s="3"/>
      <c r="HEA141" s="3"/>
      <c r="HEB141" s="3"/>
      <c r="HEC141" s="3"/>
      <c r="HED141" s="3"/>
      <c r="HEE141" s="3"/>
      <c r="HEF141" s="3"/>
      <c r="HEG141" s="3"/>
      <c r="HEH141" s="3"/>
      <c r="HEI141" s="3"/>
      <c r="HEJ141" s="3"/>
      <c r="HEK141" s="3"/>
      <c r="HEL141" s="3"/>
      <c r="HEM141" s="3"/>
      <c r="HEN141" s="3"/>
      <c r="HEO141" s="3"/>
      <c r="HEP141" s="3"/>
      <c r="HEQ141" s="3"/>
      <c r="HER141" s="3"/>
      <c r="HES141" s="3"/>
      <c r="HET141" s="3"/>
      <c r="HEU141" s="3"/>
      <c r="HEV141" s="3"/>
      <c r="HEW141" s="3"/>
      <c r="HEX141" s="3"/>
      <c r="HEY141" s="3"/>
      <c r="HEZ141" s="3"/>
      <c r="HFA141" s="3"/>
      <c r="HFB141" s="3"/>
      <c r="HFC141" s="3"/>
      <c r="HFD141" s="3"/>
      <c r="HFE141" s="3"/>
      <c r="HFF141" s="3"/>
      <c r="HFG141" s="3"/>
      <c r="HFH141" s="3"/>
      <c r="HFI141" s="3"/>
      <c r="HFJ141" s="3"/>
      <c r="HFK141" s="3"/>
      <c r="HFL141" s="3"/>
      <c r="HFM141" s="3"/>
      <c r="HFN141" s="3"/>
      <c r="HFO141" s="3"/>
      <c r="HFP141" s="3"/>
      <c r="HFQ141" s="3"/>
      <c r="HFR141" s="3"/>
      <c r="HFS141" s="3"/>
      <c r="HFT141" s="3"/>
      <c r="HFU141" s="3"/>
      <c r="HFV141" s="3"/>
      <c r="HFW141" s="3"/>
      <c r="HFX141" s="3"/>
      <c r="HFY141" s="3"/>
      <c r="HFZ141" s="3"/>
      <c r="HGA141" s="3"/>
      <c r="HGB141" s="3"/>
      <c r="HGC141" s="3"/>
      <c r="HGD141" s="3"/>
      <c r="HGE141" s="3"/>
      <c r="HGF141" s="3"/>
      <c r="HGG141" s="3"/>
      <c r="HGH141" s="3"/>
      <c r="HGI141" s="3"/>
      <c r="HGJ141" s="3"/>
      <c r="HGK141" s="3"/>
      <c r="HGL141" s="3"/>
      <c r="HGM141" s="3"/>
      <c r="HGN141" s="3"/>
      <c r="HGO141" s="3"/>
      <c r="HGP141" s="3"/>
      <c r="HGQ141" s="3"/>
      <c r="HGR141" s="3"/>
      <c r="HGS141" s="3"/>
      <c r="HGT141" s="3"/>
      <c r="HGU141" s="3"/>
      <c r="HGV141" s="3"/>
      <c r="HGW141" s="3"/>
      <c r="HGX141" s="3"/>
      <c r="HGY141" s="3"/>
      <c r="HGZ141" s="3"/>
      <c r="HHA141" s="3"/>
      <c r="HHB141" s="3"/>
      <c r="HHC141" s="3"/>
      <c r="HHD141" s="3"/>
      <c r="HHE141" s="3"/>
      <c r="HHF141" s="3"/>
      <c r="HHG141" s="3"/>
      <c r="HHH141" s="3"/>
      <c r="HHI141" s="3"/>
      <c r="HHJ141" s="3"/>
      <c r="HHK141" s="3"/>
      <c r="HHL141" s="3"/>
      <c r="HHM141" s="3"/>
      <c r="HHN141" s="3"/>
      <c r="HHO141" s="3"/>
      <c r="HHP141" s="3"/>
      <c r="HHQ141" s="3"/>
      <c r="HHR141" s="3"/>
      <c r="HHS141" s="3"/>
      <c r="HHT141" s="3"/>
      <c r="HHU141" s="3"/>
      <c r="HHV141" s="3"/>
      <c r="HHW141" s="3"/>
      <c r="HHX141" s="3"/>
      <c r="HHY141" s="3"/>
      <c r="HHZ141" s="3"/>
      <c r="HIA141" s="3"/>
      <c r="HIB141" s="3"/>
      <c r="HIC141" s="3"/>
      <c r="HID141" s="3"/>
      <c r="HIE141" s="3"/>
      <c r="HIF141" s="3"/>
      <c r="HIG141" s="3"/>
      <c r="HIH141" s="3"/>
      <c r="HII141" s="3"/>
      <c r="HIJ141" s="3"/>
      <c r="HIK141" s="3"/>
      <c r="HIL141" s="3"/>
      <c r="HIM141" s="3"/>
      <c r="HIN141" s="3"/>
      <c r="HIO141" s="3"/>
      <c r="HIP141" s="3"/>
      <c r="HIQ141" s="3"/>
      <c r="HIR141" s="3"/>
      <c r="HIS141" s="3"/>
      <c r="HIT141" s="3"/>
      <c r="HIU141" s="3"/>
      <c r="HIV141" s="3"/>
      <c r="HIW141" s="3"/>
      <c r="HIX141" s="3"/>
      <c r="HIY141" s="3"/>
      <c r="HIZ141" s="3"/>
      <c r="HJA141" s="3"/>
      <c r="HJB141" s="3"/>
      <c r="HJC141" s="3"/>
      <c r="HJD141" s="3"/>
      <c r="HJE141" s="3"/>
      <c r="HJF141" s="3"/>
      <c r="HJG141" s="3"/>
      <c r="HJH141" s="3"/>
      <c r="HJI141" s="3"/>
      <c r="HJJ141" s="3"/>
      <c r="HJK141" s="3"/>
      <c r="HJL141" s="3"/>
      <c r="HJM141" s="3"/>
      <c r="HJN141" s="3"/>
      <c r="HJO141" s="3"/>
      <c r="HJP141" s="3"/>
      <c r="HJQ141" s="3"/>
      <c r="HJR141" s="3"/>
      <c r="HJS141" s="3"/>
      <c r="HJT141" s="3"/>
      <c r="HJU141" s="3"/>
      <c r="HJV141" s="3"/>
      <c r="HJW141" s="3"/>
      <c r="HJX141" s="3"/>
      <c r="HJY141" s="3"/>
      <c r="HJZ141" s="3"/>
      <c r="HKA141" s="3"/>
      <c r="HKB141" s="3"/>
      <c r="HKC141" s="3"/>
      <c r="HKD141" s="3"/>
      <c r="HKE141" s="3"/>
      <c r="HKF141" s="3"/>
      <c r="HKG141" s="3"/>
      <c r="HKH141" s="3"/>
      <c r="HKI141" s="3"/>
      <c r="HKJ141" s="3"/>
      <c r="HKK141" s="3"/>
      <c r="HKL141" s="3"/>
      <c r="HKM141" s="3"/>
      <c r="HKN141" s="3"/>
      <c r="HKO141" s="3"/>
      <c r="HKP141" s="3"/>
      <c r="HKQ141" s="3"/>
      <c r="HKR141" s="3"/>
      <c r="HKS141" s="3"/>
      <c r="HKT141" s="3"/>
      <c r="HKU141" s="3"/>
      <c r="HKV141" s="3"/>
      <c r="HKW141" s="3"/>
      <c r="HKX141" s="3"/>
      <c r="HKY141" s="3"/>
      <c r="HKZ141" s="3"/>
      <c r="HLA141" s="3"/>
      <c r="HLB141" s="3"/>
      <c r="HLC141" s="3"/>
      <c r="HLD141" s="3"/>
      <c r="HLE141" s="3"/>
      <c r="HLF141" s="3"/>
      <c r="HLG141" s="3"/>
      <c r="HLH141" s="3"/>
      <c r="HLI141" s="3"/>
      <c r="HLJ141" s="3"/>
      <c r="HLK141" s="3"/>
      <c r="HLL141" s="3"/>
      <c r="HLM141" s="3"/>
      <c r="HLN141" s="3"/>
      <c r="HLO141" s="3"/>
      <c r="HLP141" s="3"/>
      <c r="HLQ141" s="3"/>
      <c r="HLR141" s="3"/>
      <c r="HLS141" s="3"/>
      <c r="HLT141" s="3"/>
      <c r="HLU141" s="3"/>
      <c r="HLV141" s="3"/>
      <c r="HLW141" s="3"/>
      <c r="HLX141" s="3"/>
      <c r="HLY141" s="3"/>
      <c r="HLZ141" s="3"/>
      <c r="HMA141" s="3"/>
      <c r="HMB141" s="3"/>
      <c r="HMC141" s="3"/>
      <c r="HMD141" s="3"/>
      <c r="HME141" s="3"/>
      <c r="HMF141" s="3"/>
      <c r="HMG141" s="3"/>
      <c r="HMH141" s="3"/>
      <c r="HMI141" s="3"/>
      <c r="HMJ141" s="3"/>
      <c r="HMK141" s="3"/>
      <c r="HML141" s="3"/>
      <c r="HMM141" s="3"/>
      <c r="HMN141" s="3"/>
      <c r="HMO141" s="3"/>
      <c r="HMP141" s="3"/>
      <c r="HMQ141" s="3"/>
      <c r="HMR141" s="3"/>
      <c r="HMS141" s="3"/>
      <c r="HMT141" s="3"/>
      <c r="HMU141" s="3"/>
      <c r="HMV141" s="3"/>
      <c r="HMW141" s="3"/>
      <c r="HMX141" s="3"/>
      <c r="HMY141" s="3"/>
      <c r="HMZ141" s="3"/>
      <c r="HNA141" s="3"/>
      <c r="HNB141" s="3"/>
      <c r="HNC141" s="3"/>
      <c r="HND141" s="3"/>
      <c r="HNE141" s="3"/>
      <c r="HNF141" s="3"/>
      <c r="HNG141" s="3"/>
      <c r="HNH141" s="3"/>
      <c r="HNI141" s="3"/>
      <c r="HNJ141" s="3"/>
      <c r="HNK141" s="3"/>
      <c r="HNL141" s="3"/>
      <c r="HNM141" s="3"/>
      <c r="HNN141" s="3"/>
      <c r="HNO141" s="3"/>
      <c r="HNP141" s="3"/>
      <c r="HNQ141" s="3"/>
      <c r="HNR141" s="3"/>
      <c r="HNS141" s="3"/>
      <c r="HNT141" s="3"/>
      <c r="HNU141" s="3"/>
      <c r="HNV141" s="3"/>
      <c r="HNW141" s="3"/>
      <c r="HNX141" s="3"/>
      <c r="HNY141" s="3"/>
      <c r="HNZ141" s="3"/>
      <c r="HOA141" s="3"/>
      <c r="HOB141" s="3"/>
      <c r="HOC141" s="3"/>
      <c r="HOD141" s="3"/>
      <c r="HOE141" s="3"/>
      <c r="HOF141" s="3"/>
      <c r="HOG141" s="3"/>
      <c r="HOH141" s="3"/>
      <c r="HOI141" s="3"/>
      <c r="HOJ141" s="3"/>
      <c r="HOK141" s="3"/>
      <c r="HOL141" s="3"/>
      <c r="HOM141" s="3"/>
      <c r="HON141" s="3"/>
      <c r="HOO141" s="3"/>
      <c r="HOP141" s="3"/>
      <c r="HOQ141" s="3"/>
      <c r="HOR141" s="3"/>
      <c r="HOS141" s="3"/>
      <c r="HOT141" s="3"/>
      <c r="HOU141" s="3"/>
      <c r="HOV141" s="3"/>
      <c r="HOW141" s="3"/>
      <c r="HOX141" s="3"/>
      <c r="HOY141" s="3"/>
      <c r="HOZ141" s="3"/>
      <c r="HPA141" s="3"/>
      <c r="HPB141" s="3"/>
      <c r="HPC141" s="3"/>
      <c r="HPD141" s="3"/>
      <c r="HPE141" s="3"/>
      <c r="HPF141" s="3"/>
      <c r="HPG141" s="3"/>
      <c r="HPH141" s="3"/>
      <c r="HPI141" s="3"/>
      <c r="HPJ141" s="3"/>
      <c r="HPK141" s="3"/>
      <c r="HPL141" s="3"/>
      <c r="HPM141" s="3"/>
      <c r="HPN141" s="3"/>
      <c r="HPO141" s="3"/>
      <c r="HPP141" s="3"/>
      <c r="HPQ141" s="3"/>
      <c r="HPR141" s="3"/>
      <c r="HPS141" s="3"/>
      <c r="HPT141" s="3"/>
      <c r="HPU141" s="3"/>
      <c r="HPV141" s="3"/>
      <c r="HPW141" s="3"/>
      <c r="HPX141" s="3"/>
      <c r="HPY141" s="3"/>
      <c r="HPZ141" s="3"/>
      <c r="HQA141" s="3"/>
      <c r="HQB141" s="3"/>
      <c r="HQC141" s="3"/>
      <c r="HQD141" s="3"/>
      <c r="HQE141" s="3"/>
      <c r="HQF141" s="3"/>
      <c r="HQG141" s="3"/>
      <c r="HQH141" s="3"/>
      <c r="HQI141" s="3"/>
      <c r="HQJ141" s="3"/>
      <c r="HQK141" s="3"/>
      <c r="HQL141" s="3"/>
      <c r="HQM141" s="3"/>
      <c r="HQN141" s="3"/>
      <c r="HQO141" s="3"/>
      <c r="HQP141" s="3"/>
      <c r="HQQ141" s="3"/>
      <c r="HQR141" s="3"/>
      <c r="HQS141" s="3"/>
      <c r="HQT141" s="3"/>
      <c r="HQU141" s="3"/>
      <c r="HQV141" s="3"/>
      <c r="HQW141" s="3"/>
      <c r="HQX141" s="3"/>
      <c r="HQY141" s="3"/>
      <c r="HQZ141" s="3"/>
      <c r="HRA141" s="3"/>
      <c r="HRB141" s="3"/>
      <c r="HRC141" s="3"/>
      <c r="HRD141" s="3"/>
      <c r="HRE141" s="3"/>
      <c r="HRF141" s="3"/>
      <c r="HRG141" s="3"/>
      <c r="HRH141" s="3"/>
      <c r="HRI141" s="3"/>
      <c r="HRJ141" s="3"/>
      <c r="HRK141" s="3"/>
      <c r="HRL141" s="3"/>
      <c r="HRM141" s="3"/>
      <c r="HRN141" s="3"/>
      <c r="HRO141" s="3"/>
      <c r="HRP141" s="3"/>
      <c r="HRQ141" s="3"/>
      <c r="HRR141" s="3"/>
      <c r="HRS141" s="3"/>
      <c r="HRT141" s="3"/>
      <c r="HRU141" s="3"/>
      <c r="HRV141" s="3"/>
      <c r="HRW141" s="3"/>
      <c r="HRX141" s="3"/>
      <c r="HRY141" s="3"/>
      <c r="HRZ141" s="3"/>
      <c r="HSA141" s="3"/>
      <c r="HSB141" s="3"/>
      <c r="HSC141" s="3"/>
      <c r="HSD141" s="3"/>
      <c r="HSE141" s="3"/>
      <c r="HSF141" s="3"/>
      <c r="HSG141" s="3"/>
      <c r="HSH141" s="3"/>
      <c r="HSI141" s="3"/>
      <c r="HSJ141" s="3"/>
      <c r="HSK141" s="3"/>
      <c r="HSL141" s="3"/>
      <c r="HSM141" s="3"/>
      <c r="HSN141" s="3"/>
      <c r="HSO141" s="3"/>
      <c r="HSP141" s="3"/>
      <c r="HSQ141" s="3"/>
      <c r="HSR141" s="3"/>
      <c r="HSS141" s="3"/>
      <c r="HST141" s="3"/>
      <c r="HSU141" s="3"/>
      <c r="HSV141" s="3"/>
      <c r="HSW141" s="3"/>
      <c r="HSX141" s="3"/>
      <c r="HSY141" s="3"/>
      <c r="HSZ141" s="3"/>
      <c r="HTA141" s="3"/>
      <c r="HTB141" s="3"/>
      <c r="HTC141" s="3"/>
      <c r="HTD141" s="3"/>
      <c r="HTE141" s="3"/>
      <c r="HTF141" s="3"/>
      <c r="HTG141" s="3"/>
      <c r="HTH141" s="3"/>
      <c r="HTI141" s="3"/>
      <c r="HTJ141" s="3"/>
      <c r="HTK141" s="3"/>
      <c r="HTL141" s="3"/>
      <c r="HTM141" s="3"/>
      <c r="HTN141" s="3"/>
      <c r="HTO141" s="3"/>
      <c r="HTP141" s="3"/>
      <c r="HTQ141" s="3"/>
      <c r="HTR141" s="3"/>
      <c r="HTS141" s="3"/>
      <c r="HTT141" s="3"/>
      <c r="HTU141" s="3"/>
      <c r="HTV141" s="3"/>
      <c r="HTW141" s="3"/>
      <c r="HTX141" s="3"/>
      <c r="HTY141" s="3"/>
      <c r="HTZ141" s="3"/>
      <c r="HUA141" s="3"/>
      <c r="HUB141" s="3"/>
      <c r="HUC141" s="3"/>
      <c r="HUD141" s="3"/>
      <c r="HUE141" s="3"/>
      <c r="HUF141" s="3"/>
      <c r="HUG141" s="3"/>
      <c r="HUH141" s="3"/>
      <c r="HUI141" s="3"/>
      <c r="HUJ141" s="3"/>
      <c r="HUK141" s="3"/>
      <c r="HUL141" s="3"/>
      <c r="HUM141" s="3"/>
      <c r="HUN141" s="3"/>
      <c r="HUO141" s="3"/>
      <c r="HUP141" s="3"/>
      <c r="HUQ141" s="3"/>
      <c r="HUR141" s="3"/>
      <c r="HUS141" s="3"/>
      <c r="HUT141" s="3"/>
      <c r="HUU141" s="3"/>
      <c r="HUV141" s="3"/>
      <c r="HUW141" s="3"/>
      <c r="HUX141" s="3"/>
      <c r="HUY141" s="3"/>
      <c r="HUZ141" s="3"/>
      <c r="HVA141" s="3"/>
      <c r="HVB141" s="3"/>
      <c r="HVC141" s="3"/>
      <c r="HVD141" s="3"/>
      <c r="HVE141" s="3"/>
      <c r="HVF141" s="3"/>
      <c r="HVG141" s="3"/>
      <c r="HVH141" s="3"/>
      <c r="HVI141" s="3"/>
      <c r="HVJ141" s="3"/>
      <c r="HVK141" s="3"/>
      <c r="HVL141" s="3"/>
      <c r="HVM141" s="3"/>
      <c r="HVN141" s="3"/>
      <c r="HVO141" s="3"/>
      <c r="HVP141" s="3"/>
      <c r="HVQ141" s="3"/>
      <c r="HVR141" s="3"/>
      <c r="HVS141" s="3"/>
      <c r="HVT141" s="3"/>
      <c r="HVU141" s="3"/>
      <c r="HVV141" s="3"/>
      <c r="HVW141" s="3"/>
      <c r="HVX141" s="3"/>
      <c r="HVY141" s="3"/>
      <c r="HVZ141" s="3"/>
      <c r="HWA141" s="3"/>
      <c r="HWB141" s="3"/>
      <c r="HWC141" s="3"/>
      <c r="HWD141" s="3"/>
      <c r="HWE141" s="3"/>
      <c r="HWF141" s="3"/>
      <c r="HWG141" s="3"/>
      <c r="HWH141" s="3"/>
      <c r="HWI141" s="3"/>
      <c r="HWJ141" s="3"/>
      <c r="HWK141" s="3"/>
      <c r="HWL141" s="3"/>
      <c r="HWM141" s="3"/>
      <c r="HWN141" s="3"/>
      <c r="HWO141" s="3"/>
      <c r="HWP141" s="3"/>
      <c r="HWQ141" s="3"/>
      <c r="HWR141" s="3"/>
      <c r="HWS141" s="3"/>
      <c r="HWT141" s="3"/>
      <c r="HWU141" s="3"/>
      <c r="HWV141" s="3"/>
      <c r="HWW141" s="3"/>
      <c r="HWX141" s="3"/>
      <c r="HWY141" s="3"/>
      <c r="HWZ141" s="3"/>
      <c r="HXA141" s="3"/>
      <c r="HXB141" s="3"/>
      <c r="HXC141" s="3"/>
      <c r="HXD141" s="3"/>
      <c r="HXE141" s="3"/>
      <c r="HXF141" s="3"/>
      <c r="HXG141" s="3"/>
      <c r="HXH141" s="3"/>
      <c r="HXI141" s="3"/>
      <c r="HXJ141" s="3"/>
      <c r="HXK141" s="3"/>
      <c r="HXL141" s="3"/>
      <c r="HXM141" s="3"/>
      <c r="HXN141" s="3"/>
      <c r="HXO141" s="3"/>
      <c r="HXP141" s="3"/>
      <c r="HXQ141" s="3"/>
      <c r="HXR141" s="3"/>
      <c r="HXS141" s="3"/>
      <c r="HXT141" s="3"/>
      <c r="HXU141" s="3"/>
      <c r="HXV141" s="3"/>
      <c r="HXW141" s="3"/>
      <c r="HXX141" s="3"/>
      <c r="HXY141" s="3"/>
      <c r="HXZ141" s="3"/>
      <c r="HYA141" s="3"/>
      <c r="HYB141" s="3"/>
      <c r="HYC141" s="3"/>
      <c r="HYD141" s="3"/>
      <c r="HYE141" s="3"/>
      <c r="HYF141" s="3"/>
      <c r="HYG141" s="3"/>
      <c r="HYH141" s="3"/>
      <c r="HYI141" s="3"/>
      <c r="HYJ141" s="3"/>
      <c r="HYK141" s="3"/>
      <c r="HYL141" s="3"/>
      <c r="HYM141" s="3"/>
      <c r="HYN141" s="3"/>
      <c r="HYO141" s="3"/>
      <c r="HYP141" s="3"/>
      <c r="HYQ141" s="3"/>
      <c r="HYR141" s="3"/>
      <c r="HYS141" s="3"/>
      <c r="HYT141" s="3"/>
      <c r="HYU141" s="3"/>
      <c r="HYV141" s="3"/>
      <c r="HYW141" s="3"/>
      <c r="HYX141" s="3"/>
      <c r="HYY141" s="3"/>
      <c r="HYZ141" s="3"/>
      <c r="HZA141" s="3"/>
      <c r="HZB141" s="3"/>
      <c r="HZC141" s="3"/>
      <c r="HZD141" s="3"/>
      <c r="HZE141" s="3"/>
      <c r="HZF141" s="3"/>
      <c r="HZG141" s="3"/>
      <c r="HZH141" s="3"/>
      <c r="HZI141" s="3"/>
      <c r="HZJ141" s="3"/>
      <c r="HZK141" s="3"/>
      <c r="HZL141" s="3"/>
      <c r="HZM141" s="3"/>
      <c r="HZN141" s="3"/>
      <c r="HZO141" s="3"/>
      <c r="HZP141" s="3"/>
      <c r="HZQ141" s="3"/>
      <c r="HZR141" s="3"/>
      <c r="HZS141" s="3"/>
      <c r="HZT141" s="3"/>
      <c r="HZU141" s="3"/>
      <c r="HZV141" s="3"/>
      <c r="HZW141" s="3"/>
      <c r="HZX141" s="3"/>
      <c r="HZY141" s="3"/>
      <c r="HZZ141" s="3"/>
      <c r="IAA141" s="3"/>
      <c r="IAB141" s="3"/>
      <c r="IAC141" s="3"/>
      <c r="IAD141" s="3"/>
      <c r="IAE141" s="3"/>
      <c r="IAF141" s="3"/>
      <c r="IAG141" s="3"/>
      <c r="IAH141" s="3"/>
      <c r="IAI141" s="3"/>
      <c r="IAJ141" s="3"/>
      <c r="IAK141" s="3"/>
      <c r="IAL141" s="3"/>
      <c r="IAM141" s="3"/>
      <c r="IAN141" s="3"/>
      <c r="IAO141" s="3"/>
      <c r="IAP141" s="3"/>
      <c r="IAQ141" s="3"/>
      <c r="IAR141" s="3"/>
      <c r="IAS141" s="3"/>
      <c r="IAT141" s="3"/>
      <c r="IAU141" s="3"/>
      <c r="IAV141" s="3"/>
      <c r="IAW141" s="3"/>
      <c r="IAX141" s="3"/>
      <c r="IAY141" s="3"/>
      <c r="IAZ141" s="3"/>
      <c r="IBA141" s="3"/>
      <c r="IBB141" s="3"/>
      <c r="IBC141" s="3"/>
      <c r="IBD141" s="3"/>
      <c r="IBE141" s="3"/>
      <c r="IBF141" s="3"/>
      <c r="IBG141" s="3"/>
      <c r="IBH141" s="3"/>
      <c r="IBI141" s="3"/>
      <c r="IBJ141" s="3"/>
      <c r="IBK141" s="3"/>
      <c r="IBL141" s="3"/>
      <c r="IBM141" s="3"/>
      <c r="IBN141" s="3"/>
      <c r="IBO141" s="3"/>
      <c r="IBP141" s="3"/>
      <c r="IBQ141" s="3"/>
      <c r="IBR141" s="3"/>
      <c r="IBS141" s="3"/>
      <c r="IBT141" s="3"/>
      <c r="IBU141" s="3"/>
      <c r="IBV141" s="3"/>
      <c r="IBW141" s="3"/>
      <c r="IBX141" s="3"/>
      <c r="IBY141" s="3"/>
      <c r="IBZ141" s="3"/>
      <c r="ICA141" s="3"/>
      <c r="ICB141" s="3"/>
      <c r="ICC141" s="3"/>
      <c r="ICD141" s="3"/>
      <c r="ICE141" s="3"/>
      <c r="ICF141" s="3"/>
      <c r="ICG141" s="3"/>
      <c r="ICH141" s="3"/>
      <c r="ICI141" s="3"/>
      <c r="ICJ141" s="3"/>
      <c r="ICK141" s="3"/>
      <c r="ICL141" s="3"/>
      <c r="ICM141" s="3"/>
      <c r="ICN141" s="3"/>
      <c r="ICO141" s="3"/>
      <c r="ICP141" s="3"/>
      <c r="ICQ141" s="3"/>
      <c r="ICR141" s="3"/>
      <c r="ICS141" s="3"/>
      <c r="ICT141" s="3"/>
      <c r="ICU141" s="3"/>
      <c r="ICV141" s="3"/>
      <c r="ICW141" s="3"/>
      <c r="ICX141" s="3"/>
      <c r="ICY141" s="3"/>
      <c r="ICZ141" s="3"/>
      <c r="IDA141" s="3"/>
      <c r="IDB141" s="3"/>
      <c r="IDC141" s="3"/>
      <c r="IDD141" s="3"/>
      <c r="IDE141" s="3"/>
      <c r="IDF141" s="3"/>
      <c r="IDG141" s="3"/>
      <c r="IDH141" s="3"/>
      <c r="IDI141" s="3"/>
      <c r="IDJ141" s="3"/>
      <c r="IDK141" s="3"/>
      <c r="IDL141" s="3"/>
      <c r="IDM141" s="3"/>
      <c r="IDN141" s="3"/>
      <c r="IDO141" s="3"/>
      <c r="IDP141" s="3"/>
      <c r="IDQ141" s="3"/>
      <c r="IDR141" s="3"/>
      <c r="IDS141" s="3"/>
      <c r="IDT141" s="3"/>
      <c r="IDU141" s="3"/>
      <c r="IDV141" s="3"/>
      <c r="IDW141" s="3"/>
      <c r="IDX141" s="3"/>
      <c r="IDY141" s="3"/>
      <c r="IDZ141" s="3"/>
      <c r="IEA141" s="3"/>
      <c r="IEB141" s="3"/>
      <c r="IEC141" s="3"/>
      <c r="IED141" s="3"/>
      <c r="IEE141" s="3"/>
      <c r="IEF141" s="3"/>
      <c r="IEG141" s="3"/>
      <c r="IEH141" s="3"/>
      <c r="IEI141" s="3"/>
      <c r="IEJ141" s="3"/>
      <c r="IEK141" s="3"/>
      <c r="IEL141" s="3"/>
      <c r="IEM141" s="3"/>
      <c r="IEN141" s="3"/>
      <c r="IEO141" s="3"/>
      <c r="IEP141" s="3"/>
      <c r="IEQ141" s="3"/>
      <c r="IER141" s="3"/>
      <c r="IES141" s="3"/>
      <c r="IET141" s="3"/>
      <c r="IEU141" s="3"/>
      <c r="IEV141" s="3"/>
      <c r="IEW141" s="3"/>
      <c r="IEX141" s="3"/>
      <c r="IEY141" s="3"/>
      <c r="IEZ141" s="3"/>
      <c r="IFA141" s="3"/>
      <c r="IFB141" s="3"/>
      <c r="IFC141" s="3"/>
      <c r="IFD141" s="3"/>
      <c r="IFE141" s="3"/>
      <c r="IFF141" s="3"/>
      <c r="IFG141" s="3"/>
      <c r="IFH141" s="3"/>
      <c r="IFI141" s="3"/>
      <c r="IFJ141" s="3"/>
      <c r="IFK141" s="3"/>
      <c r="IFL141" s="3"/>
      <c r="IFM141" s="3"/>
      <c r="IFN141" s="3"/>
      <c r="IFO141" s="3"/>
      <c r="IFP141" s="3"/>
      <c r="IFQ141" s="3"/>
      <c r="IFR141" s="3"/>
      <c r="IFS141" s="3"/>
      <c r="IFT141" s="3"/>
      <c r="IFU141" s="3"/>
      <c r="IFV141" s="3"/>
      <c r="IFW141" s="3"/>
      <c r="IFX141" s="3"/>
      <c r="IFY141" s="3"/>
      <c r="IFZ141" s="3"/>
      <c r="IGA141" s="3"/>
      <c r="IGB141" s="3"/>
      <c r="IGC141" s="3"/>
      <c r="IGD141" s="3"/>
      <c r="IGE141" s="3"/>
      <c r="IGF141" s="3"/>
      <c r="IGG141" s="3"/>
      <c r="IGH141" s="3"/>
      <c r="IGI141" s="3"/>
      <c r="IGJ141" s="3"/>
      <c r="IGK141" s="3"/>
      <c r="IGL141" s="3"/>
      <c r="IGM141" s="3"/>
      <c r="IGN141" s="3"/>
      <c r="IGO141" s="3"/>
      <c r="IGP141" s="3"/>
      <c r="IGQ141" s="3"/>
      <c r="IGR141" s="3"/>
      <c r="IGS141" s="3"/>
      <c r="IGT141" s="3"/>
      <c r="IGU141" s="3"/>
      <c r="IGV141" s="3"/>
      <c r="IGW141" s="3"/>
      <c r="IGX141" s="3"/>
      <c r="IGY141" s="3"/>
      <c r="IGZ141" s="3"/>
      <c r="IHA141" s="3"/>
      <c r="IHB141" s="3"/>
      <c r="IHC141" s="3"/>
      <c r="IHD141" s="3"/>
      <c r="IHE141" s="3"/>
      <c r="IHF141" s="3"/>
      <c r="IHG141" s="3"/>
      <c r="IHH141" s="3"/>
      <c r="IHI141" s="3"/>
      <c r="IHJ141" s="3"/>
      <c r="IHK141" s="3"/>
      <c r="IHL141" s="3"/>
      <c r="IHM141" s="3"/>
      <c r="IHN141" s="3"/>
      <c r="IHO141" s="3"/>
      <c r="IHP141" s="3"/>
      <c r="IHQ141" s="3"/>
      <c r="IHR141" s="3"/>
      <c r="IHS141" s="3"/>
      <c r="IHT141" s="3"/>
      <c r="IHU141" s="3"/>
      <c r="IHV141" s="3"/>
      <c r="IHW141" s="3"/>
      <c r="IHX141" s="3"/>
      <c r="IHY141" s="3"/>
      <c r="IHZ141" s="3"/>
      <c r="IIA141" s="3"/>
      <c r="IIB141" s="3"/>
      <c r="IIC141" s="3"/>
      <c r="IID141" s="3"/>
      <c r="IIE141" s="3"/>
      <c r="IIF141" s="3"/>
      <c r="IIG141" s="3"/>
      <c r="IIH141" s="3"/>
      <c r="III141" s="3"/>
      <c r="IIJ141" s="3"/>
      <c r="IIK141" s="3"/>
      <c r="IIL141" s="3"/>
      <c r="IIM141" s="3"/>
      <c r="IIN141" s="3"/>
      <c r="IIO141" s="3"/>
      <c r="IIP141" s="3"/>
      <c r="IIQ141" s="3"/>
      <c r="IIR141" s="3"/>
      <c r="IIS141" s="3"/>
      <c r="IIT141" s="3"/>
      <c r="IIU141" s="3"/>
      <c r="IIV141" s="3"/>
      <c r="IIW141" s="3"/>
      <c r="IIX141" s="3"/>
      <c r="IIY141" s="3"/>
      <c r="IIZ141" s="3"/>
      <c r="IJA141" s="3"/>
      <c r="IJB141" s="3"/>
      <c r="IJC141" s="3"/>
      <c r="IJD141" s="3"/>
      <c r="IJE141" s="3"/>
      <c r="IJF141" s="3"/>
      <c r="IJG141" s="3"/>
      <c r="IJH141" s="3"/>
      <c r="IJI141" s="3"/>
      <c r="IJJ141" s="3"/>
      <c r="IJK141" s="3"/>
      <c r="IJL141" s="3"/>
      <c r="IJM141" s="3"/>
      <c r="IJN141" s="3"/>
      <c r="IJO141" s="3"/>
      <c r="IJP141" s="3"/>
      <c r="IJQ141" s="3"/>
      <c r="IJR141" s="3"/>
      <c r="IJS141" s="3"/>
      <c r="IJT141" s="3"/>
      <c r="IJU141" s="3"/>
      <c r="IJV141" s="3"/>
      <c r="IJW141" s="3"/>
      <c r="IJX141" s="3"/>
      <c r="IJY141" s="3"/>
      <c r="IJZ141" s="3"/>
      <c r="IKA141" s="3"/>
      <c r="IKB141" s="3"/>
      <c r="IKC141" s="3"/>
      <c r="IKD141" s="3"/>
      <c r="IKE141" s="3"/>
      <c r="IKF141" s="3"/>
      <c r="IKG141" s="3"/>
      <c r="IKH141" s="3"/>
      <c r="IKI141" s="3"/>
      <c r="IKJ141" s="3"/>
      <c r="IKK141" s="3"/>
      <c r="IKL141" s="3"/>
      <c r="IKM141" s="3"/>
      <c r="IKN141" s="3"/>
      <c r="IKO141" s="3"/>
      <c r="IKP141" s="3"/>
      <c r="IKQ141" s="3"/>
      <c r="IKR141" s="3"/>
      <c r="IKS141" s="3"/>
      <c r="IKT141" s="3"/>
      <c r="IKU141" s="3"/>
      <c r="IKV141" s="3"/>
      <c r="IKW141" s="3"/>
      <c r="IKX141" s="3"/>
      <c r="IKY141" s="3"/>
      <c r="IKZ141" s="3"/>
      <c r="ILA141" s="3"/>
      <c r="ILB141" s="3"/>
      <c r="ILC141" s="3"/>
      <c r="ILD141" s="3"/>
      <c r="ILE141" s="3"/>
      <c r="ILF141" s="3"/>
      <c r="ILG141" s="3"/>
      <c r="ILH141" s="3"/>
      <c r="ILI141" s="3"/>
      <c r="ILJ141" s="3"/>
      <c r="ILK141" s="3"/>
      <c r="ILL141" s="3"/>
      <c r="ILM141" s="3"/>
      <c r="ILN141" s="3"/>
      <c r="ILO141" s="3"/>
      <c r="ILP141" s="3"/>
      <c r="ILQ141" s="3"/>
      <c r="ILR141" s="3"/>
      <c r="ILS141" s="3"/>
      <c r="ILT141" s="3"/>
      <c r="ILU141" s="3"/>
      <c r="ILV141" s="3"/>
      <c r="ILW141" s="3"/>
      <c r="ILX141" s="3"/>
      <c r="ILY141" s="3"/>
      <c r="ILZ141" s="3"/>
      <c r="IMA141" s="3"/>
      <c r="IMB141" s="3"/>
      <c r="IMC141" s="3"/>
      <c r="IMD141" s="3"/>
      <c r="IME141" s="3"/>
      <c r="IMF141" s="3"/>
      <c r="IMG141" s="3"/>
      <c r="IMH141" s="3"/>
      <c r="IMI141" s="3"/>
      <c r="IMJ141" s="3"/>
      <c r="IMK141" s="3"/>
      <c r="IML141" s="3"/>
      <c r="IMM141" s="3"/>
      <c r="IMN141" s="3"/>
      <c r="IMO141" s="3"/>
      <c r="IMP141" s="3"/>
      <c r="IMQ141" s="3"/>
      <c r="IMR141" s="3"/>
      <c r="IMS141" s="3"/>
      <c r="IMT141" s="3"/>
      <c r="IMU141" s="3"/>
      <c r="IMV141" s="3"/>
      <c r="IMW141" s="3"/>
      <c r="IMX141" s="3"/>
      <c r="IMY141" s="3"/>
      <c r="IMZ141" s="3"/>
      <c r="INA141" s="3"/>
      <c r="INB141" s="3"/>
      <c r="INC141" s="3"/>
      <c r="IND141" s="3"/>
      <c r="INE141" s="3"/>
      <c r="INF141" s="3"/>
      <c r="ING141" s="3"/>
      <c r="INH141" s="3"/>
      <c r="INI141" s="3"/>
      <c r="INJ141" s="3"/>
      <c r="INK141" s="3"/>
      <c r="INL141" s="3"/>
      <c r="INM141" s="3"/>
      <c r="INN141" s="3"/>
      <c r="INO141" s="3"/>
      <c r="INP141" s="3"/>
      <c r="INQ141" s="3"/>
      <c r="INR141" s="3"/>
      <c r="INS141" s="3"/>
      <c r="INT141" s="3"/>
      <c r="INU141" s="3"/>
      <c r="INV141" s="3"/>
      <c r="INW141" s="3"/>
      <c r="INX141" s="3"/>
      <c r="INY141" s="3"/>
      <c r="INZ141" s="3"/>
      <c r="IOA141" s="3"/>
      <c r="IOB141" s="3"/>
      <c r="IOC141" s="3"/>
      <c r="IOD141" s="3"/>
      <c r="IOE141" s="3"/>
      <c r="IOF141" s="3"/>
      <c r="IOG141" s="3"/>
      <c r="IOH141" s="3"/>
      <c r="IOI141" s="3"/>
      <c r="IOJ141" s="3"/>
      <c r="IOK141" s="3"/>
      <c r="IOL141" s="3"/>
      <c r="IOM141" s="3"/>
      <c r="ION141" s="3"/>
      <c r="IOO141" s="3"/>
      <c r="IOP141" s="3"/>
      <c r="IOQ141" s="3"/>
      <c r="IOR141" s="3"/>
      <c r="IOS141" s="3"/>
      <c r="IOT141" s="3"/>
      <c r="IOU141" s="3"/>
      <c r="IOV141" s="3"/>
      <c r="IOW141" s="3"/>
      <c r="IOX141" s="3"/>
      <c r="IOY141" s="3"/>
      <c r="IOZ141" s="3"/>
      <c r="IPA141" s="3"/>
      <c r="IPB141" s="3"/>
      <c r="IPC141" s="3"/>
      <c r="IPD141" s="3"/>
      <c r="IPE141" s="3"/>
      <c r="IPF141" s="3"/>
      <c r="IPG141" s="3"/>
      <c r="IPH141" s="3"/>
      <c r="IPI141" s="3"/>
      <c r="IPJ141" s="3"/>
      <c r="IPK141" s="3"/>
      <c r="IPL141" s="3"/>
      <c r="IPM141" s="3"/>
      <c r="IPN141" s="3"/>
      <c r="IPO141" s="3"/>
      <c r="IPP141" s="3"/>
      <c r="IPQ141" s="3"/>
      <c r="IPR141" s="3"/>
      <c r="IPS141" s="3"/>
      <c r="IPT141" s="3"/>
      <c r="IPU141" s="3"/>
      <c r="IPV141" s="3"/>
      <c r="IPW141" s="3"/>
      <c r="IPX141" s="3"/>
      <c r="IPY141" s="3"/>
      <c r="IPZ141" s="3"/>
      <c r="IQA141" s="3"/>
      <c r="IQB141" s="3"/>
      <c r="IQC141" s="3"/>
      <c r="IQD141" s="3"/>
      <c r="IQE141" s="3"/>
      <c r="IQF141" s="3"/>
      <c r="IQG141" s="3"/>
      <c r="IQH141" s="3"/>
      <c r="IQI141" s="3"/>
      <c r="IQJ141" s="3"/>
      <c r="IQK141" s="3"/>
      <c r="IQL141" s="3"/>
      <c r="IQM141" s="3"/>
      <c r="IQN141" s="3"/>
      <c r="IQO141" s="3"/>
      <c r="IQP141" s="3"/>
      <c r="IQQ141" s="3"/>
      <c r="IQR141" s="3"/>
      <c r="IQS141" s="3"/>
      <c r="IQT141" s="3"/>
      <c r="IQU141" s="3"/>
      <c r="IQV141" s="3"/>
      <c r="IQW141" s="3"/>
      <c r="IQX141" s="3"/>
      <c r="IQY141" s="3"/>
      <c r="IQZ141" s="3"/>
      <c r="IRA141" s="3"/>
      <c r="IRB141" s="3"/>
      <c r="IRC141" s="3"/>
      <c r="IRD141" s="3"/>
      <c r="IRE141" s="3"/>
      <c r="IRF141" s="3"/>
      <c r="IRG141" s="3"/>
      <c r="IRH141" s="3"/>
      <c r="IRI141" s="3"/>
      <c r="IRJ141" s="3"/>
      <c r="IRK141" s="3"/>
      <c r="IRL141" s="3"/>
      <c r="IRM141" s="3"/>
      <c r="IRN141" s="3"/>
      <c r="IRO141" s="3"/>
      <c r="IRP141" s="3"/>
      <c r="IRQ141" s="3"/>
      <c r="IRR141" s="3"/>
      <c r="IRS141" s="3"/>
      <c r="IRT141" s="3"/>
      <c r="IRU141" s="3"/>
      <c r="IRV141" s="3"/>
      <c r="IRW141" s="3"/>
      <c r="IRX141" s="3"/>
      <c r="IRY141" s="3"/>
      <c r="IRZ141" s="3"/>
      <c r="ISA141" s="3"/>
      <c r="ISB141" s="3"/>
      <c r="ISC141" s="3"/>
      <c r="ISD141" s="3"/>
      <c r="ISE141" s="3"/>
      <c r="ISF141" s="3"/>
      <c r="ISG141" s="3"/>
      <c r="ISH141" s="3"/>
      <c r="ISI141" s="3"/>
      <c r="ISJ141" s="3"/>
      <c r="ISK141" s="3"/>
      <c r="ISL141" s="3"/>
      <c r="ISM141" s="3"/>
      <c r="ISN141" s="3"/>
      <c r="ISO141" s="3"/>
      <c r="ISP141" s="3"/>
      <c r="ISQ141" s="3"/>
      <c r="ISR141" s="3"/>
      <c r="ISS141" s="3"/>
      <c r="IST141" s="3"/>
      <c r="ISU141" s="3"/>
      <c r="ISV141" s="3"/>
      <c r="ISW141" s="3"/>
      <c r="ISX141" s="3"/>
      <c r="ISY141" s="3"/>
      <c r="ISZ141" s="3"/>
      <c r="ITA141" s="3"/>
      <c r="ITB141" s="3"/>
      <c r="ITC141" s="3"/>
      <c r="ITD141" s="3"/>
      <c r="ITE141" s="3"/>
      <c r="ITF141" s="3"/>
      <c r="ITG141" s="3"/>
      <c r="ITH141" s="3"/>
      <c r="ITI141" s="3"/>
      <c r="ITJ141" s="3"/>
      <c r="ITK141" s="3"/>
      <c r="ITL141" s="3"/>
      <c r="ITM141" s="3"/>
      <c r="ITN141" s="3"/>
      <c r="ITO141" s="3"/>
      <c r="ITP141" s="3"/>
      <c r="ITQ141" s="3"/>
      <c r="ITR141" s="3"/>
      <c r="ITS141" s="3"/>
      <c r="ITT141" s="3"/>
      <c r="ITU141" s="3"/>
      <c r="ITV141" s="3"/>
      <c r="ITW141" s="3"/>
      <c r="ITX141" s="3"/>
      <c r="ITY141" s="3"/>
      <c r="ITZ141" s="3"/>
      <c r="IUA141" s="3"/>
      <c r="IUB141" s="3"/>
      <c r="IUC141" s="3"/>
      <c r="IUD141" s="3"/>
      <c r="IUE141" s="3"/>
      <c r="IUF141" s="3"/>
      <c r="IUG141" s="3"/>
      <c r="IUH141" s="3"/>
      <c r="IUI141" s="3"/>
      <c r="IUJ141" s="3"/>
      <c r="IUK141" s="3"/>
      <c r="IUL141" s="3"/>
      <c r="IUM141" s="3"/>
      <c r="IUN141" s="3"/>
      <c r="IUO141" s="3"/>
      <c r="IUP141" s="3"/>
      <c r="IUQ141" s="3"/>
      <c r="IUR141" s="3"/>
      <c r="IUS141" s="3"/>
      <c r="IUT141" s="3"/>
      <c r="IUU141" s="3"/>
      <c r="IUV141" s="3"/>
      <c r="IUW141" s="3"/>
      <c r="IUX141" s="3"/>
      <c r="IUY141" s="3"/>
      <c r="IUZ141" s="3"/>
      <c r="IVA141" s="3"/>
      <c r="IVB141" s="3"/>
      <c r="IVC141" s="3"/>
      <c r="IVD141" s="3"/>
      <c r="IVE141" s="3"/>
      <c r="IVF141" s="3"/>
      <c r="IVG141" s="3"/>
      <c r="IVH141" s="3"/>
      <c r="IVI141" s="3"/>
      <c r="IVJ141" s="3"/>
      <c r="IVK141" s="3"/>
      <c r="IVL141" s="3"/>
      <c r="IVM141" s="3"/>
      <c r="IVN141" s="3"/>
      <c r="IVO141" s="3"/>
      <c r="IVP141" s="3"/>
      <c r="IVQ141" s="3"/>
      <c r="IVR141" s="3"/>
      <c r="IVS141" s="3"/>
      <c r="IVT141" s="3"/>
      <c r="IVU141" s="3"/>
      <c r="IVV141" s="3"/>
      <c r="IVW141" s="3"/>
      <c r="IVX141" s="3"/>
      <c r="IVY141" s="3"/>
      <c r="IVZ141" s="3"/>
      <c r="IWA141" s="3"/>
      <c r="IWB141" s="3"/>
      <c r="IWC141" s="3"/>
      <c r="IWD141" s="3"/>
      <c r="IWE141" s="3"/>
      <c r="IWF141" s="3"/>
      <c r="IWG141" s="3"/>
      <c r="IWH141" s="3"/>
      <c r="IWI141" s="3"/>
      <c r="IWJ141" s="3"/>
      <c r="IWK141" s="3"/>
      <c r="IWL141" s="3"/>
      <c r="IWM141" s="3"/>
      <c r="IWN141" s="3"/>
      <c r="IWO141" s="3"/>
      <c r="IWP141" s="3"/>
      <c r="IWQ141" s="3"/>
      <c r="IWR141" s="3"/>
      <c r="IWS141" s="3"/>
      <c r="IWT141" s="3"/>
      <c r="IWU141" s="3"/>
      <c r="IWV141" s="3"/>
      <c r="IWW141" s="3"/>
      <c r="IWX141" s="3"/>
      <c r="IWY141" s="3"/>
      <c r="IWZ141" s="3"/>
      <c r="IXA141" s="3"/>
      <c r="IXB141" s="3"/>
      <c r="IXC141" s="3"/>
      <c r="IXD141" s="3"/>
      <c r="IXE141" s="3"/>
      <c r="IXF141" s="3"/>
      <c r="IXG141" s="3"/>
      <c r="IXH141" s="3"/>
      <c r="IXI141" s="3"/>
      <c r="IXJ141" s="3"/>
      <c r="IXK141" s="3"/>
      <c r="IXL141" s="3"/>
      <c r="IXM141" s="3"/>
      <c r="IXN141" s="3"/>
      <c r="IXO141" s="3"/>
      <c r="IXP141" s="3"/>
      <c r="IXQ141" s="3"/>
      <c r="IXR141" s="3"/>
      <c r="IXS141" s="3"/>
      <c r="IXT141" s="3"/>
      <c r="IXU141" s="3"/>
      <c r="IXV141" s="3"/>
      <c r="IXW141" s="3"/>
      <c r="IXX141" s="3"/>
      <c r="IXY141" s="3"/>
      <c r="IXZ141" s="3"/>
      <c r="IYA141" s="3"/>
      <c r="IYB141" s="3"/>
      <c r="IYC141" s="3"/>
      <c r="IYD141" s="3"/>
      <c r="IYE141" s="3"/>
      <c r="IYF141" s="3"/>
      <c r="IYG141" s="3"/>
      <c r="IYH141" s="3"/>
      <c r="IYI141" s="3"/>
      <c r="IYJ141" s="3"/>
      <c r="IYK141" s="3"/>
      <c r="IYL141" s="3"/>
      <c r="IYM141" s="3"/>
      <c r="IYN141" s="3"/>
      <c r="IYO141" s="3"/>
      <c r="IYP141" s="3"/>
      <c r="IYQ141" s="3"/>
      <c r="IYR141" s="3"/>
      <c r="IYS141" s="3"/>
      <c r="IYT141" s="3"/>
      <c r="IYU141" s="3"/>
      <c r="IYV141" s="3"/>
      <c r="IYW141" s="3"/>
      <c r="IYX141" s="3"/>
      <c r="IYY141" s="3"/>
      <c r="IYZ141" s="3"/>
      <c r="IZA141" s="3"/>
      <c r="IZB141" s="3"/>
      <c r="IZC141" s="3"/>
      <c r="IZD141" s="3"/>
      <c r="IZE141" s="3"/>
      <c r="IZF141" s="3"/>
      <c r="IZG141" s="3"/>
      <c r="IZH141" s="3"/>
      <c r="IZI141" s="3"/>
      <c r="IZJ141" s="3"/>
      <c r="IZK141" s="3"/>
      <c r="IZL141" s="3"/>
      <c r="IZM141" s="3"/>
      <c r="IZN141" s="3"/>
      <c r="IZO141" s="3"/>
      <c r="IZP141" s="3"/>
      <c r="IZQ141" s="3"/>
      <c r="IZR141" s="3"/>
      <c r="IZS141" s="3"/>
      <c r="IZT141" s="3"/>
      <c r="IZU141" s="3"/>
      <c r="IZV141" s="3"/>
      <c r="IZW141" s="3"/>
      <c r="IZX141" s="3"/>
      <c r="IZY141" s="3"/>
      <c r="IZZ141" s="3"/>
      <c r="JAA141" s="3"/>
      <c r="JAB141" s="3"/>
      <c r="JAC141" s="3"/>
      <c r="JAD141" s="3"/>
      <c r="JAE141" s="3"/>
      <c r="JAF141" s="3"/>
      <c r="JAG141" s="3"/>
      <c r="JAH141" s="3"/>
      <c r="JAI141" s="3"/>
      <c r="JAJ141" s="3"/>
      <c r="JAK141" s="3"/>
      <c r="JAL141" s="3"/>
      <c r="JAM141" s="3"/>
      <c r="JAN141" s="3"/>
      <c r="JAO141" s="3"/>
      <c r="JAP141" s="3"/>
      <c r="JAQ141" s="3"/>
      <c r="JAR141" s="3"/>
      <c r="JAS141" s="3"/>
      <c r="JAT141" s="3"/>
      <c r="JAU141" s="3"/>
      <c r="JAV141" s="3"/>
      <c r="JAW141" s="3"/>
      <c r="JAX141" s="3"/>
      <c r="JAY141" s="3"/>
      <c r="JAZ141" s="3"/>
      <c r="JBA141" s="3"/>
      <c r="JBB141" s="3"/>
      <c r="JBC141" s="3"/>
      <c r="JBD141" s="3"/>
      <c r="JBE141" s="3"/>
      <c r="JBF141" s="3"/>
      <c r="JBG141" s="3"/>
      <c r="JBH141" s="3"/>
      <c r="JBI141" s="3"/>
      <c r="JBJ141" s="3"/>
      <c r="JBK141" s="3"/>
      <c r="JBL141" s="3"/>
      <c r="JBM141" s="3"/>
      <c r="JBN141" s="3"/>
      <c r="JBO141" s="3"/>
      <c r="JBP141" s="3"/>
      <c r="JBQ141" s="3"/>
      <c r="JBR141" s="3"/>
      <c r="JBS141" s="3"/>
      <c r="JBT141" s="3"/>
      <c r="JBU141" s="3"/>
      <c r="JBV141" s="3"/>
      <c r="JBW141" s="3"/>
      <c r="JBX141" s="3"/>
      <c r="JBY141" s="3"/>
      <c r="JBZ141" s="3"/>
      <c r="JCA141" s="3"/>
      <c r="JCB141" s="3"/>
      <c r="JCC141" s="3"/>
      <c r="JCD141" s="3"/>
      <c r="JCE141" s="3"/>
      <c r="JCF141" s="3"/>
      <c r="JCG141" s="3"/>
      <c r="JCH141" s="3"/>
      <c r="JCI141" s="3"/>
      <c r="JCJ141" s="3"/>
      <c r="JCK141" s="3"/>
      <c r="JCL141" s="3"/>
      <c r="JCM141" s="3"/>
      <c r="JCN141" s="3"/>
      <c r="JCO141" s="3"/>
      <c r="JCP141" s="3"/>
      <c r="JCQ141" s="3"/>
      <c r="JCR141" s="3"/>
      <c r="JCS141" s="3"/>
      <c r="JCT141" s="3"/>
      <c r="JCU141" s="3"/>
      <c r="JCV141" s="3"/>
      <c r="JCW141" s="3"/>
      <c r="JCX141" s="3"/>
      <c r="JCY141" s="3"/>
      <c r="JCZ141" s="3"/>
      <c r="JDA141" s="3"/>
      <c r="JDB141" s="3"/>
      <c r="JDC141" s="3"/>
      <c r="JDD141" s="3"/>
      <c r="JDE141" s="3"/>
      <c r="JDF141" s="3"/>
      <c r="JDG141" s="3"/>
      <c r="JDH141" s="3"/>
      <c r="JDI141" s="3"/>
      <c r="JDJ141" s="3"/>
      <c r="JDK141" s="3"/>
      <c r="JDL141" s="3"/>
      <c r="JDM141" s="3"/>
      <c r="JDN141" s="3"/>
      <c r="JDO141" s="3"/>
      <c r="JDP141" s="3"/>
      <c r="JDQ141" s="3"/>
      <c r="JDR141" s="3"/>
      <c r="JDS141" s="3"/>
      <c r="JDT141" s="3"/>
      <c r="JDU141" s="3"/>
      <c r="JDV141" s="3"/>
      <c r="JDW141" s="3"/>
      <c r="JDX141" s="3"/>
      <c r="JDY141" s="3"/>
      <c r="JDZ141" s="3"/>
      <c r="JEA141" s="3"/>
      <c r="JEB141" s="3"/>
      <c r="JEC141" s="3"/>
      <c r="JED141" s="3"/>
      <c r="JEE141" s="3"/>
      <c r="JEF141" s="3"/>
      <c r="JEG141" s="3"/>
      <c r="JEH141" s="3"/>
      <c r="JEI141" s="3"/>
      <c r="JEJ141" s="3"/>
      <c r="JEK141" s="3"/>
      <c r="JEL141" s="3"/>
      <c r="JEM141" s="3"/>
      <c r="JEN141" s="3"/>
      <c r="JEO141" s="3"/>
      <c r="JEP141" s="3"/>
      <c r="JEQ141" s="3"/>
      <c r="JER141" s="3"/>
      <c r="JES141" s="3"/>
      <c r="JET141" s="3"/>
      <c r="JEU141" s="3"/>
      <c r="JEV141" s="3"/>
      <c r="JEW141" s="3"/>
      <c r="JEX141" s="3"/>
      <c r="JEY141" s="3"/>
      <c r="JEZ141" s="3"/>
      <c r="JFA141" s="3"/>
      <c r="JFB141" s="3"/>
      <c r="JFC141" s="3"/>
      <c r="JFD141" s="3"/>
      <c r="JFE141" s="3"/>
      <c r="JFF141" s="3"/>
      <c r="JFG141" s="3"/>
      <c r="JFH141" s="3"/>
      <c r="JFI141" s="3"/>
      <c r="JFJ141" s="3"/>
      <c r="JFK141" s="3"/>
      <c r="JFL141" s="3"/>
      <c r="JFM141" s="3"/>
      <c r="JFN141" s="3"/>
      <c r="JFO141" s="3"/>
      <c r="JFP141" s="3"/>
      <c r="JFQ141" s="3"/>
      <c r="JFR141" s="3"/>
      <c r="JFS141" s="3"/>
      <c r="JFT141" s="3"/>
      <c r="JFU141" s="3"/>
      <c r="JFV141" s="3"/>
      <c r="JFW141" s="3"/>
      <c r="JFX141" s="3"/>
      <c r="JFY141" s="3"/>
      <c r="JFZ141" s="3"/>
      <c r="JGA141" s="3"/>
      <c r="JGB141" s="3"/>
      <c r="JGC141" s="3"/>
      <c r="JGD141" s="3"/>
      <c r="JGE141" s="3"/>
      <c r="JGF141" s="3"/>
      <c r="JGG141" s="3"/>
      <c r="JGH141" s="3"/>
      <c r="JGI141" s="3"/>
      <c r="JGJ141" s="3"/>
      <c r="JGK141" s="3"/>
      <c r="JGL141" s="3"/>
      <c r="JGM141" s="3"/>
      <c r="JGN141" s="3"/>
      <c r="JGO141" s="3"/>
      <c r="JGP141" s="3"/>
      <c r="JGQ141" s="3"/>
      <c r="JGR141" s="3"/>
      <c r="JGS141" s="3"/>
      <c r="JGT141" s="3"/>
      <c r="JGU141" s="3"/>
      <c r="JGV141" s="3"/>
      <c r="JGW141" s="3"/>
      <c r="JGX141" s="3"/>
      <c r="JGY141" s="3"/>
      <c r="JGZ141" s="3"/>
      <c r="JHA141" s="3"/>
      <c r="JHB141" s="3"/>
      <c r="JHC141" s="3"/>
      <c r="JHD141" s="3"/>
      <c r="JHE141" s="3"/>
      <c r="JHF141" s="3"/>
      <c r="JHG141" s="3"/>
      <c r="JHH141" s="3"/>
      <c r="JHI141" s="3"/>
      <c r="JHJ141" s="3"/>
      <c r="JHK141" s="3"/>
      <c r="JHL141" s="3"/>
      <c r="JHM141" s="3"/>
      <c r="JHN141" s="3"/>
      <c r="JHO141" s="3"/>
      <c r="JHP141" s="3"/>
      <c r="JHQ141" s="3"/>
      <c r="JHR141" s="3"/>
      <c r="JHS141" s="3"/>
      <c r="JHT141" s="3"/>
      <c r="JHU141" s="3"/>
      <c r="JHV141" s="3"/>
      <c r="JHW141" s="3"/>
      <c r="JHX141" s="3"/>
      <c r="JHY141" s="3"/>
      <c r="JHZ141" s="3"/>
      <c r="JIA141" s="3"/>
      <c r="JIB141" s="3"/>
      <c r="JIC141" s="3"/>
      <c r="JID141" s="3"/>
      <c r="JIE141" s="3"/>
      <c r="JIF141" s="3"/>
      <c r="JIG141" s="3"/>
      <c r="JIH141" s="3"/>
      <c r="JII141" s="3"/>
      <c r="JIJ141" s="3"/>
      <c r="JIK141" s="3"/>
      <c r="JIL141" s="3"/>
      <c r="JIM141" s="3"/>
      <c r="JIN141" s="3"/>
      <c r="JIO141" s="3"/>
      <c r="JIP141" s="3"/>
      <c r="JIQ141" s="3"/>
      <c r="JIR141" s="3"/>
      <c r="JIS141" s="3"/>
      <c r="JIT141" s="3"/>
      <c r="JIU141" s="3"/>
      <c r="JIV141" s="3"/>
      <c r="JIW141" s="3"/>
      <c r="JIX141" s="3"/>
      <c r="JIY141" s="3"/>
      <c r="JIZ141" s="3"/>
      <c r="JJA141" s="3"/>
      <c r="JJB141" s="3"/>
      <c r="JJC141" s="3"/>
      <c r="JJD141" s="3"/>
      <c r="JJE141" s="3"/>
      <c r="JJF141" s="3"/>
      <c r="JJG141" s="3"/>
      <c r="JJH141" s="3"/>
      <c r="JJI141" s="3"/>
      <c r="JJJ141" s="3"/>
      <c r="JJK141" s="3"/>
      <c r="JJL141" s="3"/>
      <c r="JJM141" s="3"/>
      <c r="JJN141" s="3"/>
      <c r="JJO141" s="3"/>
      <c r="JJP141" s="3"/>
      <c r="JJQ141" s="3"/>
      <c r="JJR141" s="3"/>
      <c r="JJS141" s="3"/>
      <c r="JJT141" s="3"/>
      <c r="JJU141" s="3"/>
      <c r="JJV141" s="3"/>
      <c r="JJW141" s="3"/>
      <c r="JJX141" s="3"/>
      <c r="JJY141" s="3"/>
      <c r="JJZ141" s="3"/>
      <c r="JKA141" s="3"/>
      <c r="JKB141" s="3"/>
      <c r="JKC141" s="3"/>
      <c r="JKD141" s="3"/>
      <c r="JKE141" s="3"/>
      <c r="JKF141" s="3"/>
      <c r="JKG141" s="3"/>
      <c r="JKH141" s="3"/>
      <c r="JKI141" s="3"/>
      <c r="JKJ141" s="3"/>
      <c r="JKK141" s="3"/>
      <c r="JKL141" s="3"/>
      <c r="JKM141" s="3"/>
      <c r="JKN141" s="3"/>
      <c r="JKO141" s="3"/>
      <c r="JKP141" s="3"/>
      <c r="JKQ141" s="3"/>
      <c r="JKR141" s="3"/>
      <c r="JKS141" s="3"/>
      <c r="JKT141" s="3"/>
      <c r="JKU141" s="3"/>
      <c r="JKV141" s="3"/>
      <c r="JKW141" s="3"/>
      <c r="JKX141" s="3"/>
      <c r="JKY141" s="3"/>
      <c r="JKZ141" s="3"/>
      <c r="JLA141" s="3"/>
      <c r="JLB141" s="3"/>
      <c r="JLC141" s="3"/>
      <c r="JLD141" s="3"/>
      <c r="JLE141" s="3"/>
      <c r="JLF141" s="3"/>
      <c r="JLG141" s="3"/>
      <c r="JLH141" s="3"/>
      <c r="JLI141" s="3"/>
      <c r="JLJ141" s="3"/>
      <c r="JLK141" s="3"/>
      <c r="JLL141" s="3"/>
      <c r="JLM141" s="3"/>
      <c r="JLN141" s="3"/>
      <c r="JLO141" s="3"/>
      <c r="JLP141" s="3"/>
      <c r="JLQ141" s="3"/>
      <c r="JLR141" s="3"/>
      <c r="JLS141" s="3"/>
      <c r="JLT141" s="3"/>
      <c r="JLU141" s="3"/>
      <c r="JLV141" s="3"/>
      <c r="JLW141" s="3"/>
      <c r="JLX141" s="3"/>
      <c r="JLY141" s="3"/>
      <c r="JLZ141" s="3"/>
      <c r="JMA141" s="3"/>
      <c r="JMB141" s="3"/>
      <c r="JMC141" s="3"/>
      <c r="JMD141" s="3"/>
      <c r="JME141" s="3"/>
      <c r="JMF141" s="3"/>
      <c r="JMG141" s="3"/>
      <c r="JMH141" s="3"/>
      <c r="JMI141" s="3"/>
      <c r="JMJ141" s="3"/>
      <c r="JMK141" s="3"/>
      <c r="JML141" s="3"/>
      <c r="JMM141" s="3"/>
      <c r="JMN141" s="3"/>
      <c r="JMO141" s="3"/>
      <c r="JMP141" s="3"/>
      <c r="JMQ141" s="3"/>
      <c r="JMR141" s="3"/>
      <c r="JMS141" s="3"/>
      <c r="JMT141" s="3"/>
      <c r="JMU141" s="3"/>
      <c r="JMV141" s="3"/>
      <c r="JMW141" s="3"/>
      <c r="JMX141" s="3"/>
      <c r="JMY141" s="3"/>
      <c r="JMZ141" s="3"/>
      <c r="JNA141" s="3"/>
      <c r="JNB141" s="3"/>
      <c r="JNC141" s="3"/>
      <c r="JND141" s="3"/>
      <c r="JNE141" s="3"/>
      <c r="JNF141" s="3"/>
      <c r="JNG141" s="3"/>
      <c r="JNH141" s="3"/>
      <c r="JNI141" s="3"/>
      <c r="JNJ141" s="3"/>
      <c r="JNK141" s="3"/>
      <c r="JNL141" s="3"/>
      <c r="JNM141" s="3"/>
      <c r="JNN141" s="3"/>
      <c r="JNO141" s="3"/>
      <c r="JNP141" s="3"/>
      <c r="JNQ141" s="3"/>
      <c r="JNR141" s="3"/>
      <c r="JNS141" s="3"/>
      <c r="JNT141" s="3"/>
      <c r="JNU141" s="3"/>
      <c r="JNV141" s="3"/>
      <c r="JNW141" s="3"/>
      <c r="JNX141" s="3"/>
      <c r="JNY141" s="3"/>
      <c r="JNZ141" s="3"/>
      <c r="JOA141" s="3"/>
      <c r="JOB141" s="3"/>
      <c r="JOC141" s="3"/>
      <c r="JOD141" s="3"/>
      <c r="JOE141" s="3"/>
      <c r="JOF141" s="3"/>
      <c r="JOG141" s="3"/>
      <c r="JOH141" s="3"/>
      <c r="JOI141" s="3"/>
      <c r="JOJ141" s="3"/>
      <c r="JOK141" s="3"/>
      <c r="JOL141" s="3"/>
      <c r="JOM141" s="3"/>
      <c r="JON141" s="3"/>
      <c r="JOO141" s="3"/>
      <c r="JOP141" s="3"/>
      <c r="JOQ141" s="3"/>
      <c r="JOR141" s="3"/>
      <c r="JOS141" s="3"/>
      <c r="JOT141" s="3"/>
      <c r="JOU141" s="3"/>
      <c r="JOV141" s="3"/>
      <c r="JOW141" s="3"/>
      <c r="JOX141" s="3"/>
      <c r="JOY141" s="3"/>
      <c r="JOZ141" s="3"/>
      <c r="JPA141" s="3"/>
      <c r="JPB141" s="3"/>
      <c r="JPC141" s="3"/>
      <c r="JPD141" s="3"/>
      <c r="JPE141" s="3"/>
      <c r="JPF141" s="3"/>
      <c r="JPG141" s="3"/>
      <c r="JPH141" s="3"/>
      <c r="JPI141" s="3"/>
      <c r="JPJ141" s="3"/>
      <c r="JPK141" s="3"/>
      <c r="JPL141" s="3"/>
      <c r="JPM141" s="3"/>
      <c r="JPN141" s="3"/>
      <c r="JPO141" s="3"/>
      <c r="JPP141" s="3"/>
      <c r="JPQ141" s="3"/>
      <c r="JPR141" s="3"/>
      <c r="JPS141" s="3"/>
      <c r="JPT141" s="3"/>
      <c r="JPU141" s="3"/>
      <c r="JPV141" s="3"/>
      <c r="JPW141" s="3"/>
      <c r="JPX141" s="3"/>
      <c r="JPY141" s="3"/>
      <c r="JPZ141" s="3"/>
      <c r="JQA141" s="3"/>
      <c r="JQB141" s="3"/>
      <c r="JQC141" s="3"/>
      <c r="JQD141" s="3"/>
      <c r="JQE141" s="3"/>
      <c r="JQF141" s="3"/>
      <c r="JQG141" s="3"/>
      <c r="JQH141" s="3"/>
      <c r="JQI141" s="3"/>
      <c r="JQJ141" s="3"/>
      <c r="JQK141" s="3"/>
      <c r="JQL141" s="3"/>
      <c r="JQM141" s="3"/>
      <c r="JQN141" s="3"/>
      <c r="JQO141" s="3"/>
      <c r="JQP141" s="3"/>
      <c r="JQQ141" s="3"/>
      <c r="JQR141" s="3"/>
      <c r="JQS141" s="3"/>
      <c r="JQT141" s="3"/>
      <c r="JQU141" s="3"/>
      <c r="JQV141" s="3"/>
      <c r="JQW141" s="3"/>
      <c r="JQX141" s="3"/>
      <c r="JQY141" s="3"/>
      <c r="JQZ141" s="3"/>
      <c r="JRA141" s="3"/>
      <c r="JRB141" s="3"/>
      <c r="JRC141" s="3"/>
      <c r="JRD141" s="3"/>
      <c r="JRE141" s="3"/>
      <c r="JRF141" s="3"/>
      <c r="JRG141" s="3"/>
      <c r="JRH141" s="3"/>
      <c r="JRI141" s="3"/>
      <c r="JRJ141" s="3"/>
      <c r="JRK141" s="3"/>
      <c r="JRL141" s="3"/>
      <c r="JRM141" s="3"/>
      <c r="JRN141" s="3"/>
      <c r="JRO141" s="3"/>
      <c r="JRP141" s="3"/>
      <c r="JRQ141" s="3"/>
      <c r="JRR141" s="3"/>
      <c r="JRS141" s="3"/>
      <c r="JRT141" s="3"/>
      <c r="JRU141" s="3"/>
      <c r="JRV141" s="3"/>
      <c r="JRW141" s="3"/>
      <c r="JRX141" s="3"/>
      <c r="JRY141" s="3"/>
      <c r="JRZ141" s="3"/>
      <c r="JSA141" s="3"/>
      <c r="JSB141" s="3"/>
      <c r="JSC141" s="3"/>
      <c r="JSD141" s="3"/>
      <c r="JSE141" s="3"/>
      <c r="JSF141" s="3"/>
      <c r="JSG141" s="3"/>
      <c r="JSH141" s="3"/>
      <c r="JSI141" s="3"/>
      <c r="JSJ141" s="3"/>
      <c r="JSK141" s="3"/>
      <c r="JSL141" s="3"/>
      <c r="JSM141" s="3"/>
      <c r="JSN141" s="3"/>
      <c r="JSO141" s="3"/>
      <c r="JSP141" s="3"/>
      <c r="JSQ141" s="3"/>
      <c r="JSR141" s="3"/>
      <c r="JSS141" s="3"/>
      <c r="JST141" s="3"/>
      <c r="JSU141" s="3"/>
      <c r="JSV141" s="3"/>
      <c r="JSW141" s="3"/>
      <c r="JSX141" s="3"/>
      <c r="JSY141" s="3"/>
      <c r="JSZ141" s="3"/>
      <c r="JTA141" s="3"/>
      <c r="JTB141" s="3"/>
      <c r="JTC141" s="3"/>
      <c r="JTD141" s="3"/>
      <c r="JTE141" s="3"/>
      <c r="JTF141" s="3"/>
      <c r="JTG141" s="3"/>
      <c r="JTH141" s="3"/>
      <c r="JTI141" s="3"/>
      <c r="JTJ141" s="3"/>
      <c r="JTK141" s="3"/>
      <c r="JTL141" s="3"/>
      <c r="JTM141" s="3"/>
      <c r="JTN141" s="3"/>
      <c r="JTO141" s="3"/>
      <c r="JTP141" s="3"/>
      <c r="JTQ141" s="3"/>
      <c r="JTR141" s="3"/>
      <c r="JTS141" s="3"/>
      <c r="JTT141" s="3"/>
      <c r="JTU141" s="3"/>
      <c r="JTV141" s="3"/>
      <c r="JTW141" s="3"/>
      <c r="JTX141" s="3"/>
      <c r="JTY141" s="3"/>
      <c r="JTZ141" s="3"/>
      <c r="JUA141" s="3"/>
      <c r="JUB141" s="3"/>
      <c r="JUC141" s="3"/>
      <c r="JUD141" s="3"/>
      <c r="JUE141" s="3"/>
      <c r="JUF141" s="3"/>
      <c r="JUG141" s="3"/>
      <c r="JUH141" s="3"/>
      <c r="JUI141" s="3"/>
      <c r="JUJ141" s="3"/>
      <c r="JUK141" s="3"/>
      <c r="JUL141" s="3"/>
      <c r="JUM141" s="3"/>
      <c r="JUN141" s="3"/>
      <c r="JUO141" s="3"/>
      <c r="JUP141" s="3"/>
      <c r="JUQ141" s="3"/>
      <c r="JUR141" s="3"/>
      <c r="JUS141" s="3"/>
      <c r="JUT141" s="3"/>
      <c r="JUU141" s="3"/>
      <c r="JUV141" s="3"/>
      <c r="JUW141" s="3"/>
      <c r="JUX141" s="3"/>
      <c r="JUY141" s="3"/>
      <c r="JUZ141" s="3"/>
      <c r="JVA141" s="3"/>
      <c r="JVB141" s="3"/>
      <c r="JVC141" s="3"/>
      <c r="JVD141" s="3"/>
      <c r="JVE141" s="3"/>
      <c r="JVF141" s="3"/>
      <c r="JVG141" s="3"/>
      <c r="JVH141" s="3"/>
      <c r="JVI141" s="3"/>
      <c r="JVJ141" s="3"/>
      <c r="JVK141" s="3"/>
      <c r="JVL141" s="3"/>
      <c r="JVM141" s="3"/>
      <c r="JVN141" s="3"/>
      <c r="JVO141" s="3"/>
      <c r="JVP141" s="3"/>
      <c r="JVQ141" s="3"/>
      <c r="JVR141" s="3"/>
      <c r="JVS141" s="3"/>
      <c r="JVT141" s="3"/>
      <c r="JVU141" s="3"/>
      <c r="JVV141" s="3"/>
      <c r="JVW141" s="3"/>
      <c r="JVX141" s="3"/>
      <c r="JVY141" s="3"/>
      <c r="JVZ141" s="3"/>
      <c r="JWA141" s="3"/>
      <c r="JWB141" s="3"/>
      <c r="JWC141" s="3"/>
      <c r="JWD141" s="3"/>
      <c r="JWE141" s="3"/>
      <c r="JWF141" s="3"/>
      <c r="JWG141" s="3"/>
      <c r="JWH141" s="3"/>
      <c r="JWI141" s="3"/>
      <c r="JWJ141" s="3"/>
      <c r="JWK141" s="3"/>
      <c r="JWL141" s="3"/>
      <c r="JWM141" s="3"/>
      <c r="JWN141" s="3"/>
      <c r="JWO141" s="3"/>
      <c r="JWP141" s="3"/>
      <c r="JWQ141" s="3"/>
      <c r="JWR141" s="3"/>
      <c r="JWS141" s="3"/>
      <c r="JWT141" s="3"/>
      <c r="JWU141" s="3"/>
      <c r="JWV141" s="3"/>
      <c r="JWW141" s="3"/>
      <c r="JWX141" s="3"/>
      <c r="JWY141" s="3"/>
      <c r="JWZ141" s="3"/>
      <c r="JXA141" s="3"/>
      <c r="JXB141" s="3"/>
      <c r="JXC141" s="3"/>
      <c r="JXD141" s="3"/>
      <c r="JXE141" s="3"/>
      <c r="JXF141" s="3"/>
      <c r="JXG141" s="3"/>
      <c r="JXH141" s="3"/>
      <c r="JXI141" s="3"/>
      <c r="JXJ141" s="3"/>
      <c r="JXK141" s="3"/>
      <c r="JXL141" s="3"/>
      <c r="JXM141" s="3"/>
      <c r="JXN141" s="3"/>
      <c r="JXO141" s="3"/>
      <c r="JXP141" s="3"/>
      <c r="JXQ141" s="3"/>
      <c r="JXR141" s="3"/>
      <c r="JXS141" s="3"/>
      <c r="JXT141" s="3"/>
      <c r="JXU141" s="3"/>
      <c r="JXV141" s="3"/>
      <c r="JXW141" s="3"/>
      <c r="JXX141" s="3"/>
      <c r="JXY141" s="3"/>
      <c r="JXZ141" s="3"/>
      <c r="JYA141" s="3"/>
      <c r="JYB141" s="3"/>
      <c r="JYC141" s="3"/>
      <c r="JYD141" s="3"/>
      <c r="JYE141" s="3"/>
      <c r="JYF141" s="3"/>
      <c r="JYG141" s="3"/>
      <c r="JYH141" s="3"/>
      <c r="JYI141" s="3"/>
      <c r="JYJ141" s="3"/>
      <c r="JYK141" s="3"/>
      <c r="JYL141" s="3"/>
      <c r="JYM141" s="3"/>
      <c r="JYN141" s="3"/>
      <c r="JYO141" s="3"/>
      <c r="JYP141" s="3"/>
      <c r="JYQ141" s="3"/>
      <c r="JYR141" s="3"/>
      <c r="JYS141" s="3"/>
      <c r="JYT141" s="3"/>
      <c r="JYU141" s="3"/>
      <c r="JYV141" s="3"/>
      <c r="JYW141" s="3"/>
      <c r="JYX141" s="3"/>
      <c r="JYY141" s="3"/>
      <c r="JYZ141" s="3"/>
      <c r="JZA141" s="3"/>
      <c r="JZB141" s="3"/>
      <c r="JZC141" s="3"/>
      <c r="JZD141" s="3"/>
      <c r="JZE141" s="3"/>
      <c r="JZF141" s="3"/>
      <c r="JZG141" s="3"/>
      <c r="JZH141" s="3"/>
      <c r="JZI141" s="3"/>
      <c r="JZJ141" s="3"/>
      <c r="JZK141" s="3"/>
      <c r="JZL141" s="3"/>
      <c r="JZM141" s="3"/>
      <c r="JZN141" s="3"/>
      <c r="JZO141" s="3"/>
      <c r="JZP141" s="3"/>
      <c r="JZQ141" s="3"/>
      <c r="JZR141" s="3"/>
      <c r="JZS141" s="3"/>
      <c r="JZT141" s="3"/>
      <c r="JZU141" s="3"/>
      <c r="JZV141" s="3"/>
      <c r="JZW141" s="3"/>
      <c r="JZX141" s="3"/>
      <c r="JZY141" s="3"/>
      <c r="JZZ141" s="3"/>
      <c r="KAA141" s="3"/>
      <c r="KAB141" s="3"/>
      <c r="KAC141" s="3"/>
      <c r="KAD141" s="3"/>
      <c r="KAE141" s="3"/>
      <c r="KAF141" s="3"/>
      <c r="KAG141" s="3"/>
      <c r="KAH141" s="3"/>
      <c r="KAI141" s="3"/>
      <c r="KAJ141" s="3"/>
      <c r="KAK141" s="3"/>
      <c r="KAL141" s="3"/>
      <c r="KAM141" s="3"/>
      <c r="KAN141" s="3"/>
      <c r="KAO141" s="3"/>
      <c r="KAP141" s="3"/>
      <c r="KAQ141" s="3"/>
      <c r="KAR141" s="3"/>
      <c r="KAS141" s="3"/>
      <c r="KAT141" s="3"/>
      <c r="KAU141" s="3"/>
      <c r="KAV141" s="3"/>
      <c r="KAW141" s="3"/>
      <c r="KAX141" s="3"/>
      <c r="KAY141" s="3"/>
      <c r="KAZ141" s="3"/>
      <c r="KBA141" s="3"/>
      <c r="KBB141" s="3"/>
      <c r="KBC141" s="3"/>
      <c r="KBD141" s="3"/>
      <c r="KBE141" s="3"/>
      <c r="KBF141" s="3"/>
      <c r="KBG141" s="3"/>
      <c r="KBH141" s="3"/>
      <c r="KBI141" s="3"/>
      <c r="KBJ141" s="3"/>
      <c r="KBK141" s="3"/>
      <c r="KBL141" s="3"/>
      <c r="KBM141" s="3"/>
      <c r="KBN141" s="3"/>
      <c r="KBO141" s="3"/>
      <c r="KBP141" s="3"/>
      <c r="KBQ141" s="3"/>
      <c r="KBR141" s="3"/>
      <c r="KBS141" s="3"/>
      <c r="KBT141" s="3"/>
      <c r="KBU141" s="3"/>
      <c r="KBV141" s="3"/>
      <c r="KBW141" s="3"/>
      <c r="KBX141" s="3"/>
      <c r="KBY141" s="3"/>
      <c r="KBZ141" s="3"/>
      <c r="KCA141" s="3"/>
      <c r="KCB141" s="3"/>
      <c r="KCC141" s="3"/>
      <c r="KCD141" s="3"/>
      <c r="KCE141" s="3"/>
      <c r="KCF141" s="3"/>
      <c r="KCG141" s="3"/>
      <c r="KCH141" s="3"/>
      <c r="KCI141" s="3"/>
      <c r="KCJ141" s="3"/>
      <c r="KCK141" s="3"/>
      <c r="KCL141" s="3"/>
      <c r="KCM141" s="3"/>
      <c r="KCN141" s="3"/>
      <c r="KCO141" s="3"/>
      <c r="KCP141" s="3"/>
      <c r="KCQ141" s="3"/>
      <c r="KCR141" s="3"/>
      <c r="KCS141" s="3"/>
      <c r="KCT141" s="3"/>
      <c r="KCU141" s="3"/>
      <c r="KCV141" s="3"/>
      <c r="KCW141" s="3"/>
      <c r="KCX141" s="3"/>
      <c r="KCY141" s="3"/>
      <c r="KCZ141" s="3"/>
      <c r="KDA141" s="3"/>
      <c r="KDB141" s="3"/>
      <c r="KDC141" s="3"/>
      <c r="KDD141" s="3"/>
      <c r="KDE141" s="3"/>
      <c r="KDF141" s="3"/>
      <c r="KDG141" s="3"/>
      <c r="KDH141" s="3"/>
      <c r="KDI141" s="3"/>
      <c r="KDJ141" s="3"/>
      <c r="KDK141" s="3"/>
      <c r="KDL141" s="3"/>
      <c r="KDM141" s="3"/>
      <c r="KDN141" s="3"/>
      <c r="KDO141" s="3"/>
      <c r="KDP141" s="3"/>
      <c r="KDQ141" s="3"/>
      <c r="KDR141" s="3"/>
      <c r="KDS141" s="3"/>
      <c r="KDT141" s="3"/>
      <c r="KDU141" s="3"/>
      <c r="KDV141" s="3"/>
      <c r="KDW141" s="3"/>
      <c r="KDX141" s="3"/>
      <c r="KDY141" s="3"/>
      <c r="KDZ141" s="3"/>
      <c r="KEA141" s="3"/>
      <c r="KEB141" s="3"/>
      <c r="KEC141" s="3"/>
      <c r="KED141" s="3"/>
      <c r="KEE141" s="3"/>
      <c r="KEF141" s="3"/>
      <c r="KEG141" s="3"/>
      <c r="KEH141" s="3"/>
      <c r="KEI141" s="3"/>
      <c r="KEJ141" s="3"/>
      <c r="KEK141" s="3"/>
      <c r="KEL141" s="3"/>
      <c r="KEM141" s="3"/>
      <c r="KEN141" s="3"/>
      <c r="KEO141" s="3"/>
      <c r="KEP141" s="3"/>
      <c r="KEQ141" s="3"/>
      <c r="KER141" s="3"/>
      <c r="KES141" s="3"/>
      <c r="KET141" s="3"/>
      <c r="KEU141" s="3"/>
      <c r="KEV141" s="3"/>
      <c r="KEW141" s="3"/>
      <c r="KEX141" s="3"/>
      <c r="KEY141" s="3"/>
      <c r="KEZ141" s="3"/>
      <c r="KFA141" s="3"/>
      <c r="KFB141" s="3"/>
      <c r="KFC141" s="3"/>
      <c r="KFD141" s="3"/>
      <c r="KFE141" s="3"/>
      <c r="KFF141" s="3"/>
      <c r="KFG141" s="3"/>
      <c r="KFH141" s="3"/>
      <c r="KFI141" s="3"/>
      <c r="KFJ141" s="3"/>
      <c r="KFK141" s="3"/>
      <c r="KFL141" s="3"/>
      <c r="KFM141" s="3"/>
      <c r="KFN141" s="3"/>
      <c r="KFO141" s="3"/>
      <c r="KFP141" s="3"/>
      <c r="KFQ141" s="3"/>
      <c r="KFR141" s="3"/>
      <c r="KFS141" s="3"/>
      <c r="KFT141" s="3"/>
      <c r="KFU141" s="3"/>
      <c r="KFV141" s="3"/>
      <c r="KFW141" s="3"/>
      <c r="KFX141" s="3"/>
      <c r="KFY141" s="3"/>
      <c r="KFZ141" s="3"/>
      <c r="KGA141" s="3"/>
      <c r="KGB141" s="3"/>
      <c r="KGC141" s="3"/>
      <c r="KGD141" s="3"/>
      <c r="KGE141" s="3"/>
      <c r="KGF141" s="3"/>
      <c r="KGG141" s="3"/>
      <c r="KGH141" s="3"/>
      <c r="KGI141" s="3"/>
      <c r="KGJ141" s="3"/>
      <c r="KGK141" s="3"/>
      <c r="KGL141" s="3"/>
      <c r="KGM141" s="3"/>
      <c r="KGN141" s="3"/>
      <c r="KGO141" s="3"/>
      <c r="KGP141" s="3"/>
      <c r="KGQ141" s="3"/>
      <c r="KGR141" s="3"/>
      <c r="KGS141" s="3"/>
      <c r="KGT141" s="3"/>
      <c r="KGU141" s="3"/>
      <c r="KGV141" s="3"/>
      <c r="KGW141" s="3"/>
      <c r="KGX141" s="3"/>
      <c r="KGY141" s="3"/>
      <c r="KGZ141" s="3"/>
      <c r="KHA141" s="3"/>
      <c r="KHB141" s="3"/>
      <c r="KHC141" s="3"/>
      <c r="KHD141" s="3"/>
      <c r="KHE141" s="3"/>
      <c r="KHF141" s="3"/>
      <c r="KHG141" s="3"/>
      <c r="KHH141" s="3"/>
      <c r="KHI141" s="3"/>
      <c r="KHJ141" s="3"/>
      <c r="KHK141" s="3"/>
      <c r="KHL141" s="3"/>
      <c r="KHM141" s="3"/>
      <c r="KHN141" s="3"/>
      <c r="KHO141" s="3"/>
      <c r="KHP141" s="3"/>
      <c r="KHQ141" s="3"/>
      <c r="KHR141" s="3"/>
      <c r="KHS141" s="3"/>
      <c r="KHT141" s="3"/>
      <c r="KHU141" s="3"/>
      <c r="KHV141" s="3"/>
      <c r="KHW141" s="3"/>
      <c r="KHX141" s="3"/>
      <c r="KHY141" s="3"/>
      <c r="KHZ141" s="3"/>
      <c r="KIA141" s="3"/>
      <c r="KIB141" s="3"/>
      <c r="KIC141" s="3"/>
      <c r="KID141" s="3"/>
      <c r="KIE141" s="3"/>
      <c r="KIF141" s="3"/>
      <c r="KIG141" s="3"/>
      <c r="KIH141" s="3"/>
      <c r="KII141" s="3"/>
      <c r="KIJ141" s="3"/>
      <c r="KIK141" s="3"/>
      <c r="KIL141" s="3"/>
      <c r="KIM141" s="3"/>
      <c r="KIN141" s="3"/>
      <c r="KIO141" s="3"/>
      <c r="KIP141" s="3"/>
      <c r="KIQ141" s="3"/>
      <c r="KIR141" s="3"/>
      <c r="KIS141" s="3"/>
      <c r="KIT141" s="3"/>
      <c r="KIU141" s="3"/>
      <c r="KIV141" s="3"/>
      <c r="KIW141" s="3"/>
      <c r="KIX141" s="3"/>
      <c r="KIY141" s="3"/>
      <c r="KIZ141" s="3"/>
      <c r="KJA141" s="3"/>
      <c r="KJB141" s="3"/>
      <c r="KJC141" s="3"/>
      <c r="KJD141" s="3"/>
      <c r="KJE141" s="3"/>
      <c r="KJF141" s="3"/>
      <c r="KJG141" s="3"/>
      <c r="KJH141" s="3"/>
      <c r="KJI141" s="3"/>
      <c r="KJJ141" s="3"/>
      <c r="KJK141" s="3"/>
      <c r="KJL141" s="3"/>
      <c r="KJM141" s="3"/>
      <c r="KJN141" s="3"/>
      <c r="KJO141" s="3"/>
      <c r="KJP141" s="3"/>
      <c r="KJQ141" s="3"/>
      <c r="KJR141" s="3"/>
      <c r="KJS141" s="3"/>
      <c r="KJT141" s="3"/>
      <c r="KJU141" s="3"/>
      <c r="KJV141" s="3"/>
      <c r="KJW141" s="3"/>
      <c r="KJX141" s="3"/>
      <c r="KJY141" s="3"/>
      <c r="KJZ141" s="3"/>
      <c r="KKA141" s="3"/>
      <c r="KKB141" s="3"/>
      <c r="KKC141" s="3"/>
      <c r="KKD141" s="3"/>
      <c r="KKE141" s="3"/>
      <c r="KKF141" s="3"/>
      <c r="KKG141" s="3"/>
      <c r="KKH141" s="3"/>
      <c r="KKI141" s="3"/>
      <c r="KKJ141" s="3"/>
      <c r="KKK141" s="3"/>
      <c r="KKL141" s="3"/>
      <c r="KKM141" s="3"/>
      <c r="KKN141" s="3"/>
      <c r="KKO141" s="3"/>
      <c r="KKP141" s="3"/>
      <c r="KKQ141" s="3"/>
      <c r="KKR141" s="3"/>
      <c r="KKS141" s="3"/>
      <c r="KKT141" s="3"/>
      <c r="KKU141" s="3"/>
      <c r="KKV141" s="3"/>
      <c r="KKW141" s="3"/>
      <c r="KKX141" s="3"/>
      <c r="KKY141" s="3"/>
      <c r="KKZ141" s="3"/>
      <c r="KLA141" s="3"/>
      <c r="KLB141" s="3"/>
      <c r="KLC141" s="3"/>
      <c r="KLD141" s="3"/>
      <c r="KLE141" s="3"/>
      <c r="KLF141" s="3"/>
      <c r="KLG141" s="3"/>
      <c r="KLH141" s="3"/>
      <c r="KLI141" s="3"/>
      <c r="KLJ141" s="3"/>
      <c r="KLK141" s="3"/>
      <c r="KLL141" s="3"/>
      <c r="KLM141" s="3"/>
      <c r="KLN141" s="3"/>
      <c r="KLO141" s="3"/>
      <c r="KLP141" s="3"/>
      <c r="KLQ141" s="3"/>
      <c r="KLR141" s="3"/>
      <c r="KLS141" s="3"/>
      <c r="KLT141" s="3"/>
      <c r="KLU141" s="3"/>
      <c r="KLV141" s="3"/>
      <c r="KLW141" s="3"/>
      <c r="KLX141" s="3"/>
      <c r="KLY141" s="3"/>
      <c r="KLZ141" s="3"/>
      <c r="KMA141" s="3"/>
      <c r="KMB141" s="3"/>
      <c r="KMC141" s="3"/>
      <c r="KMD141" s="3"/>
      <c r="KME141" s="3"/>
      <c r="KMF141" s="3"/>
      <c r="KMG141" s="3"/>
      <c r="KMH141" s="3"/>
      <c r="KMI141" s="3"/>
      <c r="KMJ141" s="3"/>
      <c r="KMK141" s="3"/>
      <c r="KML141" s="3"/>
      <c r="KMM141" s="3"/>
      <c r="KMN141" s="3"/>
      <c r="KMO141" s="3"/>
      <c r="KMP141" s="3"/>
      <c r="KMQ141" s="3"/>
      <c r="KMR141" s="3"/>
      <c r="KMS141" s="3"/>
      <c r="KMT141" s="3"/>
      <c r="KMU141" s="3"/>
      <c r="KMV141" s="3"/>
      <c r="KMW141" s="3"/>
      <c r="KMX141" s="3"/>
      <c r="KMY141" s="3"/>
      <c r="KMZ141" s="3"/>
      <c r="KNA141" s="3"/>
      <c r="KNB141" s="3"/>
      <c r="KNC141" s="3"/>
      <c r="KND141" s="3"/>
      <c r="KNE141" s="3"/>
      <c r="KNF141" s="3"/>
      <c r="KNG141" s="3"/>
      <c r="KNH141" s="3"/>
      <c r="KNI141" s="3"/>
      <c r="KNJ141" s="3"/>
      <c r="KNK141" s="3"/>
      <c r="KNL141" s="3"/>
      <c r="KNM141" s="3"/>
      <c r="KNN141" s="3"/>
      <c r="KNO141" s="3"/>
      <c r="KNP141" s="3"/>
      <c r="KNQ141" s="3"/>
      <c r="KNR141" s="3"/>
      <c r="KNS141" s="3"/>
      <c r="KNT141" s="3"/>
      <c r="KNU141" s="3"/>
      <c r="KNV141" s="3"/>
      <c r="KNW141" s="3"/>
      <c r="KNX141" s="3"/>
      <c r="KNY141" s="3"/>
      <c r="KNZ141" s="3"/>
      <c r="KOA141" s="3"/>
      <c r="KOB141" s="3"/>
      <c r="KOC141" s="3"/>
      <c r="KOD141" s="3"/>
      <c r="KOE141" s="3"/>
      <c r="KOF141" s="3"/>
      <c r="KOG141" s="3"/>
      <c r="KOH141" s="3"/>
      <c r="KOI141" s="3"/>
      <c r="KOJ141" s="3"/>
      <c r="KOK141" s="3"/>
      <c r="KOL141" s="3"/>
      <c r="KOM141" s="3"/>
      <c r="KON141" s="3"/>
      <c r="KOO141" s="3"/>
      <c r="KOP141" s="3"/>
      <c r="KOQ141" s="3"/>
      <c r="KOR141" s="3"/>
      <c r="KOS141" s="3"/>
      <c r="KOT141" s="3"/>
      <c r="KOU141" s="3"/>
      <c r="KOV141" s="3"/>
      <c r="KOW141" s="3"/>
      <c r="KOX141" s="3"/>
      <c r="KOY141" s="3"/>
      <c r="KOZ141" s="3"/>
      <c r="KPA141" s="3"/>
      <c r="KPB141" s="3"/>
      <c r="KPC141" s="3"/>
      <c r="KPD141" s="3"/>
      <c r="KPE141" s="3"/>
      <c r="KPF141" s="3"/>
      <c r="KPG141" s="3"/>
      <c r="KPH141" s="3"/>
      <c r="KPI141" s="3"/>
      <c r="KPJ141" s="3"/>
      <c r="KPK141" s="3"/>
      <c r="KPL141" s="3"/>
      <c r="KPM141" s="3"/>
      <c r="KPN141" s="3"/>
      <c r="KPO141" s="3"/>
      <c r="KPP141" s="3"/>
      <c r="KPQ141" s="3"/>
      <c r="KPR141" s="3"/>
      <c r="KPS141" s="3"/>
      <c r="KPT141" s="3"/>
      <c r="KPU141" s="3"/>
      <c r="KPV141" s="3"/>
      <c r="KPW141" s="3"/>
      <c r="KPX141" s="3"/>
      <c r="KPY141" s="3"/>
      <c r="KPZ141" s="3"/>
      <c r="KQA141" s="3"/>
      <c r="KQB141" s="3"/>
      <c r="KQC141" s="3"/>
      <c r="KQD141" s="3"/>
      <c r="KQE141" s="3"/>
      <c r="KQF141" s="3"/>
      <c r="KQG141" s="3"/>
      <c r="KQH141" s="3"/>
      <c r="KQI141" s="3"/>
      <c r="KQJ141" s="3"/>
      <c r="KQK141" s="3"/>
      <c r="KQL141" s="3"/>
      <c r="KQM141" s="3"/>
      <c r="KQN141" s="3"/>
      <c r="KQO141" s="3"/>
      <c r="KQP141" s="3"/>
      <c r="KQQ141" s="3"/>
      <c r="KQR141" s="3"/>
      <c r="KQS141" s="3"/>
      <c r="KQT141" s="3"/>
      <c r="KQU141" s="3"/>
      <c r="KQV141" s="3"/>
      <c r="KQW141" s="3"/>
      <c r="KQX141" s="3"/>
      <c r="KQY141" s="3"/>
      <c r="KQZ141" s="3"/>
      <c r="KRA141" s="3"/>
      <c r="KRB141" s="3"/>
      <c r="KRC141" s="3"/>
      <c r="KRD141" s="3"/>
      <c r="KRE141" s="3"/>
      <c r="KRF141" s="3"/>
      <c r="KRG141" s="3"/>
      <c r="KRH141" s="3"/>
      <c r="KRI141" s="3"/>
      <c r="KRJ141" s="3"/>
      <c r="KRK141" s="3"/>
      <c r="KRL141" s="3"/>
      <c r="KRM141" s="3"/>
      <c r="KRN141" s="3"/>
      <c r="KRO141" s="3"/>
      <c r="KRP141" s="3"/>
      <c r="KRQ141" s="3"/>
      <c r="KRR141" s="3"/>
      <c r="KRS141" s="3"/>
      <c r="KRT141" s="3"/>
      <c r="KRU141" s="3"/>
      <c r="KRV141" s="3"/>
      <c r="KRW141" s="3"/>
      <c r="KRX141" s="3"/>
      <c r="KRY141" s="3"/>
      <c r="KRZ141" s="3"/>
      <c r="KSA141" s="3"/>
      <c r="KSB141" s="3"/>
      <c r="KSC141" s="3"/>
      <c r="KSD141" s="3"/>
      <c r="KSE141" s="3"/>
      <c r="KSF141" s="3"/>
      <c r="KSG141" s="3"/>
      <c r="KSH141" s="3"/>
      <c r="KSI141" s="3"/>
      <c r="KSJ141" s="3"/>
      <c r="KSK141" s="3"/>
      <c r="KSL141" s="3"/>
      <c r="KSM141" s="3"/>
      <c r="KSN141" s="3"/>
      <c r="KSO141" s="3"/>
      <c r="KSP141" s="3"/>
      <c r="KSQ141" s="3"/>
      <c r="KSR141" s="3"/>
      <c r="KSS141" s="3"/>
      <c r="KST141" s="3"/>
      <c r="KSU141" s="3"/>
      <c r="KSV141" s="3"/>
      <c r="KSW141" s="3"/>
      <c r="KSX141" s="3"/>
      <c r="KSY141" s="3"/>
      <c r="KSZ141" s="3"/>
      <c r="KTA141" s="3"/>
      <c r="KTB141" s="3"/>
      <c r="KTC141" s="3"/>
      <c r="KTD141" s="3"/>
      <c r="KTE141" s="3"/>
      <c r="KTF141" s="3"/>
      <c r="KTG141" s="3"/>
      <c r="KTH141" s="3"/>
      <c r="KTI141" s="3"/>
      <c r="KTJ141" s="3"/>
      <c r="KTK141" s="3"/>
      <c r="KTL141" s="3"/>
      <c r="KTM141" s="3"/>
      <c r="KTN141" s="3"/>
      <c r="KTO141" s="3"/>
      <c r="KTP141" s="3"/>
      <c r="KTQ141" s="3"/>
      <c r="KTR141" s="3"/>
      <c r="KTS141" s="3"/>
      <c r="KTT141" s="3"/>
      <c r="KTU141" s="3"/>
      <c r="KTV141" s="3"/>
      <c r="KTW141" s="3"/>
      <c r="KTX141" s="3"/>
      <c r="KTY141" s="3"/>
      <c r="KTZ141" s="3"/>
      <c r="KUA141" s="3"/>
      <c r="KUB141" s="3"/>
      <c r="KUC141" s="3"/>
      <c r="KUD141" s="3"/>
      <c r="KUE141" s="3"/>
      <c r="KUF141" s="3"/>
      <c r="KUG141" s="3"/>
      <c r="KUH141" s="3"/>
      <c r="KUI141" s="3"/>
      <c r="KUJ141" s="3"/>
      <c r="KUK141" s="3"/>
      <c r="KUL141" s="3"/>
      <c r="KUM141" s="3"/>
      <c r="KUN141" s="3"/>
      <c r="KUO141" s="3"/>
      <c r="KUP141" s="3"/>
      <c r="KUQ141" s="3"/>
      <c r="KUR141" s="3"/>
      <c r="KUS141" s="3"/>
      <c r="KUT141" s="3"/>
      <c r="KUU141" s="3"/>
      <c r="KUV141" s="3"/>
      <c r="KUW141" s="3"/>
      <c r="KUX141" s="3"/>
      <c r="KUY141" s="3"/>
      <c r="KUZ141" s="3"/>
      <c r="KVA141" s="3"/>
      <c r="KVB141" s="3"/>
      <c r="KVC141" s="3"/>
      <c r="KVD141" s="3"/>
      <c r="KVE141" s="3"/>
      <c r="KVF141" s="3"/>
      <c r="KVG141" s="3"/>
      <c r="KVH141" s="3"/>
      <c r="KVI141" s="3"/>
      <c r="KVJ141" s="3"/>
      <c r="KVK141" s="3"/>
      <c r="KVL141" s="3"/>
      <c r="KVM141" s="3"/>
      <c r="KVN141" s="3"/>
      <c r="KVO141" s="3"/>
      <c r="KVP141" s="3"/>
      <c r="KVQ141" s="3"/>
      <c r="KVR141" s="3"/>
      <c r="KVS141" s="3"/>
      <c r="KVT141" s="3"/>
      <c r="KVU141" s="3"/>
      <c r="KVV141" s="3"/>
      <c r="KVW141" s="3"/>
      <c r="KVX141" s="3"/>
      <c r="KVY141" s="3"/>
      <c r="KVZ141" s="3"/>
      <c r="KWA141" s="3"/>
      <c r="KWB141" s="3"/>
      <c r="KWC141" s="3"/>
      <c r="KWD141" s="3"/>
      <c r="KWE141" s="3"/>
      <c r="KWF141" s="3"/>
      <c r="KWG141" s="3"/>
      <c r="KWH141" s="3"/>
      <c r="KWI141" s="3"/>
      <c r="KWJ141" s="3"/>
      <c r="KWK141" s="3"/>
      <c r="KWL141" s="3"/>
      <c r="KWM141" s="3"/>
      <c r="KWN141" s="3"/>
      <c r="KWO141" s="3"/>
      <c r="KWP141" s="3"/>
      <c r="KWQ141" s="3"/>
      <c r="KWR141" s="3"/>
      <c r="KWS141" s="3"/>
      <c r="KWT141" s="3"/>
      <c r="KWU141" s="3"/>
      <c r="KWV141" s="3"/>
      <c r="KWW141" s="3"/>
      <c r="KWX141" s="3"/>
      <c r="KWY141" s="3"/>
      <c r="KWZ141" s="3"/>
      <c r="KXA141" s="3"/>
      <c r="KXB141" s="3"/>
      <c r="KXC141" s="3"/>
      <c r="KXD141" s="3"/>
      <c r="KXE141" s="3"/>
      <c r="KXF141" s="3"/>
      <c r="KXG141" s="3"/>
      <c r="KXH141" s="3"/>
      <c r="KXI141" s="3"/>
      <c r="KXJ141" s="3"/>
      <c r="KXK141" s="3"/>
      <c r="KXL141" s="3"/>
      <c r="KXM141" s="3"/>
      <c r="KXN141" s="3"/>
      <c r="KXO141" s="3"/>
      <c r="KXP141" s="3"/>
      <c r="KXQ141" s="3"/>
      <c r="KXR141" s="3"/>
      <c r="KXS141" s="3"/>
      <c r="KXT141" s="3"/>
      <c r="KXU141" s="3"/>
      <c r="KXV141" s="3"/>
      <c r="KXW141" s="3"/>
      <c r="KXX141" s="3"/>
      <c r="KXY141" s="3"/>
      <c r="KXZ141" s="3"/>
      <c r="KYA141" s="3"/>
      <c r="KYB141" s="3"/>
      <c r="KYC141" s="3"/>
      <c r="KYD141" s="3"/>
      <c r="KYE141" s="3"/>
      <c r="KYF141" s="3"/>
      <c r="KYG141" s="3"/>
      <c r="KYH141" s="3"/>
      <c r="KYI141" s="3"/>
      <c r="KYJ141" s="3"/>
      <c r="KYK141" s="3"/>
      <c r="KYL141" s="3"/>
      <c r="KYM141" s="3"/>
      <c r="KYN141" s="3"/>
      <c r="KYO141" s="3"/>
      <c r="KYP141" s="3"/>
      <c r="KYQ141" s="3"/>
      <c r="KYR141" s="3"/>
      <c r="KYS141" s="3"/>
      <c r="KYT141" s="3"/>
      <c r="KYU141" s="3"/>
      <c r="KYV141" s="3"/>
      <c r="KYW141" s="3"/>
      <c r="KYX141" s="3"/>
      <c r="KYY141" s="3"/>
      <c r="KYZ141" s="3"/>
      <c r="KZA141" s="3"/>
      <c r="KZB141" s="3"/>
      <c r="KZC141" s="3"/>
      <c r="KZD141" s="3"/>
      <c r="KZE141" s="3"/>
      <c r="KZF141" s="3"/>
      <c r="KZG141" s="3"/>
      <c r="KZH141" s="3"/>
      <c r="KZI141" s="3"/>
      <c r="KZJ141" s="3"/>
      <c r="KZK141" s="3"/>
      <c r="KZL141" s="3"/>
      <c r="KZM141" s="3"/>
      <c r="KZN141" s="3"/>
      <c r="KZO141" s="3"/>
      <c r="KZP141" s="3"/>
      <c r="KZQ141" s="3"/>
      <c r="KZR141" s="3"/>
      <c r="KZS141" s="3"/>
      <c r="KZT141" s="3"/>
      <c r="KZU141" s="3"/>
      <c r="KZV141" s="3"/>
      <c r="KZW141" s="3"/>
      <c r="KZX141" s="3"/>
      <c r="KZY141" s="3"/>
      <c r="KZZ141" s="3"/>
      <c r="LAA141" s="3"/>
      <c r="LAB141" s="3"/>
      <c r="LAC141" s="3"/>
      <c r="LAD141" s="3"/>
      <c r="LAE141" s="3"/>
      <c r="LAF141" s="3"/>
      <c r="LAG141" s="3"/>
      <c r="LAH141" s="3"/>
      <c r="LAI141" s="3"/>
      <c r="LAJ141" s="3"/>
      <c r="LAK141" s="3"/>
      <c r="LAL141" s="3"/>
      <c r="LAM141" s="3"/>
      <c r="LAN141" s="3"/>
      <c r="LAO141" s="3"/>
      <c r="LAP141" s="3"/>
      <c r="LAQ141" s="3"/>
      <c r="LAR141" s="3"/>
      <c r="LAS141" s="3"/>
      <c r="LAT141" s="3"/>
      <c r="LAU141" s="3"/>
      <c r="LAV141" s="3"/>
      <c r="LAW141" s="3"/>
      <c r="LAX141" s="3"/>
      <c r="LAY141" s="3"/>
      <c r="LAZ141" s="3"/>
      <c r="LBA141" s="3"/>
      <c r="LBB141" s="3"/>
      <c r="LBC141" s="3"/>
      <c r="LBD141" s="3"/>
      <c r="LBE141" s="3"/>
      <c r="LBF141" s="3"/>
      <c r="LBG141" s="3"/>
      <c r="LBH141" s="3"/>
      <c r="LBI141" s="3"/>
      <c r="LBJ141" s="3"/>
      <c r="LBK141" s="3"/>
      <c r="LBL141" s="3"/>
      <c r="LBM141" s="3"/>
      <c r="LBN141" s="3"/>
      <c r="LBO141" s="3"/>
      <c r="LBP141" s="3"/>
      <c r="LBQ141" s="3"/>
      <c r="LBR141" s="3"/>
      <c r="LBS141" s="3"/>
      <c r="LBT141" s="3"/>
      <c r="LBU141" s="3"/>
      <c r="LBV141" s="3"/>
      <c r="LBW141" s="3"/>
      <c r="LBX141" s="3"/>
      <c r="LBY141" s="3"/>
      <c r="LBZ141" s="3"/>
      <c r="LCA141" s="3"/>
      <c r="LCB141" s="3"/>
      <c r="LCC141" s="3"/>
      <c r="LCD141" s="3"/>
      <c r="LCE141" s="3"/>
      <c r="LCF141" s="3"/>
      <c r="LCG141" s="3"/>
      <c r="LCH141" s="3"/>
      <c r="LCI141" s="3"/>
      <c r="LCJ141" s="3"/>
      <c r="LCK141" s="3"/>
      <c r="LCL141" s="3"/>
      <c r="LCM141" s="3"/>
      <c r="LCN141" s="3"/>
      <c r="LCO141" s="3"/>
      <c r="LCP141" s="3"/>
      <c r="LCQ141" s="3"/>
      <c r="LCR141" s="3"/>
      <c r="LCS141" s="3"/>
      <c r="LCT141" s="3"/>
      <c r="LCU141" s="3"/>
      <c r="LCV141" s="3"/>
      <c r="LCW141" s="3"/>
      <c r="LCX141" s="3"/>
      <c r="LCY141" s="3"/>
      <c r="LCZ141" s="3"/>
      <c r="LDA141" s="3"/>
      <c r="LDB141" s="3"/>
      <c r="LDC141" s="3"/>
      <c r="LDD141" s="3"/>
      <c r="LDE141" s="3"/>
      <c r="LDF141" s="3"/>
      <c r="LDG141" s="3"/>
      <c r="LDH141" s="3"/>
      <c r="LDI141" s="3"/>
      <c r="LDJ141" s="3"/>
      <c r="LDK141" s="3"/>
      <c r="LDL141" s="3"/>
      <c r="LDM141" s="3"/>
      <c r="LDN141" s="3"/>
      <c r="LDO141" s="3"/>
      <c r="LDP141" s="3"/>
      <c r="LDQ141" s="3"/>
      <c r="LDR141" s="3"/>
      <c r="LDS141" s="3"/>
      <c r="LDT141" s="3"/>
      <c r="LDU141" s="3"/>
      <c r="LDV141" s="3"/>
      <c r="LDW141" s="3"/>
      <c r="LDX141" s="3"/>
      <c r="LDY141" s="3"/>
      <c r="LDZ141" s="3"/>
      <c r="LEA141" s="3"/>
      <c r="LEB141" s="3"/>
      <c r="LEC141" s="3"/>
      <c r="LED141" s="3"/>
      <c r="LEE141" s="3"/>
      <c r="LEF141" s="3"/>
      <c r="LEG141" s="3"/>
      <c r="LEH141" s="3"/>
      <c r="LEI141" s="3"/>
      <c r="LEJ141" s="3"/>
      <c r="LEK141" s="3"/>
      <c r="LEL141" s="3"/>
      <c r="LEM141" s="3"/>
      <c r="LEN141" s="3"/>
      <c r="LEO141" s="3"/>
      <c r="LEP141" s="3"/>
      <c r="LEQ141" s="3"/>
      <c r="LER141" s="3"/>
      <c r="LES141" s="3"/>
      <c r="LET141" s="3"/>
      <c r="LEU141" s="3"/>
      <c r="LEV141" s="3"/>
      <c r="LEW141" s="3"/>
      <c r="LEX141" s="3"/>
      <c r="LEY141" s="3"/>
      <c r="LEZ141" s="3"/>
      <c r="LFA141" s="3"/>
      <c r="LFB141" s="3"/>
      <c r="LFC141" s="3"/>
      <c r="LFD141" s="3"/>
      <c r="LFE141" s="3"/>
      <c r="LFF141" s="3"/>
      <c r="LFG141" s="3"/>
      <c r="LFH141" s="3"/>
      <c r="LFI141" s="3"/>
      <c r="LFJ141" s="3"/>
      <c r="LFK141" s="3"/>
      <c r="LFL141" s="3"/>
      <c r="LFM141" s="3"/>
      <c r="LFN141" s="3"/>
      <c r="LFO141" s="3"/>
      <c r="LFP141" s="3"/>
      <c r="LFQ141" s="3"/>
      <c r="LFR141" s="3"/>
      <c r="LFS141" s="3"/>
      <c r="LFT141" s="3"/>
      <c r="LFU141" s="3"/>
      <c r="LFV141" s="3"/>
      <c r="LFW141" s="3"/>
      <c r="LFX141" s="3"/>
      <c r="LFY141" s="3"/>
      <c r="LFZ141" s="3"/>
      <c r="LGA141" s="3"/>
      <c r="LGB141" s="3"/>
      <c r="LGC141" s="3"/>
      <c r="LGD141" s="3"/>
      <c r="LGE141" s="3"/>
      <c r="LGF141" s="3"/>
      <c r="LGG141" s="3"/>
      <c r="LGH141" s="3"/>
      <c r="LGI141" s="3"/>
      <c r="LGJ141" s="3"/>
      <c r="LGK141" s="3"/>
      <c r="LGL141" s="3"/>
      <c r="LGM141" s="3"/>
      <c r="LGN141" s="3"/>
      <c r="LGO141" s="3"/>
      <c r="LGP141" s="3"/>
      <c r="LGQ141" s="3"/>
      <c r="LGR141" s="3"/>
      <c r="LGS141" s="3"/>
      <c r="LGT141" s="3"/>
      <c r="LGU141" s="3"/>
      <c r="LGV141" s="3"/>
      <c r="LGW141" s="3"/>
      <c r="LGX141" s="3"/>
      <c r="LGY141" s="3"/>
      <c r="LGZ141" s="3"/>
      <c r="LHA141" s="3"/>
      <c r="LHB141" s="3"/>
      <c r="LHC141" s="3"/>
      <c r="LHD141" s="3"/>
      <c r="LHE141" s="3"/>
      <c r="LHF141" s="3"/>
      <c r="LHG141" s="3"/>
      <c r="LHH141" s="3"/>
      <c r="LHI141" s="3"/>
      <c r="LHJ141" s="3"/>
      <c r="LHK141" s="3"/>
      <c r="LHL141" s="3"/>
      <c r="LHM141" s="3"/>
      <c r="LHN141" s="3"/>
      <c r="LHO141" s="3"/>
      <c r="LHP141" s="3"/>
      <c r="LHQ141" s="3"/>
      <c r="LHR141" s="3"/>
      <c r="LHS141" s="3"/>
      <c r="LHT141" s="3"/>
      <c r="LHU141" s="3"/>
      <c r="LHV141" s="3"/>
      <c r="LHW141" s="3"/>
      <c r="LHX141" s="3"/>
      <c r="LHY141" s="3"/>
      <c r="LHZ141" s="3"/>
      <c r="LIA141" s="3"/>
      <c r="LIB141" s="3"/>
      <c r="LIC141" s="3"/>
      <c r="LID141" s="3"/>
      <c r="LIE141" s="3"/>
      <c r="LIF141" s="3"/>
      <c r="LIG141" s="3"/>
      <c r="LIH141" s="3"/>
      <c r="LII141" s="3"/>
      <c r="LIJ141" s="3"/>
      <c r="LIK141" s="3"/>
      <c r="LIL141" s="3"/>
      <c r="LIM141" s="3"/>
      <c r="LIN141" s="3"/>
      <c r="LIO141" s="3"/>
      <c r="LIP141" s="3"/>
      <c r="LIQ141" s="3"/>
      <c r="LIR141" s="3"/>
      <c r="LIS141" s="3"/>
      <c r="LIT141" s="3"/>
      <c r="LIU141" s="3"/>
      <c r="LIV141" s="3"/>
      <c r="LIW141" s="3"/>
      <c r="LIX141" s="3"/>
      <c r="LIY141" s="3"/>
      <c r="LIZ141" s="3"/>
      <c r="LJA141" s="3"/>
      <c r="LJB141" s="3"/>
      <c r="LJC141" s="3"/>
      <c r="LJD141" s="3"/>
      <c r="LJE141" s="3"/>
      <c r="LJF141" s="3"/>
      <c r="LJG141" s="3"/>
      <c r="LJH141" s="3"/>
      <c r="LJI141" s="3"/>
      <c r="LJJ141" s="3"/>
      <c r="LJK141" s="3"/>
      <c r="LJL141" s="3"/>
      <c r="LJM141" s="3"/>
      <c r="LJN141" s="3"/>
      <c r="LJO141" s="3"/>
      <c r="LJP141" s="3"/>
      <c r="LJQ141" s="3"/>
      <c r="LJR141" s="3"/>
      <c r="LJS141" s="3"/>
      <c r="LJT141" s="3"/>
      <c r="LJU141" s="3"/>
      <c r="LJV141" s="3"/>
      <c r="LJW141" s="3"/>
      <c r="LJX141" s="3"/>
      <c r="LJY141" s="3"/>
      <c r="LJZ141" s="3"/>
      <c r="LKA141" s="3"/>
      <c r="LKB141" s="3"/>
      <c r="LKC141" s="3"/>
      <c r="LKD141" s="3"/>
      <c r="LKE141" s="3"/>
      <c r="LKF141" s="3"/>
      <c r="LKG141" s="3"/>
      <c r="LKH141" s="3"/>
      <c r="LKI141" s="3"/>
      <c r="LKJ141" s="3"/>
      <c r="LKK141" s="3"/>
      <c r="LKL141" s="3"/>
      <c r="LKM141" s="3"/>
      <c r="LKN141" s="3"/>
      <c r="LKO141" s="3"/>
      <c r="LKP141" s="3"/>
      <c r="LKQ141" s="3"/>
      <c r="LKR141" s="3"/>
      <c r="LKS141" s="3"/>
      <c r="LKT141" s="3"/>
      <c r="LKU141" s="3"/>
      <c r="LKV141" s="3"/>
      <c r="LKW141" s="3"/>
      <c r="LKX141" s="3"/>
      <c r="LKY141" s="3"/>
      <c r="LKZ141" s="3"/>
      <c r="LLA141" s="3"/>
      <c r="LLB141" s="3"/>
      <c r="LLC141" s="3"/>
      <c r="LLD141" s="3"/>
      <c r="LLE141" s="3"/>
      <c r="LLF141" s="3"/>
      <c r="LLG141" s="3"/>
      <c r="LLH141" s="3"/>
      <c r="LLI141" s="3"/>
      <c r="LLJ141" s="3"/>
      <c r="LLK141" s="3"/>
      <c r="LLL141" s="3"/>
      <c r="LLM141" s="3"/>
      <c r="LLN141" s="3"/>
      <c r="LLO141" s="3"/>
      <c r="LLP141" s="3"/>
      <c r="LLQ141" s="3"/>
      <c r="LLR141" s="3"/>
      <c r="LLS141" s="3"/>
      <c r="LLT141" s="3"/>
      <c r="LLU141" s="3"/>
      <c r="LLV141" s="3"/>
      <c r="LLW141" s="3"/>
      <c r="LLX141" s="3"/>
      <c r="LLY141" s="3"/>
      <c r="LLZ141" s="3"/>
      <c r="LMA141" s="3"/>
      <c r="LMB141" s="3"/>
      <c r="LMC141" s="3"/>
      <c r="LMD141" s="3"/>
      <c r="LME141" s="3"/>
      <c r="LMF141" s="3"/>
      <c r="LMG141" s="3"/>
      <c r="LMH141" s="3"/>
      <c r="LMI141" s="3"/>
      <c r="LMJ141" s="3"/>
      <c r="LMK141" s="3"/>
      <c r="LML141" s="3"/>
      <c r="LMM141" s="3"/>
      <c r="LMN141" s="3"/>
      <c r="LMO141" s="3"/>
      <c r="LMP141" s="3"/>
      <c r="LMQ141" s="3"/>
      <c r="LMR141" s="3"/>
      <c r="LMS141" s="3"/>
      <c r="LMT141" s="3"/>
      <c r="LMU141" s="3"/>
      <c r="LMV141" s="3"/>
      <c r="LMW141" s="3"/>
      <c r="LMX141" s="3"/>
      <c r="LMY141" s="3"/>
      <c r="LMZ141" s="3"/>
      <c r="LNA141" s="3"/>
      <c r="LNB141" s="3"/>
      <c r="LNC141" s="3"/>
      <c r="LND141" s="3"/>
      <c r="LNE141" s="3"/>
      <c r="LNF141" s="3"/>
      <c r="LNG141" s="3"/>
      <c r="LNH141" s="3"/>
      <c r="LNI141" s="3"/>
      <c r="LNJ141" s="3"/>
      <c r="LNK141" s="3"/>
      <c r="LNL141" s="3"/>
      <c r="LNM141" s="3"/>
      <c r="LNN141" s="3"/>
      <c r="LNO141" s="3"/>
      <c r="LNP141" s="3"/>
      <c r="LNQ141" s="3"/>
      <c r="LNR141" s="3"/>
      <c r="LNS141" s="3"/>
      <c r="LNT141" s="3"/>
      <c r="LNU141" s="3"/>
      <c r="LNV141" s="3"/>
      <c r="LNW141" s="3"/>
      <c r="LNX141" s="3"/>
      <c r="LNY141" s="3"/>
      <c r="LNZ141" s="3"/>
      <c r="LOA141" s="3"/>
      <c r="LOB141" s="3"/>
      <c r="LOC141" s="3"/>
      <c r="LOD141" s="3"/>
      <c r="LOE141" s="3"/>
      <c r="LOF141" s="3"/>
      <c r="LOG141" s="3"/>
      <c r="LOH141" s="3"/>
      <c r="LOI141" s="3"/>
      <c r="LOJ141" s="3"/>
      <c r="LOK141" s="3"/>
      <c r="LOL141" s="3"/>
      <c r="LOM141" s="3"/>
      <c r="LON141" s="3"/>
      <c r="LOO141" s="3"/>
      <c r="LOP141" s="3"/>
      <c r="LOQ141" s="3"/>
      <c r="LOR141" s="3"/>
      <c r="LOS141" s="3"/>
      <c r="LOT141" s="3"/>
      <c r="LOU141" s="3"/>
      <c r="LOV141" s="3"/>
      <c r="LOW141" s="3"/>
      <c r="LOX141" s="3"/>
      <c r="LOY141" s="3"/>
      <c r="LOZ141" s="3"/>
      <c r="LPA141" s="3"/>
      <c r="LPB141" s="3"/>
      <c r="LPC141" s="3"/>
      <c r="LPD141" s="3"/>
      <c r="LPE141" s="3"/>
      <c r="LPF141" s="3"/>
      <c r="LPG141" s="3"/>
      <c r="LPH141" s="3"/>
      <c r="LPI141" s="3"/>
      <c r="LPJ141" s="3"/>
      <c r="LPK141" s="3"/>
      <c r="LPL141" s="3"/>
      <c r="LPM141" s="3"/>
      <c r="LPN141" s="3"/>
      <c r="LPO141" s="3"/>
      <c r="LPP141" s="3"/>
      <c r="LPQ141" s="3"/>
      <c r="LPR141" s="3"/>
      <c r="LPS141" s="3"/>
      <c r="LPT141" s="3"/>
      <c r="LPU141" s="3"/>
      <c r="LPV141" s="3"/>
      <c r="LPW141" s="3"/>
      <c r="LPX141" s="3"/>
      <c r="LPY141" s="3"/>
      <c r="LPZ141" s="3"/>
      <c r="LQA141" s="3"/>
      <c r="LQB141" s="3"/>
      <c r="LQC141" s="3"/>
      <c r="LQD141" s="3"/>
      <c r="LQE141" s="3"/>
      <c r="LQF141" s="3"/>
      <c r="LQG141" s="3"/>
      <c r="LQH141" s="3"/>
      <c r="LQI141" s="3"/>
      <c r="LQJ141" s="3"/>
      <c r="LQK141" s="3"/>
      <c r="LQL141" s="3"/>
      <c r="LQM141" s="3"/>
      <c r="LQN141" s="3"/>
      <c r="LQO141" s="3"/>
      <c r="LQP141" s="3"/>
      <c r="LQQ141" s="3"/>
      <c r="LQR141" s="3"/>
      <c r="LQS141" s="3"/>
      <c r="LQT141" s="3"/>
      <c r="LQU141" s="3"/>
      <c r="LQV141" s="3"/>
      <c r="LQW141" s="3"/>
      <c r="LQX141" s="3"/>
      <c r="LQY141" s="3"/>
      <c r="LQZ141" s="3"/>
      <c r="LRA141" s="3"/>
      <c r="LRB141" s="3"/>
      <c r="LRC141" s="3"/>
      <c r="LRD141" s="3"/>
      <c r="LRE141" s="3"/>
      <c r="LRF141" s="3"/>
      <c r="LRG141" s="3"/>
      <c r="LRH141" s="3"/>
      <c r="LRI141" s="3"/>
      <c r="LRJ141" s="3"/>
      <c r="LRK141" s="3"/>
      <c r="LRL141" s="3"/>
      <c r="LRM141" s="3"/>
      <c r="LRN141" s="3"/>
      <c r="LRO141" s="3"/>
      <c r="LRP141" s="3"/>
      <c r="LRQ141" s="3"/>
      <c r="LRR141" s="3"/>
      <c r="LRS141" s="3"/>
      <c r="LRT141" s="3"/>
      <c r="LRU141" s="3"/>
      <c r="LRV141" s="3"/>
      <c r="LRW141" s="3"/>
      <c r="LRX141" s="3"/>
      <c r="LRY141" s="3"/>
      <c r="LRZ141" s="3"/>
      <c r="LSA141" s="3"/>
      <c r="LSB141" s="3"/>
      <c r="LSC141" s="3"/>
      <c r="LSD141" s="3"/>
      <c r="LSE141" s="3"/>
      <c r="LSF141" s="3"/>
      <c r="LSG141" s="3"/>
      <c r="LSH141" s="3"/>
      <c r="LSI141" s="3"/>
      <c r="LSJ141" s="3"/>
      <c r="LSK141" s="3"/>
      <c r="LSL141" s="3"/>
      <c r="LSM141" s="3"/>
      <c r="LSN141" s="3"/>
      <c r="LSO141" s="3"/>
      <c r="LSP141" s="3"/>
      <c r="LSQ141" s="3"/>
      <c r="LSR141" s="3"/>
      <c r="LSS141" s="3"/>
      <c r="LST141" s="3"/>
      <c r="LSU141" s="3"/>
      <c r="LSV141" s="3"/>
      <c r="LSW141" s="3"/>
      <c r="LSX141" s="3"/>
      <c r="LSY141" s="3"/>
      <c r="LSZ141" s="3"/>
      <c r="LTA141" s="3"/>
      <c r="LTB141" s="3"/>
      <c r="LTC141" s="3"/>
      <c r="LTD141" s="3"/>
      <c r="LTE141" s="3"/>
      <c r="LTF141" s="3"/>
      <c r="LTG141" s="3"/>
      <c r="LTH141" s="3"/>
      <c r="LTI141" s="3"/>
      <c r="LTJ141" s="3"/>
      <c r="LTK141" s="3"/>
      <c r="LTL141" s="3"/>
      <c r="LTM141" s="3"/>
      <c r="LTN141" s="3"/>
      <c r="LTO141" s="3"/>
      <c r="LTP141" s="3"/>
      <c r="LTQ141" s="3"/>
      <c r="LTR141" s="3"/>
      <c r="LTS141" s="3"/>
      <c r="LTT141" s="3"/>
      <c r="LTU141" s="3"/>
      <c r="LTV141" s="3"/>
      <c r="LTW141" s="3"/>
      <c r="LTX141" s="3"/>
      <c r="LTY141" s="3"/>
      <c r="LTZ141" s="3"/>
      <c r="LUA141" s="3"/>
      <c r="LUB141" s="3"/>
      <c r="LUC141" s="3"/>
      <c r="LUD141" s="3"/>
      <c r="LUE141" s="3"/>
      <c r="LUF141" s="3"/>
      <c r="LUG141" s="3"/>
      <c r="LUH141" s="3"/>
      <c r="LUI141" s="3"/>
      <c r="LUJ141" s="3"/>
      <c r="LUK141" s="3"/>
      <c r="LUL141" s="3"/>
      <c r="LUM141" s="3"/>
      <c r="LUN141" s="3"/>
      <c r="LUO141" s="3"/>
      <c r="LUP141" s="3"/>
      <c r="LUQ141" s="3"/>
      <c r="LUR141" s="3"/>
      <c r="LUS141" s="3"/>
      <c r="LUT141" s="3"/>
      <c r="LUU141" s="3"/>
      <c r="LUV141" s="3"/>
      <c r="LUW141" s="3"/>
      <c r="LUX141" s="3"/>
      <c r="LUY141" s="3"/>
      <c r="LUZ141" s="3"/>
      <c r="LVA141" s="3"/>
      <c r="LVB141" s="3"/>
      <c r="LVC141" s="3"/>
      <c r="LVD141" s="3"/>
      <c r="LVE141" s="3"/>
      <c r="LVF141" s="3"/>
      <c r="LVG141" s="3"/>
      <c r="LVH141" s="3"/>
      <c r="LVI141" s="3"/>
      <c r="LVJ141" s="3"/>
      <c r="LVK141" s="3"/>
      <c r="LVL141" s="3"/>
      <c r="LVM141" s="3"/>
      <c r="LVN141" s="3"/>
      <c r="LVO141" s="3"/>
      <c r="LVP141" s="3"/>
      <c r="LVQ141" s="3"/>
      <c r="LVR141" s="3"/>
      <c r="LVS141" s="3"/>
      <c r="LVT141" s="3"/>
      <c r="LVU141" s="3"/>
      <c r="LVV141" s="3"/>
      <c r="LVW141" s="3"/>
      <c r="LVX141" s="3"/>
      <c r="LVY141" s="3"/>
      <c r="LVZ141" s="3"/>
      <c r="LWA141" s="3"/>
      <c r="LWB141" s="3"/>
      <c r="LWC141" s="3"/>
      <c r="LWD141" s="3"/>
      <c r="LWE141" s="3"/>
      <c r="LWF141" s="3"/>
      <c r="LWG141" s="3"/>
      <c r="LWH141" s="3"/>
      <c r="LWI141" s="3"/>
      <c r="LWJ141" s="3"/>
      <c r="LWK141" s="3"/>
      <c r="LWL141" s="3"/>
      <c r="LWM141" s="3"/>
      <c r="LWN141" s="3"/>
      <c r="LWO141" s="3"/>
      <c r="LWP141" s="3"/>
      <c r="LWQ141" s="3"/>
      <c r="LWR141" s="3"/>
      <c r="LWS141" s="3"/>
      <c r="LWT141" s="3"/>
      <c r="LWU141" s="3"/>
      <c r="LWV141" s="3"/>
      <c r="LWW141" s="3"/>
      <c r="LWX141" s="3"/>
      <c r="LWY141" s="3"/>
      <c r="LWZ141" s="3"/>
      <c r="LXA141" s="3"/>
      <c r="LXB141" s="3"/>
      <c r="LXC141" s="3"/>
      <c r="LXD141" s="3"/>
      <c r="LXE141" s="3"/>
      <c r="LXF141" s="3"/>
      <c r="LXG141" s="3"/>
      <c r="LXH141" s="3"/>
      <c r="LXI141" s="3"/>
      <c r="LXJ141" s="3"/>
      <c r="LXK141" s="3"/>
      <c r="LXL141" s="3"/>
      <c r="LXM141" s="3"/>
      <c r="LXN141" s="3"/>
      <c r="LXO141" s="3"/>
      <c r="LXP141" s="3"/>
      <c r="LXQ141" s="3"/>
      <c r="LXR141" s="3"/>
      <c r="LXS141" s="3"/>
      <c r="LXT141" s="3"/>
      <c r="LXU141" s="3"/>
      <c r="LXV141" s="3"/>
      <c r="LXW141" s="3"/>
      <c r="LXX141" s="3"/>
      <c r="LXY141" s="3"/>
      <c r="LXZ141" s="3"/>
      <c r="LYA141" s="3"/>
      <c r="LYB141" s="3"/>
      <c r="LYC141" s="3"/>
      <c r="LYD141" s="3"/>
      <c r="LYE141" s="3"/>
      <c r="LYF141" s="3"/>
      <c r="LYG141" s="3"/>
      <c r="LYH141" s="3"/>
      <c r="LYI141" s="3"/>
      <c r="LYJ141" s="3"/>
      <c r="LYK141" s="3"/>
      <c r="LYL141" s="3"/>
      <c r="LYM141" s="3"/>
      <c r="LYN141" s="3"/>
      <c r="LYO141" s="3"/>
      <c r="LYP141" s="3"/>
      <c r="LYQ141" s="3"/>
      <c r="LYR141" s="3"/>
      <c r="LYS141" s="3"/>
      <c r="LYT141" s="3"/>
      <c r="LYU141" s="3"/>
      <c r="LYV141" s="3"/>
      <c r="LYW141" s="3"/>
      <c r="LYX141" s="3"/>
      <c r="LYY141" s="3"/>
      <c r="LYZ141" s="3"/>
      <c r="LZA141" s="3"/>
      <c r="LZB141" s="3"/>
      <c r="LZC141" s="3"/>
      <c r="LZD141" s="3"/>
      <c r="LZE141" s="3"/>
      <c r="LZF141" s="3"/>
      <c r="LZG141" s="3"/>
      <c r="LZH141" s="3"/>
      <c r="LZI141" s="3"/>
      <c r="LZJ141" s="3"/>
      <c r="LZK141" s="3"/>
      <c r="LZL141" s="3"/>
      <c r="LZM141" s="3"/>
      <c r="LZN141" s="3"/>
      <c r="LZO141" s="3"/>
      <c r="LZP141" s="3"/>
      <c r="LZQ141" s="3"/>
      <c r="LZR141" s="3"/>
      <c r="LZS141" s="3"/>
      <c r="LZT141" s="3"/>
      <c r="LZU141" s="3"/>
      <c r="LZV141" s="3"/>
      <c r="LZW141" s="3"/>
      <c r="LZX141" s="3"/>
      <c r="LZY141" s="3"/>
      <c r="LZZ141" s="3"/>
      <c r="MAA141" s="3"/>
      <c r="MAB141" s="3"/>
      <c r="MAC141" s="3"/>
      <c r="MAD141" s="3"/>
      <c r="MAE141" s="3"/>
      <c r="MAF141" s="3"/>
      <c r="MAG141" s="3"/>
      <c r="MAH141" s="3"/>
      <c r="MAI141" s="3"/>
      <c r="MAJ141" s="3"/>
      <c r="MAK141" s="3"/>
      <c r="MAL141" s="3"/>
      <c r="MAM141" s="3"/>
      <c r="MAN141" s="3"/>
      <c r="MAO141" s="3"/>
      <c r="MAP141" s="3"/>
      <c r="MAQ141" s="3"/>
      <c r="MAR141" s="3"/>
      <c r="MAS141" s="3"/>
      <c r="MAT141" s="3"/>
      <c r="MAU141" s="3"/>
      <c r="MAV141" s="3"/>
      <c r="MAW141" s="3"/>
      <c r="MAX141" s="3"/>
      <c r="MAY141" s="3"/>
      <c r="MAZ141" s="3"/>
      <c r="MBA141" s="3"/>
      <c r="MBB141" s="3"/>
      <c r="MBC141" s="3"/>
      <c r="MBD141" s="3"/>
      <c r="MBE141" s="3"/>
      <c r="MBF141" s="3"/>
      <c r="MBG141" s="3"/>
      <c r="MBH141" s="3"/>
      <c r="MBI141" s="3"/>
      <c r="MBJ141" s="3"/>
      <c r="MBK141" s="3"/>
      <c r="MBL141" s="3"/>
      <c r="MBM141" s="3"/>
      <c r="MBN141" s="3"/>
      <c r="MBO141" s="3"/>
      <c r="MBP141" s="3"/>
      <c r="MBQ141" s="3"/>
      <c r="MBR141" s="3"/>
      <c r="MBS141" s="3"/>
      <c r="MBT141" s="3"/>
      <c r="MBU141" s="3"/>
      <c r="MBV141" s="3"/>
      <c r="MBW141" s="3"/>
      <c r="MBX141" s="3"/>
      <c r="MBY141" s="3"/>
      <c r="MBZ141" s="3"/>
      <c r="MCA141" s="3"/>
      <c r="MCB141" s="3"/>
      <c r="MCC141" s="3"/>
      <c r="MCD141" s="3"/>
      <c r="MCE141" s="3"/>
      <c r="MCF141" s="3"/>
      <c r="MCG141" s="3"/>
      <c r="MCH141" s="3"/>
      <c r="MCI141" s="3"/>
      <c r="MCJ141" s="3"/>
      <c r="MCK141" s="3"/>
      <c r="MCL141" s="3"/>
      <c r="MCM141" s="3"/>
      <c r="MCN141" s="3"/>
      <c r="MCO141" s="3"/>
      <c r="MCP141" s="3"/>
      <c r="MCQ141" s="3"/>
      <c r="MCR141" s="3"/>
      <c r="MCS141" s="3"/>
      <c r="MCT141" s="3"/>
      <c r="MCU141" s="3"/>
      <c r="MCV141" s="3"/>
      <c r="MCW141" s="3"/>
      <c r="MCX141" s="3"/>
      <c r="MCY141" s="3"/>
      <c r="MCZ141" s="3"/>
      <c r="MDA141" s="3"/>
      <c r="MDB141" s="3"/>
      <c r="MDC141" s="3"/>
      <c r="MDD141" s="3"/>
      <c r="MDE141" s="3"/>
      <c r="MDF141" s="3"/>
      <c r="MDG141" s="3"/>
      <c r="MDH141" s="3"/>
      <c r="MDI141" s="3"/>
      <c r="MDJ141" s="3"/>
      <c r="MDK141" s="3"/>
      <c r="MDL141" s="3"/>
      <c r="MDM141" s="3"/>
      <c r="MDN141" s="3"/>
      <c r="MDO141" s="3"/>
      <c r="MDP141" s="3"/>
      <c r="MDQ141" s="3"/>
      <c r="MDR141" s="3"/>
      <c r="MDS141" s="3"/>
      <c r="MDT141" s="3"/>
      <c r="MDU141" s="3"/>
      <c r="MDV141" s="3"/>
      <c r="MDW141" s="3"/>
      <c r="MDX141" s="3"/>
      <c r="MDY141" s="3"/>
      <c r="MDZ141" s="3"/>
      <c r="MEA141" s="3"/>
      <c r="MEB141" s="3"/>
      <c r="MEC141" s="3"/>
      <c r="MED141" s="3"/>
      <c r="MEE141" s="3"/>
      <c r="MEF141" s="3"/>
      <c r="MEG141" s="3"/>
      <c r="MEH141" s="3"/>
      <c r="MEI141" s="3"/>
      <c r="MEJ141" s="3"/>
      <c r="MEK141" s="3"/>
      <c r="MEL141" s="3"/>
      <c r="MEM141" s="3"/>
      <c r="MEN141" s="3"/>
      <c r="MEO141" s="3"/>
      <c r="MEP141" s="3"/>
      <c r="MEQ141" s="3"/>
      <c r="MER141" s="3"/>
      <c r="MES141" s="3"/>
      <c r="MET141" s="3"/>
      <c r="MEU141" s="3"/>
      <c r="MEV141" s="3"/>
      <c r="MEW141" s="3"/>
      <c r="MEX141" s="3"/>
      <c r="MEY141" s="3"/>
      <c r="MEZ141" s="3"/>
      <c r="MFA141" s="3"/>
      <c r="MFB141" s="3"/>
      <c r="MFC141" s="3"/>
      <c r="MFD141" s="3"/>
      <c r="MFE141" s="3"/>
      <c r="MFF141" s="3"/>
      <c r="MFG141" s="3"/>
      <c r="MFH141" s="3"/>
      <c r="MFI141" s="3"/>
      <c r="MFJ141" s="3"/>
      <c r="MFK141" s="3"/>
      <c r="MFL141" s="3"/>
      <c r="MFM141" s="3"/>
      <c r="MFN141" s="3"/>
      <c r="MFO141" s="3"/>
      <c r="MFP141" s="3"/>
      <c r="MFQ141" s="3"/>
      <c r="MFR141" s="3"/>
      <c r="MFS141" s="3"/>
      <c r="MFT141" s="3"/>
      <c r="MFU141" s="3"/>
      <c r="MFV141" s="3"/>
      <c r="MFW141" s="3"/>
      <c r="MFX141" s="3"/>
      <c r="MFY141" s="3"/>
      <c r="MFZ141" s="3"/>
      <c r="MGA141" s="3"/>
      <c r="MGB141" s="3"/>
      <c r="MGC141" s="3"/>
      <c r="MGD141" s="3"/>
      <c r="MGE141" s="3"/>
      <c r="MGF141" s="3"/>
      <c r="MGG141" s="3"/>
      <c r="MGH141" s="3"/>
      <c r="MGI141" s="3"/>
      <c r="MGJ141" s="3"/>
      <c r="MGK141" s="3"/>
      <c r="MGL141" s="3"/>
      <c r="MGM141" s="3"/>
      <c r="MGN141" s="3"/>
      <c r="MGO141" s="3"/>
      <c r="MGP141" s="3"/>
      <c r="MGQ141" s="3"/>
      <c r="MGR141" s="3"/>
      <c r="MGS141" s="3"/>
      <c r="MGT141" s="3"/>
      <c r="MGU141" s="3"/>
      <c r="MGV141" s="3"/>
      <c r="MGW141" s="3"/>
      <c r="MGX141" s="3"/>
      <c r="MGY141" s="3"/>
      <c r="MGZ141" s="3"/>
      <c r="MHA141" s="3"/>
      <c r="MHB141" s="3"/>
      <c r="MHC141" s="3"/>
      <c r="MHD141" s="3"/>
      <c r="MHE141" s="3"/>
      <c r="MHF141" s="3"/>
      <c r="MHG141" s="3"/>
      <c r="MHH141" s="3"/>
      <c r="MHI141" s="3"/>
      <c r="MHJ141" s="3"/>
      <c r="MHK141" s="3"/>
      <c r="MHL141" s="3"/>
      <c r="MHM141" s="3"/>
      <c r="MHN141" s="3"/>
      <c r="MHO141" s="3"/>
      <c r="MHP141" s="3"/>
      <c r="MHQ141" s="3"/>
      <c r="MHR141" s="3"/>
      <c r="MHS141" s="3"/>
      <c r="MHT141" s="3"/>
      <c r="MHU141" s="3"/>
      <c r="MHV141" s="3"/>
      <c r="MHW141" s="3"/>
      <c r="MHX141" s="3"/>
      <c r="MHY141" s="3"/>
      <c r="MHZ141" s="3"/>
      <c r="MIA141" s="3"/>
      <c r="MIB141" s="3"/>
      <c r="MIC141" s="3"/>
      <c r="MID141" s="3"/>
      <c r="MIE141" s="3"/>
      <c r="MIF141" s="3"/>
      <c r="MIG141" s="3"/>
      <c r="MIH141" s="3"/>
      <c r="MII141" s="3"/>
      <c r="MIJ141" s="3"/>
      <c r="MIK141" s="3"/>
      <c r="MIL141" s="3"/>
      <c r="MIM141" s="3"/>
      <c r="MIN141" s="3"/>
      <c r="MIO141" s="3"/>
      <c r="MIP141" s="3"/>
      <c r="MIQ141" s="3"/>
      <c r="MIR141" s="3"/>
      <c r="MIS141" s="3"/>
      <c r="MIT141" s="3"/>
      <c r="MIU141" s="3"/>
      <c r="MIV141" s="3"/>
      <c r="MIW141" s="3"/>
      <c r="MIX141" s="3"/>
      <c r="MIY141" s="3"/>
      <c r="MIZ141" s="3"/>
      <c r="MJA141" s="3"/>
      <c r="MJB141" s="3"/>
      <c r="MJC141" s="3"/>
      <c r="MJD141" s="3"/>
      <c r="MJE141" s="3"/>
      <c r="MJF141" s="3"/>
      <c r="MJG141" s="3"/>
      <c r="MJH141" s="3"/>
      <c r="MJI141" s="3"/>
      <c r="MJJ141" s="3"/>
      <c r="MJK141" s="3"/>
      <c r="MJL141" s="3"/>
      <c r="MJM141" s="3"/>
      <c r="MJN141" s="3"/>
      <c r="MJO141" s="3"/>
      <c r="MJP141" s="3"/>
      <c r="MJQ141" s="3"/>
      <c r="MJR141" s="3"/>
      <c r="MJS141" s="3"/>
      <c r="MJT141" s="3"/>
      <c r="MJU141" s="3"/>
      <c r="MJV141" s="3"/>
      <c r="MJW141" s="3"/>
      <c r="MJX141" s="3"/>
      <c r="MJY141" s="3"/>
      <c r="MJZ141" s="3"/>
      <c r="MKA141" s="3"/>
      <c r="MKB141" s="3"/>
      <c r="MKC141" s="3"/>
      <c r="MKD141" s="3"/>
      <c r="MKE141" s="3"/>
      <c r="MKF141" s="3"/>
      <c r="MKG141" s="3"/>
      <c r="MKH141" s="3"/>
      <c r="MKI141" s="3"/>
      <c r="MKJ141" s="3"/>
      <c r="MKK141" s="3"/>
      <c r="MKL141" s="3"/>
      <c r="MKM141" s="3"/>
      <c r="MKN141" s="3"/>
      <c r="MKO141" s="3"/>
      <c r="MKP141" s="3"/>
      <c r="MKQ141" s="3"/>
      <c r="MKR141" s="3"/>
      <c r="MKS141" s="3"/>
      <c r="MKT141" s="3"/>
      <c r="MKU141" s="3"/>
      <c r="MKV141" s="3"/>
      <c r="MKW141" s="3"/>
      <c r="MKX141" s="3"/>
      <c r="MKY141" s="3"/>
      <c r="MKZ141" s="3"/>
      <c r="MLA141" s="3"/>
      <c r="MLB141" s="3"/>
      <c r="MLC141" s="3"/>
      <c r="MLD141" s="3"/>
      <c r="MLE141" s="3"/>
      <c r="MLF141" s="3"/>
      <c r="MLG141" s="3"/>
      <c r="MLH141" s="3"/>
      <c r="MLI141" s="3"/>
      <c r="MLJ141" s="3"/>
      <c r="MLK141" s="3"/>
      <c r="MLL141" s="3"/>
      <c r="MLM141" s="3"/>
      <c r="MLN141" s="3"/>
      <c r="MLO141" s="3"/>
      <c r="MLP141" s="3"/>
      <c r="MLQ141" s="3"/>
      <c r="MLR141" s="3"/>
      <c r="MLS141" s="3"/>
      <c r="MLT141" s="3"/>
      <c r="MLU141" s="3"/>
      <c r="MLV141" s="3"/>
      <c r="MLW141" s="3"/>
      <c r="MLX141" s="3"/>
      <c r="MLY141" s="3"/>
      <c r="MLZ141" s="3"/>
      <c r="MMA141" s="3"/>
      <c r="MMB141" s="3"/>
      <c r="MMC141" s="3"/>
      <c r="MMD141" s="3"/>
      <c r="MME141" s="3"/>
      <c r="MMF141" s="3"/>
      <c r="MMG141" s="3"/>
      <c r="MMH141" s="3"/>
      <c r="MMI141" s="3"/>
      <c r="MMJ141" s="3"/>
      <c r="MMK141" s="3"/>
      <c r="MML141" s="3"/>
      <c r="MMM141" s="3"/>
      <c r="MMN141" s="3"/>
      <c r="MMO141" s="3"/>
      <c r="MMP141" s="3"/>
      <c r="MMQ141" s="3"/>
      <c r="MMR141" s="3"/>
      <c r="MMS141" s="3"/>
      <c r="MMT141" s="3"/>
      <c r="MMU141" s="3"/>
      <c r="MMV141" s="3"/>
      <c r="MMW141" s="3"/>
      <c r="MMX141" s="3"/>
      <c r="MMY141" s="3"/>
      <c r="MMZ141" s="3"/>
      <c r="MNA141" s="3"/>
      <c r="MNB141" s="3"/>
      <c r="MNC141" s="3"/>
      <c r="MND141" s="3"/>
      <c r="MNE141" s="3"/>
      <c r="MNF141" s="3"/>
      <c r="MNG141" s="3"/>
      <c r="MNH141" s="3"/>
      <c r="MNI141" s="3"/>
      <c r="MNJ141" s="3"/>
      <c r="MNK141" s="3"/>
      <c r="MNL141" s="3"/>
      <c r="MNM141" s="3"/>
      <c r="MNN141" s="3"/>
      <c r="MNO141" s="3"/>
      <c r="MNP141" s="3"/>
      <c r="MNQ141" s="3"/>
      <c r="MNR141" s="3"/>
      <c r="MNS141" s="3"/>
      <c r="MNT141" s="3"/>
      <c r="MNU141" s="3"/>
      <c r="MNV141" s="3"/>
      <c r="MNW141" s="3"/>
      <c r="MNX141" s="3"/>
      <c r="MNY141" s="3"/>
      <c r="MNZ141" s="3"/>
      <c r="MOA141" s="3"/>
      <c r="MOB141" s="3"/>
      <c r="MOC141" s="3"/>
      <c r="MOD141" s="3"/>
      <c r="MOE141" s="3"/>
      <c r="MOF141" s="3"/>
      <c r="MOG141" s="3"/>
      <c r="MOH141" s="3"/>
      <c r="MOI141" s="3"/>
      <c r="MOJ141" s="3"/>
      <c r="MOK141" s="3"/>
      <c r="MOL141" s="3"/>
      <c r="MOM141" s="3"/>
      <c r="MON141" s="3"/>
      <c r="MOO141" s="3"/>
      <c r="MOP141" s="3"/>
      <c r="MOQ141" s="3"/>
      <c r="MOR141" s="3"/>
      <c r="MOS141" s="3"/>
      <c r="MOT141" s="3"/>
      <c r="MOU141" s="3"/>
      <c r="MOV141" s="3"/>
      <c r="MOW141" s="3"/>
      <c r="MOX141" s="3"/>
      <c r="MOY141" s="3"/>
      <c r="MOZ141" s="3"/>
      <c r="MPA141" s="3"/>
      <c r="MPB141" s="3"/>
      <c r="MPC141" s="3"/>
      <c r="MPD141" s="3"/>
      <c r="MPE141" s="3"/>
      <c r="MPF141" s="3"/>
      <c r="MPG141" s="3"/>
      <c r="MPH141" s="3"/>
      <c r="MPI141" s="3"/>
      <c r="MPJ141" s="3"/>
      <c r="MPK141" s="3"/>
      <c r="MPL141" s="3"/>
      <c r="MPM141" s="3"/>
      <c r="MPN141" s="3"/>
      <c r="MPO141" s="3"/>
      <c r="MPP141" s="3"/>
      <c r="MPQ141" s="3"/>
      <c r="MPR141" s="3"/>
      <c r="MPS141" s="3"/>
      <c r="MPT141" s="3"/>
      <c r="MPU141" s="3"/>
      <c r="MPV141" s="3"/>
      <c r="MPW141" s="3"/>
      <c r="MPX141" s="3"/>
      <c r="MPY141" s="3"/>
      <c r="MPZ141" s="3"/>
      <c r="MQA141" s="3"/>
      <c r="MQB141" s="3"/>
      <c r="MQC141" s="3"/>
      <c r="MQD141" s="3"/>
      <c r="MQE141" s="3"/>
      <c r="MQF141" s="3"/>
      <c r="MQG141" s="3"/>
      <c r="MQH141" s="3"/>
      <c r="MQI141" s="3"/>
      <c r="MQJ141" s="3"/>
      <c r="MQK141" s="3"/>
      <c r="MQL141" s="3"/>
      <c r="MQM141" s="3"/>
      <c r="MQN141" s="3"/>
      <c r="MQO141" s="3"/>
      <c r="MQP141" s="3"/>
      <c r="MQQ141" s="3"/>
      <c r="MQR141" s="3"/>
      <c r="MQS141" s="3"/>
      <c r="MQT141" s="3"/>
      <c r="MQU141" s="3"/>
      <c r="MQV141" s="3"/>
      <c r="MQW141" s="3"/>
      <c r="MQX141" s="3"/>
      <c r="MQY141" s="3"/>
      <c r="MQZ141" s="3"/>
      <c r="MRA141" s="3"/>
      <c r="MRB141" s="3"/>
      <c r="MRC141" s="3"/>
      <c r="MRD141" s="3"/>
      <c r="MRE141" s="3"/>
      <c r="MRF141" s="3"/>
      <c r="MRG141" s="3"/>
      <c r="MRH141" s="3"/>
      <c r="MRI141" s="3"/>
      <c r="MRJ141" s="3"/>
      <c r="MRK141" s="3"/>
      <c r="MRL141" s="3"/>
      <c r="MRM141" s="3"/>
      <c r="MRN141" s="3"/>
      <c r="MRO141" s="3"/>
      <c r="MRP141" s="3"/>
      <c r="MRQ141" s="3"/>
      <c r="MRR141" s="3"/>
      <c r="MRS141" s="3"/>
      <c r="MRT141" s="3"/>
      <c r="MRU141" s="3"/>
      <c r="MRV141" s="3"/>
      <c r="MRW141" s="3"/>
      <c r="MRX141" s="3"/>
      <c r="MRY141" s="3"/>
      <c r="MRZ141" s="3"/>
      <c r="MSA141" s="3"/>
      <c r="MSB141" s="3"/>
      <c r="MSC141" s="3"/>
      <c r="MSD141" s="3"/>
      <c r="MSE141" s="3"/>
      <c r="MSF141" s="3"/>
      <c r="MSG141" s="3"/>
      <c r="MSH141" s="3"/>
      <c r="MSI141" s="3"/>
      <c r="MSJ141" s="3"/>
      <c r="MSK141" s="3"/>
      <c r="MSL141" s="3"/>
      <c r="MSM141" s="3"/>
      <c r="MSN141" s="3"/>
      <c r="MSO141" s="3"/>
      <c r="MSP141" s="3"/>
      <c r="MSQ141" s="3"/>
      <c r="MSR141" s="3"/>
      <c r="MSS141" s="3"/>
      <c r="MST141" s="3"/>
      <c r="MSU141" s="3"/>
      <c r="MSV141" s="3"/>
      <c r="MSW141" s="3"/>
      <c r="MSX141" s="3"/>
      <c r="MSY141" s="3"/>
      <c r="MSZ141" s="3"/>
      <c r="MTA141" s="3"/>
      <c r="MTB141" s="3"/>
      <c r="MTC141" s="3"/>
      <c r="MTD141" s="3"/>
      <c r="MTE141" s="3"/>
      <c r="MTF141" s="3"/>
      <c r="MTG141" s="3"/>
      <c r="MTH141" s="3"/>
      <c r="MTI141" s="3"/>
      <c r="MTJ141" s="3"/>
      <c r="MTK141" s="3"/>
      <c r="MTL141" s="3"/>
      <c r="MTM141" s="3"/>
      <c r="MTN141" s="3"/>
      <c r="MTO141" s="3"/>
      <c r="MTP141" s="3"/>
      <c r="MTQ141" s="3"/>
      <c r="MTR141" s="3"/>
      <c r="MTS141" s="3"/>
      <c r="MTT141" s="3"/>
      <c r="MTU141" s="3"/>
      <c r="MTV141" s="3"/>
      <c r="MTW141" s="3"/>
      <c r="MTX141" s="3"/>
      <c r="MTY141" s="3"/>
      <c r="MTZ141" s="3"/>
      <c r="MUA141" s="3"/>
      <c r="MUB141" s="3"/>
      <c r="MUC141" s="3"/>
      <c r="MUD141" s="3"/>
      <c r="MUE141" s="3"/>
      <c r="MUF141" s="3"/>
      <c r="MUG141" s="3"/>
      <c r="MUH141" s="3"/>
      <c r="MUI141" s="3"/>
      <c r="MUJ141" s="3"/>
      <c r="MUK141" s="3"/>
      <c r="MUL141" s="3"/>
      <c r="MUM141" s="3"/>
      <c r="MUN141" s="3"/>
      <c r="MUO141" s="3"/>
      <c r="MUP141" s="3"/>
      <c r="MUQ141" s="3"/>
      <c r="MUR141" s="3"/>
      <c r="MUS141" s="3"/>
      <c r="MUT141" s="3"/>
      <c r="MUU141" s="3"/>
      <c r="MUV141" s="3"/>
      <c r="MUW141" s="3"/>
      <c r="MUX141" s="3"/>
      <c r="MUY141" s="3"/>
      <c r="MUZ141" s="3"/>
      <c r="MVA141" s="3"/>
      <c r="MVB141" s="3"/>
      <c r="MVC141" s="3"/>
      <c r="MVD141" s="3"/>
      <c r="MVE141" s="3"/>
      <c r="MVF141" s="3"/>
      <c r="MVG141" s="3"/>
      <c r="MVH141" s="3"/>
      <c r="MVI141" s="3"/>
      <c r="MVJ141" s="3"/>
      <c r="MVK141" s="3"/>
      <c r="MVL141" s="3"/>
      <c r="MVM141" s="3"/>
      <c r="MVN141" s="3"/>
      <c r="MVO141" s="3"/>
      <c r="MVP141" s="3"/>
      <c r="MVQ141" s="3"/>
      <c r="MVR141" s="3"/>
      <c r="MVS141" s="3"/>
      <c r="MVT141" s="3"/>
      <c r="MVU141" s="3"/>
      <c r="MVV141" s="3"/>
      <c r="MVW141" s="3"/>
      <c r="MVX141" s="3"/>
      <c r="MVY141" s="3"/>
      <c r="MVZ141" s="3"/>
      <c r="MWA141" s="3"/>
      <c r="MWB141" s="3"/>
      <c r="MWC141" s="3"/>
      <c r="MWD141" s="3"/>
      <c r="MWE141" s="3"/>
      <c r="MWF141" s="3"/>
      <c r="MWG141" s="3"/>
      <c r="MWH141" s="3"/>
      <c r="MWI141" s="3"/>
      <c r="MWJ141" s="3"/>
      <c r="MWK141" s="3"/>
      <c r="MWL141" s="3"/>
      <c r="MWM141" s="3"/>
      <c r="MWN141" s="3"/>
      <c r="MWO141" s="3"/>
      <c r="MWP141" s="3"/>
      <c r="MWQ141" s="3"/>
      <c r="MWR141" s="3"/>
      <c r="MWS141" s="3"/>
      <c r="MWT141" s="3"/>
      <c r="MWU141" s="3"/>
      <c r="MWV141" s="3"/>
      <c r="MWW141" s="3"/>
      <c r="MWX141" s="3"/>
      <c r="MWY141" s="3"/>
      <c r="MWZ141" s="3"/>
      <c r="MXA141" s="3"/>
      <c r="MXB141" s="3"/>
      <c r="MXC141" s="3"/>
      <c r="MXD141" s="3"/>
      <c r="MXE141" s="3"/>
      <c r="MXF141" s="3"/>
      <c r="MXG141" s="3"/>
      <c r="MXH141" s="3"/>
      <c r="MXI141" s="3"/>
      <c r="MXJ141" s="3"/>
      <c r="MXK141" s="3"/>
      <c r="MXL141" s="3"/>
      <c r="MXM141" s="3"/>
      <c r="MXN141" s="3"/>
      <c r="MXO141" s="3"/>
      <c r="MXP141" s="3"/>
      <c r="MXQ141" s="3"/>
      <c r="MXR141" s="3"/>
      <c r="MXS141" s="3"/>
      <c r="MXT141" s="3"/>
      <c r="MXU141" s="3"/>
      <c r="MXV141" s="3"/>
      <c r="MXW141" s="3"/>
      <c r="MXX141" s="3"/>
      <c r="MXY141" s="3"/>
      <c r="MXZ141" s="3"/>
      <c r="MYA141" s="3"/>
      <c r="MYB141" s="3"/>
      <c r="MYC141" s="3"/>
      <c r="MYD141" s="3"/>
      <c r="MYE141" s="3"/>
      <c r="MYF141" s="3"/>
      <c r="MYG141" s="3"/>
      <c r="MYH141" s="3"/>
      <c r="MYI141" s="3"/>
      <c r="MYJ141" s="3"/>
      <c r="MYK141" s="3"/>
      <c r="MYL141" s="3"/>
      <c r="MYM141" s="3"/>
      <c r="MYN141" s="3"/>
      <c r="MYO141" s="3"/>
      <c r="MYP141" s="3"/>
      <c r="MYQ141" s="3"/>
      <c r="MYR141" s="3"/>
      <c r="MYS141" s="3"/>
      <c r="MYT141" s="3"/>
      <c r="MYU141" s="3"/>
      <c r="MYV141" s="3"/>
      <c r="MYW141" s="3"/>
      <c r="MYX141" s="3"/>
      <c r="MYY141" s="3"/>
      <c r="MYZ141" s="3"/>
      <c r="MZA141" s="3"/>
      <c r="MZB141" s="3"/>
      <c r="MZC141" s="3"/>
      <c r="MZD141" s="3"/>
      <c r="MZE141" s="3"/>
      <c r="MZF141" s="3"/>
      <c r="MZG141" s="3"/>
      <c r="MZH141" s="3"/>
      <c r="MZI141" s="3"/>
      <c r="MZJ141" s="3"/>
      <c r="MZK141" s="3"/>
      <c r="MZL141" s="3"/>
      <c r="MZM141" s="3"/>
      <c r="MZN141" s="3"/>
      <c r="MZO141" s="3"/>
      <c r="MZP141" s="3"/>
      <c r="MZQ141" s="3"/>
      <c r="MZR141" s="3"/>
      <c r="MZS141" s="3"/>
      <c r="MZT141" s="3"/>
      <c r="MZU141" s="3"/>
      <c r="MZV141" s="3"/>
      <c r="MZW141" s="3"/>
      <c r="MZX141" s="3"/>
      <c r="MZY141" s="3"/>
      <c r="MZZ141" s="3"/>
      <c r="NAA141" s="3"/>
      <c r="NAB141" s="3"/>
      <c r="NAC141" s="3"/>
      <c r="NAD141" s="3"/>
      <c r="NAE141" s="3"/>
      <c r="NAF141" s="3"/>
      <c r="NAG141" s="3"/>
      <c r="NAH141" s="3"/>
      <c r="NAI141" s="3"/>
      <c r="NAJ141" s="3"/>
      <c r="NAK141" s="3"/>
      <c r="NAL141" s="3"/>
      <c r="NAM141" s="3"/>
      <c r="NAN141" s="3"/>
      <c r="NAO141" s="3"/>
      <c r="NAP141" s="3"/>
      <c r="NAQ141" s="3"/>
      <c r="NAR141" s="3"/>
      <c r="NAS141" s="3"/>
      <c r="NAT141" s="3"/>
      <c r="NAU141" s="3"/>
      <c r="NAV141" s="3"/>
      <c r="NAW141" s="3"/>
      <c r="NAX141" s="3"/>
      <c r="NAY141" s="3"/>
      <c r="NAZ141" s="3"/>
      <c r="NBA141" s="3"/>
      <c r="NBB141" s="3"/>
      <c r="NBC141" s="3"/>
      <c r="NBD141" s="3"/>
      <c r="NBE141" s="3"/>
      <c r="NBF141" s="3"/>
      <c r="NBG141" s="3"/>
      <c r="NBH141" s="3"/>
      <c r="NBI141" s="3"/>
      <c r="NBJ141" s="3"/>
      <c r="NBK141" s="3"/>
      <c r="NBL141" s="3"/>
      <c r="NBM141" s="3"/>
      <c r="NBN141" s="3"/>
      <c r="NBO141" s="3"/>
      <c r="NBP141" s="3"/>
      <c r="NBQ141" s="3"/>
      <c r="NBR141" s="3"/>
      <c r="NBS141" s="3"/>
      <c r="NBT141" s="3"/>
      <c r="NBU141" s="3"/>
      <c r="NBV141" s="3"/>
      <c r="NBW141" s="3"/>
      <c r="NBX141" s="3"/>
      <c r="NBY141" s="3"/>
      <c r="NBZ141" s="3"/>
      <c r="NCA141" s="3"/>
      <c r="NCB141" s="3"/>
      <c r="NCC141" s="3"/>
      <c r="NCD141" s="3"/>
      <c r="NCE141" s="3"/>
      <c r="NCF141" s="3"/>
      <c r="NCG141" s="3"/>
      <c r="NCH141" s="3"/>
      <c r="NCI141" s="3"/>
      <c r="NCJ141" s="3"/>
      <c r="NCK141" s="3"/>
      <c r="NCL141" s="3"/>
      <c r="NCM141" s="3"/>
      <c r="NCN141" s="3"/>
      <c r="NCO141" s="3"/>
      <c r="NCP141" s="3"/>
      <c r="NCQ141" s="3"/>
      <c r="NCR141" s="3"/>
      <c r="NCS141" s="3"/>
      <c r="NCT141" s="3"/>
      <c r="NCU141" s="3"/>
      <c r="NCV141" s="3"/>
      <c r="NCW141" s="3"/>
      <c r="NCX141" s="3"/>
      <c r="NCY141" s="3"/>
      <c r="NCZ141" s="3"/>
      <c r="NDA141" s="3"/>
      <c r="NDB141" s="3"/>
      <c r="NDC141" s="3"/>
      <c r="NDD141" s="3"/>
      <c r="NDE141" s="3"/>
      <c r="NDF141" s="3"/>
      <c r="NDG141" s="3"/>
      <c r="NDH141" s="3"/>
      <c r="NDI141" s="3"/>
      <c r="NDJ141" s="3"/>
      <c r="NDK141" s="3"/>
      <c r="NDL141" s="3"/>
      <c r="NDM141" s="3"/>
      <c r="NDN141" s="3"/>
      <c r="NDO141" s="3"/>
      <c r="NDP141" s="3"/>
      <c r="NDQ141" s="3"/>
      <c r="NDR141" s="3"/>
      <c r="NDS141" s="3"/>
      <c r="NDT141" s="3"/>
      <c r="NDU141" s="3"/>
      <c r="NDV141" s="3"/>
      <c r="NDW141" s="3"/>
      <c r="NDX141" s="3"/>
      <c r="NDY141" s="3"/>
      <c r="NDZ141" s="3"/>
      <c r="NEA141" s="3"/>
      <c r="NEB141" s="3"/>
      <c r="NEC141" s="3"/>
      <c r="NED141" s="3"/>
      <c r="NEE141" s="3"/>
      <c r="NEF141" s="3"/>
      <c r="NEG141" s="3"/>
      <c r="NEH141" s="3"/>
      <c r="NEI141" s="3"/>
      <c r="NEJ141" s="3"/>
      <c r="NEK141" s="3"/>
      <c r="NEL141" s="3"/>
      <c r="NEM141" s="3"/>
      <c r="NEN141" s="3"/>
      <c r="NEO141" s="3"/>
      <c r="NEP141" s="3"/>
      <c r="NEQ141" s="3"/>
      <c r="NER141" s="3"/>
      <c r="NES141" s="3"/>
      <c r="NET141" s="3"/>
      <c r="NEU141" s="3"/>
      <c r="NEV141" s="3"/>
      <c r="NEW141" s="3"/>
      <c r="NEX141" s="3"/>
      <c r="NEY141" s="3"/>
      <c r="NEZ141" s="3"/>
      <c r="NFA141" s="3"/>
      <c r="NFB141" s="3"/>
      <c r="NFC141" s="3"/>
      <c r="NFD141" s="3"/>
      <c r="NFE141" s="3"/>
      <c r="NFF141" s="3"/>
      <c r="NFG141" s="3"/>
      <c r="NFH141" s="3"/>
      <c r="NFI141" s="3"/>
      <c r="NFJ141" s="3"/>
      <c r="NFK141" s="3"/>
      <c r="NFL141" s="3"/>
      <c r="NFM141" s="3"/>
      <c r="NFN141" s="3"/>
      <c r="NFO141" s="3"/>
      <c r="NFP141" s="3"/>
      <c r="NFQ141" s="3"/>
      <c r="NFR141" s="3"/>
      <c r="NFS141" s="3"/>
      <c r="NFT141" s="3"/>
      <c r="NFU141" s="3"/>
      <c r="NFV141" s="3"/>
      <c r="NFW141" s="3"/>
      <c r="NFX141" s="3"/>
      <c r="NFY141" s="3"/>
      <c r="NFZ141" s="3"/>
      <c r="NGA141" s="3"/>
      <c r="NGB141" s="3"/>
      <c r="NGC141" s="3"/>
      <c r="NGD141" s="3"/>
      <c r="NGE141" s="3"/>
      <c r="NGF141" s="3"/>
      <c r="NGG141" s="3"/>
      <c r="NGH141" s="3"/>
      <c r="NGI141" s="3"/>
      <c r="NGJ141" s="3"/>
      <c r="NGK141" s="3"/>
      <c r="NGL141" s="3"/>
      <c r="NGM141" s="3"/>
      <c r="NGN141" s="3"/>
      <c r="NGO141" s="3"/>
      <c r="NGP141" s="3"/>
      <c r="NGQ141" s="3"/>
      <c r="NGR141" s="3"/>
      <c r="NGS141" s="3"/>
      <c r="NGT141" s="3"/>
      <c r="NGU141" s="3"/>
      <c r="NGV141" s="3"/>
      <c r="NGW141" s="3"/>
      <c r="NGX141" s="3"/>
      <c r="NGY141" s="3"/>
      <c r="NGZ141" s="3"/>
      <c r="NHA141" s="3"/>
      <c r="NHB141" s="3"/>
      <c r="NHC141" s="3"/>
      <c r="NHD141" s="3"/>
      <c r="NHE141" s="3"/>
      <c r="NHF141" s="3"/>
      <c r="NHG141" s="3"/>
      <c r="NHH141" s="3"/>
      <c r="NHI141" s="3"/>
      <c r="NHJ141" s="3"/>
      <c r="NHK141" s="3"/>
      <c r="NHL141" s="3"/>
      <c r="NHM141" s="3"/>
      <c r="NHN141" s="3"/>
      <c r="NHO141" s="3"/>
      <c r="NHP141" s="3"/>
      <c r="NHQ141" s="3"/>
      <c r="NHR141" s="3"/>
      <c r="NHS141" s="3"/>
      <c r="NHT141" s="3"/>
      <c r="NHU141" s="3"/>
      <c r="NHV141" s="3"/>
      <c r="NHW141" s="3"/>
      <c r="NHX141" s="3"/>
      <c r="NHY141" s="3"/>
      <c r="NHZ141" s="3"/>
      <c r="NIA141" s="3"/>
      <c r="NIB141" s="3"/>
      <c r="NIC141" s="3"/>
      <c r="NID141" s="3"/>
      <c r="NIE141" s="3"/>
      <c r="NIF141" s="3"/>
      <c r="NIG141" s="3"/>
      <c r="NIH141" s="3"/>
      <c r="NII141" s="3"/>
      <c r="NIJ141" s="3"/>
      <c r="NIK141" s="3"/>
      <c r="NIL141" s="3"/>
      <c r="NIM141" s="3"/>
      <c r="NIN141" s="3"/>
      <c r="NIO141" s="3"/>
      <c r="NIP141" s="3"/>
      <c r="NIQ141" s="3"/>
      <c r="NIR141" s="3"/>
      <c r="NIS141" s="3"/>
      <c r="NIT141" s="3"/>
      <c r="NIU141" s="3"/>
      <c r="NIV141" s="3"/>
      <c r="NIW141" s="3"/>
      <c r="NIX141" s="3"/>
      <c r="NIY141" s="3"/>
      <c r="NIZ141" s="3"/>
      <c r="NJA141" s="3"/>
      <c r="NJB141" s="3"/>
      <c r="NJC141" s="3"/>
      <c r="NJD141" s="3"/>
      <c r="NJE141" s="3"/>
      <c r="NJF141" s="3"/>
      <c r="NJG141" s="3"/>
      <c r="NJH141" s="3"/>
      <c r="NJI141" s="3"/>
      <c r="NJJ141" s="3"/>
      <c r="NJK141" s="3"/>
      <c r="NJL141" s="3"/>
      <c r="NJM141" s="3"/>
      <c r="NJN141" s="3"/>
      <c r="NJO141" s="3"/>
      <c r="NJP141" s="3"/>
      <c r="NJQ141" s="3"/>
      <c r="NJR141" s="3"/>
      <c r="NJS141" s="3"/>
      <c r="NJT141" s="3"/>
      <c r="NJU141" s="3"/>
      <c r="NJV141" s="3"/>
      <c r="NJW141" s="3"/>
      <c r="NJX141" s="3"/>
      <c r="NJY141" s="3"/>
      <c r="NJZ141" s="3"/>
      <c r="NKA141" s="3"/>
      <c r="NKB141" s="3"/>
      <c r="NKC141" s="3"/>
      <c r="NKD141" s="3"/>
      <c r="NKE141" s="3"/>
      <c r="NKF141" s="3"/>
      <c r="NKG141" s="3"/>
      <c r="NKH141" s="3"/>
      <c r="NKI141" s="3"/>
      <c r="NKJ141" s="3"/>
      <c r="NKK141" s="3"/>
      <c r="NKL141" s="3"/>
      <c r="NKM141" s="3"/>
      <c r="NKN141" s="3"/>
      <c r="NKO141" s="3"/>
      <c r="NKP141" s="3"/>
      <c r="NKQ141" s="3"/>
      <c r="NKR141" s="3"/>
      <c r="NKS141" s="3"/>
      <c r="NKT141" s="3"/>
      <c r="NKU141" s="3"/>
      <c r="NKV141" s="3"/>
      <c r="NKW141" s="3"/>
      <c r="NKX141" s="3"/>
      <c r="NKY141" s="3"/>
      <c r="NKZ141" s="3"/>
      <c r="NLA141" s="3"/>
      <c r="NLB141" s="3"/>
      <c r="NLC141" s="3"/>
      <c r="NLD141" s="3"/>
      <c r="NLE141" s="3"/>
      <c r="NLF141" s="3"/>
      <c r="NLG141" s="3"/>
      <c r="NLH141" s="3"/>
      <c r="NLI141" s="3"/>
      <c r="NLJ141" s="3"/>
      <c r="NLK141" s="3"/>
      <c r="NLL141" s="3"/>
      <c r="NLM141" s="3"/>
      <c r="NLN141" s="3"/>
      <c r="NLO141" s="3"/>
      <c r="NLP141" s="3"/>
      <c r="NLQ141" s="3"/>
      <c r="NLR141" s="3"/>
      <c r="NLS141" s="3"/>
      <c r="NLT141" s="3"/>
      <c r="NLU141" s="3"/>
      <c r="NLV141" s="3"/>
      <c r="NLW141" s="3"/>
      <c r="NLX141" s="3"/>
      <c r="NLY141" s="3"/>
      <c r="NLZ141" s="3"/>
      <c r="NMA141" s="3"/>
      <c r="NMB141" s="3"/>
      <c r="NMC141" s="3"/>
      <c r="NMD141" s="3"/>
      <c r="NME141" s="3"/>
      <c r="NMF141" s="3"/>
      <c r="NMG141" s="3"/>
      <c r="NMH141" s="3"/>
      <c r="NMI141" s="3"/>
      <c r="NMJ141" s="3"/>
      <c r="NMK141" s="3"/>
      <c r="NML141" s="3"/>
      <c r="NMM141" s="3"/>
      <c r="NMN141" s="3"/>
      <c r="NMO141" s="3"/>
      <c r="NMP141" s="3"/>
      <c r="NMQ141" s="3"/>
      <c r="NMR141" s="3"/>
      <c r="NMS141" s="3"/>
      <c r="NMT141" s="3"/>
      <c r="NMU141" s="3"/>
      <c r="NMV141" s="3"/>
      <c r="NMW141" s="3"/>
      <c r="NMX141" s="3"/>
      <c r="NMY141" s="3"/>
      <c r="NMZ141" s="3"/>
      <c r="NNA141" s="3"/>
      <c r="NNB141" s="3"/>
      <c r="NNC141" s="3"/>
      <c r="NND141" s="3"/>
      <c r="NNE141" s="3"/>
      <c r="NNF141" s="3"/>
      <c r="NNG141" s="3"/>
      <c r="NNH141" s="3"/>
      <c r="NNI141" s="3"/>
      <c r="NNJ141" s="3"/>
      <c r="NNK141" s="3"/>
      <c r="NNL141" s="3"/>
      <c r="NNM141" s="3"/>
      <c r="NNN141" s="3"/>
      <c r="NNO141" s="3"/>
      <c r="NNP141" s="3"/>
      <c r="NNQ141" s="3"/>
      <c r="NNR141" s="3"/>
      <c r="NNS141" s="3"/>
      <c r="NNT141" s="3"/>
      <c r="NNU141" s="3"/>
      <c r="NNV141" s="3"/>
      <c r="NNW141" s="3"/>
      <c r="NNX141" s="3"/>
      <c r="NNY141" s="3"/>
      <c r="NNZ141" s="3"/>
      <c r="NOA141" s="3"/>
      <c r="NOB141" s="3"/>
      <c r="NOC141" s="3"/>
      <c r="NOD141" s="3"/>
      <c r="NOE141" s="3"/>
      <c r="NOF141" s="3"/>
      <c r="NOG141" s="3"/>
      <c r="NOH141" s="3"/>
      <c r="NOI141" s="3"/>
      <c r="NOJ141" s="3"/>
      <c r="NOK141" s="3"/>
      <c r="NOL141" s="3"/>
      <c r="NOM141" s="3"/>
      <c r="NON141" s="3"/>
      <c r="NOO141" s="3"/>
      <c r="NOP141" s="3"/>
      <c r="NOQ141" s="3"/>
      <c r="NOR141" s="3"/>
      <c r="NOS141" s="3"/>
      <c r="NOT141" s="3"/>
      <c r="NOU141" s="3"/>
      <c r="NOV141" s="3"/>
      <c r="NOW141" s="3"/>
      <c r="NOX141" s="3"/>
      <c r="NOY141" s="3"/>
      <c r="NOZ141" s="3"/>
      <c r="NPA141" s="3"/>
      <c r="NPB141" s="3"/>
      <c r="NPC141" s="3"/>
      <c r="NPD141" s="3"/>
      <c r="NPE141" s="3"/>
      <c r="NPF141" s="3"/>
      <c r="NPG141" s="3"/>
      <c r="NPH141" s="3"/>
      <c r="NPI141" s="3"/>
      <c r="NPJ141" s="3"/>
      <c r="NPK141" s="3"/>
      <c r="NPL141" s="3"/>
      <c r="NPM141" s="3"/>
      <c r="NPN141" s="3"/>
      <c r="NPO141" s="3"/>
      <c r="NPP141" s="3"/>
      <c r="NPQ141" s="3"/>
      <c r="NPR141" s="3"/>
      <c r="NPS141" s="3"/>
      <c r="NPT141" s="3"/>
      <c r="NPU141" s="3"/>
      <c r="NPV141" s="3"/>
      <c r="NPW141" s="3"/>
      <c r="NPX141" s="3"/>
      <c r="NPY141" s="3"/>
      <c r="NPZ141" s="3"/>
      <c r="NQA141" s="3"/>
      <c r="NQB141" s="3"/>
      <c r="NQC141" s="3"/>
      <c r="NQD141" s="3"/>
      <c r="NQE141" s="3"/>
      <c r="NQF141" s="3"/>
      <c r="NQG141" s="3"/>
      <c r="NQH141" s="3"/>
      <c r="NQI141" s="3"/>
      <c r="NQJ141" s="3"/>
      <c r="NQK141" s="3"/>
      <c r="NQL141" s="3"/>
      <c r="NQM141" s="3"/>
      <c r="NQN141" s="3"/>
      <c r="NQO141" s="3"/>
      <c r="NQP141" s="3"/>
      <c r="NQQ141" s="3"/>
      <c r="NQR141" s="3"/>
      <c r="NQS141" s="3"/>
      <c r="NQT141" s="3"/>
      <c r="NQU141" s="3"/>
      <c r="NQV141" s="3"/>
      <c r="NQW141" s="3"/>
      <c r="NQX141" s="3"/>
      <c r="NQY141" s="3"/>
      <c r="NQZ141" s="3"/>
      <c r="NRA141" s="3"/>
      <c r="NRB141" s="3"/>
      <c r="NRC141" s="3"/>
      <c r="NRD141" s="3"/>
      <c r="NRE141" s="3"/>
      <c r="NRF141" s="3"/>
      <c r="NRG141" s="3"/>
      <c r="NRH141" s="3"/>
      <c r="NRI141" s="3"/>
      <c r="NRJ141" s="3"/>
      <c r="NRK141" s="3"/>
      <c r="NRL141" s="3"/>
      <c r="NRM141" s="3"/>
      <c r="NRN141" s="3"/>
      <c r="NRO141" s="3"/>
      <c r="NRP141" s="3"/>
      <c r="NRQ141" s="3"/>
      <c r="NRR141" s="3"/>
      <c r="NRS141" s="3"/>
      <c r="NRT141" s="3"/>
      <c r="NRU141" s="3"/>
      <c r="NRV141" s="3"/>
      <c r="NRW141" s="3"/>
      <c r="NRX141" s="3"/>
      <c r="NRY141" s="3"/>
      <c r="NRZ141" s="3"/>
      <c r="NSA141" s="3"/>
      <c r="NSB141" s="3"/>
      <c r="NSC141" s="3"/>
      <c r="NSD141" s="3"/>
      <c r="NSE141" s="3"/>
      <c r="NSF141" s="3"/>
      <c r="NSG141" s="3"/>
      <c r="NSH141" s="3"/>
      <c r="NSI141" s="3"/>
      <c r="NSJ141" s="3"/>
      <c r="NSK141" s="3"/>
      <c r="NSL141" s="3"/>
      <c r="NSM141" s="3"/>
      <c r="NSN141" s="3"/>
      <c r="NSO141" s="3"/>
      <c r="NSP141" s="3"/>
      <c r="NSQ141" s="3"/>
      <c r="NSR141" s="3"/>
      <c r="NSS141" s="3"/>
      <c r="NST141" s="3"/>
      <c r="NSU141" s="3"/>
      <c r="NSV141" s="3"/>
      <c r="NSW141" s="3"/>
      <c r="NSX141" s="3"/>
      <c r="NSY141" s="3"/>
      <c r="NSZ141" s="3"/>
      <c r="NTA141" s="3"/>
      <c r="NTB141" s="3"/>
      <c r="NTC141" s="3"/>
      <c r="NTD141" s="3"/>
      <c r="NTE141" s="3"/>
      <c r="NTF141" s="3"/>
      <c r="NTG141" s="3"/>
      <c r="NTH141" s="3"/>
      <c r="NTI141" s="3"/>
      <c r="NTJ141" s="3"/>
      <c r="NTK141" s="3"/>
      <c r="NTL141" s="3"/>
      <c r="NTM141" s="3"/>
      <c r="NTN141" s="3"/>
      <c r="NTO141" s="3"/>
      <c r="NTP141" s="3"/>
      <c r="NTQ141" s="3"/>
      <c r="NTR141" s="3"/>
      <c r="NTS141" s="3"/>
      <c r="NTT141" s="3"/>
      <c r="NTU141" s="3"/>
      <c r="NTV141" s="3"/>
      <c r="NTW141" s="3"/>
      <c r="NTX141" s="3"/>
      <c r="NTY141" s="3"/>
      <c r="NTZ141" s="3"/>
      <c r="NUA141" s="3"/>
      <c r="NUB141" s="3"/>
      <c r="NUC141" s="3"/>
      <c r="NUD141" s="3"/>
      <c r="NUE141" s="3"/>
      <c r="NUF141" s="3"/>
      <c r="NUG141" s="3"/>
      <c r="NUH141" s="3"/>
      <c r="NUI141" s="3"/>
      <c r="NUJ141" s="3"/>
      <c r="NUK141" s="3"/>
      <c r="NUL141" s="3"/>
      <c r="NUM141" s="3"/>
      <c r="NUN141" s="3"/>
      <c r="NUO141" s="3"/>
      <c r="NUP141" s="3"/>
      <c r="NUQ141" s="3"/>
      <c r="NUR141" s="3"/>
      <c r="NUS141" s="3"/>
      <c r="NUT141" s="3"/>
      <c r="NUU141" s="3"/>
      <c r="NUV141" s="3"/>
      <c r="NUW141" s="3"/>
      <c r="NUX141" s="3"/>
      <c r="NUY141" s="3"/>
      <c r="NUZ141" s="3"/>
      <c r="NVA141" s="3"/>
      <c r="NVB141" s="3"/>
      <c r="NVC141" s="3"/>
      <c r="NVD141" s="3"/>
      <c r="NVE141" s="3"/>
      <c r="NVF141" s="3"/>
      <c r="NVG141" s="3"/>
      <c r="NVH141" s="3"/>
      <c r="NVI141" s="3"/>
      <c r="NVJ141" s="3"/>
      <c r="NVK141" s="3"/>
      <c r="NVL141" s="3"/>
      <c r="NVM141" s="3"/>
      <c r="NVN141" s="3"/>
      <c r="NVO141" s="3"/>
      <c r="NVP141" s="3"/>
      <c r="NVQ141" s="3"/>
      <c r="NVR141" s="3"/>
      <c r="NVS141" s="3"/>
      <c r="NVT141" s="3"/>
      <c r="NVU141" s="3"/>
      <c r="NVV141" s="3"/>
      <c r="NVW141" s="3"/>
      <c r="NVX141" s="3"/>
      <c r="NVY141" s="3"/>
      <c r="NVZ141" s="3"/>
      <c r="NWA141" s="3"/>
      <c r="NWB141" s="3"/>
      <c r="NWC141" s="3"/>
      <c r="NWD141" s="3"/>
      <c r="NWE141" s="3"/>
      <c r="NWF141" s="3"/>
      <c r="NWG141" s="3"/>
      <c r="NWH141" s="3"/>
      <c r="NWI141" s="3"/>
      <c r="NWJ141" s="3"/>
      <c r="NWK141" s="3"/>
      <c r="NWL141" s="3"/>
      <c r="NWM141" s="3"/>
      <c r="NWN141" s="3"/>
      <c r="NWO141" s="3"/>
      <c r="NWP141" s="3"/>
      <c r="NWQ141" s="3"/>
      <c r="NWR141" s="3"/>
      <c r="NWS141" s="3"/>
      <c r="NWT141" s="3"/>
      <c r="NWU141" s="3"/>
      <c r="NWV141" s="3"/>
      <c r="NWW141" s="3"/>
      <c r="NWX141" s="3"/>
      <c r="NWY141" s="3"/>
      <c r="NWZ141" s="3"/>
      <c r="NXA141" s="3"/>
      <c r="NXB141" s="3"/>
      <c r="NXC141" s="3"/>
      <c r="NXD141" s="3"/>
      <c r="NXE141" s="3"/>
      <c r="NXF141" s="3"/>
      <c r="NXG141" s="3"/>
      <c r="NXH141" s="3"/>
      <c r="NXI141" s="3"/>
      <c r="NXJ141" s="3"/>
      <c r="NXK141" s="3"/>
      <c r="NXL141" s="3"/>
      <c r="NXM141" s="3"/>
      <c r="NXN141" s="3"/>
      <c r="NXO141" s="3"/>
      <c r="NXP141" s="3"/>
      <c r="NXQ141" s="3"/>
      <c r="NXR141" s="3"/>
      <c r="NXS141" s="3"/>
      <c r="NXT141" s="3"/>
      <c r="NXU141" s="3"/>
      <c r="NXV141" s="3"/>
      <c r="NXW141" s="3"/>
      <c r="NXX141" s="3"/>
      <c r="NXY141" s="3"/>
      <c r="NXZ141" s="3"/>
      <c r="NYA141" s="3"/>
      <c r="NYB141" s="3"/>
      <c r="NYC141" s="3"/>
      <c r="NYD141" s="3"/>
      <c r="NYE141" s="3"/>
      <c r="NYF141" s="3"/>
      <c r="NYG141" s="3"/>
      <c r="NYH141" s="3"/>
      <c r="NYI141" s="3"/>
      <c r="NYJ141" s="3"/>
      <c r="NYK141" s="3"/>
      <c r="NYL141" s="3"/>
      <c r="NYM141" s="3"/>
      <c r="NYN141" s="3"/>
      <c r="NYO141" s="3"/>
      <c r="NYP141" s="3"/>
      <c r="NYQ141" s="3"/>
      <c r="NYR141" s="3"/>
      <c r="NYS141" s="3"/>
      <c r="NYT141" s="3"/>
      <c r="NYU141" s="3"/>
      <c r="NYV141" s="3"/>
      <c r="NYW141" s="3"/>
      <c r="NYX141" s="3"/>
      <c r="NYY141" s="3"/>
      <c r="NYZ141" s="3"/>
      <c r="NZA141" s="3"/>
      <c r="NZB141" s="3"/>
      <c r="NZC141" s="3"/>
      <c r="NZD141" s="3"/>
      <c r="NZE141" s="3"/>
      <c r="NZF141" s="3"/>
      <c r="NZG141" s="3"/>
      <c r="NZH141" s="3"/>
      <c r="NZI141" s="3"/>
      <c r="NZJ141" s="3"/>
      <c r="NZK141" s="3"/>
      <c r="NZL141" s="3"/>
      <c r="NZM141" s="3"/>
      <c r="NZN141" s="3"/>
      <c r="NZO141" s="3"/>
      <c r="NZP141" s="3"/>
      <c r="NZQ141" s="3"/>
      <c r="NZR141" s="3"/>
      <c r="NZS141" s="3"/>
      <c r="NZT141" s="3"/>
      <c r="NZU141" s="3"/>
      <c r="NZV141" s="3"/>
      <c r="NZW141" s="3"/>
      <c r="NZX141" s="3"/>
      <c r="NZY141" s="3"/>
      <c r="NZZ141" s="3"/>
      <c r="OAA141" s="3"/>
      <c r="OAB141" s="3"/>
      <c r="OAC141" s="3"/>
      <c r="OAD141" s="3"/>
      <c r="OAE141" s="3"/>
      <c r="OAF141" s="3"/>
      <c r="OAG141" s="3"/>
      <c r="OAH141" s="3"/>
      <c r="OAI141" s="3"/>
      <c r="OAJ141" s="3"/>
      <c r="OAK141" s="3"/>
      <c r="OAL141" s="3"/>
      <c r="OAM141" s="3"/>
      <c r="OAN141" s="3"/>
      <c r="OAO141" s="3"/>
      <c r="OAP141" s="3"/>
      <c r="OAQ141" s="3"/>
      <c r="OAR141" s="3"/>
      <c r="OAS141" s="3"/>
      <c r="OAT141" s="3"/>
      <c r="OAU141" s="3"/>
      <c r="OAV141" s="3"/>
      <c r="OAW141" s="3"/>
      <c r="OAX141" s="3"/>
      <c r="OAY141" s="3"/>
      <c r="OAZ141" s="3"/>
      <c r="OBA141" s="3"/>
      <c r="OBB141" s="3"/>
      <c r="OBC141" s="3"/>
      <c r="OBD141" s="3"/>
      <c r="OBE141" s="3"/>
      <c r="OBF141" s="3"/>
      <c r="OBG141" s="3"/>
      <c r="OBH141" s="3"/>
      <c r="OBI141" s="3"/>
      <c r="OBJ141" s="3"/>
      <c r="OBK141" s="3"/>
      <c r="OBL141" s="3"/>
      <c r="OBM141" s="3"/>
      <c r="OBN141" s="3"/>
      <c r="OBO141" s="3"/>
      <c r="OBP141" s="3"/>
      <c r="OBQ141" s="3"/>
      <c r="OBR141" s="3"/>
      <c r="OBS141" s="3"/>
      <c r="OBT141" s="3"/>
      <c r="OBU141" s="3"/>
      <c r="OBV141" s="3"/>
      <c r="OBW141" s="3"/>
      <c r="OBX141" s="3"/>
      <c r="OBY141" s="3"/>
      <c r="OBZ141" s="3"/>
      <c r="OCA141" s="3"/>
      <c r="OCB141" s="3"/>
      <c r="OCC141" s="3"/>
      <c r="OCD141" s="3"/>
      <c r="OCE141" s="3"/>
      <c r="OCF141" s="3"/>
      <c r="OCG141" s="3"/>
      <c r="OCH141" s="3"/>
      <c r="OCI141" s="3"/>
      <c r="OCJ141" s="3"/>
      <c r="OCK141" s="3"/>
      <c r="OCL141" s="3"/>
      <c r="OCM141" s="3"/>
      <c r="OCN141" s="3"/>
      <c r="OCO141" s="3"/>
      <c r="OCP141" s="3"/>
      <c r="OCQ141" s="3"/>
      <c r="OCR141" s="3"/>
      <c r="OCS141" s="3"/>
      <c r="OCT141" s="3"/>
      <c r="OCU141" s="3"/>
      <c r="OCV141" s="3"/>
      <c r="OCW141" s="3"/>
      <c r="OCX141" s="3"/>
      <c r="OCY141" s="3"/>
      <c r="OCZ141" s="3"/>
      <c r="ODA141" s="3"/>
      <c r="ODB141" s="3"/>
      <c r="ODC141" s="3"/>
      <c r="ODD141" s="3"/>
      <c r="ODE141" s="3"/>
      <c r="ODF141" s="3"/>
      <c r="ODG141" s="3"/>
      <c r="ODH141" s="3"/>
      <c r="ODI141" s="3"/>
      <c r="ODJ141" s="3"/>
      <c r="ODK141" s="3"/>
      <c r="ODL141" s="3"/>
      <c r="ODM141" s="3"/>
      <c r="ODN141" s="3"/>
      <c r="ODO141" s="3"/>
      <c r="ODP141" s="3"/>
      <c r="ODQ141" s="3"/>
      <c r="ODR141" s="3"/>
      <c r="ODS141" s="3"/>
      <c r="ODT141" s="3"/>
      <c r="ODU141" s="3"/>
      <c r="ODV141" s="3"/>
      <c r="ODW141" s="3"/>
      <c r="ODX141" s="3"/>
      <c r="ODY141" s="3"/>
      <c r="ODZ141" s="3"/>
      <c r="OEA141" s="3"/>
      <c r="OEB141" s="3"/>
      <c r="OEC141" s="3"/>
      <c r="OED141" s="3"/>
      <c r="OEE141" s="3"/>
      <c r="OEF141" s="3"/>
      <c r="OEG141" s="3"/>
      <c r="OEH141" s="3"/>
      <c r="OEI141" s="3"/>
      <c r="OEJ141" s="3"/>
      <c r="OEK141" s="3"/>
      <c r="OEL141" s="3"/>
      <c r="OEM141" s="3"/>
      <c r="OEN141" s="3"/>
      <c r="OEO141" s="3"/>
      <c r="OEP141" s="3"/>
      <c r="OEQ141" s="3"/>
      <c r="OER141" s="3"/>
      <c r="OES141" s="3"/>
      <c r="OET141" s="3"/>
      <c r="OEU141" s="3"/>
      <c r="OEV141" s="3"/>
      <c r="OEW141" s="3"/>
      <c r="OEX141" s="3"/>
      <c r="OEY141" s="3"/>
      <c r="OEZ141" s="3"/>
      <c r="OFA141" s="3"/>
      <c r="OFB141" s="3"/>
      <c r="OFC141" s="3"/>
      <c r="OFD141" s="3"/>
      <c r="OFE141" s="3"/>
      <c r="OFF141" s="3"/>
      <c r="OFG141" s="3"/>
      <c r="OFH141" s="3"/>
      <c r="OFI141" s="3"/>
      <c r="OFJ141" s="3"/>
      <c r="OFK141" s="3"/>
      <c r="OFL141" s="3"/>
      <c r="OFM141" s="3"/>
      <c r="OFN141" s="3"/>
      <c r="OFO141" s="3"/>
      <c r="OFP141" s="3"/>
      <c r="OFQ141" s="3"/>
      <c r="OFR141" s="3"/>
      <c r="OFS141" s="3"/>
      <c r="OFT141" s="3"/>
      <c r="OFU141" s="3"/>
      <c r="OFV141" s="3"/>
      <c r="OFW141" s="3"/>
      <c r="OFX141" s="3"/>
      <c r="OFY141" s="3"/>
      <c r="OFZ141" s="3"/>
      <c r="OGA141" s="3"/>
      <c r="OGB141" s="3"/>
      <c r="OGC141" s="3"/>
      <c r="OGD141" s="3"/>
      <c r="OGE141" s="3"/>
      <c r="OGF141" s="3"/>
      <c r="OGG141" s="3"/>
      <c r="OGH141" s="3"/>
      <c r="OGI141" s="3"/>
      <c r="OGJ141" s="3"/>
      <c r="OGK141" s="3"/>
      <c r="OGL141" s="3"/>
      <c r="OGM141" s="3"/>
      <c r="OGN141" s="3"/>
      <c r="OGO141" s="3"/>
      <c r="OGP141" s="3"/>
      <c r="OGQ141" s="3"/>
      <c r="OGR141" s="3"/>
      <c r="OGS141" s="3"/>
      <c r="OGT141" s="3"/>
      <c r="OGU141" s="3"/>
      <c r="OGV141" s="3"/>
      <c r="OGW141" s="3"/>
      <c r="OGX141" s="3"/>
      <c r="OGY141" s="3"/>
      <c r="OGZ141" s="3"/>
      <c r="OHA141" s="3"/>
      <c r="OHB141" s="3"/>
      <c r="OHC141" s="3"/>
      <c r="OHD141" s="3"/>
      <c r="OHE141" s="3"/>
      <c r="OHF141" s="3"/>
      <c r="OHG141" s="3"/>
      <c r="OHH141" s="3"/>
      <c r="OHI141" s="3"/>
      <c r="OHJ141" s="3"/>
      <c r="OHK141" s="3"/>
      <c r="OHL141" s="3"/>
      <c r="OHM141" s="3"/>
      <c r="OHN141" s="3"/>
      <c r="OHO141" s="3"/>
      <c r="OHP141" s="3"/>
      <c r="OHQ141" s="3"/>
      <c r="OHR141" s="3"/>
      <c r="OHS141" s="3"/>
      <c r="OHT141" s="3"/>
      <c r="OHU141" s="3"/>
      <c r="OHV141" s="3"/>
      <c r="OHW141" s="3"/>
      <c r="OHX141" s="3"/>
      <c r="OHY141" s="3"/>
      <c r="OHZ141" s="3"/>
      <c r="OIA141" s="3"/>
      <c r="OIB141" s="3"/>
      <c r="OIC141" s="3"/>
      <c r="OID141" s="3"/>
      <c r="OIE141" s="3"/>
      <c r="OIF141" s="3"/>
      <c r="OIG141" s="3"/>
      <c r="OIH141" s="3"/>
      <c r="OII141" s="3"/>
      <c r="OIJ141" s="3"/>
      <c r="OIK141" s="3"/>
      <c r="OIL141" s="3"/>
      <c r="OIM141" s="3"/>
      <c r="OIN141" s="3"/>
      <c r="OIO141" s="3"/>
      <c r="OIP141" s="3"/>
      <c r="OIQ141" s="3"/>
      <c r="OIR141" s="3"/>
      <c r="OIS141" s="3"/>
      <c r="OIT141" s="3"/>
      <c r="OIU141" s="3"/>
      <c r="OIV141" s="3"/>
      <c r="OIW141" s="3"/>
      <c r="OIX141" s="3"/>
      <c r="OIY141" s="3"/>
      <c r="OIZ141" s="3"/>
      <c r="OJA141" s="3"/>
      <c r="OJB141" s="3"/>
      <c r="OJC141" s="3"/>
      <c r="OJD141" s="3"/>
      <c r="OJE141" s="3"/>
      <c r="OJF141" s="3"/>
      <c r="OJG141" s="3"/>
      <c r="OJH141" s="3"/>
      <c r="OJI141" s="3"/>
      <c r="OJJ141" s="3"/>
      <c r="OJK141" s="3"/>
      <c r="OJL141" s="3"/>
      <c r="OJM141" s="3"/>
      <c r="OJN141" s="3"/>
      <c r="OJO141" s="3"/>
      <c r="OJP141" s="3"/>
      <c r="OJQ141" s="3"/>
      <c r="OJR141" s="3"/>
      <c r="OJS141" s="3"/>
      <c r="OJT141" s="3"/>
      <c r="OJU141" s="3"/>
      <c r="OJV141" s="3"/>
      <c r="OJW141" s="3"/>
      <c r="OJX141" s="3"/>
      <c r="OJY141" s="3"/>
      <c r="OJZ141" s="3"/>
      <c r="OKA141" s="3"/>
      <c r="OKB141" s="3"/>
      <c r="OKC141" s="3"/>
      <c r="OKD141" s="3"/>
      <c r="OKE141" s="3"/>
      <c r="OKF141" s="3"/>
      <c r="OKG141" s="3"/>
      <c r="OKH141" s="3"/>
      <c r="OKI141" s="3"/>
      <c r="OKJ141" s="3"/>
      <c r="OKK141" s="3"/>
      <c r="OKL141" s="3"/>
      <c r="OKM141" s="3"/>
      <c r="OKN141" s="3"/>
      <c r="OKO141" s="3"/>
      <c r="OKP141" s="3"/>
      <c r="OKQ141" s="3"/>
      <c r="OKR141" s="3"/>
      <c r="OKS141" s="3"/>
      <c r="OKT141" s="3"/>
      <c r="OKU141" s="3"/>
      <c r="OKV141" s="3"/>
      <c r="OKW141" s="3"/>
      <c r="OKX141" s="3"/>
      <c r="OKY141" s="3"/>
      <c r="OKZ141" s="3"/>
      <c r="OLA141" s="3"/>
      <c r="OLB141" s="3"/>
      <c r="OLC141" s="3"/>
      <c r="OLD141" s="3"/>
      <c r="OLE141" s="3"/>
      <c r="OLF141" s="3"/>
      <c r="OLG141" s="3"/>
      <c r="OLH141" s="3"/>
      <c r="OLI141" s="3"/>
      <c r="OLJ141" s="3"/>
      <c r="OLK141" s="3"/>
      <c r="OLL141" s="3"/>
      <c r="OLM141" s="3"/>
      <c r="OLN141" s="3"/>
      <c r="OLO141" s="3"/>
      <c r="OLP141" s="3"/>
      <c r="OLQ141" s="3"/>
      <c r="OLR141" s="3"/>
      <c r="OLS141" s="3"/>
      <c r="OLT141" s="3"/>
      <c r="OLU141" s="3"/>
      <c r="OLV141" s="3"/>
      <c r="OLW141" s="3"/>
      <c r="OLX141" s="3"/>
      <c r="OLY141" s="3"/>
      <c r="OLZ141" s="3"/>
      <c r="OMA141" s="3"/>
      <c r="OMB141" s="3"/>
      <c r="OMC141" s="3"/>
      <c r="OMD141" s="3"/>
      <c r="OME141" s="3"/>
      <c r="OMF141" s="3"/>
      <c r="OMG141" s="3"/>
      <c r="OMH141" s="3"/>
      <c r="OMI141" s="3"/>
      <c r="OMJ141" s="3"/>
      <c r="OMK141" s="3"/>
      <c r="OML141" s="3"/>
      <c r="OMM141" s="3"/>
      <c r="OMN141" s="3"/>
      <c r="OMO141" s="3"/>
      <c r="OMP141" s="3"/>
      <c r="OMQ141" s="3"/>
      <c r="OMR141" s="3"/>
      <c r="OMS141" s="3"/>
      <c r="OMT141" s="3"/>
      <c r="OMU141" s="3"/>
      <c r="OMV141" s="3"/>
      <c r="OMW141" s="3"/>
      <c r="OMX141" s="3"/>
      <c r="OMY141" s="3"/>
      <c r="OMZ141" s="3"/>
      <c r="ONA141" s="3"/>
      <c r="ONB141" s="3"/>
      <c r="ONC141" s="3"/>
      <c r="OND141" s="3"/>
      <c r="ONE141" s="3"/>
      <c r="ONF141" s="3"/>
      <c r="ONG141" s="3"/>
      <c r="ONH141" s="3"/>
      <c r="ONI141" s="3"/>
      <c r="ONJ141" s="3"/>
      <c r="ONK141" s="3"/>
      <c r="ONL141" s="3"/>
      <c r="ONM141" s="3"/>
      <c r="ONN141" s="3"/>
      <c r="ONO141" s="3"/>
      <c r="ONP141" s="3"/>
      <c r="ONQ141" s="3"/>
      <c r="ONR141" s="3"/>
      <c r="ONS141" s="3"/>
      <c r="ONT141" s="3"/>
      <c r="ONU141" s="3"/>
      <c r="ONV141" s="3"/>
      <c r="ONW141" s="3"/>
      <c r="ONX141" s="3"/>
      <c r="ONY141" s="3"/>
      <c r="ONZ141" s="3"/>
      <c r="OOA141" s="3"/>
      <c r="OOB141" s="3"/>
      <c r="OOC141" s="3"/>
      <c r="OOD141" s="3"/>
      <c r="OOE141" s="3"/>
      <c r="OOF141" s="3"/>
      <c r="OOG141" s="3"/>
      <c r="OOH141" s="3"/>
      <c r="OOI141" s="3"/>
      <c r="OOJ141" s="3"/>
      <c r="OOK141" s="3"/>
      <c r="OOL141" s="3"/>
      <c r="OOM141" s="3"/>
      <c r="OON141" s="3"/>
      <c r="OOO141" s="3"/>
      <c r="OOP141" s="3"/>
      <c r="OOQ141" s="3"/>
      <c r="OOR141" s="3"/>
      <c r="OOS141" s="3"/>
      <c r="OOT141" s="3"/>
      <c r="OOU141" s="3"/>
      <c r="OOV141" s="3"/>
      <c r="OOW141" s="3"/>
      <c r="OOX141" s="3"/>
      <c r="OOY141" s="3"/>
      <c r="OOZ141" s="3"/>
      <c r="OPA141" s="3"/>
      <c r="OPB141" s="3"/>
      <c r="OPC141" s="3"/>
      <c r="OPD141" s="3"/>
      <c r="OPE141" s="3"/>
      <c r="OPF141" s="3"/>
      <c r="OPG141" s="3"/>
      <c r="OPH141" s="3"/>
      <c r="OPI141" s="3"/>
      <c r="OPJ141" s="3"/>
      <c r="OPK141" s="3"/>
      <c r="OPL141" s="3"/>
      <c r="OPM141" s="3"/>
      <c r="OPN141" s="3"/>
      <c r="OPO141" s="3"/>
      <c r="OPP141" s="3"/>
      <c r="OPQ141" s="3"/>
      <c r="OPR141" s="3"/>
      <c r="OPS141" s="3"/>
      <c r="OPT141" s="3"/>
      <c r="OPU141" s="3"/>
      <c r="OPV141" s="3"/>
      <c r="OPW141" s="3"/>
      <c r="OPX141" s="3"/>
      <c r="OPY141" s="3"/>
      <c r="OPZ141" s="3"/>
      <c r="OQA141" s="3"/>
      <c r="OQB141" s="3"/>
      <c r="OQC141" s="3"/>
      <c r="OQD141" s="3"/>
      <c r="OQE141" s="3"/>
      <c r="OQF141" s="3"/>
      <c r="OQG141" s="3"/>
      <c r="OQH141" s="3"/>
      <c r="OQI141" s="3"/>
      <c r="OQJ141" s="3"/>
      <c r="OQK141" s="3"/>
      <c r="OQL141" s="3"/>
      <c r="OQM141" s="3"/>
      <c r="OQN141" s="3"/>
      <c r="OQO141" s="3"/>
      <c r="OQP141" s="3"/>
      <c r="OQQ141" s="3"/>
      <c r="OQR141" s="3"/>
      <c r="OQS141" s="3"/>
      <c r="OQT141" s="3"/>
      <c r="OQU141" s="3"/>
      <c r="OQV141" s="3"/>
      <c r="OQW141" s="3"/>
      <c r="OQX141" s="3"/>
      <c r="OQY141" s="3"/>
      <c r="OQZ141" s="3"/>
      <c r="ORA141" s="3"/>
      <c r="ORB141" s="3"/>
      <c r="ORC141" s="3"/>
      <c r="ORD141" s="3"/>
      <c r="ORE141" s="3"/>
      <c r="ORF141" s="3"/>
      <c r="ORG141" s="3"/>
      <c r="ORH141" s="3"/>
      <c r="ORI141" s="3"/>
      <c r="ORJ141" s="3"/>
      <c r="ORK141" s="3"/>
      <c r="ORL141" s="3"/>
      <c r="ORM141" s="3"/>
      <c r="ORN141" s="3"/>
      <c r="ORO141" s="3"/>
      <c r="ORP141" s="3"/>
      <c r="ORQ141" s="3"/>
      <c r="ORR141" s="3"/>
      <c r="ORS141" s="3"/>
      <c r="ORT141" s="3"/>
      <c r="ORU141" s="3"/>
      <c r="ORV141" s="3"/>
      <c r="ORW141" s="3"/>
      <c r="ORX141" s="3"/>
      <c r="ORY141" s="3"/>
      <c r="ORZ141" s="3"/>
      <c r="OSA141" s="3"/>
      <c r="OSB141" s="3"/>
      <c r="OSC141" s="3"/>
      <c r="OSD141" s="3"/>
      <c r="OSE141" s="3"/>
      <c r="OSF141" s="3"/>
      <c r="OSG141" s="3"/>
      <c r="OSH141" s="3"/>
      <c r="OSI141" s="3"/>
      <c r="OSJ141" s="3"/>
      <c r="OSK141" s="3"/>
      <c r="OSL141" s="3"/>
      <c r="OSM141" s="3"/>
      <c r="OSN141" s="3"/>
      <c r="OSO141" s="3"/>
      <c r="OSP141" s="3"/>
      <c r="OSQ141" s="3"/>
      <c r="OSR141" s="3"/>
      <c r="OSS141" s="3"/>
      <c r="OST141" s="3"/>
      <c r="OSU141" s="3"/>
      <c r="OSV141" s="3"/>
      <c r="OSW141" s="3"/>
      <c r="OSX141" s="3"/>
      <c r="OSY141" s="3"/>
      <c r="OSZ141" s="3"/>
      <c r="OTA141" s="3"/>
      <c r="OTB141" s="3"/>
      <c r="OTC141" s="3"/>
      <c r="OTD141" s="3"/>
      <c r="OTE141" s="3"/>
      <c r="OTF141" s="3"/>
      <c r="OTG141" s="3"/>
      <c r="OTH141" s="3"/>
      <c r="OTI141" s="3"/>
      <c r="OTJ141" s="3"/>
      <c r="OTK141" s="3"/>
      <c r="OTL141" s="3"/>
      <c r="OTM141" s="3"/>
      <c r="OTN141" s="3"/>
      <c r="OTO141" s="3"/>
      <c r="OTP141" s="3"/>
      <c r="OTQ141" s="3"/>
      <c r="OTR141" s="3"/>
      <c r="OTS141" s="3"/>
      <c r="OTT141" s="3"/>
      <c r="OTU141" s="3"/>
      <c r="OTV141" s="3"/>
      <c r="OTW141" s="3"/>
      <c r="OTX141" s="3"/>
      <c r="OTY141" s="3"/>
      <c r="OTZ141" s="3"/>
      <c r="OUA141" s="3"/>
      <c r="OUB141" s="3"/>
      <c r="OUC141" s="3"/>
      <c r="OUD141" s="3"/>
      <c r="OUE141" s="3"/>
      <c r="OUF141" s="3"/>
      <c r="OUG141" s="3"/>
      <c r="OUH141" s="3"/>
      <c r="OUI141" s="3"/>
      <c r="OUJ141" s="3"/>
      <c r="OUK141" s="3"/>
      <c r="OUL141" s="3"/>
      <c r="OUM141" s="3"/>
      <c r="OUN141" s="3"/>
      <c r="OUO141" s="3"/>
      <c r="OUP141" s="3"/>
      <c r="OUQ141" s="3"/>
      <c r="OUR141" s="3"/>
      <c r="OUS141" s="3"/>
      <c r="OUT141" s="3"/>
      <c r="OUU141" s="3"/>
      <c r="OUV141" s="3"/>
      <c r="OUW141" s="3"/>
      <c r="OUX141" s="3"/>
      <c r="OUY141" s="3"/>
      <c r="OUZ141" s="3"/>
      <c r="OVA141" s="3"/>
      <c r="OVB141" s="3"/>
      <c r="OVC141" s="3"/>
      <c r="OVD141" s="3"/>
      <c r="OVE141" s="3"/>
      <c r="OVF141" s="3"/>
      <c r="OVG141" s="3"/>
      <c r="OVH141" s="3"/>
      <c r="OVI141" s="3"/>
      <c r="OVJ141" s="3"/>
      <c r="OVK141" s="3"/>
      <c r="OVL141" s="3"/>
      <c r="OVM141" s="3"/>
      <c r="OVN141" s="3"/>
      <c r="OVO141" s="3"/>
      <c r="OVP141" s="3"/>
      <c r="OVQ141" s="3"/>
      <c r="OVR141" s="3"/>
      <c r="OVS141" s="3"/>
      <c r="OVT141" s="3"/>
      <c r="OVU141" s="3"/>
      <c r="OVV141" s="3"/>
      <c r="OVW141" s="3"/>
      <c r="OVX141" s="3"/>
      <c r="OVY141" s="3"/>
      <c r="OVZ141" s="3"/>
      <c r="OWA141" s="3"/>
      <c r="OWB141" s="3"/>
      <c r="OWC141" s="3"/>
      <c r="OWD141" s="3"/>
      <c r="OWE141" s="3"/>
      <c r="OWF141" s="3"/>
      <c r="OWG141" s="3"/>
      <c r="OWH141" s="3"/>
      <c r="OWI141" s="3"/>
      <c r="OWJ141" s="3"/>
      <c r="OWK141" s="3"/>
      <c r="OWL141" s="3"/>
      <c r="OWM141" s="3"/>
      <c r="OWN141" s="3"/>
      <c r="OWO141" s="3"/>
      <c r="OWP141" s="3"/>
      <c r="OWQ141" s="3"/>
      <c r="OWR141" s="3"/>
      <c r="OWS141" s="3"/>
      <c r="OWT141" s="3"/>
      <c r="OWU141" s="3"/>
      <c r="OWV141" s="3"/>
      <c r="OWW141" s="3"/>
      <c r="OWX141" s="3"/>
      <c r="OWY141" s="3"/>
      <c r="OWZ141" s="3"/>
      <c r="OXA141" s="3"/>
      <c r="OXB141" s="3"/>
      <c r="OXC141" s="3"/>
      <c r="OXD141" s="3"/>
      <c r="OXE141" s="3"/>
      <c r="OXF141" s="3"/>
      <c r="OXG141" s="3"/>
      <c r="OXH141" s="3"/>
      <c r="OXI141" s="3"/>
      <c r="OXJ141" s="3"/>
      <c r="OXK141" s="3"/>
      <c r="OXL141" s="3"/>
      <c r="OXM141" s="3"/>
      <c r="OXN141" s="3"/>
      <c r="OXO141" s="3"/>
      <c r="OXP141" s="3"/>
      <c r="OXQ141" s="3"/>
      <c r="OXR141" s="3"/>
      <c r="OXS141" s="3"/>
      <c r="OXT141" s="3"/>
      <c r="OXU141" s="3"/>
      <c r="OXV141" s="3"/>
      <c r="OXW141" s="3"/>
      <c r="OXX141" s="3"/>
      <c r="OXY141" s="3"/>
      <c r="OXZ141" s="3"/>
      <c r="OYA141" s="3"/>
      <c r="OYB141" s="3"/>
      <c r="OYC141" s="3"/>
      <c r="OYD141" s="3"/>
      <c r="OYE141" s="3"/>
      <c r="OYF141" s="3"/>
      <c r="OYG141" s="3"/>
      <c r="OYH141" s="3"/>
      <c r="OYI141" s="3"/>
      <c r="OYJ141" s="3"/>
      <c r="OYK141" s="3"/>
      <c r="OYL141" s="3"/>
      <c r="OYM141" s="3"/>
      <c r="OYN141" s="3"/>
      <c r="OYO141" s="3"/>
      <c r="OYP141" s="3"/>
      <c r="OYQ141" s="3"/>
      <c r="OYR141" s="3"/>
      <c r="OYS141" s="3"/>
      <c r="OYT141" s="3"/>
      <c r="OYU141" s="3"/>
      <c r="OYV141" s="3"/>
      <c r="OYW141" s="3"/>
      <c r="OYX141" s="3"/>
      <c r="OYY141" s="3"/>
      <c r="OYZ141" s="3"/>
      <c r="OZA141" s="3"/>
      <c r="OZB141" s="3"/>
      <c r="OZC141" s="3"/>
      <c r="OZD141" s="3"/>
      <c r="OZE141" s="3"/>
      <c r="OZF141" s="3"/>
      <c r="OZG141" s="3"/>
      <c r="OZH141" s="3"/>
      <c r="OZI141" s="3"/>
      <c r="OZJ141" s="3"/>
      <c r="OZK141" s="3"/>
      <c r="OZL141" s="3"/>
      <c r="OZM141" s="3"/>
      <c r="OZN141" s="3"/>
      <c r="OZO141" s="3"/>
      <c r="OZP141" s="3"/>
      <c r="OZQ141" s="3"/>
      <c r="OZR141" s="3"/>
      <c r="OZS141" s="3"/>
      <c r="OZT141" s="3"/>
      <c r="OZU141" s="3"/>
      <c r="OZV141" s="3"/>
      <c r="OZW141" s="3"/>
      <c r="OZX141" s="3"/>
      <c r="OZY141" s="3"/>
      <c r="OZZ141" s="3"/>
      <c r="PAA141" s="3"/>
      <c r="PAB141" s="3"/>
      <c r="PAC141" s="3"/>
      <c r="PAD141" s="3"/>
      <c r="PAE141" s="3"/>
      <c r="PAF141" s="3"/>
      <c r="PAG141" s="3"/>
      <c r="PAH141" s="3"/>
      <c r="PAI141" s="3"/>
      <c r="PAJ141" s="3"/>
      <c r="PAK141" s="3"/>
      <c r="PAL141" s="3"/>
      <c r="PAM141" s="3"/>
      <c r="PAN141" s="3"/>
      <c r="PAO141" s="3"/>
      <c r="PAP141" s="3"/>
      <c r="PAQ141" s="3"/>
      <c r="PAR141" s="3"/>
      <c r="PAS141" s="3"/>
      <c r="PAT141" s="3"/>
      <c r="PAU141" s="3"/>
      <c r="PAV141" s="3"/>
      <c r="PAW141" s="3"/>
      <c r="PAX141" s="3"/>
      <c r="PAY141" s="3"/>
      <c r="PAZ141" s="3"/>
      <c r="PBA141" s="3"/>
      <c r="PBB141" s="3"/>
      <c r="PBC141" s="3"/>
      <c r="PBD141" s="3"/>
      <c r="PBE141" s="3"/>
      <c r="PBF141" s="3"/>
      <c r="PBG141" s="3"/>
      <c r="PBH141" s="3"/>
      <c r="PBI141" s="3"/>
      <c r="PBJ141" s="3"/>
      <c r="PBK141" s="3"/>
      <c r="PBL141" s="3"/>
      <c r="PBM141" s="3"/>
      <c r="PBN141" s="3"/>
      <c r="PBO141" s="3"/>
      <c r="PBP141" s="3"/>
      <c r="PBQ141" s="3"/>
      <c r="PBR141" s="3"/>
      <c r="PBS141" s="3"/>
      <c r="PBT141" s="3"/>
      <c r="PBU141" s="3"/>
      <c r="PBV141" s="3"/>
      <c r="PBW141" s="3"/>
      <c r="PBX141" s="3"/>
      <c r="PBY141" s="3"/>
      <c r="PBZ141" s="3"/>
      <c r="PCA141" s="3"/>
      <c r="PCB141" s="3"/>
      <c r="PCC141" s="3"/>
      <c r="PCD141" s="3"/>
      <c r="PCE141" s="3"/>
      <c r="PCF141" s="3"/>
      <c r="PCG141" s="3"/>
      <c r="PCH141" s="3"/>
      <c r="PCI141" s="3"/>
      <c r="PCJ141" s="3"/>
      <c r="PCK141" s="3"/>
      <c r="PCL141" s="3"/>
      <c r="PCM141" s="3"/>
      <c r="PCN141" s="3"/>
      <c r="PCO141" s="3"/>
      <c r="PCP141" s="3"/>
      <c r="PCQ141" s="3"/>
      <c r="PCR141" s="3"/>
      <c r="PCS141" s="3"/>
      <c r="PCT141" s="3"/>
      <c r="PCU141" s="3"/>
      <c r="PCV141" s="3"/>
      <c r="PCW141" s="3"/>
      <c r="PCX141" s="3"/>
      <c r="PCY141" s="3"/>
      <c r="PCZ141" s="3"/>
      <c r="PDA141" s="3"/>
      <c r="PDB141" s="3"/>
      <c r="PDC141" s="3"/>
      <c r="PDD141" s="3"/>
      <c r="PDE141" s="3"/>
      <c r="PDF141" s="3"/>
      <c r="PDG141" s="3"/>
      <c r="PDH141" s="3"/>
      <c r="PDI141" s="3"/>
      <c r="PDJ141" s="3"/>
      <c r="PDK141" s="3"/>
      <c r="PDL141" s="3"/>
      <c r="PDM141" s="3"/>
      <c r="PDN141" s="3"/>
      <c r="PDO141" s="3"/>
      <c r="PDP141" s="3"/>
      <c r="PDQ141" s="3"/>
      <c r="PDR141" s="3"/>
      <c r="PDS141" s="3"/>
      <c r="PDT141" s="3"/>
      <c r="PDU141" s="3"/>
      <c r="PDV141" s="3"/>
      <c r="PDW141" s="3"/>
      <c r="PDX141" s="3"/>
      <c r="PDY141" s="3"/>
      <c r="PDZ141" s="3"/>
      <c r="PEA141" s="3"/>
      <c r="PEB141" s="3"/>
      <c r="PEC141" s="3"/>
      <c r="PED141" s="3"/>
      <c r="PEE141" s="3"/>
      <c r="PEF141" s="3"/>
      <c r="PEG141" s="3"/>
      <c r="PEH141" s="3"/>
      <c r="PEI141" s="3"/>
      <c r="PEJ141" s="3"/>
      <c r="PEK141" s="3"/>
      <c r="PEL141" s="3"/>
      <c r="PEM141" s="3"/>
      <c r="PEN141" s="3"/>
      <c r="PEO141" s="3"/>
      <c r="PEP141" s="3"/>
      <c r="PEQ141" s="3"/>
      <c r="PER141" s="3"/>
      <c r="PES141" s="3"/>
      <c r="PET141" s="3"/>
      <c r="PEU141" s="3"/>
      <c r="PEV141" s="3"/>
      <c r="PEW141" s="3"/>
      <c r="PEX141" s="3"/>
      <c r="PEY141" s="3"/>
      <c r="PEZ141" s="3"/>
      <c r="PFA141" s="3"/>
      <c r="PFB141" s="3"/>
      <c r="PFC141" s="3"/>
      <c r="PFD141" s="3"/>
      <c r="PFE141" s="3"/>
      <c r="PFF141" s="3"/>
      <c r="PFG141" s="3"/>
      <c r="PFH141" s="3"/>
      <c r="PFI141" s="3"/>
      <c r="PFJ141" s="3"/>
      <c r="PFK141" s="3"/>
      <c r="PFL141" s="3"/>
      <c r="PFM141" s="3"/>
      <c r="PFN141" s="3"/>
      <c r="PFO141" s="3"/>
      <c r="PFP141" s="3"/>
      <c r="PFQ141" s="3"/>
      <c r="PFR141" s="3"/>
      <c r="PFS141" s="3"/>
      <c r="PFT141" s="3"/>
      <c r="PFU141" s="3"/>
      <c r="PFV141" s="3"/>
      <c r="PFW141" s="3"/>
      <c r="PFX141" s="3"/>
      <c r="PFY141" s="3"/>
      <c r="PFZ141" s="3"/>
      <c r="PGA141" s="3"/>
      <c r="PGB141" s="3"/>
      <c r="PGC141" s="3"/>
      <c r="PGD141" s="3"/>
      <c r="PGE141" s="3"/>
      <c r="PGF141" s="3"/>
      <c r="PGG141" s="3"/>
      <c r="PGH141" s="3"/>
      <c r="PGI141" s="3"/>
      <c r="PGJ141" s="3"/>
      <c r="PGK141" s="3"/>
      <c r="PGL141" s="3"/>
      <c r="PGM141" s="3"/>
      <c r="PGN141" s="3"/>
      <c r="PGO141" s="3"/>
      <c r="PGP141" s="3"/>
      <c r="PGQ141" s="3"/>
      <c r="PGR141" s="3"/>
      <c r="PGS141" s="3"/>
      <c r="PGT141" s="3"/>
      <c r="PGU141" s="3"/>
      <c r="PGV141" s="3"/>
      <c r="PGW141" s="3"/>
      <c r="PGX141" s="3"/>
      <c r="PGY141" s="3"/>
      <c r="PGZ141" s="3"/>
      <c r="PHA141" s="3"/>
      <c r="PHB141" s="3"/>
      <c r="PHC141" s="3"/>
      <c r="PHD141" s="3"/>
      <c r="PHE141" s="3"/>
      <c r="PHF141" s="3"/>
      <c r="PHG141" s="3"/>
      <c r="PHH141" s="3"/>
      <c r="PHI141" s="3"/>
      <c r="PHJ141" s="3"/>
      <c r="PHK141" s="3"/>
      <c r="PHL141" s="3"/>
      <c r="PHM141" s="3"/>
      <c r="PHN141" s="3"/>
      <c r="PHO141" s="3"/>
      <c r="PHP141" s="3"/>
      <c r="PHQ141" s="3"/>
      <c r="PHR141" s="3"/>
      <c r="PHS141" s="3"/>
      <c r="PHT141" s="3"/>
      <c r="PHU141" s="3"/>
      <c r="PHV141" s="3"/>
      <c r="PHW141" s="3"/>
      <c r="PHX141" s="3"/>
      <c r="PHY141" s="3"/>
      <c r="PHZ141" s="3"/>
      <c r="PIA141" s="3"/>
      <c r="PIB141" s="3"/>
      <c r="PIC141" s="3"/>
      <c r="PID141" s="3"/>
      <c r="PIE141" s="3"/>
      <c r="PIF141" s="3"/>
      <c r="PIG141" s="3"/>
      <c r="PIH141" s="3"/>
      <c r="PII141" s="3"/>
      <c r="PIJ141" s="3"/>
      <c r="PIK141" s="3"/>
      <c r="PIL141" s="3"/>
      <c r="PIM141" s="3"/>
      <c r="PIN141" s="3"/>
      <c r="PIO141" s="3"/>
      <c r="PIP141" s="3"/>
      <c r="PIQ141" s="3"/>
      <c r="PIR141" s="3"/>
      <c r="PIS141" s="3"/>
      <c r="PIT141" s="3"/>
      <c r="PIU141" s="3"/>
      <c r="PIV141" s="3"/>
      <c r="PIW141" s="3"/>
      <c r="PIX141" s="3"/>
      <c r="PIY141" s="3"/>
      <c r="PIZ141" s="3"/>
      <c r="PJA141" s="3"/>
      <c r="PJB141" s="3"/>
      <c r="PJC141" s="3"/>
      <c r="PJD141" s="3"/>
      <c r="PJE141" s="3"/>
      <c r="PJF141" s="3"/>
      <c r="PJG141" s="3"/>
      <c r="PJH141" s="3"/>
      <c r="PJI141" s="3"/>
      <c r="PJJ141" s="3"/>
      <c r="PJK141" s="3"/>
      <c r="PJL141" s="3"/>
      <c r="PJM141" s="3"/>
      <c r="PJN141" s="3"/>
      <c r="PJO141" s="3"/>
      <c r="PJP141" s="3"/>
      <c r="PJQ141" s="3"/>
      <c r="PJR141" s="3"/>
      <c r="PJS141" s="3"/>
      <c r="PJT141" s="3"/>
      <c r="PJU141" s="3"/>
      <c r="PJV141" s="3"/>
      <c r="PJW141" s="3"/>
      <c r="PJX141" s="3"/>
      <c r="PJY141" s="3"/>
      <c r="PJZ141" s="3"/>
      <c r="PKA141" s="3"/>
      <c r="PKB141" s="3"/>
      <c r="PKC141" s="3"/>
      <c r="PKD141" s="3"/>
      <c r="PKE141" s="3"/>
      <c r="PKF141" s="3"/>
      <c r="PKG141" s="3"/>
      <c r="PKH141" s="3"/>
      <c r="PKI141" s="3"/>
      <c r="PKJ141" s="3"/>
      <c r="PKK141" s="3"/>
      <c r="PKL141" s="3"/>
      <c r="PKM141" s="3"/>
      <c r="PKN141" s="3"/>
      <c r="PKO141" s="3"/>
      <c r="PKP141" s="3"/>
      <c r="PKQ141" s="3"/>
      <c r="PKR141" s="3"/>
      <c r="PKS141" s="3"/>
      <c r="PKT141" s="3"/>
      <c r="PKU141" s="3"/>
      <c r="PKV141" s="3"/>
      <c r="PKW141" s="3"/>
      <c r="PKX141" s="3"/>
      <c r="PKY141" s="3"/>
      <c r="PKZ141" s="3"/>
      <c r="PLA141" s="3"/>
      <c r="PLB141" s="3"/>
      <c r="PLC141" s="3"/>
      <c r="PLD141" s="3"/>
      <c r="PLE141" s="3"/>
      <c r="PLF141" s="3"/>
      <c r="PLG141" s="3"/>
      <c r="PLH141" s="3"/>
      <c r="PLI141" s="3"/>
      <c r="PLJ141" s="3"/>
      <c r="PLK141" s="3"/>
      <c r="PLL141" s="3"/>
      <c r="PLM141" s="3"/>
      <c r="PLN141" s="3"/>
      <c r="PLO141" s="3"/>
      <c r="PLP141" s="3"/>
      <c r="PLQ141" s="3"/>
      <c r="PLR141" s="3"/>
      <c r="PLS141" s="3"/>
      <c r="PLT141" s="3"/>
      <c r="PLU141" s="3"/>
      <c r="PLV141" s="3"/>
      <c r="PLW141" s="3"/>
      <c r="PLX141" s="3"/>
      <c r="PLY141" s="3"/>
      <c r="PLZ141" s="3"/>
      <c r="PMA141" s="3"/>
      <c r="PMB141" s="3"/>
      <c r="PMC141" s="3"/>
      <c r="PMD141" s="3"/>
      <c r="PME141" s="3"/>
      <c r="PMF141" s="3"/>
      <c r="PMG141" s="3"/>
      <c r="PMH141" s="3"/>
      <c r="PMI141" s="3"/>
      <c r="PMJ141" s="3"/>
      <c r="PMK141" s="3"/>
      <c r="PML141" s="3"/>
      <c r="PMM141" s="3"/>
      <c r="PMN141" s="3"/>
      <c r="PMO141" s="3"/>
      <c r="PMP141" s="3"/>
      <c r="PMQ141" s="3"/>
      <c r="PMR141" s="3"/>
      <c r="PMS141" s="3"/>
      <c r="PMT141" s="3"/>
      <c r="PMU141" s="3"/>
      <c r="PMV141" s="3"/>
      <c r="PMW141" s="3"/>
      <c r="PMX141" s="3"/>
      <c r="PMY141" s="3"/>
      <c r="PMZ141" s="3"/>
      <c r="PNA141" s="3"/>
      <c r="PNB141" s="3"/>
      <c r="PNC141" s="3"/>
      <c r="PND141" s="3"/>
      <c r="PNE141" s="3"/>
      <c r="PNF141" s="3"/>
      <c r="PNG141" s="3"/>
      <c r="PNH141" s="3"/>
      <c r="PNI141" s="3"/>
      <c r="PNJ141" s="3"/>
      <c r="PNK141" s="3"/>
      <c r="PNL141" s="3"/>
      <c r="PNM141" s="3"/>
      <c r="PNN141" s="3"/>
      <c r="PNO141" s="3"/>
      <c r="PNP141" s="3"/>
      <c r="PNQ141" s="3"/>
      <c r="PNR141" s="3"/>
      <c r="PNS141" s="3"/>
      <c r="PNT141" s="3"/>
      <c r="PNU141" s="3"/>
      <c r="PNV141" s="3"/>
      <c r="PNW141" s="3"/>
      <c r="PNX141" s="3"/>
      <c r="PNY141" s="3"/>
      <c r="PNZ141" s="3"/>
      <c r="POA141" s="3"/>
      <c r="POB141" s="3"/>
      <c r="POC141" s="3"/>
      <c r="POD141" s="3"/>
      <c r="POE141" s="3"/>
      <c r="POF141" s="3"/>
      <c r="POG141" s="3"/>
      <c r="POH141" s="3"/>
      <c r="POI141" s="3"/>
      <c r="POJ141" s="3"/>
      <c r="POK141" s="3"/>
      <c r="POL141" s="3"/>
      <c r="POM141" s="3"/>
      <c r="PON141" s="3"/>
      <c r="POO141" s="3"/>
      <c r="POP141" s="3"/>
      <c r="POQ141" s="3"/>
      <c r="POR141" s="3"/>
      <c r="POS141" s="3"/>
      <c r="POT141" s="3"/>
      <c r="POU141" s="3"/>
      <c r="POV141" s="3"/>
      <c r="POW141" s="3"/>
      <c r="POX141" s="3"/>
      <c r="POY141" s="3"/>
      <c r="POZ141" s="3"/>
      <c r="PPA141" s="3"/>
      <c r="PPB141" s="3"/>
      <c r="PPC141" s="3"/>
      <c r="PPD141" s="3"/>
      <c r="PPE141" s="3"/>
      <c r="PPF141" s="3"/>
      <c r="PPG141" s="3"/>
      <c r="PPH141" s="3"/>
      <c r="PPI141" s="3"/>
      <c r="PPJ141" s="3"/>
      <c r="PPK141" s="3"/>
      <c r="PPL141" s="3"/>
      <c r="PPM141" s="3"/>
      <c r="PPN141" s="3"/>
      <c r="PPO141" s="3"/>
      <c r="PPP141" s="3"/>
      <c r="PPQ141" s="3"/>
      <c r="PPR141" s="3"/>
      <c r="PPS141" s="3"/>
      <c r="PPT141" s="3"/>
      <c r="PPU141" s="3"/>
      <c r="PPV141" s="3"/>
      <c r="PPW141" s="3"/>
      <c r="PPX141" s="3"/>
      <c r="PPY141" s="3"/>
      <c r="PPZ141" s="3"/>
      <c r="PQA141" s="3"/>
      <c r="PQB141" s="3"/>
      <c r="PQC141" s="3"/>
      <c r="PQD141" s="3"/>
      <c r="PQE141" s="3"/>
      <c r="PQF141" s="3"/>
      <c r="PQG141" s="3"/>
      <c r="PQH141" s="3"/>
      <c r="PQI141" s="3"/>
      <c r="PQJ141" s="3"/>
      <c r="PQK141" s="3"/>
      <c r="PQL141" s="3"/>
      <c r="PQM141" s="3"/>
      <c r="PQN141" s="3"/>
      <c r="PQO141" s="3"/>
      <c r="PQP141" s="3"/>
      <c r="PQQ141" s="3"/>
      <c r="PQR141" s="3"/>
      <c r="PQS141" s="3"/>
      <c r="PQT141" s="3"/>
      <c r="PQU141" s="3"/>
      <c r="PQV141" s="3"/>
      <c r="PQW141" s="3"/>
      <c r="PQX141" s="3"/>
      <c r="PQY141" s="3"/>
      <c r="PQZ141" s="3"/>
      <c r="PRA141" s="3"/>
      <c r="PRB141" s="3"/>
      <c r="PRC141" s="3"/>
      <c r="PRD141" s="3"/>
      <c r="PRE141" s="3"/>
      <c r="PRF141" s="3"/>
      <c r="PRG141" s="3"/>
      <c r="PRH141" s="3"/>
      <c r="PRI141" s="3"/>
      <c r="PRJ141" s="3"/>
      <c r="PRK141" s="3"/>
      <c r="PRL141" s="3"/>
      <c r="PRM141" s="3"/>
      <c r="PRN141" s="3"/>
      <c r="PRO141" s="3"/>
      <c r="PRP141" s="3"/>
      <c r="PRQ141" s="3"/>
      <c r="PRR141" s="3"/>
      <c r="PRS141" s="3"/>
      <c r="PRT141" s="3"/>
      <c r="PRU141" s="3"/>
      <c r="PRV141" s="3"/>
      <c r="PRW141" s="3"/>
      <c r="PRX141" s="3"/>
      <c r="PRY141" s="3"/>
      <c r="PRZ141" s="3"/>
      <c r="PSA141" s="3"/>
      <c r="PSB141" s="3"/>
      <c r="PSC141" s="3"/>
      <c r="PSD141" s="3"/>
      <c r="PSE141" s="3"/>
      <c r="PSF141" s="3"/>
      <c r="PSG141" s="3"/>
      <c r="PSH141" s="3"/>
      <c r="PSI141" s="3"/>
      <c r="PSJ141" s="3"/>
      <c r="PSK141" s="3"/>
      <c r="PSL141" s="3"/>
      <c r="PSM141" s="3"/>
      <c r="PSN141" s="3"/>
      <c r="PSO141" s="3"/>
      <c r="PSP141" s="3"/>
      <c r="PSQ141" s="3"/>
      <c r="PSR141" s="3"/>
      <c r="PSS141" s="3"/>
      <c r="PST141" s="3"/>
      <c r="PSU141" s="3"/>
      <c r="PSV141" s="3"/>
      <c r="PSW141" s="3"/>
      <c r="PSX141" s="3"/>
      <c r="PSY141" s="3"/>
      <c r="PSZ141" s="3"/>
      <c r="PTA141" s="3"/>
      <c r="PTB141" s="3"/>
      <c r="PTC141" s="3"/>
      <c r="PTD141" s="3"/>
      <c r="PTE141" s="3"/>
      <c r="PTF141" s="3"/>
      <c r="PTG141" s="3"/>
      <c r="PTH141" s="3"/>
      <c r="PTI141" s="3"/>
      <c r="PTJ141" s="3"/>
      <c r="PTK141" s="3"/>
      <c r="PTL141" s="3"/>
      <c r="PTM141" s="3"/>
      <c r="PTN141" s="3"/>
      <c r="PTO141" s="3"/>
      <c r="PTP141" s="3"/>
      <c r="PTQ141" s="3"/>
      <c r="PTR141" s="3"/>
      <c r="PTS141" s="3"/>
      <c r="PTT141" s="3"/>
      <c r="PTU141" s="3"/>
      <c r="PTV141" s="3"/>
      <c r="PTW141" s="3"/>
      <c r="PTX141" s="3"/>
      <c r="PTY141" s="3"/>
      <c r="PTZ141" s="3"/>
      <c r="PUA141" s="3"/>
      <c r="PUB141" s="3"/>
      <c r="PUC141" s="3"/>
      <c r="PUD141" s="3"/>
      <c r="PUE141" s="3"/>
      <c r="PUF141" s="3"/>
      <c r="PUG141" s="3"/>
      <c r="PUH141" s="3"/>
      <c r="PUI141" s="3"/>
      <c r="PUJ141" s="3"/>
      <c r="PUK141" s="3"/>
      <c r="PUL141" s="3"/>
      <c r="PUM141" s="3"/>
      <c r="PUN141" s="3"/>
      <c r="PUO141" s="3"/>
      <c r="PUP141" s="3"/>
      <c r="PUQ141" s="3"/>
      <c r="PUR141" s="3"/>
      <c r="PUS141" s="3"/>
      <c r="PUT141" s="3"/>
      <c r="PUU141" s="3"/>
      <c r="PUV141" s="3"/>
      <c r="PUW141" s="3"/>
      <c r="PUX141" s="3"/>
      <c r="PUY141" s="3"/>
      <c r="PUZ141" s="3"/>
      <c r="PVA141" s="3"/>
      <c r="PVB141" s="3"/>
      <c r="PVC141" s="3"/>
      <c r="PVD141" s="3"/>
      <c r="PVE141" s="3"/>
      <c r="PVF141" s="3"/>
      <c r="PVG141" s="3"/>
      <c r="PVH141" s="3"/>
      <c r="PVI141" s="3"/>
      <c r="PVJ141" s="3"/>
      <c r="PVK141" s="3"/>
      <c r="PVL141" s="3"/>
      <c r="PVM141" s="3"/>
      <c r="PVN141" s="3"/>
      <c r="PVO141" s="3"/>
      <c r="PVP141" s="3"/>
      <c r="PVQ141" s="3"/>
      <c r="PVR141" s="3"/>
      <c r="PVS141" s="3"/>
      <c r="PVT141" s="3"/>
      <c r="PVU141" s="3"/>
      <c r="PVV141" s="3"/>
      <c r="PVW141" s="3"/>
      <c r="PVX141" s="3"/>
      <c r="PVY141" s="3"/>
      <c r="PVZ141" s="3"/>
      <c r="PWA141" s="3"/>
      <c r="PWB141" s="3"/>
      <c r="PWC141" s="3"/>
      <c r="PWD141" s="3"/>
      <c r="PWE141" s="3"/>
      <c r="PWF141" s="3"/>
      <c r="PWG141" s="3"/>
      <c r="PWH141" s="3"/>
      <c r="PWI141" s="3"/>
      <c r="PWJ141" s="3"/>
      <c r="PWK141" s="3"/>
      <c r="PWL141" s="3"/>
      <c r="PWM141" s="3"/>
      <c r="PWN141" s="3"/>
      <c r="PWO141" s="3"/>
      <c r="PWP141" s="3"/>
      <c r="PWQ141" s="3"/>
      <c r="PWR141" s="3"/>
      <c r="PWS141" s="3"/>
      <c r="PWT141" s="3"/>
      <c r="PWU141" s="3"/>
      <c r="PWV141" s="3"/>
      <c r="PWW141" s="3"/>
      <c r="PWX141" s="3"/>
      <c r="PWY141" s="3"/>
      <c r="PWZ141" s="3"/>
      <c r="PXA141" s="3"/>
      <c r="PXB141" s="3"/>
      <c r="PXC141" s="3"/>
      <c r="PXD141" s="3"/>
      <c r="PXE141" s="3"/>
      <c r="PXF141" s="3"/>
      <c r="PXG141" s="3"/>
      <c r="PXH141" s="3"/>
      <c r="PXI141" s="3"/>
      <c r="PXJ141" s="3"/>
      <c r="PXK141" s="3"/>
      <c r="PXL141" s="3"/>
      <c r="PXM141" s="3"/>
      <c r="PXN141" s="3"/>
      <c r="PXO141" s="3"/>
      <c r="PXP141" s="3"/>
      <c r="PXQ141" s="3"/>
      <c r="PXR141" s="3"/>
      <c r="PXS141" s="3"/>
      <c r="PXT141" s="3"/>
      <c r="PXU141" s="3"/>
      <c r="PXV141" s="3"/>
      <c r="PXW141" s="3"/>
      <c r="PXX141" s="3"/>
      <c r="PXY141" s="3"/>
      <c r="PXZ141" s="3"/>
      <c r="PYA141" s="3"/>
      <c r="PYB141" s="3"/>
      <c r="PYC141" s="3"/>
      <c r="PYD141" s="3"/>
      <c r="PYE141" s="3"/>
      <c r="PYF141" s="3"/>
      <c r="PYG141" s="3"/>
      <c r="PYH141" s="3"/>
      <c r="PYI141" s="3"/>
      <c r="PYJ141" s="3"/>
      <c r="PYK141" s="3"/>
      <c r="PYL141" s="3"/>
      <c r="PYM141" s="3"/>
      <c r="PYN141" s="3"/>
      <c r="PYO141" s="3"/>
      <c r="PYP141" s="3"/>
      <c r="PYQ141" s="3"/>
      <c r="PYR141" s="3"/>
      <c r="PYS141" s="3"/>
      <c r="PYT141" s="3"/>
      <c r="PYU141" s="3"/>
      <c r="PYV141" s="3"/>
      <c r="PYW141" s="3"/>
      <c r="PYX141" s="3"/>
      <c r="PYY141" s="3"/>
      <c r="PYZ141" s="3"/>
      <c r="PZA141" s="3"/>
      <c r="PZB141" s="3"/>
      <c r="PZC141" s="3"/>
      <c r="PZD141" s="3"/>
      <c r="PZE141" s="3"/>
      <c r="PZF141" s="3"/>
      <c r="PZG141" s="3"/>
      <c r="PZH141" s="3"/>
      <c r="PZI141" s="3"/>
      <c r="PZJ141" s="3"/>
      <c r="PZK141" s="3"/>
      <c r="PZL141" s="3"/>
      <c r="PZM141" s="3"/>
      <c r="PZN141" s="3"/>
      <c r="PZO141" s="3"/>
      <c r="PZP141" s="3"/>
      <c r="PZQ141" s="3"/>
      <c r="PZR141" s="3"/>
      <c r="PZS141" s="3"/>
      <c r="PZT141" s="3"/>
      <c r="PZU141" s="3"/>
      <c r="PZV141" s="3"/>
      <c r="PZW141" s="3"/>
      <c r="PZX141" s="3"/>
      <c r="PZY141" s="3"/>
      <c r="PZZ141" s="3"/>
      <c r="QAA141" s="3"/>
      <c r="QAB141" s="3"/>
      <c r="QAC141" s="3"/>
      <c r="QAD141" s="3"/>
      <c r="QAE141" s="3"/>
      <c r="QAF141" s="3"/>
      <c r="QAG141" s="3"/>
      <c r="QAH141" s="3"/>
      <c r="QAI141" s="3"/>
      <c r="QAJ141" s="3"/>
      <c r="QAK141" s="3"/>
      <c r="QAL141" s="3"/>
      <c r="QAM141" s="3"/>
      <c r="QAN141" s="3"/>
      <c r="QAO141" s="3"/>
      <c r="QAP141" s="3"/>
      <c r="QAQ141" s="3"/>
      <c r="QAR141" s="3"/>
      <c r="QAS141" s="3"/>
      <c r="QAT141" s="3"/>
      <c r="QAU141" s="3"/>
      <c r="QAV141" s="3"/>
      <c r="QAW141" s="3"/>
      <c r="QAX141" s="3"/>
      <c r="QAY141" s="3"/>
      <c r="QAZ141" s="3"/>
      <c r="QBA141" s="3"/>
      <c r="QBB141" s="3"/>
      <c r="QBC141" s="3"/>
      <c r="QBD141" s="3"/>
      <c r="QBE141" s="3"/>
      <c r="QBF141" s="3"/>
      <c r="QBG141" s="3"/>
      <c r="QBH141" s="3"/>
      <c r="QBI141" s="3"/>
      <c r="QBJ141" s="3"/>
      <c r="QBK141" s="3"/>
      <c r="QBL141" s="3"/>
      <c r="QBM141" s="3"/>
      <c r="QBN141" s="3"/>
      <c r="QBO141" s="3"/>
      <c r="QBP141" s="3"/>
      <c r="QBQ141" s="3"/>
      <c r="QBR141" s="3"/>
      <c r="QBS141" s="3"/>
      <c r="QBT141" s="3"/>
      <c r="QBU141" s="3"/>
      <c r="QBV141" s="3"/>
      <c r="QBW141" s="3"/>
      <c r="QBX141" s="3"/>
      <c r="QBY141" s="3"/>
      <c r="QBZ141" s="3"/>
      <c r="QCA141" s="3"/>
      <c r="QCB141" s="3"/>
      <c r="QCC141" s="3"/>
      <c r="QCD141" s="3"/>
      <c r="QCE141" s="3"/>
      <c r="QCF141" s="3"/>
      <c r="QCG141" s="3"/>
      <c r="QCH141" s="3"/>
      <c r="QCI141" s="3"/>
      <c r="QCJ141" s="3"/>
      <c r="QCK141" s="3"/>
      <c r="QCL141" s="3"/>
      <c r="QCM141" s="3"/>
      <c r="QCN141" s="3"/>
      <c r="QCO141" s="3"/>
      <c r="QCP141" s="3"/>
      <c r="QCQ141" s="3"/>
      <c r="QCR141" s="3"/>
      <c r="QCS141" s="3"/>
      <c r="QCT141" s="3"/>
      <c r="QCU141" s="3"/>
      <c r="QCV141" s="3"/>
      <c r="QCW141" s="3"/>
      <c r="QCX141" s="3"/>
      <c r="QCY141" s="3"/>
      <c r="QCZ141" s="3"/>
      <c r="QDA141" s="3"/>
      <c r="QDB141" s="3"/>
      <c r="QDC141" s="3"/>
      <c r="QDD141" s="3"/>
      <c r="QDE141" s="3"/>
      <c r="QDF141" s="3"/>
      <c r="QDG141" s="3"/>
      <c r="QDH141" s="3"/>
      <c r="QDI141" s="3"/>
      <c r="QDJ141" s="3"/>
      <c r="QDK141" s="3"/>
      <c r="QDL141" s="3"/>
      <c r="QDM141" s="3"/>
      <c r="QDN141" s="3"/>
      <c r="QDO141" s="3"/>
      <c r="QDP141" s="3"/>
      <c r="QDQ141" s="3"/>
      <c r="QDR141" s="3"/>
      <c r="QDS141" s="3"/>
      <c r="QDT141" s="3"/>
      <c r="QDU141" s="3"/>
      <c r="QDV141" s="3"/>
      <c r="QDW141" s="3"/>
      <c r="QDX141" s="3"/>
      <c r="QDY141" s="3"/>
      <c r="QDZ141" s="3"/>
      <c r="QEA141" s="3"/>
      <c r="QEB141" s="3"/>
      <c r="QEC141" s="3"/>
      <c r="QED141" s="3"/>
      <c r="QEE141" s="3"/>
      <c r="QEF141" s="3"/>
      <c r="QEG141" s="3"/>
      <c r="QEH141" s="3"/>
      <c r="QEI141" s="3"/>
      <c r="QEJ141" s="3"/>
      <c r="QEK141" s="3"/>
      <c r="QEL141" s="3"/>
      <c r="QEM141" s="3"/>
      <c r="QEN141" s="3"/>
      <c r="QEO141" s="3"/>
      <c r="QEP141" s="3"/>
      <c r="QEQ141" s="3"/>
      <c r="QER141" s="3"/>
      <c r="QES141" s="3"/>
      <c r="QET141" s="3"/>
      <c r="QEU141" s="3"/>
      <c r="QEV141" s="3"/>
      <c r="QEW141" s="3"/>
      <c r="QEX141" s="3"/>
      <c r="QEY141" s="3"/>
      <c r="QEZ141" s="3"/>
      <c r="QFA141" s="3"/>
      <c r="QFB141" s="3"/>
      <c r="QFC141" s="3"/>
      <c r="QFD141" s="3"/>
      <c r="QFE141" s="3"/>
      <c r="QFF141" s="3"/>
      <c r="QFG141" s="3"/>
      <c r="QFH141" s="3"/>
      <c r="QFI141" s="3"/>
      <c r="QFJ141" s="3"/>
      <c r="QFK141" s="3"/>
      <c r="QFL141" s="3"/>
      <c r="QFM141" s="3"/>
      <c r="QFN141" s="3"/>
      <c r="QFO141" s="3"/>
      <c r="QFP141" s="3"/>
      <c r="QFQ141" s="3"/>
      <c r="QFR141" s="3"/>
      <c r="QFS141" s="3"/>
      <c r="QFT141" s="3"/>
      <c r="QFU141" s="3"/>
      <c r="QFV141" s="3"/>
      <c r="QFW141" s="3"/>
      <c r="QFX141" s="3"/>
      <c r="QFY141" s="3"/>
      <c r="QFZ141" s="3"/>
      <c r="QGA141" s="3"/>
      <c r="QGB141" s="3"/>
      <c r="QGC141" s="3"/>
      <c r="QGD141" s="3"/>
      <c r="QGE141" s="3"/>
      <c r="QGF141" s="3"/>
      <c r="QGG141" s="3"/>
      <c r="QGH141" s="3"/>
      <c r="QGI141" s="3"/>
      <c r="QGJ141" s="3"/>
      <c r="QGK141" s="3"/>
      <c r="QGL141" s="3"/>
      <c r="QGM141" s="3"/>
      <c r="QGN141" s="3"/>
      <c r="QGO141" s="3"/>
      <c r="QGP141" s="3"/>
      <c r="QGQ141" s="3"/>
      <c r="QGR141" s="3"/>
      <c r="QGS141" s="3"/>
      <c r="QGT141" s="3"/>
      <c r="QGU141" s="3"/>
      <c r="QGV141" s="3"/>
      <c r="QGW141" s="3"/>
      <c r="QGX141" s="3"/>
      <c r="QGY141" s="3"/>
      <c r="QGZ141" s="3"/>
      <c r="QHA141" s="3"/>
      <c r="QHB141" s="3"/>
      <c r="QHC141" s="3"/>
      <c r="QHD141" s="3"/>
      <c r="QHE141" s="3"/>
      <c r="QHF141" s="3"/>
      <c r="QHG141" s="3"/>
      <c r="QHH141" s="3"/>
      <c r="QHI141" s="3"/>
      <c r="QHJ141" s="3"/>
      <c r="QHK141" s="3"/>
      <c r="QHL141" s="3"/>
      <c r="QHM141" s="3"/>
      <c r="QHN141" s="3"/>
      <c r="QHO141" s="3"/>
      <c r="QHP141" s="3"/>
      <c r="QHQ141" s="3"/>
      <c r="QHR141" s="3"/>
      <c r="QHS141" s="3"/>
      <c r="QHT141" s="3"/>
      <c r="QHU141" s="3"/>
      <c r="QHV141" s="3"/>
      <c r="QHW141" s="3"/>
      <c r="QHX141" s="3"/>
      <c r="QHY141" s="3"/>
      <c r="QHZ141" s="3"/>
      <c r="QIA141" s="3"/>
      <c r="QIB141" s="3"/>
      <c r="QIC141" s="3"/>
      <c r="QID141" s="3"/>
      <c r="QIE141" s="3"/>
      <c r="QIF141" s="3"/>
      <c r="QIG141" s="3"/>
      <c r="QIH141" s="3"/>
      <c r="QII141" s="3"/>
      <c r="QIJ141" s="3"/>
      <c r="QIK141" s="3"/>
      <c r="QIL141" s="3"/>
      <c r="QIM141" s="3"/>
      <c r="QIN141" s="3"/>
      <c r="QIO141" s="3"/>
      <c r="QIP141" s="3"/>
      <c r="QIQ141" s="3"/>
      <c r="QIR141" s="3"/>
      <c r="QIS141" s="3"/>
      <c r="QIT141" s="3"/>
      <c r="QIU141" s="3"/>
      <c r="QIV141" s="3"/>
      <c r="QIW141" s="3"/>
      <c r="QIX141" s="3"/>
      <c r="QIY141" s="3"/>
      <c r="QIZ141" s="3"/>
      <c r="QJA141" s="3"/>
      <c r="QJB141" s="3"/>
      <c r="QJC141" s="3"/>
      <c r="QJD141" s="3"/>
      <c r="QJE141" s="3"/>
      <c r="QJF141" s="3"/>
      <c r="QJG141" s="3"/>
      <c r="QJH141" s="3"/>
      <c r="QJI141" s="3"/>
      <c r="QJJ141" s="3"/>
      <c r="QJK141" s="3"/>
      <c r="QJL141" s="3"/>
      <c r="QJM141" s="3"/>
      <c r="QJN141" s="3"/>
      <c r="QJO141" s="3"/>
      <c r="QJP141" s="3"/>
      <c r="QJQ141" s="3"/>
      <c r="QJR141" s="3"/>
      <c r="QJS141" s="3"/>
      <c r="QJT141" s="3"/>
      <c r="QJU141" s="3"/>
      <c r="QJV141" s="3"/>
      <c r="QJW141" s="3"/>
      <c r="QJX141" s="3"/>
      <c r="QJY141" s="3"/>
      <c r="QJZ141" s="3"/>
      <c r="QKA141" s="3"/>
      <c r="QKB141" s="3"/>
      <c r="QKC141" s="3"/>
      <c r="QKD141" s="3"/>
      <c r="QKE141" s="3"/>
      <c r="QKF141" s="3"/>
      <c r="QKG141" s="3"/>
      <c r="QKH141" s="3"/>
      <c r="QKI141" s="3"/>
      <c r="QKJ141" s="3"/>
      <c r="QKK141" s="3"/>
      <c r="QKL141" s="3"/>
      <c r="QKM141" s="3"/>
      <c r="QKN141" s="3"/>
      <c r="QKO141" s="3"/>
      <c r="QKP141" s="3"/>
      <c r="QKQ141" s="3"/>
      <c r="QKR141" s="3"/>
      <c r="QKS141" s="3"/>
      <c r="QKT141" s="3"/>
      <c r="QKU141" s="3"/>
      <c r="QKV141" s="3"/>
      <c r="QKW141" s="3"/>
      <c r="QKX141" s="3"/>
      <c r="QKY141" s="3"/>
      <c r="QKZ141" s="3"/>
      <c r="QLA141" s="3"/>
      <c r="QLB141" s="3"/>
      <c r="QLC141" s="3"/>
      <c r="QLD141" s="3"/>
      <c r="QLE141" s="3"/>
      <c r="QLF141" s="3"/>
      <c r="QLG141" s="3"/>
      <c r="QLH141" s="3"/>
      <c r="QLI141" s="3"/>
      <c r="QLJ141" s="3"/>
      <c r="QLK141" s="3"/>
      <c r="QLL141" s="3"/>
      <c r="QLM141" s="3"/>
      <c r="QLN141" s="3"/>
      <c r="QLO141" s="3"/>
      <c r="QLP141" s="3"/>
      <c r="QLQ141" s="3"/>
      <c r="QLR141" s="3"/>
      <c r="QLS141" s="3"/>
      <c r="QLT141" s="3"/>
      <c r="QLU141" s="3"/>
      <c r="QLV141" s="3"/>
      <c r="QLW141" s="3"/>
      <c r="QLX141" s="3"/>
      <c r="QLY141" s="3"/>
      <c r="QLZ141" s="3"/>
      <c r="QMA141" s="3"/>
      <c r="QMB141" s="3"/>
      <c r="QMC141" s="3"/>
      <c r="QMD141" s="3"/>
      <c r="QME141" s="3"/>
      <c r="QMF141" s="3"/>
      <c r="QMG141" s="3"/>
      <c r="QMH141" s="3"/>
      <c r="QMI141" s="3"/>
      <c r="QMJ141" s="3"/>
      <c r="QMK141" s="3"/>
      <c r="QML141" s="3"/>
      <c r="QMM141" s="3"/>
      <c r="QMN141" s="3"/>
      <c r="QMO141" s="3"/>
      <c r="QMP141" s="3"/>
      <c r="QMQ141" s="3"/>
      <c r="QMR141" s="3"/>
      <c r="QMS141" s="3"/>
      <c r="QMT141" s="3"/>
      <c r="QMU141" s="3"/>
      <c r="QMV141" s="3"/>
      <c r="QMW141" s="3"/>
      <c r="QMX141" s="3"/>
      <c r="QMY141" s="3"/>
      <c r="QMZ141" s="3"/>
      <c r="QNA141" s="3"/>
      <c r="QNB141" s="3"/>
      <c r="QNC141" s="3"/>
      <c r="QND141" s="3"/>
      <c r="QNE141" s="3"/>
      <c r="QNF141" s="3"/>
      <c r="QNG141" s="3"/>
      <c r="QNH141" s="3"/>
      <c r="QNI141" s="3"/>
      <c r="QNJ141" s="3"/>
      <c r="QNK141" s="3"/>
      <c r="QNL141" s="3"/>
      <c r="QNM141" s="3"/>
      <c r="QNN141" s="3"/>
      <c r="QNO141" s="3"/>
      <c r="QNP141" s="3"/>
      <c r="QNQ141" s="3"/>
      <c r="QNR141" s="3"/>
      <c r="QNS141" s="3"/>
      <c r="QNT141" s="3"/>
      <c r="QNU141" s="3"/>
      <c r="QNV141" s="3"/>
      <c r="QNW141" s="3"/>
      <c r="QNX141" s="3"/>
      <c r="QNY141" s="3"/>
      <c r="QNZ141" s="3"/>
      <c r="QOA141" s="3"/>
      <c r="QOB141" s="3"/>
      <c r="QOC141" s="3"/>
      <c r="QOD141" s="3"/>
      <c r="QOE141" s="3"/>
      <c r="QOF141" s="3"/>
      <c r="QOG141" s="3"/>
      <c r="QOH141" s="3"/>
      <c r="QOI141" s="3"/>
      <c r="QOJ141" s="3"/>
      <c r="QOK141" s="3"/>
      <c r="QOL141" s="3"/>
      <c r="QOM141" s="3"/>
      <c r="QON141" s="3"/>
      <c r="QOO141" s="3"/>
      <c r="QOP141" s="3"/>
      <c r="QOQ141" s="3"/>
      <c r="QOR141" s="3"/>
      <c r="QOS141" s="3"/>
      <c r="QOT141" s="3"/>
      <c r="QOU141" s="3"/>
      <c r="QOV141" s="3"/>
      <c r="QOW141" s="3"/>
      <c r="QOX141" s="3"/>
      <c r="QOY141" s="3"/>
      <c r="QOZ141" s="3"/>
      <c r="QPA141" s="3"/>
      <c r="QPB141" s="3"/>
      <c r="QPC141" s="3"/>
      <c r="QPD141" s="3"/>
      <c r="QPE141" s="3"/>
      <c r="QPF141" s="3"/>
      <c r="QPG141" s="3"/>
      <c r="QPH141" s="3"/>
      <c r="QPI141" s="3"/>
      <c r="QPJ141" s="3"/>
      <c r="QPK141" s="3"/>
      <c r="QPL141" s="3"/>
      <c r="QPM141" s="3"/>
      <c r="QPN141" s="3"/>
      <c r="QPO141" s="3"/>
      <c r="QPP141" s="3"/>
      <c r="QPQ141" s="3"/>
      <c r="QPR141" s="3"/>
      <c r="QPS141" s="3"/>
      <c r="QPT141" s="3"/>
      <c r="QPU141" s="3"/>
      <c r="QPV141" s="3"/>
      <c r="QPW141" s="3"/>
      <c r="QPX141" s="3"/>
      <c r="QPY141" s="3"/>
      <c r="QPZ141" s="3"/>
      <c r="QQA141" s="3"/>
      <c r="QQB141" s="3"/>
      <c r="QQC141" s="3"/>
      <c r="QQD141" s="3"/>
      <c r="QQE141" s="3"/>
      <c r="QQF141" s="3"/>
      <c r="QQG141" s="3"/>
      <c r="QQH141" s="3"/>
      <c r="QQI141" s="3"/>
      <c r="QQJ141" s="3"/>
      <c r="QQK141" s="3"/>
      <c r="QQL141" s="3"/>
      <c r="QQM141" s="3"/>
      <c r="QQN141" s="3"/>
      <c r="QQO141" s="3"/>
      <c r="QQP141" s="3"/>
      <c r="QQQ141" s="3"/>
      <c r="QQR141" s="3"/>
      <c r="QQS141" s="3"/>
      <c r="QQT141" s="3"/>
      <c r="QQU141" s="3"/>
      <c r="QQV141" s="3"/>
      <c r="QQW141" s="3"/>
      <c r="QQX141" s="3"/>
      <c r="QQY141" s="3"/>
      <c r="QQZ141" s="3"/>
      <c r="QRA141" s="3"/>
      <c r="QRB141" s="3"/>
      <c r="QRC141" s="3"/>
      <c r="QRD141" s="3"/>
      <c r="QRE141" s="3"/>
      <c r="QRF141" s="3"/>
      <c r="QRG141" s="3"/>
      <c r="QRH141" s="3"/>
      <c r="QRI141" s="3"/>
      <c r="QRJ141" s="3"/>
      <c r="QRK141" s="3"/>
      <c r="QRL141" s="3"/>
      <c r="QRM141" s="3"/>
      <c r="QRN141" s="3"/>
      <c r="QRO141" s="3"/>
      <c r="QRP141" s="3"/>
      <c r="QRQ141" s="3"/>
      <c r="QRR141" s="3"/>
      <c r="QRS141" s="3"/>
      <c r="QRT141" s="3"/>
      <c r="QRU141" s="3"/>
      <c r="QRV141" s="3"/>
      <c r="QRW141" s="3"/>
      <c r="QRX141" s="3"/>
      <c r="QRY141" s="3"/>
      <c r="QRZ141" s="3"/>
      <c r="QSA141" s="3"/>
      <c r="QSB141" s="3"/>
      <c r="QSC141" s="3"/>
      <c r="QSD141" s="3"/>
      <c r="QSE141" s="3"/>
      <c r="QSF141" s="3"/>
      <c r="QSG141" s="3"/>
      <c r="QSH141" s="3"/>
      <c r="QSI141" s="3"/>
      <c r="QSJ141" s="3"/>
      <c r="QSK141" s="3"/>
      <c r="QSL141" s="3"/>
      <c r="QSM141" s="3"/>
      <c r="QSN141" s="3"/>
      <c r="QSO141" s="3"/>
      <c r="QSP141" s="3"/>
      <c r="QSQ141" s="3"/>
      <c r="QSR141" s="3"/>
      <c r="QSS141" s="3"/>
      <c r="QST141" s="3"/>
      <c r="QSU141" s="3"/>
      <c r="QSV141" s="3"/>
      <c r="QSW141" s="3"/>
      <c r="QSX141" s="3"/>
      <c r="QSY141" s="3"/>
      <c r="QSZ141" s="3"/>
      <c r="QTA141" s="3"/>
      <c r="QTB141" s="3"/>
      <c r="QTC141" s="3"/>
      <c r="QTD141" s="3"/>
      <c r="QTE141" s="3"/>
      <c r="QTF141" s="3"/>
      <c r="QTG141" s="3"/>
      <c r="QTH141" s="3"/>
      <c r="QTI141" s="3"/>
      <c r="QTJ141" s="3"/>
      <c r="QTK141" s="3"/>
      <c r="QTL141" s="3"/>
      <c r="QTM141" s="3"/>
      <c r="QTN141" s="3"/>
      <c r="QTO141" s="3"/>
      <c r="QTP141" s="3"/>
      <c r="QTQ141" s="3"/>
      <c r="QTR141" s="3"/>
      <c r="QTS141" s="3"/>
      <c r="QTT141" s="3"/>
      <c r="QTU141" s="3"/>
      <c r="QTV141" s="3"/>
      <c r="QTW141" s="3"/>
      <c r="QTX141" s="3"/>
      <c r="QTY141" s="3"/>
      <c r="QTZ141" s="3"/>
      <c r="QUA141" s="3"/>
      <c r="QUB141" s="3"/>
      <c r="QUC141" s="3"/>
      <c r="QUD141" s="3"/>
      <c r="QUE141" s="3"/>
      <c r="QUF141" s="3"/>
      <c r="QUG141" s="3"/>
      <c r="QUH141" s="3"/>
      <c r="QUI141" s="3"/>
      <c r="QUJ141" s="3"/>
      <c r="QUK141" s="3"/>
      <c r="QUL141" s="3"/>
      <c r="QUM141" s="3"/>
      <c r="QUN141" s="3"/>
      <c r="QUO141" s="3"/>
      <c r="QUP141" s="3"/>
      <c r="QUQ141" s="3"/>
      <c r="QUR141" s="3"/>
      <c r="QUS141" s="3"/>
      <c r="QUT141" s="3"/>
      <c r="QUU141" s="3"/>
      <c r="QUV141" s="3"/>
      <c r="QUW141" s="3"/>
      <c r="QUX141" s="3"/>
      <c r="QUY141" s="3"/>
      <c r="QUZ141" s="3"/>
      <c r="QVA141" s="3"/>
      <c r="QVB141" s="3"/>
      <c r="QVC141" s="3"/>
      <c r="QVD141" s="3"/>
      <c r="QVE141" s="3"/>
      <c r="QVF141" s="3"/>
      <c r="QVG141" s="3"/>
      <c r="QVH141" s="3"/>
      <c r="QVI141" s="3"/>
      <c r="QVJ141" s="3"/>
      <c r="QVK141" s="3"/>
      <c r="QVL141" s="3"/>
      <c r="QVM141" s="3"/>
      <c r="QVN141" s="3"/>
      <c r="QVO141" s="3"/>
      <c r="QVP141" s="3"/>
      <c r="QVQ141" s="3"/>
      <c r="QVR141" s="3"/>
      <c r="QVS141" s="3"/>
      <c r="QVT141" s="3"/>
      <c r="QVU141" s="3"/>
      <c r="QVV141" s="3"/>
      <c r="QVW141" s="3"/>
      <c r="QVX141" s="3"/>
      <c r="QVY141" s="3"/>
      <c r="QVZ141" s="3"/>
      <c r="QWA141" s="3"/>
      <c r="QWB141" s="3"/>
      <c r="QWC141" s="3"/>
      <c r="QWD141" s="3"/>
      <c r="QWE141" s="3"/>
      <c r="QWF141" s="3"/>
      <c r="QWG141" s="3"/>
      <c r="QWH141" s="3"/>
      <c r="QWI141" s="3"/>
      <c r="QWJ141" s="3"/>
      <c r="QWK141" s="3"/>
      <c r="QWL141" s="3"/>
      <c r="QWM141" s="3"/>
      <c r="QWN141" s="3"/>
      <c r="QWO141" s="3"/>
      <c r="QWP141" s="3"/>
      <c r="QWQ141" s="3"/>
      <c r="QWR141" s="3"/>
      <c r="QWS141" s="3"/>
      <c r="QWT141" s="3"/>
      <c r="QWU141" s="3"/>
      <c r="QWV141" s="3"/>
      <c r="QWW141" s="3"/>
      <c r="QWX141" s="3"/>
      <c r="QWY141" s="3"/>
      <c r="QWZ141" s="3"/>
      <c r="QXA141" s="3"/>
      <c r="QXB141" s="3"/>
      <c r="QXC141" s="3"/>
      <c r="QXD141" s="3"/>
      <c r="QXE141" s="3"/>
      <c r="QXF141" s="3"/>
      <c r="QXG141" s="3"/>
      <c r="QXH141" s="3"/>
      <c r="QXI141" s="3"/>
      <c r="QXJ141" s="3"/>
      <c r="QXK141" s="3"/>
      <c r="QXL141" s="3"/>
      <c r="QXM141" s="3"/>
      <c r="QXN141" s="3"/>
      <c r="QXO141" s="3"/>
      <c r="QXP141" s="3"/>
      <c r="QXQ141" s="3"/>
      <c r="QXR141" s="3"/>
      <c r="QXS141" s="3"/>
      <c r="QXT141" s="3"/>
      <c r="QXU141" s="3"/>
      <c r="QXV141" s="3"/>
      <c r="QXW141" s="3"/>
      <c r="QXX141" s="3"/>
      <c r="QXY141" s="3"/>
      <c r="QXZ141" s="3"/>
      <c r="QYA141" s="3"/>
      <c r="QYB141" s="3"/>
      <c r="QYC141" s="3"/>
      <c r="QYD141" s="3"/>
      <c r="QYE141" s="3"/>
      <c r="QYF141" s="3"/>
      <c r="QYG141" s="3"/>
      <c r="QYH141" s="3"/>
      <c r="QYI141" s="3"/>
      <c r="QYJ141" s="3"/>
      <c r="QYK141" s="3"/>
      <c r="QYL141" s="3"/>
      <c r="QYM141" s="3"/>
      <c r="QYN141" s="3"/>
      <c r="QYO141" s="3"/>
      <c r="QYP141" s="3"/>
      <c r="QYQ141" s="3"/>
      <c r="QYR141" s="3"/>
      <c r="QYS141" s="3"/>
      <c r="QYT141" s="3"/>
      <c r="QYU141" s="3"/>
      <c r="QYV141" s="3"/>
      <c r="QYW141" s="3"/>
      <c r="QYX141" s="3"/>
      <c r="QYY141" s="3"/>
      <c r="QYZ141" s="3"/>
      <c r="QZA141" s="3"/>
      <c r="QZB141" s="3"/>
      <c r="QZC141" s="3"/>
      <c r="QZD141" s="3"/>
      <c r="QZE141" s="3"/>
      <c r="QZF141" s="3"/>
      <c r="QZG141" s="3"/>
      <c r="QZH141" s="3"/>
      <c r="QZI141" s="3"/>
      <c r="QZJ141" s="3"/>
      <c r="QZK141" s="3"/>
      <c r="QZL141" s="3"/>
      <c r="QZM141" s="3"/>
      <c r="QZN141" s="3"/>
      <c r="QZO141" s="3"/>
      <c r="QZP141" s="3"/>
      <c r="QZQ141" s="3"/>
      <c r="QZR141" s="3"/>
      <c r="QZS141" s="3"/>
      <c r="QZT141" s="3"/>
      <c r="QZU141" s="3"/>
      <c r="QZV141" s="3"/>
      <c r="QZW141" s="3"/>
      <c r="QZX141" s="3"/>
      <c r="QZY141" s="3"/>
      <c r="QZZ141" s="3"/>
      <c r="RAA141" s="3"/>
      <c r="RAB141" s="3"/>
      <c r="RAC141" s="3"/>
      <c r="RAD141" s="3"/>
      <c r="RAE141" s="3"/>
      <c r="RAF141" s="3"/>
      <c r="RAG141" s="3"/>
      <c r="RAH141" s="3"/>
      <c r="RAI141" s="3"/>
      <c r="RAJ141" s="3"/>
      <c r="RAK141" s="3"/>
      <c r="RAL141" s="3"/>
      <c r="RAM141" s="3"/>
      <c r="RAN141" s="3"/>
      <c r="RAO141" s="3"/>
      <c r="RAP141" s="3"/>
      <c r="RAQ141" s="3"/>
      <c r="RAR141" s="3"/>
      <c r="RAS141" s="3"/>
      <c r="RAT141" s="3"/>
      <c r="RAU141" s="3"/>
      <c r="RAV141" s="3"/>
      <c r="RAW141" s="3"/>
      <c r="RAX141" s="3"/>
      <c r="RAY141" s="3"/>
      <c r="RAZ141" s="3"/>
      <c r="RBA141" s="3"/>
      <c r="RBB141" s="3"/>
      <c r="RBC141" s="3"/>
      <c r="RBD141" s="3"/>
      <c r="RBE141" s="3"/>
      <c r="RBF141" s="3"/>
      <c r="RBG141" s="3"/>
      <c r="RBH141" s="3"/>
      <c r="RBI141" s="3"/>
      <c r="RBJ141" s="3"/>
      <c r="RBK141" s="3"/>
      <c r="RBL141" s="3"/>
      <c r="RBM141" s="3"/>
      <c r="RBN141" s="3"/>
      <c r="RBO141" s="3"/>
      <c r="RBP141" s="3"/>
      <c r="RBQ141" s="3"/>
      <c r="RBR141" s="3"/>
      <c r="RBS141" s="3"/>
      <c r="RBT141" s="3"/>
      <c r="RBU141" s="3"/>
      <c r="RBV141" s="3"/>
      <c r="RBW141" s="3"/>
      <c r="RBX141" s="3"/>
      <c r="RBY141" s="3"/>
      <c r="RBZ141" s="3"/>
      <c r="RCA141" s="3"/>
      <c r="RCB141" s="3"/>
      <c r="RCC141" s="3"/>
      <c r="RCD141" s="3"/>
      <c r="RCE141" s="3"/>
      <c r="RCF141" s="3"/>
      <c r="RCG141" s="3"/>
      <c r="RCH141" s="3"/>
      <c r="RCI141" s="3"/>
      <c r="RCJ141" s="3"/>
      <c r="RCK141" s="3"/>
      <c r="RCL141" s="3"/>
      <c r="RCM141" s="3"/>
      <c r="RCN141" s="3"/>
      <c r="RCO141" s="3"/>
      <c r="RCP141" s="3"/>
      <c r="RCQ141" s="3"/>
      <c r="RCR141" s="3"/>
      <c r="RCS141" s="3"/>
      <c r="RCT141" s="3"/>
      <c r="RCU141" s="3"/>
      <c r="RCV141" s="3"/>
      <c r="RCW141" s="3"/>
      <c r="RCX141" s="3"/>
      <c r="RCY141" s="3"/>
      <c r="RCZ141" s="3"/>
      <c r="RDA141" s="3"/>
      <c r="RDB141" s="3"/>
      <c r="RDC141" s="3"/>
      <c r="RDD141" s="3"/>
      <c r="RDE141" s="3"/>
      <c r="RDF141" s="3"/>
      <c r="RDG141" s="3"/>
      <c r="RDH141" s="3"/>
      <c r="RDI141" s="3"/>
      <c r="RDJ141" s="3"/>
      <c r="RDK141" s="3"/>
      <c r="RDL141" s="3"/>
      <c r="RDM141" s="3"/>
      <c r="RDN141" s="3"/>
      <c r="RDO141" s="3"/>
      <c r="RDP141" s="3"/>
      <c r="RDQ141" s="3"/>
      <c r="RDR141" s="3"/>
      <c r="RDS141" s="3"/>
      <c r="RDT141" s="3"/>
      <c r="RDU141" s="3"/>
      <c r="RDV141" s="3"/>
      <c r="RDW141" s="3"/>
      <c r="RDX141" s="3"/>
      <c r="RDY141" s="3"/>
      <c r="RDZ141" s="3"/>
      <c r="REA141" s="3"/>
      <c r="REB141" s="3"/>
      <c r="REC141" s="3"/>
      <c r="RED141" s="3"/>
      <c r="REE141" s="3"/>
      <c r="REF141" s="3"/>
      <c r="REG141" s="3"/>
      <c r="REH141" s="3"/>
      <c r="REI141" s="3"/>
      <c r="REJ141" s="3"/>
      <c r="REK141" s="3"/>
      <c r="REL141" s="3"/>
      <c r="REM141" s="3"/>
      <c r="REN141" s="3"/>
      <c r="REO141" s="3"/>
      <c r="REP141" s="3"/>
      <c r="REQ141" s="3"/>
      <c r="RER141" s="3"/>
      <c r="RES141" s="3"/>
      <c r="RET141" s="3"/>
      <c r="REU141" s="3"/>
      <c r="REV141" s="3"/>
      <c r="REW141" s="3"/>
      <c r="REX141" s="3"/>
      <c r="REY141" s="3"/>
      <c r="REZ141" s="3"/>
      <c r="RFA141" s="3"/>
      <c r="RFB141" s="3"/>
      <c r="RFC141" s="3"/>
      <c r="RFD141" s="3"/>
      <c r="RFE141" s="3"/>
      <c r="RFF141" s="3"/>
      <c r="RFG141" s="3"/>
      <c r="RFH141" s="3"/>
      <c r="RFI141" s="3"/>
      <c r="RFJ141" s="3"/>
      <c r="RFK141" s="3"/>
      <c r="RFL141" s="3"/>
      <c r="RFM141" s="3"/>
      <c r="RFN141" s="3"/>
      <c r="RFO141" s="3"/>
      <c r="RFP141" s="3"/>
      <c r="RFQ141" s="3"/>
      <c r="RFR141" s="3"/>
      <c r="RFS141" s="3"/>
      <c r="RFT141" s="3"/>
      <c r="RFU141" s="3"/>
      <c r="RFV141" s="3"/>
      <c r="RFW141" s="3"/>
      <c r="RFX141" s="3"/>
      <c r="RFY141" s="3"/>
      <c r="RFZ141" s="3"/>
      <c r="RGA141" s="3"/>
      <c r="RGB141" s="3"/>
      <c r="RGC141" s="3"/>
      <c r="RGD141" s="3"/>
      <c r="RGE141" s="3"/>
      <c r="RGF141" s="3"/>
      <c r="RGG141" s="3"/>
      <c r="RGH141" s="3"/>
      <c r="RGI141" s="3"/>
      <c r="RGJ141" s="3"/>
      <c r="RGK141" s="3"/>
      <c r="RGL141" s="3"/>
      <c r="RGM141" s="3"/>
      <c r="RGN141" s="3"/>
      <c r="RGO141" s="3"/>
      <c r="RGP141" s="3"/>
      <c r="RGQ141" s="3"/>
      <c r="RGR141" s="3"/>
      <c r="RGS141" s="3"/>
      <c r="RGT141" s="3"/>
      <c r="RGU141" s="3"/>
      <c r="RGV141" s="3"/>
      <c r="RGW141" s="3"/>
      <c r="RGX141" s="3"/>
      <c r="RGY141" s="3"/>
      <c r="RGZ141" s="3"/>
      <c r="RHA141" s="3"/>
      <c r="RHB141" s="3"/>
      <c r="RHC141" s="3"/>
      <c r="RHD141" s="3"/>
      <c r="RHE141" s="3"/>
      <c r="RHF141" s="3"/>
      <c r="RHG141" s="3"/>
      <c r="RHH141" s="3"/>
      <c r="RHI141" s="3"/>
      <c r="RHJ141" s="3"/>
      <c r="RHK141" s="3"/>
      <c r="RHL141" s="3"/>
      <c r="RHM141" s="3"/>
      <c r="RHN141" s="3"/>
      <c r="RHO141" s="3"/>
      <c r="RHP141" s="3"/>
      <c r="RHQ141" s="3"/>
      <c r="RHR141" s="3"/>
      <c r="RHS141" s="3"/>
      <c r="RHT141" s="3"/>
      <c r="RHU141" s="3"/>
      <c r="RHV141" s="3"/>
      <c r="RHW141" s="3"/>
      <c r="RHX141" s="3"/>
      <c r="RHY141" s="3"/>
      <c r="RHZ141" s="3"/>
      <c r="RIA141" s="3"/>
      <c r="RIB141" s="3"/>
      <c r="RIC141" s="3"/>
      <c r="RID141" s="3"/>
      <c r="RIE141" s="3"/>
      <c r="RIF141" s="3"/>
      <c r="RIG141" s="3"/>
      <c r="RIH141" s="3"/>
      <c r="RII141" s="3"/>
      <c r="RIJ141" s="3"/>
      <c r="RIK141" s="3"/>
      <c r="RIL141" s="3"/>
      <c r="RIM141" s="3"/>
      <c r="RIN141" s="3"/>
      <c r="RIO141" s="3"/>
      <c r="RIP141" s="3"/>
      <c r="RIQ141" s="3"/>
      <c r="RIR141" s="3"/>
      <c r="RIS141" s="3"/>
      <c r="RIT141" s="3"/>
      <c r="RIU141" s="3"/>
      <c r="RIV141" s="3"/>
      <c r="RIW141" s="3"/>
      <c r="RIX141" s="3"/>
      <c r="RIY141" s="3"/>
      <c r="RIZ141" s="3"/>
      <c r="RJA141" s="3"/>
      <c r="RJB141" s="3"/>
      <c r="RJC141" s="3"/>
      <c r="RJD141" s="3"/>
      <c r="RJE141" s="3"/>
      <c r="RJF141" s="3"/>
      <c r="RJG141" s="3"/>
      <c r="RJH141" s="3"/>
      <c r="RJI141" s="3"/>
      <c r="RJJ141" s="3"/>
      <c r="RJK141" s="3"/>
      <c r="RJL141" s="3"/>
      <c r="RJM141" s="3"/>
      <c r="RJN141" s="3"/>
      <c r="RJO141" s="3"/>
      <c r="RJP141" s="3"/>
      <c r="RJQ141" s="3"/>
      <c r="RJR141" s="3"/>
      <c r="RJS141" s="3"/>
      <c r="RJT141" s="3"/>
      <c r="RJU141" s="3"/>
      <c r="RJV141" s="3"/>
      <c r="RJW141" s="3"/>
      <c r="RJX141" s="3"/>
      <c r="RJY141" s="3"/>
      <c r="RJZ141" s="3"/>
      <c r="RKA141" s="3"/>
      <c r="RKB141" s="3"/>
      <c r="RKC141" s="3"/>
      <c r="RKD141" s="3"/>
      <c r="RKE141" s="3"/>
      <c r="RKF141" s="3"/>
      <c r="RKG141" s="3"/>
      <c r="RKH141" s="3"/>
      <c r="RKI141" s="3"/>
      <c r="RKJ141" s="3"/>
      <c r="RKK141" s="3"/>
      <c r="RKL141" s="3"/>
      <c r="RKM141" s="3"/>
      <c r="RKN141" s="3"/>
      <c r="RKO141" s="3"/>
      <c r="RKP141" s="3"/>
      <c r="RKQ141" s="3"/>
      <c r="RKR141" s="3"/>
      <c r="RKS141" s="3"/>
      <c r="RKT141" s="3"/>
      <c r="RKU141" s="3"/>
      <c r="RKV141" s="3"/>
      <c r="RKW141" s="3"/>
      <c r="RKX141" s="3"/>
      <c r="RKY141" s="3"/>
      <c r="RKZ141" s="3"/>
      <c r="RLA141" s="3"/>
      <c r="RLB141" s="3"/>
      <c r="RLC141" s="3"/>
      <c r="RLD141" s="3"/>
      <c r="RLE141" s="3"/>
      <c r="RLF141" s="3"/>
      <c r="RLG141" s="3"/>
      <c r="RLH141" s="3"/>
      <c r="RLI141" s="3"/>
      <c r="RLJ141" s="3"/>
      <c r="RLK141" s="3"/>
      <c r="RLL141" s="3"/>
      <c r="RLM141" s="3"/>
      <c r="RLN141" s="3"/>
      <c r="RLO141" s="3"/>
      <c r="RLP141" s="3"/>
      <c r="RLQ141" s="3"/>
      <c r="RLR141" s="3"/>
      <c r="RLS141" s="3"/>
      <c r="RLT141" s="3"/>
      <c r="RLU141" s="3"/>
      <c r="RLV141" s="3"/>
      <c r="RLW141" s="3"/>
      <c r="RLX141" s="3"/>
      <c r="RLY141" s="3"/>
      <c r="RLZ141" s="3"/>
      <c r="RMA141" s="3"/>
      <c r="RMB141" s="3"/>
      <c r="RMC141" s="3"/>
      <c r="RMD141" s="3"/>
      <c r="RME141" s="3"/>
      <c r="RMF141" s="3"/>
      <c r="RMG141" s="3"/>
      <c r="RMH141" s="3"/>
      <c r="RMI141" s="3"/>
      <c r="RMJ141" s="3"/>
      <c r="RMK141" s="3"/>
      <c r="RML141" s="3"/>
      <c r="RMM141" s="3"/>
      <c r="RMN141" s="3"/>
      <c r="RMO141" s="3"/>
      <c r="RMP141" s="3"/>
      <c r="RMQ141" s="3"/>
      <c r="RMR141" s="3"/>
      <c r="RMS141" s="3"/>
      <c r="RMT141" s="3"/>
      <c r="RMU141" s="3"/>
      <c r="RMV141" s="3"/>
      <c r="RMW141" s="3"/>
      <c r="RMX141" s="3"/>
      <c r="RMY141" s="3"/>
      <c r="RMZ141" s="3"/>
      <c r="RNA141" s="3"/>
      <c r="RNB141" s="3"/>
      <c r="RNC141" s="3"/>
      <c r="RND141" s="3"/>
      <c r="RNE141" s="3"/>
      <c r="RNF141" s="3"/>
      <c r="RNG141" s="3"/>
      <c r="RNH141" s="3"/>
      <c r="RNI141" s="3"/>
      <c r="RNJ141" s="3"/>
      <c r="RNK141" s="3"/>
      <c r="RNL141" s="3"/>
      <c r="RNM141" s="3"/>
      <c r="RNN141" s="3"/>
      <c r="RNO141" s="3"/>
      <c r="RNP141" s="3"/>
      <c r="RNQ141" s="3"/>
      <c r="RNR141" s="3"/>
      <c r="RNS141" s="3"/>
      <c r="RNT141" s="3"/>
      <c r="RNU141" s="3"/>
      <c r="RNV141" s="3"/>
      <c r="RNW141" s="3"/>
      <c r="RNX141" s="3"/>
      <c r="RNY141" s="3"/>
      <c r="RNZ141" s="3"/>
      <c r="ROA141" s="3"/>
      <c r="ROB141" s="3"/>
      <c r="ROC141" s="3"/>
      <c r="ROD141" s="3"/>
      <c r="ROE141" s="3"/>
      <c r="ROF141" s="3"/>
      <c r="ROG141" s="3"/>
      <c r="ROH141" s="3"/>
      <c r="ROI141" s="3"/>
      <c r="ROJ141" s="3"/>
      <c r="ROK141" s="3"/>
      <c r="ROL141" s="3"/>
      <c r="ROM141" s="3"/>
      <c r="RON141" s="3"/>
      <c r="ROO141" s="3"/>
      <c r="ROP141" s="3"/>
      <c r="ROQ141" s="3"/>
      <c r="ROR141" s="3"/>
      <c r="ROS141" s="3"/>
      <c r="ROT141" s="3"/>
      <c r="ROU141" s="3"/>
      <c r="ROV141" s="3"/>
      <c r="ROW141" s="3"/>
      <c r="ROX141" s="3"/>
      <c r="ROY141" s="3"/>
      <c r="ROZ141" s="3"/>
      <c r="RPA141" s="3"/>
      <c r="RPB141" s="3"/>
      <c r="RPC141" s="3"/>
      <c r="RPD141" s="3"/>
      <c r="RPE141" s="3"/>
      <c r="RPF141" s="3"/>
      <c r="RPG141" s="3"/>
      <c r="RPH141" s="3"/>
      <c r="RPI141" s="3"/>
      <c r="RPJ141" s="3"/>
      <c r="RPK141" s="3"/>
      <c r="RPL141" s="3"/>
      <c r="RPM141" s="3"/>
      <c r="RPN141" s="3"/>
      <c r="RPO141" s="3"/>
      <c r="RPP141" s="3"/>
      <c r="RPQ141" s="3"/>
      <c r="RPR141" s="3"/>
      <c r="RPS141" s="3"/>
      <c r="RPT141" s="3"/>
      <c r="RPU141" s="3"/>
      <c r="RPV141" s="3"/>
      <c r="RPW141" s="3"/>
      <c r="RPX141" s="3"/>
      <c r="RPY141" s="3"/>
      <c r="RPZ141" s="3"/>
      <c r="RQA141" s="3"/>
      <c r="RQB141" s="3"/>
      <c r="RQC141" s="3"/>
      <c r="RQD141" s="3"/>
      <c r="RQE141" s="3"/>
      <c r="RQF141" s="3"/>
      <c r="RQG141" s="3"/>
      <c r="RQH141" s="3"/>
      <c r="RQI141" s="3"/>
      <c r="RQJ141" s="3"/>
      <c r="RQK141" s="3"/>
      <c r="RQL141" s="3"/>
      <c r="RQM141" s="3"/>
      <c r="RQN141" s="3"/>
      <c r="RQO141" s="3"/>
      <c r="RQP141" s="3"/>
      <c r="RQQ141" s="3"/>
      <c r="RQR141" s="3"/>
      <c r="RQS141" s="3"/>
      <c r="RQT141" s="3"/>
      <c r="RQU141" s="3"/>
      <c r="RQV141" s="3"/>
      <c r="RQW141" s="3"/>
      <c r="RQX141" s="3"/>
      <c r="RQY141" s="3"/>
      <c r="RQZ141" s="3"/>
      <c r="RRA141" s="3"/>
      <c r="RRB141" s="3"/>
      <c r="RRC141" s="3"/>
      <c r="RRD141" s="3"/>
      <c r="RRE141" s="3"/>
      <c r="RRF141" s="3"/>
      <c r="RRG141" s="3"/>
      <c r="RRH141" s="3"/>
      <c r="RRI141" s="3"/>
      <c r="RRJ141" s="3"/>
      <c r="RRK141" s="3"/>
      <c r="RRL141" s="3"/>
      <c r="RRM141" s="3"/>
      <c r="RRN141" s="3"/>
      <c r="RRO141" s="3"/>
      <c r="RRP141" s="3"/>
      <c r="RRQ141" s="3"/>
      <c r="RRR141" s="3"/>
      <c r="RRS141" s="3"/>
      <c r="RRT141" s="3"/>
      <c r="RRU141" s="3"/>
      <c r="RRV141" s="3"/>
      <c r="RRW141" s="3"/>
      <c r="RRX141" s="3"/>
      <c r="RRY141" s="3"/>
      <c r="RRZ141" s="3"/>
      <c r="RSA141" s="3"/>
      <c r="RSB141" s="3"/>
      <c r="RSC141" s="3"/>
      <c r="RSD141" s="3"/>
      <c r="RSE141" s="3"/>
      <c r="RSF141" s="3"/>
      <c r="RSG141" s="3"/>
      <c r="RSH141" s="3"/>
      <c r="RSI141" s="3"/>
      <c r="RSJ141" s="3"/>
      <c r="RSK141" s="3"/>
      <c r="RSL141" s="3"/>
      <c r="RSM141" s="3"/>
      <c r="RSN141" s="3"/>
      <c r="RSO141" s="3"/>
      <c r="RSP141" s="3"/>
      <c r="RSQ141" s="3"/>
      <c r="RSR141" s="3"/>
      <c r="RSS141" s="3"/>
      <c r="RST141" s="3"/>
      <c r="RSU141" s="3"/>
      <c r="RSV141" s="3"/>
      <c r="RSW141" s="3"/>
      <c r="RSX141" s="3"/>
      <c r="RSY141" s="3"/>
      <c r="RSZ141" s="3"/>
      <c r="RTA141" s="3"/>
      <c r="RTB141" s="3"/>
      <c r="RTC141" s="3"/>
      <c r="RTD141" s="3"/>
      <c r="RTE141" s="3"/>
      <c r="RTF141" s="3"/>
      <c r="RTG141" s="3"/>
      <c r="RTH141" s="3"/>
      <c r="RTI141" s="3"/>
      <c r="RTJ141" s="3"/>
      <c r="RTK141" s="3"/>
      <c r="RTL141" s="3"/>
      <c r="RTM141" s="3"/>
      <c r="RTN141" s="3"/>
      <c r="RTO141" s="3"/>
      <c r="RTP141" s="3"/>
      <c r="RTQ141" s="3"/>
      <c r="RTR141" s="3"/>
      <c r="RTS141" s="3"/>
      <c r="RTT141" s="3"/>
      <c r="RTU141" s="3"/>
      <c r="RTV141" s="3"/>
      <c r="RTW141" s="3"/>
      <c r="RTX141" s="3"/>
      <c r="RTY141" s="3"/>
      <c r="RTZ141" s="3"/>
      <c r="RUA141" s="3"/>
      <c r="RUB141" s="3"/>
      <c r="RUC141" s="3"/>
      <c r="RUD141" s="3"/>
      <c r="RUE141" s="3"/>
      <c r="RUF141" s="3"/>
      <c r="RUG141" s="3"/>
      <c r="RUH141" s="3"/>
      <c r="RUI141" s="3"/>
      <c r="RUJ141" s="3"/>
      <c r="RUK141" s="3"/>
      <c r="RUL141" s="3"/>
      <c r="RUM141" s="3"/>
      <c r="RUN141" s="3"/>
      <c r="RUO141" s="3"/>
      <c r="RUP141" s="3"/>
      <c r="RUQ141" s="3"/>
      <c r="RUR141" s="3"/>
      <c r="RUS141" s="3"/>
      <c r="RUT141" s="3"/>
      <c r="RUU141" s="3"/>
      <c r="RUV141" s="3"/>
      <c r="RUW141" s="3"/>
      <c r="RUX141" s="3"/>
      <c r="RUY141" s="3"/>
      <c r="RUZ141" s="3"/>
      <c r="RVA141" s="3"/>
      <c r="RVB141" s="3"/>
      <c r="RVC141" s="3"/>
      <c r="RVD141" s="3"/>
      <c r="RVE141" s="3"/>
      <c r="RVF141" s="3"/>
      <c r="RVG141" s="3"/>
      <c r="RVH141" s="3"/>
      <c r="RVI141" s="3"/>
      <c r="RVJ141" s="3"/>
      <c r="RVK141" s="3"/>
      <c r="RVL141" s="3"/>
      <c r="RVM141" s="3"/>
      <c r="RVN141" s="3"/>
      <c r="RVO141" s="3"/>
      <c r="RVP141" s="3"/>
      <c r="RVQ141" s="3"/>
      <c r="RVR141" s="3"/>
      <c r="RVS141" s="3"/>
      <c r="RVT141" s="3"/>
      <c r="RVU141" s="3"/>
      <c r="RVV141" s="3"/>
      <c r="RVW141" s="3"/>
      <c r="RVX141" s="3"/>
      <c r="RVY141" s="3"/>
      <c r="RVZ141" s="3"/>
      <c r="RWA141" s="3"/>
      <c r="RWB141" s="3"/>
      <c r="RWC141" s="3"/>
      <c r="RWD141" s="3"/>
      <c r="RWE141" s="3"/>
      <c r="RWF141" s="3"/>
      <c r="RWG141" s="3"/>
      <c r="RWH141" s="3"/>
      <c r="RWI141" s="3"/>
      <c r="RWJ141" s="3"/>
      <c r="RWK141" s="3"/>
      <c r="RWL141" s="3"/>
      <c r="RWM141" s="3"/>
      <c r="RWN141" s="3"/>
      <c r="RWO141" s="3"/>
      <c r="RWP141" s="3"/>
      <c r="RWQ141" s="3"/>
      <c r="RWR141" s="3"/>
      <c r="RWS141" s="3"/>
      <c r="RWT141" s="3"/>
      <c r="RWU141" s="3"/>
      <c r="RWV141" s="3"/>
      <c r="RWW141" s="3"/>
      <c r="RWX141" s="3"/>
      <c r="RWY141" s="3"/>
      <c r="RWZ141" s="3"/>
      <c r="RXA141" s="3"/>
      <c r="RXB141" s="3"/>
      <c r="RXC141" s="3"/>
      <c r="RXD141" s="3"/>
      <c r="RXE141" s="3"/>
      <c r="RXF141" s="3"/>
      <c r="RXG141" s="3"/>
      <c r="RXH141" s="3"/>
      <c r="RXI141" s="3"/>
      <c r="RXJ141" s="3"/>
      <c r="RXK141" s="3"/>
      <c r="RXL141" s="3"/>
      <c r="RXM141" s="3"/>
      <c r="RXN141" s="3"/>
      <c r="RXO141" s="3"/>
      <c r="RXP141" s="3"/>
      <c r="RXQ141" s="3"/>
      <c r="RXR141" s="3"/>
      <c r="RXS141" s="3"/>
      <c r="RXT141" s="3"/>
      <c r="RXU141" s="3"/>
      <c r="RXV141" s="3"/>
      <c r="RXW141" s="3"/>
      <c r="RXX141" s="3"/>
      <c r="RXY141" s="3"/>
      <c r="RXZ141" s="3"/>
      <c r="RYA141" s="3"/>
      <c r="RYB141" s="3"/>
      <c r="RYC141" s="3"/>
      <c r="RYD141" s="3"/>
      <c r="RYE141" s="3"/>
      <c r="RYF141" s="3"/>
      <c r="RYG141" s="3"/>
      <c r="RYH141" s="3"/>
      <c r="RYI141" s="3"/>
      <c r="RYJ141" s="3"/>
      <c r="RYK141" s="3"/>
      <c r="RYL141" s="3"/>
      <c r="RYM141" s="3"/>
      <c r="RYN141" s="3"/>
      <c r="RYO141" s="3"/>
      <c r="RYP141" s="3"/>
      <c r="RYQ141" s="3"/>
      <c r="RYR141" s="3"/>
      <c r="RYS141" s="3"/>
      <c r="RYT141" s="3"/>
      <c r="RYU141" s="3"/>
      <c r="RYV141" s="3"/>
      <c r="RYW141" s="3"/>
      <c r="RYX141" s="3"/>
      <c r="RYY141" s="3"/>
      <c r="RYZ141" s="3"/>
      <c r="RZA141" s="3"/>
      <c r="RZB141" s="3"/>
      <c r="RZC141" s="3"/>
      <c r="RZD141" s="3"/>
      <c r="RZE141" s="3"/>
      <c r="RZF141" s="3"/>
      <c r="RZG141" s="3"/>
      <c r="RZH141" s="3"/>
      <c r="RZI141" s="3"/>
      <c r="RZJ141" s="3"/>
      <c r="RZK141" s="3"/>
      <c r="RZL141" s="3"/>
      <c r="RZM141" s="3"/>
      <c r="RZN141" s="3"/>
      <c r="RZO141" s="3"/>
      <c r="RZP141" s="3"/>
      <c r="RZQ141" s="3"/>
      <c r="RZR141" s="3"/>
      <c r="RZS141" s="3"/>
      <c r="RZT141" s="3"/>
      <c r="RZU141" s="3"/>
      <c r="RZV141" s="3"/>
      <c r="RZW141" s="3"/>
      <c r="RZX141" s="3"/>
      <c r="RZY141" s="3"/>
      <c r="RZZ141" s="3"/>
      <c r="SAA141" s="3"/>
      <c r="SAB141" s="3"/>
      <c r="SAC141" s="3"/>
      <c r="SAD141" s="3"/>
      <c r="SAE141" s="3"/>
      <c r="SAF141" s="3"/>
      <c r="SAG141" s="3"/>
      <c r="SAH141" s="3"/>
      <c r="SAI141" s="3"/>
      <c r="SAJ141" s="3"/>
      <c r="SAK141" s="3"/>
      <c r="SAL141" s="3"/>
      <c r="SAM141" s="3"/>
      <c r="SAN141" s="3"/>
      <c r="SAO141" s="3"/>
      <c r="SAP141" s="3"/>
      <c r="SAQ141" s="3"/>
      <c r="SAR141" s="3"/>
      <c r="SAS141" s="3"/>
      <c r="SAT141" s="3"/>
      <c r="SAU141" s="3"/>
      <c r="SAV141" s="3"/>
      <c r="SAW141" s="3"/>
      <c r="SAX141" s="3"/>
      <c r="SAY141" s="3"/>
      <c r="SAZ141" s="3"/>
      <c r="SBA141" s="3"/>
      <c r="SBB141" s="3"/>
      <c r="SBC141" s="3"/>
      <c r="SBD141" s="3"/>
      <c r="SBE141" s="3"/>
      <c r="SBF141" s="3"/>
      <c r="SBG141" s="3"/>
      <c r="SBH141" s="3"/>
      <c r="SBI141" s="3"/>
      <c r="SBJ141" s="3"/>
      <c r="SBK141" s="3"/>
      <c r="SBL141" s="3"/>
      <c r="SBM141" s="3"/>
      <c r="SBN141" s="3"/>
      <c r="SBO141" s="3"/>
      <c r="SBP141" s="3"/>
      <c r="SBQ141" s="3"/>
      <c r="SBR141" s="3"/>
      <c r="SBS141" s="3"/>
      <c r="SBT141" s="3"/>
      <c r="SBU141" s="3"/>
      <c r="SBV141" s="3"/>
      <c r="SBW141" s="3"/>
      <c r="SBX141" s="3"/>
      <c r="SBY141" s="3"/>
      <c r="SBZ141" s="3"/>
      <c r="SCA141" s="3"/>
      <c r="SCB141" s="3"/>
      <c r="SCC141" s="3"/>
      <c r="SCD141" s="3"/>
      <c r="SCE141" s="3"/>
      <c r="SCF141" s="3"/>
      <c r="SCG141" s="3"/>
      <c r="SCH141" s="3"/>
      <c r="SCI141" s="3"/>
      <c r="SCJ141" s="3"/>
      <c r="SCK141" s="3"/>
      <c r="SCL141" s="3"/>
      <c r="SCM141" s="3"/>
      <c r="SCN141" s="3"/>
      <c r="SCO141" s="3"/>
      <c r="SCP141" s="3"/>
      <c r="SCQ141" s="3"/>
      <c r="SCR141" s="3"/>
      <c r="SCS141" s="3"/>
      <c r="SCT141" s="3"/>
      <c r="SCU141" s="3"/>
      <c r="SCV141" s="3"/>
      <c r="SCW141" s="3"/>
      <c r="SCX141" s="3"/>
      <c r="SCY141" s="3"/>
      <c r="SCZ141" s="3"/>
      <c r="SDA141" s="3"/>
      <c r="SDB141" s="3"/>
      <c r="SDC141" s="3"/>
      <c r="SDD141" s="3"/>
      <c r="SDE141" s="3"/>
      <c r="SDF141" s="3"/>
      <c r="SDG141" s="3"/>
      <c r="SDH141" s="3"/>
      <c r="SDI141" s="3"/>
      <c r="SDJ141" s="3"/>
      <c r="SDK141" s="3"/>
      <c r="SDL141" s="3"/>
      <c r="SDM141" s="3"/>
      <c r="SDN141" s="3"/>
      <c r="SDO141" s="3"/>
      <c r="SDP141" s="3"/>
      <c r="SDQ141" s="3"/>
      <c r="SDR141" s="3"/>
      <c r="SDS141" s="3"/>
      <c r="SDT141" s="3"/>
      <c r="SDU141" s="3"/>
      <c r="SDV141" s="3"/>
      <c r="SDW141" s="3"/>
      <c r="SDX141" s="3"/>
      <c r="SDY141" s="3"/>
      <c r="SDZ141" s="3"/>
      <c r="SEA141" s="3"/>
      <c r="SEB141" s="3"/>
      <c r="SEC141" s="3"/>
      <c r="SED141" s="3"/>
      <c r="SEE141" s="3"/>
      <c r="SEF141" s="3"/>
      <c r="SEG141" s="3"/>
      <c r="SEH141" s="3"/>
      <c r="SEI141" s="3"/>
      <c r="SEJ141" s="3"/>
      <c r="SEK141" s="3"/>
      <c r="SEL141" s="3"/>
      <c r="SEM141" s="3"/>
      <c r="SEN141" s="3"/>
      <c r="SEO141" s="3"/>
      <c r="SEP141" s="3"/>
      <c r="SEQ141" s="3"/>
      <c r="SER141" s="3"/>
      <c r="SES141" s="3"/>
      <c r="SET141" s="3"/>
      <c r="SEU141" s="3"/>
      <c r="SEV141" s="3"/>
      <c r="SEW141" s="3"/>
      <c r="SEX141" s="3"/>
      <c r="SEY141" s="3"/>
      <c r="SEZ141" s="3"/>
      <c r="SFA141" s="3"/>
      <c r="SFB141" s="3"/>
      <c r="SFC141" s="3"/>
      <c r="SFD141" s="3"/>
      <c r="SFE141" s="3"/>
      <c r="SFF141" s="3"/>
      <c r="SFG141" s="3"/>
      <c r="SFH141" s="3"/>
      <c r="SFI141" s="3"/>
      <c r="SFJ141" s="3"/>
      <c r="SFK141" s="3"/>
      <c r="SFL141" s="3"/>
      <c r="SFM141" s="3"/>
      <c r="SFN141" s="3"/>
      <c r="SFO141" s="3"/>
      <c r="SFP141" s="3"/>
      <c r="SFQ141" s="3"/>
      <c r="SFR141" s="3"/>
      <c r="SFS141" s="3"/>
      <c r="SFT141" s="3"/>
      <c r="SFU141" s="3"/>
      <c r="SFV141" s="3"/>
      <c r="SFW141" s="3"/>
      <c r="SFX141" s="3"/>
      <c r="SFY141" s="3"/>
      <c r="SFZ141" s="3"/>
      <c r="SGA141" s="3"/>
      <c r="SGB141" s="3"/>
      <c r="SGC141" s="3"/>
      <c r="SGD141" s="3"/>
      <c r="SGE141" s="3"/>
      <c r="SGF141" s="3"/>
      <c r="SGG141" s="3"/>
      <c r="SGH141" s="3"/>
      <c r="SGI141" s="3"/>
      <c r="SGJ141" s="3"/>
      <c r="SGK141" s="3"/>
      <c r="SGL141" s="3"/>
      <c r="SGM141" s="3"/>
      <c r="SGN141" s="3"/>
      <c r="SGO141" s="3"/>
      <c r="SGP141" s="3"/>
      <c r="SGQ141" s="3"/>
      <c r="SGR141" s="3"/>
      <c r="SGS141" s="3"/>
      <c r="SGT141" s="3"/>
      <c r="SGU141" s="3"/>
      <c r="SGV141" s="3"/>
      <c r="SGW141" s="3"/>
      <c r="SGX141" s="3"/>
      <c r="SGY141" s="3"/>
      <c r="SGZ141" s="3"/>
      <c r="SHA141" s="3"/>
      <c r="SHB141" s="3"/>
      <c r="SHC141" s="3"/>
      <c r="SHD141" s="3"/>
      <c r="SHE141" s="3"/>
      <c r="SHF141" s="3"/>
      <c r="SHG141" s="3"/>
      <c r="SHH141" s="3"/>
      <c r="SHI141" s="3"/>
      <c r="SHJ141" s="3"/>
      <c r="SHK141" s="3"/>
      <c r="SHL141" s="3"/>
      <c r="SHM141" s="3"/>
      <c r="SHN141" s="3"/>
      <c r="SHO141" s="3"/>
      <c r="SHP141" s="3"/>
      <c r="SHQ141" s="3"/>
      <c r="SHR141" s="3"/>
      <c r="SHS141" s="3"/>
      <c r="SHT141" s="3"/>
      <c r="SHU141" s="3"/>
      <c r="SHV141" s="3"/>
      <c r="SHW141" s="3"/>
      <c r="SHX141" s="3"/>
      <c r="SHY141" s="3"/>
      <c r="SHZ141" s="3"/>
      <c r="SIA141" s="3"/>
      <c r="SIB141" s="3"/>
      <c r="SIC141" s="3"/>
      <c r="SID141" s="3"/>
      <c r="SIE141" s="3"/>
      <c r="SIF141" s="3"/>
      <c r="SIG141" s="3"/>
      <c r="SIH141" s="3"/>
      <c r="SII141" s="3"/>
      <c r="SIJ141" s="3"/>
      <c r="SIK141" s="3"/>
      <c r="SIL141" s="3"/>
      <c r="SIM141" s="3"/>
      <c r="SIN141" s="3"/>
      <c r="SIO141" s="3"/>
      <c r="SIP141" s="3"/>
      <c r="SIQ141" s="3"/>
      <c r="SIR141" s="3"/>
      <c r="SIS141" s="3"/>
      <c r="SIT141" s="3"/>
      <c r="SIU141" s="3"/>
      <c r="SIV141" s="3"/>
      <c r="SIW141" s="3"/>
      <c r="SIX141" s="3"/>
      <c r="SIY141" s="3"/>
      <c r="SIZ141" s="3"/>
      <c r="SJA141" s="3"/>
      <c r="SJB141" s="3"/>
      <c r="SJC141" s="3"/>
      <c r="SJD141" s="3"/>
      <c r="SJE141" s="3"/>
      <c r="SJF141" s="3"/>
      <c r="SJG141" s="3"/>
      <c r="SJH141" s="3"/>
      <c r="SJI141" s="3"/>
      <c r="SJJ141" s="3"/>
      <c r="SJK141" s="3"/>
      <c r="SJL141" s="3"/>
      <c r="SJM141" s="3"/>
      <c r="SJN141" s="3"/>
      <c r="SJO141" s="3"/>
      <c r="SJP141" s="3"/>
      <c r="SJQ141" s="3"/>
      <c r="SJR141" s="3"/>
      <c r="SJS141" s="3"/>
      <c r="SJT141" s="3"/>
      <c r="SJU141" s="3"/>
      <c r="SJV141" s="3"/>
      <c r="SJW141" s="3"/>
      <c r="SJX141" s="3"/>
      <c r="SJY141" s="3"/>
      <c r="SJZ141" s="3"/>
      <c r="SKA141" s="3"/>
      <c r="SKB141" s="3"/>
      <c r="SKC141" s="3"/>
      <c r="SKD141" s="3"/>
      <c r="SKE141" s="3"/>
      <c r="SKF141" s="3"/>
      <c r="SKG141" s="3"/>
      <c r="SKH141" s="3"/>
      <c r="SKI141" s="3"/>
      <c r="SKJ141" s="3"/>
      <c r="SKK141" s="3"/>
      <c r="SKL141" s="3"/>
      <c r="SKM141" s="3"/>
      <c r="SKN141" s="3"/>
      <c r="SKO141" s="3"/>
      <c r="SKP141" s="3"/>
      <c r="SKQ141" s="3"/>
      <c r="SKR141" s="3"/>
      <c r="SKS141" s="3"/>
      <c r="SKT141" s="3"/>
      <c r="SKU141" s="3"/>
      <c r="SKV141" s="3"/>
      <c r="SKW141" s="3"/>
      <c r="SKX141" s="3"/>
      <c r="SKY141" s="3"/>
      <c r="SKZ141" s="3"/>
      <c r="SLA141" s="3"/>
      <c r="SLB141" s="3"/>
      <c r="SLC141" s="3"/>
      <c r="SLD141" s="3"/>
      <c r="SLE141" s="3"/>
      <c r="SLF141" s="3"/>
      <c r="SLG141" s="3"/>
      <c r="SLH141" s="3"/>
      <c r="SLI141" s="3"/>
      <c r="SLJ141" s="3"/>
      <c r="SLK141" s="3"/>
      <c r="SLL141" s="3"/>
      <c r="SLM141" s="3"/>
      <c r="SLN141" s="3"/>
      <c r="SLO141" s="3"/>
      <c r="SLP141" s="3"/>
      <c r="SLQ141" s="3"/>
      <c r="SLR141" s="3"/>
      <c r="SLS141" s="3"/>
      <c r="SLT141" s="3"/>
      <c r="SLU141" s="3"/>
      <c r="SLV141" s="3"/>
      <c r="SLW141" s="3"/>
      <c r="SLX141" s="3"/>
      <c r="SLY141" s="3"/>
      <c r="SLZ141" s="3"/>
      <c r="SMA141" s="3"/>
      <c r="SMB141" s="3"/>
      <c r="SMC141" s="3"/>
      <c r="SMD141" s="3"/>
      <c r="SME141" s="3"/>
      <c r="SMF141" s="3"/>
      <c r="SMG141" s="3"/>
      <c r="SMH141" s="3"/>
      <c r="SMI141" s="3"/>
      <c r="SMJ141" s="3"/>
      <c r="SMK141" s="3"/>
      <c r="SML141" s="3"/>
      <c r="SMM141" s="3"/>
      <c r="SMN141" s="3"/>
      <c r="SMO141" s="3"/>
      <c r="SMP141" s="3"/>
      <c r="SMQ141" s="3"/>
      <c r="SMR141" s="3"/>
      <c r="SMS141" s="3"/>
      <c r="SMT141" s="3"/>
      <c r="SMU141" s="3"/>
      <c r="SMV141" s="3"/>
      <c r="SMW141" s="3"/>
      <c r="SMX141" s="3"/>
      <c r="SMY141" s="3"/>
      <c r="SMZ141" s="3"/>
      <c r="SNA141" s="3"/>
      <c r="SNB141" s="3"/>
      <c r="SNC141" s="3"/>
      <c r="SND141" s="3"/>
      <c r="SNE141" s="3"/>
      <c r="SNF141" s="3"/>
      <c r="SNG141" s="3"/>
      <c r="SNH141" s="3"/>
      <c r="SNI141" s="3"/>
      <c r="SNJ141" s="3"/>
      <c r="SNK141" s="3"/>
      <c r="SNL141" s="3"/>
      <c r="SNM141" s="3"/>
      <c r="SNN141" s="3"/>
      <c r="SNO141" s="3"/>
      <c r="SNP141" s="3"/>
      <c r="SNQ141" s="3"/>
      <c r="SNR141" s="3"/>
      <c r="SNS141" s="3"/>
      <c r="SNT141" s="3"/>
      <c r="SNU141" s="3"/>
      <c r="SNV141" s="3"/>
      <c r="SNW141" s="3"/>
      <c r="SNX141" s="3"/>
      <c r="SNY141" s="3"/>
      <c r="SNZ141" s="3"/>
      <c r="SOA141" s="3"/>
      <c r="SOB141" s="3"/>
      <c r="SOC141" s="3"/>
      <c r="SOD141" s="3"/>
      <c r="SOE141" s="3"/>
      <c r="SOF141" s="3"/>
      <c r="SOG141" s="3"/>
      <c r="SOH141" s="3"/>
      <c r="SOI141" s="3"/>
      <c r="SOJ141" s="3"/>
      <c r="SOK141" s="3"/>
      <c r="SOL141" s="3"/>
      <c r="SOM141" s="3"/>
      <c r="SON141" s="3"/>
      <c r="SOO141" s="3"/>
      <c r="SOP141" s="3"/>
      <c r="SOQ141" s="3"/>
      <c r="SOR141" s="3"/>
      <c r="SOS141" s="3"/>
      <c r="SOT141" s="3"/>
      <c r="SOU141" s="3"/>
      <c r="SOV141" s="3"/>
      <c r="SOW141" s="3"/>
      <c r="SOX141" s="3"/>
      <c r="SOY141" s="3"/>
      <c r="SOZ141" s="3"/>
      <c r="SPA141" s="3"/>
      <c r="SPB141" s="3"/>
      <c r="SPC141" s="3"/>
      <c r="SPD141" s="3"/>
      <c r="SPE141" s="3"/>
      <c r="SPF141" s="3"/>
      <c r="SPG141" s="3"/>
      <c r="SPH141" s="3"/>
      <c r="SPI141" s="3"/>
      <c r="SPJ141" s="3"/>
      <c r="SPK141" s="3"/>
      <c r="SPL141" s="3"/>
      <c r="SPM141" s="3"/>
      <c r="SPN141" s="3"/>
      <c r="SPO141" s="3"/>
      <c r="SPP141" s="3"/>
      <c r="SPQ141" s="3"/>
      <c r="SPR141" s="3"/>
      <c r="SPS141" s="3"/>
      <c r="SPT141" s="3"/>
      <c r="SPU141" s="3"/>
      <c r="SPV141" s="3"/>
      <c r="SPW141" s="3"/>
      <c r="SPX141" s="3"/>
      <c r="SPY141" s="3"/>
      <c r="SPZ141" s="3"/>
      <c r="SQA141" s="3"/>
      <c r="SQB141" s="3"/>
      <c r="SQC141" s="3"/>
      <c r="SQD141" s="3"/>
      <c r="SQE141" s="3"/>
      <c r="SQF141" s="3"/>
      <c r="SQG141" s="3"/>
      <c r="SQH141" s="3"/>
      <c r="SQI141" s="3"/>
      <c r="SQJ141" s="3"/>
      <c r="SQK141" s="3"/>
      <c r="SQL141" s="3"/>
      <c r="SQM141" s="3"/>
      <c r="SQN141" s="3"/>
      <c r="SQO141" s="3"/>
      <c r="SQP141" s="3"/>
      <c r="SQQ141" s="3"/>
      <c r="SQR141" s="3"/>
      <c r="SQS141" s="3"/>
      <c r="SQT141" s="3"/>
      <c r="SQU141" s="3"/>
      <c r="SQV141" s="3"/>
      <c r="SQW141" s="3"/>
      <c r="SQX141" s="3"/>
      <c r="SQY141" s="3"/>
      <c r="SQZ141" s="3"/>
      <c r="SRA141" s="3"/>
      <c r="SRB141" s="3"/>
      <c r="SRC141" s="3"/>
      <c r="SRD141" s="3"/>
      <c r="SRE141" s="3"/>
      <c r="SRF141" s="3"/>
      <c r="SRG141" s="3"/>
      <c r="SRH141" s="3"/>
      <c r="SRI141" s="3"/>
      <c r="SRJ141" s="3"/>
      <c r="SRK141" s="3"/>
      <c r="SRL141" s="3"/>
      <c r="SRM141" s="3"/>
      <c r="SRN141" s="3"/>
      <c r="SRO141" s="3"/>
      <c r="SRP141" s="3"/>
      <c r="SRQ141" s="3"/>
      <c r="SRR141" s="3"/>
      <c r="SRS141" s="3"/>
      <c r="SRT141" s="3"/>
      <c r="SRU141" s="3"/>
      <c r="SRV141" s="3"/>
      <c r="SRW141" s="3"/>
      <c r="SRX141" s="3"/>
      <c r="SRY141" s="3"/>
      <c r="SRZ141" s="3"/>
      <c r="SSA141" s="3"/>
      <c r="SSB141" s="3"/>
      <c r="SSC141" s="3"/>
      <c r="SSD141" s="3"/>
      <c r="SSE141" s="3"/>
      <c r="SSF141" s="3"/>
      <c r="SSG141" s="3"/>
      <c r="SSH141" s="3"/>
      <c r="SSI141" s="3"/>
      <c r="SSJ141" s="3"/>
      <c r="SSK141" s="3"/>
      <c r="SSL141" s="3"/>
      <c r="SSM141" s="3"/>
      <c r="SSN141" s="3"/>
      <c r="SSO141" s="3"/>
      <c r="SSP141" s="3"/>
      <c r="SSQ141" s="3"/>
      <c r="SSR141" s="3"/>
      <c r="SSS141" s="3"/>
      <c r="SST141" s="3"/>
      <c r="SSU141" s="3"/>
      <c r="SSV141" s="3"/>
      <c r="SSW141" s="3"/>
      <c r="SSX141" s="3"/>
      <c r="SSY141" s="3"/>
      <c r="SSZ141" s="3"/>
      <c r="STA141" s="3"/>
      <c r="STB141" s="3"/>
      <c r="STC141" s="3"/>
      <c r="STD141" s="3"/>
      <c r="STE141" s="3"/>
      <c r="STF141" s="3"/>
      <c r="STG141" s="3"/>
      <c r="STH141" s="3"/>
      <c r="STI141" s="3"/>
      <c r="STJ141" s="3"/>
      <c r="STK141" s="3"/>
      <c r="STL141" s="3"/>
      <c r="STM141" s="3"/>
      <c r="STN141" s="3"/>
      <c r="STO141" s="3"/>
      <c r="STP141" s="3"/>
      <c r="STQ141" s="3"/>
      <c r="STR141" s="3"/>
      <c r="STS141" s="3"/>
      <c r="STT141" s="3"/>
      <c r="STU141" s="3"/>
      <c r="STV141" s="3"/>
      <c r="STW141" s="3"/>
      <c r="STX141" s="3"/>
      <c r="STY141" s="3"/>
      <c r="STZ141" s="3"/>
      <c r="SUA141" s="3"/>
      <c r="SUB141" s="3"/>
      <c r="SUC141" s="3"/>
      <c r="SUD141" s="3"/>
      <c r="SUE141" s="3"/>
      <c r="SUF141" s="3"/>
      <c r="SUG141" s="3"/>
      <c r="SUH141" s="3"/>
      <c r="SUI141" s="3"/>
      <c r="SUJ141" s="3"/>
      <c r="SUK141" s="3"/>
      <c r="SUL141" s="3"/>
      <c r="SUM141" s="3"/>
      <c r="SUN141" s="3"/>
      <c r="SUO141" s="3"/>
      <c r="SUP141" s="3"/>
      <c r="SUQ141" s="3"/>
      <c r="SUR141" s="3"/>
      <c r="SUS141" s="3"/>
      <c r="SUT141" s="3"/>
      <c r="SUU141" s="3"/>
      <c r="SUV141" s="3"/>
      <c r="SUW141" s="3"/>
      <c r="SUX141" s="3"/>
      <c r="SUY141" s="3"/>
      <c r="SUZ141" s="3"/>
      <c r="SVA141" s="3"/>
      <c r="SVB141" s="3"/>
      <c r="SVC141" s="3"/>
      <c r="SVD141" s="3"/>
      <c r="SVE141" s="3"/>
      <c r="SVF141" s="3"/>
      <c r="SVG141" s="3"/>
      <c r="SVH141" s="3"/>
      <c r="SVI141" s="3"/>
      <c r="SVJ141" s="3"/>
      <c r="SVK141" s="3"/>
      <c r="SVL141" s="3"/>
      <c r="SVM141" s="3"/>
      <c r="SVN141" s="3"/>
      <c r="SVO141" s="3"/>
      <c r="SVP141" s="3"/>
      <c r="SVQ141" s="3"/>
      <c r="SVR141" s="3"/>
      <c r="SVS141" s="3"/>
      <c r="SVT141" s="3"/>
      <c r="SVU141" s="3"/>
      <c r="SVV141" s="3"/>
      <c r="SVW141" s="3"/>
      <c r="SVX141" s="3"/>
      <c r="SVY141" s="3"/>
      <c r="SVZ141" s="3"/>
      <c r="SWA141" s="3"/>
      <c r="SWB141" s="3"/>
      <c r="SWC141" s="3"/>
      <c r="SWD141" s="3"/>
      <c r="SWE141" s="3"/>
      <c r="SWF141" s="3"/>
      <c r="SWG141" s="3"/>
      <c r="SWH141" s="3"/>
      <c r="SWI141" s="3"/>
      <c r="SWJ141" s="3"/>
      <c r="SWK141" s="3"/>
      <c r="SWL141" s="3"/>
      <c r="SWM141" s="3"/>
      <c r="SWN141" s="3"/>
      <c r="SWO141" s="3"/>
      <c r="SWP141" s="3"/>
      <c r="SWQ141" s="3"/>
      <c r="SWR141" s="3"/>
      <c r="SWS141" s="3"/>
      <c r="SWT141" s="3"/>
      <c r="SWU141" s="3"/>
      <c r="SWV141" s="3"/>
      <c r="SWW141" s="3"/>
      <c r="SWX141" s="3"/>
      <c r="SWY141" s="3"/>
      <c r="SWZ141" s="3"/>
      <c r="SXA141" s="3"/>
      <c r="SXB141" s="3"/>
      <c r="SXC141" s="3"/>
      <c r="SXD141" s="3"/>
      <c r="SXE141" s="3"/>
      <c r="SXF141" s="3"/>
      <c r="SXG141" s="3"/>
      <c r="SXH141" s="3"/>
      <c r="SXI141" s="3"/>
      <c r="SXJ141" s="3"/>
      <c r="SXK141" s="3"/>
      <c r="SXL141" s="3"/>
      <c r="SXM141" s="3"/>
      <c r="SXN141" s="3"/>
      <c r="SXO141" s="3"/>
      <c r="SXP141" s="3"/>
      <c r="SXQ141" s="3"/>
      <c r="SXR141" s="3"/>
      <c r="SXS141" s="3"/>
      <c r="SXT141" s="3"/>
      <c r="SXU141" s="3"/>
      <c r="SXV141" s="3"/>
      <c r="SXW141" s="3"/>
      <c r="SXX141" s="3"/>
      <c r="SXY141" s="3"/>
      <c r="SXZ141" s="3"/>
      <c r="SYA141" s="3"/>
      <c r="SYB141" s="3"/>
      <c r="SYC141" s="3"/>
      <c r="SYD141" s="3"/>
      <c r="SYE141" s="3"/>
      <c r="SYF141" s="3"/>
      <c r="SYG141" s="3"/>
      <c r="SYH141" s="3"/>
      <c r="SYI141" s="3"/>
      <c r="SYJ141" s="3"/>
      <c r="SYK141" s="3"/>
      <c r="SYL141" s="3"/>
      <c r="SYM141" s="3"/>
      <c r="SYN141" s="3"/>
      <c r="SYO141" s="3"/>
      <c r="SYP141" s="3"/>
      <c r="SYQ141" s="3"/>
      <c r="SYR141" s="3"/>
      <c r="SYS141" s="3"/>
      <c r="SYT141" s="3"/>
      <c r="SYU141" s="3"/>
      <c r="SYV141" s="3"/>
      <c r="SYW141" s="3"/>
      <c r="SYX141" s="3"/>
      <c r="SYY141" s="3"/>
      <c r="SYZ141" s="3"/>
      <c r="SZA141" s="3"/>
      <c r="SZB141" s="3"/>
      <c r="SZC141" s="3"/>
      <c r="SZD141" s="3"/>
      <c r="SZE141" s="3"/>
      <c r="SZF141" s="3"/>
      <c r="SZG141" s="3"/>
      <c r="SZH141" s="3"/>
      <c r="SZI141" s="3"/>
      <c r="SZJ141" s="3"/>
      <c r="SZK141" s="3"/>
      <c r="SZL141" s="3"/>
      <c r="SZM141" s="3"/>
      <c r="SZN141" s="3"/>
      <c r="SZO141" s="3"/>
      <c r="SZP141" s="3"/>
      <c r="SZQ141" s="3"/>
      <c r="SZR141" s="3"/>
      <c r="SZS141" s="3"/>
      <c r="SZT141" s="3"/>
      <c r="SZU141" s="3"/>
      <c r="SZV141" s="3"/>
      <c r="SZW141" s="3"/>
      <c r="SZX141" s="3"/>
      <c r="SZY141" s="3"/>
      <c r="SZZ141" s="3"/>
      <c r="TAA141" s="3"/>
      <c r="TAB141" s="3"/>
      <c r="TAC141" s="3"/>
      <c r="TAD141" s="3"/>
      <c r="TAE141" s="3"/>
      <c r="TAF141" s="3"/>
      <c r="TAG141" s="3"/>
      <c r="TAH141" s="3"/>
      <c r="TAI141" s="3"/>
      <c r="TAJ141" s="3"/>
      <c r="TAK141" s="3"/>
      <c r="TAL141" s="3"/>
      <c r="TAM141" s="3"/>
      <c r="TAN141" s="3"/>
      <c r="TAO141" s="3"/>
      <c r="TAP141" s="3"/>
      <c r="TAQ141" s="3"/>
      <c r="TAR141" s="3"/>
      <c r="TAS141" s="3"/>
      <c r="TAT141" s="3"/>
      <c r="TAU141" s="3"/>
      <c r="TAV141" s="3"/>
      <c r="TAW141" s="3"/>
      <c r="TAX141" s="3"/>
      <c r="TAY141" s="3"/>
      <c r="TAZ141" s="3"/>
      <c r="TBA141" s="3"/>
      <c r="TBB141" s="3"/>
      <c r="TBC141" s="3"/>
      <c r="TBD141" s="3"/>
      <c r="TBE141" s="3"/>
      <c r="TBF141" s="3"/>
      <c r="TBG141" s="3"/>
      <c r="TBH141" s="3"/>
      <c r="TBI141" s="3"/>
      <c r="TBJ141" s="3"/>
      <c r="TBK141" s="3"/>
      <c r="TBL141" s="3"/>
      <c r="TBM141" s="3"/>
      <c r="TBN141" s="3"/>
      <c r="TBO141" s="3"/>
      <c r="TBP141" s="3"/>
      <c r="TBQ141" s="3"/>
      <c r="TBR141" s="3"/>
      <c r="TBS141" s="3"/>
      <c r="TBT141" s="3"/>
      <c r="TBU141" s="3"/>
      <c r="TBV141" s="3"/>
      <c r="TBW141" s="3"/>
      <c r="TBX141" s="3"/>
      <c r="TBY141" s="3"/>
      <c r="TBZ141" s="3"/>
      <c r="TCA141" s="3"/>
      <c r="TCB141" s="3"/>
      <c r="TCC141" s="3"/>
      <c r="TCD141" s="3"/>
      <c r="TCE141" s="3"/>
      <c r="TCF141" s="3"/>
      <c r="TCG141" s="3"/>
      <c r="TCH141" s="3"/>
      <c r="TCI141" s="3"/>
      <c r="TCJ141" s="3"/>
      <c r="TCK141" s="3"/>
      <c r="TCL141" s="3"/>
      <c r="TCM141" s="3"/>
      <c r="TCN141" s="3"/>
      <c r="TCO141" s="3"/>
      <c r="TCP141" s="3"/>
      <c r="TCQ141" s="3"/>
      <c r="TCR141" s="3"/>
      <c r="TCS141" s="3"/>
      <c r="TCT141" s="3"/>
      <c r="TCU141" s="3"/>
      <c r="TCV141" s="3"/>
      <c r="TCW141" s="3"/>
      <c r="TCX141" s="3"/>
      <c r="TCY141" s="3"/>
      <c r="TCZ141" s="3"/>
      <c r="TDA141" s="3"/>
      <c r="TDB141" s="3"/>
      <c r="TDC141" s="3"/>
      <c r="TDD141" s="3"/>
      <c r="TDE141" s="3"/>
      <c r="TDF141" s="3"/>
      <c r="TDG141" s="3"/>
      <c r="TDH141" s="3"/>
      <c r="TDI141" s="3"/>
      <c r="TDJ141" s="3"/>
      <c r="TDK141" s="3"/>
      <c r="TDL141" s="3"/>
      <c r="TDM141" s="3"/>
      <c r="TDN141" s="3"/>
      <c r="TDO141" s="3"/>
      <c r="TDP141" s="3"/>
      <c r="TDQ141" s="3"/>
      <c r="TDR141" s="3"/>
      <c r="TDS141" s="3"/>
      <c r="TDT141" s="3"/>
      <c r="TDU141" s="3"/>
      <c r="TDV141" s="3"/>
      <c r="TDW141" s="3"/>
      <c r="TDX141" s="3"/>
      <c r="TDY141" s="3"/>
      <c r="TDZ141" s="3"/>
      <c r="TEA141" s="3"/>
      <c r="TEB141" s="3"/>
      <c r="TEC141" s="3"/>
      <c r="TED141" s="3"/>
      <c r="TEE141" s="3"/>
      <c r="TEF141" s="3"/>
      <c r="TEG141" s="3"/>
      <c r="TEH141" s="3"/>
      <c r="TEI141" s="3"/>
      <c r="TEJ141" s="3"/>
      <c r="TEK141" s="3"/>
      <c r="TEL141" s="3"/>
      <c r="TEM141" s="3"/>
      <c r="TEN141" s="3"/>
      <c r="TEO141" s="3"/>
      <c r="TEP141" s="3"/>
      <c r="TEQ141" s="3"/>
      <c r="TER141" s="3"/>
      <c r="TES141" s="3"/>
      <c r="TET141" s="3"/>
      <c r="TEU141" s="3"/>
      <c r="TEV141" s="3"/>
      <c r="TEW141" s="3"/>
      <c r="TEX141" s="3"/>
      <c r="TEY141" s="3"/>
      <c r="TEZ141" s="3"/>
      <c r="TFA141" s="3"/>
      <c r="TFB141" s="3"/>
      <c r="TFC141" s="3"/>
      <c r="TFD141" s="3"/>
      <c r="TFE141" s="3"/>
      <c r="TFF141" s="3"/>
      <c r="TFG141" s="3"/>
      <c r="TFH141" s="3"/>
      <c r="TFI141" s="3"/>
      <c r="TFJ141" s="3"/>
      <c r="TFK141" s="3"/>
      <c r="TFL141" s="3"/>
      <c r="TFM141" s="3"/>
      <c r="TFN141" s="3"/>
      <c r="TFO141" s="3"/>
      <c r="TFP141" s="3"/>
      <c r="TFQ141" s="3"/>
      <c r="TFR141" s="3"/>
      <c r="TFS141" s="3"/>
      <c r="TFT141" s="3"/>
      <c r="TFU141" s="3"/>
      <c r="TFV141" s="3"/>
      <c r="TFW141" s="3"/>
      <c r="TFX141" s="3"/>
      <c r="TFY141" s="3"/>
      <c r="TFZ141" s="3"/>
      <c r="TGA141" s="3"/>
      <c r="TGB141" s="3"/>
      <c r="TGC141" s="3"/>
      <c r="TGD141" s="3"/>
      <c r="TGE141" s="3"/>
      <c r="TGF141" s="3"/>
      <c r="TGG141" s="3"/>
      <c r="TGH141" s="3"/>
      <c r="TGI141" s="3"/>
      <c r="TGJ141" s="3"/>
      <c r="TGK141" s="3"/>
      <c r="TGL141" s="3"/>
      <c r="TGM141" s="3"/>
      <c r="TGN141" s="3"/>
      <c r="TGO141" s="3"/>
      <c r="TGP141" s="3"/>
      <c r="TGQ141" s="3"/>
      <c r="TGR141" s="3"/>
      <c r="TGS141" s="3"/>
      <c r="TGT141" s="3"/>
      <c r="TGU141" s="3"/>
      <c r="TGV141" s="3"/>
      <c r="TGW141" s="3"/>
      <c r="TGX141" s="3"/>
      <c r="TGY141" s="3"/>
      <c r="TGZ141" s="3"/>
      <c r="THA141" s="3"/>
      <c r="THB141" s="3"/>
      <c r="THC141" s="3"/>
      <c r="THD141" s="3"/>
      <c r="THE141" s="3"/>
      <c r="THF141" s="3"/>
      <c r="THG141" s="3"/>
      <c r="THH141" s="3"/>
      <c r="THI141" s="3"/>
      <c r="THJ141" s="3"/>
      <c r="THK141" s="3"/>
      <c r="THL141" s="3"/>
      <c r="THM141" s="3"/>
      <c r="THN141" s="3"/>
      <c r="THO141" s="3"/>
      <c r="THP141" s="3"/>
      <c r="THQ141" s="3"/>
      <c r="THR141" s="3"/>
      <c r="THS141" s="3"/>
      <c r="THT141" s="3"/>
      <c r="THU141" s="3"/>
      <c r="THV141" s="3"/>
      <c r="THW141" s="3"/>
      <c r="THX141" s="3"/>
      <c r="THY141" s="3"/>
      <c r="THZ141" s="3"/>
      <c r="TIA141" s="3"/>
      <c r="TIB141" s="3"/>
      <c r="TIC141" s="3"/>
      <c r="TID141" s="3"/>
      <c r="TIE141" s="3"/>
      <c r="TIF141" s="3"/>
      <c r="TIG141" s="3"/>
      <c r="TIH141" s="3"/>
      <c r="TII141" s="3"/>
      <c r="TIJ141" s="3"/>
      <c r="TIK141" s="3"/>
      <c r="TIL141" s="3"/>
      <c r="TIM141" s="3"/>
      <c r="TIN141" s="3"/>
      <c r="TIO141" s="3"/>
      <c r="TIP141" s="3"/>
      <c r="TIQ141" s="3"/>
      <c r="TIR141" s="3"/>
      <c r="TIS141" s="3"/>
      <c r="TIT141" s="3"/>
      <c r="TIU141" s="3"/>
      <c r="TIV141" s="3"/>
      <c r="TIW141" s="3"/>
      <c r="TIX141" s="3"/>
      <c r="TIY141" s="3"/>
      <c r="TIZ141" s="3"/>
      <c r="TJA141" s="3"/>
      <c r="TJB141" s="3"/>
      <c r="TJC141" s="3"/>
      <c r="TJD141" s="3"/>
      <c r="TJE141" s="3"/>
      <c r="TJF141" s="3"/>
      <c r="TJG141" s="3"/>
      <c r="TJH141" s="3"/>
      <c r="TJI141" s="3"/>
      <c r="TJJ141" s="3"/>
      <c r="TJK141" s="3"/>
      <c r="TJL141" s="3"/>
      <c r="TJM141" s="3"/>
      <c r="TJN141" s="3"/>
      <c r="TJO141" s="3"/>
      <c r="TJP141" s="3"/>
      <c r="TJQ141" s="3"/>
      <c r="TJR141" s="3"/>
      <c r="TJS141" s="3"/>
      <c r="TJT141" s="3"/>
      <c r="TJU141" s="3"/>
      <c r="TJV141" s="3"/>
      <c r="TJW141" s="3"/>
      <c r="TJX141" s="3"/>
      <c r="TJY141" s="3"/>
      <c r="TJZ141" s="3"/>
      <c r="TKA141" s="3"/>
      <c r="TKB141" s="3"/>
      <c r="TKC141" s="3"/>
      <c r="TKD141" s="3"/>
      <c r="TKE141" s="3"/>
      <c r="TKF141" s="3"/>
      <c r="TKG141" s="3"/>
      <c r="TKH141" s="3"/>
      <c r="TKI141" s="3"/>
      <c r="TKJ141" s="3"/>
      <c r="TKK141" s="3"/>
      <c r="TKL141" s="3"/>
      <c r="TKM141" s="3"/>
      <c r="TKN141" s="3"/>
      <c r="TKO141" s="3"/>
      <c r="TKP141" s="3"/>
      <c r="TKQ141" s="3"/>
      <c r="TKR141" s="3"/>
      <c r="TKS141" s="3"/>
      <c r="TKT141" s="3"/>
      <c r="TKU141" s="3"/>
      <c r="TKV141" s="3"/>
      <c r="TKW141" s="3"/>
      <c r="TKX141" s="3"/>
      <c r="TKY141" s="3"/>
      <c r="TKZ141" s="3"/>
      <c r="TLA141" s="3"/>
      <c r="TLB141" s="3"/>
      <c r="TLC141" s="3"/>
      <c r="TLD141" s="3"/>
      <c r="TLE141" s="3"/>
      <c r="TLF141" s="3"/>
      <c r="TLG141" s="3"/>
      <c r="TLH141" s="3"/>
      <c r="TLI141" s="3"/>
      <c r="TLJ141" s="3"/>
      <c r="TLK141" s="3"/>
      <c r="TLL141" s="3"/>
      <c r="TLM141" s="3"/>
      <c r="TLN141" s="3"/>
      <c r="TLO141" s="3"/>
      <c r="TLP141" s="3"/>
      <c r="TLQ141" s="3"/>
      <c r="TLR141" s="3"/>
      <c r="TLS141" s="3"/>
      <c r="TLT141" s="3"/>
      <c r="TLU141" s="3"/>
      <c r="TLV141" s="3"/>
      <c r="TLW141" s="3"/>
      <c r="TLX141" s="3"/>
      <c r="TLY141" s="3"/>
      <c r="TLZ141" s="3"/>
      <c r="TMA141" s="3"/>
      <c r="TMB141" s="3"/>
      <c r="TMC141" s="3"/>
      <c r="TMD141" s="3"/>
      <c r="TME141" s="3"/>
      <c r="TMF141" s="3"/>
      <c r="TMG141" s="3"/>
      <c r="TMH141" s="3"/>
      <c r="TMI141" s="3"/>
      <c r="TMJ141" s="3"/>
      <c r="TMK141" s="3"/>
      <c r="TML141" s="3"/>
      <c r="TMM141" s="3"/>
      <c r="TMN141" s="3"/>
      <c r="TMO141" s="3"/>
      <c r="TMP141" s="3"/>
      <c r="TMQ141" s="3"/>
      <c r="TMR141" s="3"/>
      <c r="TMS141" s="3"/>
      <c r="TMT141" s="3"/>
      <c r="TMU141" s="3"/>
      <c r="TMV141" s="3"/>
      <c r="TMW141" s="3"/>
      <c r="TMX141" s="3"/>
      <c r="TMY141" s="3"/>
      <c r="TMZ141" s="3"/>
      <c r="TNA141" s="3"/>
      <c r="TNB141" s="3"/>
      <c r="TNC141" s="3"/>
      <c r="TND141" s="3"/>
      <c r="TNE141" s="3"/>
      <c r="TNF141" s="3"/>
      <c r="TNG141" s="3"/>
      <c r="TNH141" s="3"/>
      <c r="TNI141" s="3"/>
      <c r="TNJ141" s="3"/>
      <c r="TNK141" s="3"/>
      <c r="TNL141" s="3"/>
      <c r="TNM141" s="3"/>
      <c r="TNN141" s="3"/>
      <c r="TNO141" s="3"/>
      <c r="TNP141" s="3"/>
      <c r="TNQ141" s="3"/>
      <c r="TNR141" s="3"/>
      <c r="TNS141" s="3"/>
      <c r="TNT141" s="3"/>
      <c r="TNU141" s="3"/>
      <c r="TNV141" s="3"/>
      <c r="TNW141" s="3"/>
      <c r="TNX141" s="3"/>
      <c r="TNY141" s="3"/>
      <c r="TNZ141" s="3"/>
      <c r="TOA141" s="3"/>
      <c r="TOB141" s="3"/>
      <c r="TOC141" s="3"/>
      <c r="TOD141" s="3"/>
      <c r="TOE141" s="3"/>
      <c r="TOF141" s="3"/>
      <c r="TOG141" s="3"/>
      <c r="TOH141" s="3"/>
      <c r="TOI141" s="3"/>
      <c r="TOJ141" s="3"/>
      <c r="TOK141" s="3"/>
      <c r="TOL141" s="3"/>
      <c r="TOM141" s="3"/>
      <c r="TON141" s="3"/>
      <c r="TOO141" s="3"/>
      <c r="TOP141" s="3"/>
      <c r="TOQ141" s="3"/>
      <c r="TOR141" s="3"/>
      <c r="TOS141" s="3"/>
      <c r="TOT141" s="3"/>
      <c r="TOU141" s="3"/>
      <c r="TOV141" s="3"/>
      <c r="TOW141" s="3"/>
      <c r="TOX141" s="3"/>
      <c r="TOY141" s="3"/>
      <c r="TOZ141" s="3"/>
      <c r="TPA141" s="3"/>
      <c r="TPB141" s="3"/>
      <c r="TPC141" s="3"/>
      <c r="TPD141" s="3"/>
      <c r="TPE141" s="3"/>
      <c r="TPF141" s="3"/>
      <c r="TPG141" s="3"/>
      <c r="TPH141" s="3"/>
      <c r="TPI141" s="3"/>
      <c r="TPJ141" s="3"/>
      <c r="TPK141" s="3"/>
      <c r="TPL141" s="3"/>
      <c r="TPM141" s="3"/>
      <c r="TPN141" s="3"/>
      <c r="TPO141" s="3"/>
      <c r="TPP141" s="3"/>
      <c r="TPQ141" s="3"/>
      <c r="TPR141" s="3"/>
      <c r="TPS141" s="3"/>
      <c r="TPT141" s="3"/>
      <c r="TPU141" s="3"/>
      <c r="TPV141" s="3"/>
      <c r="TPW141" s="3"/>
      <c r="TPX141" s="3"/>
      <c r="TPY141" s="3"/>
      <c r="TPZ141" s="3"/>
      <c r="TQA141" s="3"/>
      <c r="TQB141" s="3"/>
      <c r="TQC141" s="3"/>
      <c r="TQD141" s="3"/>
      <c r="TQE141" s="3"/>
      <c r="TQF141" s="3"/>
      <c r="TQG141" s="3"/>
      <c r="TQH141" s="3"/>
      <c r="TQI141" s="3"/>
      <c r="TQJ141" s="3"/>
      <c r="TQK141" s="3"/>
      <c r="TQL141" s="3"/>
      <c r="TQM141" s="3"/>
      <c r="TQN141" s="3"/>
      <c r="TQO141" s="3"/>
      <c r="TQP141" s="3"/>
      <c r="TQQ141" s="3"/>
      <c r="TQR141" s="3"/>
      <c r="TQS141" s="3"/>
      <c r="TQT141" s="3"/>
      <c r="TQU141" s="3"/>
      <c r="TQV141" s="3"/>
      <c r="TQW141" s="3"/>
      <c r="TQX141" s="3"/>
      <c r="TQY141" s="3"/>
      <c r="TQZ141" s="3"/>
      <c r="TRA141" s="3"/>
      <c r="TRB141" s="3"/>
      <c r="TRC141" s="3"/>
      <c r="TRD141" s="3"/>
      <c r="TRE141" s="3"/>
      <c r="TRF141" s="3"/>
      <c r="TRG141" s="3"/>
      <c r="TRH141" s="3"/>
      <c r="TRI141" s="3"/>
      <c r="TRJ141" s="3"/>
      <c r="TRK141" s="3"/>
      <c r="TRL141" s="3"/>
      <c r="TRM141" s="3"/>
      <c r="TRN141" s="3"/>
      <c r="TRO141" s="3"/>
      <c r="TRP141" s="3"/>
      <c r="TRQ141" s="3"/>
      <c r="TRR141" s="3"/>
      <c r="TRS141" s="3"/>
      <c r="TRT141" s="3"/>
      <c r="TRU141" s="3"/>
      <c r="TRV141" s="3"/>
      <c r="TRW141" s="3"/>
      <c r="TRX141" s="3"/>
      <c r="TRY141" s="3"/>
      <c r="TRZ141" s="3"/>
      <c r="TSA141" s="3"/>
      <c r="TSB141" s="3"/>
      <c r="TSC141" s="3"/>
      <c r="TSD141" s="3"/>
      <c r="TSE141" s="3"/>
      <c r="TSF141" s="3"/>
      <c r="TSG141" s="3"/>
      <c r="TSH141" s="3"/>
      <c r="TSI141" s="3"/>
      <c r="TSJ141" s="3"/>
      <c r="TSK141" s="3"/>
      <c r="TSL141" s="3"/>
      <c r="TSM141" s="3"/>
      <c r="TSN141" s="3"/>
      <c r="TSO141" s="3"/>
      <c r="TSP141" s="3"/>
      <c r="TSQ141" s="3"/>
      <c r="TSR141" s="3"/>
      <c r="TSS141" s="3"/>
      <c r="TST141" s="3"/>
      <c r="TSU141" s="3"/>
      <c r="TSV141" s="3"/>
      <c r="TSW141" s="3"/>
      <c r="TSX141" s="3"/>
      <c r="TSY141" s="3"/>
      <c r="TSZ141" s="3"/>
      <c r="TTA141" s="3"/>
      <c r="TTB141" s="3"/>
      <c r="TTC141" s="3"/>
      <c r="TTD141" s="3"/>
      <c r="TTE141" s="3"/>
      <c r="TTF141" s="3"/>
      <c r="TTG141" s="3"/>
      <c r="TTH141" s="3"/>
      <c r="TTI141" s="3"/>
      <c r="TTJ141" s="3"/>
      <c r="TTK141" s="3"/>
      <c r="TTL141" s="3"/>
      <c r="TTM141" s="3"/>
      <c r="TTN141" s="3"/>
      <c r="TTO141" s="3"/>
      <c r="TTP141" s="3"/>
      <c r="TTQ141" s="3"/>
      <c r="TTR141" s="3"/>
      <c r="TTS141" s="3"/>
      <c r="TTT141" s="3"/>
      <c r="TTU141" s="3"/>
      <c r="TTV141" s="3"/>
      <c r="TTW141" s="3"/>
      <c r="TTX141" s="3"/>
      <c r="TTY141" s="3"/>
      <c r="TTZ141" s="3"/>
      <c r="TUA141" s="3"/>
      <c r="TUB141" s="3"/>
      <c r="TUC141" s="3"/>
      <c r="TUD141" s="3"/>
      <c r="TUE141" s="3"/>
      <c r="TUF141" s="3"/>
      <c r="TUG141" s="3"/>
      <c r="TUH141" s="3"/>
      <c r="TUI141" s="3"/>
      <c r="TUJ141" s="3"/>
      <c r="TUK141" s="3"/>
      <c r="TUL141" s="3"/>
      <c r="TUM141" s="3"/>
      <c r="TUN141" s="3"/>
      <c r="TUO141" s="3"/>
      <c r="TUP141" s="3"/>
      <c r="TUQ141" s="3"/>
      <c r="TUR141" s="3"/>
      <c r="TUS141" s="3"/>
      <c r="TUT141" s="3"/>
      <c r="TUU141" s="3"/>
      <c r="TUV141" s="3"/>
      <c r="TUW141" s="3"/>
      <c r="TUX141" s="3"/>
      <c r="TUY141" s="3"/>
      <c r="TUZ141" s="3"/>
      <c r="TVA141" s="3"/>
      <c r="TVB141" s="3"/>
      <c r="TVC141" s="3"/>
      <c r="TVD141" s="3"/>
      <c r="TVE141" s="3"/>
      <c r="TVF141" s="3"/>
      <c r="TVG141" s="3"/>
      <c r="TVH141" s="3"/>
      <c r="TVI141" s="3"/>
      <c r="TVJ141" s="3"/>
      <c r="TVK141" s="3"/>
      <c r="TVL141" s="3"/>
      <c r="TVM141" s="3"/>
      <c r="TVN141" s="3"/>
      <c r="TVO141" s="3"/>
      <c r="TVP141" s="3"/>
      <c r="TVQ141" s="3"/>
      <c r="TVR141" s="3"/>
      <c r="TVS141" s="3"/>
      <c r="TVT141" s="3"/>
      <c r="TVU141" s="3"/>
      <c r="TVV141" s="3"/>
      <c r="TVW141" s="3"/>
      <c r="TVX141" s="3"/>
      <c r="TVY141" s="3"/>
      <c r="TVZ141" s="3"/>
      <c r="TWA141" s="3"/>
      <c r="TWB141" s="3"/>
      <c r="TWC141" s="3"/>
      <c r="TWD141" s="3"/>
      <c r="TWE141" s="3"/>
      <c r="TWF141" s="3"/>
      <c r="TWG141" s="3"/>
      <c r="TWH141" s="3"/>
      <c r="TWI141" s="3"/>
      <c r="TWJ141" s="3"/>
      <c r="TWK141" s="3"/>
      <c r="TWL141" s="3"/>
      <c r="TWM141" s="3"/>
      <c r="TWN141" s="3"/>
      <c r="TWO141" s="3"/>
      <c r="TWP141" s="3"/>
      <c r="TWQ141" s="3"/>
      <c r="TWR141" s="3"/>
      <c r="TWS141" s="3"/>
      <c r="TWT141" s="3"/>
      <c r="TWU141" s="3"/>
      <c r="TWV141" s="3"/>
      <c r="TWW141" s="3"/>
      <c r="TWX141" s="3"/>
      <c r="TWY141" s="3"/>
      <c r="TWZ141" s="3"/>
      <c r="TXA141" s="3"/>
      <c r="TXB141" s="3"/>
      <c r="TXC141" s="3"/>
      <c r="TXD141" s="3"/>
      <c r="TXE141" s="3"/>
      <c r="TXF141" s="3"/>
      <c r="TXG141" s="3"/>
      <c r="TXH141" s="3"/>
      <c r="TXI141" s="3"/>
      <c r="TXJ141" s="3"/>
      <c r="TXK141" s="3"/>
      <c r="TXL141" s="3"/>
      <c r="TXM141" s="3"/>
      <c r="TXN141" s="3"/>
      <c r="TXO141" s="3"/>
      <c r="TXP141" s="3"/>
      <c r="TXQ141" s="3"/>
      <c r="TXR141" s="3"/>
      <c r="TXS141" s="3"/>
      <c r="TXT141" s="3"/>
      <c r="TXU141" s="3"/>
      <c r="TXV141" s="3"/>
      <c r="TXW141" s="3"/>
      <c r="TXX141" s="3"/>
      <c r="TXY141" s="3"/>
      <c r="TXZ141" s="3"/>
      <c r="TYA141" s="3"/>
      <c r="TYB141" s="3"/>
      <c r="TYC141" s="3"/>
      <c r="TYD141" s="3"/>
      <c r="TYE141" s="3"/>
      <c r="TYF141" s="3"/>
      <c r="TYG141" s="3"/>
      <c r="TYH141" s="3"/>
      <c r="TYI141" s="3"/>
      <c r="TYJ141" s="3"/>
      <c r="TYK141" s="3"/>
      <c r="TYL141" s="3"/>
      <c r="TYM141" s="3"/>
      <c r="TYN141" s="3"/>
      <c r="TYO141" s="3"/>
      <c r="TYP141" s="3"/>
      <c r="TYQ141" s="3"/>
      <c r="TYR141" s="3"/>
      <c r="TYS141" s="3"/>
      <c r="TYT141" s="3"/>
      <c r="TYU141" s="3"/>
      <c r="TYV141" s="3"/>
      <c r="TYW141" s="3"/>
      <c r="TYX141" s="3"/>
      <c r="TYY141" s="3"/>
      <c r="TYZ141" s="3"/>
      <c r="TZA141" s="3"/>
      <c r="TZB141" s="3"/>
      <c r="TZC141" s="3"/>
      <c r="TZD141" s="3"/>
      <c r="TZE141" s="3"/>
      <c r="TZF141" s="3"/>
      <c r="TZG141" s="3"/>
      <c r="TZH141" s="3"/>
      <c r="TZI141" s="3"/>
      <c r="TZJ141" s="3"/>
      <c r="TZK141" s="3"/>
      <c r="TZL141" s="3"/>
      <c r="TZM141" s="3"/>
      <c r="TZN141" s="3"/>
      <c r="TZO141" s="3"/>
      <c r="TZP141" s="3"/>
      <c r="TZQ141" s="3"/>
      <c r="TZR141" s="3"/>
      <c r="TZS141" s="3"/>
      <c r="TZT141" s="3"/>
      <c r="TZU141" s="3"/>
      <c r="TZV141" s="3"/>
      <c r="TZW141" s="3"/>
      <c r="TZX141" s="3"/>
      <c r="TZY141" s="3"/>
      <c r="TZZ141" s="3"/>
      <c r="UAA141" s="3"/>
      <c r="UAB141" s="3"/>
      <c r="UAC141" s="3"/>
      <c r="UAD141" s="3"/>
      <c r="UAE141" s="3"/>
      <c r="UAF141" s="3"/>
      <c r="UAG141" s="3"/>
      <c r="UAH141" s="3"/>
      <c r="UAI141" s="3"/>
      <c r="UAJ141" s="3"/>
      <c r="UAK141" s="3"/>
      <c r="UAL141" s="3"/>
      <c r="UAM141" s="3"/>
      <c r="UAN141" s="3"/>
      <c r="UAO141" s="3"/>
      <c r="UAP141" s="3"/>
      <c r="UAQ141" s="3"/>
      <c r="UAR141" s="3"/>
      <c r="UAS141" s="3"/>
      <c r="UAT141" s="3"/>
      <c r="UAU141" s="3"/>
      <c r="UAV141" s="3"/>
      <c r="UAW141" s="3"/>
      <c r="UAX141" s="3"/>
      <c r="UAY141" s="3"/>
      <c r="UAZ141" s="3"/>
      <c r="UBA141" s="3"/>
      <c r="UBB141" s="3"/>
      <c r="UBC141" s="3"/>
      <c r="UBD141" s="3"/>
      <c r="UBE141" s="3"/>
      <c r="UBF141" s="3"/>
      <c r="UBG141" s="3"/>
      <c r="UBH141" s="3"/>
      <c r="UBI141" s="3"/>
      <c r="UBJ141" s="3"/>
      <c r="UBK141" s="3"/>
      <c r="UBL141" s="3"/>
      <c r="UBM141" s="3"/>
      <c r="UBN141" s="3"/>
      <c r="UBO141" s="3"/>
      <c r="UBP141" s="3"/>
      <c r="UBQ141" s="3"/>
      <c r="UBR141" s="3"/>
      <c r="UBS141" s="3"/>
      <c r="UBT141" s="3"/>
      <c r="UBU141" s="3"/>
      <c r="UBV141" s="3"/>
      <c r="UBW141" s="3"/>
      <c r="UBX141" s="3"/>
      <c r="UBY141" s="3"/>
      <c r="UBZ141" s="3"/>
      <c r="UCA141" s="3"/>
      <c r="UCB141" s="3"/>
      <c r="UCC141" s="3"/>
      <c r="UCD141" s="3"/>
      <c r="UCE141" s="3"/>
      <c r="UCF141" s="3"/>
      <c r="UCG141" s="3"/>
      <c r="UCH141" s="3"/>
      <c r="UCI141" s="3"/>
      <c r="UCJ141" s="3"/>
      <c r="UCK141" s="3"/>
      <c r="UCL141" s="3"/>
      <c r="UCM141" s="3"/>
      <c r="UCN141" s="3"/>
      <c r="UCO141" s="3"/>
      <c r="UCP141" s="3"/>
      <c r="UCQ141" s="3"/>
      <c r="UCR141" s="3"/>
      <c r="UCS141" s="3"/>
      <c r="UCT141" s="3"/>
      <c r="UCU141" s="3"/>
      <c r="UCV141" s="3"/>
      <c r="UCW141" s="3"/>
      <c r="UCX141" s="3"/>
      <c r="UCY141" s="3"/>
      <c r="UCZ141" s="3"/>
      <c r="UDA141" s="3"/>
      <c r="UDB141" s="3"/>
      <c r="UDC141" s="3"/>
      <c r="UDD141" s="3"/>
      <c r="UDE141" s="3"/>
      <c r="UDF141" s="3"/>
      <c r="UDG141" s="3"/>
      <c r="UDH141" s="3"/>
      <c r="UDI141" s="3"/>
      <c r="UDJ141" s="3"/>
      <c r="UDK141" s="3"/>
      <c r="UDL141" s="3"/>
      <c r="UDM141" s="3"/>
      <c r="UDN141" s="3"/>
      <c r="UDO141" s="3"/>
      <c r="UDP141" s="3"/>
      <c r="UDQ141" s="3"/>
      <c r="UDR141" s="3"/>
      <c r="UDS141" s="3"/>
      <c r="UDT141" s="3"/>
      <c r="UDU141" s="3"/>
      <c r="UDV141" s="3"/>
      <c r="UDW141" s="3"/>
      <c r="UDX141" s="3"/>
      <c r="UDY141" s="3"/>
      <c r="UDZ141" s="3"/>
      <c r="UEA141" s="3"/>
      <c r="UEB141" s="3"/>
      <c r="UEC141" s="3"/>
      <c r="UED141" s="3"/>
      <c r="UEE141" s="3"/>
      <c r="UEF141" s="3"/>
      <c r="UEG141" s="3"/>
      <c r="UEH141" s="3"/>
      <c r="UEI141" s="3"/>
      <c r="UEJ141" s="3"/>
      <c r="UEK141" s="3"/>
      <c r="UEL141" s="3"/>
      <c r="UEM141" s="3"/>
      <c r="UEN141" s="3"/>
      <c r="UEO141" s="3"/>
      <c r="UEP141" s="3"/>
      <c r="UEQ141" s="3"/>
      <c r="UER141" s="3"/>
      <c r="UES141" s="3"/>
      <c r="UET141" s="3"/>
      <c r="UEU141" s="3"/>
      <c r="UEV141" s="3"/>
      <c r="UEW141" s="3"/>
      <c r="UEX141" s="3"/>
      <c r="UEY141" s="3"/>
      <c r="UEZ141" s="3"/>
      <c r="UFA141" s="3"/>
      <c r="UFB141" s="3"/>
      <c r="UFC141" s="3"/>
      <c r="UFD141" s="3"/>
      <c r="UFE141" s="3"/>
      <c r="UFF141" s="3"/>
      <c r="UFG141" s="3"/>
      <c r="UFH141" s="3"/>
      <c r="UFI141" s="3"/>
      <c r="UFJ141" s="3"/>
      <c r="UFK141" s="3"/>
      <c r="UFL141" s="3"/>
      <c r="UFM141" s="3"/>
      <c r="UFN141" s="3"/>
      <c r="UFO141" s="3"/>
      <c r="UFP141" s="3"/>
      <c r="UFQ141" s="3"/>
      <c r="UFR141" s="3"/>
      <c r="UFS141" s="3"/>
      <c r="UFT141" s="3"/>
      <c r="UFU141" s="3"/>
      <c r="UFV141" s="3"/>
      <c r="UFW141" s="3"/>
      <c r="UFX141" s="3"/>
      <c r="UFY141" s="3"/>
      <c r="UFZ141" s="3"/>
      <c r="UGA141" s="3"/>
      <c r="UGB141" s="3"/>
      <c r="UGC141" s="3"/>
      <c r="UGD141" s="3"/>
      <c r="UGE141" s="3"/>
      <c r="UGF141" s="3"/>
      <c r="UGG141" s="3"/>
      <c r="UGH141" s="3"/>
      <c r="UGI141" s="3"/>
      <c r="UGJ141" s="3"/>
      <c r="UGK141" s="3"/>
      <c r="UGL141" s="3"/>
      <c r="UGM141" s="3"/>
      <c r="UGN141" s="3"/>
      <c r="UGO141" s="3"/>
      <c r="UGP141" s="3"/>
      <c r="UGQ141" s="3"/>
      <c r="UGR141" s="3"/>
      <c r="UGS141" s="3"/>
      <c r="UGT141" s="3"/>
      <c r="UGU141" s="3"/>
      <c r="UGV141" s="3"/>
      <c r="UGW141" s="3"/>
      <c r="UGX141" s="3"/>
      <c r="UGY141" s="3"/>
      <c r="UGZ141" s="3"/>
      <c r="UHA141" s="3"/>
      <c r="UHB141" s="3"/>
      <c r="UHC141" s="3"/>
      <c r="UHD141" s="3"/>
      <c r="UHE141" s="3"/>
      <c r="UHF141" s="3"/>
      <c r="UHG141" s="3"/>
      <c r="UHH141" s="3"/>
      <c r="UHI141" s="3"/>
      <c r="UHJ141" s="3"/>
      <c r="UHK141" s="3"/>
      <c r="UHL141" s="3"/>
      <c r="UHM141" s="3"/>
      <c r="UHN141" s="3"/>
      <c r="UHO141" s="3"/>
      <c r="UHP141" s="3"/>
      <c r="UHQ141" s="3"/>
      <c r="UHR141" s="3"/>
      <c r="UHS141" s="3"/>
      <c r="UHT141" s="3"/>
      <c r="UHU141" s="3"/>
      <c r="UHV141" s="3"/>
      <c r="UHW141" s="3"/>
      <c r="UHX141" s="3"/>
      <c r="UHY141" s="3"/>
      <c r="UHZ141" s="3"/>
      <c r="UIA141" s="3"/>
      <c r="UIB141" s="3"/>
      <c r="UIC141" s="3"/>
      <c r="UID141" s="3"/>
      <c r="UIE141" s="3"/>
      <c r="UIF141" s="3"/>
      <c r="UIG141" s="3"/>
      <c r="UIH141" s="3"/>
      <c r="UII141" s="3"/>
      <c r="UIJ141" s="3"/>
      <c r="UIK141" s="3"/>
      <c r="UIL141" s="3"/>
      <c r="UIM141" s="3"/>
      <c r="UIN141" s="3"/>
      <c r="UIO141" s="3"/>
      <c r="UIP141" s="3"/>
      <c r="UIQ141" s="3"/>
      <c r="UIR141" s="3"/>
      <c r="UIS141" s="3"/>
      <c r="UIT141" s="3"/>
      <c r="UIU141" s="3"/>
      <c r="UIV141" s="3"/>
      <c r="UIW141" s="3"/>
      <c r="UIX141" s="3"/>
      <c r="UIY141" s="3"/>
      <c r="UIZ141" s="3"/>
      <c r="UJA141" s="3"/>
      <c r="UJB141" s="3"/>
      <c r="UJC141" s="3"/>
      <c r="UJD141" s="3"/>
      <c r="UJE141" s="3"/>
      <c r="UJF141" s="3"/>
      <c r="UJG141" s="3"/>
      <c r="UJH141" s="3"/>
      <c r="UJI141" s="3"/>
      <c r="UJJ141" s="3"/>
      <c r="UJK141" s="3"/>
      <c r="UJL141" s="3"/>
      <c r="UJM141" s="3"/>
      <c r="UJN141" s="3"/>
      <c r="UJO141" s="3"/>
      <c r="UJP141" s="3"/>
      <c r="UJQ141" s="3"/>
      <c r="UJR141" s="3"/>
      <c r="UJS141" s="3"/>
      <c r="UJT141" s="3"/>
      <c r="UJU141" s="3"/>
      <c r="UJV141" s="3"/>
      <c r="UJW141" s="3"/>
      <c r="UJX141" s="3"/>
      <c r="UJY141" s="3"/>
      <c r="UJZ141" s="3"/>
      <c r="UKA141" s="3"/>
      <c r="UKB141" s="3"/>
      <c r="UKC141" s="3"/>
      <c r="UKD141" s="3"/>
      <c r="UKE141" s="3"/>
      <c r="UKF141" s="3"/>
      <c r="UKG141" s="3"/>
      <c r="UKH141" s="3"/>
      <c r="UKI141" s="3"/>
      <c r="UKJ141" s="3"/>
      <c r="UKK141" s="3"/>
      <c r="UKL141" s="3"/>
      <c r="UKM141" s="3"/>
      <c r="UKN141" s="3"/>
      <c r="UKO141" s="3"/>
      <c r="UKP141" s="3"/>
      <c r="UKQ141" s="3"/>
      <c r="UKR141" s="3"/>
      <c r="UKS141" s="3"/>
      <c r="UKT141" s="3"/>
      <c r="UKU141" s="3"/>
      <c r="UKV141" s="3"/>
      <c r="UKW141" s="3"/>
      <c r="UKX141" s="3"/>
      <c r="UKY141" s="3"/>
      <c r="UKZ141" s="3"/>
      <c r="ULA141" s="3"/>
      <c r="ULB141" s="3"/>
      <c r="ULC141" s="3"/>
      <c r="ULD141" s="3"/>
      <c r="ULE141" s="3"/>
      <c r="ULF141" s="3"/>
      <c r="ULG141" s="3"/>
      <c r="ULH141" s="3"/>
      <c r="ULI141" s="3"/>
      <c r="ULJ141" s="3"/>
      <c r="ULK141" s="3"/>
      <c r="ULL141" s="3"/>
      <c r="ULM141" s="3"/>
      <c r="ULN141" s="3"/>
      <c r="ULO141" s="3"/>
      <c r="ULP141" s="3"/>
      <c r="ULQ141" s="3"/>
      <c r="ULR141" s="3"/>
      <c r="ULS141" s="3"/>
      <c r="ULT141" s="3"/>
      <c r="ULU141" s="3"/>
      <c r="ULV141" s="3"/>
      <c r="ULW141" s="3"/>
      <c r="ULX141" s="3"/>
      <c r="ULY141" s="3"/>
      <c r="ULZ141" s="3"/>
      <c r="UMA141" s="3"/>
      <c r="UMB141" s="3"/>
      <c r="UMC141" s="3"/>
      <c r="UMD141" s="3"/>
      <c r="UME141" s="3"/>
      <c r="UMF141" s="3"/>
      <c r="UMG141" s="3"/>
      <c r="UMH141" s="3"/>
      <c r="UMI141" s="3"/>
      <c r="UMJ141" s="3"/>
      <c r="UMK141" s="3"/>
      <c r="UML141" s="3"/>
      <c r="UMM141" s="3"/>
      <c r="UMN141" s="3"/>
      <c r="UMO141" s="3"/>
      <c r="UMP141" s="3"/>
      <c r="UMQ141" s="3"/>
      <c r="UMR141" s="3"/>
      <c r="UMS141" s="3"/>
      <c r="UMT141" s="3"/>
      <c r="UMU141" s="3"/>
      <c r="UMV141" s="3"/>
      <c r="UMW141" s="3"/>
      <c r="UMX141" s="3"/>
      <c r="UMY141" s="3"/>
      <c r="UMZ141" s="3"/>
      <c r="UNA141" s="3"/>
      <c r="UNB141" s="3"/>
      <c r="UNC141" s="3"/>
      <c r="UND141" s="3"/>
      <c r="UNE141" s="3"/>
      <c r="UNF141" s="3"/>
      <c r="UNG141" s="3"/>
      <c r="UNH141" s="3"/>
      <c r="UNI141" s="3"/>
      <c r="UNJ141" s="3"/>
      <c r="UNK141" s="3"/>
      <c r="UNL141" s="3"/>
      <c r="UNM141" s="3"/>
      <c r="UNN141" s="3"/>
      <c r="UNO141" s="3"/>
      <c r="UNP141" s="3"/>
      <c r="UNQ141" s="3"/>
      <c r="UNR141" s="3"/>
      <c r="UNS141" s="3"/>
      <c r="UNT141" s="3"/>
      <c r="UNU141" s="3"/>
      <c r="UNV141" s="3"/>
      <c r="UNW141" s="3"/>
      <c r="UNX141" s="3"/>
      <c r="UNY141" s="3"/>
      <c r="UNZ141" s="3"/>
      <c r="UOA141" s="3"/>
      <c r="UOB141" s="3"/>
      <c r="UOC141" s="3"/>
      <c r="UOD141" s="3"/>
      <c r="UOE141" s="3"/>
      <c r="UOF141" s="3"/>
      <c r="UOG141" s="3"/>
      <c r="UOH141" s="3"/>
      <c r="UOI141" s="3"/>
      <c r="UOJ141" s="3"/>
      <c r="UOK141" s="3"/>
      <c r="UOL141" s="3"/>
      <c r="UOM141" s="3"/>
      <c r="UON141" s="3"/>
      <c r="UOO141" s="3"/>
      <c r="UOP141" s="3"/>
      <c r="UOQ141" s="3"/>
      <c r="UOR141" s="3"/>
      <c r="UOS141" s="3"/>
      <c r="UOT141" s="3"/>
      <c r="UOU141" s="3"/>
      <c r="UOV141" s="3"/>
      <c r="UOW141" s="3"/>
      <c r="UOX141" s="3"/>
      <c r="UOY141" s="3"/>
      <c r="UOZ141" s="3"/>
      <c r="UPA141" s="3"/>
      <c r="UPB141" s="3"/>
      <c r="UPC141" s="3"/>
      <c r="UPD141" s="3"/>
      <c r="UPE141" s="3"/>
      <c r="UPF141" s="3"/>
      <c r="UPG141" s="3"/>
      <c r="UPH141" s="3"/>
      <c r="UPI141" s="3"/>
      <c r="UPJ141" s="3"/>
      <c r="UPK141" s="3"/>
      <c r="UPL141" s="3"/>
      <c r="UPM141" s="3"/>
      <c r="UPN141" s="3"/>
      <c r="UPO141" s="3"/>
      <c r="UPP141" s="3"/>
      <c r="UPQ141" s="3"/>
      <c r="UPR141" s="3"/>
      <c r="UPS141" s="3"/>
      <c r="UPT141" s="3"/>
      <c r="UPU141" s="3"/>
      <c r="UPV141" s="3"/>
      <c r="UPW141" s="3"/>
      <c r="UPX141" s="3"/>
      <c r="UPY141" s="3"/>
      <c r="UPZ141" s="3"/>
      <c r="UQA141" s="3"/>
      <c r="UQB141" s="3"/>
      <c r="UQC141" s="3"/>
      <c r="UQD141" s="3"/>
      <c r="UQE141" s="3"/>
      <c r="UQF141" s="3"/>
      <c r="UQG141" s="3"/>
      <c r="UQH141" s="3"/>
      <c r="UQI141" s="3"/>
      <c r="UQJ141" s="3"/>
      <c r="UQK141" s="3"/>
      <c r="UQL141" s="3"/>
      <c r="UQM141" s="3"/>
      <c r="UQN141" s="3"/>
      <c r="UQO141" s="3"/>
      <c r="UQP141" s="3"/>
      <c r="UQQ141" s="3"/>
      <c r="UQR141" s="3"/>
      <c r="UQS141" s="3"/>
      <c r="UQT141" s="3"/>
      <c r="UQU141" s="3"/>
      <c r="UQV141" s="3"/>
      <c r="UQW141" s="3"/>
      <c r="UQX141" s="3"/>
      <c r="UQY141" s="3"/>
      <c r="UQZ141" s="3"/>
      <c r="URA141" s="3"/>
      <c r="URB141" s="3"/>
      <c r="URC141" s="3"/>
      <c r="URD141" s="3"/>
      <c r="URE141" s="3"/>
      <c r="URF141" s="3"/>
      <c r="URG141" s="3"/>
      <c r="URH141" s="3"/>
      <c r="URI141" s="3"/>
      <c r="URJ141" s="3"/>
      <c r="URK141" s="3"/>
      <c r="URL141" s="3"/>
      <c r="URM141" s="3"/>
      <c r="URN141" s="3"/>
      <c r="URO141" s="3"/>
      <c r="URP141" s="3"/>
      <c r="URQ141" s="3"/>
      <c r="URR141" s="3"/>
      <c r="URS141" s="3"/>
      <c r="URT141" s="3"/>
      <c r="URU141" s="3"/>
      <c r="URV141" s="3"/>
      <c r="URW141" s="3"/>
      <c r="URX141" s="3"/>
      <c r="URY141" s="3"/>
      <c r="URZ141" s="3"/>
      <c r="USA141" s="3"/>
      <c r="USB141" s="3"/>
      <c r="USC141" s="3"/>
      <c r="USD141" s="3"/>
      <c r="USE141" s="3"/>
      <c r="USF141" s="3"/>
      <c r="USG141" s="3"/>
      <c r="USH141" s="3"/>
      <c r="USI141" s="3"/>
      <c r="USJ141" s="3"/>
      <c r="USK141" s="3"/>
      <c r="USL141" s="3"/>
      <c r="USM141" s="3"/>
      <c r="USN141" s="3"/>
      <c r="USO141" s="3"/>
      <c r="USP141" s="3"/>
      <c r="USQ141" s="3"/>
      <c r="USR141" s="3"/>
      <c r="USS141" s="3"/>
      <c r="UST141" s="3"/>
      <c r="USU141" s="3"/>
      <c r="USV141" s="3"/>
      <c r="USW141" s="3"/>
      <c r="USX141" s="3"/>
      <c r="USY141" s="3"/>
      <c r="USZ141" s="3"/>
      <c r="UTA141" s="3"/>
      <c r="UTB141" s="3"/>
      <c r="UTC141" s="3"/>
      <c r="UTD141" s="3"/>
      <c r="UTE141" s="3"/>
      <c r="UTF141" s="3"/>
      <c r="UTG141" s="3"/>
      <c r="UTH141" s="3"/>
      <c r="UTI141" s="3"/>
      <c r="UTJ141" s="3"/>
      <c r="UTK141" s="3"/>
      <c r="UTL141" s="3"/>
      <c r="UTM141" s="3"/>
      <c r="UTN141" s="3"/>
      <c r="UTO141" s="3"/>
      <c r="UTP141" s="3"/>
      <c r="UTQ141" s="3"/>
      <c r="UTR141" s="3"/>
      <c r="UTS141" s="3"/>
      <c r="UTT141" s="3"/>
      <c r="UTU141" s="3"/>
      <c r="UTV141" s="3"/>
      <c r="UTW141" s="3"/>
      <c r="UTX141" s="3"/>
      <c r="UTY141" s="3"/>
      <c r="UTZ141" s="3"/>
      <c r="UUA141" s="3"/>
      <c r="UUB141" s="3"/>
      <c r="UUC141" s="3"/>
      <c r="UUD141" s="3"/>
      <c r="UUE141" s="3"/>
      <c r="UUF141" s="3"/>
      <c r="UUG141" s="3"/>
      <c r="UUH141" s="3"/>
      <c r="UUI141" s="3"/>
      <c r="UUJ141" s="3"/>
      <c r="UUK141" s="3"/>
      <c r="UUL141" s="3"/>
      <c r="UUM141" s="3"/>
      <c r="UUN141" s="3"/>
      <c r="UUO141" s="3"/>
      <c r="UUP141" s="3"/>
      <c r="UUQ141" s="3"/>
      <c r="UUR141" s="3"/>
      <c r="UUS141" s="3"/>
      <c r="UUT141" s="3"/>
      <c r="UUU141" s="3"/>
      <c r="UUV141" s="3"/>
      <c r="UUW141" s="3"/>
      <c r="UUX141" s="3"/>
      <c r="UUY141" s="3"/>
      <c r="UUZ141" s="3"/>
      <c r="UVA141" s="3"/>
      <c r="UVB141" s="3"/>
      <c r="UVC141" s="3"/>
      <c r="UVD141" s="3"/>
      <c r="UVE141" s="3"/>
      <c r="UVF141" s="3"/>
      <c r="UVG141" s="3"/>
      <c r="UVH141" s="3"/>
      <c r="UVI141" s="3"/>
      <c r="UVJ141" s="3"/>
      <c r="UVK141" s="3"/>
      <c r="UVL141" s="3"/>
      <c r="UVM141" s="3"/>
      <c r="UVN141" s="3"/>
      <c r="UVO141" s="3"/>
      <c r="UVP141" s="3"/>
      <c r="UVQ141" s="3"/>
      <c r="UVR141" s="3"/>
      <c r="UVS141" s="3"/>
      <c r="UVT141" s="3"/>
      <c r="UVU141" s="3"/>
      <c r="UVV141" s="3"/>
      <c r="UVW141" s="3"/>
      <c r="UVX141" s="3"/>
      <c r="UVY141" s="3"/>
      <c r="UVZ141" s="3"/>
      <c r="UWA141" s="3"/>
      <c r="UWB141" s="3"/>
      <c r="UWC141" s="3"/>
      <c r="UWD141" s="3"/>
      <c r="UWE141" s="3"/>
      <c r="UWF141" s="3"/>
      <c r="UWG141" s="3"/>
      <c r="UWH141" s="3"/>
      <c r="UWI141" s="3"/>
      <c r="UWJ141" s="3"/>
      <c r="UWK141" s="3"/>
      <c r="UWL141" s="3"/>
      <c r="UWM141" s="3"/>
      <c r="UWN141" s="3"/>
      <c r="UWO141" s="3"/>
      <c r="UWP141" s="3"/>
      <c r="UWQ141" s="3"/>
      <c r="UWR141" s="3"/>
      <c r="UWS141" s="3"/>
      <c r="UWT141" s="3"/>
      <c r="UWU141" s="3"/>
      <c r="UWV141" s="3"/>
      <c r="UWW141" s="3"/>
      <c r="UWX141" s="3"/>
      <c r="UWY141" s="3"/>
      <c r="UWZ141" s="3"/>
      <c r="UXA141" s="3"/>
      <c r="UXB141" s="3"/>
      <c r="UXC141" s="3"/>
      <c r="UXD141" s="3"/>
      <c r="UXE141" s="3"/>
      <c r="UXF141" s="3"/>
      <c r="UXG141" s="3"/>
      <c r="UXH141" s="3"/>
      <c r="UXI141" s="3"/>
      <c r="UXJ141" s="3"/>
      <c r="UXK141" s="3"/>
      <c r="UXL141" s="3"/>
      <c r="UXM141" s="3"/>
      <c r="UXN141" s="3"/>
      <c r="UXO141" s="3"/>
      <c r="UXP141" s="3"/>
      <c r="UXQ141" s="3"/>
      <c r="UXR141" s="3"/>
      <c r="UXS141" s="3"/>
      <c r="UXT141" s="3"/>
      <c r="UXU141" s="3"/>
      <c r="UXV141" s="3"/>
      <c r="UXW141" s="3"/>
      <c r="UXX141" s="3"/>
      <c r="UXY141" s="3"/>
      <c r="UXZ141" s="3"/>
      <c r="UYA141" s="3"/>
      <c r="UYB141" s="3"/>
      <c r="UYC141" s="3"/>
      <c r="UYD141" s="3"/>
      <c r="UYE141" s="3"/>
      <c r="UYF141" s="3"/>
      <c r="UYG141" s="3"/>
      <c r="UYH141" s="3"/>
      <c r="UYI141" s="3"/>
      <c r="UYJ141" s="3"/>
      <c r="UYK141" s="3"/>
      <c r="UYL141" s="3"/>
      <c r="UYM141" s="3"/>
      <c r="UYN141" s="3"/>
      <c r="UYO141" s="3"/>
      <c r="UYP141" s="3"/>
      <c r="UYQ141" s="3"/>
      <c r="UYR141" s="3"/>
      <c r="UYS141" s="3"/>
      <c r="UYT141" s="3"/>
      <c r="UYU141" s="3"/>
      <c r="UYV141" s="3"/>
      <c r="UYW141" s="3"/>
      <c r="UYX141" s="3"/>
      <c r="UYY141" s="3"/>
      <c r="UYZ141" s="3"/>
      <c r="UZA141" s="3"/>
      <c r="UZB141" s="3"/>
      <c r="UZC141" s="3"/>
      <c r="UZD141" s="3"/>
      <c r="UZE141" s="3"/>
      <c r="UZF141" s="3"/>
      <c r="UZG141" s="3"/>
      <c r="UZH141" s="3"/>
      <c r="UZI141" s="3"/>
      <c r="UZJ141" s="3"/>
      <c r="UZK141" s="3"/>
      <c r="UZL141" s="3"/>
      <c r="UZM141" s="3"/>
      <c r="UZN141" s="3"/>
      <c r="UZO141" s="3"/>
      <c r="UZP141" s="3"/>
      <c r="UZQ141" s="3"/>
      <c r="UZR141" s="3"/>
      <c r="UZS141" s="3"/>
      <c r="UZT141" s="3"/>
      <c r="UZU141" s="3"/>
      <c r="UZV141" s="3"/>
      <c r="UZW141" s="3"/>
      <c r="UZX141" s="3"/>
      <c r="UZY141" s="3"/>
      <c r="UZZ141" s="3"/>
      <c r="VAA141" s="3"/>
      <c r="VAB141" s="3"/>
      <c r="VAC141" s="3"/>
      <c r="VAD141" s="3"/>
      <c r="VAE141" s="3"/>
      <c r="VAF141" s="3"/>
      <c r="VAG141" s="3"/>
      <c r="VAH141" s="3"/>
      <c r="VAI141" s="3"/>
      <c r="VAJ141" s="3"/>
      <c r="VAK141" s="3"/>
      <c r="VAL141" s="3"/>
      <c r="VAM141" s="3"/>
      <c r="VAN141" s="3"/>
      <c r="VAO141" s="3"/>
      <c r="VAP141" s="3"/>
      <c r="VAQ141" s="3"/>
      <c r="VAR141" s="3"/>
      <c r="VAS141" s="3"/>
      <c r="VAT141" s="3"/>
      <c r="VAU141" s="3"/>
      <c r="VAV141" s="3"/>
      <c r="VAW141" s="3"/>
      <c r="VAX141" s="3"/>
      <c r="VAY141" s="3"/>
      <c r="VAZ141" s="3"/>
      <c r="VBA141" s="3"/>
      <c r="VBB141" s="3"/>
      <c r="VBC141" s="3"/>
      <c r="VBD141" s="3"/>
      <c r="VBE141" s="3"/>
      <c r="VBF141" s="3"/>
      <c r="VBG141" s="3"/>
      <c r="VBH141" s="3"/>
      <c r="VBI141" s="3"/>
      <c r="VBJ141" s="3"/>
      <c r="VBK141" s="3"/>
      <c r="VBL141" s="3"/>
      <c r="VBM141" s="3"/>
      <c r="VBN141" s="3"/>
      <c r="VBO141" s="3"/>
      <c r="VBP141" s="3"/>
      <c r="VBQ141" s="3"/>
      <c r="VBR141" s="3"/>
      <c r="VBS141" s="3"/>
      <c r="VBT141" s="3"/>
      <c r="VBU141" s="3"/>
      <c r="VBV141" s="3"/>
      <c r="VBW141" s="3"/>
      <c r="VBX141" s="3"/>
      <c r="VBY141" s="3"/>
      <c r="VBZ141" s="3"/>
      <c r="VCA141" s="3"/>
      <c r="VCB141" s="3"/>
      <c r="VCC141" s="3"/>
      <c r="VCD141" s="3"/>
      <c r="VCE141" s="3"/>
      <c r="VCF141" s="3"/>
      <c r="VCG141" s="3"/>
      <c r="VCH141" s="3"/>
      <c r="VCI141" s="3"/>
      <c r="VCJ141" s="3"/>
      <c r="VCK141" s="3"/>
      <c r="VCL141" s="3"/>
      <c r="VCM141" s="3"/>
      <c r="VCN141" s="3"/>
      <c r="VCO141" s="3"/>
      <c r="VCP141" s="3"/>
      <c r="VCQ141" s="3"/>
      <c r="VCR141" s="3"/>
      <c r="VCS141" s="3"/>
      <c r="VCT141" s="3"/>
      <c r="VCU141" s="3"/>
      <c r="VCV141" s="3"/>
      <c r="VCW141" s="3"/>
      <c r="VCX141" s="3"/>
      <c r="VCY141" s="3"/>
      <c r="VCZ141" s="3"/>
      <c r="VDA141" s="3"/>
      <c r="VDB141" s="3"/>
      <c r="VDC141" s="3"/>
      <c r="VDD141" s="3"/>
      <c r="VDE141" s="3"/>
      <c r="VDF141" s="3"/>
      <c r="VDG141" s="3"/>
      <c r="VDH141" s="3"/>
      <c r="VDI141" s="3"/>
      <c r="VDJ141" s="3"/>
      <c r="VDK141" s="3"/>
      <c r="VDL141" s="3"/>
      <c r="VDM141" s="3"/>
      <c r="VDN141" s="3"/>
      <c r="VDO141" s="3"/>
      <c r="VDP141" s="3"/>
      <c r="VDQ141" s="3"/>
      <c r="VDR141" s="3"/>
      <c r="VDS141" s="3"/>
      <c r="VDT141" s="3"/>
      <c r="VDU141" s="3"/>
      <c r="VDV141" s="3"/>
      <c r="VDW141" s="3"/>
      <c r="VDX141" s="3"/>
      <c r="VDY141" s="3"/>
      <c r="VDZ141" s="3"/>
      <c r="VEA141" s="3"/>
      <c r="VEB141" s="3"/>
      <c r="VEC141" s="3"/>
      <c r="VED141" s="3"/>
      <c r="VEE141" s="3"/>
      <c r="VEF141" s="3"/>
      <c r="VEG141" s="3"/>
      <c r="VEH141" s="3"/>
      <c r="VEI141" s="3"/>
      <c r="VEJ141" s="3"/>
      <c r="VEK141" s="3"/>
      <c r="VEL141" s="3"/>
      <c r="VEM141" s="3"/>
      <c r="VEN141" s="3"/>
      <c r="VEO141" s="3"/>
      <c r="VEP141" s="3"/>
      <c r="VEQ141" s="3"/>
      <c r="VER141" s="3"/>
      <c r="VES141" s="3"/>
      <c r="VET141" s="3"/>
      <c r="VEU141" s="3"/>
      <c r="VEV141" s="3"/>
      <c r="VEW141" s="3"/>
      <c r="VEX141" s="3"/>
      <c r="VEY141" s="3"/>
      <c r="VEZ141" s="3"/>
      <c r="VFA141" s="3"/>
      <c r="VFB141" s="3"/>
      <c r="VFC141" s="3"/>
      <c r="VFD141" s="3"/>
      <c r="VFE141" s="3"/>
      <c r="VFF141" s="3"/>
      <c r="VFG141" s="3"/>
      <c r="VFH141" s="3"/>
      <c r="VFI141" s="3"/>
      <c r="VFJ141" s="3"/>
      <c r="VFK141" s="3"/>
      <c r="VFL141" s="3"/>
      <c r="VFM141" s="3"/>
      <c r="VFN141" s="3"/>
      <c r="VFO141" s="3"/>
      <c r="VFP141" s="3"/>
      <c r="VFQ141" s="3"/>
      <c r="VFR141" s="3"/>
      <c r="VFS141" s="3"/>
      <c r="VFT141" s="3"/>
      <c r="VFU141" s="3"/>
      <c r="VFV141" s="3"/>
      <c r="VFW141" s="3"/>
      <c r="VFX141" s="3"/>
      <c r="VFY141" s="3"/>
      <c r="VFZ141" s="3"/>
      <c r="VGA141" s="3"/>
      <c r="VGB141" s="3"/>
      <c r="VGC141" s="3"/>
      <c r="VGD141" s="3"/>
      <c r="VGE141" s="3"/>
      <c r="VGF141" s="3"/>
      <c r="VGG141" s="3"/>
      <c r="VGH141" s="3"/>
      <c r="VGI141" s="3"/>
      <c r="VGJ141" s="3"/>
      <c r="VGK141" s="3"/>
      <c r="VGL141" s="3"/>
      <c r="VGM141" s="3"/>
      <c r="VGN141" s="3"/>
      <c r="VGO141" s="3"/>
      <c r="VGP141" s="3"/>
      <c r="VGQ141" s="3"/>
      <c r="VGR141" s="3"/>
      <c r="VGS141" s="3"/>
      <c r="VGT141" s="3"/>
      <c r="VGU141" s="3"/>
      <c r="VGV141" s="3"/>
      <c r="VGW141" s="3"/>
      <c r="VGX141" s="3"/>
      <c r="VGY141" s="3"/>
      <c r="VGZ141" s="3"/>
      <c r="VHA141" s="3"/>
      <c r="VHB141" s="3"/>
      <c r="VHC141" s="3"/>
      <c r="VHD141" s="3"/>
      <c r="VHE141" s="3"/>
      <c r="VHF141" s="3"/>
      <c r="VHG141" s="3"/>
      <c r="VHH141" s="3"/>
      <c r="VHI141" s="3"/>
      <c r="VHJ141" s="3"/>
      <c r="VHK141" s="3"/>
      <c r="VHL141" s="3"/>
      <c r="VHM141" s="3"/>
      <c r="VHN141" s="3"/>
      <c r="VHO141" s="3"/>
      <c r="VHP141" s="3"/>
      <c r="VHQ141" s="3"/>
      <c r="VHR141" s="3"/>
      <c r="VHS141" s="3"/>
      <c r="VHT141" s="3"/>
      <c r="VHU141" s="3"/>
      <c r="VHV141" s="3"/>
      <c r="VHW141" s="3"/>
      <c r="VHX141" s="3"/>
      <c r="VHY141" s="3"/>
      <c r="VHZ141" s="3"/>
      <c r="VIA141" s="3"/>
      <c r="VIB141" s="3"/>
      <c r="VIC141" s="3"/>
      <c r="VID141" s="3"/>
      <c r="VIE141" s="3"/>
      <c r="VIF141" s="3"/>
      <c r="VIG141" s="3"/>
      <c r="VIH141" s="3"/>
      <c r="VII141" s="3"/>
      <c r="VIJ141" s="3"/>
      <c r="VIK141" s="3"/>
      <c r="VIL141" s="3"/>
      <c r="VIM141" s="3"/>
      <c r="VIN141" s="3"/>
      <c r="VIO141" s="3"/>
      <c r="VIP141" s="3"/>
      <c r="VIQ141" s="3"/>
      <c r="VIR141" s="3"/>
      <c r="VIS141" s="3"/>
      <c r="VIT141" s="3"/>
      <c r="VIU141" s="3"/>
      <c r="VIV141" s="3"/>
      <c r="VIW141" s="3"/>
      <c r="VIX141" s="3"/>
      <c r="VIY141" s="3"/>
      <c r="VIZ141" s="3"/>
      <c r="VJA141" s="3"/>
      <c r="VJB141" s="3"/>
      <c r="VJC141" s="3"/>
      <c r="VJD141" s="3"/>
      <c r="VJE141" s="3"/>
      <c r="VJF141" s="3"/>
      <c r="VJG141" s="3"/>
      <c r="VJH141" s="3"/>
      <c r="VJI141" s="3"/>
      <c r="VJJ141" s="3"/>
      <c r="VJK141" s="3"/>
      <c r="VJL141" s="3"/>
      <c r="VJM141" s="3"/>
      <c r="VJN141" s="3"/>
      <c r="VJO141" s="3"/>
      <c r="VJP141" s="3"/>
      <c r="VJQ141" s="3"/>
      <c r="VJR141" s="3"/>
      <c r="VJS141" s="3"/>
      <c r="VJT141" s="3"/>
      <c r="VJU141" s="3"/>
      <c r="VJV141" s="3"/>
      <c r="VJW141" s="3"/>
      <c r="VJX141" s="3"/>
      <c r="VJY141" s="3"/>
      <c r="VJZ141" s="3"/>
      <c r="VKA141" s="3"/>
      <c r="VKB141" s="3"/>
      <c r="VKC141" s="3"/>
      <c r="VKD141" s="3"/>
      <c r="VKE141" s="3"/>
      <c r="VKF141" s="3"/>
      <c r="VKG141" s="3"/>
      <c r="VKH141" s="3"/>
      <c r="VKI141" s="3"/>
      <c r="VKJ141" s="3"/>
      <c r="VKK141" s="3"/>
      <c r="VKL141" s="3"/>
      <c r="VKM141" s="3"/>
      <c r="VKN141" s="3"/>
      <c r="VKO141" s="3"/>
      <c r="VKP141" s="3"/>
      <c r="VKQ141" s="3"/>
      <c r="VKR141" s="3"/>
      <c r="VKS141" s="3"/>
      <c r="VKT141" s="3"/>
      <c r="VKU141" s="3"/>
      <c r="VKV141" s="3"/>
      <c r="VKW141" s="3"/>
      <c r="VKX141" s="3"/>
      <c r="VKY141" s="3"/>
      <c r="VKZ141" s="3"/>
      <c r="VLA141" s="3"/>
      <c r="VLB141" s="3"/>
      <c r="VLC141" s="3"/>
      <c r="VLD141" s="3"/>
      <c r="VLE141" s="3"/>
      <c r="VLF141" s="3"/>
      <c r="VLG141" s="3"/>
      <c r="VLH141" s="3"/>
      <c r="VLI141" s="3"/>
      <c r="VLJ141" s="3"/>
      <c r="VLK141" s="3"/>
      <c r="VLL141" s="3"/>
      <c r="VLM141" s="3"/>
      <c r="VLN141" s="3"/>
      <c r="VLO141" s="3"/>
      <c r="VLP141" s="3"/>
      <c r="VLQ141" s="3"/>
      <c r="VLR141" s="3"/>
      <c r="VLS141" s="3"/>
      <c r="VLT141" s="3"/>
      <c r="VLU141" s="3"/>
      <c r="VLV141" s="3"/>
      <c r="VLW141" s="3"/>
      <c r="VLX141" s="3"/>
      <c r="VLY141" s="3"/>
      <c r="VLZ141" s="3"/>
      <c r="VMA141" s="3"/>
      <c r="VMB141" s="3"/>
      <c r="VMC141" s="3"/>
      <c r="VMD141" s="3"/>
      <c r="VME141" s="3"/>
      <c r="VMF141" s="3"/>
      <c r="VMG141" s="3"/>
      <c r="VMH141" s="3"/>
      <c r="VMI141" s="3"/>
      <c r="VMJ141" s="3"/>
      <c r="VMK141" s="3"/>
      <c r="VML141" s="3"/>
      <c r="VMM141" s="3"/>
      <c r="VMN141" s="3"/>
      <c r="VMO141" s="3"/>
      <c r="VMP141" s="3"/>
      <c r="VMQ141" s="3"/>
      <c r="VMR141" s="3"/>
      <c r="VMS141" s="3"/>
      <c r="VMT141" s="3"/>
      <c r="VMU141" s="3"/>
      <c r="VMV141" s="3"/>
      <c r="VMW141" s="3"/>
      <c r="VMX141" s="3"/>
      <c r="VMY141" s="3"/>
      <c r="VMZ141" s="3"/>
      <c r="VNA141" s="3"/>
      <c r="VNB141" s="3"/>
      <c r="VNC141" s="3"/>
      <c r="VND141" s="3"/>
      <c r="VNE141" s="3"/>
      <c r="VNF141" s="3"/>
      <c r="VNG141" s="3"/>
      <c r="VNH141" s="3"/>
      <c r="VNI141" s="3"/>
      <c r="VNJ141" s="3"/>
      <c r="VNK141" s="3"/>
      <c r="VNL141" s="3"/>
      <c r="VNM141" s="3"/>
      <c r="VNN141" s="3"/>
      <c r="VNO141" s="3"/>
      <c r="VNP141" s="3"/>
      <c r="VNQ141" s="3"/>
      <c r="VNR141" s="3"/>
      <c r="VNS141" s="3"/>
      <c r="VNT141" s="3"/>
      <c r="VNU141" s="3"/>
      <c r="VNV141" s="3"/>
      <c r="VNW141" s="3"/>
      <c r="VNX141" s="3"/>
      <c r="VNY141" s="3"/>
      <c r="VNZ141" s="3"/>
      <c r="VOA141" s="3"/>
      <c r="VOB141" s="3"/>
      <c r="VOC141" s="3"/>
      <c r="VOD141" s="3"/>
      <c r="VOE141" s="3"/>
      <c r="VOF141" s="3"/>
      <c r="VOG141" s="3"/>
      <c r="VOH141" s="3"/>
      <c r="VOI141" s="3"/>
      <c r="VOJ141" s="3"/>
      <c r="VOK141" s="3"/>
      <c r="VOL141" s="3"/>
      <c r="VOM141" s="3"/>
      <c r="VON141" s="3"/>
      <c r="VOO141" s="3"/>
      <c r="VOP141" s="3"/>
      <c r="VOQ141" s="3"/>
      <c r="VOR141" s="3"/>
      <c r="VOS141" s="3"/>
      <c r="VOT141" s="3"/>
      <c r="VOU141" s="3"/>
      <c r="VOV141" s="3"/>
      <c r="VOW141" s="3"/>
      <c r="VOX141" s="3"/>
      <c r="VOY141" s="3"/>
      <c r="VOZ141" s="3"/>
      <c r="VPA141" s="3"/>
      <c r="VPB141" s="3"/>
      <c r="VPC141" s="3"/>
      <c r="VPD141" s="3"/>
      <c r="VPE141" s="3"/>
      <c r="VPF141" s="3"/>
      <c r="VPG141" s="3"/>
      <c r="VPH141" s="3"/>
      <c r="VPI141" s="3"/>
      <c r="VPJ141" s="3"/>
      <c r="VPK141" s="3"/>
      <c r="VPL141" s="3"/>
      <c r="VPM141" s="3"/>
      <c r="VPN141" s="3"/>
      <c r="VPO141" s="3"/>
      <c r="VPP141" s="3"/>
      <c r="VPQ141" s="3"/>
      <c r="VPR141" s="3"/>
      <c r="VPS141" s="3"/>
      <c r="VPT141" s="3"/>
      <c r="VPU141" s="3"/>
      <c r="VPV141" s="3"/>
      <c r="VPW141" s="3"/>
      <c r="VPX141" s="3"/>
      <c r="VPY141" s="3"/>
      <c r="VPZ141" s="3"/>
      <c r="VQA141" s="3"/>
      <c r="VQB141" s="3"/>
      <c r="VQC141" s="3"/>
      <c r="VQD141" s="3"/>
      <c r="VQE141" s="3"/>
      <c r="VQF141" s="3"/>
      <c r="VQG141" s="3"/>
      <c r="VQH141" s="3"/>
      <c r="VQI141" s="3"/>
      <c r="VQJ141" s="3"/>
      <c r="VQK141" s="3"/>
      <c r="VQL141" s="3"/>
      <c r="VQM141" s="3"/>
      <c r="VQN141" s="3"/>
      <c r="VQO141" s="3"/>
      <c r="VQP141" s="3"/>
      <c r="VQQ141" s="3"/>
      <c r="VQR141" s="3"/>
      <c r="VQS141" s="3"/>
      <c r="VQT141" s="3"/>
      <c r="VQU141" s="3"/>
      <c r="VQV141" s="3"/>
      <c r="VQW141" s="3"/>
      <c r="VQX141" s="3"/>
      <c r="VQY141" s="3"/>
      <c r="VQZ141" s="3"/>
      <c r="VRA141" s="3"/>
      <c r="VRB141" s="3"/>
      <c r="VRC141" s="3"/>
      <c r="VRD141" s="3"/>
      <c r="VRE141" s="3"/>
      <c r="VRF141" s="3"/>
      <c r="VRG141" s="3"/>
      <c r="VRH141" s="3"/>
      <c r="VRI141" s="3"/>
      <c r="VRJ141" s="3"/>
      <c r="VRK141" s="3"/>
      <c r="VRL141" s="3"/>
      <c r="VRM141" s="3"/>
      <c r="VRN141" s="3"/>
      <c r="VRO141" s="3"/>
      <c r="VRP141" s="3"/>
      <c r="VRQ141" s="3"/>
      <c r="VRR141" s="3"/>
      <c r="VRS141" s="3"/>
      <c r="VRT141" s="3"/>
      <c r="VRU141" s="3"/>
      <c r="VRV141" s="3"/>
      <c r="VRW141" s="3"/>
      <c r="VRX141" s="3"/>
      <c r="VRY141" s="3"/>
      <c r="VRZ141" s="3"/>
      <c r="VSA141" s="3"/>
      <c r="VSB141" s="3"/>
      <c r="VSC141" s="3"/>
      <c r="VSD141" s="3"/>
      <c r="VSE141" s="3"/>
      <c r="VSF141" s="3"/>
      <c r="VSG141" s="3"/>
      <c r="VSH141" s="3"/>
      <c r="VSI141" s="3"/>
      <c r="VSJ141" s="3"/>
      <c r="VSK141" s="3"/>
      <c r="VSL141" s="3"/>
      <c r="VSM141" s="3"/>
      <c r="VSN141" s="3"/>
      <c r="VSO141" s="3"/>
      <c r="VSP141" s="3"/>
      <c r="VSQ141" s="3"/>
      <c r="VSR141" s="3"/>
      <c r="VSS141" s="3"/>
      <c r="VST141" s="3"/>
      <c r="VSU141" s="3"/>
      <c r="VSV141" s="3"/>
      <c r="VSW141" s="3"/>
      <c r="VSX141" s="3"/>
      <c r="VSY141" s="3"/>
      <c r="VSZ141" s="3"/>
      <c r="VTA141" s="3"/>
      <c r="VTB141" s="3"/>
      <c r="VTC141" s="3"/>
      <c r="VTD141" s="3"/>
      <c r="VTE141" s="3"/>
      <c r="VTF141" s="3"/>
      <c r="VTG141" s="3"/>
      <c r="VTH141" s="3"/>
      <c r="VTI141" s="3"/>
      <c r="VTJ141" s="3"/>
      <c r="VTK141" s="3"/>
      <c r="VTL141" s="3"/>
      <c r="VTM141" s="3"/>
      <c r="VTN141" s="3"/>
      <c r="VTO141" s="3"/>
      <c r="VTP141" s="3"/>
      <c r="VTQ141" s="3"/>
      <c r="VTR141" s="3"/>
      <c r="VTS141" s="3"/>
      <c r="VTT141" s="3"/>
      <c r="VTU141" s="3"/>
      <c r="VTV141" s="3"/>
      <c r="VTW141" s="3"/>
      <c r="VTX141" s="3"/>
      <c r="VTY141" s="3"/>
      <c r="VTZ141" s="3"/>
      <c r="VUA141" s="3"/>
      <c r="VUB141" s="3"/>
      <c r="VUC141" s="3"/>
      <c r="VUD141" s="3"/>
      <c r="VUE141" s="3"/>
      <c r="VUF141" s="3"/>
      <c r="VUG141" s="3"/>
      <c r="VUH141" s="3"/>
      <c r="VUI141" s="3"/>
      <c r="VUJ141" s="3"/>
      <c r="VUK141" s="3"/>
      <c r="VUL141" s="3"/>
      <c r="VUM141" s="3"/>
      <c r="VUN141" s="3"/>
      <c r="VUO141" s="3"/>
      <c r="VUP141" s="3"/>
      <c r="VUQ141" s="3"/>
      <c r="VUR141" s="3"/>
      <c r="VUS141" s="3"/>
      <c r="VUT141" s="3"/>
      <c r="VUU141" s="3"/>
      <c r="VUV141" s="3"/>
      <c r="VUW141" s="3"/>
      <c r="VUX141" s="3"/>
      <c r="VUY141" s="3"/>
      <c r="VUZ141" s="3"/>
      <c r="VVA141" s="3"/>
      <c r="VVB141" s="3"/>
      <c r="VVC141" s="3"/>
      <c r="VVD141" s="3"/>
      <c r="VVE141" s="3"/>
      <c r="VVF141" s="3"/>
      <c r="VVG141" s="3"/>
      <c r="VVH141" s="3"/>
      <c r="VVI141" s="3"/>
      <c r="VVJ141" s="3"/>
      <c r="VVK141" s="3"/>
      <c r="VVL141" s="3"/>
      <c r="VVM141" s="3"/>
      <c r="VVN141" s="3"/>
      <c r="VVO141" s="3"/>
      <c r="VVP141" s="3"/>
      <c r="VVQ141" s="3"/>
      <c r="VVR141" s="3"/>
      <c r="VVS141" s="3"/>
      <c r="VVT141" s="3"/>
      <c r="VVU141" s="3"/>
      <c r="VVV141" s="3"/>
      <c r="VVW141" s="3"/>
      <c r="VVX141" s="3"/>
      <c r="VVY141" s="3"/>
      <c r="VVZ141" s="3"/>
      <c r="VWA141" s="3"/>
      <c r="VWB141" s="3"/>
      <c r="VWC141" s="3"/>
      <c r="VWD141" s="3"/>
      <c r="VWE141" s="3"/>
      <c r="VWF141" s="3"/>
      <c r="VWG141" s="3"/>
      <c r="VWH141" s="3"/>
      <c r="VWI141" s="3"/>
      <c r="VWJ141" s="3"/>
      <c r="VWK141" s="3"/>
      <c r="VWL141" s="3"/>
      <c r="VWM141" s="3"/>
      <c r="VWN141" s="3"/>
      <c r="VWO141" s="3"/>
      <c r="VWP141" s="3"/>
      <c r="VWQ141" s="3"/>
      <c r="VWR141" s="3"/>
      <c r="VWS141" s="3"/>
      <c r="VWT141" s="3"/>
      <c r="VWU141" s="3"/>
      <c r="VWV141" s="3"/>
      <c r="VWW141" s="3"/>
      <c r="VWX141" s="3"/>
      <c r="VWY141" s="3"/>
      <c r="VWZ141" s="3"/>
      <c r="VXA141" s="3"/>
      <c r="VXB141" s="3"/>
      <c r="VXC141" s="3"/>
      <c r="VXD141" s="3"/>
      <c r="VXE141" s="3"/>
      <c r="VXF141" s="3"/>
      <c r="VXG141" s="3"/>
      <c r="VXH141" s="3"/>
      <c r="VXI141" s="3"/>
      <c r="VXJ141" s="3"/>
      <c r="VXK141" s="3"/>
      <c r="VXL141" s="3"/>
      <c r="VXM141" s="3"/>
      <c r="VXN141" s="3"/>
      <c r="VXO141" s="3"/>
      <c r="VXP141" s="3"/>
      <c r="VXQ141" s="3"/>
      <c r="VXR141" s="3"/>
      <c r="VXS141" s="3"/>
      <c r="VXT141" s="3"/>
      <c r="VXU141" s="3"/>
      <c r="VXV141" s="3"/>
      <c r="VXW141" s="3"/>
      <c r="VXX141" s="3"/>
      <c r="VXY141" s="3"/>
      <c r="VXZ141" s="3"/>
      <c r="VYA141" s="3"/>
      <c r="VYB141" s="3"/>
      <c r="VYC141" s="3"/>
      <c r="VYD141" s="3"/>
      <c r="VYE141" s="3"/>
      <c r="VYF141" s="3"/>
      <c r="VYG141" s="3"/>
      <c r="VYH141" s="3"/>
      <c r="VYI141" s="3"/>
      <c r="VYJ141" s="3"/>
      <c r="VYK141" s="3"/>
      <c r="VYL141" s="3"/>
      <c r="VYM141" s="3"/>
      <c r="VYN141" s="3"/>
      <c r="VYO141" s="3"/>
      <c r="VYP141" s="3"/>
      <c r="VYQ141" s="3"/>
      <c r="VYR141" s="3"/>
      <c r="VYS141" s="3"/>
      <c r="VYT141" s="3"/>
      <c r="VYU141" s="3"/>
      <c r="VYV141" s="3"/>
      <c r="VYW141" s="3"/>
      <c r="VYX141" s="3"/>
      <c r="VYY141" s="3"/>
      <c r="VYZ141" s="3"/>
      <c r="VZA141" s="3"/>
      <c r="VZB141" s="3"/>
      <c r="VZC141" s="3"/>
      <c r="VZD141" s="3"/>
      <c r="VZE141" s="3"/>
      <c r="VZF141" s="3"/>
      <c r="VZG141" s="3"/>
      <c r="VZH141" s="3"/>
      <c r="VZI141" s="3"/>
      <c r="VZJ141" s="3"/>
      <c r="VZK141" s="3"/>
      <c r="VZL141" s="3"/>
      <c r="VZM141" s="3"/>
      <c r="VZN141" s="3"/>
      <c r="VZO141" s="3"/>
      <c r="VZP141" s="3"/>
      <c r="VZQ141" s="3"/>
      <c r="VZR141" s="3"/>
      <c r="VZS141" s="3"/>
      <c r="VZT141" s="3"/>
      <c r="VZU141" s="3"/>
      <c r="VZV141" s="3"/>
      <c r="VZW141" s="3"/>
      <c r="VZX141" s="3"/>
      <c r="VZY141" s="3"/>
      <c r="VZZ141" s="3"/>
      <c r="WAA141" s="3"/>
      <c r="WAB141" s="3"/>
      <c r="WAC141" s="3"/>
      <c r="WAD141" s="3"/>
      <c r="WAE141" s="3"/>
      <c r="WAF141" s="3"/>
      <c r="WAG141" s="3"/>
      <c r="WAH141" s="3"/>
      <c r="WAI141" s="3"/>
      <c r="WAJ141" s="3"/>
      <c r="WAK141" s="3"/>
      <c r="WAL141" s="3"/>
      <c r="WAM141" s="3"/>
      <c r="WAN141" s="3"/>
      <c r="WAO141" s="3"/>
      <c r="WAP141" s="3"/>
      <c r="WAQ141" s="3"/>
      <c r="WAR141" s="3"/>
      <c r="WAS141" s="3"/>
      <c r="WAT141" s="3"/>
      <c r="WAU141" s="3"/>
      <c r="WAV141" s="3"/>
      <c r="WAW141" s="3"/>
      <c r="WAX141" s="3"/>
      <c r="WAY141" s="3"/>
      <c r="WAZ141" s="3"/>
      <c r="WBA141" s="3"/>
      <c r="WBB141" s="3"/>
      <c r="WBC141" s="3"/>
      <c r="WBD141" s="3"/>
      <c r="WBE141" s="3"/>
      <c r="WBF141" s="3"/>
      <c r="WBG141" s="3"/>
      <c r="WBH141" s="3"/>
      <c r="WBI141" s="3"/>
      <c r="WBJ141" s="3"/>
      <c r="WBK141" s="3"/>
      <c r="WBL141" s="3"/>
      <c r="WBM141" s="3"/>
      <c r="WBN141" s="3"/>
      <c r="WBO141" s="3"/>
      <c r="WBP141" s="3"/>
      <c r="WBQ141" s="3"/>
      <c r="WBR141" s="3"/>
      <c r="WBS141" s="3"/>
      <c r="WBT141" s="3"/>
      <c r="WBU141" s="3"/>
      <c r="WBV141" s="3"/>
      <c r="WBW141" s="3"/>
      <c r="WBX141" s="3"/>
      <c r="WBY141" s="3"/>
      <c r="WBZ141" s="3"/>
      <c r="WCA141" s="3"/>
      <c r="WCB141" s="3"/>
      <c r="WCC141" s="3"/>
      <c r="WCD141" s="3"/>
      <c r="WCE141" s="3"/>
      <c r="WCF141" s="3"/>
      <c r="WCG141" s="3"/>
      <c r="WCH141" s="3"/>
      <c r="WCI141" s="3"/>
      <c r="WCJ141" s="3"/>
      <c r="WCK141" s="3"/>
      <c r="WCL141" s="3"/>
      <c r="WCM141" s="3"/>
      <c r="WCN141" s="3"/>
      <c r="WCO141" s="3"/>
      <c r="WCP141" s="3"/>
      <c r="WCQ141" s="3"/>
      <c r="WCR141" s="3"/>
      <c r="WCS141" s="3"/>
      <c r="WCT141" s="3"/>
      <c r="WCU141" s="3"/>
      <c r="WCV141" s="3"/>
      <c r="WCW141" s="3"/>
      <c r="WCX141" s="3"/>
      <c r="WCY141" s="3"/>
      <c r="WCZ141" s="3"/>
      <c r="WDA141" s="3"/>
      <c r="WDB141" s="3"/>
      <c r="WDC141" s="3"/>
      <c r="WDD141" s="3"/>
      <c r="WDE141" s="3"/>
      <c r="WDF141" s="3"/>
      <c r="WDG141" s="3"/>
      <c r="WDH141" s="3"/>
      <c r="WDI141" s="3"/>
      <c r="WDJ141" s="3"/>
      <c r="WDK141" s="3"/>
      <c r="WDL141" s="3"/>
      <c r="WDM141" s="3"/>
      <c r="WDN141" s="3"/>
      <c r="WDO141" s="3"/>
      <c r="WDP141" s="3"/>
      <c r="WDQ141" s="3"/>
      <c r="WDR141" s="3"/>
      <c r="WDS141" s="3"/>
      <c r="WDT141" s="3"/>
      <c r="WDU141" s="3"/>
      <c r="WDV141" s="3"/>
      <c r="WDW141" s="3"/>
      <c r="WDX141" s="3"/>
      <c r="WDY141" s="3"/>
      <c r="WDZ141" s="3"/>
      <c r="WEA141" s="3"/>
      <c r="WEB141" s="3"/>
      <c r="WEC141" s="3"/>
      <c r="WED141" s="3"/>
      <c r="WEE141" s="3"/>
      <c r="WEF141" s="3"/>
      <c r="WEG141" s="3"/>
      <c r="WEH141" s="3"/>
      <c r="WEI141" s="3"/>
      <c r="WEJ141" s="3"/>
      <c r="WEK141" s="3"/>
      <c r="WEL141" s="3"/>
      <c r="WEM141" s="3"/>
      <c r="WEN141" s="3"/>
      <c r="WEO141" s="3"/>
      <c r="WEP141" s="3"/>
      <c r="WEQ141" s="3"/>
      <c r="WER141" s="3"/>
      <c r="WES141" s="3"/>
      <c r="WET141" s="3"/>
      <c r="WEU141" s="3"/>
      <c r="WEV141" s="3"/>
      <c r="WEW141" s="3"/>
      <c r="WEX141" s="3"/>
      <c r="WEY141" s="3"/>
      <c r="WEZ141" s="3"/>
      <c r="WFA141" s="3"/>
      <c r="WFB141" s="3"/>
      <c r="WFC141" s="3"/>
      <c r="WFD141" s="3"/>
      <c r="WFE141" s="3"/>
      <c r="WFF141" s="3"/>
      <c r="WFG141" s="3"/>
      <c r="WFH141" s="3"/>
      <c r="WFI141" s="3"/>
      <c r="WFJ141" s="3"/>
      <c r="WFK141" s="3"/>
      <c r="WFL141" s="3"/>
      <c r="WFM141" s="3"/>
      <c r="WFN141" s="3"/>
      <c r="WFO141" s="3"/>
      <c r="WFP141" s="3"/>
      <c r="WFQ141" s="3"/>
      <c r="WFR141" s="3"/>
      <c r="WFS141" s="3"/>
      <c r="WFT141" s="3"/>
      <c r="WFU141" s="3"/>
      <c r="WFV141" s="3"/>
      <c r="WFW141" s="3"/>
      <c r="WFX141" s="3"/>
      <c r="WFY141" s="3"/>
      <c r="WFZ141" s="3"/>
      <c r="WGA141" s="3"/>
      <c r="WGB141" s="3"/>
      <c r="WGC141" s="3"/>
      <c r="WGD141" s="3"/>
      <c r="WGE141" s="3"/>
      <c r="WGF141" s="3"/>
      <c r="WGG141" s="3"/>
      <c r="WGH141" s="3"/>
      <c r="WGI141" s="3"/>
      <c r="WGJ141" s="3"/>
      <c r="WGK141" s="3"/>
      <c r="WGL141" s="3"/>
      <c r="WGM141" s="3"/>
      <c r="WGN141" s="3"/>
      <c r="WGO141" s="3"/>
      <c r="WGP141" s="3"/>
      <c r="WGQ141" s="3"/>
      <c r="WGR141" s="3"/>
      <c r="WGS141" s="3"/>
      <c r="WGT141" s="3"/>
      <c r="WGU141" s="3"/>
      <c r="WGV141" s="3"/>
      <c r="WGW141" s="3"/>
      <c r="WGX141" s="3"/>
      <c r="WGY141" s="3"/>
      <c r="WGZ141" s="3"/>
      <c r="WHA141" s="3"/>
      <c r="WHB141" s="3"/>
      <c r="WHC141" s="3"/>
      <c r="WHD141" s="3"/>
      <c r="WHE141" s="3"/>
      <c r="WHF141" s="3"/>
      <c r="WHG141" s="3"/>
      <c r="WHH141" s="3"/>
      <c r="WHI141" s="3"/>
      <c r="WHJ141" s="3"/>
      <c r="WHK141" s="3"/>
      <c r="WHL141" s="3"/>
      <c r="WHM141" s="3"/>
      <c r="WHN141" s="3"/>
      <c r="WHO141" s="3"/>
      <c r="WHP141" s="3"/>
      <c r="WHQ141" s="3"/>
      <c r="WHR141" s="3"/>
      <c r="WHS141" s="3"/>
      <c r="WHT141" s="3"/>
      <c r="WHU141" s="3"/>
      <c r="WHV141" s="3"/>
      <c r="WHW141" s="3"/>
      <c r="WHX141" s="3"/>
      <c r="WHY141" s="3"/>
      <c r="WHZ141" s="3"/>
      <c r="WIA141" s="3"/>
      <c r="WIB141" s="3"/>
      <c r="WIC141" s="3"/>
      <c r="WID141" s="3"/>
      <c r="WIE141" s="3"/>
      <c r="WIF141" s="3"/>
      <c r="WIG141" s="3"/>
      <c r="WIH141" s="3"/>
      <c r="WII141" s="3"/>
      <c r="WIJ141" s="3"/>
      <c r="WIK141" s="3"/>
      <c r="WIL141" s="3"/>
      <c r="WIM141" s="3"/>
      <c r="WIN141" s="3"/>
      <c r="WIO141" s="3"/>
      <c r="WIP141" s="3"/>
      <c r="WIQ141" s="3"/>
      <c r="WIR141" s="3"/>
      <c r="WIS141" s="3"/>
      <c r="WIT141" s="3"/>
      <c r="WIU141" s="3"/>
      <c r="WIV141" s="3"/>
      <c r="WIW141" s="3"/>
      <c r="WIX141" s="3"/>
      <c r="WIY141" s="3"/>
      <c r="WIZ141" s="3"/>
      <c r="WJA141" s="3"/>
      <c r="WJB141" s="3"/>
      <c r="WJC141" s="3"/>
      <c r="WJD141" s="3"/>
      <c r="WJE141" s="3"/>
      <c r="WJF141" s="3"/>
      <c r="WJG141" s="3"/>
      <c r="WJH141" s="3"/>
      <c r="WJI141" s="3"/>
      <c r="WJJ141" s="3"/>
      <c r="WJK141" s="3"/>
      <c r="WJL141" s="3"/>
      <c r="WJM141" s="3"/>
      <c r="WJN141" s="3"/>
      <c r="WJO141" s="3"/>
      <c r="WJP141" s="3"/>
      <c r="WJQ141" s="3"/>
      <c r="WJR141" s="3"/>
      <c r="WJS141" s="3"/>
      <c r="WJT141" s="3"/>
      <c r="WJU141" s="3"/>
      <c r="WJV141" s="3"/>
      <c r="WJW141" s="3"/>
      <c r="WJX141" s="3"/>
      <c r="WJY141" s="3"/>
      <c r="WJZ141" s="3"/>
      <c r="WKA141" s="3"/>
      <c r="WKB141" s="3"/>
      <c r="WKC141" s="3"/>
      <c r="WKD141" s="3"/>
      <c r="WKE141" s="3"/>
      <c r="WKF141" s="3"/>
      <c r="WKG141" s="3"/>
      <c r="WKH141" s="3"/>
      <c r="WKI141" s="3"/>
      <c r="WKJ141" s="3"/>
      <c r="WKK141" s="3"/>
      <c r="WKL141" s="3"/>
      <c r="WKM141" s="3"/>
      <c r="WKN141" s="3"/>
      <c r="WKO141" s="3"/>
      <c r="WKP141" s="3"/>
      <c r="WKQ141" s="3"/>
      <c r="WKR141" s="3"/>
      <c r="WKS141" s="3"/>
      <c r="WKT141" s="3"/>
      <c r="WKU141" s="3"/>
      <c r="WKV141" s="3"/>
      <c r="WKW141" s="3"/>
      <c r="WKX141" s="3"/>
      <c r="WKY141" s="3"/>
      <c r="WKZ141" s="3"/>
      <c r="WLA141" s="3"/>
      <c r="WLB141" s="3"/>
      <c r="WLC141" s="3"/>
      <c r="WLD141" s="3"/>
      <c r="WLE141" s="3"/>
      <c r="WLF141" s="3"/>
      <c r="WLG141" s="3"/>
      <c r="WLH141" s="3"/>
      <c r="WLI141" s="3"/>
      <c r="WLJ141" s="3"/>
      <c r="WLK141" s="3"/>
      <c r="WLL141" s="3"/>
      <c r="WLM141" s="3"/>
      <c r="WLN141" s="3"/>
      <c r="WLO141" s="3"/>
      <c r="WLP141" s="3"/>
      <c r="WLQ141" s="3"/>
      <c r="WLR141" s="3"/>
      <c r="WLS141" s="3"/>
      <c r="WLT141" s="3"/>
      <c r="WLU141" s="3"/>
      <c r="WLV141" s="3"/>
      <c r="WLW141" s="3"/>
      <c r="WLX141" s="3"/>
      <c r="WLY141" s="3"/>
      <c r="WLZ141" s="3"/>
      <c r="WMA141" s="3"/>
      <c r="WMB141" s="3"/>
      <c r="WMC141" s="3"/>
      <c r="WMD141" s="3"/>
      <c r="WME141" s="3"/>
      <c r="WMF141" s="3"/>
      <c r="WMG141" s="3"/>
      <c r="WMH141" s="3"/>
      <c r="WMI141" s="3"/>
      <c r="WMJ141" s="3"/>
      <c r="WMK141" s="3"/>
      <c r="WML141" s="3"/>
      <c r="WMM141" s="3"/>
      <c r="WMN141" s="3"/>
      <c r="WMO141" s="3"/>
      <c r="WMP141" s="3"/>
      <c r="WMQ141" s="3"/>
      <c r="WMR141" s="3"/>
      <c r="WMS141" s="3"/>
      <c r="WMT141" s="3"/>
      <c r="WMU141" s="3"/>
      <c r="WMV141" s="3"/>
      <c r="WMW141" s="3"/>
      <c r="WMX141" s="3"/>
      <c r="WMY141" s="3"/>
      <c r="WMZ141" s="3"/>
      <c r="WNA141" s="3"/>
      <c r="WNB141" s="3"/>
      <c r="WNC141" s="3"/>
      <c r="WND141" s="3"/>
      <c r="WNE141" s="3"/>
      <c r="WNF141" s="3"/>
      <c r="WNG141" s="3"/>
      <c r="WNH141" s="3"/>
      <c r="WNI141" s="3"/>
      <c r="WNJ141" s="3"/>
      <c r="WNK141" s="3"/>
      <c r="WNL141" s="3"/>
      <c r="WNM141" s="3"/>
      <c r="WNN141" s="3"/>
      <c r="WNO141" s="3"/>
      <c r="WNP141" s="3"/>
      <c r="WNQ141" s="3"/>
      <c r="WNR141" s="3"/>
      <c r="WNS141" s="3"/>
      <c r="WNT141" s="3"/>
      <c r="WNU141" s="3"/>
      <c r="WNV141" s="3"/>
      <c r="WNW141" s="3"/>
      <c r="WNX141" s="3"/>
      <c r="WNY141" s="3"/>
      <c r="WNZ141" s="3"/>
      <c r="WOA141" s="3"/>
      <c r="WOB141" s="3"/>
      <c r="WOC141" s="3"/>
      <c r="WOD141" s="3"/>
      <c r="WOE141" s="3"/>
      <c r="WOF141" s="3"/>
      <c r="WOG141" s="3"/>
      <c r="WOH141" s="3"/>
      <c r="WOI141" s="3"/>
      <c r="WOJ141" s="3"/>
      <c r="WOK141" s="3"/>
      <c r="WOL141" s="3"/>
      <c r="WOM141" s="3"/>
      <c r="WON141" s="3"/>
      <c r="WOO141" s="3"/>
      <c r="WOP141" s="3"/>
      <c r="WOQ141" s="3"/>
      <c r="WOR141" s="3"/>
      <c r="WOS141" s="3"/>
      <c r="WOT141" s="3"/>
      <c r="WOU141" s="3"/>
      <c r="WOV141" s="3"/>
      <c r="WOW141" s="3"/>
      <c r="WOX141" s="3"/>
      <c r="WOY141" s="3"/>
      <c r="WOZ141" s="3"/>
      <c r="WPA141" s="3"/>
      <c r="WPB141" s="3"/>
      <c r="WPC141" s="3"/>
      <c r="WPD141" s="3"/>
      <c r="WPE141" s="3"/>
      <c r="WPF141" s="3"/>
      <c r="WPG141" s="3"/>
      <c r="WPH141" s="3"/>
      <c r="WPI141" s="3"/>
      <c r="WPJ141" s="3"/>
      <c r="WPK141" s="3"/>
      <c r="WPL141" s="3"/>
      <c r="WPM141" s="3"/>
      <c r="WPN141" s="3"/>
      <c r="WPO141" s="3"/>
      <c r="WPP141" s="3"/>
      <c r="WPQ141" s="3"/>
      <c r="WPR141" s="3"/>
      <c r="WPS141" s="3"/>
      <c r="WPT141" s="3"/>
      <c r="WPU141" s="3"/>
      <c r="WPV141" s="3"/>
      <c r="WPW141" s="3"/>
      <c r="WPX141" s="3"/>
      <c r="WPY141" s="3"/>
      <c r="WPZ141" s="3"/>
      <c r="WQA141" s="3"/>
      <c r="WQB141" s="3"/>
      <c r="WQC141" s="3"/>
      <c r="WQD141" s="3"/>
      <c r="WQE141" s="3"/>
      <c r="WQF141" s="3"/>
      <c r="WQG141" s="3"/>
      <c r="WQH141" s="3"/>
      <c r="WQI141" s="3"/>
      <c r="WQJ141" s="3"/>
      <c r="WQK141" s="3"/>
      <c r="WQL141" s="3"/>
      <c r="WQM141" s="3"/>
      <c r="WQN141" s="3"/>
      <c r="WQO141" s="3"/>
      <c r="WQP141" s="3"/>
      <c r="WQQ141" s="3"/>
      <c r="WQR141" s="3"/>
      <c r="WQS141" s="3"/>
      <c r="WQT141" s="3"/>
      <c r="WQU141" s="3"/>
      <c r="WQV141" s="3"/>
      <c r="WQW141" s="3"/>
      <c r="WQX141" s="3"/>
      <c r="WQY141" s="3"/>
      <c r="WQZ141" s="3"/>
      <c r="WRA141" s="3"/>
      <c r="WRB141" s="3"/>
      <c r="WRC141" s="3"/>
      <c r="WRD141" s="3"/>
      <c r="WRE141" s="3"/>
      <c r="WRF141" s="3"/>
      <c r="WRG141" s="3"/>
      <c r="WRH141" s="3"/>
      <c r="WRI141" s="3"/>
      <c r="WRJ141" s="3"/>
      <c r="WRK141" s="3"/>
      <c r="WRL141" s="3"/>
      <c r="WRM141" s="3"/>
      <c r="WRN141" s="3"/>
      <c r="WRO141" s="3"/>
      <c r="WRP141" s="3"/>
      <c r="WRQ141" s="3"/>
      <c r="WRR141" s="3"/>
      <c r="WRS141" s="3"/>
      <c r="WRT141" s="3"/>
      <c r="WRU141" s="3"/>
      <c r="WRV141" s="3"/>
      <c r="WRW141" s="3"/>
      <c r="WRX141" s="3"/>
      <c r="WRY141" s="3"/>
      <c r="WRZ141" s="3"/>
      <c r="WSA141" s="3"/>
      <c r="WSB141" s="3"/>
      <c r="WSC141" s="3"/>
      <c r="WSD141" s="3"/>
      <c r="WSE141" s="3"/>
      <c r="WSF141" s="3"/>
      <c r="WSG141" s="3"/>
      <c r="WSH141" s="3"/>
      <c r="WSI141" s="3"/>
      <c r="WSJ141" s="3"/>
      <c r="WSK141" s="3"/>
      <c r="WSL141" s="3"/>
      <c r="WSM141" s="3"/>
      <c r="WSN141" s="3"/>
      <c r="WSO141" s="3"/>
      <c r="WSP141" s="3"/>
      <c r="WSQ141" s="3"/>
      <c r="WSR141" s="3"/>
      <c r="WSS141" s="3"/>
      <c r="WST141" s="3"/>
      <c r="WSU141" s="3"/>
      <c r="WSV141" s="3"/>
      <c r="WSW141" s="3"/>
      <c r="WSX141" s="3"/>
      <c r="WSY141" s="3"/>
      <c r="WSZ141" s="3"/>
      <c r="WTA141" s="3"/>
      <c r="WTB141" s="3"/>
      <c r="WTC141" s="3"/>
      <c r="WTD141" s="3"/>
      <c r="WTE141" s="3"/>
      <c r="WTF141" s="3"/>
      <c r="WTG141" s="3"/>
      <c r="WTH141" s="3"/>
      <c r="WTI141" s="3"/>
      <c r="WTJ141" s="3"/>
      <c r="WTK141" s="3"/>
      <c r="WTL141" s="3"/>
      <c r="WTM141" s="3"/>
      <c r="WTN141" s="3"/>
      <c r="WTO141" s="3"/>
      <c r="WTP141" s="3"/>
      <c r="WTQ141" s="3"/>
      <c r="WTR141" s="3"/>
      <c r="WTS141" s="3"/>
      <c r="WTT141" s="3"/>
      <c r="WTU141" s="3"/>
      <c r="WTV141" s="3"/>
      <c r="WTW141" s="3"/>
      <c r="WTX141" s="3"/>
      <c r="WTY141" s="3"/>
      <c r="WTZ141" s="3"/>
      <c r="WUA141" s="3"/>
      <c r="WUB141" s="3"/>
      <c r="WUC141" s="3"/>
      <c r="WUD141" s="3"/>
      <c r="WUE141" s="3"/>
      <c r="WUF141" s="3"/>
      <c r="WUG141" s="3"/>
      <c r="WUH141" s="3"/>
      <c r="WUI141" s="3"/>
      <c r="WUJ141" s="3"/>
      <c r="WUK141" s="3"/>
      <c r="WUL141" s="3"/>
      <c r="WUM141" s="3"/>
      <c r="WUN141" s="3"/>
      <c r="WUO141" s="3"/>
      <c r="WUP141" s="3"/>
      <c r="WUQ141" s="3"/>
      <c r="WUR141" s="3"/>
      <c r="WUS141" s="3"/>
      <c r="WUT141" s="3"/>
      <c r="WUU141" s="3"/>
      <c r="WUV141" s="3"/>
      <c r="WUW141" s="3"/>
      <c r="WUX141" s="3"/>
      <c r="WUY141" s="3"/>
      <c r="WUZ141" s="3"/>
      <c r="WVA141" s="3"/>
      <c r="WVB141" s="3"/>
      <c r="WVC141" s="3"/>
      <c r="WVD141" s="3"/>
      <c r="WVE141" s="3"/>
      <c r="WVF141" s="3"/>
      <c r="WVG141" s="3"/>
      <c r="WVH141" s="3"/>
      <c r="WVI141" s="3"/>
      <c r="WVJ141" s="3"/>
      <c r="WVK141" s="3"/>
      <c r="WVL141" s="3"/>
      <c r="WVM141" s="3"/>
      <c r="WVN141" s="3"/>
      <c r="WVO141" s="3"/>
      <c r="WVP141" s="3"/>
      <c r="WVQ141" s="3"/>
      <c r="WVR141" s="3"/>
      <c r="WVS141" s="3"/>
      <c r="WVT141" s="3"/>
      <c r="WVU141" s="3"/>
      <c r="WVV141" s="3"/>
      <c r="WVW141" s="3"/>
      <c r="WVX141" s="3"/>
      <c r="WVY141" s="3"/>
      <c r="WVZ141" s="3"/>
      <c r="WWA141" s="3"/>
      <c r="WWB141" s="3"/>
      <c r="WWC141" s="3"/>
      <c r="WWD141" s="3"/>
      <c r="WWE141" s="3"/>
      <c r="WWF141" s="3"/>
      <c r="WWG141" s="3"/>
      <c r="WWH141" s="3"/>
      <c r="WWI141" s="3"/>
      <c r="WWJ141" s="3"/>
      <c r="WWK141" s="3"/>
      <c r="WWL141" s="3"/>
      <c r="WWM141" s="3"/>
      <c r="WWN141" s="3"/>
      <c r="WWO141" s="3"/>
      <c r="WWP141" s="3"/>
      <c r="WWQ141" s="3"/>
      <c r="WWR141" s="3"/>
      <c r="WWS141" s="3"/>
      <c r="WWT141" s="3"/>
      <c r="WWU141" s="3"/>
      <c r="WWV141" s="3"/>
      <c r="WWW141" s="3"/>
      <c r="WWX141" s="3"/>
      <c r="WWY141" s="3"/>
      <c r="WWZ141" s="3"/>
      <c r="WXA141" s="3"/>
      <c r="WXB141" s="3"/>
      <c r="WXC141" s="3"/>
      <c r="WXD141" s="3"/>
      <c r="WXE141" s="3"/>
      <c r="WXF141" s="3"/>
      <c r="WXG141" s="3"/>
      <c r="WXH141" s="3"/>
      <c r="WXI141" s="3"/>
      <c r="WXJ141" s="3"/>
      <c r="WXK141" s="3"/>
      <c r="WXL141" s="3"/>
      <c r="WXM141" s="3"/>
      <c r="WXN141" s="3"/>
      <c r="WXO141" s="3"/>
      <c r="WXP141" s="3"/>
      <c r="WXQ141" s="3"/>
      <c r="WXR141" s="3"/>
      <c r="WXS141" s="3"/>
      <c r="WXT141" s="3"/>
      <c r="WXU141" s="3"/>
      <c r="WXV141" s="3"/>
      <c r="WXW141" s="3"/>
      <c r="WXX141" s="3"/>
      <c r="WXY141" s="3"/>
      <c r="WXZ141" s="3"/>
      <c r="WYA141" s="3"/>
      <c r="WYB141" s="3"/>
      <c r="WYC141" s="3"/>
      <c r="WYD141" s="3"/>
      <c r="WYE141" s="3"/>
      <c r="WYF141" s="3"/>
      <c r="WYG141" s="3"/>
      <c r="WYH141" s="3"/>
      <c r="WYI141" s="3"/>
      <c r="WYJ141" s="3"/>
      <c r="WYK141" s="3"/>
      <c r="WYL141" s="3"/>
      <c r="WYM141" s="3"/>
      <c r="WYN141" s="3"/>
      <c r="WYO141" s="3"/>
      <c r="WYP141" s="3"/>
      <c r="WYQ141" s="3"/>
      <c r="WYR141" s="3"/>
      <c r="WYS141" s="3"/>
      <c r="WYT141" s="3"/>
      <c r="WYU141" s="3"/>
      <c r="WYV141" s="3"/>
      <c r="WYW141" s="3"/>
      <c r="WYX141" s="3"/>
      <c r="WYY141" s="3"/>
      <c r="WYZ141" s="3"/>
      <c r="WZA141" s="3"/>
      <c r="WZB141" s="3"/>
      <c r="WZC141" s="3"/>
      <c r="WZD141" s="3"/>
      <c r="WZE141" s="3"/>
      <c r="WZF141" s="3"/>
      <c r="WZG141" s="3"/>
      <c r="WZH141" s="3"/>
      <c r="WZI141" s="3"/>
      <c r="WZJ141" s="3"/>
      <c r="WZK141" s="3"/>
      <c r="WZL141" s="3"/>
      <c r="WZM141" s="3"/>
      <c r="WZN141" s="3"/>
      <c r="WZO141" s="3"/>
      <c r="WZP141" s="3"/>
      <c r="WZQ141" s="3"/>
      <c r="WZR141" s="3"/>
      <c r="WZS141" s="3"/>
      <c r="WZT141" s="3"/>
      <c r="WZU141" s="3"/>
      <c r="WZV141" s="3"/>
      <c r="WZW141" s="3"/>
      <c r="WZX141" s="3"/>
      <c r="WZY141" s="3"/>
      <c r="WZZ141" s="3"/>
      <c r="XAA141" s="3"/>
      <c r="XAB141" s="3"/>
      <c r="XAC141" s="3"/>
      <c r="XAD141" s="3"/>
      <c r="XAE141" s="3"/>
      <c r="XAF141" s="3"/>
      <c r="XAG141" s="3"/>
      <c r="XAH141" s="3"/>
      <c r="XAI141" s="3"/>
      <c r="XAJ141" s="3"/>
      <c r="XAK141" s="3"/>
      <c r="XAL141" s="3"/>
      <c r="XAM141" s="3"/>
      <c r="XAN141" s="3"/>
      <c r="XAO141" s="3"/>
      <c r="XAP141" s="3"/>
      <c r="XAQ141" s="3"/>
      <c r="XAR141" s="3"/>
      <c r="XAS141" s="3"/>
      <c r="XAT141" s="3"/>
      <c r="XAU141" s="3"/>
      <c r="XAV141" s="3"/>
      <c r="XAW141" s="3"/>
      <c r="XAX141" s="3"/>
      <c r="XAY141" s="3"/>
      <c r="XAZ141" s="3"/>
      <c r="XBA141" s="3"/>
      <c r="XBB141" s="3"/>
      <c r="XBC141" s="3"/>
      <c r="XBD141" s="3"/>
      <c r="XBE141" s="3"/>
      <c r="XBF141" s="3"/>
      <c r="XBG141" s="3"/>
      <c r="XBH141" s="3"/>
      <c r="XBI141" s="3"/>
      <c r="XBJ141" s="3"/>
      <c r="XBK141" s="3"/>
      <c r="XBL141" s="3"/>
      <c r="XBM141" s="3"/>
      <c r="XBN141" s="3"/>
      <c r="XBO141" s="3"/>
      <c r="XBP141" s="3"/>
      <c r="XBQ141" s="3"/>
      <c r="XBR141" s="3"/>
      <c r="XBS141" s="3"/>
      <c r="XBT141" s="3"/>
      <c r="XBU141" s="3"/>
      <c r="XBV141" s="3"/>
      <c r="XBW141" s="3"/>
      <c r="XBX141" s="3"/>
      <c r="XBY141" s="3"/>
      <c r="XBZ141" s="3"/>
      <c r="XCA141" s="3"/>
      <c r="XCB141" s="3"/>
      <c r="XCC141" s="3"/>
      <c r="XCD141" s="3"/>
      <c r="XCE141" s="3"/>
      <c r="XCF141" s="3"/>
      <c r="XCG141" s="3"/>
      <c r="XCH141" s="3"/>
      <c r="XCI141" s="3"/>
      <c r="XCJ141" s="3"/>
      <c r="XCK141" s="3"/>
      <c r="XCL141" s="3"/>
      <c r="XCM141" s="3"/>
      <c r="XCN141" s="3"/>
      <c r="XCO141" s="3"/>
      <c r="XCP141" s="3"/>
      <c r="XCQ141" s="3"/>
      <c r="XCR141" s="3"/>
      <c r="XCS141" s="3"/>
      <c r="XCT141" s="3"/>
      <c r="XCU141" s="3"/>
      <c r="XCV141" s="3"/>
      <c r="XCW141" s="3"/>
      <c r="XCX141" s="3"/>
      <c r="XCY141" s="3"/>
      <c r="XCZ141" s="3"/>
      <c r="XDA141" s="3"/>
      <c r="XDB141" s="3"/>
      <c r="XDC141" s="3"/>
      <c r="XDD141" s="3"/>
      <c r="XDE141" s="3"/>
      <c r="XDF141" s="3"/>
      <c r="XDG141" s="3"/>
      <c r="XDH141" s="3"/>
      <c r="XDI141" s="3"/>
      <c r="XDJ141" s="3"/>
      <c r="XDK141" s="3"/>
      <c r="XDL141" s="3"/>
      <c r="XDM141" s="3"/>
      <c r="XDN141" s="3"/>
      <c r="XDO141" s="3"/>
      <c r="XDP141" s="3"/>
      <c r="XDQ141" s="3"/>
      <c r="XDR141" s="3"/>
      <c r="XDS141" s="3"/>
      <c r="XDT141" s="3"/>
      <c r="XDU141" s="3"/>
      <c r="XDV141" s="3"/>
      <c r="XDW141" s="3"/>
      <c r="XDX141" s="3"/>
      <c r="XDY141" s="3"/>
      <c r="XDZ141" s="3"/>
      <c r="XEA141" s="3"/>
      <c r="XEB141" s="3"/>
      <c r="XEC141" s="3"/>
      <c r="XED141" s="3"/>
      <c r="XEE141" s="3"/>
      <c r="XEF141" s="3"/>
      <c r="XEG141" s="3"/>
      <c r="XEH141" s="3"/>
      <c r="XEI141" s="3"/>
      <c r="XEJ141" s="3"/>
      <c r="XEK141" s="3"/>
      <c r="XEL141" s="3"/>
      <c r="XEM141" s="3"/>
      <c r="XEN141" s="3"/>
      <c r="XEO141" s="3"/>
      <c r="XEP141" s="3"/>
      <c r="XEQ141" s="3"/>
      <c r="XER141" s="3"/>
      <c r="XES141" s="3"/>
      <c r="XET141" s="3"/>
      <c r="XEU141" s="3"/>
      <c r="XEV141" s="3"/>
    </row>
    <row r="142" spans="1:16376">
      <c r="A142" s="8">
        <v>4660</v>
      </c>
      <c r="B142" t="s">
        <v>147</v>
      </c>
      <c r="C142" s="19">
        <v>16473769.950000001</v>
      </c>
      <c r="D142" s="20">
        <v>22045950.399999999</v>
      </c>
      <c r="E142" s="18">
        <v>1065885.9099999999</v>
      </c>
      <c r="F142" s="23">
        <v>1879203.8900000001</v>
      </c>
      <c r="G142" t="s">
        <v>307</v>
      </c>
      <c r="H142" t="s">
        <v>309</v>
      </c>
      <c r="K142" t="str">
        <f>"Crown Point Community Sch Corp    "</f>
        <v xml:space="preserve">Crown Point Community Sch Corp    </v>
      </c>
      <c r="L142" t="str">
        <f>"4660"</f>
        <v>4660</v>
      </c>
      <c r="M142">
        <v>10</v>
      </c>
      <c r="N142">
        <v>7004</v>
      </c>
      <c r="O142">
        <f t="shared" si="2"/>
        <v>6994</v>
      </c>
    </row>
    <row r="143" spans="1:16376">
      <c r="A143" s="8">
        <v>4670</v>
      </c>
      <c r="B143" t="s">
        <v>148</v>
      </c>
      <c r="C143" s="19">
        <v>12014271.120000001</v>
      </c>
      <c r="D143" s="20">
        <v>37523880.399999999</v>
      </c>
      <c r="E143" s="18">
        <v>10624319.800000001</v>
      </c>
      <c r="F143" s="23">
        <v>11634526.810000001</v>
      </c>
      <c r="G143" t="s">
        <v>307</v>
      </c>
      <c r="H143" t="s">
        <v>309</v>
      </c>
      <c r="K143" t="str">
        <f>"School City of East Chicago       "</f>
        <v xml:space="preserve">School City of East Chicago       </v>
      </c>
      <c r="L143" t="str">
        <f>"4670"</f>
        <v>4670</v>
      </c>
      <c r="M143">
        <v>50</v>
      </c>
      <c r="N143">
        <v>6026</v>
      </c>
      <c r="O143">
        <f t="shared" si="2"/>
        <v>5976</v>
      </c>
    </row>
    <row r="144" spans="1:16376">
      <c r="A144" s="8">
        <v>4680</v>
      </c>
      <c r="B144" t="s">
        <v>149</v>
      </c>
      <c r="C144" s="19">
        <v>1710038.71</v>
      </c>
      <c r="D144" s="20">
        <v>8667286.8599999994</v>
      </c>
      <c r="E144" s="18">
        <v>1292530.1600000001</v>
      </c>
      <c r="F144" s="23">
        <v>195983.34</v>
      </c>
      <c r="G144" t="s">
        <v>307</v>
      </c>
      <c r="H144" t="s">
        <v>309</v>
      </c>
      <c r="K144" t="str">
        <f>"Lake Station Community Schools    "</f>
        <v xml:space="preserve">Lake Station Community Schools    </v>
      </c>
      <c r="L144" t="str">
        <f>"4680"</f>
        <v>4680</v>
      </c>
      <c r="M144">
        <v>27</v>
      </c>
      <c r="N144">
        <v>1485</v>
      </c>
      <c r="O144">
        <f t="shared" si="2"/>
        <v>1458</v>
      </c>
    </row>
    <row r="145" spans="1:15">
      <c r="A145" s="8">
        <v>4690</v>
      </c>
      <c r="B145" t="s">
        <v>150</v>
      </c>
      <c r="C145" s="19">
        <v>26112794.740000002</v>
      </c>
      <c r="D145" s="20">
        <v>110923032</v>
      </c>
      <c r="E145" s="18">
        <v>23457331.609999999</v>
      </c>
      <c r="F145" s="23">
        <v>4583100.91</v>
      </c>
      <c r="G145" t="s">
        <v>307</v>
      </c>
      <c r="H145" t="s">
        <v>309</v>
      </c>
      <c r="K145" t="str">
        <f>"Gary Community School Corp        "</f>
        <v xml:space="preserve">Gary Community School Corp        </v>
      </c>
      <c r="L145" t="str">
        <f>"4690"</f>
        <v>4690</v>
      </c>
      <c r="M145">
        <v>648</v>
      </c>
      <c r="N145">
        <v>14731</v>
      </c>
      <c r="O145">
        <f t="shared" si="2"/>
        <v>14083</v>
      </c>
    </row>
    <row r="146" spans="1:15">
      <c r="A146" s="8">
        <v>4700</v>
      </c>
      <c r="B146" t="s">
        <v>151</v>
      </c>
      <c r="C146" s="19">
        <v>5208646.7</v>
      </c>
      <c r="D146" s="20">
        <v>10982014.120000001</v>
      </c>
      <c r="E146" s="18">
        <v>488748.04</v>
      </c>
      <c r="F146" s="23">
        <v>1576745.8900000001</v>
      </c>
      <c r="G146" t="s">
        <v>307</v>
      </c>
      <c r="H146" t="s">
        <v>309</v>
      </c>
      <c r="K146" t="str">
        <f>"Griffith Public Schools           "</f>
        <v xml:space="preserve">Griffith Public Schools           </v>
      </c>
      <c r="L146" t="str">
        <f>"4700"</f>
        <v>4700</v>
      </c>
      <c r="M146">
        <v>0</v>
      </c>
      <c r="N146">
        <v>2739</v>
      </c>
      <c r="O146">
        <f t="shared" si="2"/>
        <v>2739</v>
      </c>
    </row>
    <row r="147" spans="1:15">
      <c r="A147" s="8">
        <v>4710</v>
      </c>
      <c r="B147" t="s">
        <v>152</v>
      </c>
      <c r="C147" s="19">
        <v>16268565.5</v>
      </c>
      <c r="D147" s="20">
        <v>74507645.200000003</v>
      </c>
      <c r="E147" s="18">
        <v>11568768.49</v>
      </c>
      <c r="F147" s="23">
        <v>2723181.04</v>
      </c>
      <c r="G147" t="s">
        <v>307</v>
      </c>
      <c r="H147" t="s">
        <v>309</v>
      </c>
      <c r="K147" t="str">
        <f>"School City of Hammond            "</f>
        <v xml:space="preserve">School City of Hammond            </v>
      </c>
      <c r="L147" t="str">
        <f>"4710"</f>
        <v>4710</v>
      </c>
      <c r="M147">
        <v>333</v>
      </c>
      <c r="N147">
        <v>14511</v>
      </c>
      <c r="O147">
        <f t="shared" si="2"/>
        <v>14178</v>
      </c>
    </row>
    <row r="148" spans="1:15">
      <c r="A148" s="8">
        <v>4720</v>
      </c>
      <c r="B148" t="s">
        <v>153</v>
      </c>
      <c r="C148" s="19">
        <v>10251080.609999999</v>
      </c>
      <c r="D148" s="20">
        <v>10459015.559999999</v>
      </c>
      <c r="E148" s="18">
        <v>463220.51</v>
      </c>
      <c r="F148" s="23">
        <v>4052.56</v>
      </c>
      <c r="G148" t="s">
        <v>307</v>
      </c>
      <c r="H148" t="s">
        <v>309</v>
      </c>
      <c r="K148" t="str">
        <f>"School Town of Highland           "</f>
        <v xml:space="preserve">School Town of Highland           </v>
      </c>
      <c r="L148" t="str">
        <f>"4720"</f>
        <v>4720</v>
      </c>
      <c r="M148">
        <v>0</v>
      </c>
      <c r="N148">
        <v>3447</v>
      </c>
      <c r="O148">
        <f t="shared" si="2"/>
        <v>3447</v>
      </c>
    </row>
    <row r="149" spans="1:15">
      <c r="A149" s="8">
        <v>4730</v>
      </c>
      <c r="B149" t="s">
        <v>154</v>
      </c>
      <c r="C149" s="19">
        <v>5997432.0299999993</v>
      </c>
      <c r="D149" s="20">
        <v>15904994.289999999</v>
      </c>
      <c r="E149" s="18">
        <v>905981.7</v>
      </c>
      <c r="F149" s="23">
        <v>206017.84</v>
      </c>
      <c r="G149" t="s">
        <v>307</v>
      </c>
      <c r="H149" t="s">
        <v>309</v>
      </c>
      <c r="K149" t="str">
        <f>"School City of Hobart             "</f>
        <v xml:space="preserve">School City of Hobart             </v>
      </c>
      <c r="L149" t="str">
        <f>"4730"</f>
        <v>4730</v>
      </c>
      <c r="M149">
        <v>0</v>
      </c>
      <c r="N149">
        <v>3818</v>
      </c>
      <c r="O149">
        <f t="shared" si="2"/>
        <v>3818</v>
      </c>
    </row>
    <row r="150" spans="1:15">
      <c r="A150" s="8">
        <v>4740</v>
      </c>
      <c r="B150" t="s">
        <v>155</v>
      </c>
      <c r="C150" s="19">
        <v>11776103.859999999</v>
      </c>
      <c r="D150" s="20">
        <v>11321736.949999999</v>
      </c>
      <c r="E150" s="18">
        <v>626390.74</v>
      </c>
      <c r="F150" s="23">
        <v>5612310.2799999993</v>
      </c>
      <c r="G150" t="s">
        <v>307</v>
      </c>
      <c r="H150" t="s">
        <v>309</v>
      </c>
      <c r="K150" t="str">
        <f>"School Town of Munster            "</f>
        <v xml:space="preserve">School Town of Munster            </v>
      </c>
      <c r="L150" t="str">
        <f>"4740"</f>
        <v>4740</v>
      </c>
      <c r="M150">
        <v>166</v>
      </c>
      <c r="N150">
        <v>4392</v>
      </c>
      <c r="O150">
        <f t="shared" si="2"/>
        <v>4226</v>
      </c>
    </row>
    <row r="151" spans="1:15">
      <c r="A151" s="8">
        <v>4760</v>
      </c>
      <c r="B151" t="s">
        <v>156</v>
      </c>
      <c r="C151" s="19">
        <v>4897929.5</v>
      </c>
      <c r="D151" s="20">
        <v>3237985.24</v>
      </c>
      <c r="E151" s="18">
        <v>719289.88</v>
      </c>
      <c r="F151" s="23">
        <v>56915.77</v>
      </c>
      <c r="G151" t="s">
        <v>307</v>
      </c>
      <c r="H151" t="s">
        <v>309</v>
      </c>
      <c r="K151" t="str">
        <f>"Whiting School City               "</f>
        <v xml:space="preserve">Whiting School City               </v>
      </c>
      <c r="L151" t="str">
        <f>"4760"</f>
        <v>4760</v>
      </c>
      <c r="M151">
        <v>37</v>
      </c>
      <c r="N151">
        <v>877</v>
      </c>
      <c r="O151">
        <f t="shared" si="2"/>
        <v>840</v>
      </c>
    </row>
    <row r="152" spans="1:15">
      <c r="A152" s="9">
        <v>4770</v>
      </c>
      <c r="B152" s="3" t="s">
        <v>157</v>
      </c>
      <c r="C152" s="19">
        <v>914549.32</v>
      </c>
      <c r="D152" s="20">
        <v>905186.25</v>
      </c>
      <c r="E152" s="18">
        <v>110389.83</v>
      </c>
      <c r="F152" s="23">
        <v>673</v>
      </c>
      <c r="G152" t="s">
        <v>307</v>
      </c>
      <c r="H152" t="s">
        <v>309</v>
      </c>
      <c r="K152" t="str">
        <f>"Cass Township Schools             "</f>
        <v xml:space="preserve">Cass Township Schools             </v>
      </c>
      <c r="L152" t="str">
        <f>"4770"</f>
        <v>4770</v>
      </c>
      <c r="M152">
        <v>0</v>
      </c>
      <c r="N152">
        <v>239</v>
      </c>
      <c r="O152">
        <f t="shared" si="2"/>
        <v>239</v>
      </c>
    </row>
    <row r="153" spans="1:15">
      <c r="A153" s="9">
        <v>4790</v>
      </c>
      <c r="B153" s="3" t="s">
        <v>158</v>
      </c>
      <c r="C153" s="19">
        <v>785191.72</v>
      </c>
      <c r="D153" s="20">
        <v>814948.7</v>
      </c>
      <c r="E153" s="18">
        <v>0</v>
      </c>
      <c r="F153" s="23">
        <v>0</v>
      </c>
      <c r="G153" t="s">
        <v>307</v>
      </c>
      <c r="H153" t="s">
        <v>309</v>
      </c>
      <c r="K153" t="str">
        <f>"Dewey Township Schools            "</f>
        <v xml:space="preserve">Dewey Township Schools            </v>
      </c>
      <c r="L153" t="str">
        <f>"4790"</f>
        <v>4790</v>
      </c>
      <c r="M153">
        <v>0</v>
      </c>
      <c r="N153">
        <v>156</v>
      </c>
      <c r="O153">
        <f t="shared" si="2"/>
        <v>156</v>
      </c>
    </row>
    <row r="154" spans="1:15">
      <c r="A154" s="8">
        <v>4805</v>
      </c>
      <c r="B154" t="s">
        <v>159</v>
      </c>
      <c r="C154" s="19">
        <v>4385280.45</v>
      </c>
      <c r="D154" s="20">
        <v>8408540.4100000001</v>
      </c>
      <c r="E154" s="18">
        <v>425019.87</v>
      </c>
      <c r="F154" s="23">
        <v>2424447.94</v>
      </c>
      <c r="G154" t="s">
        <v>307</v>
      </c>
      <c r="H154" t="s">
        <v>309</v>
      </c>
      <c r="K154" t="str">
        <f>"New Prairie United School Corp    "</f>
        <v xml:space="preserve">New Prairie United School Corp    </v>
      </c>
      <c r="L154" t="str">
        <f>"4805"</f>
        <v>4805</v>
      </c>
      <c r="M154">
        <v>17</v>
      </c>
      <c r="N154">
        <v>2777</v>
      </c>
      <c r="O154">
        <f t="shared" si="2"/>
        <v>2760</v>
      </c>
    </row>
    <row r="155" spans="1:15">
      <c r="A155" s="8">
        <v>4860</v>
      </c>
      <c r="B155" t="s">
        <v>160</v>
      </c>
      <c r="C155" s="19">
        <v>944777.88</v>
      </c>
      <c r="D155" s="20">
        <v>3564388.3</v>
      </c>
      <c r="E155" s="18">
        <v>250416.34</v>
      </c>
      <c r="F155" s="23">
        <v>24006.5</v>
      </c>
      <c r="G155" t="s">
        <v>307</v>
      </c>
      <c r="H155" t="s">
        <v>309</v>
      </c>
      <c r="K155" t="str">
        <f>"M S D of New Durham Township      "</f>
        <v xml:space="preserve">M S D of New Durham Township      </v>
      </c>
      <c r="L155" t="str">
        <f>"4860"</f>
        <v>4860</v>
      </c>
      <c r="M155">
        <v>0</v>
      </c>
      <c r="N155">
        <v>875</v>
      </c>
      <c r="O155">
        <f t="shared" si="2"/>
        <v>875</v>
      </c>
    </row>
    <row r="156" spans="1:15">
      <c r="A156" s="9">
        <v>4880</v>
      </c>
      <c r="B156" s="3" t="s">
        <v>161</v>
      </c>
      <c r="C156" s="19"/>
      <c r="D156" s="20"/>
      <c r="E156" s="18"/>
      <c r="F156" s="23"/>
      <c r="G156" t="s">
        <v>307</v>
      </c>
      <c r="H156" t="s">
        <v>309</v>
      </c>
      <c r="K156" s="49"/>
      <c r="L156" s="49"/>
      <c r="M156" s="49"/>
      <c r="N156" s="49"/>
      <c r="O156" s="49"/>
    </row>
    <row r="157" spans="1:15">
      <c r="A157" s="8">
        <v>4925</v>
      </c>
      <c r="B157" t="s">
        <v>162</v>
      </c>
      <c r="C157" s="19">
        <v>12447843.120000001</v>
      </c>
      <c r="D157" s="20">
        <v>23747717.800000001</v>
      </c>
      <c r="E157" s="18">
        <v>7988952.7300000004</v>
      </c>
      <c r="F157" s="23">
        <v>3305249.3099999996</v>
      </c>
      <c r="G157" t="s">
        <v>307</v>
      </c>
      <c r="H157" t="s">
        <v>309</v>
      </c>
      <c r="K157" t="str">
        <f>"Michigan City Area Schools        "</f>
        <v xml:space="preserve">Michigan City Area Schools        </v>
      </c>
      <c r="L157" t="str">
        <f>"4925"</f>
        <v>4925</v>
      </c>
      <c r="M157">
        <v>416</v>
      </c>
      <c r="N157">
        <v>7079</v>
      </c>
      <c r="O157">
        <f t="shared" si="2"/>
        <v>6663</v>
      </c>
    </row>
    <row r="158" spans="1:15">
      <c r="A158" s="8">
        <v>4940</v>
      </c>
      <c r="B158" t="s">
        <v>163</v>
      </c>
      <c r="C158" s="19">
        <v>1193951.53</v>
      </c>
      <c r="D158" s="20">
        <v>2883574.7800000003</v>
      </c>
      <c r="E158" s="18">
        <v>162579.84</v>
      </c>
      <c r="F158" s="23">
        <v>56914.09</v>
      </c>
      <c r="G158" t="s">
        <v>307</v>
      </c>
      <c r="H158" t="s">
        <v>309</v>
      </c>
      <c r="K158" t="str">
        <f>"South Central Com School Corp     "</f>
        <v xml:space="preserve">South Central Com School Corp     </v>
      </c>
      <c r="L158" t="str">
        <f>"4940"</f>
        <v>4940</v>
      </c>
      <c r="M158">
        <v>1</v>
      </c>
      <c r="N158">
        <v>880</v>
      </c>
      <c r="O158">
        <f t="shared" si="2"/>
        <v>879</v>
      </c>
    </row>
    <row r="159" spans="1:15">
      <c r="A159" s="8">
        <v>4945</v>
      </c>
      <c r="B159" t="s">
        <v>164</v>
      </c>
      <c r="C159" s="19">
        <v>7598515.4699999997</v>
      </c>
      <c r="D159" s="20">
        <v>24365773</v>
      </c>
      <c r="E159" s="18">
        <v>4744106.38</v>
      </c>
      <c r="F159" s="23">
        <v>13516216.35</v>
      </c>
      <c r="G159" t="s">
        <v>307</v>
      </c>
      <c r="H159" t="s">
        <v>309</v>
      </c>
      <c r="K159" t="str">
        <f>"LaPorte Community School Corp     "</f>
        <v xml:space="preserve">LaPorte Community School Corp     </v>
      </c>
      <c r="L159" t="str">
        <f>"4945"</f>
        <v>4945</v>
      </c>
      <c r="M159">
        <v>79</v>
      </c>
      <c r="N159">
        <v>6538</v>
      </c>
      <c r="O159">
        <f t="shared" si="2"/>
        <v>6459</v>
      </c>
    </row>
    <row r="160" spans="1:15">
      <c r="A160" s="8">
        <v>5075</v>
      </c>
      <c r="B160" t="s">
        <v>165</v>
      </c>
      <c r="C160" s="19">
        <v>7346142.3899999997</v>
      </c>
      <c r="D160" s="20">
        <v>23500153.5</v>
      </c>
      <c r="E160" s="18">
        <v>5262979.76</v>
      </c>
      <c r="F160" s="23">
        <v>4961536.3</v>
      </c>
      <c r="G160" t="s">
        <v>307</v>
      </c>
      <c r="H160" t="s">
        <v>309</v>
      </c>
      <c r="K160" t="str">
        <f>"North Lawrence Com Schools        "</f>
        <v xml:space="preserve">North Lawrence Com Schools        </v>
      </c>
      <c r="L160" t="str">
        <f>"5075"</f>
        <v>5075</v>
      </c>
      <c r="M160">
        <v>9</v>
      </c>
      <c r="N160">
        <v>5390</v>
      </c>
      <c r="O160">
        <f t="shared" si="2"/>
        <v>5381</v>
      </c>
    </row>
    <row r="161" spans="1:16376">
      <c r="A161" s="9">
        <v>5085</v>
      </c>
      <c r="B161" s="3" t="s">
        <v>166</v>
      </c>
      <c r="C161" s="19">
        <v>2572246.11</v>
      </c>
      <c r="D161" s="20">
        <v>8656682.7100000009</v>
      </c>
      <c r="E161" s="18">
        <v>594887.68999999994</v>
      </c>
      <c r="F161" s="23">
        <v>309992.27</v>
      </c>
      <c r="G161" t="s">
        <v>307</v>
      </c>
      <c r="H161" t="s">
        <v>309</v>
      </c>
      <c r="K161" t="str">
        <f>"Mitchell Community Schools        "</f>
        <v xml:space="preserve">Mitchell Community Schools        </v>
      </c>
      <c r="L161" t="str">
        <f>"5085"</f>
        <v>5085</v>
      </c>
      <c r="M161">
        <v>23</v>
      </c>
      <c r="N161">
        <v>2112</v>
      </c>
      <c r="O161">
        <f t="shared" si="2"/>
        <v>2089</v>
      </c>
    </row>
    <row r="162" spans="1:16376">
      <c r="A162" s="8">
        <v>5245</v>
      </c>
      <c r="B162" t="s">
        <v>167</v>
      </c>
      <c r="C162" s="19">
        <v>2281264.27</v>
      </c>
      <c r="D162" s="20">
        <v>9320970.6400000006</v>
      </c>
      <c r="E162" s="18">
        <v>579955.77</v>
      </c>
      <c r="F162" s="23">
        <v>69145.36</v>
      </c>
      <c r="G162" t="s">
        <v>307</v>
      </c>
      <c r="H162" t="s">
        <v>309</v>
      </c>
      <c r="K162" t="str">
        <f>"Frankton-Lapel Community Schs     "</f>
        <v xml:space="preserve">Frankton-Lapel Community Schs     </v>
      </c>
      <c r="L162" t="str">
        <f>"5245"</f>
        <v>5245</v>
      </c>
      <c r="M162">
        <v>0</v>
      </c>
      <c r="N162">
        <v>2411</v>
      </c>
      <c r="O162">
        <f t="shared" si="2"/>
        <v>2411</v>
      </c>
    </row>
    <row r="163" spans="1:16376">
      <c r="A163" s="9">
        <v>5255</v>
      </c>
      <c r="B163" s="3" t="s">
        <v>168</v>
      </c>
      <c r="C163" s="19">
        <v>4005441.74</v>
      </c>
      <c r="D163" s="20">
        <v>15720165.789999999</v>
      </c>
      <c r="E163" s="18">
        <v>486083.95999999996</v>
      </c>
      <c r="F163" s="23">
        <v>3027871.82</v>
      </c>
      <c r="G163" t="s">
        <v>307</v>
      </c>
      <c r="H163" t="s">
        <v>309</v>
      </c>
      <c r="K163" t="str">
        <f>"South Madison Com Sch Corp        "</f>
        <v xml:space="preserve">South Madison Com Sch Corp        </v>
      </c>
      <c r="L163" t="str">
        <f>"5255"</f>
        <v>5255</v>
      </c>
      <c r="M163">
        <v>26</v>
      </c>
      <c r="N163">
        <v>4028</v>
      </c>
      <c r="O163">
        <f t="shared" si="2"/>
        <v>4002</v>
      </c>
    </row>
    <row r="164" spans="1:16376">
      <c r="A164" s="8">
        <v>5265</v>
      </c>
      <c r="B164" t="s">
        <v>169</v>
      </c>
      <c r="C164" s="19">
        <v>1469572.6500000001</v>
      </c>
      <c r="D164" s="20">
        <v>7780761.8899999997</v>
      </c>
      <c r="E164" s="18">
        <v>856953.78</v>
      </c>
      <c r="F164" s="23">
        <v>13307.3</v>
      </c>
      <c r="G164" t="s">
        <v>307</v>
      </c>
      <c r="H164" t="s">
        <v>309</v>
      </c>
      <c r="I164" s="3"/>
      <c r="J164" s="3"/>
      <c r="K164" t="str">
        <f>"Alexandria Com School Corp        "</f>
        <v xml:space="preserve">Alexandria Com School Corp        </v>
      </c>
      <c r="L164" t="str">
        <f>"5265"</f>
        <v>5265</v>
      </c>
      <c r="M164">
        <v>0</v>
      </c>
      <c r="N164">
        <v>1629</v>
      </c>
      <c r="O164">
        <f t="shared" si="2"/>
        <v>1629</v>
      </c>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c r="IM164" s="3"/>
      <c r="IN164" s="3"/>
      <c r="IO164" s="3"/>
      <c r="IP164" s="3"/>
      <c r="IQ164" s="3"/>
      <c r="IR164" s="3"/>
      <c r="IS164" s="3"/>
      <c r="IT164" s="3"/>
      <c r="IU164" s="3"/>
      <c r="IV164" s="3"/>
      <c r="IW164" s="3"/>
      <c r="IX164" s="3"/>
      <c r="IY164" s="3"/>
      <c r="IZ164" s="3"/>
      <c r="JA164" s="3"/>
      <c r="JB164" s="3"/>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c r="KC164" s="3"/>
      <c r="KD164" s="3"/>
      <c r="KE164" s="3"/>
      <c r="KF164" s="3"/>
      <c r="KG164" s="3"/>
      <c r="KH164" s="3"/>
      <c r="KI164" s="3"/>
      <c r="KJ164" s="3"/>
      <c r="KK164" s="3"/>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c r="LL164" s="3"/>
      <c r="LM164" s="3"/>
      <c r="LN164" s="3"/>
      <c r="LO164" s="3"/>
      <c r="LP164" s="3"/>
      <c r="LQ164" s="3"/>
      <c r="LR164" s="3"/>
      <c r="LS164" s="3"/>
      <c r="LT164" s="3"/>
      <c r="LU164" s="3"/>
      <c r="LV164" s="3"/>
      <c r="LW164" s="3"/>
      <c r="LX164" s="3"/>
      <c r="LY164" s="3"/>
      <c r="LZ164" s="3"/>
      <c r="MA164" s="3"/>
      <c r="MB164" s="3"/>
      <c r="MC164" s="3"/>
      <c r="MD164" s="3"/>
      <c r="ME164" s="3"/>
      <c r="MF164" s="3"/>
      <c r="MG164" s="3"/>
      <c r="MH164" s="3"/>
      <c r="MI164" s="3"/>
      <c r="MJ164" s="3"/>
      <c r="MK164" s="3"/>
      <c r="ML164" s="3"/>
      <c r="MM164" s="3"/>
      <c r="MN164" s="3"/>
      <c r="MO164" s="3"/>
      <c r="MP164" s="3"/>
      <c r="MQ164" s="3"/>
      <c r="MR164" s="3"/>
      <c r="MS164" s="3"/>
      <c r="MT164" s="3"/>
      <c r="MU164" s="3"/>
      <c r="MV164" s="3"/>
      <c r="MW164" s="3"/>
      <c r="MX164" s="3"/>
      <c r="MY164" s="3"/>
      <c r="MZ164" s="3"/>
      <c r="NA164" s="3"/>
      <c r="NB164" s="3"/>
      <c r="NC164" s="3"/>
      <c r="ND164" s="3"/>
      <c r="NE164" s="3"/>
      <c r="NF164" s="3"/>
      <c r="NG164" s="3"/>
      <c r="NH164" s="3"/>
      <c r="NI164" s="3"/>
      <c r="NJ164" s="3"/>
      <c r="NK164" s="3"/>
      <c r="NL164" s="3"/>
      <c r="NM164" s="3"/>
      <c r="NN164" s="3"/>
      <c r="NO164" s="3"/>
      <c r="NP164" s="3"/>
      <c r="NQ164" s="3"/>
      <c r="NR164" s="3"/>
      <c r="NS164" s="3"/>
      <c r="NT164" s="3"/>
      <c r="NU164" s="3"/>
      <c r="NV164" s="3"/>
      <c r="NW164" s="3"/>
      <c r="NX164" s="3"/>
      <c r="NY164" s="3"/>
      <c r="NZ164" s="3"/>
      <c r="OA164" s="3"/>
      <c r="OB164" s="3"/>
      <c r="OC164" s="3"/>
      <c r="OD164" s="3"/>
      <c r="OE164" s="3"/>
      <c r="OF164" s="3"/>
      <c r="OG164" s="3"/>
      <c r="OH164" s="3"/>
      <c r="OI164" s="3"/>
      <c r="OJ164" s="3"/>
      <c r="OK164" s="3"/>
      <c r="OL164" s="3"/>
      <c r="OM164" s="3"/>
      <c r="ON164" s="3"/>
      <c r="OO164" s="3"/>
      <c r="OP164" s="3"/>
      <c r="OQ164" s="3"/>
      <c r="OR164" s="3"/>
      <c r="OS164" s="3"/>
      <c r="OT164" s="3"/>
      <c r="OU164" s="3"/>
      <c r="OV164" s="3"/>
      <c r="OW164" s="3"/>
      <c r="OX164" s="3"/>
      <c r="OY164" s="3"/>
      <c r="OZ164" s="3"/>
      <c r="PA164" s="3"/>
      <c r="PB164" s="3"/>
      <c r="PC164" s="3"/>
      <c r="PD164" s="3"/>
      <c r="PE164" s="3"/>
      <c r="PF164" s="3"/>
      <c r="PG164" s="3"/>
      <c r="PH164" s="3"/>
      <c r="PI164" s="3"/>
      <c r="PJ164" s="3"/>
      <c r="PK164" s="3"/>
      <c r="PL164" s="3"/>
      <c r="PM164" s="3"/>
      <c r="PN164" s="3"/>
      <c r="PO164" s="3"/>
      <c r="PP164" s="3"/>
      <c r="PQ164" s="3"/>
      <c r="PR164" s="3"/>
      <c r="PS164" s="3"/>
      <c r="PT164" s="3"/>
      <c r="PU164" s="3"/>
      <c r="PV164" s="3"/>
      <c r="PW164" s="3"/>
      <c r="PX164" s="3"/>
      <c r="PY164" s="3"/>
      <c r="PZ164" s="3"/>
      <c r="QA164" s="3"/>
      <c r="QB164" s="3"/>
      <c r="QC164" s="3"/>
      <c r="QD164" s="3"/>
      <c r="QE164" s="3"/>
      <c r="QF164" s="3"/>
      <c r="QG164" s="3"/>
      <c r="QH164" s="3"/>
      <c r="QI164" s="3"/>
      <c r="QJ164" s="3"/>
      <c r="QK164" s="3"/>
      <c r="QL164" s="3"/>
      <c r="QM164" s="3"/>
      <c r="QN164" s="3"/>
      <c r="QO164" s="3"/>
      <c r="QP164" s="3"/>
      <c r="QQ164" s="3"/>
      <c r="QR164" s="3"/>
      <c r="QS164" s="3"/>
      <c r="QT164" s="3"/>
      <c r="QU164" s="3"/>
      <c r="QV164" s="3"/>
      <c r="QW164" s="3"/>
      <c r="QX164" s="3"/>
      <c r="QY164" s="3"/>
      <c r="QZ164" s="3"/>
      <c r="RA164" s="3"/>
      <c r="RB164" s="3"/>
      <c r="RC164" s="3"/>
      <c r="RD164" s="3"/>
      <c r="RE164" s="3"/>
      <c r="RF164" s="3"/>
      <c r="RG164" s="3"/>
      <c r="RH164" s="3"/>
      <c r="RI164" s="3"/>
      <c r="RJ164" s="3"/>
      <c r="RK164" s="3"/>
      <c r="RL164" s="3"/>
      <c r="RM164" s="3"/>
      <c r="RN164" s="3"/>
      <c r="RO164" s="3"/>
      <c r="RP164" s="3"/>
      <c r="RQ164" s="3"/>
      <c r="RR164" s="3"/>
      <c r="RS164" s="3"/>
      <c r="RT164" s="3"/>
      <c r="RU164" s="3"/>
      <c r="RV164" s="3"/>
      <c r="RW164" s="3"/>
      <c r="RX164" s="3"/>
      <c r="RY164" s="3"/>
      <c r="RZ164" s="3"/>
      <c r="SA164" s="3"/>
      <c r="SB164" s="3"/>
      <c r="SC164" s="3"/>
      <c r="SD164" s="3"/>
      <c r="SE164" s="3"/>
      <c r="SF164" s="3"/>
      <c r="SG164" s="3"/>
      <c r="SH164" s="3"/>
      <c r="SI164" s="3"/>
      <c r="SJ164" s="3"/>
      <c r="SK164" s="3"/>
      <c r="SL164" s="3"/>
      <c r="SM164" s="3"/>
      <c r="SN164" s="3"/>
      <c r="SO164" s="3"/>
      <c r="SP164" s="3"/>
      <c r="SQ164" s="3"/>
      <c r="SR164" s="3"/>
      <c r="SS164" s="3"/>
      <c r="ST164" s="3"/>
      <c r="SU164" s="3"/>
      <c r="SV164" s="3"/>
      <c r="SW164" s="3"/>
      <c r="SX164" s="3"/>
      <c r="SY164" s="3"/>
      <c r="SZ164" s="3"/>
      <c r="TA164" s="3"/>
      <c r="TB164" s="3"/>
      <c r="TC164" s="3"/>
      <c r="TD164" s="3"/>
      <c r="TE164" s="3"/>
      <c r="TF164" s="3"/>
      <c r="TG164" s="3"/>
      <c r="TH164" s="3"/>
      <c r="TI164" s="3"/>
      <c r="TJ164" s="3"/>
      <c r="TK164" s="3"/>
      <c r="TL164" s="3"/>
      <c r="TM164" s="3"/>
      <c r="TN164" s="3"/>
      <c r="TO164" s="3"/>
      <c r="TP164" s="3"/>
      <c r="TQ164" s="3"/>
      <c r="TR164" s="3"/>
      <c r="TS164" s="3"/>
      <c r="TT164" s="3"/>
      <c r="TU164" s="3"/>
      <c r="TV164" s="3"/>
      <c r="TW164" s="3"/>
      <c r="TX164" s="3"/>
      <c r="TY164" s="3"/>
      <c r="TZ164" s="3"/>
      <c r="UA164" s="3"/>
      <c r="UB164" s="3"/>
      <c r="UC164" s="3"/>
      <c r="UD164" s="3"/>
      <c r="UE164" s="3"/>
      <c r="UF164" s="3"/>
      <c r="UG164" s="3"/>
      <c r="UH164" s="3"/>
      <c r="UI164" s="3"/>
      <c r="UJ164" s="3"/>
      <c r="UK164" s="3"/>
      <c r="UL164" s="3"/>
      <c r="UM164" s="3"/>
      <c r="UN164" s="3"/>
      <c r="UO164" s="3"/>
      <c r="UP164" s="3"/>
      <c r="UQ164" s="3"/>
      <c r="UR164" s="3"/>
      <c r="US164" s="3"/>
      <c r="UT164" s="3"/>
      <c r="UU164" s="3"/>
      <c r="UV164" s="3"/>
      <c r="UW164" s="3"/>
      <c r="UX164" s="3"/>
      <c r="UY164" s="3"/>
      <c r="UZ164" s="3"/>
      <c r="VA164" s="3"/>
      <c r="VB164" s="3"/>
      <c r="VC164" s="3"/>
      <c r="VD164" s="3"/>
      <c r="VE164" s="3"/>
      <c r="VF164" s="3"/>
      <c r="VG164" s="3"/>
      <c r="VH164" s="3"/>
      <c r="VI164" s="3"/>
      <c r="VJ164" s="3"/>
      <c r="VK164" s="3"/>
      <c r="VL164" s="3"/>
      <c r="VM164" s="3"/>
      <c r="VN164" s="3"/>
      <c r="VO164" s="3"/>
      <c r="VP164" s="3"/>
      <c r="VQ164" s="3"/>
      <c r="VR164" s="3"/>
      <c r="VS164" s="3"/>
      <c r="VT164" s="3"/>
      <c r="VU164" s="3"/>
      <c r="VV164" s="3"/>
      <c r="VW164" s="3"/>
      <c r="VX164" s="3"/>
      <c r="VY164" s="3"/>
      <c r="VZ164" s="3"/>
      <c r="WA164" s="3"/>
      <c r="WB164" s="3"/>
      <c r="WC164" s="3"/>
      <c r="WD164" s="3"/>
      <c r="WE164" s="3"/>
      <c r="WF164" s="3"/>
      <c r="WG164" s="3"/>
      <c r="WH164" s="3"/>
      <c r="WI164" s="3"/>
      <c r="WJ164" s="3"/>
      <c r="WK164" s="3"/>
      <c r="WL164" s="3"/>
      <c r="WM164" s="3"/>
      <c r="WN164" s="3"/>
      <c r="WO164" s="3"/>
      <c r="WP164" s="3"/>
      <c r="WQ164" s="3"/>
      <c r="WR164" s="3"/>
      <c r="WS164" s="3"/>
      <c r="WT164" s="3"/>
      <c r="WU164" s="3"/>
      <c r="WV164" s="3"/>
      <c r="WW164" s="3"/>
      <c r="WX164" s="3"/>
      <c r="WY164" s="3"/>
      <c r="WZ164" s="3"/>
      <c r="XA164" s="3"/>
      <c r="XB164" s="3"/>
      <c r="XC164" s="3"/>
      <c r="XD164" s="3"/>
      <c r="XE164" s="3"/>
      <c r="XF164" s="3"/>
      <c r="XG164" s="3"/>
      <c r="XH164" s="3"/>
      <c r="XI164" s="3"/>
      <c r="XJ164" s="3"/>
      <c r="XK164" s="3"/>
      <c r="XL164" s="3"/>
      <c r="XM164" s="3"/>
      <c r="XN164" s="3"/>
      <c r="XO164" s="3"/>
      <c r="XP164" s="3"/>
      <c r="XQ164" s="3"/>
      <c r="XR164" s="3"/>
      <c r="XS164" s="3"/>
      <c r="XT164" s="3"/>
      <c r="XU164" s="3"/>
      <c r="XV164" s="3"/>
      <c r="XW164" s="3"/>
      <c r="XX164" s="3"/>
      <c r="XY164" s="3"/>
      <c r="XZ164" s="3"/>
      <c r="YA164" s="3"/>
      <c r="YB164" s="3"/>
      <c r="YC164" s="3"/>
      <c r="YD164" s="3"/>
      <c r="YE164" s="3"/>
      <c r="YF164" s="3"/>
      <c r="YG164" s="3"/>
      <c r="YH164" s="3"/>
      <c r="YI164" s="3"/>
      <c r="YJ164" s="3"/>
      <c r="YK164" s="3"/>
      <c r="YL164" s="3"/>
      <c r="YM164" s="3"/>
      <c r="YN164" s="3"/>
      <c r="YO164" s="3"/>
      <c r="YP164" s="3"/>
      <c r="YQ164" s="3"/>
      <c r="YR164" s="3"/>
      <c r="YS164" s="3"/>
      <c r="YT164" s="3"/>
      <c r="YU164" s="3"/>
      <c r="YV164" s="3"/>
      <c r="YW164" s="3"/>
      <c r="YX164" s="3"/>
      <c r="YY164" s="3"/>
      <c r="YZ164" s="3"/>
      <c r="ZA164" s="3"/>
      <c r="ZB164" s="3"/>
      <c r="ZC164" s="3"/>
      <c r="ZD164" s="3"/>
      <c r="ZE164" s="3"/>
      <c r="ZF164" s="3"/>
      <c r="ZG164" s="3"/>
      <c r="ZH164" s="3"/>
      <c r="ZI164" s="3"/>
      <c r="ZJ164" s="3"/>
      <c r="ZK164" s="3"/>
      <c r="ZL164" s="3"/>
      <c r="ZM164" s="3"/>
      <c r="ZN164" s="3"/>
      <c r="ZO164" s="3"/>
      <c r="ZP164" s="3"/>
      <c r="ZQ164" s="3"/>
      <c r="ZR164" s="3"/>
      <c r="ZS164" s="3"/>
      <c r="ZT164" s="3"/>
      <c r="ZU164" s="3"/>
      <c r="ZV164" s="3"/>
      <c r="ZW164" s="3"/>
      <c r="ZX164" s="3"/>
      <c r="ZY164" s="3"/>
      <c r="ZZ164" s="3"/>
      <c r="AAA164" s="3"/>
      <c r="AAB164" s="3"/>
      <c r="AAC164" s="3"/>
      <c r="AAD164" s="3"/>
      <c r="AAE164" s="3"/>
      <c r="AAF164" s="3"/>
      <c r="AAG164" s="3"/>
      <c r="AAH164" s="3"/>
      <c r="AAI164" s="3"/>
      <c r="AAJ164" s="3"/>
      <c r="AAK164" s="3"/>
      <c r="AAL164" s="3"/>
      <c r="AAM164" s="3"/>
      <c r="AAN164" s="3"/>
      <c r="AAO164" s="3"/>
      <c r="AAP164" s="3"/>
      <c r="AAQ164" s="3"/>
      <c r="AAR164" s="3"/>
      <c r="AAS164" s="3"/>
      <c r="AAT164" s="3"/>
      <c r="AAU164" s="3"/>
      <c r="AAV164" s="3"/>
      <c r="AAW164" s="3"/>
      <c r="AAX164" s="3"/>
      <c r="AAY164" s="3"/>
      <c r="AAZ164" s="3"/>
      <c r="ABA164" s="3"/>
      <c r="ABB164" s="3"/>
      <c r="ABC164" s="3"/>
      <c r="ABD164" s="3"/>
      <c r="ABE164" s="3"/>
      <c r="ABF164" s="3"/>
      <c r="ABG164" s="3"/>
      <c r="ABH164" s="3"/>
      <c r="ABI164" s="3"/>
      <c r="ABJ164" s="3"/>
      <c r="ABK164" s="3"/>
      <c r="ABL164" s="3"/>
      <c r="ABM164" s="3"/>
      <c r="ABN164" s="3"/>
      <c r="ABO164" s="3"/>
      <c r="ABP164" s="3"/>
      <c r="ABQ164" s="3"/>
      <c r="ABR164" s="3"/>
      <c r="ABS164" s="3"/>
      <c r="ABT164" s="3"/>
      <c r="ABU164" s="3"/>
      <c r="ABV164" s="3"/>
      <c r="ABW164" s="3"/>
      <c r="ABX164" s="3"/>
      <c r="ABY164" s="3"/>
      <c r="ABZ164" s="3"/>
      <c r="ACA164" s="3"/>
      <c r="ACB164" s="3"/>
      <c r="ACC164" s="3"/>
      <c r="ACD164" s="3"/>
      <c r="ACE164" s="3"/>
      <c r="ACF164" s="3"/>
      <c r="ACG164" s="3"/>
      <c r="ACH164" s="3"/>
      <c r="ACI164" s="3"/>
      <c r="ACJ164" s="3"/>
      <c r="ACK164" s="3"/>
      <c r="ACL164" s="3"/>
      <c r="ACM164" s="3"/>
      <c r="ACN164" s="3"/>
      <c r="ACO164" s="3"/>
      <c r="ACP164" s="3"/>
      <c r="ACQ164" s="3"/>
      <c r="ACR164" s="3"/>
      <c r="ACS164" s="3"/>
      <c r="ACT164" s="3"/>
      <c r="ACU164" s="3"/>
      <c r="ACV164" s="3"/>
      <c r="ACW164" s="3"/>
      <c r="ACX164" s="3"/>
      <c r="ACY164" s="3"/>
      <c r="ACZ164" s="3"/>
      <c r="ADA164" s="3"/>
      <c r="ADB164" s="3"/>
      <c r="ADC164" s="3"/>
      <c r="ADD164" s="3"/>
      <c r="ADE164" s="3"/>
      <c r="ADF164" s="3"/>
      <c r="ADG164" s="3"/>
      <c r="ADH164" s="3"/>
      <c r="ADI164" s="3"/>
      <c r="ADJ164" s="3"/>
      <c r="ADK164" s="3"/>
      <c r="ADL164" s="3"/>
      <c r="ADM164" s="3"/>
      <c r="ADN164" s="3"/>
      <c r="ADO164" s="3"/>
      <c r="ADP164" s="3"/>
      <c r="ADQ164" s="3"/>
      <c r="ADR164" s="3"/>
      <c r="ADS164" s="3"/>
      <c r="ADT164" s="3"/>
      <c r="ADU164" s="3"/>
      <c r="ADV164" s="3"/>
      <c r="ADW164" s="3"/>
      <c r="ADX164" s="3"/>
      <c r="ADY164" s="3"/>
      <c r="ADZ164" s="3"/>
      <c r="AEA164" s="3"/>
      <c r="AEB164" s="3"/>
      <c r="AEC164" s="3"/>
      <c r="AED164" s="3"/>
      <c r="AEE164" s="3"/>
      <c r="AEF164" s="3"/>
      <c r="AEG164" s="3"/>
      <c r="AEH164" s="3"/>
      <c r="AEI164" s="3"/>
      <c r="AEJ164" s="3"/>
      <c r="AEK164" s="3"/>
      <c r="AEL164" s="3"/>
      <c r="AEM164" s="3"/>
      <c r="AEN164" s="3"/>
      <c r="AEO164" s="3"/>
      <c r="AEP164" s="3"/>
      <c r="AEQ164" s="3"/>
      <c r="AER164" s="3"/>
      <c r="AES164" s="3"/>
      <c r="AET164" s="3"/>
      <c r="AEU164" s="3"/>
      <c r="AEV164" s="3"/>
      <c r="AEW164" s="3"/>
      <c r="AEX164" s="3"/>
      <c r="AEY164" s="3"/>
      <c r="AEZ164" s="3"/>
      <c r="AFA164" s="3"/>
      <c r="AFB164" s="3"/>
      <c r="AFC164" s="3"/>
      <c r="AFD164" s="3"/>
      <c r="AFE164" s="3"/>
      <c r="AFF164" s="3"/>
      <c r="AFG164" s="3"/>
      <c r="AFH164" s="3"/>
      <c r="AFI164" s="3"/>
      <c r="AFJ164" s="3"/>
      <c r="AFK164" s="3"/>
      <c r="AFL164" s="3"/>
      <c r="AFM164" s="3"/>
      <c r="AFN164" s="3"/>
      <c r="AFO164" s="3"/>
      <c r="AFP164" s="3"/>
      <c r="AFQ164" s="3"/>
      <c r="AFR164" s="3"/>
      <c r="AFS164" s="3"/>
      <c r="AFT164" s="3"/>
      <c r="AFU164" s="3"/>
      <c r="AFV164" s="3"/>
      <c r="AFW164" s="3"/>
      <c r="AFX164" s="3"/>
      <c r="AFY164" s="3"/>
      <c r="AFZ164" s="3"/>
      <c r="AGA164" s="3"/>
      <c r="AGB164" s="3"/>
      <c r="AGC164" s="3"/>
      <c r="AGD164" s="3"/>
      <c r="AGE164" s="3"/>
      <c r="AGF164" s="3"/>
      <c r="AGG164" s="3"/>
      <c r="AGH164" s="3"/>
      <c r="AGI164" s="3"/>
      <c r="AGJ164" s="3"/>
      <c r="AGK164" s="3"/>
      <c r="AGL164" s="3"/>
      <c r="AGM164" s="3"/>
      <c r="AGN164" s="3"/>
      <c r="AGO164" s="3"/>
      <c r="AGP164" s="3"/>
      <c r="AGQ164" s="3"/>
      <c r="AGR164" s="3"/>
      <c r="AGS164" s="3"/>
      <c r="AGT164" s="3"/>
      <c r="AGU164" s="3"/>
      <c r="AGV164" s="3"/>
      <c r="AGW164" s="3"/>
      <c r="AGX164" s="3"/>
      <c r="AGY164" s="3"/>
      <c r="AGZ164" s="3"/>
      <c r="AHA164" s="3"/>
      <c r="AHB164" s="3"/>
      <c r="AHC164" s="3"/>
      <c r="AHD164" s="3"/>
      <c r="AHE164" s="3"/>
      <c r="AHF164" s="3"/>
      <c r="AHG164" s="3"/>
      <c r="AHH164" s="3"/>
      <c r="AHI164" s="3"/>
      <c r="AHJ164" s="3"/>
      <c r="AHK164" s="3"/>
      <c r="AHL164" s="3"/>
      <c r="AHM164" s="3"/>
      <c r="AHN164" s="3"/>
      <c r="AHO164" s="3"/>
      <c r="AHP164" s="3"/>
      <c r="AHQ164" s="3"/>
      <c r="AHR164" s="3"/>
      <c r="AHS164" s="3"/>
      <c r="AHT164" s="3"/>
      <c r="AHU164" s="3"/>
      <c r="AHV164" s="3"/>
      <c r="AHW164" s="3"/>
      <c r="AHX164" s="3"/>
      <c r="AHY164" s="3"/>
      <c r="AHZ164" s="3"/>
      <c r="AIA164" s="3"/>
      <c r="AIB164" s="3"/>
      <c r="AIC164" s="3"/>
      <c r="AID164" s="3"/>
      <c r="AIE164" s="3"/>
      <c r="AIF164" s="3"/>
      <c r="AIG164" s="3"/>
      <c r="AIH164" s="3"/>
      <c r="AII164" s="3"/>
      <c r="AIJ164" s="3"/>
      <c r="AIK164" s="3"/>
      <c r="AIL164" s="3"/>
      <c r="AIM164" s="3"/>
      <c r="AIN164" s="3"/>
      <c r="AIO164" s="3"/>
      <c r="AIP164" s="3"/>
      <c r="AIQ164" s="3"/>
      <c r="AIR164" s="3"/>
      <c r="AIS164" s="3"/>
      <c r="AIT164" s="3"/>
      <c r="AIU164" s="3"/>
      <c r="AIV164" s="3"/>
      <c r="AIW164" s="3"/>
      <c r="AIX164" s="3"/>
      <c r="AIY164" s="3"/>
      <c r="AIZ164" s="3"/>
      <c r="AJA164" s="3"/>
      <c r="AJB164" s="3"/>
      <c r="AJC164" s="3"/>
      <c r="AJD164" s="3"/>
      <c r="AJE164" s="3"/>
      <c r="AJF164" s="3"/>
      <c r="AJG164" s="3"/>
      <c r="AJH164" s="3"/>
      <c r="AJI164" s="3"/>
      <c r="AJJ164" s="3"/>
      <c r="AJK164" s="3"/>
      <c r="AJL164" s="3"/>
      <c r="AJM164" s="3"/>
      <c r="AJN164" s="3"/>
      <c r="AJO164" s="3"/>
      <c r="AJP164" s="3"/>
      <c r="AJQ164" s="3"/>
      <c r="AJR164" s="3"/>
      <c r="AJS164" s="3"/>
      <c r="AJT164" s="3"/>
      <c r="AJU164" s="3"/>
      <c r="AJV164" s="3"/>
      <c r="AJW164" s="3"/>
      <c r="AJX164" s="3"/>
      <c r="AJY164" s="3"/>
      <c r="AJZ164" s="3"/>
      <c r="AKA164" s="3"/>
      <c r="AKB164" s="3"/>
      <c r="AKC164" s="3"/>
      <c r="AKD164" s="3"/>
      <c r="AKE164" s="3"/>
      <c r="AKF164" s="3"/>
      <c r="AKG164" s="3"/>
      <c r="AKH164" s="3"/>
      <c r="AKI164" s="3"/>
      <c r="AKJ164" s="3"/>
      <c r="AKK164" s="3"/>
      <c r="AKL164" s="3"/>
      <c r="AKM164" s="3"/>
      <c r="AKN164" s="3"/>
      <c r="AKO164" s="3"/>
      <c r="AKP164" s="3"/>
      <c r="AKQ164" s="3"/>
      <c r="AKR164" s="3"/>
      <c r="AKS164" s="3"/>
      <c r="AKT164" s="3"/>
      <c r="AKU164" s="3"/>
      <c r="AKV164" s="3"/>
      <c r="AKW164" s="3"/>
      <c r="AKX164" s="3"/>
      <c r="AKY164" s="3"/>
      <c r="AKZ164" s="3"/>
      <c r="ALA164" s="3"/>
      <c r="ALB164" s="3"/>
      <c r="ALC164" s="3"/>
      <c r="ALD164" s="3"/>
      <c r="ALE164" s="3"/>
      <c r="ALF164" s="3"/>
      <c r="ALG164" s="3"/>
      <c r="ALH164" s="3"/>
      <c r="ALI164" s="3"/>
      <c r="ALJ164" s="3"/>
      <c r="ALK164" s="3"/>
      <c r="ALL164" s="3"/>
      <c r="ALM164" s="3"/>
      <c r="ALN164" s="3"/>
      <c r="ALO164" s="3"/>
      <c r="ALP164" s="3"/>
      <c r="ALQ164" s="3"/>
      <c r="ALR164" s="3"/>
      <c r="ALS164" s="3"/>
      <c r="ALT164" s="3"/>
      <c r="ALU164" s="3"/>
      <c r="ALV164" s="3"/>
      <c r="ALW164" s="3"/>
      <c r="ALX164" s="3"/>
      <c r="ALY164" s="3"/>
      <c r="ALZ164" s="3"/>
      <c r="AMA164" s="3"/>
      <c r="AMB164" s="3"/>
      <c r="AMC164" s="3"/>
      <c r="AMD164" s="3"/>
      <c r="AME164" s="3"/>
      <c r="AMF164" s="3"/>
      <c r="AMG164" s="3"/>
      <c r="AMH164" s="3"/>
      <c r="AMI164" s="3"/>
      <c r="AMJ164" s="3"/>
      <c r="AMK164" s="3"/>
      <c r="AML164" s="3"/>
      <c r="AMM164" s="3"/>
      <c r="AMN164" s="3"/>
      <c r="AMO164" s="3"/>
      <c r="AMP164" s="3"/>
      <c r="AMQ164" s="3"/>
      <c r="AMR164" s="3"/>
      <c r="AMS164" s="3"/>
      <c r="AMT164" s="3"/>
      <c r="AMU164" s="3"/>
      <c r="AMV164" s="3"/>
      <c r="AMW164" s="3"/>
      <c r="AMX164" s="3"/>
      <c r="AMY164" s="3"/>
      <c r="AMZ164" s="3"/>
      <c r="ANA164" s="3"/>
      <c r="ANB164" s="3"/>
      <c r="ANC164" s="3"/>
      <c r="AND164" s="3"/>
      <c r="ANE164" s="3"/>
      <c r="ANF164" s="3"/>
      <c r="ANG164" s="3"/>
      <c r="ANH164" s="3"/>
      <c r="ANI164" s="3"/>
      <c r="ANJ164" s="3"/>
      <c r="ANK164" s="3"/>
      <c r="ANL164" s="3"/>
      <c r="ANM164" s="3"/>
      <c r="ANN164" s="3"/>
      <c r="ANO164" s="3"/>
      <c r="ANP164" s="3"/>
      <c r="ANQ164" s="3"/>
      <c r="ANR164" s="3"/>
      <c r="ANS164" s="3"/>
      <c r="ANT164" s="3"/>
      <c r="ANU164" s="3"/>
      <c r="ANV164" s="3"/>
      <c r="ANW164" s="3"/>
      <c r="ANX164" s="3"/>
      <c r="ANY164" s="3"/>
      <c r="ANZ164" s="3"/>
      <c r="AOA164" s="3"/>
      <c r="AOB164" s="3"/>
      <c r="AOC164" s="3"/>
      <c r="AOD164" s="3"/>
      <c r="AOE164" s="3"/>
      <c r="AOF164" s="3"/>
      <c r="AOG164" s="3"/>
      <c r="AOH164" s="3"/>
      <c r="AOI164" s="3"/>
      <c r="AOJ164" s="3"/>
      <c r="AOK164" s="3"/>
      <c r="AOL164" s="3"/>
      <c r="AOM164" s="3"/>
      <c r="AON164" s="3"/>
      <c r="AOO164" s="3"/>
      <c r="AOP164" s="3"/>
      <c r="AOQ164" s="3"/>
      <c r="AOR164" s="3"/>
      <c r="AOS164" s="3"/>
      <c r="AOT164" s="3"/>
      <c r="AOU164" s="3"/>
      <c r="AOV164" s="3"/>
      <c r="AOW164" s="3"/>
      <c r="AOX164" s="3"/>
      <c r="AOY164" s="3"/>
      <c r="AOZ164" s="3"/>
      <c r="APA164" s="3"/>
      <c r="APB164" s="3"/>
      <c r="APC164" s="3"/>
      <c r="APD164" s="3"/>
      <c r="APE164" s="3"/>
      <c r="APF164" s="3"/>
      <c r="APG164" s="3"/>
      <c r="APH164" s="3"/>
      <c r="API164" s="3"/>
      <c r="APJ164" s="3"/>
      <c r="APK164" s="3"/>
      <c r="APL164" s="3"/>
      <c r="APM164" s="3"/>
      <c r="APN164" s="3"/>
      <c r="APO164" s="3"/>
      <c r="APP164" s="3"/>
      <c r="APQ164" s="3"/>
      <c r="APR164" s="3"/>
      <c r="APS164" s="3"/>
      <c r="APT164" s="3"/>
      <c r="APU164" s="3"/>
      <c r="APV164" s="3"/>
      <c r="APW164" s="3"/>
      <c r="APX164" s="3"/>
      <c r="APY164" s="3"/>
      <c r="APZ164" s="3"/>
      <c r="AQA164" s="3"/>
      <c r="AQB164" s="3"/>
      <c r="AQC164" s="3"/>
      <c r="AQD164" s="3"/>
      <c r="AQE164" s="3"/>
      <c r="AQF164" s="3"/>
      <c r="AQG164" s="3"/>
      <c r="AQH164" s="3"/>
      <c r="AQI164" s="3"/>
      <c r="AQJ164" s="3"/>
      <c r="AQK164" s="3"/>
      <c r="AQL164" s="3"/>
      <c r="AQM164" s="3"/>
      <c r="AQN164" s="3"/>
      <c r="AQO164" s="3"/>
      <c r="AQP164" s="3"/>
      <c r="AQQ164" s="3"/>
      <c r="AQR164" s="3"/>
      <c r="AQS164" s="3"/>
      <c r="AQT164" s="3"/>
      <c r="AQU164" s="3"/>
      <c r="AQV164" s="3"/>
      <c r="AQW164" s="3"/>
      <c r="AQX164" s="3"/>
      <c r="AQY164" s="3"/>
      <c r="AQZ164" s="3"/>
      <c r="ARA164" s="3"/>
      <c r="ARB164" s="3"/>
      <c r="ARC164" s="3"/>
      <c r="ARD164" s="3"/>
      <c r="ARE164" s="3"/>
      <c r="ARF164" s="3"/>
      <c r="ARG164" s="3"/>
      <c r="ARH164" s="3"/>
      <c r="ARI164" s="3"/>
      <c r="ARJ164" s="3"/>
      <c r="ARK164" s="3"/>
      <c r="ARL164" s="3"/>
      <c r="ARM164" s="3"/>
      <c r="ARN164" s="3"/>
      <c r="ARO164" s="3"/>
      <c r="ARP164" s="3"/>
      <c r="ARQ164" s="3"/>
      <c r="ARR164" s="3"/>
      <c r="ARS164" s="3"/>
      <c r="ART164" s="3"/>
      <c r="ARU164" s="3"/>
      <c r="ARV164" s="3"/>
      <c r="ARW164" s="3"/>
      <c r="ARX164" s="3"/>
      <c r="ARY164" s="3"/>
      <c r="ARZ164" s="3"/>
      <c r="ASA164" s="3"/>
      <c r="ASB164" s="3"/>
      <c r="ASC164" s="3"/>
      <c r="ASD164" s="3"/>
      <c r="ASE164" s="3"/>
      <c r="ASF164" s="3"/>
      <c r="ASG164" s="3"/>
      <c r="ASH164" s="3"/>
      <c r="ASI164" s="3"/>
      <c r="ASJ164" s="3"/>
      <c r="ASK164" s="3"/>
      <c r="ASL164" s="3"/>
      <c r="ASM164" s="3"/>
      <c r="ASN164" s="3"/>
      <c r="ASO164" s="3"/>
      <c r="ASP164" s="3"/>
      <c r="ASQ164" s="3"/>
      <c r="ASR164" s="3"/>
      <c r="ASS164" s="3"/>
      <c r="AST164" s="3"/>
      <c r="ASU164" s="3"/>
      <c r="ASV164" s="3"/>
      <c r="ASW164" s="3"/>
      <c r="ASX164" s="3"/>
      <c r="ASY164" s="3"/>
      <c r="ASZ164" s="3"/>
      <c r="ATA164" s="3"/>
      <c r="ATB164" s="3"/>
      <c r="ATC164" s="3"/>
      <c r="ATD164" s="3"/>
      <c r="ATE164" s="3"/>
      <c r="ATF164" s="3"/>
      <c r="ATG164" s="3"/>
      <c r="ATH164" s="3"/>
      <c r="ATI164" s="3"/>
      <c r="ATJ164" s="3"/>
      <c r="ATK164" s="3"/>
      <c r="ATL164" s="3"/>
      <c r="ATM164" s="3"/>
      <c r="ATN164" s="3"/>
      <c r="ATO164" s="3"/>
      <c r="ATP164" s="3"/>
      <c r="ATQ164" s="3"/>
      <c r="ATR164" s="3"/>
      <c r="ATS164" s="3"/>
      <c r="ATT164" s="3"/>
      <c r="ATU164" s="3"/>
      <c r="ATV164" s="3"/>
      <c r="ATW164" s="3"/>
      <c r="ATX164" s="3"/>
      <c r="ATY164" s="3"/>
      <c r="ATZ164" s="3"/>
      <c r="AUA164" s="3"/>
      <c r="AUB164" s="3"/>
      <c r="AUC164" s="3"/>
      <c r="AUD164" s="3"/>
      <c r="AUE164" s="3"/>
      <c r="AUF164" s="3"/>
      <c r="AUG164" s="3"/>
      <c r="AUH164" s="3"/>
      <c r="AUI164" s="3"/>
      <c r="AUJ164" s="3"/>
      <c r="AUK164" s="3"/>
      <c r="AUL164" s="3"/>
      <c r="AUM164" s="3"/>
      <c r="AUN164" s="3"/>
      <c r="AUO164" s="3"/>
      <c r="AUP164" s="3"/>
      <c r="AUQ164" s="3"/>
      <c r="AUR164" s="3"/>
      <c r="AUS164" s="3"/>
      <c r="AUT164" s="3"/>
      <c r="AUU164" s="3"/>
      <c r="AUV164" s="3"/>
      <c r="AUW164" s="3"/>
      <c r="AUX164" s="3"/>
      <c r="AUY164" s="3"/>
      <c r="AUZ164" s="3"/>
      <c r="AVA164" s="3"/>
      <c r="AVB164" s="3"/>
      <c r="AVC164" s="3"/>
      <c r="AVD164" s="3"/>
      <c r="AVE164" s="3"/>
      <c r="AVF164" s="3"/>
      <c r="AVG164" s="3"/>
      <c r="AVH164" s="3"/>
      <c r="AVI164" s="3"/>
      <c r="AVJ164" s="3"/>
      <c r="AVK164" s="3"/>
      <c r="AVL164" s="3"/>
      <c r="AVM164" s="3"/>
      <c r="AVN164" s="3"/>
      <c r="AVO164" s="3"/>
      <c r="AVP164" s="3"/>
      <c r="AVQ164" s="3"/>
      <c r="AVR164" s="3"/>
      <c r="AVS164" s="3"/>
      <c r="AVT164" s="3"/>
      <c r="AVU164" s="3"/>
      <c r="AVV164" s="3"/>
      <c r="AVW164" s="3"/>
      <c r="AVX164" s="3"/>
      <c r="AVY164" s="3"/>
      <c r="AVZ164" s="3"/>
      <c r="AWA164" s="3"/>
      <c r="AWB164" s="3"/>
      <c r="AWC164" s="3"/>
      <c r="AWD164" s="3"/>
      <c r="AWE164" s="3"/>
      <c r="AWF164" s="3"/>
      <c r="AWG164" s="3"/>
      <c r="AWH164" s="3"/>
      <c r="AWI164" s="3"/>
      <c r="AWJ164" s="3"/>
      <c r="AWK164" s="3"/>
      <c r="AWL164" s="3"/>
      <c r="AWM164" s="3"/>
      <c r="AWN164" s="3"/>
      <c r="AWO164" s="3"/>
      <c r="AWP164" s="3"/>
      <c r="AWQ164" s="3"/>
      <c r="AWR164" s="3"/>
      <c r="AWS164" s="3"/>
      <c r="AWT164" s="3"/>
      <c r="AWU164" s="3"/>
      <c r="AWV164" s="3"/>
      <c r="AWW164" s="3"/>
      <c r="AWX164" s="3"/>
      <c r="AWY164" s="3"/>
      <c r="AWZ164" s="3"/>
      <c r="AXA164" s="3"/>
      <c r="AXB164" s="3"/>
      <c r="AXC164" s="3"/>
      <c r="AXD164" s="3"/>
      <c r="AXE164" s="3"/>
      <c r="AXF164" s="3"/>
      <c r="AXG164" s="3"/>
      <c r="AXH164" s="3"/>
      <c r="AXI164" s="3"/>
      <c r="AXJ164" s="3"/>
      <c r="AXK164" s="3"/>
      <c r="AXL164" s="3"/>
      <c r="AXM164" s="3"/>
      <c r="AXN164" s="3"/>
      <c r="AXO164" s="3"/>
      <c r="AXP164" s="3"/>
      <c r="AXQ164" s="3"/>
      <c r="AXR164" s="3"/>
      <c r="AXS164" s="3"/>
      <c r="AXT164" s="3"/>
      <c r="AXU164" s="3"/>
      <c r="AXV164" s="3"/>
      <c r="AXW164" s="3"/>
      <c r="AXX164" s="3"/>
      <c r="AXY164" s="3"/>
      <c r="AXZ164" s="3"/>
      <c r="AYA164" s="3"/>
      <c r="AYB164" s="3"/>
      <c r="AYC164" s="3"/>
      <c r="AYD164" s="3"/>
      <c r="AYE164" s="3"/>
      <c r="AYF164" s="3"/>
      <c r="AYG164" s="3"/>
      <c r="AYH164" s="3"/>
      <c r="AYI164" s="3"/>
      <c r="AYJ164" s="3"/>
      <c r="AYK164" s="3"/>
      <c r="AYL164" s="3"/>
      <c r="AYM164" s="3"/>
      <c r="AYN164" s="3"/>
      <c r="AYO164" s="3"/>
      <c r="AYP164" s="3"/>
      <c r="AYQ164" s="3"/>
      <c r="AYR164" s="3"/>
      <c r="AYS164" s="3"/>
      <c r="AYT164" s="3"/>
      <c r="AYU164" s="3"/>
      <c r="AYV164" s="3"/>
      <c r="AYW164" s="3"/>
      <c r="AYX164" s="3"/>
      <c r="AYY164" s="3"/>
      <c r="AYZ164" s="3"/>
      <c r="AZA164" s="3"/>
      <c r="AZB164" s="3"/>
      <c r="AZC164" s="3"/>
      <c r="AZD164" s="3"/>
      <c r="AZE164" s="3"/>
      <c r="AZF164" s="3"/>
      <c r="AZG164" s="3"/>
      <c r="AZH164" s="3"/>
      <c r="AZI164" s="3"/>
      <c r="AZJ164" s="3"/>
      <c r="AZK164" s="3"/>
      <c r="AZL164" s="3"/>
      <c r="AZM164" s="3"/>
      <c r="AZN164" s="3"/>
      <c r="AZO164" s="3"/>
      <c r="AZP164" s="3"/>
      <c r="AZQ164" s="3"/>
      <c r="AZR164" s="3"/>
      <c r="AZS164" s="3"/>
      <c r="AZT164" s="3"/>
      <c r="AZU164" s="3"/>
      <c r="AZV164" s="3"/>
      <c r="AZW164" s="3"/>
      <c r="AZX164" s="3"/>
      <c r="AZY164" s="3"/>
      <c r="AZZ164" s="3"/>
      <c r="BAA164" s="3"/>
      <c r="BAB164" s="3"/>
      <c r="BAC164" s="3"/>
      <c r="BAD164" s="3"/>
      <c r="BAE164" s="3"/>
      <c r="BAF164" s="3"/>
      <c r="BAG164" s="3"/>
      <c r="BAH164" s="3"/>
      <c r="BAI164" s="3"/>
      <c r="BAJ164" s="3"/>
      <c r="BAK164" s="3"/>
      <c r="BAL164" s="3"/>
      <c r="BAM164" s="3"/>
      <c r="BAN164" s="3"/>
      <c r="BAO164" s="3"/>
      <c r="BAP164" s="3"/>
      <c r="BAQ164" s="3"/>
      <c r="BAR164" s="3"/>
      <c r="BAS164" s="3"/>
      <c r="BAT164" s="3"/>
      <c r="BAU164" s="3"/>
      <c r="BAV164" s="3"/>
      <c r="BAW164" s="3"/>
      <c r="BAX164" s="3"/>
      <c r="BAY164" s="3"/>
      <c r="BAZ164" s="3"/>
      <c r="BBA164" s="3"/>
      <c r="BBB164" s="3"/>
      <c r="BBC164" s="3"/>
      <c r="BBD164" s="3"/>
      <c r="BBE164" s="3"/>
      <c r="BBF164" s="3"/>
      <c r="BBG164" s="3"/>
      <c r="BBH164" s="3"/>
      <c r="BBI164" s="3"/>
      <c r="BBJ164" s="3"/>
      <c r="BBK164" s="3"/>
      <c r="BBL164" s="3"/>
      <c r="BBM164" s="3"/>
      <c r="BBN164" s="3"/>
      <c r="BBO164" s="3"/>
      <c r="BBP164" s="3"/>
      <c r="BBQ164" s="3"/>
      <c r="BBR164" s="3"/>
      <c r="BBS164" s="3"/>
      <c r="BBT164" s="3"/>
      <c r="BBU164" s="3"/>
      <c r="BBV164" s="3"/>
      <c r="BBW164" s="3"/>
      <c r="BBX164" s="3"/>
      <c r="BBY164" s="3"/>
      <c r="BBZ164" s="3"/>
      <c r="BCA164" s="3"/>
      <c r="BCB164" s="3"/>
      <c r="BCC164" s="3"/>
      <c r="BCD164" s="3"/>
      <c r="BCE164" s="3"/>
      <c r="BCF164" s="3"/>
      <c r="BCG164" s="3"/>
      <c r="BCH164" s="3"/>
      <c r="BCI164" s="3"/>
      <c r="BCJ164" s="3"/>
      <c r="BCK164" s="3"/>
      <c r="BCL164" s="3"/>
      <c r="BCM164" s="3"/>
      <c r="BCN164" s="3"/>
      <c r="BCO164" s="3"/>
      <c r="BCP164" s="3"/>
      <c r="BCQ164" s="3"/>
      <c r="BCR164" s="3"/>
      <c r="BCS164" s="3"/>
      <c r="BCT164" s="3"/>
      <c r="BCU164" s="3"/>
      <c r="BCV164" s="3"/>
      <c r="BCW164" s="3"/>
      <c r="BCX164" s="3"/>
      <c r="BCY164" s="3"/>
      <c r="BCZ164" s="3"/>
      <c r="BDA164" s="3"/>
      <c r="BDB164" s="3"/>
      <c r="BDC164" s="3"/>
      <c r="BDD164" s="3"/>
      <c r="BDE164" s="3"/>
      <c r="BDF164" s="3"/>
      <c r="BDG164" s="3"/>
      <c r="BDH164" s="3"/>
      <c r="BDI164" s="3"/>
      <c r="BDJ164" s="3"/>
      <c r="BDK164" s="3"/>
      <c r="BDL164" s="3"/>
      <c r="BDM164" s="3"/>
      <c r="BDN164" s="3"/>
      <c r="BDO164" s="3"/>
      <c r="BDP164" s="3"/>
      <c r="BDQ164" s="3"/>
      <c r="BDR164" s="3"/>
      <c r="BDS164" s="3"/>
      <c r="BDT164" s="3"/>
      <c r="BDU164" s="3"/>
      <c r="BDV164" s="3"/>
      <c r="BDW164" s="3"/>
      <c r="BDX164" s="3"/>
      <c r="BDY164" s="3"/>
      <c r="BDZ164" s="3"/>
      <c r="BEA164" s="3"/>
      <c r="BEB164" s="3"/>
      <c r="BEC164" s="3"/>
      <c r="BED164" s="3"/>
      <c r="BEE164" s="3"/>
      <c r="BEF164" s="3"/>
      <c r="BEG164" s="3"/>
      <c r="BEH164" s="3"/>
      <c r="BEI164" s="3"/>
      <c r="BEJ164" s="3"/>
      <c r="BEK164" s="3"/>
      <c r="BEL164" s="3"/>
      <c r="BEM164" s="3"/>
      <c r="BEN164" s="3"/>
      <c r="BEO164" s="3"/>
      <c r="BEP164" s="3"/>
      <c r="BEQ164" s="3"/>
      <c r="BER164" s="3"/>
      <c r="BES164" s="3"/>
      <c r="BET164" s="3"/>
      <c r="BEU164" s="3"/>
      <c r="BEV164" s="3"/>
      <c r="BEW164" s="3"/>
      <c r="BEX164" s="3"/>
      <c r="BEY164" s="3"/>
      <c r="BEZ164" s="3"/>
      <c r="BFA164" s="3"/>
      <c r="BFB164" s="3"/>
      <c r="BFC164" s="3"/>
      <c r="BFD164" s="3"/>
      <c r="BFE164" s="3"/>
      <c r="BFF164" s="3"/>
      <c r="BFG164" s="3"/>
      <c r="BFH164" s="3"/>
      <c r="BFI164" s="3"/>
      <c r="BFJ164" s="3"/>
      <c r="BFK164" s="3"/>
      <c r="BFL164" s="3"/>
      <c r="BFM164" s="3"/>
      <c r="BFN164" s="3"/>
      <c r="BFO164" s="3"/>
      <c r="BFP164" s="3"/>
      <c r="BFQ164" s="3"/>
      <c r="BFR164" s="3"/>
      <c r="BFS164" s="3"/>
      <c r="BFT164" s="3"/>
      <c r="BFU164" s="3"/>
      <c r="BFV164" s="3"/>
      <c r="BFW164" s="3"/>
      <c r="BFX164" s="3"/>
      <c r="BFY164" s="3"/>
      <c r="BFZ164" s="3"/>
      <c r="BGA164" s="3"/>
      <c r="BGB164" s="3"/>
      <c r="BGC164" s="3"/>
      <c r="BGD164" s="3"/>
      <c r="BGE164" s="3"/>
      <c r="BGF164" s="3"/>
      <c r="BGG164" s="3"/>
      <c r="BGH164" s="3"/>
      <c r="BGI164" s="3"/>
      <c r="BGJ164" s="3"/>
      <c r="BGK164" s="3"/>
      <c r="BGL164" s="3"/>
      <c r="BGM164" s="3"/>
      <c r="BGN164" s="3"/>
      <c r="BGO164" s="3"/>
      <c r="BGP164" s="3"/>
      <c r="BGQ164" s="3"/>
      <c r="BGR164" s="3"/>
      <c r="BGS164" s="3"/>
      <c r="BGT164" s="3"/>
      <c r="BGU164" s="3"/>
      <c r="BGV164" s="3"/>
      <c r="BGW164" s="3"/>
      <c r="BGX164" s="3"/>
      <c r="BGY164" s="3"/>
      <c r="BGZ164" s="3"/>
      <c r="BHA164" s="3"/>
      <c r="BHB164" s="3"/>
      <c r="BHC164" s="3"/>
      <c r="BHD164" s="3"/>
      <c r="BHE164" s="3"/>
      <c r="BHF164" s="3"/>
      <c r="BHG164" s="3"/>
      <c r="BHH164" s="3"/>
      <c r="BHI164" s="3"/>
      <c r="BHJ164" s="3"/>
      <c r="BHK164" s="3"/>
      <c r="BHL164" s="3"/>
      <c r="BHM164" s="3"/>
      <c r="BHN164" s="3"/>
      <c r="BHO164" s="3"/>
      <c r="BHP164" s="3"/>
      <c r="BHQ164" s="3"/>
      <c r="BHR164" s="3"/>
      <c r="BHS164" s="3"/>
      <c r="BHT164" s="3"/>
      <c r="BHU164" s="3"/>
      <c r="BHV164" s="3"/>
      <c r="BHW164" s="3"/>
      <c r="BHX164" s="3"/>
      <c r="BHY164" s="3"/>
      <c r="BHZ164" s="3"/>
      <c r="BIA164" s="3"/>
      <c r="BIB164" s="3"/>
      <c r="BIC164" s="3"/>
      <c r="BID164" s="3"/>
      <c r="BIE164" s="3"/>
      <c r="BIF164" s="3"/>
      <c r="BIG164" s="3"/>
      <c r="BIH164" s="3"/>
      <c r="BII164" s="3"/>
      <c r="BIJ164" s="3"/>
      <c r="BIK164" s="3"/>
      <c r="BIL164" s="3"/>
      <c r="BIM164" s="3"/>
      <c r="BIN164" s="3"/>
      <c r="BIO164" s="3"/>
      <c r="BIP164" s="3"/>
      <c r="BIQ164" s="3"/>
      <c r="BIR164" s="3"/>
      <c r="BIS164" s="3"/>
      <c r="BIT164" s="3"/>
      <c r="BIU164" s="3"/>
      <c r="BIV164" s="3"/>
      <c r="BIW164" s="3"/>
      <c r="BIX164" s="3"/>
      <c r="BIY164" s="3"/>
      <c r="BIZ164" s="3"/>
      <c r="BJA164" s="3"/>
      <c r="BJB164" s="3"/>
      <c r="BJC164" s="3"/>
      <c r="BJD164" s="3"/>
      <c r="BJE164" s="3"/>
      <c r="BJF164" s="3"/>
      <c r="BJG164" s="3"/>
      <c r="BJH164" s="3"/>
      <c r="BJI164" s="3"/>
      <c r="BJJ164" s="3"/>
      <c r="BJK164" s="3"/>
      <c r="BJL164" s="3"/>
      <c r="BJM164" s="3"/>
      <c r="BJN164" s="3"/>
      <c r="BJO164" s="3"/>
      <c r="BJP164" s="3"/>
      <c r="BJQ164" s="3"/>
      <c r="BJR164" s="3"/>
      <c r="BJS164" s="3"/>
      <c r="BJT164" s="3"/>
      <c r="BJU164" s="3"/>
      <c r="BJV164" s="3"/>
      <c r="BJW164" s="3"/>
      <c r="BJX164" s="3"/>
      <c r="BJY164" s="3"/>
      <c r="BJZ164" s="3"/>
      <c r="BKA164" s="3"/>
      <c r="BKB164" s="3"/>
      <c r="BKC164" s="3"/>
      <c r="BKD164" s="3"/>
      <c r="BKE164" s="3"/>
      <c r="BKF164" s="3"/>
      <c r="BKG164" s="3"/>
      <c r="BKH164" s="3"/>
      <c r="BKI164" s="3"/>
      <c r="BKJ164" s="3"/>
      <c r="BKK164" s="3"/>
      <c r="BKL164" s="3"/>
      <c r="BKM164" s="3"/>
      <c r="BKN164" s="3"/>
      <c r="BKO164" s="3"/>
      <c r="BKP164" s="3"/>
      <c r="BKQ164" s="3"/>
      <c r="BKR164" s="3"/>
      <c r="BKS164" s="3"/>
      <c r="BKT164" s="3"/>
      <c r="BKU164" s="3"/>
      <c r="BKV164" s="3"/>
      <c r="BKW164" s="3"/>
      <c r="BKX164" s="3"/>
      <c r="BKY164" s="3"/>
      <c r="BKZ164" s="3"/>
      <c r="BLA164" s="3"/>
      <c r="BLB164" s="3"/>
      <c r="BLC164" s="3"/>
      <c r="BLD164" s="3"/>
      <c r="BLE164" s="3"/>
      <c r="BLF164" s="3"/>
      <c r="BLG164" s="3"/>
      <c r="BLH164" s="3"/>
      <c r="BLI164" s="3"/>
      <c r="BLJ164" s="3"/>
      <c r="BLK164" s="3"/>
      <c r="BLL164" s="3"/>
      <c r="BLM164" s="3"/>
      <c r="BLN164" s="3"/>
      <c r="BLO164" s="3"/>
      <c r="BLP164" s="3"/>
      <c r="BLQ164" s="3"/>
      <c r="BLR164" s="3"/>
      <c r="BLS164" s="3"/>
      <c r="BLT164" s="3"/>
      <c r="BLU164" s="3"/>
      <c r="BLV164" s="3"/>
      <c r="BLW164" s="3"/>
      <c r="BLX164" s="3"/>
      <c r="BLY164" s="3"/>
      <c r="BLZ164" s="3"/>
      <c r="BMA164" s="3"/>
      <c r="BMB164" s="3"/>
      <c r="BMC164" s="3"/>
      <c r="BMD164" s="3"/>
      <c r="BME164" s="3"/>
      <c r="BMF164" s="3"/>
      <c r="BMG164" s="3"/>
      <c r="BMH164" s="3"/>
      <c r="BMI164" s="3"/>
      <c r="BMJ164" s="3"/>
      <c r="BMK164" s="3"/>
      <c r="BML164" s="3"/>
      <c r="BMM164" s="3"/>
      <c r="BMN164" s="3"/>
      <c r="BMO164" s="3"/>
      <c r="BMP164" s="3"/>
      <c r="BMQ164" s="3"/>
      <c r="BMR164" s="3"/>
      <c r="BMS164" s="3"/>
      <c r="BMT164" s="3"/>
      <c r="BMU164" s="3"/>
      <c r="BMV164" s="3"/>
      <c r="BMW164" s="3"/>
      <c r="BMX164" s="3"/>
      <c r="BMY164" s="3"/>
      <c r="BMZ164" s="3"/>
      <c r="BNA164" s="3"/>
      <c r="BNB164" s="3"/>
      <c r="BNC164" s="3"/>
      <c r="BND164" s="3"/>
      <c r="BNE164" s="3"/>
      <c r="BNF164" s="3"/>
      <c r="BNG164" s="3"/>
      <c r="BNH164" s="3"/>
      <c r="BNI164" s="3"/>
      <c r="BNJ164" s="3"/>
      <c r="BNK164" s="3"/>
      <c r="BNL164" s="3"/>
      <c r="BNM164" s="3"/>
      <c r="BNN164" s="3"/>
      <c r="BNO164" s="3"/>
      <c r="BNP164" s="3"/>
      <c r="BNQ164" s="3"/>
      <c r="BNR164" s="3"/>
      <c r="BNS164" s="3"/>
      <c r="BNT164" s="3"/>
      <c r="BNU164" s="3"/>
      <c r="BNV164" s="3"/>
      <c r="BNW164" s="3"/>
      <c r="BNX164" s="3"/>
      <c r="BNY164" s="3"/>
      <c r="BNZ164" s="3"/>
      <c r="BOA164" s="3"/>
      <c r="BOB164" s="3"/>
      <c r="BOC164" s="3"/>
      <c r="BOD164" s="3"/>
      <c r="BOE164" s="3"/>
      <c r="BOF164" s="3"/>
      <c r="BOG164" s="3"/>
      <c r="BOH164" s="3"/>
      <c r="BOI164" s="3"/>
      <c r="BOJ164" s="3"/>
      <c r="BOK164" s="3"/>
      <c r="BOL164" s="3"/>
      <c r="BOM164" s="3"/>
      <c r="BON164" s="3"/>
      <c r="BOO164" s="3"/>
      <c r="BOP164" s="3"/>
      <c r="BOQ164" s="3"/>
      <c r="BOR164" s="3"/>
      <c r="BOS164" s="3"/>
      <c r="BOT164" s="3"/>
      <c r="BOU164" s="3"/>
      <c r="BOV164" s="3"/>
      <c r="BOW164" s="3"/>
      <c r="BOX164" s="3"/>
      <c r="BOY164" s="3"/>
      <c r="BOZ164" s="3"/>
      <c r="BPA164" s="3"/>
      <c r="BPB164" s="3"/>
      <c r="BPC164" s="3"/>
      <c r="BPD164" s="3"/>
      <c r="BPE164" s="3"/>
      <c r="BPF164" s="3"/>
      <c r="BPG164" s="3"/>
      <c r="BPH164" s="3"/>
      <c r="BPI164" s="3"/>
      <c r="BPJ164" s="3"/>
      <c r="BPK164" s="3"/>
      <c r="BPL164" s="3"/>
      <c r="BPM164" s="3"/>
      <c r="BPN164" s="3"/>
      <c r="BPO164" s="3"/>
      <c r="BPP164" s="3"/>
      <c r="BPQ164" s="3"/>
      <c r="BPR164" s="3"/>
      <c r="BPS164" s="3"/>
      <c r="BPT164" s="3"/>
      <c r="BPU164" s="3"/>
      <c r="BPV164" s="3"/>
      <c r="BPW164" s="3"/>
      <c r="BPX164" s="3"/>
      <c r="BPY164" s="3"/>
      <c r="BPZ164" s="3"/>
      <c r="BQA164" s="3"/>
      <c r="BQB164" s="3"/>
      <c r="BQC164" s="3"/>
      <c r="BQD164" s="3"/>
      <c r="BQE164" s="3"/>
      <c r="BQF164" s="3"/>
      <c r="BQG164" s="3"/>
      <c r="BQH164" s="3"/>
      <c r="BQI164" s="3"/>
      <c r="BQJ164" s="3"/>
      <c r="BQK164" s="3"/>
      <c r="BQL164" s="3"/>
      <c r="BQM164" s="3"/>
      <c r="BQN164" s="3"/>
      <c r="BQO164" s="3"/>
      <c r="BQP164" s="3"/>
      <c r="BQQ164" s="3"/>
      <c r="BQR164" s="3"/>
      <c r="BQS164" s="3"/>
      <c r="BQT164" s="3"/>
      <c r="BQU164" s="3"/>
      <c r="BQV164" s="3"/>
      <c r="BQW164" s="3"/>
      <c r="BQX164" s="3"/>
      <c r="BQY164" s="3"/>
      <c r="BQZ164" s="3"/>
      <c r="BRA164" s="3"/>
      <c r="BRB164" s="3"/>
      <c r="BRC164" s="3"/>
      <c r="BRD164" s="3"/>
      <c r="BRE164" s="3"/>
      <c r="BRF164" s="3"/>
      <c r="BRG164" s="3"/>
      <c r="BRH164" s="3"/>
      <c r="BRI164" s="3"/>
      <c r="BRJ164" s="3"/>
      <c r="BRK164" s="3"/>
      <c r="BRL164" s="3"/>
      <c r="BRM164" s="3"/>
      <c r="BRN164" s="3"/>
      <c r="BRO164" s="3"/>
      <c r="BRP164" s="3"/>
      <c r="BRQ164" s="3"/>
      <c r="BRR164" s="3"/>
      <c r="BRS164" s="3"/>
      <c r="BRT164" s="3"/>
      <c r="BRU164" s="3"/>
      <c r="BRV164" s="3"/>
      <c r="BRW164" s="3"/>
      <c r="BRX164" s="3"/>
      <c r="BRY164" s="3"/>
      <c r="BRZ164" s="3"/>
      <c r="BSA164" s="3"/>
      <c r="BSB164" s="3"/>
      <c r="BSC164" s="3"/>
      <c r="BSD164" s="3"/>
      <c r="BSE164" s="3"/>
      <c r="BSF164" s="3"/>
      <c r="BSG164" s="3"/>
      <c r="BSH164" s="3"/>
      <c r="BSI164" s="3"/>
      <c r="BSJ164" s="3"/>
      <c r="BSK164" s="3"/>
      <c r="BSL164" s="3"/>
      <c r="BSM164" s="3"/>
      <c r="BSN164" s="3"/>
      <c r="BSO164" s="3"/>
      <c r="BSP164" s="3"/>
      <c r="BSQ164" s="3"/>
      <c r="BSR164" s="3"/>
      <c r="BSS164" s="3"/>
      <c r="BST164" s="3"/>
      <c r="BSU164" s="3"/>
      <c r="BSV164" s="3"/>
      <c r="BSW164" s="3"/>
      <c r="BSX164" s="3"/>
      <c r="BSY164" s="3"/>
      <c r="BSZ164" s="3"/>
      <c r="BTA164" s="3"/>
      <c r="BTB164" s="3"/>
      <c r="BTC164" s="3"/>
      <c r="BTD164" s="3"/>
      <c r="BTE164" s="3"/>
      <c r="BTF164" s="3"/>
      <c r="BTG164" s="3"/>
      <c r="BTH164" s="3"/>
      <c r="BTI164" s="3"/>
      <c r="BTJ164" s="3"/>
      <c r="BTK164" s="3"/>
      <c r="BTL164" s="3"/>
      <c r="BTM164" s="3"/>
      <c r="BTN164" s="3"/>
      <c r="BTO164" s="3"/>
      <c r="BTP164" s="3"/>
      <c r="BTQ164" s="3"/>
      <c r="BTR164" s="3"/>
      <c r="BTS164" s="3"/>
      <c r="BTT164" s="3"/>
      <c r="BTU164" s="3"/>
      <c r="BTV164" s="3"/>
      <c r="BTW164" s="3"/>
      <c r="BTX164" s="3"/>
      <c r="BTY164" s="3"/>
      <c r="BTZ164" s="3"/>
      <c r="BUA164" s="3"/>
      <c r="BUB164" s="3"/>
      <c r="BUC164" s="3"/>
      <c r="BUD164" s="3"/>
      <c r="BUE164" s="3"/>
      <c r="BUF164" s="3"/>
      <c r="BUG164" s="3"/>
      <c r="BUH164" s="3"/>
      <c r="BUI164" s="3"/>
      <c r="BUJ164" s="3"/>
      <c r="BUK164" s="3"/>
      <c r="BUL164" s="3"/>
      <c r="BUM164" s="3"/>
      <c r="BUN164" s="3"/>
      <c r="BUO164" s="3"/>
      <c r="BUP164" s="3"/>
      <c r="BUQ164" s="3"/>
      <c r="BUR164" s="3"/>
      <c r="BUS164" s="3"/>
      <c r="BUT164" s="3"/>
      <c r="BUU164" s="3"/>
      <c r="BUV164" s="3"/>
      <c r="BUW164" s="3"/>
      <c r="BUX164" s="3"/>
      <c r="BUY164" s="3"/>
      <c r="BUZ164" s="3"/>
      <c r="BVA164" s="3"/>
      <c r="BVB164" s="3"/>
      <c r="BVC164" s="3"/>
      <c r="BVD164" s="3"/>
      <c r="BVE164" s="3"/>
      <c r="BVF164" s="3"/>
      <c r="BVG164" s="3"/>
      <c r="BVH164" s="3"/>
      <c r="BVI164" s="3"/>
      <c r="BVJ164" s="3"/>
      <c r="BVK164" s="3"/>
      <c r="BVL164" s="3"/>
      <c r="BVM164" s="3"/>
      <c r="BVN164" s="3"/>
      <c r="BVO164" s="3"/>
      <c r="BVP164" s="3"/>
      <c r="BVQ164" s="3"/>
      <c r="BVR164" s="3"/>
      <c r="BVS164" s="3"/>
      <c r="BVT164" s="3"/>
      <c r="BVU164" s="3"/>
      <c r="BVV164" s="3"/>
      <c r="BVW164" s="3"/>
      <c r="BVX164" s="3"/>
      <c r="BVY164" s="3"/>
      <c r="BVZ164" s="3"/>
      <c r="BWA164" s="3"/>
      <c r="BWB164" s="3"/>
      <c r="BWC164" s="3"/>
      <c r="BWD164" s="3"/>
      <c r="BWE164" s="3"/>
      <c r="BWF164" s="3"/>
      <c r="BWG164" s="3"/>
      <c r="BWH164" s="3"/>
      <c r="BWI164" s="3"/>
      <c r="BWJ164" s="3"/>
      <c r="BWK164" s="3"/>
      <c r="BWL164" s="3"/>
      <c r="BWM164" s="3"/>
      <c r="BWN164" s="3"/>
      <c r="BWO164" s="3"/>
      <c r="BWP164" s="3"/>
      <c r="BWQ164" s="3"/>
      <c r="BWR164" s="3"/>
      <c r="BWS164" s="3"/>
      <c r="BWT164" s="3"/>
      <c r="BWU164" s="3"/>
      <c r="BWV164" s="3"/>
      <c r="BWW164" s="3"/>
      <c r="BWX164" s="3"/>
      <c r="BWY164" s="3"/>
      <c r="BWZ164" s="3"/>
      <c r="BXA164" s="3"/>
      <c r="BXB164" s="3"/>
      <c r="BXC164" s="3"/>
      <c r="BXD164" s="3"/>
      <c r="BXE164" s="3"/>
      <c r="BXF164" s="3"/>
      <c r="BXG164" s="3"/>
      <c r="BXH164" s="3"/>
      <c r="BXI164" s="3"/>
      <c r="BXJ164" s="3"/>
      <c r="BXK164" s="3"/>
      <c r="BXL164" s="3"/>
      <c r="BXM164" s="3"/>
      <c r="BXN164" s="3"/>
      <c r="BXO164" s="3"/>
      <c r="BXP164" s="3"/>
      <c r="BXQ164" s="3"/>
      <c r="BXR164" s="3"/>
      <c r="BXS164" s="3"/>
      <c r="BXT164" s="3"/>
      <c r="BXU164" s="3"/>
      <c r="BXV164" s="3"/>
      <c r="BXW164" s="3"/>
      <c r="BXX164" s="3"/>
      <c r="BXY164" s="3"/>
      <c r="BXZ164" s="3"/>
      <c r="BYA164" s="3"/>
      <c r="BYB164" s="3"/>
      <c r="BYC164" s="3"/>
      <c r="BYD164" s="3"/>
      <c r="BYE164" s="3"/>
      <c r="BYF164" s="3"/>
      <c r="BYG164" s="3"/>
      <c r="BYH164" s="3"/>
      <c r="BYI164" s="3"/>
      <c r="BYJ164" s="3"/>
      <c r="BYK164" s="3"/>
      <c r="BYL164" s="3"/>
      <c r="BYM164" s="3"/>
      <c r="BYN164" s="3"/>
      <c r="BYO164" s="3"/>
      <c r="BYP164" s="3"/>
      <c r="BYQ164" s="3"/>
      <c r="BYR164" s="3"/>
      <c r="BYS164" s="3"/>
      <c r="BYT164" s="3"/>
      <c r="BYU164" s="3"/>
      <c r="BYV164" s="3"/>
      <c r="BYW164" s="3"/>
      <c r="BYX164" s="3"/>
      <c r="BYY164" s="3"/>
      <c r="BYZ164" s="3"/>
      <c r="BZA164" s="3"/>
      <c r="BZB164" s="3"/>
      <c r="BZC164" s="3"/>
      <c r="BZD164" s="3"/>
      <c r="BZE164" s="3"/>
      <c r="BZF164" s="3"/>
      <c r="BZG164" s="3"/>
      <c r="BZH164" s="3"/>
      <c r="BZI164" s="3"/>
      <c r="BZJ164" s="3"/>
      <c r="BZK164" s="3"/>
      <c r="BZL164" s="3"/>
      <c r="BZM164" s="3"/>
      <c r="BZN164" s="3"/>
      <c r="BZO164" s="3"/>
      <c r="BZP164" s="3"/>
      <c r="BZQ164" s="3"/>
      <c r="BZR164" s="3"/>
      <c r="BZS164" s="3"/>
      <c r="BZT164" s="3"/>
      <c r="BZU164" s="3"/>
      <c r="BZV164" s="3"/>
      <c r="BZW164" s="3"/>
      <c r="BZX164" s="3"/>
      <c r="BZY164" s="3"/>
      <c r="BZZ164" s="3"/>
      <c r="CAA164" s="3"/>
      <c r="CAB164" s="3"/>
      <c r="CAC164" s="3"/>
      <c r="CAD164" s="3"/>
      <c r="CAE164" s="3"/>
      <c r="CAF164" s="3"/>
      <c r="CAG164" s="3"/>
      <c r="CAH164" s="3"/>
      <c r="CAI164" s="3"/>
      <c r="CAJ164" s="3"/>
      <c r="CAK164" s="3"/>
      <c r="CAL164" s="3"/>
      <c r="CAM164" s="3"/>
      <c r="CAN164" s="3"/>
      <c r="CAO164" s="3"/>
      <c r="CAP164" s="3"/>
      <c r="CAQ164" s="3"/>
      <c r="CAR164" s="3"/>
      <c r="CAS164" s="3"/>
      <c r="CAT164" s="3"/>
      <c r="CAU164" s="3"/>
      <c r="CAV164" s="3"/>
      <c r="CAW164" s="3"/>
      <c r="CAX164" s="3"/>
      <c r="CAY164" s="3"/>
      <c r="CAZ164" s="3"/>
      <c r="CBA164" s="3"/>
      <c r="CBB164" s="3"/>
      <c r="CBC164" s="3"/>
      <c r="CBD164" s="3"/>
      <c r="CBE164" s="3"/>
      <c r="CBF164" s="3"/>
      <c r="CBG164" s="3"/>
      <c r="CBH164" s="3"/>
      <c r="CBI164" s="3"/>
      <c r="CBJ164" s="3"/>
      <c r="CBK164" s="3"/>
      <c r="CBL164" s="3"/>
      <c r="CBM164" s="3"/>
      <c r="CBN164" s="3"/>
      <c r="CBO164" s="3"/>
      <c r="CBP164" s="3"/>
      <c r="CBQ164" s="3"/>
      <c r="CBR164" s="3"/>
      <c r="CBS164" s="3"/>
      <c r="CBT164" s="3"/>
      <c r="CBU164" s="3"/>
      <c r="CBV164" s="3"/>
      <c r="CBW164" s="3"/>
      <c r="CBX164" s="3"/>
      <c r="CBY164" s="3"/>
      <c r="CBZ164" s="3"/>
      <c r="CCA164" s="3"/>
      <c r="CCB164" s="3"/>
      <c r="CCC164" s="3"/>
      <c r="CCD164" s="3"/>
      <c r="CCE164" s="3"/>
      <c r="CCF164" s="3"/>
      <c r="CCG164" s="3"/>
      <c r="CCH164" s="3"/>
      <c r="CCI164" s="3"/>
      <c r="CCJ164" s="3"/>
      <c r="CCK164" s="3"/>
      <c r="CCL164" s="3"/>
      <c r="CCM164" s="3"/>
      <c r="CCN164" s="3"/>
      <c r="CCO164" s="3"/>
      <c r="CCP164" s="3"/>
      <c r="CCQ164" s="3"/>
      <c r="CCR164" s="3"/>
      <c r="CCS164" s="3"/>
      <c r="CCT164" s="3"/>
      <c r="CCU164" s="3"/>
      <c r="CCV164" s="3"/>
      <c r="CCW164" s="3"/>
      <c r="CCX164" s="3"/>
      <c r="CCY164" s="3"/>
      <c r="CCZ164" s="3"/>
      <c r="CDA164" s="3"/>
      <c r="CDB164" s="3"/>
      <c r="CDC164" s="3"/>
      <c r="CDD164" s="3"/>
      <c r="CDE164" s="3"/>
      <c r="CDF164" s="3"/>
      <c r="CDG164" s="3"/>
      <c r="CDH164" s="3"/>
      <c r="CDI164" s="3"/>
      <c r="CDJ164" s="3"/>
      <c r="CDK164" s="3"/>
      <c r="CDL164" s="3"/>
      <c r="CDM164" s="3"/>
      <c r="CDN164" s="3"/>
      <c r="CDO164" s="3"/>
      <c r="CDP164" s="3"/>
      <c r="CDQ164" s="3"/>
      <c r="CDR164" s="3"/>
      <c r="CDS164" s="3"/>
      <c r="CDT164" s="3"/>
      <c r="CDU164" s="3"/>
      <c r="CDV164" s="3"/>
      <c r="CDW164" s="3"/>
      <c r="CDX164" s="3"/>
      <c r="CDY164" s="3"/>
      <c r="CDZ164" s="3"/>
      <c r="CEA164" s="3"/>
      <c r="CEB164" s="3"/>
      <c r="CEC164" s="3"/>
      <c r="CED164" s="3"/>
      <c r="CEE164" s="3"/>
      <c r="CEF164" s="3"/>
      <c r="CEG164" s="3"/>
      <c r="CEH164" s="3"/>
      <c r="CEI164" s="3"/>
      <c r="CEJ164" s="3"/>
      <c r="CEK164" s="3"/>
      <c r="CEL164" s="3"/>
      <c r="CEM164" s="3"/>
      <c r="CEN164" s="3"/>
      <c r="CEO164" s="3"/>
      <c r="CEP164" s="3"/>
      <c r="CEQ164" s="3"/>
      <c r="CER164" s="3"/>
      <c r="CES164" s="3"/>
      <c r="CET164" s="3"/>
      <c r="CEU164" s="3"/>
      <c r="CEV164" s="3"/>
      <c r="CEW164" s="3"/>
      <c r="CEX164" s="3"/>
      <c r="CEY164" s="3"/>
      <c r="CEZ164" s="3"/>
      <c r="CFA164" s="3"/>
      <c r="CFB164" s="3"/>
      <c r="CFC164" s="3"/>
      <c r="CFD164" s="3"/>
      <c r="CFE164" s="3"/>
      <c r="CFF164" s="3"/>
      <c r="CFG164" s="3"/>
      <c r="CFH164" s="3"/>
      <c r="CFI164" s="3"/>
      <c r="CFJ164" s="3"/>
      <c r="CFK164" s="3"/>
      <c r="CFL164" s="3"/>
      <c r="CFM164" s="3"/>
      <c r="CFN164" s="3"/>
      <c r="CFO164" s="3"/>
      <c r="CFP164" s="3"/>
      <c r="CFQ164" s="3"/>
      <c r="CFR164" s="3"/>
      <c r="CFS164" s="3"/>
      <c r="CFT164" s="3"/>
      <c r="CFU164" s="3"/>
      <c r="CFV164" s="3"/>
      <c r="CFW164" s="3"/>
      <c r="CFX164" s="3"/>
      <c r="CFY164" s="3"/>
      <c r="CFZ164" s="3"/>
      <c r="CGA164" s="3"/>
      <c r="CGB164" s="3"/>
      <c r="CGC164" s="3"/>
      <c r="CGD164" s="3"/>
      <c r="CGE164" s="3"/>
      <c r="CGF164" s="3"/>
      <c r="CGG164" s="3"/>
      <c r="CGH164" s="3"/>
      <c r="CGI164" s="3"/>
      <c r="CGJ164" s="3"/>
      <c r="CGK164" s="3"/>
      <c r="CGL164" s="3"/>
      <c r="CGM164" s="3"/>
      <c r="CGN164" s="3"/>
      <c r="CGO164" s="3"/>
      <c r="CGP164" s="3"/>
      <c r="CGQ164" s="3"/>
      <c r="CGR164" s="3"/>
      <c r="CGS164" s="3"/>
      <c r="CGT164" s="3"/>
      <c r="CGU164" s="3"/>
      <c r="CGV164" s="3"/>
      <c r="CGW164" s="3"/>
      <c r="CGX164" s="3"/>
      <c r="CGY164" s="3"/>
      <c r="CGZ164" s="3"/>
      <c r="CHA164" s="3"/>
      <c r="CHB164" s="3"/>
      <c r="CHC164" s="3"/>
      <c r="CHD164" s="3"/>
      <c r="CHE164" s="3"/>
      <c r="CHF164" s="3"/>
      <c r="CHG164" s="3"/>
      <c r="CHH164" s="3"/>
      <c r="CHI164" s="3"/>
      <c r="CHJ164" s="3"/>
      <c r="CHK164" s="3"/>
      <c r="CHL164" s="3"/>
      <c r="CHM164" s="3"/>
      <c r="CHN164" s="3"/>
      <c r="CHO164" s="3"/>
      <c r="CHP164" s="3"/>
      <c r="CHQ164" s="3"/>
      <c r="CHR164" s="3"/>
      <c r="CHS164" s="3"/>
      <c r="CHT164" s="3"/>
      <c r="CHU164" s="3"/>
      <c r="CHV164" s="3"/>
      <c r="CHW164" s="3"/>
      <c r="CHX164" s="3"/>
      <c r="CHY164" s="3"/>
      <c r="CHZ164" s="3"/>
      <c r="CIA164" s="3"/>
      <c r="CIB164" s="3"/>
      <c r="CIC164" s="3"/>
      <c r="CID164" s="3"/>
      <c r="CIE164" s="3"/>
      <c r="CIF164" s="3"/>
      <c r="CIG164" s="3"/>
      <c r="CIH164" s="3"/>
      <c r="CII164" s="3"/>
      <c r="CIJ164" s="3"/>
      <c r="CIK164" s="3"/>
      <c r="CIL164" s="3"/>
      <c r="CIM164" s="3"/>
      <c r="CIN164" s="3"/>
      <c r="CIO164" s="3"/>
      <c r="CIP164" s="3"/>
      <c r="CIQ164" s="3"/>
      <c r="CIR164" s="3"/>
      <c r="CIS164" s="3"/>
      <c r="CIT164" s="3"/>
      <c r="CIU164" s="3"/>
      <c r="CIV164" s="3"/>
      <c r="CIW164" s="3"/>
      <c r="CIX164" s="3"/>
      <c r="CIY164" s="3"/>
      <c r="CIZ164" s="3"/>
      <c r="CJA164" s="3"/>
      <c r="CJB164" s="3"/>
      <c r="CJC164" s="3"/>
      <c r="CJD164" s="3"/>
      <c r="CJE164" s="3"/>
      <c r="CJF164" s="3"/>
      <c r="CJG164" s="3"/>
      <c r="CJH164" s="3"/>
      <c r="CJI164" s="3"/>
      <c r="CJJ164" s="3"/>
      <c r="CJK164" s="3"/>
      <c r="CJL164" s="3"/>
      <c r="CJM164" s="3"/>
      <c r="CJN164" s="3"/>
      <c r="CJO164" s="3"/>
      <c r="CJP164" s="3"/>
      <c r="CJQ164" s="3"/>
      <c r="CJR164" s="3"/>
      <c r="CJS164" s="3"/>
      <c r="CJT164" s="3"/>
      <c r="CJU164" s="3"/>
      <c r="CJV164" s="3"/>
      <c r="CJW164" s="3"/>
      <c r="CJX164" s="3"/>
      <c r="CJY164" s="3"/>
      <c r="CJZ164" s="3"/>
      <c r="CKA164" s="3"/>
      <c r="CKB164" s="3"/>
      <c r="CKC164" s="3"/>
      <c r="CKD164" s="3"/>
      <c r="CKE164" s="3"/>
      <c r="CKF164" s="3"/>
      <c r="CKG164" s="3"/>
      <c r="CKH164" s="3"/>
      <c r="CKI164" s="3"/>
      <c r="CKJ164" s="3"/>
      <c r="CKK164" s="3"/>
      <c r="CKL164" s="3"/>
      <c r="CKM164" s="3"/>
      <c r="CKN164" s="3"/>
      <c r="CKO164" s="3"/>
      <c r="CKP164" s="3"/>
      <c r="CKQ164" s="3"/>
      <c r="CKR164" s="3"/>
      <c r="CKS164" s="3"/>
      <c r="CKT164" s="3"/>
      <c r="CKU164" s="3"/>
      <c r="CKV164" s="3"/>
      <c r="CKW164" s="3"/>
      <c r="CKX164" s="3"/>
      <c r="CKY164" s="3"/>
      <c r="CKZ164" s="3"/>
      <c r="CLA164" s="3"/>
      <c r="CLB164" s="3"/>
      <c r="CLC164" s="3"/>
      <c r="CLD164" s="3"/>
      <c r="CLE164" s="3"/>
      <c r="CLF164" s="3"/>
      <c r="CLG164" s="3"/>
      <c r="CLH164" s="3"/>
      <c r="CLI164" s="3"/>
      <c r="CLJ164" s="3"/>
      <c r="CLK164" s="3"/>
      <c r="CLL164" s="3"/>
      <c r="CLM164" s="3"/>
      <c r="CLN164" s="3"/>
      <c r="CLO164" s="3"/>
      <c r="CLP164" s="3"/>
      <c r="CLQ164" s="3"/>
      <c r="CLR164" s="3"/>
      <c r="CLS164" s="3"/>
      <c r="CLT164" s="3"/>
      <c r="CLU164" s="3"/>
      <c r="CLV164" s="3"/>
      <c r="CLW164" s="3"/>
      <c r="CLX164" s="3"/>
      <c r="CLY164" s="3"/>
      <c r="CLZ164" s="3"/>
      <c r="CMA164" s="3"/>
      <c r="CMB164" s="3"/>
      <c r="CMC164" s="3"/>
      <c r="CMD164" s="3"/>
      <c r="CME164" s="3"/>
      <c r="CMF164" s="3"/>
      <c r="CMG164" s="3"/>
      <c r="CMH164" s="3"/>
      <c r="CMI164" s="3"/>
      <c r="CMJ164" s="3"/>
      <c r="CMK164" s="3"/>
      <c r="CML164" s="3"/>
      <c r="CMM164" s="3"/>
      <c r="CMN164" s="3"/>
      <c r="CMO164" s="3"/>
      <c r="CMP164" s="3"/>
      <c r="CMQ164" s="3"/>
      <c r="CMR164" s="3"/>
      <c r="CMS164" s="3"/>
      <c r="CMT164" s="3"/>
      <c r="CMU164" s="3"/>
      <c r="CMV164" s="3"/>
      <c r="CMW164" s="3"/>
      <c r="CMX164" s="3"/>
      <c r="CMY164" s="3"/>
      <c r="CMZ164" s="3"/>
      <c r="CNA164" s="3"/>
      <c r="CNB164" s="3"/>
      <c r="CNC164" s="3"/>
      <c r="CND164" s="3"/>
      <c r="CNE164" s="3"/>
      <c r="CNF164" s="3"/>
      <c r="CNG164" s="3"/>
      <c r="CNH164" s="3"/>
      <c r="CNI164" s="3"/>
      <c r="CNJ164" s="3"/>
      <c r="CNK164" s="3"/>
      <c r="CNL164" s="3"/>
      <c r="CNM164" s="3"/>
      <c r="CNN164" s="3"/>
      <c r="CNO164" s="3"/>
      <c r="CNP164" s="3"/>
      <c r="CNQ164" s="3"/>
      <c r="CNR164" s="3"/>
      <c r="CNS164" s="3"/>
      <c r="CNT164" s="3"/>
      <c r="CNU164" s="3"/>
      <c r="CNV164" s="3"/>
      <c r="CNW164" s="3"/>
      <c r="CNX164" s="3"/>
      <c r="CNY164" s="3"/>
      <c r="CNZ164" s="3"/>
      <c r="COA164" s="3"/>
      <c r="COB164" s="3"/>
      <c r="COC164" s="3"/>
      <c r="COD164" s="3"/>
      <c r="COE164" s="3"/>
      <c r="COF164" s="3"/>
      <c r="COG164" s="3"/>
      <c r="COH164" s="3"/>
      <c r="COI164" s="3"/>
      <c r="COJ164" s="3"/>
      <c r="COK164" s="3"/>
      <c r="COL164" s="3"/>
      <c r="COM164" s="3"/>
      <c r="CON164" s="3"/>
      <c r="COO164" s="3"/>
      <c r="COP164" s="3"/>
      <c r="COQ164" s="3"/>
      <c r="COR164" s="3"/>
      <c r="COS164" s="3"/>
      <c r="COT164" s="3"/>
      <c r="COU164" s="3"/>
      <c r="COV164" s="3"/>
      <c r="COW164" s="3"/>
      <c r="COX164" s="3"/>
      <c r="COY164" s="3"/>
      <c r="COZ164" s="3"/>
      <c r="CPA164" s="3"/>
      <c r="CPB164" s="3"/>
      <c r="CPC164" s="3"/>
      <c r="CPD164" s="3"/>
      <c r="CPE164" s="3"/>
      <c r="CPF164" s="3"/>
      <c r="CPG164" s="3"/>
      <c r="CPH164" s="3"/>
      <c r="CPI164" s="3"/>
      <c r="CPJ164" s="3"/>
      <c r="CPK164" s="3"/>
      <c r="CPL164" s="3"/>
      <c r="CPM164" s="3"/>
      <c r="CPN164" s="3"/>
      <c r="CPO164" s="3"/>
      <c r="CPP164" s="3"/>
      <c r="CPQ164" s="3"/>
      <c r="CPR164" s="3"/>
      <c r="CPS164" s="3"/>
      <c r="CPT164" s="3"/>
      <c r="CPU164" s="3"/>
      <c r="CPV164" s="3"/>
      <c r="CPW164" s="3"/>
      <c r="CPX164" s="3"/>
      <c r="CPY164" s="3"/>
      <c r="CPZ164" s="3"/>
      <c r="CQA164" s="3"/>
      <c r="CQB164" s="3"/>
      <c r="CQC164" s="3"/>
      <c r="CQD164" s="3"/>
      <c r="CQE164" s="3"/>
      <c r="CQF164" s="3"/>
      <c r="CQG164" s="3"/>
      <c r="CQH164" s="3"/>
      <c r="CQI164" s="3"/>
      <c r="CQJ164" s="3"/>
      <c r="CQK164" s="3"/>
      <c r="CQL164" s="3"/>
      <c r="CQM164" s="3"/>
      <c r="CQN164" s="3"/>
      <c r="CQO164" s="3"/>
      <c r="CQP164" s="3"/>
      <c r="CQQ164" s="3"/>
      <c r="CQR164" s="3"/>
      <c r="CQS164" s="3"/>
      <c r="CQT164" s="3"/>
      <c r="CQU164" s="3"/>
      <c r="CQV164" s="3"/>
      <c r="CQW164" s="3"/>
      <c r="CQX164" s="3"/>
      <c r="CQY164" s="3"/>
      <c r="CQZ164" s="3"/>
      <c r="CRA164" s="3"/>
      <c r="CRB164" s="3"/>
      <c r="CRC164" s="3"/>
      <c r="CRD164" s="3"/>
      <c r="CRE164" s="3"/>
      <c r="CRF164" s="3"/>
      <c r="CRG164" s="3"/>
      <c r="CRH164" s="3"/>
      <c r="CRI164" s="3"/>
      <c r="CRJ164" s="3"/>
      <c r="CRK164" s="3"/>
      <c r="CRL164" s="3"/>
      <c r="CRM164" s="3"/>
      <c r="CRN164" s="3"/>
      <c r="CRO164" s="3"/>
      <c r="CRP164" s="3"/>
      <c r="CRQ164" s="3"/>
      <c r="CRR164" s="3"/>
      <c r="CRS164" s="3"/>
      <c r="CRT164" s="3"/>
      <c r="CRU164" s="3"/>
      <c r="CRV164" s="3"/>
      <c r="CRW164" s="3"/>
      <c r="CRX164" s="3"/>
      <c r="CRY164" s="3"/>
      <c r="CRZ164" s="3"/>
      <c r="CSA164" s="3"/>
      <c r="CSB164" s="3"/>
      <c r="CSC164" s="3"/>
      <c r="CSD164" s="3"/>
      <c r="CSE164" s="3"/>
      <c r="CSF164" s="3"/>
      <c r="CSG164" s="3"/>
      <c r="CSH164" s="3"/>
      <c r="CSI164" s="3"/>
      <c r="CSJ164" s="3"/>
      <c r="CSK164" s="3"/>
      <c r="CSL164" s="3"/>
      <c r="CSM164" s="3"/>
      <c r="CSN164" s="3"/>
      <c r="CSO164" s="3"/>
      <c r="CSP164" s="3"/>
      <c r="CSQ164" s="3"/>
      <c r="CSR164" s="3"/>
      <c r="CSS164" s="3"/>
      <c r="CST164" s="3"/>
      <c r="CSU164" s="3"/>
      <c r="CSV164" s="3"/>
      <c r="CSW164" s="3"/>
      <c r="CSX164" s="3"/>
      <c r="CSY164" s="3"/>
      <c r="CSZ164" s="3"/>
      <c r="CTA164" s="3"/>
      <c r="CTB164" s="3"/>
      <c r="CTC164" s="3"/>
      <c r="CTD164" s="3"/>
      <c r="CTE164" s="3"/>
      <c r="CTF164" s="3"/>
      <c r="CTG164" s="3"/>
      <c r="CTH164" s="3"/>
      <c r="CTI164" s="3"/>
      <c r="CTJ164" s="3"/>
      <c r="CTK164" s="3"/>
      <c r="CTL164" s="3"/>
      <c r="CTM164" s="3"/>
      <c r="CTN164" s="3"/>
      <c r="CTO164" s="3"/>
      <c r="CTP164" s="3"/>
      <c r="CTQ164" s="3"/>
      <c r="CTR164" s="3"/>
      <c r="CTS164" s="3"/>
      <c r="CTT164" s="3"/>
      <c r="CTU164" s="3"/>
      <c r="CTV164" s="3"/>
      <c r="CTW164" s="3"/>
      <c r="CTX164" s="3"/>
      <c r="CTY164" s="3"/>
      <c r="CTZ164" s="3"/>
      <c r="CUA164" s="3"/>
      <c r="CUB164" s="3"/>
      <c r="CUC164" s="3"/>
      <c r="CUD164" s="3"/>
      <c r="CUE164" s="3"/>
      <c r="CUF164" s="3"/>
      <c r="CUG164" s="3"/>
      <c r="CUH164" s="3"/>
      <c r="CUI164" s="3"/>
      <c r="CUJ164" s="3"/>
      <c r="CUK164" s="3"/>
      <c r="CUL164" s="3"/>
      <c r="CUM164" s="3"/>
      <c r="CUN164" s="3"/>
      <c r="CUO164" s="3"/>
      <c r="CUP164" s="3"/>
      <c r="CUQ164" s="3"/>
      <c r="CUR164" s="3"/>
      <c r="CUS164" s="3"/>
      <c r="CUT164" s="3"/>
      <c r="CUU164" s="3"/>
      <c r="CUV164" s="3"/>
      <c r="CUW164" s="3"/>
      <c r="CUX164" s="3"/>
      <c r="CUY164" s="3"/>
      <c r="CUZ164" s="3"/>
      <c r="CVA164" s="3"/>
      <c r="CVB164" s="3"/>
      <c r="CVC164" s="3"/>
      <c r="CVD164" s="3"/>
      <c r="CVE164" s="3"/>
      <c r="CVF164" s="3"/>
      <c r="CVG164" s="3"/>
      <c r="CVH164" s="3"/>
      <c r="CVI164" s="3"/>
      <c r="CVJ164" s="3"/>
      <c r="CVK164" s="3"/>
      <c r="CVL164" s="3"/>
      <c r="CVM164" s="3"/>
      <c r="CVN164" s="3"/>
      <c r="CVO164" s="3"/>
      <c r="CVP164" s="3"/>
      <c r="CVQ164" s="3"/>
      <c r="CVR164" s="3"/>
      <c r="CVS164" s="3"/>
      <c r="CVT164" s="3"/>
      <c r="CVU164" s="3"/>
      <c r="CVV164" s="3"/>
      <c r="CVW164" s="3"/>
      <c r="CVX164" s="3"/>
      <c r="CVY164" s="3"/>
      <c r="CVZ164" s="3"/>
      <c r="CWA164" s="3"/>
      <c r="CWB164" s="3"/>
      <c r="CWC164" s="3"/>
      <c r="CWD164" s="3"/>
      <c r="CWE164" s="3"/>
      <c r="CWF164" s="3"/>
      <c r="CWG164" s="3"/>
      <c r="CWH164" s="3"/>
      <c r="CWI164" s="3"/>
      <c r="CWJ164" s="3"/>
      <c r="CWK164" s="3"/>
      <c r="CWL164" s="3"/>
      <c r="CWM164" s="3"/>
      <c r="CWN164" s="3"/>
      <c r="CWO164" s="3"/>
      <c r="CWP164" s="3"/>
      <c r="CWQ164" s="3"/>
      <c r="CWR164" s="3"/>
      <c r="CWS164" s="3"/>
      <c r="CWT164" s="3"/>
      <c r="CWU164" s="3"/>
      <c r="CWV164" s="3"/>
      <c r="CWW164" s="3"/>
      <c r="CWX164" s="3"/>
      <c r="CWY164" s="3"/>
      <c r="CWZ164" s="3"/>
      <c r="CXA164" s="3"/>
      <c r="CXB164" s="3"/>
      <c r="CXC164" s="3"/>
      <c r="CXD164" s="3"/>
      <c r="CXE164" s="3"/>
      <c r="CXF164" s="3"/>
      <c r="CXG164" s="3"/>
      <c r="CXH164" s="3"/>
      <c r="CXI164" s="3"/>
      <c r="CXJ164" s="3"/>
      <c r="CXK164" s="3"/>
      <c r="CXL164" s="3"/>
      <c r="CXM164" s="3"/>
      <c r="CXN164" s="3"/>
      <c r="CXO164" s="3"/>
      <c r="CXP164" s="3"/>
      <c r="CXQ164" s="3"/>
      <c r="CXR164" s="3"/>
      <c r="CXS164" s="3"/>
      <c r="CXT164" s="3"/>
      <c r="CXU164" s="3"/>
      <c r="CXV164" s="3"/>
      <c r="CXW164" s="3"/>
      <c r="CXX164" s="3"/>
      <c r="CXY164" s="3"/>
      <c r="CXZ164" s="3"/>
      <c r="CYA164" s="3"/>
      <c r="CYB164" s="3"/>
      <c r="CYC164" s="3"/>
      <c r="CYD164" s="3"/>
      <c r="CYE164" s="3"/>
      <c r="CYF164" s="3"/>
      <c r="CYG164" s="3"/>
      <c r="CYH164" s="3"/>
      <c r="CYI164" s="3"/>
      <c r="CYJ164" s="3"/>
      <c r="CYK164" s="3"/>
      <c r="CYL164" s="3"/>
      <c r="CYM164" s="3"/>
      <c r="CYN164" s="3"/>
      <c r="CYO164" s="3"/>
      <c r="CYP164" s="3"/>
      <c r="CYQ164" s="3"/>
      <c r="CYR164" s="3"/>
      <c r="CYS164" s="3"/>
      <c r="CYT164" s="3"/>
      <c r="CYU164" s="3"/>
      <c r="CYV164" s="3"/>
      <c r="CYW164" s="3"/>
      <c r="CYX164" s="3"/>
      <c r="CYY164" s="3"/>
      <c r="CYZ164" s="3"/>
      <c r="CZA164" s="3"/>
      <c r="CZB164" s="3"/>
      <c r="CZC164" s="3"/>
      <c r="CZD164" s="3"/>
      <c r="CZE164" s="3"/>
      <c r="CZF164" s="3"/>
      <c r="CZG164" s="3"/>
      <c r="CZH164" s="3"/>
      <c r="CZI164" s="3"/>
      <c r="CZJ164" s="3"/>
      <c r="CZK164" s="3"/>
      <c r="CZL164" s="3"/>
      <c r="CZM164" s="3"/>
      <c r="CZN164" s="3"/>
      <c r="CZO164" s="3"/>
      <c r="CZP164" s="3"/>
      <c r="CZQ164" s="3"/>
      <c r="CZR164" s="3"/>
      <c r="CZS164" s="3"/>
      <c r="CZT164" s="3"/>
      <c r="CZU164" s="3"/>
      <c r="CZV164" s="3"/>
      <c r="CZW164" s="3"/>
      <c r="CZX164" s="3"/>
      <c r="CZY164" s="3"/>
      <c r="CZZ164" s="3"/>
      <c r="DAA164" s="3"/>
      <c r="DAB164" s="3"/>
      <c r="DAC164" s="3"/>
      <c r="DAD164" s="3"/>
      <c r="DAE164" s="3"/>
      <c r="DAF164" s="3"/>
      <c r="DAG164" s="3"/>
      <c r="DAH164" s="3"/>
      <c r="DAI164" s="3"/>
      <c r="DAJ164" s="3"/>
      <c r="DAK164" s="3"/>
      <c r="DAL164" s="3"/>
      <c r="DAM164" s="3"/>
      <c r="DAN164" s="3"/>
      <c r="DAO164" s="3"/>
      <c r="DAP164" s="3"/>
      <c r="DAQ164" s="3"/>
      <c r="DAR164" s="3"/>
      <c r="DAS164" s="3"/>
      <c r="DAT164" s="3"/>
      <c r="DAU164" s="3"/>
      <c r="DAV164" s="3"/>
      <c r="DAW164" s="3"/>
      <c r="DAX164" s="3"/>
      <c r="DAY164" s="3"/>
      <c r="DAZ164" s="3"/>
      <c r="DBA164" s="3"/>
      <c r="DBB164" s="3"/>
      <c r="DBC164" s="3"/>
      <c r="DBD164" s="3"/>
      <c r="DBE164" s="3"/>
      <c r="DBF164" s="3"/>
      <c r="DBG164" s="3"/>
      <c r="DBH164" s="3"/>
      <c r="DBI164" s="3"/>
      <c r="DBJ164" s="3"/>
      <c r="DBK164" s="3"/>
      <c r="DBL164" s="3"/>
      <c r="DBM164" s="3"/>
      <c r="DBN164" s="3"/>
      <c r="DBO164" s="3"/>
      <c r="DBP164" s="3"/>
      <c r="DBQ164" s="3"/>
      <c r="DBR164" s="3"/>
      <c r="DBS164" s="3"/>
      <c r="DBT164" s="3"/>
      <c r="DBU164" s="3"/>
      <c r="DBV164" s="3"/>
      <c r="DBW164" s="3"/>
      <c r="DBX164" s="3"/>
      <c r="DBY164" s="3"/>
      <c r="DBZ164" s="3"/>
      <c r="DCA164" s="3"/>
      <c r="DCB164" s="3"/>
      <c r="DCC164" s="3"/>
      <c r="DCD164" s="3"/>
      <c r="DCE164" s="3"/>
      <c r="DCF164" s="3"/>
      <c r="DCG164" s="3"/>
      <c r="DCH164" s="3"/>
      <c r="DCI164" s="3"/>
      <c r="DCJ164" s="3"/>
      <c r="DCK164" s="3"/>
      <c r="DCL164" s="3"/>
      <c r="DCM164" s="3"/>
      <c r="DCN164" s="3"/>
      <c r="DCO164" s="3"/>
      <c r="DCP164" s="3"/>
      <c r="DCQ164" s="3"/>
      <c r="DCR164" s="3"/>
      <c r="DCS164" s="3"/>
      <c r="DCT164" s="3"/>
      <c r="DCU164" s="3"/>
      <c r="DCV164" s="3"/>
      <c r="DCW164" s="3"/>
      <c r="DCX164" s="3"/>
      <c r="DCY164" s="3"/>
      <c r="DCZ164" s="3"/>
      <c r="DDA164" s="3"/>
      <c r="DDB164" s="3"/>
      <c r="DDC164" s="3"/>
      <c r="DDD164" s="3"/>
      <c r="DDE164" s="3"/>
      <c r="DDF164" s="3"/>
      <c r="DDG164" s="3"/>
      <c r="DDH164" s="3"/>
      <c r="DDI164" s="3"/>
      <c r="DDJ164" s="3"/>
      <c r="DDK164" s="3"/>
      <c r="DDL164" s="3"/>
      <c r="DDM164" s="3"/>
      <c r="DDN164" s="3"/>
      <c r="DDO164" s="3"/>
      <c r="DDP164" s="3"/>
      <c r="DDQ164" s="3"/>
      <c r="DDR164" s="3"/>
      <c r="DDS164" s="3"/>
      <c r="DDT164" s="3"/>
      <c r="DDU164" s="3"/>
      <c r="DDV164" s="3"/>
      <c r="DDW164" s="3"/>
      <c r="DDX164" s="3"/>
      <c r="DDY164" s="3"/>
      <c r="DDZ164" s="3"/>
      <c r="DEA164" s="3"/>
      <c r="DEB164" s="3"/>
      <c r="DEC164" s="3"/>
      <c r="DED164" s="3"/>
      <c r="DEE164" s="3"/>
      <c r="DEF164" s="3"/>
      <c r="DEG164" s="3"/>
      <c r="DEH164" s="3"/>
      <c r="DEI164" s="3"/>
      <c r="DEJ164" s="3"/>
      <c r="DEK164" s="3"/>
      <c r="DEL164" s="3"/>
      <c r="DEM164" s="3"/>
      <c r="DEN164" s="3"/>
      <c r="DEO164" s="3"/>
      <c r="DEP164" s="3"/>
      <c r="DEQ164" s="3"/>
      <c r="DER164" s="3"/>
      <c r="DES164" s="3"/>
      <c r="DET164" s="3"/>
      <c r="DEU164" s="3"/>
      <c r="DEV164" s="3"/>
      <c r="DEW164" s="3"/>
      <c r="DEX164" s="3"/>
      <c r="DEY164" s="3"/>
      <c r="DEZ164" s="3"/>
      <c r="DFA164" s="3"/>
      <c r="DFB164" s="3"/>
      <c r="DFC164" s="3"/>
      <c r="DFD164" s="3"/>
      <c r="DFE164" s="3"/>
      <c r="DFF164" s="3"/>
      <c r="DFG164" s="3"/>
      <c r="DFH164" s="3"/>
      <c r="DFI164" s="3"/>
      <c r="DFJ164" s="3"/>
      <c r="DFK164" s="3"/>
      <c r="DFL164" s="3"/>
      <c r="DFM164" s="3"/>
      <c r="DFN164" s="3"/>
      <c r="DFO164" s="3"/>
      <c r="DFP164" s="3"/>
      <c r="DFQ164" s="3"/>
      <c r="DFR164" s="3"/>
      <c r="DFS164" s="3"/>
      <c r="DFT164" s="3"/>
      <c r="DFU164" s="3"/>
      <c r="DFV164" s="3"/>
      <c r="DFW164" s="3"/>
      <c r="DFX164" s="3"/>
      <c r="DFY164" s="3"/>
      <c r="DFZ164" s="3"/>
      <c r="DGA164" s="3"/>
      <c r="DGB164" s="3"/>
      <c r="DGC164" s="3"/>
      <c r="DGD164" s="3"/>
      <c r="DGE164" s="3"/>
      <c r="DGF164" s="3"/>
      <c r="DGG164" s="3"/>
      <c r="DGH164" s="3"/>
      <c r="DGI164" s="3"/>
      <c r="DGJ164" s="3"/>
      <c r="DGK164" s="3"/>
      <c r="DGL164" s="3"/>
      <c r="DGM164" s="3"/>
      <c r="DGN164" s="3"/>
      <c r="DGO164" s="3"/>
      <c r="DGP164" s="3"/>
      <c r="DGQ164" s="3"/>
      <c r="DGR164" s="3"/>
      <c r="DGS164" s="3"/>
      <c r="DGT164" s="3"/>
      <c r="DGU164" s="3"/>
      <c r="DGV164" s="3"/>
      <c r="DGW164" s="3"/>
      <c r="DGX164" s="3"/>
      <c r="DGY164" s="3"/>
      <c r="DGZ164" s="3"/>
      <c r="DHA164" s="3"/>
      <c r="DHB164" s="3"/>
      <c r="DHC164" s="3"/>
      <c r="DHD164" s="3"/>
      <c r="DHE164" s="3"/>
      <c r="DHF164" s="3"/>
      <c r="DHG164" s="3"/>
      <c r="DHH164" s="3"/>
      <c r="DHI164" s="3"/>
      <c r="DHJ164" s="3"/>
      <c r="DHK164" s="3"/>
      <c r="DHL164" s="3"/>
      <c r="DHM164" s="3"/>
      <c r="DHN164" s="3"/>
      <c r="DHO164" s="3"/>
      <c r="DHP164" s="3"/>
      <c r="DHQ164" s="3"/>
      <c r="DHR164" s="3"/>
      <c r="DHS164" s="3"/>
      <c r="DHT164" s="3"/>
      <c r="DHU164" s="3"/>
      <c r="DHV164" s="3"/>
      <c r="DHW164" s="3"/>
      <c r="DHX164" s="3"/>
      <c r="DHY164" s="3"/>
      <c r="DHZ164" s="3"/>
      <c r="DIA164" s="3"/>
      <c r="DIB164" s="3"/>
      <c r="DIC164" s="3"/>
      <c r="DID164" s="3"/>
      <c r="DIE164" s="3"/>
      <c r="DIF164" s="3"/>
      <c r="DIG164" s="3"/>
      <c r="DIH164" s="3"/>
      <c r="DII164" s="3"/>
      <c r="DIJ164" s="3"/>
      <c r="DIK164" s="3"/>
      <c r="DIL164" s="3"/>
      <c r="DIM164" s="3"/>
      <c r="DIN164" s="3"/>
      <c r="DIO164" s="3"/>
      <c r="DIP164" s="3"/>
      <c r="DIQ164" s="3"/>
      <c r="DIR164" s="3"/>
      <c r="DIS164" s="3"/>
      <c r="DIT164" s="3"/>
      <c r="DIU164" s="3"/>
      <c r="DIV164" s="3"/>
      <c r="DIW164" s="3"/>
      <c r="DIX164" s="3"/>
      <c r="DIY164" s="3"/>
      <c r="DIZ164" s="3"/>
      <c r="DJA164" s="3"/>
      <c r="DJB164" s="3"/>
      <c r="DJC164" s="3"/>
      <c r="DJD164" s="3"/>
      <c r="DJE164" s="3"/>
      <c r="DJF164" s="3"/>
      <c r="DJG164" s="3"/>
      <c r="DJH164" s="3"/>
      <c r="DJI164" s="3"/>
      <c r="DJJ164" s="3"/>
      <c r="DJK164" s="3"/>
      <c r="DJL164" s="3"/>
      <c r="DJM164" s="3"/>
      <c r="DJN164" s="3"/>
      <c r="DJO164" s="3"/>
      <c r="DJP164" s="3"/>
      <c r="DJQ164" s="3"/>
      <c r="DJR164" s="3"/>
      <c r="DJS164" s="3"/>
      <c r="DJT164" s="3"/>
      <c r="DJU164" s="3"/>
      <c r="DJV164" s="3"/>
      <c r="DJW164" s="3"/>
      <c r="DJX164" s="3"/>
      <c r="DJY164" s="3"/>
      <c r="DJZ164" s="3"/>
      <c r="DKA164" s="3"/>
      <c r="DKB164" s="3"/>
      <c r="DKC164" s="3"/>
      <c r="DKD164" s="3"/>
      <c r="DKE164" s="3"/>
      <c r="DKF164" s="3"/>
      <c r="DKG164" s="3"/>
      <c r="DKH164" s="3"/>
      <c r="DKI164" s="3"/>
      <c r="DKJ164" s="3"/>
      <c r="DKK164" s="3"/>
      <c r="DKL164" s="3"/>
      <c r="DKM164" s="3"/>
      <c r="DKN164" s="3"/>
      <c r="DKO164" s="3"/>
      <c r="DKP164" s="3"/>
      <c r="DKQ164" s="3"/>
      <c r="DKR164" s="3"/>
      <c r="DKS164" s="3"/>
      <c r="DKT164" s="3"/>
      <c r="DKU164" s="3"/>
      <c r="DKV164" s="3"/>
      <c r="DKW164" s="3"/>
      <c r="DKX164" s="3"/>
      <c r="DKY164" s="3"/>
      <c r="DKZ164" s="3"/>
      <c r="DLA164" s="3"/>
      <c r="DLB164" s="3"/>
      <c r="DLC164" s="3"/>
      <c r="DLD164" s="3"/>
      <c r="DLE164" s="3"/>
      <c r="DLF164" s="3"/>
      <c r="DLG164" s="3"/>
      <c r="DLH164" s="3"/>
      <c r="DLI164" s="3"/>
      <c r="DLJ164" s="3"/>
      <c r="DLK164" s="3"/>
      <c r="DLL164" s="3"/>
      <c r="DLM164" s="3"/>
      <c r="DLN164" s="3"/>
      <c r="DLO164" s="3"/>
      <c r="DLP164" s="3"/>
      <c r="DLQ164" s="3"/>
      <c r="DLR164" s="3"/>
      <c r="DLS164" s="3"/>
      <c r="DLT164" s="3"/>
      <c r="DLU164" s="3"/>
      <c r="DLV164" s="3"/>
      <c r="DLW164" s="3"/>
      <c r="DLX164" s="3"/>
      <c r="DLY164" s="3"/>
      <c r="DLZ164" s="3"/>
      <c r="DMA164" s="3"/>
      <c r="DMB164" s="3"/>
      <c r="DMC164" s="3"/>
      <c r="DMD164" s="3"/>
      <c r="DME164" s="3"/>
      <c r="DMF164" s="3"/>
      <c r="DMG164" s="3"/>
      <c r="DMH164" s="3"/>
      <c r="DMI164" s="3"/>
      <c r="DMJ164" s="3"/>
      <c r="DMK164" s="3"/>
      <c r="DML164" s="3"/>
      <c r="DMM164" s="3"/>
      <c r="DMN164" s="3"/>
      <c r="DMO164" s="3"/>
      <c r="DMP164" s="3"/>
      <c r="DMQ164" s="3"/>
      <c r="DMR164" s="3"/>
      <c r="DMS164" s="3"/>
      <c r="DMT164" s="3"/>
      <c r="DMU164" s="3"/>
      <c r="DMV164" s="3"/>
      <c r="DMW164" s="3"/>
      <c r="DMX164" s="3"/>
      <c r="DMY164" s="3"/>
      <c r="DMZ164" s="3"/>
      <c r="DNA164" s="3"/>
      <c r="DNB164" s="3"/>
      <c r="DNC164" s="3"/>
      <c r="DND164" s="3"/>
      <c r="DNE164" s="3"/>
      <c r="DNF164" s="3"/>
      <c r="DNG164" s="3"/>
      <c r="DNH164" s="3"/>
      <c r="DNI164" s="3"/>
      <c r="DNJ164" s="3"/>
      <c r="DNK164" s="3"/>
      <c r="DNL164" s="3"/>
      <c r="DNM164" s="3"/>
      <c r="DNN164" s="3"/>
      <c r="DNO164" s="3"/>
      <c r="DNP164" s="3"/>
      <c r="DNQ164" s="3"/>
      <c r="DNR164" s="3"/>
      <c r="DNS164" s="3"/>
      <c r="DNT164" s="3"/>
      <c r="DNU164" s="3"/>
      <c r="DNV164" s="3"/>
      <c r="DNW164" s="3"/>
      <c r="DNX164" s="3"/>
      <c r="DNY164" s="3"/>
      <c r="DNZ164" s="3"/>
      <c r="DOA164" s="3"/>
      <c r="DOB164" s="3"/>
      <c r="DOC164" s="3"/>
      <c r="DOD164" s="3"/>
      <c r="DOE164" s="3"/>
      <c r="DOF164" s="3"/>
      <c r="DOG164" s="3"/>
      <c r="DOH164" s="3"/>
      <c r="DOI164" s="3"/>
      <c r="DOJ164" s="3"/>
      <c r="DOK164" s="3"/>
      <c r="DOL164" s="3"/>
      <c r="DOM164" s="3"/>
      <c r="DON164" s="3"/>
      <c r="DOO164" s="3"/>
      <c r="DOP164" s="3"/>
      <c r="DOQ164" s="3"/>
      <c r="DOR164" s="3"/>
      <c r="DOS164" s="3"/>
      <c r="DOT164" s="3"/>
      <c r="DOU164" s="3"/>
      <c r="DOV164" s="3"/>
      <c r="DOW164" s="3"/>
      <c r="DOX164" s="3"/>
      <c r="DOY164" s="3"/>
      <c r="DOZ164" s="3"/>
      <c r="DPA164" s="3"/>
      <c r="DPB164" s="3"/>
      <c r="DPC164" s="3"/>
      <c r="DPD164" s="3"/>
      <c r="DPE164" s="3"/>
      <c r="DPF164" s="3"/>
      <c r="DPG164" s="3"/>
      <c r="DPH164" s="3"/>
      <c r="DPI164" s="3"/>
      <c r="DPJ164" s="3"/>
      <c r="DPK164" s="3"/>
      <c r="DPL164" s="3"/>
      <c r="DPM164" s="3"/>
      <c r="DPN164" s="3"/>
      <c r="DPO164" s="3"/>
      <c r="DPP164" s="3"/>
      <c r="DPQ164" s="3"/>
      <c r="DPR164" s="3"/>
      <c r="DPS164" s="3"/>
      <c r="DPT164" s="3"/>
      <c r="DPU164" s="3"/>
      <c r="DPV164" s="3"/>
      <c r="DPW164" s="3"/>
      <c r="DPX164" s="3"/>
      <c r="DPY164" s="3"/>
      <c r="DPZ164" s="3"/>
      <c r="DQA164" s="3"/>
      <c r="DQB164" s="3"/>
      <c r="DQC164" s="3"/>
      <c r="DQD164" s="3"/>
      <c r="DQE164" s="3"/>
      <c r="DQF164" s="3"/>
      <c r="DQG164" s="3"/>
      <c r="DQH164" s="3"/>
      <c r="DQI164" s="3"/>
      <c r="DQJ164" s="3"/>
      <c r="DQK164" s="3"/>
      <c r="DQL164" s="3"/>
      <c r="DQM164" s="3"/>
      <c r="DQN164" s="3"/>
      <c r="DQO164" s="3"/>
      <c r="DQP164" s="3"/>
      <c r="DQQ164" s="3"/>
      <c r="DQR164" s="3"/>
      <c r="DQS164" s="3"/>
      <c r="DQT164" s="3"/>
      <c r="DQU164" s="3"/>
      <c r="DQV164" s="3"/>
      <c r="DQW164" s="3"/>
      <c r="DQX164" s="3"/>
      <c r="DQY164" s="3"/>
      <c r="DQZ164" s="3"/>
      <c r="DRA164" s="3"/>
      <c r="DRB164" s="3"/>
      <c r="DRC164" s="3"/>
      <c r="DRD164" s="3"/>
      <c r="DRE164" s="3"/>
      <c r="DRF164" s="3"/>
      <c r="DRG164" s="3"/>
      <c r="DRH164" s="3"/>
      <c r="DRI164" s="3"/>
      <c r="DRJ164" s="3"/>
      <c r="DRK164" s="3"/>
      <c r="DRL164" s="3"/>
      <c r="DRM164" s="3"/>
      <c r="DRN164" s="3"/>
      <c r="DRO164" s="3"/>
      <c r="DRP164" s="3"/>
      <c r="DRQ164" s="3"/>
      <c r="DRR164" s="3"/>
      <c r="DRS164" s="3"/>
      <c r="DRT164" s="3"/>
      <c r="DRU164" s="3"/>
      <c r="DRV164" s="3"/>
      <c r="DRW164" s="3"/>
      <c r="DRX164" s="3"/>
      <c r="DRY164" s="3"/>
      <c r="DRZ164" s="3"/>
      <c r="DSA164" s="3"/>
      <c r="DSB164" s="3"/>
      <c r="DSC164" s="3"/>
      <c r="DSD164" s="3"/>
      <c r="DSE164" s="3"/>
      <c r="DSF164" s="3"/>
      <c r="DSG164" s="3"/>
      <c r="DSH164" s="3"/>
      <c r="DSI164" s="3"/>
      <c r="DSJ164" s="3"/>
      <c r="DSK164" s="3"/>
      <c r="DSL164" s="3"/>
      <c r="DSM164" s="3"/>
      <c r="DSN164" s="3"/>
      <c r="DSO164" s="3"/>
      <c r="DSP164" s="3"/>
      <c r="DSQ164" s="3"/>
      <c r="DSR164" s="3"/>
      <c r="DSS164" s="3"/>
      <c r="DST164" s="3"/>
      <c r="DSU164" s="3"/>
      <c r="DSV164" s="3"/>
      <c r="DSW164" s="3"/>
      <c r="DSX164" s="3"/>
      <c r="DSY164" s="3"/>
      <c r="DSZ164" s="3"/>
      <c r="DTA164" s="3"/>
      <c r="DTB164" s="3"/>
      <c r="DTC164" s="3"/>
      <c r="DTD164" s="3"/>
      <c r="DTE164" s="3"/>
      <c r="DTF164" s="3"/>
      <c r="DTG164" s="3"/>
      <c r="DTH164" s="3"/>
      <c r="DTI164" s="3"/>
      <c r="DTJ164" s="3"/>
      <c r="DTK164" s="3"/>
      <c r="DTL164" s="3"/>
      <c r="DTM164" s="3"/>
      <c r="DTN164" s="3"/>
      <c r="DTO164" s="3"/>
      <c r="DTP164" s="3"/>
      <c r="DTQ164" s="3"/>
      <c r="DTR164" s="3"/>
      <c r="DTS164" s="3"/>
      <c r="DTT164" s="3"/>
      <c r="DTU164" s="3"/>
      <c r="DTV164" s="3"/>
      <c r="DTW164" s="3"/>
      <c r="DTX164" s="3"/>
      <c r="DTY164" s="3"/>
      <c r="DTZ164" s="3"/>
      <c r="DUA164" s="3"/>
      <c r="DUB164" s="3"/>
      <c r="DUC164" s="3"/>
      <c r="DUD164" s="3"/>
      <c r="DUE164" s="3"/>
      <c r="DUF164" s="3"/>
      <c r="DUG164" s="3"/>
      <c r="DUH164" s="3"/>
      <c r="DUI164" s="3"/>
      <c r="DUJ164" s="3"/>
      <c r="DUK164" s="3"/>
      <c r="DUL164" s="3"/>
      <c r="DUM164" s="3"/>
      <c r="DUN164" s="3"/>
      <c r="DUO164" s="3"/>
      <c r="DUP164" s="3"/>
      <c r="DUQ164" s="3"/>
      <c r="DUR164" s="3"/>
      <c r="DUS164" s="3"/>
      <c r="DUT164" s="3"/>
      <c r="DUU164" s="3"/>
      <c r="DUV164" s="3"/>
      <c r="DUW164" s="3"/>
      <c r="DUX164" s="3"/>
      <c r="DUY164" s="3"/>
      <c r="DUZ164" s="3"/>
      <c r="DVA164" s="3"/>
      <c r="DVB164" s="3"/>
      <c r="DVC164" s="3"/>
      <c r="DVD164" s="3"/>
      <c r="DVE164" s="3"/>
      <c r="DVF164" s="3"/>
      <c r="DVG164" s="3"/>
      <c r="DVH164" s="3"/>
      <c r="DVI164" s="3"/>
      <c r="DVJ164" s="3"/>
      <c r="DVK164" s="3"/>
      <c r="DVL164" s="3"/>
      <c r="DVM164" s="3"/>
      <c r="DVN164" s="3"/>
      <c r="DVO164" s="3"/>
      <c r="DVP164" s="3"/>
      <c r="DVQ164" s="3"/>
      <c r="DVR164" s="3"/>
      <c r="DVS164" s="3"/>
      <c r="DVT164" s="3"/>
      <c r="DVU164" s="3"/>
      <c r="DVV164" s="3"/>
      <c r="DVW164" s="3"/>
      <c r="DVX164" s="3"/>
      <c r="DVY164" s="3"/>
      <c r="DVZ164" s="3"/>
      <c r="DWA164" s="3"/>
      <c r="DWB164" s="3"/>
      <c r="DWC164" s="3"/>
      <c r="DWD164" s="3"/>
      <c r="DWE164" s="3"/>
      <c r="DWF164" s="3"/>
      <c r="DWG164" s="3"/>
      <c r="DWH164" s="3"/>
      <c r="DWI164" s="3"/>
      <c r="DWJ164" s="3"/>
      <c r="DWK164" s="3"/>
      <c r="DWL164" s="3"/>
      <c r="DWM164" s="3"/>
      <c r="DWN164" s="3"/>
      <c r="DWO164" s="3"/>
      <c r="DWP164" s="3"/>
      <c r="DWQ164" s="3"/>
      <c r="DWR164" s="3"/>
      <c r="DWS164" s="3"/>
      <c r="DWT164" s="3"/>
      <c r="DWU164" s="3"/>
      <c r="DWV164" s="3"/>
      <c r="DWW164" s="3"/>
      <c r="DWX164" s="3"/>
      <c r="DWY164" s="3"/>
      <c r="DWZ164" s="3"/>
      <c r="DXA164" s="3"/>
      <c r="DXB164" s="3"/>
      <c r="DXC164" s="3"/>
      <c r="DXD164" s="3"/>
      <c r="DXE164" s="3"/>
      <c r="DXF164" s="3"/>
      <c r="DXG164" s="3"/>
      <c r="DXH164" s="3"/>
      <c r="DXI164" s="3"/>
      <c r="DXJ164" s="3"/>
      <c r="DXK164" s="3"/>
      <c r="DXL164" s="3"/>
      <c r="DXM164" s="3"/>
      <c r="DXN164" s="3"/>
      <c r="DXO164" s="3"/>
      <c r="DXP164" s="3"/>
      <c r="DXQ164" s="3"/>
      <c r="DXR164" s="3"/>
      <c r="DXS164" s="3"/>
      <c r="DXT164" s="3"/>
      <c r="DXU164" s="3"/>
      <c r="DXV164" s="3"/>
      <c r="DXW164" s="3"/>
      <c r="DXX164" s="3"/>
      <c r="DXY164" s="3"/>
      <c r="DXZ164" s="3"/>
      <c r="DYA164" s="3"/>
      <c r="DYB164" s="3"/>
      <c r="DYC164" s="3"/>
      <c r="DYD164" s="3"/>
      <c r="DYE164" s="3"/>
      <c r="DYF164" s="3"/>
      <c r="DYG164" s="3"/>
      <c r="DYH164" s="3"/>
      <c r="DYI164" s="3"/>
      <c r="DYJ164" s="3"/>
      <c r="DYK164" s="3"/>
      <c r="DYL164" s="3"/>
      <c r="DYM164" s="3"/>
      <c r="DYN164" s="3"/>
      <c r="DYO164" s="3"/>
      <c r="DYP164" s="3"/>
      <c r="DYQ164" s="3"/>
      <c r="DYR164" s="3"/>
      <c r="DYS164" s="3"/>
      <c r="DYT164" s="3"/>
      <c r="DYU164" s="3"/>
      <c r="DYV164" s="3"/>
      <c r="DYW164" s="3"/>
      <c r="DYX164" s="3"/>
      <c r="DYY164" s="3"/>
      <c r="DYZ164" s="3"/>
      <c r="DZA164" s="3"/>
      <c r="DZB164" s="3"/>
      <c r="DZC164" s="3"/>
      <c r="DZD164" s="3"/>
      <c r="DZE164" s="3"/>
      <c r="DZF164" s="3"/>
      <c r="DZG164" s="3"/>
      <c r="DZH164" s="3"/>
      <c r="DZI164" s="3"/>
      <c r="DZJ164" s="3"/>
      <c r="DZK164" s="3"/>
      <c r="DZL164" s="3"/>
      <c r="DZM164" s="3"/>
      <c r="DZN164" s="3"/>
      <c r="DZO164" s="3"/>
      <c r="DZP164" s="3"/>
      <c r="DZQ164" s="3"/>
      <c r="DZR164" s="3"/>
      <c r="DZS164" s="3"/>
      <c r="DZT164" s="3"/>
      <c r="DZU164" s="3"/>
      <c r="DZV164" s="3"/>
      <c r="DZW164" s="3"/>
      <c r="DZX164" s="3"/>
      <c r="DZY164" s="3"/>
      <c r="DZZ164" s="3"/>
      <c r="EAA164" s="3"/>
      <c r="EAB164" s="3"/>
      <c r="EAC164" s="3"/>
      <c r="EAD164" s="3"/>
      <c r="EAE164" s="3"/>
      <c r="EAF164" s="3"/>
      <c r="EAG164" s="3"/>
      <c r="EAH164" s="3"/>
      <c r="EAI164" s="3"/>
      <c r="EAJ164" s="3"/>
      <c r="EAK164" s="3"/>
      <c r="EAL164" s="3"/>
      <c r="EAM164" s="3"/>
      <c r="EAN164" s="3"/>
      <c r="EAO164" s="3"/>
      <c r="EAP164" s="3"/>
      <c r="EAQ164" s="3"/>
      <c r="EAR164" s="3"/>
      <c r="EAS164" s="3"/>
      <c r="EAT164" s="3"/>
      <c r="EAU164" s="3"/>
      <c r="EAV164" s="3"/>
      <c r="EAW164" s="3"/>
      <c r="EAX164" s="3"/>
      <c r="EAY164" s="3"/>
      <c r="EAZ164" s="3"/>
      <c r="EBA164" s="3"/>
      <c r="EBB164" s="3"/>
      <c r="EBC164" s="3"/>
      <c r="EBD164" s="3"/>
      <c r="EBE164" s="3"/>
      <c r="EBF164" s="3"/>
      <c r="EBG164" s="3"/>
      <c r="EBH164" s="3"/>
      <c r="EBI164" s="3"/>
      <c r="EBJ164" s="3"/>
      <c r="EBK164" s="3"/>
      <c r="EBL164" s="3"/>
      <c r="EBM164" s="3"/>
      <c r="EBN164" s="3"/>
      <c r="EBO164" s="3"/>
      <c r="EBP164" s="3"/>
      <c r="EBQ164" s="3"/>
      <c r="EBR164" s="3"/>
      <c r="EBS164" s="3"/>
      <c r="EBT164" s="3"/>
      <c r="EBU164" s="3"/>
      <c r="EBV164" s="3"/>
      <c r="EBW164" s="3"/>
      <c r="EBX164" s="3"/>
      <c r="EBY164" s="3"/>
      <c r="EBZ164" s="3"/>
      <c r="ECA164" s="3"/>
      <c r="ECB164" s="3"/>
      <c r="ECC164" s="3"/>
      <c r="ECD164" s="3"/>
      <c r="ECE164" s="3"/>
      <c r="ECF164" s="3"/>
      <c r="ECG164" s="3"/>
      <c r="ECH164" s="3"/>
      <c r="ECI164" s="3"/>
      <c r="ECJ164" s="3"/>
      <c r="ECK164" s="3"/>
      <c r="ECL164" s="3"/>
      <c r="ECM164" s="3"/>
      <c r="ECN164" s="3"/>
      <c r="ECO164" s="3"/>
      <c r="ECP164" s="3"/>
      <c r="ECQ164" s="3"/>
      <c r="ECR164" s="3"/>
      <c r="ECS164" s="3"/>
      <c r="ECT164" s="3"/>
      <c r="ECU164" s="3"/>
      <c r="ECV164" s="3"/>
      <c r="ECW164" s="3"/>
      <c r="ECX164" s="3"/>
      <c r="ECY164" s="3"/>
      <c r="ECZ164" s="3"/>
      <c r="EDA164" s="3"/>
      <c r="EDB164" s="3"/>
      <c r="EDC164" s="3"/>
      <c r="EDD164" s="3"/>
      <c r="EDE164" s="3"/>
      <c r="EDF164" s="3"/>
      <c r="EDG164" s="3"/>
      <c r="EDH164" s="3"/>
      <c r="EDI164" s="3"/>
      <c r="EDJ164" s="3"/>
      <c r="EDK164" s="3"/>
      <c r="EDL164" s="3"/>
      <c r="EDM164" s="3"/>
      <c r="EDN164" s="3"/>
      <c r="EDO164" s="3"/>
      <c r="EDP164" s="3"/>
      <c r="EDQ164" s="3"/>
      <c r="EDR164" s="3"/>
      <c r="EDS164" s="3"/>
      <c r="EDT164" s="3"/>
      <c r="EDU164" s="3"/>
      <c r="EDV164" s="3"/>
      <c r="EDW164" s="3"/>
      <c r="EDX164" s="3"/>
      <c r="EDY164" s="3"/>
      <c r="EDZ164" s="3"/>
      <c r="EEA164" s="3"/>
      <c r="EEB164" s="3"/>
      <c r="EEC164" s="3"/>
      <c r="EED164" s="3"/>
      <c r="EEE164" s="3"/>
      <c r="EEF164" s="3"/>
      <c r="EEG164" s="3"/>
      <c r="EEH164" s="3"/>
      <c r="EEI164" s="3"/>
      <c r="EEJ164" s="3"/>
      <c r="EEK164" s="3"/>
      <c r="EEL164" s="3"/>
      <c r="EEM164" s="3"/>
      <c r="EEN164" s="3"/>
      <c r="EEO164" s="3"/>
      <c r="EEP164" s="3"/>
      <c r="EEQ164" s="3"/>
      <c r="EER164" s="3"/>
      <c r="EES164" s="3"/>
      <c r="EET164" s="3"/>
      <c r="EEU164" s="3"/>
      <c r="EEV164" s="3"/>
      <c r="EEW164" s="3"/>
      <c r="EEX164" s="3"/>
      <c r="EEY164" s="3"/>
      <c r="EEZ164" s="3"/>
      <c r="EFA164" s="3"/>
      <c r="EFB164" s="3"/>
      <c r="EFC164" s="3"/>
      <c r="EFD164" s="3"/>
      <c r="EFE164" s="3"/>
      <c r="EFF164" s="3"/>
      <c r="EFG164" s="3"/>
      <c r="EFH164" s="3"/>
      <c r="EFI164" s="3"/>
      <c r="EFJ164" s="3"/>
      <c r="EFK164" s="3"/>
      <c r="EFL164" s="3"/>
      <c r="EFM164" s="3"/>
      <c r="EFN164" s="3"/>
      <c r="EFO164" s="3"/>
      <c r="EFP164" s="3"/>
      <c r="EFQ164" s="3"/>
      <c r="EFR164" s="3"/>
      <c r="EFS164" s="3"/>
      <c r="EFT164" s="3"/>
      <c r="EFU164" s="3"/>
      <c r="EFV164" s="3"/>
      <c r="EFW164" s="3"/>
      <c r="EFX164" s="3"/>
      <c r="EFY164" s="3"/>
      <c r="EFZ164" s="3"/>
      <c r="EGA164" s="3"/>
      <c r="EGB164" s="3"/>
      <c r="EGC164" s="3"/>
      <c r="EGD164" s="3"/>
      <c r="EGE164" s="3"/>
      <c r="EGF164" s="3"/>
      <c r="EGG164" s="3"/>
      <c r="EGH164" s="3"/>
      <c r="EGI164" s="3"/>
      <c r="EGJ164" s="3"/>
      <c r="EGK164" s="3"/>
      <c r="EGL164" s="3"/>
      <c r="EGM164" s="3"/>
      <c r="EGN164" s="3"/>
      <c r="EGO164" s="3"/>
      <c r="EGP164" s="3"/>
      <c r="EGQ164" s="3"/>
      <c r="EGR164" s="3"/>
      <c r="EGS164" s="3"/>
      <c r="EGT164" s="3"/>
      <c r="EGU164" s="3"/>
      <c r="EGV164" s="3"/>
      <c r="EGW164" s="3"/>
      <c r="EGX164" s="3"/>
      <c r="EGY164" s="3"/>
      <c r="EGZ164" s="3"/>
      <c r="EHA164" s="3"/>
      <c r="EHB164" s="3"/>
      <c r="EHC164" s="3"/>
      <c r="EHD164" s="3"/>
      <c r="EHE164" s="3"/>
      <c r="EHF164" s="3"/>
      <c r="EHG164" s="3"/>
      <c r="EHH164" s="3"/>
      <c r="EHI164" s="3"/>
      <c r="EHJ164" s="3"/>
      <c r="EHK164" s="3"/>
      <c r="EHL164" s="3"/>
      <c r="EHM164" s="3"/>
      <c r="EHN164" s="3"/>
      <c r="EHO164" s="3"/>
      <c r="EHP164" s="3"/>
      <c r="EHQ164" s="3"/>
      <c r="EHR164" s="3"/>
      <c r="EHS164" s="3"/>
      <c r="EHT164" s="3"/>
      <c r="EHU164" s="3"/>
      <c r="EHV164" s="3"/>
      <c r="EHW164" s="3"/>
      <c r="EHX164" s="3"/>
      <c r="EHY164" s="3"/>
      <c r="EHZ164" s="3"/>
      <c r="EIA164" s="3"/>
      <c r="EIB164" s="3"/>
      <c r="EIC164" s="3"/>
      <c r="EID164" s="3"/>
      <c r="EIE164" s="3"/>
      <c r="EIF164" s="3"/>
      <c r="EIG164" s="3"/>
      <c r="EIH164" s="3"/>
      <c r="EII164" s="3"/>
      <c r="EIJ164" s="3"/>
      <c r="EIK164" s="3"/>
      <c r="EIL164" s="3"/>
      <c r="EIM164" s="3"/>
      <c r="EIN164" s="3"/>
      <c r="EIO164" s="3"/>
      <c r="EIP164" s="3"/>
      <c r="EIQ164" s="3"/>
      <c r="EIR164" s="3"/>
      <c r="EIS164" s="3"/>
      <c r="EIT164" s="3"/>
      <c r="EIU164" s="3"/>
      <c r="EIV164" s="3"/>
      <c r="EIW164" s="3"/>
      <c r="EIX164" s="3"/>
      <c r="EIY164" s="3"/>
      <c r="EIZ164" s="3"/>
      <c r="EJA164" s="3"/>
      <c r="EJB164" s="3"/>
      <c r="EJC164" s="3"/>
      <c r="EJD164" s="3"/>
      <c r="EJE164" s="3"/>
      <c r="EJF164" s="3"/>
      <c r="EJG164" s="3"/>
      <c r="EJH164" s="3"/>
      <c r="EJI164" s="3"/>
      <c r="EJJ164" s="3"/>
      <c r="EJK164" s="3"/>
      <c r="EJL164" s="3"/>
      <c r="EJM164" s="3"/>
      <c r="EJN164" s="3"/>
      <c r="EJO164" s="3"/>
      <c r="EJP164" s="3"/>
      <c r="EJQ164" s="3"/>
      <c r="EJR164" s="3"/>
      <c r="EJS164" s="3"/>
      <c r="EJT164" s="3"/>
      <c r="EJU164" s="3"/>
      <c r="EJV164" s="3"/>
      <c r="EJW164" s="3"/>
      <c r="EJX164" s="3"/>
      <c r="EJY164" s="3"/>
      <c r="EJZ164" s="3"/>
      <c r="EKA164" s="3"/>
      <c r="EKB164" s="3"/>
      <c r="EKC164" s="3"/>
      <c r="EKD164" s="3"/>
      <c r="EKE164" s="3"/>
      <c r="EKF164" s="3"/>
      <c r="EKG164" s="3"/>
      <c r="EKH164" s="3"/>
      <c r="EKI164" s="3"/>
      <c r="EKJ164" s="3"/>
      <c r="EKK164" s="3"/>
      <c r="EKL164" s="3"/>
      <c r="EKM164" s="3"/>
      <c r="EKN164" s="3"/>
      <c r="EKO164" s="3"/>
      <c r="EKP164" s="3"/>
      <c r="EKQ164" s="3"/>
      <c r="EKR164" s="3"/>
      <c r="EKS164" s="3"/>
      <c r="EKT164" s="3"/>
      <c r="EKU164" s="3"/>
      <c r="EKV164" s="3"/>
      <c r="EKW164" s="3"/>
      <c r="EKX164" s="3"/>
      <c r="EKY164" s="3"/>
      <c r="EKZ164" s="3"/>
      <c r="ELA164" s="3"/>
      <c r="ELB164" s="3"/>
      <c r="ELC164" s="3"/>
      <c r="ELD164" s="3"/>
      <c r="ELE164" s="3"/>
      <c r="ELF164" s="3"/>
      <c r="ELG164" s="3"/>
      <c r="ELH164" s="3"/>
      <c r="ELI164" s="3"/>
      <c r="ELJ164" s="3"/>
      <c r="ELK164" s="3"/>
      <c r="ELL164" s="3"/>
      <c r="ELM164" s="3"/>
      <c r="ELN164" s="3"/>
      <c r="ELO164" s="3"/>
      <c r="ELP164" s="3"/>
      <c r="ELQ164" s="3"/>
      <c r="ELR164" s="3"/>
      <c r="ELS164" s="3"/>
      <c r="ELT164" s="3"/>
      <c r="ELU164" s="3"/>
      <c r="ELV164" s="3"/>
      <c r="ELW164" s="3"/>
      <c r="ELX164" s="3"/>
      <c r="ELY164" s="3"/>
      <c r="ELZ164" s="3"/>
      <c r="EMA164" s="3"/>
      <c r="EMB164" s="3"/>
      <c r="EMC164" s="3"/>
      <c r="EMD164" s="3"/>
      <c r="EME164" s="3"/>
      <c r="EMF164" s="3"/>
      <c r="EMG164" s="3"/>
      <c r="EMH164" s="3"/>
      <c r="EMI164" s="3"/>
      <c r="EMJ164" s="3"/>
      <c r="EMK164" s="3"/>
      <c r="EML164" s="3"/>
      <c r="EMM164" s="3"/>
      <c r="EMN164" s="3"/>
      <c r="EMO164" s="3"/>
      <c r="EMP164" s="3"/>
      <c r="EMQ164" s="3"/>
      <c r="EMR164" s="3"/>
      <c r="EMS164" s="3"/>
      <c r="EMT164" s="3"/>
      <c r="EMU164" s="3"/>
      <c r="EMV164" s="3"/>
      <c r="EMW164" s="3"/>
      <c r="EMX164" s="3"/>
      <c r="EMY164" s="3"/>
      <c r="EMZ164" s="3"/>
      <c r="ENA164" s="3"/>
      <c r="ENB164" s="3"/>
      <c r="ENC164" s="3"/>
      <c r="END164" s="3"/>
      <c r="ENE164" s="3"/>
      <c r="ENF164" s="3"/>
      <c r="ENG164" s="3"/>
      <c r="ENH164" s="3"/>
      <c r="ENI164" s="3"/>
      <c r="ENJ164" s="3"/>
      <c r="ENK164" s="3"/>
      <c r="ENL164" s="3"/>
      <c r="ENM164" s="3"/>
      <c r="ENN164" s="3"/>
      <c r="ENO164" s="3"/>
      <c r="ENP164" s="3"/>
      <c r="ENQ164" s="3"/>
      <c r="ENR164" s="3"/>
      <c r="ENS164" s="3"/>
      <c r="ENT164" s="3"/>
      <c r="ENU164" s="3"/>
      <c r="ENV164" s="3"/>
      <c r="ENW164" s="3"/>
      <c r="ENX164" s="3"/>
      <c r="ENY164" s="3"/>
      <c r="ENZ164" s="3"/>
      <c r="EOA164" s="3"/>
      <c r="EOB164" s="3"/>
      <c r="EOC164" s="3"/>
      <c r="EOD164" s="3"/>
      <c r="EOE164" s="3"/>
      <c r="EOF164" s="3"/>
      <c r="EOG164" s="3"/>
      <c r="EOH164" s="3"/>
      <c r="EOI164" s="3"/>
      <c r="EOJ164" s="3"/>
      <c r="EOK164" s="3"/>
      <c r="EOL164" s="3"/>
      <c r="EOM164" s="3"/>
      <c r="EON164" s="3"/>
      <c r="EOO164" s="3"/>
      <c r="EOP164" s="3"/>
      <c r="EOQ164" s="3"/>
      <c r="EOR164" s="3"/>
      <c r="EOS164" s="3"/>
      <c r="EOT164" s="3"/>
      <c r="EOU164" s="3"/>
      <c r="EOV164" s="3"/>
      <c r="EOW164" s="3"/>
      <c r="EOX164" s="3"/>
      <c r="EOY164" s="3"/>
      <c r="EOZ164" s="3"/>
      <c r="EPA164" s="3"/>
      <c r="EPB164" s="3"/>
      <c r="EPC164" s="3"/>
      <c r="EPD164" s="3"/>
      <c r="EPE164" s="3"/>
      <c r="EPF164" s="3"/>
      <c r="EPG164" s="3"/>
      <c r="EPH164" s="3"/>
      <c r="EPI164" s="3"/>
      <c r="EPJ164" s="3"/>
      <c r="EPK164" s="3"/>
      <c r="EPL164" s="3"/>
      <c r="EPM164" s="3"/>
      <c r="EPN164" s="3"/>
      <c r="EPO164" s="3"/>
      <c r="EPP164" s="3"/>
      <c r="EPQ164" s="3"/>
      <c r="EPR164" s="3"/>
      <c r="EPS164" s="3"/>
      <c r="EPT164" s="3"/>
      <c r="EPU164" s="3"/>
      <c r="EPV164" s="3"/>
      <c r="EPW164" s="3"/>
      <c r="EPX164" s="3"/>
      <c r="EPY164" s="3"/>
      <c r="EPZ164" s="3"/>
      <c r="EQA164" s="3"/>
      <c r="EQB164" s="3"/>
      <c r="EQC164" s="3"/>
      <c r="EQD164" s="3"/>
      <c r="EQE164" s="3"/>
      <c r="EQF164" s="3"/>
      <c r="EQG164" s="3"/>
      <c r="EQH164" s="3"/>
      <c r="EQI164" s="3"/>
      <c r="EQJ164" s="3"/>
      <c r="EQK164" s="3"/>
      <c r="EQL164" s="3"/>
      <c r="EQM164" s="3"/>
      <c r="EQN164" s="3"/>
      <c r="EQO164" s="3"/>
      <c r="EQP164" s="3"/>
      <c r="EQQ164" s="3"/>
      <c r="EQR164" s="3"/>
      <c r="EQS164" s="3"/>
      <c r="EQT164" s="3"/>
      <c r="EQU164" s="3"/>
      <c r="EQV164" s="3"/>
      <c r="EQW164" s="3"/>
      <c r="EQX164" s="3"/>
      <c r="EQY164" s="3"/>
      <c r="EQZ164" s="3"/>
      <c r="ERA164" s="3"/>
      <c r="ERB164" s="3"/>
      <c r="ERC164" s="3"/>
      <c r="ERD164" s="3"/>
      <c r="ERE164" s="3"/>
      <c r="ERF164" s="3"/>
      <c r="ERG164" s="3"/>
      <c r="ERH164" s="3"/>
      <c r="ERI164" s="3"/>
      <c r="ERJ164" s="3"/>
      <c r="ERK164" s="3"/>
      <c r="ERL164" s="3"/>
      <c r="ERM164" s="3"/>
      <c r="ERN164" s="3"/>
      <c r="ERO164" s="3"/>
      <c r="ERP164" s="3"/>
      <c r="ERQ164" s="3"/>
      <c r="ERR164" s="3"/>
      <c r="ERS164" s="3"/>
      <c r="ERT164" s="3"/>
      <c r="ERU164" s="3"/>
      <c r="ERV164" s="3"/>
      <c r="ERW164" s="3"/>
      <c r="ERX164" s="3"/>
      <c r="ERY164" s="3"/>
      <c r="ERZ164" s="3"/>
      <c r="ESA164" s="3"/>
      <c r="ESB164" s="3"/>
      <c r="ESC164" s="3"/>
      <c r="ESD164" s="3"/>
      <c r="ESE164" s="3"/>
      <c r="ESF164" s="3"/>
      <c r="ESG164" s="3"/>
      <c r="ESH164" s="3"/>
      <c r="ESI164" s="3"/>
      <c r="ESJ164" s="3"/>
      <c r="ESK164" s="3"/>
      <c r="ESL164" s="3"/>
      <c r="ESM164" s="3"/>
      <c r="ESN164" s="3"/>
      <c r="ESO164" s="3"/>
      <c r="ESP164" s="3"/>
      <c r="ESQ164" s="3"/>
      <c r="ESR164" s="3"/>
      <c r="ESS164" s="3"/>
      <c r="EST164" s="3"/>
      <c r="ESU164" s="3"/>
      <c r="ESV164" s="3"/>
      <c r="ESW164" s="3"/>
      <c r="ESX164" s="3"/>
      <c r="ESY164" s="3"/>
      <c r="ESZ164" s="3"/>
      <c r="ETA164" s="3"/>
      <c r="ETB164" s="3"/>
      <c r="ETC164" s="3"/>
      <c r="ETD164" s="3"/>
      <c r="ETE164" s="3"/>
      <c r="ETF164" s="3"/>
      <c r="ETG164" s="3"/>
      <c r="ETH164" s="3"/>
      <c r="ETI164" s="3"/>
      <c r="ETJ164" s="3"/>
      <c r="ETK164" s="3"/>
      <c r="ETL164" s="3"/>
      <c r="ETM164" s="3"/>
      <c r="ETN164" s="3"/>
      <c r="ETO164" s="3"/>
      <c r="ETP164" s="3"/>
      <c r="ETQ164" s="3"/>
      <c r="ETR164" s="3"/>
      <c r="ETS164" s="3"/>
      <c r="ETT164" s="3"/>
      <c r="ETU164" s="3"/>
      <c r="ETV164" s="3"/>
      <c r="ETW164" s="3"/>
      <c r="ETX164" s="3"/>
      <c r="ETY164" s="3"/>
      <c r="ETZ164" s="3"/>
      <c r="EUA164" s="3"/>
      <c r="EUB164" s="3"/>
      <c r="EUC164" s="3"/>
      <c r="EUD164" s="3"/>
      <c r="EUE164" s="3"/>
      <c r="EUF164" s="3"/>
      <c r="EUG164" s="3"/>
      <c r="EUH164" s="3"/>
      <c r="EUI164" s="3"/>
      <c r="EUJ164" s="3"/>
      <c r="EUK164" s="3"/>
      <c r="EUL164" s="3"/>
      <c r="EUM164" s="3"/>
      <c r="EUN164" s="3"/>
      <c r="EUO164" s="3"/>
      <c r="EUP164" s="3"/>
      <c r="EUQ164" s="3"/>
      <c r="EUR164" s="3"/>
      <c r="EUS164" s="3"/>
      <c r="EUT164" s="3"/>
      <c r="EUU164" s="3"/>
      <c r="EUV164" s="3"/>
      <c r="EUW164" s="3"/>
      <c r="EUX164" s="3"/>
      <c r="EUY164" s="3"/>
      <c r="EUZ164" s="3"/>
      <c r="EVA164" s="3"/>
      <c r="EVB164" s="3"/>
      <c r="EVC164" s="3"/>
      <c r="EVD164" s="3"/>
      <c r="EVE164" s="3"/>
      <c r="EVF164" s="3"/>
      <c r="EVG164" s="3"/>
      <c r="EVH164" s="3"/>
      <c r="EVI164" s="3"/>
      <c r="EVJ164" s="3"/>
      <c r="EVK164" s="3"/>
      <c r="EVL164" s="3"/>
      <c r="EVM164" s="3"/>
      <c r="EVN164" s="3"/>
      <c r="EVO164" s="3"/>
      <c r="EVP164" s="3"/>
      <c r="EVQ164" s="3"/>
      <c r="EVR164" s="3"/>
      <c r="EVS164" s="3"/>
      <c r="EVT164" s="3"/>
      <c r="EVU164" s="3"/>
      <c r="EVV164" s="3"/>
      <c r="EVW164" s="3"/>
      <c r="EVX164" s="3"/>
      <c r="EVY164" s="3"/>
      <c r="EVZ164" s="3"/>
      <c r="EWA164" s="3"/>
      <c r="EWB164" s="3"/>
      <c r="EWC164" s="3"/>
      <c r="EWD164" s="3"/>
      <c r="EWE164" s="3"/>
      <c r="EWF164" s="3"/>
      <c r="EWG164" s="3"/>
      <c r="EWH164" s="3"/>
      <c r="EWI164" s="3"/>
      <c r="EWJ164" s="3"/>
      <c r="EWK164" s="3"/>
      <c r="EWL164" s="3"/>
      <c r="EWM164" s="3"/>
      <c r="EWN164" s="3"/>
      <c r="EWO164" s="3"/>
      <c r="EWP164" s="3"/>
      <c r="EWQ164" s="3"/>
      <c r="EWR164" s="3"/>
      <c r="EWS164" s="3"/>
      <c r="EWT164" s="3"/>
      <c r="EWU164" s="3"/>
      <c r="EWV164" s="3"/>
      <c r="EWW164" s="3"/>
      <c r="EWX164" s="3"/>
      <c r="EWY164" s="3"/>
      <c r="EWZ164" s="3"/>
      <c r="EXA164" s="3"/>
      <c r="EXB164" s="3"/>
      <c r="EXC164" s="3"/>
      <c r="EXD164" s="3"/>
      <c r="EXE164" s="3"/>
      <c r="EXF164" s="3"/>
      <c r="EXG164" s="3"/>
      <c r="EXH164" s="3"/>
      <c r="EXI164" s="3"/>
      <c r="EXJ164" s="3"/>
      <c r="EXK164" s="3"/>
      <c r="EXL164" s="3"/>
      <c r="EXM164" s="3"/>
      <c r="EXN164" s="3"/>
      <c r="EXO164" s="3"/>
      <c r="EXP164" s="3"/>
      <c r="EXQ164" s="3"/>
      <c r="EXR164" s="3"/>
      <c r="EXS164" s="3"/>
      <c r="EXT164" s="3"/>
      <c r="EXU164" s="3"/>
      <c r="EXV164" s="3"/>
      <c r="EXW164" s="3"/>
      <c r="EXX164" s="3"/>
      <c r="EXY164" s="3"/>
      <c r="EXZ164" s="3"/>
      <c r="EYA164" s="3"/>
      <c r="EYB164" s="3"/>
      <c r="EYC164" s="3"/>
      <c r="EYD164" s="3"/>
      <c r="EYE164" s="3"/>
      <c r="EYF164" s="3"/>
      <c r="EYG164" s="3"/>
      <c r="EYH164" s="3"/>
      <c r="EYI164" s="3"/>
      <c r="EYJ164" s="3"/>
      <c r="EYK164" s="3"/>
      <c r="EYL164" s="3"/>
      <c r="EYM164" s="3"/>
      <c r="EYN164" s="3"/>
      <c r="EYO164" s="3"/>
      <c r="EYP164" s="3"/>
      <c r="EYQ164" s="3"/>
      <c r="EYR164" s="3"/>
      <c r="EYS164" s="3"/>
      <c r="EYT164" s="3"/>
      <c r="EYU164" s="3"/>
      <c r="EYV164" s="3"/>
      <c r="EYW164" s="3"/>
      <c r="EYX164" s="3"/>
      <c r="EYY164" s="3"/>
      <c r="EYZ164" s="3"/>
      <c r="EZA164" s="3"/>
      <c r="EZB164" s="3"/>
      <c r="EZC164" s="3"/>
      <c r="EZD164" s="3"/>
      <c r="EZE164" s="3"/>
      <c r="EZF164" s="3"/>
      <c r="EZG164" s="3"/>
      <c r="EZH164" s="3"/>
      <c r="EZI164" s="3"/>
      <c r="EZJ164" s="3"/>
      <c r="EZK164" s="3"/>
      <c r="EZL164" s="3"/>
      <c r="EZM164" s="3"/>
      <c r="EZN164" s="3"/>
      <c r="EZO164" s="3"/>
      <c r="EZP164" s="3"/>
      <c r="EZQ164" s="3"/>
      <c r="EZR164" s="3"/>
      <c r="EZS164" s="3"/>
      <c r="EZT164" s="3"/>
      <c r="EZU164" s="3"/>
      <c r="EZV164" s="3"/>
      <c r="EZW164" s="3"/>
      <c r="EZX164" s="3"/>
      <c r="EZY164" s="3"/>
      <c r="EZZ164" s="3"/>
      <c r="FAA164" s="3"/>
      <c r="FAB164" s="3"/>
      <c r="FAC164" s="3"/>
      <c r="FAD164" s="3"/>
      <c r="FAE164" s="3"/>
      <c r="FAF164" s="3"/>
      <c r="FAG164" s="3"/>
      <c r="FAH164" s="3"/>
      <c r="FAI164" s="3"/>
      <c r="FAJ164" s="3"/>
      <c r="FAK164" s="3"/>
      <c r="FAL164" s="3"/>
      <c r="FAM164" s="3"/>
      <c r="FAN164" s="3"/>
      <c r="FAO164" s="3"/>
      <c r="FAP164" s="3"/>
      <c r="FAQ164" s="3"/>
      <c r="FAR164" s="3"/>
      <c r="FAS164" s="3"/>
      <c r="FAT164" s="3"/>
      <c r="FAU164" s="3"/>
      <c r="FAV164" s="3"/>
      <c r="FAW164" s="3"/>
      <c r="FAX164" s="3"/>
      <c r="FAY164" s="3"/>
      <c r="FAZ164" s="3"/>
      <c r="FBA164" s="3"/>
      <c r="FBB164" s="3"/>
      <c r="FBC164" s="3"/>
      <c r="FBD164" s="3"/>
      <c r="FBE164" s="3"/>
      <c r="FBF164" s="3"/>
      <c r="FBG164" s="3"/>
      <c r="FBH164" s="3"/>
      <c r="FBI164" s="3"/>
      <c r="FBJ164" s="3"/>
      <c r="FBK164" s="3"/>
      <c r="FBL164" s="3"/>
      <c r="FBM164" s="3"/>
      <c r="FBN164" s="3"/>
      <c r="FBO164" s="3"/>
      <c r="FBP164" s="3"/>
      <c r="FBQ164" s="3"/>
      <c r="FBR164" s="3"/>
      <c r="FBS164" s="3"/>
      <c r="FBT164" s="3"/>
      <c r="FBU164" s="3"/>
      <c r="FBV164" s="3"/>
      <c r="FBW164" s="3"/>
      <c r="FBX164" s="3"/>
      <c r="FBY164" s="3"/>
      <c r="FBZ164" s="3"/>
      <c r="FCA164" s="3"/>
      <c r="FCB164" s="3"/>
      <c r="FCC164" s="3"/>
      <c r="FCD164" s="3"/>
      <c r="FCE164" s="3"/>
      <c r="FCF164" s="3"/>
      <c r="FCG164" s="3"/>
      <c r="FCH164" s="3"/>
      <c r="FCI164" s="3"/>
      <c r="FCJ164" s="3"/>
      <c r="FCK164" s="3"/>
      <c r="FCL164" s="3"/>
      <c r="FCM164" s="3"/>
      <c r="FCN164" s="3"/>
      <c r="FCO164" s="3"/>
      <c r="FCP164" s="3"/>
      <c r="FCQ164" s="3"/>
      <c r="FCR164" s="3"/>
      <c r="FCS164" s="3"/>
      <c r="FCT164" s="3"/>
      <c r="FCU164" s="3"/>
      <c r="FCV164" s="3"/>
      <c r="FCW164" s="3"/>
      <c r="FCX164" s="3"/>
      <c r="FCY164" s="3"/>
      <c r="FCZ164" s="3"/>
      <c r="FDA164" s="3"/>
      <c r="FDB164" s="3"/>
      <c r="FDC164" s="3"/>
      <c r="FDD164" s="3"/>
      <c r="FDE164" s="3"/>
      <c r="FDF164" s="3"/>
      <c r="FDG164" s="3"/>
      <c r="FDH164" s="3"/>
      <c r="FDI164" s="3"/>
      <c r="FDJ164" s="3"/>
      <c r="FDK164" s="3"/>
      <c r="FDL164" s="3"/>
      <c r="FDM164" s="3"/>
      <c r="FDN164" s="3"/>
      <c r="FDO164" s="3"/>
      <c r="FDP164" s="3"/>
      <c r="FDQ164" s="3"/>
      <c r="FDR164" s="3"/>
      <c r="FDS164" s="3"/>
      <c r="FDT164" s="3"/>
      <c r="FDU164" s="3"/>
      <c r="FDV164" s="3"/>
      <c r="FDW164" s="3"/>
      <c r="FDX164" s="3"/>
      <c r="FDY164" s="3"/>
      <c r="FDZ164" s="3"/>
      <c r="FEA164" s="3"/>
      <c r="FEB164" s="3"/>
      <c r="FEC164" s="3"/>
      <c r="FED164" s="3"/>
      <c r="FEE164" s="3"/>
      <c r="FEF164" s="3"/>
      <c r="FEG164" s="3"/>
      <c r="FEH164" s="3"/>
      <c r="FEI164" s="3"/>
      <c r="FEJ164" s="3"/>
      <c r="FEK164" s="3"/>
      <c r="FEL164" s="3"/>
      <c r="FEM164" s="3"/>
      <c r="FEN164" s="3"/>
      <c r="FEO164" s="3"/>
      <c r="FEP164" s="3"/>
      <c r="FEQ164" s="3"/>
      <c r="FER164" s="3"/>
      <c r="FES164" s="3"/>
      <c r="FET164" s="3"/>
      <c r="FEU164" s="3"/>
      <c r="FEV164" s="3"/>
      <c r="FEW164" s="3"/>
      <c r="FEX164" s="3"/>
      <c r="FEY164" s="3"/>
      <c r="FEZ164" s="3"/>
      <c r="FFA164" s="3"/>
      <c r="FFB164" s="3"/>
      <c r="FFC164" s="3"/>
      <c r="FFD164" s="3"/>
      <c r="FFE164" s="3"/>
      <c r="FFF164" s="3"/>
      <c r="FFG164" s="3"/>
      <c r="FFH164" s="3"/>
      <c r="FFI164" s="3"/>
      <c r="FFJ164" s="3"/>
      <c r="FFK164" s="3"/>
      <c r="FFL164" s="3"/>
      <c r="FFM164" s="3"/>
      <c r="FFN164" s="3"/>
      <c r="FFO164" s="3"/>
      <c r="FFP164" s="3"/>
      <c r="FFQ164" s="3"/>
      <c r="FFR164" s="3"/>
      <c r="FFS164" s="3"/>
      <c r="FFT164" s="3"/>
      <c r="FFU164" s="3"/>
      <c r="FFV164" s="3"/>
      <c r="FFW164" s="3"/>
      <c r="FFX164" s="3"/>
      <c r="FFY164" s="3"/>
      <c r="FFZ164" s="3"/>
      <c r="FGA164" s="3"/>
      <c r="FGB164" s="3"/>
      <c r="FGC164" s="3"/>
      <c r="FGD164" s="3"/>
      <c r="FGE164" s="3"/>
      <c r="FGF164" s="3"/>
      <c r="FGG164" s="3"/>
      <c r="FGH164" s="3"/>
      <c r="FGI164" s="3"/>
      <c r="FGJ164" s="3"/>
      <c r="FGK164" s="3"/>
      <c r="FGL164" s="3"/>
      <c r="FGM164" s="3"/>
      <c r="FGN164" s="3"/>
      <c r="FGO164" s="3"/>
      <c r="FGP164" s="3"/>
      <c r="FGQ164" s="3"/>
      <c r="FGR164" s="3"/>
      <c r="FGS164" s="3"/>
      <c r="FGT164" s="3"/>
      <c r="FGU164" s="3"/>
      <c r="FGV164" s="3"/>
      <c r="FGW164" s="3"/>
      <c r="FGX164" s="3"/>
      <c r="FGY164" s="3"/>
      <c r="FGZ164" s="3"/>
      <c r="FHA164" s="3"/>
      <c r="FHB164" s="3"/>
      <c r="FHC164" s="3"/>
      <c r="FHD164" s="3"/>
      <c r="FHE164" s="3"/>
      <c r="FHF164" s="3"/>
      <c r="FHG164" s="3"/>
      <c r="FHH164" s="3"/>
      <c r="FHI164" s="3"/>
      <c r="FHJ164" s="3"/>
      <c r="FHK164" s="3"/>
      <c r="FHL164" s="3"/>
      <c r="FHM164" s="3"/>
      <c r="FHN164" s="3"/>
      <c r="FHO164" s="3"/>
      <c r="FHP164" s="3"/>
      <c r="FHQ164" s="3"/>
      <c r="FHR164" s="3"/>
      <c r="FHS164" s="3"/>
      <c r="FHT164" s="3"/>
      <c r="FHU164" s="3"/>
      <c r="FHV164" s="3"/>
      <c r="FHW164" s="3"/>
      <c r="FHX164" s="3"/>
      <c r="FHY164" s="3"/>
      <c r="FHZ164" s="3"/>
      <c r="FIA164" s="3"/>
      <c r="FIB164" s="3"/>
      <c r="FIC164" s="3"/>
      <c r="FID164" s="3"/>
      <c r="FIE164" s="3"/>
      <c r="FIF164" s="3"/>
      <c r="FIG164" s="3"/>
      <c r="FIH164" s="3"/>
      <c r="FII164" s="3"/>
      <c r="FIJ164" s="3"/>
      <c r="FIK164" s="3"/>
      <c r="FIL164" s="3"/>
      <c r="FIM164" s="3"/>
      <c r="FIN164" s="3"/>
      <c r="FIO164" s="3"/>
      <c r="FIP164" s="3"/>
      <c r="FIQ164" s="3"/>
      <c r="FIR164" s="3"/>
      <c r="FIS164" s="3"/>
      <c r="FIT164" s="3"/>
      <c r="FIU164" s="3"/>
      <c r="FIV164" s="3"/>
      <c r="FIW164" s="3"/>
      <c r="FIX164" s="3"/>
      <c r="FIY164" s="3"/>
      <c r="FIZ164" s="3"/>
      <c r="FJA164" s="3"/>
      <c r="FJB164" s="3"/>
      <c r="FJC164" s="3"/>
      <c r="FJD164" s="3"/>
      <c r="FJE164" s="3"/>
      <c r="FJF164" s="3"/>
      <c r="FJG164" s="3"/>
      <c r="FJH164" s="3"/>
      <c r="FJI164" s="3"/>
      <c r="FJJ164" s="3"/>
      <c r="FJK164" s="3"/>
      <c r="FJL164" s="3"/>
      <c r="FJM164" s="3"/>
      <c r="FJN164" s="3"/>
      <c r="FJO164" s="3"/>
      <c r="FJP164" s="3"/>
      <c r="FJQ164" s="3"/>
      <c r="FJR164" s="3"/>
      <c r="FJS164" s="3"/>
      <c r="FJT164" s="3"/>
      <c r="FJU164" s="3"/>
      <c r="FJV164" s="3"/>
      <c r="FJW164" s="3"/>
      <c r="FJX164" s="3"/>
      <c r="FJY164" s="3"/>
      <c r="FJZ164" s="3"/>
      <c r="FKA164" s="3"/>
      <c r="FKB164" s="3"/>
      <c r="FKC164" s="3"/>
      <c r="FKD164" s="3"/>
      <c r="FKE164" s="3"/>
      <c r="FKF164" s="3"/>
      <c r="FKG164" s="3"/>
      <c r="FKH164" s="3"/>
      <c r="FKI164" s="3"/>
      <c r="FKJ164" s="3"/>
      <c r="FKK164" s="3"/>
      <c r="FKL164" s="3"/>
      <c r="FKM164" s="3"/>
      <c r="FKN164" s="3"/>
      <c r="FKO164" s="3"/>
      <c r="FKP164" s="3"/>
      <c r="FKQ164" s="3"/>
      <c r="FKR164" s="3"/>
      <c r="FKS164" s="3"/>
      <c r="FKT164" s="3"/>
      <c r="FKU164" s="3"/>
      <c r="FKV164" s="3"/>
      <c r="FKW164" s="3"/>
      <c r="FKX164" s="3"/>
      <c r="FKY164" s="3"/>
      <c r="FKZ164" s="3"/>
      <c r="FLA164" s="3"/>
      <c r="FLB164" s="3"/>
      <c r="FLC164" s="3"/>
      <c r="FLD164" s="3"/>
      <c r="FLE164" s="3"/>
      <c r="FLF164" s="3"/>
      <c r="FLG164" s="3"/>
      <c r="FLH164" s="3"/>
      <c r="FLI164" s="3"/>
      <c r="FLJ164" s="3"/>
      <c r="FLK164" s="3"/>
      <c r="FLL164" s="3"/>
      <c r="FLM164" s="3"/>
      <c r="FLN164" s="3"/>
      <c r="FLO164" s="3"/>
      <c r="FLP164" s="3"/>
      <c r="FLQ164" s="3"/>
      <c r="FLR164" s="3"/>
      <c r="FLS164" s="3"/>
      <c r="FLT164" s="3"/>
      <c r="FLU164" s="3"/>
      <c r="FLV164" s="3"/>
      <c r="FLW164" s="3"/>
      <c r="FLX164" s="3"/>
      <c r="FLY164" s="3"/>
      <c r="FLZ164" s="3"/>
      <c r="FMA164" s="3"/>
      <c r="FMB164" s="3"/>
      <c r="FMC164" s="3"/>
      <c r="FMD164" s="3"/>
      <c r="FME164" s="3"/>
      <c r="FMF164" s="3"/>
      <c r="FMG164" s="3"/>
      <c r="FMH164" s="3"/>
      <c r="FMI164" s="3"/>
      <c r="FMJ164" s="3"/>
      <c r="FMK164" s="3"/>
      <c r="FML164" s="3"/>
      <c r="FMM164" s="3"/>
      <c r="FMN164" s="3"/>
      <c r="FMO164" s="3"/>
      <c r="FMP164" s="3"/>
      <c r="FMQ164" s="3"/>
      <c r="FMR164" s="3"/>
      <c r="FMS164" s="3"/>
      <c r="FMT164" s="3"/>
      <c r="FMU164" s="3"/>
      <c r="FMV164" s="3"/>
      <c r="FMW164" s="3"/>
      <c r="FMX164" s="3"/>
      <c r="FMY164" s="3"/>
      <c r="FMZ164" s="3"/>
      <c r="FNA164" s="3"/>
      <c r="FNB164" s="3"/>
      <c r="FNC164" s="3"/>
      <c r="FND164" s="3"/>
      <c r="FNE164" s="3"/>
      <c r="FNF164" s="3"/>
      <c r="FNG164" s="3"/>
      <c r="FNH164" s="3"/>
      <c r="FNI164" s="3"/>
      <c r="FNJ164" s="3"/>
      <c r="FNK164" s="3"/>
      <c r="FNL164" s="3"/>
      <c r="FNM164" s="3"/>
      <c r="FNN164" s="3"/>
      <c r="FNO164" s="3"/>
      <c r="FNP164" s="3"/>
      <c r="FNQ164" s="3"/>
      <c r="FNR164" s="3"/>
      <c r="FNS164" s="3"/>
      <c r="FNT164" s="3"/>
      <c r="FNU164" s="3"/>
      <c r="FNV164" s="3"/>
      <c r="FNW164" s="3"/>
      <c r="FNX164" s="3"/>
      <c r="FNY164" s="3"/>
      <c r="FNZ164" s="3"/>
      <c r="FOA164" s="3"/>
      <c r="FOB164" s="3"/>
      <c r="FOC164" s="3"/>
      <c r="FOD164" s="3"/>
      <c r="FOE164" s="3"/>
      <c r="FOF164" s="3"/>
      <c r="FOG164" s="3"/>
      <c r="FOH164" s="3"/>
      <c r="FOI164" s="3"/>
      <c r="FOJ164" s="3"/>
      <c r="FOK164" s="3"/>
      <c r="FOL164" s="3"/>
      <c r="FOM164" s="3"/>
      <c r="FON164" s="3"/>
      <c r="FOO164" s="3"/>
      <c r="FOP164" s="3"/>
      <c r="FOQ164" s="3"/>
      <c r="FOR164" s="3"/>
      <c r="FOS164" s="3"/>
      <c r="FOT164" s="3"/>
      <c r="FOU164" s="3"/>
      <c r="FOV164" s="3"/>
      <c r="FOW164" s="3"/>
      <c r="FOX164" s="3"/>
      <c r="FOY164" s="3"/>
      <c r="FOZ164" s="3"/>
      <c r="FPA164" s="3"/>
      <c r="FPB164" s="3"/>
      <c r="FPC164" s="3"/>
      <c r="FPD164" s="3"/>
      <c r="FPE164" s="3"/>
      <c r="FPF164" s="3"/>
      <c r="FPG164" s="3"/>
      <c r="FPH164" s="3"/>
      <c r="FPI164" s="3"/>
      <c r="FPJ164" s="3"/>
      <c r="FPK164" s="3"/>
      <c r="FPL164" s="3"/>
      <c r="FPM164" s="3"/>
      <c r="FPN164" s="3"/>
      <c r="FPO164" s="3"/>
      <c r="FPP164" s="3"/>
      <c r="FPQ164" s="3"/>
      <c r="FPR164" s="3"/>
      <c r="FPS164" s="3"/>
      <c r="FPT164" s="3"/>
      <c r="FPU164" s="3"/>
      <c r="FPV164" s="3"/>
      <c r="FPW164" s="3"/>
      <c r="FPX164" s="3"/>
      <c r="FPY164" s="3"/>
      <c r="FPZ164" s="3"/>
      <c r="FQA164" s="3"/>
      <c r="FQB164" s="3"/>
      <c r="FQC164" s="3"/>
      <c r="FQD164" s="3"/>
      <c r="FQE164" s="3"/>
      <c r="FQF164" s="3"/>
      <c r="FQG164" s="3"/>
      <c r="FQH164" s="3"/>
      <c r="FQI164" s="3"/>
      <c r="FQJ164" s="3"/>
      <c r="FQK164" s="3"/>
      <c r="FQL164" s="3"/>
      <c r="FQM164" s="3"/>
      <c r="FQN164" s="3"/>
      <c r="FQO164" s="3"/>
      <c r="FQP164" s="3"/>
      <c r="FQQ164" s="3"/>
      <c r="FQR164" s="3"/>
      <c r="FQS164" s="3"/>
      <c r="FQT164" s="3"/>
      <c r="FQU164" s="3"/>
      <c r="FQV164" s="3"/>
      <c r="FQW164" s="3"/>
      <c r="FQX164" s="3"/>
      <c r="FQY164" s="3"/>
      <c r="FQZ164" s="3"/>
      <c r="FRA164" s="3"/>
      <c r="FRB164" s="3"/>
      <c r="FRC164" s="3"/>
      <c r="FRD164" s="3"/>
      <c r="FRE164" s="3"/>
      <c r="FRF164" s="3"/>
      <c r="FRG164" s="3"/>
      <c r="FRH164" s="3"/>
      <c r="FRI164" s="3"/>
      <c r="FRJ164" s="3"/>
      <c r="FRK164" s="3"/>
      <c r="FRL164" s="3"/>
      <c r="FRM164" s="3"/>
      <c r="FRN164" s="3"/>
      <c r="FRO164" s="3"/>
      <c r="FRP164" s="3"/>
      <c r="FRQ164" s="3"/>
      <c r="FRR164" s="3"/>
      <c r="FRS164" s="3"/>
      <c r="FRT164" s="3"/>
      <c r="FRU164" s="3"/>
      <c r="FRV164" s="3"/>
      <c r="FRW164" s="3"/>
      <c r="FRX164" s="3"/>
      <c r="FRY164" s="3"/>
      <c r="FRZ164" s="3"/>
      <c r="FSA164" s="3"/>
      <c r="FSB164" s="3"/>
      <c r="FSC164" s="3"/>
      <c r="FSD164" s="3"/>
      <c r="FSE164" s="3"/>
      <c r="FSF164" s="3"/>
      <c r="FSG164" s="3"/>
      <c r="FSH164" s="3"/>
      <c r="FSI164" s="3"/>
      <c r="FSJ164" s="3"/>
      <c r="FSK164" s="3"/>
      <c r="FSL164" s="3"/>
      <c r="FSM164" s="3"/>
      <c r="FSN164" s="3"/>
      <c r="FSO164" s="3"/>
      <c r="FSP164" s="3"/>
      <c r="FSQ164" s="3"/>
      <c r="FSR164" s="3"/>
      <c r="FSS164" s="3"/>
      <c r="FST164" s="3"/>
      <c r="FSU164" s="3"/>
      <c r="FSV164" s="3"/>
      <c r="FSW164" s="3"/>
      <c r="FSX164" s="3"/>
      <c r="FSY164" s="3"/>
      <c r="FSZ164" s="3"/>
      <c r="FTA164" s="3"/>
      <c r="FTB164" s="3"/>
      <c r="FTC164" s="3"/>
      <c r="FTD164" s="3"/>
      <c r="FTE164" s="3"/>
      <c r="FTF164" s="3"/>
      <c r="FTG164" s="3"/>
      <c r="FTH164" s="3"/>
      <c r="FTI164" s="3"/>
      <c r="FTJ164" s="3"/>
      <c r="FTK164" s="3"/>
      <c r="FTL164" s="3"/>
      <c r="FTM164" s="3"/>
      <c r="FTN164" s="3"/>
      <c r="FTO164" s="3"/>
      <c r="FTP164" s="3"/>
      <c r="FTQ164" s="3"/>
      <c r="FTR164" s="3"/>
      <c r="FTS164" s="3"/>
      <c r="FTT164" s="3"/>
      <c r="FTU164" s="3"/>
      <c r="FTV164" s="3"/>
      <c r="FTW164" s="3"/>
      <c r="FTX164" s="3"/>
      <c r="FTY164" s="3"/>
      <c r="FTZ164" s="3"/>
      <c r="FUA164" s="3"/>
      <c r="FUB164" s="3"/>
      <c r="FUC164" s="3"/>
      <c r="FUD164" s="3"/>
      <c r="FUE164" s="3"/>
      <c r="FUF164" s="3"/>
      <c r="FUG164" s="3"/>
      <c r="FUH164" s="3"/>
      <c r="FUI164" s="3"/>
      <c r="FUJ164" s="3"/>
      <c r="FUK164" s="3"/>
      <c r="FUL164" s="3"/>
      <c r="FUM164" s="3"/>
      <c r="FUN164" s="3"/>
      <c r="FUO164" s="3"/>
      <c r="FUP164" s="3"/>
      <c r="FUQ164" s="3"/>
      <c r="FUR164" s="3"/>
      <c r="FUS164" s="3"/>
      <c r="FUT164" s="3"/>
      <c r="FUU164" s="3"/>
      <c r="FUV164" s="3"/>
      <c r="FUW164" s="3"/>
      <c r="FUX164" s="3"/>
      <c r="FUY164" s="3"/>
      <c r="FUZ164" s="3"/>
      <c r="FVA164" s="3"/>
      <c r="FVB164" s="3"/>
      <c r="FVC164" s="3"/>
      <c r="FVD164" s="3"/>
      <c r="FVE164" s="3"/>
      <c r="FVF164" s="3"/>
      <c r="FVG164" s="3"/>
      <c r="FVH164" s="3"/>
      <c r="FVI164" s="3"/>
      <c r="FVJ164" s="3"/>
      <c r="FVK164" s="3"/>
      <c r="FVL164" s="3"/>
      <c r="FVM164" s="3"/>
      <c r="FVN164" s="3"/>
      <c r="FVO164" s="3"/>
      <c r="FVP164" s="3"/>
      <c r="FVQ164" s="3"/>
      <c r="FVR164" s="3"/>
      <c r="FVS164" s="3"/>
      <c r="FVT164" s="3"/>
      <c r="FVU164" s="3"/>
      <c r="FVV164" s="3"/>
      <c r="FVW164" s="3"/>
      <c r="FVX164" s="3"/>
      <c r="FVY164" s="3"/>
      <c r="FVZ164" s="3"/>
      <c r="FWA164" s="3"/>
      <c r="FWB164" s="3"/>
      <c r="FWC164" s="3"/>
      <c r="FWD164" s="3"/>
      <c r="FWE164" s="3"/>
      <c r="FWF164" s="3"/>
      <c r="FWG164" s="3"/>
      <c r="FWH164" s="3"/>
      <c r="FWI164" s="3"/>
      <c r="FWJ164" s="3"/>
      <c r="FWK164" s="3"/>
      <c r="FWL164" s="3"/>
      <c r="FWM164" s="3"/>
      <c r="FWN164" s="3"/>
      <c r="FWO164" s="3"/>
      <c r="FWP164" s="3"/>
      <c r="FWQ164" s="3"/>
      <c r="FWR164" s="3"/>
      <c r="FWS164" s="3"/>
      <c r="FWT164" s="3"/>
      <c r="FWU164" s="3"/>
      <c r="FWV164" s="3"/>
      <c r="FWW164" s="3"/>
      <c r="FWX164" s="3"/>
      <c r="FWY164" s="3"/>
      <c r="FWZ164" s="3"/>
      <c r="FXA164" s="3"/>
      <c r="FXB164" s="3"/>
      <c r="FXC164" s="3"/>
      <c r="FXD164" s="3"/>
      <c r="FXE164" s="3"/>
      <c r="FXF164" s="3"/>
      <c r="FXG164" s="3"/>
      <c r="FXH164" s="3"/>
      <c r="FXI164" s="3"/>
      <c r="FXJ164" s="3"/>
      <c r="FXK164" s="3"/>
      <c r="FXL164" s="3"/>
      <c r="FXM164" s="3"/>
      <c r="FXN164" s="3"/>
      <c r="FXO164" s="3"/>
      <c r="FXP164" s="3"/>
      <c r="FXQ164" s="3"/>
      <c r="FXR164" s="3"/>
      <c r="FXS164" s="3"/>
      <c r="FXT164" s="3"/>
      <c r="FXU164" s="3"/>
      <c r="FXV164" s="3"/>
      <c r="FXW164" s="3"/>
      <c r="FXX164" s="3"/>
      <c r="FXY164" s="3"/>
      <c r="FXZ164" s="3"/>
      <c r="FYA164" s="3"/>
      <c r="FYB164" s="3"/>
      <c r="FYC164" s="3"/>
      <c r="FYD164" s="3"/>
      <c r="FYE164" s="3"/>
      <c r="FYF164" s="3"/>
      <c r="FYG164" s="3"/>
      <c r="FYH164" s="3"/>
      <c r="FYI164" s="3"/>
      <c r="FYJ164" s="3"/>
      <c r="FYK164" s="3"/>
      <c r="FYL164" s="3"/>
      <c r="FYM164" s="3"/>
      <c r="FYN164" s="3"/>
      <c r="FYO164" s="3"/>
      <c r="FYP164" s="3"/>
      <c r="FYQ164" s="3"/>
      <c r="FYR164" s="3"/>
      <c r="FYS164" s="3"/>
      <c r="FYT164" s="3"/>
      <c r="FYU164" s="3"/>
      <c r="FYV164" s="3"/>
      <c r="FYW164" s="3"/>
      <c r="FYX164" s="3"/>
      <c r="FYY164" s="3"/>
      <c r="FYZ164" s="3"/>
      <c r="FZA164" s="3"/>
      <c r="FZB164" s="3"/>
      <c r="FZC164" s="3"/>
      <c r="FZD164" s="3"/>
      <c r="FZE164" s="3"/>
      <c r="FZF164" s="3"/>
      <c r="FZG164" s="3"/>
      <c r="FZH164" s="3"/>
      <c r="FZI164" s="3"/>
      <c r="FZJ164" s="3"/>
      <c r="FZK164" s="3"/>
      <c r="FZL164" s="3"/>
      <c r="FZM164" s="3"/>
      <c r="FZN164" s="3"/>
      <c r="FZO164" s="3"/>
      <c r="FZP164" s="3"/>
      <c r="FZQ164" s="3"/>
      <c r="FZR164" s="3"/>
      <c r="FZS164" s="3"/>
      <c r="FZT164" s="3"/>
      <c r="FZU164" s="3"/>
      <c r="FZV164" s="3"/>
      <c r="FZW164" s="3"/>
      <c r="FZX164" s="3"/>
      <c r="FZY164" s="3"/>
      <c r="FZZ164" s="3"/>
      <c r="GAA164" s="3"/>
      <c r="GAB164" s="3"/>
      <c r="GAC164" s="3"/>
      <c r="GAD164" s="3"/>
      <c r="GAE164" s="3"/>
      <c r="GAF164" s="3"/>
      <c r="GAG164" s="3"/>
      <c r="GAH164" s="3"/>
      <c r="GAI164" s="3"/>
      <c r="GAJ164" s="3"/>
      <c r="GAK164" s="3"/>
      <c r="GAL164" s="3"/>
      <c r="GAM164" s="3"/>
      <c r="GAN164" s="3"/>
      <c r="GAO164" s="3"/>
      <c r="GAP164" s="3"/>
      <c r="GAQ164" s="3"/>
      <c r="GAR164" s="3"/>
      <c r="GAS164" s="3"/>
      <c r="GAT164" s="3"/>
      <c r="GAU164" s="3"/>
      <c r="GAV164" s="3"/>
      <c r="GAW164" s="3"/>
      <c r="GAX164" s="3"/>
      <c r="GAY164" s="3"/>
      <c r="GAZ164" s="3"/>
      <c r="GBA164" s="3"/>
      <c r="GBB164" s="3"/>
      <c r="GBC164" s="3"/>
      <c r="GBD164" s="3"/>
      <c r="GBE164" s="3"/>
      <c r="GBF164" s="3"/>
      <c r="GBG164" s="3"/>
      <c r="GBH164" s="3"/>
      <c r="GBI164" s="3"/>
      <c r="GBJ164" s="3"/>
      <c r="GBK164" s="3"/>
      <c r="GBL164" s="3"/>
      <c r="GBM164" s="3"/>
      <c r="GBN164" s="3"/>
      <c r="GBO164" s="3"/>
      <c r="GBP164" s="3"/>
      <c r="GBQ164" s="3"/>
      <c r="GBR164" s="3"/>
      <c r="GBS164" s="3"/>
      <c r="GBT164" s="3"/>
      <c r="GBU164" s="3"/>
      <c r="GBV164" s="3"/>
      <c r="GBW164" s="3"/>
      <c r="GBX164" s="3"/>
      <c r="GBY164" s="3"/>
      <c r="GBZ164" s="3"/>
      <c r="GCA164" s="3"/>
      <c r="GCB164" s="3"/>
      <c r="GCC164" s="3"/>
      <c r="GCD164" s="3"/>
      <c r="GCE164" s="3"/>
      <c r="GCF164" s="3"/>
      <c r="GCG164" s="3"/>
      <c r="GCH164" s="3"/>
      <c r="GCI164" s="3"/>
      <c r="GCJ164" s="3"/>
      <c r="GCK164" s="3"/>
      <c r="GCL164" s="3"/>
      <c r="GCM164" s="3"/>
      <c r="GCN164" s="3"/>
      <c r="GCO164" s="3"/>
      <c r="GCP164" s="3"/>
      <c r="GCQ164" s="3"/>
      <c r="GCR164" s="3"/>
      <c r="GCS164" s="3"/>
      <c r="GCT164" s="3"/>
      <c r="GCU164" s="3"/>
      <c r="GCV164" s="3"/>
      <c r="GCW164" s="3"/>
      <c r="GCX164" s="3"/>
      <c r="GCY164" s="3"/>
      <c r="GCZ164" s="3"/>
      <c r="GDA164" s="3"/>
      <c r="GDB164" s="3"/>
      <c r="GDC164" s="3"/>
      <c r="GDD164" s="3"/>
      <c r="GDE164" s="3"/>
      <c r="GDF164" s="3"/>
      <c r="GDG164" s="3"/>
      <c r="GDH164" s="3"/>
      <c r="GDI164" s="3"/>
      <c r="GDJ164" s="3"/>
      <c r="GDK164" s="3"/>
      <c r="GDL164" s="3"/>
      <c r="GDM164" s="3"/>
      <c r="GDN164" s="3"/>
      <c r="GDO164" s="3"/>
      <c r="GDP164" s="3"/>
      <c r="GDQ164" s="3"/>
      <c r="GDR164" s="3"/>
      <c r="GDS164" s="3"/>
      <c r="GDT164" s="3"/>
      <c r="GDU164" s="3"/>
      <c r="GDV164" s="3"/>
      <c r="GDW164" s="3"/>
      <c r="GDX164" s="3"/>
      <c r="GDY164" s="3"/>
      <c r="GDZ164" s="3"/>
      <c r="GEA164" s="3"/>
      <c r="GEB164" s="3"/>
      <c r="GEC164" s="3"/>
      <c r="GED164" s="3"/>
      <c r="GEE164" s="3"/>
      <c r="GEF164" s="3"/>
      <c r="GEG164" s="3"/>
      <c r="GEH164" s="3"/>
      <c r="GEI164" s="3"/>
      <c r="GEJ164" s="3"/>
      <c r="GEK164" s="3"/>
      <c r="GEL164" s="3"/>
      <c r="GEM164" s="3"/>
      <c r="GEN164" s="3"/>
      <c r="GEO164" s="3"/>
      <c r="GEP164" s="3"/>
      <c r="GEQ164" s="3"/>
      <c r="GER164" s="3"/>
      <c r="GES164" s="3"/>
      <c r="GET164" s="3"/>
      <c r="GEU164" s="3"/>
      <c r="GEV164" s="3"/>
      <c r="GEW164" s="3"/>
      <c r="GEX164" s="3"/>
      <c r="GEY164" s="3"/>
      <c r="GEZ164" s="3"/>
      <c r="GFA164" s="3"/>
      <c r="GFB164" s="3"/>
      <c r="GFC164" s="3"/>
      <c r="GFD164" s="3"/>
      <c r="GFE164" s="3"/>
      <c r="GFF164" s="3"/>
      <c r="GFG164" s="3"/>
      <c r="GFH164" s="3"/>
      <c r="GFI164" s="3"/>
      <c r="GFJ164" s="3"/>
      <c r="GFK164" s="3"/>
      <c r="GFL164" s="3"/>
      <c r="GFM164" s="3"/>
      <c r="GFN164" s="3"/>
      <c r="GFO164" s="3"/>
      <c r="GFP164" s="3"/>
      <c r="GFQ164" s="3"/>
      <c r="GFR164" s="3"/>
      <c r="GFS164" s="3"/>
      <c r="GFT164" s="3"/>
      <c r="GFU164" s="3"/>
      <c r="GFV164" s="3"/>
      <c r="GFW164" s="3"/>
      <c r="GFX164" s="3"/>
      <c r="GFY164" s="3"/>
      <c r="GFZ164" s="3"/>
      <c r="GGA164" s="3"/>
      <c r="GGB164" s="3"/>
      <c r="GGC164" s="3"/>
      <c r="GGD164" s="3"/>
      <c r="GGE164" s="3"/>
      <c r="GGF164" s="3"/>
      <c r="GGG164" s="3"/>
      <c r="GGH164" s="3"/>
      <c r="GGI164" s="3"/>
      <c r="GGJ164" s="3"/>
      <c r="GGK164" s="3"/>
      <c r="GGL164" s="3"/>
      <c r="GGM164" s="3"/>
      <c r="GGN164" s="3"/>
      <c r="GGO164" s="3"/>
      <c r="GGP164" s="3"/>
      <c r="GGQ164" s="3"/>
      <c r="GGR164" s="3"/>
      <c r="GGS164" s="3"/>
      <c r="GGT164" s="3"/>
      <c r="GGU164" s="3"/>
      <c r="GGV164" s="3"/>
      <c r="GGW164" s="3"/>
      <c r="GGX164" s="3"/>
      <c r="GGY164" s="3"/>
      <c r="GGZ164" s="3"/>
      <c r="GHA164" s="3"/>
      <c r="GHB164" s="3"/>
      <c r="GHC164" s="3"/>
      <c r="GHD164" s="3"/>
      <c r="GHE164" s="3"/>
      <c r="GHF164" s="3"/>
      <c r="GHG164" s="3"/>
      <c r="GHH164" s="3"/>
      <c r="GHI164" s="3"/>
      <c r="GHJ164" s="3"/>
      <c r="GHK164" s="3"/>
      <c r="GHL164" s="3"/>
      <c r="GHM164" s="3"/>
      <c r="GHN164" s="3"/>
      <c r="GHO164" s="3"/>
      <c r="GHP164" s="3"/>
      <c r="GHQ164" s="3"/>
      <c r="GHR164" s="3"/>
      <c r="GHS164" s="3"/>
      <c r="GHT164" s="3"/>
      <c r="GHU164" s="3"/>
      <c r="GHV164" s="3"/>
      <c r="GHW164" s="3"/>
      <c r="GHX164" s="3"/>
      <c r="GHY164" s="3"/>
      <c r="GHZ164" s="3"/>
      <c r="GIA164" s="3"/>
      <c r="GIB164" s="3"/>
      <c r="GIC164" s="3"/>
      <c r="GID164" s="3"/>
      <c r="GIE164" s="3"/>
      <c r="GIF164" s="3"/>
      <c r="GIG164" s="3"/>
      <c r="GIH164" s="3"/>
      <c r="GII164" s="3"/>
      <c r="GIJ164" s="3"/>
      <c r="GIK164" s="3"/>
      <c r="GIL164" s="3"/>
      <c r="GIM164" s="3"/>
      <c r="GIN164" s="3"/>
      <c r="GIO164" s="3"/>
      <c r="GIP164" s="3"/>
      <c r="GIQ164" s="3"/>
      <c r="GIR164" s="3"/>
      <c r="GIS164" s="3"/>
      <c r="GIT164" s="3"/>
      <c r="GIU164" s="3"/>
      <c r="GIV164" s="3"/>
      <c r="GIW164" s="3"/>
      <c r="GIX164" s="3"/>
      <c r="GIY164" s="3"/>
      <c r="GIZ164" s="3"/>
      <c r="GJA164" s="3"/>
      <c r="GJB164" s="3"/>
      <c r="GJC164" s="3"/>
      <c r="GJD164" s="3"/>
      <c r="GJE164" s="3"/>
      <c r="GJF164" s="3"/>
      <c r="GJG164" s="3"/>
      <c r="GJH164" s="3"/>
      <c r="GJI164" s="3"/>
      <c r="GJJ164" s="3"/>
      <c r="GJK164" s="3"/>
      <c r="GJL164" s="3"/>
      <c r="GJM164" s="3"/>
      <c r="GJN164" s="3"/>
      <c r="GJO164" s="3"/>
      <c r="GJP164" s="3"/>
      <c r="GJQ164" s="3"/>
      <c r="GJR164" s="3"/>
      <c r="GJS164" s="3"/>
      <c r="GJT164" s="3"/>
      <c r="GJU164" s="3"/>
      <c r="GJV164" s="3"/>
      <c r="GJW164" s="3"/>
      <c r="GJX164" s="3"/>
      <c r="GJY164" s="3"/>
      <c r="GJZ164" s="3"/>
      <c r="GKA164" s="3"/>
      <c r="GKB164" s="3"/>
      <c r="GKC164" s="3"/>
      <c r="GKD164" s="3"/>
      <c r="GKE164" s="3"/>
      <c r="GKF164" s="3"/>
      <c r="GKG164" s="3"/>
      <c r="GKH164" s="3"/>
      <c r="GKI164" s="3"/>
      <c r="GKJ164" s="3"/>
      <c r="GKK164" s="3"/>
      <c r="GKL164" s="3"/>
      <c r="GKM164" s="3"/>
      <c r="GKN164" s="3"/>
      <c r="GKO164" s="3"/>
      <c r="GKP164" s="3"/>
      <c r="GKQ164" s="3"/>
      <c r="GKR164" s="3"/>
      <c r="GKS164" s="3"/>
      <c r="GKT164" s="3"/>
      <c r="GKU164" s="3"/>
      <c r="GKV164" s="3"/>
      <c r="GKW164" s="3"/>
      <c r="GKX164" s="3"/>
      <c r="GKY164" s="3"/>
      <c r="GKZ164" s="3"/>
      <c r="GLA164" s="3"/>
      <c r="GLB164" s="3"/>
      <c r="GLC164" s="3"/>
      <c r="GLD164" s="3"/>
      <c r="GLE164" s="3"/>
      <c r="GLF164" s="3"/>
      <c r="GLG164" s="3"/>
      <c r="GLH164" s="3"/>
      <c r="GLI164" s="3"/>
      <c r="GLJ164" s="3"/>
      <c r="GLK164" s="3"/>
      <c r="GLL164" s="3"/>
      <c r="GLM164" s="3"/>
      <c r="GLN164" s="3"/>
      <c r="GLO164" s="3"/>
      <c r="GLP164" s="3"/>
      <c r="GLQ164" s="3"/>
      <c r="GLR164" s="3"/>
      <c r="GLS164" s="3"/>
      <c r="GLT164" s="3"/>
      <c r="GLU164" s="3"/>
      <c r="GLV164" s="3"/>
      <c r="GLW164" s="3"/>
      <c r="GLX164" s="3"/>
      <c r="GLY164" s="3"/>
      <c r="GLZ164" s="3"/>
      <c r="GMA164" s="3"/>
      <c r="GMB164" s="3"/>
      <c r="GMC164" s="3"/>
      <c r="GMD164" s="3"/>
      <c r="GME164" s="3"/>
      <c r="GMF164" s="3"/>
      <c r="GMG164" s="3"/>
      <c r="GMH164" s="3"/>
      <c r="GMI164" s="3"/>
      <c r="GMJ164" s="3"/>
      <c r="GMK164" s="3"/>
      <c r="GML164" s="3"/>
      <c r="GMM164" s="3"/>
      <c r="GMN164" s="3"/>
      <c r="GMO164" s="3"/>
      <c r="GMP164" s="3"/>
      <c r="GMQ164" s="3"/>
      <c r="GMR164" s="3"/>
      <c r="GMS164" s="3"/>
      <c r="GMT164" s="3"/>
      <c r="GMU164" s="3"/>
      <c r="GMV164" s="3"/>
      <c r="GMW164" s="3"/>
      <c r="GMX164" s="3"/>
      <c r="GMY164" s="3"/>
      <c r="GMZ164" s="3"/>
      <c r="GNA164" s="3"/>
      <c r="GNB164" s="3"/>
      <c r="GNC164" s="3"/>
      <c r="GND164" s="3"/>
      <c r="GNE164" s="3"/>
      <c r="GNF164" s="3"/>
      <c r="GNG164" s="3"/>
      <c r="GNH164" s="3"/>
      <c r="GNI164" s="3"/>
      <c r="GNJ164" s="3"/>
      <c r="GNK164" s="3"/>
      <c r="GNL164" s="3"/>
      <c r="GNM164" s="3"/>
      <c r="GNN164" s="3"/>
      <c r="GNO164" s="3"/>
      <c r="GNP164" s="3"/>
      <c r="GNQ164" s="3"/>
      <c r="GNR164" s="3"/>
      <c r="GNS164" s="3"/>
      <c r="GNT164" s="3"/>
      <c r="GNU164" s="3"/>
      <c r="GNV164" s="3"/>
      <c r="GNW164" s="3"/>
      <c r="GNX164" s="3"/>
      <c r="GNY164" s="3"/>
      <c r="GNZ164" s="3"/>
      <c r="GOA164" s="3"/>
      <c r="GOB164" s="3"/>
      <c r="GOC164" s="3"/>
      <c r="GOD164" s="3"/>
      <c r="GOE164" s="3"/>
      <c r="GOF164" s="3"/>
      <c r="GOG164" s="3"/>
      <c r="GOH164" s="3"/>
      <c r="GOI164" s="3"/>
      <c r="GOJ164" s="3"/>
      <c r="GOK164" s="3"/>
      <c r="GOL164" s="3"/>
      <c r="GOM164" s="3"/>
      <c r="GON164" s="3"/>
      <c r="GOO164" s="3"/>
      <c r="GOP164" s="3"/>
      <c r="GOQ164" s="3"/>
      <c r="GOR164" s="3"/>
      <c r="GOS164" s="3"/>
      <c r="GOT164" s="3"/>
      <c r="GOU164" s="3"/>
      <c r="GOV164" s="3"/>
      <c r="GOW164" s="3"/>
      <c r="GOX164" s="3"/>
      <c r="GOY164" s="3"/>
      <c r="GOZ164" s="3"/>
      <c r="GPA164" s="3"/>
      <c r="GPB164" s="3"/>
      <c r="GPC164" s="3"/>
      <c r="GPD164" s="3"/>
      <c r="GPE164" s="3"/>
      <c r="GPF164" s="3"/>
      <c r="GPG164" s="3"/>
      <c r="GPH164" s="3"/>
      <c r="GPI164" s="3"/>
      <c r="GPJ164" s="3"/>
      <c r="GPK164" s="3"/>
      <c r="GPL164" s="3"/>
      <c r="GPM164" s="3"/>
      <c r="GPN164" s="3"/>
      <c r="GPO164" s="3"/>
      <c r="GPP164" s="3"/>
      <c r="GPQ164" s="3"/>
      <c r="GPR164" s="3"/>
      <c r="GPS164" s="3"/>
      <c r="GPT164" s="3"/>
      <c r="GPU164" s="3"/>
      <c r="GPV164" s="3"/>
      <c r="GPW164" s="3"/>
      <c r="GPX164" s="3"/>
      <c r="GPY164" s="3"/>
      <c r="GPZ164" s="3"/>
      <c r="GQA164" s="3"/>
      <c r="GQB164" s="3"/>
      <c r="GQC164" s="3"/>
      <c r="GQD164" s="3"/>
      <c r="GQE164" s="3"/>
      <c r="GQF164" s="3"/>
      <c r="GQG164" s="3"/>
      <c r="GQH164" s="3"/>
      <c r="GQI164" s="3"/>
      <c r="GQJ164" s="3"/>
      <c r="GQK164" s="3"/>
      <c r="GQL164" s="3"/>
      <c r="GQM164" s="3"/>
      <c r="GQN164" s="3"/>
      <c r="GQO164" s="3"/>
      <c r="GQP164" s="3"/>
      <c r="GQQ164" s="3"/>
      <c r="GQR164" s="3"/>
      <c r="GQS164" s="3"/>
      <c r="GQT164" s="3"/>
      <c r="GQU164" s="3"/>
      <c r="GQV164" s="3"/>
      <c r="GQW164" s="3"/>
      <c r="GQX164" s="3"/>
      <c r="GQY164" s="3"/>
      <c r="GQZ164" s="3"/>
      <c r="GRA164" s="3"/>
      <c r="GRB164" s="3"/>
      <c r="GRC164" s="3"/>
      <c r="GRD164" s="3"/>
      <c r="GRE164" s="3"/>
      <c r="GRF164" s="3"/>
      <c r="GRG164" s="3"/>
      <c r="GRH164" s="3"/>
      <c r="GRI164" s="3"/>
      <c r="GRJ164" s="3"/>
      <c r="GRK164" s="3"/>
      <c r="GRL164" s="3"/>
      <c r="GRM164" s="3"/>
      <c r="GRN164" s="3"/>
      <c r="GRO164" s="3"/>
      <c r="GRP164" s="3"/>
      <c r="GRQ164" s="3"/>
      <c r="GRR164" s="3"/>
      <c r="GRS164" s="3"/>
      <c r="GRT164" s="3"/>
      <c r="GRU164" s="3"/>
      <c r="GRV164" s="3"/>
      <c r="GRW164" s="3"/>
      <c r="GRX164" s="3"/>
      <c r="GRY164" s="3"/>
      <c r="GRZ164" s="3"/>
      <c r="GSA164" s="3"/>
      <c r="GSB164" s="3"/>
      <c r="GSC164" s="3"/>
      <c r="GSD164" s="3"/>
      <c r="GSE164" s="3"/>
      <c r="GSF164" s="3"/>
      <c r="GSG164" s="3"/>
      <c r="GSH164" s="3"/>
      <c r="GSI164" s="3"/>
      <c r="GSJ164" s="3"/>
      <c r="GSK164" s="3"/>
      <c r="GSL164" s="3"/>
      <c r="GSM164" s="3"/>
      <c r="GSN164" s="3"/>
      <c r="GSO164" s="3"/>
      <c r="GSP164" s="3"/>
      <c r="GSQ164" s="3"/>
      <c r="GSR164" s="3"/>
      <c r="GSS164" s="3"/>
      <c r="GST164" s="3"/>
      <c r="GSU164" s="3"/>
      <c r="GSV164" s="3"/>
      <c r="GSW164" s="3"/>
      <c r="GSX164" s="3"/>
      <c r="GSY164" s="3"/>
      <c r="GSZ164" s="3"/>
      <c r="GTA164" s="3"/>
      <c r="GTB164" s="3"/>
      <c r="GTC164" s="3"/>
      <c r="GTD164" s="3"/>
      <c r="GTE164" s="3"/>
      <c r="GTF164" s="3"/>
      <c r="GTG164" s="3"/>
      <c r="GTH164" s="3"/>
      <c r="GTI164" s="3"/>
      <c r="GTJ164" s="3"/>
      <c r="GTK164" s="3"/>
      <c r="GTL164" s="3"/>
      <c r="GTM164" s="3"/>
      <c r="GTN164" s="3"/>
      <c r="GTO164" s="3"/>
      <c r="GTP164" s="3"/>
      <c r="GTQ164" s="3"/>
      <c r="GTR164" s="3"/>
      <c r="GTS164" s="3"/>
      <c r="GTT164" s="3"/>
      <c r="GTU164" s="3"/>
      <c r="GTV164" s="3"/>
      <c r="GTW164" s="3"/>
      <c r="GTX164" s="3"/>
      <c r="GTY164" s="3"/>
      <c r="GTZ164" s="3"/>
      <c r="GUA164" s="3"/>
      <c r="GUB164" s="3"/>
      <c r="GUC164" s="3"/>
      <c r="GUD164" s="3"/>
      <c r="GUE164" s="3"/>
      <c r="GUF164" s="3"/>
      <c r="GUG164" s="3"/>
      <c r="GUH164" s="3"/>
      <c r="GUI164" s="3"/>
      <c r="GUJ164" s="3"/>
      <c r="GUK164" s="3"/>
      <c r="GUL164" s="3"/>
      <c r="GUM164" s="3"/>
      <c r="GUN164" s="3"/>
      <c r="GUO164" s="3"/>
      <c r="GUP164" s="3"/>
      <c r="GUQ164" s="3"/>
      <c r="GUR164" s="3"/>
      <c r="GUS164" s="3"/>
      <c r="GUT164" s="3"/>
      <c r="GUU164" s="3"/>
      <c r="GUV164" s="3"/>
      <c r="GUW164" s="3"/>
      <c r="GUX164" s="3"/>
      <c r="GUY164" s="3"/>
      <c r="GUZ164" s="3"/>
      <c r="GVA164" s="3"/>
      <c r="GVB164" s="3"/>
      <c r="GVC164" s="3"/>
      <c r="GVD164" s="3"/>
      <c r="GVE164" s="3"/>
      <c r="GVF164" s="3"/>
      <c r="GVG164" s="3"/>
      <c r="GVH164" s="3"/>
      <c r="GVI164" s="3"/>
      <c r="GVJ164" s="3"/>
      <c r="GVK164" s="3"/>
      <c r="GVL164" s="3"/>
      <c r="GVM164" s="3"/>
      <c r="GVN164" s="3"/>
      <c r="GVO164" s="3"/>
      <c r="GVP164" s="3"/>
      <c r="GVQ164" s="3"/>
      <c r="GVR164" s="3"/>
      <c r="GVS164" s="3"/>
      <c r="GVT164" s="3"/>
      <c r="GVU164" s="3"/>
      <c r="GVV164" s="3"/>
      <c r="GVW164" s="3"/>
      <c r="GVX164" s="3"/>
      <c r="GVY164" s="3"/>
      <c r="GVZ164" s="3"/>
      <c r="GWA164" s="3"/>
      <c r="GWB164" s="3"/>
      <c r="GWC164" s="3"/>
      <c r="GWD164" s="3"/>
      <c r="GWE164" s="3"/>
      <c r="GWF164" s="3"/>
      <c r="GWG164" s="3"/>
      <c r="GWH164" s="3"/>
      <c r="GWI164" s="3"/>
      <c r="GWJ164" s="3"/>
      <c r="GWK164" s="3"/>
      <c r="GWL164" s="3"/>
      <c r="GWM164" s="3"/>
      <c r="GWN164" s="3"/>
      <c r="GWO164" s="3"/>
      <c r="GWP164" s="3"/>
      <c r="GWQ164" s="3"/>
      <c r="GWR164" s="3"/>
      <c r="GWS164" s="3"/>
      <c r="GWT164" s="3"/>
      <c r="GWU164" s="3"/>
      <c r="GWV164" s="3"/>
      <c r="GWW164" s="3"/>
      <c r="GWX164" s="3"/>
      <c r="GWY164" s="3"/>
      <c r="GWZ164" s="3"/>
      <c r="GXA164" s="3"/>
      <c r="GXB164" s="3"/>
      <c r="GXC164" s="3"/>
      <c r="GXD164" s="3"/>
      <c r="GXE164" s="3"/>
      <c r="GXF164" s="3"/>
      <c r="GXG164" s="3"/>
      <c r="GXH164" s="3"/>
      <c r="GXI164" s="3"/>
      <c r="GXJ164" s="3"/>
      <c r="GXK164" s="3"/>
      <c r="GXL164" s="3"/>
      <c r="GXM164" s="3"/>
      <c r="GXN164" s="3"/>
      <c r="GXO164" s="3"/>
      <c r="GXP164" s="3"/>
      <c r="GXQ164" s="3"/>
      <c r="GXR164" s="3"/>
      <c r="GXS164" s="3"/>
      <c r="GXT164" s="3"/>
      <c r="GXU164" s="3"/>
      <c r="GXV164" s="3"/>
      <c r="GXW164" s="3"/>
      <c r="GXX164" s="3"/>
      <c r="GXY164" s="3"/>
      <c r="GXZ164" s="3"/>
      <c r="GYA164" s="3"/>
      <c r="GYB164" s="3"/>
      <c r="GYC164" s="3"/>
      <c r="GYD164" s="3"/>
      <c r="GYE164" s="3"/>
      <c r="GYF164" s="3"/>
      <c r="GYG164" s="3"/>
      <c r="GYH164" s="3"/>
      <c r="GYI164" s="3"/>
      <c r="GYJ164" s="3"/>
      <c r="GYK164" s="3"/>
      <c r="GYL164" s="3"/>
      <c r="GYM164" s="3"/>
      <c r="GYN164" s="3"/>
      <c r="GYO164" s="3"/>
      <c r="GYP164" s="3"/>
      <c r="GYQ164" s="3"/>
      <c r="GYR164" s="3"/>
      <c r="GYS164" s="3"/>
      <c r="GYT164" s="3"/>
      <c r="GYU164" s="3"/>
      <c r="GYV164" s="3"/>
      <c r="GYW164" s="3"/>
      <c r="GYX164" s="3"/>
      <c r="GYY164" s="3"/>
      <c r="GYZ164" s="3"/>
      <c r="GZA164" s="3"/>
      <c r="GZB164" s="3"/>
      <c r="GZC164" s="3"/>
      <c r="GZD164" s="3"/>
      <c r="GZE164" s="3"/>
      <c r="GZF164" s="3"/>
      <c r="GZG164" s="3"/>
      <c r="GZH164" s="3"/>
      <c r="GZI164" s="3"/>
      <c r="GZJ164" s="3"/>
      <c r="GZK164" s="3"/>
      <c r="GZL164" s="3"/>
      <c r="GZM164" s="3"/>
      <c r="GZN164" s="3"/>
      <c r="GZO164" s="3"/>
      <c r="GZP164" s="3"/>
      <c r="GZQ164" s="3"/>
      <c r="GZR164" s="3"/>
      <c r="GZS164" s="3"/>
      <c r="GZT164" s="3"/>
      <c r="GZU164" s="3"/>
      <c r="GZV164" s="3"/>
      <c r="GZW164" s="3"/>
      <c r="GZX164" s="3"/>
      <c r="GZY164" s="3"/>
      <c r="GZZ164" s="3"/>
      <c r="HAA164" s="3"/>
      <c r="HAB164" s="3"/>
      <c r="HAC164" s="3"/>
      <c r="HAD164" s="3"/>
      <c r="HAE164" s="3"/>
      <c r="HAF164" s="3"/>
      <c r="HAG164" s="3"/>
      <c r="HAH164" s="3"/>
      <c r="HAI164" s="3"/>
      <c r="HAJ164" s="3"/>
      <c r="HAK164" s="3"/>
      <c r="HAL164" s="3"/>
      <c r="HAM164" s="3"/>
      <c r="HAN164" s="3"/>
      <c r="HAO164" s="3"/>
      <c r="HAP164" s="3"/>
      <c r="HAQ164" s="3"/>
      <c r="HAR164" s="3"/>
      <c r="HAS164" s="3"/>
      <c r="HAT164" s="3"/>
      <c r="HAU164" s="3"/>
      <c r="HAV164" s="3"/>
      <c r="HAW164" s="3"/>
      <c r="HAX164" s="3"/>
      <c r="HAY164" s="3"/>
      <c r="HAZ164" s="3"/>
      <c r="HBA164" s="3"/>
      <c r="HBB164" s="3"/>
      <c r="HBC164" s="3"/>
      <c r="HBD164" s="3"/>
      <c r="HBE164" s="3"/>
      <c r="HBF164" s="3"/>
      <c r="HBG164" s="3"/>
      <c r="HBH164" s="3"/>
      <c r="HBI164" s="3"/>
      <c r="HBJ164" s="3"/>
      <c r="HBK164" s="3"/>
      <c r="HBL164" s="3"/>
      <c r="HBM164" s="3"/>
      <c r="HBN164" s="3"/>
      <c r="HBO164" s="3"/>
      <c r="HBP164" s="3"/>
      <c r="HBQ164" s="3"/>
      <c r="HBR164" s="3"/>
      <c r="HBS164" s="3"/>
      <c r="HBT164" s="3"/>
      <c r="HBU164" s="3"/>
      <c r="HBV164" s="3"/>
      <c r="HBW164" s="3"/>
      <c r="HBX164" s="3"/>
      <c r="HBY164" s="3"/>
      <c r="HBZ164" s="3"/>
      <c r="HCA164" s="3"/>
      <c r="HCB164" s="3"/>
      <c r="HCC164" s="3"/>
      <c r="HCD164" s="3"/>
      <c r="HCE164" s="3"/>
      <c r="HCF164" s="3"/>
      <c r="HCG164" s="3"/>
      <c r="HCH164" s="3"/>
      <c r="HCI164" s="3"/>
      <c r="HCJ164" s="3"/>
      <c r="HCK164" s="3"/>
      <c r="HCL164" s="3"/>
      <c r="HCM164" s="3"/>
      <c r="HCN164" s="3"/>
      <c r="HCO164" s="3"/>
      <c r="HCP164" s="3"/>
      <c r="HCQ164" s="3"/>
      <c r="HCR164" s="3"/>
      <c r="HCS164" s="3"/>
      <c r="HCT164" s="3"/>
      <c r="HCU164" s="3"/>
      <c r="HCV164" s="3"/>
      <c r="HCW164" s="3"/>
      <c r="HCX164" s="3"/>
      <c r="HCY164" s="3"/>
      <c r="HCZ164" s="3"/>
      <c r="HDA164" s="3"/>
      <c r="HDB164" s="3"/>
      <c r="HDC164" s="3"/>
      <c r="HDD164" s="3"/>
      <c r="HDE164" s="3"/>
      <c r="HDF164" s="3"/>
      <c r="HDG164" s="3"/>
      <c r="HDH164" s="3"/>
      <c r="HDI164" s="3"/>
      <c r="HDJ164" s="3"/>
      <c r="HDK164" s="3"/>
      <c r="HDL164" s="3"/>
      <c r="HDM164" s="3"/>
      <c r="HDN164" s="3"/>
      <c r="HDO164" s="3"/>
      <c r="HDP164" s="3"/>
      <c r="HDQ164" s="3"/>
      <c r="HDR164" s="3"/>
      <c r="HDS164" s="3"/>
      <c r="HDT164" s="3"/>
      <c r="HDU164" s="3"/>
      <c r="HDV164" s="3"/>
      <c r="HDW164" s="3"/>
      <c r="HDX164" s="3"/>
      <c r="HDY164" s="3"/>
      <c r="HDZ164" s="3"/>
      <c r="HEA164" s="3"/>
      <c r="HEB164" s="3"/>
      <c r="HEC164" s="3"/>
      <c r="HED164" s="3"/>
      <c r="HEE164" s="3"/>
      <c r="HEF164" s="3"/>
      <c r="HEG164" s="3"/>
      <c r="HEH164" s="3"/>
      <c r="HEI164" s="3"/>
      <c r="HEJ164" s="3"/>
      <c r="HEK164" s="3"/>
      <c r="HEL164" s="3"/>
      <c r="HEM164" s="3"/>
      <c r="HEN164" s="3"/>
      <c r="HEO164" s="3"/>
      <c r="HEP164" s="3"/>
      <c r="HEQ164" s="3"/>
      <c r="HER164" s="3"/>
      <c r="HES164" s="3"/>
      <c r="HET164" s="3"/>
      <c r="HEU164" s="3"/>
      <c r="HEV164" s="3"/>
      <c r="HEW164" s="3"/>
      <c r="HEX164" s="3"/>
      <c r="HEY164" s="3"/>
      <c r="HEZ164" s="3"/>
      <c r="HFA164" s="3"/>
      <c r="HFB164" s="3"/>
      <c r="HFC164" s="3"/>
      <c r="HFD164" s="3"/>
      <c r="HFE164" s="3"/>
      <c r="HFF164" s="3"/>
      <c r="HFG164" s="3"/>
      <c r="HFH164" s="3"/>
      <c r="HFI164" s="3"/>
      <c r="HFJ164" s="3"/>
      <c r="HFK164" s="3"/>
      <c r="HFL164" s="3"/>
      <c r="HFM164" s="3"/>
      <c r="HFN164" s="3"/>
      <c r="HFO164" s="3"/>
      <c r="HFP164" s="3"/>
      <c r="HFQ164" s="3"/>
      <c r="HFR164" s="3"/>
      <c r="HFS164" s="3"/>
      <c r="HFT164" s="3"/>
      <c r="HFU164" s="3"/>
      <c r="HFV164" s="3"/>
      <c r="HFW164" s="3"/>
      <c r="HFX164" s="3"/>
      <c r="HFY164" s="3"/>
      <c r="HFZ164" s="3"/>
      <c r="HGA164" s="3"/>
      <c r="HGB164" s="3"/>
      <c r="HGC164" s="3"/>
      <c r="HGD164" s="3"/>
      <c r="HGE164" s="3"/>
      <c r="HGF164" s="3"/>
      <c r="HGG164" s="3"/>
      <c r="HGH164" s="3"/>
      <c r="HGI164" s="3"/>
      <c r="HGJ164" s="3"/>
      <c r="HGK164" s="3"/>
      <c r="HGL164" s="3"/>
      <c r="HGM164" s="3"/>
      <c r="HGN164" s="3"/>
      <c r="HGO164" s="3"/>
      <c r="HGP164" s="3"/>
      <c r="HGQ164" s="3"/>
      <c r="HGR164" s="3"/>
      <c r="HGS164" s="3"/>
      <c r="HGT164" s="3"/>
      <c r="HGU164" s="3"/>
      <c r="HGV164" s="3"/>
      <c r="HGW164" s="3"/>
      <c r="HGX164" s="3"/>
      <c r="HGY164" s="3"/>
      <c r="HGZ164" s="3"/>
      <c r="HHA164" s="3"/>
      <c r="HHB164" s="3"/>
      <c r="HHC164" s="3"/>
      <c r="HHD164" s="3"/>
      <c r="HHE164" s="3"/>
      <c r="HHF164" s="3"/>
      <c r="HHG164" s="3"/>
      <c r="HHH164" s="3"/>
      <c r="HHI164" s="3"/>
      <c r="HHJ164" s="3"/>
      <c r="HHK164" s="3"/>
      <c r="HHL164" s="3"/>
      <c r="HHM164" s="3"/>
      <c r="HHN164" s="3"/>
      <c r="HHO164" s="3"/>
      <c r="HHP164" s="3"/>
      <c r="HHQ164" s="3"/>
      <c r="HHR164" s="3"/>
      <c r="HHS164" s="3"/>
      <c r="HHT164" s="3"/>
      <c r="HHU164" s="3"/>
      <c r="HHV164" s="3"/>
      <c r="HHW164" s="3"/>
      <c r="HHX164" s="3"/>
      <c r="HHY164" s="3"/>
      <c r="HHZ164" s="3"/>
      <c r="HIA164" s="3"/>
      <c r="HIB164" s="3"/>
      <c r="HIC164" s="3"/>
      <c r="HID164" s="3"/>
      <c r="HIE164" s="3"/>
      <c r="HIF164" s="3"/>
      <c r="HIG164" s="3"/>
      <c r="HIH164" s="3"/>
      <c r="HII164" s="3"/>
      <c r="HIJ164" s="3"/>
      <c r="HIK164" s="3"/>
      <c r="HIL164" s="3"/>
      <c r="HIM164" s="3"/>
      <c r="HIN164" s="3"/>
      <c r="HIO164" s="3"/>
      <c r="HIP164" s="3"/>
      <c r="HIQ164" s="3"/>
      <c r="HIR164" s="3"/>
      <c r="HIS164" s="3"/>
      <c r="HIT164" s="3"/>
      <c r="HIU164" s="3"/>
      <c r="HIV164" s="3"/>
      <c r="HIW164" s="3"/>
      <c r="HIX164" s="3"/>
      <c r="HIY164" s="3"/>
      <c r="HIZ164" s="3"/>
      <c r="HJA164" s="3"/>
      <c r="HJB164" s="3"/>
      <c r="HJC164" s="3"/>
      <c r="HJD164" s="3"/>
      <c r="HJE164" s="3"/>
      <c r="HJF164" s="3"/>
      <c r="HJG164" s="3"/>
      <c r="HJH164" s="3"/>
      <c r="HJI164" s="3"/>
      <c r="HJJ164" s="3"/>
      <c r="HJK164" s="3"/>
      <c r="HJL164" s="3"/>
      <c r="HJM164" s="3"/>
      <c r="HJN164" s="3"/>
      <c r="HJO164" s="3"/>
      <c r="HJP164" s="3"/>
      <c r="HJQ164" s="3"/>
      <c r="HJR164" s="3"/>
      <c r="HJS164" s="3"/>
      <c r="HJT164" s="3"/>
      <c r="HJU164" s="3"/>
      <c r="HJV164" s="3"/>
      <c r="HJW164" s="3"/>
      <c r="HJX164" s="3"/>
      <c r="HJY164" s="3"/>
      <c r="HJZ164" s="3"/>
      <c r="HKA164" s="3"/>
      <c r="HKB164" s="3"/>
      <c r="HKC164" s="3"/>
      <c r="HKD164" s="3"/>
      <c r="HKE164" s="3"/>
      <c r="HKF164" s="3"/>
      <c r="HKG164" s="3"/>
      <c r="HKH164" s="3"/>
      <c r="HKI164" s="3"/>
      <c r="HKJ164" s="3"/>
      <c r="HKK164" s="3"/>
      <c r="HKL164" s="3"/>
      <c r="HKM164" s="3"/>
      <c r="HKN164" s="3"/>
      <c r="HKO164" s="3"/>
      <c r="HKP164" s="3"/>
      <c r="HKQ164" s="3"/>
      <c r="HKR164" s="3"/>
      <c r="HKS164" s="3"/>
      <c r="HKT164" s="3"/>
      <c r="HKU164" s="3"/>
      <c r="HKV164" s="3"/>
      <c r="HKW164" s="3"/>
      <c r="HKX164" s="3"/>
      <c r="HKY164" s="3"/>
      <c r="HKZ164" s="3"/>
      <c r="HLA164" s="3"/>
      <c r="HLB164" s="3"/>
      <c r="HLC164" s="3"/>
      <c r="HLD164" s="3"/>
      <c r="HLE164" s="3"/>
      <c r="HLF164" s="3"/>
      <c r="HLG164" s="3"/>
      <c r="HLH164" s="3"/>
      <c r="HLI164" s="3"/>
      <c r="HLJ164" s="3"/>
      <c r="HLK164" s="3"/>
      <c r="HLL164" s="3"/>
      <c r="HLM164" s="3"/>
      <c r="HLN164" s="3"/>
      <c r="HLO164" s="3"/>
      <c r="HLP164" s="3"/>
      <c r="HLQ164" s="3"/>
      <c r="HLR164" s="3"/>
      <c r="HLS164" s="3"/>
      <c r="HLT164" s="3"/>
      <c r="HLU164" s="3"/>
      <c r="HLV164" s="3"/>
      <c r="HLW164" s="3"/>
      <c r="HLX164" s="3"/>
      <c r="HLY164" s="3"/>
      <c r="HLZ164" s="3"/>
      <c r="HMA164" s="3"/>
      <c r="HMB164" s="3"/>
      <c r="HMC164" s="3"/>
      <c r="HMD164" s="3"/>
      <c r="HME164" s="3"/>
      <c r="HMF164" s="3"/>
      <c r="HMG164" s="3"/>
      <c r="HMH164" s="3"/>
      <c r="HMI164" s="3"/>
      <c r="HMJ164" s="3"/>
      <c r="HMK164" s="3"/>
      <c r="HML164" s="3"/>
      <c r="HMM164" s="3"/>
      <c r="HMN164" s="3"/>
      <c r="HMO164" s="3"/>
      <c r="HMP164" s="3"/>
      <c r="HMQ164" s="3"/>
      <c r="HMR164" s="3"/>
      <c r="HMS164" s="3"/>
      <c r="HMT164" s="3"/>
      <c r="HMU164" s="3"/>
      <c r="HMV164" s="3"/>
      <c r="HMW164" s="3"/>
      <c r="HMX164" s="3"/>
      <c r="HMY164" s="3"/>
      <c r="HMZ164" s="3"/>
      <c r="HNA164" s="3"/>
      <c r="HNB164" s="3"/>
      <c r="HNC164" s="3"/>
      <c r="HND164" s="3"/>
      <c r="HNE164" s="3"/>
      <c r="HNF164" s="3"/>
      <c r="HNG164" s="3"/>
      <c r="HNH164" s="3"/>
      <c r="HNI164" s="3"/>
      <c r="HNJ164" s="3"/>
      <c r="HNK164" s="3"/>
      <c r="HNL164" s="3"/>
      <c r="HNM164" s="3"/>
      <c r="HNN164" s="3"/>
      <c r="HNO164" s="3"/>
      <c r="HNP164" s="3"/>
      <c r="HNQ164" s="3"/>
      <c r="HNR164" s="3"/>
      <c r="HNS164" s="3"/>
      <c r="HNT164" s="3"/>
      <c r="HNU164" s="3"/>
      <c r="HNV164" s="3"/>
      <c r="HNW164" s="3"/>
      <c r="HNX164" s="3"/>
      <c r="HNY164" s="3"/>
      <c r="HNZ164" s="3"/>
      <c r="HOA164" s="3"/>
      <c r="HOB164" s="3"/>
      <c r="HOC164" s="3"/>
      <c r="HOD164" s="3"/>
      <c r="HOE164" s="3"/>
      <c r="HOF164" s="3"/>
      <c r="HOG164" s="3"/>
      <c r="HOH164" s="3"/>
      <c r="HOI164" s="3"/>
      <c r="HOJ164" s="3"/>
      <c r="HOK164" s="3"/>
      <c r="HOL164" s="3"/>
      <c r="HOM164" s="3"/>
      <c r="HON164" s="3"/>
      <c r="HOO164" s="3"/>
      <c r="HOP164" s="3"/>
      <c r="HOQ164" s="3"/>
      <c r="HOR164" s="3"/>
      <c r="HOS164" s="3"/>
      <c r="HOT164" s="3"/>
      <c r="HOU164" s="3"/>
      <c r="HOV164" s="3"/>
      <c r="HOW164" s="3"/>
      <c r="HOX164" s="3"/>
      <c r="HOY164" s="3"/>
      <c r="HOZ164" s="3"/>
      <c r="HPA164" s="3"/>
      <c r="HPB164" s="3"/>
      <c r="HPC164" s="3"/>
      <c r="HPD164" s="3"/>
      <c r="HPE164" s="3"/>
      <c r="HPF164" s="3"/>
      <c r="HPG164" s="3"/>
      <c r="HPH164" s="3"/>
      <c r="HPI164" s="3"/>
      <c r="HPJ164" s="3"/>
      <c r="HPK164" s="3"/>
      <c r="HPL164" s="3"/>
      <c r="HPM164" s="3"/>
      <c r="HPN164" s="3"/>
      <c r="HPO164" s="3"/>
      <c r="HPP164" s="3"/>
      <c r="HPQ164" s="3"/>
      <c r="HPR164" s="3"/>
      <c r="HPS164" s="3"/>
      <c r="HPT164" s="3"/>
      <c r="HPU164" s="3"/>
      <c r="HPV164" s="3"/>
      <c r="HPW164" s="3"/>
      <c r="HPX164" s="3"/>
      <c r="HPY164" s="3"/>
      <c r="HPZ164" s="3"/>
      <c r="HQA164" s="3"/>
      <c r="HQB164" s="3"/>
      <c r="HQC164" s="3"/>
      <c r="HQD164" s="3"/>
      <c r="HQE164" s="3"/>
      <c r="HQF164" s="3"/>
      <c r="HQG164" s="3"/>
      <c r="HQH164" s="3"/>
      <c r="HQI164" s="3"/>
      <c r="HQJ164" s="3"/>
      <c r="HQK164" s="3"/>
      <c r="HQL164" s="3"/>
      <c r="HQM164" s="3"/>
      <c r="HQN164" s="3"/>
      <c r="HQO164" s="3"/>
      <c r="HQP164" s="3"/>
      <c r="HQQ164" s="3"/>
      <c r="HQR164" s="3"/>
      <c r="HQS164" s="3"/>
      <c r="HQT164" s="3"/>
      <c r="HQU164" s="3"/>
      <c r="HQV164" s="3"/>
      <c r="HQW164" s="3"/>
      <c r="HQX164" s="3"/>
      <c r="HQY164" s="3"/>
      <c r="HQZ164" s="3"/>
      <c r="HRA164" s="3"/>
      <c r="HRB164" s="3"/>
      <c r="HRC164" s="3"/>
      <c r="HRD164" s="3"/>
      <c r="HRE164" s="3"/>
      <c r="HRF164" s="3"/>
      <c r="HRG164" s="3"/>
      <c r="HRH164" s="3"/>
      <c r="HRI164" s="3"/>
      <c r="HRJ164" s="3"/>
      <c r="HRK164" s="3"/>
      <c r="HRL164" s="3"/>
      <c r="HRM164" s="3"/>
      <c r="HRN164" s="3"/>
      <c r="HRO164" s="3"/>
      <c r="HRP164" s="3"/>
      <c r="HRQ164" s="3"/>
      <c r="HRR164" s="3"/>
      <c r="HRS164" s="3"/>
      <c r="HRT164" s="3"/>
      <c r="HRU164" s="3"/>
      <c r="HRV164" s="3"/>
      <c r="HRW164" s="3"/>
      <c r="HRX164" s="3"/>
      <c r="HRY164" s="3"/>
      <c r="HRZ164" s="3"/>
      <c r="HSA164" s="3"/>
      <c r="HSB164" s="3"/>
      <c r="HSC164" s="3"/>
      <c r="HSD164" s="3"/>
      <c r="HSE164" s="3"/>
      <c r="HSF164" s="3"/>
      <c r="HSG164" s="3"/>
      <c r="HSH164" s="3"/>
      <c r="HSI164" s="3"/>
      <c r="HSJ164" s="3"/>
      <c r="HSK164" s="3"/>
      <c r="HSL164" s="3"/>
      <c r="HSM164" s="3"/>
      <c r="HSN164" s="3"/>
      <c r="HSO164" s="3"/>
      <c r="HSP164" s="3"/>
      <c r="HSQ164" s="3"/>
      <c r="HSR164" s="3"/>
      <c r="HSS164" s="3"/>
      <c r="HST164" s="3"/>
      <c r="HSU164" s="3"/>
      <c r="HSV164" s="3"/>
      <c r="HSW164" s="3"/>
      <c r="HSX164" s="3"/>
      <c r="HSY164" s="3"/>
      <c r="HSZ164" s="3"/>
      <c r="HTA164" s="3"/>
      <c r="HTB164" s="3"/>
      <c r="HTC164" s="3"/>
      <c r="HTD164" s="3"/>
      <c r="HTE164" s="3"/>
      <c r="HTF164" s="3"/>
      <c r="HTG164" s="3"/>
      <c r="HTH164" s="3"/>
      <c r="HTI164" s="3"/>
      <c r="HTJ164" s="3"/>
      <c r="HTK164" s="3"/>
      <c r="HTL164" s="3"/>
      <c r="HTM164" s="3"/>
      <c r="HTN164" s="3"/>
      <c r="HTO164" s="3"/>
      <c r="HTP164" s="3"/>
      <c r="HTQ164" s="3"/>
      <c r="HTR164" s="3"/>
      <c r="HTS164" s="3"/>
      <c r="HTT164" s="3"/>
      <c r="HTU164" s="3"/>
      <c r="HTV164" s="3"/>
      <c r="HTW164" s="3"/>
      <c r="HTX164" s="3"/>
      <c r="HTY164" s="3"/>
      <c r="HTZ164" s="3"/>
      <c r="HUA164" s="3"/>
      <c r="HUB164" s="3"/>
      <c r="HUC164" s="3"/>
      <c r="HUD164" s="3"/>
      <c r="HUE164" s="3"/>
      <c r="HUF164" s="3"/>
      <c r="HUG164" s="3"/>
      <c r="HUH164" s="3"/>
      <c r="HUI164" s="3"/>
      <c r="HUJ164" s="3"/>
      <c r="HUK164" s="3"/>
      <c r="HUL164" s="3"/>
      <c r="HUM164" s="3"/>
      <c r="HUN164" s="3"/>
      <c r="HUO164" s="3"/>
      <c r="HUP164" s="3"/>
      <c r="HUQ164" s="3"/>
      <c r="HUR164" s="3"/>
      <c r="HUS164" s="3"/>
      <c r="HUT164" s="3"/>
      <c r="HUU164" s="3"/>
      <c r="HUV164" s="3"/>
      <c r="HUW164" s="3"/>
      <c r="HUX164" s="3"/>
      <c r="HUY164" s="3"/>
      <c r="HUZ164" s="3"/>
      <c r="HVA164" s="3"/>
      <c r="HVB164" s="3"/>
      <c r="HVC164" s="3"/>
      <c r="HVD164" s="3"/>
      <c r="HVE164" s="3"/>
      <c r="HVF164" s="3"/>
      <c r="HVG164" s="3"/>
      <c r="HVH164" s="3"/>
      <c r="HVI164" s="3"/>
      <c r="HVJ164" s="3"/>
      <c r="HVK164" s="3"/>
      <c r="HVL164" s="3"/>
      <c r="HVM164" s="3"/>
      <c r="HVN164" s="3"/>
      <c r="HVO164" s="3"/>
      <c r="HVP164" s="3"/>
      <c r="HVQ164" s="3"/>
      <c r="HVR164" s="3"/>
      <c r="HVS164" s="3"/>
      <c r="HVT164" s="3"/>
      <c r="HVU164" s="3"/>
      <c r="HVV164" s="3"/>
      <c r="HVW164" s="3"/>
      <c r="HVX164" s="3"/>
      <c r="HVY164" s="3"/>
      <c r="HVZ164" s="3"/>
      <c r="HWA164" s="3"/>
      <c r="HWB164" s="3"/>
      <c r="HWC164" s="3"/>
      <c r="HWD164" s="3"/>
      <c r="HWE164" s="3"/>
      <c r="HWF164" s="3"/>
      <c r="HWG164" s="3"/>
      <c r="HWH164" s="3"/>
      <c r="HWI164" s="3"/>
      <c r="HWJ164" s="3"/>
      <c r="HWK164" s="3"/>
      <c r="HWL164" s="3"/>
      <c r="HWM164" s="3"/>
      <c r="HWN164" s="3"/>
      <c r="HWO164" s="3"/>
      <c r="HWP164" s="3"/>
      <c r="HWQ164" s="3"/>
      <c r="HWR164" s="3"/>
      <c r="HWS164" s="3"/>
      <c r="HWT164" s="3"/>
      <c r="HWU164" s="3"/>
      <c r="HWV164" s="3"/>
      <c r="HWW164" s="3"/>
      <c r="HWX164" s="3"/>
      <c r="HWY164" s="3"/>
      <c r="HWZ164" s="3"/>
      <c r="HXA164" s="3"/>
      <c r="HXB164" s="3"/>
      <c r="HXC164" s="3"/>
      <c r="HXD164" s="3"/>
      <c r="HXE164" s="3"/>
      <c r="HXF164" s="3"/>
      <c r="HXG164" s="3"/>
      <c r="HXH164" s="3"/>
      <c r="HXI164" s="3"/>
      <c r="HXJ164" s="3"/>
      <c r="HXK164" s="3"/>
      <c r="HXL164" s="3"/>
      <c r="HXM164" s="3"/>
      <c r="HXN164" s="3"/>
      <c r="HXO164" s="3"/>
      <c r="HXP164" s="3"/>
      <c r="HXQ164" s="3"/>
      <c r="HXR164" s="3"/>
      <c r="HXS164" s="3"/>
      <c r="HXT164" s="3"/>
      <c r="HXU164" s="3"/>
      <c r="HXV164" s="3"/>
      <c r="HXW164" s="3"/>
      <c r="HXX164" s="3"/>
      <c r="HXY164" s="3"/>
      <c r="HXZ164" s="3"/>
      <c r="HYA164" s="3"/>
      <c r="HYB164" s="3"/>
      <c r="HYC164" s="3"/>
      <c r="HYD164" s="3"/>
      <c r="HYE164" s="3"/>
      <c r="HYF164" s="3"/>
      <c r="HYG164" s="3"/>
      <c r="HYH164" s="3"/>
      <c r="HYI164" s="3"/>
      <c r="HYJ164" s="3"/>
      <c r="HYK164" s="3"/>
      <c r="HYL164" s="3"/>
      <c r="HYM164" s="3"/>
      <c r="HYN164" s="3"/>
      <c r="HYO164" s="3"/>
      <c r="HYP164" s="3"/>
      <c r="HYQ164" s="3"/>
      <c r="HYR164" s="3"/>
      <c r="HYS164" s="3"/>
      <c r="HYT164" s="3"/>
      <c r="HYU164" s="3"/>
      <c r="HYV164" s="3"/>
      <c r="HYW164" s="3"/>
      <c r="HYX164" s="3"/>
      <c r="HYY164" s="3"/>
      <c r="HYZ164" s="3"/>
      <c r="HZA164" s="3"/>
      <c r="HZB164" s="3"/>
      <c r="HZC164" s="3"/>
      <c r="HZD164" s="3"/>
      <c r="HZE164" s="3"/>
      <c r="HZF164" s="3"/>
      <c r="HZG164" s="3"/>
      <c r="HZH164" s="3"/>
      <c r="HZI164" s="3"/>
      <c r="HZJ164" s="3"/>
      <c r="HZK164" s="3"/>
      <c r="HZL164" s="3"/>
      <c r="HZM164" s="3"/>
      <c r="HZN164" s="3"/>
      <c r="HZO164" s="3"/>
      <c r="HZP164" s="3"/>
      <c r="HZQ164" s="3"/>
      <c r="HZR164" s="3"/>
      <c r="HZS164" s="3"/>
      <c r="HZT164" s="3"/>
      <c r="HZU164" s="3"/>
      <c r="HZV164" s="3"/>
      <c r="HZW164" s="3"/>
      <c r="HZX164" s="3"/>
      <c r="HZY164" s="3"/>
      <c r="HZZ164" s="3"/>
      <c r="IAA164" s="3"/>
      <c r="IAB164" s="3"/>
      <c r="IAC164" s="3"/>
      <c r="IAD164" s="3"/>
      <c r="IAE164" s="3"/>
      <c r="IAF164" s="3"/>
      <c r="IAG164" s="3"/>
      <c r="IAH164" s="3"/>
      <c r="IAI164" s="3"/>
      <c r="IAJ164" s="3"/>
      <c r="IAK164" s="3"/>
      <c r="IAL164" s="3"/>
      <c r="IAM164" s="3"/>
      <c r="IAN164" s="3"/>
      <c r="IAO164" s="3"/>
      <c r="IAP164" s="3"/>
      <c r="IAQ164" s="3"/>
      <c r="IAR164" s="3"/>
      <c r="IAS164" s="3"/>
      <c r="IAT164" s="3"/>
      <c r="IAU164" s="3"/>
      <c r="IAV164" s="3"/>
      <c r="IAW164" s="3"/>
      <c r="IAX164" s="3"/>
      <c r="IAY164" s="3"/>
      <c r="IAZ164" s="3"/>
      <c r="IBA164" s="3"/>
      <c r="IBB164" s="3"/>
      <c r="IBC164" s="3"/>
      <c r="IBD164" s="3"/>
      <c r="IBE164" s="3"/>
      <c r="IBF164" s="3"/>
      <c r="IBG164" s="3"/>
      <c r="IBH164" s="3"/>
      <c r="IBI164" s="3"/>
      <c r="IBJ164" s="3"/>
      <c r="IBK164" s="3"/>
      <c r="IBL164" s="3"/>
      <c r="IBM164" s="3"/>
      <c r="IBN164" s="3"/>
      <c r="IBO164" s="3"/>
      <c r="IBP164" s="3"/>
      <c r="IBQ164" s="3"/>
      <c r="IBR164" s="3"/>
      <c r="IBS164" s="3"/>
      <c r="IBT164" s="3"/>
      <c r="IBU164" s="3"/>
      <c r="IBV164" s="3"/>
      <c r="IBW164" s="3"/>
      <c r="IBX164" s="3"/>
      <c r="IBY164" s="3"/>
      <c r="IBZ164" s="3"/>
      <c r="ICA164" s="3"/>
      <c r="ICB164" s="3"/>
      <c r="ICC164" s="3"/>
      <c r="ICD164" s="3"/>
      <c r="ICE164" s="3"/>
      <c r="ICF164" s="3"/>
      <c r="ICG164" s="3"/>
      <c r="ICH164" s="3"/>
      <c r="ICI164" s="3"/>
      <c r="ICJ164" s="3"/>
      <c r="ICK164" s="3"/>
      <c r="ICL164" s="3"/>
      <c r="ICM164" s="3"/>
      <c r="ICN164" s="3"/>
      <c r="ICO164" s="3"/>
      <c r="ICP164" s="3"/>
      <c r="ICQ164" s="3"/>
      <c r="ICR164" s="3"/>
      <c r="ICS164" s="3"/>
      <c r="ICT164" s="3"/>
      <c r="ICU164" s="3"/>
      <c r="ICV164" s="3"/>
      <c r="ICW164" s="3"/>
      <c r="ICX164" s="3"/>
      <c r="ICY164" s="3"/>
      <c r="ICZ164" s="3"/>
      <c r="IDA164" s="3"/>
      <c r="IDB164" s="3"/>
      <c r="IDC164" s="3"/>
      <c r="IDD164" s="3"/>
      <c r="IDE164" s="3"/>
      <c r="IDF164" s="3"/>
      <c r="IDG164" s="3"/>
      <c r="IDH164" s="3"/>
      <c r="IDI164" s="3"/>
      <c r="IDJ164" s="3"/>
      <c r="IDK164" s="3"/>
      <c r="IDL164" s="3"/>
      <c r="IDM164" s="3"/>
      <c r="IDN164" s="3"/>
      <c r="IDO164" s="3"/>
      <c r="IDP164" s="3"/>
      <c r="IDQ164" s="3"/>
      <c r="IDR164" s="3"/>
      <c r="IDS164" s="3"/>
      <c r="IDT164" s="3"/>
      <c r="IDU164" s="3"/>
      <c r="IDV164" s="3"/>
      <c r="IDW164" s="3"/>
      <c r="IDX164" s="3"/>
      <c r="IDY164" s="3"/>
      <c r="IDZ164" s="3"/>
      <c r="IEA164" s="3"/>
      <c r="IEB164" s="3"/>
      <c r="IEC164" s="3"/>
      <c r="IED164" s="3"/>
      <c r="IEE164" s="3"/>
      <c r="IEF164" s="3"/>
      <c r="IEG164" s="3"/>
      <c r="IEH164" s="3"/>
      <c r="IEI164" s="3"/>
      <c r="IEJ164" s="3"/>
      <c r="IEK164" s="3"/>
      <c r="IEL164" s="3"/>
      <c r="IEM164" s="3"/>
      <c r="IEN164" s="3"/>
      <c r="IEO164" s="3"/>
      <c r="IEP164" s="3"/>
      <c r="IEQ164" s="3"/>
      <c r="IER164" s="3"/>
      <c r="IES164" s="3"/>
      <c r="IET164" s="3"/>
      <c r="IEU164" s="3"/>
      <c r="IEV164" s="3"/>
      <c r="IEW164" s="3"/>
      <c r="IEX164" s="3"/>
      <c r="IEY164" s="3"/>
      <c r="IEZ164" s="3"/>
      <c r="IFA164" s="3"/>
      <c r="IFB164" s="3"/>
      <c r="IFC164" s="3"/>
      <c r="IFD164" s="3"/>
      <c r="IFE164" s="3"/>
      <c r="IFF164" s="3"/>
      <c r="IFG164" s="3"/>
      <c r="IFH164" s="3"/>
      <c r="IFI164" s="3"/>
      <c r="IFJ164" s="3"/>
      <c r="IFK164" s="3"/>
      <c r="IFL164" s="3"/>
      <c r="IFM164" s="3"/>
      <c r="IFN164" s="3"/>
      <c r="IFO164" s="3"/>
      <c r="IFP164" s="3"/>
      <c r="IFQ164" s="3"/>
      <c r="IFR164" s="3"/>
      <c r="IFS164" s="3"/>
      <c r="IFT164" s="3"/>
      <c r="IFU164" s="3"/>
      <c r="IFV164" s="3"/>
      <c r="IFW164" s="3"/>
      <c r="IFX164" s="3"/>
      <c r="IFY164" s="3"/>
      <c r="IFZ164" s="3"/>
      <c r="IGA164" s="3"/>
      <c r="IGB164" s="3"/>
      <c r="IGC164" s="3"/>
      <c r="IGD164" s="3"/>
      <c r="IGE164" s="3"/>
      <c r="IGF164" s="3"/>
      <c r="IGG164" s="3"/>
      <c r="IGH164" s="3"/>
      <c r="IGI164" s="3"/>
      <c r="IGJ164" s="3"/>
      <c r="IGK164" s="3"/>
      <c r="IGL164" s="3"/>
      <c r="IGM164" s="3"/>
      <c r="IGN164" s="3"/>
      <c r="IGO164" s="3"/>
      <c r="IGP164" s="3"/>
      <c r="IGQ164" s="3"/>
      <c r="IGR164" s="3"/>
      <c r="IGS164" s="3"/>
      <c r="IGT164" s="3"/>
      <c r="IGU164" s="3"/>
      <c r="IGV164" s="3"/>
      <c r="IGW164" s="3"/>
      <c r="IGX164" s="3"/>
      <c r="IGY164" s="3"/>
      <c r="IGZ164" s="3"/>
      <c r="IHA164" s="3"/>
      <c r="IHB164" s="3"/>
      <c r="IHC164" s="3"/>
      <c r="IHD164" s="3"/>
      <c r="IHE164" s="3"/>
      <c r="IHF164" s="3"/>
      <c r="IHG164" s="3"/>
      <c r="IHH164" s="3"/>
      <c r="IHI164" s="3"/>
      <c r="IHJ164" s="3"/>
      <c r="IHK164" s="3"/>
      <c r="IHL164" s="3"/>
      <c r="IHM164" s="3"/>
      <c r="IHN164" s="3"/>
      <c r="IHO164" s="3"/>
      <c r="IHP164" s="3"/>
      <c r="IHQ164" s="3"/>
      <c r="IHR164" s="3"/>
      <c r="IHS164" s="3"/>
      <c r="IHT164" s="3"/>
      <c r="IHU164" s="3"/>
      <c r="IHV164" s="3"/>
      <c r="IHW164" s="3"/>
      <c r="IHX164" s="3"/>
      <c r="IHY164" s="3"/>
      <c r="IHZ164" s="3"/>
      <c r="IIA164" s="3"/>
      <c r="IIB164" s="3"/>
      <c r="IIC164" s="3"/>
      <c r="IID164" s="3"/>
      <c r="IIE164" s="3"/>
      <c r="IIF164" s="3"/>
      <c r="IIG164" s="3"/>
      <c r="IIH164" s="3"/>
      <c r="III164" s="3"/>
      <c r="IIJ164" s="3"/>
      <c r="IIK164" s="3"/>
      <c r="IIL164" s="3"/>
      <c r="IIM164" s="3"/>
      <c r="IIN164" s="3"/>
      <c r="IIO164" s="3"/>
      <c r="IIP164" s="3"/>
      <c r="IIQ164" s="3"/>
      <c r="IIR164" s="3"/>
      <c r="IIS164" s="3"/>
      <c r="IIT164" s="3"/>
      <c r="IIU164" s="3"/>
      <c r="IIV164" s="3"/>
      <c r="IIW164" s="3"/>
      <c r="IIX164" s="3"/>
      <c r="IIY164" s="3"/>
      <c r="IIZ164" s="3"/>
      <c r="IJA164" s="3"/>
      <c r="IJB164" s="3"/>
      <c r="IJC164" s="3"/>
      <c r="IJD164" s="3"/>
      <c r="IJE164" s="3"/>
      <c r="IJF164" s="3"/>
      <c r="IJG164" s="3"/>
      <c r="IJH164" s="3"/>
      <c r="IJI164" s="3"/>
      <c r="IJJ164" s="3"/>
      <c r="IJK164" s="3"/>
      <c r="IJL164" s="3"/>
      <c r="IJM164" s="3"/>
      <c r="IJN164" s="3"/>
      <c r="IJO164" s="3"/>
      <c r="IJP164" s="3"/>
      <c r="IJQ164" s="3"/>
      <c r="IJR164" s="3"/>
      <c r="IJS164" s="3"/>
      <c r="IJT164" s="3"/>
      <c r="IJU164" s="3"/>
      <c r="IJV164" s="3"/>
      <c r="IJW164" s="3"/>
      <c r="IJX164" s="3"/>
      <c r="IJY164" s="3"/>
      <c r="IJZ164" s="3"/>
      <c r="IKA164" s="3"/>
      <c r="IKB164" s="3"/>
      <c r="IKC164" s="3"/>
      <c r="IKD164" s="3"/>
      <c r="IKE164" s="3"/>
      <c r="IKF164" s="3"/>
      <c r="IKG164" s="3"/>
      <c r="IKH164" s="3"/>
      <c r="IKI164" s="3"/>
      <c r="IKJ164" s="3"/>
      <c r="IKK164" s="3"/>
      <c r="IKL164" s="3"/>
      <c r="IKM164" s="3"/>
      <c r="IKN164" s="3"/>
      <c r="IKO164" s="3"/>
      <c r="IKP164" s="3"/>
      <c r="IKQ164" s="3"/>
      <c r="IKR164" s="3"/>
      <c r="IKS164" s="3"/>
      <c r="IKT164" s="3"/>
      <c r="IKU164" s="3"/>
      <c r="IKV164" s="3"/>
      <c r="IKW164" s="3"/>
      <c r="IKX164" s="3"/>
      <c r="IKY164" s="3"/>
      <c r="IKZ164" s="3"/>
      <c r="ILA164" s="3"/>
      <c r="ILB164" s="3"/>
      <c r="ILC164" s="3"/>
      <c r="ILD164" s="3"/>
      <c r="ILE164" s="3"/>
      <c r="ILF164" s="3"/>
      <c r="ILG164" s="3"/>
      <c r="ILH164" s="3"/>
      <c r="ILI164" s="3"/>
      <c r="ILJ164" s="3"/>
      <c r="ILK164" s="3"/>
      <c r="ILL164" s="3"/>
      <c r="ILM164" s="3"/>
      <c r="ILN164" s="3"/>
      <c r="ILO164" s="3"/>
      <c r="ILP164" s="3"/>
      <c r="ILQ164" s="3"/>
      <c r="ILR164" s="3"/>
      <c r="ILS164" s="3"/>
      <c r="ILT164" s="3"/>
      <c r="ILU164" s="3"/>
      <c r="ILV164" s="3"/>
      <c r="ILW164" s="3"/>
      <c r="ILX164" s="3"/>
      <c r="ILY164" s="3"/>
      <c r="ILZ164" s="3"/>
      <c r="IMA164" s="3"/>
      <c r="IMB164" s="3"/>
      <c r="IMC164" s="3"/>
      <c r="IMD164" s="3"/>
      <c r="IME164" s="3"/>
      <c r="IMF164" s="3"/>
      <c r="IMG164" s="3"/>
      <c r="IMH164" s="3"/>
      <c r="IMI164" s="3"/>
      <c r="IMJ164" s="3"/>
      <c r="IMK164" s="3"/>
      <c r="IML164" s="3"/>
      <c r="IMM164" s="3"/>
      <c r="IMN164" s="3"/>
      <c r="IMO164" s="3"/>
      <c r="IMP164" s="3"/>
      <c r="IMQ164" s="3"/>
      <c r="IMR164" s="3"/>
      <c r="IMS164" s="3"/>
      <c r="IMT164" s="3"/>
      <c r="IMU164" s="3"/>
      <c r="IMV164" s="3"/>
      <c r="IMW164" s="3"/>
      <c r="IMX164" s="3"/>
      <c r="IMY164" s="3"/>
      <c r="IMZ164" s="3"/>
      <c r="INA164" s="3"/>
      <c r="INB164" s="3"/>
      <c r="INC164" s="3"/>
      <c r="IND164" s="3"/>
      <c r="INE164" s="3"/>
      <c r="INF164" s="3"/>
      <c r="ING164" s="3"/>
      <c r="INH164" s="3"/>
      <c r="INI164" s="3"/>
      <c r="INJ164" s="3"/>
      <c r="INK164" s="3"/>
      <c r="INL164" s="3"/>
      <c r="INM164" s="3"/>
      <c r="INN164" s="3"/>
      <c r="INO164" s="3"/>
      <c r="INP164" s="3"/>
      <c r="INQ164" s="3"/>
      <c r="INR164" s="3"/>
      <c r="INS164" s="3"/>
      <c r="INT164" s="3"/>
      <c r="INU164" s="3"/>
      <c r="INV164" s="3"/>
      <c r="INW164" s="3"/>
      <c r="INX164" s="3"/>
      <c r="INY164" s="3"/>
      <c r="INZ164" s="3"/>
      <c r="IOA164" s="3"/>
      <c r="IOB164" s="3"/>
      <c r="IOC164" s="3"/>
      <c r="IOD164" s="3"/>
      <c r="IOE164" s="3"/>
      <c r="IOF164" s="3"/>
      <c r="IOG164" s="3"/>
      <c r="IOH164" s="3"/>
      <c r="IOI164" s="3"/>
      <c r="IOJ164" s="3"/>
      <c r="IOK164" s="3"/>
      <c r="IOL164" s="3"/>
      <c r="IOM164" s="3"/>
      <c r="ION164" s="3"/>
      <c r="IOO164" s="3"/>
      <c r="IOP164" s="3"/>
      <c r="IOQ164" s="3"/>
      <c r="IOR164" s="3"/>
      <c r="IOS164" s="3"/>
      <c r="IOT164" s="3"/>
      <c r="IOU164" s="3"/>
      <c r="IOV164" s="3"/>
      <c r="IOW164" s="3"/>
      <c r="IOX164" s="3"/>
      <c r="IOY164" s="3"/>
      <c r="IOZ164" s="3"/>
      <c r="IPA164" s="3"/>
      <c r="IPB164" s="3"/>
      <c r="IPC164" s="3"/>
      <c r="IPD164" s="3"/>
      <c r="IPE164" s="3"/>
      <c r="IPF164" s="3"/>
      <c r="IPG164" s="3"/>
      <c r="IPH164" s="3"/>
      <c r="IPI164" s="3"/>
      <c r="IPJ164" s="3"/>
      <c r="IPK164" s="3"/>
      <c r="IPL164" s="3"/>
      <c r="IPM164" s="3"/>
      <c r="IPN164" s="3"/>
      <c r="IPO164" s="3"/>
      <c r="IPP164" s="3"/>
      <c r="IPQ164" s="3"/>
      <c r="IPR164" s="3"/>
      <c r="IPS164" s="3"/>
      <c r="IPT164" s="3"/>
      <c r="IPU164" s="3"/>
      <c r="IPV164" s="3"/>
      <c r="IPW164" s="3"/>
      <c r="IPX164" s="3"/>
      <c r="IPY164" s="3"/>
      <c r="IPZ164" s="3"/>
      <c r="IQA164" s="3"/>
      <c r="IQB164" s="3"/>
      <c r="IQC164" s="3"/>
      <c r="IQD164" s="3"/>
      <c r="IQE164" s="3"/>
      <c r="IQF164" s="3"/>
      <c r="IQG164" s="3"/>
      <c r="IQH164" s="3"/>
      <c r="IQI164" s="3"/>
      <c r="IQJ164" s="3"/>
      <c r="IQK164" s="3"/>
      <c r="IQL164" s="3"/>
      <c r="IQM164" s="3"/>
      <c r="IQN164" s="3"/>
      <c r="IQO164" s="3"/>
      <c r="IQP164" s="3"/>
      <c r="IQQ164" s="3"/>
      <c r="IQR164" s="3"/>
      <c r="IQS164" s="3"/>
      <c r="IQT164" s="3"/>
      <c r="IQU164" s="3"/>
      <c r="IQV164" s="3"/>
      <c r="IQW164" s="3"/>
      <c r="IQX164" s="3"/>
      <c r="IQY164" s="3"/>
      <c r="IQZ164" s="3"/>
      <c r="IRA164" s="3"/>
      <c r="IRB164" s="3"/>
      <c r="IRC164" s="3"/>
      <c r="IRD164" s="3"/>
      <c r="IRE164" s="3"/>
      <c r="IRF164" s="3"/>
      <c r="IRG164" s="3"/>
      <c r="IRH164" s="3"/>
      <c r="IRI164" s="3"/>
      <c r="IRJ164" s="3"/>
      <c r="IRK164" s="3"/>
      <c r="IRL164" s="3"/>
      <c r="IRM164" s="3"/>
      <c r="IRN164" s="3"/>
      <c r="IRO164" s="3"/>
      <c r="IRP164" s="3"/>
      <c r="IRQ164" s="3"/>
      <c r="IRR164" s="3"/>
      <c r="IRS164" s="3"/>
      <c r="IRT164" s="3"/>
      <c r="IRU164" s="3"/>
      <c r="IRV164" s="3"/>
      <c r="IRW164" s="3"/>
      <c r="IRX164" s="3"/>
      <c r="IRY164" s="3"/>
      <c r="IRZ164" s="3"/>
      <c r="ISA164" s="3"/>
      <c r="ISB164" s="3"/>
      <c r="ISC164" s="3"/>
      <c r="ISD164" s="3"/>
      <c r="ISE164" s="3"/>
      <c r="ISF164" s="3"/>
      <c r="ISG164" s="3"/>
      <c r="ISH164" s="3"/>
      <c r="ISI164" s="3"/>
      <c r="ISJ164" s="3"/>
      <c r="ISK164" s="3"/>
      <c r="ISL164" s="3"/>
      <c r="ISM164" s="3"/>
      <c r="ISN164" s="3"/>
      <c r="ISO164" s="3"/>
      <c r="ISP164" s="3"/>
      <c r="ISQ164" s="3"/>
      <c r="ISR164" s="3"/>
      <c r="ISS164" s="3"/>
      <c r="IST164" s="3"/>
      <c r="ISU164" s="3"/>
      <c r="ISV164" s="3"/>
      <c r="ISW164" s="3"/>
      <c r="ISX164" s="3"/>
      <c r="ISY164" s="3"/>
      <c r="ISZ164" s="3"/>
      <c r="ITA164" s="3"/>
      <c r="ITB164" s="3"/>
      <c r="ITC164" s="3"/>
      <c r="ITD164" s="3"/>
      <c r="ITE164" s="3"/>
      <c r="ITF164" s="3"/>
      <c r="ITG164" s="3"/>
      <c r="ITH164" s="3"/>
      <c r="ITI164" s="3"/>
      <c r="ITJ164" s="3"/>
      <c r="ITK164" s="3"/>
      <c r="ITL164" s="3"/>
      <c r="ITM164" s="3"/>
      <c r="ITN164" s="3"/>
      <c r="ITO164" s="3"/>
      <c r="ITP164" s="3"/>
      <c r="ITQ164" s="3"/>
      <c r="ITR164" s="3"/>
      <c r="ITS164" s="3"/>
      <c r="ITT164" s="3"/>
      <c r="ITU164" s="3"/>
      <c r="ITV164" s="3"/>
      <c r="ITW164" s="3"/>
      <c r="ITX164" s="3"/>
      <c r="ITY164" s="3"/>
      <c r="ITZ164" s="3"/>
      <c r="IUA164" s="3"/>
      <c r="IUB164" s="3"/>
      <c r="IUC164" s="3"/>
      <c r="IUD164" s="3"/>
      <c r="IUE164" s="3"/>
      <c r="IUF164" s="3"/>
      <c r="IUG164" s="3"/>
      <c r="IUH164" s="3"/>
      <c r="IUI164" s="3"/>
      <c r="IUJ164" s="3"/>
      <c r="IUK164" s="3"/>
      <c r="IUL164" s="3"/>
      <c r="IUM164" s="3"/>
      <c r="IUN164" s="3"/>
      <c r="IUO164" s="3"/>
      <c r="IUP164" s="3"/>
      <c r="IUQ164" s="3"/>
      <c r="IUR164" s="3"/>
      <c r="IUS164" s="3"/>
      <c r="IUT164" s="3"/>
      <c r="IUU164" s="3"/>
      <c r="IUV164" s="3"/>
      <c r="IUW164" s="3"/>
      <c r="IUX164" s="3"/>
      <c r="IUY164" s="3"/>
      <c r="IUZ164" s="3"/>
      <c r="IVA164" s="3"/>
      <c r="IVB164" s="3"/>
      <c r="IVC164" s="3"/>
      <c r="IVD164" s="3"/>
      <c r="IVE164" s="3"/>
      <c r="IVF164" s="3"/>
      <c r="IVG164" s="3"/>
      <c r="IVH164" s="3"/>
      <c r="IVI164" s="3"/>
      <c r="IVJ164" s="3"/>
      <c r="IVK164" s="3"/>
      <c r="IVL164" s="3"/>
      <c r="IVM164" s="3"/>
      <c r="IVN164" s="3"/>
      <c r="IVO164" s="3"/>
      <c r="IVP164" s="3"/>
      <c r="IVQ164" s="3"/>
      <c r="IVR164" s="3"/>
      <c r="IVS164" s="3"/>
      <c r="IVT164" s="3"/>
      <c r="IVU164" s="3"/>
      <c r="IVV164" s="3"/>
      <c r="IVW164" s="3"/>
      <c r="IVX164" s="3"/>
      <c r="IVY164" s="3"/>
      <c r="IVZ164" s="3"/>
      <c r="IWA164" s="3"/>
      <c r="IWB164" s="3"/>
      <c r="IWC164" s="3"/>
      <c r="IWD164" s="3"/>
      <c r="IWE164" s="3"/>
      <c r="IWF164" s="3"/>
      <c r="IWG164" s="3"/>
      <c r="IWH164" s="3"/>
      <c r="IWI164" s="3"/>
      <c r="IWJ164" s="3"/>
      <c r="IWK164" s="3"/>
      <c r="IWL164" s="3"/>
      <c r="IWM164" s="3"/>
      <c r="IWN164" s="3"/>
      <c r="IWO164" s="3"/>
      <c r="IWP164" s="3"/>
      <c r="IWQ164" s="3"/>
      <c r="IWR164" s="3"/>
      <c r="IWS164" s="3"/>
      <c r="IWT164" s="3"/>
      <c r="IWU164" s="3"/>
      <c r="IWV164" s="3"/>
      <c r="IWW164" s="3"/>
      <c r="IWX164" s="3"/>
      <c r="IWY164" s="3"/>
      <c r="IWZ164" s="3"/>
      <c r="IXA164" s="3"/>
      <c r="IXB164" s="3"/>
      <c r="IXC164" s="3"/>
      <c r="IXD164" s="3"/>
      <c r="IXE164" s="3"/>
      <c r="IXF164" s="3"/>
      <c r="IXG164" s="3"/>
      <c r="IXH164" s="3"/>
      <c r="IXI164" s="3"/>
      <c r="IXJ164" s="3"/>
      <c r="IXK164" s="3"/>
      <c r="IXL164" s="3"/>
      <c r="IXM164" s="3"/>
      <c r="IXN164" s="3"/>
      <c r="IXO164" s="3"/>
      <c r="IXP164" s="3"/>
      <c r="IXQ164" s="3"/>
      <c r="IXR164" s="3"/>
      <c r="IXS164" s="3"/>
      <c r="IXT164" s="3"/>
      <c r="IXU164" s="3"/>
      <c r="IXV164" s="3"/>
      <c r="IXW164" s="3"/>
      <c r="IXX164" s="3"/>
      <c r="IXY164" s="3"/>
      <c r="IXZ164" s="3"/>
      <c r="IYA164" s="3"/>
      <c r="IYB164" s="3"/>
      <c r="IYC164" s="3"/>
      <c r="IYD164" s="3"/>
      <c r="IYE164" s="3"/>
      <c r="IYF164" s="3"/>
      <c r="IYG164" s="3"/>
      <c r="IYH164" s="3"/>
      <c r="IYI164" s="3"/>
      <c r="IYJ164" s="3"/>
      <c r="IYK164" s="3"/>
      <c r="IYL164" s="3"/>
      <c r="IYM164" s="3"/>
      <c r="IYN164" s="3"/>
      <c r="IYO164" s="3"/>
      <c r="IYP164" s="3"/>
      <c r="IYQ164" s="3"/>
      <c r="IYR164" s="3"/>
      <c r="IYS164" s="3"/>
      <c r="IYT164" s="3"/>
      <c r="IYU164" s="3"/>
      <c r="IYV164" s="3"/>
      <c r="IYW164" s="3"/>
      <c r="IYX164" s="3"/>
      <c r="IYY164" s="3"/>
      <c r="IYZ164" s="3"/>
      <c r="IZA164" s="3"/>
      <c r="IZB164" s="3"/>
      <c r="IZC164" s="3"/>
      <c r="IZD164" s="3"/>
      <c r="IZE164" s="3"/>
      <c r="IZF164" s="3"/>
      <c r="IZG164" s="3"/>
      <c r="IZH164" s="3"/>
      <c r="IZI164" s="3"/>
      <c r="IZJ164" s="3"/>
      <c r="IZK164" s="3"/>
      <c r="IZL164" s="3"/>
      <c r="IZM164" s="3"/>
      <c r="IZN164" s="3"/>
      <c r="IZO164" s="3"/>
      <c r="IZP164" s="3"/>
      <c r="IZQ164" s="3"/>
      <c r="IZR164" s="3"/>
      <c r="IZS164" s="3"/>
      <c r="IZT164" s="3"/>
      <c r="IZU164" s="3"/>
      <c r="IZV164" s="3"/>
      <c r="IZW164" s="3"/>
      <c r="IZX164" s="3"/>
      <c r="IZY164" s="3"/>
      <c r="IZZ164" s="3"/>
      <c r="JAA164" s="3"/>
      <c r="JAB164" s="3"/>
      <c r="JAC164" s="3"/>
      <c r="JAD164" s="3"/>
      <c r="JAE164" s="3"/>
      <c r="JAF164" s="3"/>
      <c r="JAG164" s="3"/>
      <c r="JAH164" s="3"/>
      <c r="JAI164" s="3"/>
      <c r="JAJ164" s="3"/>
      <c r="JAK164" s="3"/>
      <c r="JAL164" s="3"/>
      <c r="JAM164" s="3"/>
      <c r="JAN164" s="3"/>
      <c r="JAO164" s="3"/>
      <c r="JAP164" s="3"/>
      <c r="JAQ164" s="3"/>
      <c r="JAR164" s="3"/>
      <c r="JAS164" s="3"/>
      <c r="JAT164" s="3"/>
      <c r="JAU164" s="3"/>
      <c r="JAV164" s="3"/>
      <c r="JAW164" s="3"/>
      <c r="JAX164" s="3"/>
      <c r="JAY164" s="3"/>
      <c r="JAZ164" s="3"/>
      <c r="JBA164" s="3"/>
      <c r="JBB164" s="3"/>
      <c r="JBC164" s="3"/>
      <c r="JBD164" s="3"/>
      <c r="JBE164" s="3"/>
      <c r="JBF164" s="3"/>
      <c r="JBG164" s="3"/>
      <c r="JBH164" s="3"/>
      <c r="JBI164" s="3"/>
      <c r="JBJ164" s="3"/>
      <c r="JBK164" s="3"/>
      <c r="JBL164" s="3"/>
      <c r="JBM164" s="3"/>
      <c r="JBN164" s="3"/>
      <c r="JBO164" s="3"/>
      <c r="JBP164" s="3"/>
      <c r="JBQ164" s="3"/>
      <c r="JBR164" s="3"/>
      <c r="JBS164" s="3"/>
      <c r="JBT164" s="3"/>
      <c r="JBU164" s="3"/>
      <c r="JBV164" s="3"/>
      <c r="JBW164" s="3"/>
      <c r="JBX164" s="3"/>
      <c r="JBY164" s="3"/>
      <c r="JBZ164" s="3"/>
      <c r="JCA164" s="3"/>
      <c r="JCB164" s="3"/>
      <c r="JCC164" s="3"/>
      <c r="JCD164" s="3"/>
      <c r="JCE164" s="3"/>
      <c r="JCF164" s="3"/>
      <c r="JCG164" s="3"/>
      <c r="JCH164" s="3"/>
      <c r="JCI164" s="3"/>
      <c r="JCJ164" s="3"/>
      <c r="JCK164" s="3"/>
      <c r="JCL164" s="3"/>
      <c r="JCM164" s="3"/>
      <c r="JCN164" s="3"/>
      <c r="JCO164" s="3"/>
      <c r="JCP164" s="3"/>
      <c r="JCQ164" s="3"/>
      <c r="JCR164" s="3"/>
      <c r="JCS164" s="3"/>
      <c r="JCT164" s="3"/>
      <c r="JCU164" s="3"/>
      <c r="JCV164" s="3"/>
      <c r="JCW164" s="3"/>
      <c r="JCX164" s="3"/>
      <c r="JCY164" s="3"/>
      <c r="JCZ164" s="3"/>
      <c r="JDA164" s="3"/>
      <c r="JDB164" s="3"/>
      <c r="JDC164" s="3"/>
      <c r="JDD164" s="3"/>
      <c r="JDE164" s="3"/>
      <c r="JDF164" s="3"/>
      <c r="JDG164" s="3"/>
      <c r="JDH164" s="3"/>
      <c r="JDI164" s="3"/>
      <c r="JDJ164" s="3"/>
      <c r="JDK164" s="3"/>
      <c r="JDL164" s="3"/>
      <c r="JDM164" s="3"/>
      <c r="JDN164" s="3"/>
      <c r="JDO164" s="3"/>
      <c r="JDP164" s="3"/>
      <c r="JDQ164" s="3"/>
      <c r="JDR164" s="3"/>
      <c r="JDS164" s="3"/>
      <c r="JDT164" s="3"/>
      <c r="JDU164" s="3"/>
      <c r="JDV164" s="3"/>
      <c r="JDW164" s="3"/>
      <c r="JDX164" s="3"/>
      <c r="JDY164" s="3"/>
      <c r="JDZ164" s="3"/>
      <c r="JEA164" s="3"/>
      <c r="JEB164" s="3"/>
      <c r="JEC164" s="3"/>
      <c r="JED164" s="3"/>
      <c r="JEE164" s="3"/>
      <c r="JEF164" s="3"/>
      <c r="JEG164" s="3"/>
      <c r="JEH164" s="3"/>
      <c r="JEI164" s="3"/>
      <c r="JEJ164" s="3"/>
      <c r="JEK164" s="3"/>
      <c r="JEL164" s="3"/>
      <c r="JEM164" s="3"/>
      <c r="JEN164" s="3"/>
      <c r="JEO164" s="3"/>
      <c r="JEP164" s="3"/>
      <c r="JEQ164" s="3"/>
      <c r="JER164" s="3"/>
      <c r="JES164" s="3"/>
      <c r="JET164" s="3"/>
      <c r="JEU164" s="3"/>
      <c r="JEV164" s="3"/>
      <c r="JEW164" s="3"/>
      <c r="JEX164" s="3"/>
      <c r="JEY164" s="3"/>
      <c r="JEZ164" s="3"/>
      <c r="JFA164" s="3"/>
      <c r="JFB164" s="3"/>
      <c r="JFC164" s="3"/>
      <c r="JFD164" s="3"/>
      <c r="JFE164" s="3"/>
      <c r="JFF164" s="3"/>
      <c r="JFG164" s="3"/>
      <c r="JFH164" s="3"/>
      <c r="JFI164" s="3"/>
      <c r="JFJ164" s="3"/>
      <c r="JFK164" s="3"/>
      <c r="JFL164" s="3"/>
      <c r="JFM164" s="3"/>
      <c r="JFN164" s="3"/>
      <c r="JFO164" s="3"/>
      <c r="JFP164" s="3"/>
      <c r="JFQ164" s="3"/>
      <c r="JFR164" s="3"/>
      <c r="JFS164" s="3"/>
      <c r="JFT164" s="3"/>
      <c r="JFU164" s="3"/>
      <c r="JFV164" s="3"/>
      <c r="JFW164" s="3"/>
      <c r="JFX164" s="3"/>
      <c r="JFY164" s="3"/>
      <c r="JFZ164" s="3"/>
      <c r="JGA164" s="3"/>
      <c r="JGB164" s="3"/>
      <c r="JGC164" s="3"/>
      <c r="JGD164" s="3"/>
      <c r="JGE164" s="3"/>
      <c r="JGF164" s="3"/>
      <c r="JGG164" s="3"/>
      <c r="JGH164" s="3"/>
      <c r="JGI164" s="3"/>
      <c r="JGJ164" s="3"/>
      <c r="JGK164" s="3"/>
      <c r="JGL164" s="3"/>
      <c r="JGM164" s="3"/>
      <c r="JGN164" s="3"/>
      <c r="JGO164" s="3"/>
      <c r="JGP164" s="3"/>
      <c r="JGQ164" s="3"/>
      <c r="JGR164" s="3"/>
      <c r="JGS164" s="3"/>
      <c r="JGT164" s="3"/>
      <c r="JGU164" s="3"/>
      <c r="JGV164" s="3"/>
      <c r="JGW164" s="3"/>
      <c r="JGX164" s="3"/>
      <c r="JGY164" s="3"/>
      <c r="JGZ164" s="3"/>
      <c r="JHA164" s="3"/>
      <c r="JHB164" s="3"/>
      <c r="JHC164" s="3"/>
      <c r="JHD164" s="3"/>
      <c r="JHE164" s="3"/>
      <c r="JHF164" s="3"/>
      <c r="JHG164" s="3"/>
      <c r="JHH164" s="3"/>
      <c r="JHI164" s="3"/>
      <c r="JHJ164" s="3"/>
      <c r="JHK164" s="3"/>
      <c r="JHL164" s="3"/>
      <c r="JHM164" s="3"/>
      <c r="JHN164" s="3"/>
      <c r="JHO164" s="3"/>
      <c r="JHP164" s="3"/>
      <c r="JHQ164" s="3"/>
      <c r="JHR164" s="3"/>
      <c r="JHS164" s="3"/>
      <c r="JHT164" s="3"/>
      <c r="JHU164" s="3"/>
      <c r="JHV164" s="3"/>
      <c r="JHW164" s="3"/>
      <c r="JHX164" s="3"/>
      <c r="JHY164" s="3"/>
      <c r="JHZ164" s="3"/>
      <c r="JIA164" s="3"/>
      <c r="JIB164" s="3"/>
      <c r="JIC164" s="3"/>
      <c r="JID164" s="3"/>
      <c r="JIE164" s="3"/>
      <c r="JIF164" s="3"/>
      <c r="JIG164" s="3"/>
      <c r="JIH164" s="3"/>
      <c r="JII164" s="3"/>
      <c r="JIJ164" s="3"/>
      <c r="JIK164" s="3"/>
      <c r="JIL164" s="3"/>
      <c r="JIM164" s="3"/>
      <c r="JIN164" s="3"/>
      <c r="JIO164" s="3"/>
      <c r="JIP164" s="3"/>
      <c r="JIQ164" s="3"/>
      <c r="JIR164" s="3"/>
      <c r="JIS164" s="3"/>
      <c r="JIT164" s="3"/>
      <c r="JIU164" s="3"/>
      <c r="JIV164" s="3"/>
      <c r="JIW164" s="3"/>
      <c r="JIX164" s="3"/>
      <c r="JIY164" s="3"/>
      <c r="JIZ164" s="3"/>
      <c r="JJA164" s="3"/>
      <c r="JJB164" s="3"/>
      <c r="JJC164" s="3"/>
      <c r="JJD164" s="3"/>
      <c r="JJE164" s="3"/>
      <c r="JJF164" s="3"/>
      <c r="JJG164" s="3"/>
      <c r="JJH164" s="3"/>
      <c r="JJI164" s="3"/>
      <c r="JJJ164" s="3"/>
      <c r="JJK164" s="3"/>
      <c r="JJL164" s="3"/>
      <c r="JJM164" s="3"/>
      <c r="JJN164" s="3"/>
      <c r="JJO164" s="3"/>
      <c r="JJP164" s="3"/>
      <c r="JJQ164" s="3"/>
      <c r="JJR164" s="3"/>
      <c r="JJS164" s="3"/>
      <c r="JJT164" s="3"/>
      <c r="JJU164" s="3"/>
      <c r="JJV164" s="3"/>
      <c r="JJW164" s="3"/>
      <c r="JJX164" s="3"/>
      <c r="JJY164" s="3"/>
      <c r="JJZ164" s="3"/>
      <c r="JKA164" s="3"/>
      <c r="JKB164" s="3"/>
      <c r="JKC164" s="3"/>
      <c r="JKD164" s="3"/>
      <c r="JKE164" s="3"/>
      <c r="JKF164" s="3"/>
      <c r="JKG164" s="3"/>
      <c r="JKH164" s="3"/>
      <c r="JKI164" s="3"/>
      <c r="JKJ164" s="3"/>
      <c r="JKK164" s="3"/>
      <c r="JKL164" s="3"/>
      <c r="JKM164" s="3"/>
      <c r="JKN164" s="3"/>
      <c r="JKO164" s="3"/>
      <c r="JKP164" s="3"/>
      <c r="JKQ164" s="3"/>
      <c r="JKR164" s="3"/>
      <c r="JKS164" s="3"/>
      <c r="JKT164" s="3"/>
      <c r="JKU164" s="3"/>
      <c r="JKV164" s="3"/>
      <c r="JKW164" s="3"/>
      <c r="JKX164" s="3"/>
      <c r="JKY164" s="3"/>
      <c r="JKZ164" s="3"/>
      <c r="JLA164" s="3"/>
      <c r="JLB164" s="3"/>
      <c r="JLC164" s="3"/>
      <c r="JLD164" s="3"/>
      <c r="JLE164" s="3"/>
      <c r="JLF164" s="3"/>
      <c r="JLG164" s="3"/>
      <c r="JLH164" s="3"/>
      <c r="JLI164" s="3"/>
      <c r="JLJ164" s="3"/>
      <c r="JLK164" s="3"/>
      <c r="JLL164" s="3"/>
      <c r="JLM164" s="3"/>
      <c r="JLN164" s="3"/>
      <c r="JLO164" s="3"/>
      <c r="JLP164" s="3"/>
      <c r="JLQ164" s="3"/>
      <c r="JLR164" s="3"/>
      <c r="JLS164" s="3"/>
      <c r="JLT164" s="3"/>
      <c r="JLU164" s="3"/>
      <c r="JLV164" s="3"/>
      <c r="JLW164" s="3"/>
      <c r="JLX164" s="3"/>
      <c r="JLY164" s="3"/>
      <c r="JLZ164" s="3"/>
      <c r="JMA164" s="3"/>
      <c r="JMB164" s="3"/>
      <c r="JMC164" s="3"/>
      <c r="JMD164" s="3"/>
      <c r="JME164" s="3"/>
      <c r="JMF164" s="3"/>
      <c r="JMG164" s="3"/>
      <c r="JMH164" s="3"/>
      <c r="JMI164" s="3"/>
      <c r="JMJ164" s="3"/>
      <c r="JMK164" s="3"/>
      <c r="JML164" s="3"/>
      <c r="JMM164" s="3"/>
      <c r="JMN164" s="3"/>
      <c r="JMO164" s="3"/>
      <c r="JMP164" s="3"/>
      <c r="JMQ164" s="3"/>
      <c r="JMR164" s="3"/>
      <c r="JMS164" s="3"/>
      <c r="JMT164" s="3"/>
      <c r="JMU164" s="3"/>
      <c r="JMV164" s="3"/>
      <c r="JMW164" s="3"/>
      <c r="JMX164" s="3"/>
      <c r="JMY164" s="3"/>
      <c r="JMZ164" s="3"/>
      <c r="JNA164" s="3"/>
      <c r="JNB164" s="3"/>
      <c r="JNC164" s="3"/>
      <c r="JND164" s="3"/>
      <c r="JNE164" s="3"/>
      <c r="JNF164" s="3"/>
      <c r="JNG164" s="3"/>
      <c r="JNH164" s="3"/>
      <c r="JNI164" s="3"/>
      <c r="JNJ164" s="3"/>
      <c r="JNK164" s="3"/>
      <c r="JNL164" s="3"/>
      <c r="JNM164" s="3"/>
      <c r="JNN164" s="3"/>
      <c r="JNO164" s="3"/>
      <c r="JNP164" s="3"/>
      <c r="JNQ164" s="3"/>
      <c r="JNR164" s="3"/>
      <c r="JNS164" s="3"/>
      <c r="JNT164" s="3"/>
      <c r="JNU164" s="3"/>
      <c r="JNV164" s="3"/>
      <c r="JNW164" s="3"/>
      <c r="JNX164" s="3"/>
      <c r="JNY164" s="3"/>
      <c r="JNZ164" s="3"/>
      <c r="JOA164" s="3"/>
      <c r="JOB164" s="3"/>
      <c r="JOC164" s="3"/>
      <c r="JOD164" s="3"/>
      <c r="JOE164" s="3"/>
      <c r="JOF164" s="3"/>
      <c r="JOG164" s="3"/>
      <c r="JOH164" s="3"/>
      <c r="JOI164" s="3"/>
      <c r="JOJ164" s="3"/>
      <c r="JOK164" s="3"/>
      <c r="JOL164" s="3"/>
      <c r="JOM164" s="3"/>
      <c r="JON164" s="3"/>
      <c r="JOO164" s="3"/>
      <c r="JOP164" s="3"/>
      <c r="JOQ164" s="3"/>
      <c r="JOR164" s="3"/>
      <c r="JOS164" s="3"/>
      <c r="JOT164" s="3"/>
      <c r="JOU164" s="3"/>
      <c r="JOV164" s="3"/>
      <c r="JOW164" s="3"/>
      <c r="JOX164" s="3"/>
      <c r="JOY164" s="3"/>
      <c r="JOZ164" s="3"/>
      <c r="JPA164" s="3"/>
      <c r="JPB164" s="3"/>
      <c r="JPC164" s="3"/>
      <c r="JPD164" s="3"/>
      <c r="JPE164" s="3"/>
      <c r="JPF164" s="3"/>
      <c r="JPG164" s="3"/>
      <c r="JPH164" s="3"/>
      <c r="JPI164" s="3"/>
      <c r="JPJ164" s="3"/>
      <c r="JPK164" s="3"/>
      <c r="JPL164" s="3"/>
      <c r="JPM164" s="3"/>
      <c r="JPN164" s="3"/>
      <c r="JPO164" s="3"/>
      <c r="JPP164" s="3"/>
      <c r="JPQ164" s="3"/>
      <c r="JPR164" s="3"/>
      <c r="JPS164" s="3"/>
      <c r="JPT164" s="3"/>
      <c r="JPU164" s="3"/>
      <c r="JPV164" s="3"/>
      <c r="JPW164" s="3"/>
      <c r="JPX164" s="3"/>
      <c r="JPY164" s="3"/>
      <c r="JPZ164" s="3"/>
      <c r="JQA164" s="3"/>
      <c r="JQB164" s="3"/>
      <c r="JQC164" s="3"/>
      <c r="JQD164" s="3"/>
      <c r="JQE164" s="3"/>
      <c r="JQF164" s="3"/>
      <c r="JQG164" s="3"/>
      <c r="JQH164" s="3"/>
      <c r="JQI164" s="3"/>
      <c r="JQJ164" s="3"/>
      <c r="JQK164" s="3"/>
      <c r="JQL164" s="3"/>
      <c r="JQM164" s="3"/>
      <c r="JQN164" s="3"/>
      <c r="JQO164" s="3"/>
      <c r="JQP164" s="3"/>
      <c r="JQQ164" s="3"/>
      <c r="JQR164" s="3"/>
      <c r="JQS164" s="3"/>
      <c r="JQT164" s="3"/>
      <c r="JQU164" s="3"/>
      <c r="JQV164" s="3"/>
      <c r="JQW164" s="3"/>
      <c r="JQX164" s="3"/>
      <c r="JQY164" s="3"/>
      <c r="JQZ164" s="3"/>
      <c r="JRA164" s="3"/>
      <c r="JRB164" s="3"/>
      <c r="JRC164" s="3"/>
      <c r="JRD164" s="3"/>
      <c r="JRE164" s="3"/>
      <c r="JRF164" s="3"/>
      <c r="JRG164" s="3"/>
      <c r="JRH164" s="3"/>
      <c r="JRI164" s="3"/>
      <c r="JRJ164" s="3"/>
      <c r="JRK164" s="3"/>
      <c r="JRL164" s="3"/>
      <c r="JRM164" s="3"/>
      <c r="JRN164" s="3"/>
      <c r="JRO164" s="3"/>
      <c r="JRP164" s="3"/>
      <c r="JRQ164" s="3"/>
      <c r="JRR164" s="3"/>
      <c r="JRS164" s="3"/>
      <c r="JRT164" s="3"/>
      <c r="JRU164" s="3"/>
      <c r="JRV164" s="3"/>
      <c r="JRW164" s="3"/>
      <c r="JRX164" s="3"/>
      <c r="JRY164" s="3"/>
      <c r="JRZ164" s="3"/>
      <c r="JSA164" s="3"/>
      <c r="JSB164" s="3"/>
      <c r="JSC164" s="3"/>
      <c r="JSD164" s="3"/>
      <c r="JSE164" s="3"/>
      <c r="JSF164" s="3"/>
      <c r="JSG164" s="3"/>
      <c r="JSH164" s="3"/>
      <c r="JSI164" s="3"/>
      <c r="JSJ164" s="3"/>
      <c r="JSK164" s="3"/>
      <c r="JSL164" s="3"/>
      <c r="JSM164" s="3"/>
      <c r="JSN164" s="3"/>
      <c r="JSO164" s="3"/>
      <c r="JSP164" s="3"/>
      <c r="JSQ164" s="3"/>
      <c r="JSR164" s="3"/>
      <c r="JSS164" s="3"/>
      <c r="JST164" s="3"/>
      <c r="JSU164" s="3"/>
      <c r="JSV164" s="3"/>
      <c r="JSW164" s="3"/>
      <c r="JSX164" s="3"/>
      <c r="JSY164" s="3"/>
      <c r="JSZ164" s="3"/>
      <c r="JTA164" s="3"/>
      <c r="JTB164" s="3"/>
      <c r="JTC164" s="3"/>
      <c r="JTD164" s="3"/>
      <c r="JTE164" s="3"/>
      <c r="JTF164" s="3"/>
      <c r="JTG164" s="3"/>
      <c r="JTH164" s="3"/>
      <c r="JTI164" s="3"/>
      <c r="JTJ164" s="3"/>
      <c r="JTK164" s="3"/>
      <c r="JTL164" s="3"/>
      <c r="JTM164" s="3"/>
      <c r="JTN164" s="3"/>
      <c r="JTO164" s="3"/>
      <c r="JTP164" s="3"/>
      <c r="JTQ164" s="3"/>
      <c r="JTR164" s="3"/>
      <c r="JTS164" s="3"/>
      <c r="JTT164" s="3"/>
      <c r="JTU164" s="3"/>
      <c r="JTV164" s="3"/>
      <c r="JTW164" s="3"/>
      <c r="JTX164" s="3"/>
      <c r="JTY164" s="3"/>
      <c r="JTZ164" s="3"/>
      <c r="JUA164" s="3"/>
      <c r="JUB164" s="3"/>
      <c r="JUC164" s="3"/>
      <c r="JUD164" s="3"/>
      <c r="JUE164" s="3"/>
      <c r="JUF164" s="3"/>
      <c r="JUG164" s="3"/>
      <c r="JUH164" s="3"/>
      <c r="JUI164" s="3"/>
      <c r="JUJ164" s="3"/>
      <c r="JUK164" s="3"/>
      <c r="JUL164" s="3"/>
      <c r="JUM164" s="3"/>
      <c r="JUN164" s="3"/>
      <c r="JUO164" s="3"/>
      <c r="JUP164" s="3"/>
      <c r="JUQ164" s="3"/>
      <c r="JUR164" s="3"/>
      <c r="JUS164" s="3"/>
      <c r="JUT164" s="3"/>
      <c r="JUU164" s="3"/>
      <c r="JUV164" s="3"/>
      <c r="JUW164" s="3"/>
      <c r="JUX164" s="3"/>
      <c r="JUY164" s="3"/>
      <c r="JUZ164" s="3"/>
      <c r="JVA164" s="3"/>
      <c r="JVB164" s="3"/>
      <c r="JVC164" s="3"/>
      <c r="JVD164" s="3"/>
      <c r="JVE164" s="3"/>
      <c r="JVF164" s="3"/>
      <c r="JVG164" s="3"/>
      <c r="JVH164" s="3"/>
      <c r="JVI164" s="3"/>
      <c r="JVJ164" s="3"/>
      <c r="JVK164" s="3"/>
      <c r="JVL164" s="3"/>
      <c r="JVM164" s="3"/>
      <c r="JVN164" s="3"/>
      <c r="JVO164" s="3"/>
      <c r="JVP164" s="3"/>
      <c r="JVQ164" s="3"/>
      <c r="JVR164" s="3"/>
      <c r="JVS164" s="3"/>
      <c r="JVT164" s="3"/>
      <c r="JVU164" s="3"/>
      <c r="JVV164" s="3"/>
      <c r="JVW164" s="3"/>
      <c r="JVX164" s="3"/>
      <c r="JVY164" s="3"/>
      <c r="JVZ164" s="3"/>
      <c r="JWA164" s="3"/>
      <c r="JWB164" s="3"/>
      <c r="JWC164" s="3"/>
      <c r="JWD164" s="3"/>
      <c r="JWE164" s="3"/>
      <c r="JWF164" s="3"/>
      <c r="JWG164" s="3"/>
      <c r="JWH164" s="3"/>
      <c r="JWI164" s="3"/>
      <c r="JWJ164" s="3"/>
      <c r="JWK164" s="3"/>
      <c r="JWL164" s="3"/>
      <c r="JWM164" s="3"/>
      <c r="JWN164" s="3"/>
      <c r="JWO164" s="3"/>
      <c r="JWP164" s="3"/>
      <c r="JWQ164" s="3"/>
      <c r="JWR164" s="3"/>
      <c r="JWS164" s="3"/>
      <c r="JWT164" s="3"/>
      <c r="JWU164" s="3"/>
      <c r="JWV164" s="3"/>
      <c r="JWW164" s="3"/>
      <c r="JWX164" s="3"/>
      <c r="JWY164" s="3"/>
      <c r="JWZ164" s="3"/>
      <c r="JXA164" s="3"/>
      <c r="JXB164" s="3"/>
      <c r="JXC164" s="3"/>
      <c r="JXD164" s="3"/>
      <c r="JXE164" s="3"/>
      <c r="JXF164" s="3"/>
      <c r="JXG164" s="3"/>
      <c r="JXH164" s="3"/>
      <c r="JXI164" s="3"/>
      <c r="JXJ164" s="3"/>
      <c r="JXK164" s="3"/>
      <c r="JXL164" s="3"/>
      <c r="JXM164" s="3"/>
      <c r="JXN164" s="3"/>
      <c r="JXO164" s="3"/>
      <c r="JXP164" s="3"/>
      <c r="JXQ164" s="3"/>
      <c r="JXR164" s="3"/>
      <c r="JXS164" s="3"/>
      <c r="JXT164" s="3"/>
      <c r="JXU164" s="3"/>
      <c r="JXV164" s="3"/>
      <c r="JXW164" s="3"/>
      <c r="JXX164" s="3"/>
      <c r="JXY164" s="3"/>
      <c r="JXZ164" s="3"/>
      <c r="JYA164" s="3"/>
      <c r="JYB164" s="3"/>
      <c r="JYC164" s="3"/>
      <c r="JYD164" s="3"/>
      <c r="JYE164" s="3"/>
      <c r="JYF164" s="3"/>
      <c r="JYG164" s="3"/>
      <c r="JYH164" s="3"/>
      <c r="JYI164" s="3"/>
      <c r="JYJ164" s="3"/>
      <c r="JYK164" s="3"/>
      <c r="JYL164" s="3"/>
      <c r="JYM164" s="3"/>
      <c r="JYN164" s="3"/>
      <c r="JYO164" s="3"/>
      <c r="JYP164" s="3"/>
      <c r="JYQ164" s="3"/>
      <c r="JYR164" s="3"/>
      <c r="JYS164" s="3"/>
      <c r="JYT164" s="3"/>
      <c r="JYU164" s="3"/>
      <c r="JYV164" s="3"/>
      <c r="JYW164" s="3"/>
      <c r="JYX164" s="3"/>
      <c r="JYY164" s="3"/>
      <c r="JYZ164" s="3"/>
      <c r="JZA164" s="3"/>
      <c r="JZB164" s="3"/>
      <c r="JZC164" s="3"/>
      <c r="JZD164" s="3"/>
      <c r="JZE164" s="3"/>
      <c r="JZF164" s="3"/>
      <c r="JZG164" s="3"/>
      <c r="JZH164" s="3"/>
      <c r="JZI164" s="3"/>
      <c r="JZJ164" s="3"/>
      <c r="JZK164" s="3"/>
      <c r="JZL164" s="3"/>
      <c r="JZM164" s="3"/>
      <c r="JZN164" s="3"/>
      <c r="JZO164" s="3"/>
      <c r="JZP164" s="3"/>
      <c r="JZQ164" s="3"/>
      <c r="JZR164" s="3"/>
      <c r="JZS164" s="3"/>
      <c r="JZT164" s="3"/>
      <c r="JZU164" s="3"/>
      <c r="JZV164" s="3"/>
      <c r="JZW164" s="3"/>
      <c r="JZX164" s="3"/>
      <c r="JZY164" s="3"/>
      <c r="JZZ164" s="3"/>
      <c r="KAA164" s="3"/>
      <c r="KAB164" s="3"/>
      <c r="KAC164" s="3"/>
      <c r="KAD164" s="3"/>
      <c r="KAE164" s="3"/>
      <c r="KAF164" s="3"/>
      <c r="KAG164" s="3"/>
      <c r="KAH164" s="3"/>
      <c r="KAI164" s="3"/>
      <c r="KAJ164" s="3"/>
      <c r="KAK164" s="3"/>
      <c r="KAL164" s="3"/>
      <c r="KAM164" s="3"/>
      <c r="KAN164" s="3"/>
      <c r="KAO164" s="3"/>
      <c r="KAP164" s="3"/>
      <c r="KAQ164" s="3"/>
      <c r="KAR164" s="3"/>
      <c r="KAS164" s="3"/>
      <c r="KAT164" s="3"/>
      <c r="KAU164" s="3"/>
      <c r="KAV164" s="3"/>
      <c r="KAW164" s="3"/>
      <c r="KAX164" s="3"/>
      <c r="KAY164" s="3"/>
      <c r="KAZ164" s="3"/>
      <c r="KBA164" s="3"/>
      <c r="KBB164" s="3"/>
      <c r="KBC164" s="3"/>
      <c r="KBD164" s="3"/>
      <c r="KBE164" s="3"/>
      <c r="KBF164" s="3"/>
      <c r="KBG164" s="3"/>
      <c r="KBH164" s="3"/>
      <c r="KBI164" s="3"/>
      <c r="KBJ164" s="3"/>
      <c r="KBK164" s="3"/>
      <c r="KBL164" s="3"/>
      <c r="KBM164" s="3"/>
      <c r="KBN164" s="3"/>
      <c r="KBO164" s="3"/>
      <c r="KBP164" s="3"/>
      <c r="KBQ164" s="3"/>
      <c r="KBR164" s="3"/>
      <c r="KBS164" s="3"/>
      <c r="KBT164" s="3"/>
      <c r="KBU164" s="3"/>
      <c r="KBV164" s="3"/>
      <c r="KBW164" s="3"/>
      <c r="KBX164" s="3"/>
      <c r="KBY164" s="3"/>
      <c r="KBZ164" s="3"/>
      <c r="KCA164" s="3"/>
      <c r="KCB164" s="3"/>
      <c r="KCC164" s="3"/>
      <c r="KCD164" s="3"/>
      <c r="KCE164" s="3"/>
      <c r="KCF164" s="3"/>
      <c r="KCG164" s="3"/>
      <c r="KCH164" s="3"/>
      <c r="KCI164" s="3"/>
      <c r="KCJ164" s="3"/>
      <c r="KCK164" s="3"/>
      <c r="KCL164" s="3"/>
      <c r="KCM164" s="3"/>
      <c r="KCN164" s="3"/>
      <c r="KCO164" s="3"/>
      <c r="KCP164" s="3"/>
      <c r="KCQ164" s="3"/>
      <c r="KCR164" s="3"/>
      <c r="KCS164" s="3"/>
      <c r="KCT164" s="3"/>
      <c r="KCU164" s="3"/>
      <c r="KCV164" s="3"/>
      <c r="KCW164" s="3"/>
      <c r="KCX164" s="3"/>
      <c r="KCY164" s="3"/>
      <c r="KCZ164" s="3"/>
      <c r="KDA164" s="3"/>
      <c r="KDB164" s="3"/>
      <c r="KDC164" s="3"/>
      <c r="KDD164" s="3"/>
      <c r="KDE164" s="3"/>
      <c r="KDF164" s="3"/>
      <c r="KDG164" s="3"/>
      <c r="KDH164" s="3"/>
      <c r="KDI164" s="3"/>
      <c r="KDJ164" s="3"/>
      <c r="KDK164" s="3"/>
      <c r="KDL164" s="3"/>
      <c r="KDM164" s="3"/>
      <c r="KDN164" s="3"/>
      <c r="KDO164" s="3"/>
      <c r="KDP164" s="3"/>
      <c r="KDQ164" s="3"/>
      <c r="KDR164" s="3"/>
      <c r="KDS164" s="3"/>
      <c r="KDT164" s="3"/>
      <c r="KDU164" s="3"/>
      <c r="KDV164" s="3"/>
      <c r="KDW164" s="3"/>
      <c r="KDX164" s="3"/>
      <c r="KDY164" s="3"/>
      <c r="KDZ164" s="3"/>
      <c r="KEA164" s="3"/>
      <c r="KEB164" s="3"/>
      <c r="KEC164" s="3"/>
      <c r="KED164" s="3"/>
      <c r="KEE164" s="3"/>
      <c r="KEF164" s="3"/>
      <c r="KEG164" s="3"/>
      <c r="KEH164" s="3"/>
      <c r="KEI164" s="3"/>
      <c r="KEJ164" s="3"/>
      <c r="KEK164" s="3"/>
      <c r="KEL164" s="3"/>
      <c r="KEM164" s="3"/>
      <c r="KEN164" s="3"/>
      <c r="KEO164" s="3"/>
      <c r="KEP164" s="3"/>
      <c r="KEQ164" s="3"/>
      <c r="KER164" s="3"/>
      <c r="KES164" s="3"/>
      <c r="KET164" s="3"/>
      <c r="KEU164" s="3"/>
      <c r="KEV164" s="3"/>
      <c r="KEW164" s="3"/>
      <c r="KEX164" s="3"/>
      <c r="KEY164" s="3"/>
      <c r="KEZ164" s="3"/>
      <c r="KFA164" s="3"/>
      <c r="KFB164" s="3"/>
      <c r="KFC164" s="3"/>
      <c r="KFD164" s="3"/>
      <c r="KFE164" s="3"/>
      <c r="KFF164" s="3"/>
      <c r="KFG164" s="3"/>
      <c r="KFH164" s="3"/>
      <c r="KFI164" s="3"/>
      <c r="KFJ164" s="3"/>
      <c r="KFK164" s="3"/>
      <c r="KFL164" s="3"/>
      <c r="KFM164" s="3"/>
      <c r="KFN164" s="3"/>
      <c r="KFO164" s="3"/>
      <c r="KFP164" s="3"/>
      <c r="KFQ164" s="3"/>
      <c r="KFR164" s="3"/>
      <c r="KFS164" s="3"/>
      <c r="KFT164" s="3"/>
      <c r="KFU164" s="3"/>
      <c r="KFV164" s="3"/>
      <c r="KFW164" s="3"/>
      <c r="KFX164" s="3"/>
      <c r="KFY164" s="3"/>
      <c r="KFZ164" s="3"/>
      <c r="KGA164" s="3"/>
      <c r="KGB164" s="3"/>
      <c r="KGC164" s="3"/>
      <c r="KGD164" s="3"/>
      <c r="KGE164" s="3"/>
      <c r="KGF164" s="3"/>
      <c r="KGG164" s="3"/>
      <c r="KGH164" s="3"/>
      <c r="KGI164" s="3"/>
      <c r="KGJ164" s="3"/>
      <c r="KGK164" s="3"/>
      <c r="KGL164" s="3"/>
      <c r="KGM164" s="3"/>
      <c r="KGN164" s="3"/>
      <c r="KGO164" s="3"/>
      <c r="KGP164" s="3"/>
      <c r="KGQ164" s="3"/>
      <c r="KGR164" s="3"/>
      <c r="KGS164" s="3"/>
      <c r="KGT164" s="3"/>
      <c r="KGU164" s="3"/>
      <c r="KGV164" s="3"/>
      <c r="KGW164" s="3"/>
      <c r="KGX164" s="3"/>
      <c r="KGY164" s="3"/>
      <c r="KGZ164" s="3"/>
      <c r="KHA164" s="3"/>
      <c r="KHB164" s="3"/>
      <c r="KHC164" s="3"/>
      <c r="KHD164" s="3"/>
      <c r="KHE164" s="3"/>
      <c r="KHF164" s="3"/>
      <c r="KHG164" s="3"/>
      <c r="KHH164" s="3"/>
      <c r="KHI164" s="3"/>
      <c r="KHJ164" s="3"/>
      <c r="KHK164" s="3"/>
      <c r="KHL164" s="3"/>
      <c r="KHM164" s="3"/>
      <c r="KHN164" s="3"/>
      <c r="KHO164" s="3"/>
      <c r="KHP164" s="3"/>
      <c r="KHQ164" s="3"/>
      <c r="KHR164" s="3"/>
      <c r="KHS164" s="3"/>
      <c r="KHT164" s="3"/>
      <c r="KHU164" s="3"/>
      <c r="KHV164" s="3"/>
      <c r="KHW164" s="3"/>
      <c r="KHX164" s="3"/>
      <c r="KHY164" s="3"/>
      <c r="KHZ164" s="3"/>
      <c r="KIA164" s="3"/>
      <c r="KIB164" s="3"/>
      <c r="KIC164" s="3"/>
      <c r="KID164" s="3"/>
      <c r="KIE164" s="3"/>
      <c r="KIF164" s="3"/>
      <c r="KIG164" s="3"/>
      <c r="KIH164" s="3"/>
      <c r="KII164" s="3"/>
      <c r="KIJ164" s="3"/>
      <c r="KIK164" s="3"/>
      <c r="KIL164" s="3"/>
      <c r="KIM164" s="3"/>
      <c r="KIN164" s="3"/>
      <c r="KIO164" s="3"/>
      <c r="KIP164" s="3"/>
      <c r="KIQ164" s="3"/>
      <c r="KIR164" s="3"/>
      <c r="KIS164" s="3"/>
      <c r="KIT164" s="3"/>
      <c r="KIU164" s="3"/>
      <c r="KIV164" s="3"/>
      <c r="KIW164" s="3"/>
      <c r="KIX164" s="3"/>
      <c r="KIY164" s="3"/>
      <c r="KIZ164" s="3"/>
      <c r="KJA164" s="3"/>
      <c r="KJB164" s="3"/>
      <c r="KJC164" s="3"/>
      <c r="KJD164" s="3"/>
      <c r="KJE164" s="3"/>
      <c r="KJF164" s="3"/>
      <c r="KJG164" s="3"/>
      <c r="KJH164" s="3"/>
      <c r="KJI164" s="3"/>
      <c r="KJJ164" s="3"/>
      <c r="KJK164" s="3"/>
      <c r="KJL164" s="3"/>
      <c r="KJM164" s="3"/>
      <c r="KJN164" s="3"/>
      <c r="KJO164" s="3"/>
      <c r="KJP164" s="3"/>
      <c r="KJQ164" s="3"/>
      <c r="KJR164" s="3"/>
      <c r="KJS164" s="3"/>
      <c r="KJT164" s="3"/>
      <c r="KJU164" s="3"/>
      <c r="KJV164" s="3"/>
      <c r="KJW164" s="3"/>
      <c r="KJX164" s="3"/>
      <c r="KJY164" s="3"/>
      <c r="KJZ164" s="3"/>
      <c r="KKA164" s="3"/>
      <c r="KKB164" s="3"/>
      <c r="KKC164" s="3"/>
      <c r="KKD164" s="3"/>
      <c r="KKE164" s="3"/>
      <c r="KKF164" s="3"/>
      <c r="KKG164" s="3"/>
      <c r="KKH164" s="3"/>
      <c r="KKI164" s="3"/>
      <c r="KKJ164" s="3"/>
      <c r="KKK164" s="3"/>
      <c r="KKL164" s="3"/>
      <c r="KKM164" s="3"/>
      <c r="KKN164" s="3"/>
      <c r="KKO164" s="3"/>
      <c r="KKP164" s="3"/>
      <c r="KKQ164" s="3"/>
      <c r="KKR164" s="3"/>
      <c r="KKS164" s="3"/>
      <c r="KKT164" s="3"/>
      <c r="KKU164" s="3"/>
      <c r="KKV164" s="3"/>
      <c r="KKW164" s="3"/>
      <c r="KKX164" s="3"/>
      <c r="KKY164" s="3"/>
      <c r="KKZ164" s="3"/>
      <c r="KLA164" s="3"/>
      <c r="KLB164" s="3"/>
      <c r="KLC164" s="3"/>
      <c r="KLD164" s="3"/>
      <c r="KLE164" s="3"/>
      <c r="KLF164" s="3"/>
      <c r="KLG164" s="3"/>
      <c r="KLH164" s="3"/>
      <c r="KLI164" s="3"/>
      <c r="KLJ164" s="3"/>
      <c r="KLK164" s="3"/>
      <c r="KLL164" s="3"/>
      <c r="KLM164" s="3"/>
      <c r="KLN164" s="3"/>
      <c r="KLO164" s="3"/>
      <c r="KLP164" s="3"/>
      <c r="KLQ164" s="3"/>
      <c r="KLR164" s="3"/>
      <c r="KLS164" s="3"/>
      <c r="KLT164" s="3"/>
      <c r="KLU164" s="3"/>
      <c r="KLV164" s="3"/>
      <c r="KLW164" s="3"/>
      <c r="KLX164" s="3"/>
      <c r="KLY164" s="3"/>
      <c r="KLZ164" s="3"/>
      <c r="KMA164" s="3"/>
      <c r="KMB164" s="3"/>
      <c r="KMC164" s="3"/>
      <c r="KMD164" s="3"/>
      <c r="KME164" s="3"/>
      <c r="KMF164" s="3"/>
      <c r="KMG164" s="3"/>
      <c r="KMH164" s="3"/>
      <c r="KMI164" s="3"/>
      <c r="KMJ164" s="3"/>
      <c r="KMK164" s="3"/>
      <c r="KML164" s="3"/>
      <c r="KMM164" s="3"/>
      <c r="KMN164" s="3"/>
      <c r="KMO164" s="3"/>
      <c r="KMP164" s="3"/>
      <c r="KMQ164" s="3"/>
      <c r="KMR164" s="3"/>
      <c r="KMS164" s="3"/>
      <c r="KMT164" s="3"/>
      <c r="KMU164" s="3"/>
      <c r="KMV164" s="3"/>
      <c r="KMW164" s="3"/>
      <c r="KMX164" s="3"/>
      <c r="KMY164" s="3"/>
      <c r="KMZ164" s="3"/>
      <c r="KNA164" s="3"/>
      <c r="KNB164" s="3"/>
      <c r="KNC164" s="3"/>
      <c r="KND164" s="3"/>
      <c r="KNE164" s="3"/>
      <c r="KNF164" s="3"/>
      <c r="KNG164" s="3"/>
      <c r="KNH164" s="3"/>
      <c r="KNI164" s="3"/>
      <c r="KNJ164" s="3"/>
      <c r="KNK164" s="3"/>
      <c r="KNL164" s="3"/>
      <c r="KNM164" s="3"/>
      <c r="KNN164" s="3"/>
      <c r="KNO164" s="3"/>
      <c r="KNP164" s="3"/>
      <c r="KNQ164" s="3"/>
      <c r="KNR164" s="3"/>
      <c r="KNS164" s="3"/>
      <c r="KNT164" s="3"/>
      <c r="KNU164" s="3"/>
      <c r="KNV164" s="3"/>
      <c r="KNW164" s="3"/>
      <c r="KNX164" s="3"/>
      <c r="KNY164" s="3"/>
      <c r="KNZ164" s="3"/>
      <c r="KOA164" s="3"/>
      <c r="KOB164" s="3"/>
      <c r="KOC164" s="3"/>
      <c r="KOD164" s="3"/>
      <c r="KOE164" s="3"/>
      <c r="KOF164" s="3"/>
      <c r="KOG164" s="3"/>
      <c r="KOH164" s="3"/>
      <c r="KOI164" s="3"/>
      <c r="KOJ164" s="3"/>
      <c r="KOK164" s="3"/>
      <c r="KOL164" s="3"/>
      <c r="KOM164" s="3"/>
      <c r="KON164" s="3"/>
      <c r="KOO164" s="3"/>
      <c r="KOP164" s="3"/>
      <c r="KOQ164" s="3"/>
      <c r="KOR164" s="3"/>
      <c r="KOS164" s="3"/>
      <c r="KOT164" s="3"/>
      <c r="KOU164" s="3"/>
      <c r="KOV164" s="3"/>
      <c r="KOW164" s="3"/>
      <c r="KOX164" s="3"/>
      <c r="KOY164" s="3"/>
      <c r="KOZ164" s="3"/>
      <c r="KPA164" s="3"/>
      <c r="KPB164" s="3"/>
      <c r="KPC164" s="3"/>
      <c r="KPD164" s="3"/>
      <c r="KPE164" s="3"/>
      <c r="KPF164" s="3"/>
      <c r="KPG164" s="3"/>
      <c r="KPH164" s="3"/>
      <c r="KPI164" s="3"/>
      <c r="KPJ164" s="3"/>
      <c r="KPK164" s="3"/>
      <c r="KPL164" s="3"/>
      <c r="KPM164" s="3"/>
      <c r="KPN164" s="3"/>
      <c r="KPO164" s="3"/>
      <c r="KPP164" s="3"/>
      <c r="KPQ164" s="3"/>
      <c r="KPR164" s="3"/>
      <c r="KPS164" s="3"/>
      <c r="KPT164" s="3"/>
      <c r="KPU164" s="3"/>
      <c r="KPV164" s="3"/>
      <c r="KPW164" s="3"/>
      <c r="KPX164" s="3"/>
      <c r="KPY164" s="3"/>
      <c r="KPZ164" s="3"/>
      <c r="KQA164" s="3"/>
      <c r="KQB164" s="3"/>
      <c r="KQC164" s="3"/>
      <c r="KQD164" s="3"/>
      <c r="KQE164" s="3"/>
      <c r="KQF164" s="3"/>
      <c r="KQG164" s="3"/>
      <c r="KQH164" s="3"/>
      <c r="KQI164" s="3"/>
      <c r="KQJ164" s="3"/>
      <c r="KQK164" s="3"/>
      <c r="KQL164" s="3"/>
      <c r="KQM164" s="3"/>
      <c r="KQN164" s="3"/>
      <c r="KQO164" s="3"/>
      <c r="KQP164" s="3"/>
      <c r="KQQ164" s="3"/>
      <c r="KQR164" s="3"/>
      <c r="KQS164" s="3"/>
      <c r="KQT164" s="3"/>
      <c r="KQU164" s="3"/>
      <c r="KQV164" s="3"/>
      <c r="KQW164" s="3"/>
      <c r="KQX164" s="3"/>
      <c r="KQY164" s="3"/>
      <c r="KQZ164" s="3"/>
      <c r="KRA164" s="3"/>
      <c r="KRB164" s="3"/>
      <c r="KRC164" s="3"/>
      <c r="KRD164" s="3"/>
      <c r="KRE164" s="3"/>
      <c r="KRF164" s="3"/>
      <c r="KRG164" s="3"/>
      <c r="KRH164" s="3"/>
      <c r="KRI164" s="3"/>
      <c r="KRJ164" s="3"/>
      <c r="KRK164" s="3"/>
      <c r="KRL164" s="3"/>
      <c r="KRM164" s="3"/>
      <c r="KRN164" s="3"/>
      <c r="KRO164" s="3"/>
      <c r="KRP164" s="3"/>
      <c r="KRQ164" s="3"/>
      <c r="KRR164" s="3"/>
      <c r="KRS164" s="3"/>
      <c r="KRT164" s="3"/>
      <c r="KRU164" s="3"/>
      <c r="KRV164" s="3"/>
      <c r="KRW164" s="3"/>
      <c r="KRX164" s="3"/>
      <c r="KRY164" s="3"/>
      <c r="KRZ164" s="3"/>
      <c r="KSA164" s="3"/>
      <c r="KSB164" s="3"/>
      <c r="KSC164" s="3"/>
      <c r="KSD164" s="3"/>
      <c r="KSE164" s="3"/>
      <c r="KSF164" s="3"/>
      <c r="KSG164" s="3"/>
      <c r="KSH164" s="3"/>
      <c r="KSI164" s="3"/>
      <c r="KSJ164" s="3"/>
      <c r="KSK164" s="3"/>
      <c r="KSL164" s="3"/>
      <c r="KSM164" s="3"/>
      <c r="KSN164" s="3"/>
      <c r="KSO164" s="3"/>
      <c r="KSP164" s="3"/>
      <c r="KSQ164" s="3"/>
      <c r="KSR164" s="3"/>
      <c r="KSS164" s="3"/>
      <c r="KST164" s="3"/>
      <c r="KSU164" s="3"/>
      <c r="KSV164" s="3"/>
      <c r="KSW164" s="3"/>
      <c r="KSX164" s="3"/>
      <c r="KSY164" s="3"/>
      <c r="KSZ164" s="3"/>
      <c r="KTA164" s="3"/>
      <c r="KTB164" s="3"/>
      <c r="KTC164" s="3"/>
      <c r="KTD164" s="3"/>
      <c r="KTE164" s="3"/>
      <c r="KTF164" s="3"/>
      <c r="KTG164" s="3"/>
      <c r="KTH164" s="3"/>
      <c r="KTI164" s="3"/>
      <c r="KTJ164" s="3"/>
      <c r="KTK164" s="3"/>
      <c r="KTL164" s="3"/>
      <c r="KTM164" s="3"/>
      <c r="KTN164" s="3"/>
      <c r="KTO164" s="3"/>
      <c r="KTP164" s="3"/>
      <c r="KTQ164" s="3"/>
      <c r="KTR164" s="3"/>
      <c r="KTS164" s="3"/>
      <c r="KTT164" s="3"/>
      <c r="KTU164" s="3"/>
      <c r="KTV164" s="3"/>
      <c r="KTW164" s="3"/>
      <c r="KTX164" s="3"/>
      <c r="KTY164" s="3"/>
      <c r="KTZ164" s="3"/>
      <c r="KUA164" s="3"/>
      <c r="KUB164" s="3"/>
      <c r="KUC164" s="3"/>
      <c r="KUD164" s="3"/>
      <c r="KUE164" s="3"/>
      <c r="KUF164" s="3"/>
      <c r="KUG164" s="3"/>
      <c r="KUH164" s="3"/>
      <c r="KUI164" s="3"/>
      <c r="KUJ164" s="3"/>
      <c r="KUK164" s="3"/>
      <c r="KUL164" s="3"/>
      <c r="KUM164" s="3"/>
      <c r="KUN164" s="3"/>
      <c r="KUO164" s="3"/>
      <c r="KUP164" s="3"/>
      <c r="KUQ164" s="3"/>
      <c r="KUR164" s="3"/>
      <c r="KUS164" s="3"/>
      <c r="KUT164" s="3"/>
      <c r="KUU164" s="3"/>
      <c r="KUV164" s="3"/>
      <c r="KUW164" s="3"/>
      <c r="KUX164" s="3"/>
      <c r="KUY164" s="3"/>
      <c r="KUZ164" s="3"/>
      <c r="KVA164" s="3"/>
      <c r="KVB164" s="3"/>
      <c r="KVC164" s="3"/>
      <c r="KVD164" s="3"/>
      <c r="KVE164" s="3"/>
      <c r="KVF164" s="3"/>
      <c r="KVG164" s="3"/>
      <c r="KVH164" s="3"/>
      <c r="KVI164" s="3"/>
      <c r="KVJ164" s="3"/>
      <c r="KVK164" s="3"/>
      <c r="KVL164" s="3"/>
      <c r="KVM164" s="3"/>
      <c r="KVN164" s="3"/>
      <c r="KVO164" s="3"/>
      <c r="KVP164" s="3"/>
      <c r="KVQ164" s="3"/>
      <c r="KVR164" s="3"/>
      <c r="KVS164" s="3"/>
      <c r="KVT164" s="3"/>
      <c r="KVU164" s="3"/>
      <c r="KVV164" s="3"/>
      <c r="KVW164" s="3"/>
      <c r="KVX164" s="3"/>
      <c r="KVY164" s="3"/>
      <c r="KVZ164" s="3"/>
      <c r="KWA164" s="3"/>
      <c r="KWB164" s="3"/>
      <c r="KWC164" s="3"/>
      <c r="KWD164" s="3"/>
      <c r="KWE164" s="3"/>
      <c r="KWF164" s="3"/>
      <c r="KWG164" s="3"/>
      <c r="KWH164" s="3"/>
      <c r="KWI164" s="3"/>
      <c r="KWJ164" s="3"/>
      <c r="KWK164" s="3"/>
      <c r="KWL164" s="3"/>
      <c r="KWM164" s="3"/>
      <c r="KWN164" s="3"/>
      <c r="KWO164" s="3"/>
      <c r="KWP164" s="3"/>
      <c r="KWQ164" s="3"/>
      <c r="KWR164" s="3"/>
      <c r="KWS164" s="3"/>
      <c r="KWT164" s="3"/>
      <c r="KWU164" s="3"/>
      <c r="KWV164" s="3"/>
      <c r="KWW164" s="3"/>
      <c r="KWX164" s="3"/>
      <c r="KWY164" s="3"/>
      <c r="KWZ164" s="3"/>
      <c r="KXA164" s="3"/>
      <c r="KXB164" s="3"/>
      <c r="KXC164" s="3"/>
      <c r="KXD164" s="3"/>
      <c r="KXE164" s="3"/>
      <c r="KXF164" s="3"/>
      <c r="KXG164" s="3"/>
      <c r="KXH164" s="3"/>
      <c r="KXI164" s="3"/>
      <c r="KXJ164" s="3"/>
      <c r="KXK164" s="3"/>
      <c r="KXL164" s="3"/>
      <c r="KXM164" s="3"/>
      <c r="KXN164" s="3"/>
      <c r="KXO164" s="3"/>
      <c r="KXP164" s="3"/>
      <c r="KXQ164" s="3"/>
      <c r="KXR164" s="3"/>
      <c r="KXS164" s="3"/>
      <c r="KXT164" s="3"/>
      <c r="KXU164" s="3"/>
      <c r="KXV164" s="3"/>
      <c r="KXW164" s="3"/>
      <c r="KXX164" s="3"/>
      <c r="KXY164" s="3"/>
      <c r="KXZ164" s="3"/>
      <c r="KYA164" s="3"/>
      <c r="KYB164" s="3"/>
      <c r="KYC164" s="3"/>
      <c r="KYD164" s="3"/>
      <c r="KYE164" s="3"/>
      <c r="KYF164" s="3"/>
      <c r="KYG164" s="3"/>
      <c r="KYH164" s="3"/>
      <c r="KYI164" s="3"/>
      <c r="KYJ164" s="3"/>
      <c r="KYK164" s="3"/>
      <c r="KYL164" s="3"/>
      <c r="KYM164" s="3"/>
      <c r="KYN164" s="3"/>
      <c r="KYO164" s="3"/>
      <c r="KYP164" s="3"/>
      <c r="KYQ164" s="3"/>
      <c r="KYR164" s="3"/>
      <c r="KYS164" s="3"/>
      <c r="KYT164" s="3"/>
      <c r="KYU164" s="3"/>
      <c r="KYV164" s="3"/>
      <c r="KYW164" s="3"/>
      <c r="KYX164" s="3"/>
      <c r="KYY164" s="3"/>
      <c r="KYZ164" s="3"/>
      <c r="KZA164" s="3"/>
      <c r="KZB164" s="3"/>
      <c r="KZC164" s="3"/>
      <c r="KZD164" s="3"/>
      <c r="KZE164" s="3"/>
      <c r="KZF164" s="3"/>
      <c r="KZG164" s="3"/>
      <c r="KZH164" s="3"/>
      <c r="KZI164" s="3"/>
      <c r="KZJ164" s="3"/>
      <c r="KZK164" s="3"/>
      <c r="KZL164" s="3"/>
      <c r="KZM164" s="3"/>
      <c r="KZN164" s="3"/>
      <c r="KZO164" s="3"/>
      <c r="KZP164" s="3"/>
      <c r="KZQ164" s="3"/>
      <c r="KZR164" s="3"/>
      <c r="KZS164" s="3"/>
      <c r="KZT164" s="3"/>
      <c r="KZU164" s="3"/>
      <c r="KZV164" s="3"/>
      <c r="KZW164" s="3"/>
      <c r="KZX164" s="3"/>
      <c r="KZY164" s="3"/>
      <c r="KZZ164" s="3"/>
      <c r="LAA164" s="3"/>
      <c r="LAB164" s="3"/>
      <c r="LAC164" s="3"/>
      <c r="LAD164" s="3"/>
      <c r="LAE164" s="3"/>
      <c r="LAF164" s="3"/>
      <c r="LAG164" s="3"/>
      <c r="LAH164" s="3"/>
      <c r="LAI164" s="3"/>
      <c r="LAJ164" s="3"/>
      <c r="LAK164" s="3"/>
      <c r="LAL164" s="3"/>
      <c r="LAM164" s="3"/>
      <c r="LAN164" s="3"/>
      <c r="LAO164" s="3"/>
      <c r="LAP164" s="3"/>
      <c r="LAQ164" s="3"/>
      <c r="LAR164" s="3"/>
      <c r="LAS164" s="3"/>
      <c r="LAT164" s="3"/>
      <c r="LAU164" s="3"/>
      <c r="LAV164" s="3"/>
      <c r="LAW164" s="3"/>
      <c r="LAX164" s="3"/>
      <c r="LAY164" s="3"/>
      <c r="LAZ164" s="3"/>
      <c r="LBA164" s="3"/>
      <c r="LBB164" s="3"/>
      <c r="LBC164" s="3"/>
      <c r="LBD164" s="3"/>
      <c r="LBE164" s="3"/>
      <c r="LBF164" s="3"/>
      <c r="LBG164" s="3"/>
      <c r="LBH164" s="3"/>
      <c r="LBI164" s="3"/>
      <c r="LBJ164" s="3"/>
      <c r="LBK164" s="3"/>
      <c r="LBL164" s="3"/>
      <c r="LBM164" s="3"/>
      <c r="LBN164" s="3"/>
      <c r="LBO164" s="3"/>
      <c r="LBP164" s="3"/>
      <c r="LBQ164" s="3"/>
      <c r="LBR164" s="3"/>
      <c r="LBS164" s="3"/>
      <c r="LBT164" s="3"/>
      <c r="LBU164" s="3"/>
      <c r="LBV164" s="3"/>
      <c r="LBW164" s="3"/>
      <c r="LBX164" s="3"/>
      <c r="LBY164" s="3"/>
      <c r="LBZ164" s="3"/>
      <c r="LCA164" s="3"/>
      <c r="LCB164" s="3"/>
      <c r="LCC164" s="3"/>
      <c r="LCD164" s="3"/>
      <c r="LCE164" s="3"/>
      <c r="LCF164" s="3"/>
      <c r="LCG164" s="3"/>
      <c r="LCH164" s="3"/>
      <c r="LCI164" s="3"/>
      <c r="LCJ164" s="3"/>
      <c r="LCK164" s="3"/>
      <c r="LCL164" s="3"/>
      <c r="LCM164" s="3"/>
      <c r="LCN164" s="3"/>
      <c r="LCO164" s="3"/>
      <c r="LCP164" s="3"/>
      <c r="LCQ164" s="3"/>
      <c r="LCR164" s="3"/>
      <c r="LCS164" s="3"/>
      <c r="LCT164" s="3"/>
      <c r="LCU164" s="3"/>
      <c r="LCV164" s="3"/>
      <c r="LCW164" s="3"/>
      <c r="LCX164" s="3"/>
      <c r="LCY164" s="3"/>
      <c r="LCZ164" s="3"/>
      <c r="LDA164" s="3"/>
      <c r="LDB164" s="3"/>
      <c r="LDC164" s="3"/>
      <c r="LDD164" s="3"/>
      <c r="LDE164" s="3"/>
      <c r="LDF164" s="3"/>
      <c r="LDG164" s="3"/>
      <c r="LDH164" s="3"/>
      <c r="LDI164" s="3"/>
      <c r="LDJ164" s="3"/>
      <c r="LDK164" s="3"/>
      <c r="LDL164" s="3"/>
      <c r="LDM164" s="3"/>
      <c r="LDN164" s="3"/>
      <c r="LDO164" s="3"/>
      <c r="LDP164" s="3"/>
      <c r="LDQ164" s="3"/>
      <c r="LDR164" s="3"/>
      <c r="LDS164" s="3"/>
      <c r="LDT164" s="3"/>
      <c r="LDU164" s="3"/>
      <c r="LDV164" s="3"/>
      <c r="LDW164" s="3"/>
      <c r="LDX164" s="3"/>
      <c r="LDY164" s="3"/>
      <c r="LDZ164" s="3"/>
      <c r="LEA164" s="3"/>
      <c r="LEB164" s="3"/>
      <c r="LEC164" s="3"/>
      <c r="LED164" s="3"/>
      <c r="LEE164" s="3"/>
      <c r="LEF164" s="3"/>
      <c r="LEG164" s="3"/>
      <c r="LEH164" s="3"/>
      <c r="LEI164" s="3"/>
      <c r="LEJ164" s="3"/>
      <c r="LEK164" s="3"/>
      <c r="LEL164" s="3"/>
      <c r="LEM164" s="3"/>
      <c r="LEN164" s="3"/>
      <c r="LEO164" s="3"/>
      <c r="LEP164" s="3"/>
      <c r="LEQ164" s="3"/>
      <c r="LER164" s="3"/>
      <c r="LES164" s="3"/>
      <c r="LET164" s="3"/>
      <c r="LEU164" s="3"/>
      <c r="LEV164" s="3"/>
      <c r="LEW164" s="3"/>
      <c r="LEX164" s="3"/>
      <c r="LEY164" s="3"/>
      <c r="LEZ164" s="3"/>
      <c r="LFA164" s="3"/>
      <c r="LFB164" s="3"/>
      <c r="LFC164" s="3"/>
      <c r="LFD164" s="3"/>
      <c r="LFE164" s="3"/>
      <c r="LFF164" s="3"/>
      <c r="LFG164" s="3"/>
      <c r="LFH164" s="3"/>
      <c r="LFI164" s="3"/>
      <c r="LFJ164" s="3"/>
      <c r="LFK164" s="3"/>
      <c r="LFL164" s="3"/>
      <c r="LFM164" s="3"/>
      <c r="LFN164" s="3"/>
      <c r="LFO164" s="3"/>
      <c r="LFP164" s="3"/>
      <c r="LFQ164" s="3"/>
      <c r="LFR164" s="3"/>
      <c r="LFS164" s="3"/>
      <c r="LFT164" s="3"/>
      <c r="LFU164" s="3"/>
      <c r="LFV164" s="3"/>
      <c r="LFW164" s="3"/>
      <c r="LFX164" s="3"/>
      <c r="LFY164" s="3"/>
      <c r="LFZ164" s="3"/>
      <c r="LGA164" s="3"/>
      <c r="LGB164" s="3"/>
      <c r="LGC164" s="3"/>
      <c r="LGD164" s="3"/>
      <c r="LGE164" s="3"/>
      <c r="LGF164" s="3"/>
      <c r="LGG164" s="3"/>
      <c r="LGH164" s="3"/>
      <c r="LGI164" s="3"/>
      <c r="LGJ164" s="3"/>
      <c r="LGK164" s="3"/>
      <c r="LGL164" s="3"/>
      <c r="LGM164" s="3"/>
      <c r="LGN164" s="3"/>
      <c r="LGO164" s="3"/>
      <c r="LGP164" s="3"/>
      <c r="LGQ164" s="3"/>
      <c r="LGR164" s="3"/>
      <c r="LGS164" s="3"/>
      <c r="LGT164" s="3"/>
      <c r="LGU164" s="3"/>
      <c r="LGV164" s="3"/>
      <c r="LGW164" s="3"/>
      <c r="LGX164" s="3"/>
      <c r="LGY164" s="3"/>
      <c r="LGZ164" s="3"/>
      <c r="LHA164" s="3"/>
      <c r="LHB164" s="3"/>
      <c r="LHC164" s="3"/>
      <c r="LHD164" s="3"/>
      <c r="LHE164" s="3"/>
      <c r="LHF164" s="3"/>
      <c r="LHG164" s="3"/>
      <c r="LHH164" s="3"/>
      <c r="LHI164" s="3"/>
      <c r="LHJ164" s="3"/>
      <c r="LHK164" s="3"/>
      <c r="LHL164" s="3"/>
      <c r="LHM164" s="3"/>
      <c r="LHN164" s="3"/>
      <c r="LHO164" s="3"/>
      <c r="LHP164" s="3"/>
      <c r="LHQ164" s="3"/>
      <c r="LHR164" s="3"/>
      <c r="LHS164" s="3"/>
      <c r="LHT164" s="3"/>
      <c r="LHU164" s="3"/>
      <c r="LHV164" s="3"/>
      <c r="LHW164" s="3"/>
      <c r="LHX164" s="3"/>
      <c r="LHY164" s="3"/>
      <c r="LHZ164" s="3"/>
      <c r="LIA164" s="3"/>
      <c r="LIB164" s="3"/>
      <c r="LIC164" s="3"/>
      <c r="LID164" s="3"/>
      <c r="LIE164" s="3"/>
      <c r="LIF164" s="3"/>
      <c r="LIG164" s="3"/>
      <c r="LIH164" s="3"/>
      <c r="LII164" s="3"/>
      <c r="LIJ164" s="3"/>
      <c r="LIK164" s="3"/>
      <c r="LIL164" s="3"/>
      <c r="LIM164" s="3"/>
      <c r="LIN164" s="3"/>
      <c r="LIO164" s="3"/>
      <c r="LIP164" s="3"/>
      <c r="LIQ164" s="3"/>
      <c r="LIR164" s="3"/>
      <c r="LIS164" s="3"/>
      <c r="LIT164" s="3"/>
      <c r="LIU164" s="3"/>
      <c r="LIV164" s="3"/>
      <c r="LIW164" s="3"/>
      <c r="LIX164" s="3"/>
      <c r="LIY164" s="3"/>
      <c r="LIZ164" s="3"/>
      <c r="LJA164" s="3"/>
      <c r="LJB164" s="3"/>
      <c r="LJC164" s="3"/>
      <c r="LJD164" s="3"/>
      <c r="LJE164" s="3"/>
      <c r="LJF164" s="3"/>
      <c r="LJG164" s="3"/>
      <c r="LJH164" s="3"/>
      <c r="LJI164" s="3"/>
      <c r="LJJ164" s="3"/>
      <c r="LJK164" s="3"/>
      <c r="LJL164" s="3"/>
      <c r="LJM164" s="3"/>
      <c r="LJN164" s="3"/>
      <c r="LJO164" s="3"/>
      <c r="LJP164" s="3"/>
      <c r="LJQ164" s="3"/>
      <c r="LJR164" s="3"/>
      <c r="LJS164" s="3"/>
      <c r="LJT164" s="3"/>
      <c r="LJU164" s="3"/>
      <c r="LJV164" s="3"/>
      <c r="LJW164" s="3"/>
      <c r="LJX164" s="3"/>
      <c r="LJY164" s="3"/>
      <c r="LJZ164" s="3"/>
      <c r="LKA164" s="3"/>
      <c r="LKB164" s="3"/>
      <c r="LKC164" s="3"/>
      <c r="LKD164" s="3"/>
      <c r="LKE164" s="3"/>
      <c r="LKF164" s="3"/>
      <c r="LKG164" s="3"/>
      <c r="LKH164" s="3"/>
      <c r="LKI164" s="3"/>
      <c r="LKJ164" s="3"/>
      <c r="LKK164" s="3"/>
      <c r="LKL164" s="3"/>
      <c r="LKM164" s="3"/>
      <c r="LKN164" s="3"/>
      <c r="LKO164" s="3"/>
      <c r="LKP164" s="3"/>
      <c r="LKQ164" s="3"/>
      <c r="LKR164" s="3"/>
      <c r="LKS164" s="3"/>
      <c r="LKT164" s="3"/>
      <c r="LKU164" s="3"/>
      <c r="LKV164" s="3"/>
      <c r="LKW164" s="3"/>
      <c r="LKX164" s="3"/>
      <c r="LKY164" s="3"/>
      <c r="LKZ164" s="3"/>
      <c r="LLA164" s="3"/>
      <c r="LLB164" s="3"/>
      <c r="LLC164" s="3"/>
      <c r="LLD164" s="3"/>
      <c r="LLE164" s="3"/>
      <c r="LLF164" s="3"/>
      <c r="LLG164" s="3"/>
      <c r="LLH164" s="3"/>
      <c r="LLI164" s="3"/>
      <c r="LLJ164" s="3"/>
      <c r="LLK164" s="3"/>
      <c r="LLL164" s="3"/>
      <c r="LLM164" s="3"/>
      <c r="LLN164" s="3"/>
      <c r="LLO164" s="3"/>
      <c r="LLP164" s="3"/>
      <c r="LLQ164" s="3"/>
      <c r="LLR164" s="3"/>
      <c r="LLS164" s="3"/>
      <c r="LLT164" s="3"/>
      <c r="LLU164" s="3"/>
      <c r="LLV164" s="3"/>
      <c r="LLW164" s="3"/>
      <c r="LLX164" s="3"/>
      <c r="LLY164" s="3"/>
      <c r="LLZ164" s="3"/>
      <c r="LMA164" s="3"/>
      <c r="LMB164" s="3"/>
      <c r="LMC164" s="3"/>
      <c r="LMD164" s="3"/>
      <c r="LME164" s="3"/>
      <c r="LMF164" s="3"/>
      <c r="LMG164" s="3"/>
      <c r="LMH164" s="3"/>
      <c r="LMI164" s="3"/>
      <c r="LMJ164" s="3"/>
      <c r="LMK164" s="3"/>
      <c r="LML164" s="3"/>
      <c r="LMM164" s="3"/>
      <c r="LMN164" s="3"/>
      <c r="LMO164" s="3"/>
      <c r="LMP164" s="3"/>
      <c r="LMQ164" s="3"/>
      <c r="LMR164" s="3"/>
      <c r="LMS164" s="3"/>
      <c r="LMT164" s="3"/>
      <c r="LMU164" s="3"/>
      <c r="LMV164" s="3"/>
      <c r="LMW164" s="3"/>
      <c r="LMX164" s="3"/>
      <c r="LMY164" s="3"/>
      <c r="LMZ164" s="3"/>
      <c r="LNA164" s="3"/>
      <c r="LNB164" s="3"/>
      <c r="LNC164" s="3"/>
      <c r="LND164" s="3"/>
      <c r="LNE164" s="3"/>
      <c r="LNF164" s="3"/>
      <c r="LNG164" s="3"/>
      <c r="LNH164" s="3"/>
      <c r="LNI164" s="3"/>
      <c r="LNJ164" s="3"/>
      <c r="LNK164" s="3"/>
      <c r="LNL164" s="3"/>
      <c r="LNM164" s="3"/>
      <c r="LNN164" s="3"/>
      <c r="LNO164" s="3"/>
      <c r="LNP164" s="3"/>
      <c r="LNQ164" s="3"/>
      <c r="LNR164" s="3"/>
      <c r="LNS164" s="3"/>
      <c r="LNT164" s="3"/>
      <c r="LNU164" s="3"/>
      <c r="LNV164" s="3"/>
      <c r="LNW164" s="3"/>
      <c r="LNX164" s="3"/>
      <c r="LNY164" s="3"/>
      <c r="LNZ164" s="3"/>
      <c r="LOA164" s="3"/>
      <c r="LOB164" s="3"/>
      <c r="LOC164" s="3"/>
      <c r="LOD164" s="3"/>
      <c r="LOE164" s="3"/>
      <c r="LOF164" s="3"/>
      <c r="LOG164" s="3"/>
      <c r="LOH164" s="3"/>
      <c r="LOI164" s="3"/>
      <c r="LOJ164" s="3"/>
      <c r="LOK164" s="3"/>
      <c r="LOL164" s="3"/>
      <c r="LOM164" s="3"/>
      <c r="LON164" s="3"/>
      <c r="LOO164" s="3"/>
      <c r="LOP164" s="3"/>
      <c r="LOQ164" s="3"/>
      <c r="LOR164" s="3"/>
      <c r="LOS164" s="3"/>
      <c r="LOT164" s="3"/>
      <c r="LOU164" s="3"/>
      <c r="LOV164" s="3"/>
      <c r="LOW164" s="3"/>
      <c r="LOX164" s="3"/>
      <c r="LOY164" s="3"/>
      <c r="LOZ164" s="3"/>
      <c r="LPA164" s="3"/>
      <c r="LPB164" s="3"/>
      <c r="LPC164" s="3"/>
      <c r="LPD164" s="3"/>
      <c r="LPE164" s="3"/>
      <c r="LPF164" s="3"/>
      <c r="LPG164" s="3"/>
      <c r="LPH164" s="3"/>
      <c r="LPI164" s="3"/>
      <c r="LPJ164" s="3"/>
      <c r="LPK164" s="3"/>
      <c r="LPL164" s="3"/>
      <c r="LPM164" s="3"/>
      <c r="LPN164" s="3"/>
      <c r="LPO164" s="3"/>
      <c r="LPP164" s="3"/>
      <c r="LPQ164" s="3"/>
      <c r="LPR164" s="3"/>
      <c r="LPS164" s="3"/>
      <c r="LPT164" s="3"/>
      <c r="LPU164" s="3"/>
      <c r="LPV164" s="3"/>
      <c r="LPW164" s="3"/>
      <c r="LPX164" s="3"/>
      <c r="LPY164" s="3"/>
      <c r="LPZ164" s="3"/>
      <c r="LQA164" s="3"/>
      <c r="LQB164" s="3"/>
      <c r="LQC164" s="3"/>
      <c r="LQD164" s="3"/>
      <c r="LQE164" s="3"/>
      <c r="LQF164" s="3"/>
      <c r="LQG164" s="3"/>
      <c r="LQH164" s="3"/>
      <c r="LQI164" s="3"/>
      <c r="LQJ164" s="3"/>
      <c r="LQK164" s="3"/>
      <c r="LQL164" s="3"/>
      <c r="LQM164" s="3"/>
      <c r="LQN164" s="3"/>
      <c r="LQO164" s="3"/>
      <c r="LQP164" s="3"/>
      <c r="LQQ164" s="3"/>
      <c r="LQR164" s="3"/>
      <c r="LQS164" s="3"/>
      <c r="LQT164" s="3"/>
      <c r="LQU164" s="3"/>
      <c r="LQV164" s="3"/>
      <c r="LQW164" s="3"/>
      <c r="LQX164" s="3"/>
      <c r="LQY164" s="3"/>
      <c r="LQZ164" s="3"/>
      <c r="LRA164" s="3"/>
      <c r="LRB164" s="3"/>
      <c r="LRC164" s="3"/>
      <c r="LRD164" s="3"/>
      <c r="LRE164" s="3"/>
      <c r="LRF164" s="3"/>
      <c r="LRG164" s="3"/>
      <c r="LRH164" s="3"/>
      <c r="LRI164" s="3"/>
      <c r="LRJ164" s="3"/>
      <c r="LRK164" s="3"/>
      <c r="LRL164" s="3"/>
      <c r="LRM164" s="3"/>
      <c r="LRN164" s="3"/>
      <c r="LRO164" s="3"/>
      <c r="LRP164" s="3"/>
      <c r="LRQ164" s="3"/>
      <c r="LRR164" s="3"/>
      <c r="LRS164" s="3"/>
      <c r="LRT164" s="3"/>
      <c r="LRU164" s="3"/>
      <c r="LRV164" s="3"/>
      <c r="LRW164" s="3"/>
      <c r="LRX164" s="3"/>
      <c r="LRY164" s="3"/>
      <c r="LRZ164" s="3"/>
      <c r="LSA164" s="3"/>
      <c r="LSB164" s="3"/>
      <c r="LSC164" s="3"/>
      <c r="LSD164" s="3"/>
      <c r="LSE164" s="3"/>
      <c r="LSF164" s="3"/>
      <c r="LSG164" s="3"/>
      <c r="LSH164" s="3"/>
      <c r="LSI164" s="3"/>
      <c r="LSJ164" s="3"/>
      <c r="LSK164" s="3"/>
      <c r="LSL164" s="3"/>
      <c r="LSM164" s="3"/>
      <c r="LSN164" s="3"/>
      <c r="LSO164" s="3"/>
      <c r="LSP164" s="3"/>
      <c r="LSQ164" s="3"/>
      <c r="LSR164" s="3"/>
      <c r="LSS164" s="3"/>
      <c r="LST164" s="3"/>
      <c r="LSU164" s="3"/>
      <c r="LSV164" s="3"/>
      <c r="LSW164" s="3"/>
      <c r="LSX164" s="3"/>
      <c r="LSY164" s="3"/>
      <c r="LSZ164" s="3"/>
      <c r="LTA164" s="3"/>
      <c r="LTB164" s="3"/>
      <c r="LTC164" s="3"/>
      <c r="LTD164" s="3"/>
      <c r="LTE164" s="3"/>
      <c r="LTF164" s="3"/>
      <c r="LTG164" s="3"/>
      <c r="LTH164" s="3"/>
      <c r="LTI164" s="3"/>
      <c r="LTJ164" s="3"/>
      <c r="LTK164" s="3"/>
      <c r="LTL164" s="3"/>
      <c r="LTM164" s="3"/>
      <c r="LTN164" s="3"/>
      <c r="LTO164" s="3"/>
      <c r="LTP164" s="3"/>
      <c r="LTQ164" s="3"/>
      <c r="LTR164" s="3"/>
      <c r="LTS164" s="3"/>
      <c r="LTT164" s="3"/>
      <c r="LTU164" s="3"/>
      <c r="LTV164" s="3"/>
      <c r="LTW164" s="3"/>
      <c r="LTX164" s="3"/>
      <c r="LTY164" s="3"/>
      <c r="LTZ164" s="3"/>
      <c r="LUA164" s="3"/>
      <c r="LUB164" s="3"/>
      <c r="LUC164" s="3"/>
      <c r="LUD164" s="3"/>
      <c r="LUE164" s="3"/>
      <c r="LUF164" s="3"/>
      <c r="LUG164" s="3"/>
      <c r="LUH164" s="3"/>
      <c r="LUI164" s="3"/>
      <c r="LUJ164" s="3"/>
      <c r="LUK164" s="3"/>
      <c r="LUL164" s="3"/>
      <c r="LUM164" s="3"/>
      <c r="LUN164" s="3"/>
      <c r="LUO164" s="3"/>
      <c r="LUP164" s="3"/>
      <c r="LUQ164" s="3"/>
      <c r="LUR164" s="3"/>
      <c r="LUS164" s="3"/>
      <c r="LUT164" s="3"/>
      <c r="LUU164" s="3"/>
      <c r="LUV164" s="3"/>
      <c r="LUW164" s="3"/>
      <c r="LUX164" s="3"/>
      <c r="LUY164" s="3"/>
      <c r="LUZ164" s="3"/>
      <c r="LVA164" s="3"/>
      <c r="LVB164" s="3"/>
      <c r="LVC164" s="3"/>
      <c r="LVD164" s="3"/>
      <c r="LVE164" s="3"/>
      <c r="LVF164" s="3"/>
      <c r="LVG164" s="3"/>
      <c r="LVH164" s="3"/>
      <c r="LVI164" s="3"/>
      <c r="LVJ164" s="3"/>
      <c r="LVK164" s="3"/>
      <c r="LVL164" s="3"/>
      <c r="LVM164" s="3"/>
      <c r="LVN164" s="3"/>
      <c r="LVO164" s="3"/>
      <c r="LVP164" s="3"/>
      <c r="LVQ164" s="3"/>
      <c r="LVR164" s="3"/>
      <c r="LVS164" s="3"/>
      <c r="LVT164" s="3"/>
      <c r="LVU164" s="3"/>
      <c r="LVV164" s="3"/>
      <c r="LVW164" s="3"/>
      <c r="LVX164" s="3"/>
      <c r="LVY164" s="3"/>
      <c r="LVZ164" s="3"/>
      <c r="LWA164" s="3"/>
      <c r="LWB164" s="3"/>
      <c r="LWC164" s="3"/>
      <c r="LWD164" s="3"/>
      <c r="LWE164" s="3"/>
      <c r="LWF164" s="3"/>
      <c r="LWG164" s="3"/>
      <c r="LWH164" s="3"/>
      <c r="LWI164" s="3"/>
      <c r="LWJ164" s="3"/>
      <c r="LWK164" s="3"/>
      <c r="LWL164" s="3"/>
      <c r="LWM164" s="3"/>
      <c r="LWN164" s="3"/>
      <c r="LWO164" s="3"/>
      <c r="LWP164" s="3"/>
      <c r="LWQ164" s="3"/>
      <c r="LWR164" s="3"/>
      <c r="LWS164" s="3"/>
      <c r="LWT164" s="3"/>
      <c r="LWU164" s="3"/>
      <c r="LWV164" s="3"/>
      <c r="LWW164" s="3"/>
      <c r="LWX164" s="3"/>
      <c r="LWY164" s="3"/>
      <c r="LWZ164" s="3"/>
      <c r="LXA164" s="3"/>
      <c r="LXB164" s="3"/>
      <c r="LXC164" s="3"/>
      <c r="LXD164" s="3"/>
      <c r="LXE164" s="3"/>
      <c r="LXF164" s="3"/>
      <c r="LXG164" s="3"/>
      <c r="LXH164" s="3"/>
      <c r="LXI164" s="3"/>
      <c r="LXJ164" s="3"/>
      <c r="LXK164" s="3"/>
      <c r="LXL164" s="3"/>
      <c r="LXM164" s="3"/>
      <c r="LXN164" s="3"/>
      <c r="LXO164" s="3"/>
      <c r="LXP164" s="3"/>
      <c r="LXQ164" s="3"/>
      <c r="LXR164" s="3"/>
      <c r="LXS164" s="3"/>
      <c r="LXT164" s="3"/>
      <c r="LXU164" s="3"/>
      <c r="LXV164" s="3"/>
      <c r="LXW164" s="3"/>
      <c r="LXX164" s="3"/>
      <c r="LXY164" s="3"/>
      <c r="LXZ164" s="3"/>
      <c r="LYA164" s="3"/>
      <c r="LYB164" s="3"/>
      <c r="LYC164" s="3"/>
      <c r="LYD164" s="3"/>
      <c r="LYE164" s="3"/>
      <c r="LYF164" s="3"/>
      <c r="LYG164" s="3"/>
      <c r="LYH164" s="3"/>
      <c r="LYI164" s="3"/>
      <c r="LYJ164" s="3"/>
      <c r="LYK164" s="3"/>
      <c r="LYL164" s="3"/>
      <c r="LYM164" s="3"/>
      <c r="LYN164" s="3"/>
      <c r="LYO164" s="3"/>
      <c r="LYP164" s="3"/>
      <c r="LYQ164" s="3"/>
      <c r="LYR164" s="3"/>
      <c r="LYS164" s="3"/>
      <c r="LYT164" s="3"/>
      <c r="LYU164" s="3"/>
      <c r="LYV164" s="3"/>
      <c r="LYW164" s="3"/>
      <c r="LYX164" s="3"/>
      <c r="LYY164" s="3"/>
      <c r="LYZ164" s="3"/>
      <c r="LZA164" s="3"/>
      <c r="LZB164" s="3"/>
      <c r="LZC164" s="3"/>
      <c r="LZD164" s="3"/>
      <c r="LZE164" s="3"/>
      <c r="LZF164" s="3"/>
      <c r="LZG164" s="3"/>
      <c r="LZH164" s="3"/>
      <c r="LZI164" s="3"/>
      <c r="LZJ164" s="3"/>
      <c r="LZK164" s="3"/>
      <c r="LZL164" s="3"/>
      <c r="LZM164" s="3"/>
      <c r="LZN164" s="3"/>
      <c r="LZO164" s="3"/>
      <c r="LZP164" s="3"/>
      <c r="LZQ164" s="3"/>
      <c r="LZR164" s="3"/>
      <c r="LZS164" s="3"/>
      <c r="LZT164" s="3"/>
      <c r="LZU164" s="3"/>
      <c r="LZV164" s="3"/>
      <c r="LZW164" s="3"/>
      <c r="LZX164" s="3"/>
      <c r="LZY164" s="3"/>
      <c r="LZZ164" s="3"/>
      <c r="MAA164" s="3"/>
      <c r="MAB164" s="3"/>
      <c r="MAC164" s="3"/>
      <c r="MAD164" s="3"/>
      <c r="MAE164" s="3"/>
      <c r="MAF164" s="3"/>
      <c r="MAG164" s="3"/>
      <c r="MAH164" s="3"/>
      <c r="MAI164" s="3"/>
      <c r="MAJ164" s="3"/>
      <c r="MAK164" s="3"/>
      <c r="MAL164" s="3"/>
      <c r="MAM164" s="3"/>
      <c r="MAN164" s="3"/>
      <c r="MAO164" s="3"/>
      <c r="MAP164" s="3"/>
      <c r="MAQ164" s="3"/>
      <c r="MAR164" s="3"/>
      <c r="MAS164" s="3"/>
      <c r="MAT164" s="3"/>
      <c r="MAU164" s="3"/>
      <c r="MAV164" s="3"/>
      <c r="MAW164" s="3"/>
      <c r="MAX164" s="3"/>
      <c r="MAY164" s="3"/>
      <c r="MAZ164" s="3"/>
      <c r="MBA164" s="3"/>
      <c r="MBB164" s="3"/>
      <c r="MBC164" s="3"/>
      <c r="MBD164" s="3"/>
      <c r="MBE164" s="3"/>
      <c r="MBF164" s="3"/>
      <c r="MBG164" s="3"/>
      <c r="MBH164" s="3"/>
      <c r="MBI164" s="3"/>
      <c r="MBJ164" s="3"/>
      <c r="MBK164" s="3"/>
      <c r="MBL164" s="3"/>
      <c r="MBM164" s="3"/>
      <c r="MBN164" s="3"/>
      <c r="MBO164" s="3"/>
      <c r="MBP164" s="3"/>
      <c r="MBQ164" s="3"/>
      <c r="MBR164" s="3"/>
      <c r="MBS164" s="3"/>
      <c r="MBT164" s="3"/>
      <c r="MBU164" s="3"/>
      <c r="MBV164" s="3"/>
      <c r="MBW164" s="3"/>
      <c r="MBX164" s="3"/>
      <c r="MBY164" s="3"/>
      <c r="MBZ164" s="3"/>
      <c r="MCA164" s="3"/>
      <c r="MCB164" s="3"/>
      <c r="MCC164" s="3"/>
      <c r="MCD164" s="3"/>
      <c r="MCE164" s="3"/>
      <c r="MCF164" s="3"/>
      <c r="MCG164" s="3"/>
      <c r="MCH164" s="3"/>
      <c r="MCI164" s="3"/>
      <c r="MCJ164" s="3"/>
      <c r="MCK164" s="3"/>
      <c r="MCL164" s="3"/>
      <c r="MCM164" s="3"/>
      <c r="MCN164" s="3"/>
      <c r="MCO164" s="3"/>
      <c r="MCP164" s="3"/>
      <c r="MCQ164" s="3"/>
      <c r="MCR164" s="3"/>
      <c r="MCS164" s="3"/>
      <c r="MCT164" s="3"/>
      <c r="MCU164" s="3"/>
      <c r="MCV164" s="3"/>
      <c r="MCW164" s="3"/>
      <c r="MCX164" s="3"/>
      <c r="MCY164" s="3"/>
      <c r="MCZ164" s="3"/>
      <c r="MDA164" s="3"/>
      <c r="MDB164" s="3"/>
      <c r="MDC164" s="3"/>
      <c r="MDD164" s="3"/>
      <c r="MDE164" s="3"/>
      <c r="MDF164" s="3"/>
      <c r="MDG164" s="3"/>
      <c r="MDH164" s="3"/>
      <c r="MDI164" s="3"/>
      <c r="MDJ164" s="3"/>
      <c r="MDK164" s="3"/>
      <c r="MDL164" s="3"/>
      <c r="MDM164" s="3"/>
      <c r="MDN164" s="3"/>
      <c r="MDO164" s="3"/>
      <c r="MDP164" s="3"/>
      <c r="MDQ164" s="3"/>
      <c r="MDR164" s="3"/>
      <c r="MDS164" s="3"/>
      <c r="MDT164" s="3"/>
      <c r="MDU164" s="3"/>
      <c r="MDV164" s="3"/>
      <c r="MDW164" s="3"/>
      <c r="MDX164" s="3"/>
      <c r="MDY164" s="3"/>
      <c r="MDZ164" s="3"/>
      <c r="MEA164" s="3"/>
      <c r="MEB164" s="3"/>
      <c r="MEC164" s="3"/>
      <c r="MED164" s="3"/>
      <c r="MEE164" s="3"/>
      <c r="MEF164" s="3"/>
      <c r="MEG164" s="3"/>
      <c r="MEH164" s="3"/>
      <c r="MEI164" s="3"/>
      <c r="MEJ164" s="3"/>
      <c r="MEK164" s="3"/>
      <c r="MEL164" s="3"/>
      <c r="MEM164" s="3"/>
      <c r="MEN164" s="3"/>
      <c r="MEO164" s="3"/>
      <c r="MEP164" s="3"/>
      <c r="MEQ164" s="3"/>
      <c r="MER164" s="3"/>
      <c r="MES164" s="3"/>
      <c r="MET164" s="3"/>
      <c r="MEU164" s="3"/>
      <c r="MEV164" s="3"/>
      <c r="MEW164" s="3"/>
      <c r="MEX164" s="3"/>
      <c r="MEY164" s="3"/>
      <c r="MEZ164" s="3"/>
      <c r="MFA164" s="3"/>
      <c r="MFB164" s="3"/>
      <c r="MFC164" s="3"/>
      <c r="MFD164" s="3"/>
      <c r="MFE164" s="3"/>
      <c r="MFF164" s="3"/>
      <c r="MFG164" s="3"/>
      <c r="MFH164" s="3"/>
      <c r="MFI164" s="3"/>
      <c r="MFJ164" s="3"/>
      <c r="MFK164" s="3"/>
      <c r="MFL164" s="3"/>
      <c r="MFM164" s="3"/>
      <c r="MFN164" s="3"/>
      <c r="MFO164" s="3"/>
      <c r="MFP164" s="3"/>
      <c r="MFQ164" s="3"/>
      <c r="MFR164" s="3"/>
      <c r="MFS164" s="3"/>
      <c r="MFT164" s="3"/>
      <c r="MFU164" s="3"/>
      <c r="MFV164" s="3"/>
      <c r="MFW164" s="3"/>
      <c r="MFX164" s="3"/>
      <c r="MFY164" s="3"/>
      <c r="MFZ164" s="3"/>
      <c r="MGA164" s="3"/>
      <c r="MGB164" s="3"/>
      <c r="MGC164" s="3"/>
      <c r="MGD164" s="3"/>
      <c r="MGE164" s="3"/>
      <c r="MGF164" s="3"/>
      <c r="MGG164" s="3"/>
      <c r="MGH164" s="3"/>
      <c r="MGI164" s="3"/>
      <c r="MGJ164" s="3"/>
      <c r="MGK164" s="3"/>
      <c r="MGL164" s="3"/>
      <c r="MGM164" s="3"/>
      <c r="MGN164" s="3"/>
      <c r="MGO164" s="3"/>
      <c r="MGP164" s="3"/>
      <c r="MGQ164" s="3"/>
      <c r="MGR164" s="3"/>
      <c r="MGS164" s="3"/>
      <c r="MGT164" s="3"/>
      <c r="MGU164" s="3"/>
      <c r="MGV164" s="3"/>
      <c r="MGW164" s="3"/>
      <c r="MGX164" s="3"/>
      <c r="MGY164" s="3"/>
      <c r="MGZ164" s="3"/>
      <c r="MHA164" s="3"/>
      <c r="MHB164" s="3"/>
      <c r="MHC164" s="3"/>
      <c r="MHD164" s="3"/>
      <c r="MHE164" s="3"/>
      <c r="MHF164" s="3"/>
      <c r="MHG164" s="3"/>
      <c r="MHH164" s="3"/>
      <c r="MHI164" s="3"/>
      <c r="MHJ164" s="3"/>
      <c r="MHK164" s="3"/>
      <c r="MHL164" s="3"/>
      <c r="MHM164" s="3"/>
      <c r="MHN164" s="3"/>
      <c r="MHO164" s="3"/>
      <c r="MHP164" s="3"/>
      <c r="MHQ164" s="3"/>
      <c r="MHR164" s="3"/>
      <c r="MHS164" s="3"/>
      <c r="MHT164" s="3"/>
      <c r="MHU164" s="3"/>
      <c r="MHV164" s="3"/>
      <c r="MHW164" s="3"/>
      <c r="MHX164" s="3"/>
      <c r="MHY164" s="3"/>
      <c r="MHZ164" s="3"/>
      <c r="MIA164" s="3"/>
      <c r="MIB164" s="3"/>
      <c r="MIC164" s="3"/>
      <c r="MID164" s="3"/>
      <c r="MIE164" s="3"/>
      <c r="MIF164" s="3"/>
      <c r="MIG164" s="3"/>
      <c r="MIH164" s="3"/>
      <c r="MII164" s="3"/>
      <c r="MIJ164" s="3"/>
      <c r="MIK164" s="3"/>
      <c r="MIL164" s="3"/>
      <c r="MIM164" s="3"/>
      <c r="MIN164" s="3"/>
      <c r="MIO164" s="3"/>
      <c r="MIP164" s="3"/>
      <c r="MIQ164" s="3"/>
      <c r="MIR164" s="3"/>
      <c r="MIS164" s="3"/>
      <c r="MIT164" s="3"/>
      <c r="MIU164" s="3"/>
      <c r="MIV164" s="3"/>
      <c r="MIW164" s="3"/>
      <c r="MIX164" s="3"/>
      <c r="MIY164" s="3"/>
      <c r="MIZ164" s="3"/>
      <c r="MJA164" s="3"/>
      <c r="MJB164" s="3"/>
      <c r="MJC164" s="3"/>
      <c r="MJD164" s="3"/>
      <c r="MJE164" s="3"/>
      <c r="MJF164" s="3"/>
      <c r="MJG164" s="3"/>
      <c r="MJH164" s="3"/>
      <c r="MJI164" s="3"/>
      <c r="MJJ164" s="3"/>
      <c r="MJK164" s="3"/>
      <c r="MJL164" s="3"/>
      <c r="MJM164" s="3"/>
      <c r="MJN164" s="3"/>
      <c r="MJO164" s="3"/>
      <c r="MJP164" s="3"/>
      <c r="MJQ164" s="3"/>
      <c r="MJR164" s="3"/>
      <c r="MJS164" s="3"/>
      <c r="MJT164" s="3"/>
      <c r="MJU164" s="3"/>
      <c r="MJV164" s="3"/>
      <c r="MJW164" s="3"/>
      <c r="MJX164" s="3"/>
      <c r="MJY164" s="3"/>
      <c r="MJZ164" s="3"/>
      <c r="MKA164" s="3"/>
      <c r="MKB164" s="3"/>
      <c r="MKC164" s="3"/>
      <c r="MKD164" s="3"/>
      <c r="MKE164" s="3"/>
      <c r="MKF164" s="3"/>
      <c r="MKG164" s="3"/>
      <c r="MKH164" s="3"/>
      <c r="MKI164" s="3"/>
      <c r="MKJ164" s="3"/>
      <c r="MKK164" s="3"/>
      <c r="MKL164" s="3"/>
      <c r="MKM164" s="3"/>
      <c r="MKN164" s="3"/>
      <c r="MKO164" s="3"/>
      <c r="MKP164" s="3"/>
      <c r="MKQ164" s="3"/>
      <c r="MKR164" s="3"/>
      <c r="MKS164" s="3"/>
      <c r="MKT164" s="3"/>
      <c r="MKU164" s="3"/>
      <c r="MKV164" s="3"/>
      <c r="MKW164" s="3"/>
      <c r="MKX164" s="3"/>
      <c r="MKY164" s="3"/>
      <c r="MKZ164" s="3"/>
      <c r="MLA164" s="3"/>
      <c r="MLB164" s="3"/>
      <c r="MLC164" s="3"/>
      <c r="MLD164" s="3"/>
      <c r="MLE164" s="3"/>
      <c r="MLF164" s="3"/>
      <c r="MLG164" s="3"/>
      <c r="MLH164" s="3"/>
      <c r="MLI164" s="3"/>
      <c r="MLJ164" s="3"/>
      <c r="MLK164" s="3"/>
      <c r="MLL164" s="3"/>
      <c r="MLM164" s="3"/>
      <c r="MLN164" s="3"/>
      <c r="MLO164" s="3"/>
      <c r="MLP164" s="3"/>
      <c r="MLQ164" s="3"/>
      <c r="MLR164" s="3"/>
      <c r="MLS164" s="3"/>
      <c r="MLT164" s="3"/>
      <c r="MLU164" s="3"/>
      <c r="MLV164" s="3"/>
      <c r="MLW164" s="3"/>
      <c r="MLX164" s="3"/>
      <c r="MLY164" s="3"/>
      <c r="MLZ164" s="3"/>
      <c r="MMA164" s="3"/>
      <c r="MMB164" s="3"/>
      <c r="MMC164" s="3"/>
      <c r="MMD164" s="3"/>
      <c r="MME164" s="3"/>
      <c r="MMF164" s="3"/>
      <c r="MMG164" s="3"/>
      <c r="MMH164" s="3"/>
      <c r="MMI164" s="3"/>
      <c r="MMJ164" s="3"/>
      <c r="MMK164" s="3"/>
      <c r="MML164" s="3"/>
      <c r="MMM164" s="3"/>
      <c r="MMN164" s="3"/>
      <c r="MMO164" s="3"/>
      <c r="MMP164" s="3"/>
      <c r="MMQ164" s="3"/>
      <c r="MMR164" s="3"/>
      <c r="MMS164" s="3"/>
      <c r="MMT164" s="3"/>
      <c r="MMU164" s="3"/>
      <c r="MMV164" s="3"/>
      <c r="MMW164" s="3"/>
      <c r="MMX164" s="3"/>
      <c r="MMY164" s="3"/>
      <c r="MMZ164" s="3"/>
      <c r="MNA164" s="3"/>
      <c r="MNB164" s="3"/>
      <c r="MNC164" s="3"/>
      <c r="MND164" s="3"/>
      <c r="MNE164" s="3"/>
      <c r="MNF164" s="3"/>
      <c r="MNG164" s="3"/>
      <c r="MNH164" s="3"/>
      <c r="MNI164" s="3"/>
      <c r="MNJ164" s="3"/>
      <c r="MNK164" s="3"/>
      <c r="MNL164" s="3"/>
      <c r="MNM164" s="3"/>
      <c r="MNN164" s="3"/>
      <c r="MNO164" s="3"/>
      <c r="MNP164" s="3"/>
      <c r="MNQ164" s="3"/>
      <c r="MNR164" s="3"/>
      <c r="MNS164" s="3"/>
      <c r="MNT164" s="3"/>
      <c r="MNU164" s="3"/>
      <c r="MNV164" s="3"/>
      <c r="MNW164" s="3"/>
      <c r="MNX164" s="3"/>
      <c r="MNY164" s="3"/>
      <c r="MNZ164" s="3"/>
      <c r="MOA164" s="3"/>
      <c r="MOB164" s="3"/>
      <c r="MOC164" s="3"/>
      <c r="MOD164" s="3"/>
      <c r="MOE164" s="3"/>
      <c r="MOF164" s="3"/>
      <c r="MOG164" s="3"/>
      <c r="MOH164" s="3"/>
      <c r="MOI164" s="3"/>
      <c r="MOJ164" s="3"/>
      <c r="MOK164" s="3"/>
      <c r="MOL164" s="3"/>
      <c r="MOM164" s="3"/>
      <c r="MON164" s="3"/>
      <c r="MOO164" s="3"/>
      <c r="MOP164" s="3"/>
      <c r="MOQ164" s="3"/>
      <c r="MOR164" s="3"/>
      <c r="MOS164" s="3"/>
      <c r="MOT164" s="3"/>
      <c r="MOU164" s="3"/>
      <c r="MOV164" s="3"/>
      <c r="MOW164" s="3"/>
      <c r="MOX164" s="3"/>
      <c r="MOY164" s="3"/>
      <c r="MOZ164" s="3"/>
      <c r="MPA164" s="3"/>
      <c r="MPB164" s="3"/>
      <c r="MPC164" s="3"/>
      <c r="MPD164" s="3"/>
      <c r="MPE164" s="3"/>
      <c r="MPF164" s="3"/>
      <c r="MPG164" s="3"/>
      <c r="MPH164" s="3"/>
      <c r="MPI164" s="3"/>
      <c r="MPJ164" s="3"/>
      <c r="MPK164" s="3"/>
      <c r="MPL164" s="3"/>
      <c r="MPM164" s="3"/>
      <c r="MPN164" s="3"/>
      <c r="MPO164" s="3"/>
      <c r="MPP164" s="3"/>
      <c r="MPQ164" s="3"/>
      <c r="MPR164" s="3"/>
      <c r="MPS164" s="3"/>
      <c r="MPT164" s="3"/>
      <c r="MPU164" s="3"/>
      <c r="MPV164" s="3"/>
      <c r="MPW164" s="3"/>
      <c r="MPX164" s="3"/>
      <c r="MPY164" s="3"/>
      <c r="MPZ164" s="3"/>
      <c r="MQA164" s="3"/>
      <c r="MQB164" s="3"/>
      <c r="MQC164" s="3"/>
      <c r="MQD164" s="3"/>
      <c r="MQE164" s="3"/>
      <c r="MQF164" s="3"/>
      <c r="MQG164" s="3"/>
      <c r="MQH164" s="3"/>
      <c r="MQI164" s="3"/>
      <c r="MQJ164" s="3"/>
      <c r="MQK164" s="3"/>
      <c r="MQL164" s="3"/>
      <c r="MQM164" s="3"/>
      <c r="MQN164" s="3"/>
      <c r="MQO164" s="3"/>
      <c r="MQP164" s="3"/>
      <c r="MQQ164" s="3"/>
      <c r="MQR164" s="3"/>
      <c r="MQS164" s="3"/>
      <c r="MQT164" s="3"/>
      <c r="MQU164" s="3"/>
      <c r="MQV164" s="3"/>
      <c r="MQW164" s="3"/>
      <c r="MQX164" s="3"/>
      <c r="MQY164" s="3"/>
      <c r="MQZ164" s="3"/>
      <c r="MRA164" s="3"/>
      <c r="MRB164" s="3"/>
      <c r="MRC164" s="3"/>
      <c r="MRD164" s="3"/>
      <c r="MRE164" s="3"/>
      <c r="MRF164" s="3"/>
      <c r="MRG164" s="3"/>
      <c r="MRH164" s="3"/>
      <c r="MRI164" s="3"/>
      <c r="MRJ164" s="3"/>
      <c r="MRK164" s="3"/>
      <c r="MRL164" s="3"/>
      <c r="MRM164" s="3"/>
      <c r="MRN164" s="3"/>
      <c r="MRO164" s="3"/>
      <c r="MRP164" s="3"/>
      <c r="MRQ164" s="3"/>
      <c r="MRR164" s="3"/>
      <c r="MRS164" s="3"/>
      <c r="MRT164" s="3"/>
      <c r="MRU164" s="3"/>
      <c r="MRV164" s="3"/>
      <c r="MRW164" s="3"/>
      <c r="MRX164" s="3"/>
      <c r="MRY164" s="3"/>
      <c r="MRZ164" s="3"/>
      <c r="MSA164" s="3"/>
      <c r="MSB164" s="3"/>
      <c r="MSC164" s="3"/>
      <c r="MSD164" s="3"/>
      <c r="MSE164" s="3"/>
      <c r="MSF164" s="3"/>
      <c r="MSG164" s="3"/>
      <c r="MSH164" s="3"/>
      <c r="MSI164" s="3"/>
      <c r="MSJ164" s="3"/>
      <c r="MSK164" s="3"/>
      <c r="MSL164" s="3"/>
      <c r="MSM164" s="3"/>
      <c r="MSN164" s="3"/>
      <c r="MSO164" s="3"/>
      <c r="MSP164" s="3"/>
      <c r="MSQ164" s="3"/>
      <c r="MSR164" s="3"/>
      <c r="MSS164" s="3"/>
      <c r="MST164" s="3"/>
      <c r="MSU164" s="3"/>
      <c r="MSV164" s="3"/>
      <c r="MSW164" s="3"/>
      <c r="MSX164" s="3"/>
      <c r="MSY164" s="3"/>
      <c r="MSZ164" s="3"/>
      <c r="MTA164" s="3"/>
      <c r="MTB164" s="3"/>
      <c r="MTC164" s="3"/>
      <c r="MTD164" s="3"/>
      <c r="MTE164" s="3"/>
      <c r="MTF164" s="3"/>
      <c r="MTG164" s="3"/>
      <c r="MTH164" s="3"/>
      <c r="MTI164" s="3"/>
      <c r="MTJ164" s="3"/>
      <c r="MTK164" s="3"/>
      <c r="MTL164" s="3"/>
      <c r="MTM164" s="3"/>
      <c r="MTN164" s="3"/>
      <c r="MTO164" s="3"/>
      <c r="MTP164" s="3"/>
      <c r="MTQ164" s="3"/>
      <c r="MTR164" s="3"/>
      <c r="MTS164" s="3"/>
      <c r="MTT164" s="3"/>
      <c r="MTU164" s="3"/>
      <c r="MTV164" s="3"/>
      <c r="MTW164" s="3"/>
      <c r="MTX164" s="3"/>
      <c r="MTY164" s="3"/>
      <c r="MTZ164" s="3"/>
      <c r="MUA164" s="3"/>
      <c r="MUB164" s="3"/>
      <c r="MUC164" s="3"/>
      <c r="MUD164" s="3"/>
      <c r="MUE164" s="3"/>
      <c r="MUF164" s="3"/>
      <c r="MUG164" s="3"/>
      <c r="MUH164" s="3"/>
      <c r="MUI164" s="3"/>
      <c r="MUJ164" s="3"/>
      <c r="MUK164" s="3"/>
      <c r="MUL164" s="3"/>
      <c r="MUM164" s="3"/>
      <c r="MUN164" s="3"/>
      <c r="MUO164" s="3"/>
      <c r="MUP164" s="3"/>
      <c r="MUQ164" s="3"/>
      <c r="MUR164" s="3"/>
      <c r="MUS164" s="3"/>
      <c r="MUT164" s="3"/>
      <c r="MUU164" s="3"/>
      <c r="MUV164" s="3"/>
      <c r="MUW164" s="3"/>
      <c r="MUX164" s="3"/>
      <c r="MUY164" s="3"/>
      <c r="MUZ164" s="3"/>
      <c r="MVA164" s="3"/>
      <c r="MVB164" s="3"/>
      <c r="MVC164" s="3"/>
      <c r="MVD164" s="3"/>
      <c r="MVE164" s="3"/>
      <c r="MVF164" s="3"/>
      <c r="MVG164" s="3"/>
      <c r="MVH164" s="3"/>
      <c r="MVI164" s="3"/>
      <c r="MVJ164" s="3"/>
      <c r="MVK164" s="3"/>
      <c r="MVL164" s="3"/>
      <c r="MVM164" s="3"/>
      <c r="MVN164" s="3"/>
      <c r="MVO164" s="3"/>
      <c r="MVP164" s="3"/>
      <c r="MVQ164" s="3"/>
      <c r="MVR164" s="3"/>
      <c r="MVS164" s="3"/>
      <c r="MVT164" s="3"/>
      <c r="MVU164" s="3"/>
      <c r="MVV164" s="3"/>
      <c r="MVW164" s="3"/>
      <c r="MVX164" s="3"/>
      <c r="MVY164" s="3"/>
      <c r="MVZ164" s="3"/>
      <c r="MWA164" s="3"/>
      <c r="MWB164" s="3"/>
      <c r="MWC164" s="3"/>
      <c r="MWD164" s="3"/>
      <c r="MWE164" s="3"/>
      <c r="MWF164" s="3"/>
      <c r="MWG164" s="3"/>
      <c r="MWH164" s="3"/>
      <c r="MWI164" s="3"/>
      <c r="MWJ164" s="3"/>
      <c r="MWK164" s="3"/>
      <c r="MWL164" s="3"/>
      <c r="MWM164" s="3"/>
      <c r="MWN164" s="3"/>
      <c r="MWO164" s="3"/>
      <c r="MWP164" s="3"/>
      <c r="MWQ164" s="3"/>
      <c r="MWR164" s="3"/>
      <c r="MWS164" s="3"/>
      <c r="MWT164" s="3"/>
      <c r="MWU164" s="3"/>
      <c r="MWV164" s="3"/>
      <c r="MWW164" s="3"/>
      <c r="MWX164" s="3"/>
      <c r="MWY164" s="3"/>
      <c r="MWZ164" s="3"/>
      <c r="MXA164" s="3"/>
      <c r="MXB164" s="3"/>
      <c r="MXC164" s="3"/>
      <c r="MXD164" s="3"/>
      <c r="MXE164" s="3"/>
      <c r="MXF164" s="3"/>
      <c r="MXG164" s="3"/>
      <c r="MXH164" s="3"/>
      <c r="MXI164" s="3"/>
      <c r="MXJ164" s="3"/>
      <c r="MXK164" s="3"/>
      <c r="MXL164" s="3"/>
      <c r="MXM164" s="3"/>
      <c r="MXN164" s="3"/>
      <c r="MXO164" s="3"/>
      <c r="MXP164" s="3"/>
      <c r="MXQ164" s="3"/>
      <c r="MXR164" s="3"/>
      <c r="MXS164" s="3"/>
      <c r="MXT164" s="3"/>
      <c r="MXU164" s="3"/>
      <c r="MXV164" s="3"/>
      <c r="MXW164" s="3"/>
      <c r="MXX164" s="3"/>
      <c r="MXY164" s="3"/>
      <c r="MXZ164" s="3"/>
      <c r="MYA164" s="3"/>
      <c r="MYB164" s="3"/>
      <c r="MYC164" s="3"/>
      <c r="MYD164" s="3"/>
      <c r="MYE164" s="3"/>
      <c r="MYF164" s="3"/>
      <c r="MYG164" s="3"/>
      <c r="MYH164" s="3"/>
      <c r="MYI164" s="3"/>
      <c r="MYJ164" s="3"/>
      <c r="MYK164" s="3"/>
      <c r="MYL164" s="3"/>
      <c r="MYM164" s="3"/>
      <c r="MYN164" s="3"/>
      <c r="MYO164" s="3"/>
      <c r="MYP164" s="3"/>
      <c r="MYQ164" s="3"/>
      <c r="MYR164" s="3"/>
      <c r="MYS164" s="3"/>
      <c r="MYT164" s="3"/>
      <c r="MYU164" s="3"/>
      <c r="MYV164" s="3"/>
      <c r="MYW164" s="3"/>
      <c r="MYX164" s="3"/>
      <c r="MYY164" s="3"/>
      <c r="MYZ164" s="3"/>
      <c r="MZA164" s="3"/>
      <c r="MZB164" s="3"/>
      <c r="MZC164" s="3"/>
      <c r="MZD164" s="3"/>
      <c r="MZE164" s="3"/>
      <c r="MZF164" s="3"/>
      <c r="MZG164" s="3"/>
      <c r="MZH164" s="3"/>
      <c r="MZI164" s="3"/>
      <c r="MZJ164" s="3"/>
      <c r="MZK164" s="3"/>
      <c r="MZL164" s="3"/>
      <c r="MZM164" s="3"/>
      <c r="MZN164" s="3"/>
      <c r="MZO164" s="3"/>
      <c r="MZP164" s="3"/>
      <c r="MZQ164" s="3"/>
      <c r="MZR164" s="3"/>
      <c r="MZS164" s="3"/>
      <c r="MZT164" s="3"/>
      <c r="MZU164" s="3"/>
      <c r="MZV164" s="3"/>
      <c r="MZW164" s="3"/>
      <c r="MZX164" s="3"/>
      <c r="MZY164" s="3"/>
      <c r="MZZ164" s="3"/>
      <c r="NAA164" s="3"/>
      <c r="NAB164" s="3"/>
      <c r="NAC164" s="3"/>
      <c r="NAD164" s="3"/>
      <c r="NAE164" s="3"/>
      <c r="NAF164" s="3"/>
      <c r="NAG164" s="3"/>
      <c r="NAH164" s="3"/>
      <c r="NAI164" s="3"/>
      <c r="NAJ164" s="3"/>
      <c r="NAK164" s="3"/>
      <c r="NAL164" s="3"/>
      <c r="NAM164" s="3"/>
      <c r="NAN164" s="3"/>
      <c r="NAO164" s="3"/>
      <c r="NAP164" s="3"/>
      <c r="NAQ164" s="3"/>
      <c r="NAR164" s="3"/>
      <c r="NAS164" s="3"/>
      <c r="NAT164" s="3"/>
      <c r="NAU164" s="3"/>
      <c r="NAV164" s="3"/>
      <c r="NAW164" s="3"/>
      <c r="NAX164" s="3"/>
      <c r="NAY164" s="3"/>
      <c r="NAZ164" s="3"/>
      <c r="NBA164" s="3"/>
      <c r="NBB164" s="3"/>
      <c r="NBC164" s="3"/>
      <c r="NBD164" s="3"/>
      <c r="NBE164" s="3"/>
      <c r="NBF164" s="3"/>
      <c r="NBG164" s="3"/>
      <c r="NBH164" s="3"/>
      <c r="NBI164" s="3"/>
      <c r="NBJ164" s="3"/>
      <c r="NBK164" s="3"/>
      <c r="NBL164" s="3"/>
      <c r="NBM164" s="3"/>
      <c r="NBN164" s="3"/>
      <c r="NBO164" s="3"/>
      <c r="NBP164" s="3"/>
      <c r="NBQ164" s="3"/>
      <c r="NBR164" s="3"/>
      <c r="NBS164" s="3"/>
      <c r="NBT164" s="3"/>
      <c r="NBU164" s="3"/>
      <c r="NBV164" s="3"/>
      <c r="NBW164" s="3"/>
      <c r="NBX164" s="3"/>
      <c r="NBY164" s="3"/>
      <c r="NBZ164" s="3"/>
      <c r="NCA164" s="3"/>
      <c r="NCB164" s="3"/>
      <c r="NCC164" s="3"/>
      <c r="NCD164" s="3"/>
      <c r="NCE164" s="3"/>
      <c r="NCF164" s="3"/>
      <c r="NCG164" s="3"/>
      <c r="NCH164" s="3"/>
      <c r="NCI164" s="3"/>
      <c r="NCJ164" s="3"/>
      <c r="NCK164" s="3"/>
      <c r="NCL164" s="3"/>
      <c r="NCM164" s="3"/>
      <c r="NCN164" s="3"/>
      <c r="NCO164" s="3"/>
      <c r="NCP164" s="3"/>
      <c r="NCQ164" s="3"/>
      <c r="NCR164" s="3"/>
      <c r="NCS164" s="3"/>
      <c r="NCT164" s="3"/>
      <c r="NCU164" s="3"/>
      <c r="NCV164" s="3"/>
      <c r="NCW164" s="3"/>
      <c r="NCX164" s="3"/>
      <c r="NCY164" s="3"/>
      <c r="NCZ164" s="3"/>
      <c r="NDA164" s="3"/>
      <c r="NDB164" s="3"/>
      <c r="NDC164" s="3"/>
      <c r="NDD164" s="3"/>
      <c r="NDE164" s="3"/>
      <c r="NDF164" s="3"/>
      <c r="NDG164" s="3"/>
      <c r="NDH164" s="3"/>
      <c r="NDI164" s="3"/>
      <c r="NDJ164" s="3"/>
      <c r="NDK164" s="3"/>
      <c r="NDL164" s="3"/>
      <c r="NDM164" s="3"/>
      <c r="NDN164" s="3"/>
      <c r="NDO164" s="3"/>
      <c r="NDP164" s="3"/>
      <c r="NDQ164" s="3"/>
      <c r="NDR164" s="3"/>
      <c r="NDS164" s="3"/>
      <c r="NDT164" s="3"/>
      <c r="NDU164" s="3"/>
      <c r="NDV164" s="3"/>
      <c r="NDW164" s="3"/>
      <c r="NDX164" s="3"/>
      <c r="NDY164" s="3"/>
      <c r="NDZ164" s="3"/>
      <c r="NEA164" s="3"/>
      <c r="NEB164" s="3"/>
      <c r="NEC164" s="3"/>
      <c r="NED164" s="3"/>
      <c r="NEE164" s="3"/>
      <c r="NEF164" s="3"/>
      <c r="NEG164" s="3"/>
      <c r="NEH164" s="3"/>
      <c r="NEI164" s="3"/>
      <c r="NEJ164" s="3"/>
      <c r="NEK164" s="3"/>
      <c r="NEL164" s="3"/>
      <c r="NEM164" s="3"/>
      <c r="NEN164" s="3"/>
      <c r="NEO164" s="3"/>
      <c r="NEP164" s="3"/>
      <c r="NEQ164" s="3"/>
      <c r="NER164" s="3"/>
      <c r="NES164" s="3"/>
      <c r="NET164" s="3"/>
      <c r="NEU164" s="3"/>
      <c r="NEV164" s="3"/>
      <c r="NEW164" s="3"/>
      <c r="NEX164" s="3"/>
      <c r="NEY164" s="3"/>
      <c r="NEZ164" s="3"/>
      <c r="NFA164" s="3"/>
      <c r="NFB164" s="3"/>
      <c r="NFC164" s="3"/>
      <c r="NFD164" s="3"/>
      <c r="NFE164" s="3"/>
      <c r="NFF164" s="3"/>
      <c r="NFG164" s="3"/>
      <c r="NFH164" s="3"/>
      <c r="NFI164" s="3"/>
      <c r="NFJ164" s="3"/>
      <c r="NFK164" s="3"/>
      <c r="NFL164" s="3"/>
      <c r="NFM164" s="3"/>
      <c r="NFN164" s="3"/>
      <c r="NFO164" s="3"/>
      <c r="NFP164" s="3"/>
      <c r="NFQ164" s="3"/>
      <c r="NFR164" s="3"/>
      <c r="NFS164" s="3"/>
      <c r="NFT164" s="3"/>
      <c r="NFU164" s="3"/>
      <c r="NFV164" s="3"/>
      <c r="NFW164" s="3"/>
      <c r="NFX164" s="3"/>
      <c r="NFY164" s="3"/>
      <c r="NFZ164" s="3"/>
      <c r="NGA164" s="3"/>
      <c r="NGB164" s="3"/>
      <c r="NGC164" s="3"/>
      <c r="NGD164" s="3"/>
      <c r="NGE164" s="3"/>
      <c r="NGF164" s="3"/>
      <c r="NGG164" s="3"/>
      <c r="NGH164" s="3"/>
      <c r="NGI164" s="3"/>
      <c r="NGJ164" s="3"/>
      <c r="NGK164" s="3"/>
      <c r="NGL164" s="3"/>
      <c r="NGM164" s="3"/>
      <c r="NGN164" s="3"/>
      <c r="NGO164" s="3"/>
      <c r="NGP164" s="3"/>
      <c r="NGQ164" s="3"/>
      <c r="NGR164" s="3"/>
      <c r="NGS164" s="3"/>
      <c r="NGT164" s="3"/>
      <c r="NGU164" s="3"/>
      <c r="NGV164" s="3"/>
      <c r="NGW164" s="3"/>
      <c r="NGX164" s="3"/>
      <c r="NGY164" s="3"/>
      <c r="NGZ164" s="3"/>
      <c r="NHA164" s="3"/>
      <c r="NHB164" s="3"/>
      <c r="NHC164" s="3"/>
      <c r="NHD164" s="3"/>
      <c r="NHE164" s="3"/>
      <c r="NHF164" s="3"/>
      <c r="NHG164" s="3"/>
      <c r="NHH164" s="3"/>
      <c r="NHI164" s="3"/>
      <c r="NHJ164" s="3"/>
      <c r="NHK164" s="3"/>
      <c r="NHL164" s="3"/>
      <c r="NHM164" s="3"/>
      <c r="NHN164" s="3"/>
      <c r="NHO164" s="3"/>
      <c r="NHP164" s="3"/>
      <c r="NHQ164" s="3"/>
      <c r="NHR164" s="3"/>
      <c r="NHS164" s="3"/>
      <c r="NHT164" s="3"/>
      <c r="NHU164" s="3"/>
      <c r="NHV164" s="3"/>
      <c r="NHW164" s="3"/>
      <c r="NHX164" s="3"/>
      <c r="NHY164" s="3"/>
      <c r="NHZ164" s="3"/>
      <c r="NIA164" s="3"/>
      <c r="NIB164" s="3"/>
      <c r="NIC164" s="3"/>
      <c r="NID164" s="3"/>
      <c r="NIE164" s="3"/>
      <c r="NIF164" s="3"/>
      <c r="NIG164" s="3"/>
      <c r="NIH164" s="3"/>
      <c r="NII164" s="3"/>
      <c r="NIJ164" s="3"/>
      <c r="NIK164" s="3"/>
      <c r="NIL164" s="3"/>
      <c r="NIM164" s="3"/>
      <c r="NIN164" s="3"/>
      <c r="NIO164" s="3"/>
      <c r="NIP164" s="3"/>
      <c r="NIQ164" s="3"/>
      <c r="NIR164" s="3"/>
      <c r="NIS164" s="3"/>
      <c r="NIT164" s="3"/>
      <c r="NIU164" s="3"/>
      <c r="NIV164" s="3"/>
      <c r="NIW164" s="3"/>
      <c r="NIX164" s="3"/>
      <c r="NIY164" s="3"/>
      <c r="NIZ164" s="3"/>
      <c r="NJA164" s="3"/>
      <c r="NJB164" s="3"/>
      <c r="NJC164" s="3"/>
      <c r="NJD164" s="3"/>
      <c r="NJE164" s="3"/>
      <c r="NJF164" s="3"/>
      <c r="NJG164" s="3"/>
      <c r="NJH164" s="3"/>
      <c r="NJI164" s="3"/>
      <c r="NJJ164" s="3"/>
      <c r="NJK164" s="3"/>
      <c r="NJL164" s="3"/>
      <c r="NJM164" s="3"/>
      <c r="NJN164" s="3"/>
      <c r="NJO164" s="3"/>
      <c r="NJP164" s="3"/>
      <c r="NJQ164" s="3"/>
      <c r="NJR164" s="3"/>
      <c r="NJS164" s="3"/>
      <c r="NJT164" s="3"/>
      <c r="NJU164" s="3"/>
      <c r="NJV164" s="3"/>
      <c r="NJW164" s="3"/>
      <c r="NJX164" s="3"/>
      <c r="NJY164" s="3"/>
      <c r="NJZ164" s="3"/>
      <c r="NKA164" s="3"/>
      <c r="NKB164" s="3"/>
      <c r="NKC164" s="3"/>
      <c r="NKD164" s="3"/>
      <c r="NKE164" s="3"/>
      <c r="NKF164" s="3"/>
      <c r="NKG164" s="3"/>
      <c r="NKH164" s="3"/>
      <c r="NKI164" s="3"/>
      <c r="NKJ164" s="3"/>
      <c r="NKK164" s="3"/>
      <c r="NKL164" s="3"/>
      <c r="NKM164" s="3"/>
      <c r="NKN164" s="3"/>
      <c r="NKO164" s="3"/>
      <c r="NKP164" s="3"/>
      <c r="NKQ164" s="3"/>
      <c r="NKR164" s="3"/>
      <c r="NKS164" s="3"/>
      <c r="NKT164" s="3"/>
      <c r="NKU164" s="3"/>
      <c r="NKV164" s="3"/>
      <c r="NKW164" s="3"/>
      <c r="NKX164" s="3"/>
      <c r="NKY164" s="3"/>
      <c r="NKZ164" s="3"/>
      <c r="NLA164" s="3"/>
      <c r="NLB164" s="3"/>
      <c r="NLC164" s="3"/>
      <c r="NLD164" s="3"/>
      <c r="NLE164" s="3"/>
      <c r="NLF164" s="3"/>
      <c r="NLG164" s="3"/>
      <c r="NLH164" s="3"/>
      <c r="NLI164" s="3"/>
      <c r="NLJ164" s="3"/>
      <c r="NLK164" s="3"/>
      <c r="NLL164" s="3"/>
      <c r="NLM164" s="3"/>
      <c r="NLN164" s="3"/>
      <c r="NLO164" s="3"/>
      <c r="NLP164" s="3"/>
      <c r="NLQ164" s="3"/>
      <c r="NLR164" s="3"/>
      <c r="NLS164" s="3"/>
      <c r="NLT164" s="3"/>
      <c r="NLU164" s="3"/>
      <c r="NLV164" s="3"/>
      <c r="NLW164" s="3"/>
      <c r="NLX164" s="3"/>
      <c r="NLY164" s="3"/>
      <c r="NLZ164" s="3"/>
      <c r="NMA164" s="3"/>
      <c r="NMB164" s="3"/>
      <c r="NMC164" s="3"/>
      <c r="NMD164" s="3"/>
      <c r="NME164" s="3"/>
      <c r="NMF164" s="3"/>
      <c r="NMG164" s="3"/>
      <c r="NMH164" s="3"/>
      <c r="NMI164" s="3"/>
      <c r="NMJ164" s="3"/>
      <c r="NMK164" s="3"/>
      <c r="NML164" s="3"/>
      <c r="NMM164" s="3"/>
      <c r="NMN164" s="3"/>
      <c r="NMO164" s="3"/>
      <c r="NMP164" s="3"/>
      <c r="NMQ164" s="3"/>
      <c r="NMR164" s="3"/>
      <c r="NMS164" s="3"/>
      <c r="NMT164" s="3"/>
      <c r="NMU164" s="3"/>
      <c r="NMV164" s="3"/>
      <c r="NMW164" s="3"/>
      <c r="NMX164" s="3"/>
      <c r="NMY164" s="3"/>
      <c r="NMZ164" s="3"/>
      <c r="NNA164" s="3"/>
      <c r="NNB164" s="3"/>
      <c r="NNC164" s="3"/>
      <c r="NND164" s="3"/>
      <c r="NNE164" s="3"/>
      <c r="NNF164" s="3"/>
      <c r="NNG164" s="3"/>
      <c r="NNH164" s="3"/>
      <c r="NNI164" s="3"/>
      <c r="NNJ164" s="3"/>
      <c r="NNK164" s="3"/>
      <c r="NNL164" s="3"/>
      <c r="NNM164" s="3"/>
      <c r="NNN164" s="3"/>
      <c r="NNO164" s="3"/>
      <c r="NNP164" s="3"/>
      <c r="NNQ164" s="3"/>
      <c r="NNR164" s="3"/>
      <c r="NNS164" s="3"/>
      <c r="NNT164" s="3"/>
      <c r="NNU164" s="3"/>
      <c r="NNV164" s="3"/>
      <c r="NNW164" s="3"/>
      <c r="NNX164" s="3"/>
      <c r="NNY164" s="3"/>
      <c r="NNZ164" s="3"/>
      <c r="NOA164" s="3"/>
      <c r="NOB164" s="3"/>
      <c r="NOC164" s="3"/>
      <c r="NOD164" s="3"/>
      <c r="NOE164" s="3"/>
      <c r="NOF164" s="3"/>
      <c r="NOG164" s="3"/>
      <c r="NOH164" s="3"/>
      <c r="NOI164" s="3"/>
      <c r="NOJ164" s="3"/>
      <c r="NOK164" s="3"/>
      <c r="NOL164" s="3"/>
      <c r="NOM164" s="3"/>
      <c r="NON164" s="3"/>
      <c r="NOO164" s="3"/>
      <c r="NOP164" s="3"/>
      <c r="NOQ164" s="3"/>
      <c r="NOR164" s="3"/>
      <c r="NOS164" s="3"/>
      <c r="NOT164" s="3"/>
      <c r="NOU164" s="3"/>
      <c r="NOV164" s="3"/>
      <c r="NOW164" s="3"/>
      <c r="NOX164" s="3"/>
      <c r="NOY164" s="3"/>
      <c r="NOZ164" s="3"/>
      <c r="NPA164" s="3"/>
      <c r="NPB164" s="3"/>
      <c r="NPC164" s="3"/>
      <c r="NPD164" s="3"/>
      <c r="NPE164" s="3"/>
      <c r="NPF164" s="3"/>
      <c r="NPG164" s="3"/>
      <c r="NPH164" s="3"/>
      <c r="NPI164" s="3"/>
      <c r="NPJ164" s="3"/>
      <c r="NPK164" s="3"/>
      <c r="NPL164" s="3"/>
      <c r="NPM164" s="3"/>
      <c r="NPN164" s="3"/>
      <c r="NPO164" s="3"/>
      <c r="NPP164" s="3"/>
      <c r="NPQ164" s="3"/>
      <c r="NPR164" s="3"/>
      <c r="NPS164" s="3"/>
      <c r="NPT164" s="3"/>
      <c r="NPU164" s="3"/>
      <c r="NPV164" s="3"/>
      <c r="NPW164" s="3"/>
      <c r="NPX164" s="3"/>
      <c r="NPY164" s="3"/>
      <c r="NPZ164" s="3"/>
      <c r="NQA164" s="3"/>
      <c r="NQB164" s="3"/>
      <c r="NQC164" s="3"/>
      <c r="NQD164" s="3"/>
      <c r="NQE164" s="3"/>
      <c r="NQF164" s="3"/>
      <c r="NQG164" s="3"/>
      <c r="NQH164" s="3"/>
      <c r="NQI164" s="3"/>
      <c r="NQJ164" s="3"/>
      <c r="NQK164" s="3"/>
      <c r="NQL164" s="3"/>
      <c r="NQM164" s="3"/>
      <c r="NQN164" s="3"/>
      <c r="NQO164" s="3"/>
      <c r="NQP164" s="3"/>
      <c r="NQQ164" s="3"/>
      <c r="NQR164" s="3"/>
      <c r="NQS164" s="3"/>
      <c r="NQT164" s="3"/>
      <c r="NQU164" s="3"/>
      <c r="NQV164" s="3"/>
      <c r="NQW164" s="3"/>
      <c r="NQX164" s="3"/>
      <c r="NQY164" s="3"/>
      <c r="NQZ164" s="3"/>
      <c r="NRA164" s="3"/>
      <c r="NRB164" s="3"/>
      <c r="NRC164" s="3"/>
      <c r="NRD164" s="3"/>
      <c r="NRE164" s="3"/>
      <c r="NRF164" s="3"/>
      <c r="NRG164" s="3"/>
      <c r="NRH164" s="3"/>
      <c r="NRI164" s="3"/>
      <c r="NRJ164" s="3"/>
      <c r="NRK164" s="3"/>
      <c r="NRL164" s="3"/>
      <c r="NRM164" s="3"/>
      <c r="NRN164" s="3"/>
      <c r="NRO164" s="3"/>
      <c r="NRP164" s="3"/>
      <c r="NRQ164" s="3"/>
      <c r="NRR164" s="3"/>
      <c r="NRS164" s="3"/>
      <c r="NRT164" s="3"/>
      <c r="NRU164" s="3"/>
      <c r="NRV164" s="3"/>
      <c r="NRW164" s="3"/>
      <c r="NRX164" s="3"/>
      <c r="NRY164" s="3"/>
      <c r="NRZ164" s="3"/>
      <c r="NSA164" s="3"/>
      <c r="NSB164" s="3"/>
      <c r="NSC164" s="3"/>
      <c r="NSD164" s="3"/>
      <c r="NSE164" s="3"/>
      <c r="NSF164" s="3"/>
      <c r="NSG164" s="3"/>
      <c r="NSH164" s="3"/>
      <c r="NSI164" s="3"/>
      <c r="NSJ164" s="3"/>
      <c r="NSK164" s="3"/>
      <c r="NSL164" s="3"/>
      <c r="NSM164" s="3"/>
      <c r="NSN164" s="3"/>
      <c r="NSO164" s="3"/>
      <c r="NSP164" s="3"/>
      <c r="NSQ164" s="3"/>
      <c r="NSR164" s="3"/>
      <c r="NSS164" s="3"/>
      <c r="NST164" s="3"/>
      <c r="NSU164" s="3"/>
      <c r="NSV164" s="3"/>
      <c r="NSW164" s="3"/>
      <c r="NSX164" s="3"/>
      <c r="NSY164" s="3"/>
      <c r="NSZ164" s="3"/>
      <c r="NTA164" s="3"/>
      <c r="NTB164" s="3"/>
      <c r="NTC164" s="3"/>
      <c r="NTD164" s="3"/>
      <c r="NTE164" s="3"/>
      <c r="NTF164" s="3"/>
      <c r="NTG164" s="3"/>
      <c r="NTH164" s="3"/>
      <c r="NTI164" s="3"/>
      <c r="NTJ164" s="3"/>
      <c r="NTK164" s="3"/>
      <c r="NTL164" s="3"/>
      <c r="NTM164" s="3"/>
      <c r="NTN164" s="3"/>
      <c r="NTO164" s="3"/>
      <c r="NTP164" s="3"/>
      <c r="NTQ164" s="3"/>
      <c r="NTR164" s="3"/>
      <c r="NTS164" s="3"/>
      <c r="NTT164" s="3"/>
      <c r="NTU164" s="3"/>
      <c r="NTV164" s="3"/>
      <c r="NTW164" s="3"/>
      <c r="NTX164" s="3"/>
      <c r="NTY164" s="3"/>
      <c r="NTZ164" s="3"/>
      <c r="NUA164" s="3"/>
      <c r="NUB164" s="3"/>
      <c r="NUC164" s="3"/>
      <c r="NUD164" s="3"/>
      <c r="NUE164" s="3"/>
      <c r="NUF164" s="3"/>
      <c r="NUG164" s="3"/>
      <c r="NUH164" s="3"/>
      <c r="NUI164" s="3"/>
      <c r="NUJ164" s="3"/>
      <c r="NUK164" s="3"/>
      <c r="NUL164" s="3"/>
      <c r="NUM164" s="3"/>
      <c r="NUN164" s="3"/>
      <c r="NUO164" s="3"/>
      <c r="NUP164" s="3"/>
      <c r="NUQ164" s="3"/>
      <c r="NUR164" s="3"/>
      <c r="NUS164" s="3"/>
      <c r="NUT164" s="3"/>
      <c r="NUU164" s="3"/>
      <c r="NUV164" s="3"/>
      <c r="NUW164" s="3"/>
      <c r="NUX164" s="3"/>
      <c r="NUY164" s="3"/>
      <c r="NUZ164" s="3"/>
      <c r="NVA164" s="3"/>
      <c r="NVB164" s="3"/>
      <c r="NVC164" s="3"/>
      <c r="NVD164" s="3"/>
      <c r="NVE164" s="3"/>
      <c r="NVF164" s="3"/>
      <c r="NVG164" s="3"/>
      <c r="NVH164" s="3"/>
      <c r="NVI164" s="3"/>
      <c r="NVJ164" s="3"/>
      <c r="NVK164" s="3"/>
      <c r="NVL164" s="3"/>
      <c r="NVM164" s="3"/>
      <c r="NVN164" s="3"/>
      <c r="NVO164" s="3"/>
      <c r="NVP164" s="3"/>
      <c r="NVQ164" s="3"/>
      <c r="NVR164" s="3"/>
      <c r="NVS164" s="3"/>
      <c r="NVT164" s="3"/>
      <c r="NVU164" s="3"/>
      <c r="NVV164" s="3"/>
      <c r="NVW164" s="3"/>
      <c r="NVX164" s="3"/>
      <c r="NVY164" s="3"/>
      <c r="NVZ164" s="3"/>
      <c r="NWA164" s="3"/>
      <c r="NWB164" s="3"/>
      <c r="NWC164" s="3"/>
      <c r="NWD164" s="3"/>
      <c r="NWE164" s="3"/>
      <c r="NWF164" s="3"/>
      <c r="NWG164" s="3"/>
      <c r="NWH164" s="3"/>
      <c r="NWI164" s="3"/>
      <c r="NWJ164" s="3"/>
      <c r="NWK164" s="3"/>
      <c r="NWL164" s="3"/>
      <c r="NWM164" s="3"/>
      <c r="NWN164" s="3"/>
      <c r="NWO164" s="3"/>
      <c r="NWP164" s="3"/>
      <c r="NWQ164" s="3"/>
      <c r="NWR164" s="3"/>
      <c r="NWS164" s="3"/>
      <c r="NWT164" s="3"/>
      <c r="NWU164" s="3"/>
      <c r="NWV164" s="3"/>
      <c r="NWW164" s="3"/>
      <c r="NWX164" s="3"/>
      <c r="NWY164" s="3"/>
      <c r="NWZ164" s="3"/>
      <c r="NXA164" s="3"/>
      <c r="NXB164" s="3"/>
      <c r="NXC164" s="3"/>
      <c r="NXD164" s="3"/>
      <c r="NXE164" s="3"/>
      <c r="NXF164" s="3"/>
      <c r="NXG164" s="3"/>
      <c r="NXH164" s="3"/>
      <c r="NXI164" s="3"/>
      <c r="NXJ164" s="3"/>
      <c r="NXK164" s="3"/>
      <c r="NXL164" s="3"/>
      <c r="NXM164" s="3"/>
      <c r="NXN164" s="3"/>
      <c r="NXO164" s="3"/>
      <c r="NXP164" s="3"/>
      <c r="NXQ164" s="3"/>
      <c r="NXR164" s="3"/>
      <c r="NXS164" s="3"/>
      <c r="NXT164" s="3"/>
      <c r="NXU164" s="3"/>
      <c r="NXV164" s="3"/>
      <c r="NXW164" s="3"/>
      <c r="NXX164" s="3"/>
      <c r="NXY164" s="3"/>
      <c r="NXZ164" s="3"/>
      <c r="NYA164" s="3"/>
      <c r="NYB164" s="3"/>
      <c r="NYC164" s="3"/>
      <c r="NYD164" s="3"/>
      <c r="NYE164" s="3"/>
      <c r="NYF164" s="3"/>
      <c r="NYG164" s="3"/>
      <c r="NYH164" s="3"/>
      <c r="NYI164" s="3"/>
      <c r="NYJ164" s="3"/>
      <c r="NYK164" s="3"/>
      <c r="NYL164" s="3"/>
      <c r="NYM164" s="3"/>
      <c r="NYN164" s="3"/>
      <c r="NYO164" s="3"/>
      <c r="NYP164" s="3"/>
      <c r="NYQ164" s="3"/>
      <c r="NYR164" s="3"/>
      <c r="NYS164" s="3"/>
      <c r="NYT164" s="3"/>
      <c r="NYU164" s="3"/>
      <c r="NYV164" s="3"/>
      <c r="NYW164" s="3"/>
      <c r="NYX164" s="3"/>
      <c r="NYY164" s="3"/>
      <c r="NYZ164" s="3"/>
      <c r="NZA164" s="3"/>
      <c r="NZB164" s="3"/>
      <c r="NZC164" s="3"/>
      <c r="NZD164" s="3"/>
      <c r="NZE164" s="3"/>
      <c r="NZF164" s="3"/>
      <c r="NZG164" s="3"/>
      <c r="NZH164" s="3"/>
      <c r="NZI164" s="3"/>
      <c r="NZJ164" s="3"/>
      <c r="NZK164" s="3"/>
      <c r="NZL164" s="3"/>
      <c r="NZM164" s="3"/>
      <c r="NZN164" s="3"/>
      <c r="NZO164" s="3"/>
      <c r="NZP164" s="3"/>
      <c r="NZQ164" s="3"/>
      <c r="NZR164" s="3"/>
      <c r="NZS164" s="3"/>
      <c r="NZT164" s="3"/>
      <c r="NZU164" s="3"/>
      <c r="NZV164" s="3"/>
      <c r="NZW164" s="3"/>
      <c r="NZX164" s="3"/>
      <c r="NZY164" s="3"/>
      <c r="NZZ164" s="3"/>
      <c r="OAA164" s="3"/>
      <c r="OAB164" s="3"/>
      <c r="OAC164" s="3"/>
      <c r="OAD164" s="3"/>
      <c r="OAE164" s="3"/>
      <c r="OAF164" s="3"/>
      <c r="OAG164" s="3"/>
      <c r="OAH164" s="3"/>
      <c r="OAI164" s="3"/>
      <c r="OAJ164" s="3"/>
      <c r="OAK164" s="3"/>
      <c r="OAL164" s="3"/>
      <c r="OAM164" s="3"/>
      <c r="OAN164" s="3"/>
      <c r="OAO164" s="3"/>
      <c r="OAP164" s="3"/>
      <c r="OAQ164" s="3"/>
      <c r="OAR164" s="3"/>
      <c r="OAS164" s="3"/>
      <c r="OAT164" s="3"/>
      <c r="OAU164" s="3"/>
      <c r="OAV164" s="3"/>
      <c r="OAW164" s="3"/>
      <c r="OAX164" s="3"/>
      <c r="OAY164" s="3"/>
      <c r="OAZ164" s="3"/>
      <c r="OBA164" s="3"/>
      <c r="OBB164" s="3"/>
      <c r="OBC164" s="3"/>
      <c r="OBD164" s="3"/>
      <c r="OBE164" s="3"/>
      <c r="OBF164" s="3"/>
      <c r="OBG164" s="3"/>
      <c r="OBH164" s="3"/>
      <c r="OBI164" s="3"/>
      <c r="OBJ164" s="3"/>
      <c r="OBK164" s="3"/>
      <c r="OBL164" s="3"/>
      <c r="OBM164" s="3"/>
      <c r="OBN164" s="3"/>
      <c r="OBO164" s="3"/>
      <c r="OBP164" s="3"/>
      <c r="OBQ164" s="3"/>
      <c r="OBR164" s="3"/>
      <c r="OBS164" s="3"/>
      <c r="OBT164" s="3"/>
      <c r="OBU164" s="3"/>
      <c r="OBV164" s="3"/>
      <c r="OBW164" s="3"/>
      <c r="OBX164" s="3"/>
      <c r="OBY164" s="3"/>
      <c r="OBZ164" s="3"/>
      <c r="OCA164" s="3"/>
      <c r="OCB164" s="3"/>
      <c r="OCC164" s="3"/>
      <c r="OCD164" s="3"/>
      <c r="OCE164" s="3"/>
      <c r="OCF164" s="3"/>
      <c r="OCG164" s="3"/>
      <c r="OCH164" s="3"/>
      <c r="OCI164" s="3"/>
      <c r="OCJ164" s="3"/>
      <c r="OCK164" s="3"/>
      <c r="OCL164" s="3"/>
      <c r="OCM164" s="3"/>
      <c r="OCN164" s="3"/>
      <c r="OCO164" s="3"/>
      <c r="OCP164" s="3"/>
      <c r="OCQ164" s="3"/>
      <c r="OCR164" s="3"/>
      <c r="OCS164" s="3"/>
      <c r="OCT164" s="3"/>
      <c r="OCU164" s="3"/>
      <c r="OCV164" s="3"/>
      <c r="OCW164" s="3"/>
      <c r="OCX164" s="3"/>
      <c r="OCY164" s="3"/>
      <c r="OCZ164" s="3"/>
      <c r="ODA164" s="3"/>
      <c r="ODB164" s="3"/>
      <c r="ODC164" s="3"/>
      <c r="ODD164" s="3"/>
      <c r="ODE164" s="3"/>
      <c r="ODF164" s="3"/>
      <c r="ODG164" s="3"/>
      <c r="ODH164" s="3"/>
      <c r="ODI164" s="3"/>
      <c r="ODJ164" s="3"/>
      <c r="ODK164" s="3"/>
      <c r="ODL164" s="3"/>
      <c r="ODM164" s="3"/>
      <c r="ODN164" s="3"/>
      <c r="ODO164" s="3"/>
      <c r="ODP164" s="3"/>
      <c r="ODQ164" s="3"/>
      <c r="ODR164" s="3"/>
      <c r="ODS164" s="3"/>
      <c r="ODT164" s="3"/>
      <c r="ODU164" s="3"/>
      <c r="ODV164" s="3"/>
      <c r="ODW164" s="3"/>
      <c r="ODX164" s="3"/>
      <c r="ODY164" s="3"/>
      <c r="ODZ164" s="3"/>
      <c r="OEA164" s="3"/>
      <c r="OEB164" s="3"/>
      <c r="OEC164" s="3"/>
      <c r="OED164" s="3"/>
      <c r="OEE164" s="3"/>
      <c r="OEF164" s="3"/>
      <c r="OEG164" s="3"/>
      <c r="OEH164" s="3"/>
      <c r="OEI164" s="3"/>
      <c r="OEJ164" s="3"/>
      <c r="OEK164" s="3"/>
      <c r="OEL164" s="3"/>
      <c r="OEM164" s="3"/>
      <c r="OEN164" s="3"/>
      <c r="OEO164" s="3"/>
      <c r="OEP164" s="3"/>
      <c r="OEQ164" s="3"/>
      <c r="OER164" s="3"/>
      <c r="OES164" s="3"/>
      <c r="OET164" s="3"/>
      <c r="OEU164" s="3"/>
      <c r="OEV164" s="3"/>
      <c r="OEW164" s="3"/>
      <c r="OEX164" s="3"/>
      <c r="OEY164" s="3"/>
      <c r="OEZ164" s="3"/>
      <c r="OFA164" s="3"/>
      <c r="OFB164" s="3"/>
      <c r="OFC164" s="3"/>
      <c r="OFD164" s="3"/>
      <c r="OFE164" s="3"/>
      <c r="OFF164" s="3"/>
      <c r="OFG164" s="3"/>
      <c r="OFH164" s="3"/>
      <c r="OFI164" s="3"/>
      <c r="OFJ164" s="3"/>
      <c r="OFK164" s="3"/>
      <c r="OFL164" s="3"/>
      <c r="OFM164" s="3"/>
      <c r="OFN164" s="3"/>
      <c r="OFO164" s="3"/>
      <c r="OFP164" s="3"/>
      <c r="OFQ164" s="3"/>
      <c r="OFR164" s="3"/>
      <c r="OFS164" s="3"/>
      <c r="OFT164" s="3"/>
      <c r="OFU164" s="3"/>
      <c r="OFV164" s="3"/>
      <c r="OFW164" s="3"/>
      <c r="OFX164" s="3"/>
      <c r="OFY164" s="3"/>
      <c r="OFZ164" s="3"/>
      <c r="OGA164" s="3"/>
      <c r="OGB164" s="3"/>
      <c r="OGC164" s="3"/>
      <c r="OGD164" s="3"/>
      <c r="OGE164" s="3"/>
      <c r="OGF164" s="3"/>
      <c r="OGG164" s="3"/>
      <c r="OGH164" s="3"/>
      <c r="OGI164" s="3"/>
      <c r="OGJ164" s="3"/>
      <c r="OGK164" s="3"/>
      <c r="OGL164" s="3"/>
      <c r="OGM164" s="3"/>
      <c r="OGN164" s="3"/>
      <c r="OGO164" s="3"/>
      <c r="OGP164" s="3"/>
      <c r="OGQ164" s="3"/>
      <c r="OGR164" s="3"/>
      <c r="OGS164" s="3"/>
      <c r="OGT164" s="3"/>
      <c r="OGU164" s="3"/>
      <c r="OGV164" s="3"/>
      <c r="OGW164" s="3"/>
      <c r="OGX164" s="3"/>
      <c r="OGY164" s="3"/>
      <c r="OGZ164" s="3"/>
      <c r="OHA164" s="3"/>
      <c r="OHB164" s="3"/>
      <c r="OHC164" s="3"/>
      <c r="OHD164" s="3"/>
      <c r="OHE164" s="3"/>
      <c r="OHF164" s="3"/>
      <c r="OHG164" s="3"/>
      <c r="OHH164" s="3"/>
      <c r="OHI164" s="3"/>
      <c r="OHJ164" s="3"/>
      <c r="OHK164" s="3"/>
      <c r="OHL164" s="3"/>
      <c r="OHM164" s="3"/>
      <c r="OHN164" s="3"/>
      <c r="OHO164" s="3"/>
      <c r="OHP164" s="3"/>
      <c r="OHQ164" s="3"/>
      <c r="OHR164" s="3"/>
      <c r="OHS164" s="3"/>
      <c r="OHT164" s="3"/>
      <c r="OHU164" s="3"/>
      <c r="OHV164" s="3"/>
      <c r="OHW164" s="3"/>
      <c r="OHX164" s="3"/>
      <c r="OHY164" s="3"/>
      <c r="OHZ164" s="3"/>
      <c r="OIA164" s="3"/>
      <c r="OIB164" s="3"/>
      <c r="OIC164" s="3"/>
      <c r="OID164" s="3"/>
      <c r="OIE164" s="3"/>
      <c r="OIF164" s="3"/>
      <c r="OIG164" s="3"/>
      <c r="OIH164" s="3"/>
      <c r="OII164" s="3"/>
      <c r="OIJ164" s="3"/>
      <c r="OIK164" s="3"/>
      <c r="OIL164" s="3"/>
      <c r="OIM164" s="3"/>
      <c r="OIN164" s="3"/>
      <c r="OIO164" s="3"/>
      <c r="OIP164" s="3"/>
      <c r="OIQ164" s="3"/>
      <c r="OIR164" s="3"/>
      <c r="OIS164" s="3"/>
      <c r="OIT164" s="3"/>
      <c r="OIU164" s="3"/>
      <c r="OIV164" s="3"/>
      <c r="OIW164" s="3"/>
      <c r="OIX164" s="3"/>
      <c r="OIY164" s="3"/>
      <c r="OIZ164" s="3"/>
      <c r="OJA164" s="3"/>
      <c r="OJB164" s="3"/>
      <c r="OJC164" s="3"/>
      <c r="OJD164" s="3"/>
      <c r="OJE164" s="3"/>
      <c r="OJF164" s="3"/>
      <c r="OJG164" s="3"/>
      <c r="OJH164" s="3"/>
      <c r="OJI164" s="3"/>
      <c r="OJJ164" s="3"/>
      <c r="OJK164" s="3"/>
      <c r="OJL164" s="3"/>
      <c r="OJM164" s="3"/>
      <c r="OJN164" s="3"/>
      <c r="OJO164" s="3"/>
      <c r="OJP164" s="3"/>
      <c r="OJQ164" s="3"/>
      <c r="OJR164" s="3"/>
      <c r="OJS164" s="3"/>
      <c r="OJT164" s="3"/>
      <c r="OJU164" s="3"/>
      <c r="OJV164" s="3"/>
      <c r="OJW164" s="3"/>
      <c r="OJX164" s="3"/>
      <c r="OJY164" s="3"/>
      <c r="OJZ164" s="3"/>
      <c r="OKA164" s="3"/>
      <c r="OKB164" s="3"/>
      <c r="OKC164" s="3"/>
      <c r="OKD164" s="3"/>
      <c r="OKE164" s="3"/>
      <c r="OKF164" s="3"/>
      <c r="OKG164" s="3"/>
      <c r="OKH164" s="3"/>
      <c r="OKI164" s="3"/>
      <c r="OKJ164" s="3"/>
      <c r="OKK164" s="3"/>
      <c r="OKL164" s="3"/>
      <c r="OKM164" s="3"/>
      <c r="OKN164" s="3"/>
      <c r="OKO164" s="3"/>
      <c r="OKP164" s="3"/>
      <c r="OKQ164" s="3"/>
      <c r="OKR164" s="3"/>
      <c r="OKS164" s="3"/>
      <c r="OKT164" s="3"/>
      <c r="OKU164" s="3"/>
      <c r="OKV164" s="3"/>
      <c r="OKW164" s="3"/>
      <c r="OKX164" s="3"/>
      <c r="OKY164" s="3"/>
      <c r="OKZ164" s="3"/>
      <c r="OLA164" s="3"/>
      <c r="OLB164" s="3"/>
      <c r="OLC164" s="3"/>
      <c r="OLD164" s="3"/>
      <c r="OLE164" s="3"/>
      <c r="OLF164" s="3"/>
      <c r="OLG164" s="3"/>
      <c r="OLH164" s="3"/>
      <c r="OLI164" s="3"/>
      <c r="OLJ164" s="3"/>
      <c r="OLK164" s="3"/>
      <c r="OLL164" s="3"/>
      <c r="OLM164" s="3"/>
      <c r="OLN164" s="3"/>
      <c r="OLO164" s="3"/>
      <c r="OLP164" s="3"/>
      <c r="OLQ164" s="3"/>
      <c r="OLR164" s="3"/>
      <c r="OLS164" s="3"/>
      <c r="OLT164" s="3"/>
      <c r="OLU164" s="3"/>
      <c r="OLV164" s="3"/>
      <c r="OLW164" s="3"/>
      <c r="OLX164" s="3"/>
      <c r="OLY164" s="3"/>
      <c r="OLZ164" s="3"/>
      <c r="OMA164" s="3"/>
      <c r="OMB164" s="3"/>
      <c r="OMC164" s="3"/>
      <c r="OMD164" s="3"/>
      <c r="OME164" s="3"/>
      <c r="OMF164" s="3"/>
      <c r="OMG164" s="3"/>
      <c r="OMH164" s="3"/>
      <c r="OMI164" s="3"/>
      <c r="OMJ164" s="3"/>
      <c r="OMK164" s="3"/>
      <c r="OML164" s="3"/>
      <c r="OMM164" s="3"/>
      <c r="OMN164" s="3"/>
      <c r="OMO164" s="3"/>
      <c r="OMP164" s="3"/>
      <c r="OMQ164" s="3"/>
      <c r="OMR164" s="3"/>
      <c r="OMS164" s="3"/>
      <c r="OMT164" s="3"/>
      <c r="OMU164" s="3"/>
      <c r="OMV164" s="3"/>
      <c r="OMW164" s="3"/>
      <c r="OMX164" s="3"/>
      <c r="OMY164" s="3"/>
      <c r="OMZ164" s="3"/>
      <c r="ONA164" s="3"/>
      <c r="ONB164" s="3"/>
      <c r="ONC164" s="3"/>
      <c r="OND164" s="3"/>
      <c r="ONE164" s="3"/>
      <c r="ONF164" s="3"/>
      <c r="ONG164" s="3"/>
      <c r="ONH164" s="3"/>
      <c r="ONI164" s="3"/>
      <c r="ONJ164" s="3"/>
      <c r="ONK164" s="3"/>
      <c r="ONL164" s="3"/>
      <c r="ONM164" s="3"/>
      <c r="ONN164" s="3"/>
      <c r="ONO164" s="3"/>
      <c r="ONP164" s="3"/>
      <c r="ONQ164" s="3"/>
      <c r="ONR164" s="3"/>
      <c r="ONS164" s="3"/>
      <c r="ONT164" s="3"/>
      <c r="ONU164" s="3"/>
      <c r="ONV164" s="3"/>
      <c r="ONW164" s="3"/>
      <c r="ONX164" s="3"/>
      <c r="ONY164" s="3"/>
      <c r="ONZ164" s="3"/>
      <c r="OOA164" s="3"/>
      <c r="OOB164" s="3"/>
      <c r="OOC164" s="3"/>
      <c r="OOD164" s="3"/>
      <c r="OOE164" s="3"/>
      <c r="OOF164" s="3"/>
      <c r="OOG164" s="3"/>
      <c r="OOH164" s="3"/>
      <c r="OOI164" s="3"/>
      <c r="OOJ164" s="3"/>
      <c r="OOK164" s="3"/>
      <c r="OOL164" s="3"/>
      <c r="OOM164" s="3"/>
      <c r="OON164" s="3"/>
      <c r="OOO164" s="3"/>
      <c r="OOP164" s="3"/>
      <c r="OOQ164" s="3"/>
      <c r="OOR164" s="3"/>
      <c r="OOS164" s="3"/>
      <c r="OOT164" s="3"/>
      <c r="OOU164" s="3"/>
      <c r="OOV164" s="3"/>
      <c r="OOW164" s="3"/>
      <c r="OOX164" s="3"/>
      <c r="OOY164" s="3"/>
      <c r="OOZ164" s="3"/>
      <c r="OPA164" s="3"/>
      <c r="OPB164" s="3"/>
      <c r="OPC164" s="3"/>
      <c r="OPD164" s="3"/>
      <c r="OPE164" s="3"/>
      <c r="OPF164" s="3"/>
      <c r="OPG164" s="3"/>
      <c r="OPH164" s="3"/>
      <c r="OPI164" s="3"/>
      <c r="OPJ164" s="3"/>
      <c r="OPK164" s="3"/>
      <c r="OPL164" s="3"/>
      <c r="OPM164" s="3"/>
      <c r="OPN164" s="3"/>
      <c r="OPO164" s="3"/>
      <c r="OPP164" s="3"/>
      <c r="OPQ164" s="3"/>
      <c r="OPR164" s="3"/>
      <c r="OPS164" s="3"/>
      <c r="OPT164" s="3"/>
      <c r="OPU164" s="3"/>
      <c r="OPV164" s="3"/>
      <c r="OPW164" s="3"/>
      <c r="OPX164" s="3"/>
      <c r="OPY164" s="3"/>
      <c r="OPZ164" s="3"/>
      <c r="OQA164" s="3"/>
      <c r="OQB164" s="3"/>
      <c r="OQC164" s="3"/>
      <c r="OQD164" s="3"/>
      <c r="OQE164" s="3"/>
      <c r="OQF164" s="3"/>
      <c r="OQG164" s="3"/>
      <c r="OQH164" s="3"/>
      <c r="OQI164" s="3"/>
      <c r="OQJ164" s="3"/>
      <c r="OQK164" s="3"/>
      <c r="OQL164" s="3"/>
      <c r="OQM164" s="3"/>
      <c r="OQN164" s="3"/>
      <c r="OQO164" s="3"/>
      <c r="OQP164" s="3"/>
      <c r="OQQ164" s="3"/>
      <c r="OQR164" s="3"/>
      <c r="OQS164" s="3"/>
      <c r="OQT164" s="3"/>
      <c r="OQU164" s="3"/>
      <c r="OQV164" s="3"/>
      <c r="OQW164" s="3"/>
      <c r="OQX164" s="3"/>
      <c r="OQY164" s="3"/>
      <c r="OQZ164" s="3"/>
      <c r="ORA164" s="3"/>
      <c r="ORB164" s="3"/>
      <c r="ORC164" s="3"/>
      <c r="ORD164" s="3"/>
      <c r="ORE164" s="3"/>
      <c r="ORF164" s="3"/>
      <c r="ORG164" s="3"/>
      <c r="ORH164" s="3"/>
      <c r="ORI164" s="3"/>
      <c r="ORJ164" s="3"/>
      <c r="ORK164" s="3"/>
      <c r="ORL164" s="3"/>
      <c r="ORM164" s="3"/>
      <c r="ORN164" s="3"/>
      <c r="ORO164" s="3"/>
      <c r="ORP164" s="3"/>
      <c r="ORQ164" s="3"/>
      <c r="ORR164" s="3"/>
      <c r="ORS164" s="3"/>
      <c r="ORT164" s="3"/>
      <c r="ORU164" s="3"/>
      <c r="ORV164" s="3"/>
      <c r="ORW164" s="3"/>
      <c r="ORX164" s="3"/>
      <c r="ORY164" s="3"/>
      <c r="ORZ164" s="3"/>
      <c r="OSA164" s="3"/>
      <c r="OSB164" s="3"/>
      <c r="OSC164" s="3"/>
      <c r="OSD164" s="3"/>
      <c r="OSE164" s="3"/>
      <c r="OSF164" s="3"/>
      <c r="OSG164" s="3"/>
      <c r="OSH164" s="3"/>
      <c r="OSI164" s="3"/>
      <c r="OSJ164" s="3"/>
      <c r="OSK164" s="3"/>
      <c r="OSL164" s="3"/>
      <c r="OSM164" s="3"/>
      <c r="OSN164" s="3"/>
      <c r="OSO164" s="3"/>
      <c r="OSP164" s="3"/>
      <c r="OSQ164" s="3"/>
      <c r="OSR164" s="3"/>
      <c r="OSS164" s="3"/>
      <c r="OST164" s="3"/>
      <c r="OSU164" s="3"/>
      <c r="OSV164" s="3"/>
      <c r="OSW164" s="3"/>
      <c r="OSX164" s="3"/>
      <c r="OSY164" s="3"/>
      <c r="OSZ164" s="3"/>
      <c r="OTA164" s="3"/>
      <c r="OTB164" s="3"/>
      <c r="OTC164" s="3"/>
      <c r="OTD164" s="3"/>
      <c r="OTE164" s="3"/>
      <c r="OTF164" s="3"/>
      <c r="OTG164" s="3"/>
      <c r="OTH164" s="3"/>
      <c r="OTI164" s="3"/>
      <c r="OTJ164" s="3"/>
      <c r="OTK164" s="3"/>
      <c r="OTL164" s="3"/>
      <c r="OTM164" s="3"/>
      <c r="OTN164" s="3"/>
      <c r="OTO164" s="3"/>
      <c r="OTP164" s="3"/>
      <c r="OTQ164" s="3"/>
      <c r="OTR164" s="3"/>
      <c r="OTS164" s="3"/>
      <c r="OTT164" s="3"/>
      <c r="OTU164" s="3"/>
      <c r="OTV164" s="3"/>
      <c r="OTW164" s="3"/>
      <c r="OTX164" s="3"/>
      <c r="OTY164" s="3"/>
      <c r="OTZ164" s="3"/>
      <c r="OUA164" s="3"/>
      <c r="OUB164" s="3"/>
      <c r="OUC164" s="3"/>
      <c r="OUD164" s="3"/>
      <c r="OUE164" s="3"/>
      <c r="OUF164" s="3"/>
      <c r="OUG164" s="3"/>
      <c r="OUH164" s="3"/>
      <c r="OUI164" s="3"/>
      <c r="OUJ164" s="3"/>
      <c r="OUK164" s="3"/>
      <c r="OUL164" s="3"/>
      <c r="OUM164" s="3"/>
      <c r="OUN164" s="3"/>
      <c r="OUO164" s="3"/>
      <c r="OUP164" s="3"/>
      <c r="OUQ164" s="3"/>
      <c r="OUR164" s="3"/>
      <c r="OUS164" s="3"/>
      <c r="OUT164" s="3"/>
      <c r="OUU164" s="3"/>
      <c r="OUV164" s="3"/>
      <c r="OUW164" s="3"/>
      <c r="OUX164" s="3"/>
      <c r="OUY164" s="3"/>
      <c r="OUZ164" s="3"/>
      <c r="OVA164" s="3"/>
      <c r="OVB164" s="3"/>
      <c r="OVC164" s="3"/>
      <c r="OVD164" s="3"/>
      <c r="OVE164" s="3"/>
      <c r="OVF164" s="3"/>
      <c r="OVG164" s="3"/>
      <c r="OVH164" s="3"/>
      <c r="OVI164" s="3"/>
      <c r="OVJ164" s="3"/>
      <c r="OVK164" s="3"/>
      <c r="OVL164" s="3"/>
      <c r="OVM164" s="3"/>
      <c r="OVN164" s="3"/>
      <c r="OVO164" s="3"/>
      <c r="OVP164" s="3"/>
      <c r="OVQ164" s="3"/>
      <c r="OVR164" s="3"/>
      <c r="OVS164" s="3"/>
      <c r="OVT164" s="3"/>
      <c r="OVU164" s="3"/>
      <c r="OVV164" s="3"/>
      <c r="OVW164" s="3"/>
      <c r="OVX164" s="3"/>
      <c r="OVY164" s="3"/>
      <c r="OVZ164" s="3"/>
      <c r="OWA164" s="3"/>
      <c r="OWB164" s="3"/>
      <c r="OWC164" s="3"/>
      <c r="OWD164" s="3"/>
      <c r="OWE164" s="3"/>
      <c r="OWF164" s="3"/>
      <c r="OWG164" s="3"/>
      <c r="OWH164" s="3"/>
      <c r="OWI164" s="3"/>
      <c r="OWJ164" s="3"/>
      <c r="OWK164" s="3"/>
      <c r="OWL164" s="3"/>
      <c r="OWM164" s="3"/>
      <c r="OWN164" s="3"/>
      <c r="OWO164" s="3"/>
      <c r="OWP164" s="3"/>
      <c r="OWQ164" s="3"/>
      <c r="OWR164" s="3"/>
      <c r="OWS164" s="3"/>
      <c r="OWT164" s="3"/>
      <c r="OWU164" s="3"/>
      <c r="OWV164" s="3"/>
      <c r="OWW164" s="3"/>
      <c r="OWX164" s="3"/>
      <c r="OWY164" s="3"/>
      <c r="OWZ164" s="3"/>
      <c r="OXA164" s="3"/>
      <c r="OXB164" s="3"/>
      <c r="OXC164" s="3"/>
      <c r="OXD164" s="3"/>
      <c r="OXE164" s="3"/>
      <c r="OXF164" s="3"/>
      <c r="OXG164" s="3"/>
      <c r="OXH164" s="3"/>
      <c r="OXI164" s="3"/>
      <c r="OXJ164" s="3"/>
      <c r="OXK164" s="3"/>
      <c r="OXL164" s="3"/>
      <c r="OXM164" s="3"/>
      <c r="OXN164" s="3"/>
      <c r="OXO164" s="3"/>
      <c r="OXP164" s="3"/>
      <c r="OXQ164" s="3"/>
      <c r="OXR164" s="3"/>
      <c r="OXS164" s="3"/>
      <c r="OXT164" s="3"/>
      <c r="OXU164" s="3"/>
      <c r="OXV164" s="3"/>
      <c r="OXW164" s="3"/>
      <c r="OXX164" s="3"/>
      <c r="OXY164" s="3"/>
      <c r="OXZ164" s="3"/>
      <c r="OYA164" s="3"/>
      <c r="OYB164" s="3"/>
      <c r="OYC164" s="3"/>
      <c r="OYD164" s="3"/>
      <c r="OYE164" s="3"/>
      <c r="OYF164" s="3"/>
      <c r="OYG164" s="3"/>
      <c r="OYH164" s="3"/>
      <c r="OYI164" s="3"/>
      <c r="OYJ164" s="3"/>
      <c r="OYK164" s="3"/>
      <c r="OYL164" s="3"/>
      <c r="OYM164" s="3"/>
      <c r="OYN164" s="3"/>
      <c r="OYO164" s="3"/>
      <c r="OYP164" s="3"/>
      <c r="OYQ164" s="3"/>
      <c r="OYR164" s="3"/>
      <c r="OYS164" s="3"/>
      <c r="OYT164" s="3"/>
      <c r="OYU164" s="3"/>
      <c r="OYV164" s="3"/>
      <c r="OYW164" s="3"/>
      <c r="OYX164" s="3"/>
      <c r="OYY164" s="3"/>
      <c r="OYZ164" s="3"/>
      <c r="OZA164" s="3"/>
      <c r="OZB164" s="3"/>
      <c r="OZC164" s="3"/>
      <c r="OZD164" s="3"/>
      <c r="OZE164" s="3"/>
      <c r="OZF164" s="3"/>
      <c r="OZG164" s="3"/>
      <c r="OZH164" s="3"/>
      <c r="OZI164" s="3"/>
      <c r="OZJ164" s="3"/>
      <c r="OZK164" s="3"/>
      <c r="OZL164" s="3"/>
      <c r="OZM164" s="3"/>
      <c r="OZN164" s="3"/>
      <c r="OZO164" s="3"/>
      <c r="OZP164" s="3"/>
      <c r="OZQ164" s="3"/>
      <c r="OZR164" s="3"/>
      <c r="OZS164" s="3"/>
      <c r="OZT164" s="3"/>
      <c r="OZU164" s="3"/>
      <c r="OZV164" s="3"/>
      <c r="OZW164" s="3"/>
      <c r="OZX164" s="3"/>
      <c r="OZY164" s="3"/>
      <c r="OZZ164" s="3"/>
      <c r="PAA164" s="3"/>
      <c r="PAB164" s="3"/>
      <c r="PAC164" s="3"/>
      <c r="PAD164" s="3"/>
      <c r="PAE164" s="3"/>
      <c r="PAF164" s="3"/>
      <c r="PAG164" s="3"/>
      <c r="PAH164" s="3"/>
      <c r="PAI164" s="3"/>
      <c r="PAJ164" s="3"/>
      <c r="PAK164" s="3"/>
      <c r="PAL164" s="3"/>
      <c r="PAM164" s="3"/>
      <c r="PAN164" s="3"/>
      <c r="PAO164" s="3"/>
      <c r="PAP164" s="3"/>
      <c r="PAQ164" s="3"/>
      <c r="PAR164" s="3"/>
      <c r="PAS164" s="3"/>
      <c r="PAT164" s="3"/>
      <c r="PAU164" s="3"/>
      <c r="PAV164" s="3"/>
      <c r="PAW164" s="3"/>
      <c r="PAX164" s="3"/>
      <c r="PAY164" s="3"/>
      <c r="PAZ164" s="3"/>
      <c r="PBA164" s="3"/>
      <c r="PBB164" s="3"/>
      <c r="PBC164" s="3"/>
      <c r="PBD164" s="3"/>
      <c r="PBE164" s="3"/>
      <c r="PBF164" s="3"/>
      <c r="PBG164" s="3"/>
      <c r="PBH164" s="3"/>
      <c r="PBI164" s="3"/>
      <c r="PBJ164" s="3"/>
      <c r="PBK164" s="3"/>
      <c r="PBL164" s="3"/>
      <c r="PBM164" s="3"/>
      <c r="PBN164" s="3"/>
      <c r="PBO164" s="3"/>
      <c r="PBP164" s="3"/>
      <c r="PBQ164" s="3"/>
      <c r="PBR164" s="3"/>
      <c r="PBS164" s="3"/>
      <c r="PBT164" s="3"/>
      <c r="PBU164" s="3"/>
      <c r="PBV164" s="3"/>
      <c r="PBW164" s="3"/>
      <c r="PBX164" s="3"/>
      <c r="PBY164" s="3"/>
      <c r="PBZ164" s="3"/>
      <c r="PCA164" s="3"/>
      <c r="PCB164" s="3"/>
      <c r="PCC164" s="3"/>
      <c r="PCD164" s="3"/>
      <c r="PCE164" s="3"/>
      <c r="PCF164" s="3"/>
      <c r="PCG164" s="3"/>
      <c r="PCH164" s="3"/>
      <c r="PCI164" s="3"/>
      <c r="PCJ164" s="3"/>
      <c r="PCK164" s="3"/>
      <c r="PCL164" s="3"/>
      <c r="PCM164" s="3"/>
      <c r="PCN164" s="3"/>
      <c r="PCO164" s="3"/>
      <c r="PCP164" s="3"/>
      <c r="PCQ164" s="3"/>
      <c r="PCR164" s="3"/>
      <c r="PCS164" s="3"/>
      <c r="PCT164" s="3"/>
      <c r="PCU164" s="3"/>
      <c r="PCV164" s="3"/>
      <c r="PCW164" s="3"/>
      <c r="PCX164" s="3"/>
      <c r="PCY164" s="3"/>
      <c r="PCZ164" s="3"/>
      <c r="PDA164" s="3"/>
      <c r="PDB164" s="3"/>
      <c r="PDC164" s="3"/>
      <c r="PDD164" s="3"/>
      <c r="PDE164" s="3"/>
      <c r="PDF164" s="3"/>
      <c r="PDG164" s="3"/>
      <c r="PDH164" s="3"/>
      <c r="PDI164" s="3"/>
      <c r="PDJ164" s="3"/>
      <c r="PDK164" s="3"/>
      <c r="PDL164" s="3"/>
      <c r="PDM164" s="3"/>
      <c r="PDN164" s="3"/>
      <c r="PDO164" s="3"/>
      <c r="PDP164" s="3"/>
      <c r="PDQ164" s="3"/>
      <c r="PDR164" s="3"/>
      <c r="PDS164" s="3"/>
      <c r="PDT164" s="3"/>
      <c r="PDU164" s="3"/>
      <c r="PDV164" s="3"/>
      <c r="PDW164" s="3"/>
      <c r="PDX164" s="3"/>
      <c r="PDY164" s="3"/>
      <c r="PDZ164" s="3"/>
      <c r="PEA164" s="3"/>
      <c r="PEB164" s="3"/>
      <c r="PEC164" s="3"/>
      <c r="PED164" s="3"/>
      <c r="PEE164" s="3"/>
      <c r="PEF164" s="3"/>
      <c r="PEG164" s="3"/>
      <c r="PEH164" s="3"/>
      <c r="PEI164" s="3"/>
      <c r="PEJ164" s="3"/>
      <c r="PEK164" s="3"/>
      <c r="PEL164" s="3"/>
      <c r="PEM164" s="3"/>
      <c r="PEN164" s="3"/>
      <c r="PEO164" s="3"/>
      <c r="PEP164" s="3"/>
      <c r="PEQ164" s="3"/>
      <c r="PER164" s="3"/>
      <c r="PES164" s="3"/>
      <c r="PET164" s="3"/>
      <c r="PEU164" s="3"/>
      <c r="PEV164" s="3"/>
      <c r="PEW164" s="3"/>
      <c r="PEX164" s="3"/>
      <c r="PEY164" s="3"/>
      <c r="PEZ164" s="3"/>
      <c r="PFA164" s="3"/>
      <c r="PFB164" s="3"/>
      <c r="PFC164" s="3"/>
      <c r="PFD164" s="3"/>
      <c r="PFE164" s="3"/>
      <c r="PFF164" s="3"/>
      <c r="PFG164" s="3"/>
      <c r="PFH164" s="3"/>
      <c r="PFI164" s="3"/>
      <c r="PFJ164" s="3"/>
      <c r="PFK164" s="3"/>
      <c r="PFL164" s="3"/>
      <c r="PFM164" s="3"/>
      <c r="PFN164" s="3"/>
      <c r="PFO164" s="3"/>
      <c r="PFP164" s="3"/>
      <c r="PFQ164" s="3"/>
      <c r="PFR164" s="3"/>
      <c r="PFS164" s="3"/>
      <c r="PFT164" s="3"/>
      <c r="PFU164" s="3"/>
      <c r="PFV164" s="3"/>
      <c r="PFW164" s="3"/>
      <c r="PFX164" s="3"/>
      <c r="PFY164" s="3"/>
      <c r="PFZ164" s="3"/>
      <c r="PGA164" s="3"/>
      <c r="PGB164" s="3"/>
      <c r="PGC164" s="3"/>
      <c r="PGD164" s="3"/>
      <c r="PGE164" s="3"/>
      <c r="PGF164" s="3"/>
      <c r="PGG164" s="3"/>
      <c r="PGH164" s="3"/>
      <c r="PGI164" s="3"/>
      <c r="PGJ164" s="3"/>
      <c r="PGK164" s="3"/>
      <c r="PGL164" s="3"/>
      <c r="PGM164" s="3"/>
      <c r="PGN164" s="3"/>
      <c r="PGO164" s="3"/>
      <c r="PGP164" s="3"/>
      <c r="PGQ164" s="3"/>
      <c r="PGR164" s="3"/>
      <c r="PGS164" s="3"/>
      <c r="PGT164" s="3"/>
      <c r="PGU164" s="3"/>
      <c r="PGV164" s="3"/>
      <c r="PGW164" s="3"/>
      <c r="PGX164" s="3"/>
      <c r="PGY164" s="3"/>
      <c r="PGZ164" s="3"/>
      <c r="PHA164" s="3"/>
      <c r="PHB164" s="3"/>
      <c r="PHC164" s="3"/>
      <c r="PHD164" s="3"/>
      <c r="PHE164" s="3"/>
      <c r="PHF164" s="3"/>
      <c r="PHG164" s="3"/>
      <c r="PHH164" s="3"/>
      <c r="PHI164" s="3"/>
      <c r="PHJ164" s="3"/>
      <c r="PHK164" s="3"/>
      <c r="PHL164" s="3"/>
      <c r="PHM164" s="3"/>
      <c r="PHN164" s="3"/>
      <c r="PHO164" s="3"/>
      <c r="PHP164" s="3"/>
      <c r="PHQ164" s="3"/>
      <c r="PHR164" s="3"/>
      <c r="PHS164" s="3"/>
      <c r="PHT164" s="3"/>
      <c r="PHU164" s="3"/>
      <c r="PHV164" s="3"/>
      <c r="PHW164" s="3"/>
      <c r="PHX164" s="3"/>
      <c r="PHY164" s="3"/>
      <c r="PHZ164" s="3"/>
      <c r="PIA164" s="3"/>
      <c r="PIB164" s="3"/>
      <c r="PIC164" s="3"/>
      <c r="PID164" s="3"/>
      <c r="PIE164" s="3"/>
      <c r="PIF164" s="3"/>
      <c r="PIG164" s="3"/>
      <c r="PIH164" s="3"/>
      <c r="PII164" s="3"/>
      <c r="PIJ164" s="3"/>
      <c r="PIK164" s="3"/>
      <c r="PIL164" s="3"/>
      <c r="PIM164" s="3"/>
      <c r="PIN164" s="3"/>
      <c r="PIO164" s="3"/>
      <c r="PIP164" s="3"/>
      <c r="PIQ164" s="3"/>
      <c r="PIR164" s="3"/>
      <c r="PIS164" s="3"/>
      <c r="PIT164" s="3"/>
      <c r="PIU164" s="3"/>
      <c r="PIV164" s="3"/>
      <c r="PIW164" s="3"/>
      <c r="PIX164" s="3"/>
      <c r="PIY164" s="3"/>
      <c r="PIZ164" s="3"/>
      <c r="PJA164" s="3"/>
      <c r="PJB164" s="3"/>
      <c r="PJC164" s="3"/>
      <c r="PJD164" s="3"/>
      <c r="PJE164" s="3"/>
      <c r="PJF164" s="3"/>
      <c r="PJG164" s="3"/>
      <c r="PJH164" s="3"/>
      <c r="PJI164" s="3"/>
      <c r="PJJ164" s="3"/>
      <c r="PJK164" s="3"/>
      <c r="PJL164" s="3"/>
      <c r="PJM164" s="3"/>
      <c r="PJN164" s="3"/>
      <c r="PJO164" s="3"/>
      <c r="PJP164" s="3"/>
      <c r="PJQ164" s="3"/>
      <c r="PJR164" s="3"/>
      <c r="PJS164" s="3"/>
      <c r="PJT164" s="3"/>
      <c r="PJU164" s="3"/>
      <c r="PJV164" s="3"/>
      <c r="PJW164" s="3"/>
      <c r="PJX164" s="3"/>
      <c r="PJY164" s="3"/>
      <c r="PJZ164" s="3"/>
      <c r="PKA164" s="3"/>
      <c r="PKB164" s="3"/>
      <c r="PKC164" s="3"/>
      <c r="PKD164" s="3"/>
      <c r="PKE164" s="3"/>
      <c r="PKF164" s="3"/>
      <c r="PKG164" s="3"/>
      <c r="PKH164" s="3"/>
      <c r="PKI164" s="3"/>
      <c r="PKJ164" s="3"/>
      <c r="PKK164" s="3"/>
      <c r="PKL164" s="3"/>
      <c r="PKM164" s="3"/>
      <c r="PKN164" s="3"/>
      <c r="PKO164" s="3"/>
      <c r="PKP164" s="3"/>
      <c r="PKQ164" s="3"/>
      <c r="PKR164" s="3"/>
      <c r="PKS164" s="3"/>
      <c r="PKT164" s="3"/>
      <c r="PKU164" s="3"/>
      <c r="PKV164" s="3"/>
      <c r="PKW164" s="3"/>
      <c r="PKX164" s="3"/>
      <c r="PKY164" s="3"/>
      <c r="PKZ164" s="3"/>
      <c r="PLA164" s="3"/>
      <c r="PLB164" s="3"/>
      <c r="PLC164" s="3"/>
      <c r="PLD164" s="3"/>
      <c r="PLE164" s="3"/>
      <c r="PLF164" s="3"/>
      <c r="PLG164" s="3"/>
      <c r="PLH164" s="3"/>
      <c r="PLI164" s="3"/>
      <c r="PLJ164" s="3"/>
      <c r="PLK164" s="3"/>
      <c r="PLL164" s="3"/>
      <c r="PLM164" s="3"/>
      <c r="PLN164" s="3"/>
      <c r="PLO164" s="3"/>
      <c r="PLP164" s="3"/>
      <c r="PLQ164" s="3"/>
      <c r="PLR164" s="3"/>
      <c r="PLS164" s="3"/>
      <c r="PLT164" s="3"/>
      <c r="PLU164" s="3"/>
      <c r="PLV164" s="3"/>
      <c r="PLW164" s="3"/>
      <c r="PLX164" s="3"/>
      <c r="PLY164" s="3"/>
      <c r="PLZ164" s="3"/>
      <c r="PMA164" s="3"/>
      <c r="PMB164" s="3"/>
      <c r="PMC164" s="3"/>
      <c r="PMD164" s="3"/>
      <c r="PME164" s="3"/>
      <c r="PMF164" s="3"/>
      <c r="PMG164" s="3"/>
      <c r="PMH164" s="3"/>
      <c r="PMI164" s="3"/>
      <c r="PMJ164" s="3"/>
      <c r="PMK164" s="3"/>
      <c r="PML164" s="3"/>
      <c r="PMM164" s="3"/>
      <c r="PMN164" s="3"/>
      <c r="PMO164" s="3"/>
      <c r="PMP164" s="3"/>
      <c r="PMQ164" s="3"/>
      <c r="PMR164" s="3"/>
      <c r="PMS164" s="3"/>
      <c r="PMT164" s="3"/>
      <c r="PMU164" s="3"/>
      <c r="PMV164" s="3"/>
      <c r="PMW164" s="3"/>
      <c r="PMX164" s="3"/>
      <c r="PMY164" s="3"/>
      <c r="PMZ164" s="3"/>
      <c r="PNA164" s="3"/>
      <c r="PNB164" s="3"/>
      <c r="PNC164" s="3"/>
      <c r="PND164" s="3"/>
      <c r="PNE164" s="3"/>
      <c r="PNF164" s="3"/>
      <c r="PNG164" s="3"/>
      <c r="PNH164" s="3"/>
      <c r="PNI164" s="3"/>
      <c r="PNJ164" s="3"/>
      <c r="PNK164" s="3"/>
      <c r="PNL164" s="3"/>
      <c r="PNM164" s="3"/>
      <c r="PNN164" s="3"/>
      <c r="PNO164" s="3"/>
      <c r="PNP164" s="3"/>
      <c r="PNQ164" s="3"/>
      <c r="PNR164" s="3"/>
      <c r="PNS164" s="3"/>
      <c r="PNT164" s="3"/>
      <c r="PNU164" s="3"/>
      <c r="PNV164" s="3"/>
      <c r="PNW164" s="3"/>
      <c r="PNX164" s="3"/>
      <c r="PNY164" s="3"/>
      <c r="PNZ164" s="3"/>
      <c r="POA164" s="3"/>
      <c r="POB164" s="3"/>
      <c r="POC164" s="3"/>
      <c r="POD164" s="3"/>
      <c r="POE164" s="3"/>
      <c r="POF164" s="3"/>
      <c r="POG164" s="3"/>
      <c r="POH164" s="3"/>
      <c r="POI164" s="3"/>
      <c r="POJ164" s="3"/>
      <c r="POK164" s="3"/>
      <c r="POL164" s="3"/>
      <c r="POM164" s="3"/>
      <c r="PON164" s="3"/>
      <c r="POO164" s="3"/>
      <c r="POP164" s="3"/>
      <c r="POQ164" s="3"/>
      <c r="POR164" s="3"/>
      <c r="POS164" s="3"/>
      <c r="POT164" s="3"/>
      <c r="POU164" s="3"/>
      <c r="POV164" s="3"/>
      <c r="POW164" s="3"/>
      <c r="POX164" s="3"/>
      <c r="POY164" s="3"/>
      <c r="POZ164" s="3"/>
      <c r="PPA164" s="3"/>
      <c r="PPB164" s="3"/>
      <c r="PPC164" s="3"/>
      <c r="PPD164" s="3"/>
      <c r="PPE164" s="3"/>
      <c r="PPF164" s="3"/>
      <c r="PPG164" s="3"/>
      <c r="PPH164" s="3"/>
      <c r="PPI164" s="3"/>
      <c r="PPJ164" s="3"/>
      <c r="PPK164" s="3"/>
      <c r="PPL164" s="3"/>
      <c r="PPM164" s="3"/>
      <c r="PPN164" s="3"/>
      <c r="PPO164" s="3"/>
      <c r="PPP164" s="3"/>
      <c r="PPQ164" s="3"/>
      <c r="PPR164" s="3"/>
      <c r="PPS164" s="3"/>
      <c r="PPT164" s="3"/>
      <c r="PPU164" s="3"/>
      <c r="PPV164" s="3"/>
      <c r="PPW164" s="3"/>
      <c r="PPX164" s="3"/>
      <c r="PPY164" s="3"/>
      <c r="PPZ164" s="3"/>
      <c r="PQA164" s="3"/>
      <c r="PQB164" s="3"/>
      <c r="PQC164" s="3"/>
      <c r="PQD164" s="3"/>
      <c r="PQE164" s="3"/>
      <c r="PQF164" s="3"/>
      <c r="PQG164" s="3"/>
      <c r="PQH164" s="3"/>
      <c r="PQI164" s="3"/>
      <c r="PQJ164" s="3"/>
      <c r="PQK164" s="3"/>
      <c r="PQL164" s="3"/>
      <c r="PQM164" s="3"/>
      <c r="PQN164" s="3"/>
      <c r="PQO164" s="3"/>
      <c r="PQP164" s="3"/>
      <c r="PQQ164" s="3"/>
      <c r="PQR164" s="3"/>
      <c r="PQS164" s="3"/>
      <c r="PQT164" s="3"/>
      <c r="PQU164" s="3"/>
      <c r="PQV164" s="3"/>
      <c r="PQW164" s="3"/>
      <c r="PQX164" s="3"/>
      <c r="PQY164" s="3"/>
      <c r="PQZ164" s="3"/>
      <c r="PRA164" s="3"/>
      <c r="PRB164" s="3"/>
      <c r="PRC164" s="3"/>
      <c r="PRD164" s="3"/>
      <c r="PRE164" s="3"/>
      <c r="PRF164" s="3"/>
      <c r="PRG164" s="3"/>
      <c r="PRH164" s="3"/>
      <c r="PRI164" s="3"/>
      <c r="PRJ164" s="3"/>
      <c r="PRK164" s="3"/>
      <c r="PRL164" s="3"/>
      <c r="PRM164" s="3"/>
      <c r="PRN164" s="3"/>
      <c r="PRO164" s="3"/>
      <c r="PRP164" s="3"/>
      <c r="PRQ164" s="3"/>
      <c r="PRR164" s="3"/>
      <c r="PRS164" s="3"/>
      <c r="PRT164" s="3"/>
      <c r="PRU164" s="3"/>
      <c r="PRV164" s="3"/>
      <c r="PRW164" s="3"/>
      <c r="PRX164" s="3"/>
      <c r="PRY164" s="3"/>
      <c r="PRZ164" s="3"/>
      <c r="PSA164" s="3"/>
      <c r="PSB164" s="3"/>
      <c r="PSC164" s="3"/>
      <c r="PSD164" s="3"/>
      <c r="PSE164" s="3"/>
      <c r="PSF164" s="3"/>
      <c r="PSG164" s="3"/>
      <c r="PSH164" s="3"/>
      <c r="PSI164" s="3"/>
      <c r="PSJ164" s="3"/>
      <c r="PSK164" s="3"/>
      <c r="PSL164" s="3"/>
      <c r="PSM164" s="3"/>
      <c r="PSN164" s="3"/>
      <c r="PSO164" s="3"/>
      <c r="PSP164" s="3"/>
      <c r="PSQ164" s="3"/>
      <c r="PSR164" s="3"/>
      <c r="PSS164" s="3"/>
      <c r="PST164" s="3"/>
      <c r="PSU164" s="3"/>
      <c r="PSV164" s="3"/>
      <c r="PSW164" s="3"/>
      <c r="PSX164" s="3"/>
      <c r="PSY164" s="3"/>
      <c r="PSZ164" s="3"/>
      <c r="PTA164" s="3"/>
      <c r="PTB164" s="3"/>
      <c r="PTC164" s="3"/>
      <c r="PTD164" s="3"/>
      <c r="PTE164" s="3"/>
      <c r="PTF164" s="3"/>
      <c r="PTG164" s="3"/>
      <c r="PTH164" s="3"/>
      <c r="PTI164" s="3"/>
      <c r="PTJ164" s="3"/>
      <c r="PTK164" s="3"/>
      <c r="PTL164" s="3"/>
      <c r="PTM164" s="3"/>
      <c r="PTN164" s="3"/>
      <c r="PTO164" s="3"/>
      <c r="PTP164" s="3"/>
      <c r="PTQ164" s="3"/>
      <c r="PTR164" s="3"/>
      <c r="PTS164" s="3"/>
      <c r="PTT164" s="3"/>
      <c r="PTU164" s="3"/>
      <c r="PTV164" s="3"/>
      <c r="PTW164" s="3"/>
      <c r="PTX164" s="3"/>
      <c r="PTY164" s="3"/>
      <c r="PTZ164" s="3"/>
      <c r="PUA164" s="3"/>
      <c r="PUB164" s="3"/>
      <c r="PUC164" s="3"/>
      <c r="PUD164" s="3"/>
      <c r="PUE164" s="3"/>
      <c r="PUF164" s="3"/>
      <c r="PUG164" s="3"/>
      <c r="PUH164" s="3"/>
      <c r="PUI164" s="3"/>
      <c r="PUJ164" s="3"/>
      <c r="PUK164" s="3"/>
      <c r="PUL164" s="3"/>
      <c r="PUM164" s="3"/>
      <c r="PUN164" s="3"/>
      <c r="PUO164" s="3"/>
      <c r="PUP164" s="3"/>
      <c r="PUQ164" s="3"/>
      <c r="PUR164" s="3"/>
      <c r="PUS164" s="3"/>
      <c r="PUT164" s="3"/>
      <c r="PUU164" s="3"/>
      <c r="PUV164" s="3"/>
      <c r="PUW164" s="3"/>
      <c r="PUX164" s="3"/>
      <c r="PUY164" s="3"/>
      <c r="PUZ164" s="3"/>
      <c r="PVA164" s="3"/>
      <c r="PVB164" s="3"/>
      <c r="PVC164" s="3"/>
      <c r="PVD164" s="3"/>
      <c r="PVE164" s="3"/>
      <c r="PVF164" s="3"/>
      <c r="PVG164" s="3"/>
      <c r="PVH164" s="3"/>
      <c r="PVI164" s="3"/>
      <c r="PVJ164" s="3"/>
      <c r="PVK164" s="3"/>
      <c r="PVL164" s="3"/>
      <c r="PVM164" s="3"/>
      <c r="PVN164" s="3"/>
      <c r="PVO164" s="3"/>
      <c r="PVP164" s="3"/>
      <c r="PVQ164" s="3"/>
      <c r="PVR164" s="3"/>
      <c r="PVS164" s="3"/>
      <c r="PVT164" s="3"/>
      <c r="PVU164" s="3"/>
      <c r="PVV164" s="3"/>
      <c r="PVW164" s="3"/>
      <c r="PVX164" s="3"/>
      <c r="PVY164" s="3"/>
      <c r="PVZ164" s="3"/>
      <c r="PWA164" s="3"/>
      <c r="PWB164" s="3"/>
      <c r="PWC164" s="3"/>
      <c r="PWD164" s="3"/>
      <c r="PWE164" s="3"/>
      <c r="PWF164" s="3"/>
      <c r="PWG164" s="3"/>
      <c r="PWH164" s="3"/>
      <c r="PWI164" s="3"/>
      <c r="PWJ164" s="3"/>
      <c r="PWK164" s="3"/>
      <c r="PWL164" s="3"/>
      <c r="PWM164" s="3"/>
      <c r="PWN164" s="3"/>
      <c r="PWO164" s="3"/>
      <c r="PWP164" s="3"/>
      <c r="PWQ164" s="3"/>
      <c r="PWR164" s="3"/>
      <c r="PWS164" s="3"/>
      <c r="PWT164" s="3"/>
      <c r="PWU164" s="3"/>
      <c r="PWV164" s="3"/>
      <c r="PWW164" s="3"/>
      <c r="PWX164" s="3"/>
      <c r="PWY164" s="3"/>
      <c r="PWZ164" s="3"/>
      <c r="PXA164" s="3"/>
      <c r="PXB164" s="3"/>
      <c r="PXC164" s="3"/>
      <c r="PXD164" s="3"/>
      <c r="PXE164" s="3"/>
      <c r="PXF164" s="3"/>
      <c r="PXG164" s="3"/>
      <c r="PXH164" s="3"/>
      <c r="PXI164" s="3"/>
      <c r="PXJ164" s="3"/>
      <c r="PXK164" s="3"/>
      <c r="PXL164" s="3"/>
      <c r="PXM164" s="3"/>
      <c r="PXN164" s="3"/>
      <c r="PXO164" s="3"/>
      <c r="PXP164" s="3"/>
      <c r="PXQ164" s="3"/>
      <c r="PXR164" s="3"/>
      <c r="PXS164" s="3"/>
      <c r="PXT164" s="3"/>
      <c r="PXU164" s="3"/>
      <c r="PXV164" s="3"/>
      <c r="PXW164" s="3"/>
      <c r="PXX164" s="3"/>
      <c r="PXY164" s="3"/>
      <c r="PXZ164" s="3"/>
      <c r="PYA164" s="3"/>
      <c r="PYB164" s="3"/>
      <c r="PYC164" s="3"/>
      <c r="PYD164" s="3"/>
      <c r="PYE164" s="3"/>
      <c r="PYF164" s="3"/>
      <c r="PYG164" s="3"/>
      <c r="PYH164" s="3"/>
      <c r="PYI164" s="3"/>
      <c r="PYJ164" s="3"/>
      <c r="PYK164" s="3"/>
      <c r="PYL164" s="3"/>
      <c r="PYM164" s="3"/>
      <c r="PYN164" s="3"/>
      <c r="PYO164" s="3"/>
      <c r="PYP164" s="3"/>
      <c r="PYQ164" s="3"/>
      <c r="PYR164" s="3"/>
      <c r="PYS164" s="3"/>
      <c r="PYT164" s="3"/>
      <c r="PYU164" s="3"/>
      <c r="PYV164" s="3"/>
      <c r="PYW164" s="3"/>
      <c r="PYX164" s="3"/>
      <c r="PYY164" s="3"/>
      <c r="PYZ164" s="3"/>
      <c r="PZA164" s="3"/>
      <c r="PZB164" s="3"/>
      <c r="PZC164" s="3"/>
      <c r="PZD164" s="3"/>
      <c r="PZE164" s="3"/>
      <c r="PZF164" s="3"/>
      <c r="PZG164" s="3"/>
      <c r="PZH164" s="3"/>
      <c r="PZI164" s="3"/>
      <c r="PZJ164" s="3"/>
      <c r="PZK164" s="3"/>
      <c r="PZL164" s="3"/>
      <c r="PZM164" s="3"/>
      <c r="PZN164" s="3"/>
      <c r="PZO164" s="3"/>
      <c r="PZP164" s="3"/>
      <c r="PZQ164" s="3"/>
      <c r="PZR164" s="3"/>
      <c r="PZS164" s="3"/>
      <c r="PZT164" s="3"/>
      <c r="PZU164" s="3"/>
      <c r="PZV164" s="3"/>
      <c r="PZW164" s="3"/>
      <c r="PZX164" s="3"/>
      <c r="PZY164" s="3"/>
      <c r="PZZ164" s="3"/>
      <c r="QAA164" s="3"/>
      <c r="QAB164" s="3"/>
      <c r="QAC164" s="3"/>
      <c r="QAD164" s="3"/>
      <c r="QAE164" s="3"/>
      <c r="QAF164" s="3"/>
      <c r="QAG164" s="3"/>
      <c r="QAH164" s="3"/>
      <c r="QAI164" s="3"/>
      <c r="QAJ164" s="3"/>
      <c r="QAK164" s="3"/>
      <c r="QAL164" s="3"/>
      <c r="QAM164" s="3"/>
      <c r="QAN164" s="3"/>
      <c r="QAO164" s="3"/>
      <c r="QAP164" s="3"/>
      <c r="QAQ164" s="3"/>
      <c r="QAR164" s="3"/>
      <c r="QAS164" s="3"/>
      <c r="QAT164" s="3"/>
      <c r="QAU164" s="3"/>
      <c r="QAV164" s="3"/>
      <c r="QAW164" s="3"/>
      <c r="QAX164" s="3"/>
      <c r="QAY164" s="3"/>
      <c r="QAZ164" s="3"/>
      <c r="QBA164" s="3"/>
      <c r="QBB164" s="3"/>
      <c r="QBC164" s="3"/>
      <c r="QBD164" s="3"/>
      <c r="QBE164" s="3"/>
      <c r="QBF164" s="3"/>
      <c r="QBG164" s="3"/>
      <c r="QBH164" s="3"/>
      <c r="QBI164" s="3"/>
      <c r="QBJ164" s="3"/>
      <c r="QBK164" s="3"/>
      <c r="QBL164" s="3"/>
      <c r="QBM164" s="3"/>
      <c r="QBN164" s="3"/>
      <c r="QBO164" s="3"/>
      <c r="QBP164" s="3"/>
      <c r="QBQ164" s="3"/>
      <c r="QBR164" s="3"/>
      <c r="QBS164" s="3"/>
      <c r="QBT164" s="3"/>
      <c r="QBU164" s="3"/>
      <c r="QBV164" s="3"/>
      <c r="QBW164" s="3"/>
      <c r="QBX164" s="3"/>
      <c r="QBY164" s="3"/>
      <c r="QBZ164" s="3"/>
      <c r="QCA164" s="3"/>
      <c r="QCB164" s="3"/>
      <c r="QCC164" s="3"/>
      <c r="QCD164" s="3"/>
      <c r="QCE164" s="3"/>
      <c r="QCF164" s="3"/>
      <c r="QCG164" s="3"/>
      <c r="QCH164" s="3"/>
      <c r="QCI164" s="3"/>
      <c r="QCJ164" s="3"/>
      <c r="QCK164" s="3"/>
      <c r="QCL164" s="3"/>
      <c r="QCM164" s="3"/>
      <c r="QCN164" s="3"/>
      <c r="QCO164" s="3"/>
      <c r="QCP164" s="3"/>
      <c r="QCQ164" s="3"/>
      <c r="QCR164" s="3"/>
      <c r="QCS164" s="3"/>
      <c r="QCT164" s="3"/>
      <c r="QCU164" s="3"/>
      <c r="QCV164" s="3"/>
      <c r="QCW164" s="3"/>
      <c r="QCX164" s="3"/>
      <c r="QCY164" s="3"/>
      <c r="QCZ164" s="3"/>
      <c r="QDA164" s="3"/>
      <c r="QDB164" s="3"/>
      <c r="QDC164" s="3"/>
      <c r="QDD164" s="3"/>
      <c r="QDE164" s="3"/>
      <c r="QDF164" s="3"/>
      <c r="QDG164" s="3"/>
      <c r="QDH164" s="3"/>
      <c r="QDI164" s="3"/>
      <c r="QDJ164" s="3"/>
      <c r="QDK164" s="3"/>
      <c r="QDL164" s="3"/>
      <c r="QDM164" s="3"/>
      <c r="QDN164" s="3"/>
      <c r="QDO164" s="3"/>
      <c r="QDP164" s="3"/>
      <c r="QDQ164" s="3"/>
      <c r="QDR164" s="3"/>
      <c r="QDS164" s="3"/>
      <c r="QDT164" s="3"/>
      <c r="QDU164" s="3"/>
      <c r="QDV164" s="3"/>
      <c r="QDW164" s="3"/>
      <c r="QDX164" s="3"/>
      <c r="QDY164" s="3"/>
      <c r="QDZ164" s="3"/>
      <c r="QEA164" s="3"/>
      <c r="QEB164" s="3"/>
      <c r="QEC164" s="3"/>
      <c r="QED164" s="3"/>
      <c r="QEE164" s="3"/>
      <c r="QEF164" s="3"/>
      <c r="QEG164" s="3"/>
      <c r="QEH164" s="3"/>
      <c r="QEI164" s="3"/>
      <c r="QEJ164" s="3"/>
      <c r="QEK164" s="3"/>
      <c r="QEL164" s="3"/>
      <c r="QEM164" s="3"/>
      <c r="QEN164" s="3"/>
      <c r="QEO164" s="3"/>
      <c r="QEP164" s="3"/>
      <c r="QEQ164" s="3"/>
      <c r="QER164" s="3"/>
      <c r="QES164" s="3"/>
      <c r="QET164" s="3"/>
      <c r="QEU164" s="3"/>
      <c r="QEV164" s="3"/>
      <c r="QEW164" s="3"/>
      <c r="QEX164" s="3"/>
      <c r="QEY164" s="3"/>
      <c r="QEZ164" s="3"/>
      <c r="QFA164" s="3"/>
      <c r="QFB164" s="3"/>
      <c r="QFC164" s="3"/>
      <c r="QFD164" s="3"/>
      <c r="QFE164" s="3"/>
      <c r="QFF164" s="3"/>
      <c r="QFG164" s="3"/>
      <c r="QFH164" s="3"/>
      <c r="QFI164" s="3"/>
      <c r="QFJ164" s="3"/>
      <c r="QFK164" s="3"/>
      <c r="QFL164" s="3"/>
      <c r="QFM164" s="3"/>
      <c r="QFN164" s="3"/>
      <c r="QFO164" s="3"/>
      <c r="QFP164" s="3"/>
      <c r="QFQ164" s="3"/>
      <c r="QFR164" s="3"/>
      <c r="QFS164" s="3"/>
      <c r="QFT164" s="3"/>
      <c r="QFU164" s="3"/>
      <c r="QFV164" s="3"/>
      <c r="QFW164" s="3"/>
      <c r="QFX164" s="3"/>
      <c r="QFY164" s="3"/>
      <c r="QFZ164" s="3"/>
      <c r="QGA164" s="3"/>
      <c r="QGB164" s="3"/>
      <c r="QGC164" s="3"/>
      <c r="QGD164" s="3"/>
      <c r="QGE164" s="3"/>
      <c r="QGF164" s="3"/>
      <c r="QGG164" s="3"/>
      <c r="QGH164" s="3"/>
      <c r="QGI164" s="3"/>
      <c r="QGJ164" s="3"/>
      <c r="QGK164" s="3"/>
      <c r="QGL164" s="3"/>
      <c r="QGM164" s="3"/>
      <c r="QGN164" s="3"/>
      <c r="QGO164" s="3"/>
      <c r="QGP164" s="3"/>
      <c r="QGQ164" s="3"/>
      <c r="QGR164" s="3"/>
      <c r="QGS164" s="3"/>
      <c r="QGT164" s="3"/>
      <c r="QGU164" s="3"/>
      <c r="QGV164" s="3"/>
      <c r="QGW164" s="3"/>
      <c r="QGX164" s="3"/>
      <c r="QGY164" s="3"/>
      <c r="QGZ164" s="3"/>
      <c r="QHA164" s="3"/>
      <c r="QHB164" s="3"/>
      <c r="QHC164" s="3"/>
      <c r="QHD164" s="3"/>
      <c r="QHE164" s="3"/>
      <c r="QHF164" s="3"/>
      <c r="QHG164" s="3"/>
      <c r="QHH164" s="3"/>
      <c r="QHI164" s="3"/>
      <c r="QHJ164" s="3"/>
      <c r="QHK164" s="3"/>
      <c r="QHL164" s="3"/>
      <c r="QHM164" s="3"/>
      <c r="QHN164" s="3"/>
      <c r="QHO164" s="3"/>
      <c r="QHP164" s="3"/>
      <c r="QHQ164" s="3"/>
      <c r="QHR164" s="3"/>
      <c r="QHS164" s="3"/>
      <c r="QHT164" s="3"/>
      <c r="QHU164" s="3"/>
      <c r="QHV164" s="3"/>
      <c r="QHW164" s="3"/>
      <c r="QHX164" s="3"/>
      <c r="QHY164" s="3"/>
      <c r="QHZ164" s="3"/>
      <c r="QIA164" s="3"/>
      <c r="QIB164" s="3"/>
      <c r="QIC164" s="3"/>
      <c r="QID164" s="3"/>
      <c r="QIE164" s="3"/>
      <c r="QIF164" s="3"/>
      <c r="QIG164" s="3"/>
      <c r="QIH164" s="3"/>
      <c r="QII164" s="3"/>
      <c r="QIJ164" s="3"/>
      <c r="QIK164" s="3"/>
      <c r="QIL164" s="3"/>
      <c r="QIM164" s="3"/>
      <c r="QIN164" s="3"/>
      <c r="QIO164" s="3"/>
      <c r="QIP164" s="3"/>
      <c r="QIQ164" s="3"/>
      <c r="QIR164" s="3"/>
      <c r="QIS164" s="3"/>
      <c r="QIT164" s="3"/>
      <c r="QIU164" s="3"/>
      <c r="QIV164" s="3"/>
      <c r="QIW164" s="3"/>
      <c r="QIX164" s="3"/>
      <c r="QIY164" s="3"/>
      <c r="QIZ164" s="3"/>
      <c r="QJA164" s="3"/>
      <c r="QJB164" s="3"/>
      <c r="QJC164" s="3"/>
      <c r="QJD164" s="3"/>
      <c r="QJE164" s="3"/>
      <c r="QJF164" s="3"/>
      <c r="QJG164" s="3"/>
      <c r="QJH164" s="3"/>
      <c r="QJI164" s="3"/>
      <c r="QJJ164" s="3"/>
      <c r="QJK164" s="3"/>
      <c r="QJL164" s="3"/>
      <c r="QJM164" s="3"/>
      <c r="QJN164" s="3"/>
      <c r="QJO164" s="3"/>
      <c r="QJP164" s="3"/>
      <c r="QJQ164" s="3"/>
      <c r="QJR164" s="3"/>
      <c r="QJS164" s="3"/>
      <c r="QJT164" s="3"/>
      <c r="QJU164" s="3"/>
      <c r="QJV164" s="3"/>
      <c r="QJW164" s="3"/>
      <c r="QJX164" s="3"/>
      <c r="QJY164" s="3"/>
      <c r="QJZ164" s="3"/>
      <c r="QKA164" s="3"/>
      <c r="QKB164" s="3"/>
      <c r="QKC164" s="3"/>
      <c r="QKD164" s="3"/>
      <c r="QKE164" s="3"/>
      <c r="QKF164" s="3"/>
      <c r="QKG164" s="3"/>
      <c r="QKH164" s="3"/>
      <c r="QKI164" s="3"/>
      <c r="QKJ164" s="3"/>
      <c r="QKK164" s="3"/>
      <c r="QKL164" s="3"/>
      <c r="QKM164" s="3"/>
      <c r="QKN164" s="3"/>
      <c r="QKO164" s="3"/>
      <c r="QKP164" s="3"/>
      <c r="QKQ164" s="3"/>
      <c r="QKR164" s="3"/>
      <c r="QKS164" s="3"/>
      <c r="QKT164" s="3"/>
      <c r="QKU164" s="3"/>
      <c r="QKV164" s="3"/>
      <c r="QKW164" s="3"/>
      <c r="QKX164" s="3"/>
      <c r="QKY164" s="3"/>
      <c r="QKZ164" s="3"/>
      <c r="QLA164" s="3"/>
      <c r="QLB164" s="3"/>
      <c r="QLC164" s="3"/>
      <c r="QLD164" s="3"/>
      <c r="QLE164" s="3"/>
      <c r="QLF164" s="3"/>
      <c r="QLG164" s="3"/>
      <c r="QLH164" s="3"/>
      <c r="QLI164" s="3"/>
      <c r="QLJ164" s="3"/>
      <c r="QLK164" s="3"/>
      <c r="QLL164" s="3"/>
      <c r="QLM164" s="3"/>
      <c r="QLN164" s="3"/>
      <c r="QLO164" s="3"/>
      <c r="QLP164" s="3"/>
      <c r="QLQ164" s="3"/>
      <c r="QLR164" s="3"/>
      <c r="QLS164" s="3"/>
      <c r="QLT164" s="3"/>
      <c r="QLU164" s="3"/>
      <c r="QLV164" s="3"/>
      <c r="QLW164" s="3"/>
      <c r="QLX164" s="3"/>
      <c r="QLY164" s="3"/>
      <c r="QLZ164" s="3"/>
      <c r="QMA164" s="3"/>
      <c r="QMB164" s="3"/>
      <c r="QMC164" s="3"/>
      <c r="QMD164" s="3"/>
      <c r="QME164" s="3"/>
      <c r="QMF164" s="3"/>
      <c r="QMG164" s="3"/>
      <c r="QMH164" s="3"/>
      <c r="QMI164" s="3"/>
      <c r="QMJ164" s="3"/>
      <c r="QMK164" s="3"/>
      <c r="QML164" s="3"/>
      <c r="QMM164" s="3"/>
      <c r="QMN164" s="3"/>
      <c r="QMO164" s="3"/>
      <c r="QMP164" s="3"/>
      <c r="QMQ164" s="3"/>
      <c r="QMR164" s="3"/>
      <c r="QMS164" s="3"/>
      <c r="QMT164" s="3"/>
      <c r="QMU164" s="3"/>
      <c r="QMV164" s="3"/>
      <c r="QMW164" s="3"/>
      <c r="QMX164" s="3"/>
      <c r="QMY164" s="3"/>
      <c r="QMZ164" s="3"/>
      <c r="QNA164" s="3"/>
      <c r="QNB164" s="3"/>
      <c r="QNC164" s="3"/>
      <c r="QND164" s="3"/>
      <c r="QNE164" s="3"/>
      <c r="QNF164" s="3"/>
      <c r="QNG164" s="3"/>
      <c r="QNH164" s="3"/>
      <c r="QNI164" s="3"/>
      <c r="QNJ164" s="3"/>
      <c r="QNK164" s="3"/>
      <c r="QNL164" s="3"/>
      <c r="QNM164" s="3"/>
      <c r="QNN164" s="3"/>
      <c r="QNO164" s="3"/>
      <c r="QNP164" s="3"/>
      <c r="QNQ164" s="3"/>
      <c r="QNR164" s="3"/>
      <c r="QNS164" s="3"/>
      <c r="QNT164" s="3"/>
      <c r="QNU164" s="3"/>
      <c r="QNV164" s="3"/>
      <c r="QNW164" s="3"/>
      <c r="QNX164" s="3"/>
      <c r="QNY164" s="3"/>
      <c r="QNZ164" s="3"/>
      <c r="QOA164" s="3"/>
      <c r="QOB164" s="3"/>
      <c r="QOC164" s="3"/>
      <c r="QOD164" s="3"/>
      <c r="QOE164" s="3"/>
      <c r="QOF164" s="3"/>
      <c r="QOG164" s="3"/>
      <c r="QOH164" s="3"/>
      <c r="QOI164" s="3"/>
      <c r="QOJ164" s="3"/>
      <c r="QOK164" s="3"/>
      <c r="QOL164" s="3"/>
      <c r="QOM164" s="3"/>
      <c r="QON164" s="3"/>
      <c r="QOO164" s="3"/>
      <c r="QOP164" s="3"/>
      <c r="QOQ164" s="3"/>
      <c r="QOR164" s="3"/>
      <c r="QOS164" s="3"/>
      <c r="QOT164" s="3"/>
      <c r="QOU164" s="3"/>
      <c r="QOV164" s="3"/>
      <c r="QOW164" s="3"/>
      <c r="QOX164" s="3"/>
      <c r="QOY164" s="3"/>
      <c r="QOZ164" s="3"/>
      <c r="QPA164" s="3"/>
      <c r="QPB164" s="3"/>
      <c r="QPC164" s="3"/>
      <c r="QPD164" s="3"/>
      <c r="QPE164" s="3"/>
      <c r="QPF164" s="3"/>
      <c r="QPG164" s="3"/>
      <c r="QPH164" s="3"/>
      <c r="QPI164" s="3"/>
      <c r="QPJ164" s="3"/>
      <c r="QPK164" s="3"/>
      <c r="QPL164" s="3"/>
      <c r="QPM164" s="3"/>
      <c r="QPN164" s="3"/>
      <c r="QPO164" s="3"/>
      <c r="QPP164" s="3"/>
      <c r="QPQ164" s="3"/>
      <c r="QPR164" s="3"/>
      <c r="QPS164" s="3"/>
      <c r="QPT164" s="3"/>
      <c r="QPU164" s="3"/>
      <c r="QPV164" s="3"/>
      <c r="QPW164" s="3"/>
      <c r="QPX164" s="3"/>
      <c r="QPY164" s="3"/>
      <c r="QPZ164" s="3"/>
      <c r="QQA164" s="3"/>
      <c r="QQB164" s="3"/>
      <c r="QQC164" s="3"/>
      <c r="QQD164" s="3"/>
      <c r="QQE164" s="3"/>
      <c r="QQF164" s="3"/>
      <c r="QQG164" s="3"/>
      <c r="QQH164" s="3"/>
      <c r="QQI164" s="3"/>
      <c r="QQJ164" s="3"/>
      <c r="QQK164" s="3"/>
      <c r="QQL164" s="3"/>
      <c r="QQM164" s="3"/>
      <c r="QQN164" s="3"/>
      <c r="QQO164" s="3"/>
      <c r="QQP164" s="3"/>
      <c r="QQQ164" s="3"/>
      <c r="QQR164" s="3"/>
      <c r="QQS164" s="3"/>
      <c r="QQT164" s="3"/>
      <c r="QQU164" s="3"/>
      <c r="QQV164" s="3"/>
      <c r="QQW164" s="3"/>
      <c r="QQX164" s="3"/>
      <c r="QQY164" s="3"/>
      <c r="QQZ164" s="3"/>
      <c r="QRA164" s="3"/>
      <c r="QRB164" s="3"/>
      <c r="QRC164" s="3"/>
      <c r="QRD164" s="3"/>
      <c r="QRE164" s="3"/>
      <c r="QRF164" s="3"/>
      <c r="QRG164" s="3"/>
      <c r="QRH164" s="3"/>
      <c r="QRI164" s="3"/>
      <c r="QRJ164" s="3"/>
      <c r="QRK164" s="3"/>
      <c r="QRL164" s="3"/>
      <c r="QRM164" s="3"/>
      <c r="QRN164" s="3"/>
      <c r="QRO164" s="3"/>
      <c r="QRP164" s="3"/>
      <c r="QRQ164" s="3"/>
      <c r="QRR164" s="3"/>
      <c r="QRS164" s="3"/>
      <c r="QRT164" s="3"/>
      <c r="QRU164" s="3"/>
      <c r="QRV164" s="3"/>
      <c r="QRW164" s="3"/>
      <c r="QRX164" s="3"/>
      <c r="QRY164" s="3"/>
      <c r="QRZ164" s="3"/>
      <c r="QSA164" s="3"/>
      <c r="QSB164" s="3"/>
      <c r="QSC164" s="3"/>
      <c r="QSD164" s="3"/>
      <c r="QSE164" s="3"/>
      <c r="QSF164" s="3"/>
      <c r="QSG164" s="3"/>
      <c r="QSH164" s="3"/>
      <c r="QSI164" s="3"/>
      <c r="QSJ164" s="3"/>
      <c r="QSK164" s="3"/>
      <c r="QSL164" s="3"/>
      <c r="QSM164" s="3"/>
      <c r="QSN164" s="3"/>
      <c r="QSO164" s="3"/>
      <c r="QSP164" s="3"/>
      <c r="QSQ164" s="3"/>
      <c r="QSR164" s="3"/>
      <c r="QSS164" s="3"/>
      <c r="QST164" s="3"/>
      <c r="QSU164" s="3"/>
      <c r="QSV164" s="3"/>
      <c r="QSW164" s="3"/>
      <c r="QSX164" s="3"/>
      <c r="QSY164" s="3"/>
      <c r="QSZ164" s="3"/>
      <c r="QTA164" s="3"/>
      <c r="QTB164" s="3"/>
      <c r="QTC164" s="3"/>
      <c r="QTD164" s="3"/>
      <c r="QTE164" s="3"/>
      <c r="QTF164" s="3"/>
      <c r="QTG164" s="3"/>
      <c r="QTH164" s="3"/>
      <c r="QTI164" s="3"/>
      <c r="QTJ164" s="3"/>
      <c r="QTK164" s="3"/>
      <c r="QTL164" s="3"/>
      <c r="QTM164" s="3"/>
      <c r="QTN164" s="3"/>
      <c r="QTO164" s="3"/>
      <c r="QTP164" s="3"/>
      <c r="QTQ164" s="3"/>
      <c r="QTR164" s="3"/>
      <c r="QTS164" s="3"/>
      <c r="QTT164" s="3"/>
      <c r="QTU164" s="3"/>
      <c r="QTV164" s="3"/>
      <c r="QTW164" s="3"/>
      <c r="QTX164" s="3"/>
      <c r="QTY164" s="3"/>
      <c r="QTZ164" s="3"/>
      <c r="QUA164" s="3"/>
      <c r="QUB164" s="3"/>
      <c r="QUC164" s="3"/>
      <c r="QUD164" s="3"/>
      <c r="QUE164" s="3"/>
      <c r="QUF164" s="3"/>
      <c r="QUG164" s="3"/>
      <c r="QUH164" s="3"/>
      <c r="QUI164" s="3"/>
      <c r="QUJ164" s="3"/>
      <c r="QUK164" s="3"/>
      <c r="QUL164" s="3"/>
      <c r="QUM164" s="3"/>
      <c r="QUN164" s="3"/>
      <c r="QUO164" s="3"/>
      <c r="QUP164" s="3"/>
      <c r="QUQ164" s="3"/>
      <c r="QUR164" s="3"/>
      <c r="QUS164" s="3"/>
      <c r="QUT164" s="3"/>
      <c r="QUU164" s="3"/>
      <c r="QUV164" s="3"/>
      <c r="QUW164" s="3"/>
      <c r="QUX164" s="3"/>
      <c r="QUY164" s="3"/>
      <c r="QUZ164" s="3"/>
      <c r="QVA164" s="3"/>
      <c r="QVB164" s="3"/>
      <c r="QVC164" s="3"/>
      <c r="QVD164" s="3"/>
      <c r="QVE164" s="3"/>
      <c r="QVF164" s="3"/>
      <c r="QVG164" s="3"/>
      <c r="QVH164" s="3"/>
      <c r="QVI164" s="3"/>
      <c r="QVJ164" s="3"/>
      <c r="QVK164" s="3"/>
      <c r="QVL164" s="3"/>
      <c r="QVM164" s="3"/>
      <c r="QVN164" s="3"/>
      <c r="QVO164" s="3"/>
      <c r="QVP164" s="3"/>
      <c r="QVQ164" s="3"/>
      <c r="QVR164" s="3"/>
      <c r="QVS164" s="3"/>
      <c r="QVT164" s="3"/>
      <c r="QVU164" s="3"/>
      <c r="QVV164" s="3"/>
      <c r="QVW164" s="3"/>
      <c r="QVX164" s="3"/>
      <c r="QVY164" s="3"/>
      <c r="QVZ164" s="3"/>
      <c r="QWA164" s="3"/>
      <c r="QWB164" s="3"/>
      <c r="QWC164" s="3"/>
      <c r="QWD164" s="3"/>
      <c r="QWE164" s="3"/>
      <c r="QWF164" s="3"/>
      <c r="QWG164" s="3"/>
      <c r="QWH164" s="3"/>
      <c r="QWI164" s="3"/>
      <c r="QWJ164" s="3"/>
      <c r="QWK164" s="3"/>
      <c r="QWL164" s="3"/>
      <c r="QWM164" s="3"/>
      <c r="QWN164" s="3"/>
      <c r="QWO164" s="3"/>
      <c r="QWP164" s="3"/>
      <c r="QWQ164" s="3"/>
      <c r="QWR164" s="3"/>
      <c r="QWS164" s="3"/>
      <c r="QWT164" s="3"/>
      <c r="QWU164" s="3"/>
      <c r="QWV164" s="3"/>
      <c r="QWW164" s="3"/>
      <c r="QWX164" s="3"/>
      <c r="QWY164" s="3"/>
      <c r="QWZ164" s="3"/>
      <c r="QXA164" s="3"/>
      <c r="QXB164" s="3"/>
      <c r="QXC164" s="3"/>
      <c r="QXD164" s="3"/>
      <c r="QXE164" s="3"/>
      <c r="QXF164" s="3"/>
      <c r="QXG164" s="3"/>
      <c r="QXH164" s="3"/>
      <c r="QXI164" s="3"/>
      <c r="QXJ164" s="3"/>
      <c r="QXK164" s="3"/>
      <c r="QXL164" s="3"/>
      <c r="QXM164" s="3"/>
      <c r="QXN164" s="3"/>
      <c r="QXO164" s="3"/>
      <c r="QXP164" s="3"/>
      <c r="QXQ164" s="3"/>
      <c r="QXR164" s="3"/>
      <c r="QXS164" s="3"/>
      <c r="QXT164" s="3"/>
      <c r="QXU164" s="3"/>
      <c r="QXV164" s="3"/>
      <c r="QXW164" s="3"/>
      <c r="QXX164" s="3"/>
      <c r="QXY164" s="3"/>
      <c r="QXZ164" s="3"/>
      <c r="QYA164" s="3"/>
      <c r="QYB164" s="3"/>
      <c r="QYC164" s="3"/>
      <c r="QYD164" s="3"/>
      <c r="QYE164" s="3"/>
      <c r="QYF164" s="3"/>
      <c r="QYG164" s="3"/>
      <c r="QYH164" s="3"/>
      <c r="QYI164" s="3"/>
      <c r="QYJ164" s="3"/>
      <c r="QYK164" s="3"/>
      <c r="QYL164" s="3"/>
      <c r="QYM164" s="3"/>
      <c r="QYN164" s="3"/>
      <c r="QYO164" s="3"/>
      <c r="QYP164" s="3"/>
      <c r="QYQ164" s="3"/>
      <c r="QYR164" s="3"/>
      <c r="QYS164" s="3"/>
      <c r="QYT164" s="3"/>
      <c r="QYU164" s="3"/>
      <c r="QYV164" s="3"/>
      <c r="QYW164" s="3"/>
      <c r="QYX164" s="3"/>
      <c r="QYY164" s="3"/>
      <c r="QYZ164" s="3"/>
      <c r="QZA164" s="3"/>
      <c r="QZB164" s="3"/>
      <c r="QZC164" s="3"/>
      <c r="QZD164" s="3"/>
      <c r="QZE164" s="3"/>
      <c r="QZF164" s="3"/>
      <c r="QZG164" s="3"/>
      <c r="QZH164" s="3"/>
      <c r="QZI164" s="3"/>
      <c r="QZJ164" s="3"/>
      <c r="QZK164" s="3"/>
      <c r="QZL164" s="3"/>
      <c r="QZM164" s="3"/>
      <c r="QZN164" s="3"/>
      <c r="QZO164" s="3"/>
      <c r="QZP164" s="3"/>
      <c r="QZQ164" s="3"/>
      <c r="QZR164" s="3"/>
      <c r="QZS164" s="3"/>
      <c r="QZT164" s="3"/>
      <c r="QZU164" s="3"/>
      <c r="QZV164" s="3"/>
      <c r="QZW164" s="3"/>
      <c r="QZX164" s="3"/>
      <c r="QZY164" s="3"/>
      <c r="QZZ164" s="3"/>
      <c r="RAA164" s="3"/>
      <c r="RAB164" s="3"/>
      <c r="RAC164" s="3"/>
      <c r="RAD164" s="3"/>
      <c r="RAE164" s="3"/>
      <c r="RAF164" s="3"/>
      <c r="RAG164" s="3"/>
      <c r="RAH164" s="3"/>
      <c r="RAI164" s="3"/>
      <c r="RAJ164" s="3"/>
      <c r="RAK164" s="3"/>
      <c r="RAL164" s="3"/>
      <c r="RAM164" s="3"/>
      <c r="RAN164" s="3"/>
      <c r="RAO164" s="3"/>
      <c r="RAP164" s="3"/>
      <c r="RAQ164" s="3"/>
      <c r="RAR164" s="3"/>
      <c r="RAS164" s="3"/>
      <c r="RAT164" s="3"/>
      <c r="RAU164" s="3"/>
      <c r="RAV164" s="3"/>
      <c r="RAW164" s="3"/>
      <c r="RAX164" s="3"/>
      <c r="RAY164" s="3"/>
      <c r="RAZ164" s="3"/>
      <c r="RBA164" s="3"/>
      <c r="RBB164" s="3"/>
      <c r="RBC164" s="3"/>
      <c r="RBD164" s="3"/>
      <c r="RBE164" s="3"/>
      <c r="RBF164" s="3"/>
      <c r="RBG164" s="3"/>
      <c r="RBH164" s="3"/>
      <c r="RBI164" s="3"/>
      <c r="RBJ164" s="3"/>
      <c r="RBK164" s="3"/>
      <c r="RBL164" s="3"/>
      <c r="RBM164" s="3"/>
      <c r="RBN164" s="3"/>
      <c r="RBO164" s="3"/>
      <c r="RBP164" s="3"/>
      <c r="RBQ164" s="3"/>
      <c r="RBR164" s="3"/>
      <c r="RBS164" s="3"/>
      <c r="RBT164" s="3"/>
      <c r="RBU164" s="3"/>
      <c r="RBV164" s="3"/>
      <c r="RBW164" s="3"/>
      <c r="RBX164" s="3"/>
      <c r="RBY164" s="3"/>
      <c r="RBZ164" s="3"/>
      <c r="RCA164" s="3"/>
      <c r="RCB164" s="3"/>
      <c r="RCC164" s="3"/>
      <c r="RCD164" s="3"/>
      <c r="RCE164" s="3"/>
      <c r="RCF164" s="3"/>
      <c r="RCG164" s="3"/>
      <c r="RCH164" s="3"/>
      <c r="RCI164" s="3"/>
      <c r="RCJ164" s="3"/>
      <c r="RCK164" s="3"/>
      <c r="RCL164" s="3"/>
      <c r="RCM164" s="3"/>
      <c r="RCN164" s="3"/>
      <c r="RCO164" s="3"/>
      <c r="RCP164" s="3"/>
      <c r="RCQ164" s="3"/>
      <c r="RCR164" s="3"/>
      <c r="RCS164" s="3"/>
      <c r="RCT164" s="3"/>
      <c r="RCU164" s="3"/>
      <c r="RCV164" s="3"/>
      <c r="RCW164" s="3"/>
      <c r="RCX164" s="3"/>
      <c r="RCY164" s="3"/>
      <c r="RCZ164" s="3"/>
      <c r="RDA164" s="3"/>
      <c r="RDB164" s="3"/>
      <c r="RDC164" s="3"/>
      <c r="RDD164" s="3"/>
      <c r="RDE164" s="3"/>
      <c r="RDF164" s="3"/>
      <c r="RDG164" s="3"/>
      <c r="RDH164" s="3"/>
      <c r="RDI164" s="3"/>
      <c r="RDJ164" s="3"/>
      <c r="RDK164" s="3"/>
      <c r="RDL164" s="3"/>
      <c r="RDM164" s="3"/>
      <c r="RDN164" s="3"/>
      <c r="RDO164" s="3"/>
      <c r="RDP164" s="3"/>
      <c r="RDQ164" s="3"/>
      <c r="RDR164" s="3"/>
      <c r="RDS164" s="3"/>
      <c r="RDT164" s="3"/>
      <c r="RDU164" s="3"/>
      <c r="RDV164" s="3"/>
      <c r="RDW164" s="3"/>
      <c r="RDX164" s="3"/>
      <c r="RDY164" s="3"/>
      <c r="RDZ164" s="3"/>
      <c r="REA164" s="3"/>
      <c r="REB164" s="3"/>
      <c r="REC164" s="3"/>
      <c r="RED164" s="3"/>
      <c r="REE164" s="3"/>
      <c r="REF164" s="3"/>
      <c r="REG164" s="3"/>
      <c r="REH164" s="3"/>
      <c r="REI164" s="3"/>
      <c r="REJ164" s="3"/>
      <c r="REK164" s="3"/>
      <c r="REL164" s="3"/>
      <c r="REM164" s="3"/>
      <c r="REN164" s="3"/>
      <c r="REO164" s="3"/>
      <c r="REP164" s="3"/>
      <c r="REQ164" s="3"/>
      <c r="RER164" s="3"/>
      <c r="RES164" s="3"/>
      <c r="RET164" s="3"/>
      <c r="REU164" s="3"/>
      <c r="REV164" s="3"/>
      <c r="REW164" s="3"/>
      <c r="REX164" s="3"/>
      <c r="REY164" s="3"/>
      <c r="REZ164" s="3"/>
      <c r="RFA164" s="3"/>
      <c r="RFB164" s="3"/>
      <c r="RFC164" s="3"/>
      <c r="RFD164" s="3"/>
      <c r="RFE164" s="3"/>
      <c r="RFF164" s="3"/>
      <c r="RFG164" s="3"/>
      <c r="RFH164" s="3"/>
      <c r="RFI164" s="3"/>
      <c r="RFJ164" s="3"/>
      <c r="RFK164" s="3"/>
      <c r="RFL164" s="3"/>
      <c r="RFM164" s="3"/>
      <c r="RFN164" s="3"/>
      <c r="RFO164" s="3"/>
      <c r="RFP164" s="3"/>
      <c r="RFQ164" s="3"/>
      <c r="RFR164" s="3"/>
      <c r="RFS164" s="3"/>
      <c r="RFT164" s="3"/>
      <c r="RFU164" s="3"/>
      <c r="RFV164" s="3"/>
      <c r="RFW164" s="3"/>
      <c r="RFX164" s="3"/>
      <c r="RFY164" s="3"/>
      <c r="RFZ164" s="3"/>
      <c r="RGA164" s="3"/>
      <c r="RGB164" s="3"/>
      <c r="RGC164" s="3"/>
      <c r="RGD164" s="3"/>
      <c r="RGE164" s="3"/>
      <c r="RGF164" s="3"/>
      <c r="RGG164" s="3"/>
      <c r="RGH164" s="3"/>
      <c r="RGI164" s="3"/>
      <c r="RGJ164" s="3"/>
      <c r="RGK164" s="3"/>
      <c r="RGL164" s="3"/>
      <c r="RGM164" s="3"/>
      <c r="RGN164" s="3"/>
      <c r="RGO164" s="3"/>
      <c r="RGP164" s="3"/>
      <c r="RGQ164" s="3"/>
      <c r="RGR164" s="3"/>
      <c r="RGS164" s="3"/>
      <c r="RGT164" s="3"/>
      <c r="RGU164" s="3"/>
      <c r="RGV164" s="3"/>
      <c r="RGW164" s="3"/>
      <c r="RGX164" s="3"/>
      <c r="RGY164" s="3"/>
      <c r="RGZ164" s="3"/>
      <c r="RHA164" s="3"/>
      <c r="RHB164" s="3"/>
      <c r="RHC164" s="3"/>
      <c r="RHD164" s="3"/>
      <c r="RHE164" s="3"/>
      <c r="RHF164" s="3"/>
      <c r="RHG164" s="3"/>
      <c r="RHH164" s="3"/>
      <c r="RHI164" s="3"/>
      <c r="RHJ164" s="3"/>
      <c r="RHK164" s="3"/>
      <c r="RHL164" s="3"/>
      <c r="RHM164" s="3"/>
      <c r="RHN164" s="3"/>
      <c r="RHO164" s="3"/>
      <c r="RHP164" s="3"/>
      <c r="RHQ164" s="3"/>
      <c r="RHR164" s="3"/>
      <c r="RHS164" s="3"/>
      <c r="RHT164" s="3"/>
      <c r="RHU164" s="3"/>
      <c r="RHV164" s="3"/>
      <c r="RHW164" s="3"/>
      <c r="RHX164" s="3"/>
      <c r="RHY164" s="3"/>
      <c r="RHZ164" s="3"/>
      <c r="RIA164" s="3"/>
      <c r="RIB164" s="3"/>
      <c r="RIC164" s="3"/>
      <c r="RID164" s="3"/>
      <c r="RIE164" s="3"/>
      <c r="RIF164" s="3"/>
      <c r="RIG164" s="3"/>
      <c r="RIH164" s="3"/>
      <c r="RII164" s="3"/>
      <c r="RIJ164" s="3"/>
      <c r="RIK164" s="3"/>
      <c r="RIL164" s="3"/>
      <c r="RIM164" s="3"/>
      <c r="RIN164" s="3"/>
      <c r="RIO164" s="3"/>
      <c r="RIP164" s="3"/>
      <c r="RIQ164" s="3"/>
      <c r="RIR164" s="3"/>
      <c r="RIS164" s="3"/>
      <c r="RIT164" s="3"/>
      <c r="RIU164" s="3"/>
      <c r="RIV164" s="3"/>
      <c r="RIW164" s="3"/>
      <c r="RIX164" s="3"/>
      <c r="RIY164" s="3"/>
      <c r="RIZ164" s="3"/>
      <c r="RJA164" s="3"/>
      <c r="RJB164" s="3"/>
      <c r="RJC164" s="3"/>
      <c r="RJD164" s="3"/>
      <c r="RJE164" s="3"/>
      <c r="RJF164" s="3"/>
      <c r="RJG164" s="3"/>
      <c r="RJH164" s="3"/>
      <c r="RJI164" s="3"/>
      <c r="RJJ164" s="3"/>
      <c r="RJK164" s="3"/>
      <c r="RJL164" s="3"/>
      <c r="RJM164" s="3"/>
      <c r="RJN164" s="3"/>
      <c r="RJO164" s="3"/>
      <c r="RJP164" s="3"/>
      <c r="RJQ164" s="3"/>
      <c r="RJR164" s="3"/>
      <c r="RJS164" s="3"/>
      <c r="RJT164" s="3"/>
      <c r="RJU164" s="3"/>
      <c r="RJV164" s="3"/>
      <c r="RJW164" s="3"/>
      <c r="RJX164" s="3"/>
      <c r="RJY164" s="3"/>
      <c r="RJZ164" s="3"/>
      <c r="RKA164" s="3"/>
      <c r="RKB164" s="3"/>
      <c r="RKC164" s="3"/>
      <c r="RKD164" s="3"/>
      <c r="RKE164" s="3"/>
      <c r="RKF164" s="3"/>
      <c r="RKG164" s="3"/>
      <c r="RKH164" s="3"/>
      <c r="RKI164" s="3"/>
      <c r="RKJ164" s="3"/>
      <c r="RKK164" s="3"/>
      <c r="RKL164" s="3"/>
      <c r="RKM164" s="3"/>
      <c r="RKN164" s="3"/>
      <c r="RKO164" s="3"/>
      <c r="RKP164" s="3"/>
      <c r="RKQ164" s="3"/>
      <c r="RKR164" s="3"/>
      <c r="RKS164" s="3"/>
      <c r="RKT164" s="3"/>
      <c r="RKU164" s="3"/>
      <c r="RKV164" s="3"/>
      <c r="RKW164" s="3"/>
      <c r="RKX164" s="3"/>
      <c r="RKY164" s="3"/>
      <c r="RKZ164" s="3"/>
      <c r="RLA164" s="3"/>
      <c r="RLB164" s="3"/>
      <c r="RLC164" s="3"/>
      <c r="RLD164" s="3"/>
      <c r="RLE164" s="3"/>
      <c r="RLF164" s="3"/>
      <c r="RLG164" s="3"/>
      <c r="RLH164" s="3"/>
      <c r="RLI164" s="3"/>
      <c r="RLJ164" s="3"/>
      <c r="RLK164" s="3"/>
      <c r="RLL164" s="3"/>
      <c r="RLM164" s="3"/>
      <c r="RLN164" s="3"/>
      <c r="RLO164" s="3"/>
      <c r="RLP164" s="3"/>
      <c r="RLQ164" s="3"/>
      <c r="RLR164" s="3"/>
      <c r="RLS164" s="3"/>
      <c r="RLT164" s="3"/>
      <c r="RLU164" s="3"/>
      <c r="RLV164" s="3"/>
      <c r="RLW164" s="3"/>
      <c r="RLX164" s="3"/>
      <c r="RLY164" s="3"/>
      <c r="RLZ164" s="3"/>
      <c r="RMA164" s="3"/>
      <c r="RMB164" s="3"/>
      <c r="RMC164" s="3"/>
      <c r="RMD164" s="3"/>
      <c r="RME164" s="3"/>
      <c r="RMF164" s="3"/>
      <c r="RMG164" s="3"/>
      <c r="RMH164" s="3"/>
      <c r="RMI164" s="3"/>
      <c r="RMJ164" s="3"/>
      <c r="RMK164" s="3"/>
      <c r="RML164" s="3"/>
      <c r="RMM164" s="3"/>
      <c r="RMN164" s="3"/>
      <c r="RMO164" s="3"/>
      <c r="RMP164" s="3"/>
      <c r="RMQ164" s="3"/>
      <c r="RMR164" s="3"/>
      <c r="RMS164" s="3"/>
      <c r="RMT164" s="3"/>
      <c r="RMU164" s="3"/>
      <c r="RMV164" s="3"/>
      <c r="RMW164" s="3"/>
      <c r="RMX164" s="3"/>
      <c r="RMY164" s="3"/>
      <c r="RMZ164" s="3"/>
      <c r="RNA164" s="3"/>
      <c r="RNB164" s="3"/>
      <c r="RNC164" s="3"/>
      <c r="RND164" s="3"/>
      <c r="RNE164" s="3"/>
      <c r="RNF164" s="3"/>
      <c r="RNG164" s="3"/>
      <c r="RNH164" s="3"/>
      <c r="RNI164" s="3"/>
      <c r="RNJ164" s="3"/>
      <c r="RNK164" s="3"/>
      <c r="RNL164" s="3"/>
      <c r="RNM164" s="3"/>
      <c r="RNN164" s="3"/>
      <c r="RNO164" s="3"/>
      <c r="RNP164" s="3"/>
      <c r="RNQ164" s="3"/>
      <c r="RNR164" s="3"/>
      <c r="RNS164" s="3"/>
      <c r="RNT164" s="3"/>
      <c r="RNU164" s="3"/>
      <c r="RNV164" s="3"/>
      <c r="RNW164" s="3"/>
      <c r="RNX164" s="3"/>
      <c r="RNY164" s="3"/>
      <c r="RNZ164" s="3"/>
      <c r="ROA164" s="3"/>
      <c r="ROB164" s="3"/>
      <c r="ROC164" s="3"/>
      <c r="ROD164" s="3"/>
      <c r="ROE164" s="3"/>
      <c r="ROF164" s="3"/>
      <c r="ROG164" s="3"/>
      <c r="ROH164" s="3"/>
      <c r="ROI164" s="3"/>
      <c r="ROJ164" s="3"/>
      <c r="ROK164" s="3"/>
      <c r="ROL164" s="3"/>
      <c r="ROM164" s="3"/>
      <c r="RON164" s="3"/>
      <c r="ROO164" s="3"/>
      <c r="ROP164" s="3"/>
      <c r="ROQ164" s="3"/>
      <c r="ROR164" s="3"/>
      <c r="ROS164" s="3"/>
      <c r="ROT164" s="3"/>
      <c r="ROU164" s="3"/>
      <c r="ROV164" s="3"/>
      <c r="ROW164" s="3"/>
      <c r="ROX164" s="3"/>
      <c r="ROY164" s="3"/>
      <c r="ROZ164" s="3"/>
      <c r="RPA164" s="3"/>
      <c r="RPB164" s="3"/>
      <c r="RPC164" s="3"/>
      <c r="RPD164" s="3"/>
      <c r="RPE164" s="3"/>
      <c r="RPF164" s="3"/>
      <c r="RPG164" s="3"/>
      <c r="RPH164" s="3"/>
      <c r="RPI164" s="3"/>
      <c r="RPJ164" s="3"/>
      <c r="RPK164" s="3"/>
      <c r="RPL164" s="3"/>
      <c r="RPM164" s="3"/>
      <c r="RPN164" s="3"/>
      <c r="RPO164" s="3"/>
      <c r="RPP164" s="3"/>
      <c r="RPQ164" s="3"/>
      <c r="RPR164" s="3"/>
      <c r="RPS164" s="3"/>
      <c r="RPT164" s="3"/>
      <c r="RPU164" s="3"/>
      <c r="RPV164" s="3"/>
      <c r="RPW164" s="3"/>
      <c r="RPX164" s="3"/>
      <c r="RPY164" s="3"/>
      <c r="RPZ164" s="3"/>
      <c r="RQA164" s="3"/>
      <c r="RQB164" s="3"/>
      <c r="RQC164" s="3"/>
      <c r="RQD164" s="3"/>
      <c r="RQE164" s="3"/>
      <c r="RQF164" s="3"/>
      <c r="RQG164" s="3"/>
      <c r="RQH164" s="3"/>
      <c r="RQI164" s="3"/>
      <c r="RQJ164" s="3"/>
      <c r="RQK164" s="3"/>
      <c r="RQL164" s="3"/>
      <c r="RQM164" s="3"/>
      <c r="RQN164" s="3"/>
      <c r="RQO164" s="3"/>
      <c r="RQP164" s="3"/>
      <c r="RQQ164" s="3"/>
      <c r="RQR164" s="3"/>
      <c r="RQS164" s="3"/>
      <c r="RQT164" s="3"/>
      <c r="RQU164" s="3"/>
      <c r="RQV164" s="3"/>
      <c r="RQW164" s="3"/>
      <c r="RQX164" s="3"/>
      <c r="RQY164" s="3"/>
      <c r="RQZ164" s="3"/>
      <c r="RRA164" s="3"/>
      <c r="RRB164" s="3"/>
      <c r="RRC164" s="3"/>
      <c r="RRD164" s="3"/>
      <c r="RRE164" s="3"/>
      <c r="RRF164" s="3"/>
      <c r="RRG164" s="3"/>
      <c r="RRH164" s="3"/>
      <c r="RRI164" s="3"/>
      <c r="RRJ164" s="3"/>
      <c r="RRK164" s="3"/>
      <c r="RRL164" s="3"/>
      <c r="RRM164" s="3"/>
      <c r="RRN164" s="3"/>
      <c r="RRO164" s="3"/>
      <c r="RRP164" s="3"/>
      <c r="RRQ164" s="3"/>
      <c r="RRR164" s="3"/>
      <c r="RRS164" s="3"/>
      <c r="RRT164" s="3"/>
      <c r="RRU164" s="3"/>
      <c r="RRV164" s="3"/>
      <c r="RRW164" s="3"/>
      <c r="RRX164" s="3"/>
      <c r="RRY164" s="3"/>
      <c r="RRZ164" s="3"/>
      <c r="RSA164" s="3"/>
      <c r="RSB164" s="3"/>
      <c r="RSC164" s="3"/>
      <c r="RSD164" s="3"/>
      <c r="RSE164" s="3"/>
      <c r="RSF164" s="3"/>
      <c r="RSG164" s="3"/>
      <c r="RSH164" s="3"/>
      <c r="RSI164" s="3"/>
      <c r="RSJ164" s="3"/>
      <c r="RSK164" s="3"/>
      <c r="RSL164" s="3"/>
      <c r="RSM164" s="3"/>
      <c r="RSN164" s="3"/>
      <c r="RSO164" s="3"/>
      <c r="RSP164" s="3"/>
      <c r="RSQ164" s="3"/>
      <c r="RSR164" s="3"/>
      <c r="RSS164" s="3"/>
      <c r="RST164" s="3"/>
      <c r="RSU164" s="3"/>
      <c r="RSV164" s="3"/>
      <c r="RSW164" s="3"/>
      <c r="RSX164" s="3"/>
      <c r="RSY164" s="3"/>
      <c r="RSZ164" s="3"/>
      <c r="RTA164" s="3"/>
      <c r="RTB164" s="3"/>
      <c r="RTC164" s="3"/>
      <c r="RTD164" s="3"/>
      <c r="RTE164" s="3"/>
      <c r="RTF164" s="3"/>
      <c r="RTG164" s="3"/>
      <c r="RTH164" s="3"/>
      <c r="RTI164" s="3"/>
      <c r="RTJ164" s="3"/>
      <c r="RTK164" s="3"/>
      <c r="RTL164" s="3"/>
      <c r="RTM164" s="3"/>
      <c r="RTN164" s="3"/>
      <c r="RTO164" s="3"/>
      <c r="RTP164" s="3"/>
      <c r="RTQ164" s="3"/>
      <c r="RTR164" s="3"/>
      <c r="RTS164" s="3"/>
      <c r="RTT164" s="3"/>
      <c r="RTU164" s="3"/>
      <c r="RTV164" s="3"/>
      <c r="RTW164" s="3"/>
      <c r="RTX164" s="3"/>
      <c r="RTY164" s="3"/>
      <c r="RTZ164" s="3"/>
      <c r="RUA164" s="3"/>
      <c r="RUB164" s="3"/>
      <c r="RUC164" s="3"/>
      <c r="RUD164" s="3"/>
      <c r="RUE164" s="3"/>
      <c r="RUF164" s="3"/>
      <c r="RUG164" s="3"/>
      <c r="RUH164" s="3"/>
      <c r="RUI164" s="3"/>
      <c r="RUJ164" s="3"/>
      <c r="RUK164" s="3"/>
      <c r="RUL164" s="3"/>
      <c r="RUM164" s="3"/>
      <c r="RUN164" s="3"/>
      <c r="RUO164" s="3"/>
      <c r="RUP164" s="3"/>
      <c r="RUQ164" s="3"/>
      <c r="RUR164" s="3"/>
      <c r="RUS164" s="3"/>
      <c r="RUT164" s="3"/>
      <c r="RUU164" s="3"/>
      <c r="RUV164" s="3"/>
      <c r="RUW164" s="3"/>
      <c r="RUX164" s="3"/>
      <c r="RUY164" s="3"/>
      <c r="RUZ164" s="3"/>
      <c r="RVA164" s="3"/>
      <c r="RVB164" s="3"/>
      <c r="RVC164" s="3"/>
      <c r="RVD164" s="3"/>
      <c r="RVE164" s="3"/>
      <c r="RVF164" s="3"/>
      <c r="RVG164" s="3"/>
      <c r="RVH164" s="3"/>
      <c r="RVI164" s="3"/>
      <c r="RVJ164" s="3"/>
      <c r="RVK164" s="3"/>
      <c r="RVL164" s="3"/>
      <c r="RVM164" s="3"/>
      <c r="RVN164" s="3"/>
      <c r="RVO164" s="3"/>
      <c r="RVP164" s="3"/>
      <c r="RVQ164" s="3"/>
      <c r="RVR164" s="3"/>
      <c r="RVS164" s="3"/>
      <c r="RVT164" s="3"/>
      <c r="RVU164" s="3"/>
      <c r="RVV164" s="3"/>
      <c r="RVW164" s="3"/>
      <c r="RVX164" s="3"/>
      <c r="RVY164" s="3"/>
      <c r="RVZ164" s="3"/>
      <c r="RWA164" s="3"/>
      <c r="RWB164" s="3"/>
      <c r="RWC164" s="3"/>
      <c r="RWD164" s="3"/>
      <c r="RWE164" s="3"/>
      <c r="RWF164" s="3"/>
      <c r="RWG164" s="3"/>
      <c r="RWH164" s="3"/>
      <c r="RWI164" s="3"/>
      <c r="RWJ164" s="3"/>
      <c r="RWK164" s="3"/>
      <c r="RWL164" s="3"/>
      <c r="RWM164" s="3"/>
      <c r="RWN164" s="3"/>
      <c r="RWO164" s="3"/>
      <c r="RWP164" s="3"/>
      <c r="RWQ164" s="3"/>
      <c r="RWR164" s="3"/>
      <c r="RWS164" s="3"/>
      <c r="RWT164" s="3"/>
      <c r="RWU164" s="3"/>
      <c r="RWV164" s="3"/>
      <c r="RWW164" s="3"/>
      <c r="RWX164" s="3"/>
      <c r="RWY164" s="3"/>
      <c r="RWZ164" s="3"/>
      <c r="RXA164" s="3"/>
      <c r="RXB164" s="3"/>
      <c r="RXC164" s="3"/>
      <c r="RXD164" s="3"/>
      <c r="RXE164" s="3"/>
      <c r="RXF164" s="3"/>
      <c r="RXG164" s="3"/>
      <c r="RXH164" s="3"/>
      <c r="RXI164" s="3"/>
      <c r="RXJ164" s="3"/>
      <c r="RXK164" s="3"/>
      <c r="RXL164" s="3"/>
      <c r="RXM164" s="3"/>
      <c r="RXN164" s="3"/>
      <c r="RXO164" s="3"/>
      <c r="RXP164" s="3"/>
      <c r="RXQ164" s="3"/>
      <c r="RXR164" s="3"/>
      <c r="RXS164" s="3"/>
      <c r="RXT164" s="3"/>
      <c r="RXU164" s="3"/>
      <c r="RXV164" s="3"/>
      <c r="RXW164" s="3"/>
      <c r="RXX164" s="3"/>
      <c r="RXY164" s="3"/>
      <c r="RXZ164" s="3"/>
      <c r="RYA164" s="3"/>
      <c r="RYB164" s="3"/>
      <c r="RYC164" s="3"/>
      <c r="RYD164" s="3"/>
      <c r="RYE164" s="3"/>
      <c r="RYF164" s="3"/>
      <c r="RYG164" s="3"/>
      <c r="RYH164" s="3"/>
      <c r="RYI164" s="3"/>
      <c r="RYJ164" s="3"/>
      <c r="RYK164" s="3"/>
      <c r="RYL164" s="3"/>
      <c r="RYM164" s="3"/>
      <c r="RYN164" s="3"/>
      <c r="RYO164" s="3"/>
      <c r="RYP164" s="3"/>
      <c r="RYQ164" s="3"/>
      <c r="RYR164" s="3"/>
      <c r="RYS164" s="3"/>
      <c r="RYT164" s="3"/>
      <c r="RYU164" s="3"/>
      <c r="RYV164" s="3"/>
      <c r="RYW164" s="3"/>
      <c r="RYX164" s="3"/>
      <c r="RYY164" s="3"/>
      <c r="RYZ164" s="3"/>
      <c r="RZA164" s="3"/>
      <c r="RZB164" s="3"/>
      <c r="RZC164" s="3"/>
      <c r="RZD164" s="3"/>
      <c r="RZE164" s="3"/>
      <c r="RZF164" s="3"/>
      <c r="RZG164" s="3"/>
      <c r="RZH164" s="3"/>
      <c r="RZI164" s="3"/>
      <c r="RZJ164" s="3"/>
      <c r="RZK164" s="3"/>
      <c r="RZL164" s="3"/>
      <c r="RZM164" s="3"/>
      <c r="RZN164" s="3"/>
      <c r="RZO164" s="3"/>
      <c r="RZP164" s="3"/>
      <c r="RZQ164" s="3"/>
      <c r="RZR164" s="3"/>
      <c r="RZS164" s="3"/>
      <c r="RZT164" s="3"/>
      <c r="RZU164" s="3"/>
      <c r="RZV164" s="3"/>
      <c r="RZW164" s="3"/>
      <c r="RZX164" s="3"/>
      <c r="RZY164" s="3"/>
      <c r="RZZ164" s="3"/>
      <c r="SAA164" s="3"/>
      <c r="SAB164" s="3"/>
      <c r="SAC164" s="3"/>
      <c r="SAD164" s="3"/>
      <c r="SAE164" s="3"/>
      <c r="SAF164" s="3"/>
      <c r="SAG164" s="3"/>
      <c r="SAH164" s="3"/>
      <c r="SAI164" s="3"/>
      <c r="SAJ164" s="3"/>
      <c r="SAK164" s="3"/>
      <c r="SAL164" s="3"/>
      <c r="SAM164" s="3"/>
      <c r="SAN164" s="3"/>
      <c r="SAO164" s="3"/>
      <c r="SAP164" s="3"/>
      <c r="SAQ164" s="3"/>
      <c r="SAR164" s="3"/>
      <c r="SAS164" s="3"/>
      <c r="SAT164" s="3"/>
      <c r="SAU164" s="3"/>
      <c r="SAV164" s="3"/>
      <c r="SAW164" s="3"/>
      <c r="SAX164" s="3"/>
      <c r="SAY164" s="3"/>
      <c r="SAZ164" s="3"/>
      <c r="SBA164" s="3"/>
      <c r="SBB164" s="3"/>
      <c r="SBC164" s="3"/>
      <c r="SBD164" s="3"/>
      <c r="SBE164" s="3"/>
      <c r="SBF164" s="3"/>
      <c r="SBG164" s="3"/>
      <c r="SBH164" s="3"/>
      <c r="SBI164" s="3"/>
      <c r="SBJ164" s="3"/>
      <c r="SBK164" s="3"/>
      <c r="SBL164" s="3"/>
      <c r="SBM164" s="3"/>
      <c r="SBN164" s="3"/>
      <c r="SBO164" s="3"/>
      <c r="SBP164" s="3"/>
      <c r="SBQ164" s="3"/>
      <c r="SBR164" s="3"/>
      <c r="SBS164" s="3"/>
      <c r="SBT164" s="3"/>
      <c r="SBU164" s="3"/>
      <c r="SBV164" s="3"/>
      <c r="SBW164" s="3"/>
      <c r="SBX164" s="3"/>
      <c r="SBY164" s="3"/>
      <c r="SBZ164" s="3"/>
      <c r="SCA164" s="3"/>
      <c r="SCB164" s="3"/>
      <c r="SCC164" s="3"/>
      <c r="SCD164" s="3"/>
      <c r="SCE164" s="3"/>
      <c r="SCF164" s="3"/>
      <c r="SCG164" s="3"/>
      <c r="SCH164" s="3"/>
      <c r="SCI164" s="3"/>
      <c r="SCJ164" s="3"/>
      <c r="SCK164" s="3"/>
      <c r="SCL164" s="3"/>
      <c r="SCM164" s="3"/>
      <c r="SCN164" s="3"/>
      <c r="SCO164" s="3"/>
      <c r="SCP164" s="3"/>
      <c r="SCQ164" s="3"/>
      <c r="SCR164" s="3"/>
      <c r="SCS164" s="3"/>
      <c r="SCT164" s="3"/>
      <c r="SCU164" s="3"/>
      <c r="SCV164" s="3"/>
      <c r="SCW164" s="3"/>
      <c r="SCX164" s="3"/>
      <c r="SCY164" s="3"/>
      <c r="SCZ164" s="3"/>
      <c r="SDA164" s="3"/>
      <c r="SDB164" s="3"/>
      <c r="SDC164" s="3"/>
      <c r="SDD164" s="3"/>
      <c r="SDE164" s="3"/>
      <c r="SDF164" s="3"/>
      <c r="SDG164" s="3"/>
      <c r="SDH164" s="3"/>
      <c r="SDI164" s="3"/>
      <c r="SDJ164" s="3"/>
      <c r="SDK164" s="3"/>
      <c r="SDL164" s="3"/>
      <c r="SDM164" s="3"/>
      <c r="SDN164" s="3"/>
      <c r="SDO164" s="3"/>
      <c r="SDP164" s="3"/>
      <c r="SDQ164" s="3"/>
      <c r="SDR164" s="3"/>
      <c r="SDS164" s="3"/>
      <c r="SDT164" s="3"/>
      <c r="SDU164" s="3"/>
      <c r="SDV164" s="3"/>
      <c r="SDW164" s="3"/>
      <c r="SDX164" s="3"/>
      <c r="SDY164" s="3"/>
      <c r="SDZ164" s="3"/>
      <c r="SEA164" s="3"/>
      <c r="SEB164" s="3"/>
      <c r="SEC164" s="3"/>
      <c r="SED164" s="3"/>
      <c r="SEE164" s="3"/>
      <c r="SEF164" s="3"/>
      <c r="SEG164" s="3"/>
      <c r="SEH164" s="3"/>
      <c r="SEI164" s="3"/>
      <c r="SEJ164" s="3"/>
      <c r="SEK164" s="3"/>
      <c r="SEL164" s="3"/>
      <c r="SEM164" s="3"/>
      <c r="SEN164" s="3"/>
      <c r="SEO164" s="3"/>
      <c r="SEP164" s="3"/>
      <c r="SEQ164" s="3"/>
      <c r="SER164" s="3"/>
      <c r="SES164" s="3"/>
      <c r="SET164" s="3"/>
      <c r="SEU164" s="3"/>
      <c r="SEV164" s="3"/>
      <c r="SEW164" s="3"/>
      <c r="SEX164" s="3"/>
      <c r="SEY164" s="3"/>
      <c r="SEZ164" s="3"/>
      <c r="SFA164" s="3"/>
      <c r="SFB164" s="3"/>
      <c r="SFC164" s="3"/>
      <c r="SFD164" s="3"/>
      <c r="SFE164" s="3"/>
      <c r="SFF164" s="3"/>
      <c r="SFG164" s="3"/>
      <c r="SFH164" s="3"/>
      <c r="SFI164" s="3"/>
      <c r="SFJ164" s="3"/>
      <c r="SFK164" s="3"/>
      <c r="SFL164" s="3"/>
      <c r="SFM164" s="3"/>
      <c r="SFN164" s="3"/>
      <c r="SFO164" s="3"/>
      <c r="SFP164" s="3"/>
      <c r="SFQ164" s="3"/>
      <c r="SFR164" s="3"/>
      <c r="SFS164" s="3"/>
      <c r="SFT164" s="3"/>
      <c r="SFU164" s="3"/>
      <c r="SFV164" s="3"/>
      <c r="SFW164" s="3"/>
      <c r="SFX164" s="3"/>
      <c r="SFY164" s="3"/>
      <c r="SFZ164" s="3"/>
      <c r="SGA164" s="3"/>
      <c r="SGB164" s="3"/>
      <c r="SGC164" s="3"/>
      <c r="SGD164" s="3"/>
      <c r="SGE164" s="3"/>
      <c r="SGF164" s="3"/>
      <c r="SGG164" s="3"/>
      <c r="SGH164" s="3"/>
      <c r="SGI164" s="3"/>
      <c r="SGJ164" s="3"/>
      <c r="SGK164" s="3"/>
      <c r="SGL164" s="3"/>
      <c r="SGM164" s="3"/>
      <c r="SGN164" s="3"/>
      <c r="SGO164" s="3"/>
      <c r="SGP164" s="3"/>
      <c r="SGQ164" s="3"/>
      <c r="SGR164" s="3"/>
      <c r="SGS164" s="3"/>
      <c r="SGT164" s="3"/>
      <c r="SGU164" s="3"/>
      <c r="SGV164" s="3"/>
      <c r="SGW164" s="3"/>
      <c r="SGX164" s="3"/>
      <c r="SGY164" s="3"/>
      <c r="SGZ164" s="3"/>
      <c r="SHA164" s="3"/>
      <c r="SHB164" s="3"/>
      <c r="SHC164" s="3"/>
      <c r="SHD164" s="3"/>
      <c r="SHE164" s="3"/>
      <c r="SHF164" s="3"/>
      <c r="SHG164" s="3"/>
      <c r="SHH164" s="3"/>
      <c r="SHI164" s="3"/>
      <c r="SHJ164" s="3"/>
      <c r="SHK164" s="3"/>
      <c r="SHL164" s="3"/>
      <c r="SHM164" s="3"/>
      <c r="SHN164" s="3"/>
      <c r="SHO164" s="3"/>
      <c r="SHP164" s="3"/>
      <c r="SHQ164" s="3"/>
      <c r="SHR164" s="3"/>
      <c r="SHS164" s="3"/>
      <c r="SHT164" s="3"/>
      <c r="SHU164" s="3"/>
      <c r="SHV164" s="3"/>
      <c r="SHW164" s="3"/>
      <c r="SHX164" s="3"/>
      <c r="SHY164" s="3"/>
      <c r="SHZ164" s="3"/>
      <c r="SIA164" s="3"/>
      <c r="SIB164" s="3"/>
      <c r="SIC164" s="3"/>
      <c r="SID164" s="3"/>
      <c r="SIE164" s="3"/>
      <c r="SIF164" s="3"/>
      <c r="SIG164" s="3"/>
      <c r="SIH164" s="3"/>
      <c r="SII164" s="3"/>
      <c r="SIJ164" s="3"/>
      <c r="SIK164" s="3"/>
      <c r="SIL164" s="3"/>
      <c r="SIM164" s="3"/>
      <c r="SIN164" s="3"/>
      <c r="SIO164" s="3"/>
      <c r="SIP164" s="3"/>
      <c r="SIQ164" s="3"/>
      <c r="SIR164" s="3"/>
      <c r="SIS164" s="3"/>
      <c r="SIT164" s="3"/>
      <c r="SIU164" s="3"/>
      <c r="SIV164" s="3"/>
      <c r="SIW164" s="3"/>
      <c r="SIX164" s="3"/>
      <c r="SIY164" s="3"/>
      <c r="SIZ164" s="3"/>
      <c r="SJA164" s="3"/>
      <c r="SJB164" s="3"/>
      <c r="SJC164" s="3"/>
      <c r="SJD164" s="3"/>
      <c r="SJE164" s="3"/>
      <c r="SJF164" s="3"/>
      <c r="SJG164" s="3"/>
      <c r="SJH164" s="3"/>
      <c r="SJI164" s="3"/>
      <c r="SJJ164" s="3"/>
      <c r="SJK164" s="3"/>
      <c r="SJL164" s="3"/>
      <c r="SJM164" s="3"/>
      <c r="SJN164" s="3"/>
      <c r="SJO164" s="3"/>
      <c r="SJP164" s="3"/>
      <c r="SJQ164" s="3"/>
      <c r="SJR164" s="3"/>
      <c r="SJS164" s="3"/>
      <c r="SJT164" s="3"/>
      <c r="SJU164" s="3"/>
      <c r="SJV164" s="3"/>
      <c r="SJW164" s="3"/>
      <c r="SJX164" s="3"/>
      <c r="SJY164" s="3"/>
      <c r="SJZ164" s="3"/>
      <c r="SKA164" s="3"/>
      <c r="SKB164" s="3"/>
      <c r="SKC164" s="3"/>
      <c r="SKD164" s="3"/>
      <c r="SKE164" s="3"/>
      <c r="SKF164" s="3"/>
      <c r="SKG164" s="3"/>
      <c r="SKH164" s="3"/>
      <c r="SKI164" s="3"/>
      <c r="SKJ164" s="3"/>
      <c r="SKK164" s="3"/>
      <c r="SKL164" s="3"/>
      <c r="SKM164" s="3"/>
      <c r="SKN164" s="3"/>
      <c r="SKO164" s="3"/>
      <c r="SKP164" s="3"/>
      <c r="SKQ164" s="3"/>
      <c r="SKR164" s="3"/>
      <c r="SKS164" s="3"/>
      <c r="SKT164" s="3"/>
      <c r="SKU164" s="3"/>
      <c r="SKV164" s="3"/>
      <c r="SKW164" s="3"/>
      <c r="SKX164" s="3"/>
      <c r="SKY164" s="3"/>
      <c r="SKZ164" s="3"/>
      <c r="SLA164" s="3"/>
      <c r="SLB164" s="3"/>
      <c r="SLC164" s="3"/>
      <c r="SLD164" s="3"/>
      <c r="SLE164" s="3"/>
      <c r="SLF164" s="3"/>
      <c r="SLG164" s="3"/>
      <c r="SLH164" s="3"/>
      <c r="SLI164" s="3"/>
      <c r="SLJ164" s="3"/>
      <c r="SLK164" s="3"/>
      <c r="SLL164" s="3"/>
      <c r="SLM164" s="3"/>
      <c r="SLN164" s="3"/>
      <c r="SLO164" s="3"/>
      <c r="SLP164" s="3"/>
      <c r="SLQ164" s="3"/>
      <c r="SLR164" s="3"/>
      <c r="SLS164" s="3"/>
      <c r="SLT164" s="3"/>
      <c r="SLU164" s="3"/>
      <c r="SLV164" s="3"/>
      <c r="SLW164" s="3"/>
      <c r="SLX164" s="3"/>
      <c r="SLY164" s="3"/>
      <c r="SLZ164" s="3"/>
      <c r="SMA164" s="3"/>
      <c r="SMB164" s="3"/>
      <c r="SMC164" s="3"/>
      <c r="SMD164" s="3"/>
      <c r="SME164" s="3"/>
      <c r="SMF164" s="3"/>
      <c r="SMG164" s="3"/>
      <c r="SMH164" s="3"/>
      <c r="SMI164" s="3"/>
      <c r="SMJ164" s="3"/>
      <c r="SMK164" s="3"/>
      <c r="SML164" s="3"/>
      <c r="SMM164" s="3"/>
      <c r="SMN164" s="3"/>
      <c r="SMO164" s="3"/>
      <c r="SMP164" s="3"/>
      <c r="SMQ164" s="3"/>
      <c r="SMR164" s="3"/>
      <c r="SMS164" s="3"/>
      <c r="SMT164" s="3"/>
      <c r="SMU164" s="3"/>
      <c r="SMV164" s="3"/>
      <c r="SMW164" s="3"/>
      <c r="SMX164" s="3"/>
      <c r="SMY164" s="3"/>
      <c r="SMZ164" s="3"/>
      <c r="SNA164" s="3"/>
      <c r="SNB164" s="3"/>
      <c r="SNC164" s="3"/>
      <c r="SND164" s="3"/>
      <c r="SNE164" s="3"/>
      <c r="SNF164" s="3"/>
      <c r="SNG164" s="3"/>
      <c r="SNH164" s="3"/>
      <c r="SNI164" s="3"/>
      <c r="SNJ164" s="3"/>
      <c r="SNK164" s="3"/>
      <c r="SNL164" s="3"/>
      <c r="SNM164" s="3"/>
      <c r="SNN164" s="3"/>
      <c r="SNO164" s="3"/>
      <c r="SNP164" s="3"/>
      <c r="SNQ164" s="3"/>
      <c r="SNR164" s="3"/>
      <c r="SNS164" s="3"/>
      <c r="SNT164" s="3"/>
      <c r="SNU164" s="3"/>
      <c r="SNV164" s="3"/>
      <c r="SNW164" s="3"/>
      <c r="SNX164" s="3"/>
      <c r="SNY164" s="3"/>
      <c r="SNZ164" s="3"/>
      <c r="SOA164" s="3"/>
      <c r="SOB164" s="3"/>
      <c r="SOC164" s="3"/>
      <c r="SOD164" s="3"/>
      <c r="SOE164" s="3"/>
      <c r="SOF164" s="3"/>
      <c r="SOG164" s="3"/>
      <c r="SOH164" s="3"/>
      <c r="SOI164" s="3"/>
      <c r="SOJ164" s="3"/>
      <c r="SOK164" s="3"/>
      <c r="SOL164" s="3"/>
      <c r="SOM164" s="3"/>
      <c r="SON164" s="3"/>
      <c r="SOO164" s="3"/>
      <c r="SOP164" s="3"/>
      <c r="SOQ164" s="3"/>
      <c r="SOR164" s="3"/>
      <c r="SOS164" s="3"/>
      <c r="SOT164" s="3"/>
      <c r="SOU164" s="3"/>
      <c r="SOV164" s="3"/>
      <c r="SOW164" s="3"/>
      <c r="SOX164" s="3"/>
      <c r="SOY164" s="3"/>
      <c r="SOZ164" s="3"/>
      <c r="SPA164" s="3"/>
      <c r="SPB164" s="3"/>
      <c r="SPC164" s="3"/>
      <c r="SPD164" s="3"/>
      <c r="SPE164" s="3"/>
      <c r="SPF164" s="3"/>
      <c r="SPG164" s="3"/>
      <c r="SPH164" s="3"/>
      <c r="SPI164" s="3"/>
      <c r="SPJ164" s="3"/>
      <c r="SPK164" s="3"/>
      <c r="SPL164" s="3"/>
      <c r="SPM164" s="3"/>
      <c r="SPN164" s="3"/>
      <c r="SPO164" s="3"/>
      <c r="SPP164" s="3"/>
      <c r="SPQ164" s="3"/>
      <c r="SPR164" s="3"/>
      <c r="SPS164" s="3"/>
      <c r="SPT164" s="3"/>
      <c r="SPU164" s="3"/>
      <c r="SPV164" s="3"/>
      <c r="SPW164" s="3"/>
      <c r="SPX164" s="3"/>
      <c r="SPY164" s="3"/>
      <c r="SPZ164" s="3"/>
      <c r="SQA164" s="3"/>
      <c r="SQB164" s="3"/>
      <c r="SQC164" s="3"/>
      <c r="SQD164" s="3"/>
      <c r="SQE164" s="3"/>
      <c r="SQF164" s="3"/>
      <c r="SQG164" s="3"/>
      <c r="SQH164" s="3"/>
      <c r="SQI164" s="3"/>
      <c r="SQJ164" s="3"/>
      <c r="SQK164" s="3"/>
      <c r="SQL164" s="3"/>
      <c r="SQM164" s="3"/>
      <c r="SQN164" s="3"/>
      <c r="SQO164" s="3"/>
      <c r="SQP164" s="3"/>
      <c r="SQQ164" s="3"/>
      <c r="SQR164" s="3"/>
      <c r="SQS164" s="3"/>
      <c r="SQT164" s="3"/>
      <c r="SQU164" s="3"/>
      <c r="SQV164" s="3"/>
      <c r="SQW164" s="3"/>
      <c r="SQX164" s="3"/>
      <c r="SQY164" s="3"/>
      <c r="SQZ164" s="3"/>
      <c r="SRA164" s="3"/>
      <c r="SRB164" s="3"/>
      <c r="SRC164" s="3"/>
      <c r="SRD164" s="3"/>
      <c r="SRE164" s="3"/>
      <c r="SRF164" s="3"/>
      <c r="SRG164" s="3"/>
      <c r="SRH164" s="3"/>
      <c r="SRI164" s="3"/>
      <c r="SRJ164" s="3"/>
      <c r="SRK164" s="3"/>
      <c r="SRL164" s="3"/>
      <c r="SRM164" s="3"/>
      <c r="SRN164" s="3"/>
      <c r="SRO164" s="3"/>
      <c r="SRP164" s="3"/>
      <c r="SRQ164" s="3"/>
      <c r="SRR164" s="3"/>
      <c r="SRS164" s="3"/>
      <c r="SRT164" s="3"/>
      <c r="SRU164" s="3"/>
      <c r="SRV164" s="3"/>
      <c r="SRW164" s="3"/>
      <c r="SRX164" s="3"/>
      <c r="SRY164" s="3"/>
      <c r="SRZ164" s="3"/>
      <c r="SSA164" s="3"/>
      <c r="SSB164" s="3"/>
      <c r="SSC164" s="3"/>
      <c r="SSD164" s="3"/>
      <c r="SSE164" s="3"/>
      <c r="SSF164" s="3"/>
      <c r="SSG164" s="3"/>
      <c r="SSH164" s="3"/>
      <c r="SSI164" s="3"/>
      <c r="SSJ164" s="3"/>
      <c r="SSK164" s="3"/>
      <c r="SSL164" s="3"/>
      <c r="SSM164" s="3"/>
      <c r="SSN164" s="3"/>
      <c r="SSO164" s="3"/>
      <c r="SSP164" s="3"/>
      <c r="SSQ164" s="3"/>
      <c r="SSR164" s="3"/>
      <c r="SSS164" s="3"/>
      <c r="SST164" s="3"/>
      <c r="SSU164" s="3"/>
      <c r="SSV164" s="3"/>
      <c r="SSW164" s="3"/>
      <c r="SSX164" s="3"/>
      <c r="SSY164" s="3"/>
      <c r="SSZ164" s="3"/>
      <c r="STA164" s="3"/>
      <c r="STB164" s="3"/>
      <c r="STC164" s="3"/>
      <c r="STD164" s="3"/>
      <c r="STE164" s="3"/>
      <c r="STF164" s="3"/>
      <c r="STG164" s="3"/>
      <c r="STH164" s="3"/>
      <c r="STI164" s="3"/>
      <c r="STJ164" s="3"/>
      <c r="STK164" s="3"/>
      <c r="STL164" s="3"/>
      <c r="STM164" s="3"/>
      <c r="STN164" s="3"/>
      <c r="STO164" s="3"/>
      <c r="STP164" s="3"/>
      <c r="STQ164" s="3"/>
      <c r="STR164" s="3"/>
      <c r="STS164" s="3"/>
      <c r="STT164" s="3"/>
      <c r="STU164" s="3"/>
      <c r="STV164" s="3"/>
      <c r="STW164" s="3"/>
      <c r="STX164" s="3"/>
      <c r="STY164" s="3"/>
      <c r="STZ164" s="3"/>
      <c r="SUA164" s="3"/>
      <c r="SUB164" s="3"/>
      <c r="SUC164" s="3"/>
      <c r="SUD164" s="3"/>
      <c r="SUE164" s="3"/>
      <c r="SUF164" s="3"/>
      <c r="SUG164" s="3"/>
      <c r="SUH164" s="3"/>
      <c r="SUI164" s="3"/>
      <c r="SUJ164" s="3"/>
      <c r="SUK164" s="3"/>
      <c r="SUL164" s="3"/>
      <c r="SUM164" s="3"/>
      <c r="SUN164" s="3"/>
      <c r="SUO164" s="3"/>
      <c r="SUP164" s="3"/>
      <c r="SUQ164" s="3"/>
      <c r="SUR164" s="3"/>
      <c r="SUS164" s="3"/>
      <c r="SUT164" s="3"/>
      <c r="SUU164" s="3"/>
      <c r="SUV164" s="3"/>
      <c r="SUW164" s="3"/>
      <c r="SUX164" s="3"/>
      <c r="SUY164" s="3"/>
      <c r="SUZ164" s="3"/>
      <c r="SVA164" s="3"/>
      <c r="SVB164" s="3"/>
      <c r="SVC164" s="3"/>
      <c r="SVD164" s="3"/>
      <c r="SVE164" s="3"/>
      <c r="SVF164" s="3"/>
      <c r="SVG164" s="3"/>
      <c r="SVH164" s="3"/>
      <c r="SVI164" s="3"/>
      <c r="SVJ164" s="3"/>
      <c r="SVK164" s="3"/>
      <c r="SVL164" s="3"/>
      <c r="SVM164" s="3"/>
      <c r="SVN164" s="3"/>
      <c r="SVO164" s="3"/>
      <c r="SVP164" s="3"/>
      <c r="SVQ164" s="3"/>
      <c r="SVR164" s="3"/>
      <c r="SVS164" s="3"/>
      <c r="SVT164" s="3"/>
      <c r="SVU164" s="3"/>
      <c r="SVV164" s="3"/>
      <c r="SVW164" s="3"/>
      <c r="SVX164" s="3"/>
      <c r="SVY164" s="3"/>
      <c r="SVZ164" s="3"/>
      <c r="SWA164" s="3"/>
      <c r="SWB164" s="3"/>
      <c r="SWC164" s="3"/>
      <c r="SWD164" s="3"/>
      <c r="SWE164" s="3"/>
      <c r="SWF164" s="3"/>
      <c r="SWG164" s="3"/>
      <c r="SWH164" s="3"/>
      <c r="SWI164" s="3"/>
      <c r="SWJ164" s="3"/>
      <c r="SWK164" s="3"/>
      <c r="SWL164" s="3"/>
      <c r="SWM164" s="3"/>
      <c r="SWN164" s="3"/>
      <c r="SWO164" s="3"/>
      <c r="SWP164" s="3"/>
      <c r="SWQ164" s="3"/>
      <c r="SWR164" s="3"/>
      <c r="SWS164" s="3"/>
      <c r="SWT164" s="3"/>
      <c r="SWU164" s="3"/>
      <c r="SWV164" s="3"/>
      <c r="SWW164" s="3"/>
      <c r="SWX164" s="3"/>
      <c r="SWY164" s="3"/>
      <c r="SWZ164" s="3"/>
      <c r="SXA164" s="3"/>
      <c r="SXB164" s="3"/>
      <c r="SXC164" s="3"/>
      <c r="SXD164" s="3"/>
      <c r="SXE164" s="3"/>
      <c r="SXF164" s="3"/>
      <c r="SXG164" s="3"/>
      <c r="SXH164" s="3"/>
      <c r="SXI164" s="3"/>
      <c r="SXJ164" s="3"/>
      <c r="SXK164" s="3"/>
      <c r="SXL164" s="3"/>
      <c r="SXM164" s="3"/>
      <c r="SXN164" s="3"/>
      <c r="SXO164" s="3"/>
      <c r="SXP164" s="3"/>
      <c r="SXQ164" s="3"/>
      <c r="SXR164" s="3"/>
      <c r="SXS164" s="3"/>
      <c r="SXT164" s="3"/>
      <c r="SXU164" s="3"/>
      <c r="SXV164" s="3"/>
      <c r="SXW164" s="3"/>
      <c r="SXX164" s="3"/>
      <c r="SXY164" s="3"/>
      <c r="SXZ164" s="3"/>
      <c r="SYA164" s="3"/>
      <c r="SYB164" s="3"/>
      <c r="SYC164" s="3"/>
      <c r="SYD164" s="3"/>
      <c r="SYE164" s="3"/>
      <c r="SYF164" s="3"/>
      <c r="SYG164" s="3"/>
      <c r="SYH164" s="3"/>
      <c r="SYI164" s="3"/>
      <c r="SYJ164" s="3"/>
      <c r="SYK164" s="3"/>
      <c r="SYL164" s="3"/>
      <c r="SYM164" s="3"/>
      <c r="SYN164" s="3"/>
      <c r="SYO164" s="3"/>
      <c r="SYP164" s="3"/>
      <c r="SYQ164" s="3"/>
      <c r="SYR164" s="3"/>
      <c r="SYS164" s="3"/>
      <c r="SYT164" s="3"/>
      <c r="SYU164" s="3"/>
      <c r="SYV164" s="3"/>
      <c r="SYW164" s="3"/>
      <c r="SYX164" s="3"/>
      <c r="SYY164" s="3"/>
      <c r="SYZ164" s="3"/>
      <c r="SZA164" s="3"/>
      <c r="SZB164" s="3"/>
      <c r="SZC164" s="3"/>
      <c r="SZD164" s="3"/>
      <c r="SZE164" s="3"/>
      <c r="SZF164" s="3"/>
      <c r="SZG164" s="3"/>
      <c r="SZH164" s="3"/>
      <c r="SZI164" s="3"/>
      <c r="SZJ164" s="3"/>
      <c r="SZK164" s="3"/>
      <c r="SZL164" s="3"/>
      <c r="SZM164" s="3"/>
      <c r="SZN164" s="3"/>
      <c r="SZO164" s="3"/>
      <c r="SZP164" s="3"/>
      <c r="SZQ164" s="3"/>
      <c r="SZR164" s="3"/>
      <c r="SZS164" s="3"/>
      <c r="SZT164" s="3"/>
      <c r="SZU164" s="3"/>
      <c r="SZV164" s="3"/>
      <c r="SZW164" s="3"/>
      <c r="SZX164" s="3"/>
      <c r="SZY164" s="3"/>
      <c r="SZZ164" s="3"/>
      <c r="TAA164" s="3"/>
      <c r="TAB164" s="3"/>
      <c r="TAC164" s="3"/>
      <c r="TAD164" s="3"/>
      <c r="TAE164" s="3"/>
      <c r="TAF164" s="3"/>
      <c r="TAG164" s="3"/>
      <c r="TAH164" s="3"/>
      <c r="TAI164" s="3"/>
      <c r="TAJ164" s="3"/>
      <c r="TAK164" s="3"/>
      <c r="TAL164" s="3"/>
      <c r="TAM164" s="3"/>
      <c r="TAN164" s="3"/>
      <c r="TAO164" s="3"/>
      <c r="TAP164" s="3"/>
      <c r="TAQ164" s="3"/>
      <c r="TAR164" s="3"/>
      <c r="TAS164" s="3"/>
      <c r="TAT164" s="3"/>
      <c r="TAU164" s="3"/>
      <c r="TAV164" s="3"/>
      <c r="TAW164" s="3"/>
      <c r="TAX164" s="3"/>
      <c r="TAY164" s="3"/>
      <c r="TAZ164" s="3"/>
      <c r="TBA164" s="3"/>
      <c r="TBB164" s="3"/>
      <c r="TBC164" s="3"/>
      <c r="TBD164" s="3"/>
      <c r="TBE164" s="3"/>
      <c r="TBF164" s="3"/>
      <c r="TBG164" s="3"/>
      <c r="TBH164" s="3"/>
      <c r="TBI164" s="3"/>
      <c r="TBJ164" s="3"/>
      <c r="TBK164" s="3"/>
      <c r="TBL164" s="3"/>
      <c r="TBM164" s="3"/>
      <c r="TBN164" s="3"/>
      <c r="TBO164" s="3"/>
      <c r="TBP164" s="3"/>
      <c r="TBQ164" s="3"/>
      <c r="TBR164" s="3"/>
      <c r="TBS164" s="3"/>
      <c r="TBT164" s="3"/>
      <c r="TBU164" s="3"/>
      <c r="TBV164" s="3"/>
      <c r="TBW164" s="3"/>
      <c r="TBX164" s="3"/>
      <c r="TBY164" s="3"/>
      <c r="TBZ164" s="3"/>
      <c r="TCA164" s="3"/>
      <c r="TCB164" s="3"/>
      <c r="TCC164" s="3"/>
      <c r="TCD164" s="3"/>
      <c r="TCE164" s="3"/>
      <c r="TCF164" s="3"/>
      <c r="TCG164" s="3"/>
      <c r="TCH164" s="3"/>
      <c r="TCI164" s="3"/>
      <c r="TCJ164" s="3"/>
      <c r="TCK164" s="3"/>
      <c r="TCL164" s="3"/>
      <c r="TCM164" s="3"/>
      <c r="TCN164" s="3"/>
      <c r="TCO164" s="3"/>
      <c r="TCP164" s="3"/>
      <c r="TCQ164" s="3"/>
      <c r="TCR164" s="3"/>
      <c r="TCS164" s="3"/>
      <c r="TCT164" s="3"/>
      <c r="TCU164" s="3"/>
      <c r="TCV164" s="3"/>
      <c r="TCW164" s="3"/>
      <c r="TCX164" s="3"/>
      <c r="TCY164" s="3"/>
      <c r="TCZ164" s="3"/>
      <c r="TDA164" s="3"/>
      <c r="TDB164" s="3"/>
      <c r="TDC164" s="3"/>
      <c r="TDD164" s="3"/>
      <c r="TDE164" s="3"/>
      <c r="TDF164" s="3"/>
      <c r="TDG164" s="3"/>
      <c r="TDH164" s="3"/>
      <c r="TDI164" s="3"/>
      <c r="TDJ164" s="3"/>
      <c r="TDK164" s="3"/>
      <c r="TDL164" s="3"/>
      <c r="TDM164" s="3"/>
      <c r="TDN164" s="3"/>
      <c r="TDO164" s="3"/>
      <c r="TDP164" s="3"/>
      <c r="TDQ164" s="3"/>
      <c r="TDR164" s="3"/>
      <c r="TDS164" s="3"/>
      <c r="TDT164" s="3"/>
      <c r="TDU164" s="3"/>
      <c r="TDV164" s="3"/>
      <c r="TDW164" s="3"/>
      <c r="TDX164" s="3"/>
      <c r="TDY164" s="3"/>
      <c r="TDZ164" s="3"/>
      <c r="TEA164" s="3"/>
      <c r="TEB164" s="3"/>
      <c r="TEC164" s="3"/>
      <c r="TED164" s="3"/>
      <c r="TEE164" s="3"/>
      <c r="TEF164" s="3"/>
      <c r="TEG164" s="3"/>
      <c r="TEH164" s="3"/>
      <c r="TEI164" s="3"/>
      <c r="TEJ164" s="3"/>
      <c r="TEK164" s="3"/>
      <c r="TEL164" s="3"/>
      <c r="TEM164" s="3"/>
      <c r="TEN164" s="3"/>
      <c r="TEO164" s="3"/>
      <c r="TEP164" s="3"/>
      <c r="TEQ164" s="3"/>
      <c r="TER164" s="3"/>
      <c r="TES164" s="3"/>
      <c r="TET164" s="3"/>
      <c r="TEU164" s="3"/>
      <c r="TEV164" s="3"/>
      <c r="TEW164" s="3"/>
      <c r="TEX164" s="3"/>
      <c r="TEY164" s="3"/>
      <c r="TEZ164" s="3"/>
      <c r="TFA164" s="3"/>
      <c r="TFB164" s="3"/>
      <c r="TFC164" s="3"/>
      <c r="TFD164" s="3"/>
      <c r="TFE164" s="3"/>
      <c r="TFF164" s="3"/>
      <c r="TFG164" s="3"/>
      <c r="TFH164" s="3"/>
      <c r="TFI164" s="3"/>
      <c r="TFJ164" s="3"/>
      <c r="TFK164" s="3"/>
      <c r="TFL164" s="3"/>
      <c r="TFM164" s="3"/>
      <c r="TFN164" s="3"/>
      <c r="TFO164" s="3"/>
      <c r="TFP164" s="3"/>
      <c r="TFQ164" s="3"/>
      <c r="TFR164" s="3"/>
      <c r="TFS164" s="3"/>
      <c r="TFT164" s="3"/>
      <c r="TFU164" s="3"/>
      <c r="TFV164" s="3"/>
      <c r="TFW164" s="3"/>
      <c r="TFX164" s="3"/>
      <c r="TFY164" s="3"/>
      <c r="TFZ164" s="3"/>
      <c r="TGA164" s="3"/>
      <c r="TGB164" s="3"/>
      <c r="TGC164" s="3"/>
      <c r="TGD164" s="3"/>
      <c r="TGE164" s="3"/>
      <c r="TGF164" s="3"/>
      <c r="TGG164" s="3"/>
      <c r="TGH164" s="3"/>
      <c r="TGI164" s="3"/>
      <c r="TGJ164" s="3"/>
      <c r="TGK164" s="3"/>
      <c r="TGL164" s="3"/>
      <c r="TGM164" s="3"/>
      <c r="TGN164" s="3"/>
      <c r="TGO164" s="3"/>
      <c r="TGP164" s="3"/>
      <c r="TGQ164" s="3"/>
      <c r="TGR164" s="3"/>
      <c r="TGS164" s="3"/>
      <c r="TGT164" s="3"/>
      <c r="TGU164" s="3"/>
      <c r="TGV164" s="3"/>
      <c r="TGW164" s="3"/>
      <c r="TGX164" s="3"/>
      <c r="TGY164" s="3"/>
      <c r="TGZ164" s="3"/>
      <c r="THA164" s="3"/>
      <c r="THB164" s="3"/>
      <c r="THC164" s="3"/>
      <c r="THD164" s="3"/>
      <c r="THE164" s="3"/>
      <c r="THF164" s="3"/>
      <c r="THG164" s="3"/>
      <c r="THH164" s="3"/>
      <c r="THI164" s="3"/>
      <c r="THJ164" s="3"/>
      <c r="THK164" s="3"/>
      <c r="THL164" s="3"/>
      <c r="THM164" s="3"/>
      <c r="THN164" s="3"/>
      <c r="THO164" s="3"/>
      <c r="THP164" s="3"/>
      <c r="THQ164" s="3"/>
      <c r="THR164" s="3"/>
      <c r="THS164" s="3"/>
      <c r="THT164" s="3"/>
      <c r="THU164" s="3"/>
      <c r="THV164" s="3"/>
      <c r="THW164" s="3"/>
      <c r="THX164" s="3"/>
      <c r="THY164" s="3"/>
      <c r="THZ164" s="3"/>
      <c r="TIA164" s="3"/>
      <c r="TIB164" s="3"/>
      <c r="TIC164" s="3"/>
      <c r="TID164" s="3"/>
      <c r="TIE164" s="3"/>
      <c r="TIF164" s="3"/>
      <c r="TIG164" s="3"/>
      <c r="TIH164" s="3"/>
      <c r="TII164" s="3"/>
      <c r="TIJ164" s="3"/>
      <c r="TIK164" s="3"/>
      <c r="TIL164" s="3"/>
      <c r="TIM164" s="3"/>
      <c r="TIN164" s="3"/>
      <c r="TIO164" s="3"/>
      <c r="TIP164" s="3"/>
      <c r="TIQ164" s="3"/>
      <c r="TIR164" s="3"/>
      <c r="TIS164" s="3"/>
      <c r="TIT164" s="3"/>
      <c r="TIU164" s="3"/>
      <c r="TIV164" s="3"/>
      <c r="TIW164" s="3"/>
      <c r="TIX164" s="3"/>
      <c r="TIY164" s="3"/>
      <c r="TIZ164" s="3"/>
      <c r="TJA164" s="3"/>
      <c r="TJB164" s="3"/>
      <c r="TJC164" s="3"/>
      <c r="TJD164" s="3"/>
      <c r="TJE164" s="3"/>
      <c r="TJF164" s="3"/>
      <c r="TJG164" s="3"/>
      <c r="TJH164" s="3"/>
      <c r="TJI164" s="3"/>
      <c r="TJJ164" s="3"/>
      <c r="TJK164" s="3"/>
      <c r="TJL164" s="3"/>
      <c r="TJM164" s="3"/>
      <c r="TJN164" s="3"/>
      <c r="TJO164" s="3"/>
      <c r="TJP164" s="3"/>
      <c r="TJQ164" s="3"/>
      <c r="TJR164" s="3"/>
      <c r="TJS164" s="3"/>
      <c r="TJT164" s="3"/>
      <c r="TJU164" s="3"/>
      <c r="TJV164" s="3"/>
      <c r="TJW164" s="3"/>
      <c r="TJX164" s="3"/>
      <c r="TJY164" s="3"/>
      <c r="TJZ164" s="3"/>
      <c r="TKA164" s="3"/>
      <c r="TKB164" s="3"/>
      <c r="TKC164" s="3"/>
      <c r="TKD164" s="3"/>
      <c r="TKE164" s="3"/>
      <c r="TKF164" s="3"/>
      <c r="TKG164" s="3"/>
      <c r="TKH164" s="3"/>
      <c r="TKI164" s="3"/>
      <c r="TKJ164" s="3"/>
      <c r="TKK164" s="3"/>
      <c r="TKL164" s="3"/>
      <c r="TKM164" s="3"/>
      <c r="TKN164" s="3"/>
      <c r="TKO164" s="3"/>
      <c r="TKP164" s="3"/>
      <c r="TKQ164" s="3"/>
      <c r="TKR164" s="3"/>
      <c r="TKS164" s="3"/>
      <c r="TKT164" s="3"/>
      <c r="TKU164" s="3"/>
      <c r="TKV164" s="3"/>
      <c r="TKW164" s="3"/>
      <c r="TKX164" s="3"/>
      <c r="TKY164" s="3"/>
      <c r="TKZ164" s="3"/>
      <c r="TLA164" s="3"/>
      <c r="TLB164" s="3"/>
      <c r="TLC164" s="3"/>
      <c r="TLD164" s="3"/>
      <c r="TLE164" s="3"/>
      <c r="TLF164" s="3"/>
      <c r="TLG164" s="3"/>
      <c r="TLH164" s="3"/>
      <c r="TLI164" s="3"/>
      <c r="TLJ164" s="3"/>
      <c r="TLK164" s="3"/>
      <c r="TLL164" s="3"/>
      <c r="TLM164" s="3"/>
      <c r="TLN164" s="3"/>
      <c r="TLO164" s="3"/>
      <c r="TLP164" s="3"/>
      <c r="TLQ164" s="3"/>
      <c r="TLR164" s="3"/>
      <c r="TLS164" s="3"/>
      <c r="TLT164" s="3"/>
      <c r="TLU164" s="3"/>
      <c r="TLV164" s="3"/>
      <c r="TLW164" s="3"/>
      <c r="TLX164" s="3"/>
      <c r="TLY164" s="3"/>
      <c r="TLZ164" s="3"/>
      <c r="TMA164" s="3"/>
      <c r="TMB164" s="3"/>
      <c r="TMC164" s="3"/>
      <c r="TMD164" s="3"/>
      <c r="TME164" s="3"/>
      <c r="TMF164" s="3"/>
      <c r="TMG164" s="3"/>
      <c r="TMH164" s="3"/>
      <c r="TMI164" s="3"/>
      <c r="TMJ164" s="3"/>
      <c r="TMK164" s="3"/>
      <c r="TML164" s="3"/>
      <c r="TMM164" s="3"/>
      <c r="TMN164" s="3"/>
      <c r="TMO164" s="3"/>
      <c r="TMP164" s="3"/>
      <c r="TMQ164" s="3"/>
      <c r="TMR164" s="3"/>
      <c r="TMS164" s="3"/>
      <c r="TMT164" s="3"/>
      <c r="TMU164" s="3"/>
      <c r="TMV164" s="3"/>
      <c r="TMW164" s="3"/>
      <c r="TMX164" s="3"/>
      <c r="TMY164" s="3"/>
      <c r="TMZ164" s="3"/>
      <c r="TNA164" s="3"/>
      <c r="TNB164" s="3"/>
      <c r="TNC164" s="3"/>
      <c r="TND164" s="3"/>
      <c r="TNE164" s="3"/>
      <c r="TNF164" s="3"/>
      <c r="TNG164" s="3"/>
      <c r="TNH164" s="3"/>
      <c r="TNI164" s="3"/>
      <c r="TNJ164" s="3"/>
      <c r="TNK164" s="3"/>
      <c r="TNL164" s="3"/>
      <c r="TNM164" s="3"/>
      <c r="TNN164" s="3"/>
      <c r="TNO164" s="3"/>
      <c r="TNP164" s="3"/>
      <c r="TNQ164" s="3"/>
      <c r="TNR164" s="3"/>
      <c r="TNS164" s="3"/>
      <c r="TNT164" s="3"/>
      <c r="TNU164" s="3"/>
      <c r="TNV164" s="3"/>
      <c r="TNW164" s="3"/>
      <c r="TNX164" s="3"/>
      <c r="TNY164" s="3"/>
      <c r="TNZ164" s="3"/>
      <c r="TOA164" s="3"/>
      <c r="TOB164" s="3"/>
      <c r="TOC164" s="3"/>
      <c r="TOD164" s="3"/>
      <c r="TOE164" s="3"/>
      <c r="TOF164" s="3"/>
      <c r="TOG164" s="3"/>
      <c r="TOH164" s="3"/>
      <c r="TOI164" s="3"/>
      <c r="TOJ164" s="3"/>
      <c r="TOK164" s="3"/>
      <c r="TOL164" s="3"/>
      <c r="TOM164" s="3"/>
      <c r="TON164" s="3"/>
      <c r="TOO164" s="3"/>
      <c r="TOP164" s="3"/>
      <c r="TOQ164" s="3"/>
      <c r="TOR164" s="3"/>
      <c r="TOS164" s="3"/>
      <c r="TOT164" s="3"/>
      <c r="TOU164" s="3"/>
      <c r="TOV164" s="3"/>
      <c r="TOW164" s="3"/>
      <c r="TOX164" s="3"/>
      <c r="TOY164" s="3"/>
      <c r="TOZ164" s="3"/>
      <c r="TPA164" s="3"/>
      <c r="TPB164" s="3"/>
      <c r="TPC164" s="3"/>
      <c r="TPD164" s="3"/>
      <c r="TPE164" s="3"/>
      <c r="TPF164" s="3"/>
      <c r="TPG164" s="3"/>
      <c r="TPH164" s="3"/>
      <c r="TPI164" s="3"/>
      <c r="TPJ164" s="3"/>
      <c r="TPK164" s="3"/>
      <c r="TPL164" s="3"/>
      <c r="TPM164" s="3"/>
      <c r="TPN164" s="3"/>
      <c r="TPO164" s="3"/>
      <c r="TPP164" s="3"/>
      <c r="TPQ164" s="3"/>
      <c r="TPR164" s="3"/>
      <c r="TPS164" s="3"/>
      <c r="TPT164" s="3"/>
      <c r="TPU164" s="3"/>
      <c r="TPV164" s="3"/>
      <c r="TPW164" s="3"/>
      <c r="TPX164" s="3"/>
      <c r="TPY164" s="3"/>
      <c r="TPZ164" s="3"/>
      <c r="TQA164" s="3"/>
      <c r="TQB164" s="3"/>
      <c r="TQC164" s="3"/>
      <c r="TQD164" s="3"/>
      <c r="TQE164" s="3"/>
      <c r="TQF164" s="3"/>
      <c r="TQG164" s="3"/>
      <c r="TQH164" s="3"/>
      <c r="TQI164" s="3"/>
      <c r="TQJ164" s="3"/>
      <c r="TQK164" s="3"/>
      <c r="TQL164" s="3"/>
      <c r="TQM164" s="3"/>
      <c r="TQN164" s="3"/>
      <c r="TQO164" s="3"/>
      <c r="TQP164" s="3"/>
      <c r="TQQ164" s="3"/>
      <c r="TQR164" s="3"/>
      <c r="TQS164" s="3"/>
      <c r="TQT164" s="3"/>
      <c r="TQU164" s="3"/>
      <c r="TQV164" s="3"/>
      <c r="TQW164" s="3"/>
      <c r="TQX164" s="3"/>
      <c r="TQY164" s="3"/>
      <c r="TQZ164" s="3"/>
      <c r="TRA164" s="3"/>
      <c r="TRB164" s="3"/>
      <c r="TRC164" s="3"/>
      <c r="TRD164" s="3"/>
      <c r="TRE164" s="3"/>
      <c r="TRF164" s="3"/>
      <c r="TRG164" s="3"/>
      <c r="TRH164" s="3"/>
      <c r="TRI164" s="3"/>
      <c r="TRJ164" s="3"/>
      <c r="TRK164" s="3"/>
      <c r="TRL164" s="3"/>
      <c r="TRM164" s="3"/>
      <c r="TRN164" s="3"/>
      <c r="TRO164" s="3"/>
      <c r="TRP164" s="3"/>
      <c r="TRQ164" s="3"/>
      <c r="TRR164" s="3"/>
      <c r="TRS164" s="3"/>
      <c r="TRT164" s="3"/>
      <c r="TRU164" s="3"/>
      <c r="TRV164" s="3"/>
      <c r="TRW164" s="3"/>
      <c r="TRX164" s="3"/>
      <c r="TRY164" s="3"/>
      <c r="TRZ164" s="3"/>
      <c r="TSA164" s="3"/>
      <c r="TSB164" s="3"/>
      <c r="TSC164" s="3"/>
      <c r="TSD164" s="3"/>
      <c r="TSE164" s="3"/>
      <c r="TSF164" s="3"/>
      <c r="TSG164" s="3"/>
      <c r="TSH164" s="3"/>
      <c r="TSI164" s="3"/>
      <c r="TSJ164" s="3"/>
      <c r="TSK164" s="3"/>
      <c r="TSL164" s="3"/>
      <c r="TSM164" s="3"/>
      <c r="TSN164" s="3"/>
      <c r="TSO164" s="3"/>
      <c r="TSP164" s="3"/>
      <c r="TSQ164" s="3"/>
      <c r="TSR164" s="3"/>
      <c r="TSS164" s="3"/>
      <c r="TST164" s="3"/>
      <c r="TSU164" s="3"/>
      <c r="TSV164" s="3"/>
      <c r="TSW164" s="3"/>
      <c r="TSX164" s="3"/>
      <c r="TSY164" s="3"/>
      <c r="TSZ164" s="3"/>
      <c r="TTA164" s="3"/>
      <c r="TTB164" s="3"/>
      <c r="TTC164" s="3"/>
      <c r="TTD164" s="3"/>
      <c r="TTE164" s="3"/>
      <c r="TTF164" s="3"/>
      <c r="TTG164" s="3"/>
      <c r="TTH164" s="3"/>
      <c r="TTI164" s="3"/>
      <c r="TTJ164" s="3"/>
      <c r="TTK164" s="3"/>
      <c r="TTL164" s="3"/>
      <c r="TTM164" s="3"/>
      <c r="TTN164" s="3"/>
      <c r="TTO164" s="3"/>
      <c r="TTP164" s="3"/>
      <c r="TTQ164" s="3"/>
      <c r="TTR164" s="3"/>
      <c r="TTS164" s="3"/>
      <c r="TTT164" s="3"/>
      <c r="TTU164" s="3"/>
      <c r="TTV164" s="3"/>
      <c r="TTW164" s="3"/>
      <c r="TTX164" s="3"/>
      <c r="TTY164" s="3"/>
      <c r="TTZ164" s="3"/>
      <c r="TUA164" s="3"/>
      <c r="TUB164" s="3"/>
      <c r="TUC164" s="3"/>
      <c r="TUD164" s="3"/>
      <c r="TUE164" s="3"/>
      <c r="TUF164" s="3"/>
      <c r="TUG164" s="3"/>
      <c r="TUH164" s="3"/>
      <c r="TUI164" s="3"/>
      <c r="TUJ164" s="3"/>
      <c r="TUK164" s="3"/>
      <c r="TUL164" s="3"/>
      <c r="TUM164" s="3"/>
      <c r="TUN164" s="3"/>
      <c r="TUO164" s="3"/>
      <c r="TUP164" s="3"/>
      <c r="TUQ164" s="3"/>
      <c r="TUR164" s="3"/>
      <c r="TUS164" s="3"/>
      <c r="TUT164" s="3"/>
      <c r="TUU164" s="3"/>
      <c r="TUV164" s="3"/>
      <c r="TUW164" s="3"/>
      <c r="TUX164" s="3"/>
      <c r="TUY164" s="3"/>
      <c r="TUZ164" s="3"/>
      <c r="TVA164" s="3"/>
      <c r="TVB164" s="3"/>
      <c r="TVC164" s="3"/>
      <c r="TVD164" s="3"/>
      <c r="TVE164" s="3"/>
      <c r="TVF164" s="3"/>
      <c r="TVG164" s="3"/>
      <c r="TVH164" s="3"/>
      <c r="TVI164" s="3"/>
      <c r="TVJ164" s="3"/>
      <c r="TVK164" s="3"/>
      <c r="TVL164" s="3"/>
      <c r="TVM164" s="3"/>
      <c r="TVN164" s="3"/>
      <c r="TVO164" s="3"/>
      <c r="TVP164" s="3"/>
      <c r="TVQ164" s="3"/>
      <c r="TVR164" s="3"/>
      <c r="TVS164" s="3"/>
      <c r="TVT164" s="3"/>
      <c r="TVU164" s="3"/>
      <c r="TVV164" s="3"/>
      <c r="TVW164" s="3"/>
      <c r="TVX164" s="3"/>
      <c r="TVY164" s="3"/>
      <c r="TVZ164" s="3"/>
      <c r="TWA164" s="3"/>
      <c r="TWB164" s="3"/>
      <c r="TWC164" s="3"/>
      <c r="TWD164" s="3"/>
      <c r="TWE164" s="3"/>
      <c r="TWF164" s="3"/>
      <c r="TWG164" s="3"/>
      <c r="TWH164" s="3"/>
      <c r="TWI164" s="3"/>
      <c r="TWJ164" s="3"/>
      <c r="TWK164" s="3"/>
      <c r="TWL164" s="3"/>
      <c r="TWM164" s="3"/>
      <c r="TWN164" s="3"/>
      <c r="TWO164" s="3"/>
      <c r="TWP164" s="3"/>
      <c r="TWQ164" s="3"/>
      <c r="TWR164" s="3"/>
      <c r="TWS164" s="3"/>
      <c r="TWT164" s="3"/>
      <c r="TWU164" s="3"/>
      <c r="TWV164" s="3"/>
      <c r="TWW164" s="3"/>
      <c r="TWX164" s="3"/>
      <c r="TWY164" s="3"/>
      <c r="TWZ164" s="3"/>
      <c r="TXA164" s="3"/>
      <c r="TXB164" s="3"/>
      <c r="TXC164" s="3"/>
      <c r="TXD164" s="3"/>
      <c r="TXE164" s="3"/>
      <c r="TXF164" s="3"/>
      <c r="TXG164" s="3"/>
      <c r="TXH164" s="3"/>
      <c r="TXI164" s="3"/>
      <c r="TXJ164" s="3"/>
      <c r="TXK164" s="3"/>
      <c r="TXL164" s="3"/>
      <c r="TXM164" s="3"/>
      <c r="TXN164" s="3"/>
      <c r="TXO164" s="3"/>
      <c r="TXP164" s="3"/>
      <c r="TXQ164" s="3"/>
      <c r="TXR164" s="3"/>
      <c r="TXS164" s="3"/>
      <c r="TXT164" s="3"/>
      <c r="TXU164" s="3"/>
      <c r="TXV164" s="3"/>
      <c r="TXW164" s="3"/>
      <c r="TXX164" s="3"/>
      <c r="TXY164" s="3"/>
      <c r="TXZ164" s="3"/>
      <c r="TYA164" s="3"/>
      <c r="TYB164" s="3"/>
      <c r="TYC164" s="3"/>
      <c r="TYD164" s="3"/>
      <c r="TYE164" s="3"/>
      <c r="TYF164" s="3"/>
      <c r="TYG164" s="3"/>
      <c r="TYH164" s="3"/>
      <c r="TYI164" s="3"/>
      <c r="TYJ164" s="3"/>
      <c r="TYK164" s="3"/>
      <c r="TYL164" s="3"/>
      <c r="TYM164" s="3"/>
      <c r="TYN164" s="3"/>
      <c r="TYO164" s="3"/>
      <c r="TYP164" s="3"/>
      <c r="TYQ164" s="3"/>
      <c r="TYR164" s="3"/>
      <c r="TYS164" s="3"/>
      <c r="TYT164" s="3"/>
      <c r="TYU164" s="3"/>
      <c r="TYV164" s="3"/>
      <c r="TYW164" s="3"/>
      <c r="TYX164" s="3"/>
      <c r="TYY164" s="3"/>
      <c r="TYZ164" s="3"/>
      <c r="TZA164" s="3"/>
      <c r="TZB164" s="3"/>
      <c r="TZC164" s="3"/>
      <c r="TZD164" s="3"/>
      <c r="TZE164" s="3"/>
      <c r="TZF164" s="3"/>
      <c r="TZG164" s="3"/>
      <c r="TZH164" s="3"/>
      <c r="TZI164" s="3"/>
      <c r="TZJ164" s="3"/>
      <c r="TZK164" s="3"/>
      <c r="TZL164" s="3"/>
      <c r="TZM164" s="3"/>
      <c r="TZN164" s="3"/>
      <c r="TZO164" s="3"/>
      <c r="TZP164" s="3"/>
      <c r="TZQ164" s="3"/>
      <c r="TZR164" s="3"/>
      <c r="TZS164" s="3"/>
      <c r="TZT164" s="3"/>
      <c r="TZU164" s="3"/>
      <c r="TZV164" s="3"/>
      <c r="TZW164" s="3"/>
      <c r="TZX164" s="3"/>
      <c r="TZY164" s="3"/>
      <c r="TZZ164" s="3"/>
      <c r="UAA164" s="3"/>
      <c r="UAB164" s="3"/>
      <c r="UAC164" s="3"/>
      <c r="UAD164" s="3"/>
      <c r="UAE164" s="3"/>
      <c r="UAF164" s="3"/>
      <c r="UAG164" s="3"/>
      <c r="UAH164" s="3"/>
      <c r="UAI164" s="3"/>
      <c r="UAJ164" s="3"/>
      <c r="UAK164" s="3"/>
      <c r="UAL164" s="3"/>
      <c r="UAM164" s="3"/>
      <c r="UAN164" s="3"/>
      <c r="UAO164" s="3"/>
      <c r="UAP164" s="3"/>
      <c r="UAQ164" s="3"/>
      <c r="UAR164" s="3"/>
      <c r="UAS164" s="3"/>
      <c r="UAT164" s="3"/>
      <c r="UAU164" s="3"/>
      <c r="UAV164" s="3"/>
      <c r="UAW164" s="3"/>
      <c r="UAX164" s="3"/>
      <c r="UAY164" s="3"/>
      <c r="UAZ164" s="3"/>
      <c r="UBA164" s="3"/>
      <c r="UBB164" s="3"/>
      <c r="UBC164" s="3"/>
      <c r="UBD164" s="3"/>
      <c r="UBE164" s="3"/>
      <c r="UBF164" s="3"/>
      <c r="UBG164" s="3"/>
      <c r="UBH164" s="3"/>
      <c r="UBI164" s="3"/>
      <c r="UBJ164" s="3"/>
      <c r="UBK164" s="3"/>
      <c r="UBL164" s="3"/>
      <c r="UBM164" s="3"/>
      <c r="UBN164" s="3"/>
      <c r="UBO164" s="3"/>
      <c r="UBP164" s="3"/>
      <c r="UBQ164" s="3"/>
      <c r="UBR164" s="3"/>
      <c r="UBS164" s="3"/>
      <c r="UBT164" s="3"/>
      <c r="UBU164" s="3"/>
      <c r="UBV164" s="3"/>
      <c r="UBW164" s="3"/>
      <c r="UBX164" s="3"/>
      <c r="UBY164" s="3"/>
      <c r="UBZ164" s="3"/>
      <c r="UCA164" s="3"/>
      <c r="UCB164" s="3"/>
      <c r="UCC164" s="3"/>
      <c r="UCD164" s="3"/>
      <c r="UCE164" s="3"/>
      <c r="UCF164" s="3"/>
      <c r="UCG164" s="3"/>
      <c r="UCH164" s="3"/>
      <c r="UCI164" s="3"/>
      <c r="UCJ164" s="3"/>
      <c r="UCK164" s="3"/>
      <c r="UCL164" s="3"/>
      <c r="UCM164" s="3"/>
      <c r="UCN164" s="3"/>
      <c r="UCO164" s="3"/>
      <c r="UCP164" s="3"/>
      <c r="UCQ164" s="3"/>
      <c r="UCR164" s="3"/>
      <c r="UCS164" s="3"/>
      <c r="UCT164" s="3"/>
      <c r="UCU164" s="3"/>
      <c r="UCV164" s="3"/>
      <c r="UCW164" s="3"/>
      <c r="UCX164" s="3"/>
      <c r="UCY164" s="3"/>
      <c r="UCZ164" s="3"/>
      <c r="UDA164" s="3"/>
      <c r="UDB164" s="3"/>
      <c r="UDC164" s="3"/>
      <c r="UDD164" s="3"/>
      <c r="UDE164" s="3"/>
      <c r="UDF164" s="3"/>
      <c r="UDG164" s="3"/>
      <c r="UDH164" s="3"/>
      <c r="UDI164" s="3"/>
      <c r="UDJ164" s="3"/>
      <c r="UDK164" s="3"/>
      <c r="UDL164" s="3"/>
      <c r="UDM164" s="3"/>
      <c r="UDN164" s="3"/>
      <c r="UDO164" s="3"/>
      <c r="UDP164" s="3"/>
      <c r="UDQ164" s="3"/>
      <c r="UDR164" s="3"/>
      <c r="UDS164" s="3"/>
      <c r="UDT164" s="3"/>
      <c r="UDU164" s="3"/>
      <c r="UDV164" s="3"/>
      <c r="UDW164" s="3"/>
      <c r="UDX164" s="3"/>
      <c r="UDY164" s="3"/>
      <c r="UDZ164" s="3"/>
      <c r="UEA164" s="3"/>
      <c r="UEB164" s="3"/>
      <c r="UEC164" s="3"/>
      <c r="UED164" s="3"/>
      <c r="UEE164" s="3"/>
      <c r="UEF164" s="3"/>
      <c r="UEG164" s="3"/>
      <c r="UEH164" s="3"/>
      <c r="UEI164" s="3"/>
      <c r="UEJ164" s="3"/>
      <c r="UEK164" s="3"/>
      <c r="UEL164" s="3"/>
      <c r="UEM164" s="3"/>
      <c r="UEN164" s="3"/>
      <c r="UEO164" s="3"/>
      <c r="UEP164" s="3"/>
      <c r="UEQ164" s="3"/>
      <c r="UER164" s="3"/>
      <c r="UES164" s="3"/>
      <c r="UET164" s="3"/>
      <c r="UEU164" s="3"/>
      <c r="UEV164" s="3"/>
      <c r="UEW164" s="3"/>
      <c r="UEX164" s="3"/>
      <c r="UEY164" s="3"/>
      <c r="UEZ164" s="3"/>
      <c r="UFA164" s="3"/>
      <c r="UFB164" s="3"/>
      <c r="UFC164" s="3"/>
      <c r="UFD164" s="3"/>
      <c r="UFE164" s="3"/>
      <c r="UFF164" s="3"/>
      <c r="UFG164" s="3"/>
      <c r="UFH164" s="3"/>
      <c r="UFI164" s="3"/>
      <c r="UFJ164" s="3"/>
      <c r="UFK164" s="3"/>
      <c r="UFL164" s="3"/>
      <c r="UFM164" s="3"/>
      <c r="UFN164" s="3"/>
      <c r="UFO164" s="3"/>
      <c r="UFP164" s="3"/>
      <c r="UFQ164" s="3"/>
      <c r="UFR164" s="3"/>
      <c r="UFS164" s="3"/>
      <c r="UFT164" s="3"/>
      <c r="UFU164" s="3"/>
      <c r="UFV164" s="3"/>
      <c r="UFW164" s="3"/>
      <c r="UFX164" s="3"/>
      <c r="UFY164" s="3"/>
      <c r="UFZ164" s="3"/>
      <c r="UGA164" s="3"/>
      <c r="UGB164" s="3"/>
      <c r="UGC164" s="3"/>
      <c r="UGD164" s="3"/>
      <c r="UGE164" s="3"/>
      <c r="UGF164" s="3"/>
      <c r="UGG164" s="3"/>
      <c r="UGH164" s="3"/>
      <c r="UGI164" s="3"/>
      <c r="UGJ164" s="3"/>
      <c r="UGK164" s="3"/>
      <c r="UGL164" s="3"/>
      <c r="UGM164" s="3"/>
      <c r="UGN164" s="3"/>
      <c r="UGO164" s="3"/>
      <c r="UGP164" s="3"/>
      <c r="UGQ164" s="3"/>
      <c r="UGR164" s="3"/>
      <c r="UGS164" s="3"/>
      <c r="UGT164" s="3"/>
      <c r="UGU164" s="3"/>
      <c r="UGV164" s="3"/>
      <c r="UGW164" s="3"/>
      <c r="UGX164" s="3"/>
      <c r="UGY164" s="3"/>
      <c r="UGZ164" s="3"/>
      <c r="UHA164" s="3"/>
      <c r="UHB164" s="3"/>
      <c r="UHC164" s="3"/>
      <c r="UHD164" s="3"/>
      <c r="UHE164" s="3"/>
      <c r="UHF164" s="3"/>
      <c r="UHG164" s="3"/>
      <c r="UHH164" s="3"/>
      <c r="UHI164" s="3"/>
      <c r="UHJ164" s="3"/>
      <c r="UHK164" s="3"/>
      <c r="UHL164" s="3"/>
      <c r="UHM164" s="3"/>
      <c r="UHN164" s="3"/>
      <c r="UHO164" s="3"/>
      <c r="UHP164" s="3"/>
      <c r="UHQ164" s="3"/>
      <c r="UHR164" s="3"/>
      <c r="UHS164" s="3"/>
      <c r="UHT164" s="3"/>
      <c r="UHU164" s="3"/>
      <c r="UHV164" s="3"/>
      <c r="UHW164" s="3"/>
      <c r="UHX164" s="3"/>
      <c r="UHY164" s="3"/>
      <c r="UHZ164" s="3"/>
      <c r="UIA164" s="3"/>
      <c r="UIB164" s="3"/>
      <c r="UIC164" s="3"/>
      <c r="UID164" s="3"/>
      <c r="UIE164" s="3"/>
      <c r="UIF164" s="3"/>
      <c r="UIG164" s="3"/>
      <c r="UIH164" s="3"/>
      <c r="UII164" s="3"/>
      <c r="UIJ164" s="3"/>
      <c r="UIK164" s="3"/>
      <c r="UIL164" s="3"/>
      <c r="UIM164" s="3"/>
      <c r="UIN164" s="3"/>
      <c r="UIO164" s="3"/>
      <c r="UIP164" s="3"/>
      <c r="UIQ164" s="3"/>
      <c r="UIR164" s="3"/>
      <c r="UIS164" s="3"/>
      <c r="UIT164" s="3"/>
      <c r="UIU164" s="3"/>
      <c r="UIV164" s="3"/>
      <c r="UIW164" s="3"/>
      <c r="UIX164" s="3"/>
      <c r="UIY164" s="3"/>
      <c r="UIZ164" s="3"/>
      <c r="UJA164" s="3"/>
      <c r="UJB164" s="3"/>
      <c r="UJC164" s="3"/>
      <c r="UJD164" s="3"/>
      <c r="UJE164" s="3"/>
      <c r="UJF164" s="3"/>
      <c r="UJG164" s="3"/>
      <c r="UJH164" s="3"/>
      <c r="UJI164" s="3"/>
      <c r="UJJ164" s="3"/>
      <c r="UJK164" s="3"/>
      <c r="UJL164" s="3"/>
      <c r="UJM164" s="3"/>
      <c r="UJN164" s="3"/>
      <c r="UJO164" s="3"/>
      <c r="UJP164" s="3"/>
      <c r="UJQ164" s="3"/>
      <c r="UJR164" s="3"/>
      <c r="UJS164" s="3"/>
      <c r="UJT164" s="3"/>
      <c r="UJU164" s="3"/>
      <c r="UJV164" s="3"/>
      <c r="UJW164" s="3"/>
      <c r="UJX164" s="3"/>
      <c r="UJY164" s="3"/>
      <c r="UJZ164" s="3"/>
      <c r="UKA164" s="3"/>
      <c r="UKB164" s="3"/>
      <c r="UKC164" s="3"/>
      <c r="UKD164" s="3"/>
      <c r="UKE164" s="3"/>
      <c r="UKF164" s="3"/>
      <c r="UKG164" s="3"/>
      <c r="UKH164" s="3"/>
      <c r="UKI164" s="3"/>
      <c r="UKJ164" s="3"/>
      <c r="UKK164" s="3"/>
      <c r="UKL164" s="3"/>
      <c r="UKM164" s="3"/>
      <c r="UKN164" s="3"/>
      <c r="UKO164" s="3"/>
      <c r="UKP164" s="3"/>
      <c r="UKQ164" s="3"/>
      <c r="UKR164" s="3"/>
      <c r="UKS164" s="3"/>
      <c r="UKT164" s="3"/>
      <c r="UKU164" s="3"/>
      <c r="UKV164" s="3"/>
      <c r="UKW164" s="3"/>
      <c r="UKX164" s="3"/>
      <c r="UKY164" s="3"/>
      <c r="UKZ164" s="3"/>
      <c r="ULA164" s="3"/>
      <c r="ULB164" s="3"/>
      <c r="ULC164" s="3"/>
      <c r="ULD164" s="3"/>
      <c r="ULE164" s="3"/>
      <c r="ULF164" s="3"/>
      <c r="ULG164" s="3"/>
      <c r="ULH164" s="3"/>
      <c r="ULI164" s="3"/>
      <c r="ULJ164" s="3"/>
      <c r="ULK164" s="3"/>
      <c r="ULL164" s="3"/>
      <c r="ULM164" s="3"/>
      <c r="ULN164" s="3"/>
      <c r="ULO164" s="3"/>
      <c r="ULP164" s="3"/>
      <c r="ULQ164" s="3"/>
      <c r="ULR164" s="3"/>
      <c r="ULS164" s="3"/>
      <c r="ULT164" s="3"/>
      <c r="ULU164" s="3"/>
      <c r="ULV164" s="3"/>
      <c r="ULW164" s="3"/>
      <c r="ULX164" s="3"/>
      <c r="ULY164" s="3"/>
      <c r="ULZ164" s="3"/>
      <c r="UMA164" s="3"/>
      <c r="UMB164" s="3"/>
      <c r="UMC164" s="3"/>
      <c r="UMD164" s="3"/>
      <c r="UME164" s="3"/>
      <c r="UMF164" s="3"/>
      <c r="UMG164" s="3"/>
      <c r="UMH164" s="3"/>
      <c r="UMI164" s="3"/>
      <c r="UMJ164" s="3"/>
      <c r="UMK164" s="3"/>
      <c r="UML164" s="3"/>
      <c r="UMM164" s="3"/>
      <c r="UMN164" s="3"/>
      <c r="UMO164" s="3"/>
      <c r="UMP164" s="3"/>
      <c r="UMQ164" s="3"/>
      <c r="UMR164" s="3"/>
      <c r="UMS164" s="3"/>
      <c r="UMT164" s="3"/>
      <c r="UMU164" s="3"/>
      <c r="UMV164" s="3"/>
      <c r="UMW164" s="3"/>
      <c r="UMX164" s="3"/>
      <c r="UMY164" s="3"/>
      <c r="UMZ164" s="3"/>
      <c r="UNA164" s="3"/>
      <c r="UNB164" s="3"/>
      <c r="UNC164" s="3"/>
      <c r="UND164" s="3"/>
      <c r="UNE164" s="3"/>
      <c r="UNF164" s="3"/>
      <c r="UNG164" s="3"/>
      <c r="UNH164" s="3"/>
      <c r="UNI164" s="3"/>
      <c r="UNJ164" s="3"/>
      <c r="UNK164" s="3"/>
      <c r="UNL164" s="3"/>
      <c r="UNM164" s="3"/>
      <c r="UNN164" s="3"/>
      <c r="UNO164" s="3"/>
      <c r="UNP164" s="3"/>
      <c r="UNQ164" s="3"/>
      <c r="UNR164" s="3"/>
      <c r="UNS164" s="3"/>
      <c r="UNT164" s="3"/>
      <c r="UNU164" s="3"/>
      <c r="UNV164" s="3"/>
      <c r="UNW164" s="3"/>
      <c r="UNX164" s="3"/>
      <c r="UNY164" s="3"/>
      <c r="UNZ164" s="3"/>
      <c r="UOA164" s="3"/>
      <c r="UOB164" s="3"/>
      <c r="UOC164" s="3"/>
      <c r="UOD164" s="3"/>
      <c r="UOE164" s="3"/>
      <c r="UOF164" s="3"/>
      <c r="UOG164" s="3"/>
      <c r="UOH164" s="3"/>
      <c r="UOI164" s="3"/>
      <c r="UOJ164" s="3"/>
      <c r="UOK164" s="3"/>
      <c r="UOL164" s="3"/>
      <c r="UOM164" s="3"/>
      <c r="UON164" s="3"/>
      <c r="UOO164" s="3"/>
      <c r="UOP164" s="3"/>
      <c r="UOQ164" s="3"/>
      <c r="UOR164" s="3"/>
      <c r="UOS164" s="3"/>
      <c r="UOT164" s="3"/>
      <c r="UOU164" s="3"/>
      <c r="UOV164" s="3"/>
      <c r="UOW164" s="3"/>
      <c r="UOX164" s="3"/>
      <c r="UOY164" s="3"/>
      <c r="UOZ164" s="3"/>
      <c r="UPA164" s="3"/>
      <c r="UPB164" s="3"/>
      <c r="UPC164" s="3"/>
      <c r="UPD164" s="3"/>
      <c r="UPE164" s="3"/>
      <c r="UPF164" s="3"/>
      <c r="UPG164" s="3"/>
      <c r="UPH164" s="3"/>
      <c r="UPI164" s="3"/>
      <c r="UPJ164" s="3"/>
      <c r="UPK164" s="3"/>
      <c r="UPL164" s="3"/>
      <c r="UPM164" s="3"/>
      <c r="UPN164" s="3"/>
      <c r="UPO164" s="3"/>
      <c r="UPP164" s="3"/>
      <c r="UPQ164" s="3"/>
      <c r="UPR164" s="3"/>
      <c r="UPS164" s="3"/>
      <c r="UPT164" s="3"/>
      <c r="UPU164" s="3"/>
      <c r="UPV164" s="3"/>
      <c r="UPW164" s="3"/>
      <c r="UPX164" s="3"/>
      <c r="UPY164" s="3"/>
      <c r="UPZ164" s="3"/>
      <c r="UQA164" s="3"/>
      <c r="UQB164" s="3"/>
      <c r="UQC164" s="3"/>
      <c r="UQD164" s="3"/>
      <c r="UQE164" s="3"/>
      <c r="UQF164" s="3"/>
      <c r="UQG164" s="3"/>
      <c r="UQH164" s="3"/>
      <c r="UQI164" s="3"/>
      <c r="UQJ164" s="3"/>
      <c r="UQK164" s="3"/>
      <c r="UQL164" s="3"/>
      <c r="UQM164" s="3"/>
      <c r="UQN164" s="3"/>
      <c r="UQO164" s="3"/>
      <c r="UQP164" s="3"/>
      <c r="UQQ164" s="3"/>
      <c r="UQR164" s="3"/>
      <c r="UQS164" s="3"/>
      <c r="UQT164" s="3"/>
      <c r="UQU164" s="3"/>
      <c r="UQV164" s="3"/>
      <c r="UQW164" s="3"/>
      <c r="UQX164" s="3"/>
      <c r="UQY164" s="3"/>
      <c r="UQZ164" s="3"/>
      <c r="URA164" s="3"/>
      <c r="URB164" s="3"/>
      <c r="URC164" s="3"/>
      <c r="URD164" s="3"/>
      <c r="URE164" s="3"/>
      <c r="URF164" s="3"/>
      <c r="URG164" s="3"/>
      <c r="URH164" s="3"/>
      <c r="URI164" s="3"/>
      <c r="URJ164" s="3"/>
      <c r="URK164" s="3"/>
      <c r="URL164" s="3"/>
      <c r="URM164" s="3"/>
      <c r="URN164" s="3"/>
      <c r="URO164" s="3"/>
      <c r="URP164" s="3"/>
      <c r="URQ164" s="3"/>
      <c r="URR164" s="3"/>
      <c r="URS164" s="3"/>
      <c r="URT164" s="3"/>
      <c r="URU164" s="3"/>
      <c r="URV164" s="3"/>
      <c r="URW164" s="3"/>
      <c r="URX164" s="3"/>
      <c r="URY164" s="3"/>
      <c r="URZ164" s="3"/>
      <c r="USA164" s="3"/>
      <c r="USB164" s="3"/>
      <c r="USC164" s="3"/>
      <c r="USD164" s="3"/>
      <c r="USE164" s="3"/>
      <c r="USF164" s="3"/>
      <c r="USG164" s="3"/>
      <c r="USH164" s="3"/>
      <c r="USI164" s="3"/>
      <c r="USJ164" s="3"/>
      <c r="USK164" s="3"/>
      <c r="USL164" s="3"/>
      <c r="USM164" s="3"/>
      <c r="USN164" s="3"/>
      <c r="USO164" s="3"/>
      <c r="USP164" s="3"/>
      <c r="USQ164" s="3"/>
      <c r="USR164" s="3"/>
      <c r="USS164" s="3"/>
      <c r="UST164" s="3"/>
      <c r="USU164" s="3"/>
      <c r="USV164" s="3"/>
      <c r="USW164" s="3"/>
      <c r="USX164" s="3"/>
      <c r="USY164" s="3"/>
      <c r="USZ164" s="3"/>
      <c r="UTA164" s="3"/>
      <c r="UTB164" s="3"/>
      <c r="UTC164" s="3"/>
      <c r="UTD164" s="3"/>
      <c r="UTE164" s="3"/>
      <c r="UTF164" s="3"/>
      <c r="UTG164" s="3"/>
      <c r="UTH164" s="3"/>
      <c r="UTI164" s="3"/>
      <c r="UTJ164" s="3"/>
      <c r="UTK164" s="3"/>
      <c r="UTL164" s="3"/>
      <c r="UTM164" s="3"/>
      <c r="UTN164" s="3"/>
      <c r="UTO164" s="3"/>
      <c r="UTP164" s="3"/>
      <c r="UTQ164" s="3"/>
      <c r="UTR164" s="3"/>
      <c r="UTS164" s="3"/>
      <c r="UTT164" s="3"/>
      <c r="UTU164" s="3"/>
      <c r="UTV164" s="3"/>
      <c r="UTW164" s="3"/>
      <c r="UTX164" s="3"/>
      <c r="UTY164" s="3"/>
      <c r="UTZ164" s="3"/>
      <c r="UUA164" s="3"/>
      <c r="UUB164" s="3"/>
      <c r="UUC164" s="3"/>
      <c r="UUD164" s="3"/>
      <c r="UUE164" s="3"/>
      <c r="UUF164" s="3"/>
      <c r="UUG164" s="3"/>
      <c r="UUH164" s="3"/>
      <c r="UUI164" s="3"/>
      <c r="UUJ164" s="3"/>
      <c r="UUK164" s="3"/>
      <c r="UUL164" s="3"/>
      <c r="UUM164" s="3"/>
      <c r="UUN164" s="3"/>
      <c r="UUO164" s="3"/>
      <c r="UUP164" s="3"/>
      <c r="UUQ164" s="3"/>
      <c r="UUR164" s="3"/>
      <c r="UUS164" s="3"/>
      <c r="UUT164" s="3"/>
      <c r="UUU164" s="3"/>
      <c r="UUV164" s="3"/>
      <c r="UUW164" s="3"/>
      <c r="UUX164" s="3"/>
      <c r="UUY164" s="3"/>
      <c r="UUZ164" s="3"/>
      <c r="UVA164" s="3"/>
      <c r="UVB164" s="3"/>
      <c r="UVC164" s="3"/>
      <c r="UVD164" s="3"/>
      <c r="UVE164" s="3"/>
      <c r="UVF164" s="3"/>
      <c r="UVG164" s="3"/>
      <c r="UVH164" s="3"/>
      <c r="UVI164" s="3"/>
      <c r="UVJ164" s="3"/>
      <c r="UVK164" s="3"/>
      <c r="UVL164" s="3"/>
      <c r="UVM164" s="3"/>
      <c r="UVN164" s="3"/>
      <c r="UVO164" s="3"/>
      <c r="UVP164" s="3"/>
      <c r="UVQ164" s="3"/>
      <c r="UVR164" s="3"/>
      <c r="UVS164" s="3"/>
      <c r="UVT164" s="3"/>
      <c r="UVU164" s="3"/>
      <c r="UVV164" s="3"/>
      <c r="UVW164" s="3"/>
      <c r="UVX164" s="3"/>
      <c r="UVY164" s="3"/>
      <c r="UVZ164" s="3"/>
      <c r="UWA164" s="3"/>
      <c r="UWB164" s="3"/>
      <c r="UWC164" s="3"/>
      <c r="UWD164" s="3"/>
      <c r="UWE164" s="3"/>
      <c r="UWF164" s="3"/>
      <c r="UWG164" s="3"/>
      <c r="UWH164" s="3"/>
      <c r="UWI164" s="3"/>
      <c r="UWJ164" s="3"/>
      <c r="UWK164" s="3"/>
      <c r="UWL164" s="3"/>
      <c r="UWM164" s="3"/>
      <c r="UWN164" s="3"/>
      <c r="UWO164" s="3"/>
      <c r="UWP164" s="3"/>
      <c r="UWQ164" s="3"/>
      <c r="UWR164" s="3"/>
      <c r="UWS164" s="3"/>
      <c r="UWT164" s="3"/>
      <c r="UWU164" s="3"/>
      <c r="UWV164" s="3"/>
      <c r="UWW164" s="3"/>
      <c r="UWX164" s="3"/>
      <c r="UWY164" s="3"/>
      <c r="UWZ164" s="3"/>
      <c r="UXA164" s="3"/>
      <c r="UXB164" s="3"/>
      <c r="UXC164" s="3"/>
      <c r="UXD164" s="3"/>
      <c r="UXE164" s="3"/>
      <c r="UXF164" s="3"/>
      <c r="UXG164" s="3"/>
      <c r="UXH164" s="3"/>
      <c r="UXI164" s="3"/>
      <c r="UXJ164" s="3"/>
      <c r="UXK164" s="3"/>
      <c r="UXL164" s="3"/>
      <c r="UXM164" s="3"/>
      <c r="UXN164" s="3"/>
      <c r="UXO164" s="3"/>
      <c r="UXP164" s="3"/>
      <c r="UXQ164" s="3"/>
      <c r="UXR164" s="3"/>
      <c r="UXS164" s="3"/>
      <c r="UXT164" s="3"/>
      <c r="UXU164" s="3"/>
      <c r="UXV164" s="3"/>
      <c r="UXW164" s="3"/>
      <c r="UXX164" s="3"/>
      <c r="UXY164" s="3"/>
      <c r="UXZ164" s="3"/>
      <c r="UYA164" s="3"/>
      <c r="UYB164" s="3"/>
      <c r="UYC164" s="3"/>
      <c r="UYD164" s="3"/>
      <c r="UYE164" s="3"/>
      <c r="UYF164" s="3"/>
      <c r="UYG164" s="3"/>
      <c r="UYH164" s="3"/>
      <c r="UYI164" s="3"/>
      <c r="UYJ164" s="3"/>
      <c r="UYK164" s="3"/>
      <c r="UYL164" s="3"/>
      <c r="UYM164" s="3"/>
      <c r="UYN164" s="3"/>
      <c r="UYO164" s="3"/>
      <c r="UYP164" s="3"/>
      <c r="UYQ164" s="3"/>
      <c r="UYR164" s="3"/>
      <c r="UYS164" s="3"/>
      <c r="UYT164" s="3"/>
      <c r="UYU164" s="3"/>
      <c r="UYV164" s="3"/>
      <c r="UYW164" s="3"/>
      <c r="UYX164" s="3"/>
      <c r="UYY164" s="3"/>
      <c r="UYZ164" s="3"/>
      <c r="UZA164" s="3"/>
      <c r="UZB164" s="3"/>
      <c r="UZC164" s="3"/>
      <c r="UZD164" s="3"/>
      <c r="UZE164" s="3"/>
      <c r="UZF164" s="3"/>
      <c r="UZG164" s="3"/>
      <c r="UZH164" s="3"/>
      <c r="UZI164" s="3"/>
      <c r="UZJ164" s="3"/>
      <c r="UZK164" s="3"/>
      <c r="UZL164" s="3"/>
      <c r="UZM164" s="3"/>
      <c r="UZN164" s="3"/>
      <c r="UZO164" s="3"/>
      <c r="UZP164" s="3"/>
      <c r="UZQ164" s="3"/>
      <c r="UZR164" s="3"/>
      <c r="UZS164" s="3"/>
      <c r="UZT164" s="3"/>
      <c r="UZU164" s="3"/>
      <c r="UZV164" s="3"/>
      <c r="UZW164" s="3"/>
      <c r="UZX164" s="3"/>
      <c r="UZY164" s="3"/>
      <c r="UZZ164" s="3"/>
      <c r="VAA164" s="3"/>
      <c r="VAB164" s="3"/>
      <c r="VAC164" s="3"/>
      <c r="VAD164" s="3"/>
      <c r="VAE164" s="3"/>
      <c r="VAF164" s="3"/>
      <c r="VAG164" s="3"/>
      <c r="VAH164" s="3"/>
      <c r="VAI164" s="3"/>
      <c r="VAJ164" s="3"/>
      <c r="VAK164" s="3"/>
      <c r="VAL164" s="3"/>
      <c r="VAM164" s="3"/>
      <c r="VAN164" s="3"/>
      <c r="VAO164" s="3"/>
      <c r="VAP164" s="3"/>
      <c r="VAQ164" s="3"/>
      <c r="VAR164" s="3"/>
      <c r="VAS164" s="3"/>
      <c r="VAT164" s="3"/>
      <c r="VAU164" s="3"/>
      <c r="VAV164" s="3"/>
      <c r="VAW164" s="3"/>
      <c r="VAX164" s="3"/>
      <c r="VAY164" s="3"/>
      <c r="VAZ164" s="3"/>
      <c r="VBA164" s="3"/>
      <c r="VBB164" s="3"/>
      <c r="VBC164" s="3"/>
      <c r="VBD164" s="3"/>
      <c r="VBE164" s="3"/>
      <c r="VBF164" s="3"/>
      <c r="VBG164" s="3"/>
      <c r="VBH164" s="3"/>
      <c r="VBI164" s="3"/>
      <c r="VBJ164" s="3"/>
      <c r="VBK164" s="3"/>
      <c r="VBL164" s="3"/>
      <c r="VBM164" s="3"/>
      <c r="VBN164" s="3"/>
      <c r="VBO164" s="3"/>
      <c r="VBP164" s="3"/>
      <c r="VBQ164" s="3"/>
      <c r="VBR164" s="3"/>
      <c r="VBS164" s="3"/>
      <c r="VBT164" s="3"/>
      <c r="VBU164" s="3"/>
      <c r="VBV164" s="3"/>
      <c r="VBW164" s="3"/>
      <c r="VBX164" s="3"/>
      <c r="VBY164" s="3"/>
      <c r="VBZ164" s="3"/>
      <c r="VCA164" s="3"/>
      <c r="VCB164" s="3"/>
      <c r="VCC164" s="3"/>
      <c r="VCD164" s="3"/>
      <c r="VCE164" s="3"/>
      <c r="VCF164" s="3"/>
      <c r="VCG164" s="3"/>
      <c r="VCH164" s="3"/>
      <c r="VCI164" s="3"/>
      <c r="VCJ164" s="3"/>
      <c r="VCK164" s="3"/>
      <c r="VCL164" s="3"/>
      <c r="VCM164" s="3"/>
      <c r="VCN164" s="3"/>
      <c r="VCO164" s="3"/>
      <c r="VCP164" s="3"/>
      <c r="VCQ164" s="3"/>
      <c r="VCR164" s="3"/>
      <c r="VCS164" s="3"/>
      <c r="VCT164" s="3"/>
      <c r="VCU164" s="3"/>
      <c r="VCV164" s="3"/>
      <c r="VCW164" s="3"/>
      <c r="VCX164" s="3"/>
      <c r="VCY164" s="3"/>
      <c r="VCZ164" s="3"/>
      <c r="VDA164" s="3"/>
      <c r="VDB164" s="3"/>
      <c r="VDC164" s="3"/>
      <c r="VDD164" s="3"/>
      <c r="VDE164" s="3"/>
      <c r="VDF164" s="3"/>
      <c r="VDG164" s="3"/>
      <c r="VDH164" s="3"/>
      <c r="VDI164" s="3"/>
      <c r="VDJ164" s="3"/>
      <c r="VDK164" s="3"/>
      <c r="VDL164" s="3"/>
      <c r="VDM164" s="3"/>
      <c r="VDN164" s="3"/>
      <c r="VDO164" s="3"/>
      <c r="VDP164" s="3"/>
      <c r="VDQ164" s="3"/>
      <c r="VDR164" s="3"/>
      <c r="VDS164" s="3"/>
      <c r="VDT164" s="3"/>
      <c r="VDU164" s="3"/>
      <c r="VDV164" s="3"/>
      <c r="VDW164" s="3"/>
      <c r="VDX164" s="3"/>
      <c r="VDY164" s="3"/>
      <c r="VDZ164" s="3"/>
      <c r="VEA164" s="3"/>
      <c r="VEB164" s="3"/>
      <c r="VEC164" s="3"/>
      <c r="VED164" s="3"/>
      <c r="VEE164" s="3"/>
      <c r="VEF164" s="3"/>
      <c r="VEG164" s="3"/>
      <c r="VEH164" s="3"/>
      <c r="VEI164" s="3"/>
      <c r="VEJ164" s="3"/>
      <c r="VEK164" s="3"/>
      <c r="VEL164" s="3"/>
      <c r="VEM164" s="3"/>
      <c r="VEN164" s="3"/>
      <c r="VEO164" s="3"/>
      <c r="VEP164" s="3"/>
      <c r="VEQ164" s="3"/>
      <c r="VER164" s="3"/>
      <c r="VES164" s="3"/>
      <c r="VET164" s="3"/>
      <c r="VEU164" s="3"/>
      <c r="VEV164" s="3"/>
      <c r="VEW164" s="3"/>
      <c r="VEX164" s="3"/>
      <c r="VEY164" s="3"/>
      <c r="VEZ164" s="3"/>
      <c r="VFA164" s="3"/>
      <c r="VFB164" s="3"/>
      <c r="VFC164" s="3"/>
      <c r="VFD164" s="3"/>
      <c r="VFE164" s="3"/>
      <c r="VFF164" s="3"/>
      <c r="VFG164" s="3"/>
      <c r="VFH164" s="3"/>
      <c r="VFI164" s="3"/>
      <c r="VFJ164" s="3"/>
      <c r="VFK164" s="3"/>
      <c r="VFL164" s="3"/>
      <c r="VFM164" s="3"/>
      <c r="VFN164" s="3"/>
      <c r="VFO164" s="3"/>
      <c r="VFP164" s="3"/>
      <c r="VFQ164" s="3"/>
      <c r="VFR164" s="3"/>
      <c r="VFS164" s="3"/>
      <c r="VFT164" s="3"/>
      <c r="VFU164" s="3"/>
      <c r="VFV164" s="3"/>
      <c r="VFW164" s="3"/>
      <c r="VFX164" s="3"/>
      <c r="VFY164" s="3"/>
      <c r="VFZ164" s="3"/>
      <c r="VGA164" s="3"/>
      <c r="VGB164" s="3"/>
      <c r="VGC164" s="3"/>
      <c r="VGD164" s="3"/>
      <c r="VGE164" s="3"/>
      <c r="VGF164" s="3"/>
      <c r="VGG164" s="3"/>
      <c r="VGH164" s="3"/>
      <c r="VGI164" s="3"/>
      <c r="VGJ164" s="3"/>
      <c r="VGK164" s="3"/>
      <c r="VGL164" s="3"/>
      <c r="VGM164" s="3"/>
      <c r="VGN164" s="3"/>
      <c r="VGO164" s="3"/>
      <c r="VGP164" s="3"/>
      <c r="VGQ164" s="3"/>
      <c r="VGR164" s="3"/>
      <c r="VGS164" s="3"/>
      <c r="VGT164" s="3"/>
      <c r="VGU164" s="3"/>
      <c r="VGV164" s="3"/>
      <c r="VGW164" s="3"/>
      <c r="VGX164" s="3"/>
      <c r="VGY164" s="3"/>
      <c r="VGZ164" s="3"/>
      <c r="VHA164" s="3"/>
      <c r="VHB164" s="3"/>
      <c r="VHC164" s="3"/>
      <c r="VHD164" s="3"/>
      <c r="VHE164" s="3"/>
      <c r="VHF164" s="3"/>
      <c r="VHG164" s="3"/>
      <c r="VHH164" s="3"/>
      <c r="VHI164" s="3"/>
      <c r="VHJ164" s="3"/>
      <c r="VHK164" s="3"/>
      <c r="VHL164" s="3"/>
      <c r="VHM164" s="3"/>
      <c r="VHN164" s="3"/>
      <c r="VHO164" s="3"/>
      <c r="VHP164" s="3"/>
      <c r="VHQ164" s="3"/>
      <c r="VHR164" s="3"/>
      <c r="VHS164" s="3"/>
      <c r="VHT164" s="3"/>
      <c r="VHU164" s="3"/>
      <c r="VHV164" s="3"/>
      <c r="VHW164" s="3"/>
      <c r="VHX164" s="3"/>
      <c r="VHY164" s="3"/>
      <c r="VHZ164" s="3"/>
      <c r="VIA164" s="3"/>
      <c r="VIB164" s="3"/>
      <c r="VIC164" s="3"/>
      <c r="VID164" s="3"/>
      <c r="VIE164" s="3"/>
      <c r="VIF164" s="3"/>
      <c r="VIG164" s="3"/>
      <c r="VIH164" s="3"/>
      <c r="VII164" s="3"/>
      <c r="VIJ164" s="3"/>
      <c r="VIK164" s="3"/>
      <c r="VIL164" s="3"/>
      <c r="VIM164" s="3"/>
      <c r="VIN164" s="3"/>
      <c r="VIO164" s="3"/>
      <c r="VIP164" s="3"/>
      <c r="VIQ164" s="3"/>
      <c r="VIR164" s="3"/>
      <c r="VIS164" s="3"/>
      <c r="VIT164" s="3"/>
      <c r="VIU164" s="3"/>
      <c r="VIV164" s="3"/>
      <c r="VIW164" s="3"/>
      <c r="VIX164" s="3"/>
      <c r="VIY164" s="3"/>
      <c r="VIZ164" s="3"/>
      <c r="VJA164" s="3"/>
      <c r="VJB164" s="3"/>
      <c r="VJC164" s="3"/>
      <c r="VJD164" s="3"/>
      <c r="VJE164" s="3"/>
      <c r="VJF164" s="3"/>
      <c r="VJG164" s="3"/>
      <c r="VJH164" s="3"/>
      <c r="VJI164" s="3"/>
      <c r="VJJ164" s="3"/>
      <c r="VJK164" s="3"/>
      <c r="VJL164" s="3"/>
      <c r="VJM164" s="3"/>
      <c r="VJN164" s="3"/>
      <c r="VJO164" s="3"/>
      <c r="VJP164" s="3"/>
      <c r="VJQ164" s="3"/>
      <c r="VJR164" s="3"/>
      <c r="VJS164" s="3"/>
      <c r="VJT164" s="3"/>
      <c r="VJU164" s="3"/>
      <c r="VJV164" s="3"/>
      <c r="VJW164" s="3"/>
      <c r="VJX164" s="3"/>
      <c r="VJY164" s="3"/>
      <c r="VJZ164" s="3"/>
      <c r="VKA164" s="3"/>
      <c r="VKB164" s="3"/>
      <c r="VKC164" s="3"/>
      <c r="VKD164" s="3"/>
      <c r="VKE164" s="3"/>
      <c r="VKF164" s="3"/>
      <c r="VKG164" s="3"/>
      <c r="VKH164" s="3"/>
      <c r="VKI164" s="3"/>
      <c r="VKJ164" s="3"/>
      <c r="VKK164" s="3"/>
      <c r="VKL164" s="3"/>
      <c r="VKM164" s="3"/>
      <c r="VKN164" s="3"/>
      <c r="VKO164" s="3"/>
      <c r="VKP164" s="3"/>
      <c r="VKQ164" s="3"/>
      <c r="VKR164" s="3"/>
      <c r="VKS164" s="3"/>
      <c r="VKT164" s="3"/>
      <c r="VKU164" s="3"/>
      <c r="VKV164" s="3"/>
      <c r="VKW164" s="3"/>
      <c r="VKX164" s="3"/>
      <c r="VKY164" s="3"/>
      <c r="VKZ164" s="3"/>
      <c r="VLA164" s="3"/>
      <c r="VLB164" s="3"/>
      <c r="VLC164" s="3"/>
      <c r="VLD164" s="3"/>
      <c r="VLE164" s="3"/>
      <c r="VLF164" s="3"/>
      <c r="VLG164" s="3"/>
      <c r="VLH164" s="3"/>
      <c r="VLI164" s="3"/>
      <c r="VLJ164" s="3"/>
      <c r="VLK164" s="3"/>
      <c r="VLL164" s="3"/>
      <c r="VLM164" s="3"/>
      <c r="VLN164" s="3"/>
      <c r="VLO164" s="3"/>
      <c r="VLP164" s="3"/>
      <c r="VLQ164" s="3"/>
      <c r="VLR164" s="3"/>
      <c r="VLS164" s="3"/>
      <c r="VLT164" s="3"/>
      <c r="VLU164" s="3"/>
      <c r="VLV164" s="3"/>
      <c r="VLW164" s="3"/>
      <c r="VLX164" s="3"/>
      <c r="VLY164" s="3"/>
      <c r="VLZ164" s="3"/>
      <c r="VMA164" s="3"/>
      <c r="VMB164" s="3"/>
      <c r="VMC164" s="3"/>
      <c r="VMD164" s="3"/>
      <c r="VME164" s="3"/>
      <c r="VMF164" s="3"/>
      <c r="VMG164" s="3"/>
      <c r="VMH164" s="3"/>
      <c r="VMI164" s="3"/>
      <c r="VMJ164" s="3"/>
      <c r="VMK164" s="3"/>
      <c r="VML164" s="3"/>
      <c r="VMM164" s="3"/>
      <c r="VMN164" s="3"/>
      <c r="VMO164" s="3"/>
      <c r="VMP164" s="3"/>
      <c r="VMQ164" s="3"/>
      <c r="VMR164" s="3"/>
      <c r="VMS164" s="3"/>
      <c r="VMT164" s="3"/>
      <c r="VMU164" s="3"/>
      <c r="VMV164" s="3"/>
      <c r="VMW164" s="3"/>
      <c r="VMX164" s="3"/>
      <c r="VMY164" s="3"/>
      <c r="VMZ164" s="3"/>
      <c r="VNA164" s="3"/>
      <c r="VNB164" s="3"/>
      <c r="VNC164" s="3"/>
      <c r="VND164" s="3"/>
      <c r="VNE164" s="3"/>
      <c r="VNF164" s="3"/>
      <c r="VNG164" s="3"/>
      <c r="VNH164" s="3"/>
      <c r="VNI164" s="3"/>
      <c r="VNJ164" s="3"/>
      <c r="VNK164" s="3"/>
      <c r="VNL164" s="3"/>
      <c r="VNM164" s="3"/>
      <c r="VNN164" s="3"/>
      <c r="VNO164" s="3"/>
      <c r="VNP164" s="3"/>
      <c r="VNQ164" s="3"/>
      <c r="VNR164" s="3"/>
      <c r="VNS164" s="3"/>
      <c r="VNT164" s="3"/>
      <c r="VNU164" s="3"/>
      <c r="VNV164" s="3"/>
      <c r="VNW164" s="3"/>
      <c r="VNX164" s="3"/>
      <c r="VNY164" s="3"/>
      <c r="VNZ164" s="3"/>
      <c r="VOA164" s="3"/>
      <c r="VOB164" s="3"/>
      <c r="VOC164" s="3"/>
      <c r="VOD164" s="3"/>
      <c r="VOE164" s="3"/>
      <c r="VOF164" s="3"/>
      <c r="VOG164" s="3"/>
      <c r="VOH164" s="3"/>
      <c r="VOI164" s="3"/>
      <c r="VOJ164" s="3"/>
      <c r="VOK164" s="3"/>
      <c r="VOL164" s="3"/>
      <c r="VOM164" s="3"/>
      <c r="VON164" s="3"/>
      <c r="VOO164" s="3"/>
      <c r="VOP164" s="3"/>
      <c r="VOQ164" s="3"/>
      <c r="VOR164" s="3"/>
      <c r="VOS164" s="3"/>
      <c r="VOT164" s="3"/>
      <c r="VOU164" s="3"/>
      <c r="VOV164" s="3"/>
      <c r="VOW164" s="3"/>
      <c r="VOX164" s="3"/>
      <c r="VOY164" s="3"/>
      <c r="VOZ164" s="3"/>
      <c r="VPA164" s="3"/>
      <c r="VPB164" s="3"/>
      <c r="VPC164" s="3"/>
      <c r="VPD164" s="3"/>
      <c r="VPE164" s="3"/>
      <c r="VPF164" s="3"/>
      <c r="VPG164" s="3"/>
      <c r="VPH164" s="3"/>
      <c r="VPI164" s="3"/>
      <c r="VPJ164" s="3"/>
      <c r="VPK164" s="3"/>
      <c r="VPL164" s="3"/>
      <c r="VPM164" s="3"/>
      <c r="VPN164" s="3"/>
      <c r="VPO164" s="3"/>
      <c r="VPP164" s="3"/>
      <c r="VPQ164" s="3"/>
      <c r="VPR164" s="3"/>
      <c r="VPS164" s="3"/>
      <c r="VPT164" s="3"/>
      <c r="VPU164" s="3"/>
      <c r="VPV164" s="3"/>
      <c r="VPW164" s="3"/>
      <c r="VPX164" s="3"/>
      <c r="VPY164" s="3"/>
      <c r="VPZ164" s="3"/>
      <c r="VQA164" s="3"/>
      <c r="VQB164" s="3"/>
      <c r="VQC164" s="3"/>
      <c r="VQD164" s="3"/>
      <c r="VQE164" s="3"/>
      <c r="VQF164" s="3"/>
      <c r="VQG164" s="3"/>
      <c r="VQH164" s="3"/>
      <c r="VQI164" s="3"/>
      <c r="VQJ164" s="3"/>
      <c r="VQK164" s="3"/>
      <c r="VQL164" s="3"/>
      <c r="VQM164" s="3"/>
      <c r="VQN164" s="3"/>
      <c r="VQO164" s="3"/>
      <c r="VQP164" s="3"/>
      <c r="VQQ164" s="3"/>
      <c r="VQR164" s="3"/>
      <c r="VQS164" s="3"/>
      <c r="VQT164" s="3"/>
      <c r="VQU164" s="3"/>
      <c r="VQV164" s="3"/>
      <c r="VQW164" s="3"/>
      <c r="VQX164" s="3"/>
      <c r="VQY164" s="3"/>
      <c r="VQZ164" s="3"/>
      <c r="VRA164" s="3"/>
      <c r="VRB164" s="3"/>
      <c r="VRC164" s="3"/>
      <c r="VRD164" s="3"/>
      <c r="VRE164" s="3"/>
      <c r="VRF164" s="3"/>
      <c r="VRG164" s="3"/>
      <c r="VRH164" s="3"/>
      <c r="VRI164" s="3"/>
      <c r="VRJ164" s="3"/>
      <c r="VRK164" s="3"/>
      <c r="VRL164" s="3"/>
      <c r="VRM164" s="3"/>
      <c r="VRN164" s="3"/>
      <c r="VRO164" s="3"/>
      <c r="VRP164" s="3"/>
      <c r="VRQ164" s="3"/>
      <c r="VRR164" s="3"/>
      <c r="VRS164" s="3"/>
      <c r="VRT164" s="3"/>
      <c r="VRU164" s="3"/>
      <c r="VRV164" s="3"/>
      <c r="VRW164" s="3"/>
      <c r="VRX164" s="3"/>
      <c r="VRY164" s="3"/>
      <c r="VRZ164" s="3"/>
      <c r="VSA164" s="3"/>
      <c r="VSB164" s="3"/>
      <c r="VSC164" s="3"/>
      <c r="VSD164" s="3"/>
      <c r="VSE164" s="3"/>
      <c r="VSF164" s="3"/>
      <c r="VSG164" s="3"/>
      <c r="VSH164" s="3"/>
      <c r="VSI164" s="3"/>
      <c r="VSJ164" s="3"/>
      <c r="VSK164" s="3"/>
      <c r="VSL164" s="3"/>
      <c r="VSM164" s="3"/>
      <c r="VSN164" s="3"/>
      <c r="VSO164" s="3"/>
      <c r="VSP164" s="3"/>
      <c r="VSQ164" s="3"/>
      <c r="VSR164" s="3"/>
      <c r="VSS164" s="3"/>
      <c r="VST164" s="3"/>
      <c r="VSU164" s="3"/>
      <c r="VSV164" s="3"/>
      <c r="VSW164" s="3"/>
      <c r="VSX164" s="3"/>
      <c r="VSY164" s="3"/>
      <c r="VSZ164" s="3"/>
      <c r="VTA164" s="3"/>
      <c r="VTB164" s="3"/>
      <c r="VTC164" s="3"/>
      <c r="VTD164" s="3"/>
      <c r="VTE164" s="3"/>
      <c r="VTF164" s="3"/>
      <c r="VTG164" s="3"/>
      <c r="VTH164" s="3"/>
      <c r="VTI164" s="3"/>
      <c r="VTJ164" s="3"/>
      <c r="VTK164" s="3"/>
      <c r="VTL164" s="3"/>
      <c r="VTM164" s="3"/>
      <c r="VTN164" s="3"/>
      <c r="VTO164" s="3"/>
      <c r="VTP164" s="3"/>
      <c r="VTQ164" s="3"/>
      <c r="VTR164" s="3"/>
      <c r="VTS164" s="3"/>
      <c r="VTT164" s="3"/>
      <c r="VTU164" s="3"/>
      <c r="VTV164" s="3"/>
      <c r="VTW164" s="3"/>
      <c r="VTX164" s="3"/>
      <c r="VTY164" s="3"/>
      <c r="VTZ164" s="3"/>
      <c r="VUA164" s="3"/>
      <c r="VUB164" s="3"/>
      <c r="VUC164" s="3"/>
      <c r="VUD164" s="3"/>
      <c r="VUE164" s="3"/>
      <c r="VUF164" s="3"/>
      <c r="VUG164" s="3"/>
      <c r="VUH164" s="3"/>
      <c r="VUI164" s="3"/>
      <c r="VUJ164" s="3"/>
      <c r="VUK164" s="3"/>
      <c r="VUL164" s="3"/>
      <c r="VUM164" s="3"/>
      <c r="VUN164" s="3"/>
      <c r="VUO164" s="3"/>
      <c r="VUP164" s="3"/>
      <c r="VUQ164" s="3"/>
      <c r="VUR164" s="3"/>
      <c r="VUS164" s="3"/>
      <c r="VUT164" s="3"/>
      <c r="VUU164" s="3"/>
      <c r="VUV164" s="3"/>
      <c r="VUW164" s="3"/>
      <c r="VUX164" s="3"/>
      <c r="VUY164" s="3"/>
      <c r="VUZ164" s="3"/>
      <c r="VVA164" s="3"/>
      <c r="VVB164" s="3"/>
      <c r="VVC164" s="3"/>
      <c r="VVD164" s="3"/>
      <c r="VVE164" s="3"/>
      <c r="VVF164" s="3"/>
      <c r="VVG164" s="3"/>
      <c r="VVH164" s="3"/>
      <c r="VVI164" s="3"/>
      <c r="VVJ164" s="3"/>
      <c r="VVK164" s="3"/>
      <c r="VVL164" s="3"/>
      <c r="VVM164" s="3"/>
      <c r="VVN164" s="3"/>
      <c r="VVO164" s="3"/>
      <c r="VVP164" s="3"/>
      <c r="VVQ164" s="3"/>
      <c r="VVR164" s="3"/>
      <c r="VVS164" s="3"/>
      <c r="VVT164" s="3"/>
      <c r="VVU164" s="3"/>
      <c r="VVV164" s="3"/>
      <c r="VVW164" s="3"/>
      <c r="VVX164" s="3"/>
      <c r="VVY164" s="3"/>
      <c r="VVZ164" s="3"/>
      <c r="VWA164" s="3"/>
      <c r="VWB164" s="3"/>
      <c r="VWC164" s="3"/>
      <c r="VWD164" s="3"/>
      <c r="VWE164" s="3"/>
      <c r="VWF164" s="3"/>
      <c r="VWG164" s="3"/>
      <c r="VWH164" s="3"/>
      <c r="VWI164" s="3"/>
      <c r="VWJ164" s="3"/>
      <c r="VWK164" s="3"/>
      <c r="VWL164" s="3"/>
      <c r="VWM164" s="3"/>
      <c r="VWN164" s="3"/>
      <c r="VWO164" s="3"/>
      <c r="VWP164" s="3"/>
      <c r="VWQ164" s="3"/>
      <c r="VWR164" s="3"/>
      <c r="VWS164" s="3"/>
      <c r="VWT164" s="3"/>
      <c r="VWU164" s="3"/>
      <c r="VWV164" s="3"/>
      <c r="VWW164" s="3"/>
      <c r="VWX164" s="3"/>
      <c r="VWY164" s="3"/>
      <c r="VWZ164" s="3"/>
      <c r="VXA164" s="3"/>
      <c r="VXB164" s="3"/>
      <c r="VXC164" s="3"/>
      <c r="VXD164" s="3"/>
      <c r="VXE164" s="3"/>
      <c r="VXF164" s="3"/>
      <c r="VXG164" s="3"/>
      <c r="VXH164" s="3"/>
      <c r="VXI164" s="3"/>
      <c r="VXJ164" s="3"/>
      <c r="VXK164" s="3"/>
      <c r="VXL164" s="3"/>
      <c r="VXM164" s="3"/>
      <c r="VXN164" s="3"/>
      <c r="VXO164" s="3"/>
      <c r="VXP164" s="3"/>
      <c r="VXQ164" s="3"/>
      <c r="VXR164" s="3"/>
      <c r="VXS164" s="3"/>
      <c r="VXT164" s="3"/>
      <c r="VXU164" s="3"/>
      <c r="VXV164" s="3"/>
      <c r="VXW164" s="3"/>
      <c r="VXX164" s="3"/>
      <c r="VXY164" s="3"/>
      <c r="VXZ164" s="3"/>
      <c r="VYA164" s="3"/>
      <c r="VYB164" s="3"/>
      <c r="VYC164" s="3"/>
      <c r="VYD164" s="3"/>
      <c r="VYE164" s="3"/>
      <c r="VYF164" s="3"/>
      <c r="VYG164" s="3"/>
      <c r="VYH164" s="3"/>
      <c r="VYI164" s="3"/>
      <c r="VYJ164" s="3"/>
      <c r="VYK164" s="3"/>
      <c r="VYL164" s="3"/>
      <c r="VYM164" s="3"/>
      <c r="VYN164" s="3"/>
      <c r="VYO164" s="3"/>
      <c r="VYP164" s="3"/>
      <c r="VYQ164" s="3"/>
      <c r="VYR164" s="3"/>
      <c r="VYS164" s="3"/>
      <c r="VYT164" s="3"/>
      <c r="VYU164" s="3"/>
      <c r="VYV164" s="3"/>
      <c r="VYW164" s="3"/>
      <c r="VYX164" s="3"/>
      <c r="VYY164" s="3"/>
      <c r="VYZ164" s="3"/>
      <c r="VZA164" s="3"/>
      <c r="VZB164" s="3"/>
      <c r="VZC164" s="3"/>
      <c r="VZD164" s="3"/>
      <c r="VZE164" s="3"/>
      <c r="VZF164" s="3"/>
      <c r="VZG164" s="3"/>
      <c r="VZH164" s="3"/>
      <c r="VZI164" s="3"/>
      <c r="VZJ164" s="3"/>
      <c r="VZK164" s="3"/>
      <c r="VZL164" s="3"/>
      <c r="VZM164" s="3"/>
      <c r="VZN164" s="3"/>
      <c r="VZO164" s="3"/>
      <c r="VZP164" s="3"/>
      <c r="VZQ164" s="3"/>
      <c r="VZR164" s="3"/>
      <c r="VZS164" s="3"/>
      <c r="VZT164" s="3"/>
      <c r="VZU164" s="3"/>
      <c r="VZV164" s="3"/>
      <c r="VZW164" s="3"/>
      <c r="VZX164" s="3"/>
      <c r="VZY164" s="3"/>
      <c r="VZZ164" s="3"/>
      <c r="WAA164" s="3"/>
      <c r="WAB164" s="3"/>
      <c r="WAC164" s="3"/>
      <c r="WAD164" s="3"/>
      <c r="WAE164" s="3"/>
      <c r="WAF164" s="3"/>
      <c r="WAG164" s="3"/>
      <c r="WAH164" s="3"/>
      <c r="WAI164" s="3"/>
      <c r="WAJ164" s="3"/>
      <c r="WAK164" s="3"/>
      <c r="WAL164" s="3"/>
      <c r="WAM164" s="3"/>
      <c r="WAN164" s="3"/>
      <c r="WAO164" s="3"/>
      <c r="WAP164" s="3"/>
      <c r="WAQ164" s="3"/>
      <c r="WAR164" s="3"/>
      <c r="WAS164" s="3"/>
      <c r="WAT164" s="3"/>
      <c r="WAU164" s="3"/>
      <c r="WAV164" s="3"/>
      <c r="WAW164" s="3"/>
      <c r="WAX164" s="3"/>
      <c r="WAY164" s="3"/>
      <c r="WAZ164" s="3"/>
      <c r="WBA164" s="3"/>
      <c r="WBB164" s="3"/>
      <c r="WBC164" s="3"/>
      <c r="WBD164" s="3"/>
      <c r="WBE164" s="3"/>
      <c r="WBF164" s="3"/>
      <c r="WBG164" s="3"/>
      <c r="WBH164" s="3"/>
      <c r="WBI164" s="3"/>
      <c r="WBJ164" s="3"/>
      <c r="WBK164" s="3"/>
      <c r="WBL164" s="3"/>
      <c r="WBM164" s="3"/>
      <c r="WBN164" s="3"/>
      <c r="WBO164" s="3"/>
      <c r="WBP164" s="3"/>
      <c r="WBQ164" s="3"/>
      <c r="WBR164" s="3"/>
      <c r="WBS164" s="3"/>
      <c r="WBT164" s="3"/>
      <c r="WBU164" s="3"/>
      <c r="WBV164" s="3"/>
      <c r="WBW164" s="3"/>
      <c r="WBX164" s="3"/>
      <c r="WBY164" s="3"/>
      <c r="WBZ164" s="3"/>
      <c r="WCA164" s="3"/>
      <c r="WCB164" s="3"/>
      <c r="WCC164" s="3"/>
      <c r="WCD164" s="3"/>
      <c r="WCE164" s="3"/>
      <c r="WCF164" s="3"/>
      <c r="WCG164" s="3"/>
      <c r="WCH164" s="3"/>
      <c r="WCI164" s="3"/>
      <c r="WCJ164" s="3"/>
      <c r="WCK164" s="3"/>
      <c r="WCL164" s="3"/>
      <c r="WCM164" s="3"/>
      <c r="WCN164" s="3"/>
      <c r="WCO164" s="3"/>
      <c r="WCP164" s="3"/>
      <c r="WCQ164" s="3"/>
      <c r="WCR164" s="3"/>
      <c r="WCS164" s="3"/>
      <c r="WCT164" s="3"/>
      <c r="WCU164" s="3"/>
      <c r="WCV164" s="3"/>
      <c r="WCW164" s="3"/>
      <c r="WCX164" s="3"/>
      <c r="WCY164" s="3"/>
      <c r="WCZ164" s="3"/>
      <c r="WDA164" s="3"/>
      <c r="WDB164" s="3"/>
      <c r="WDC164" s="3"/>
      <c r="WDD164" s="3"/>
      <c r="WDE164" s="3"/>
      <c r="WDF164" s="3"/>
      <c r="WDG164" s="3"/>
      <c r="WDH164" s="3"/>
      <c r="WDI164" s="3"/>
      <c r="WDJ164" s="3"/>
      <c r="WDK164" s="3"/>
      <c r="WDL164" s="3"/>
      <c r="WDM164" s="3"/>
      <c r="WDN164" s="3"/>
      <c r="WDO164" s="3"/>
      <c r="WDP164" s="3"/>
      <c r="WDQ164" s="3"/>
      <c r="WDR164" s="3"/>
      <c r="WDS164" s="3"/>
      <c r="WDT164" s="3"/>
      <c r="WDU164" s="3"/>
      <c r="WDV164" s="3"/>
      <c r="WDW164" s="3"/>
      <c r="WDX164" s="3"/>
      <c r="WDY164" s="3"/>
      <c r="WDZ164" s="3"/>
      <c r="WEA164" s="3"/>
      <c r="WEB164" s="3"/>
      <c r="WEC164" s="3"/>
      <c r="WED164" s="3"/>
      <c r="WEE164" s="3"/>
      <c r="WEF164" s="3"/>
      <c r="WEG164" s="3"/>
      <c r="WEH164" s="3"/>
      <c r="WEI164" s="3"/>
      <c r="WEJ164" s="3"/>
      <c r="WEK164" s="3"/>
      <c r="WEL164" s="3"/>
      <c r="WEM164" s="3"/>
      <c r="WEN164" s="3"/>
      <c r="WEO164" s="3"/>
      <c r="WEP164" s="3"/>
      <c r="WEQ164" s="3"/>
      <c r="WER164" s="3"/>
      <c r="WES164" s="3"/>
      <c r="WET164" s="3"/>
      <c r="WEU164" s="3"/>
      <c r="WEV164" s="3"/>
      <c r="WEW164" s="3"/>
      <c r="WEX164" s="3"/>
      <c r="WEY164" s="3"/>
      <c r="WEZ164" s="3"/>
      <c r="WFA164" s="3"/>
      <c r="WFB164" s="3"/>
      <c r="WFC164" s="3"/>
      <c r="WFD164" s="3"/>
      <c r="WFE164" s="3"/>
      <c r="WFF164" s="3"/>
      <c r="WFG164" s="3"/>
      <c r="WFH164" s="3"/>
      <c r="WFI164" s="3"/>
      <c r="WFJ164" s="3"/>
      <c r="WFK164" s="3"/>
      <c r="WFL164" s="3"/>
      <c r="WFM164" s="3"/>
      <c r="WFN164" s="3"/>
      <c r="WFO164" s="3"/>
      <c r="WFP164" s="3"/>
      <c r="WFQ164" s="3"/>
      <c r="WFR164" s="3"/>
      <c r="WFS164" s="3"/>
      <c r="WFT164" s="3"/>
      <c r="WFU164" s="3"/>
      <c r="WFV164" s="3"/>
      <c r="WFW164" s="3"/>
      <c r="WFX164" s="3"/>
      <c r="WFY164" s="3"/>
      <c r="WFZ164" s="3"/>
      <c r="WGA164" s="3"/>
      <c r="WGB164" s="3"/>
      <c r="WGC164" s="3"/>
      <c r="WGD164" s="3"/>
      <c r="WGE164" s="3"/>
      <c r="WGF164" s="3"/>
      <c r="WGG164" s="3"/>
      <c r="WGH164" s="3"/>
      <c r="WGI164" s="3"/>
      <c r="WGJ164" s="3"/>
      <c r="WGK164" s="3"/>
      <c r="WGL164" s="3"/>
      <c r="WGM164" s="3"/>
      <c r="WGN164" s="3"/>
      <c r="WGO164" s="3"/>
      <c r="WGP164" s="3"/>
      <c r="WGQ164" s="3"/>
      <c r="WGR164" s="3"/>
      <c r="WGS164" s="3"/>
      <c r="WGT164" s="3"/>
      <c r="WGU164" s="3"/>
      <c r="WGV164" s="3"/>
      <c r="WGW164" s="3"/>
      <c r="WGX164" s="3"/>
      <c r="WGY164" s="3"/>
      <c r="WGZ164" s="3"/>
      <c r="WHA164" s="3"/>
      <c r="WHB164" s="3"/>
      <c r="WHC164" s="3"/>
      <c r="WHD164" s="3"/>
      <c r="WHE164" s="3"/>
      <c r="WHF164" s="3"/>
      <c r="WHG164" s="3"/>
      <c r="WHH164" s="3"/>
      <c r="WHI164" s="3"/>
      <c r="WHJ164" s="3"/>
      <c r="WHK164" s="3"/>
      <c r="WHL164" s="3"/>
      <c r="WHM164" s="3"/>
      <c r="WHN164" s="3"/>
      <c r="WHO164" s="3"/>
      <c r="WHP164" s="3"/>
      <c r="WHQ164" s="3"/>
      <c r="WHR164" s="3"/>
      <c r="WHS164" s="3"/>
      <c r="WHT164" s="3"/>
      <c r="WHU164" s="3"/>
      <c r="WHV164" s="3"/>
      <c r="WHW164" s="3"/>
      <c r="WHX164" s="3"/>
      <c r="WHY164" s="3"/>
      <c r="WHZ164" s="3"/>
      <c r="WIA164" s="3"/>
      <c r="WIB164" s="3"/>
      <c r="WIC164" s="3"/>
      <c r="WID164" s="3"/>
      <c r="WIE164" s="3"/>
      <c r="WIF164" s="3"/>
      <c r="WIG164" s="3"/>
      <c r="WIH164" s="3"/>
      <c r="WII164" s="3"/>
      <c r="WIJ164" s="3"/>
      <c r="WIK164" s="3"/>
      <c r="WIL164" s="3"/>
      <c r="WIM164" s="3"/>
      <c r="WIN164" s="3"/>
      <c r="WIO164" s="3"/>
      <c r="WIP164" s="3"/>
      <c r="WIQ164" s="3"/>
      <c r="WIR164" s="3"/>
      <c r="WIS164" s="3"/>
      <c r="WIT164" s="3"/>
      <c r="WIU164" s="3"/>
      <c r="WIV164" s="3"/>
      <c r="WIW164" s="3"/>
      <c r="WIX164" s="3"/>
      <c r="WIY164" s="3"/>
      <c r="WIZ164" s="3"/>
      <c r="WJA164" s="3"/>
      <c r="WJB164" s="3"/>
      <c r="WJC164" s="3"/>
      <c r="WJD164" s="3"/>
      <c r="WJE164" s="3"/>
      <c r="WJF164" s="3"/>
      <c r="WJG164" s="3"/>
      <c r="WJH164" s="3"/>
      <c r="WJI164" s="3"/>
      <c r="WJJ164" s="3"/>
      <c r="WJK164" s="3"/>
      <c r="WJL164" s="3"/>
      <c r="WJM164" s="3"/>
      <c r="WJN164" s="3"/>
      <c r="WJO164" s="3"/>
      <c r="WJP164" s="3"/>
      <c r="WJQ164" s="3"/>
      <c r="WJR164" s="3"/>
      <c r="WJS164" s="3"/>
      <c r="WJT164" s="3"/>
      <c r="WJU164" s="3"/>
      <c r="WJV164" s="3"/>
      <c r="WJW164" s="3"/>
      <c r="WJX164" s="3"/>
      <c r="WJY164" s="3"/>
      <c r="WJZ164" s="3"/>
      <c r="WKA164" s="3"/>
      <c r="WKB164" s="3"/>
      <c r="WKC164" s="3"/>
      <c r="WKD164" s="3"/>
      <c r="WKE164" s="3"/>
      <c r="WKF164" s="3"/>
      <c r="WKG164" s="3"/>
      <c r="WKH164" s="3"/>
      <c r="WKI164" s="3"/>
      <c r="WKJ164" s="3"/>
      <c r="WKK164" s="3"/>
      <c r="WKL164" s="3"/>
      <c r="WKM164" s="3"/>
      <c r="WKN164" s="3"/>
      <c r="WKO164" s="3"/>
      <c r="WKP164" s="3"/>
      <c r="WKQ164" s="3"/>
      <c r="WKR164" s="3"/>
      <c r="WKS164" s="3"/>
      <c r="WKT164" s="3"/>
      <c r="WKU164" s="3"/>
      <c r="WKV164" s="3"/>
      <c r="WKW164" s="3"/>
      <c r="WKX164" s="3"/>
      <c r="WKY164" s="3"/>
      <c r="WKZ164" s="3"/>
      <c r="WLA164" s="3"/>
      <c r="WLB164" s="3"/>
      <c r="WLC164" s="3"/>
      <c r="WLD164" s="3"/>
      <c r="WLE164" s="3"/>
      <c r="WLF164" s="3"/>
      <c r="WLG164" s="3"/>
      <c r="WLH164" s="3"/>
      <c r="WLI164" s="3"/>
      <c r="WLJ164" s="3"/>
      <c r="WLK164" s="3"/>
      <c r="WLL164" s="3"/>
      <c r="WLM164" s="3"/>
      <c r="WLN164" s="3"/>
      <c r="WLO164" s="3"/>
      <c r="WLP164" s="3"/>
      <c r="WLQ164" s="3"/>
      <c r="WLR164" s="3"/>
      <c r="WLS164" s="3"/>
      <c r="WLT164" s="3"/>
      <c r="WLU164" s="3"/>
      <c r="WLV164" s="3"/>
      <c r="WLW164" s="3"/>
      <c r="WLX164" s="3"/>
      <c r="WLY164" s="3"/>
      <c r="WLZ164" s="3"/>
      <c r="WMA164" s="3"/>
      <c r="WMB164" s="3"/>
      <c r="WMC164" s="3"/>
      <c r="WMD164" s="3"/>
      <c r="WME164" s="3"/>
      <c r="WMF164" s="3"/>
      <c r="WMG164" s="3"/>
      <c r="WMH164" s="3"/>
      <c r="WMI164" s="3"/>
      <c r="WMJ164" s="3"/>
      <c r="WMK164" s="3"/>
      <c r="WML164" s="3"/>
      <c r="WMM164" s="3"/>
      <c r="WMN164" s="3"/>
      <c r="WMO164" s="3"/>
      <c r="WMP164" s="3"/>
      <c r="WMQ164" s="3"/>
      <c r="WMR164" s="3"/>
      <c r="WMS164" s="3"/>
      <c r="WMT164" s="3"/>
      <c r="WMU164" s="3"/>
      <c r="WMV164" s="3"/>
      <c r="WMW164" s="3"/>
      <c r="WMX164" s="3"/>
      <c r="WMY164" s="3"/>
      <c r="WMZ164" s="3"/>
      <c r="WNA164" s="3"/>
      <c r="WNB164" s="3"/>
      <c r="WNC164" s="3"/>
      <c r="WND164" s="3"/>
      <c r="WNE164" s="3"/>
      <c r="WNF164" s="3"/>
      <c r="WNG164" s="3"/>
      <c r="WNH164" s="3"/>
      <c r="WNI164" s="3"/>
      <c r="WNJ164" s="3"/>
      <c r="WNK164" s="3"/>
      <c r="WNL164" s="3"/>
      <c r="WNM164" s="3"/>
      <c r="WNN164" s="3"/>
      <c r="WNO164" s="3"/>
      <c r="WNP164" s="3"/>
      <c r="WNQ164" s="3"/>
      <c r="WNR164" s="3"/>
      <c r="WNS164" s="3"/>
      <c r="WNT164" s="3"/>
      <c r="WNU164" s="3"/>
      <c r="WNV164" s="3"/>
      <c r="WNW164" s="3"/>
      <c r="WNX164" s="3"/>
      <c r="WNY164" s="3"/>
      <c r="WNZ164" s="3"/>
      <c r="WOA164" s="3"/>
      <c r="WOB164" s="3"/>
      <c r="WOC164" s="3"/>
      <c r="WOD164" s="3"/>
      <c r="WOE164" s="3"/>
      <c r="WOF164" s="3"/>
      <c r="WOG164" s="3"/>
      <c r="WOH164" s="3"/>
      <c r="WOI164" s="3"/>
      <c r="WOJ164" s="3"/>
      <c r="WOK164" s="3"/>
      <c r="WOL164" s="3"/>
      <c r="WOM164" s="3"/>
      <c r="WON164" s="3"/>
      <c r="WOO164" s="3"/>
      <c r="WOP164" s="3"/>
      <c r="WOQ164" s="3"/>
      <c r="WOR164" s="3"/>
      <c r="WOS164" s="3"/>
      <c r="WOT164" s="3"/>
      <c r="WOU164" s="3"/>
      <c r="WOV164" s="3"/>
      <c r="WOW164" s="3"/>
      <c r="WOX164" s="3"/>
      <c r="WOY164" s="3"/>
      <c r="WOZ164" s="3"/>
      <c r="WPA164" s="3"/>
      <c r="WPB164" s="3"/>
      <c r="WPC164" s="3"/>
      <c r="WPD164" s="3"/>
      <c r="WPE164" s="3"/>
      <c r="WPF164" s="3"/>
      <c r="WPG164" s="3"/>
      <c r="WPH164" s="3"/>
      <c r="WPI164" s="3"/>
      <c r="WPJ164" s="3"/>
      <c r="WPK164" s="3"/>
      <c r="WPL164" s="3"/>
      <c r="WPM164" s="3"/>
      <c r="WPN164" s="3"/>
      <c r="WPO164" s="3"/>
      <c r="WPP164" s="3"/>
      <c r="WPQ164" s="3"/>
      <c r="WPR164" s="3"/>
      <c r="WPS164" s="3"/>
      <c r="WPT164" s="3"/>
      <c r="WPU164" s="3"/>
      <c r="WPV164" s="3"/>
      <c r="WPW164" s="3"/>
      <c r="WPX164" s="3"/>
      <c r="WPY164" s="3"/>
      <c r="WPZ164" s="3"/>
      <c r="WQA164" s="3"/>
      <c r="WQB164" s="3"/>
      <c r="WQC164" s="3"/>
      <c r="WQD164" s="3"/>
      <c r="WQE164" s="3"/>
      <c r="WQF164" s="3"/>
      <c r="WQG164" s="3"/>
      <c r="WQH164" s="3"/>
      <c r="WQI164" s="3"/>
      <c r="WQJ164" s="3"/>
      <c r="WQK164" s="3"/>
      <c r="WQL164" s="3"/>
      <c r="WQM164" s="3"/>
      <c r="WQN164" s="3"/>
      <c r="WQO164" s="3"/>
      <c r="WQP164" s="3"/>
      <c r="WQQ164" s="3"/>
      <c r="WQR164" s="3"/>
      <c r="WQS164" s="3"/>
      <c r="WQT164" s="3"/>
      <c r="WQU164" s="3"/>
      <c r="WQV164" s="3"/>
      <c r="WQW164" s="3"/>
      <c r="WQX164" s="3"/>
      <c r="WQY164" s="3"/>
      <c r="WQZ164" s="3"/>
      <c r="WRA164" s="3"/>
      <c r="WRB164" s="3"/>
      <c r="WRC164" s="3"/>
      <c r="WRD164" s="3"/>
      <c r="WRE164" s="3"/>
      <c r="WRF164" s="3"/>
      <c r="WRG164" s="3"/>
      <c r="WRH164" s="3"/>
      <c r="WRI164" s="3"/>
      <c r="WRJ164" s="3"/>
      <c r="WRK164" s="3"/>
      <c r="WRL164" s="3"/>
      <c r="WRM164" s="3"/>
      <c r="WRN164" s="3"/>
      <c r="WRO164" s="3"/>
      <c r="WRP164" s="3"/>
      <c r="WRQ164" s="3"/>
      <c r="WRR164" s="3"/>
      <c r="WRS164" s="3"/>
      <c r="WRT164" s="3"/>
      <c r="WRU164" s="3"/>
      <c r="WRV164" s="3"/>
      <c r="WRW164" s="3"/>
      <c r="WRX164" s="3"/>
      <c r="WRY164" s="3"/>
      <c r="WRZ164" s="3"/>
      <c r="WSA164" s="3"/>
      <c r="WSB164" s="3"/>
      <c r="WSC164" s="3"/>
      <c r="WSD164" s="3"/>
      <c r="WSE164" s="3"/>
      <c r="WSF164" s="3"/>
      <c r="WSG164" s="3"/>
      <c r="WSH164" s="3"/>
      <c r="WSI164" s="3"/>
      <c r="WSJ164" s="3"/>
      <c r="WSK164" s="3"/>
      <c r="WSL164" s="3"/>
      <c r="WSM164" s="3"/>
      <c r="WSN164" s="3"/>
      <c r="WSO164" s="3"/>
      <c r="WSP164" s="3"/>
      <c r="WSQ164" s="3"/>
      <c r="WSR164" s="3"/>
      <c r="WSS164" s="3"/>
      <c r="WST164" s="3"/>
      <c r="WSU164" s="3"/>
      <c r="WSV164" s="3"/>
      <c r="WSW164" s="3"/>
      <c r="WSX164" s="3"/>
      <c r="WSY164" s="3"/>
      <c r="WSZ164" s="3"/>
      <c r="WTA164" s="3"/>
      <c r="WTB164" s="3"/>
      <c r="WTC164" s="3"/>
      <c r="WTD164" s="3"/>
      <c r="WTE164" s="3"/>
      <c r="WTF164" s="3"/>
      <c r="WTG164" s="3"/>
      <c r="WTH164" s="3"/>
      <c r="WTI164" s="3"/>
      <c r="WTJ164" s="3"/>
      <c r="WTK164" s="3"/>
      <c r="WTL164" s="3"/>
      <c r="WTM164" s="3"/>
      <c r="WTN164" s="3"/>
      <c r="WTO164" s="3"/>
      <c r="WTP164" s="3"/>
      <c r="WTQ164" s="3"/>
      <c r="WTR164" s="3"/>
      <c r="WTS164" s="3"/>
      <c r="WTT164" s="3"/>
      <c r="WTU164" s="3"/>
      <c r="WTV164" s="3"/>
      <c r="WTW164" s="3"/>
      <c r="WTX164" s="3"/>
      <c r="WTY164" s="3"/>
      <c r="WTZ164" s="3"/>
      <c r="WUA164" s="3"/>
      <c r="WUB164" s="3"/>
      <c r="WUC164" s="3"/>
      <c r="WUD164" s="3"/>
      <c r="WUE164" s="3"/>
      <c r="WUF164" s="3"/>
      <c r="WUG164" s="3"/>
      <c r="WUH164" s="3"/>
      <c r="WUI164" s="3"/>
      <c r="WUJ164" s="3"/>
      <c r="WUK164" s="3"/>
      <c r="WUL164" s="3"/>
      <c r="WUM164" s="3"/>
      <c r="WUN164" s="3"/>
      <c r="WUO164" s="3"/>
      <c r="WUP164" s="3"/>
      <c r="WUQ164" s="3"/>
      <c r="WUR164" s="3"/>
      <c r="WUS164" s="3"/>
      <c r="WUT164" s="3"/>
      <c r="WUU164" s="3"/>
      <c r="WUV164" s="3"/>
      <c r="WUW164" s="3"/>
      <c r="WUX164" s="3"/>
      <c r="WUY164" s="3"/>
      <c r="WUZ164" s="3"/>
      <c r="WVA164" s="3"/>
      <c r="WVB164" s="3"/>
      <c r="WVC164" s="3"/>
      <c r="WVD164" s="3"/>
      <c r="WVE164" s="3"/>
      <c r="WVF164" s="3"/>
      <c r="WVG164" s="3"/>
      <c r="WVH164" s="3"/>
      <c r="WVI164" s="3"/>
      <c r="WVJ164" s="3"/>
      <c r="WVK164" s="3"/>
      <c r="WVL164" s="3"/>
      <c r="WVM164" s="3"/>
      <c r="WVN164" s="3"/>
      <c r="WVO164" s="3"/>
      <c r="WVP164" s="3"/>
      <c r="WVQ164" s="3"/>
      <c r="WVR164" s="3"/>
      <c r="WVS164" s="3"/>
      <c r="WVT164" s="3"/>
      <c r="WVU164" s="3"/>
      <c r="WVV164" s="3"/>
      <c r="WVW164" s="3"/>
      <c r="WVX164" s="3"/>
      <c r="WVY164" s="3"/>
      <c r="WVZ164" s="3"/>
      <c r="WWA164" s="3"/>
      <c r="WWB164" s="3"/>
      <c r="WWC164" s="3"/>
      <c r="WWD164" s="3"/>
      <c r="WWE164" s="3"/>
      <c r="WWF164" s="3"/>
      <c r="WWG164" s="3"/>
      <c r="WWH164" s="3"/>
      <c r="WWI164" s="3"/>
      <c r="WWJ164" s="3"/>
      <c r="WWK164" s="3"/>
      <c r="WWL164" s="3"/>
      <c r="WWM164" s="3"/>
      <c r="WWN164" s="3"/>
      <c r="WWO164" s="3"/>
      <c r="WWP164" s="3"/>
      <c r="WWQ164" s="3"/>
      <c r="WWR164" s="3"/>
      <c r="WWS164" s="3"/>
      <c r="WWT164" s="3"/>
      <c r="WWU164" s="3"/>
      <c r="WWV164" s="3"/>
      <c r="WWW164" s="3"/>
      <c r="WWX164" s="3"/>
      <c r="WWY164" s="3"/>
      <c r="WWZ164" s="3"/>
      <c r="WXA164" s="3"/>
      <c r="WXB164" s="3"/>
      <c r="WXC164" s="3"/>
      <c r="WXD164" s="3"/>
      <c r="WXE164" s="3"/>
      <c r="WXF164" s="3"/>
      <c r="WXG164" s="3"/>
      <c r="WXH164" s="3"/>
      <c r="WXI164" s="3"/>
      <c r="WXJ164" s="3"/>
      <c r="WXK164" s="3"/>
      <c r="WXL164" s="3"/>
      <c r="WXM164" s="3"/>
      <c r="WXN164" s="3"/>
      <c r="WXO164" s="3"/>
      <c r="WXP164" s="3"/>
      <c r="WXQ164" s="3"/>
      <c r="WXR164" s="3"/>
      <c r="WXS164" s="3"/>
      <c r="WXT164" s="3"/>
      <c r="WXU164" s="3"/>
      <c r="WXV164" s="3"/>
      <c r="WXW164" s="3"/>
      <c r="WXX164" s="3"/>
      <c r="WXY164" s="3"/>
      <c r="WXZ164" s="3"/>
      <c r="WYA164" s="3"/>
      <c r="WYB164" s="3"/>
      <c r="WYC164" s="3"/>
      <c r="WYD164" s="3"/>
      <c r="WYE164" s="3"/>
      <c r="WYF164" s="3"/>
      <c r="WYG164" s="3"/>
      <c r="WYH164" s="3"/>
      <c r="WYI164" s="3"/>
      <c r="WYJ164" s="3"/>
      <c r="WYK164" s="3"/>
      <c r="WYL164" s="3"/>
      <c r="WYM164" s="3"/>
      <c r="WYN164" s="3"/>
      <c r="WYO164" s="3"/>
      <c r="WYP164" s="3"/>
      <c r="WYQ164" s="3"/>
      <c r="WYR164" s="3"/>
      <c r="WYS164" s="3"/>
      <c r="WYT164" s="3"/>
      <c r="WYU164" s="3"/>
      <c r="WYV164" s="3"/>
      <c r="WYW164" s="3"/>
      <c r="WYX164" s="3"/>
      <c r="WYY164" s="3"/>
      <c r="WYZ164" s="3"/>
      <c r="WZA164" s="3"/>
      <c r="WZB164" s="3"/>
      <c r="WZC164" s="3"/>
      <c r="WZD164" s="3"/>
      <c r="WZE164" s="3"/>
      <c r="WZF164" s="3"/>
      <c r="WZG164" s="3"/>
      <c r="WZH164" s="3"/>
      <c r="WZI164" s="3"/>
      <c r="WZJ164" s="3"/>
      <c r="WZK164" s="3"/>
      <c r="WZL164" s="3"/>
      <c r="WZM164" s="3"/>
      <c r="WZN164" s="3"/>
      <c r="WZO164" s="3"/>
      <c r="WZP164" s="3"/>
      <c r="WZQ164" s="3"/>
      <c r="WZR164" s="3"/>
      <c r="WZS164" s="3"/>
      <c r="WZT164" s="3"/>
      <c r="WZU164" s="3"/>
      <c r="WZV164" s="3"/>
      <c r="WZW164" s="3"/>
      <c r="WZX164" s="3"/>
      <c r="WZY164" s="3"/>
      <c r="WZZ164" s="3"/>
      <c r="XAA164" s="3"/>
      <c r="XAB164" s="3"/>
      <c r="XAC164" s="3"/>
      <c r="XAD164" s="3"/>
      <c r="XAE164" s="3"/>
      <c r="XAF164" s="3"/>
      <c r="XAG164" s="3"/>
      <c r="XAH164" s="3"/>
      <c r="XAI164" s="3"/>
      <c r="XAJ164" s="3"/>
      <c r="XAK164" s="3"/>
      <c r="XAL164" s="3"/>
      <c r="XAM164" s="3"/>
      <c r="XAN164" s="3"/>
      <c r="XAO164" s="3"/>
      <c r="XAP164" s="3"/>
      <c r="XAQ164" s="3"/>
      <c r="XAR164" s="3"/>
      <c r="XAS164" s="3"/>
      <c r="XAT164" s="3"/>
      <c r="XAU164" s="3"/>
      <c r="XAV164" s="3"/>
      <c r="XAW164" s="3"/>
      <c r="XAX164" s="3"/>
      <c r="XAY164" s="3"/>
      <c r="XAZ164" s="3"/>
      <c r="XBA164" s="3"/>
      <c r="XBB164" s="3"/>
      <c r="XBC164" s="3"/>
      <c r="XBD164" s="3"/>
      <c r="XBE164" s="3"/>
      <c r="XBF164" s="3"/>
      <c r="XBG164" s="3"/>
      <c r="XBH164" s="3"/>
      <c r="XBI164" s="3"/>
      <c r="XBJ164" s="3"/>
      <c r="XBK164" s="3"/>
      <c r="XBL164" s="3"/>
      <c r="XBM164" s="3"/>
      <c r="XBN164" s="3"/>
      <c r="XBO164" s="3"/>
      <c r="XBP164" s="3"/>
      <c r="XBQ164" s="3"/>
      <c r="XBR164" s="3"/>
      <c r="XBS164" s="3"/>
      <c r="XBT164" s="3"/>
      <c r="XBU164" s="3"/>
      <c r="XBV164" s="3"/>
      <c r="XBW164" s="3"/>
      <c r="XBX164" s="3"/>
      <c r="XBY164" s="3"/>
      <c r="XBZ164" s="3"/>
      <c r="XCA164" s="3"/>
      <c r="XCB164" s="3"/>
      <c r="XCC164" s="3"/>
      <c r="XCD164" s="3"/>
      <c r="XCE164" s="3"/>
      <c r="XCF164" s="3"/>
      <c r="XCG164" s="3"/>
      <c r="XCH164" s="3"/>
      <c r="XCI164" s="3"/>
      <c r="XCJ164" s="3"/>
      <c r="XCK164" s="3"/>
      <c r="XCL164" s="3"/>
      <c r="XCM164" s="3"/>
      <c r="XCN164" s="3"/>
      <c r="XCO164" s="3"/>
      <c r="XCP164" s="3"/>
      <c r="XCQ164" s="3"/>
      <c r="XCR164" s="3"/>
      <c r="XCS164" s="3"/>
      <c r="XCT164" s="3"/>
      <c r="XCU164" s="3"/>
      <c r="XCV164" s="3"/>
      <c r="XCW164" s="3"/>
      <c r="XCX164" s="3"/>
      <c r="XCY164" s="3"/>
      <c r="XCZ164" s="3"/>
      <c r="XDA164" s="3"/>
      <c r="XDB164" s="3"/>
      <c r="XDC164" s="3"/>
      <c r="XDD164" s="3"/>
      <c r="XDE164" s="3"/>
      <c r="XDF164" s="3"/>
      <c r="XDG164" s="3"/>
      <c r="XDH164" s="3"/>
      <c r="XDI164" s="3"/>
      <c r="XDJ164" s="3"/>
      <c r="XDK164" s="3"/>
      <c r="XDL164" s="3"/>
      <c r="XDM164" s="3"/>
      <c r="XDN164" s="3"/>
      <c r="XDO164" s="3"/>
      <c r="XDP164" s="3"/>
      <c r="XDQ164" s="3"/>
      <c r="XDR164" s="3"/>
      <c r="XDS164" s="3"/>
      <c r="XDT164" s="3"/>
      <c r="XDU164" s="3"/>
      <c r="XDV164" s="3"/>
      <c r="XDW164" s="3"/>
      <c r="XDX164" s="3"/>
      <c r="XDY164" s="3"/>
      <c r="XDZ164" s="3"/>
      <c r="XEA164" s="3"/>
      <c r="XEB164" s="3"/>
      <c r="XEC164" s="3"/>
      <c r="XED164" s="3"/>
      <c r="XEE164" s="3"/>
      <c r="XEF164" s="3"/>
      <c r="XEG164" s="3"/>
      <c r="XEH164" s="3"/>
      <c r="XEI164" s="3"/>
      <c r="XEJ164" s="3"/>
      <c r="XEK164" s="3"/>
      <c r="XEL164" s="3"/>
      <c r="XEM164" s="3"/>
      <c r="XEN164" s="3"/>
      <c r="XEO164" s="3"/>
      <c r="XEP164" s="3"/>
      <c r="XEQ164" s="3"/>
      <c r="XER164" s="3"/>
      <c r="XES164" s="3"/>
      <c r="XET164" s="3"/>
      <c r="XEU164" s="3"/>
      <c r="XEV164" s="3"/>
    </row>
    <row r="165" spans="1:16376">
      <c r="A165" s="8">
        <v>5275</v>
      </c>
      <c r="B165" t="s">
        <v>170</v>
      </c>
      <c r="C165" s="19">
        <v>12230798.359999999</v>
      </c>
      <c r="D165" s="20">
        <v>47610414.600000001</v>
      </c>
      <c r="E165" s="18">
        <v>10100421.199999999</v>
      </c>
      <c r="F165" s="23">
        <v>959891.46000000008</v>
      </c>
      <c r="G165" t="s">
        <v>307</v>
      </c>
      <c r="H165" t="s">
        <v>309</v>
      </c>
      <c r="K165" t="str">
        <f>"Anderson Community School Corp    "</f>
        <v xml:space="preserve">Anderson Community School Corp    </v>
      </c>
      <c r="L165" t="str">
        <f>"5275"</f>
        <v>5275</v>
      </c>
      <c r="M165">
        <v>123</v>
      </c>
      <c r="N165">
        <v>10101</v>
      </c>
      <c r="O165">
        <f t="shared" si="2"/>
        <v>9978</v>
      </c>
    </row>
    <row r="166" spans="1:16376">
      <c r="A166" s="8">
        <v>5280</v>
      </c>
      <c r="B166" t="s">
        <v>171</v>
      </c>
      <c r="C166" s="19">
        <v>1138813.72</v>
      </c>
      <c r="D166" s="20">
        <v>9606152.9699999988</v>
      </c>
      <c r="E166" s="18">
        <v>2278551.61</v>
      </c>
      <c r="F166" s="23">
        <v>22342.739999999998</v>
      </c>
      <c r="G166" t="s">
        <v>307</v>
      </c>
      <c r="H166" t="s">
        <v>309</v>
      </c>
      <c r="K166" t="str">
        <f>"Elwood Community School Corp      "</f>
        <v xml:space="preserve">Elwood Community School Corp      </v>
      </c>
      <c r="L166" t="str">
        <f>"5280"</f>
        <v>5280</v>
      </c>
      <c r="M166">
        <v>31</v>
      </c>
      <c r="N166">
        <v>1911</v>
      </c>
      <c r="O166">
        <f t="shared" si="2"/>
        <v>1880</v>
      </c>
    </row>
    <row r="167" spans="1:16376">
      <c r="A167" s="9">
        <v>5300</v>
      </c>
      <c r="B167" s="3" t="s">
        <v>172</v>
      </c>
      <c r="C167" s="19">
        <v>7361054.1100000003</v>
      </c>
      <c r="D167" s="20">
        <v>31093693.600000001</v>
      </c>
      <c r="E167" s="18">
        <v>2632585.02</v>
      </c>
      <c r="F167" s="23">
        <v>2239949.73</v>
      </c>
      <c r="G167" t="s">
        <v>307</v>
      </c>
      <c r="H167" t="s">
        <v>309</v>
      </c>
      <c r="K167" t="str">
        <f>"M S D Decatur Township            "</f>
        <v xml:space="preserve">M S D Decatur Township            </v>
      </c>
      <c r="L167" t="str">
        <f>"5300"</f>
        <v>5300</v>
      </c>
      <c r="M167">
        <v>0</v>
      </c>
      <c r="N167">
        <v>5954</v>
      </c>
      <c r="O167">
        <f t="shared" si="2"/>
        <v>5954</v>
      </c>
    </row>
    <row r="168" spans="1:16376">
      <c r="A168" s="8">
        <v>5310</v>
      </c>
      <c r="B168" t="s">
        <v>173</v>
      </c>
      <c r="C168" s="19">
        <v>9671075.5</v>
      </c>
      <c r="D168" s="20">
        <v>30410261.600000001</v>
      </c>
      <c r="E168" s="18">
        <v>1486970.35</v>
      </c>
      <c r="F168" s="23">
        <v>19232516.060000002</v>
      </c>
      <c r="G168" t="s">
        <v>307</v>
      </c>
      <c r="H168" t="s">
        <v>309</v>
      </c>
      <c r="I168" s="3"/>
      <c r="J168" s="3"/>
      <c r="K168" t="str">
        <f>"Franklin Township Com Sch Corp    "</f>
        <v xml:space="preserve">Franklin Township Com Sch Corp    </v>
      </c>
      <c r="L168" t="str">
        <f>"5310"</f>
        <v>5310</v>
      </c>
      <c r="M168">
        <v>61</v>
      </c>
      <c r="N168">
        <v>8292</v>
      </c>
      <c r="O168">
        <f t="shared" si="2"/>
        <v>8231</v>
      </c>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3"/>
      <c r="PB168" s="3"/>
      <c r="PC168" s="3"/>
      <c r="PD168" s="3"/>
      <c r="PE168" s="3"/>
      <c r="PF168" s="3"/>
      <c r="PG168" s="3"/>
      <c r="PH168" s="3"/>
      <c r="PI168" s="3"/>
      <c r="PJ168" s="3"/>
      <c r="PK168" s="3"/>
      <c r="PL168" s="3"/>
      <c r="PM168" s="3"/>
      <c r="PN168" s="3"/>
      <c r="PO168" s="3"/>
      <c r="PP168" s="3"/>
      <c r="PQ168" s="3"/>
      <c r="PR168" s="3"/>
      <c r="PS168" s="3"/>
      <c r="PT168" s="3"/>
      <c r="PU168" s="3"/>
      <c r="PV168" s="3"/>
      <c r="PW168" s="3"/>
      <c r="PX168" s="3"/>
      <c r="PY168" s="3"/>
      <c r="PZ168" s="3"/>
      <c r="QA168" s="3"/>
      <c r="QB168" s="3"/>
      <c r="QC168" s="3"/>
      <c r="QD168" s="3"/>
      <c r="QE168" s="3"/>
      <c r="QF168" s="3"/>
      <c r="QG168" s="3"/>
      <c r="QH168" s="3"/>
      <c r="QI168" s="3"/>
      <c r="QJ168" s="3"/>
      <c r="QK168" s="3"/>
      <c r="QL168" s="3"/>
      <c r="QM168" s="3"/>
      <c r="QN168" s="3"/>
      <c r="QO168" s="3"/>
      <c r="QP168" s="3"/>
      <c r="QQ168" s="3"/>
      <c r="QR168" s="3"/>
      <c r="QS168" s="3"/>
      <c r="QT168" s="3"/>
      <c r="QU168" s="3"/>
      <c r="QV168" s="3"/>
      <c r="QW168" s="3"/>
      <c r="QX168" s="3"/>
      <c r="QY168" s="3"/>
      <c r="QZ168" s="3"/>
      <c r="RA168" s="3"/>
      <c r="RB168" s="3"/>
      <c r="RC168" s="3"/>
      <c r="RD168" s="3"/>
      <c r="RE168" s="3"/>
      <c r="RF168" s="3"/>
      <c r="RG168" s="3"/>
      <c r="RH168" s="3"/>
      <c r="RI168" s="3"/>
      <c r="RJ168" s="3"/>
      <c r="RK168" s="3"/>
      <c r="RL168" s="3"/>
      <c r="RM168" s="3"/>
      <c r="RN168" s="3"/>
      <c r="RO168" s="3"/>
      <c r="RP168" s="3"/>
      <c r="RQ168" s="3"/>
      <c r="RR168" s="3"/>
      <c r="RS168" s="3"/>
      <c r="RT168" s="3"/>
      <c r="RU168" s="3"/>
      <c r="RV168" s="3"/>
      <c r="RW168" s="3"/>
      <c r="RX168" s="3"/>
      <c r="RY168" s="3"/>
      <c r="RZ168" s="3"/>
      <c r="SA168" s="3"/>
      <c r="SB168" s="3"/>
      <c r="SC168" s="3"/>
      <c r="SD168" s="3"/>
      <c r="SE168" s="3"/>
      <c r="SF168" s="3"/>
      <c r="SG168" s="3"/>
      <c r="SH168" s="3"/>
      <c r="SI168" s="3"/>
      <c r="SJ168" s="3"/>
      <c r="SK168" s="3"/>
      <c r="SL168" s="3"/>
      <c r="SM168" s="3"/>
      <c r="SN168" s="3"/>
      <c r="SO168" s="3"/>
      <c r="SP168" s="3"/>
      <c r="SQ168" s="3"/>
      <c r="SR168" s="3"/>
      <c r="SS168" s="3"/>
      <c r="ST168" s="3"/>
      <c r="SU168" s="3"/>
      <c r="SV168" s="3"/>
      <c r="SW168" s="3"/>
      <c r="SX168" s="3"/>
      <c r="SY168" s="3"/>
      <c r="SZ168" s="3"/>
      <c r="TA168" s="3"/>
      <c r="TB168" s="3"/>
      <c r="TC168" s="3"/>
      <c r="TD168" s="3"/>
      <c r="TE168" s="3"/>
      <c r="TF168" s="3"/>
      <c r="TG168" s="3"/>
      <c r="TH168" s="3"/>
      <c r="TI168" s="3"/>
      <c r="TJ168" s="3"/>
      <c r="TK168" s="3"/>
      <c r="TL168" s="3"/>
      <c r="TM168" s="3"/>
      <c r="TN168" s="3"/>
      <c r="TO168" s="3"/>
      <c r="TP168" s="3"/>
      <c r="TQ168" s="3"/>
      <c r="TR168" s="3"/>
      <c r="TS168" s="3"/>
      <c r="TT168" s="3"/>
      <c r="TU168" s="3"/>
      <c r="TV168" s="3"/>
      <c r="TW168" s="3"/>
      <c r="TX168" s="3"/>
      <c r="TY168" s="3"/>
      <c r="TZ168" s="3"/>
      <c r="UA168" s="3"/>
      <c r="UB168" s="3"/>
      <c r="UC168" s="3"/>
      <c r="UD168" s="3"/>
      <c r="UE168" s="3"/>
      <c r="UF168" s="3"/>
      <c r="UG168" s="3"/>
      <c r="UH168" s="3"/>
      <c r="UI168" s="3"/>
      <c r="UJ168" s="3"/>
      <c r="UK168" s="3"/>
      <c r="UL168" s="3"/>
      <c r="UM168" s="3"/>
      <c r="UN168" s="3"/>
      <c r="UO168" s="3"/>
      <c r="UP168" s="3"/>
      <c r="UQ168" s="3"/>
      <c r="UR168" s="3"/>
      <c r="US168" s="3"/>
      <c r="UT168" s="3"/>
      <c r="UU168" s="3"/>
      <c r="UV168" s="3"/>
      <c r="UW168" s="3"/>
      <c r="UX168" s="3"/>
      <c r="UY168" s="3"/>
      <c r="UZ168" s="3"/>
      <c r="VA168" s="3"/>
      <c r="VB168" s="3"/>
      <c r="VC168" s="3"/>
      <c r="VD168" s="3"/>
      <c r="VE168" s="3"/>
      <c r="VF168" s="3"/>
      <c r="VG168" s="3"/>
      <c r="VH168" s="3"/>
      <c r="VI168" s="3"/>
      <c r="VJ168" s="3"/>
      <c r="VK168" s="3"/>
      <c r="VL168" s="3"/>
      <c r="VM168" s="3"/>
      <c r="VN168" s="3"/>
      <c r="VO168" s="3"/>
      <c r="VP168" s="3"/>
      <c r="VQ168" s="3"/>
      <c r="VR168" s="3"/>
      <c r="VS168" s="3"/>
      <c r="VT168" s="3"/>
      <c r="VU168" s="3"/>
      <c r="VV168" s="3"/>
      <c r="VW168" s="3"/>
      <c r="VX168" s="3"/>
      <c r="VY168" s="3"/>
      <c r="VZ168" s="3"/>
      <c r="WA168" s="3"/>
      <c r="WB168" s="3"/>
      <c r="WC168" s="3"/>
      <c r="WD168" s="3"/>
      <c r="WE168" s="3"/>
      <c r="WF168" s="3"/>
      <c r="WG168" s="3"/>
      <c r="WH168" s="3"/>
      <c r="WI168" s="3"/>
      <c r="WJ168" s="3"/>
      <c r="WK168" s="3"/>
      <c r="WL168" s="3"/>
      <c r="WM168" s="3"/>
      <c r="WN168" s="3"/>
      <c r="WO168" s="3"/>
      <c r="WP168" s="3"/>
      <c r="WQ168" s="3"/>
      <c r="WR168" s="3"/>
      <c r="WS168" s="3"/>
      <c r="WT168" s="3"/>
      <c r="WU168" s="3"/>
      <c r="WV168" s="3"/>
      <c r="WW168" s="3"/>
      <c r="WX168" s="3"/>
      <c r="WY168" s="3"/>
      <c r="WZ168" s="3"/>
      <c r="XA168" s="3"/>
      <c r="XB168" s="3"/>
      <c r="XC168" s="3"/>
      <c r="XD168" s="3"/>
      <c r="XE168" s="3"/>
      <c r="XF168" s="3"/>
      <c r="XG168" s="3"/>
      <c r="XH168" s="3"/>
      <c r="XI168" s="3"/>
      <c r="XJ168" s="3"/>
      <c r="XK168" s="3"/>
      <c r="XL168" s="3"/>
      <c r="XM168" s="3"/>
      <c r="XN168" s="3"/>
      <c r="XO168" s="3"/>
      <c r="XP168" s="3"/>
      <c r="XQ168" s="3"/>
      <c r="XR168" s="3"/>
      <c r="XS168" s="3"/>
      <c r="XT168" s="3"/>
      <c r="XU168" s="3"/>
      <c r="XV168" s="3"/>
      <c r="XW168" s="3"/>
      <c r="XX168" s="3"/>
      <c r="XY168" s="3"/>
      <c r="XZ168" s="3"/>
      <c r="YA168" s="3"/>
      <c r="YB168" s="3"/>
      <c r="YC168" s="3"/>
      <c r="YD168" s="3"/>
      <c r="YE168" s="3"/>
      <c r="YF168" s="3"/>
      <c r="YG168" s="3"/>
      <c r="YH168" s="3"/>
      <c r="YI168" s="3"/>
      <c r="YJ168" s="3"/>
      <c r="YK168" s="3"/>
      <c r="YL168" s="3"/>
      <c r="YM168" s="3"/>
      <c r="YN168" s="3"/>
      <c r="YO168" s="3"/>
      <c r="YP168" s="3"/>
      <c r="YQ168" s="3"/>
      <c r="YR168" s="3"/>
      <c r="YS168" s="3"/>
      <c r="YT168" s="3"/>
      <c r="YU168" s="3"/>
      <c r="YV168" s="3"/>
      <c r="YW168" s="3"/>
      <c r="YX168" s="3"/>
      <c r="YY168" s="3"/>
      <c r="YZ168" s="3"/>
      <c r="ZA168" s="3"/>
      <c r="ZB168" s="3"/>
      <c r="ZC168" s="3"/>
      <c r="ZD168" s="3"/>
      <c r="ZE168" s="3"/>
      <c r="ZF168" s="3"/>
      <c r="ZG168" s="3"/>
      <c r="ZH168" s="3"/>
      <c r="ZI168" s="3"/>
      <c r="ZJ168" s="3"/>
      <c r="ZK168" s="3"/>
      <c r="ZL168" s="3"/>
      <c r="ZM168" s="3"/>
      <c r="ZN168" s="3"/>
      <c r="ZO168" s="3"/>
      <c r="ZP168" s="3"/>
      <c r="ZQ168" s="3"/>
      <c r="ZR168" s="3"/>
      <c r="ZS168" s="3"/>
      <c r="ZT168" s="3"/>
      <c r="ZU168" s="3"/>
      <c r="ZV168" s="3"/>
      <c r="ZW168" s="3"/>
      <c r="ZX168" s="3"/>
      <c r="ZY168" s="3"/>
      <c r="ZZ168" s="3"/>
      <c r="AAA168" s="3"/>
      <c r="AAB168" s="3"/>
      <c r="AAC168" s="3"/>
      <c r="AAD168" s="3"/>
      <c r="AAE168" s="3"/>
      <c r="AAF168" s="3"/>
      <c r="AAG168" s="3"/>
      <c r="AAH168" s="3"/>
      <c r="AAI168" s="3"/>
      <c r="AAJ168" s="3"/>
      <c r="AAK168" s="3"/>
      <c r="AAL168" s="3"/>
      <c r="AAM168" s="3"/>
      <c r="AAN168" s="3"/>
      <c r="AAO168" s="3"/>
      <c r="AAP168" s="3"/>
      <c r="AAQ168" s="3"/>
      <c r="AAR168" s="3"/>
      <c r="AAS168" s="3"/>
      <c r="AAT168" s="3"/>
      <c r="AAU168" s="3"/>
      <c r="AAV168" s="3"/>
      <c r="AAW168" s="3"/>
      <c r="AAX168" s="3"/>
      <c r="AAY168" s="3"/>
      <c r="AAZ168" s="3"/>
      <c r="ABA168" s="3"/>
      <c r="ABB168" s="3"/>
      <c r="ABC168" s="3"/>
      <c r="ABD168" s="3"/>
      <c r="ABE168" s="3"/>
      <c r="ABF168" s="3"/>
      <c r="ABG168" s="3"/>
      <c r="ABH168" s="3"/>
      <c r="ABI168" s="3"/>
      <c r="ABJ168" s="3"/>
      <c r="ABK168" s="3"/>
      <c r="ABL168" s="3"/>
      <c r="ABM168" s="3"/>
      <c r="ABN168" s="3"/>
      <c r="ABO168" s="3"/>
      <c r="ABP168" s="3"/>
      <c r="ABQ168" s="3"/>
      <c r="ABR168" s="3"/>
      <c r="ABS168" s="3"/>
      <c r="ABT168" s="3"/>
      <c r="ABU168" s="3"/>
      <c r="ABV168" s="3"/>
      <c r="ABW168" s="3"/>
      <c r="ABX168" s="3"/>
      <c r="ABY168" s="3"/>
      <c r="ABZ168" s="3"/>
      <c r="ACA168" s="3"/>
      <c r="ACB168" s="3"/>
      <c r="ACC168" s="3"/>
      <c r="ACD168" s="3"/>
      <c r="ACE168" s="3"/>
      <c r="ACF168" s="3"/>
      <c r="ACG168" s="3"/>
      <c r="ACH168" s="3"/>
      <c r="ACI168" s="3"/>
      <c r="ACJ168" s="3"/>
      <c r="ACK168" s="3"/>
      <c r="ACL168" s="3"/>
      <c r="ACM168" s="3"/>
      <c r="ACN168" s="3"/>
      <c r="ACO168" s="3"/>
      <c r="ACP168" s="3"/>
      <c r="ACQ168" s="3"/>
      <c r="ACR168" s="3"/>
      <c r="ACS168" s="3"/>
      <c r="ACT168" s="3"/>
      <c r="ACU168" s="3"/>
      <c r="ACV168" s="3"/>
      <c r="ACW168" s="3"/>
      <c r="ACX168" s="3"/>
      <c r="ACY168" s="3"/>
      <c r="ACZ168" s="3"/>
      <c r="ADA168" s="3"/>
      <c r="ADB168" s="3"/>
      <c r="ADC168" s="3"/>
      <c r="ADD168" s="3"/>
      <c r="ADE168" s="3"/>
      <c r="ADF168" s="3"/>
      <c r="ADG168" s="3"/>
      <c r="ADH168" s="3"/>
      <c r="ADI168" s="3"/>
      <c r="ADJ168" s="3"/>
      <c r="ADK168" s="3"/>
      <c r="ADL168" s="3"/>
      <c r="ADM168" s="3"/>
      <c r="ADN168" s="3"/>
      <c r="ADO168" s="3"/>
      <c r="ADP168" s="3"/>
      <c r="ADQ168" s="3"/>
      <c r="ADR168" s="3"/>
      <c r="ADS168" s="3"/>
      <c r="ADT168" s="3"/>
      <c r="ADU168" s="3"/>
      <c r="ADV168" s="3"/>
      <c r="ADW168" s="3"/>
      <c r="ADX168" s="3"/>
      <c r="ADY168" s="3"/>
      <c r="ADZ168" s="3"/>
      <c r="AEA168" s="3"/>
      <c r="AEB168" s="3"/>
      <c r="AEC168" s="3"/>
      <c r="AED168" s="3"/>
      <c r="AEE168" s="3"/>
      <c r="AEF168" s="3"/>
      <c r="AEG168" s="3"/>
      <c r="AEH168" s="3"/>
      <c r="AEI168" s="3"/>
      <c r="AEJ168" s="3"/>
      <c r="AEK168" s="3"/>
      <c r="AEL168" s="3"/>
      <c r="AEM168" s="3"/>
      <c r="AEN168" s="3"/>
      <c r="AEO168" s="3"/>
      <c r="AEP168" s="3"/>
      <c r="AEQ168" s="3"/>
      <c r="AER168" s="3"/>
      <c r="AES168" s="3"/>
      <c r="AET168" s="3"/>
      <c r="AEU168" s="3"/>
      <c r="AEV168" s="3"/>
      <c r="AEW168" s="3"/>
      <c r="AEX168" s="3"/>
      <c r="AEY168" s="3"/>
      <c r="AEZ168" s="3"/>
      <c r="AFA168" s="3"/>
      <c r="AFB168" s="3"/>
      <c r="AFC168" s="3"/>
      <c r="AFD168" s="3"/>
      <c r="AFE168" s="3"/>
      <c r="AFF168" s="3"/>
      <c r="AFG168" s="3"/>
      <c r="AFH168" s="3"/>
      <c r="AFI168" s="3"/>
      <c r="AFJ168" s="3"/>
      <c r="AFK168" s="3"/>
      <c r="AFL168" s="3"/>
      <c r="AFM168" s="3"/>
      <c r="AFN168" s="3"/>
      <c r="AFO168" s="3"/>
      <c r="AFP168" s="3"/>
      <c r="AFQ168" s="3"/>
      <c r="AFR168" s="3"/>
      <c r="AFS168" s="3"/>
      <c r="AFT168" s="3"/>
      <c r="AFU168" s="3"/>
      <c r="AFV168" s="3"/>
      <c r="AFW168" s="3"/>
      <c r="AFX168" s="3"/>
      <c r="AFY168" s="3"/>
      <c r="AFZ168" s="3"/>
      <c r="AGA168" s="3"/>
      <c r="AGB168" s="3"/>
      <c r="AGC168" s="3"/>
      <c r="AGD168" s="3"/>
      <c r="AGE168" s="3"/>
      <c r="AGF168" s="3"/>
      <c r="AGG168" s="3"/>
      <c r="AGH168" s="3"/>
      <c r="AGI168" s="3"/>
      <c r="AGJ168" s="3"/>
      <c r="AGK168" s="3"/>
      <c r="AGL168" s="3"/>
      <c r="AGM168" s="3"/>
      <c r="AGN168" s="3"/>
      <c r="AGO168" s="3"/>
      <c r="AGP168" s="3"/>
      <c r="AGQ168" s="3"/>
      <c r="AGR168" s="3"/>
      <c r="AGS168" s="3"/>
      <c r="AGT168" s="3"/>
      <c r="AGU168" s="3"/>
      <c r="AGV168" s="3"/>
      <c r="AGW168" s="3"/>
      <c r="AGX168" s="3"/>
      <c r="AGY168" s="3"/>
      <c r="AGZ168" s="3"/>
      <c r="AHA168" s="3"/>
      <c r="AHB168" s="3"/>
      <c r="AHC168" s="3"/>
      <c r="AHD168" s="3"/>
      <c r="AHE168" s="3"/>
      <c r="AHF168" s="3"/>
      <c r="AHG168" s="3"/>
      <c r="AHH168" s="3"/>
      <c r="AHI168" s="3"/>
      <c r="AHJ168" s="3"/>
      <c r="AHK168" s="3"/>
      <c r="AHL168" s="3"/>
      <c r="AHM168" s="3"/>
      <c r="AHN168" s="3"/>
      <c r="AHO168" s="3"/>
      <c r="AHP168" s="3"/>
      <c r="AHQ168" s="3"/>
      <c r="AHR168" s="3"/>
      <c r="AHS168" s="3"/>
      <c r="AHT168" s="3"/>
      <c r="AHU168" s="3"/>
      <c r="AHV168" s="3"/>
      <c r="AHW168" s="3"/>
      <c r="AHX168" s="3"/>
      <c r="AHY168" s="3"/>
      <c r="AHZ168" s="3"/>
      <c r="AIA168" s="3"/>
      <c r="AIB168" s="3"/>
      <c r="AIC168" s="3"/>
      <c r="AID168" s="3"/>
      <c r="AIE168" s="3"/>
      <c r="AIF168" s="3"/>
      <c r="AIG168" s="3"/>
      <c r="AIH168" s="3"/>
      <c r="AII168" s="3"/>
      <c r="AIJ168" s="3"/>
      <c r="AIK168" s="3"/>
      <c r="AIL168" s="3"/>
      <c r="AIM168" s="3"/>
      <c r="AIN168" s="3"/>
      <c r="AIO168" s="3"/>
      <c r="AIP168" s="3"/>
      <c r="AIQ168" s="3"/>
      <c r="AIR168" s="3"/>
      <c r="AIS168" s="3"/>
      <c r="AIT168" s="3"/>
      <c r="AIU168" s="3"/>
      <c r="AIV168" s="3"/>
      <c r="AIW168" s="3"/>
      <c r="AIX168" s="3"/>
      <c r="AIY168" s="3"/>
      <c r="AIZ168" s="3"/>
      <c r="AJA168" s="3"/>
      <c r="AJB168" s="3"/>
      <c r="AJC168" s="3"/>
      <c r="AJD168" s="3"/>
      <c r="AJE168" s="3"/>
      <c r="AJF168" s="3"/>
      <c r="AJG168" s="3"/>
      <c r="AJH168" s="3"/>
      <c r="AJI168" s="3"/>
      <c r="AJJ168" s="3"/>
      <c r="AJK168" s="3"/>
      <c r="AJL168" s="3"/>
      <c r="AJM168" s="3"/>
      <c r="AJN168" s="3"/>
      <c r="AJO168" s="3"/>
      <c r="AJP168" s="3"/>
      <c r="AJQ168" s="3"/>
      <c r="AJR168" s="3"/>
      <c r="AJS168" s="3"/>
      <c r="AJT168" s="3"/>
      <c r="AJU168" s="3"/>
      <c r="AJV168" s="3"/>
      <c r="AJW168" s="3"/>
      <c r="AJX168" s="3"/>
      <c r="AJY168" s="3"/>
      <c r="AJZ168" s="3"/>
      <c r="AKA168" s="3"/>
      <c r="AKB168" s="3"/>
      <c r="AKC168" s="3"/>
      <c r="AKD168" s="3"/>
      <c r="AKE168" s="3"/>
      <c r="AKF168" s="3"/>
      <c r="AKG168" s="3"/>
      <c r="AKH168" s="3"/>
      <c r="AKI168" s="3"/>
      <c r="AKJ168" s="3"/>
      <c r="AKK168" s="3"/>
      <c r="AKL168" s="3"/>
      <c r="AKM168" s="3"/>
      <c r="AKN168" s="3"/>
      <c r="AKO168" s="3"/>
      <c r="AKP168" s="3"/>
      <c r="AKQ168" s="3"/>
      <c r="AKR168" s="3"/>
      <c r="AKS168" s="3"/>
      <c r="AKT168" s="3"/>
      <c r="AKU168" s="3"/>
      <c r="AKV168" s="3"/>
      <c r="AKW168" s="3"/>
      <c r="AKX168" s="3"/>
      <c r="AKY168" s="3"/>
      <c r="AKZ168" s="3"/>
      <c r="ALA168" s="3"/>
      <c r="ALB168" s="3"/>
      <c r="ALC168" s="3"/>
      <c r="ALD168" s="3"/>
      <c r="ALE168" s="3"/>
      <c r="ALF168" s="3"/>
      <c r="ALG168" s="3"/>
      <c r="ALH168" s="3"/>
      <c r="ALI168" s="3"/>
      <c r="ALJ168" s="3"/>
      <c r="ALK168" s="3"/>
      <c r="ALL168" s="3"/>
      <c r="ALM168" s="3"/>
      <c r="ALN168" s="3"/>
      <c r="ALO168" s="3"/>
      <c r="ALP168" s="3"/>
      <c r="ALQ168" s="3"/>
      <c r="ALR168" s="3"/>
      <c r="ALS168" s="3"/>
      <c r="ALT168" s="3"/>
      <c r="ALU168" s="3"/>
      <c r="ALV168" s="3"/>
      <c r="ALW168" s="3"/>
      <c r="ALX168" s="3"/>
      <c r="ALY168" s="3"/>
      <c r="ALZ168" s="3"/>
      <c r="AMA168" s="3"/>
      <c r="AMB168" s="3"/>
      <c r="AMC168" s="3"/>
      <c r="AMD168" s="3"/>
      <c r="AME168" s="3"/>
      <c r="AMF168" s="3"/>
      <c r="AMG168" s="3"/>
      <c r="AMH168" s="3"/>
      <c r="AMI168" s="3"/>
      <c r="AMJ168" s="3"/>
      <c r="AMK168" s="3"/>
      <c r="AML168" s="3"/>
      <c r="AMM168" s="3"/>
      <c r="AMN168" s="3"/>
      <c r="AMO168" s="3"/>
      <c r="AMP168" s="3"/>
      <c r="AMQ168" s="3"/>
      <c r="AMR168" s="3"/>
      <c r="AMS168" s="3"/>
      <c r="AMT168" s="3"/>
      <c r="AMU168" s="3"/>
      <c r="AMV168" s="3"/>
      <c r="AMW168" s="3"/>
      <c r="AMX168" s="3"/>
      <c r="AMY168" s="3"/>
      <c r="AMZ168" s="3"/>
      <c r="ANA168" s="3"/>
      <c r="ANB168" s="3"/>
      <c r="ANC168" s="3"/>
      <c r="AND168" s="3"/>
      <c r="ANE168" s="3"/>
      <c r="ANF168" s="3"/>
      <c r="ANG168" s="3"/>
      <c r="ANH168" s="3"/>
      <c r="ANI168" s="3"/>
      <c r="ANJ168" s="3"/>
      <c r="ANK168" s="3"/>
      <c r="ANL168" s="3"/>
      <c r="ANM168" s="3"/>
      <c r="ANN168" s="3"/>
      <c r="ANO168" s="3"/>
      <c r="ANP168" s="3"/>
      <c r="ANQ168" s="3"/>
      <c r="ANR168" s="3"/>
      <c r="ANS168" s="3"/>
      <c r="ANT168" s="3"/>
      <c r="ANU168" s="3"/>
      <c r="ANV168" s="3"/>
      <c r="ANW168" s="3"/>
      <c r="ANX168" s="3"/>
      <c r="ANY168" s="3"/>
      <c r="ANZ168" s="3"/>
      <c r="AOA168" s="3"/>
      <c r="AOB168" s="3"/>
      <c r="AOC168" s="3"/>
      <c r="AOD168" s="3"/>
      <c r="AOE168" s="3"/>
      <c r="AOF168" s="3"/>
      <c r="AOG168" s="3"/>
      <c r="AOH168" s="3"/>
      <c r="AOI168" s="3"/>
      <c r="AOJ168" s="3"/>
      <c r="AOK168" s="3"/>
      <c r="AOL168" s="3"/>
      <c r="AOM168" s="3"/>
      <c r="AON168" s="3"/>
      <c r="AOO168" s="3"/>
      <c r="AOP168" s="3"/>
      <c r="AOQ168" s="3"/>
      <c r="AOR168" s="3"/>
      <c r="AOS168" s="3"/>
      <c r="AOT168" s="3"/>
      <c r="AOU168" s="3"/>
      <c r="AOV168" s="3"/>
      <c r="AOW168" s="3"/>
      <c r="AOX168" s="3"/>
      <c r="AOY168" s="3"/>
      <c r="AOZ168" s="3"/>
      <c r="APA168" s="3"/>
      <c r="APB168" s="3"/>
      <c r="APC168" s="3"/>
      <c r="APD168" s="3"/>
      <c r="APE168" s="3"/>
      <c r="APF168" s="3"/>
      <c r="APG168" s="3"/>
      <c r="APH168" s="3"/>
      <c r="API168" s="3"/>
      <c r="APJ168" s="3"/>
      <c r="APK168" s="3"/>
      <c r="APL168" s="3"/>
      <c r="APM168" s="3"/>
      <c r="APN168" s="3"/>
      <c r="APO168" s="3"/>
      <c r="APP168" s="3"/>
      <c r="APQ168" s="3"/>
      <c r="APR168" s="3"/>
      <c r="APS168" s="3"/>
      <c r="APT168" s="3"/>
      <c r="APU168" s="3"/>
      <c r="APV168" s="3"/>
      <c r="APW168" s="3"/>
      <c r="APX168" s="3"/>
      <c r="APY168" s="3"/>
      <c r="APZ168" s="3"/>
      <c r="AQA168" s="3"/>
      <c r="AQB168" s="3"/>
      <c r="AQC168" s="3"/>
      <c r="AQD168" s="3"/>
      <c r="AQE168" s="3"/>
      <c r="AQF168" s="3"/>
      <c r="AQG168" s="3"/>
      <c r="AQH168" s="3"/>
      <c r="AQI168" s="3"/>
      <c r="AQJ168" s="3"/>
      <c r="AQK168" s="3"/>
      <c r="AQL168" s="3"/>
      <c r="AQM168" s="3"/>
      <c r="AQN168" s="3"/>
      <c r="AQO168" s="3"/>
      <c r="AQP168" s="3"/>
      <c r="AQQ168" s="3"/>
      <c r="AQR168" s="3"/>
      <c r="AQS168" s="3"/>
      <c r="AQT168" s="3"/>
      <c r="AQU168" s="3"/>
      <c r="AQV168" s="3"/>
      <c r="AQW168" s="3"/>
      <c r="AQX168" s="3"/>
      <c r="AQY168" s="3"/>
      <c r="AQZ168" s="3"/>
      <c r="ARA168" s="3"/>
      <c r="ARB168" s="3"/>
      <c r="ARC168" s="3"/>
      <c r="ARD168" s="3"/>
      <c r="ARE168" s="3"/>
      <c r="ARF168" s="3"/>
      <c r="ARG168" s="3"/>
      <c r="ARH168" s="3"/>
      <c r="ARI168" s="3"/>
      <c r="ARJ168" s="3"/>
      <c r="ARK168" s="3"/>
      <c r="ARL168" s="3"/>
      <c r="ARM168" s="3"/>
      <c r="ARN168" s="3"/>
      <c r="ARO168" s="3"/>
      <c r="ARP168" s="3"/>
      <c r="ARQ168" s="3"/>
      <c r="ARR168" s="3"/>
      <c r="ARS168" s="3"/>
      <c r="ART168" s="3"/>
      <c r="ARU168" s="3"/>
      <c r="ARV168" s="3"/>
      <c r="ARW168" s="3"/>
      <c r="ARX168" s="3"/>
      <c r="ARY168" s="3"/>
      <c r="ARZ168" s="3"/>
      <c r="ASA168" s="3"/>
      <c r="ASB168" s="3"/>
      <c r="ASC168" s="3"/>
      <c r="ASD168" s="3"/>
      <c r="ASE168" s="3"/>
      <c r="ASF168" s="3"/>
      <c r="ASG168" s="3"/>
      <c r="ASH168" s="3"/>
      <c r="ASI168" s="3"/>
      <c r="ASJ168" s="3"/>
      <c r="ASK168" s="3"/>
      <c r="ASL168" s="3"/>
      <c r="ASM168" s="3"/>
      <c r="ASN168" s="3"/>
      <c r="ASO168" s="3"/>
      <c r="ASP168" s="3"/>
      <c r="ASQ168" s="3"/>
      <c r="ASR168" s="3"/>
      <c r="ASS168" s="3"/>
      <c r="AST168" s="3"/>
      <c r="ASU168" s="3"/>
      <c r="ASV168" s="3"/>
      <c r="ASW168" s="3"/>
      <c r="ASX168" s="3"/>
      <c r="ASY168" s="3"/>
      <c r="ASZ168" s="3"/>
      <c r="ATA168" s="3"/>
      <c r="ATB168" s="3"/>
      <c r="ATC168" s="3"/>
      <c r="ATD168" s="3"/>
      <c r="ATE168" s="3"/>
      <c r="ATF168" s="3"/>
      <c r="ATG168" s="3"/>
      <c r="ATH168" s="3"/>
      <c r="ATI168" s="3"/>
      <c r="ATJ168" s="3"/>
      <c r="ATK168" s="3"/>
      <c r="ATL168" s="3"/>
      <c r="ATM168" s="3"/>
      <c r="ATN168" s="3"/>
      <c r="ATO168" s="3"/>
      <c r="ATP168" s="3"/>
      <c r="ATQ168" s="3"/>
      <c r="ATR168" s="3"/>
      <c r="ATS168" s="3"/>
      <c r="ATT168" s="3"/>
      <c r="ATU168" s="3"/>
      <c r="ATV168" s="3"/>
      <c r="ATW168" s="3"/>
      <c r="ATX168" s="3"/>
      <c r="ATY168" s="3"/>
      <c r="ATZ168" s="3"/>
      <c r="AUA168" s="3"/>
      <c r="AUB168" s="3"/>
      <c r="AUC168" s="3"/>
      <c r="AUD168" s="3"/>
      <c r="AUE168" s="3"/>
      <c r="AUF168" s="3"/>
      <c r="AUG168" s="3"/>
      <c r="AUH168" s="3"/>
      <c r="AUI168" s="3"/>
      <c r="AUJ168" s="3"/>
      <c r="AUK168" s="3"/>
      <c r="AUL168" s="3"/>
      <c r="AUM168" s="3"/>
      <c r="AUN168" s="3"/>
      <c r="AUO168" s="3"/>
      <c r="AUP168" s="3"/>
      <c r="AUQ168" s="3"/>
      <c r="AUR168" s="3"/>
      <c r="AUS168" s="3"/>
      <c r="AUT168" s="3"/>
      <c r="AUU168" s="3"/>
      <c r="AUV168" s="3"/>
      <c r="AUW168" s="3"/>
      <c r="AUX168" s="3"/>
      <c r="AUY168" s="3"/>
      <c r="AUZ168" s="3"/>
      <c r="AVA168" s="3"/>
      <c r="AVB168" s="3"/>
      <c r="AVC168" s="3"/>
      <c r="AVD168" s="3"/>
      <c r="AVE168" s="3"/>
      <c r="AVF168" s="3"/>
      <c r="AVG168" s="3"/>
      <c r="AVH168" s="3"/>
      <c r="AVI168" s="3"/>
      <c r="AVJ168" s="3"/>
      <c r="AVK168" s="3"/>
      <c r="AVL168" s="3"/>
      <c r="AVM168" s="3"/>
      <c r="AVN168" s="3"/>
      <c r="AVO168" s="3"/>
      <c r="AVP168" s="3"/>
      <c r="AVQ168" s="3"/>
      <c r="AVR168" s="3"/>
      <c r="AVS168" s="3"/>
      <c r="AVT168" s="3"/>
      <c r="AVU168" s="3"/>
      <c r="AVV168" s="3"/>
      <c r="AVW168" s="3"/>
      <c r="AVX168" s="3"/>
      <c r="AVY168" s="3"/>
      <c r="AVZ168" s="3"/>
      <c r="AWA168" s="3"/>
      <c r="AWB168" s="3"/>
      <c r="AWC168" s="3"/>
      <c r="AWD168" s="3"/>
      <c r="AWE168" s="3"/>
      <c r="AWF168" s="3"/>
      <c r="AWG168" s="3"/>
      <c r="AWH168" s="3"/>
      <c r="AWI168" s="3"/>
      <c r="AWJ168" s="3"/>
      <c r="AWK168" s="3"/>
      <c r="AWL168" s="3"/>
      <c r="AWM168" s="3"/>
      <c r="AWN168" s="3"/>
      <c r="AWO168" s="3"/>
      <c r="AWP168" s="3"/>
      <c r="AWQ168" s="3"/>
      <c r="AWR168" s="3"/>
      <c r="AWS168" s="3"/>
      <c r="AWT168" s="3"/>
      <c r="AWU168" s="3"/>
      <c r="AWV168" s="3"/>
      <c r="AWW168" s="3"/>
      <c r="AWX168" s="3"/>
      <c r="AWY168" s="3"/>
      <c r="AWZ168" s="3"/>
      <c r="AXA168" s="3"/>
      <c r="AXB168" s="3"/>
      <c r="AXC168" s="3"/>
      <c r="AXD168" s="3"/>
      <c r="AXE168" s="3"/>
      <c r="AXF168" s="3"/>
      <c r="AXG168" s="3"/>
      <c r="AXH168" s="3"/>
      <c r="AXI168" s="3"/>
      <c r="AXJ168" s="3"/>
      <c r="AXK168" s="3"/>
      <c r="AXL168" s="3"/>
      <c r="AXM168" s="3"/>
      <c r="AXN168" s="3"/>
      <c r="AXO168" s="3"/>
      <c r="AXP168" s="3"/>
      <c r="AXQ168" s="3"/>
      <c r="AXR168" s="3"/>
      <c r="AXS168" s="3"/>
      <c r="AXT168" s="3"/>
      <c r="AXU168" s="3"/>
      <c r="AXV168" s="3"/>
      <c r="AXW168" s="3"/>
      <c r="AXX168" s="3"/>
      <c r="AXY168" s="3"/>
      <c r="AXZ168" s="3"/>
      <c r="AYA168" s="3"/>
      <c r="AYB168" s="3"/>
      <c r="AYC168" s="3"/>
      <c r="AYD168" s="3"/>
      <c r="AYE168" s="3"/>
      <c r="AYF168" s="3"/>
      <c r="AYG168" s="3"/>
      <c r="AYH168" s="3"/>
      <c r="AYI168" s="3"/>
      <c r="AYJ168" s="3"/>
      <c r="AYK168" s="3"/>
      <c r="AYL168" s="3"/>
      <c r="AYM168" s="3"/>
      <c r="AYN168" s="3"/>
      <c r="AYO168" s="3"/>
      <c r="AYP168" s="3"/>
      <c r="AYQ168" s="3"/>
      <c r="AYR168" s="3"/>
      <c r="AYS168" s="3"/>
      <c r="AYT168" s="3"/>
      <c r="AYU168" s="3"/>
      <c r="AYV168" s="3"/>
      <c r="AYW168" s="3"/>
      <c r="AYX168" s="3"/>
      <c r="AYY168" s="3"/>
      <c r="AYZ168" s="3"/>
      <c r="AZA168" s="3"/>
      <c r="AZB168" s="3"/>
      <c r="AZC168" s="3"/>
      <c r="AZD168" s="3"/>
      <c r="AZE168" s="3"/>
      <c r="AZF168" s="3"/>
      <c r="AZG168" s="3"/>
      <c r="AZH168" s="3"/>
      <c r="AZI168" s="3"/>
      <c r="AZJ168" s="3"/>
      <c r="AZK168" s="3"/>
      <c r="AZL168" s="3"/>
      <c r="AZM168" s="3"/>
      <c r="AZN168" s="3"/>
      <c r="AZO168" s="3"/>
      <c r="AZP168" s="3"/>
      <c r="AZQ168" s="3"/>
      <c r="AZR168" s="3"/>
      <c r="AZS168" s="3"/>
      <c r="AZT168" s="3"/>
      <c r="AZU168" s="3"/>
      <c r="AZV168" s="3"/>
      <c r="AZW168" s="3"/>
      <c r="AZX168" s="3"/>
      <c r="AZY168" s="3"/>
      <c r="AZZ168" s="3"/>
      <c r="BAA168" s="3"/>
      <c r="BAB168" s="3"/>
      <c r="BAC168" s="3"/>
      <c r="BAD168" s="3"/>
      <c r="BAE168" s="3"/>
      <c r="BAF168" s="3"/>
      <c r="BAG168" s="3"/>
      <c r="BAH168" s="3"/>
      <c r="BAI168" s="3"/>
      <c r="BAJ168" s="3"/>
      <c r="BAK168" s="3"/>
      <c r="BAL168" s="3"/>
      <c r="BAM168" s="3"/>
      <c r="BAN168" s="3"/>
      <c r="BAO168" s="3"/>
      <c r="BAP168" s="3"/>
      <c r="BAQ168" s="3"/>
      <c r="BAR168" s="3"/>
      <c r="BAS168" s="3"/>
      <c r="BAT168" s="3"/>
      <c r="BAU168" s="3"/>
      <c r="BAV168" s="3"/>
      <c r="BAW168" s="3"/>
      <c r="BAX168" s="3"/>
      <c r="BAY168" s="3"/>
      <c r="BAZ168" s="3"/>
      <c r="BBA168" s="3"/>
      <c r="BBB168" s="3"/>
      <c r="BBC168" s="3"/>
      <c r="BBD168" s="3"/>
      <c r="BBE168" s="3"/>
      <c r="BBF168" s="3"/>
      <c r="BBG168" s="3"/>
      <c r="BBH168" s="3"/>
      <c r="BBI168" s="3"/>
      <c r="BBJ168" s="3"/>
      <c r="BBK168" s="3"/>
      <c r="BBL168" s="3"/>
      <c r="BBM168" s="3"/>
      <c r="BBN168" s="3"/>
      <c r="BBO168" s="3"/>
      <c r="BBP168" s="3"/>
      <c r="BBQ168" s="3"/>
      <c r="BBR168" s="3"/>
      <c r="BBS168" s="3"/>
      <c r="BBT168" s="3"/>
      <c r="BBU168" s="3"/>
      <c r="BBV168" s="3"/>
      <c r="BBW168" s="3"/>
      <c r="BBX168" s="3"/>
      <c r="BBY168" s="3"/>
      <c r="BBZ168" s="3"/>
      <c r="BCA168" s="3"/>
      <c r="BCB168" s="3"/>
      <c r="BCC168" s="3"/>
      <c r="BCD168" s="3"/>
      <c r="BCE168" s="3"/>
      <c r="BCF168" s="3"/>
      <c r="BCG168" s="3"/>
      <c r="BCH168" s="3"/>
      <c r="BCI168" s="3"/>
      <c r="BCJ168" s="3"/>
      <c r="BCK168" s="3"/>
      <c r="BCL168" s="3"/>
      <c r="BCM168" s="3"/>
      <c r="BCN168" s="3"/>
      <c r="BCO168" s="3"/>
      <c r="BCP168" s="3"/>
      <c r="BCQ168" s="3"/>
      <c r="BCR168" s="3"/>
      <c r="BCS168" s="3"/>
      <c r="BCT168" s="3"/>
      <c r="BCU168" s="3"/>
      <c r="BCV168" s="3"/>
      <c r="BCW168" s="3"/>
      <c r="BCX168" s="3"/>
      <c r="BCY168" s="3"/>
      <c r="BCZ168" s="3"/>
      <c r="BDA168" s="3"/>
      <c r="BDB168" s="3"/>
      <c r="BDC168" s="3"/>
      <c r="BDD168" s="3"/>
      <c r="BDE168" s="3"/>
      <c r="BDF168" s="3"/>
      <c r="BDG168" s="3"/>
      <c r="BDH168" s="3"/>
      <c r="BDI168" s="3"/>
      <c r="BDJ168" s="3"/>
      <c r="BDK168" s="3"/>
      <c r="BDL168" s="3"/>
      <c r="BDM168" s="3"/>
      <c r="BDN168" s="3"/>
      <c r="BDO168" s="3"/>
      <c r="BDP168" s="3"/>
      <c r="BDQ168" s="3"/>
      <c r="BDR168" s="3"/>
      <c r="BDS168" s="3"/>
      <c r="BDT168" s="3"/>
      <c r="BDU168" s="3"/>
      <c r="BDV168" s="3"/>
      <c r="BDW168" s="3"/>
      <c r="BDX168" s="3"/>
      <c r="BDY168" s="3"/>
      <c r="BDZ168" s="3"/>
      <c r="BEA168" s="3"/>
      <c r="BEB168" s="3"/>
      <c r="BEC168" s="3"/>
      <c r="BED168" s="3"/>
      <c r="BEE168" s="3"/>
      <c r="BEF168" s="3"/>
      <c r="BEG168" s="3"/>
      <c r="BEH168" s="3"/>
      <c r="BEI168" s="3"/>
      <c r="BEJ168" s="3"/>
      <c r="BEK168" s="3"/>
      <c r="BEL168" s="3"/>
      <c r="BEM168" s="3"/>
      <c r="BEN168" s="3"/>
      <c r="BEO168" s="3"/>
      <c r="BEP168" s="3"/>
      <c r="BEQ168" s="3"/>
      <c r="BER168" s="3"/>
      <c r="BES168" s="3"/>
      <c r="BET168" s="3"/>
      <c r="BEU168" s="3"/>
      <c r="BEV168" s="3"/>
      <c r="BEW168" s="3"/>
      <c r="BEX168" s="3"/>
      <c r="BEY168" s="3"/>
      <c r="BEZ168" s="3"/>
      <c r="BFA168" s="3"/>
      <c r="BFB168" s="3"/>
      <c r="BFC168" s="3"/>
      <c r="BFD168" s="3"/>
      <c r="BFE168" s="3"/>
      <c r="BFF168" s="3"/>
      <c r="BFG168" s="3"/>
      <c r="BFH168" s="3"/>
      <c r="BFI168" s="3"/>
      <c r="BFJ168" s="3"/>
      <c r="BFK168" s="3"/>
      <c r="BFL168" s="3"/>
      <c r="BFM168" s="3"/>
      <c r="BFN168" s="3"/>
      <c r="BFO168" s="3"/>
      <c r="BFP168" s="3"/>
      <c r="BFQ168" s="3"/>
      <c r="BFR168" s="3"/>
      <c r="BFS168" s="3"/>
      <c r="BFT168" s="3"/>
      <c r="BFU168" s="3"/>
      <c r="BFV168" s="3"/>
      <c r="BFW168" s="3"/>
      <c r="BFX168" s="3"/>
      <c r="BFY168" s="3"/>
      <c r="BFZ168" s="3"/>
      <c r="BGA168" s="3"/>
      <c r="BGB168" s="3"/>
      <c r="BGC168" s="3"/>
      <c r="BGD168" s="3"/>
      <c r="BGE168" s="3"/>
      <c r="BGF168" s="3"/>
      <c r="BGG168" s="3"/>
      <c r="BGH168" s="3"/>
      <c r="BGI168" s="3"/>
      <c r="BGJ168" s="3"/>
      <c r="BGK168" s="3"/>
      <c r="BGL168" s="3"/>
      <c r="BGM168" s="3"/>
      <c r="BGN168" s="3"/>
      <c r="BGO168" s="3"/>
      <c r="BGP168" s="3"/>
      <c r="BGQ168" s="3"/>
      <c r="BGR168" s="3"/>
      <c r="BGS168" s="3"/>
      <c r="BGT168" s="3"/>
      <c r="BGU168" s="3"/>
      <c r="BGV168" s="3"/>
      <c r="BGW168" s="3"/>
      <c r="BGX168" s="3"/>
      <c r="BGY168" s="3"/>
      <c r="BGZ168" s="3"/>
      <c r="BHA168" s="3"/>
      <c r="BHB168" s="3"/>
      <c r="BHC168" s="3"/>
      <c r="BHD168" s="3"/>
      <c r="BHE168" s="3"/>
      <c r="BHF168" s="3"/>
      <c r="BHG168" s="3"/>
      <c r="BHH168" s="3"/>
      <c r="BHI168" s="3"/>
      <c r="BHJ168" s="3"/>
      <c r="BHK168" s="3"/>
      <c r="BHL168" s="3"/>
      <c r="BHM168" s="3"/>
      <c r="BHN168" s="3"/>
      <c r="BHO168" s="3"/>
      <c r="BHP168" s="3"/>
      <c r="BHQ168" s="3"/>
      <c r="BHR168" s="3"/>
      <c r="BHS168" s="3"/>
      <c r="BHT168" s="3"/>
      <c r="BHU168" s="3"/>
      <c r="BHV168" s="3"/>
      <c r="BHW168" s="3"/>
      <c r="BHX168" s="3"/>
      <c r="BHY168" s="3"/>
      <c r="BHZ168" s="3"/>
      <c r="BIA168" s="3"/>
      <c r="BIB168" s="3"/>
      <c r="BIC168" s="3"/>
      <c r="BID168" s="3"/>
      <c r="BIE168" s="3"/>
      <c r="BIF168" s="3"/>
      <c r="BIG168" s="3"/>
      <c r="BIH168" s="3"/>
      <c r="BII168" s="3"/>
      <c r="BIJ168" s="3"/>
      <c r="BIK168" s="3"/>
      <c r="BIL168" s="3"/>
      <c r="BIM168" s="3"/>
      <c r="BIN168" s="3"/>
      <c r="BIO168" s="3"/>
      <c r="BIP168" s="3"/>
      <c r="BIQ168" s="3"/>
      <c r="BIR168" s="3"/>
      <c r="BIS168" s="3"/>
      <c r="BIT168" s="3"/>
      <c r="BIU168" s="3"/>
      <c r="BIV168" s="3"/>
      <c r="BIW168" s="3"/>
      <c r="BIX168" s="3"/>
      <c r="BIY168" s="3"/>
      <c r="BIZ168" s="3"/>
      <c r="BJA168" s="3"/>
      <c r="BJB168" s="3"/>
      <c r="BJC168" s="3"/>
      <c r="BJD168" s="3"/>
      <c r="BJE168" s="3"/>
      <c r="BJF168" s="3"/>
      <c r="BJG168" s="3"/>
      <c r="BJH168" s="3"/>
      <c r="BJI168" s="3"/>
      <c r="BJJ168" s="3"/>
      <c r="BJK168" s="3"/>
      <c r="BJL168" s="3"/>
      <c r="BJM168" s="3"/>
      <c r="BJN168" s="3"/>
      <c r="BJO168" s="3"/>
      <c r="BJP168" s="3"/>
      <c r="BJQ168" s="3"/>
      <c r="BJR168" s="3"/>
      <c r="BJS168" s="3"/>
      <c r="BJT168" s="3"/>
      <c r="BJU168" s="3"/>
      <c r="BJV168" s="3"/>
      <c r="BJW168" s="3"/>
      <c r="BJX168" s="3"/>
      <c r="BJY168" s="3"/>
      <c r="BJZ168" s="3"/>
      <c r="BKA168" s="3"/>
      <c r="BKB168" s="3"/>
      <c r="BKC168" s="3"/>
      <c r="BKD168" s="3"/>
      <c r="BKE168" s="3"/>
      <c r="BKF168" s="3"/>
      <c r="BKG168" s="3"/>
      <c r="BKH168" s="3"/>
      <c r="BKI168" s="3"/>
      <c r="BKJ168" s="3"/>
      <c r="BKK168" s="3"/>
      <c r="BKL168" s="3"/>
      <c r="BKM168" s="3"/>
      <c r="BKN168" s="3"/>
      <c r="BKO168" s="3"/>
      <c r="BKP168" s="3"/>
      <c r="BKQ168" s="3"/>
      <c r="BKR168" s="3"/>
      <c r="BKS168" s="3"/>
      <c r="BKT168" s="3"/>
      <c r="BKU168" s="3"/>
      <c r="BKV168" s="3"/>
      <c r="BKW168" s="3"/>
      <c r="BKX168" s="3"/>
      <c r="BKY168" s="3"/>
      <c r="BKZ168" s="3"/>
      <c r="BLA168" s="3"/>
      <c r="BLB168" s="3"/>
      <c r="BLC168" s="3"/>
      <c r="BLD168" s="3"/>
      <c r="BLE168" s="3"/>
      <c r="BLF168" s="3"/>
      <c r="BLG168" s="3"/>
      <c r="BLH168" s="3"/>
      <c r="BLI168" s="3"/>
      <c r="BLJ168" s="3"/>
      <c r="BLK168" s="3"/>
      <c r="BLL168" s="3"/>
      <c r="BLM168" s="3"/>
      <c r="BLN168" s="3"/>
      <c r="BLO168" s="3"/>
      <c r="BLP168" s="3"/>
      <c r="BLQ168" s="3"/>
      <c r="BLR168" s="3"/>
      <c r="BLS168" s="3"/>
      <c r="BLT168" s="3"/>
      <c r="BLU168" s="3"/>
      <c r="BLV168" s="3"/>
      <c r="BLW168" s="3"/>
      <c r="BLX168" s="3"/>
      <c r="BLY168" s="3"/>
      <c r="BLZ168" s="3"/>
      <c r="BMA168" s="3"/>
      <c r="BMB168" s="3"/>
      <c r="BMC168" s="3"/>
      <c r="BMD168" s="3"/>
      <c r="BME168" s="3"/>
      <c r="BMF168" s="3"/>
      <c r="BMG168" s="3"/>
      <c r="BMH168" s="3"/>
      <c r="BMI168" s="3"/>
      <c r="BMJ168" s="3"/>
      <c r="BMK168" s="3"/>
      <c r="BML168" s="3"/>
      <c r="BMM168" s="3"/>
      <c r="BMN168" s="3"/>
      <c r="BMO168" s="3"/>
      <c r="BMP168" s="3"/>
      <c r="BMQ168" s="3"/>
      <c r="BMR168" s="3"/>
      <c r="BMS168" s="3"/>
      <c r="BMT168" s="3"/>
      <c r="BMU168" s="3"/>
      <c r="BMV168" s="3"/>
      <c r="BMW168" s="3"/>
      <c r="BMX168" s="3"/>
      <c r="BMY168" s="3"/>
      <c r="BMZ168" s="3"/>
      <c r="BNA168" s="3"/>
      <c r="BNB168" s="3"/>
      <c r="BNC168" s="3"/>
      <c r="BND168" s="3"/>
      <c r="BNE168" s="3"/>
      <c r="BNF168" s="3"/>
      <c r="BNG168" s="3"/>
      <c r="BNH168" s="3"/>
      <c r="BNI168" s="3"/>
      <c r="BNJ168" s="3"/>
      <c r="BNK168" s="3"/>
      <c r="BNL168" s="3"/>
      <c r="BNM168" s="3"/>
      <c r="BNN168" s="3"/>
      <c r="BNO168" s="3"/>
      <c r="BNP168" s="3"/>
      <c r="BNQ168" s="3"/>
      <c r="BNR168" s="3"/>
      <c r="BNS168" s="3"/>
      <c r="BNT168" s="3"/>
      <c r="BNU168" s="3"/>
      <c r="BNV168" s="3"/>
      <c r="BNW168" s="3"/>
      <c r="BNX168" s="3"/>
      <c r="BNY168" s="3"/>
      <c r="BNZ168" s="3"/>
      <c r="BOA168" s="3"/>
      <c r="BOB168" s="3"/>
      <c r="BOC168" s="3"/>
      <c r="BOD168" s="3"/>
      <c r="BOE168" s="3"/>
      <c r="BOF168" s="3"/>
      <c r="BOG168" s="3"/>
      <c r="BOH168" s="3"/>
      <c r="BOI168" s="3"/>
      <c r="BOJ168" s="3"/>
      <c r="BOK168" s="3"/>
      <c r="BOL168" s="3"/>
      <c r="BOM168" s="3"/>
      <c r="BON168" s="3"/>
      <c r="BOO168" s="3"/>
      <c r="BOP168" s="3"/>
      <c r="BOQ168" s="3"/>
      <c r="BOR168" s="3"/>
      <c r="BOS168" s="3"/>
      <c r="BOT168" s="3"/>
      <c r="BOU168" s="3"/>
      <c r="BOV168" s="3"/>
      <c r="BOW168" s="3"/>
      <c r="BOX168" s="3"/>
      <c r="BOY168" s="3"/>
      <c r="BOZ168" s="3"/>
      <c r="BPA168" s="3"/>
      <c r="BPB168" s="3"/>
      <c r="BPC168" s="3"/>
      <c r="BPD168" s="3"/>
      <c r="BPE168" s="3"/>
      <c r="BPF168" s="3"/>
      <c r="BPG168" s="3"/>
      <c r="BPH168" s="3"/>
      <c r="BPI168" s="3"/>
      <c r="BPJ168" s="3"/>
      <c r="BPK168" s="3"/>
      <c r="BPL168" s="3"/>
      <c r="BPM168" s="3"/>
      <c r="BPN168" s="3"/>
      <c r="BPO168" s="3"/>
      <c r="BPP168" s="3"/>
      <c r="BPQ168" s="3"/>
      <c r="BPR168" s="3"/>
      <c r="BPS168" s="3"/>
      <c r="BPT168" s="3"/>
      <c r="BPU168" s="3"/>
      <c r="BPV168" s="3"/>
      <c r="BPW168" s="3"/>
      <c r="BPX168" s="3"/>
      <c r="BPY168" s="3"/>
      <c r="BPZ168" s="3"/>
      <c r="BQA168" s="3"/>
      <c r="BQB168" s="3"/>
      <c r="BQC168" s="3"/>
      <c r="BQD168" s="3"/>
      <c r="BQE168" s="3"/>
      <c r="BQF168" s="3"/>
      <c r="BQG168" s="3"/>
      <c r="BQH168" s="3"/>
      <c r="BQI168" s="3"/>
      <c r="BQJ168" s="3"/>
      <c r="BQK168" s="3"/>
      <c r="BQL168" s="3"/>
      <c r="BQM168" s="3"/>
      <c r="BQN168" s="3"/>
      <c r="BQO168" s="3"/>
      <c r="BQP168" s="3"/>
      <c r="BQQ168" s="3"/>
      <c r="BQR168" s="3"/>
      <c r="BQS168" s="3"/>
      <c r="BQT168" s="3"/>
      <c r="BQU168" s="3"/>
      <c r="BQV168" s="3"/>
      <c r="BQW168" s="3"/>
      <c r="BQX168" s="3"/>
      <c r="BQY168" s="3"/>
      <c r="BQZ168" s="3"/>
      <c r="BRA168" s="3"/>
      <c r="BRB168" s="3"/>
      <c r="BRC168" s="3"/>
      <c r="BRD168" s="3"/>
      <c r="BRE168" s="3"/>
      <c r="BRF168" s="3"/>
      <c r="BRG168" s="3"/>
      <c r="BRH168" s="3"/>
      <c r="BRI168" s="3"/>
      <c r="BRJ168" s="3"/>
      <c r="BRK168" s="3"/>
      <c r="BRL168" s="3"/>
      <c r="BRM168" s="3"/>
      <c r="BRN168" s="3"/>
      <c r="BRO168" s="3"/>
      <c r="BRP168" s="3"/>
      <c r="BRQ168" s="3"/>
      <c r="BRR168" s="3"/>
      <c r="BRS168" s="3"/>
      <c r="BRT168" s="3"/>
      <c r="BRU168" s="3"/>
      <c r="BRV168" s="3"/>
      <c r="BRW168" s="3"/>
      <c r="BRX168" s="3"/>
      <c r="BRY168" s="3"/>
      <c r="BRZ168" s="3"/>
      <c r="BSA168" s="3"/>
      <c r="BSB168" s="3"/>
      <c r="BSC168" s="3"/>
      <c r="BSD168" s="3"/>
      <c r="BSE168" s="3"/>
      <c r="BSF168" s="3"/>
      <c r="BSG168" s="3"/>
      <c r="BSH168" s="3"/>
      <c r="BSI168" s="3"/>
      <c r="BSJ168" s="3"/>
      <c r="BSK168" s="3"/>
      <c r="BSL168" s="3"/>
      <c r="BSM168" s="3"/>
      <c r="BSN168" s="3"/>
      <c r="BSO168" s="3"/>
      <c r="BSP168" s="3"/>
      <c r="BSQ168" s="3"/>
      <c r="BSR168" s="3"/>
      <c r="BSS168" s="3"/>
      <c r="BST168" s="3"/>
      <c r="BSU168" s="3"/>
      <c r="BSV168" s="3"/>
      <c r="BSW168" s="3"/>
      <c r="BSX168" s="3"/>
      <c r="BSY168" s="3"/>
      <c r="BSZ168" s="3"/>
      <c r="BTA168" s="3"/>
      <c r="BTB168" s="3"/>
      <c r="BTC168" s="3"/>
      <c r="BTD168" s="3"/>
      <c r="BTE168" s="3"/>
      <c r="BTF168" s="3"/>
      <c r="BTG168" s="3"/>
      <c r="BTH168" s="3"/>
      <c r="BTI168" s="3"/>
      <c r="BTJ168" s="3"/>
      <c r="BTK168" s="3"/>
      <c r="BTL168" s="3"/>
      <c r="BTM168" s="3"/>
      <c r="BTN168" s="3"/>
      <c r="BTO168" s="3"/>
      <c r="BTP168" s="3"/>
      <c r="BTQ168" s="3"/>
      <c r="BTR168" s="3"/>
      <c r="BTS168" s="3"/>
      <c r="BTT168" s="3"/>
      <c r="BTU168" s="3"/>
      <c r="BTV168" s="3"/>
      <c r="BTW168" s="3"/>
      <c r="BTX168" s="3"/>
      <c r="BTY168" s="3"/>
      <c r="BTZ168" s="3"/>
      <c r="BUA168" s="3"/>
      <c r="BUB168" s="3"/>
      <c r="BUC168" s="3"/>
      <c r="BUD168" s="3"/>
      <c r="BUE168" s="3"/>
      <c r="BUF168" s="3"/>
      <c r="BUG168" s="3"/>
      <c r="BUH168" s="3"/>
      <c r="BUI168" s="3"/>
      <c r="BUJ168" s="3"/>
      <c r="BUK168" s="3"/>
      <c r="BUL168" s="3"/>
      <c r="BUM168" s="3"/>
      <c r="BUN168" s="3"/>
      <c r="BUO168" s="3"/>
      <c r="BUP168" s="3"/>
      <c r="BUQ168" s="3"/>
      <c r="BUR168" s="3"/>
      <c r="BUS168" s="3"/>
      <c r="BUT168" s="3"/>
      <c r="BUU168" s="3"/>
      <c r="BUV168" s="3"/>
      <c r="BUW168" s="3"/>
      <c r="BUX168" s="3"/>
      <c r="BUY168" s="3"/>
      <c r="BUZ168" s="3"/>
      <c r="BVA168" s="3"/>
      <c r="BVB168" s="3"/>
      <c r="BVC168" s="3"/>
      <c r="BVD168" s="3"/>
      <c r="BVE168" s="3"/>
      <c r="BVF168" s="3"/>
      <c r="BVG168" s="3"/>
      <c r="BVH168" s="3"/>
      <c r="BVI168" s="3"/>
      <c r="BVJ168" s="3"/>
      <c r="BVK168" s="3"/>
      <c r="BVL168" s="3"/>
      <c r="BVM168" s="3"/>
      <c r="BVN168" s="3"/>
      <c r="BVO168" s="3"/>
      <c r="BVP168" s="3"/>
      <c r="BVQ168" s="3"/>
      <c r="BVR168" s="3"/>
      <c r="BVS168" s="3"/>
      <c r="BVT168" s="3"/>
      <c r="BVU168" s="3"/>
      <c r="BVV168" s="3"/>
      <c r="BVW168" s="3"/>
      <c r="BVX168" s="3"/>
      <c r="BVY168" s="3"/>
      <c r="BVZ168" s="3"/>
      <c r="BWA168" s="3"/>
      <c r="BWB168" s="3"/>
      <c r="BWC168" s="3"/>
      <c r="BWD168" s="3"/>
      <c r="BWE168" s="3"/>
      <c r="BWF168" s="3"/>
      <c r="BWG168" s="3"/>
      <c r="BWH168" s="3"/>
      <c r="BWI168" s="3"/>
      <c r="BWJ168" s="3"/>
      <c r="BWK168" s="3"/>
      <c r="BWL168" s="3"/>
      <c r="BWM168" s="3"/>
      <c r="BWN168" s="3"/>
      <c r="BWO168" s="3"/>
      <c r="BWP168" s="3"/>
      <c r="BWQ168" s="3"/>
      <c r="BWR168" s="3"/>
      <c r="BWS168" s="3"/>
      <c r="BWT168" s="3"/>
      <c r="BWU168" s="3"/>
      <c r="BWV168" s="3"/>
      <c r="BWW168" s="3"/>
      <c r="BWX168" s="3"/>
      <c r="BWY168" s="3"/>
      <c r="BWZ168" s="3"/>
      <c r="BXA168" s="3"/>
      <c r="BXB168" s="3"/>
      <c r="BXC168" s="3"/>
      <c r="BXD168" s="3"/>
      <c r="BXE168" s="3"/>
      <c r="BXF168" s="3"/>
      <c r="BXG168" s="3"/>
      <c r="BXH168" s="3"/>
      <c r="BXI168" s="3"/>
      <c r="BXJ168" s="3"/>
      <c r="BXK168" s="3"/>
      <c r="BXL168" s="3"/>
      <c r="BXM168" s="3"/>
      <c r="BXN168" s="3"/>
      <c r="BXO168" s="3"/>
      <c r="BXP168" s="3"/>
      <c r="BXQ168" s="3"/>
      <c r="BXR168" s="3"/>
      <c r="BXS168" s="3"/>
      <c r="BXT168" s="3"/>
      <c r="BXU168" s="3"/>
      <c r="BXV168" s="3"/>
      <c r="BXW168" s="3"/>
      <c r="BXX168" s="3"/>
      <c r="BXY168" s="3"/>
      <c r="BXZ168" s="3"/>
      <c r="BYA168" s="3"/>
      <c r="BYB168" s="3"/>
      <c r="BYC168" s="3"/>
      <c r="BYD168" s="3"/>
      <c r="BYE168" s="3"/>
      <c r="BYF168" s="3"/>
      <c r="BYG168" s="3"/>
      <c r="BYH168" s="3"/>
      <c r="BYI168" s="3"/>
      <c r="BYJ168" s="3"/>
      <c r="BYK168" s="3"/>
      <c r="BYL168" s="3"/>
      <c r="BYM168" s="3"/>
      <c r="BYN168" s="3"/>
      <c r="BYO168" s="3"/>
      <c r="BYP168" s="3"/>
      <c r="BYQ168" s="3"/>
      <c r="BYR168" s="3"/>
      <c r="BYS168" s="3"/>
      <c r="BYT168" s="3"/>
      <c r="BYU168" s="3"/>
      <c r="BYV168" s="3"/>
      <c r="BYW168" s="3"/>
      <c r="BYX168" s="3"/>
      <c r="BYY168" s="3"/>
      <c r="BYZ168" s="3"/>
      <c r="BZA168" s="3"/>
      <c r="BZB168" s="3"/>
      <c r="BZC168" s="3"/>
      <c r="BZD168" s="3"/>
      <c r="BZE168" s="3"/>
      <c r="BZF168" s="3"/>
      <c r="BZG168" s="3"/>
      <c r="BZH168" s="3"/>
      <c r="BZI168" s="3"/>
      <c r="BZJ168" s="3"/>
      <c r="BZK168" s="3"/>
      <c r="BZL168" s="3"/>
      <c r="BZM168" s="3"/>
      <c r="BZN168" s="3"/>
      <c r="BZO168" s="3"/>
      <c r="BZP168" s="3"/>
      <c r="BZQ168" s="3"/>
      <c r="BZR168" s="3"/>
      <c r="BZS168" s="3"/>
      <c r="BZT168" s="3"/>
      <c r="BZU168" s="3"/>
      <c r="BZV168" s="3"/>
      <c r="BZW168" s="3"/>
      <c r="BZX168" s="3"/>
      <c r="BZY168" s="3"/>
      <c r="BZZ168" s="3"/>
      <c r="CAA168" s="3"/>
      <c r="CAB168" s="3"/>
      <c r="CAC168" s="3"/>
      <c r="CAD168" s="3"/>
      <c r="CAE168" s="3"/>
      <c r="CAF168" s="3"/>
      <c r="CAG168" s="3"/>
      <c r="CAH168" s="3"/>
      <c r="CAI168" s="3"/>
      <c r="CAJ168" s="3"/>
      <c r="CAK168" s="3"/>
      <c r="CAL168" s="3"/>
      <c r="CAM168" s="3"/>
      <c r="CAN168" s="3"/>
      <c r="CAO168" s="3"/>
      <c r="CAP168" s="3"/>
      <c r="CAQ168" s="3"/>
      <c r="CAR168" s="3"/>
      <c r="CAS168" s="3"/>
      <c r="CAT168" s="3"/>
      <c r="CAU168" s="3"/>
      <c r="CAV168" s="3"/>
      <c r="CAW168" s="3"/>
      <c r="CAX168" s="3"/>
      <c r="CAY168" s="3"/>
      <c r="CAZ168" s="3"/>
      <c r="CBA168" s="3"/>
      <c r="CBB168" s="3"/>
      <c r="CBC168" s="3"/>
      <c r="CBD168" s="3"/>
      <c r="CBE168" s="3"/>
      <c r="CBF168" s="3"/>
      <c r="CBG168" s="3"/>
      <c r="CBH168" s="3"/>
      <c r="CBI168" s="3"/>
      <c r="CBJ168" s="3"/>
      <c r="CBK168" s="3"/>
      <c r="CBL168" s="3"/>
      <c r="CBM168" s="3"/>
      <c r="CBN168" s="3"/>
      <c r="CBO168" s="3"/>
      <c r="CBP168" s="3"/>
      <c r="CBQ168" s="3"/>
      <c r="CBR168" s="3"/>
      <c r="CBS168" s="3"/>
      <c r="CBT168" s="3"/>
      <c r="CBU168" s="3"/>
      <c r="CBV168" s="3"/>
      <c r="CBW168" s="3"/>
      <c r="CBX168" s="3"/>
      <c r="CBY168" s="3"/>
      <c r="CBZ168" s="3"/>
      <c r="CCA168" s="3"/>
      <c r="CCB168" s="3"/>
      <c r="CCC168" s="3"/>
      <c r="CCD168" s="3"/>
      <c r="CCE168" s="3"/>
      <c r="CCF168" s="3"/>
      <c r="CCG168" s="3"/>
      <c r="CCH168" s="3"/>
      <c r="CCI168" s="3"/>
      <c r="CCJ168" s="3"/>
      <c r="CCK168" s="3"/>
      <c r="CCL168" s="3"/>
      <c r="CCM168" s="3"/>
      <c r="CCN168" s="3"/>
      <c r="CCO168" s="3"/>
      <c r="CCP168" s="3"/>
      <c r="CCQ168" s="3"/>
      <c r="CCR168" s="3"/>
      <c r="CCS168" s="3"/>
      <c r="CCT168" s="3"/>
      <c r="CCU168" s="3"/>
      <c r="CCV168" s="3"/>
      <c r="CCW168" s="3"/>
      <c r="CCX168" s="3"/>
      <c r="CCY168" s="3"/>
      <c r="CCZ168" s="3"/>
      <c r="CDA168" s="3"/>
      <c r="CDB168" s="3"/>
      <c r="CDC168" s="3"/>
      <c r="CDD168" s="3"/>
      <c r="CDE168" s="3"/>
      <c r="CDF168" s="3"/>
      <c r="CDG168" s="3"/>
      <c r="CDH168" s="3"/>
      <c r="CDI168" s="3"/>
      <c r="CDJ168" s="3"/>
      <c r="CDK168" s="3"/>
      <c r="CDL168" s="3"/>
      <c r="CDM168" s="3"/>
      <c r="CDN168" s="3"/>
      <c r="CDO168" s="3"/>
      <c r="CDP168" s="3"/>
      <c r="CDQ168" s="3"/>
      <c r="CDR168" s="3"/>
      <c r="CDS168" s="3"/>
      <c r="CDT168" s="3"/>
      <c r="CDU168" s="3"/>
      <c r="CDV168" s="3"/>
      <c r="CDW168" s="3"/>
      <c r="CDX168" s="3"/>
      <c r="CDY168" s="3"/>
      <c r="CDZ168" s="3"/>
      <c r="CEA168" s="3"/>
      <c r="CEB168" s="3"/>
      <c r="CEC168" s="3"/>
      <c r="CED168" s="3"/>
      <c r="CEE168" s="3"/>
      <c r="CEF168" s="3"/>
      <c r="CEG168" s="3"/>
      <c r="CEH168" s="3"/>
      <c r="CEI168" s="3"/>
      <c r="CEJ168" s="3"/>
      <c r="CEK168" s="3"/>
      <c r="CEL168" s="3"/>
      <c r="CEM168" s="3"/>
      <c r="CEN168" s="3"/>
      <c r="CEO168" s="3"/>
      <c r="CEP168" s="3"/>
      <c r="CEQ168" s="3"/>
      <c r="CER168" s="3"/>
      <c r="CES168" s="3"/>
      <c r="CET168" s="3"/>
      <c r="CEU168" s="3"/>
      <c r="CEV168" s="3"/>
      <c r="CEW168" s="3"/>
      <c r="CEX168" s="3"/>
      <c r="CEY168" s="3"/>
      <c r="CEZ168" s="3"/>
      <c r="CFA168" s="3"/>
      <c r="CFB168" s="3"/>
      <c r="CFC168" s="3"/>
      <c r="CFD168" s="3"/>
      <c r="CFE168" s="3"/>
      <c r="CFF168" s="3"/>
      <c r="CFG168" s="3"/>
      <c r="CFH168" s="3"/>
      <c r="CFI168" s="3"/>
      <c r="CFJ168" s="3"/>
      <c r="CFK168" s="3"/>
      <c r="CFL168" s="3"/>
      <c r="CFM168" s="3"/>
      <c r="CFN168" s="3"/>
      <c r="CFO168" s="3"/>
      <c r="CFP168" s="3"/>
      <c r="CFQ168" s="3"/>
      <c r="CFR168" s="3"/>
      <c r="CFS168" s="3"/>
      <c r="CFT168" s="3"/>
      <c r="CFU168" s="3"/>
      <c r="CFV168" s="3"/>
      <c r="CFW168" s="3"/>
      <c r="CFX168" s="3"/>
      <c r="CFY168" s="3"/>
      <c r="CFZ168" s="3"/>
      <c r="CGA168" s="3"/>
      <c r="CGB168" s="3"/>
      <c r="CGC168" s="3"/>
      <c r="CGD168" s="3"/>
      <c r="CGE168" s="3"/>
      <c r="CGF168" s="3"/>
      <c r="CGG168" s="3"/>
      <c r="CGH168" s="3"/>
      <c r="CGI168" s="3"/>
      <c r="CGJ168" s="3"/>
      <c r="CGK168" s="3"/>
      <c r="CGL168" s="3"/>
      <c r="CGM168" s="3"/>
      <c r="CGN168" s="3"/>
      <c r="CGO168" s="3"/>
      <c r="CGP168" s="3"/>
      <c r="CGQ168" s="3"/>
      <c r="CGR168" s="3"/>
      <c r="CGS168" s="3"/>
      <c r="CGT168" s="3"/>
      <c r="CGU168" s="3"/>
      <c r="CGV168" s="3"/>
      <c r="CGW168" s="3"/>
      <c r="CGX168" s="3"/>
      <c r="CGY168" s="3"/>
      <c r="CGZ168" s="3"/>
      <c r="CHA168" s="3"/>
      <c r="CHB168" s="3"/>
      <c r="CHC168" s="3"/>
      <c r="CHD168" s="3"/>
      <c r="CHE168" s="3"/>
      <c r="CHF168" s="3"/>
      <c r="CHG168" s="3"/>
      <c r="CHH168" s="3"/>
      <c r="CHI168" s="3"/>
      <c r="CHJ168" s="3"/>
      <c r="CHK168" s="3"/>
      <c r="CHL168" s="3"/>
      <c r="CHM168" s="3"/>
      <c r="CHN168" s="3"/>
      <c r="CHO168" s="3"/>
      <c r="CHP168" s="3"/>
      <c r="CHQ168" s="3"/>
      <c r="CHR168" s="3"/>
      <c r="CHS168" s="3"/>
      <c r="CHT168" s="3"/>
      <c r="CHU168" s="3"/>
      <c r="CHV168" s="3"/>
      <c r="CHW168" s="3"/>
      <c r="CHX168" s="3"/>
      <c r="CHY168" s="3"/>
      <c r="CHZ168" s="3"/>
      <c r="CIA168" s="3"/>
      <c r="CIB168" s="3"/>
      <c r="CIC168" s="3"/>
      <c r="CID168" s="3"/>
      <c r="CIE168" s="3"/>
      <c r="CIF168" s="3"/>
      <c r="CIG168" s="3"/>
      <c r="CIH168" s="3"/>
      <c r="CII168" s="3"/>
      <c r="CIJ168" s="3"/>
      <c r="CIK168" s="3"/>
      <c r="CIL168" s="3"/>
      <c r="CIM168" s="3"/>
      <c r="CIN168" s="3"/>
      <c r="CIO168" s="3"/>
      <c r="CIP168" s="3"/>
      <c r="CIQ168" s="3"/>
      <c r="CIR168" s="3"/>
      <c r="CIS168" s="3"/>
      <c r="CIT168" s="3"/>
      <c r="CIU168" s="3"/>
      <c r="CIV168" s="3"/>
      <c r="CIW168" s="3"/>
      <c r="CIX168" s="3"/>
      <c r="CIY168" s="3"/>
      <c r="CIZ168" s="3"/>
      <c r="CJA168" s="3"/>
      <c r="CJB168" s="3"/>
      <c r="CJC168" s="3"/>
      <c r="CJD168" s="3"/>
      <c r="CJE168" s="3"/>
      <c r="CJF168" s="3"/>
      <c r="CJG168" s="3"/>
      <c r="CJH168" s="3"/>
      <c r="CJI168" s="3"/>
      <c r="CJJ168" s="3"/>
      <c r="CJK168" s="3"/>
      <c r="CJL168" s="3"/>
      <c r="CJM168" s="3"/>
      <c r="CJN168" s="3"/>
      <c r="CJO168" s="3"/>
      <c r="CJP168" s="3"/>
      <c r="CJQ168" s="3"/>
      <c r="CJR168" s="3"/>
      <c r="CJS168" s="3"/>
      <c r="CJT168" s="3"/>
      <c r="CJU168" s="3"/>
      <c r="CJV168" s="3"/>
      <c r="CJW168" s="3"/>
      <c r="CJX168" s="3"/>
      <c r="CJY168" s="3"/>
      <c r="CJZ168" s="3"/>
      <c r="CKA168" s="3"/>
      <c r="CKB168" s="3"/>
      <c r="CKC168" s="3"/>
      <c r="CKD168" s="3"/>
      <c r="CKE168" s="3"/>
      <c r="CKF168" s="3"/>
      <c r="CKG168" s="3"/>
      <c r="CKH168" s="3"/>
      <c r="CKI168" s="3"/>
      <c r="CKJ168" s="3"/>
      <c r="CKK168" s="3"/>
      <c r="CKL168" s="3"/>
      <c r="CKM168" s="3"/>
      <c r="CKN168" s="3"/>
      <c r="CKO168" s="3"/>
      <c r="CKP168" s="3"/>
      <c r="CKQ168" s="3"/>
      <c r="CKR168" s="3"/>
      <c r="CKS168" s="3"/>
      <c r="CKT168" s="3"/>
      <c r="CKU168" s="3"/>
      <c r="CKV168" s="3"/>
      <c r="CKW168" s="3"/>
      <c r="CKX168" s="3"/>
      <c r="CKY168" s="3"/>
      <c r="CKZ168" s="3"/>
      <c r="CLA168" s="3"/>
      <c r="CLB168" s="3"/>
      <c r="CLC168" s="3"/>
      <c r="CLD168" s="3"/>
      <c r="CLE168" s="3"/>
      <c r="CLF168" s="3"/>
      <c r="CLG168" s="3"/>
      <c r="CLH168" s="3"/>
      <c r="CLI168" s="3"/>
      <c r="CLJ168" s="3"/>
      <c r="CLK168" s="3"/>
      <c r="CLL168" s="3"/>
      <c r="CLM168" s="3"/>
      <c r="CLN168" s="3"/>
      <c r="CLO168" s="3"/>
      <c r="CLP168" s="3"/>
      <c r="CLQ168" s="3"/>
      <c r="CLR168" s="3"/>
      <c r="CLS168" s="3"/>
      <c r="CLT168" s="3"/>
      <c r="CLU168" s="3"/>
      <c r="CLV168" s="3"/>
      <c r="CLW168" s="3"/>
      <c r="CLX168" s="3"/>
      <c r="CLY168" s="3"/>
      <c r="CLZ168" s="3"/>
      <c r="CMA168" s="3"/>
      <c r="CMB168" s="3"/>
      <c r="CMC168" s="3"/>
      <c r="CMD168" s="3"/>
      <c r="CME168" s="3"/>
      <c r="CMF168" s="3"/>
      <c r="CMG168" s="3"/>
      <c r="CMH168" s="3"/>
      <c r="CMI168" s="3"/>
      <c r="CMJ168" s="3"/>
      <c r="CMK168" s="3"/>
      <c r="CML168" s="3"/>
      <c r="CMM168" s="3"/>
      <c r="CMN168" s="3"/>
      <c r="CMO168" s="3"/>
      <c r="CMP168" s="3"/>
      <c r="CMQ168" s="3"/>
      <c r="CMR168" s="3"/>
      <c r="CMS168" s="3"/>
      <c r="CMT168" s="3"/>
      <c r="CMU168" s="3"/>
      <c r="CMV168" s="3"/>
      <c r="CMW168" s="3"/>
      <c r="CMX168" s="3"/>
      <c r="CMY168" s="3"/>
      <c r="CMZ168" s="3"/>
      <c r="CNA168" s="3"/>
      <c r="CNB168" s="3"/>
      <c r="CNC168" s="3"/>
      <c r="CND168" s="3"/>
      <c r="CNE168" s="3"/>
      <c r="CNF168" s="3"/>
      <c r="CNG168" s="3"/>
      <c r="CNH168" s="3"/>
      <c r="CNI168" s="3"/>
      <c r="CNJ168" s="3"/>
      <c r="CNK168" s="3"/>
      <c r="CNL168" s="3"/>
      <c r="CNM168" s="3"/>
      <c r="CNN168" s="3"/>
      <c r="CNO168" s="3"/>
      <c r="CNP168" s="3"/>
      <c r="CNQ168" s="3"/>
      <c r="CNR168" s="3"/>
      <c r="CNS168" s="3"/>
      <c r="CNT168" s="3"/>
      <c r="CNU168" s="3"/>
      <c r="CNV168" s="3"/>
      <c r="CNW168" s="3"/>
      <c r="CNX168" s="3"/>
      <c r="CNY168" s="3"/>
      <c r="CNZ168" s="3"/>
      <c r="COA168" s="3"/>
      <c r="COB168" s="3"/>
      <c r="COC168" s="3"/>
      <c r="COD168" s="3"/>
      <c r="COE168" s="3"/>
      <c r="COF168" s="3"/>
      <c r="COG168" s="3"/>
      <c r="COH168" s="3"/>
      <c r="COI168" s="3"/>
      <c r="COJ168" s="3"/>
      <c r="COK168" s="3"/>
      <c r="COL168" s="3"/>
      <c r="COM168" s="3"/>
      <c r="CON168" s="3"/>
      <c r="COO168" s="3"/>
      <c r="COP168" s="3"/>
      <c r="COQ168" s="3"/>
      <c r="COR168" s="3"/>
      <c r="COS168" s="3"/>
      <c r="COT168" s="3"/>
      <c r="COU168" s="3"/>
      <c r="COV168" s="3"/>
      <c r="COW168" s="3"/>
      <c r="COX168" s="3"/>
      <c r="COY168" s="3"/>
      <c r="COZ168" s="3"/>
      <c r="CPA168" s="3"/>
      <c r="CPB168" s="3"/>
      <c r="CPC168" s="3"/>
      <c r="CPD168" s="3"/>
      <c r="CPE168" s="3"/>
      <c r="CPF168" s="3"/>
      <c r="CPG168" s="3"/>
      <c r="CPH168" s="3"/>
      <c r="CPI168" s="3"/>
      <c r="CPJ168" s="3"/>
      <c r="CPK168" s="3"/>
      <c r="CPL168" s="3"/>
      <c r="CPM168" s="3"/>
      <c r="CPN168" s="3"/>
      <c r="CPO168" s="3"/>
      <c r="CPP168" s="3"/>
      <c r="CPQ168" s="3"/>
      <c r="CPR168" s="3"/>
      <c r="CPS168" s="3"/>
      <c r="CPT168" s="3"/>
      <c r="CPU168" s="3"/>
      <c r="CPV168" s="3"/>
      <c r="CPW168" s="3"/>
      <c r="CPX168" s="3"/>
      <c r="CPY168" s="3"/>
      <c r="CPZ168" s="3"/>
      <c r="CQA168" s="3"/>
      <c r="CQB168" s="3"/>
      <c r="CQC168" s="3"/>
      <c r="CQD168" s="3"/>
      <c r="CQE168" s="3"/>
      <c r="CQF168" s="3"/>
      <c r="CQG168" s="3"/>
      <c r="CQH168" s="3"/>
      <c r="CQI168" s="3"/>
      <c r="CQJ168" s="3"/>
      <c r="CQK168" s="3"/>
      <c r="CQL168" s="3"/>
      <c r="CQM168" s="3"/>
      <c r="CQN168" s="3"/>
      <c r="CQO168" s="3"/>
      <c r="CQP168" s="3"/>
      <c r="CQQ168" s="3"/>
      <c r="CQR168" s="3"/>
      <c r="CQS168" s="3"/>
      <c r="CQT168" s="3"/>
      <c r="CQU168" s="3"/>
      <c r="CQV168" s="3"/>
      <c r="CQW168" s="3"/>
      <c r="CQX168" s="3"/>
      <c r="CQY168" s="3"/>
      <c r="CQZ168" s="3"/>
      <c r="CRA168" s="3"/>
      <c r="CRB168" s="3"/>
      <c r="CRC168" s="3"/>
      <c r="CRD168" s="3"/>
      <c r="CRE168" s="3"/>
      <c r="CRF168" s="3"/>
      <c r="CRG168" s="3"/>
      <c r="CRH168" s="3"/>
      <c r="CRI168" s="3"/>
      <c r="CRJ168" s="3"/>
      <c r="CRK168" s="3"/>
      <c r="CRL168" s="3"/>
      <c r="CRM168" s="3"/>
      <c r="CRN168" s="3"/>
      <c r="CRO168" s="3"/>
      <c r="CRP168" s="3"/>
      <c r="CRQ168" s="3"/>
      <c r="CRR168" s="3"/>
      <c r="CRS168" s="3"/>
      <c r="CRT168" s="3"/>
      <c r="CRU168" s="3"/>
      <c r="CRV168" s="3"/>
      <c r="CRW168" s="3"/>
      <c r="CRX168" s="3"/>
      <c r="CRY168" s="3"/>
      <c r="CRZ168" s="3"/>
      <c r="CSA168" s="3"/>
      <c r="CSB168" s="3"/>
      <c r="CSC168" s="3"/>
      <c r="CSD168" s="3"/>
      <c r="CSE168" s="3"/>
      <c r="CSF168" s="3"/>
      <c r="CSG168" s="3"/>
      <c r="CSH168" s="3"/>
      <c r="CSI168" s="3"/>
      <c r="CSJ168" s="3"/>
      <c r="CSK168" s="3"/>
      <c r="CSL168" s="3"/>
      <c r="CSM168" s="3"/>
      <c r="CSN168" s="3"/>
      <c r="CSO168" s="3"/>
      <c r="CSP168" s="3"/>
      <c r="CSQ168" s="3"/>
      <c r="CSR168" s="3"/>
      <c r="CSS168" s="3"/>
      <c r="CST168" s="3"/>
      <c r="CSU168" s="3"/>
      <c r="CSV168" s="3"/>
      <c r="CSW168" s="3"/>
      <c r="CSX168" s="3"/>
      <c r="CSY168" s="3"/>
      <c r="CSZ168" s="3"/>
      <c r="CTA168" s="3"/>
      <c r="CTB168" s="3"/>
      <c r="CTC168" s="3"/>
      <c r="CTD168" s="3"/>
      <c r="CTE168" s="3"/>
      <c r="CTF168" s="3"/>
      <c r="CTG168" s="3"/>
      <c r="CTH168" s="3"/>
      <c r="CTI168" s="3"/>
      <c r="CTJ168" s="3"/>
      <c r="CTK168" s="3"/>
      <c r="CTL168" s="3"/>
      <c r="CTM168" s="3"/>
      <c r="CTN168" s="3"/>
      <c r="CTO168" s="3"/>
      <c r="CTP168" s="3"/>
      <c r="CTQ168" s="3"/>
      <c r="CTR168" s="3"/>
      <c r="CTS168" s="3"/>
      <c r="CTT168" s="3"/>
      <c r="CTU168" s="3"/>
      <c r="CTV168" s="3"/>
      <c r="CTW168" s="3"/>
      <c r="CTX168" s="3"/>
      <c r="CTY168" s="3"/>
      <c r="CTZ168" s="3"/>
      <c r="CUA168" s="3"/>
      <c r="CUB168" s="3"/>
      <c r="CUC168" s="3"/>
      <c r="CUD168" s="3"/>
      <c r="CUE168" s="3"/>
      <c r="CUF168" s="3"/>
      <c r="CUG168" s="3"/>
      <c r="CUH168" s="3"/>
      <c r="CUI168" s="3"/>
      <c r="CUJ168" s="3"/>
      <c r="CUK168" s="3"/>
      <c r="CUL168" s="3"/>
      <c r="CUM168" s="3"/>
      <c r="CUN168" s="3"/>
      <c r="CUO168" s="3"/>
      <c r="CUP168" s="3"/>
      <c r="CUQ168" s="3"/>
      <c r="CUR168" s="3"/>
      <c r="CUS168" s="3"/>
      <c r="CUT168" s="3"/>
      <c r="CUU168" s="3"/>
      <c r="CUV168" s="3"/>
      <c r="CUW168" s="3"/>
      <c r="CUX168" s="3"/>
      <c r="CUY168" s="3"/>
      <c r="CUZ168" s="3"/>
      <c r="CVA168" s="3"/>
      <c r="CVB168" s="3"/>
      <c r="CVC168" s="3"/>
      <c r="CVD168" s="3"/>
      <c r="CVE168" s="3"/>
      <c r="CVF168" s="3"/>
      <c r="CVG168" s="3"/>
      <c r="CVH168" s="3"/>
      <c r="CVI168" s="3"/>
      <c r="CVJ168" s="3"/>
      <c r="CVK168" s="3"/>
      <c r="CVL168" s="3"/>
      <c r="CVM168" s="3"/>
      <c r="CVN168" s="3"/>
      <c r="CVO168" s="3"/>
      <c r="CVP168" s="3"/>
      <c r="CVQ168" s="3"/>
      <c r="CVR168" s="3"/>
      <c r="CVS168" s="3"/>
      <c r="CVT168" s="3"/>
      <c r="CVU168" s="3"/>
      <c r="CVV168" s="3"/>
      <c r="CVW168" s="3"/>
      <c r="CVX168" s="3"/>
      <c r="CVY168" s="3"/>
      <c r="CVZ168" s="3"/>
      <c r="CWA168" s="3"/>
      <c r="CWB168" s="3"/>
      <c r="CWC168" s="3"/>
      <c r="CWD168" s="3"/>
      <c r="CWE168" s="3"/>
      <c r="CWF168" s="3"/>
      <c r="CWG168" s="3"/>
      <c r="CWH168" s="3"/>
      <c r="CWI168" s="3"/>
      <c r="CWJ168" s="3"/>
      <c r="CWK168" s="3"/>
      <c r="CWL168" s="3"/>
      <c r="CWM168" s="3"/>
      <c r="CWN168" s="3"/>
      <c r="CWO168" s="3"/>
      <c r="CWP168" s="3"/>
      <c r="CWQ168" s="3"/>
      <c r="CWR168" s="3"/>
      <c r="CWS168" s="3"/>
      <c r="CWT168" s="3"/>
      <c r="CWU168" s="3"/>
      <c r="CWV168" s="3"/>
      <c r="CWW168" s="3"/>
      <c r="CWX168" s="3"/>
      <c r="CWY168" s="3"/>
      <c r="CWZ168" s="3"/>
      <c r="CXA168" s="3"/>
      <c r="CXB168" s="3"/>
      <c r="CXC168" s="3"/>
      <c r="CXD168" s="3"/>
      <c r="CXE168" s="3"/>
      <c r="CXF168" s="3"/>
      <c r="CXG168" s="3"/>
      <c r="CXH168" s="3"/>
      <c r="CXI168" s="3"/>
      <c r="CXJ168" s="3"/>
      <c r="CXK168" s="3"/>
      <c r="CXL168" s="3"/>
      <c r="CXM168" s="3"/>
      <c r="CXN168" s="3"/>
      <c r="CXO168" s="3"/>
      <c r="CXP168" s="3"/>
      <c r="CXQ168" s="3"/>
      <c r="CXR168" s="3"/>
      <c r="CXS168" s="3"/>
      <c r="CXT168" s="3"/>
      <c r="CXU168" s="3"/>
      <c r="CXV168" s="3"/>
      <c r="CXW168" s="3"/>
      <c r="CXX168" s="3"/>
      <c r="CXY168" s="3"/>
      <c r="CXZ168" s="3"/>
      <c r="CYA168" s="3"/>
      <c r="CYB168" s="3"/>
      <c r="CYC168" s="3"/>
      <c r="CYD168" s="3"/>
      <c r="CYE168" s="3"/>
      <c r="CYF168" s="3"/>
      <c r="CYG168" s="3"/>
      <c r="CYH168" s="3"/>
      <c r="CYI168" s="3"/>
      <c r="CYJ168" s="3"/>
      <c r="CYK168" s="3"/>
      <c r="CYL168" s="3"/>
      <c r="CYM168" s="3"/>
      <c r="CYN168" s="3"/>
      <c r="CYO168" s="3"/>
      <c r="CYP168" s="3"/>
      <c r="CYQ168" s="3"/>
      <c r="CYR168" s="3"/>
      <c r="CYS168" s="3"/>
      <c r="CYT168" s="3"/>
      <c r="CYU168" s="3"/>
      <c r="CYV168" s="3"/>
      <c r="CYW168" s="3"/>
      <c r="CYX168" s="3"/>
      <c r="CYY168" s="3"/>
      <c r="CYZ168" s="3"/>
      <c r="CZA168" s="3"/>
      <c r="CZB168" s="3"/>
      <c r="CZC168" s="3"/>
      <c r="CZD168" s="3"/>
      <c r="CZE168" s="3"/>
      <c r="CZF168" s="3"/>
      <c r="CZG168" s="3"/>
      <c r="CZH168" s="3"/>
      <c r="CZI168" s="3"/>
      <c r="CZJ168" s="3"/>
      <c r="CZK168" s="3"/>
      <c r="CZL168" s="3"/>
      <c r="CZM168" s="3"/>
      <c r="CZN168" s="3"/>
      <c r="CZO168" s="3"/>
      <c r="CZP168" s="3"/>
      <c r="CZQ168" s="3"/>
      <c r="CZR168" s="3"/>
      <c r="CZS168" s="3"/>
      <c r="CZT168" s="3"/>
      <c r="CZU168" s="3"/>
      <c r="CZV168" s="3"/>
      <c r="CZW168" s="3"/>
      <c r="CZX168" s="3"/>
      <c r="CZY168" s="3"/>
      <c r="CZZ168" s="3"/>
      <c r="DAA168" s="3"/>
      <c r="DAB168" s="3"/>
      <c r="DAC168" s="3"/>
      <c r="DAD168" s="3"/>
      <c r="DAE168" s="3"/>
      <c r="DAF168" s="3"/>
      <c r="DAG168" s="3"/>
      <c r="DAH168" s="3"/>
      <c r="DAI168" s="3"/>
      <c r="DAJ168" s="3"/>
      <c r="DAK168" s="3"/>
      <c r="DAL168" s="3"/>
      <c r="DAM168" s="3"/>
      <c r="DAN168" s="3"/>
      <c r="DAO168" s="3"/>
      <c r="DAP168" s="3"/>
      <c r="DAQ168" s="3"/>
      <c r="DAR168" s="3"/>
      <c r="DAS168" s="3"/>
      <c r="DAT168" s="3"/>
      <c r="DAU168" s="3"/>
      <c r="DAV168" s="3"/>
      <c r="DAW168" s="3"/>
      <c r="DAX168" s="3"/>
      <c r="DAY168" s="3"/>
      <c r="DAZ168" s="3"/>
      <c r="DBA168" s="3"/>
      <c r="DBB168" s="3"/>
      <c r="DBC168" s="3"/>
      <c r="DBD168" s="3"/>
      <c r="DBE168" s="3"/>
      <c r="DBF168" s="3"/>
      <c r="DBG168" s="3"/>
      <c r="DBH168" s="3"/>
      <c r="DBI168" s="3"/>
      <c r="DBJ168" s="3"/>
      <c r="DBK168" s="3"/>
      <c r="DBL168" s="3"/>
      <c r="DBM168" s="3"/>
      <c r="DBN168" s="3"/>
      <c r="DBO168" s="3"/>
      <c r="DBP168" s="3"/>
      <c r="DBQ168" s="3"/>
      <c r="DBR168" s="3"/>
      <c r="DBS168" s="3"/>
      <c r="DBT168" s="3"/>
      <c r="DBU168" s="3"/>
      <c r="DBV168" s="3"/>
      <c r="DBW168" s="3"/>
      <c r="DBX168" s="3"/>
      <c r="DBY168" s="3"/>
      <c r="DBZ168" s="3"/>
      <c r="DCA168" s="3"/>
      <c r="DCB168" s="3"/>
      <c r="DCC168" s="3"/>
      <c r="DCD168" s="3"/>
      <c r="DCE168" s="3"/>
      <c r="DCF168" s="3"/>
      <c r="DCG168" s="3"/>
      <c r="DCH168" s="3"/>
      <c r="DCI168" s="3"/>
      <c r="DCJ168" s="3"/>
      <c r="DCK168" s="3"/>
      <c r="DCL168" s="3"/>
      <c r="DCM168" s="3"/>
      <c r="DCN168" s="3"/>
      <c r="DCO168" s="3"/>
      <c r="DCP168" s="3"/>
      <c r="DCQ168" s="3"/>
      <c r="DCR168" s="3"/>
      <c r="DCS168" s="3"/>
      <c r="DCT168" s="3"/>
      <c r="DCU168" s="3"/>
      <c r="DCV168" s="3"/>
      <c r="DCW168" s="3"/>
      <c r="DCX168" s="3"/>
      <c r="DCY168" s="3"/>
      <c r="DCZ168" s="3"/>
      <c r="DDA168" s="3"/>
      <c r="DDB168" s="3"/>
      <c r="DDC168" s="3"/>
      <c r="DDD168" s="3"/>
      <c r="DDE168" s="3"/>
      <c r="DDF168" s="3"/>
      <c r="DDG168" s="3"/>
      <c r="DDH168" s="3"/>
      <c r="DDI168" s="3"/>
      <c r="DDJ168" s="3"/>
      <c r="DDK168" s="3"/>
      <c r="DDL168" s="3"/>
      <c r="DDM168" s="3"/>
      <c r="DDN168" s="3"/>
      <c r="DDO168" s="3"/>
      <c r="DDP168" s="3"/>
      <c r="DDQ168" s="3"/>
      <c r="DDR168" s="3"/>
      <c r="DDS168" s="3"/>
      <c r="DDT168" s="3"/>
      <c r="DDU168" s="3"/>
      <c r="DDV168" s="3"/>
      <c r="DDW168" s="3"/>
      <c r="DDX168" s="3"/>
      <c r="DDY168" s="3"/>
      <c r="DDZ168" s="3"/>
      <c r="DEA168" s="3"/>
      <c r="DEB168" s="3"/>
      <c r="DEC168" s="3"/>
      <c r="DED168" s="3"/>
      <c r="DEE168" s="3"/>
      <c r="DEF168" s="3"/>
      <c r="DEG168" s="3"/>
      <c r="DEH168" s="3"/>
      <c r="DEI168" s="3"/>
      <c r="DEJ168" s="3"/>
      <c r="DEK168" s="3"/>
      <c r="DEL168" s="3"/>
      <c r="DEM168" s="3"/>
      <c r="DEN168" s="3"/>
      <c r="DEO168" s="3"/>
      <c r="DEP168" s="3"/>
      <c r="DEQ168" s="3"/>
      <c r="DER168" s="3"/>
      <c r="DES168" s="3"/>
      <c r="DET168" s="3"/>
      <c r="DEU168" s="3"/>
      <c r="DEV168" s="3"/>
      <c r="DEW168" s="3"/>
      <c r="DEX168" s="3"/>
      <c r="DEY168" s="3"/>
      <c r="DEZ168" s="3"/>
      <c r="DFA168" s="3"/>
      <c r="DFB168" s="3"/>
      <c r="DFC168" s="3"/>
      <c r="DFD168" s="3"/>
      <c r="DFE168" s="3"/>
      <c r="DFF168" s="3"/>
      <c r="DFG168" s="3"/>
      <c r="DFH168" s="3"/>
      <c r="DFI168" s="3"/>
      <c r="DFJ168" s="3"/>
      <c r="DFK168" s="3"/>
      <c r="DFL168" s="3"/>
      <c r="DFM168" s="3"/>
      <c r="DFN168" s="3"/>
      <c r="DFO168" s="3"/>
      <c r="DFP168" s="3"/>
      <c r="DFQ168" s="3"/>
      <c r="DFR168" s="3"/>
      <c r="DFS168" s="3"/>
      <c r="DFT168" s="3"/>
      <c r="DFU168" s="3"/>
      <c r="DFV168" s="3"/>
      <c r="DFW168" s="3"/>
      <c r="DFX168" s="3"/>
      <c r="DFY168" s="3"/>
      <c r="DFZ168" s="3"/>
      <c r="DGA168" s="3"/>
      <c r="DGB168" s="3"/>
      <c r="DGC168" s="3"/>
      <c r="DGD168" s="3"/>
      <c r="DGE168" s="3"/>
      <c r="DGF168" s="3"/>
      <c r="DGG168" s="3"/>
      <c r="DGH168" s="3"/>
      <c r="DGI168" s="3"/>
      <c r="DGJ168" s="3"/>
      <c r="DGK168" s="3"/>
      <c r="DGL168" s="3"/>
      <c r="DGM168" s="3"/>
      <c r="DGN168" s="3"/>
      <c r="DGO168" s="3"/>
      <c r="DGP168" s="3"/>
      <c r="DGQ168" s="3"/>
      <c r="DGR168" s="3"/>
      <c r="DGS168" s="3"/>
      <c r="DGT168" s="3"/>
      <c r="DGU168" s="3"/>
      <c r="DGV168" s="3"/>
      <c r="DGW168" s="3"/>
      <c r="DGX168" s="3"/>
      <c r="DGY168" s="3"/>
      <c r="DGZ168" s="3"/>
      <c r="DHA168" s="3"/>
      <c r="DHB168" s="3"/>
      <c r="DHC168" s="3"/>
      <c r="DHD168" s="3"/>
      <c r="DHE168" s="3"/>
      <c r="DHF168" s="3"/>
      <c r="DHG168" s="3"/>
      <c r="DHH168" s="3"/>
      <c r="DHI168" s="3"/>
      <c r="DHJ168" s="3"/>
      <c r="DHK168" s="3"/>
      <c r="DHL168" s="3"/>
      <c r="DHM168" s="3"/>
      <c r="DHN168" s="3"/>
      <c r="DHO168" s="3"/>
      <c r="DHP168" s="3"/>
      <c r="DHQ168" s="3"/>
      <c r="DHR168" s="3"/>
      <c r="DHS168" s="3"/>
      <c r="DHT168" s="3"/>
      <c r="DHU168" s="3"/>
      <c r="DHV168" s="3"/>
      <c r="DHW168" s="3"/>
      <c r="DHX168" s="3"/>
      <c r="DHY168" s="3"/>
      <c r="DHZ168" s="3"/>
      <c r="DIA168" s="3"/>
      <c r="DIB168" s="3"/>
      <c r="DIC168" s="3"/>
      <c r="DID168" s="3"/>
      <c r="DIE168" s="3"/>
      <c r="DIF168" s="3"/>
      <c r="DIG168" s="3"/>
      <c r="DIH168" s="3"/>
      <c r="DII168" s="3"/>
      <c r="DIJ168" s="3"/>
      <c r="DIK168" s="3"/>
      <c r="DIL168" s="3"/>
      <c r="DIM168" s="3"/>
      <c r="DIN168" s="3"/>
      <c r="DIO168" s="3"/>
      <c r="DIP168" s="3"/>
      <c r="DIQ168" s="3"/>
      <c r="DIR168" s="3"/>
      <c r="DIS168" s="3"/>
      <c r="DIT168" s="3"/>
      <c r="DIU168" s="3"/>
      <c r="DIV168" s="3"/>
      <c r="DIW168" s="3"/>
      <c r="DIX168" s="3"/>
      <c r="DIY168" s="3"/>
      <c r="DIZ168" s="3"/>
      <c r="DJA168" s="3"/>
      <c r="DJB168" s="3"/>
      <c r="DJC168" s="3"/>
      <c r="DJD168" s="3"/>
      <c r="DJE168" s="3"/>
      <c r="DJF168" s="3"/>
      <c r="DJG168" s="3"/>
      <c r="DJH168" s="3"/>
      <c r="DJI168" s="3"/>
      <c r="DJJ168" s="3"/>
      <c r="DJK168" s="3"/>
      <c r="DJL168" s="3"/>
      <c r="DJM168" s="3"/>
      <c r="DJN168" s="3"/>
      <c r="DJO168" s="3"/>
      <c r="DJP168" s="3"/>
      <c r="DJQ168" s="3"/>
      <c r="DJR168" s="3"/>
      <c r="DJS168" s="3"/>
      <c r="DJT168" s="3"/>
      <c r="DJU168" s="3"/>
      <c r="DJV168" s="3"/>
      <c r="DJW168" s="3"/>
      <c r="DJX168" s="3"/>
      <c r="DJY168" s="3"/>
      <c r="DJZ168" s="3"/>
      <c r="DKA168" s="3"/>
      <c r="DKB168" s="3"/>
      <c r="DKC168" s="3"/>
      <c r="DKD168" s="3"/>
      <c r="DKE168" s="3"/>
      <c r="DKF168" s="3"/>
      <c r="DKG168" s="3"/>
      <c r="DKH168" s="3"/>
      <c r="DKI168" s="3"/>
      <c r="DKJ168" s="3"/>
      <c r="DKK168" s="3"/>
      <c r="DKL168" s="3"/>
      <c r="DKM168" s="3"/>
      <c r="DKN168" s="3"/>
      <c r="DKO168" s="3"/>
      <c r="DKP168" s="3"/>
      <c r="DKQ168" s="3"/>
      <c r="DKR168" s="3"/>
      <c r="DKS168" s="3"/>
      <c r="DKT168" s="3"/>
      <c r="DKU168" s="3"/>
      <c r="DKV168" s="3"/>
      <c r="DKW168" s="3"/>
      <c r="DKX168" s="3"/>
      <c r="DKY168" s="3"/>
      <c r="DKZ168" s="3"/>
      <c r="DLA168" s="3"/>
      <c r="DLB168" s="3"/>
      <c r="DLC168" s="3"/>
      <c r="DLD168" s="3"/>
      <c r="DLE168" s="3"/>
      <c r="DLF168" s="3"/>
      <c r="DLG168" s="3"/>
      <c r="DLH168" s="3"/>
      <c r="DLI168" s="3"/>
      <c r="DLJ168" s="3"/>
      <c r="DLK168" s="3"/>
      <c r="DLL168" s="3"/>
      <c r="DLM168" s="3"/>
      <c r="DLN168" s="3"/>
      <c r="DLO168" s="3"/>
      <c r="DLP168" s="3"/>
      <c r="DLQ168" s="3"/>
      <c r="DLR168" s="3"/>
      <c r="DLS168" s="3"/>
      <c r="DLT168" s="3"/>
      <c r="DLU168" s="3"/>
      <c r="DLV168" s="3"/>
      <c r="DLW168" s="3"/>
      <c r="DLX168" s="3"/>
      <c r="DLY168" s="3"/>
      <c r="DLZ168" s="3"/>
      <c r="DMA168" s="3"/>
      <c r="DMB168" s="3"/>
      <c r="DMC168" s="3"/>
      <c r="DMD168" s="3"/>
      <c r="DME168" s="3"/>
      <c r="DMF168" s="3"/>
      <c r="DMG168" s="3"/>
      <c r="DMH168" s="3"/>
      <c r="DMI168" s="3"/>
      <c r="DMJ168" s="3"/>
      <c r="DMK168" s="3"/>
      <c r="DML168" s="3"/>
      <c r="DMM168" s="3"/>
      <c r="DMN168" s="3"/>
      <c r="DMO168" s="3"/>
      <c r="DMP168" s="3"/>
      <c r="DMQ168" s="3"/>
      <c r="DMR168" s="3"/>
      <c r="DMS168" s="3"/>
      <c r="DMT168" s="3"/>
      <c r="DMU168" s="3"/>
      <c r="DMV168" s="3"/>
      <c r="DMW168" s="3"/>
      <c r="DMX168" s="3"/>
      <c r="DMY168" s="3"/>
      <c r="DMZ168" s="3"/>
      <c r="DNA168" s="3"/>
      <c r="DNB168" s="3"/>
      <c r="DNC168" s="3"/>
      <c r="DND168" s="3"/>
      <c r="DNE168" s="3"/>
      <c r="DNF168" s="3"/>
      <c r="DNG168" s="3"/>
      <c r="DNH168" s="3"/>
      <c r="DNI168" s="3"/>
      <c r="DNJ168" s="3"/>
      <c r="DNK168" s="3"/>
      <c r="DNL168" s="3"/>
      <c r="DNM168" s="3"/>
      <c r="DNN168" s="3"/>
      <c r="DNO168" s="3"/>
      <c r="DNP168" s="3"/>
      <c r="DNQ168" s="3"/>
      <c r="DNR168" s="3"/>
      <c r="DNS168" s="3"/>
      <c r="DNT168" s="3"/>
      <c r="DNU168" s="3"/>
      <c r="DNV168" s="3"/>
      <c r="DNW168" s="3"/>
      <c r="DNX168" s="3"/>
      <c r="DNY168" s="3"/>
      <c r="DNZ168" s="3"/>
      <c r="DOA168" s="3"/>
      <c r="DOB168" s="3"/>
      <c r="DOC168" s="3"/>
      <c r="DOD168" s="3"/>
      <c r="DOE168" s="3"/>
      <c r="DOF168" s="3"/>
      <c r="DOG168" s="3"/>
      <c r="DOH168" s="3"/>
      <c r="DOI168" s="3"/>
      <c r="DOJ168" s="3"/>
      <c r="DOK168" s="3"/>
      <c r="DOL168" s="3"/>
      <c r="DOM168" s="3"/>
      <c r="DON168" s="3"/>
      <c r="DOO168" s="3"/>
      <c r="DOP168" s="3"/>
      <c r="DOQ168" s="3"/>
      <c r="DOR168" s="3"/>
      <c r="DOS168" s="3"/>
      <c r="DOT168" s="3"/>
      <c r="DOU168" s="3"/>
      <c r="DOV168" s="3"/>
      <c r="DOW168" s="3"/>
      <c r="DOX168" s="3"/>
      <c r="DOY168" s="3"/>
      <c r="DOZ168" s="3"/>
      <c r="DPA168" s="3"/>
      <c r="DPB168" s="3"/>
      <c r="DPC168" s="3"/>
      <c r="DPD168" s="3"/>
      <c r="DPE168" s="3"/>
      <c r="DPF168" s="3"/>
      <c r="DPG168" s="3"/>
      <c r="DPH168" s="3"/>
      <c r="DPI168" s="3"/>
      <c r="DPJ168" s="3"/>
      <c r="DPK168" s="3"/>
      <c r="DPL168" s="3"/>
      <c r="DPM168" s="3"/>
      <c r="DPN168" s="3"/>
      <c r="DPO168" s="3"/>
      <c r="DPP168" s="3"/>
      <c r="DPQ168" s="3"/>
      <c r="DPR168" s="3"/>
      <c r="DPS168" s="3"/>
      <c r="DPT168" s="3"/>
      <c r="DPU168" s="3"/>
      <c r="DPV168" s="3"/>
      <c r="DPW168" s="3"/>
      <c r="DPX168" s="3"/>
      <c r="DPY168" s="3"/>
      <c r="DPZ168" s="3"/>
      <c r="DQA168" s="3"/>
      <c r="DQB168" s="3"/>
      <c r="DQC168" s="3"/>
      <c r="DQD168" s="3"/>
      <c r="DQE168" s="3"/>
      <c r="DQF168" s="3"/>
      <c r="DQG168" s="3"/>
      <c r="DQH168" s="3"/>
      <c r="DQI168" s="3"/>
      <c r="DQJ168" s="3"/>
      <c r="DQK168" s="3"/>
      <c r="DQL168" s="3"/>
      <c r="DQM168" s="3"/>
      <c r="DQN168" s="3"/>
      <c r="DQO168" s="3"/>
      <c r="DQP168" s="3"/>
      <c r="DQQ168" s="3"/>
      <c r="DQR168" s="3"/>
      <c r="DQS168" s="3"/>
      <c r="DQT168" s="3"/>
      <c r="DQU168" s="3"/>
      <c r="DQV168" s="3"/>
      <c r="DQW168" s="3"/>
      <c r="DQX168" s="3"/>
      <c r="DQY168" s="3"/>
      <c r="DQZ168" s="3"/>
      <c r="DRA168" s="3"/>
      <c r="DRB168" s="3"/>
      <c r="DRC168" s="3"/>
      <c r="DRD168" s="3"/>
      <c r="DRE168" s="3"/>
      <c r="DRF168" s="3"/>
      <c r="DRG168" s="3"/>
      <c r="DRH168" s="3"/>
      <c r="DRI168" s="3"/>
      <c r="DRJ168" s="3"/>
      <c r="DRK168" s="3"/>
      <c r="DRL168" s="3"/>
      <c r="DRM168" s="3"/>
      <c r="DRN168" s="3"/>
      <c r="DRO168" s="3"/>
      <c r="DRP168" s="3"/>
      <c r="DRQ168" s="3"/>
      <c r="DRR168" s="3"/>
      <c r="DRS168" s="3"/>
      <c r="DRT168" s="3"/>
      <c r="DRU168" s="3"/>
      <c r="DRV168" s="3"/>
      <c r="DRW168" s="3"/>
      <c r="DRX168" s="3"/>
      <c r="DRY168" s="3"/>
      <c r="DRZ168" s="3"/>
      <c r="DSA168" s="3"/>
      <c r="DSB168" s="3"/>
      <c r="DSC168" s="3"/>
      <c r="DSD168" s="3"/>
      <c r="DSE168" s="3"/>
      <c r="DSF168" s="3"/>
      <c r="DSG168" s="3"/>
      <c r="DSH168" s="3"/>
      <c r="DSI168" s="3"/>
      <c r="DSJ168" s="3"/>
      <c r="DSK168" s="3"/>
      <c r="DSL168" s="3"/>
      <c r="DSM168" s="3"/>
      <c r="DSN168" s="3"/>
      <c r="DSO168" s="3"/>
      <c r="DSP168" s="3"/>
      <c r="DSQ168" s="3"/>
      <c r="DSR168" s="3"/>
      <c r="DSS168" s="3"/>
      <c r="DST168" s="3"/>
      <c r="DSU168" s="3"/>
      <c r="DSV168" s="3"/>
      <c r="DSW168" s="3"/>
      <c r="DSX168" s="3"/>
      <c r="DSY168" s="3"/>
      <c r="DSZ168" s="3"/>
      <c r="DTA168" s="3"/>
      <c r="DTB168" s="3"/>
      <c r="DTC168" s="3"/>
      <c r="DTD168" s="3"/>
      <c r="DTE168" s="3"/>
      <c r="DTF168" s="3"/>
      <c r="DTG168" s="3"/>
      <c r="DTH168" s="3"/>
      <c r="DTI168" s="3"/>
      <c r="DTJ168" s="3"/>
      <c r="DTK168" s="3"/>
      <c r="DTL168" s="3"/>
      <c r="DTM168" s="3"/>
      <c r="DTN168" s="3"/>
      <c r="DTO168" s="3"/>
      <c r="DTP168" s="3"/>
      <c r="DTQ168" s="3"/>
      <c r="DTR168" s="3"/>
      <c r="DTS168" s="3"/>
      <c r="DTT168" s="3"/>
      <c r="DTU168" s="3"/>
      <c r="DTV168" s="3"/>
      <c r="DTW168" s="3"/>
      <c r="DTX168" s="3"/>
      <c r="DTY168" s="3"/>
      <c r="DTZ168" s="3"/>
      <c r="DUA168" s="3"/>
      <c r="DUB168" s="3"/>
      <c r="DUC168" s="3"/>
      <c r="DUD168" s="3"/>
      <c r="DUE168" s="3"/>
      <c r="DUF168" s="3"/>
      <c r="DUG168" s="3"/>
      <c r="DUH168" s="3"/>
      <c r="DUI168" s="3"/>
      <c r="DUJ168" s="3"/>
      <c r="DUK168" s="3"/>
      <c r="DUL168" s="3"/>
      <c r="DUM168" s="3"/>
      <c r="DUN168" s="3"/>
      <c r="DUO168" s="3"/>
      <c r="DUP168" s="3"/>
      <c r="DUQ168" s="3"/>
      <c r="DUR168" s="3"/>
      <c r="DUS168" s="3"/>
      <c r="DUT168" s="3"/>
      <c r="DUU168" s="3"/>
      <c r="DUV168" s="3"/>
      <c r="DUW168" s="3"/>
      <c r="DUX168" s="3"/>
      <c r="DUY168" s="3"/>
      <c r="DUZ168" s="3"/>
      <c r="DVA168" s="3"/>
      <c r="DVB168" s="3"/>
      <c r="DVC168" s="3"/>
      <c r="DVD168" s="3"/>
      <c r="DVE168" s="3"/>
      <c r="DVF168" s="3"/>
      <c r="DVG168" s="3"/>
      <c r="DVH168" s="3"/>
      <c r="DVI168" s="3"/>
      <c r="DVJ168" s="3"/>
      <c r="DVK168" s="3"/>
      <c r="DVL168" s="3"/>
      <c r="DVM168" s="3"/>
      <c r="DVN168" s="3"/>
      <c r="DVO168" s="3"/>
      <c r="DVP168" s="3"/>
      <c r="DVQ168" s="3"/>
      <c r="DVR168" s="3"/>
      <c r="DVS168" s="3"/>
      <c r="DVT168" s="3"/>
      <c r="DVU168" s="3"/>
      <c r="DVV168" s="3"/>
      <c r="DVW168" s="3"/>
      <c r="DVX168" s="3"/>
      <c r="DVY168" s="3"/>
      <c r="DVZ168" s="3"/>
      <c r="DWA168" s="3"/>
      <c r="DWB168" s="3"/>
      <c r="DWC168" s="3"/>
      <c r="DWD168" s="3"/>
      <c r="DWE168" s="3"/>
      <c r="DWF168" s="3"/>
      <c r="DWG168" s="3"/>
      <c r="DWH168" s="3"/>
      <c r="DWI168" s="3"/>
      <c r="DWJ168" s="3"/>
      <c r="DWK168" s="3"/>
      <c r="DWL168" s="3"/>
      <c r="DWM168" s="3"/>
      <c r="DWN168" s="3"/>
      <c r="DWO168" s="3"/>
      <c r="DWP168" s="3"/>
      <c r="DWQ168" s="3"/>
      <c r="DWR168" s="3"/>
      <c r="DWS168" s="3"/>
      <c r="DWT168" s="3"/>
      <c r="DWU168" s="3"/>
      <c r="DWV168" s="3"/>
      <c r="DWW168" s="3"/>
      <c r="DWX168" s="3"/>
      <c r="DWY168" s="3"/>
      <c r="DWZ168" s="3"/>
      <c r="DXA168" s="3"/>
      <c r="DXB168" s="3"/>
      <c r="DXC168" s="3"/>
      <c r="DXD168" s="3"/>
      <c r="DXE168" s="3"/>
      <c r="DXF168" s="3"/>
      <c r="DXG168" s="3"/>
      <c r="DXH168" s="3"/>
      <c r="DXI168" s="3"/>
      <c r="DXJ168" s="3"/>
      <c r="DXK168" s="3"/>
      <c r="DXL168" s="3"/>
      <c r="DXM168" s="3"/>
      <c r="DXN168" s="3"/>
      <c r="DXO168" s="3"/>
      <c r="DXP168" s="3"/>
      <c r="DXQ168" s="3"/>
      <c r="DXR168" s="3"/>
      <c r="DXS168" s="3"/>
      <c r="DXT168" s="3"/>
      <c r="DXU168" s="3"/>
      <c r="DXV168" s="3"/>
      <c r="DXW168" s="3"/>
      <c r="DXX168" s="3"/>
      <c r="DXY168" s="3"/>
      <c r="DXZ168" s="3"/>
      <c r="DYA168" s="3"/>
      <c r="DYB168" s="3"/>
      <c r="DYC168" s="3"/>
      <c r="DYD168" s="3"/>
      <c r="DYE168" s="3"/>
      <c r="DYF168" s="3"/>
      <c r="DYG168" s="3"/>
      <c r="DYH168" s="3"/>
      <c r="DYI168" s="3"/>
      <c r="DYJ168" s="3"/>
      <c r="DYK168" s="3"/>
      <c r="DYL168" s="3"/>
      <c r="DYM168" s="3"/>
      <c r="DYN168" s="3"/>
      <c r="DYO168" s="3"/>
      <c r="DYP168" s="3"/>
      <c r="DYQ168" s="3"/>
      <c r="DYR168" s="3"/>
      <c r="DYS168" s="3"/>
      <c r="DYT168" s="3"/>
      <c r="DYU168" s="3"/>
      <c r="DYV168" s="3"/>
      <c r="DYW168" s="3"/>
      <c r="DYX168" s="3"/>
      <c r="DYY168" s="3"/>
      <c r="DYZ168" s="3"/>
      <c r="DZA168" s="3"/>
      <c r="DZB168" s="3"/>
      <c r="DZC168" s="3"/>
      <c r="DZD168" s="3"/>
      <c r="DZE168" s="3"/>
      <c r="DZF168" s="3"/>
      <c r="DZG168" s="3"/>
      <c r="DZH168" s="3"/>
      <c r="DZI168" s="3"/>
      <c r="DZJ168" s="3"/>
      <c r="DZK168" s="3"/>
      <c r="DZL168" s="3"/>
      <c r="DZM168" s="3"/>
      <c r="DZN168" s="3"/>
      <c r="DZO168" s="3"/>
      <c r="DZP168" s="3"/>
      <c r="DZQ168" s="3"/>
      <c r="DZR168" s="3"/>
      <c r="DZS168" s="3"/>
      <c r="DZT168" s="3"/>
      <c r="DZU168" s="3"/>
      <c r="DZV168" s="3"/>
      <c r="DZW168" s="3"/>
      <c r="DZX168" s="3"/>
      <c r="DZY168" s="3"/>
      <c r="DZZ168" s="3"/>
      <c r="EAA168" s="3"/>
      <c r="EAB168" s="3"/>
      <c r="EAC168" s="3"/>
      <c r="EAD168" s="3"/>
      <c r="EAE168" s="3"/>
      <c r="EAF168" s="3"/>
      <c r="EAG168" s="3"/>
      <c r="EAH168" s="3"/>
      <c r="EAI168" s="3"/>
      <c r="EAJ168" s="3"/>
      <c r="EAK168" s="3"/>
      <c r="EAL168" s="3"/>
      <c r="EAM168" s="3"/>
      <c r="EAN168" s="3"/>
      <c r="EAO168" s="3"/>
      <c r="EAP168" s="3"/>
      <c r="EAQ168" s="3"/>
      <c r="EAR168" s="3"/>
      <c r="EAS168" s="3"/>
      <c r="EAT168" s="3"/>
      <c r="EAU168" s="3"/>
      <c r="EAV168" s="3"/>
      <c r="EAW168" s="3"/>
      <c r="EAX168" s="3"/>
      <c r="EAY168" s="3"/>
      <c r="EAZ168" s="3"/>
      <c r="EBA168" s="3"/>
      <c r="EBB168" s="3"/>
      <c r="EBC168" s="3"/>
      <c r="EBD168" s="3"/>
      <c r="EBE168" s="3"/>
      <c r="EBF168" s="3"/>
      <c r="EBG168" s="3"/>
      <c r="EBH168" s="3"/>
      <c r="EBI168" s="3"/>
      <c r="EBJ168" s="3"/>
      <c r="EBK168" s="3"/>
      <c r="EBL168" s="3"/>
      <c r="EBM168" s="3"/>
      <c r="EBN168" s="3"/>
      <c r="EBO168" s="3"/>
      <c r="EBP168" s="3"/>
      <c r="EBQ168" s="3"/>
      <c r="EBR168" s="3"/>
      <c r="EBS168" s="3"/>
      <c r="EBT168" s="3"/>
      <c r="EBU168" s="3"/>
      <c r="EBV168" s="3"/>
      <c r="EBW168" s="3"/>
      <c r="EBX168" s="3"/>
      <c r="EBY168" s="3"/>
      <c r="EBZ168" s="3"/>
      <c r="ECA168" s="3"/>
      <c r="ECB168" s="3"/>
      <c r="ECC168" s="3"/>
      <c r="ECD168" s="3"/>
      <c r="ECE168" s="3"/>
      <c r="ECF168" s="3"/>
      <c r="ECG168" s="3"/>
      <c r="ECH168" s="3"/>
      <c r="ECI168" s="3"/>
      <c r="ECJ168" s="3"/>
      <c r="ECK168" s="3"/>
      <c r="ECL168" s="3"/>
      <c r="ECM168" s="3"/>
      <c r="ECN168" s="3"/>
      <c r="ECO168" s="3"/>
      <c r="ECP168" s="3"/>
      <c r="ECQ168" s="3"/>
      <c r="ECR168" s="3"/>
      <c r="ECS168" s="3"/>
      <c r="ECT168" s="3"/>
      <c r="ECU168" s="3"/>
      <c r="ECV168" s="3"/>
      <c r="ECW168" s="3"/>
      <c r="ECX168" s="3"/>
      <c r="ECY168" s="3"/>
      <c r="ECZ168" s="3"/>
      <c r="EDA168" s="3"/>
      <c r="EDB168" s="3"/>
      <c r="EDC168" s="3"/>
      <c r="EDD168" s="3"/>
      <c r="EDE168" s="3"/>
      <c r="EDF168" s="3"/>
      <c r="EDG168" s="3"/>
      <c r="EDH168" s="3"/>
      <c r="EDI168" s="3"/>
      <c r="EDJ168" s="3"/>
      <c r="EDK168" s="3"/>
      <c r="EDL168" s="3"/>
      <c r="EDM168" s="3"/>
      <c r="EDN168" s="3"/>
      <c r="EDO168" s="3"/>
      <c r="EDP168" s="3"/>
      <c r="EDQ168" s="3"/>
      <c r="EDR168" s="3"/>
      <c r="EDS168" s="3"/>
      <c r="EDT168" s="3"/>
      <c r="EDU168" s="3"/>
      <c r="EDV168" s="3"/>
      <c r="EDW168" s="3"/>
      <c r="EDX168" s="3"/>
      <c r="EDY168" s="3"/>
      <c r="EDZ168" s="3"/>
      <c r="EEA168" s="3"/>
      <c r="EEB168" s="3"/>
      <c r="EEC168" s="3"/>
      <c r="EED168" s="3"/>
      <c r="EEE168" s="3"/>
      <c r="EEF168" s="3"/>
      <c r="EEG168" s="3"/>
      <c r="EEH168" s="3"/>
      <c r="EEI168" s="3"/>
      <c r="EEJ168" s="3"/>
      <c r="EEK168" s="3"/>
      <c r="EEL168" s="3"/>
      <c r="EEM168" s="3"/>
      <c r="EEN168" s="3"/>
      <c r="EEO168" s="3"/>
      <c r="EEP168" s="3"/>
      <c r="EEQ168" s="3"/>
      <c r="EER168" s="3"/>
      <c r="EES168" s="3"/>
      <c r="EET168" s="3"/>
      <c r="EEU168" s="3"/>
      <c r="EEV168" s="3"/>
      <c r="EEW168" s="3"/>
      <c r="EEX168" s="3"/>
      <c r="EEY168" s="3"/>
      <c r="EEZ168" s="3"/>
      <c r="EFA168" s="3"/>
      <c r="EFB168" s="3"/>
      <c r="EFC168" s="3"/>
      <c r="EFD168" s="3"/>
      <c r="EFE168" s="3"/>
      <c r="EFF168" s="3"/>
      <c r="EFG168" s="3"/>
      <c r="EFH168" s="3"/>
      <c r="EFI168" s="3"/>
      <c r="EFJ168" s="3"/>
      <c r="EFK168" s="3"/>
      <c r="EFL168" s="3"/>
      <c r="EFM168" s="3"/>
      <c r="EFN168" s="3"/>
      <c r="EFO168" s="3"/>
      <c r="EFP168" s="3"/>
      <c r="EFQ168" s="3"/>
      <c r="EFR168" s="3"/>
      <c r="EFS168" s="3"/>
      <c r="EFT168" s="3"/>
      <c r="EFU168" s="3"/>
      <c r="EFV168" s="3"/>
      <c r="EFW168" s="3"/>
      <c r="EFX168" s="3"/>
      <c r="EFY168" s="3"/>
      <c r="EFZ168" s="3"/>
      <c r="EGA168" s="3"/>
      <c r="EGB168" s="3"/>
      <c r="EGC168" s="3"/>
      <c r="EGD168" s="3"/>
      <c r="EGE168" s="3"/>
      <c r="EGF168" s="3"/>
      <c r="EGG168" s="3"/>
      <c r="EGH168" s="3"/>
      <c r="EGI168" s="3"/>
      <c r="EGJ168" s="3"/>
      <c r="EGK168" s="3"/>
      <c r="EGL168" s="3"/>
      <c r="EGM168" s="3"/>
      <c r="EGN168" s="3"/>
      <c r="EGO168" s="3"/>
      <c r="EGP168" s="3"/>
      <c r="EGQ168" s="3"/>
      <c r="EGR168" s="3"/>
      <c r="EGS168" s="3"/>
      <c r="EGT168" s="3"/>
      <c r="EGU168" s="3"/>
      <c r="EGV168" s="3"/>
      <c r="EGW168" s="3"/>
      <c r="EGX168" s="3"/>
      <c r="EGY168" s="3"/>
      <c r="EGZ168" s="3"/>
      <c r="EHA168" s="3"/>
      <c r="EHB168" s="3"/>
      <c r="EHC168" s="3"/>
      <c r="EHD168" s="3"/>
      <c r="EHE168" s="3"/>
      <c r="EHF168" s="3"/>
      <c r="EHG168" s="3"/>
      <c r="EHH168" s="3"/>
      <c r="EHI168" s="3"/>
      <c r="EHJ168" s="3"/>
      <c r="EHK168" s="3"/>
      <c r="EHL168" s="3"/>
      <c r="EHM168" s="3"/>
      <c r="EHN168" s="3"/>
      <c r="EHO168" s="3"/>
      <c r="EHP168" s="3"/>
      <c r="EHQ168" s="3"/>
      <c r="EHR168" s="3"/>
      <c r="EHS168" s="3"/>
      <c r="EHT168" s="3"/>
      <c r="EHU168" s="3"/>
      <c r="EHV168" s="3"/>
      <c r="EHW168" s="3"/>
      <c r="EHX168" s="3"/>
      <c r="EHY168" s="3"/>
      <c r="EHZ168" s="3"/>
      <c r="EIA168" s="3"/>
      <c r="EIB168" s="3"/>
      <c r="EIC168" s="3"/>
      <c r="EID168" s="3"/>
      <c r="EIE168" s="3"/>
      <c r="EIF168" s="3"/>
      <c r="EIG168" s="3"/>
      <c r="EIH168" s="3"/>
      <c r="EII168" s="3"/>
      <c r="EIJ168" s="3"/>
      <c r="EIK168" s="3"/>
      <c r="EIL168" s="3"/>
      <c r="EIM168" s="3"/>
      <c r="EIN168" s="3"/>
      <c r="EIO168" s="3"/>
      <c r="EIP168" s="3"/>
      <c r="EIQ168" s="3"/>
      <c r="EIR168" s="3"/>
      <c r="EIS168" s="3"/>
      <c r="EIT168" s="3"/>
      <c r="EIU168" s="3"/>
      <c r="EIV168" s="3"/>
      <c r="EIW168" s="3"/>
      <c r="EIX168" s="3"/>
      <c r="EIY168" s="3"/>
      <c r="EIZ168" s="3"/>
      <c r="EJA168" s="3"/>
      <c r="EJB168" s="3"/>
      <c r="EJC168" s="3"/>
      <c r="EJD168" s="3"/>
      <c r="EJE168" s="3"/>
      <c r="EJF168" s="3"/>
      <c r="EJG168" s="3"/>
      <c r="EJH168" s="3"/>
      <c r="EJI168" s="3"/>
      <c r="EJJ168" s="3"/>
      <c r="EJK168" s="3"/>
      <c r="EJL168" s="3"/>
      <c r="EJM168" s="3"/>
      <c r="EJN168" s="3"/>
      <c r="EJO168" s="3"/>
      <c r="EJP168" s="3"/>
      <c r="EJQ168" s="3"/>
      <c r="EJR168" s="3"/>
      <c r="EJS168" s="3"/>
      <c r="EJT168" s="3"/>
      <c r="EJU168" s="3"/>
      <c r="EJV168" s="3"/>
      <c r="EJW168" s="3"/>
      <c r="EJX168" s="3"/>
      <c r="EJY168" s="3"/>
      <c r="EJZ168" s="3"/>
      <c r="EKA168" s="3"/>
      <c r="EKB168" s="3"/>
      <c r="EKC168" s="3"/>
      <c r="EKD168" s="3"/>
      <c r="EKE168" s="3"/>
      <c r="EKF168" s="3"/>
      <c r="EKG168" s="3"/>
      <c r="EKH168" s="3"/>
      <c r="EKI168" s="3"/>
      <c r="EKJ168" s="3"/>
      <c r="EKK168" s="3"/>
      <c r="EKL168" s="3"/>
      <c r="EKM168" s="3"/>
      <c r="EKN168" s="3"/>
      <c r="EKO168" s="3"/>
      <c r="EKP168" s="3"/>
      <c r="EKQ168" s="3"/>
      <c r="EKR168" s="3"/>
      <c r="EKS168" s="3"/>
      <c r="EKT168" s="3"/>
      <c r="EKU168" s="3"/>
      <c r="EKV168" s="3"/>
      <c r="EKW168" s="3"/>
      <c r="EKX168" s="3"/>
      <c r="EKY168" s="3"/>
      <c r="EKZ168" s="3"/>
      <c r="ELA168" s="3"/>
      <c r="ELB168" s="3"/>
      <c r="ELC168" s="3"/>
      <c r="ELD168" s="3"/>
      <c r="ELE168" s="3"/>
      <c r="ELF168" s="3"/>
      <c r="ELG168" s="3"/>
      <c r="ELH168" s="3"/>
      <c r="ELI168" s="3"/>
      <c r="ELJ168" s="3"/>
      <c r="ELK168" s="3"/>
      <c r="ELL168" s="3"/>
      <c r="ELM168" s="3"/>
      <c r="ELN168" s="3"/>
      <c r="ELO168" s="3"/>
      <c r="ELP168" s="3"/>
      <c r="ELQ168" s="3"/>
      <c r="ELR168" s="3"/>
      <c r="ELS168" s="3"/>
      <c r="ELT168" s="3"/>
      <c r="ELU168" s="3"/>
      <c r="ELV168" s="3"/>
      <c r="ELW168" s="3"/>
      <c r="ELX168" s="3"/>
      <c r="ELY168" s="3"/>
      <c r="ELZ168" s="3"/>
      <c r="EMA168" s="3"/>
      <c r="EMB168" s="3"/>
      <c r="EMC168" s="3"/>
      <c r="EMD168" s="3"/>
      <c r="EME168" s="3"/>
      <c r="EMF168" s="3"/>
      <c r="EMG168" s="3"/>
      <c r="EMH168" s="3"/>
      <c r="EMI168" s="3"/>
      <c r="EMJ168" s="3"/>
      <c r="EMK168" s="3"/>
      <c r="EML168" s="3"/>
      <c r="EMM168" s="3"/>
      <c r="EMN168" s="3"/>
      <c r="EMO168" s="3"/>
      <c r="EMP168" s="3"/>
      <c r="EMQ168" s="3"/>
      <c r="EMR168" s="3"/>
      <c r="EMS168" s="3"/>
      <c r="EMT168" s="3"/>
      <c r="EMU168" s="3"/>
      <c r="EMV168" s="3"/>
      <c r="EMW168" s="3"/>
      <c r="EMX168" s="3"/>
      <c r="EMY168" s="3"/>
      <c r="EMZ168" s="3"/>
      <c r="ENA168" s="3"/>
      <c r="ENB168" s="3"/>
      <c r="ENC168" s="3"/>
      <c r="END168" s="3"/>
      <c r="ENE168" s="3"/>
      <c r="ENF168" s="3"/>
      <c r="ENG168" s="3"/>
      <c r="ENH168" s="3"/>
      <c r="ENI168" s="3"/>
      <c r="ENJ168" s="3"/>
      <c r="ENK168" s="3"/>
      <c r="ENL168" s="3"/>
      <c r="ENM168" s="3"/>
      <c r="ENN168" s="3"/>
      <c r="ENO168" s="3"/>
      <c r="ENP168" s="3"/>
      <c r="ENQ168" s="3"/>
      <c r="ENR168" s="3"/>
      <c r="ENS168" s="3"/>
      <c r="ENT168" s="3"/>
      <c r="ENU168" s="3"/>
      <c r="ENV168" s="3"/>
      <c r="ENW168" s="3"/>
      <c r="ENX168" s="3"/>
      <c r="ENY168" s="3"/>
      <c r="ENZ168" s="3"/>
      <c r="EOA168" s="3"/>
      <c r="EOB168" s="3"/>
      <c r="EOC168" s="3"/>
      <c r="EOD168" s="3"/>
      <c r="EOE168" s="3"/>
      <c r="EOF168" s="3"/>
      <c r="EOG168" s="3"/>
      <c r="EOH168" s="3"/>
      <c r="EOI168" s="3"/>
      <c r="EOJ168" s="3"/>
      <c r="EOK168" s="3"/>
      <c r="EOL168" s="3"/>
      <c r="EOM168" s="3"/>
      <c r="EON168" s="3"/>
      <c r="EOO168" s="3"/>
      <c r="EOP168" s="3"/>
      <c r="EOQ168" s="3"/>
      <c r="EOR168" s="3"/>
      <c r="EOS168" s="3"/>
      <c r="EOT168" s="3"/>
      <c r="EOU168" s="3"/>
      <c r="EOV168" s="3"/>
      <c r="EOW168" s="3"/>
      <c r="EOX168" s="3"/>
      <c r="EOY168" s="3"/>
      <c r="EOZ168" s="3"/>
      <c r="EPA168" s="3"/>
      <c r="EPB168" s="3"/>
      <c r="EPC168" s="3"/>
      <c r="EPD168" s="3"/>
      <c r="EPE168" s="3"/>
      <c r="EPF168" s="3"/>
      <c r="EPG168" s="3"/>
      <c r="EPH168" s="3"/>
      <c r="EPI168" s="3"/>
      <c r="EPJ168" s="3"/>
      <c r="EPK168" s="3"/>
      <c r="EPL168" s="3"/>
      <c r="EPM168" s="3"/>
      <c r="EPN168" s="3"/>
      <c r="EPO168" s="3"/>
      <c r="EPP168" s="3"/>
      <c r="EPQ168" s="3"/>
      <c r="EPR168" s="3"/>
      <c r="EPS168" s="3"/>
      <c r="EPT168" s="3"/>
      <c r="EPU168" s="3"/>
      <c r="EPV168" s="3"/>
      <c r="EPW168" s="3"/>
      <c r="EPX168" s="3"/>
      <c r="EPY168" s="3"/>
      <c r="EPZ168" s="3"/>
      <c r="EQA168" s="3"/>
      <c r="EQB168" s="3"/>
      <c r="EQC168" s="3"/>
      <c r="EQD168" s="3"/>
      <c r="EQE168" s="3"/>
      <c r="EQF168" s="3"/>
      <c r="EQG168" s="3"/>
      <c r="EQH168" s="3"/>
      <c r="EQI168" s="3"/>
      <c r="EQJ168" s="3"/>
      <c r="EQK168" s="3"/>
      <c r="EQL168" s="3"/>
      <c r="EQM168" s="3"/>
      <c r="EQN168" s="3"/>
      <c r="EQO168" s="3"/>
      <c r="EQP168" s="3"/>
      <c r="EQQ168" s="3"/>
      <c r="EQR168" s="3"/>
      <c r="EQS168" s="3"/>
      <c r="EQT168" s="3"/>
      <c r="EQU168" s="3"/>
      <c r="EQV168" s="3"/>
      <c r="EQW168" s="3"/>
      <c r="EQX168" s="3"/>
      <c r="EQY168" s="3"/>
      <c r="EQZ168" s="3"/>
      <c r="ERA168" s="3"/>
      <c r="ERB168" s="3"/>
      <c r="ERC168" s="3"/>
      <c r="ERD168" s="3"/>
      <c r="ERE168" s="3"/>
      <c r="ERF168" s="3"/>
      <c r="ERG168" s="3"/>
      <c r="ERH168" s="3"/>
      <c r="ERI168" s="3"/>
      <c r="ERJ168" s="3"/>
      <c r="ERK168" s="3"/>
      <c r="ERL168" s="3"/>
      <c r="ERM168" s="3"/>
      <c r="ERN168" s="3"/>
      <c r="ERO168" s="3"/>
      <c r="ERP168" s="3"/>
      <c r="ERQ168" s="3"/>
      <c r="ERR168" s="3"/>
      <c r="ERS168" s="3"/>
      <c r="ERT168" s="3"/>
      <c r="ERU168" s="3"/>
      <c r="ERV168" s="3"/>
      <c r="ERW168" s="3"/>
      <c r="ERX168" s="3"/>
      <c r="ERY168" s="3"/>
      <c r="ERZ168" s="3"/>
      <c r="ESA168" s="3"/>
      <c r="ESB168" s="3"/>
      <c r="ESC168" s="3"/>
      <c r="ESD168" s="3"/>
      <c r="ESE168" s="3"/>
      <c r="ESF168" s="3"/>
      <c r="ESG168" s="3"/>
      <c r="ESH168" s="3"/>
      <c r="ESI168" s="3"/>
      <c r="ESJ168" s="3"/>
      <c r="ESK168" s="3"/>
      <c r="ESL168" s="3"/>
      <c r="ESM168" s="3"/>
      <c r="ESN168" s="3"/>
      <c r="ESO168" s="3"/>
      <c r="ESP168" s="3"/>
      <c r="ESQ168" s="3"/>
      <c r="ESR168" s="3"/>
      <c r="ESS168" s="3"/>
      <c r="EST168" s="3"/>
      <c r="ESU168" s="3"/>
      <c r="ESV168" s="3"/>
      <c r="ESW168" s="3"/>
      <c r="ESX168" s="3"/>
      <c r="ESY168" s="3"/>
      <c r="ESZ168" s="3"/>
      <c r="ETA168" s="3"/>
      <c r="ETB168" s="3"/>
      <c r="ETC168" s="3"/>
      <c r="ETD168" s="3"/>
      <c r="ETE168" s="3"/>
      <c r="ETF168" s="3"/>
      <c r="ETG168" s="3"/>
      <c r="ETH168" s="3"/>
      <c r="ETI168" s="3"/>
      <c r="ETJ168" s="3"/>
      <c r="ETK168" s="3"/>
      <c r="ETL168" s="3"/>
      <c r="ETM168" s="3"/>
      <c r="ETN168" s="3"/>
      <c r="ETO168" s="3"/>
      <c r="ETP168" s="3"/>
      <c r="ETQ168" s="3"/>
      <c r="ETR168" s="3"/>
      <c r="ETS168" s="3"/>
      <c r="ETT168" s="3"/>
      <c r="ETU168" s="3"/>
      <c r="ETV168" s="3"/>
      <c r="ETW168" s="3"/>
      <c r="ETX168" s="3"/>
      <c r="ETY168" s="3"/>
      <c r="ETZ168" s="3"/>
      <c r="EUA168" s="3"/>
      <c r="EUB168" s="3"/>
      <c r="EUC168" s="3"/>
      <c r="EUD168" s="3"/>
      <c r="EUE168" s="3"/>
      <c r="EUF168" s="3"/>
      <c r="EUG168" s="3"/>
      <c r="EUH168" s="3"/>
      <c r="EUI168" s="3"/>
      <c r="EUJ168" s="3"/>
      <c r="EUK168" s="3"/>
      <c r="EUL168" s="3"/>
      <c r="EUM168" s="3"/>
      <c r="EUN168" s="3"/>
      <c r="EUO168" s="3"/>
      <c r="EUP168" s="3"/>
      <c r="EUQ168" s="3"/>
      <c r="EUR168" s="3"/>
      <c r="EUS168" s="3"/>
      <c r="EUT168" s="3"/>
      <c r="EUU168" s="3"/>
      <c r="EUV168" s="3"/>
      <c r="EUW168" s="3"/>
      <c r="EUX168" s="3"/>
      <c r="EUY168" s="3"/>
      <c r="EUZ168" s="3"/>
      <c r="EVA168" s="3"/>
      <c r="EVB168" s="3"/>
      <c r="EVC168" s="3"/>
      <c r="EVD168" s="3"/>
      <c r="EVE168" s="3"/>
      <c r="EVF168" s="3"/>
      <c r="EVG168" s="3"/>
      <c r="EVH168" s="3"/>
      <c r="EVI168" s="3"/>
      <c r="EVJ168" s="3"/>
      <c r="EVK168" s="3"/>
      <c r="EVL168" s="3"/>
      <c r="EVM168" s="3"/>
      <c r="EVN168" s="3"/>
      <c r="EVO168" s="3"/>
      <c r="EVP168" s="3"/>
      <c r="EVQ168" s="3"/>
      <c r="EVR168" s="3"/>
      <c r="EVS168" s="3"/>
      <c r="EVT168" s="3"/>
      <c r="EVU168" s="3"/>
      <c r="EVV168" s="3"/>
      <c r="EVW168" s="3"/>
      <c r="EVX168" s="3"/>
      <c r="EVY168" s="3"/>
      <c r="EVZ168" s="3"/>
      <c r="EWA168" s="3"/>
      <c r="EWB168" s="3"/>
      <c r="EWC168" s="3"/>
      <c r="EWD168" s="3"/>
      <c r="EWE168" s="3"/>
      <c r="EWF168" s="3"/>
      <c r="EWG168" s="3"/>
      <c r="EWH168" s="3"/>
      <c r="EWI168" s="3"/>
      <c r="EWJ168" s="3"/>
      <c r="EWK168" s="3"/>
      <c r="EWL168" s="3"/>
      <c r="EWM168" s="3"/>
      <c r="EWN168" s="3"/>
      <c r="EWO168" s="3"/>
      <c r="EWP168" s="3"/>
      <c r="EWQ168" s="3"/>
      <c r="EWR168" s="3"/>
      <c r="EWS168" s="3"/>
      <c r="EWT168" s="3"/>
      <c r="EWU168" s="3"/>
      <c r="EWV168" s="3"/>
      <c r="EWW168" s="3"/>
      <c r="EWX168" s="3"/>
      <c r="EWY168" s="3"/>
      <c r="EWZ168" s="3"/>
      <c r="EXA168" s="3"/>
      <c r="EXB168" s="3"/>
      <c r="EXC168" s="3"/>
      <c r="EXD168" s="3"/>
      <c r="EXE168" s="3"/>
      <c r="EXF168" s="3"/>
      <c r="EXG168" s="3"/>
      <c r="EXH168" s="3"/>
      <c r="EXI168" s="3"/>
      <c r="EXJ168" s="3"/>
      <c r="EXK168" s="3"/>
      <c r="EXL168" s="3"/>
      <c r="EXM168" s="3"/>
      <c r="EXN168" s="3"/>
      <c r="EXO168" s="3"/>
      <c r="EXP168" s="3"/>
      <c r="EXQ168" s="3"/>
      <c r="EXR168" s="3"/>
      <c r="EXS168" s="3"/>
      <c r="EXT168" s="3"/>
      <c r="EXU168" s="3"/>
      <c r="EXV168" s="3"/>
      <c r="EXW168" s="3"/>
      <c r="EXX168" s="3"/>
      <c r="EXY168" s="3"/>
      <c r="EXZ168" s="3"/>
      <c r="EYA168" s="3"/>
      <c r="EYB168" s="3"/>
      <c r="EYC168" s="3"/>
      <c r="EYD168" s="3"/>
      <c r="EYE168" s="3"/>
      <c r="EYF168" s="3"/>
      <c r="EYG168" s="3"/>
      <c r="EYH168" s="3"/>
      <c r="EYI168" s="3"/>
      <c r="EYJ168" s="3"/>
      <c r="EYK168" s="3"/>
      <c r="EYL168" s="3"/>
      <c r="EYM168" s="3"/>
      <c r="EYN168" s="3"/>
      <c r="EYO168" s="3"/>
      <c r="EYP168" s="3"/>
      <c r="EYQ168" s="3"/>
      <c r="EYR168" s="3"/>
      <c r="EYS168" s="3"/>
      <c r="EYT168" s="3"/>
      <c r="EYU168" s="3"/>
      <c r="EYV168" s="3"/>
      <c r="EYW168" s="3"/>
      <c r="EYX168" s="3"/>
      <c r="EYY168" s="3"/>
      <c r="EYZ168" s="3"/>
      <c r="EZA168" s="3"/>
      <c r="EZB168" s="3"/>
      <c r="EZC168" s="3"/>
      <c r="EZD168" s="3"/>
      <c r="EZE168" s="3"/>
      <c r="EZF168" s="3"/>
      <c r="EZG168" s="3"/>
      <c r="EZH168" s="3"/>
      <c r="EZI168" s="3"/>
      <c r="EZJ168" s="3"/>
      <c r="EZK168" s="3"/>
      <c r="EZL168" s="3"/>
      <c r="EZM168" s="3"/>
      <c r="EZN168" s="3"/>
      <c r="EZO168" s="3"/>
      <c r="EZP168" s="3"/>
      <c r="EZQ168" s="3"/>
      <c r="EZR168" s="3"/>
      <c r="EZS168" s="3"/>
      <c r="EZT168" s="3"/>
      <c r="EZU168" s="3"/>
      <c r="EZV168" s="3"/>
      <c r="EZW168" s="3"/>
      <c r="EZX168" s="3"/>
      <c r="EZY168" s="3"/>
      <c r="EZZ168" s="3"/>
      <c r="FAA168" s="3"/>
      <c r="FAB168" s="3"/>
      <c r="FAC168" s="3"/>
      <c r="FAD168" s="3"/>
      <c r="FAE168" s="3"/>
      <c r="FAF168" s="3"/>
      <c r="FAG168" s="3"/>
      <c r="FAH168" s="3"/>
      <c r="FAI168" s="3"/>
      <c r="FAJ168" s="3"/>
      <c r="FAK168" s="3"/>
      <c r="FAL168" s="3"/>
      <c r="FAM168" s="3"/>
      <c r="FAN168" s="3"/>
      <c r="FAO168" s="3"/>
      <c r="FAP168" s="3"/>
      <c r="FAQ168" s="3"/>
      <c r="FAR168" s="3"/>
      <c r="FAS168" s="3"/>
      <c r="FAT168" s="3"/>
      <c r="FAU168" s="3"/>
      <c r="FAV168" s="3"/>
      <c r="FAW168" s="3"/>
      <c r="FAX168" s="3"/>
      <c r="FAY168" s="3"/>
      <c r="FAZ168" s="3"/>
      <c r="FBA168" s="3"/>
      <c r="FBB168" s="3"/>
      <c r="FBC168" s="3"/>
      <c r="FBD168" s="3"/>
      <c r="FBE168" s="3"/>
      <c r="FBF168" s="3"/>
      <c r="FBG168" s="3"/>
      <c r="FBH168" s="3"/>
      <c r="FBI168" s="3"/>
      <c r="FBJ168" s="3"/>
      <c r="FBK168" s="3"/>
      <c r="FBL168" s="3"/>
      <c r="FBM168" s="3"/>
      <c r="FBN168" s="3"/>
      <c r="FBO168" s="3"/>
      <c r="FBP168" s="3"/>
      <c r="FBQ168" s="3"/>
      <c r="FBR168" s="3"/>
      <c r="FBS168" s="3"/>
      <c r="FBT168" s="3"/>
      <c r="FBU168" s="3"/>
      <c r="FBV168" s="3"/>
      <c r="FBW168" s="3"/>
      <c r="FBX168" s="3"/>
      <c r="FBY168" s="3"/>
      <c r="FBZ168" s="3"/>
      <c r="FCA168" s="3"/>
      <c r="FCB168" s="3"/>
      <c r="FCC168" s="3"/>
      <c r="FCD168" s="3"/>
      <c r="FCE168" s="3"/>
      <c r="FCF168" s="3"/>
      <c r="FCG168" s="3"/>
      <c r="FCH168" s="3"/>
      <c r="FCI168" s="3"/>
      <c r="FCJ168" s="3"/>
      <c r="FCK168" s="3"/>
      <c r="FCL168" s="3"/>
      <c r="FCM168" s="3"/>
      <c r="FCN168" s="3"/>
      <c r="FCO168" s="3"/>
      <c r="FCP168" s="3"/>
      <c r="FCQ168" s="3"/>
      <c r="FCR168" s="3"/>
      <c r="FCS168" s="3"/>
      <c r="FCT168" s="3"/>
      <c r="FCU168" s="3"/>
      <c r="FCV168" s="3"/>
      <c r="FCW168" s="3"/>
      <c r="FCX168" s="3"/>
      <c r="FCY168" s="3"/>
      <c r="FCZ168" s="3"/>
      <c r="FDA168" s="3"/>
      <c r="FDB168" s="3"/>
      <c r="FDC168" s="3"/>
      <c r="FDD168" s="3"/>
      <c r="FDE168" s="3"/>
      <c r="FDF168" s="3"/>
      <c r="FDG168" s="3"/>
      <c r="FDH168" s="3"/>
      <c r="FDI168" s="3"/>
      <c r="FDJ168" s="3"/>
      <c r="FDK168" s="3"/>
      <c r="FDL168" s="3"/>
      <c r="FDM168" s="3"/>
      <c r="FDN168" s="3"/>
      <c r="FDO168" s="3"/>
      <c r="FDP168" s="3"/>
      <c r="FDQ168" s="3"/>
      <c r="FDR168" s="3"/>
      <c r="FDS168" s="3"/>
      <c r="FDT168" s="3"/>
      <c r="FDU168" s="3"/>
      <c r="FDV168" s="3"/>
      <c r="FDW168" s="3"/>
      <c r="FDX168" s="3"/>
      <c r="FDY168" s="3"/>
      <c r="FDZ168" s="3"/>
      <c r="FEA168" s="3"/>
      <c r="FEB168" s="3"/>
      <c r="FEC168" s="3"/>
      <c r="FED168" s="3"/>
      <c r="FEE168" s="3"/>
      <c r="FEF168" s="3"/>
      <c r="FEG168" s="3"/>
      <c r="FEH168" s="3"/>
      <c r="FEI168" s="3"/>
      <c r="FEJ168" s="3"/>
      <c r="FEK168" s="3"/>
      <c r="FEL168" s="3"/>
      <c r="FEM168" s="3"/>
      <c r="FEN168" s="3"/>
      <c r="FEO168" s="3"/>
      <c r="FEP168" s="3"/>
      <c r="FEQ168" s="3"/>
      <c r="FER168" s="3"/>
      <c r="FES168" s="3"/>
      <c r="FET168" s="3"/>
      <c r="FEU168" s="3"/>
      <c r="FEV168" s="3"/>
      <c r="FEW168" s="3"/>
      <c r="FEX168" s="3"/>
      <c r="FEY168" s="3"/>
      <c r="FEZ168" s="3"/>
      <c r="FFA168" s="3"/>
      <c r="FFB168" s="3"/>
      <c r="FFC168" s="3"/>
      <c r="FFD168" s="3"/>
      <c r="FFE168" s="3"/>
      <c r="FFF168" s="3"/>
      <c r="FFG168" s="3"/>
      <c r="FFH168" s="3"/>
      <c r="FFI168" s="3"/>
      <c r="FFJ168" s="3"/>
      <c r="FFK168" s="3"/>
      <c r="FFL168" s="3"/>
      <c r="FFM168" s="3"/>
      <c r="FFN168" s="3"/>
      <c r="FFO168" s="3"/>
      <c r="FFP168" s="3"/>
      <c r="FFQ168" s="3"/>
      <c r="FFR168" s="3"/>
      <c r="FFS168" s="3"/>
      <c r="FFT168" s="3"/>
      <c r="FFU168" s="3"/>
      <c r="FFV168" s="3"/>
      <c r="FFW168" s="3"/>
      <c r="FFX168" s="3"/>
      <c r="FFY168" s="3"/>
      <c r="FFZ168" s="3"/>
      <c r="FGA168" s="3"/>
      <c r="FGB168" s="3"/>
      <c r="FGC168" s="3"/>
      <c r="FGD168" s="3"/>
      <c r="FGE168" s="3"/>
      <c r="FGF168" s="3"/>
      <c r="FGG168" s="3"/>
      <c r="FGH168" s="3"/>
      <c r="FGI168" s="3"/>
      <c r="FGJ168" s="3"/>
      <c r="FGK168" s="3"/>
      <c r="FGL168" s="3"/>
      <c r="FGM168" s="3"/>
      <c r="FGN168" s="3"/>
      <c r="FGO168" s="3"/>
      <c r="FGP168" s="3"/>
      <c r="FGQ168" s="3"/>
      <c r="FGR168" s="3"/>
      <c r="FGS168" s="3"/>
      <c r="FGT168" s="3"/>
      <c r="FGU168" s="3"/>
      <c r="FGV168" s="3"/>
      <c r="FGW168" s="3"/>
      <c r="FGX168" s="3"/>
      <c r="FGY168" s="3"/>
      <c r="FGZ168" s="3"/>
      <c r="FHA168" s="3"/>
      <c r="FHB168" s="3"/>
      <c r="FHC168" s="3"/>
      <c r="FHD168" s="3"/>
      <c r="FHE168" s="3"/>
      <c r="FHF168" s="3"/>
      <c r="FHG168" s="3"/>
      <c r="FHH168" s="3"/>
      <c r="FHI168" s="3"/>
      <c r="FHJ168" s="3"/>
      <c r="FHK168" s="3"/>
      <c r="FHL168" s="3"/>
      <c r="FHM168" s="3"/>
      <c r="FHN168" s="3"/>
      <c r="FHO168" s="3"/>
      <c r="FHP168" s="3"/>
      <c r="FHQ168" s="3"/>
      <c r="FHR168" s="3"/>
      <c r="FHS168" s="3"/>
      <c r="FHT168" s="3"/>
      <c r="FHU168" s="3"/>
      <c r="FHV168" s="3"/>
      <c r="FHW168" s="3"/>
      <c r="FHX168" s="3"/>
      <c r="FHY168" s="3"/>
      <c r="FHZ168" s="3"/>
      <c r="FIA168" s="3"/>
      <c r="FIB168" s="3"/>
      <c r="FIC168" s="3"/>
      <c r="FID168" s="3"/>
      <c r="FIE168" s="3"/>
      <c r="FIF168" s="3"/>
      <c r="FIG168" s="3"/>
      <c r="FIH168" s="3"/>
      <c r="FII168" s="3"/>
      <c r="FIJ168" s="3"/>
      <c r="FIK168" s="3"/>
      <c r="FIL168" s="3"/>
      <c r="FIM168" s="3"/>
      <c r="FIN168" s="3"/>
      <c r="FIO168" s="3"/>
      <c r="FIP168" s="3"/>
      <c r="FIQ168" s="3"/>
      <c r="FIR168" s="3"/>
      <c r="FIS168" s="3"/>
      <c r="FIT168" s="3"/>
      <c r="FIU168" s="3"/>
      <c r="FIV168" s="3"/>
      <c r="FIW168" s="3"/>
      <c r="FIX168" s="3"/>
      <c r="FIY168" s="3"/>
      <c r="FIZ168" s="3"/>
      <c r="FJA168" s="3"/>
      <c r="FJB168" s="3"/>
      <c r="FJC168" s="3"/>
      <c r="FJD168" s="3"/>
      <c r="FJE168" s="3"/>
      <c r="FJF168" s="3"/>
      <c r="FJG168" s="3"/>
      <c r="FJH168" s="3"/>
      <c r="FJI168" s="3"/>
      <c r="FJJ168" s="3"/>
      <c r="FJK168" s="3"/>
      <c r="FJL168" s="3"/>
      <c r="FJM168" s="3"/>
      <c r="FJN168" s="3"/>
      <c r="FJO168" s="3"/>
      <c r="FJP168" s="3"/>
      <c r="FJQ168" s="3"/>
      <c r="FJR168" s="3"/>
      <c r="FJS168" s="3"/>
      <c r="FJT168" s="3"/>
      <c r="FJU168" s="3"/>
      <c r="FJV168" s="3"/>
      <c r="FJW168" s="3"/>
      <c r="FJX168" s="3"/>
      <c r="FJY168" s="3"/>
      <c r="FJZ168" s="3"/>
      <c r="FKA168" s="3"/>
      <c r="FKB168" s="3"/>
      <c r="FKC168" s="3"/>
      <c r="FKD168" s="3"/>
      <c r="FKE168" s="3"/>
      <c r="FKF168" s="3"/>
      <c r="FKG168" s="3"/>
      <c r="FKH168" s="3"/>
      <c r="FKI168" s="3"/>
      <c r="FKJ168" s="3"/>
      <c r="FKK168" s="3"/>
      <c r="FKL168" s="3"/>
      <c r="FKM168" s="3"/>
      <c r="FKN168" s="3"/>
      <c r="FKO168" s="3"/>
      <c r="FKP168" s="3"/>
      <c r="FKQ168" s="3"/>
      <c r="FKR168" s="3"/>
      <c r="FKS168" s="3"/>
      <c r="FKT168" s="3"/>
      <c r="FKU168" s="3"/>
      <c r="FKV168" s="3"/>
      <c r="FKW168" s="3"/>
      <c r="FKX168" s="3"/>
      <c r="FKY168" s="3"/>
      <c r="FKZ168" s="3"/>
      <c r="FLA168" s="3"/>
      <c r="FLB168" s="3"/>
      <c r="FLC168" s="3"/>
      <c r="FLD168" s="3"/>
      <c r="FLE168" s="3"/>
      <c r="FLF168" s="3"/>
      <c r="FLG168" s="3"/>
      <c r="FLH168" s="3"/>
      <c r="FLI168" s="3"/>
      <c r="FLJ168" s="3"/>
      <c r="FLK168" s="3"/>
      <c r="FLL168" s="3"/>
      <c r="FLM168" s="3"/>
      <c r="FLN168" s="3"/>
      <c r="FLO168" s="3"/>
      <c r="FLP168" s="3"/>
      <c r="FLQ168" s="3"/>
      <c r="FLR168" s="3"/>
      <c r="FLS168" s="3"/>
      <c r="FLT168" s="3"/>
      <c r="FLU168" s="3"/>
      <c r="FLV168" s="3"/>
      <c r="FLW168" s="3"/>
      <c r="FLX168" s="3"/>
      <c r="FLY168" s="3"/>
      <c r="FLZ168" s="3"/>
      <c r="FMA168" s="3"/>
      <c r="FMB168" s="3"/>
      <c r="FMC168" s="3"/>
      <c r="FMD168" s="3"/>
      <c r="FME168" s="3"/>
      <c r="FMF168" s="3"/>
      <c r="FMG168" s="3"/>
      <c r="FMH168" s="3"/>
      <c r="FMI168" s="3"/>
      <c r="FMJ168" s="3"/>
      <c r="FMK168" s="3"/>
      <c r="FML168" s="3"/>
      <c r="FMM168" s="3"/>
      <c r="FMN168" s="3"/>
      <c r="FMO168" s="3"/>
      <c r="FMP168" s="3"/>
      <c r="FMQ168" s="3"/>
      <c r="FMR168" s="3"/>
      <c r="FMS168" s="3"/>
      <c r="FMT168" s="3"/>
      <c r="FMU168" s="3"/>
      <c r="FMV168" s="3"/>
      <c r="FMW168" s="3"/>
      <c r="FMX168" s="3"/>
      <c r="FMY168" s="3"/>
      <c r="FMZ168" s="3"/>
      <c r="FNA168" s="3"/>
      <c r="FNB168" s="3"/>
      <c r="FNC168" s="3"/>
      <c r="FND168" s="3"/>
      <c r="FNE168" s="3"/>
      <c r="FNF168" s="3"/>
      <c r="FNG168" s="3"/>
      <c r="FNH168" s="3"/>
      <c r="FNI168" s="3"/>
      <c r="FNJ168" s="3"/>
      <c r="FNK168" s="3"/>
      <c r="FNL168" s="3"/>
      <c r="FNM168" s="3"/>
      <c r="FNN168" s="3"/>
      <c r="FNO168" s="3"/>
      <c r="FNP168" s="3"/>
      <c r="FNQ168" s="3"/>
      <c r="FNR168" s="3"/>
      <c r="FNS168" s="3"/>
      <c r="FNT168" s="3"/>
      <c r="FNU168" s="3"/>
      <c r="FNV168" s="3"/>
      <c r="FNW168" s="3"/>
      <c r="FNX168" s="3"/>
      <c r="FNY168" s="3"/>
      <c r="FNZ168" s="3"/>
      <c r="FOA168" s="3"/>
      <c r="FOB168" s="3"/>
      <c r="FOC168" s="3"/>
      <c r="FOD168" s="3"/>
      <c r="FOE168" s="3"/>
      <c r="FOF168" s="3"/>
      <c r="FOG168" s="3"/>
      <c r="FOH168" s="3"/>
      <c r="FOI168" s="3"/>
      <c r="FOJ168" s="3"/>
      <c r="FOK168" s="3"/>
      <c r="FOL168" s="3"/>
      <c r="FOM168" s="3"/>
      <c r="FON168" s="3"/>
      <c r="FOO168" s="3"/>
      <c r="FOP168" s="3"/>
      <c r="FOQ168" s="3"/>
      <c r="FOR168" s="3"/>
      <c r="FOS168" s="3"/>
      <c r="FOT168" s="3"/>
      <c r="FOU168" s="3"/>
      <c r="FOV168" s="3"/>
      <c r="FOW168" s="3"/>
      <c r="FOX168" s="3"/>
      <c r="FOY168" s="3"/>
      <c r="FOZ168" s="3"/>
      <c r="FPA168" s="3"/>
      <c r="FPB168" s="3"/>
      <c r="FPC168" s="3"/>
      <c r="FPD168" s="3"/>
      <c r="FPE168" s="3"/>
      <c r="FPF168" s="3"/>
      <c r="FPG168" s="3"/>
      <c r="FPH168" s="3"/>
      <c r="FPI168" s="3"/>
      <c r="FPJ168" s="3"/>
      <c r="FPK168" s="3"/>
      <c r="FPL168" s="3"/>
      <c r="FPM168" s="3"/>
      <c r="FPN168" s="3"/>
      <c r="FPO168" s="3"/>
      <c r="FPP168" s="3"/>
      <c r="FPQ168" s="3"/>
      <c r="FPR168" s="3"/>
      <c r="FPS168" s="3"/>
      <c r="FPT168" s="3"/>
      <c r="FPU168" s="3"/>
      <c r="FPV168" s="3"/>
      <c r="FPW168" s="3"/>
      <c r="FPX168" s="3"/>
      <c r="FPY168" s="3"/>
      <c r="FPZ168" s="3"/>
      <c r="FQA168" s="3"/>
      <c r="FQB168" s="3"/>
      <c r="FQC168" s="3"/>
      <c r="FQD168" s="3"/>
      <c r="FQE168" s="3"/>
      <c r="FQF168" s="3"/>
      <c r="FQG168" s="3"/>
      <c r="FQH168" s="3"/>
      <c r="FQI168" s="3"/>
      <c r="FQJ168" s="3"/>
      <c r="FQK168" s="3"/>
      <c r="FQL168" s="3"/>
      <c r="FQM168" s="3"/>
      <c r="FQN168" s="3"/>
      <c r="FQO168" s="3"/>
      <c r="FQP168" s="3"/>
      <c r="FQQ168" s="3"/>
      <c r="FQR168" s="3"/>
      <c r="FQS168" s="3"/>
      <c r="FQT168" s="3"/>
      <c r="FQU168" s="3"/>
      <c r="FQV168" s="3"/>
      <c r="FQW168" s="3"/>
      <c r="FQX168" s="3"/>
      <c r="FQY168" s="3"/>
      <c r="FQZ168" s="3"/>
      <c r="FRA168" s="3"/>
      <c r="FRB168" s="3"/>
      <c r="FRC168" s="3"/>
      <c r="FRD168" s="3"/>
      <c r="FRE168" s="3"/>
      <c r="FRF168" s="3"/>
      <c r="FRG168" s="3"/>
      <c r="FRH168" s="3"/>
      <c r="FRI168" s="3"/>
      <c r="FRJ168" s="3"/>
      <c r="FRK168" s="3"/>
      <c r="FRL168" s="3"/>
      <c r="FRM168" s="3"/>
      <c r="FRN168" s="3"/>
      <c r="FRO168" s="3"/>
      <c r="FRP168" s="3"/>
      <c r="FRQ168" s="3"/>
      <c r="FRR168" s="3"/>
      <c r="FRS168" s="3"/>
      <c r="FRT168" s="3"/>
      <c r="FRU168" s="3"/>
      <c r="FRV168" s="3"/>
      <c r="FRW168" s="3"/>
      <c r="FRX168" s="3"/>
      <c r="FRY168" s="3"/>
      <c r="FRZ168" s="3"/>
      <c r="FSA168" s="3"/>
      <c r="FSB168" s="3"/>
      <c r="FSC168" s="3"/>
      <c r="FSD168" s="3"/>
      <c r="FSE168" s="3"/>
      <c r="FSF168" s="3"/>
      <c r="FSG168" s="3"/>
      <c r="FSH168" s="3"/>
      <c r="FSI168" s="3"/>
      <c r="FSJ168" s="3"/>
      <c r="FSK168" s="3"/>
      <c r="FSL168" s="3"/>
      <c r="FSM168" s="3"/>
      <c r="FSN168" s="3"/>
      <c r="FSO168" s="3"/>
      <c r="FSP168" s="3"/>
      <c r="FSQ168" s="3"/>
      <c r="FSR168" s="3"/>
      <c r="FSS168" s="3"/>
      <c r="FST168" s="3"/>
      <c r="FSU168" s="3"/>
      <c r="FSV168" s="3"/>
      <c r="FSW168" s="3"/>
      <c r="FSX168" s="3"/>
      <c r="FSY168" s="3"/>
      <c r="FSZ168" s="3"/>
      <c r="FTA168" s="3"/>
      <c r="FTB168" s="3"/>
      <c r="FTC168" s="3"/>
      <c r="FTD168" s="3"/>
      <c r="FTE168" s="3"/>
      <c r="FTF168" s="3"/>
      <c r="FTG168" s="3"/>
      <c r="FTH168" s="3"/>
      <c r="FTI168" s="3"/>
      <c r="FTJ168" s="3"/>
      <c r="FTK168" s="3"/>
      <c r="FTL168" s="3"/>
      <c r="FTM168" s="3"/>
      <c r="FTN168" s="3"/>
      <c r="FTO168" s="3"/>
      <c r="FTP168" s="3"/>
      <c r="FTQ168" s="3"/>
      <c r="FTR168" s="3"/>
      <c r="FTS168" s="3"/>
      <c r="FTT168" s="3"/>
      <c r="FTU168" s="3"/>
      <c r="FTV168" s="3"/>
      <c r="FTW168" s="3"/>
      <c r="FTX168" s="3"/>
      <c r="FTY168" s="3"/>
      <c r="FTZ168" s="3"/>
      <c r="FUA168" s="3"/>
      <c r="FUB168" s="3"/>
      <c r="FUC168" s="3"/>
      <c r="FUD168" s="3"/>
      <c r="FUE168" s="3"/>
      <c r="FUF168" s="3"/>
      <c r="FUG168" s="3"/>
      <c r="FUH168" s="3"/>
      <c r="FUI168" s="3"/>
      <c r="FUJ168" s="3"/>
      <c r="FUK168" s="3"/>
      <c r="FUL168" s="3"/>
      <c r="FUM168" s="3"/>
      <c r="FUN168" s="3"/>
      <c r="FUO168" s="3"/>
      <c r="FUP168" s="3"/>
      <c r="FUQ168" s="3"/>
      <c r="FUR168" s="3"/>
      <c r="FUS168" s="3"/>
      <c r="FUT168" s="3"/>
      <c r="FUU168" s="3"/>
      <c r="FUV168" s="3"/>
      <c r="FUW168" s="3"/>
      <c r="FUX168" s="3"/>
      <c r="FUY168" s="3"/>
      <c r="FUZ168" s="3"/>
      <c r="FVA168" s="3"/>
      <c r="FVB168" s="3"/>
      <c r="FVC168" s="3"/>
      <c r="FVD168" s="3"/>
      <c r="FVE168" s="3"/>
      <c r="FVF168" s="3"/>
      <c r="FVG168" s="3"/>
      <c r="FVH168" s="3"/>
      <c r="FVI168" s="3"/>
      <c r="FVJ168" s="3"/>
      <c r="FVK168" s="3"/>
      <c r="FVL168" s="3"/>
      <c r="FVM168" s="3"/>
      <c r="FVN168" s="3"/>
      <c r="FVO168" s="3"/>
      <c r="FVP168" s="3"/>
      <c r="FVQ168" s="3"/>
      <c r="FVR168" s="3"/>
      <c r="FVS168" s="3"/>
      <c r="FVT168" s="3"/>
      <c r="FVU168" s="3"/>
      <c r="FVV168" s="3"/>
      <c r="FVW168" s="3"/>
      <c r="FVX168" s="3"/>
      <c r="FVY168" s="3"/>
      <c r="FVZ168" s="3"/>
      <c r="FWA168" s="3"/>
      <c r="FWB168" s="3"/>
      <c r="FWC168" s="3"/>
      <c r="FWD168" s="3"/>
      <c r="FWE168" s="3"/>
      <c r="FWF168" s="3"/>
      <c r="FWG168" s="3"/>
      <c r="FWH168" s="3"/>
      <c r="FWI168" s="3"/>
      <c r="FWJ168" s="3"/>
      <c r="FWK168" s="3"/>
      <c r="FWL168" s="3"/>
      <c r="FWM168" s="3"/>
      <c r="FWN168" s="3"/>
      <c r="FWO168" s="3"/>
      <c r="FWP168" s="3"/>
      <c r="FWQ168" s="3"/>
      <c r="FWR168" s="3"/>
      <c r="FWS168" s="3"/>
      <c r="FWT168" s="3"/>
      <c r="FWU168" s="3"/>
      <c r="FWV168" s="3"/>
      <c r="FWW168" s="3"/>
      <c r="FWX168" s="3"/>
      <c r="FWY168" s="3"/>
      <c r="FWZ168" s="3"/>
      <c r="FXA168" s="3"/>
      <c r="FXB168" s="3"/>
      <c r="FXC168" s="3"/>
      <c r="FXD168" s="3"/>
      <c r="FXE168" s="3"/>
      <c r="FXF168" s="3"/>
      <c r="FXG168" s="3"/>
      <c r="FXH168" s="3"/>
      <c r="FXI168" s="3"/>
      <c r="FXJ168" s="3"/>
      <c r="FXK168" s="3"/>
      <c r="FXL168" s="3"/>
      <c r="FXM168" s="3"/>
      <c r="FXN168" s="3"/>
      <c r="FXO168" s="3"/>
      <c r="FXP168" s="3"/>
      <c r="FXQ168" s="3"/>
      <c r="FXR168" s="3"/>
      <c r="FXS168" s="3"/>
      <c r="FXT168" s="3"/>
      <c r="FXU168" s="3"/>
      <c r="FXV168" s="3"/>
      <c r="FXW168" s="3"/>
      <c r="FXX168" s="3"/>
      <c r="FXY168" s="3"/>
      <c r="FXZ168" s="3"/>
      <c r="FYA168" s="3"/>
      <c r="FYB168" s="3"/>
      <c r="FYC168" s="3"/>
      <c r="FYD168" s="3"/>
      <c r="FYE168" s="3"/>
      <c r="FYF168" s="3"/>
      <c r="FYG168" s="3"/>
      <c r="FYH168" s="3"/>
      <c r="FYI168" s="3"/>
      <c r="FYJ168" s="3"/>
      <c r="FYK168" s="3"/>
      <c r="FYL168" s="3"/>
      <c r="FYM168" s="3"/>
      <c r="FYN168" s="3"/>
      <c r="FYO168" s="3"/>
      <c r="FYP168" s="3"/>
      <c r="FYQ168" s="3"/>
      <c r="FYR168" s="3"/>
      <c r="FYS168" s="3"/>
      <c r="FYT168" s="3"/>
      <c r="FYU168" s="3"/>
      <c r="FYV168" s="3"/>
      <c r="FYW168" s="3"/>
      <c r="FYX168" s="3"/>
      <c r="FYY168" s="3"/>
      <c r="FYZ168" s="3"/>
      <c r="FZA168" s="3"/>
      <c r="FZB168" s="3"/>
      <c r="FZC168" s="3"/>
      <c r="FZD168" s="3"/>
      <c r="FZE168" s="3"/>
      <c r="FZF168" s="3"/>
      <c r="FZG168" s="3"/>
      <c r="FZH168" s="3"/>
      <c r="FZI168" s="3"/>
      <c r="FZJ168" s="3"/>
      <c r="FZK168" s="3"/>
      <c r="FZL168" s="3"/>
      <c r="FZM168" s="3"/>
      <c r="FZN168" s="3"/>
      <c r="FZO168" s="3"/>
      <c r="FZP168" s="3"/>
      <c r="FZQ168" s="3"/>
      <c r="FZR168" s="3"/>
      <c r="FZS168" s="3"/>
      <c r="FZT168" s="3"/>
      <c r="FZU168" s="3"/>
      <c r="FZV168" s="3"/>
      <c r="FZW168" s="3"/>
      <c r="FZX168" s="3"/>
      <c r="FZY168" s="3"/>
      <c r="FZZ168" s="3"/>
      <c r="GAA168" s="3"/>
      <c r="GAB168" s="3"/>
      <c r="GAC168" s="3"/>
      <c r="GAD168" s="3"/>
      <c r="GAE168" s="3"/>
      <c r="GAF168" s="3"/>
      <c r="GAG168" s="3"/>
      <c r="GAH168" s="3"/>
      <c r="GAI168" s="3"/>
      <c r="GAJ168" s="3"/>
      <c r="GAK168" s="3"/>
      <c r="GAL168" s="3"/>
      <c r="GAM168" s="3"/>
      <c r="GAN168" s="3"/>
      <c r="GAO168" s="3"/>
      <c r="GAP168" s="3"/>
      <c r="GAQ168" s="3"/>
      <c r="GAR168" s="3"/>
      <c r="GAS168" s="3"/>
      <c r="GAT168" s="3"/>
      <c r="GAU168" s="3"/>
      <c r="GAV168" s="3"/>
      <c r="GAW168" s="3"/>
      <c r="GAX168" s="3"/>
      <c r="GAY168" s="3"/>
      <c r="GAZ168" s="3"/>
      <c r="GBA168" s="3"/>
      <c r="GBB168" s="3"/>
      <c r="GBC168" s="3"/>
      <c r="GBD168" s="3"/>
      <c r="GBE168" s="3"/>
      <c r="GBF168" s="3"/>
      <c r="GBG168" s="3"/>
      <c r="GBH168" s="3"/>
      <c r="GBI168" s="3"/>
      <c r="GBJ168" s="3"/>
      <c r="GBK168" s="3"/>
      <c r="GBL168" s="3"/>
      <c r="GBM168" s="3"/>
      <c r="GBN168" s="3"/>
      <c r="GBO168" s="3"/>
      <c r="GBP168" s="3"/>
      <c r="GBQ168" s="3"/>
      <c r="GBR168" s="3"/>
      <c r="GBS168" s="3"/>
      <c r="GBT168" s="3"/>
      <c r="GBU168" s="3"/>
      <c r="GBV168" s="3"/>
      <c r="GBW168" s="3"/>
      <c r="GBX168" s="3"/>
      <c r="GBY168" s="3"/>
      <c r="GBZ168" s="3"/>
      <c r="GCA168" s="3"/>
      <c r="GCB168" s="3"/>
      <c r="GCC168" s="3"/>
      <c r="GCD168" s="3"/>
      <c r="GCE168" s="3"/>
      <c r="GCF168" s="3"/>
      <c r="GCG168" s="3"/>
      <c r="GCH168" s="3"/>
      <c r="GCI168" s="3"/>
      <c r="GCJ168" s="3"/>
      <c r="GCK168" s="3"/>
      <c r="GCL168" s="3"/>
      <c r="GCM168" s="3"/>
      <c r="GCN168" s="3"/>
      <c r="GCO168" s="3"/>
      <c r="GCP168" s="3"/>
      <c r="GCQ168" s="3"/>
      <c r="GCR168" s="3"/>
      <c r="GCS168" s="3"/>
      <c r="GCT168" s="3"/>
      <c r="GCU168" s="3"/>
      <c r="GCV168" s="3"/>
      <c r="GCW168" s="3"/>
      <c r="GCX168" s="3"/>
      <c r="GCY168" s="3"/>
      <c r="GCZ168" s="3"/>
      <c r="GDA168" s="3"/>
      <c r="GDB168" s="3"/>
      <c r="GDC168" s="3"/>
      <c r="GDD168" s="3"/>
      <c r="GDE168" s="3"/>
      <c r="GDF168" s="3"/>
      <c r="GDG168" s="3"/>
      <c r="GDH168" s="3"/>
      <c r="GDI168" s="3"/>
      <c r="GDJ168" s="3"/>
      <c r="GDK168" s="3"/>
      <c r="GDL168" s="3"/>
      <c r="GDM168" s="3"/>
      <c r="GDN168" s="3"/>
      <c r="GDO168" s="3"/>
      <c r="GDP168" s="3"/>
      <c r="GDQ168" s="3"/>
      <c r="GDR168" s="3"/>
      <c r="GDS168" s="3"/>
      <c r="GDT168" s="3"/>
      <c r="GDU168" s="3"/>
      <c r="GDV168" s="3"/>
      <c r="GDW168" s="3"/>
      <c r="GDX168" s="3"/>
      <c r="GDY168" s="3"/>
      <c r="GDZ168" s="3"/>
      <c r="GEA168" s="3"/>
      <c r="GEB168" s="3"/>
      <c r="GEC168" s="3"/>
      <c r="GED168" s="3"/>
      <c r="GEE168" s="3"/>
      <c r="GEF168" s="3"/>
      <c r="GEG168" s="3"/>
      <c r="GEH168" s="3"/>
      <c r="GEI168" s="3"/>
      <c r="GEJ168" s="3"/>
      <c r="GEK168" s="3"/>
      <c r="GEL168" s="3"/>
      <c r="GEM168" s="3"/>
      <c r="GEN168" s="3"/>
      <c r="GEO168" s="3"/>
      <c r="GEP168" s="3"/>
      <c r="GEQ168" s="3"/>
      <c r="GER168" s="3"/>
      <c r="GES168" s="3"/>
      <c r="GET168" s="3"/>
      <c r="GEU168" s="3"/>
      <c r="GEV168" s="3"/>
      <c r="GEW168" s="3"/>
      <c r="GEX168" s="3"/>
      <c r="GEY168" s="3"/>
      <c r="GEZ168" s="3"/>
      <c r="GFA168" s="3"/>
      <c r="GFB168" s="3"/>
      <c r="GFC168" s="3"/>
      <c r="GFD168" s="3"/>
      <c r="GFE168" s="3"/>
      <c r="GFF168" s="3"/>
      <c r="GFG168" s="3"/>
      <c r="GFH168" s="3"/>
      <c r="GFI168" s="3"/>
      <c r="GFJ168" s="3"/>
      <c r="GFK168" s="3"/>
      <c r="GFL168" s="3"/>
      <c r="GFM168" s="3"/>
      <c r="GFN168" s="3"/>
      <c r="GFO168" s="3"/>
      <c r="GFP168" s="3"/>
      <c r="GFQ168" s="3"/>
      <c r="GFR168" s="3"/>
      <c r="GFS168" s="3"/>
      <c r="GFT168" s="3"/>
      <c r="GFU168" s="3"/>
      <c r="GFV168" s="3"/>
      <c r="GFW168" s="3"/>
      <c r="GFX168" s="3"/>
      <c r="GFY168" s="3"/>
      <c r="GFZ168" s="3"/>
      <c r="GGA168" s="3"/>
      <c r="GGB168" s="3"/>
      <c r="GGC168" s="3"/>
      <c r="GGD168" s="3"/>
      <c r="GGE168" s="3"/>
      <c r="GGF168" s="3"/>
      <c r="GGG168" s="3"/>
      <c r="GGH168" s="3"/>
      <c r="GGI168" s="3"/>
      <c r="GGJ168" s="3"/>
      <c r="GGK168" s="3"/>
      <c r="GGL168" s="3"/>
      <c r="GGM168" s="3"/>
      <c r="GGN168" s="3"/>
      <c r="GGO168" s="3"/>
      <c r="GGP168" s="3"/>
      <c r="GGQ168" s="3"/>
      <c r="GGR168" s="3"/>
      <c r="GGS168" s="3"/>
      <c r="GGT168" s="3"/>
      <c r="GGU168" s="3"/>
      <c r="GGV168" s="3"/>
      <c r="GGW168" s="3"/>
      <c r="GGX168" s="3"/>
      <c r="GGY168" s="3"/>
      <c r="GGZ168" s="3"/>
      <c r="GHA168" s="3"/>
      <c r="GHB168" s="3"/>
      <c r="GHC168" s="3"/>
      <c r="GHD168" s="3"/>
      <c r="GHE168" s="3"/>
      <c r="GHF168" s="3"/>
      <c r="GHG168" s="3"/>
      <c r="GHH168" s="3"/>
      <c r="GHI168" s="3"/>
      <c r="GHJ168" s="3"/>
      <c r="GHK168" s="3"/>
      <c r="GHL168" s="3"/>
      <c r="GHM168" s="3"/>
      <c r="GHN168" s="3"/>
      <c r="GHO168" s="3"/>
      <c r="GHP168" s="3"/>
      <c r="GHQ168" s="3"/>
      <c r="GHR168" s="3"/>
      <c r="GHS168" s="3"/>
      <c r="GHT168" s="3"/>
      <c r="GHU168" s="3"/>
      <c r="GHV168" s="3"/>
      <c r="GHW168" s="3"/>
      <c r="GHX168" s="3"/>
      <c r="GHY168" s="3"/>
      <c r="GHZ168" s="3"/>
      <c r="GIA168" s="3"/>
      <c r="GIB168" s="3"/>
      <c r="GIC168" s="3"/>
      <c r="GID168" s="3"/>
      <c r="GIE168" s="3"/>
      <c r="GIF168" s="3"/>
      <c r="GIG168" s="3"/>
      <c r="GIH168" s="3"/>
      <c r="GII168" s="3"/>
      <c r="GIJ168" s="3"/>
      <c r="GIK168" s="3"/>
      <c r="GIL168" s="3"/>
      <c r="GIM168" s="3"/>
      <c r="GIN168" s="3"/>
      <c r="GIO168" s="3"/>
      <c r="GIP168" s="3"/>
      <c r="GIQ168" s="3"/>
      <c r="GIR168" s="3"/>
      <c r="GIS168" s="3"/>
      <c r="GIT168" s="3"/>
      <c r="GIU168" s="3"/>
      <c r="GIV168" s="3"/>
      <c r="GIW168" s="3"/>
      <c r="GIX168" s="3"/>
      <c r="GIY168" s="3"/>
      <c r="GIZ168" s="3"/>
      <c r="GJA168" s="3"/>
      <c r="GJB168" s="3"/>
      <c r="GJC168" s="3"/>
      <c r="GJD168" s="3"/>
      <c r="GJE168" s="3"/>
      <c r="GJF168" s="3"/>
      <c r="GJG168" s="3"/>
      <c r="GJH168" s="3"/>
      <c r="GJI168" s="3"/>
      <c r="GJJ168" s="3"/>
      <c r="GJK168" s="3"/>
      <c r="GJL168" s="3"/>
      <c r="GJM168" s="3"/>
      <c r="GJN168" s="3"/>
      <c r="GJO168" s="3"/>
      <c r="GJP168" s="3"/>
      <c r="GJQ168" s="3"/>
      <c r="GJR168" s="3"/>
      <c r="GJS168" s="3"/>
      <c r="GJT168" s="3"/>
      <c r="GJU168" s="3"/>
      <c r="GJV168" s="3"/>
      <c r="GJW168" s="3"/>
      <c r="GJX168" s="3"/>
      <c r="GJY168" s="3"/>
      <c r="GJZ168" s="3"/>
      <c r="GKA168" s="3"/>
      <c r="GKB168" s="3"/>
      <c r="GKC168" s="3"/>
      <c r="GKD168" s="3"/>
      <c r="GKE168" s="3"/>
      <c r="GKF168" s="3"/>
      <c r="GKG168" s="3"/>
      <c r="GKH168" s="3"/>
      <c r="GKI168" s="3"/>
      <c r="GKJ168" s="3"/>
      <c r="GKK168" s="3"/>
      <c r="GKL168" s="3"/>
      <c r="GKM168" s="3"/>
      <c r="GKN168" s="3"/>
      <c r="GKO168" s="3"/>
      <c r="GKP168" s="3"/>
      <c r="GKQ168" s="3"/>
      <c r="GKR168" s="3"/>
      <c r="GKS168" s="3"/>
      <c r="GKT168" s="3"/>
      <c r="GKU168" s="3"/>
      <c r="GKV168" s="3"/>
      <c r="GKW168" s="3"/>
      <c r="GKX168" s="3"/>
      <c r="GKY168" s="3"/>
      <c r="GKZ168" s="3"/>
      <c r="GLA168" s="3"/>
      <c r="GLB168" s="3"/>
      <c r="GLC168" s="3"/>
      <c r="GLD168" s="3"/>
      <c r="GLE168" s="3"/>
      <c r="GLF168" s="3"/>
      <c r="GLG168" s="3"/>
      <c r="GLH168" s="3"/>
      <c r="GLI168" s="3"/>
      <c r="GLJ168" s="3"/>
      <c r="GLK168" s="3"/>
      <c r="GLL168" s="3"/>
      <c r="GLM168" s="3"/>
      <c r="GLN168" s="3"/>
      <c r="GLO168" s="3"/>
      <c r="GLP168" s="3"/>
      <c r="GLQ168" s="3"/>
      <c r="GLR168" s="3"/>
      <c r="GLS168" s="3"/>
      <c r="GLT168" s="3"/>
      <c r="GLU168" s="3"/>
      <c r="GLV168" s="3"/>
      <c r="GLW168" s="3"/>
      <c r="GLX168" s="3"/>
      <c r="GLY168" s="3"/>
      <c r="GLZ168" s="3"/>
      <c r="GMA168" s="3"/>
      <c r="GMB168" s="3"/>
      <c r="GMC168" s="3"/>
      <c r="GMD168" s="3"/>
      <c r="GME168" s="3"/>
      <c r="GMF168" s="3"/>
      <c r="GMG168" s="3"/>
      <c r="GMH168" s="3"/>
      <c r="GMI168" s="3"/>
      <c r="GMJ168" s="3"/>
      <c r="GMK168" s="3"/>
      <c r="GML168" s="3"/>
      <c r="GMM168" s="3"/>
      <c r="GMN168" s="3"/>
      <c r="GMO168" s="3"/>
      <c r="GMP168" s="3"/>
      <c r="GMQ168" s="3"/>
      <c r="GMR168" s="3"/>
      <c r="GMS168" s="3"/>
      <c r="GMT168" s="3"/>
      <c r="GMU168" s="3"/>
      <c r="GMV168" s="3"/>
      <c r="GMW168" s="3"/>
      <c r="GMX168" s="3"/>
      <c r="GMY168" s="3"/>
      <c r="GMZ168" s="3"/>
      <c r="GNA168" s="3"/>
      <c r="GNB168" s="3"/>
      <c r="GNC168" s="3"/>
      <c r="GND168" s="3"/>
      <c r="GNE168" s="3"/>
      <c r="GNF168" s="3"/>
      <c r="GNG168" s="3"/>
      <c r="GNH168" s="3"/>
      <c r="GNI168" s="3"/>
      <c r="GNJ168" s="3"/>
      <c r="GNK168" s="3"/>
      <c r="GNL168" s="3"/>
      <c r="GNM168" s="3"/>
      <c r="GNN168" s="3"/>
      <c r="GNO168" s="3"/>
      <c r="GNP168" s="3"/>
      <c r="GNQ168" s="3"/>
      <c r="GNR168" s="3"/>
      <c r="GNS168" s="3"/>
      <c r="GNT168" s="3"/>
      <c r="GNU168" s="3"/>
      <c r="GNV168" s="3"/>
      <c r="GNW168" s="3"/>
      <c r="GNX168" s="3"/>
      <c r="GNY168" s="3"/>
      <c r="GNZ168" s="3"/>
      <c r="GOA168" s="3"/>
      <c r="GOB168" s="3"/>
      <c r="GOC168" s="3"/>
      <c r="GOD168" s="3"/>
      <c r="GOE168" s="3"/>
      <c r="GOF168" s="3"/>
      <c r="GOG168" s="3"/>
      <c r="GOH168" s="3"/>
      <c r="GOI168" s="3"/>
      <c r="GOJ168" s="3"/>
      <c r="GOK168" s="3"/>
      <c r="GOL168" s="3"/>
      <c r="GOM168" s="3"/>
      <c r="GON168" s="3"/>
      <c r="GOO168" s="3"/>
      <c r="GOP168" s="3"/>
      <c r="GOQ168" s="3"/>
      <c r="GOR168" s="3"/>
      <c r="GOS168" s="3"/>
      <c r="GOT168" s="3"/>
      <c r="GOU168" s="3"/>
      <c r="GOV168" s="3"/>
      <c r="GOW168" s="3"/>
      <c r="GOX168" s="3"/>
      <c r="GOY168" s="3"/>
      <c r="GOZ168" s="3"/>
      <c r="GPA168" s="3"/>
      <c r="GPB168" s="3"/>
      <c r="GPC168" s="3"/>
      <c r="GPD168" s="3"/>
      <c r="GPE168" s="3"/>
      <c r="GPF168" s="3"/>
      <c r="GPG168" s="3"/>
      <c r="GPH168" s="3"/>
      <c r="GPI168" s="3"/>
      <c r="GPJ168" s="3"/>
      <c r="GPK168" s="3"/>
      <c r="GPL168" s="3"/>
      <c r="GPM168" s="3"/>
      <c r="GPN168" s="3"/>
      <c r="GPO168" s="3"/>
      <c r="GPP168" s="3"/>
      <c r="GPQ168" s="3"/>
      <c r="GPR168" s="3"/>
      <c r="GPS168" s="3"/>
      <c r="GPT168" s="3"/>
      <c r="GPU168" s="3"/>
      <c r="GPV168" s="3"/>
      <c r="GPW168" s="3"/>
      <c r="GPX168" s="3"/>
      <c r="GPY168" s="3"/>
      <c r="GPZ168" s="3"/>
      <c r="GQA168" s="3"/>
      <c r="GQB168" s="3"/>
      <c r="GQC168" s="3"/>
      <c r="GQD168" s="3"/>
      <c r="GQE168" s="3"/>
      <c r="GQF168" s="3"/>
      <c r="GQG168" s="3"/>
      <c r="GQH168" s="3"/>
      <c r="GQI168" s="3"/>
      <c r="GQJ168" s="3"/>
      <c r="GQK168" s="3"/>
      <c r="GQL168" s="3"/>
      <c r="GQM168" s="3"/>
      <c r="GQN168" s="3"/>
      <c r="GQO168" s="3"/>
      <c r="GQP168" s="3"/>
      <c r="GQQ168" s="3"/>
      <c r="GQR168" s="3"/>
      <c r="GQS168" s="3"/>
      <c r="GQT168" s="3"/>
      <c r="GQU168" s="3"/>
      <c r="GQV168" s="3"/>
      <c r="GQW168" s="3"/>
      <c r="GQX168" s="3"/>
      <c r="GQY168" s="3"/>
      <c r="GQZ168" s="3"/>
      <c r="GRA168" s="3"/>
      <c r="GRB168" s="3"/>
      <c r="GRC168" s="3"/>
      <c r="GRD168" s="3"/>
      <c r="GRE168" s="3"/>
      <c r="GRF168" s="3"/>
      <c r="GRG168" s="3"/>
      <c r="GRH168" s="3"/>
      <c r="GRI168" s="3"/>
      <c r="GRJ168" s="3"/>
      <c r="GRK168" s="3"/>
      <c r="GRL168" s="3"/>
      <c r="GRM168" s="3"/>
      <c r="GRN168" s="3"/>
      <c r="GRO168" s="3"/>
      <c r="GRP168" s="3"/>
      <c r="GRQ168" s="3"/>
      <c r="GRR168" s="3"/>
      <c r="GRS168" s="3"/>
      <c r="GRT168" s="3"/>
      <c r="GRU168" s="3"/>
      <c r="GRV168" s="3"/>
      <c r="GRW168" s="3"/>
      <c r="GRX168" s="3"/>
      <c r="GRY168" s="3"/>
      <c r="GRZ168" s="3"/>
      <c r="GSA168" s="3"/>
      <c r="GSB168" s="3"/>
      <c r="GSC168" s="3"/>
      <c r="GSD168" s="3"/>
      <c r="GSE168" s="3"/>
      <c r="GSF168" s="3"/>
      <c r="GSG168" s="3"/>
      <c r="GSH168" s="3"/>
      <c r="GSI168" s="3"/>
      <c r="GSJ168" s="3"/>
      <c r="GSK168" s="3"/>
      <c r="GSL168" s="3"/>
      <c r="GSM168" s="3"/>
      <c r="GSN168" s="3"/>
      <c r="GSO168" s="3"/>
      <c r="GSP168" s="3"/>
      <c r="GSQ168" s="3"/>
      <c r="GSR168" s="3"/>
      <c r="GSS168" s="3"/>
      <c r="GST168" s="3"/>
      <c r="GSU168" s="3"/>
      <c r="GSV168" s="3"/>
      <c r="GSW168" s="3"/>
      <c r="GSX168" s="3"/>
      <c r="GSY168" s="3"/>
      <c r="GSZ168" s="3"/>
      <c r="GTA168" s="3"/>
      <c r="GTB168" s="3"/>
      <c r="GTC168" s="3"/>
      <c r="GTD168" s="3"/>
      <c r="GTE168" s="3"/>
      <c r="GTF168" s="3"/>
      <c r="GTG168" s="3"/>
      <c r="GTH168" s="3"/>
      <c r="GTI168" s="3"/>
      <c r="GTJ168" s="3"/>
      <c r="GTK168" s="3"/>
      <c r="GTL168" s="3"/>
      <c r="GTM168" s="3"/>
      <c r="GTN168" s="3"/>
      <c r="GTO168" s="3"/>
      <c r="GTP168" s="3"/>
      <c r="GTQ168" s="3"/>
      <c r="GTR168" s="3"/>
      <c r="GTS168" s="3"/>
      <c r="GTT168" s="3"/>
      <c r="GTU168" s="3"/>
      <c r="GTV168" s="3"/>
      <c r="GTW168" s="3"/>
      <c r="GTX168" s="3"/>
      <c r="GTY168" s="3"/>
      <c r="GTZ168" s="3"/>
      <c r="GUA168" s="3"/>
      <c r="GUB168" s="3"/>
      <c r="GUC168" s="3"/>
      <c r="GUD168" s="3"/>
      <c r="GUE168" s="3"/>
      <c r="GUF168" s="3"/>
      <c r="GUG168" s="3"/>
      <c r="GUH168" s="3"/>
      <c r="GUI168" s="3"/>
      <c r="GUJ168" s="3"/>
      <c r="GUK168" s="3"/>
      <c r="GUL168" s="3"/>
      <c r="GUM168" s="3"/>
      <c r="GUN168" s="3"/>
      <c r="GUO168" s="3"/>
      <c r="GUP168" s="3"/>
      <c r="GUQ168" s="3"/>
      <c r="GUR168" s="3"/>
      <c r="GUS168" s="3"/>
      <c r="GUT168" s="3"/>
      <c r="GUU168" s="3"/>
      <c r="GUV168" s="3"/>
      <c r="GUW168" s="3"/>
      <c r="GUX168" s="3"/>
      <c r="GUY168" s="3"/>
      <c r="GUZ168" s="3"/>
      <c r="GVA168" s="3"/>
      <c r="GVB168" s="3"/>
      <c r="GVC168" s="3"/>
      <c r="GVD168" s="3"/>
      <c r="GVE168" s="3"/>
      <c r="GVF168" s="3"/>
      <c r="GVG168" s="3"/>
      <c r="GVH168" s="3"/>
      <c r="GVI168" s="3"/>
      <c r="GVJ168" s="3"/>
      <c r="GVK168" s="3"/>
      <c r="GVL168" s="3"/>
      <c r="GVM168" s="3"/>
      <c r="GVN168" s="3"/>
      <c r="GVO168" s="3"/>
      <c r="GVP168" s="3"/>
      <c r="GVQ168" s="3"/>
      <c r="GVR168" s="3"/>
      <c r="GVS168" s="3"/>
      <c r="GVT168" s="3"/>
      <c r="GVU168" s="3"/>
      <c r="GVV168" s="3"/>
      <c r="GVW168" s="3"/>
      <c r="GVX168" s="3"/>
      <c r="GVY168" s="3"/>
      <c r="GVZ168" s="3"/>
      <c r="GWA168" s="3"/>
      <c r="GWB168" s="3"/>
      <c r="GWC168" s="3"/>
      <c r="GWD168" s="3"/>
      <c r="GWE168" s="3"/>
      <c r="GWF168" s="3"/>
      <c r="GWG168" s="3"/>
      <c r="GWH168" s="3"/>
      <c r="GWI168" s="3"/>
      <c r="GWJ168" s="3"/>
      <c r="GWK168" s="3"/>
      <c r="GWL168" s="3"/>
      <c r="GWM168" s="3"/>
      <c r="GWN168" s="3"/>
      <c r="GWO168" s="3"/>
      <c r="GWP168" s="3"/>
      <c r="GWQ168" s="3"/>
      <c r="GWR168" s="3"/>
      <c r="GWS168" s="3"/>
      <c r="GWT168" s="3"/>
      <c r="GWU168" s="3"/>
      <c r="GWV168" s="3"/>
      <c r="GWW168" s="3"/>
      <c r="GWX168" s="3"/>
      <c r="GWY168" s="3"/>
      <c r="GWZ168" s="3"/>
      <c r="GXA168" s="3"/>
      <c r="GXB168" s="3"/>
      <c r="GXC168" s="3"/>
      <c r="GXD168" s="3"/>
      <c r="GXE168" s="3"/>
      <c r="GXF168" s="3"/>
      <c r="GXG168" s="3"/>
      <c r="GXH168" s="3"/>
      <c r="GXI168" s="3"/>
      <c r="GXJ168" s="3"/>
      <c r="GXK168" s="3"/>
      <c r="GXL168" s="3"/>
      <c r="GXM168" s="3"/>
      <c r="GXN168" s="3"/>
      <c r="GXO168" s="3"/>
      <c r="GXP168" s="3"/>
      <c r="GXQ168" s="3"/>
      <c r="GXR168" s="3"/>
      <c r="GXS168" s="3"/>
      <c r="GXT168" s="3"/>
      <c r="GXU168" s="3"/>
      <c r="GXV168" s="3"/>
      <c r="GXW168" s="3"/>
      <c r="GXX168" s="3"/>
      <c r="GXY168" s="3"/>
      <c r="GXZ168" s="3"/>
      <c r="GYA168" s="3"/>
      <c r="GYB168" s="3"/>
      <c r="GYC168" s="3"/>
      <c r="GYD168" s="3"/>
      <c r="GYE168" s="3"/>
      <c r="GYF168" s="3"/>
      <c r="GYG168" s="3"/>
      <c r="GYH168" s="3"/>
      <c r="GYI168" s="3"/>
      <c r="GYJ168" s="3"/>
      <c r="GYK168" s="3"/>
      <c r="GYL168" s="3"/>
      <c r="GYM168" s="3"/>
      <c r="GYN168" s="3"/>
      <c r="GYO168" s="3"/>
      <c r="GYP168" s="3"/>
      <c r="GYQ168" s="3"/>
      <c r="GYR168" s="3"/>
      <c r="GYS168" s="3"/>
      <c r="GYT168" s="3"/>
      <c r="GYU168" s="3"/>
      <c r="GYV168" s="3"/>
      <c r="GYW168" s="3"/>
      <c r="GYX168" s="3"/>
      <c r="GYY168" s="3"/>
      <c r="GYZ168" s="3"/>
      <c r="GZA168" s="3"/>
      <c r="GZB168" s="3"/>
      <c r="GZC168" s="3"/>
      <c r="GZD168" s="3"/>
      <c r="GZE168" s="3"/>
      <c r="GZF168" s="3"/>
      <c r="GZG168" s="3"/>
      <c r="GZH168" s="3"/>
      <c r="GZI168" s="3"/>
      <c r="GZJ168" s="3"/>
      <c r="GZK168" s="3"/>
      <c r="GZL168" s="3"/>
      <c r="GZM168" s="3"/>
      <c r="GZN168" s="3"/>
      <c r="GZO168" s="3"/>
      <c r="GZP168" s="3"/>
      <c r="GZQ168" s="3"/>
      <c r="GZR168" s="3"/>
      <c r="GZS168" s="3"/>
      <c r="GZT168" s="3"/>
      <c r="GZU168" s="3"/>
      <c r="GZV168" s="3"/>
      <c r="GZW168" s="3"/>
      <c r="GZX168" s="3"/>
      <c r="GZY168" s="3"/>
      <c r="GZZ168" s="3"/>
      <c r="HAA168" s="3"/>
      <c r="HAB168" s="3"/>
      <c r="HAC168" s="3"/>
      <c r="HAD168" s="3"/>
      <c r="HAE168" s="3"/>
      <c r="HAF168" s="3"/>
      <c r="HAG168" s="3"/>
      <c r="HAH168" s="3"/>
      <c r="HAI168" s="3"/>
      <c r="HAJ168" s="3"/>
      <c r="HAK168" s="3"/>
      <c r="HAL168" s="3"/>
      <c r="HAM168" s="3"/>
      <c r="HAN168" s="3"/>
      <c r="HAO168" s="3"/>
      <c r="HAP168" s="3"/>
      <c r="HAQ168" s="3"/>
      <c r="HAR168" s="3"/>
      <c r="HAS168" s="3"/>
      <c r="HAT168" s="3"/>
      <c r="HAU168" s="3"/>
      <c r="HAV168" s="3"/>
      <c r="HAW168" s="3"/>
      <c r="HAX168" s="3"/>
      <c r="HAY168" s="3"/>
      <c r="HAZ168" s="3"/>
      <c r="HBA168" s="3"/>
      <c r="HBB168" s="3"/>
      <c r="HBC168" s="3"/>
      <c r="HBD168" s="3"/>
      <c r="HBE168" s="3"/>
      <c r="HBF168" s="3"/>
      <c r="HBG168" s="3"/>
      <c r="HBH168" s="3"/>
      <c r="HBI168" s="3"/>
      <c r="HBJ168" s="3"/>
      <c r="HBK168" s="3"/>
      <c r="HBL168" s="3"/>
      <c r="HBM168" s="3"/>
      <c r="HBN168" s="3"/>
      <c r="HBO168" s="3"/>
      <c r="HBP168" s="3"/>
      <c r="HBQ168" s="3"/>
      <c r="HBR168" s="3"/>
      <c r="HBS168" s="3"/>
      <c r="HBT168" s="3"/>
      <c r="HBU168" s="3"/>
      <c r="HBV168" s="3"/>
      <c r="HBW168" s="3"/>
      <c r="HBX168" s="3"/>
      <c r="HBY168" s="3"/>
      <c r="HBZ168" s="3"/>
      <c r="HCA168" s="3"/>
      <c r="HCB168" s="3"/>
      <c r="HCC168" s="3"/>
      <c r="HCD168" s="3"/>
      <c r="HCE168" s="3"/>
      <c r="HCF168" s="3"/>
      <c r="HCG168" s="3"/>
      <c r="HCH168" s="3"/>
      <c r="HCI168" s="3"/>
      <c r="HCJ168" s="3"/>
      <c r="HCK168" s="3"/>
      <c r="HCL168" s="3"/>
      <c r="HCM168" s="3"/>
      <c r="HCN168" s="3"/>
      <c r="HCO168" s="3"/>
      <c r="HCP168" s="3"/>
      <c r="HCQ168" s="3"/>
      <c r="HCR168" s="3"/>
      <c r="HCS168" s="3"/>
      <c r="HCT168" s="3"/>
      <c r="HCU168" s="3"/>
      <c r="HCV168" s="3"/>
      <c r="HCW168" s="3"/>
      <c r="HCX168" s="3"/>
      <c r="HCY168" s="3"/>
      <c r="HCZ168" s="3"/>
      <c r="HDA168" s="3"/>
      <c r="HDB168" s="3"/>
      <c r="HDC168" s="3"/>
      <c r="HDD168" s="3"/>
      <c r="HDE168" s="3"/>
      <c r="HDF168" s="3"/>
      <c r="HDG168" s="3"/>
      <c r="HDH168" s="3"/>
      <c r="HDI168" s="3"/>
      <c r="HDJ168" s="3"/>
      <c r="HDK168" s="3"/>
      <c r="HDL168" s="3"/>
      <c r="HDM168" s="3"/>
      <c r="HDN168" s="3"/>
      <c r="HDO168" s="3"/>
      <c r="HDP168" s="3"/>
      <c r="HDQ168" s="3"/>
      <c r="HDR168" s="3"/>
      <c r="HDS168" s="3"/>
      <c r="HDT168" s="3"/>
      <c r="HDU168" s="3"/>
      <c r="HDV168" s="3"/>
      <c r="HDW168" s="3"/>
      <c r="HDX168" s="3"/>
      <c r="HDY168" s="3"/>
      <c r="HDZ168" s="3"/>
      <c r="HEA168" s="3"/>
      <c r="HEB168" s="3"/>
      <c r="HEC168" s="3"/>
      <c r="HED168" s="3"/>
      <c r="HEE168" s="3"/>
      <c r="HEF168" s="3"/>
      <c r="HEG168" s="3"/>
      <c r="HEH168" s="3"/>
      <c r="HEI168" s="3"/>
      <c r="HEJ168" s="3"/>
      <c r="HEK168" s="3"/>
      <c r="HEL168" s="3"/>
      <c r="HEM168" s="3"/>
      <c r="HEN168" s="3"/>
      <c r="HEO168" s="3"/>
      <c r="HEP168" s="3"/>
      <c r="HEQ168" s="3"/>
      <c r="HER168" s="3"/>
      <c r="HES168" s="3"/>
      <c r="HET168" s="3"/>
      <c r="HEU168" s="3"/>
      <c r="HEV168" s="3"/>
      <c r="HEW168" s="3"/>
      <c r="HEX168" s="3"/>
      <c r="HEY168" s="3"/>
      <c r="HEZ168" s="3"/>
      <c r="HFA168" s="3"/>
      <c r="HFB168" s="3"/>
      <c r="HFC168" s="3"/>
      <c r="HFD168" s="3"/>
      <c r="HFE168" s="3"/>
      <c r="HFF168" s="3"/>
      <c r="HFG168" s="3"/>
      <c r="HFH168" s="3"/>
      <c r="HFI168" s="3"/>
      <c r="HFJ168" s="3"/>
      <c r="HFK168" s="3"/>
      <c r="HFL168" s="3"/>
      <c r="HFM168" s="3"/>
      <c r="HFN168" s="3"/>
      <c r="HFO168" s="3"/>
      <c r="HFP168" s="3"/>
      <c r="HFQ168" s="3"/>
      <c r="HFR168" s="3"/>
      <c r="HFS168" s="3"/>
      <c r="HFT168" s="3"/>
      <c r="HFU168" s="3"/>
      <c r="HFV168" s="3"/>
      <c r="HFW168" s="3"/>
      <c r="HFX168" s="3"/>
      <c r="HFY168" s="3"/>
      <c r="HFZ168" s="3"/>
      <c r="HGA168" s="3"/>
      <c r="HGB168" s="3"/>
      <c r="HGC168" s="3"/>
      <c r="HGD168" s="3"/>
      <c r="HGE168" s="3"/>
      <c r="HGF168" s="3"/>
      <c r="HGG168" s="3"/>
      <c r="HGH168" s="3"/>
      <c r="HGI168" s="3"/>
      <c r="HGJ168" s="3"/>
      <c r="HGK168" s="3"/>
      <c r="HGL168" s="3"/>
      <c r="HGM168" s="3"/>
      <c r="HGN168" s="3"/>
      <c r="HGO168" s="3"/>
      <c r="HGP168" s="3"/>
      <c r="HGQ168" s="3"/>
      <c r="HGR168" s="3"/>
      <c r="HGS168" s="3"/>
      <c r="HGT168" s="3"/>
      <c r="HGU168" s="3"/>
      <c r="HGV168" s="3"/>
      <c r="HGW168" s="3"/>
      <c r="HGX168" s="3"/>
      <c r="HGY168" s="3"/>
      <c r="HGZ168" s="3"/>
      <c r="HHA168" s="3"/>
      <c r="HHB168" s="3"/>
      <c r="HHC168" s="3"/>
      <c r="HHD168" s="3"/>
      <c r="HHE168" s="3"/>
      <c r="HHF168" s="3"/>
      <c r="HHG168" s="3"/>
      <c r="HHH168" s="3"/>
      <c r="HHI168" s="3"/>
      <c r="HHJ168" s="3"/>
      <c r="HHK168" s="3"/>
      <c r="HHL168" s="3"/>
      <c r="HHM168" s="3"/>
      <c r="HHN168" s="3"/>
      <c r="HHO168" s="3"/>
      <c r="HHP168" s="3"/>
      <c r="HHQ168" s="3"/>
      <c r="HHR168" s="3"/>
      <c r="HHS168" s="3"/>
      <c r="HHT168" s="3"/>
      <c r="HHU168" s="3"/>
      <c r="HHV168" s="3"/>
      <c r="HHW168" s="3"/>
      <c r="HHX168" s="3"/>
      <c r="HHY168" s="3"/>
      <c r="HHZ168" s="3"/>
      <c r="HIA168" s="3"/>
      <c r="HIB168" s="3"/>
      <c r="HIC168" s="3"/>
      <c r="HID168" s="3"/>
      <c r="HIE168" s="3"/>
      <c r="HIF168" s="3"/>
      <c r="HIG168" s="3"/>
      <c r="HIH168" s="3"/>
      <c r="HII168" s="3"/>
      <c r="HIJ168" s="3"/>
      <c r="HIK168" s="3"/>
      <c r="HIL168" s="3"/>
      <c r="HIM168" s="3"/>
      <c r="HIN168" s="3"/>
      <c r="HIO168" s="3"/>
      <c r="HIP168" s="3"/>
      <c r="HIQ168" s="3"/>
      <c r="HIR168" s="3"/>
      <c r="HIS168" s="3"/>
      <c r="HIT168" s="3"/>
      <c r="HIU168" s="3"/>
      <c r="HIV168" s="3"/>
      <c r="HIW168" s="3"/>
      <c r="HIX168" s="3"/>
      <c r="HIY168" s="3"/>
      <c r="HIZ168" s="3"/>
      <c r="HJA168" s="3"/>
      <c r="HJB168" s="3"/>
      <c r="HJC168" s="3"/>
      <c r="HJD168" s="3"/>
      <c r="HJE168" s="3"/>
      <c r="HJF168" s="3"/>
      <c r="HJG168" s="3"/>
      <c r="HJH168" s="3"/>
      <c r="HJI168" s="3"/>
      <c r="HJJ168" s="3"/>
      <c r="HJK168" s="3"/>
      <c r="HJL168" s="3"/>
      <c r="HJM168" s="3"/>
      <c r="HJN168" s="3"/>
      <c r="HJO168" s="3"/>
      <c r="HJP168" s="3"/>
      <c r="HJQ168" s="3"/>
      <c r="HJR168" s="3"/>
      <c r="HJS168" s="3"/>
      <c r="HJT168" s="3"/>
      <c r="HJU168" s="3"/>
      <c r="HJV168" s="3"/>
      <c r="HJW168" s="3"/>
      <c r="HJX168" s="3"/>
      <c r="HJY168" s="3"/>
      <c r="HJZ168" s="3"/>
      <c r="HKA168" s="3"/>
      <c r="HKB168" s="3"/>
      <c r="HKC168" s="3"/>
      <c r="HKD168" s="3"/>
      <c r="HKE168" s="3"/>
      <c r="HKF168" s="3"/>
      <c r="HKG168" s="3"/>
      <c r="HKH168" s="3"/>
      <c r="HKI168" s="3"/>
      <c r="HKJ168" s="3"/>
      <c r="HKK168" s="3"/>
      <c r="HKL168" s="3"/>
      <c r="HKM168" s="3"/>
      <c r="HKN168" s="3"/>
      <c r="HKO168" s="3"/>
      <c r="HKP168" s="3"/>
      <c r="HKQ168" s="3"/>
      <c r="HKR168" s="3"/>
      <c r="HKS168" s="3"/>
      <c r="HKT168" s="3"/>
      <c r="HKU168" s="3"/>
      <c r="HKV168" s="3"/>
      <c r="HKW168" s="3"/>
      <c r="HKX168" s="3"/>
      <c r="HKY168" s="3"/>
      <c r="HKZ168" s="3"/>
      <c r="HLA168" s="3"/>
      <c r="HLB168" s="3"/>
      <c r="HLC168" s="3"/>
      <c r="HLD168" s="3"/>
      <c r="HLE168" s="3"/>
      <c r="HLF168" s="3"/>
      <c r="HLG168" s="3"/>
      <c r="HLH168" s="3"/>
      <c r="HLI168" s="3"/>
      <c r="HLJ168" s="3"/>
      <c r="HLK168" s="3"/>
      <c r="HLL168" s="3"/>
      <c r="HLM168" s="3"/>
      <c r="HLN168" s="3"/>
      <c r="HLO168" s="3"/>
      <c r="HLP168" s="3"/>
      <c r="HLQ168" s="3"/>
      <c r="HLR168" s="3"/>
      <c r="HLS168" s="3"/>
      <c r="HLT168" s="3"/>
      <c r="HLU168" s="3"/>
      <c r="HLV168" s="3"/>
      <c r="HLW168" s="3"/>
      <c r="HLX168" s="3"/>
      <c r="HLY168" s="3"/>
      <c r="HLZ168" s="3"/>
      <c r="HMA168" s="3"/>
      <c r="HMB168" s="3"/>
      <c r="HMC168" s="3"/>
      <c r="HMD168" s="3"/>
      <c r="HME168" s="3"/>
      <c r="HMF168" s="3"/>
      <c r="HMG168" s="3"/>
      <c r="HMH168" s="3"/>
      <c r="HMI168" s="3"/>
      <c r="HMJ168" s="3"/>
      <c r="HMK168" s="3"/>
      <c r="HML168" s="3"/>
      <c r="HMM168" s="3"/>
      <c r="HMN168" s="3"/>
      <c r="HMO168" s="3"/>
      <c r="HMP168" s="3"/>
      <c r="HMQ168" s="3"/>
      <c r="HMR168" s="3"/>
      <c r="HMS168" s="3"/>
      <c r="HMT168" s="3"/>
      <c r="HMU168" s="3"/>
      <c r="HMV168" s="3"/>
      <c r="HMW168" s="3"/>
      <c r="HMX168" s="3"/>
      <c r="HMY168" s="3"/>
      <c r="HMZ168" s="3"/>
      <c r="HNA168" s="3"/>
      <c r="HNB168" s="3"/>
      <c r="HNC168" s="3"/>
      <c r="HND168" s="3"/>
      <c r="HNE168" s="3"/>
      <c r="HNF168" s="3"/>
      <c r="HNG168" s="3"/>
      <c r="HNH168" s="3"/>
      <c r="HNI168" s="3"/>
      <c r="HNJ168" s="3"/>
      <c r="HNK168" s="3"/>
      <c r="HNL168" s="3"/>
      <c r="HNM168" s="3"/>
      <c r="HNN168" s="3"/>
      <c r="HNO168" s="3"/>
      <c r="HNP168" s="3"/>
      <c r="HNQ168" s="3"/>
      <c r="HNR168" s="3"/>
      <c r="HNS168" s="3"/>
      <c r="HNT168" s="3"/>
      <c r="HNU168" s="3"/>
      <c r="HNV168" s="3"/>
      <c r="HNW168" s="3"/>
      <c r="HNX168" s="3"/>
      <c r="HNY168" s="3"/>
      <c r="HNZ168" s="3"/>
      <c r="HOA168" s="3"/>
      <c r="HOB168" s="3"/>
      <c r="HOC168" s="3"/>
      <c r="HOD168" s="3"/>
      <c r="HOE168" s="3"/>
      <c r="HOF168" s="3"/>
      <c r="HOG168" s="3"/>
      <c r="HOH168" s="3"/>
      <c r="HOI168" s="3"/>
      <c r="HOJ168" s="3"/>
      <c r="HOK168" s="3"/>
      <c r="HOL168" s="3"/>
      <c r="HOM168" s="3"/>
      <c r="HON168" s="3"/>
      <c r="HOO168" s="3"/>
      <c r="HOP168" s="3"/>
      <c r="HOQ168" s="3"/>
      <c r="HOR168" s="3"/>
      <c r="HOS168" s="3"/>
      <c r="HOT168" s="3"/>
      <c r="HOU168" s="3"/>
      <c r="HOV168" s="3"/>
      <c r="HOW168" s="3"/>
      <c r="HOX168" s="3"/>
      <c r="HOY168" s="3"/>
      <c r="HOZ168" s="3"/>
      <c r="HPA168" s="3"/>
      <c r="HPB168" s="3"/>
      <c r="HPC168" s="3"/>
      <c r="HPD168" s="3"/>
      <c r="HPE168" s="3"/>
      <c r="HPF168" s="3"/>
      <c r="HPG168" s="3"/>
      <c r="HPH168" s="3"/>
      <c r="HPI168" s="3"/>
      <c r="HPJ168" s="3"/>
      <c r="HPK168" s="3"/>
      <c r="HPL168" s="3"/>
      <c r="HPM168" s="3"/>
      <c r="HPN168" s="3"/>
      <c r="HPO168" s="3"/>
      <c r="HPP168" s="3"/>
      <c r="HPQ168" s="3"/>
      <c r="HPR168" s="3"/>
      <c r="HPS168" s="3"/>
      <c r="HPT168" s="3"/>
      <c r="HPU168" s="3"/>
      <c r="HPV168" s="3"/>
      <c r="HPW168" s="3"/>
      <c r="HPX168" s="3"/>
      <c r="HPY168" s="3"/>
      <c r="HPZ168" s="3"/>
      <c r="HQA168" s="3"/>
      <c r="HQB168" s="3"/>
      <c r="HQC168" s="3"/>
      <c r="HQD168" s="3"/>
      <c r="HQE168" s="3"/>
      <c r="HQF168" s="3"/>
      <c r="HQG168" s="3"/>
      <c r="HQH168" s="3"/>
      <c r="HQI168" s="3"/>
      <c r="HQJ168" s="3"/>
      <c r="HQK168" s="3"/>
      <c r="HQL168" s="3"/>
      <c r="HQM168" s="3"/>
      <c r="HQN168" s="3"/>
      <c r="HQO168" s="3"/>
      <c r="HQP168" s="3"/>
      <c r="HQQ168" s="3"/>
      <c r="HQR168" s="3"/>
      <c r="HQS168" s="3"/>
      <c r="HQT168" s="3"/>
      <c r="HQU168" s="3"/>
      <c r="HQV168" s="3"/>
      <c r="HQW168" s="3"/>
      <c r="HQX168" s="3"/>
      <c r="HQY168" s="3"/>
      <c r="HQZ168" s="3"/>
      <c r="HRA168" s="3"/>
      <c r="HRB168" s="3"/>
      <c r="HRC168" s="3"/>
      <c r="HRD168" s="3"/>
      <c r="HRE168" s="3"/>
      <c r="HRF168" s="3"/>
      <c r="HRG168" s="3"/>
      <c r="HRH168" s="3"/>
      <c r="HRI168" s="3"/>
      <c r="HRJ168" s="3"/>
      <c r="HRK168" s="3"/>
      <c r="HRL168" s="3"/>
      <c r="HRM168" s="3"/>
      <c r="HRN168" s="3"/>
      <c r="HRO168" s="3"/>
      <c r="HRP168" s="3"/>
      <c r="HRQ168" s="3"/>
      <c r="HRR168" s="3"/>
      <c r="HRS168" s="3"/>
      <c r="HRT168" s="3"/>
      <c r="HRU168" s="3"/>
      <c r="HRV168" s="3"/>
      <c r="HRW168" s="3"/>
      <c r="HRX168" s="3"/>
      <c r="HRY168" s="3"/>
      <c r="HRZ168" s="3"/>
      <c r="HSA168" s="3"/>
      <c r="HSB168" s="3"/>
      <c r="HSC168" s="3"/>
      <c r="HSD168" s="3"/>
      <c r="HSE168" s="3"/>
      <c r="HSF168" s="3"/>
      <c r="HSG168" s="3"/>
      <c r="HSH168" s="3"/>
      <c r="HSI168" s="3"/>
      <c r="HSJ168" s="3"/>
      <c r="HSK168" s="3"/>
      <c r="HSL168" s="3"/>
      <c r="HSM168" s="3"/>
      <c r="HSN168" s="3"/>
      <c r="HSO168" s="3"/>
      <c r="HSP168" s="3"/>
      <c r="HSQ168" s="3"/>
      <c r="HSR168" s="3"/>
      <c r="HSS168" s="3"/>
      <c r="HST168" s="3"/>
      <c r="HSU168" s="3"/>
      <c r="HSV168" s="3"/>
      <c r="HSW168" s="3"/>
      <c r="HSX168" s="3"/>
      <c r="HSY168" s="3"/>
      <c r="HSZ168" s="3"/>
      <c r="HTA168" s="3"/>
      <c r="HTB168" s="3"/>
      <c r="HTC168" s="3"/>
      <c r="HTD168" s="3"/>
      <c r="HTE168" s="3"/>
      <c r="HTF168" s="3"/>
      <c r="HTG168" s="3"/>
      <c r="HTH168" s="3"/>
      <c r="HTI168" s="3"/>
      <c r="HTJ168" s="3"/>
      <c r="HTK168" s="3"/>
      <c r="HTL168" s="3"/>
      <c r="HTM168" s="3"/>
      <c r="HTN168" s="3"/>
      <c r="HTO168" s="3"/>
      <c r="HTP168" s="3"/>
      <c r="HTQ168" s="3"/>
      <c r="HTR168" s="3"/>
      <c r="HTS168" s="3"/>
      <c r="HTT168" s="3"/>
      <c r="HTU168" s="3"/>
      <c r="HTV168" s="3"/>
      <c r="HTW168" s="3"/>
      <c r="HTX168" s="3"/>
      <c r="HTY168" s="3"/>
      <c r="HTZ168" s="3"/>
      <c r="HUA168" s="3"/>
      <c r="HUB168" s="3"/>
      <c r="HUC168" s="3"/>
      <c r="HUD168" s="3"/>
      <c r="HUE168" s="3"/>
      <c r="HUF168" s="3"/>
      <c r="HUG168" s="3"/>
      <c r="HUH168" s="3"/>
      <c r="HUI168" s="3"/>
      <c r="HUJ168" s="3"/>
      <c r="HUK168" s="3"/>
      <c r="HUL168" s="3"/>
      <c r="HUM168" s="3"/>
      <c r="HUN168" s="3"/>
      <c r="HUO168" s="3"/>
      <c r="HUP168" s="3"/>
      <c r="HUQ168" s="3"/>
      <c r="HUR168" s="3"/>
      <c r="HUS168" s="3"/>
      <c r="HUT168" s="3"/>
      <c r="HUU168" s="3"/>
      <c r="HUV168" s="3"/>
      <c r="HUW168" s="3"/>
      <c r="HUX168" s="3"/>
      <c r="HUY168" s="3"/>
      <c r="HUZ168" s="3"/>
      <c r="HVA168" s="3"/>
      <c r="HVB168" s="3"/>
      <c r="HVC168" s="3"/>
      <c r="HVD168" s="3"/>
      <c r="HVE168" s="3"/>
      <c r="HVF168" s="3"/>
      <c r="HVG168" s="3"/>
      <c r="HVH168" s="3"/>
      <c r="HVI168" s="3"/>
      <c r="HVJ168" s="3"/>
      <c r="HVK168" s="3"/>
      <c r="HVL168" s="3"/>
      <c r="HVM168" s="3"/>
      <c r="HVN168" s="3"/>
      <c r="HVO168" s="3"/>
      <c r="HVP168" s="3"/>
      <c r="HVQ168" s="3"/>
      <c r="HVR168" s="3"/>
      <c r="HVS168" s="3"/>
      <c r="HVT168" s="3"/>
      <c r="HVU168" s="3"/>
      <c r="HVV168" s="3"/>
      <c r="HVW168" s="3"/>
      <c r="HVX168" s="3"/>
      <c r="HVY168" s="3"/>
      <c r="HVZ168" s="3"/>
      <c r="HWA168" s="3"/>
      <c r="HWB168" s="3"/>
      <c r="HWC168" s="3"/>
      <c r="HWD168" s="3"/>
      <c r="HWE168" s="3"/>
      <c r="HWF168" s="3"/>
      <c r="HWG168" s="3"/>
      <c r="HWH168" s="3"/>
      <c r="HWI168" s="3"/>
      <c r="HWJ168" s="3"/>
      <c r="HWK168" s="3"/>
      <c r="HWL168" s="3"/>
      <c r="HWM168" s="3"/>
      <c r="HWN168" s="3"/>
      <c r="HWO168" s="3"/>
      <c r="HWP168" s="3"/>
      <c r="HWQ168" s="3"/>
      <c r="HWR168" s="3"/>
      <c r="HWS168" s="3"/>
      <c r="HWT168" s="3"/>
      <c r="HWU168" s="3"/>
      <c r="HWV168" s="3"/>
      <c r="HWW168" s="3"/>
      <c r="HWX168" s="3"/>
      <c r="HWY168" s="3"/>
      <c r="HWZ168" s="3"/>
      <c r="HXA168" s="3"/>
      <c r="HXB168" s="3"/>
      <c r="HXC168" s="3"/>
      <c r="HXD168" s="3"/>
      <c r="HXE168" s="3"/>
      <c r="HXF168" s="3"/>
      <c r="HXG168" s="3"/>
      <c r="HXH168" s="3"/>
      <c r="HXI168" s="3"/>
      <c r="HXJ168" s="3"/>
      <c r="HXK168" s="3"/>
      <c r="HXL168" s="3"/>
      <c r="HXM168" s="3"/>
      <c r="HXN168" s="3"/>
      <c r="HXO168" s="3"/>
      <c r="HXP168" s="3"/>
      <c r="HXQ168" s="3"/>
      <c r="HXR168" s="3"/>
      <c r="HXS168" s="3"/>
      <c r="HXT168" s="3"/>
      <c r="HXU168" s="3"/>
      <c r="HXV168" s="3"/>
      <c r="HXW168" s="3"/>
      <c r="HXX168" s="3"/>
      <c r="HXY168" s="3"/>
      <c r="HXZ168" s="3"/>
      <c r="HYA168" s="3"/>
      <c r="HYB168" s="3"/>
      <c r="HYC168" s="3"/>
      <c r="HYD168" s="3"/>
      <c r="HYE168" s="3"/>
      <c r="HYF168" s="3"/>
      <c r="HYG168" s="3"/>
      <c r="HYH168" s="3"/>
      <c r="HYI168" s="3"/>
      <c r="HYJ168" s="3"/>
      <c r="HYK168" s="3"/>
      <c r="HYL168" s="3"/>
      <c r="HYM168" s="3"/>
      <c r="HYN168" s="3"/>
      <c r="HYO168" s="3"/>
      <c r="HYP168" s="3"/>
      <c r="HYQ168" s="3"/>
      <c r="HYR168" s="3"/>
      <c r="HYS168" s="3"/>
      <c r="HYT168" s="3"/>
      <c r="HYU168" s="3"/>
      <c r="HYV168" s="3"/>
      <c r="HYW168" s="3"/>
      <c r="HYX168" s="3"/>
      <c r="HYY168" s="3"/>
      <c r="HYZ168" s="3"/>
      <c r="HZA168" s="3"/>
      <c r="HZB168" s="3"/>
      <c r="HZC168" s="3"/>
      <c r="HZD168" s="3"/>
      <c r="HZE168" s="3"/>
      <c r="HZF168" s="3"/>
      <c r="HZG168" s="3"/>
      <c r="HZH168" s="3"/>
      <c r="HZI168" s="3"/>
      <c r="HZJ168" s="3"/>
      <c r="HZK168" s="3"/>
      <c r="HZL168" s="3"/>
      <c r="HZM168" s="3"/>
      <c r="HZN168" s="3"/>
      <c r="HZO168" s="3"/>
      <c r="HZP168" s="3"/>
      <c r="HZQ168" s="3"/>
      <c r="HZR168" s="3"/>
      <c r="HZS168" s="3"/>
      <c r="HZT168" s="3"/>
      <c r="HZU168" s="3"/>
      <c r="HZV168" s="3"/>
      <c r="HZW168" s="3"/>
      <c r="HZX168" s="3"/>
      <c r="HZY168" s="3"/>
      <c r="HZZ168" s="3"/>
      <c r="IAA168" s="3"/>
      <c r="IAB168" s="3"/>
      <c r="IAC168" s="3"/>
      <c r="IAD168" s="3"/>
      <c r="IAE168" s="3"/>
      <c r="IAF168" s="3"/>
      <c r="IAG168" s="3"/>
      <c r="IAH168" s="3"/>
      <c r="IAI168" s="3"/>
      <c r="IAJ168" s="3"/>
      <c r="IAK168" s="3"/>
      <c r="IAL168" s="3"/>
      <c r="IAM168" s="3"/>
      <c r="IAN168" s="3"/>
      <c r="IAO168" s="3"/>
      <c r="IAP168" s="3"/>
      <c r="IAQ168" s="3"/>
      <c r="IAR168" s="3"/>
      <c r="IAS168" s="3"/>
      <c r="IAT168" s="3"/>
      <c r="IAU168" s="3"/>
      <c r="IAV168" s="3"/>
      <c r="IAW168" s="3"/>
      <c r="IAX168" s="3"/>
      <c r="IAY168" s="3"/>
      <c r="IAZ168" s="3"/>
      <c r="IBA168" s="3"/>
      <c r="IBB168" s="3"/>
      <c r="IBC168" s="3"/>
      <c r="IBD168" s="3"/>
      <c r="IBE168" s="3"/>
      <c r="IBF168" s="3"/>
      <c r="IBG168" s="3"/>
      <c r="IBH168" s="3"/>
      <c r="IBI168" s="3"/>
      <c r="IBJ168" s="3"/>
      <c r="IBK168" s="3"/>
      <c r="IBL168" s="3"/>
      <c r="IBM168" s="3"/>
      <c r="IBN168" s="3"/>
      <c r="IBO168" s="3"/>
      <c r="IBP168" s="3"/>
      <c r="IBQ168" s="3"/>
      <c r="IBR168" s="3"/>
      <c r="IBS168" s="3"/>
      <c r="IBT168" s="3"/>
      <c r="IBU168" s="3"/>
      <c r="IBV168" s="3"/>
      <c r="IBW168" s="3"/>
      <c r="IBX168" s="3"/>
      <c r="IBY168" s="3"/>
      <c r="IBZ168" s="3"/>
      <c r="ICA168" s="3"/>
      <c r="ICB168" s="3"/>
      <c r="ICC168" s="3"/>
      <c r="ICD168" s="3"/>
      <c r="ICE168" s="3"/>
      <c r="ICF168" s="3"/>
      <c r="ICG168" s="3"/>
      <c r="ICH168" s="3"/>
      <c r="ICI168" s="3"/>
      <c r="ICJ168" s="3"/>
      <c r="ICK168" s="3"/>
      <c r="ICL168" s="3"/>
      <c r="ICM168" s="3"/>
      <c r="ICN168" s="3"/>
      <c r="ICO168" s="3"/>
      <c r="ICP168" s="3"/>
      <c r="ICQ168" s="3"/>
      <c r="ICR168" s="3"/>
      <c r="ICS168" s="3"/>
      <c r="ICT168" s="3"/>
      <c r="ICU168" s="3"/>
      <c r="ICV168" s="3"/>
      <c r="ICW168" s="3"/>
      <c r="ICX168" s="3"/>
      <c r="ICY168" s="3"/>
      <c r="ICZ168" s="3"/>
      <c r="IDA168" s="3"/>
      <c r="IDB168" s="3"/>
      <c r="IDC168" s="3"/>
      <c r="IDD168" s="3"/>
      <c r="IDE168" s="3"/>
      <c r="IDF168" s="3"/>
      <c r="IDG168" s="3"/>
      <c r="IDH168" s="3"/>
      <c r="IDI168" s="3"/>
      <c r="IDJ168" s="3"/>
      <c r="IDK168" s="3"/>
      <c r="IDL168" s="3"/>
      <c r="IDM168" s="3"/>
      <c r="IDN168" s="3"/>
      <c r="IDO168" s="3"/>
      <c r="IDP168" s="3"/>
      <c r="IDQ168" s="3"/>
      <c r="IDR168" s="3"/>
      <c r="IDS168" s="3"/>
      <c r="IDT168" s="3"/>
      <c r="IDU168" s="3"/>
      <c r="IDV168" s="3"/>
      <c r="IDW168" s="3"/>
      <c r="IDX168" s="3"/>
      <c r="IDY168" s="3"/>
      <c r="IDZ168" s="3"/>
      <c r="IEA168" s="3"/>
      <c r="IEB168" s="3"/>
      <c r="IEC168" s="3"/>
      <c r="IED168" s="3"/>
      <c r="IEE168" s="3"/>
      <c r="IEF168" s="3"/>
      <c r="IEG168" s="3"/>
      <c r="IEH168" s="3"/>
      <c r="IEI168" s="3"/>
      <c r="IEJ168" s="3"/>
      <c r="IEK168" s="3"/>
      <c r="IEL168" s="3"/>
      <c r="IEM168" s="3"/>
      <c r="IEN168" s="3"/>
      <c r="IEO168" s="3"/>
      <c r="IEP168" s="3"/>
      <c r="IEQ168" s="3"/>
      <c r="IER168" s="3"/>
      <c r="IES168" s="3"/>
      <c r="IET168" s="3"/>
      <c r="IEU168" s="3"/>
      <c r="IEV168" s="3"/>
      <c r="IEW168" s="3"/>
      <c r="IEX168" s="3"/>
      <c r="IEY168" s="3"/>
      <c r="IEZ168" s="3"/>
      <c r="IFA168" s="3"/>
      <c r="IFB168" s="3"/>
      <c r="IFC168" s="3"/>
      <c r="IFD168" s="3"/>
      <c r="IFE168" s="3"/>
      <c r="IFF168" s="3"/>
      <c r="IFG168" s="3"/>
      <c r="IFH168" s="3"/>
      <c r="IFI168" s="3"/>
      <c r="IFJ168" s="3"/>
      <c r="IFK168" s="3"/>
      <c r="IFL168" s="3"/>
      <c r="IFM168" s="3"/>
      <c r="IFN168" s="3"/>
      <c r="IFO168" s="3"/>
      <c r="IFP168" s="3"/>
      <c r="IFQ168" s="3"/>
      <c r="IFR168" s="3"/>
      <c r="IFS168" s="3"/>
      <c r="IFT168" s="3"/>
      <c r="IFU168" s="3"/>
      <c r="IFV168" s="3"/>
      <c r="IFW168" s="3"/>
      <c r="IFX168" s="3"/>
      <c r="IFY168" s="3"/>
      <c r="IFZ168" s="3"/>
      <c r="IGA168" s="3"/>
      <c r="IGB168" s="3"/>
      <c r="IGC168" s="3"/>
      <c r="IGD168" s="3"/>
      <c r="IGE168" s="3"/>
      <c r="IGF168" s="3"/>
      <c r="IGG168" s="3"/>
      <c r="IGH168" s="3"/>
      <c r="IGI168" s="3"/>
      <c r="IGJ168" s="3"/>
      <c r="IGK168" s="3"/>
      <c r="IGL168" s="3"/>
      <c r="IGM168" s="3"/>
      <c r="IGN168" s="3"/>
      <c r="IGO168" s="3"/>
      <c r="IGP168" s="3"/>
      <c r="IGQ168" s="3"/>
      <c r="IGR168" s="3"/>
      <c r="IGS168" s="3"/>
      <c r="IGT168" s="3"/>
      <c r="IGU168" s="3"/>
      <c r="IGV168" s="3"/>
      <c r="IGW168" s="3"/>
      <c r="IGX168" s="3"/>
      <c r="IGY168" s="3"/>
      <c r="IGZ168" s="3"/>
      <c r="IHA168" s="3"/>
      <c r="IHB168" s="3"/>
      <c r="IHC168" s="3"/>
      <c r="IHD168" s="3"/>
      <c r="IHE168" s="3"/>
      <c r="IHF168" s="3"/>
      <c r="IHG168" s="3"/>
      <c r="IHH168" s="3"/>
      <c r="IHI168" s="3"/>
      <c r="IHJ168" s="3"/>
      <c r="IHK168" s="3"/>
      <c r="IHL168" s="3"/>
      <c r="IHM168" s="3"/>
      <c r="IHN168" s="3"/>
      <c r="IHO168" s="3"/>
      <c r="IHP168" s="3"/>
      <c r="IHQ168" s="3"/>
      <c r="IHR168" s="3"/>
      <c r="IHS168" s="3"/>
      <c r="IHT168" s="3"/>
      <c r="IHU168" s="3"/>
      <c r="IHV168" s="3"/>
      <c r="IHW168" s="3"/>
      <c r="IHX168" s="3"/>
      <c r="IHY168" s="3"/>
      <c r="IHZ168" s="3"/>
      <c r="IIA168" s="3"/>
      <c r="IIB168" s="3"/>
      <c r="IIC168" s="3"/>
      <c r="IID168" s="3"/>
      <c r="IIE168" s="3"/>
      <c r="IIF168" s="3"/>
      <c r="IIG168" s="3"/>
      <c r="IIH168" s="3"/>
      <c r="III168" s="3"/>
      <c r="IIJ168" s="3"/>
      <c r="IIK168" s="3"/>
      <c r="IIL168" s="3"/>
      <c r="IIM168" s="3"/>
      <c r="IIN168" s="3"/>
      <c r="IIO168" s="3"/>
      <c r="IIP168" s="3"/>
      <c r="IIQ168" s="3"/>
      <c r="IIR168" s="3"/>
      <c r="IIS168" s="3"/>
      <c r="IIT168" s="3"/>
      <c r="IIU168" s="3"/>
      <c r="IIV168" s="3"/>
      <c r="IIW168" s="3"/>
      <c r="IIX168" s="3"/>
      <c r="IIY168" s="3"/>
      <c r="IIZ168" s="3"/>
      <c r="IJA168" s="3"/>
      <c r="IJB168" s="3"/>
      <c r="IJC168" s="3"/>
      <c r="IJD168" s="3"/>
      <c r="IJE168" s="3"/>
      <c r="IJF168" s="3"/>
      <c r="IJG168" s="3"/>
      <c r="IJH168" s="3"/>
      <c r="IJI168" s="3"/>
      <c r="IJJ168" s="3"/>
      <c r="IJK168" s="3"/>
      <c r="IJL168" s="3"/>
      <c r="IJM168" s="3"/>
      <c r="IJN168" s="3"/>
      <c r="IJO168" s="3"/>
      <c r="IJP168" s="3"/>
      <c r="IJQ168" s="3"/>
      <c r="IJR168" s="3"/>
      <c r="IJS168" s="3"/>
      <c r="IJT168" s="3"/>
      <c r="IJU168" s="3"/>
      <c r="IJV168" s="3"/>
      <c r="IJW168" s="3"/>
      <c r="IJX168" s="3"/>
      <c r="IJY168" s="3"/>
      <c r="IJZ168" s="3"/>
      <c r="IKA168" s="3"/>
      <c r="IKB168" s="3"/>
      <c r="IKC168" s="3"/>
      <c r="IKD168" s="3"/>
      <c r="IKE168" s="3"/>
      <c r="IKF168" s="3"/>
      <c r="IKG168" s="3"/>
      <c r="IKH168" s="3"/>
      <c r="IKI168" s="3"/>
      <c r="IKJ168" s="3"/>
      <c r="IKK168" s="3"/>
      <c r="IKL168" s="3"/>
      <c r="IKM168" s="3"/>
      <c r="IKN168" s="3"/>
      <c r="IKO168" s="3"/>
      <c r="IKP168" s="3"/>
      <c r="IKQ168" s="3"/>
      <c r="IKR168" s="3"/>
      <c r="IKS168" s="3"/>
      <c r="IKT168" s="3"/>
      <c r="IKU168" s="3"/>
      <c r="IKV168" s="3"/>
      <c r="IKW168" s="3"/>
      <c r="IKX168" s="3"/>
      <c r="IKY168" s="3"/>
      <c r="IKZ168" s="3"/>
      <c r="ILA168" s="3"/>
      <c r="ILB168" s="3"/>
      <c r="ILC168" s="3"/>
      <c r="ILD168" s="3"/>
      <c r="ILE168" s="3"/>
      <c r="ILF168" s="3"/>
      <c r="ILG168" s="3"/>
      <c r="ILH168" s="3"/>
      <c r="ILI168" s="3"/>
      <c r="ILJ168" s="3"/>
      <c r="ILK168" s="3"/>
      <c r="ILL168" s="3"/>
      <c r="ILM168" s="3"/>
      <c r="ILN168" s="3"/>
      <c r="ILO168" s="3"/>
      <c r="ILP168" s="3"/>
      <c r="ILQ168" s="3"/>
      <c r="ILR168" s="3"/>
      <c r="ILS168" s="3"/>
      <c r="ILT168" s="3"/>
      <c r="ILU168" s="3"/>
      <c r="ILV168" s="3"/>
      <c r="ILW168" s="3"/>
      <c r="ILX168" s="3"/>
      <c r="ILY168" s="3"/>
      <c r="ILZ168" s="3"/>
      <c r="IMA168" s="3"/>
      <c r="IMB168" s="3"/>
      <c r="IMC168" s="3"/>
      <c r="IMD168" s="3"/>
      <c r="IME168" s="3"/>
      <c r="IMF168" s="3"/>
      <c r="IMG168" s="3"/>
      <c r="IMH168" s="3"/>
      <c r="IMI168" s="3"/>
      <c r="IMJ168" s="3"/>
      <c r="IMK168" s="3"/>
      <c r="IML168" s="3"/>
      <c r="IMM168" s="3"/>
      <c r="IMN168" s="3"/>
      <c r="IMO168" s="3"/>
      <c r="IMP168" s="3"/>
      <c r="IMQ168" s="3"/>
      <c r="IMR168" s="3"/>
      <c r="IMS168" s="3"/>
      <c r="IMT168" s="3"/>
      <c r="IMU168" s="3"/>
      <c r="IMV168" s="3"/>
      <c r="IMW168" s="3"/>
      <c r="IMX168" s="3"/>
      <c r="IMY168" s="3"/>
      <c r="IMZ168" s="3"/>
      <c r="INA168" s="3"/>
      <c r="INB168" s="3"/>
      <c r="INC168" s="3"/>
      <c r="IND168" s="3"/>
      <c r="INE168" s="3"/>
      <c r="INF168" s="3"/>
      <c r="ING168" s="3"/>
      <c r="INH168" s="3"/>
      <c r="INI168" s="3"/>
      <c r="INJ168" s="3"/>
      <c r="INK168" s="3"/>
      <c r="INL168" s="3"/>
      <c r="INM168" s="3"/>
      <c r="INN168" s="3"/>
      <c r="INO168" s="3"/>
      <c r="INP168" s="3"/>
      <c r="INQ168" s="3"/>
      <c r="INR168" s="3"/>
      <c r="INS168" s="3"/>
      <c r="INT168" s="3"/>
      <c r="INU168" s="3"/>
      <c r="INV168" s="3"/>
      <c r="INW168" s="3"/>
      <c r="INX168" s="3"/>
      <c r="INY168" s="3"/>
      <c r="INZ168" s="3"/>
      <c r="IOA168" s="3"/>
      <c r="IOB168" s="3"/>
      <c r="IOC168" s="3"/>
      <c r="IOD168" s="3"/>
      <c r="IOE168" s="3"/>
      <c r="IOF168" s="3"/>
      <c r="IOG168" s="3"/>
      <c r="IOH168" s="3"/>
      <c r="IOI168" s="3"/>
      <c r="IOJ168" s="3"/>
      <c r="IOK168" s="3"/>
      <c r="IOL168" s="3"/>
      <c r="IOM168" s="3"/>
      <c r="ION168" s="3"/>
      <c r="IOO168" s="3"/>
      <c r="IOP168" s="3"/>
      <c r="IOQ168" s="3"/>
      <c r="IOR168" s="3"/>
      <c r="IOS168" s="3"/>
      <c r="IOT168" s="3"/>
      <c r="IOU168" s="3"/>
      <c r="IOV168" s="3"/>
      <c r="IOW168" s="3"/>
      <c r="IOX168" s="3"/>
      <c r="IOY168" s="3"/>
      <c r="IOZ168" s="3"/>
      <c r="IPA168" s="3"/>
      <c r="IPB168" s="3"/>
      <c r="IPC168" s="3"/>
      <c r="IPD168" s="3"/>
      <c r="IPE168" s="3"/>
      <c r="IPF168" s="3"/>
      <c r="IPG168" s="3"/>
      <c r="IPH168" s="3"/>
      <c r="IPI168" s="3"/>
      <c r="IPJ168" s="3"/>
      <c r="IPK168" s="3"/>
      <c r="IPL168" s="3"/>
      <c r="IPM168" s="3"/>
      <c r="IPN168" s="3"/>
      <c r="IPO168" s="3"/>
      <c r="IPP168" s="3"/>
      <c r="IPQ168" s="3"/>
      <c r="IPR168" s="3"/>
      <c r="IPS168" s="3"/>
      <c r="IPT168" s="3"/>
      <c r="IPU168" s="3"/>
      <c r="IPV168" s="3"/>
      <c r="IPW168" s="3"/>
      <c r="IPX168" s="3"/>
      <c r="IPY168" s="3"/>
      <c r="IPZ168" s="3"/>
      <c r="IQA168" s="3"/>
      <c r="IQB168" s="3"/>
      <c r="IQC168" s="3"/>
      <c r="IQD168" s="3"/>
      <c r="IQE168" s="3"/>
      <c r="IQF168" s="3"/>
      <c r="IQG168" s="3"/>
      <c r="IQH168" s="3"/>
      <c r="IQI168" s="3"/>
      <c r="IQJ168" s="3"/>
      <c r="IQK168" s="3"/>
      <c r="IQL168" s="3"/>
      <c r="IQM168" s="3"/>
      <c r="IQN168" s="3"/>
      <c r="IQO168" s="3"/>
      <c r="IQP168" s="3"/>
      <c r="IQQ168" s="3"/>
      <c r="IQR168" s="3"/>
      <c r="IQS168" s="3"/>
      <c r="IQT168" s="3"/>
      <c r="IQU168" s="3"/>
      <c r="IQV168" s="3"/>
      <c r="IQW168" s="3"/>
      <c r="IQX168" s="3"/>
      <c r="IQY168" s="3"/>
      <c r="IQZ168" s="3"/>
      <c r="IRA168" s="3"/>
      <c r="IRB168" s="3"/>
      <c r="IRC168" s="3"/>
      <c r="IRD168" s="3"/>
      <c r="IRE168" s="3"/>
      <c r="IRF168" s="3"/>
      <c r="IRG168" s="3"/>
      <c r="IRH168" s="3"/>
      <c r="IRI168" s="3"/>
      <c r="IRJ168" s="3"/>
      <c r="IRK168" s="3"/>
      <c r="IRL168" s="3"/>
      <c r="IRM168" s="3"/>
      <c r="IRN168" s="3"/>
      <c r="IRO168" s="3"/>
      <c r="IRP168" s="3"/>
      <c r="IRQ168" s="3"/>
      <c r="IRR168" s="3"/>
      <c r="IRS168" s="3"/>
      <c r="IRT168" s="3"/>
      <c r="IRU168" s="3"/>
      <c r="IRV168" s="3"/>
      <c r="IRW168" s="3"/>
      <c r="IRX168" s="3"/>
      <c r="IRY168" s="3"/>
      <c r="IRZ168" s="3"/>
      <c r="ISA168" s="3"/>
      <c r="ISB168" s="3"/>
      <c r="ISC168" s="3"/>
      <c r="ISD168" s="3"/>
      <c r="ISE168" s="3"/>
      <c r="ISF168" s="3"/>
      <c r="ISG168" s="3"/>
      <c r="ISH168" s="3"/>
      <c r="ISI168" s="3"/>
      <c r="ISJ168" s="3"/>
      <c r="ISK168" s="3"/>
      <c r="ISL168" s="3"/>
      <c r="ISM168" s="3"/>
      <c r="ISN168" s="3"/>
      <c r="ISO168" s="3"/>
      <c r="ISP168" s="3"/>
      <c r="ISQ168" s="3"/>
      <c r="ISR168" s="3"/>
      <c r="ISS168" s="3"/>
      <c r="IST168" s="3"/>
      <c r="ISU168" s="3"/>
      <c r="ISV168" s="3"/>
      <c r="ISW168" s="3"/>
      <c r="ISX168" s="3"/>
      <c r="ISY168" s="3"/>
      <c r="ISZ168" s="3"/>
      <c r="ITA168" s="3"/>
      <c r="ITB168" s="3"/>
      <c r="ITC168" s="3"/>
      <c r="ITD168" s="3"/>
      <c r="ITE168" s="3"/>
      <c r="ITF168" s="3"/>
      <c r="ITG168" s="3"/>
      <c r="ITH168" s="3"/>
      <c r="ITI168" s="3"/>
      <c r="ITJ168" s="3"/>
      <c r="ITK168" s="3"/>
      <c r="ITL168" s="3"/>
      <c r="ITM168" s="3"/>
      <c r="ITN168" s="3"/>
      <c r="ITO168" s="3"/>
      <c r="ITP168" s="3"/>
      <c r="ITQ168" s="3"/>
      <c r="ITR168" s="3"/>
      <c r="ITS168" s="3"/>
      <c r="ITT168" s="3"/>
      <c r="ITU168" s="3"/>
      <c r="ITV168" s="3"/>
      <c r="ITW168" s="3"/>
      <c r="ITX168" s="3"/>
      <c r="ITY168" s="3"/>
      <c r="ITZ168" s="3"/>
      <c r="IUA168" s="3"/>
      <c r="IUB168" s="3"/>
      <c r="IUC168" s="3"/>
      <c r="IUD168" s="3"/>
      <c r="IUE168" s="3"/>
      <c r="IUF168" s="3"/>
      <c r="IUG168" s="3"/>
      <c r="IUH168" s="3"/>
      <c r="IUI168" s="3"/>
      <c r="IUJ168" s="3"/>
      <c r="IUK168" s="3"/>
      <c r="IUL168" s="3"/>
      <c r="IUM168" s="3"/>
      <c r="IUN168" s="3"/>
      <c r="IUO168" s="3"/>
      <c r="IUP168" s="3"/>
      <c r="IUQ168" s="3"/>
      <c r="IUR168" s="3"/>
      <c r="IUS168" s="3"/>
      <c r="IUT168" s="3"/>
      <c r="IUU168" s="3"/>
      <c r="IUV168" s="3"/>
      <c r="IUW168" s="3"/>
      <c r="IUX168" s="3"/>
      <c r="IUY168" s="3"/>
      <c r="IUZ168" s="3"/>
      <c r="IVA168" s="3"/>
      <c r="IVB168" s="3"/>
      <c r="IVC168" s="3"/>
      <c r="IVD168" s="3"/>
      <c r="IVE168" s="3"/>
      <c r="IVF168" s="3"/>
      <c r="IVG168" s="3"/>
      <c r="IVH168" s="3"/>
      <c r="IVI168" s="3"/>
      <c r="IVJ168" s="3"/>
      <c r="IVK168" s="3"/>
      <c r="IVL168" s="3"/>
      <c r="IVM168" s="3"/>
      <c r="IVN168" s="3"/>
      <c r="IVO168" s="3"/>
      <c r="IVP168" s="3"/>
      <c r="IVQ168" s="3"/>
      <c r="IVR168" s="3"/>
      <c r="IVS168" s="3"/>
      <c r="IVT168" s="3"/>
      <c r="IVU168" s="3"/>
      <c r="IVV168" s="3"/>
      <c r="IVW168" s="3"/>
      <c r="IVX168" s="3"/>
      <c r="IVY168" s="3"/>
      <c r="IVZ168" s="3"/>
      <c r="IWA168" s="3"/>
      <c r="IWB168" s="3"/>
      <c r="IWC168" s="3"/>
      <c r="IWD168" s="3"/>
      <c r="IWE168" s="3"/>
      <c r="IWF168" s="3"/>
      <c r="IWG168" s="3"/>
      <c r="IWH168" s="3"/>
      <c r="IWI168" s="3"/>
      <c r="IWJ168" s="3"/>
      <c r="IWK168" s="3"/>
      <c r="IWL168" s="3"/>
      <c r="IWM168" s="3"/>
      <c r="IWN168" s="3"/>
      <c r="IWO168" s="3"/>
      <c r="IWP168" s="3"/>
      <c r="IWQ168" s="3"/>
      <c r="IWR168" s="3"/>
      <c r="IWS168" s="3"/>
      <c r="IWT168" s="3"/>
      <c r="IWU168" s="3"/>
      <c r="IWV168" s="3"/>
      <c r="IWW168" s="3"/>
      <c r="IWX168" s="3"/>
      <c r="IWY168" s="3"/>
      <c r="IWZ168" s="3"/>
      <c r="IXA168" s="3"/>
      <c r="IXB168" s="3"/>
      <c r="IXC168" s="3"/>
      <c r="IXD168" s="3"/>
      <c r="IXE168" s="3"/>
      <c r="IXF168" s="3"/>
      <c r="IXG168" s="3"/>
      <c r="IXH168" s="3"/>
      <c r="IXI168" s="3"/>
      <c r="IXJ168" s="3"/>
      <c r="IXK168" s="3"/>
      <c r="IXL168" s="3"/>
      <c r="IXM168" s="3"/>
      <c r="IXN168" s="3"/>
      <c r="IXO168" s="3"/>
      <c r="IXP168" s="3"/>
      <c r="IXQ168" s="3"/>
      <c r="IXR168" s="3"/>
      <c r="IXS168" s="3"/>
      <c r="IXT168" s="3"/>
      <c r="IXU168" s="3"/>
      <c r="IXV168" s="3"/>
      <c r="IXW168" s="3"/>
      <c r="IXX168" s="3"/>
      <c r="IXY168" s="3"/>
      <c r="IXZ168" s="3"/>
      <c r="IYA168" s="3"/>
      <c r="IYB168" s="3"/>
      <c r="IYC168" s="3"/>
      <c r="IYD168" s="3"/>
      <c r="IYE168" s="3"/>
      <c r="IYF168" s="3"/>
      <c r="IYG168" s="3"/>
      <c r="IYH168" s="3"/>
      <c r="IYI168" s="3"/>
      <c r="IYJ168" s="3"/>
      <c r="IYK168" s="3"/>
      <c r="IYL168" s="3"/>
      <c r="IYM168" s="3"/>
      <c r="IYN168" s="3"/>
      <c r="IYO168" s="3"/>
      <c r="IYP168" s="3"/>
      <c r="IYQ168" s="3"/>
      <c r="IYR168" s="3"/>
      <c r="IYS168" s="3"/>
      <c r="IYT168" s="3"/>
      <c r="IYU168" s="3"/>
      <c r="IYV168" s="3"/>
      <c r="IYW168" s="3"/>
      <c r="IYX168" s="3"/>
      <c r="IYY168" s="3"/>
      <c r="IYZ168" s="3"/>
      <c r="IZA168" s="3"/>
      <c r="IZB168" s="3"/>
      <c r="IZC168" s="3"/>
      <c r="IZD168" s="3"/>
      <c r="IZE168" s="3"/>
      <c r="IZF168" s="3"/>
      <c r="IZG168" s="3"/>
      <c r="IZH168" s="3"/>
      <c r="IZI168" s="3"/>
      <c r="IZJ168" s="3"/>
      <c r="IZK168" s="3"/>
      <c r="IZL168" s="3"/>
      <c r="IZM168" s="3"/>
      <c r="IZN168" s="3"/>
      <c r="IZO168" s="3"/>
      <c r="IZP168" s="3"/>
      <c r="IZQ168" s="3"/>
      <c r="IZR168" s="3"/>
      <c r="IZS168" s="3"/>
      <c r="IZT168" s="3"/>
      <c r="IZU168" s="3"/>
      <c r="IZV168" s="3"/>
      <c r="IZW168" s="3"/>
      <c r="IZX168" s="3"/>
      <c r="IZY168" s="3"/>
      <c r="IZZ168" s="3"/>
      <c r="JAA168" s="3"/>
      <c r="JAB168" s="3"/>
      <c r="JAC168" s="3"/>
      <c r="JAD168" s="3"/>
      <c r="JAE168" s="3"/>
      <c r="JAF168" s="3"/>
      <c r="JAG168" s="3"/>
      <c r="JAH168" s="3"/>
      <c r="JAI168" s="3"/>
      <c r="JAJ168" s="3"/>
      <c r="JAK168" s="3"/>
      <c r="JAL168" s="3"/>
      <c r="JAM168" s="3"/>
      <c r="JAN168" s="3"/>
      <c r="JAO168" s="3"/>
      <c r="JAP168" s="3"/>
      <c r="JAQ168" s="3"/>
      <c r="JAR168" s="3"/>
      <c r="JAS168" s="3"/>
      <c r="JAT168" s="3"/>
      <c r="JAU168" s="3"/>
      <c r="JAV168" s="3"/>
      <c r="JAW168" s="3"/>
      <c r="JAX168" s="3"/>
      <c r="JAY168" s="3"/>
      <c r="JAZ168" s="3"/>
      <c r="JBA168" s="3"/>
      <c r="JBB168" s="3"/>
      <c r="JBC168" s="3"/>
      <c r="JBD168" s="3"/>
      <c r="JBE168" s="3"/>
      <c r="JBF168" s="3"/>
      <c r="JBG168" s="3"/>
      <c r="JBH168" s="3"/>
      <c r="JBI168" s="3"/>
      <c r="JBJ168" s="3"/>
      <c r="JBK168" s="3"/>
      <c r="JBL168" s="3"/>
      <c r="JBM168" s="3"/>
      <c r="JBN168" s="3"/>
      <c r="JBO168" s="3"/>
      <c r="JBP168" s="3"/>
      <c r="JBQ168" s="3"/>
      <c r="JBR168" s="3"/>
      <c r="JBS168" s="3"/>
      <c r="JBT168" s="3"/>
      <c r="JBU168" s="3"/>
      <c r="JBV168" s="3"/>
      <c r="JBW168" s="3"/>
      <c r="JBX168" s="3"/>
      <c r="JBY168" s="3"/>
      <c r="JBZ168" s="3"/>
      <c r="JCA168" s="3"/>
      <c r="JCB168" s="3"/>
      <c r="JCC168" s="3"/>
      <c r="JCD168" s="3"/>
      <c r="JCE168" s="3"/>
      <c r="JCF168" s="3"/>
      <c r="JCG168" s="3"/>
      <c r="JCH168" s="3"/>
      <c r="JCI168" s="3"/>
      <c r="JCJ168" s="3"/>
      <c r="JCK168" s="3"/>
      <c r="JCL168" s="3"/>
      <c r="JCM168" s="3"/>
      <c r="JCN168" s="3"/>
      <c r="JCO168" s="3"/>
      <c r="JCP168" s="3"/>
      <c r="JCQ168" s="3"/>
      <c r="JCR168" s="3"/>
      <c r="JCS168" s="3"/>
      <c r="JCT168" s="3"/>
      <c r="JCU168" s="3"/>
      <c r="JCV168" s="3"/>
      <c r="JCW168" s="3"/>
      <c r="JCX168" s="3"/>
      <c r="JCY168" s="3"/>
      <c r="JCZ168" s="3"/>
      <c r="JDA168" s="3"/>
      <c r="JDB168" s="3"/>
      <c r="JDC168" s="3"/>
      <c r="JDD168" s="3"/>
      <c r="JDE168" s="3"/>
      <c r="JDF168" s="3"/>
      <c r="JDG168" s="3"/>
      <c r="JDH168" s="3"/>
      <c r="JDI168" s="3"/>
      <c r="JDJ168" s="3"/>
      <c r="JDK168" s="3"/>
      <c r="JDL168" s="3"/>
      <c r="JDM168" s="3"/>
      <c r="JDN168" s="3"/>
      <c r="JDO168" s="3"/>
      <c r="JDP168" s="3"/>
      <c r="JDQ168" s="3"/>
      <c r="JDR168" s="3"/>
      <c r="JDS168" s="3"/>
      <c r="JDT168" s="3"/>
      <c r="JDU168" s="3"/>
      <c r="JDV168" s="3"/>
      <c r="JDW168" s="3"/>
      <c r="JDX168" s="3"/>
      <c r="JDY168" s="3"/>
      <c r="JDZ168" s="3"/>
      <c r="JEA168" s="3"/>
      <c r="JEB168" s="3"/>
      <c r="JEC168" s="3"/>
      <c r="JED168" s="3"/>
      <c r="JEE168" s="3"/>
      <c r="JEF168" s="3"/>
      <c r="JEG168" s="3"/>
      <c r="JEH168" s="3"/>
      <c r="JEI168" s="3"/>
      <c r="JEJ168" s="3"/>
      <c r="JEK168" s="3"/>
      <c r="JEL168" s="3"/>
      <c r="JEM168" s="3"/>
      <c r="JEN168" s="3"/>
      <c r="JEO168" s="3"/>
      <c r="JEP168" s="3"/>
      <c r="JEQ168" s="3"/>
      <c r="JER168" s="3"/>
      <c r="JES168" s="3"/>
      <c r="JET168" s="3"/>
      <c r="JEU168" s="3"/>
      <c r="JEV168" s="3"/>
      <c r="JEW168" s="3"/>
      <c r="JEX168" s="3"/>
      <c r="JEY168" s="3"/>
      <c r="JEZ168" s="3"/>
      <c r="JFA168" s="3"/>
      <c r="JFB168" s="3"/>
      <c r="JFC168" s="3"/>
      <c r="JFD168" s="3"/>
      <c r="JFE168" s="3"/>
      <c r="JFF168" s="3"/>
      <c r="JFG168" s="3"/>
      <c r="JFH168" s="3"/>
      <c r="JFI168" s="3"/>
      <c r="JFJ168" s="3"/>
      <c r="JFK168" s="3"/>
      <c r="JFL168" s="3"/>
      <c r="JFM168" s="3"/>
      <c r="JFN168" s="3"/>
      <c r="JFO168" s="3"/>
      <c r="JFP168" s="3"/>
      <c r="JFQ168" s="3"/>
      <c r="JFR168" s="3"/>
      <c r="JFS168" s="3"/>
      <c r="JFT168" s="3"/>
      <c r="JFU168" s="3"/>
      <c r="JFV168" s="3"/>
      <c r="JFW168" s="3"/>
      <c r="JFX168" s="3"/>
      <c r="JFY168" s="3"/>
      <c r="JFZ168" s="3"/>
      <c r="JGA168" s="3"/>
      <c r="JGB168" s="3"/>
      <c r="JGC168" s="3"/>
      <c r="JGD168" s="3"/>
      <c r="JGE168" s="3"/>
      <c r="JGF168" s="3"/>
      <c r="JGG168" s="3"/>
      <c r="JGH168" s="3"/>
      <c r="JGI168" s="3"/>
      <c r="JGJ168" s="3"/>
      <c r="JGK168" s="3"/>
      <c r="JGL168" s="3"/>
      <c r="JGM168" s="3"/>
      <c r="JGN168" s="3"/>
      <c r="JGO168" s="3"/>
      <c r="JGP168" s="3"/>
      <c r="JGQ168" s="3"/>
      <c r="JGR168" s="3"/>
      <c r="JGS168" s="3"/>
      <c r="JGT168" s="3"/>
      <c r="JGU168" s="3"/>
      <c r="JGV168" s="3"/>
      <c r="JGW168" s="3"/>
      <c r="JGX168" s="3"/>
      <c r="JGY168" s="3"/>
      <c r="JGZ168" s="3"/>
      <c r="JHA168" s="3"/>
      <c r="JHB168" s="3"/>
      <c r="JHC168" s="3"/>
      <c r="JHD168" s="3"/>
      <c r="JHE168" s="3"/>
      <c r="JHF168" s="3"/>
      <c r="JHG168" s="3"/>
      <c r="JHH168" s="3"/>
      <c r="JHI168" s="3"/>
      <c r="JHJ168" s="3"/>
      <c r="JHK168" s="3"/>
      <c r="JHL168" s="3"/>
      <c r="JHM168" s="3"/>
      <c r="JHN168" s="3"/>
      <c r="JHO168" s="3"/>
      <c r="JHP168" s="3"/>
      <c r="JHQ168" s="3"/>
      <c r="JHR168" s="3"/>
      <c r="JHS168" s="3"/>
      <c r="JHT168" s="3"/>
      <c r="JHU168" s="3"/>
      <c r="JHV168" s="3"/>
      <c r="JHW168" s="3"/>
      <c r="JHX168" s="3"/>
      <c r="JHY168" s="3"/>
      <c r="JHZ168" s="3"/>
      <c r="JIA168" s="3"/>
      <c r="JIB168" s="3"/>
      <c r="JIC168" s="3"/>
      <c r="JID168" s="3"/>
      <c r="JIE168" s="3"/>
      <c r="JIF168" s="3"/>
      <c r="JIG168" s="3"/>
      <c r="JIH168" s="3"/>
      <c r="JII168" s="3"/>
      <c r="JIJ168" s="3"/>
      <c r="JIK168" s="3"/>
      <c r="JIL168" s="3"/>
      <c r="JIM168" s="3"/>
      <c r="JIN168" s="3"/>
      <c r="JIO168" s="3"/>
      <c r="JIP168" s="3"/>
      <c r="JIQ168" s="3"/>
      <c r="JIR168" s="3"/>
      <c r="JIS168" s="3"/>
      <c r="JIT168" s="3"/>
      <c r="JIU168" s="3"/>
      <c r="JIV168" s="3"/>
      <c r="JIW168" s="3"/>
      <c r="JIX168" s="3"/>
      <c r="JIY168" s="3"/>
      <c r="JIZ168" s="3"/>
      <c r="JJA168" s="3"/>
      <c r="JJB168" s="3"/>
      <c r="JJC168" s="3"/>
      <c r="JJD168" s="3"/>
      <c r="JJE168" s="3"/>
      <c r="JJF168" s="3"/>
      <c r="JJG168" s="3"/>
      <c r="JJH168" s="3"/>
      <c r="JJI168" s="3"/>
      <c r="JJJ168" s="3"/>
      <c r="JJK168" s="3"/>
      <c r="JJL168" s="3"/>
      <c r="JJM168" s="3"/>
      <c r="JJN168" s="3"/>
      <c r="JJO168" s="3"/>
      <c r="JJP168" s="3"/>
      <c r="JJQ168" s="3"/>
      <c r="JJR168" s="3"/>
      <c r="JJS168" s="3"/>
      <c r="JJT168" s="3"/>
      <c r="JJU168" s="3"/>
      <c r="JJV168" s="3"/>
      <c r="JJW168" s="3"/>
      <c r="JJX168" s="3"/>
      <c r="JJY168" s="3"/>
      <c r="JJZ168" s="3"/>
      <c r="JKA168" s="3"/>
      <c r="JKB168" s="3"/>
      <c r="JKC168" s="3"/>
      <c r="JKD168" s="3"/>
      <c r="JKE168" s="3"/>
      <c r="JKF168" s="3"/>
      <c r="JKG168" s="3"/>
      <c r="JKH168" s="3"/>
      <c r="JKI168" s="3"/>
      <c r="JKJ168" s="3"/>
      <c r="JKK168" s="3"/>
      <c r="JKL168" s="3"/>
      <c r="JKM168" s="3"/>
      <c r="JKN168" s="3"/>
      <c r="JKO168" s="3"/>
      <c r="JKP168" s="3"/>
      <c r="JKQ168" s="3"/>
      <c r="JKR168" s="3"/>
      <c r="JKS168" s="3"/>
      <c r="JKT168" s="3"/>
      <c r="JKU168" s="3"/>
      <c r="JKV168" s="3"/>
      <c r="JKW168" s="3"/>
      <c r="JKX168" s="3"/>
      <c r="JKY168" s="3"/>
      <c r="JKZ168" s="3"/>
      <c r="JLA168" s="3"/>
      <c r="JLB168" s="3"/>
      <c r="JLC168" s="3"/>
      <c r="JLD168" s="3"/>
      <c r="JLE168" s="3"/>
      <c r="JLF168" s="3"/>
      <c r="JLG168" s="3"/>
      <c r="JLH168" s="3"/>
      <c r="JLI168" s="3"/>
      <c r="JLJ168" s="3"/>
      <c r="JLK168" s="3"/>
      <c r="JLL168" s="3"/>
      <c r="JLM168" s="3"/>
      <c r="JLN168" s="3"/>
      <c r="JLO168" s="3"/>
      <c r="JLP168" s="3"/>
      <c r="JLQ168" s="3"/>
      <c r="JLR168" s="3"/>
      <c r="JLS168" s="3"/>
      <c r="JLT168" s="3"/>
      <c r="JLU168" s="3"/>
      <c r="JLV168" s="3"/>
      <c r="JLW168" s="3"/>
      <c r="JLX168" s="3"/>
      <c r="JLY168" s="3"/>
      <c r="JLZ168" s="3"/>
      <c r="JMA168" s="3"/>
      <c r="JMB168" s="3"/>
      <c r="JMC168" s="3"/>
      <c r="JMD168" s="3"/>
      <c r="JME168" s="3"/>
      <c r="JMF168" s="3"/>
      <c r="JMG168" s="3"/>
      <c r="JMH168" s="3"/>
      <c r="JMI168" s="3"/>
      <c r="JMJ168" s="3"/>
      <c r="JMK168" s="3"/>
      <c r="JML168" s="3"/>
      <c r="JMM168" s="3"/>
      <c r="JMN168" s="3"/>
      <c r="JMO168" s="3"/>
      <c r="JMP168" s="3"/>
      <c r="JMQ168" s="3"/>
      <c r="JMR168" s="3"/>
      <c r="JMS168" s="3"/>
      <c r="JMT168" s="3"/>
      <c r="JMU168" s="3"/>
      <c r="JMV168" s="3"/>
      <c r="JMW168" s="3"/>
      <c r="JMX168" s="3"/>
      <c r="JMY168" s="3"/>
      <c r="JMZ168" s="3"/>
      <c r="JNA168" s="3"/>
      <c r="JNB168" s="3"/>
      <c r="JNC168" s="3"/>
      <c r="JND168" s="3"/>
      <c r="JNE168" s="3"/>
      <c r="JNF168" s="3"/>
      <c r="JNG168" s="3"/>
      <c r="JNH168" s="3"/>
      <c r="JNI168" s="3"/>
      <c r="JNJ168" s="3"/>
      <c r="JNK168" s="3"/>
      <c r="JNL168" s="3"/>
      <c r="JNM168" s="3"/>
      <c r="JNN168" s="3"/>
      <c r="JNO168" s="3"/>
      <c r="JNP168" s="3"/>
      <c r="JNQ168" s="3"/>
      <c r="JNR168" s="3"/>
      <c r="JNS168" s="3"/>
      <c r="JNT168" s="3"/>
      <c r="JNU168" s="3"/>
      <c r="JNV168" s="3"/>
      <c r="JNW168" s="3"/>
      <c r="JNX168" s="3"/>
      <c r="JNY168" s="3"/>
      <c r="JNZ168" s="3"/>
      <c r="JOA168" s="3"/>
      <c r="JOB168" s="3"/>
      <c r="JOC168" s="3"/>
      <c r="JOD168" s="3"/>
      <c r="JOE168" s="3"/>
      <c r="JOF168" s="3"/>
      <c r="JOG168" s="3"/>
      <c r="JOH168" s="3"/>
      <c r="JOI168" s="3"/>
      <c r="JOJ168" s="3"/>
      <c r="JOK168" s="3"/>
      <c r="JOL168" s="3"/>
      <c r="JOM168" s="3"/>
      <c r="JON168" s="3"/>
      <c r="JOO168" s="3"/>
      <c r="JOP168" s="3"/>
      <c r="JOQ168" s="3"/>
      <c r="JOR168" s="3"/>
      <c r="JOS168" s="3"/>
      <c r="JOT168" s="3"/>
      <c r="JOU168" s="3"/>
      <c r="JOV168" s="3"/>
      <c r="JOW168" s="3"/>
      <c r="JOX168" s="3"/>
      <c r="JOY168" s="3"/>
      <c r="JOZ168" s="3"/>
      <c r="JPA168" s="3"/>
      <c r="JPB168" s="3"/>
      <c r="JPC168" s="3"/>
      <c r="JPD168" s="3"/>
      <c r="JPE168" s="3"/>
      <c r="JPF168" s="3"/>
      <c r="JPG168" s="3"/>
      <c r="JPH168" s="3"/>
      <c r="JPI168" s="3"/>
      <c r="JPJ168" s="3"/>
      <c r="JPK168" s="3"/>
      <c r="JPL168" s="3"/>
      <c r="JPM168" s="3"/>
      <c r="JPN168" s="3"/>
      <c r="JPO168" s="3"/>
      <c r="JPP168" s="3"/>
      <c r="JPQ168" s="3"/>
      <c r="JPR168" s="3"/>
      <c r="JPS168" s="3"/>
      <c r="JPT168" s="3"/>
      <c r="JPU168" s="3"/>
      <c r="JPV168" s="3"/>
      <c r="JPW168" s="3"/>
      <c r="JPX168" s="3"/>
      <c r="JPY168" s="3"/>
      <c r="JPZ168" s="3"/>
      <c r="JQA168" s="3"/>
      <c r="JQB168" s="3"/>
      <c r="JQC168" s="3"/>
      <c r="JQD168" s="3"/>
      <c r="JQE168" s="3"/>
      <c r="JQF168" s="3"/>
      <c r="JQG168" s="3"/>
      <c r="JQH168" s="3"/>
      <c r="JQI168" s="3"/>
      <c r="JQJ168" s="3"/>
      <c r="JQK168" s="3"/>
      <c r="JQL168" s="3"/>
      <c r="JQM168" s="3"/>
      <c r="JQN168" s="3"/>
      <c r="JQO168" s="3"/>
      <c r="JQP168" s="3"/>
      <c r="JQQ168" s="3"/>
      <c r="JQR168" s="3"/>
      <c r="JQS168" s="3"/>
      <c r="JQT168" s="3"/>
      <c r="JQU168" s="3"/>
      <c r="JQV168" s="3"/>
      <c r="JQW168" s="3"/>
      <c r="JQX168" s="3"/>
      <c r="JQY168" s="3"/>
      <c r="JQZ168" s="3"/>
      <c r="JRA168" s="3"/>
      <c r="JRB168" s="3"/>
      <c r="JRC168" s="3"/>
      <c r="JRD168" s="3"/>
      <c r="JRE168" s="3"/>
      <c r="JRF168" s="3"/>
      <c r="JRG168" s="3"/>
      <c r="JRH168" s="3"/>
      <c r="JRI168" s="3"/>
      <c r="JRJ168" s="3"/>
      <c r="JRK168" s="3"/>
      <c r="JRL168" s="3"/>
      <c r="JRM168" s="3"/>
      <c r="JRN168" s="3"/>
      <c r="JRO168" s="3"/>
      <c r="JRP168" s="3"/>
      <c r="JRQ168" s="3"/>
      <c r="JRR168" s="3"/>
      <c r="JRS168" s="3"/>
      <c r="JRT168" s="3"/>
      <c r="JRU168" s="3"/>
      <c r="JRV168" s="3"/>
      <c r="JRW168" s="3"/>
      <c r="JRX168" s="3"/>
      <c r="JRY168" s="3"/>
      <c r="JRZ168" s="3"/>
      <c r="JSA168" s="3"/>
      <c r="JSB168" s="3"/>
      <c r="JSC168" s="3"/>
      <c r="JSD168" s="3"/>
      <c r="JSE168" s="3"/>
      <c r="JSF168" s="3"/>
      <c r="JSG168" s="3"/>
      <c r="JSH168" s="3"/>
      <c r="JSI168" s="3"/>
      <c r="JSJ168" s="3"/>
      <c r="JSK168" s="3"/>
      <c r="JSL168" s="3"/>
      <c r="JSM168" s="3"/>
      <c r="JSN168" s="3"/>
      <c r="JSO168" s="3"/>
      <c r="JSP168" s="3"/>
      <c r="JSQ168" s="3"/>
      <c r="JSR168" s="3"/>
      <c r="JSS168" s="3"/>
      <c r="JST168" s="3"/>
      <c r="JSU168" s="3"/>
      <c r="JSV168" s="3"/>
      <c r="JSW168" s="3"/>
      <c r="JSX168" s="3"/>
      <c r="JSY168" s="3"/>
      <c r="JSZ168" s="3"/>
      <c r="JTA168" s="3"/>
      <c r="JTB168" s="3"/>
      <c r="JTC168" s="3"/>
      <c r="JTD168" s="3"/>
      <c r="JTE168" s="3"/>
      <c r="JTF168" s="3"/>
      <c r="JTG168" s="3"/>
      <c r="JTH168" s="3"/>
      <c r="JTI168" s="3"/>
      <c r="JTJ168" s="3"/>
      <c r="JTK168" s="3"/>
      <c r="JTL168" s="3"/>
      <c r="JTM168" s="3"/>
      <c r="JTN168" s="3"/>
      <c r="JTO168" s="3"/>
      <c r="JTP168" s="3"/>
      <c r="JTQ168" s="3"/>
      <c r="JTR168" s="3"/>
      <c r="JTS168" s="3"/>
      <c r="JTT168" s="3"/>
      <c r="JTU168" s="3"/>
      <c r="JTV168" s="3"/>
      <c r="JTW168" s="3"/>
      <c r="JTX168" s="3"/>
      <c r="JTY168" s="3"/>
      <c r="JTZ168" s="3"/>
      <c r="JUA168" s="3"/>
      <c r="JUB168" s="3"/>
      <c r="JUC168" s="3"/>
      <c r="JUD168" s="3"/>
      <c r="JUE168" s="3"/>
      <c r="JUF168" s="3"/>
      <c r="JUG168" s="3"/>
      <c r="JUH168" s="3"/>
      <c r="JUI168" s="3"/>
      <c r="JUJ168" s="3"/>
      <c r="JUK168" s="3"/>
      <c r="JUL168" s="3"/>
      <c r="JUM168" s="3"/>
      <c r="JUN168" s="3"/>
      <c r="JUO168" s="3"/>
      <c r="JUP168" s="3"/>
      <c r="JUQ168" s="3"/>
      <c r="JUR168" s="3"/>
      <c r="JUS168" s="3"/>
      <c r="JUT168" s="3"/>
      <c r="JUU168" s="3"/>
      <c r="JUV168" s="3"/>
      <c r="JUW168" s="3"/>
      <c r="JUX168" s="3"/>
      <c r="JUY168" s="3"/>
      <c r="JUZ168" s="3"/>
      <c r="JVA168" s="3"/>
      <c r="JVB168" s="3"/>
      <c r="JVC168" s="3"/>
      <c r="JVD168" s="3"/>
      <c r="JVE168" s="3"/>
      <c r="JVF168" s="3"/>
      <c r="JVG168" s="3"/>
      <c r="JVH168" s="3"/>
      <c r="JVI168" s="3"/>
      <c r="JVJ168" s="3"/>
      <c r="JVK168" s="3"/>
      <c r="JVL168" s="3"/>
      <c r="JVM168" s="3"/>
      <c r="JVN168" s="3"/>
      <c r="JVO168" s="3"/>
      <c r="JVP168" s="3"/>
      <c r="JVQ168" s="3"/>
      <c r="JVR168" s="3"/>
      <c r="JVS168" s="3"/>
      <c r="JVT168" s="3"/>
      <c r="JVU168" s="3"/>
      <c r="JVV168" s="3"/>
      <c r="JVW168" s="3"/>
      <c r="JVX168" s="3"/>
      <c r="JVY168" s="3"/>
      <c r="JVZ168" s="3"/>
      <c r="JWA168" s="3"/>
      <c r="JWB168" s="3"/>
      <c r="JWC168" s="3"/>
      <c r="JWD168" s="3"/>
      <c r="JWE168" s="3"/>
      <c r="JWF168" s="3"/>
      <c r="JWG168" s="3"/>
      <c r="JWH168" s="3"/>
      <c r="JWI168" s="3"/>
      <c r="JWJ168" s="3"/>
      <c r="JWK168" s="3"/>
      <c r="JWL168" s="3"/>
      <c r="JWM168" s="3"/>
      <c r="JWN168" s="3"/>
      <c r="JWO168" s="3"/>
      <c r="JWP168" s="3"/>
      <c r="JWQ168" s="3"/>
      <c r="JWR168" s="3"/>
      <c r="JWS168" s="3"/>
      <c r="JWT168" s="3"/>
      <c r="JWU168" s="3"/>
      <c r="JWV168" s="3"/>
      <c r="JWW168" s="3"/>
      <c r="JWX168" s="3"/>
      <c r="JWY168" s="3"/>
      <c r="JWZ168" s="3"/>
      <c r="JXA168" s="3"/>
      <c r="JXB168" s="3"/>
      <c r="JXC168" s="3"/>
      <c r="JXD168" s="3"/>
      <c r="JXE168" s="3"/>
      <c r="JXF168" s="3"/>
      <c r="JXG168" s="3"/>
      <c r="JXH168" s="3"/>
      <c r="JXI168" s="3"/>
      <c r="JXJ168" s="3"/>
      <c r="JXK168" s="3"/>
      <c r="JXL168" s="3"/>
      <c r="JXM168" s="3"/>
      <c r="JXN168" s="3"/>
      <c r="JXO168" s="3"/>
      <c r="JXP168" s="3"/>
      <c r="JXQ168" s="3"/>
      <c r="JXR168" s="3"/>
      <c r="JXS168" s="3"/>
      <c r="JXT168" s="3"/>
      <c r="JXU168" s="3"/>
      <c r="JXV168" s="3"/>
      <c r="JXW168" s="3"/>
      <c r="JXX168" s="3"/>
      <c r="JXY168" s="3"/>
      <c r="JXZ168" s="3"/>
      <c r="JYA168" s="3"/>
      <c r="JYB168" s="3"/>
      <c r="JYC168" s="3"/>
      <c r="JYD168" s="3"/>
      <c r="JYE168" s="3"/>
      <c r="JYF168" s="3"/>
      <c r="JYG168" s="3"/>
      <c r="JYH168" s="3"/>
      <c r="JYI168" s="3"/>
      <c r="JYJ168" s="3"/>
      <c r="JYK168" s="3"/>
      <c r="JYL168" s="3"/>
      <c r="JYM168" s="3"/>
      <c r="JYN168" s="3"/>
      <c r="JYO168" s="3"/>
      <c r="JYP168" s="3"/>
      <c r="JYQ168" s="3"/>
      <c r="JYR168" s="3"/>
      <c r="JYS168" s="3"/>
      <c r="JYT168" s="3"/>
      <c r="JYU168" s="3"/>
      <c r="JYV168" s="3"/>
      <c r="JYW168" s="3"/>
      <c r="JYX168" s="3"/>
      <c r="JYY168" s="3"/>
      <c r="JYZ168" s="3"/>
      <c r="JZA168" s="3"/>
      <c r="JZB168" s="3"/>
      <c r="JZC168" s="3"/>
      <c r="JZD168" s="3"/>
      <c r="JZE168" s="3"/>
      <c r="JZF168" s="3"/>
      <c r="JZG168" s="3"/>
      <c r="JZH168" s="3"/>
      <c r="JZI168" s="3"/>
      <c r="JZJ168" s="3"/>
      <c r="JZK168" s="3"/>
      <c r="JZL168" s="3"/>
      <c r="JZM168" s="3"/>
      <c r="JZN168" s="3"/>
      <c r="JZO168" s="3"/>
      <c r="JZP168" s="3"/>
      <c r="JZQ168" s="3"/>
      <c r="JZR168" s="3"/>
      <c r="JZS168" s="3"/>
      <c r="JZT168" s="3"/>
      <c r="JZU168" s="3"/>
      <c r="JZV168" s="3"/>
      <c r="JZW168" s="3"/>
      <c r="JZX168" s="3"/>
      <c r="JZY168" s="3"/>
      <c r="JZZ168" s="3"/>
      <c r="KAA168" s="3"/>
      <c r="KAB168" s="3"/>
      <c r="KAC168" s="3"/>
      <c r="KAD168" s="3"/>
      <c r="KAE168" s="3"/>
      <c r="KAF168" s="3"/>
      <c r="KAG168" s="3"/>
      <c r="KAH168" s="3"/>
      <c r="KAI168" s="3"/>
      <c r="KAJ168" s="3"/>
      <c r="KAK168" s="3"/>
      <c r="KAL168" s="3"/>
      <c r="KAM168" s="3"/>
      <c r="KAN168" s="3"/>
      <c r="KAO168" s="3"/>
      <c r="KAP168" s="3"/>
      <c r="KAQ168" s="3"/>
      <c r="KAR168" s="3"/>
      <c r="KAS168" s="3"/>
      <c r="KAT168" s="3"/>
      <c r="KAU168" s="3"/>
      <c r="KAV168" s="3"/>
      <c r="KAW168" s="3"/>
      <c r="KAX168" s="3"/>
      <c r="KAY168" s="3"/>
      <c r="KAZ168" s="3"/>
      <c r="KBA168" s="3"/>
      <c r="KBB168" s="3"/>
      <c r="KBC168" s="3"/>
      <c r="KBD168" s="3"/>
      <c r="KBE168" s="3"/>
      <c r="KBF168" s="3"/>
      <c r="KBG168" s="3"/>
      <c r="KBH168" s="3"/>
      <c r="KBI168" s="3"/>
      <c r="KBJ168" s="3"/>
      <c r="KBK168" s="3"/>
      <c r="KBL168" s="3"/>
      <c r="KBM168" s="3"/>
      <c r="KBN168" s="3"/>
      <c r="KBO168" s="3"/>
      <c r="KBP168" s="3"/>
      <c r="KBQ168" s="3"/>
      <c r="KBR168" s="3"/>
      <c r="KBS168" s="3"/>
      <c r="KBT168" s="3"/>
      <c r="KBU168" s="3"/>
      <c r="KBV168" s="3"/>
      <c r="KBW168" s="3"/>
      <c r="KBX168" s="3"/>
      <c r="KBY168" s="3"/>
      <c r="KBZ168" s="3"/>
      <c r="KCA168" s="3"/>
      <c r="KCB168" s="3"/>
      <c r="KCC168" s="3"/>
      <c r="KCD168" s="3"/>
      <c r="KCE168" s="3"/>
      <c r="KCF168" s="3"/>
      <c r="KCG168" s="3"/>
      <c r="KCH168" s="3"/>
      <c r="KCI168" s="3"/>
      <c r="KCJ168" s="3"/>
      <c r="KCK168" s="3"/>
      <c r="KCL168" s="3"/>
      <c r="KCM168" s="3"/>
      <c r="KCN168" s="3"/>
      <c r="KCO168" s="3"/>
      <c r="KCP168" s="3"/>
      <c r="KCQ168" s="3"/>
      <c r="KCR168" s="3"/>
      <c r="KCS168" s="3"/>
      <c r="KCT168" s="3"/>
      <c r="KCU168" s="3"/>
      <c r="KCV168" s="3"/>
      <c r="KCW168" s="3"/>
      <c r="KCX168" s="3"/>
      <c r="KCY168" s="3"/>
      <c r="KCZ168" s="3"/>
      <c r="KDA168" s="3"/>
      <c r="KDB168" s="3"/>
      <c r="KDC168" s="3"/>
      <c r="KDD168" s="3"/>
      <c r="KDE168" s="3"/>
      <c r="KDF168" s="3"/>
      <c r="KDG168" s="3"/>
      <c r="KDH168" s="3"/>
      <c r="KDI168" s="3"/>
      <c r="KDJ168" s="3"/>
      <c r="KDK168" s="3"/>
      <c r="KDL168" s="3"/>
      <c r="KDM168" s="3"/>
      <c r="KDN168" s="3"/>
      <c r="KDO168" s="3"/>
      <c r="KDP168" s="3"/>
      <c r="KDQ168" s="3"/>
      <c r="KDR168" s="3"/>
      <c r="KDS168" s="3"/>
      <c r="KDT168" s="3"/>
      <c r="KDU168" s="3"/>
      <c r="KDV168" s="3"/>
      <c r="KDW168" s="3"/>
      <c r="KDX168" s="3"/>
      <c r="KDY168" s="3"/>
      <c r="KDZ168" s="3"/>
      <c r="KEA168" s="3"/>
      <c r="KEB168" s="3"/>
      <c r="KEC168" s="3"/>
      <c r="KED168" s="3"/>
      <c r="KEE168" s="3"/>
      <c r="KEF168" s="3"/>
      <c r="KEG168" s="3"/>
      <c r="KEH168" s="3"/>
      <c r="KEI168" s="3"/>
      <c r="KEJ168" s="3"/>
      <c r="KEK168" s="3"/>
      <c r="KEL168" s="3"/>
      <c r="KEM168" s="3"/>
      <c r="KEN168" s="3"/>
      <c r="KEO168" s="3"/>
      <c r="KEP168" s="3"/>
      <c r="KEQ168" s="3"/>
      <c r="KER168" s="3"/>
      <c r="KES168" s="3"/>
      <c r="KET168" s="3"/>
      <c r="KEU168" s="3"/>
      <c r="KEV168" s="3"/>
      <c r="KEW168" s="3"/>
      <c r="KEX168" s="3"/>
      <c r="KEY168" s="3"/>
      <c r="KEZ168" s="3"/>
      <c r="KFA168" s="3"/>
      <c r="KFB168" s="3"/>
      <c r="KFC168" s="3"/>
      <c r="KFD168" s="3"/>
      <c r="KFE168" s="3"/>
      <c r="KFF168" s="3"/>
      <c r="KFG168" s="3"/>
      <c r="KFH168" s="3"/>
      <c r="KFI168" s="3"/>
      <c r="KFJ168" s="3"/>
      <c r="KFK168" s="3"/>
      <c r="KFL168" s="3"/>
      <c r="KFM168" s="3"/>
      <c r="KFN168" s="3"/>
      <c r="KFO168" s="3"/>
      <c r="KFP168" s="3"/>
      <c r="KFQ168" s="3"/>
      <c r="KFR168" s="3"/>
      <c r="KFS168" s="3"/>
      <c r="KFT168" s="3"/>
      <c r="KFU168" s="3"/>
      <c r="KFV168" s="3"/>
      <c r="KFW168" s="3"/>
      <c r="KFX168" s="3"/>
      <c r="KFY168" s="3"/>
      <c r="KFZ168" s="3"/>
      <c r="KGA168" s="3"/>
      <c r="KGB168" s="3"/>
      <c r="KGC168" s="3"/>
      <c r="KGD168" s="3"/>
      <c r="KGE168" s="3"/>
      <c r="KGF168" s="3"/>
      <c r="KGG168" s="3"/>
      <c r="KGH168" s="3"/>
      <c r="KGI168" s="3"/>
      <c r="KGJ168" s="3"/>
      <c r="KGK168" s="3"/>
      <c r="KGL168" s="3"/>
      <c r="KGM168" s="3"/>
      <c r="KGN168" s="3"/>
      <c r="KGO168" s="3"/>
      <c r="KGP168" s="3"/>
      <c r="KGQ168" s="3"/>
      <c r="KGR168" s="3"/>
      <c r="KGS168" s="3"/>
      <c r="KGT168" s="3"/>
      <c r="KGU168" s="3"/>
      <c r="KGV168" s="3"/>
      <c r="KGW168" s="3"/>
      <c r="KGX168" s="3"/>
      <c r="KGY168" s="3"/>
      <c r="KGZ168" s="3"/>
      <c r="KHA168" s="3"/>
      <c r="KHB168" s="3"/>
      <c r="KHC168" s="3"/>
      <c r="KHD168" s="3"/>
      <c r="KHE168" s="3"/>
      <c r="KHF168" s="3"/>
      <c r="KHG168" s="3"/>
      <c r="KHH168" s="3"/>
      <c r="KHI168" s="3"/>
      <c r="KHJ168" s="3"/>
      <c r="KHK168" s="3"/>
      <c r="KHL168" s="3"/>
      <c r="KHM168" s="3"/>
      <c r="KHN168" s="3"/>
      <c r="KHO168" s="3"/>
      <c r="KHP168" s="3"/>
      <c r="KHQ168" s="3"/>
      <c r="KHR168" s="3"/>
      <c r="KHS168" s="3"/>
      <c r="KHT168" s="3"/>
      <c r="KHU168" s="3"/>
      <c r="KHV168" s="3"/>
      <c r="KHW168" s="3"/>
      <c r="KHX168" s="3"/>
      <c r="KHY168" s="3"/>
      <c r="KHZ168" s="3"/>
      <c r="KIA168" s="3"/>
      <c r="KIB168" s="3"/>
      <c r="KIC168" s="3"/>
      <c r="KID168" s="3"/>
      <c r="KIE168" s="3"/>
      <c r="KIF168" s="3"/>
      <c r="KIG168" s="3"/>
      <c r="KIH168" s="3"/>
      <c r="KII168" s="3"/>
      <c r="KIJ168" s="3"/>
      <c r="KIK168" s="3"/>
      <c r="KIL168" s="3"/>
      <c r="KIM168" s="3"/>
      <c r="KIN168" s="3"/>
      <c r="KIO168" s="3"/>
      <c r="KIP168" s="3"/>
      <c r="KIQ168" s="3"/>
      <c r="KIR168" s="3"/>
      <c r="KIS168" s="3"/>
      <c r="KIT168" s="3"/>
      <c r="KIU168" s="3"/>
      <c r="KIV168" s="3"/>
      <c r="KIW168" s="3"/>
      <c r="KIX168" s="3"/>
      <c r="KIY168" s="3"/>
      <c r="KIZ168" s="3"/>
      <c r="KJA168" s="3"/>
      <c r="KJB168" s="3"/>
      <c r="KJC168" s="3"/>
      <c r="KJD168" s="3"/>
      <c r="KJE168" s="3"/>
      <c r="KJF168" s="3"/>
      <c r="KJG168" s="3"/>
      <c r="KJH168" s="3"/>
      <c r="KJI168" s="3"/>
      <c r="KJJ168" s="3"/>
      <c r="KJK168" s="3"/>
      <c r="KJL168" s="3"/>
      <c r="KJM168" s="3"/>
      <c r="KJN168" s="3"/>
      <c r="KJO168" s="3"/>
      <c r="KJP168" s="3"/>
      <c r="KJQ168" s="3"/>
      <c r="KJR168" s="3"/>
      <c r="KJS168" s="3"/>
      <c r="KJT168" s="3"/>
      <c r="KJU168" s="3"/>
      <c r="KJV168" s="3"/>
      <c r="KJW168" s="3"/>
      <c r="KJX168" s="3"/>
      <c r="KJY168" s="3"/>
      <c r="KJZ168" s="3"/>
      <c r="KKA168" s="3"/>
      <c r="KKB168" s="3"/>
      <c r="KKC168" s="3"/>
      <c r="KKD168" s="3"/>
      <c r="KKE168" s="3"/>
      <c r="KKF168" s="3"/>
      <c r="KKG168" s="3"/>
      <c r="KKH168" s="3"/>
      <c r="KKI168" s="3"/>
      <c r="KKJ168" s="3"/>
      <c r="KKK168" s="3"/>
      <c r="KKL168" s="3"/>
      <c r="KKM168" s="3"/>
      <c r="KKN168" s="3"/>
      <c r="KKO168" s="3"/>
      <c r="KKP168" s="3"/>
      <c r="KKQ168" s="3"/>
      <c r="KKR168" s="3"/>
      <c r="KKS168" s="3"/>
      <c r="KKT168" s="3"/>
      <c r="KKU168" s="3"/>
      <c r="KKV168" s="3"/>
      <c r="KKW168" s="3"/>
      <c r="KKX168" s="3"/>
      <c r="KKY168" s="3"/>
      <c r="KKZ168" s="3"/>
      <c r="KLA168" s="3"/>
      <c r="KLB168" s="3"/>
      <c r="KLC168" s="3"/>
      <c r="KLD168" s="3"/>
      <c r="KLE168" s="3"/>
      <c r="KLF168" s="3"/>
      <c r="KLG168" s="3"/>
      <c r="KLH168" s="3"/>
      <c r="KLI168" s="3"/>
      <c r="KLJ168" s="3"/>
      <c r="KLK168" s="3"/>
      <c r="KLL168" s="3"/>
      <c r="KLM168" s="3"/>
      <c r="KLN168" s="3"/>
      <c r="KLO168" s="3"/>
      <c r="KLP168" s="3"/>
      <c r="KLQ168" s="3"/>
      <c r="KLR168" s="3"/>
      <c r="KLS168" s="3"/>
      <c r="KLT168" s="3"/>
      <c r="KLU168" s="3"/>
      <c r="KLV168" s="3"/>
      <c r="KLW168" s="3"/>
      <c r="KLX168" s="3"/>
      <c r="KLY168" s="3"/>
      <c r="KLZ168" s="3"/>
      <c r="KMA168" s="3"/>
      <c r="KMB168" s="3"/>
      <c r="KMC168" s="3"/>
      <c r="KMD168" s="3"/>
      <c r="KME168" s="3"/>
      <c r="KMF168" s="3"/>
      <c r="KMG168" s="3"/>
      <c r="KMH168" s="3"/>
      <c r="KMI168" s="3"/>
      <c r="KMJ168" s="3"/>
      <c r="KMK168" s="3"/>
      <c r="KML168" s="3"/>
      <c r="KMM168" s="3"/>
      <c r="KMN168" s="3"/>
      <c r="KMO168" s="3"/>
      <c r="KMP168" s="3"/>
      <c r="KMQ168" s="3"/>
      <c r="KMR168" s="3"/>
      <c r="KMS168" s="3"/>
      <c r="KMT168" s="3"/>
      <c r="KMU168" s="3"/>
      <c r="KMV168" s="3"/>
      <c r="KMW168" s="3"/>
      <c r="KMX168" s="3"/>
      <c r="KMY168" s="3"/>
      <c r="KMZ168" s="3"/>
      <c r="KNA168" s="3"/>
      <c r="KNB168" s="3"/>
      <c r="KNC168" s="3"/>
      <c r="KND168" s="3"/>
      <c r="KNE168" s="3"/>
      <c r="KNF168" s="3"/>
      <c r="KNG168" s="3"/>
      <c r="KNH168" s="3"/>
      <c r="KNI168" s="3"/>
      <c r="KNJ168" s="3"/>
      <c r="KNK168" s="3"/>
      <c r="KNL168" s="3"/>
      <c r="KNM168" s="3"/>
      <c r="KNN168" s="3"/>
      <c r="KNO168" s="3"/>
      <c r="KNP168" s="3"/>
      <c r="KNQ168" s="3"/>
      <c r="KNR168" s="3"/>
      <c r="KNS168" s="3"/>
      <c r="KNT168" s="3"/>
      <c r="KNU168" s="3"/>
      <c r="KNV168" s="3"/>
      <c r="KNW168" s="3"/>
      <c r="KNX168" s="3"/>
      <c r="KNY168" s="3"/>
      <c r="KNZ168" s="3"/>
      <c r="KOA168" s="3"/>
      <c r="KOB168" s="3"/>
      <c r="KOC168" s="3"/>
      <c r="KOD168" s="3"/>
      <c r="KOE168" s="3"/>
      <c r="KOF168" s="3"/>
      <c r="KOG168" s="3"/>
      <c r="KOH168" s="3"/>
      <c r="KOI168" s="3"/>
      <c r="KOJ168" s="3"/>
      <c r="KOK168" s="3"/>
      <c r="KOL168" s="3"/>
      <c r="KOM168" s="3"/>
      <c r="KON168" s="3"/>
      <c r="KOO168" s="3"/>
      <c r="KOP168" s="3"/>
      <c r="KOQ168" s="3"/>
      <c r="KOR168" s="3"/>
      <c r="KOS168" s="3"/>
      <c r="KOT168" s="3"/>
      <c r="KOU168" s="3"/>
      <c r="KOV168" s="3"/>
      <c r="KOW168" s="3"/>
      <c r="KOX168" s="3"/>
      <c r="KOY168" s="3"/>
      <c r="KOZ168" s="3"/>
      <c r="KPA168" s="3"/>
      <c r="KPB168" s="3"/>
      <c r="KPC168" s="3"/>
      <c r="KPD168" s="3"/>
      <c r="KPE168" s="3"/>
      <c r="KPF168" s="3"/>
      <c r="KPG168" s="3"/>
      <c r="KPH168" s="3"/>
      <c r="KPI168" s="3"/>
      <c r="KPJ168" s="3"/>
      <c r="KPK168" s="3"/>
      <c r="KPL168" s="3"/>
      <c r="KPM168" s="3"/>
      <c r="KPN168" s="3"/>
      <c r="KPO168" s="3"/>
      <c r="KPP168" s="3"/>
      <c r="KPQ168" s="3"/>
      <c r="KPR168" s="3"/>
      <c r="KPS168" s="3"/>
      <c r="KPT168" s="3"/>
      <c r="KPU168" s="3"/>
      <c r="KPV168" s="3"/>
      <c r="KPW168" s="3"/>
      <c r="KPX168" s="3"/>
      <c r="KPY168" s="3"/>
      <c r="KPZ168" s="3"/>
      <c r="KQA168" s="3"/>
      <c r="KQB168" s="3"/>
      <c r="KQC168" s="3"/>
      <c r="KQD168" s="3"/>
      <c r="KQE168" s="3"/>
      <c r="KQF168" s="3"/>
      <c r="KQG168" s="3"/>
      <c r="KQH168" s="3"/>
      <c r="KQI168" s="3"/>
      <c r="KQJ168" s="3"/>
      <c r="KQK168" s="3"/>
      <c r="KQL168" s="3"/>
      <c r="KQM168" s="3"/>
      <c r="KQN168" s="3"/>
      <c r="KQO168" s="3"/>
      <c r="KQP168" s="3"/>
      <c r="KQQ168" s="3"/>
      <c r="KQR168" s="3"/>
      <c r="KQS168" s="3"/>
      <c r="KQT168" s="3"/>
      <c r="KQU168" s="3"/>
      <c r="KQV168" s="3"/>
      <c r="KQW168" s="3"/>
      <c r="KQX168" s="3"/>
      <c r="KQY168" s="3"/>
      <c r="KQZ168" s="3"/>
      <c r="KRA168" s="3"/>
      <c r="KRB168" s="3"/>
      <c r="KRC168" s="3"/>
      <c r="KRD168" s="3"/>
      <c r="KRE168" s="3"/>
      <c r="KRF168" s="3"/>
      <c r="KRG168" s="3"/>
      <c r="KRH168" s="3"/>
      <c r="KRI168" s="3"/>
      <c r="KRJ168" s="3"/>
      <c r="KRK168" s="3"/>
      <c r="KRL168" s="3"/>
      <c r="KRM168" s="3"/>
      <c r="KRN168" s="3"/>
      <c r="KRO168" s="3"/>
      <c r="KRP168" s="3"/>
      <c r="KRQ168" s="3"/>
      <c r="KRR168" s="3"/>
      <c r="KRS168" s="3"/>
      <c r="KRT168" s="3"/>
      <c r="KRU168" s="3"/>
      <c r="KRV168" s="3"/>
      <c r="KRW168" s="3"/>
      <c r="KRX168" s="3"/>
      <c r="KRY168" s="3"/>
      <c r="KRZ168" s="3"/>
      <c r="KSA168" s="3"/>
      <c r="KSB168" s="3"/>
      <c r="KSC168" s="3"/>
      <c r="KSD168" s="3"/>
      <c r="KSE168" s="3"/>
      <c r="KSF168" s="3"/>
      <c r="KSG168" s="3"/>
      <c r="KSH168" s="3"/>
      <c r="KSI168" s="3"/>
      <c r="KSJ168" s="3"/>
      <c r="KSK168" s="3"/>
      <c r="KSL168" s="3"/>
      <c r="KSM168" s="3"/>
      <c r="KSN168" s="3"/>
      <c r="KSO168" s="3"/>
      <c r="KSP168" s="3"/>
      <c r="KSQ168" s="3"/>
      <c r="KSR168" s="3"/>
      <c r="KSS168" s="3"/>
      <c r="KST168" s="3"/>
      <c r="KSU168" s="3"/>
      <c r="KSV168" s="3"/>
      <c r="KSW168" s="3"/>
      <c r="KSX168" s="3"/>
      <c r="KSY168" s="3"/>
      <c r="KSZ168" s="3"/>
      <c r="KTA168" s="3"/>
      <c r="KTB168" s="3"/>
      <c r="KTC168" s="3"/>
      <c r="KTD168" s="3"/>
      <c r="KTE168" s="3"/>
      <c r="KTF168" s="3"/>
      <c r="KTG168" s="3"/>
      <c r="KTH168" s="3"/>
      <c r="KTI168" s="3"/>
      <c r="KTJ168" s="3"/>
      <c r="KTK168" s="3"/>
      <c r="KTL168" s="3"/>
      <c r="KTM168" s="3"/>
      <c r="KTN168" s="3"/>
      <c r="KTO168" s="3"/>
      <c r="KTP168" s="3"/>
      <c r="KTQ168" s="3"/>
      <c r="KTR168" s="3"/>
      <c r="KTS168" s="3"/>
      <c r="KTT168" s="3"/>
      <c r="KTU168" s="3"/>
      <c r="KTV168" s="3"/>
      <c r="KTW168" s="3"/>
      <c r="KTX168" s="3"/>
      <c r="KTY168" s="3"/>
      <c r="KTZ168" s="3"/>
      <c r="KUA168" s="3"/>
      <c r="KUB168" s="3"/>
      <c r="KUC168" s="3"/>
      <c r="KUD168" s="3"/>
      <c r="KUE168" s="3"/>
      <c r="KUF168" s="3"/>
      <c r="KUG168" s="3"/>
      <c r="KUH168" s="3"/>
      <c r="KUI168" s="3"/>
      <c r="KUJ168" s="3"/>
      <c r="KUK168" s="3"/>
      <c r="KUL168" s="3"/>
      <c r="KUM168" s="3"/>
      <c r="KUN168" s="3"/>
      <c r="KUO168" s="3"/>
      <c r="KUP168" s="3"/>
      <c r="KUQ168" s="3"/>
      <c r="KUR168" s="3"/>
      <c r="KUS168" s="3"/>
      <c r="KUT168" s="3"/>
      <c r="KUU168" s="3"/>
      <c r="KUV168" s="3"/>
      <c r="KUW168" s="3"/>
      <c r="KUX168" s="3"/>
      <c r="KUY168" s="3"/>
      <c r="KUZ168" s="3"/>
      <c r="KVA168" s="3"/>
      <c r="KVB168" s="3"/>
      <c r="KVC168" s="3"/>
      <c r="KVD168" s="3"/>
      <c r="KVE168" s="3"/>
      <c r="KVF168" s="3"/>
      <c r="KVG168" s="3"/>
      <c r="KVH168" s="3"/>
      <c r="KVI168" s="3"/>
      <c r="KVJ168" s="3"/>
      <c r="KVK168" s="3"/>
      <c r="KVL168" s="3"/>
      <c r="KVM168" s="3"/>
      <c r="KVN168" s="3"/>
      <c r="KVO168" s="3"/>
      <c r="KVP168" s="3"/>
      <c r="KVQ168" s="3"/>
      <c r="KVR168" s="3"/>
      <c r="KVS168" s="3"/>
      <c r="KVT168" s="3"/>
      <c r="KVU168" s="3"/>
      <c r="KVV168" s="3"/>
      <c r="KVW168" s="3"/>
      <c r="KVX168" s="3"/>
      <c r="KVY168" s="3"/>
      <c r="KVZ168" s="3"/>
      <c r="KWA168" s="3"/>
      <c r="KWB168" s="3"/>
      <c r="KWC168" s="3"/>
      <c r="KWD168" s="3"/>
      <c r="KWE168" s="3"/>
      <c r="KWF168" s="3"/>
      <c r="KWG168" s="3"/>
      <c r="KWH168" s="3"/>
      <c r="KWI168" s="3"/>
      <c r="KWJ168" s="3"/>
      <c r="KWK168" s="3"/>
      <c r="KWL168" s="3"/>
      <c r="KWM168" s="3"/>
      <c r="KWN168" s="3"/>
      <c r="KWO168" s="3"/>
      <c r="KWP168" s="3"/>
      <c r="KWQ168" s="3"/>
      <c r="KWR168" s="3"/>
      <c r="KWS168" s="3"/>
      <c r="KWT168" s="3"/>
      <c r="KWU168" s="3"/>
      <c r="KWV168" s="3"/>
      <c r="KWW168" s="3"/>
      <c r="KWX168" s="3"/>
      <c r="KWY168" s="3"/>
      <c r="KWZ168" s="3"/>
      <c r="KXA168" s="3"/>
      <c r="KXB168" s="3"/>
      <c r="KXC168" s="3"/>
      <c r="KXD168" s="3"/>
      <c r="KXE168" s="3"/>
      <c r="KXF168" s="3"/>
      <c r="KXG168" s="3"/>
      <c r="KXH168" s="3"/>
      <c r="KXI168" s="3"/>
      <c r="KXJ168" s="3"/>
      <c r="KXK168" s="3"/>
      <c r="KXL168" s="3"/>
      <c r="KXM168" s="3"/>
      <c r="KXN168" s="3"/>
      <c r="KXO168" s="3"/>
      <c r="KXP168" s="3"/>
      <c r="KXQ168" s="3"/>
      <c r="KXR168" s="3"/>
      <c r="KXS168" s="3"/>
      <c r="KXT168" s="3"/>
      <c r="KXU168" s="3"/>
      <c r="KXV168" s="3"/>
      <c r="KXW168" s="3"/>
      <c r="KXX168" s="3"/>
      <c r="KXY168" s="3"/>
      <c r="KXZ168" s="3"/>
      <c r="KYA168" s="3"/>
      <c r="KYB168" s="3"/>
      <c r="KYC168" s="3"/>
      <c r="KYD168" s="3"/>
      <c r="KYE168" s="3"/>
      <c r="KYF168" s="3"/>
      <c r="KYG168" s="3"/>
      <c r="KYH168" s="3"/>
      <c r="KYI168" s="3"/>
      <c r="KYJ168" s="3"/>
      <c r="KYK168" s="3"/>
      <c r="KYL168" s="3"/>
      <c r="KYM168" s="3"/>
      <c r="KYN168" s="3"/>
      <c r="KYO168" s="3"/>
      <c r="KYP168" s="3"/>
      <c r="KYQ168" s="3"/>
      <c r="KYR168" s="3"/>
      <c r="KYS168" s="3"/>
      <c r="KYT168" s="3"/>
      <c r="KYU168" s="3"/>
      <c r="KYV168" s="3"/>
      <c r="KYW168" s="3"/>
      <c r="KYX168" s="3"/>
      <c r="KYY168" s="3"/>
      <c r="KYZ168" s="3"/>
      <c r="KZA168" s="3"/>
      <c r="KZB168" s="3"/>
      <c r="KZC168" s="3"/>
      <c r="KZD168" s="3"/>
      <c r="KZE168" s="3"/>
      <c r="KZF168" s="3"/>
      <c r="KZG168" s="3"/>
      <c r="KZH168" s="3"/>
      <c r="KZI168" s="3"/>
      <c r="KZJ168" s="3"/>
      <c r="KZK168" s="3"/>
      <c r="KZL168" s="3"/>
      <c r="KZM168" s="3"/>
      <c r="KZN168" s="3"/>
      <c r="KZO168" s="3"/>
      <c r="KZP168" s="3"/>
      <c r="KZQ168" s="3"/>
      <c r="KZR168" s="3"/>
      <c r="KZS168" s="3"/>
      <c r="KZT168" s="3"/>
      <c r="KZU168" s="3"/>
      <c r="KZV168" s="3"/>
      <c r="KZW168" s="3"/>
      <c r="KZX168" s="3"/>
      <c r="KZY168" s="3"/>
      <c r="KZZ168" s="3"/>
      <c r="LAA168" s="3"/>
      <c r="LAB168" s="3"/>
      <c r="LAC168" s="3"/>
      <c r="LAD168" s="3"/>
      <c r="LAE168" s="3"/>
      <c r="LAF168" s="3"/>
      <c r="LAG168" s="3"/>
      <c r="LAH168" s="3"/>
      <c r="LAI168" s="3"/>
      <c r="LAJ168" s="3"/>
      <c r="LAK168" s="3"/>
      <c r="LAL168" s="3"/>
      <c r="LAM168" s="3"/>
      <c r="LAN168" s="3"/>
      <c r="LAO168" s="3"/>
      <c r="LAP168" s="3"/>
      <c r="LAQ168" s="3"/>
      <c r="LAR168" s="3"/>
      <c r="LAS168" s="3"/>
      <c r="LAT168" s="3"/>
      <c r="LAU168" s="3"/>
      <c r="LAV168" s="3"/>
      <c r="LAW168" s="3"/>
      <c r="LAX168" s="3"/>
      <c r="LAY168" s="3"/>
      <c r="LAZ168" s="3"/>
      <c r="LBA168" s="3"/>
      <c r="LBB168" s="3"/>
      <c r="LBC168" s="3"/>
      <c r="LBD168" s="3"/>
      <c r="LBE168" s="3"/>
      <c r="LBF168" s="3"/>
      <c r="LBG168" s="3"/>
      <c r="LBH168" s="3"/>
      <c r="LBI168" s="3"/>
      <c r="LBJ168" s="3"/>
      <c r="LBK168" s="3"/>
      <c r="LBL168" s="3"/>
      <c r="LBM168" s="3"/>
      <c r="LBN168" s="3"/>
      <c r="LBO168" s="3"/>
      <c r="LBP168" s="3"/>
      <c r="LBQ168" s="3"/>
      <c r="LBR168" s="3"/>
      <c r="LBS168" s="3"/>
      <c r="LBT168" s="3"/>
      <c r="LBU168" s="3"/>
      <c r="LBV168" s="3"/>
      <c r="LBW168" s="3"/>
      <c r="LBX168" s="3"/>
      <c r="LBY168" s="3"/>
      <c r="LBZ168" s="3"/>
      <c r="LCA168" s="3"/>
      <c r="LCB168" s="3"/>
      <c r="LCC168" s="3"/>
      <c r="LCD168" s="3"/>
      <c r="LCE168" s="3"/>
      <c r="LCF168" s="3"/>
      <c r="LCG168" s="3"/>
      <c r="LCH168" s="3"/>
      <c r="LCI168" s="3"/>
      <c r="LCJ168" s="3"/>
      <c r="LCK168" s="3"/>
      <c r="LCL168" s="3"/>
      <c r="LCM168" s="3"/>
      <c r="LCN168" s="3"/>
      <c r="LCO168" s="3"/>
      <c r="LCP168" s="3"/>
      <c r="LCQ168" s="3"/>
      <c r="LCR168" s="3"/>
      <c r="LCS168" s="3"/>
      <c r="LCT168" s="3"/>
      <c r="LCU168" s="3"/>
      <c r="LCV168" s="3"/>
      <c r="LCW168" s="3"/>
      <c r="LCX168" s="3"/>
      <c r="LCY168" s="3"/>
      <c r="LCZ168" s="3"/>
      <c r="LDA168" s="3"/>
      <c r="LDB168" s="3"/>
      <c r="LDC168" s="3"/>
      <c r="LDD168" s="3"/>
      <c r="LDE168" s="3"/>
      <c r="LDF168" s="3"/>
      <c r="LDG168" s="3"/>
      <c r="LDH168" s="3"/>
      <c r="LDI168" s="3"/>
      <c r="LDJ168" s="3"/>
      <c r="LDK168" s="3"/>
      <c r="LDL168" s="3"/>
      <c r="LDM168" s="3"/>
      <c r="LDN168" s="3"/>
      <c r="LDO168" s="3"/>
      <c r="LDP168" s="3"/>
      <c r="LDQ168" s="3"/>
      <c r="LDR168" s="3"/>
      <c r="LDS168" s="3"/>
      <c r="LDT168" s="3"/>
      <c r="LDU168" s="3"/>
      <c r="LDV168" s="3"/>
      <c r="LDW168" s="3"/>
      <c r="LDX168" s="3"/>
      <c r="LDY168" s="3"/>
      <c r="LDZ168" s="3"/>
      <c r="LEA168" s="3"/>
      <c r="LEB168" s="3"/>
      <c r="LEC168" s="3"/>
      <c r="LED168" s="3"/>
      <c r="LEE168" s="3"/>
      <c r="LEF168" s="3"/>
      <c r="LEG168" s="3"/>
      <c r="LEH168" s="3"/>
      <c r="LEI168" s="3"/>
      <c r="LEJ168" s="3"/>
      <c r="LEK168" s="3"/>
      <c r="LEL168" s="3"/>
      <c r="LEM168" s="3"/>
      <c r="LEN168" s="3"/>
      <c r="LEO168" s="3"/>
      <c r="LEP168" s="3"/>
      <c r="LEQ168" s="3"/>
      <c r="LER168" s="3"/>
      <c r="LES168" s="3"/>
      <c r="LET168" s="3"/>
      <c r="LEU168" s="3"/>
      <c r="LEV168" s="3"/>
      <c r="LEW168" s="3"/>
      <c r="LEX168" s="3"/>
      <c r="LEY168" s="3"/>
      <c r="LEZ168" s="3"/>
      <c r="LFA168" s="3"/>
      <c r="LFB168" s="3"/>
      <c r="LFC168" s="3"/>
      <c r="LFD168" s="3"/>
      <c r="LFE168" s="3"/>
      <c r="LFF168" s="3"/>
      <c r="LFG168" s="3"/>
      <c r="LFH168" s="3"/>
      <c r="LFI168" s="3"/>
      <c r="LFJ168" s="3"/>
      <c r="LFK168" s="3"/>
      <c r="LFL168" s="3"/>
      <c r="LFM168" s="3"/>
      <c r="LFN168" s="3"/>
      <c r="LFO168" s="3"/>
      <c r="LFP168" s="3"/>
      <c r="LFQ168" s="3"/>
      <c r="LFR168" s="3"/>
      <c r="LFS168" s="3"/>
      <c r="LFT168" s="3"/>
      <c r="LFU168" s="3"/>
      <c r="LFV168" s="3"/>
      <c r="LFW168" s="3"/>
      <c r="LFX168" s="3"/>
      <c r="LFY168" s="3"/>
      <c r="LFZ168" s="3"/>
      <c r="LGA168" s="3"/>
      <c r="LGB168" s="3"/>
      <c r="LGC168" s="3"/>
      <c r="LGD168" s="3"/>
      <c r="LGE168" s="3"/>
      <c r="LGF168" s="3"/>
      <c r="LGG168" s="3"/>
      <c r="LGH168" s="3"/>
      <c r="LGI168" s="3"/>
      <c r="LGJ168" s="3"/>
      <c r="LGK168" s="3"/>
      <c r="LGL168" s="3"/>
      <c r="LGM168" s="3"/>
      <c r="LGN168" s="3"/>
      <c r="LGO168" s="3"/>
      <c r="LGP168" s="3"/>
      <c r="LGQ168" s="3"/>
      <c r="LGR168" s="3"/>
      <c r="LGS168" s="3"/>
      <c r="LGT168" s="3"/>
      <c r="LGU168" s="3"/>
      <c r="LGV168" s="3"/>
      <c r="LGW168" s="3"/>
      <c r="LGX168" s="3"/>
      <c r="LGY168" s="3"/>
      <c r="LGZ168" s="3"/>
      <c r="LHA168" s="3"/>
      <c r="LHB168" s="3"/>
      <c r="LHC168" s="3"/>
      <c r="LHD168" s="3"/>
      <c r="LHE168" s="3"/>
      <c r="LHF168" s="3"/>
      <c r="LHG168" s="3"/>
      <c r="LHH168" s="3"/>
      <c r="LHI168" s="3"/>
      <c r="LHJ168" s="3"/>
      <c r="LHK168" s="3"/>
      <c r="LHL168" s="3"/>
      <c r="LHM168" s="3"/>
      <c r="LHN168" s="3"/>
      <c r="LHO168" s="3"/>
      <c r="LHP168" s="3"/>
      <c r="LHQ168" s="3"/>
      <c r="LHR168" s="3"/>
      <c r="LHS168" s="3"/>
      <c r="LHT168" s="3"/>
      <c r="LHU168" s="3"/>
      <c r="LHV168" s="3"/>
      <c r="LHW168" s="3"/>
      <c r="LHX168" s="3"/>
      <c r="LHY168" s="3"/>
      <c r="LHZ168" s="3"/>
      <c r="LIA168" s="3"/>
      <c r="LIB168" s="3"/>
      <c r="LIC168" s="3"/>
      <c r="LID168" s="3"/>
      <c r="LIE168" s="3"/>
      <c r="LIF168" s="3"/>
      <c r="LIG168" s="3"/>
      <c r="LIH168" s="3"/>
      <c r="LII168" s="3"/>
      <c r="LIJ168" s="3"/>
      <c r="LIK168" s="3"/>
      <c r="LIL168" s="3"/>
      <c r="LIM168" s="3"/>
      <c r="LIN168" s="3"/>
      <c r="LIO168" s="3"/>
      <c r="LIP168" s="3"/>
      <c r="LIQ168" s="3"/>
      <c r="LIR168" s="3"/>
      <c r="LIS168" s="3"/>
      <c r="LIT168" s="3"/>
      <c r="LIU168" s="3"/>
      <c r="LIV168" s="3"/>
      <c r="LIW168" s="3"/>
      <c r="LIX168" s="3"/>
      <c r="LIY168" s="3"/>
      <c r="LIZ168" s="3"/>
      <c r="LJA168" s="3"/>
      <c r="LJB168" s="3"/>
      <c r="LJC168" s="3"/>
      <c r="LJD168" s="3"/>
      <c r="LJE168" s="3"/>
      <c r="LJF168" s="3"/>
      <c r="LJG168" s="3"/>
      <c r="LJH168" s="3"/>
      <c r="LJI168" s="3"/>
      <c r="LJJ168" s="3"/>
      <c r="LJK168" s="3"/>
      <c r="LJL168" s="3"/>
      <c r="LJM168" s="3"/>
      <c r="LJN168" s="3"/>
      <c r="LJO168" s="3"/>
      <c r="LJP168" s="3"/>
      <c r="LJQ168" s="3"/>
      <c r="LJR168" s="3"/>
      <c r="LJS168" s="3"/>
      <c r="LJT168" s="3"/>
      <c r="LJU168" s="3"/>
      <c r="LJV168" s="3"/>
      <c r="LJW168" s="3"/>
      <c r="LJX168" s="3"/>
      <c r="LJY168" s="3"/>
      <c r="LJZ168" s="3"/>
      <c r="LKA168" s="3"/>
      <c r="LKB168" s="3"/>
      <c r="LKC168" s="3"/>
      <c r="LKD168" s="3"/>
      <c r="LKE168" s="3"/>
      <c r="LKF168" s="3"/>
      <c r="LKG168" s="3"/>
      <c r="LKH168" s="3"/>
      <c r="LKI168" s="3"/>
      <c r="LKJ168" s="3"/>
      <c r="LKK168" s="3"/>
      <c r="LKL168" s="3"/>
      <c r="LKM168" s="3"/>
      <c r="LKN168" s="3"/>
      <c r="LKO168" s="3"/>
      <c r="LKP168" s="3"/>
      <c r="LKQ168" s="3"/>
      <c r="LKR168" s="3"/>
      <c r="LKS168" s="3"/>
      <c r="LKT168" s="3"/>
      <c r="LKU168" s="3"/>
      <c r="LKV168" s="3"/>
      <c r="LKW168" s="3"/>
      <c r="LKX168" s="3"/>
      <c r="LKY168" s="3"/>
      <c r="LKZ168" s="3"/>
      <c r="LLA168" s="3"/>
      <c r="LLB168" s="3"/>
      <c r="LLC168" s="3"/>
      <c r="LLD168" s="3"/>
      <c r="LLE168" s="3"/>
      <c r="LLF168" s="3"/>
      <c r="LLG168" s="3"/>
      <c r="LLH168" s="3"/>
      <c r="LLI168" s="3"/>
      <c r="LLJ168" s="3"/>
      <c r="LLK168" s="3"/>
      <c r="LLL168" s="3"/>
      <c r="LLM168" s="3"/>
      <c r="LLN168" s="3"/>
      <c r="LLO168" s="3"/>
      <c r="LLP168" s="3"/>
      <c r="LLQ168" s="3"/>
      <c r="LLR168" s="3"/>
      <c r="LLS168" s="3"/>
      <c r="LLT168" s="3"/>
      <c r="LLU168" s="3"/>
      <c r="LLV168" s="3"/>
      <c r="LLW168" s="3"/>
      <c r="LLX168" s="3"/>
      <c r="LLY168" s="3"/>
      <c r="LLZ168" s="3"/>
      <c r="LMA168" s="3"/>
      <c r="LMB168" s="3"/>
      <c r="LMC168" s="3"/>
      <c r="LMD168" s="3"/>
      <c r="LME168" s="3"/>
      <c r="LMF168" s="3"/>
      <c r="LMG168" s="3"/>
      <c r="LMH168" s="3"/>
      <c r="LMI168" s="3"/>
      <c r="LMJ168" s="3"/>
      <c r="LMK168" s="3"/>
      <c r="LML168" s="3"/>
      <c r="LMM168" s="3"/>
      <c r="LMN168" s="3"/>
      <c r="LMO168" s="3"/>
      <c r="LMP168" s="3"/>
      <c r="LMQ168" s="3"/>
      <c r="LMR168" s="3"/>
      <c r="LMS168" s="3"/>
      <c r="LMT168" s="3"/>
      <c r="LMU168" s="3"/>
      <c r="LMV168" s="3"/>
      <c r="LMW168" s="3"/>
      <c r="LMX168" s="3"/>
      <c r="LMY168" s="3"/>
      <c r="LMZ168" s="3"/>
      <c r="LNA168" s="3"/>
      <c r="LNB168" s="3"/>
      <c r="LNC168" s="3"/>
      <c r="LND168" s="3"/>
      <c r="LNE168" s="3"/>
      <c r="LNF168" s="3"/>
      <c r="LNG168" s="3"/>
      <c r="LNH168" s="3"/>
      <c r="LNI168" s="3"/>
      <c r="LNJ168" s="3"/>
      <c r="LNK168" s="3"/>
      <c r="LNL168" s="3"/>
      <c r="LNM168" s="3"/>
      <c r="LNN168" s="3"/>
      <c r="LNO168" s="3"/>
      <c r="LNP168" s="3"/>
      <c r="LNQ168" s="3"/>
      <c r="LNR168" s="3"/>
      <c r="LNS168" s="3"/>
      <c r="LNT168" s="3"/>
      <c r="LNU168" s="3"/>
      <c r="LNV168" s="3"/>
      <c r="LNW168" s="3"/>
      <c r="LNX168" s="3"/>
      <c r="LNY168" s="3"/>
      <c r="LNZ168" s="3"/>
      <c r="LOA168" s="3"/>
      <c r="LOB168" s="3"/>
      <c r="LOC168" s="3"/>
      <c r="LOD168" s="3"/>
      <c r="LOE168" s="3"/>
      <c r="LOF168" s="3"/>
      <c r="LOG168" s="3"/>
      <c r="LOH168" s="3"/>
      <c r="LOI168" s="3"/>
      <c r="LOJ168" s="3"/>
      <c r="LOK168" s="3"/>
      <c r="LOL168" s="3"/>
      <c r="LOM168" s="3"/>
      <c r="LON168" s="3"/>
      <c r="LOO168" s="3"/>
      <c r="LOP168" s="3"/>
      <c r="LOQ168" s="3"/>
      <c r="LOR168" s="3"/>
      <c r="LOS168" s="3"/>
      <c r="LOT168" s="3"/>
      <c r="LOU168" s="3"/>
      <c r="LOV168" s="3"/>
      <c r="LOW168" s="3"/>
      <c r="LOX168" s="3"/>
      <c r="LOY168" s="3"/>
      <c r="LOZ168" s="3"/>
      <c r="LPA168" s="3"/>
      <c r="LPB168" s="3"/>
      <c r="LPC168" s="3"/>
      <c r="LPD168" s="3"/>
      <c r="LPE168" s="3"/>
      <c r="LPF168" s="3"/>
      <c r="LPG168" s="3"/>
      <c r="LPH168" s="3"/>
      <c r="LPI168" s="3"/>
      <c r="LPJ168" s="3"/>
      <c r="LPK168" s="3"/>
      <c r="LPL168" s="3"/>
      <c r="LPM168" s="3"/>
      <c r="LPN168" s="3"/>
      <c r="LPO168" s="3"/>
      <c r="LPP168" s="3"/>
      <c r="LPQ168" s="3"/>
      <c r="LPR168" s="3"/>
      <c r="LPS168" s="3"/>
      <c r="LPT168" s="3"/>
      <c r="LPU168" s="3"/>
      <c r="LPV168" s="3"/>
      <c r="LPW168" s="3"/>
      <c r="LPX168" s="3"/>
      <c r="LPY168" s="3"/>
      <c r="LPZ168" s="3"/>
      <c r="LQA168" s="3"/>
      <c r="LQB168" s="3"/>
      <c r="LQC168" s="3"/>
      <c r="LQD168" s="3"/>
      <c r="LQE168" s="3"/>
      <c r="LQF168" s="3"/>
      <c r="LQG168" s="3"/>
      <c r="LQH168" s="3"/>
      <c r="LQI168" s="3"/>
      <c r="LQJ168" s="3"/>
      <c r="LQK168" s="3"/>
      <c r="LQL168" s="3"/>
      <c r="LQM168" s="3"/>
      <c r="LQN168" s="3"/>
      <c r="LQO168" s="3"/>
      <c r="LQP168" s="3"/>
      <c r="LQQ168" s="3"/>
      <c r="LQR168" s="3"/>
      <c r="LQS168" s="3"/>
      <c r="LQT168" s="3"/>
      <c r="LQU168" s="3"/>
      <c r="LQV168" s="3"/>
      <c r="LQW168" s="3"/>
      <c r="LQX168" s="3"/>
      <c r="LQY168" s="3"/>
      <c r="LQZ168" s="3"/>
      <c r="LRA168" s="3"/>
      <c r="LRB168" s="3"/>
      <c r="LRC168" s="3"/>
      <c r="LRD168" s="3"/>
      <c r="LRE168" s="3"/>
      <c r="LRF168" s="3"/>
      <c r="LRG168" s="3"/>
      <c r="LRH168" s="3"/>
      <c r="LRI168" s="3"/>
      <c r="LRJ168" s="3"/>
      <c r="LRK168" s="3"/>
      <c r="LRL168" s="3"/>
      <c r="LRM168" s="3"/>
      <c r="LRN168" s="3"/>
      <c r="LRO168" s="3"/>
      <c r="LRP168" s="3"/>
      <c r="LRQ168" s="3"/>
      <c r="LRR168" s="3"/>
      <c r="LRS168" s="3"/>
      <c r="LRT168" s="3"/>
      <c r="LRU168" s="3"/>
      <c r="LRV168" s="3"/>
      <c r="LRW168" s="3"/>
      <c r="LRX168" s="3"/>
      <c r="LRY168" s="3"/>
      <c r="LRZ168" s="3"/>
      <c r="LSA168" s="3"/>
      <c r="LSB168" s="3"/>
      <c r="LSC168" s="3"/>
      <c r="LSD168" s="3"/>
      <c r="LSE168" s="3"/>
      <c r="LSF168" s="3"/>
      <c r="LSG168" s="3"/>
      <c r="LSH168" s="3"/>
      <c r="LSI168" s="3"/>
      <c r="LSJ168" s="3"/>
      <c r="LSK168" s="3"/>
      <c r="LSL168" s="3"/>
      <c r="LSM168" s="3"/>
      <c r="LSN168" s="3"/>
      <c r="LSO168" s="3"/>
      <c r="LSP168" s="3"/>
      <c r="LSQ168" s="3"/>
      <c r="LSR168" s="3"/>
      <c r="LSS168" s="3"/>
      <c r="LST168" s="3"/>
      <c r="LSU168" s="3"/>
      <c r="LSV168" s="3"/>
      <c r="LSW168" s="3"/>
      <c r="LSX168" s="3"/>
      <c r="LSY168" s="3"/>
      <c r="LSZ168" s="3"/>
      <c r="LTA168" s="3"/>
      <c r="LTB168" s="3"/>
      <c r="LTC168" s="3"/>
      <c r="LTD168" s="3"/>
      <c r="LTE168" s="3"/>
      <c r="LTF168" s="3"/>
      <c r="LTG168" s="3"/>
      <c r="LTH168" s="3"/>
      <c r="LTI168" s="3"/>
      <c r="LTJ168" s="3"/>
      <c r="LTK168" s="3"/>
      <c r="LTL168" s="3"/>
      <c r="LTM168" s="3"/>
      <c r="LTN168" s="3"/>
      <c r="LTO168" s="3"/>
      <c r="LTP168" s="3"/>
      <c r="LTQ168" s="3"/>
      <c r="LTR168" s="3"/>
      <c r="LTS168" s="3"/>
      <c r="LTT168" s="3"/>
      <c r="LTU168" s="3"/>
      <c r="LTV168" s="3"/>
      <c r="LTW168" s="3"/>
      <c r="LTX168" s="3"/>
      <c r="LTY168" s="3"/>
      <c r="LTZ168" s="3"/>
      <c r="LUA168" s="3"/>
      <c r="LUB168" s="3"/>
      <c r="LUC168" s="3"/>
      <c r="LUD168" s="3"/>
      <c r="LUE168" s="3"/>
      <c r="LUF168" s="3"/>
      <c r="LUG168" s="3"/>
      <c r="LUH168" s="3"/>
      <c r="LUI168" s="3"/>
      <c r="LUJ168" s="3"/>
      <c r="LUK168" s="3"/>
      <c r="LUL168" s="3"/>
      <c r="LUM168" s="3"/>
      <c r="LUN168" s="3"/>
      <c r="LUO168" s="3"/>
      <c r="LUP168" s="3"/>
      <c r="LUQ168" s="3"/>
      <c r="LUR168" s="3"/>
      <c r="LUS168" s="3"/>
      <c r="LUT168" s="3"/>
      <c r="LUU168" s="3"/>
      <c r="LUV168" s="3"/>
      <c r="LUW168" s="3"/>
      <c r="LUX168" s="3"/>
      <c r="LUY168" s="3"/>
      <c r="LUZ168" s="3"/>
      <c r="LVA168" s="3"/>
      <c r="LVB168" s="3"/>
      <c r="LVC168" s="3"/>
      <c r="LVD168" s="3"/>
      <c r="LVE168" s="3"/>
      <c r="LVF168" s="3"/>
      <c r="LVG168" s="3"/>
      <c r="LVH168" s="3"/>
      <c r="LVI168" s="3"/>
      <c r="LVJ168" s="3"/>
      <c r="LVK168" s="3"/>
      <c r="LVL168" s="3"/>
      <c r="LVM168" s="3"/>
      <c r="LVN168" s="3"/>
      <c r="LVO168" s="3"/>
      <c r="LVP168" s="3"/>
      <c r="LVQ168" s="3"/>
      <c r="LVR168" s="3"/>
      <c r="LVS168" s="3"/>
      <c r="LVT168" s="3"/>
      <c r="LVU168" s="3"/>
      <c r="LVV168" s="3"/>
      <c r="LVW168" s="3"/>
      <c r="LVX168" s="3"/>
      <c r="LVY168" s="3"/>
      <c r="LVZ168" s="3"/>
      <c r="LWA168" s="3"/>
      <c r="LWB168" s="3"/>
      <c r="LWC168" s="3"/>
      <c r="LWD168" s="3"/>
      <c r="LWE168" s="3"/>
      <c r="LWF168" s="3"/>
      <c r="LWG168" s="3"/>
      <c r="LWH168" s="3"/>
      <c r="LWI168" s="3"/>
      <c r="LWJ168" s="3"/>
      <c r="LWK168" s="3"/>
      <c r="LWL168" s="3"/>
      <c r="LWM168" s="3"/>
      <c r="LWN168" s="3"/>
      <c r="LWO168" s="3"/>
      <c r="LWP168" s="3"/>
      <c r="LWQ168" s="3"/>
      <c r="LWR168" s="3"/>
      <c r="LWS168" s="3"/>
      <c r="LWT168" s="3"/>
      <c r="LWU168" s="3"/>
      <c r="LWV168" s="3"/>
      <c r="LWW168" s="3"/>
      <c r="LWX168" s="3"/>
      <c r="LWY168" s="3"/>
      <c r="LWZ168" s="3"/>
      <c r="LXA168" s="3"/>
      <c r="LXB168" s="3"/>
      <c r="LXC168" s="3"/>
      <c r="LXD168" s="3"/>
      <c r="LXE168" s="3"/>
      <c r="LXF168" s="3"/>
      <c r="LXG168" s="3"/>
      <c r="LXH168" s="3"/>
      <c r="LXI168" s="3"/>
      <c r="LXJ168" s="3"/>
      <c r="LXK168" s="3"/>
      <c r="LXL168" s="3"/>
      <c r="LXM168" s="3"/>
      <c r="LXN168" s="3"/>
      <c r="LXO168" s="3"/>
      <c r="LXP168" s="3"/>
      <c r="LXQ168" s="3"/>
      <c r="LXR168" s="3"/>
      <c r="LXS168" s="3"/>
      <c r="LXT168" s="3"/>
      <c r="LXU168" s="3"/>
      <c r="LXV168" s="3"/>
      <c r="LXW168" s="3"/>
      <c r="LXX168" s="3"/>
      <c r="LXY168" s="3"/>
      <c r="LXZ168" s="3"/>
      <c r="LYA168" s="3"/>
      <c r="LYB168" s="3"/>
      <c r="LYC168" s="3"/>
      <c r="LYD168" s="3"/>
      <c r="LYE168" s="3"/>
      <c r="LYF168" s="3"/>
      <c r="LYG168" s="3"/>
      <c r="LYH168" s="3"/>
      <c r="LYI168" s="3"/>
      <c r="LYJ168" s="3"/>
      <c r="LYK168" s="3"/>
      <c r="LYL168" s="3"/>
      <c r="LYM168" s="3"/>
      <c r="LYN168" s="3"/>
      <c r="LYO168" s="3"/>
      <c r="LYP168" s="3"/>
      <c r="LYQ168" s="3"/>
      <c r="LYR168" s="3"/>
      <c r="LYS168" s="3"/>
      <c r="LYT168" s="3"/>
      <c r="LYU168" s="3"/>
      <c r="LYV168" s="3"/>
      <c r="LYW168" s="3"/>
      <c r="LYX168" s="3"/>
      <c r="LYY168" s="3"/>
      <c r="LYZ168" s="3"/>
      <c r="LZA168" s="3"/>
      <c r="LZB168" s="3"/>
      <c r="LZC168" s="3"/>
      <c r="LZD168" s="3"/>
      <c r="LZE168" s="3"/>
      <c r="LZF168" s="3"/>
      <c r="LZG168" s="3"/>
      <c r="LZH168" s="3"/>
      <c r="LZI168" s="3"/>
      <c r="LZJ168" s="3"/>
      <c r="LZK168" s="3"/>
      <c r="LZL168" s="3"/>
      <c r="LZM168" s="3"/>
      <c r="LZN168" s="3"/>
      <c r="LZO168" s="3"/>
      <c r="LZP168" s="3"/>
      <c r="LZQ168" s="3"/>
      <c r="LZR168" s="3"/>
      <c r="LZS168" s="3"/>
      <c r="LZT168" s="3"/>
      <c r="LZU168" s="3"/>
      <c r="LZV168" s="3"/>
      <c r="LZW168" s="3"/>
      <c r="LZX168" s="3"/>
      <c r="LZY168" s="3"/>
      <c r="LZZ168" s="3"/>
      <c r="MAA168" s="3"/>
      <c r="MAB168" s="3"/>
      <c r="MAC168" s="3"/>
      <c r="MAD168" s="3"/>
      <c r="MAE168" s="3"/>
      <c r="MAF168" s="3"/>
      <c r="MAG168" s="3"/>
      <c r="MAH168" s="3"/>
      <c r="MAI168" s="3"/>
      <c r="MAJ168" s="3"/>
      <c r="MAK168" s="3"/>
      <c r="MAL168" s="3"/>
      <c r="MAM168" s="3"/>
      <c r="MAN168" s="3"/>
      <c r="MAO168" s="3"/>
      <c r="MAP168" s="3"/>
      <c r="MAQ168" s="3"/>
      <c r="MAR168" s="3"/>
      <c r="MAS168" s="3"/>
      <c r="MAT168" s="3"/>
      <c r="MAU168" s="3"/>
      <c r="MAV168" s="3"/>
      <c r="MAW168" s="3"/>
      <c r="MAX168" s="3"/>
      <c r="MAY168" s="3"/>
      <c r="MAZ168" s="3"/>
      <c r="MBA168" s="3"/>
      <c r="MBB168" s="3"/>
      <c r="MBC168" s="3"/>
      <c r="MBD168" s="3"/>
      <c r="MBE168" s="3"/>
      <c r="MBF168" s="3"/>
      <c r="MBG168" s="3"/>
      <c r="MBH168" s="3"/>
      <c r="MBI168" s="3"/>
      <c r="MBJ168" s="3"/>
      <c r="MBK168" s="3"/>
      <c r="MBL168" s="3"/>
      <c r="MBM168" s="3"/>
      <c r="MBN168" s="3"/>
      <c r="MBO168" s="3"/>
      <c r="MBP168" s="3"/>
      <c r="MBQ168" s="3"/>
      <c r="MBR168" s="3"/>
      <c r="MBS168" s="3"/>
      <c r="MBT168" s="3"/>
      <c r="MBU168" s="3"/>
      <c r="MBV168" s="3"/>
      <c r="MBW168" s="3"/>
      <c r="MBX168" s="3"/>
      <c r="MBY168" s="3"/>
      <c r="MBZ168" s="3"/>
      <c r="MCA168" s="3"/>
      <c r="MCB168" s="3"/>
      <c r="MCC168" s="3"/>
      <c r="MCD168" s="3"/>
      <c r="MCE168" s="3"/>
      <c r="MCF168" s="3"/>
      <c r="MCG168" s="3"/>
      <c r="MCH168" s="3"/>
      <c r="MCI168" s="3"/>
      <c r="MCJ168" s="3"/>
      <c r="MCK168" s="3"/>
      <c r="MCL168" s="3"/>
      <c r="MCM168" s="3"/>
      <c r="MCN168" s="3"/>
      <c r="MCO168" s="3"/>
      <c r="MCP168" s="3"/>
      <c r="MCQ168" s="3"/>
      <c r="MCR168" s="3"/>
      <c r="MCS168" s="3"/>
      <c r="MCT168" s="3"/>
      <c r="MCU168" s="3"/>
      <c r="MCV168" s="3"/>
      <c r="MCW168" s="3"/>
      <c r="MCX168" s="3"/>
      <c r="MCY168" s="3"/>
      <c r="MCZ168" s="3"/>
      <c r="MDA168" s="3"/>
      <c r="MDB168" s="3"/>
      <c r="MDC168" s="3"/>
      <c r="MDD168" s="3"/>
      <c r="MDE168" s="3"/>
      <c r="MDF168" s="3"/>
      <c r="MDG168" s="3"/>
      <c r="MDH168" s="3"/>
      <c r="MDI168" s="3"/>
      <c r="MDJ168" s="3"/>
      <c r="MDK168" s="3"/>
      <c r="MDL168" s="3"/>
      <c r="MDM168" s="3"/>
      <c r="MDN168" s="3"/>
      <c r="MDO168" s="3"/>
      <c r="MDP168" s="3"/>
      <c r="MDQ168" s="3"/>
      <c r="MDR168" s="3"/>
      <c r="MDS168" s="3"/>
      <c r="MDT168" s="3"/>
      <c r="MDU168" s="3"/>
      <c r="MDV168" s="3"/>
      <c r="MDW168" s="3"/>
      <c r="MDX168" s="3"/>
      <c r="MDY168" s="3"/>
      <c r="MDZ168" s="3"/>
      <c r="MEA168" s="3"/>
      <c r="MEB168" s="3"/>
      <c r="MEC168" s="3"/>
      <c r="MED168" s="3"/>
      <c r="MEE168" s="3"/>
      <c r="MEF168" s="3"/>
      <c r="MEG168" s="3"/>
      <c r="MEH168" s="3"/>
      <c r="MEI168" s="3"/>
      <c r="MEJ168" s="3"/>
      <c r="MEK168" s="3"/>
      <c r="MEL168" s="3"/>
      <c r="MEM168" s="3"/>
      <c r="MEN168" s="3"/>
      <c r="MEO168" s="3"/>
      <c r="MEP168" s="3"/>
      <c r="MEQ168" s="3"/>
      <c r="MER168" s="3"/>
      <c r="MES168" s="3"/>
      <c r="MET168" s="3"/>
      <c r="MEU168" s="3"/>
      <c r="MEV168" s="3"/>
      <c r="MEW168" s="3"/>
      <c r="MEX168" s="3"/>
      <c r="MEY168" s="3"/>
      <c r="MEZ168" s="3"/>
      <c r="MFA168" s="3"/>
      <c r="MFB168" s="3"/>
      <c r="MFC168" s="3"/>
      <c r="MFD168" s="3"/>
      <c r="MFE168" s="3"/>
      <c r="MFF168" s="3"/>
      <c r="MFG168" s="3"/>
      <c r="MFH168" s="3"/>
      <c r="MFI168" s="3"/>
      <c r="MFJ168" s="3"/>
      <c r="MFK168" s="3"/>
      <c r="MFL168" s="3"/>
      <c r="MFM168" s="3"/>
      <c r="MFN168" s="3"/>
      <c r="MFO168" s="3"/>
      <c r="MFP168" s="3"/>
      <c r="MFQ168" s="3"/>
      <c r="MFR168" s="3"/>
      <c r="MFS168" s="3"/>
      <c r="MFT168" s="3"/>
      <c r="MFU168" s="3"/>
      <c r="MFV168" s="3"/>
      <c r="MFW168" s="3"/>
      <c r="MFX168" s="3"/>
      <c r="MFY168" s="3"/>
      <c r="MFZ168" s="3"/>
      <c r="MGA168" s="3"/>
      <c r="MGB168" s="3"/>
      <c r="MGC168" s="3"/>
      <c r="MGD168" s="3"/>
      <c r="MGE168" s="3"/>
      <c r="MGF168" s="3"/>
      <c r="MGG168" s="3"/>
      <c r="MGH168" s="3"/>
      <c r="MGI168" s="3"/>
      <c r="MGJ168" s="3"/>
      <c r="MGK168" s="3"/>
      <c r="MGL168" s="3"/>
      <c r="MGM168" s="3"/>
      <c r="MGN168" s="3"/>
      <c r="MGO168" s="3"/>
      <c r="MGP168" s="3"/>
      <c r="MGQ168" s="3"/>
      <c r="MGR168" s="3"/>
      <c r="MGS168" s="3"/>
      <c r="MGT168" s="3"/>
      <c r="MGU168" s="3"/>
      <c r="MGV168" s="3"/>
      <c r="MGW168" s="3"/>
      <c r="MGX168" s="3"/>
      <c r="MGY168" s="3"/>
      <c r="MGZ168" s="3"/>
      <c r="MHA168" s="3"/>
      <c r="MHB168" s="3"/>
      <c r="MHC168" s="3"/>
      <c r="MHD168" s="3"/>
      <c r="MHE168" s="3"/>
      <c r="MHF168" s="3"/>
      <c r="MHG168" s="3"/>
      <c r="MHH168" s="3"/>
      <c r="MHI168" s="3"/>
      <c r="MHJ168" s="3"/>
      <c r="MHK168" s="3"/>
      <c r="MHL168" s="3"/>
      <c r="MHM168" s="3"/>
      <c r="MHN168" s="3"/>
      <c r="MHO168" s="3"/>
      <c r="MHP168" s="3"/>
      <c r="MHQ168" s="3"/>
      <c r="MHR168" s="3"/>
      <c r="MHS168" s="3"/>
      <c r="MHT168" s="3"/>
      <c r="MHU168" s="3"/>
      <c r="MHV168" s="3"/>
      <c r="MHW168" s="3"/>
      <c r="MHX168" s="3"/>
      <c r="MHY168" s="3"/>
      <c r="MHZ168" s="3"/>
      <c r="MIA168" s="3"/>
      <c r="MIB168" s="3"/>
      <c r="MIC168" s="3"/>
      <c r="MID168" s="3"/>
      <c r="MIE168" s="3"/>
      <c r="MIF168" s="3"/>
      <c r="MIG168" s="3"/>
      <c r="MIH168" s="3"/>
      <c r="MII168" s="3"/>
      <c r="MIJ168" s="3"/>
      <c r="MIK168" s="3"/>
      <c r="MIL168" s="3"/>
      <c r="MIM168" s="3"/>
      <c r="MIN168" s="3"/>
      <c r="MIO168" s="3"/>
      <c r="MIP168" s="3"/>
      <c r="MIQ168" s="3"/>
      <c r="MIR168" s="3"/>
      <c r="MIS168" s="3"/>
      <c r="MIT168" s="3"/>
      <c r="MIU168" s="3"/>
      <c r="MIV168" s="3"/>
      <c r="MIW168" s="3"/>
      <c r="MIX168" s="3"/>
      <c r="MIY168" s="3"/>
      <c r="MIZ168" s="3"/>
      <c r="MJA168" s="3"/>
      <c r="MJB168" s="3"/>
      <c r="MJC168" s="3"/>
      <c r="MJD168" s="3"/>
      <c r="MJE168" s="3"/>
      <c r="MJF168" s="3"/>
      <c r="MJG168" s="3"/>
      <c r="MJH168" s="3"/>
      <c r="MJI168" s="3"/>
      <c r="MJJ168" s="3"/>
      <c r="MJK168" s="3"/>
      <c r="MJL168" s="3"/>
      <c r="MJM168" s="3"/>
      <c r="MJN168" s="3"/>
      <c r="MJO168" s="3"/>
      <c r="MJP168" s="3"/>
      <c r="MJQ168" s="3"/>
      <c r="MJR168" s="3"/>
      <c r="MJS168" s="3"/>
      <c r="MJT168" s="3"/>
      <c r="MJU168" s="3"/>
      <c r="MJV168" s="3"/>
      <c r="MJW168" s="3"/>
      <c r="MJX168" s="3"/>
      <c r="MJY168" s="3"/>
      <c r="MJZ168" s="3"/>
      <c r="MKA168" s="3"/>
      <c r="MKB168" s="3"/>
      <c r="MKC168" s="3"/>
      <c r="MKD168" s="3"/>
      <c r="MKE168" s="3"/>
      <c r="MKF168" s="3"/>
      <c r="MKG168" s="3"/>
      <c r="MKH168" s="3"/>
      <c r="MKI168" s="3"/>
      <c r="MKJ168" s="3"/>
      <c r="MKK168" s="3"/>
      <c r="MKL168" s="3"/>
      <c r="MKM168" s="3"/>
      <c r="MKN168" s="3"/>
      <c r="MKO168" s="3"/>
      <c r="MKP168" s="3"/>
      <c r="MKQ168" s="3"/>
      <c r="MKR168" s="3"/>
      <c r="MKS168" s="3"/>
      <c r="MKT168" s="3"/>
      <c r="MKU168" s="3"/>
      <c r="MKV168" s="3"/>
      <c r="MKW168" s="3"/>
      <c r="MKX168" s="3"/>
      <c r="MKY168" s="3"/>
      <c r="MKZ168" s="3"/>
      <c r="MLA168" s="3"/>
      <c r="MLB168" s="3"/>
      <c r="MLC168" s="3"/>
      <c r="MLD168" s="3"/>
      <c r="MLE168" s="3"/>
      <c r="MLF168" s="3"/>
      <c r="MLG168" s="3"/>
      <c r="MLH168" s="3"/>
      <c r="MLI168" s="3"/>
      <c r="MLJ168" s="3"/>
      <c r="MLK168" s="3"/>
      <c r="MLL168" s="3"/>
      <c r="MLM168" s="3"/>
      <c r="MLN168" s="3"/>
      <c r="MLO168" s="3"/>
      <c r="MLP168" s="3"/>
      <c r="MLQ168" s="3"/>
      <c r="MLR168" s="3"/>
      <c r="MLS168" s="3"/>
      <c r="MLT168" s="3"/>
      <c r="MLU168" s="3"/>
      <c r="MLV168" s="3"/>
      <c r="MLW168" s="3"/>
      <c r="MLX168" s="3"/>
      <c r="MLY168" s="3"/>
      <c r="MLZ168" s="3"/>
      <c r="MMA168" s="3"/>
      <c r="MMB168" s="3"/>
      <c r="MMC168" s="3"/>
      <c r="MMD168" s="3"/>
      <c r="MME168" s="3"/>
      <c r="MMF168" s="3"/>
      <c r="MMG168" s="3"/>
      <c r="MMH168" s="3"/>
      <c r="MMI168" s="3"/>
      <c r="MMJ168" s="3"/>
      <c r="MMK168" s="3"/>
      <c r="MML168" s="3"/>
      <c r="MMM168" s="3"/>
      <c r="MMN168" s="3"/>
      <c r="MMO168" s="3"/>
      <c r="MMP168" s="3"/>
      <c r="MMQ168" s="3"/>
      <c r="MMR168" s="3"/>
      <c r="MMS168" s="3"/>
      <c r="MMT168" s="3"/>
      <c r="MMU168" s="3"/>
      <c r="MMV168" s="3"/>
      <c r="MMW168" s="3"/>
      <c r="MMX168" s="3"/>
      <c r="MMY168" s="3"/>
      <c r="MMZ168" s="3"/>
      <c r="MNA168" s="3"/>
      <c r="MNB168" s="3"/>
      <c r="MNC168" s="3"/>
      <c r="MND168" s="3"/>
      <c r="MNE168" s="3"/>
      <c r="MNF168" s="3"/>
      <c r="MNG168" s="3"/>
      <c r="MNH168" s="3"/>
      <c r="MNI168" s="3"/>
      <c r="MNJ168" s="3"/>
      <c r="MNK168" s="3"/>
      <c r="MNL168" s="3"/>
      <c r="MNM168" s="3"/>
      <c r="MNN168" s="3"/>
      <c r="MNO168" s="3"/>
      <c r="MNP168" s="3"/>
      <c r="MNQ168" s="3"/>
      <c r="MNR168" s="3"/>
      <c r="MNS168" s="3"/>
      <c r="MNT168" s="3"/>
      <c r="MNU168" s="3"/>
      <c r="MNV168" s="3"/>
      <c r="MNW168" s="3"/>
      <c r="MNX168" s="3"/>
      <c r="MNY168" s="3"/>
      <c r="MNZ168" s="3"/>
      <c r="MOA168" s="3"/>
      <c r="MOB168" s="3"/>
      <c r="MOC168" s="3"/>
      <c r="MOD168" s="3"/>
      <c r="MOE168" s="3"/>
      <c r="MOF168" s="3"/>
      <c r="MOG168" s="3"/>
      <c r="MOH168" s="3"/>
      <c r="MOI168" s="3"/>
      <c r="MOJ168" s="3"/>
      <c r="MOK168" s="3"/>
      <c r="MOL168" s="3"/>
      <c r="MOM168" s="3"/>
      <c r="MON168" s="3"/>
      <c r="MOO168" s="3"/>
      <c r="MOP168" s="3"/>
      <c r="MOQ168" s="3"/>
      <c r="MOR168" s="3"/>
      <c r="MOS168" s="3"/>
      <c r="MOT168" s="3"/>
      <c r="MOU168" s="3"/>
      <c r="MOV168" s="3"/>
      <c r="MOW168" s="3"/>
      <c r="MOX168" s="3"/>
      <c r="MOY168" s="3"/>
      <c r="MOZ168" s="3"/>
      <c r="MPA168" s="3"/>
      <c r="MPB168" s="3"/>
      <c r="MPC168" s="3"/>
      <c r="MPD168" s="3"/>
      <c r="MPE168" s="3"/>
      <c r="MPF168" s="3"/>
      <c r="MPG168" s="3"/>
      <c r="MPH168" s="3"/>
      <c r="MPI168" s="3"/>
      <c r="MPJ168" s="3"/>
      <c r="MPK168" s="3"/>
      <c r="MPL168" s="3"/>
      <c r="MPM168" s="3"/>
      <c r="MPN168" s="3"/>
      <c r="MPO168" s="3"/>
      <c r="MPP168" s="3"/>
      <c r="MPQ168" s="3"/>
      <c r="MPR168" s="3"/>
      <c r="MPS168" s="3"/>
      <c r="MPT168" s="3"/>
      <c r="MPU168" s="3"/>
      <c r="MPV168" s="3"/>
      <c r="MPW168" s="3"/>
      <c r="MPX168" s="3"/>
      <c r="MPY168" s="3"/>
      <c r="MPZ168" s="3"/>
      <c r="MQA168" s="3"/>
      <c r="MQB168" s="3"/>
      <c r="MQC168" s="3"/>
      <c r="MQD168" s="3"/>
      <c r="MQE168" s="3"/>
      <c r="MQF168" s="3"/>
      <c r="MQG168" s="3"/>
      <c r="MQH168" s="3"/>
      <c r="MQI168" s="3"/>
      <c r="MQJ168" s="3"/>
      <c r="MQK168" s="3"/>
      <c r="MQL168" s="3"/>
      <c r="MQM168" s="3"/>
      <c r="MQN168" s="3"/>
      <c r="MQO168" s="3"/>
      <c r="MQP168" s="3"/>
      <c r="MQQ168" s="3"/>
      <c r="MQR168" s="3"/>
      <c r="MQS168" s="3"/>
      <c r="MQT168" s="3"/>
      <c r="MQU168" s="3"/>
      <c r="MQV168" s="3"/>
      <c r="MQW168" s="3"/>
      <c r="MQX168" s="3"/>
      <c r="MQY168" s="3"/>
      <c r="MQZ168" s="3"/>
      <c r="MRA168" s="3"/>
      <c r="MRB168" s="3"/>
      <c r="MRC168" s="3"/>
      <c r="MRD168" s="3"/>
      <c r="MRE168" s="3"/>
      <c r="MRF168" s="3"/>
      <c r="MRG168" s="3"/>
      <c r="MRH168" s="3"/>
      <c r="MRI168" s="3"/>
      <c r="MRJ168" s="3"/>
      <c r="MRK168" s="3"/>
      <c r="MRL168" s="3"/>
      <c r="MRM168" s="3"/>
      <c r="MRN168" s="3"/>
      <c r="MRO168" s="3"/>
      <c r="MRP168" s="3"/>
      <c r="MRQ168" s="3"/>
      <c r="MRR168" s="3"/>
      <c r="MRS168" s="3"/>
      <c r="MRT168" s="3"/>
      <c r="MRU168" s="3"/>
      <c r="MRV168" s="3"/>
      <c r="MRW168" s="3"/>
      <c r="MRX168" s="3"/>
      <c r="MRY168" s="3"/>
      <c r="MRZ168" s="3"/>
      <c r="MSA168" s="3"/>
      <c r="MSB168" s="3"/>
      <c r="MSC168" s="3"/>
      <c r="MSD168" s="3"/>
      <c r="MSE168" s="3"/>
      <c r="MSF168" s="3"/>
      <c r="MSG168" s="3"/>
      <c r="MSH168" s="3"/>
      <c r="MSI168" s="3"/>
      <c r="MSJ168" s="3"/>
      <c r="MSK168" s="3"/>
      <c r="MSL168" s="3"/>
      <c r="MSM168" s="3"/>
      <c r="MSN168" s="3"/>
      <c r="MSO168" s="3"/>
      <c r="MSP168" s="3"/>
      <c r="MSQ168" s="3"/>
      <c r="MSR168" s="3"/>
      <c r="MSS168" s="3"/>
      <c r="MST168" s="3"/>
      <c r="MSU168" s="3"/>
      <c r="MSV168" s="3"/>
      <c r="MSW168" s="3"/>
      <c r="MSX168" s="3"/>
      <c r="MSY168" s="3"/>
      <c r="MSZ168" s="3"/>
      <c r="MTA168" s="3"/>
      <c r="MTB168" s="3"/>
      <c r="MTC168" s="3"/>
      <c r="MTD168" s="3"/>
      <c r="MTE168" s="3"/>
      <c r="MTF168" s="3"/>
      <c r="MTG168" s="3"/>
      <c r="MTH168" s="3"/>
      <c r="MTI168" s="3"/>
      <c r="MTJ168" s="3"/>
      <c r="MTK168" s="3"/>
      <c r="MTL168" s="3"/>
      <c r="MTM168" s="3"/>
      <c r="MTN168" s="3"/>
      <c r="MTO168" s="3"/>
      <c r="MTP168" s="3"/>
      <c r="MTQ168" s="3"/>
      <c r="MTR168" s="3"/>
      <c r="MTS168" s="3"/>
      <c r="MTT168" s="3"/>
      <c r="MTU168" s="3"/>
      <c r="MTV168" s="3"/>
      <c r="MTW168" s="3"/>
      <c r="MTX168" s="3"/>
      <c r="MTY168" s="3"/>
      <c r="MTZ168" s="3"/>
      <c r="MUA168" s="3"/>
      <c r="MUB168" s="3"/>
      <c r="MUC168" s="3"/>
      <c r="MUD168" s="3"/>
      <c r="MUE168" s="3"/>
      <c r="MUF168" s="3"/>
      <c r="MUG168" s="3"/>
      <c r="MUH168" s="3"/>
      <c r="MUI168" s="3"/>
      <c r="MUJ168" s="3"/>
      <c r="MUK168" s="3"/>
      <c r="MUL168" s="3"/>
      <c r="MUM168" s="3"/>
      <c r="MUN168" s="3"/>
      <c r="MUO168" s="3"/>
      <c r="MUP168" s="3"/>
      <c r="MUQ168" s="3"/>
      <c r="MUR168" s="3"/>
      <c r="MUS168" s="3"/>
      <c r="MUT168" s="3"/>
      <c r="MUU168" s="3"/>
      <c r="MUV168" s="3"/>
      <c r="MUW168" s="3"/>
      <c r="MUX168" s="3"/>
      <c r="MUY168" s="3"/>
      <c r="MUZ168" s="3"/>
      <c r="MVA168" s="3"/>
      <c r="MVB168" s="3"/>
      <c r="MVC168" s="3"/>
      <c r="MVD168" s="3"/>
      <c r="MVE168" s="3"/>
      <c r="MVF168" s="3"/>
      <c r="MVG168" s="3"/>
      <c r="MVH168" s="3"/>
      <c r="MVI168" s="3"/>
      <c r="MVJ168" s="3"/>
      <c r="MVK168" s="3"/>
      <c r="MVL168" s="3"/>
      <c r="MVM168" s="3"/>
      <c r="MVN168" s="3"/>
      <c r="MVO168" s="3"/>
      <c r="MVP168" s="3"/>
      <c r="MVQ168" s="3"/>
      <c r="MVR168" s="3"/>
      <c r="MVS168" s="3"/>
      <c r="MVT168" s="3"/>
      <c r="MVU168" s="3"/>
      <c r="MVV168" s="3"/>
      <c r="MVW168" s="3"/>
      <c r="MVX168" s="3"/>
      <c r="MVY168" s="3"/>
      <c r="MVZ168" s="3"/>
      <c r="MWA168" s="3"/>
      <c r="MWB168" s="3"/>
      <c r="MWC168" s="3"/>
      <c r="MWD168" s="3"/>
      <c r="MWE168" s="3"/>
      <c r="MWF168" s="3"/>
      <c r="MWG168" s="3"/>
      <c r="MWH168" s="3"/>
      <c r="MWI168" s="3"/>
      <c r="MWJ168" s="3"/>
      <c r="MWK168" s="3"/>
      <c r="MWL168" s="3"/>
      <c r="MWM168" s="3"/>
      <c r="MWN168" s="3"/>
      <c r="MWO168" s="3"/>
      <c r="MWP168" s="3"/>
      <c r="MWQ168" s="3"/>
      <c r="MWR168" s="3"/>
      <c r="MWS168" s="3"/>
      <c r="MWT168" s="3"/>
      <c r="MWU168" s="3"/>
      <c r="MWV168" s="3"/>
      <c r="MWW168" s="3"/>
      <c r="MWX168" s="3"/>
      <c r="MWY168" s="3"/>
      <c r="MWZ168" s="3"/>
      <c r="MXA168" s="3"/>
      <c r="MXB168" s="3"/>
      <c r="MXC168" s="3"/>
      <c r="MXD168" s="3"/>
      <c r="MXE168" s="3"/>
      <c r="MXF168" s="3"/>
      <c r="MXG168" s="3"/>
      <c r="MXH168" s="3"/>
      <c r="MXI168" s="3"/>
      <c r="MXJ168" s="3"/>
      <c r="MXK168" s="3"/>
      <c r="MXL168" s="3"/>
      <c r="MXM168" s="3"/>
      <c r="MXN168" s="3"/>
      <c r="MXO168" s="3"/>
      <c r="MXP168" s="3"/>
      <c r="MXQ168" s="3"/>
      <c r="MXR168" s="3"/>
      <c r="MXS168" s="3"/>
      <c r="MXT168" s="3"/>
      <c r="MXU168" s="3"/>
      <c r="MXV168" s="3"/>
      <c r="MXW168" s="3"/>
      <c r="MXX168" s="3"/>
      <c r="MXY168" s="3"/>
      <c r="MXZ168" s="3"/>
      <c r="MYA168" s="3"/>
      <c r="MYB168" s="3"/>
      <c r="MYC168" s="3"/>
      <c r="MYD168" s="3"/>
      <c r="MYE168" s="3"/>
      <c r="MYF168" s="3"/>
      <c r="MYG168" s="3"/>
      <c r="MYH168" s="3"/>
      <c r="MYI168" s="3"/>
      <c r="MYJ168" s="3"/>
      <c r="MYK168" s="3"/>
      <c r="MYL168" s="3"/>
      <c r="MYM168" s="3"/>
      <c r="MYN168" s="3"/>
      <c r="MYO168" s="3"/>
      <c r="MYP168" s="3"/>
      <c r="MYQ168" s="3"/>
      <c r="MYR168" s="3"/>
      <c r="MYS168" s="3"/>
      <c r="MYT168" s="3"/>
      <c r="MYU168" s="3"/>
      <c r="MYV168" s="3"/>
      <c r="MYW168" s="3"/>
      <c r="MYX168" s="3"/>
      <c r="MYY168" s="3"/>
      <c r="MYZ168" s="3"/>
      <c r="MZA168" s="3"/>
      <c r="MZB168" s="3"/>
      <c r="MZC168" s="3"/>
      <c r="MZD168" s="3"/>
      <c r="MZE168" s="3"/>
      <c r="MZF168" s="3"/>
      <c r="MZG168" s="3"/>
      <c r="MZH168" s="3"/>
      <c r="MZI168" s="3"/>
      <c r="MZJ168" s="3"/>
      <c r="MZK168" s="3"/>
      <c r="MZL168" s="3"/>
      <c r="MZM168" s="3"/>
      <c r="MZN168" s="3"/>
      <c r="MZO168" s="3"/>
      <c r="MZP168" s="3"/>
      <c r="MZQ168" s="3"/>
      <c r="MZR168" s="3"/>
      <c r="MZS168" s="3"/>
      <c r="MZT168" s="3"/>
      <c r="MZU168" s="3"/>
      <c r="MZV168" s="3"/>
      <c r="MZW168" s="3"/>
      <c r="MZX168" s="3"/>
      <c r="MZY168" s="3"/>
      <c r="MZZ168" s="3"/>
      <c r="NAA168" s="3"/>
      <c r="NAB168" s="3"/>
      <c r="NAC168" s="3"/>
      <c r="NAD168" s="3"/>
      <c r="NAE168" s="3"/>
      <c r="NAF168" s="3"/>
      <c r="NAG168" s="3"/>
      <c r="NAH168" s="3"/>
      <c r="NAI168" s="3"/>
      <c r="NAJ168" s="3"/>
      <c r="NAK168" s="3"/>
      <c r="NAL168" s="3"/>
      <c r="NAM168" s="3"/>
      <c r="NAN168" s="3"/>
      <c r="NAO168" s="3"/>
      <c r="NAP168" s="3"/>
      <c r="NAQ168" s="3"/>
      <c r="NAR168" s="3"/>
      <c r="NAS168" s="3"/>
      <c r="NAT168" s="3"/>
      <c r="NAU168" s="3"/>
      <c r="NAV168" s="3"/>
      <c r="NAW168" s="3"/>
      <c r="NAX168" s="3"/>
      <c r="NAY168" s="3"/>
      <c r="NAZ168" s="3"/>
      <c r="NBA168" s="3"/>
      <c r="NBB168" s="3"/>
      <c r="NBC168" s="3"/>
      <c r="NBD168" s="3"/>
      <c r="NBE168" s="3"/>
      <c r="NBF168" s="3"/>
      <c r="NBG168" s="3"/>
      <c r="NBH168" s="3"/>
      <c r="NBI168" s="3"/>
      <c r="NBJ168" s="3"/>
      <c r="NBK168" s="3"/>
      <c r="NBL168" s="3"/>
      <c r="NBM168" s="3"/>
      <c r="NBN168" s="3"/>
      <c r="NBO168" s="3"/>
      <c r="NBP168" s="3"/>
      <c r="NBQ168" s="3"/>
      <c r="NBR168" s="3"/>
      <c r="NBS168" s="3"/>
      <c r="NBT168" s="3"/>
      <c r="NBU168" s="3"/>
      <c r="NBV168" s="3"/>
      <c r="NBW168" s="3"/>
      <c r="NBX168" s="3"/>
      <c r="NBY168" s="3"/>
      <c r="NBZ168" s="3"/>
      <c r="NCA168" s="3"/>
      <c r="NCB168" s="3"/>
      <c r="NCC168" s="3"/>
      <c r="NCD168" s="3"/>
      <c r="NCE168" s="3"/>
      <c r="NCF168" s="3"/>
      <c r="NCG168" s="3"/>
      <c r="NCH168" s="3"/>
      <c r="NCI168" s="3"/>
      <c r="NCJ168" s="3"/>
      <c r="NCK168" s="3"/>
      <c r="NCL168" s="3"/>
      <c r="NCM168" s="3"/>
      <c r="NCN168" s="3"/>
      <c r="NCO168" s="3"/>
      <c r="NCP168" s="3"/>
      <c r="NCQ168" s="3"/>
      <c r="NCR168" s="3"/>
      <c r="NCS168" s="3"/>
      <c r="NCT168" s="3"/>
      <c r="NCU168" s="3"/>
      <c r="NCV168" s="3"/>
      <c r="NCW168" s="3"/>
      <c r="NCX168" s="3"/>
      <c r="NCY168" s="3"/>
      <c r="NCZ168" s="3"/>
      <c r="NDA168" s="3"/>
      <c r="NDB168" s="3"/>
      <c r="NDC168" s="3"/>
      <c r="NDD168" s="3"/>
      <c r="NDE168" s="3"/>
      <c r="NDF168" s="3"/>
      <c r="NDG168" s="3"/>
      <c r="NDH168" s="3"/>
      <c r="NDI168" s="3"/>
      <c r="NDJ168" s="3"/>
      <c r="NDK168" s="3"/>
      <c r="NDL168" s="3"/>
      <c r="NDM168" s="3"/>
      <c r="NDN168" s="3"/>
      <c r="NDO168" s="3"/>
      <c r="NDP168" s="3"/>
      <c r="NDQ168" s="3"/>
      <c r="NDR168" s="3"/>
      <c r="NDS168" s="3"/>
      <c r="NDT168" s="3"/>
      <c r="NDU168" s="3"/>
      <c r="NDV168" s="3"/>
      <c r="NDW168" s="3"/>
      <c r="NDX168" s="3"/>
      <c r="NDY168" s="3"/>
      <c r="NDZ168" s="3"/>
      <c r="NEA168" s="3"/>
      <c r="NEB168" s="3"/>
      <c r="NEC168" s="3"/>
      <c r="NED168" s="3"/>
      <c r="NEE168" s="3"/>
      <c r="NEF168" s="3"/>
      <c r="NEG168" s="3"/>
      <c r="NEH168" s="3"/>
      <c r="NEI168" s="3"/>
      <c r="NEJ168" s="3"/>
      <c r="NEK168" s="3"/>
      <c r="NEL168" s="3"/>
      <c r="NEM168" s="3"/>
      <c r="NEN168" s="3"/>
      <c r="NEO168" s="3"/>
      <c r="NEP168" s="3"/>
      <c r="NEQ168" s="3"/>
      <c r="NER168" s="3"/>
      <c r="NES168" s="3"/>
      <c r="NET168" s="3"/>
      <c r="NEU168" s="3"/>
      <c r="NEV168" s="3"/>
      <c r="NEW168" s="3"/>
      <c r="NEX168" s="3"/>
      <c r="NEY168" s="3"/>
      <c r="NEZ168" s="3"/>
      <c r="NFA168" s="3"/>
      <c r="NFB168" s="3"/>
      <c r="NFC168" s="3"/>
      <c r="NFD168" s="3"/>
      <c r="NFE168" s="3"/>
      <c r="NFF168" s="3"/>
      <c r="NFG168" s="3"/>
      <c r="NFH168" s="3"/>
      <c r="NFI168" s="3"/>
      <c r="NFJ168" s="3"/>
      <c r="NFK168" s="3"/>
      <c r="NFL168" s="3"/>
      <c r="NFM168" s="3"/>
      <c r="NFN168" s="3"/>
      <c r="NFO168" s="3"/>
      <c r="NFP168" s="3"/>
      <c r="NFQ168" s="3"/>
      <c r="NFR168" s="3"/>
      <c r="NFS168" s="3"/>
      <c r="NFT168" s="3"/>
      <c r="NFU168" s="3"/>
      <c r="NFV168" s="3"/>
      <c r="NFW168" s="3"/>
      <c r="NFX168" s="3"/>
      <c r="NFY168" s="3"/>
      <c r="NFZ168" s="3"/>
      <c r="NGA168" s="3"/>
      <c r="NGB168" s="3"/>
      <c r="NGC168" s="3"/>
      <c r="NGD168" s="3"/>
      <c r="NGE168" s="3"/>
      <c r="NGF168" s="3"/>
      <c r="NGG168" s="3"/>
      <c r="NGH168" s="3"/>
      <c r="NGI168" s="3"/>
      <c r="NGJ168" s="3"/>
      <c r="NGK168" s="3"/>
      <c r="NGL168" s="3"/>
      <c r="NGM168" s="3"/>
      <c r="NGN168" s="3"/>
      <c r="NGO168" s="3"/>
      <c r="NGP168" s="3"/>
      <c r="NGQ168" s="3"/>
      <c r="NGR168" s="3"/>
      <c r="NGS168" s="3"/>
      <c r="NGT168" s="3"/>
      <c r="NGU168" s="3"/>
      <c r="NGV168" s="3"/>
      <c r="NGW168" s="3"/>
      <c r="NGX168" s="3"/>
      <c r="NGY168" s="3"/>
      <c r="NGZ168" s="3"/>
      <c r="NHA168" s="3"/>
      <c r="NHB168" s="3"/>
      <c r="NHC168" s="3"/>
      <c r="NHD168" s="3"/>
      <c r="NHE168" s="3"/>
      <c r="NHF168" s="3"/>
      <c r="NHG168" s="3"/>
      <c r="NHH168" s="3"/>
      <c r="NHI168" s="3"/>
      <c r="NHJ168" s="3"/>
      <c r="NHK168" s="3"/>
      <c r="NHL168" s="3"/>
      <c r="NHM168" s="3"/>
      <c r="NHN168" s="3"/>
      <c r="NHO168" s="3"/>
      <c r="NHP168" s="3"/>
      <c r="NHQ168" s="3"/>
      <c r="NHR168" s="3"/>
      <c r="NHS168" s="3"/>
      <c r="NHT168" s="3"/>
      <c r="NHU168" s="3"/>
      <c r="NHV168" s="3"/>
      <c r="NHW168" s="3"/>
      <c r="NHX168" s="3"/>
      <c r="NHY168" s="3"/>
      <c r="NHZ168" s="3"/>
      <c r="NIA168" s="3"/>
      <c r="NIB168" s="3"/>
      <c r="NIC168" s="3"/>
      <c r="NID168" s="3"/>
      <c r="NIE168" s="3"/>
      <c r="NIF168" s="3"/>
      <c r="NIG168" s="3"/>
      <c r="NIH168" s="3"/>
      <c r="NII168" s="3"/>
      <c r="NIJ168" s="3"/>
      <c r="NIK168" s="3"/>
      <c r="NIL168" s="3"/>
      <c r="NIM168" s="3"/>
      <c r="NIN168" s="3"/>
      <c r="NIO168" s="3"/>
      <c r="NIP168" s="3"/>
      <c r="NIQ168" s="3"/>
      <c r="NIR168" s="3"/>
      <c r="NIS168" s="3"/>
      <c r="NIT168" s="3"/>
      <c r="NIU168" s="3"/>
      <c r="NIV168" s="3"/>
      <c r="NIW168" s="3"/>
      <c r="NIX168" s="3"/>
      <c r="NIY168" s="3"/>
      <c r="NIZ168" s="3"/>
      <c r="NJA168" s="3"/>
      <c r="NJB168" s="3"/>
      <c r="NJC168" s="3"/>
      <c r="NJD168" s="3"/>
      <c r="NJE168" s="3"/>
      <c r="NJF168" s="3"/>
      <c r="NJG168" s="3"/>
      <c r="NJH168" s="3"/>
      <c r="NJI168" s="3"/>
      <c r="NJJ168" s="3"/>
      <c r="NJK168" s="3"/>
      <c r="NJL168" s="3"/>
      <c r="NJM168" s="3"/>
      <c r="NJN168" s="3"/>
      <c r="NJO168" s="3"/>
      <c r="NJP168" s="3"/>
      <c r="NJQ168" s="3"/>
      <c r="NJR168" s="3"/>
      <c r="NJS168" s="3"/>
      <c r="NJT168" s="3"/>
      <c r="NJU168" s="3"/>
      <c r="NJV168" s="3"/>
      <c r="NJW168" s="3"/>
      <c r="NJX168" s="3"/>
      <c r="NJY168" s="3"/>
      <c r="NJZ168" s="3"/>
      <c r="NKA168" s="3"/>
      <c r="NKB168" s="3"/>
      <c r="NKC168" s="3"/>
      <c r="NKD168" s="3"/>
      <c r="NKE168" s="3"/>
      <c r="NKF168" s="3"/>
      <c r="NKG168" s="3"/>
      <c r="NKH168" s="3"/>
      <c r="NKI168" s="3"/>
      <c r="NKJ168" s="3"/>
      <c r="NKK168" s="3"/>
      <c r="NKL168" s="3"/>
      <c r="NKM168" s="3"/>
      <c r="NKN168" s="3"/>
      <c r="NKO168" s="3"/>
      <c r="NKP168" s="3"/>
      <c r="NKQ168" s="3"/>
      <c r="NKR168" s="3"/>
      <c r="NKS168" s="3"/>
      <c r="NKT168" s="3"/>
      <c r="NKU168" s="3"/>
      <c r="NKV168" s="3"/>
      <c r="NKW168" s="3"/>
      <c r="NKX168" s="3"/>
      <c r="NKY168" s="3"/>
      <c r="NKZ168" s="3"/>
      <c r="NLA168" s="3"/>
      <c r="NLB168" s="3"/>
      <c r="NLC168" s="3"/>
      <c r="NLD168" s="3"/>
      <c r="NLE168" s="3"/>
      <c r="NLF168" s="3"/>
      <c r="NLG168" s="3"/>
      <c r="NLH168" s="3"/>
      <c r="NLI168" s="3"/>
      <c r="NLJ168" s="3"/>
      <c r="NLK168" s="3"/>
      <c r="NLL168" s="3"/>
      <c r="NLM168" s="3"/>
      <c r="NLN168" s="3"/>
      <c r="NLO168" s="3"/>
      <c r="NLP168" s="3"/>
      <c r="NLQ168" s="3"/>
      <c r="NLR168" s="3"/>
      <c r="NLS168" s="3"/>
      <c r="NLT168" s="3"/>
      <c r="NLU168" s="3"/>
      <c r="NLV168" s="3"/>
      <c r="NLW168" s="3"/>
      <c r="NLX168" s="3"/>
      <c r="NLY168" s="3"/>
      <c r="NLZ168" s="3"/>
      <c r="NMA168" s="3"/>
      <c r="NMB168" s="3"/>
      <c r="NMC168" s="3"/>
      <c r="NMD168" s="3"/>
      <c r="NME168" s="3"/>
      <c r="NMF168" s="3"/>
      <c r="NMG168" s="3"/>
      <c r="NMH168" s="3"/>
      <c r="NMI168" s="3"/>
      <c r="NMJ168" s="3"/>
      <c r="NMK168" s="3"/>
      <c r="NML168" s="3"/>
      <c r="NMM168" s="3"/>
      <c r="NMN168" s="3"/>
      <c r="NMO168" s="3"/>
      <c r="NMP168" s="3"/>
      <c r="NMQ168" s="3"/>
      <c r="NMR168" s="3"/>
      <c r="NMS168" s="3"/>
      <c r="NMT168" s="3"/>
      <c r="NMU168" s="3"/>
      <c r="NMV168" s="3"/>
      <c r="NMW168" s="3"/>
      <c r="NMX168" s="3"/>
      <c r="NMY168" s="3"/>
      <c r="NMZ168" s="3"/>
      <c r="NNA168" s="3"/>
      <c r="NNB168" s="3"/>
      <c r="NNC168" s="3"/>
      <c r="NND168" s="3"/>
      <c r="NNE168" s="3"/>
      <c r="NNF168" s="3"/>
      <c r="NNG168" s="3"/>
      <c r="NNH168" s="3"/>
      <c r="NNI168" s="3"/>
      <c r="NNJ168" s="3"/>
      <c r="NNK168" s="3"/>
      <c r="NNL168" s="3"/>
      <c r="NNM168" s="3"/>
      <c r="NNN168" s="3"/>
      <c r="NNO168" s="3"/>
      <c r="NNP168" s="3"/>
      <c r="NNQ168" s="3"/>
      <c r="NNR168" s="3"/>
      <c r="NNS168" s="3"/>
      <c r="NNT168" s="3"/>
      <c r="NNU168" s="3"/>
      <c r="NNV168" s="3"/>
      <c r="NNW168" s="3"/>
      <c r="NNX168" s="3"/>
      <c r="NNY168" s="3"/>
      <c r="NNZ168" s="3"/>
      <c r="NOA168" s="3"/>
      <c r="NOB168" s="3"/>
      <c r="NOC168" s="3"/>
      <c r="NOD168" s="3"/>
      <c r="NOE168" s="3"/>
      <c r="NOF168" s="3"/>
      <c r="NOG168" s="3"/>
      <c r="NOH168" s="3"/>
      <c r="NOI168" s="3"/>
      <c r="NOJ168" s="3"/>
      <c r="NOK168" s="3"/>
      <c r="NOL168" s="3"/>
      <c r="NOM168" s="3"/>
      <c r="NON168" s="3"/>
      <c r="NOO168" s="3"/>
      <c r="NOP168" s="3"/>
      <c r="NOQ168" s="3"/>
      <c r="NOR168" s="3"/>
      <c r="NOS168" s="3"/>
      <c r="NOT168" s="3"/>
      <c r="NOU168" s="3"/>
      <c r="NOV168" s="3"/>
      <c r="NOW168" s="3"/>
      <c r="NOX168" s="3"/>
      <c r="NOY168" s="3"/>
      <c r="NOZ168" s="3"/>
      <c r="NPA168" s="3"/>
      <c r="NPB168" s="3"/>
      <c r="NPC168" s="3"/>
      <c r="NPD168" s="3"/>
      <c r="NPE168" s="3"/>
      <c r="NPF168" s="3"/>
      <c r="NPG168" s="3"/>
      <c r="NPH168" s="3"/>
      <c r="NPI168" s="3"/>
      <c r="NPJ168" s="3"/>
      <c r="NPK168" s="3"/>
      <c r="NPL168" s="3"/>
      <c r="NPM168" s="3"/>
      <c r="NPN168" s="3"/>
      <c r="NPO168" s="3"/>
      <c r="NPP168" s="3"/>
      <c r="NPQ168" s="3"/>
      <c r="NPR168" s="3"/>
      <c r="NPS168" s="3"/>
      <c r="NPT168" s="3"/>
      <c r="NPU168" s="3"/>
      <c r="NPV168" s="3"/>
      <c r="NPW168" s="3"/>
      <c r="NPX168" s="3"/>
      <c r="NPY168" s="3"/>
      <c r="NPZ168" s="3"/>
      <c r="NQA168" s="3"/>
      <c r="NQB168" s="3"/>
      <c r="NQC168" s="3"/>
      <c r="NQD168" s="3"/>
      <c r="NQE168" s="3"/>
      <c r="NQF168" s="3"/>
      <c r="NQG168" s="3"/>
      <c r="NQH168" s="3"/>
      <c r="NQI168" s="3"/>
      <c r="NQJ168" s="3"/>
      <c r="NQK168" s="3"/>
      <c r="NQL168" s="3"/>
      <c r="NQM168" s="3"/>
      <c r="NQN168" s="3"/>
      <c r="NQO168" s="3"/>
      <c r="NQP168" s="3"/>
      <c r="NQQ168" s="3"/>
      <c r="NQR168" s="3"/>
      <c r="NQS168" s="3"/>
      <c r="NQT168" s="3"/>
      <c r="NQU168" s="3"/>
      <c r="NQV168" s="3"/>
      <c r="NQW168" s="3"/>
      <c r="NQX168" s="3"/>
      <c r="NQY168" s="3"/>
      <c r="NQZ168" s="3"/>
      <c r="NRA168" s="3"/>
      <c r="NRB168" s="3"/>
      <c r="NRC168" s="3"/>
      <c r="NRD168" s="3"/>
      <c r="NRE168" s="3"/>
      <c r="NRF168" s="3"/>
      <c r="NRG168" s="3"/>
      <c r="NRH168" s="3"/>
      <c r="NRI168" s="3"/>
      <c r="NRJ168" s="3"/>
      <c r="NRK168" s="3"/>
      <c r="NRL168" s="3"/>
      <c r="NRM168" s="3"/>
      <c r="NRN168" s="3"/>
      <c r="NRO168" s="3"/>
      <c r="NRP168" s="3"/>
      <c r="NRQ168" s="3"/>
      <c r="NRR168" s="3"/>
      <c r="NRS168" s="3"/>
      <c r="NRT168" s="3"/>
      <c r="NRU168" s="3"/>
      <c r="NRV168" s="3"/>
      <c r="NRW168" s="3"/>
      <c r="NRX168" s="3"/>
      <c r="NRY168" s="3"/>
      <c r="NRZ168" s="3"/>
      <c r="NSA168" s="3"/>
      <c r="NSB168" s="3"/>
      <c r="NSC168" s="3"/>
      <c r="NSD168" s="3"/>
      <c r="NSE168" s="3"/>
      <c r="NSF168" s="3"/>
      <c r="NSG168" s="3"/>
      <c r="NSH168" s="3"/>
      <c r="NSI168" s="3"/>
      <c r="NSJ168" s="3"/>
      <c r="NSK168" s="3"/>
      <c r="NSL168" s="3"/>
      <c r="NSM168" s="3"/>
      <c r="NSN168" s="3"/>
      <c r="NSO168" s="3"/>
      <c r="NSP168" s="3"/>
      <c r="NSQ168" s="3"/>
      <c r="NSR168" s="3"/>
      <c r="NSS168" s="3"/>
      <c r="NST168" s="3"/>
      <c r="NSU168" s="3"/>
      <c r="NSV168" s="3"/>
      <c r="NSW168" s="3"/>
      <c r="NSX168" s="3"/>
      <c r="NSY168" s="3"/>
      <c r="NSZ168" s="3"/>
      <c r="NTA168" s="3"/>
      <c r="NTB168" s="3"/>
      <c r="NTC168" s="3"/>
      <c r="NTD168" s="3"/>
      <c r="NTE168" s="3"/>
      <c r="NTF168" s="3"/>
      <c r="NTG168" s="3"/>
      <c r="NTH168" s="3"/>
      <c r="NTI168" s="3"/>
      <c r="NTJ168" s="3"/>
      <c r="NTK168" s="3"/>
      <c r="NTL168" s="3"/>
      <c r="NTM168" s="3"/>
      <c r="NTN168" s="3"/>
      <c r="NTO168" s="3"/>
      <c r="NTP168" s="3"/>
      <c r="NTQ168" s="3"/>
      <c r="NTR168" s="3"/>
      <c r="NTS168" s="3"/>
      <c r="NTT168" s="3"/>
      <c r="NTU168" s="3"/>
      <c r="NTV168" s="3"/>
      <c r="NTW168" s="3"/>
      <c r="NTX168" s="3"/>
      <c r="NTY168" s="3"/>
      <c r="NTZ168" s="3"/>
      <c r="NUA168" s="3"/>
      <c r="NUB168" s="3"/>
      <c r="NUC168" s="3"/>
      <c r="NUD168" s="3"/>
      <c r="NUE168" s="3"/>
      <c r="NUF168" s="3"/>
      <c r="NUG168" s="3"/>
      <c r="NUH168" s="3"/>
      <c r="NUI168" s="3"/>
      <c r="NUJ168" s="3"/>
      <c r="NUK168" s="3"/>
      <c r="NUL168" s="3"/>
      <c r="NUM168" s="3"/>
      <c r="NUN168" s="3"/>
      <c r="NUO168" s="3"/>
      <c r="NUP168" s="3"/>
      <c r="NUQ168" s="3"/>
      <c r="NUR168" s="3"/>
      <c r="NUS168" s="3"/>
      <c r="NUT168" s="3"/>
      <c r="NUU168" s="3"/>
      <c r="NUV168" s="3"/>
      <c r="NUW168" s="3"/>
      <c r="NUX168" s="3"/>
      <c r="NUY168" s="3"/>
      <c r="NUZ168" s="3"/>
      <c r="NVA168" s="3"/>
      <c r="NVB168" s="3"/>
      <c r="NVC168" s="3"/>
      <c r="NVD168" s="3"/>
      <c r="NVE168" s="3"/>
      <c r="NVF168" s="3"/>
      <c r="NVG168" s="3"/>
      <c r="NVH168" s="3"/>
      <c r="NVI168" s="3"/>
      <c r="NVJ168" s="3"/>
      <c r="NVK168" s="3"/>
      <c r="NVL168" s="3"/>
      <c r="NVM168" s="3"/>
      <c r="NVN168" s="3"/>
      <c r="NVO168" s="3"/>
      <c r="NVP168" s="3"/>
      <c r="NVQ168" s="3"/>
      <c r="NVR168" s="3"/>
      <c r="NVS168" s="3"/>
      <c r="NVT168" s="3"/>
      <c r="NVU168" s="3"/>
      <c r="NVV168" s="3"/>
      <c r="NVW168" s="3"/>
      <c r="NVX168" s="3"/>
      <c r="NVY168" s="3"/>
      <c r="NVZ168" s="3"/>
      <c r="NWA168" s="3"/>
      <c r="NWB168" s="3"/>
      <c r="NWC168" s="3"/>
      <c r="NWD168" s="3"/>
      <c r="NWE168" s="3"/>
      <c r="NWF168" s="3"/>
      <c r="NWG168" s="3"/>
      <c r="NWH168" s="3"/>
      <c r="NWI168" s="3"/>
      <c r="NWJ168" s="3"/>
      <c r="NWK168" s="3"/>
      <c r="NWL168" s="3"/>
      <c r="NWM168" s="3"/>
      <c r="NWN168" s="3"/>
      <c r="NWO168" s="3"/>
      <c r="NWP168" s="3"/>
      <c r="NWQ168" s="3"/>
      <c r="NWR168" s="3"/>
      <c r="NWS168" s="3"/>
      <c r="NWT168" s="3"/>
      <c r="NWU168" s="3"/>
      <c r="NWV168" s="3"/>
      <c r="NWW168" s="3"/>
      <c r="NWX168" s="3"/>
      <c r="NWY168" s="3"/>
      <c r="NWZ168" s="3"/>
      <c r="NXA168" s="3"/>
      <c r="NXB168" s="3"/>
      <c r="NXC168" s="3"/>
      <c r="NXD168" s="3"/>
      <c r="NXE168" s="3"/>
      <c r="NXF168" s="3"/>
      <c r="NXG168" s="3"/>
      <c r="NXH168" s="3"/>
      <c r="NXI168" s="3"/>
      <c r="NXJ168" s="3"/>
      <c r="NXK168" s="3"/>
      <c r="NXL168" s="3"/>
      <c r="NXM168" s="3"/>
      <c r="NXN168" s="3"/>
      <c r="NXO168" s="3"/>
      <c r="NXP168" s="3"/>
      <c r="NXQ168" s="3"/>
      <c r="NXR168" s="3"/>
      <c r="NXS168" s="3"/>
      <c r="NXT168" s="3"/>
      <c r="NXU168" s="3"/>
      <c r="NXV168" s="3"/>
      <c r="NXW168" s="3"/>
      <c r="NXX168" s="3"/>
      <c r="NXY168" s="3"/>
      <c r="NXZ168" s="3"/>
      <c r="NYA168" s="3"/>
      <c r="NYB168" s="3"/>
      <c r="NYC168" s="3"/>
      <c r="NYD168" s="3"/>
      <c r="NYE168" s="3"/>
      <c r="NYF168" s="3"/>
      <c r="NYG168" s="3"/>
      <c r="NYH168" s="3"/>
      <c r="NYI168" s="3"/>
      <c r="NYJ168" s="3"/>
      <c r="NYK168" s="3"/>
      <c r="NYL168" s="3"/>
      <c r="NYM168" s="3"/>
      <c r="NYN168" s="3"/>
      <c r="NYO168" s="3"/>
      <c r="NYP168" s="3"/>
      <c r="NYQ168" s="3"/>
      <c r="NYR168" s="3"/>
      <c r="NYS168" s="3"/>
      <c r="NYT168" s="3"/>
      <c r="NYU168" s="3"/>
      <c r="NYV168" s="3"/>
      <c r="NYW168" s="3"/>
      <c r="NYX168" s="3"/>
      <c r="NYY168" s="3"/>
      <c r="NYZ168" s="3"/>
      <c r="NZA168" s="3"/>
      <c r="NZB168" s="3"/>
      <c r="NZC168" s="3"/>
      <c r="NZD168" s="3"/>
      <c r="NZE168" s="3"/>
      <c r="NZF168" s="3"/>
      <c r="NZG168" s="3"/>
      <c r="NZH168" s="3"/>
      <c r="NZI168" s="3"/>
      <c r="NZJ168" s="3"/>
      <c r="NZK168" s="3"/>
      <c r="NZL168" s="3"/>
      <c r="NZM168" s="3"/>
      <c r="NZN168" s="3"/>
      <c r="NZO168" s="3"/>
      <c r="NZP168" s="3"/>
      <c r="NZQ168" s="3"/>
      <c r="NZR168" s="3"/>
      <c r="NZS168" s="3"/>
      <c r="NZT168" s="3"/>
      <c r="NZU168" s="3"/>
      <c r="NZV168" s="3"/>
      <c r="NZW168" s="3"/>
      <c r="NZX168" s="3"/>
      <c r="NZY168" s="3"/>
      <c r="NZZ168" s="3"/>
      <c r="OAA168" s="3"/>
      <c r="OAB168" s="3"/>
      <c r="OAC168" s="3"/>
      <c r="OAD168" s="3"/>
      <c r="OAE168" s="3"/>
      <c r="OAF168" s="3"/>
      <c r="OAG168" s="3"/>
      <c r="OAH168" s="3"/>
      <c r="OAI168" s="3"/>
      <c r="OAJ168" s="3"/>
      <c r="OAK168" s="3"/>
      <c r="OAL168" s="3"/>
      <c r="OAM168" s="3"/>
      <c r="OAN168" s="3"/>
      <c r="OAO168" s="3"/>
      <c r="OAP168" s="3"/>
      <c r="OAQ168" s="3"/>
      <c r="OAR168" s="3"/>
      <c r="OAS168" s="3"/>
      <c r="OAT168" s="3"/>
      <c r="OAU168" s="3"/>
      <c r="OAV168" s="3"/>
      <c r="OAW168" s="3"/>
      <c r="OAX168" s="3"/>
      <c r="OAY168" s="3"/>
      <c r="OAZ168" s="3"/>
      <c r="OBA168" s="3"/>
      <c r="OBB168" s="3"/>
      <c r="OBC168" s="3"/>
      <c r="OBD168" s="3"/>
      <c r="OBE168" s="3"/>
      <c r="OBF168" s="3"/>
      <c r="OBG168" s="3"/>
      <c r="OBH168" s="3"/>
      <c r="OBI168" s="3"/>
      <c r="OBJ168" s="3"/>
      <c r="OBK168" s="3"/>
      <c r="OBL168" s="3"/>
      <c r="OBM168" s="3"/>
      <c r="OBN168" s="3"/>
      <c r="OBO168" s="3"/>
      <c r="OBP168" s="3"/>
      <c r="OBQ168" s="3"/>
      <c r="OBR168" s="3"/>
      <c r="OBS168" s="3"/>
      <c r="OBT168" s="3"/>
      <c r="OBU168" s="3"/>
      <c r="OBV168" s="3"/>
      <c r="OBW168" s="3"/>
      <c r="OBX168" s="3"/>
      <c r="OBY168" s="3"/>
      <c r="OBZ168" s="3"/>
      <c r="OCA168" s="3"/>
      <c r="OCB168" s="3"/>
      <c r="OCC168" s="3"/>
      <c r="OCD168" s="3"/>
      <c r="OCE168" s="3"/>
      <c r="OCF168" s="3"/>
      <c r="OCG168" s="3"/>
      <c r="OCH168" s="3"/>
      <c r="OCI168" s="3"/>
      <c r="OCJ168" s="3"/>
      <c r="OCK168" s="3"/>
      <c r="OCL168" s="3"/>
      <c r="OCM168" s="3"/>
      <c r="OCN168" s="3"/>
      <c r="OCO168" s="3"/>
      <c r="OCP168" s="3"/>
      <c r="OCQ168" s="3"/>
      <c r="OCR168" s="3"/>
      <c r="OCS168" s="3"/>
      <c r="OCT168" s="3"/>
      <c r="OCU168" s="3"/>
      <c r="OCV168" s="3"/>
      <c r="OCW168" s="3"/>
      <c r="OCX168" s="3"/>
      <c r="OCY168" s="3"/>
      <c r="OCZ168" s="3"/>
      <c r="ODA168" s="3"/>
      <c r="ODB168" s="3"/>
      <c r="ODC168" s="3"/>
      <c r="ODD168" s="3"/>
      <c r="ODE168" s="3"/>
      <c r="ODF168" s="3"/>
      <c r="ODG168" s="3"/>
      <c r="ODH168" s="3"/>
      <c r="ODI168" s="3"/>
      <c r="ODJ168" s="3"/>
      <c r="ODK168" s="3"/>
      <c r="ODL168" s="3"/>
      <c r="ODM168" s="3"/>
      <c r="ODN168" s="3"/>
      <c r="ODO168" s="3"/>
      <c r="ODP168" s="3"/>
      <c r="ODQ168" s="3"/>
      <c r="ODR168" s="3"/>
      <c r="ODS168" s="3"/>
      <c r="ODT168" s="3"/>
      <c r="ODU168" s="3"/>
      <c r="ODV168" s="3"/>
      <c r="ODW168" s="3"/>
      <c r="ODX168" s="3"/>
      <c r="ODY168" s="3"/>
      <c r="ODZ168" s="3"/>
      <c r="OEA168" s="3"/>
      <c r="OEB168" s="3"/>
      <c r="OEC168" s="3"/>
      <c r="OED168" s="3"/>
      <c r="OEE168" s="3"/>
      <c r="OEF168" s="3"/>
      <c r="OEG168" s="3"/>
      <c r="OEH168" s="3"/>
      <c r="OEI168" s="3"/>
      <c r="OEJ168" s="3"/>
      <c r="OEK168" s="3"/>
      <c r="OEL168" s="3"/>
      <c r="OEM168" s="3"/>
      <c r="OEN168" s="3"/>
      <c r="OEO168" s="3"/>
      <c r="OEP168" s="3"/>
      <c r="OEQ168" s="3"/>
      <c r="OER168" s="3"/>
      <c r="OES168" s="3"/>
      <c r="OET168" s="3"/>
      <c r="OEU168" s="3"/>
      <c r="OEV168" s="3"/>
      <c r="OEW168" s="3"/>
      <c r="OEX168" s="3"/>
      <c r="OEY168" s="3"/>
      <c r="OEZ168" s="3"/>
      <c r="OFA168" s="3"/>
      <c r="OFB168" s="3"/>
      <c r="OFC168" s="3"/>
      <c r="OFD168" s="3"/>
      <c r="OFE168" s="3"/>
      <c r="OFF168" s="3"/>
      <c r="OFG168" s="3"/>
      <c r="OFH168" s="3"/>
      <c r="OFI168" s="3"/>
      <c r="OFJ168" s="3"/>
      <c r="OFK168" s="3"/>
      <c r="OFL168" s="3"/>
      <c r="OFM168" s="3"/>
      <c r="OFN168" s="3"/>
      <c r="OFO168" s="3"/>
      <c r="OFP168" s="3"/>
      <c r="OFQ168" s="3"/>
      <c r="OFR168" s="3"/>
      <c r="OFS168" s="3"/>
      <c r="OFT168" s="3"/>
      <c r="OFU168" s="3"/>
      <c r="OFV168" s="3"/>
      <c r="OFW168" s="3"/>
      <c r="OFX168" s="3"/>
      <c r="OFY168" s="3"/>
      <c r="OFZ168" s="3"/>
      <c r="OGA168" s="3"/>
      <c r="OGB168" s="3"/>
      <c r="OGC168" s="3"/>
      <c r="OGD168" s="3"/>
      <c r="OGE168" s="3"/>
      <c r="OGF168" s="3"/>
      <c r="OGG168" s="3"/>
      <c r="OGH168" s="3"/>
      <c r="OGI168" s="3"/>
      <c r="OGJ168" s="3"/>
      <c r="OGK168" s="3"/>
      <c r="OGL168" s="3"/>
      <c r="OGM168" s="3"/>
      <c r="OGN168" s="3"/>
      <c r="OGO168" s="3"/>
      <c r="OGP168" s="3"/>
      <c r="OGQ168" s="3"/>
      <c r="OGR168" s="3"/>
      <c r="OGS168" s="3"/>
      <c r="OGT168" s="3"/>
      <c r="OGU168" s="3"/>
      <c r="OGV168" s="3"/>
      <c r="OGW168" s="3"/>
      <c r="OGX168" s="3"/>
      <c r="OGY168" s="3"/>
      <c r="OGZ168" s="3"/>
      <c r="OHA168" s="3"/>
      <c r="OHB168" s="3"/>
      <c r="OHC168" s="3"/>
      <c r="OHD168" s="3"/>
      <c r="OHE168" s="3"/>
      <c r="OHF168" s="3"/>
      <c r="OHG168" s="3"/>
      <c r="OHH168" s="3"/>
      <c r="OHI168" s="3"/>
      <c r="OHJ168" s="3"/>
      <c r="OHK168" s="3"/>
      <c r="OHL168" s="3"/>
      <c r="OHM168" s="3"/>
      <c r="OHN168" s="3"/>
      <c r="OHO168" s="3"/>
      <c r="OHP168" s="3"/>
      <c r="OHQ168" s="3"/>
      <c r="OHR168" s="3"/>
      <c r="OHS168" s="3"/>
      <c r="OHT168" s="3"/>
      <c r="OHU168" s="3"/>
      <c r="OHV168" s="3"/>
      <c r="OHW168" s="3"/>
      <c r="OHX168" s="3"/>
      <c r="OHY168" s="3"/>
      <c r="OHZ168" s="3"/>
      <c r="OIA168" s="3"/>
      <c r="OIB168" s="3"/>
      <c r="OIC168" s="3"/>
      <c r="OID168" s="3"/>
      <c r="OIE168" s="3"/>
      <c r="OIF168" s="3"/>
      <c r="OIG168" s="3"/>
      <c r="OIH168" s="3"/>
      <c r="OII168" s="3"/>
      <c r="OIJ168" s="3"/>
      <c r="OIK168" s="3"/>
      <c r="OIL168" s="3"/>
      <c r="OIM168" s="3"/>
      <c r="OIN168" s="3"/>
      <c r="OIO168" s="3"/>
      <c r="OIP168" s="3"/>
      <c r="OIQ168" s="3"/>
      <c r="OIR168" s="3"/>
      <c r="OIS168" s="3"/>
      <c r="OIT168" s="3"/>
      <c r="OIU168" s="3"/>
      <c r="OIV168" s="3"/>
      <c r="OIW168" s="3"/>
      <c r="OIX168" s="3"/>
      <c r="OIY168" s="3"/>
      <c r="OIZ168" s="3"/>
      <c r="OJA168" s="3"/>
      <c r="OJB168" s="3"/>
      <c r="OJC168" s="3"/>
      <c r="OJD168" s="3"/>
      <c r="OJE168" s="3"/>
      <c r="OJF168" s="3"/>
      <c r="OJG168" s="3"/>
      <c r="OJH168" s="3"/>
      <c r="OJI168" s="3"/>
      <c r="OJJ168" s="3"/>
      <c r="OJK168" s="3"/>
      <c r="OJL168" s="3"/>
      <c r="OJM168" s="3"/>
      <c r="OJN168" s="3"/>
      <c r="OJO168" s="3"/>
      <c r="OJP168" s="3"/>
      <c r="OJQ168" s="3"/>
      <c r="OJR168" s="3"/>
      <c r="OJS168" s="3"/>
      <c r="OJT168" s="3"/>
      <c r="OJU168" s="3"/>
      <c r="OJV168" s="3"/>
      <c r="OJW168" s="3"/>
      <c r="OJX168" s="3"/>
      <c r="OJY168" s="3"/>
      <c r="OJZ168" s="3"/>
      <c r="OKA168" s="3"/>
      <c r="OKB168" s="3"/>
      <c r="OKC168" s="3"/>
      <c r="OKD168" s="3"/>
      <c r="OKE168" s="3"/>
      <c r="OKF168" s="3"/>
      <c r="OKG168" s="3"/>
      <c r="OKH168" s="3"/>
      <c r="OKI168" s="3"/>
      <c r="OKJ168" s="3"/>
      <c r="OKK168" s="3"/>
      <c r="OKL168" s="3"/>
      <c r="OKM168" s="3"/>
      <c r="OKN168" s="3"/>
      <c r="OKO168" s="3"/>
      <c r="OKP168" s="3"/>
      <c r="OKQ168" s="3"/>
      <c r="OKR168" s="3"/>
      <c r="OKS168" s="3"/>
      <c r="OKT168" s="3"/>
      <c r="OKU168" s="3"/>
      <c r="OKV168" s="3"/>
      <c r="OKW168" s="3"/>
      <c r="OKX168" s="3"/>
      <c r="OKY168" s="3"/>
      <c r="OKZ168" s="3"/>
      <c r="OLA168" s="3"/>
      <c r="OLB168" s="3"/>
      <c r="OLC168" s="3"/>
      <c r="OLD168" s="3"/>
      <c r="OLE168" s="3"/>
      <c r="OLF168" s="3"/>
      <c r="OLG168" s="3"/>
      <c r="OLH168" s="3"/>
      <c r="OLI168" s="3"/>
      <c r="OLJ168" s="3"/>
      <c r="OLK168" s="3"/>
      <c r="OLL168" s="3"/>
      <c r="OLM168" s="3"/>
      <c r="OLN168" s="3"/>
      <c r="OLO168" s="3"/>
      <c r="OLP168" s="3"/>
      <c r="OLQ168" s="3"/>
      <c r="OLR168" s="3"/>
      <c r="OLS168" s="3"/>
      <c r="OLT168" s="3"/>
      <c r="OLU168" s="3"/>
      <c r="OLV168" s="3"/>
      <c r="OLW168" s="3"/>
      <c r="OLX168" s="3"/>
      <c r="OLY168" s="3"/>
      <c r="OLZ168" s="3"/>
      <c r="OMA168" s="3"/>
      <c r="OMB168" s="3"/>
      <c r="OMC168" s="3"/>
      <c r="OMD168" s="3"/>
      <c r="OME168" s="3"/>
      <c r="OMF168" s="3"/>
      <c r="OMG168" s="3"/>
      <c r="OMH168" s="3"/>
      <c r="OMI168" s="3"/>
      <c r="OMJ168" s="3"/>
      <c r="OMK168" s="3"/>
      <c r="OML168" s="3"/>
      <c r="OMM168" s="3"/>
      <c r="OMN168" s="3"/>
      <c r="OMO168" s="3"/>
      <c r="OMP168" s="3"/>
      <c r="OMQ168" s="3"/>
      <c r="OMR168" s="3"/>
      <c r="OMS168" s="3"/>
      <c r="OMT168" s="3"/>
      <c r="OMU168" s="3"/>
      <c r="OMV168" s="3"/>
      <c r="OMW168" s="3"/>
      <c r="OMX168" s="3"/>
      <c r="OMY168" s="3"/>
      <c r="OMZ168" s="3"/>
      <c r="ONA168" s="3"/>
      <c r="ONB168" s="3"/>
      <c r="ONC168" s="3"/>
      <c r="OND168" s="3"/>
      <c r="ONE168" s="3"/>
      <c r="ONF168" s="3"/>
      <c r="ONG168" s="3"/>
      <c r="ONH168" s="3"/>
      <c r="ONI168" s="3"/>
      <c r="ONJ168" s="3"/>
      <c r="ONK168" s="3"/>
      <c r="ONL168" s="3"/>
      <c r="ONM168" s="3"/>
      <c r="ONN168" s="3"/>
      <c r="ONO168" s="3"/>
      <c r="ONP168" s="3"/>
      <c r="ONQ168" s="3"/>
      <c r="ONR168" s="3"/>
      <c r="ONS168" s="3"/>
      <c r="ONT168" s="3"/>
      <c r="ONU168" s="3"/>
      <c r="ONV168" s="3"/>
      <c r="ONW168" s="3"/>
      <c r="ONX168" s="3"/>
      <c r="ONY168" s="3"/>
      <c r="ONZ168" s="3"/>
      <c r="OOA168" s="3"/>
      <c r="OOB168" s="3"/>
      <c r="OOC168" s="3"/>
      <c r="OOD168" s="3"/>
      <c r="OOE168" s="3"/>
      <c r="OOF168" s="3"/>
      <c r="OOG168" s="3"/>
      <c r="OOH168" s="3"/>
      <c r="OOI168" s="3"/>
      <c r="OOJ168" s="3"/>
      <c r="OOK168" s="3"/>
      <c r="OOL168" s="3"/>
      <c r="OOM168" s="3"/>
      <c r="OON168" s="3"/>
      <c r="OOO168" s="3"/>
      <c r="OOP168" s="3"/>
      <c r="OOQ168" s="3"/>
      <c r="OOR168" s="3"/>
      <c r="OOS168" s="3"/>
      <c r="OOT168" s="3"/>
      <c r="OOU168" s="3"/>
      <c r="OOV168" s="3"/>
      <c r="OOW168" s="3"/>
      <c r="OOX168" s="3"/>
      <c r="OOY168" s="3"/>
      <c r="OOZ168" s="3"/>
      <c r="OPA168" s="3"/>
      <c r="OPB168" s="3"/>
      <c r="OPC168" s="3"/>
      <c r="OPD168" s="3"/>
      <c r="OPE168" s="3"/>
      <c r="OPF168" s="3"/>
      <c r="OPG168" s="3"/>
      <c r="OPH168" s="3"/>
      <c r="OPI168" s="3"/>
      <c r="OPJ168" s="3"/>
      <c r="OPK168" s="3"/>
      <c r="OPL168" s="3"/>
      <c r="OPM168" s="3"/>
      <c r="OPN168" s="3"/>
      <c r="OPO168" s="3"/>
      <c r="OPP168" s="3"/>
      <c r="OPQ168" s="3"/>
      <c r="OPR168" s="3"/>
      <c r="OPS168" s="3"/>
      <c r="OPT168" s="3"/>
      <c r="OPU168" s="3"/>
      <c r="OPV168" s="3"/>
      <c r="OPW168" s="3"/>
      <c r="OPX168" s="3"/>
      <c r="OPY168" s="3"/>
      <c r="OPZ168" s="3"/>
      <c r="OQA168" s="3"/>
      <c r="OQB168" s="3"/>
      <c r="OQC168" s="3"/>
      <c r="OQD168" s="3"/>
      <c r="OQE168" s="3"/>
      <c r="OQF168" s="3"/>
      <c r="OQG168" s="3"/>
      <c r="OQH168" s="3"/>
      <c r="OQI168" s="3"/>
      <c r="OQJ168" s="3"/>
      <c r="OQK168" s="3"/>
      <c r="OQL168" s="3"/>
      <c r="OQM168" s="3"/>
      <c r="OQN168" s="3"/>
      <c r="OQO168" s="3"/>
      <c r="OQP168" s="3"/>
      <c r="OQQ168" s="3"/>
      <c r="OQR168" s="3"/>
      <c r="OQS168" s="3"/>
      <c r="OQT168" s="3"/>
      <c r="OQU168" s="3"/>
      <c r="OQV168" s="3"/>
      <c r="OQW168" s="3"/>
      <c r="OQX168" s="3"/>
      <c r="OQY168" s="3"/>
      <c r="OQZ168" s="3"/>
      <c r="ORA168" s="3"/>
      <c r="ORB168" s="3"/>
      <c r="ORC168" s="3"/>
      <c r="ORD168" s="3"/>
      <c r="ORE168" s="3"/>
      <c r="ORF168" s="3"/>
      <c r="ORG168" s="3"/>
      <c r="ORH168" s="3"/>
      <c r="ORI168" s="3"/>
      <c r="ORJ168" s="3"/>
      <c r="ORK168" s="3"/>
      <c r="ORL168" s="3"/>
      <c r="ORM168" s="3"/>
      <c r="ORN168" s="3"/>
      <c r="ORO168" s="3"/>
      <c r="ORP168" s="3"/>
      <c r="ORQ168" s="3"/>
      <c r="ORR168" s="3"/>
      <c r="ORS168" s="3"/>
      <c r="ORT168" s="3"/>
      <c r="ORU168" s="3"/>
      <c r="ORV168" s="3"/>
      <c r="ORW168" s="3"/>
      <c r="ORX168" s="3"/>
      <c r="ORY168" s="3"/>
      <c r="ORZ168" s="3"/>
      <c r="OSA168" s="3"/>
      <c r="OSB168" s="3"/>
      <c r="OSC168" s="3"/>
      <c r="OSD168" s="3"/>
      <c r="OSE168" s="3"/>
      <c r="OSF168" s="3"/>
      <c r="OSG168" s="3"/>
      <c r="OSH168" s="3"/>
      <c r="OSI168" s="3"/>
      <c r="OSJ168" s="3"/>
      <c r="OSK168" s="3"/>
      <c r="OSL168" s="3"/>
      <c r="OSM168" s="3"/>
      <c r="OSN168" s="3"/>
      <c r="OSO168" s="3"/>
      <c r="OSP168" s="3"/>
      <c r="OSQ168" s="3"/>
      <c r="OSR168" s="3"/>
      <c r="OSS168" s="3"/>
      <c r="OST168" s="3"/>
      <c r="OSU168" s="3"/>
      <c r="OSV168" s="3"/>
      <c r="OSW168" s="3"/>
      <c r="OSX168" s="3"/>
      <c r="OSY168" s="3"/>
      <c r="OSZ168" s="3"/>
      <c r="OTA168" s="3"/>
      <c r="OTB168" s="3"/>
      <c r="OTC168" s="3"/>
      <c r="OTD168" s="3"/>
      <c r="OTE168" s="3"/>
      <c r="OTF168" s="3"/>
      <c r="OTG168" s="3"/>
      <c r="OTH168" s="3"/>
      <c r="OTI168" s="3"/>
      <c r="OTJ168" s="3"/>
      <c r="OTK168" s="3"/>
      <c r="OTL168" s="3"/>
      <c r="OTM168" s="3"/>
      <c r="OTN168" s="3"/>
      <c r="OTO168" s="3"/>
      <c r="OTP168" s="3"/>
      <c r="OTQ168" s="3"/>
      <c r="OTR168" s="3"/>
      <c r="OTS168" s="3"/>
      <c r="OTT168" s="3"/>
      <c r="OTU168" s="3"/>
      <c r="OTV168" s="3"/>
      <c r="OTW168" s="3"/>
      <c r="OTX168" s="3"/>
      <c r="OTY168" s="3"/>
      <c r="OTZ168" s="3"/>
      <c r="OUA168" s="3"/>
      <c r="OUB168" s="3"/>
      <c r="OUC168" s="3"/>
      <c r="OUD168" s="3"/>
      <c r="OUE168" s="3"/>
      <c r="OUF168" s="3"/>
      <c r="OUG168" s="3"/>
      <c r="OUH168" s="3"/>
      <c r="OUI168" s="3"/>
      <c r="OUJ168" s="3"/>
      <c r="OUK168" s="3"/>
      <c r="OUL168" s="3"/>
      <c r="OUM168" s="3"/>
      <c r="OUN168" s="3"/>
      <c r="OUO168" s="3"/>
      <c r="OUP168" s="3"/>
      <c r="OUQ168" s="3"/>
      <c r="OUR168" s="3"/>
      <c r="OUS168" s="3"/>
      <c r="OUT168" s="3"/>
      <c r="OUU168" s="3"/>
      <c r="OUV168" s="3"/>
      <c r="OUW168" s="3"/>
      <c r="OUX168" s="3"/>
      <c r="OUY168" s="3"/>
      <c r="OUZ168" s="3"/>
      <c r="OVA168" s="3"/>
      <c r="OVB168" s="3"/>
      <c r="OVC168" s="3"/>
      <c r="OVD168" s="3"/>
      <c r="OVE168" s="3"/>
      <c r="OVF168" s="3"/>
      <c r="OVG168" s="3"/>
      <c r="OVH168" s="3"/>
      <c r="OVI168" s="3"/>
      <c r="OVJ168" s="3"/>
      <c r="OVK168" s="3"/>
      <c r="OVL168" s="3"/>
      <c r="OVM168" s="3"/>
      <c r="OVN168" s="3"/>
      <c r="OVO168" s="3"/>
      <c r="OVP168" s="3"/>
      <c r="OVQ168" s="3"/>
      <c r="OVR168" s="3"/>
      <c r="OVS168" s="3"/>
      <c r="OVT168" s="3"/>
      <c r="OVU168" s="3"/>
      <c r="OVV168" s="3"/>
      <c r="OVW168" s="3"/>
      <c r="OVX168" s="3"/>
      <c r="OVY168" s="3"/>
      <c r="OVZ168" s="3"/>
      <c r="OWA168" s="3"/>
      <c r="OWB168" s="3"/>
      <c r="OWC168" s="3"/>
      <c r="OWD168" s="3"/>
      <c r="OWE168" s="3"/>
      <c r="OWF168" s="3"/>
      <c r="OWG168" s="3"/>
      <c r="OWH168" s="3"/>
      <c r="OWI168" s="3"/>
      <c r="OWJ168" s="3"/>
      <c r="OWK168" s="3"/>
      <c r="OWL168" s="3"/>
      <c r="OWM168" s="3"/>
      <c r="OWN168" s="3"/>
      <c r="OWO168" s="3"/>
      <c r="OWP168" s="3"/>
      <c r="OWQ168" s="3"/>
      <c r="OWR168" s="3"/>
      <c r="OWS168" s="3"/>
      <c r="OWT168" s="3"/>
      <c r="OWU168" s="3"/>
      <c r="OWV168" s="3"/>
      <c r="OWW168" s="3"/>
      <c r="OWX168" s="3"/>
      <c r="OWY168" s="3"/>
      <c r="OWZ168" s="3"/>
      <c r="OXA168" s="3"/>
      <c r="OXB168" s="3"/>
      <c r="OXC168" s="3"/>
      <c r="OXD168" s="3"/>
      <c r="OXE168" s="3"/>
      <c r="OXF168" s="3"/>
      <c r="OXG168" s="3"/>
      <c r="OXH168" s="3"/>
      <c r="OXI168" s="3"/>
      <c r="OXJ168" s="3"/>
      <c r="OXK168" s="3"/>
      <c r="OXL168" s="3"/>
      <c r="OXM168" s="3"/>
      <c r="OXN168" s="3"/>
      <c r="OXO168" s="3"/>
      <c r="OXP168" s="3"/>
      <c r="OXQ168" s="3"/>
      <c r="OXR168" s="3"/>
      <c r="OXS168" s="3"/>
      <c r="OXT168" s="3"/>
      <c r="OXU168" s="3"/>
      <c r="OXV168" s="3"/>
      <c r="OXW168" s="3"/>
      <c r="OXX168" s="3"/>
      <c r="OXY168" s="3"/>
      <c r="OXZ168" s="3"/>
      <c r="OYA168" s="3"/>
      <c r="OYB168" s="3"/>
      <c r="OYC168" s="3"/>
      <c r="OYD168" s="3"/>
      <c r="OYE168" s="3"/>
      <c r="OYF168" s="3"/>
      <c r="OYG168" s="3"/>
      <c r="OYH168" s="3"/>
      <c r="OYI168" s="3"/>
      <c r="OYJ168" s="3"/>
      <c r="OYK168" s="3"/>
      <c r="OYL168" s="3"/>
      <c r="OYM168" s="3"/>
      <c r="OYN168" s="3"/>
      <c r="OYO168" s="3"/>
      <c r="OYP168" s="3"/>
      <c r="OYQ168" s="3"/>
      <c r="OYR168" s="3"/>
      <c r="OYS168" s="3"/>
      <c r="OYT168" s="3"/>
      <c r="OYU168" s="3"/>
      <c r="OYV168" s="3"/>
      <c r="OYW168" s="3"/>
      <c r="OYX168" s="3"/>
      <c r="OYY168" s="3"/>
      <c r="OYZ168" s="3"/>
      <c r="OZA168" s="3"/>
      <c r="OZB168" s="3"/>
      <c r="OZC168" s="3"/>
      <c r="OZD168" s="3"/>
      <c r="OZE168" s="3"/>
      <c r="OZF168" s="3"/>
      <c r="OZG168" s="3"/>
      <c r="OZH168" s="3"/>
      <c r="OZI168" s="3"/>
      <c r="OZJ168" s="3"/>
      <c r="OZK168" s="3"/>
      <c r="OZL168" s="3"/>
      <c r="OZM168" s="3"/>
      <c r="OZN168" s="3"/>
      <c r="OZO168" s="3"/>
      <c r="OZP168" s="3"/>
      <c r="OZQ168" s="3"/>
      <c r="OZR168" s="3"/>
      <c r="OZS168" s="3"/>
      <c r="OZT168" s="3"/>
      <c r="OZU168" s="3"/>
      <c r="OZV168" s="3"/>
      <c r="OZW168" s="3"/>
      <c r="OZX168" s="3"/>
      <c r="OZY168" s="3"/>
      <c r="OZZ168" s="3"/>
      <c r="PAA168" s="3"/>
      <c r="PAB168" s="3"/>
      <c r="PAC168" s="3"/>
      <c r="PAD168" s="3"/>
      <c r="PAE168" s="3"/>
      <c r="PAF168" s="3"/>
      <c r="PAG168" s="3"/>
      <c r="PAH168" s="3"/>
      <c r="PAI168" s="3"/>
      <c r="PAJ168" s="3"/>
      <c r="PAK168" s="3"/>
      <c r="PAL168" s="3"/>
      <c r="PAM168" s="3"/>
      <c r="PAN168" s="3"/>
      <c r="PAO168" s="3"/>
      <c r="PAP168" s="3"/>
      <c r="PAQ168" s="3"/>
      <c r="PAR168" s="3"/>
      <c r="PAS168" s="3"/>
      <c r="PAT168" s="3"/>
      <c r="PAU168" s="3"/>
      <c r="PAV168" s="3"/>
      <c r="PAW168" s="3"/>
      <c r="PAX168" s="3"/>
      <c r="PAY168" s="3"/>
      <c r="PAZ168" s="3"/>
      <c r="PBA168" s="3"/>
      <c r="PBB168" s="3"/>
      <c r="PBC168" s="3"/>
      <c r="PBD168" s="3"/>
      <c r="PBE168" s="3"/>
      <c r="PBF168" s="3"/>
      <c r="PBG168" s="3"/>
      <c r="PBH168" s="3"/>
      <c r="PBI168" s="3"/>
      <c r="PBJ168" s="3"/>
      <c r="PBK168" s="3"/>
      <c r="PBL168" s="3"/>
      <c r="PBM168" s="3"/>
      <c r="PBN168" s="3"/>
      <c r="PBO168" s="3"/>
      <c r="PBP168" s="3"/>
      <c r="PBQ168" s="3"/>
      <c r="PBR168" s="3"/>
      <c r="PBS168" s="3"/>
      <c r="PBT168" s="3"/>
      <c r="PBU168" s="3"/>
      <c r="PBV168" s="3"/>
      <c r="PBW168" s="3"/>
      <c r="PBX168" s="3"/>
      <c r="PBY168" s="3"/>
      <c r="PBZ168" s="3"/>
      <c r="PCA168" s="3"/>
      <c r="PCB168" s="3"/>
      <c r="PCC168" s="3"/>
      <c r="PCD168" s="3"/>
      <c r="PCE168" s="3"/>
      <c r="PCF168" s="3"/>
      <c r="PCG168" s="3"/>
      <c r="PCH168" s="3"/>
      <c r="PCI168" s="3"/>
      <c r="PCJ168" s="3"/>
      <c r="PCK168" s="3"/>
      <c r="PCL168" s="3"/>
      <c r="PCM168" s="3"/>
      <c r="PCN168" s="3"/>
      <c r="PCO168" s="3"/>
      <c r="PCP168" s="3"/>
      <c r="PCQ168" s="3"/>
      <c r="PCR168" s="3"/>
      <c r="PCS168" s="3"/>
      <c r="PCT168" s="3"/>
      <c r="PCU168" s="3"/>
      <c r="PCV168" s="3"/>
      <c r="PCW168" s="3"/>
      <c r="PCX168" s="3"/>
      <c r="PCY168" s="3"/>
      <c r="PCZ168" s="3"/>
      <c r="PDA168" s="3"/>
      <c r="PDB168" s="3"/>
      <c r="PDC168" s="3"/>
      <c r="PDD168" s="3"/>
      <c r="PDE168" s="3"/>
      <c r="PDF168" s="3"/>
      <c r="PDG168" s="3"/>
      <c r="PDH168" s="3"/>
      <c r="PDI168" s="3"/>
      <c r="PDJ168" s="3"/>
      <c r="PDK168" s="3"/>
      <c r="PDL168" s="3"/>
      <c r="PDM168" s="3"/>
      <c r="PDN168" s="3"/>
      <c r="PDO168" s="3"/>
      <c r="PDP168" s="3"/>
      <c r="PDQ168" s="3"/>
      <c r="PDR168" s="3"/>
      <c r="PDS168" s="3"/>
      <c r="PDT168" s="3"/>
      <c r="PDU168" s="3"/>
      <c r="PDV168" s="3"/>
      <c r="PDW168" s="3"/>
      <c r="PDX168" s="3"/>
      <c r="PDY168" s="3"/>
      <c r="PDZ168" s="3"/>
      <c r="PEA168" s="3"/>
      <c r="PEB168" s="3"/>
      <c r="PEC168" s="3"/>
      <c r="PED168" s="3"/>
      <c r="PEE168" s="3"/>
      <c r="PEF168" s="3"/>
      <c r="PEG168" s="3"/>
      <c r="PEH168" s="3"/>
      <c r="PEI168" s="3"/>
      <c r="PEJ168" s="3"/>
      <c r="PEK168" s="3"/>
      <c r="PEL168" s="3"/>
      <c r="PEM168" s="3"/>
      <c r="PEN168" s="3"/>
      <c r="PEO168" s="3"/>
      <c r="PEP168" s="3"/>
      <c r="PEQ168" s="3"/>
      <c r="PER168" s="3"/>
      <c r="PES168" s="3"/>
      <c r="PET168" s="3"/>
      <c r="PEU168" s="3"/>
      <c r="PEV168" s="3"/>
      <c r="PEW168" s="3"/>
      <c r="PEX168" s="3"/>
      <c r="PEY168" s="3"/>
      <c r="PEZ168" s="3"/>
      <c r="PFA168" s="3"/>
      <c r="PFB168" s="3"/>
      <c r="PFC168" s="3"/>
      <c r="PFD168" s="3"/>
      <c r="PFE168" s="3"/>
      <c r="PFF168" s="3"/>
      <c r="PFG168" s="3"/>
      <c r="PFH168" s="3"/>
      <c r="PFI168" s="3"/>
      <c r="PFJ168" s="3"/>
      <c r="PFK168" s="3"/>
      <c r="PFL168" s="3"/>
      <c r="PFM168" s="3"/>
      <c r="PFN168" s="3"/>
      <c r="PFO168" s="3"/>
      <c r="PFP168" s="3"/>
      <c r="PFQ168" s="3"/>
      <c r="PFR168" s="3"/>
      <c r="PFS168" s="3"/>
      <c r="PFT168" s="3"/>
      <c r="PFU168" s="3"/>
      <c r="PFV168" s="3"/>
      <c r="PFW168" s="3"/>
      <c r="PFX168" s="3"/>
      <c r="PFY168" s="3"/>
      <c r="PFZ168" s="3"/>
      <c r="PGA168" s="3"/>
      <c r="PGB168" s="3"/>
      <c r="PGC168" s="3"/>
      <c r="PGD168" s="3"/>
      <c r="PGE168" s="3"/>
      <c r="PGF168" s="3"/>
      <c r="PGG168" s="3"/>
      <c r="PGH168" s="3"/>
      <c r="PGI168" s="3"/>
      <c r="PGJ168" s="3"/>
      <c r="PGK168" s="3"/>
      <c r="PGL168" s="3"/>
      <c r="PGM168" s="3"/>
      <c r="PGN168" s="3"/>
      <c r="PGO168" s="3"/>
      <c r="PGP168" s="3"/>
      <c r="PGQ168" s="3"/>
      <c r="PGR168" s="3"/>
      <c r="PGS168" s="3"/>
      <c r="PGT168" s="3"/>
      <c r="PGU168" s="3"/>
      <c r="PGV168" s="3"/>
      <c r="PGW168" s="3"/>
      <c r="PGX168" s="3"/>
      <c r="PGY168" s="3"/>
      <c r="PGZ168" s="3"/>
      <c r="PHA168" s="3"/>
      <c r="PHB168" s="3"/>
      <c r="PHC168" s="3"/>
      <c r="PHD168" s="3"/>
      <c r="PHE168" s="3"/>
      <c r="PHF168" s="3"/>
      <c r="PHG168" s="3"/>
      <c r="PHH168" s="3"/>
      <c r="PHI168" s="3"/>
      <c r="PHJ168" s="3"/>
      <c r="PHK168" s="3"/>
      <c r="PHL168" s="3"/>
      <c r="PHM168" s="3"/>
      <c r="PHN168" s="3"/>
      <c r="PHO168" s="3"/>
      <c r="PHP168" s="3"/>
      <c r="PHQ168" s="3"/>
      <c r="PHR168" s="3"/>
      <c r="PHS168" s="3"/>
      <c r="PHT168" s="3"/>
      <c r="PHU168" s="3"/>
      <c r="PHV168" s="3"/>
      <c r="PHW168" s="3"/>
      <c r="PHX168" s="3"/>
      <c r="PHY168" s="3"/>
      <c r="PHZ168" s="3"/>
      <c r="PIA168" s="3"/>
      <c r="PIB168" s="3"/>
      <c r="PIC168" s="3"/>
      <c r="PID168" s="3"/>
      <c r="PIE168" s="3"/>
      <c r="PIF168" s="3"/>
      <c r="PIG168" s="3"/>
      <c r="PIH168" s="3"/>
      <c r="PII168" s="3"/>
      <c r="PIJ168" s="3"/>
      <c r="PIK168" s="3"/>
      <c r="PIL168" s="3"/>
      <c r="PIM168" s="3"/>
      <c r="PIN168" s="3"/>
      <c r="PIO168" s="3"/>
      <c r="PIP168" s="3"/>
      <c r="PIQ168" s="3"/>
      <c r="PIR168" s="3"/>
      <c r="PIS168" s="3"/>
      <c r="PIT168" s="3"/>
      <c r="PIU168" s="3"/>
      <c r="PIV168" s="3"/>
      <c r="PIW168" s="3"/>
      <c r="PIX168" s="3"/>
      <c r="PIY168" s="3"/>
      <c r="PIZ168" s="3"/>
      <c r="PJA168" s="3"/>
      <c r="PJB168" s="3"/>
      <c r="PJC168" s="3"/>
      <c r="PJD168" s="3"/>
      <c r="PJE168" s="3"/>
      <c r="PJF168" s="3"/>
      <c r="PJG168" s="3"/>
      <c r="PJH168" s="3"/>
      <c r="PJI168" s="3"/>
      <c r="PJJ168" s="3"/>
      <c r="PJK168" s="3"/>
      <c r="PJL168" s="3"/>
      <c r="PJM168" s="3"/>
      <c r="PJN168" s="3"/>
      <c r="PJO168" s="3"/>
      <c r="PJP168" s="3"/>
      <c r="PJQ168" s="3"/>
      <c r="PJR168" s="3"/>
      <c r="PJS168" s="3"/>
      <c r="PJT168" s="3"/>
      <c r="PJU168" s="3"/>
      <c r="PJV168" s="3"/>
      <c r="PJW168" s="3"/>
      <c r="PJX168" s="3"/>
      <c r="PJY168" s="3"/>
      <c r="PJZ168" s="3"/>
      <c r="PKA168" s="3"/>
      <c r="PKB168" s="3"/>
      <c r="PKC168" s="3"/>
      <c r="PKD168" s="3"/>
      <c r="PKE168" s="3"/>
      <c r="PKF168" s="3"/>
      <c r="PKG168" s="3"/>
      <c r="PKH168" s="3"/>
      <c r="PKI168" s="3"/>
      <c r="PKJ168" s="3"/>
      <c r="PKK168" s="3"/>
      <c r="PKL168" s="3"/>
      <c r="PKM168" s="3"/>
      <c r="PKN168" s="3"/>
      <c r="PKO168" s="3"/>
      <c r="PKP168" s="3"/>
      <c r="PKQ168" s="3"/>
      <c r="PKR168" s="3"/>
      <c r="PKS168" s="3"/>
      <c r="PKT168" s="3"/>
      <c r="PKU168" s="3"/>
      <c r="PKV168" s="3"/>
      <c r="PKW168" s="3"/>
      <c r="PKX168" s="3"/>
      <c r="PKY168" s="3"/>
      <c r="PKZ168" s="3"/>
      <c r="PLA168" s="3"/>
      <c r="PLB168" s="3"/>
      <c r="PLC168" s="3"/>
      <c r="PLD168" s="3"/>
      <c r="PLE168" s="3"/>
      <c r="PLF168" s="3"/>
      <c r="PLG168" s="3"/>
      <c r="PLH168" s="3"/>
      <c r="PLI168" s="3"/>
      <c r="PLJ168" s="3"/>
      <c r="PLK168" s="3"/>
      <c r="PLL168" s="3"/>
      <c r="PLM168" s="3"/>
      <c r="PLN168" s="3"/>
      <c r="PLO168" s="3"/>
      <c r="PLP168" s="3"/>
      <c r="PLQ168" s="3"/>
      <c r="PLR168" s="3"/>
      <c r="PLS168" s="3"/>
      <c r="PLT168" s="3"/>
      <c r="PLU168" s="3"/>
      <c r="PLV168" s="3"/>
      <c r="PLW168" s="3"/>
      <c r="PLX168" s="3"/>
      <c r="PLY168" s="3"/>
      <c r="PLZ168" s="3"/>
      <c r="PMA168" s="3"/>
      <c r="PMB168" s="3"/>
      <c r="PMC168" s="3"/>
      <c r="PMD168" s="3"/>
      <c r="PME168" s="3"/>
      <c r="PMF168" s="3"/>
      <c r="PMG168" s="3"/>
      <c r="PMH168" s="3"/>
      <c r="PMI168" s="3"/>
      <c r="PMJ168" s="3"/>
      <c r="PMK168" s="3"/>
      <c r="PML168" s="3"/>
      <c r="PMM168" s="3"/>
      <c r="PMN168" s="3"/>
      <c r="PMO168" s="3"/>
      <c r="PMP168" s="3"/>
      <c r="PMQ168" s="3"/>
      <c r="PMR168" s="3"/>
      <c r="PMS168" s="3"/>
      <c r="PMT168" s="3"/>
      <c r="PMU168" s="3"/>
      <c r="PMV168" s="3"/>
      <c r="PMW168" s="3"/>
      <c r="PMX168" s="3"/>
      <c r="PMY168" s="3"/>
      <c r="PMZ168" s="3"/>
      <c r="PNA168" s="3"/>
      <c r="PNB168" s="3"/>
      <c r="PNC168" s="3"/>
      <c r="PND168" s="3"/>
      <c r="PNE168" s="3"/>
      <c r="PNF168" s="3"/>
      <c r="PNG168" s="3"/>
      <c r="PNH168" s="3"/>
      <c r="PNI168" s="3"/>
      <c r="PNJ168" s="3"/>
      <c r="PNK168" s="3"/>
      <c r="PNL168" s="3"/>
      <c r="PNM168" s="3"/>
      <c r="PNN168" s="3"/>
      <c r="PNO168" s="3"/>
      <c r="PNP168" s="3"/>
      <c r="PNQ168" s="3"/>
      <c r="PNR168" s="3"/>
      <c r="PNS168" s="3"/>
      <c r="PNT168" s="3"/>
      <c r="PNU168" s="3"/>
      <c r="PNV168" s="3"/>
      <c r="PNW168" s="3"/>
      <c r="PNX168" s="3"/>
      <c r="PNY168" s="3"/>
      <c r="PNZ168" s="3"/>
      <c r="POA168" s="3"/>
      <c r="POB168" s="3"/>
      <c r="POC168" s="3"/>
      <c r="POD168" s="3"/>
      <c r="POE168" s="3"/>
      <c r="POF168" s="3"/>
      <c r="POG168" s="3"/>
      <c r="POH168" s="3"/>
      <c r="POI168" s="3"/>
      <c r="POJ168" s="3"/>
      <c r="POK168" s="3"/>
      <c r="POL168" s="3"/>
      <c r="POM168" s="3"/>
      <c r="PON168" s="3"/>
      <c r="POO168" s="3"/>
      <c r="POP168" s="3"/>
      <c r="POQ168" s="3"/>
      <c r="POR168" s="3"/>
      <c r="POS168" s="3"/>
      <c r="POT168" s="3"/>
      <c r="POU168" s="3"/>
      <c r="POV168" s="3"/>
      <c r="POW168" s="3"/>
      <c r="POX168" s="3"/>
      <c r="POY168" s="3"/>
      <c r="POZ168" s="3"/>
      <c r="PPA168" s="3"/>
      <c r="PPB168" s="3"/>
      <c r="PPC168" s="3"/>
      <c r="PPD168" s="3"/>
      <c r="PPE168" s="3"/>
      <c r="PPF168" s="3"/>
      <c r="PPG168" s="3"/>
      <c r="PPH168" s="3"/>
      <c r="PPI168" s="3"/>
      <c r="PPJ168" s="3"/>
      <c r="PPK168" s="3"/>
      <c r="PPL168" s="3"/>
      <c r="PPM168" s="3"/>
      <c r="PPN168" s="3"/>
      <c r="PPO168" s="3"/>
      <c r="PPP168" s="3"/>
      <c r="PPQ168" s="3"/>
      <c r="PPR168" s="3"/>
      <c r="PPS168" s="3"/>
      <c r="PPT168" s="3"/>
      <c r="PPU168" s="3"/>
      <c r="PPV168" s="3"/>
      <c r="PPW168" s="3"/>
      <c r="PPX168" s="3"/>
      <c r="PPY168" s="3"/>
      <c r="PPZ168" s="3"/>
      <c r="PQA168" s="3"/>
      <c r="PQB168" s="3"/>
      <c r="PQC168" s="3"/>
      <c r="PQD168" s="3"/>
      <c r="PQE168" s="3"/>
      <c r="PQF168" s="3"/>
      <c r="PQG168" s="3"/>
      <c r="PQH168" s="3"/>
      <c r="PQI168" s="3"/>
      <c r="PQJ168" s="3"/>
      <c r="PQK168" s="3"/>
      <c r="PQL168" s="3"/>
      <c r="PQM168" s="3"/>
      <c r="PQN168" s="3"/>
      <c r="PQO168" s="3"/>
      <c r="PQP168" s="3"/>
      <c r="PQQ168" s="3"/>
      <c r="PQR168" s="3"/>
      <c r="PQS168" s="3"/>
      <c r="PQT168" s="3"/>
      <c r="PQU168" s="3"/>
      <c r="PQV168" s="3"/>
      <c r="PQW168" s="3"/>
      <c r="PQX168" s="3"/>
      <c r="PQY168" s="3"/>
      <c r="PQZ168" s="3"/>
      <c r="PRA168" s="3"/>
      <c r="PRB168" s="3"/>
      <c r="PRC168" s="3"/>
      <c r="PRD168" s="3"/>
      <c r="PRE168" s="3"/>
      <c r="PRF168" s="3"/>
      <c r="PRG168" s="3"/>
      <c r="PRH168" s="3"/>
      <c r="PRI168" s="3"/>
      <c r="PRJ168" s="3"/>
      <c r="PRK168" s="3"/>
      <c r="PRL168" s="3"/>
      <c r="PRM168" s="3"/>
      <c r="PRN168" s="3"/>
      <c r="PRO168" s="3"/>
      <c r="PRP168" s="3"/>
      <c r="PRQ168" s="3"/>
      <c r="PRR168" s="3"/>
      <c r="PRS168" s="3"/>
      <c r="PRT168" s="3"/>
      <c r="PRU168" s="3"/>
      <c r="PRV168" s="3"/>
      <c r="PRW168" s="3"/>
      <c r="PRX168" s="3"/>
      <c r="PRY168" s="3"/>
      <c r="PRZ168" s="3"/>
      <c r="PSA168" s="3"/>
      <c r="PSB168" s="3"/>
      <c r="PSC168" s="3"/>
      <c r="PSD168" s="3"/>
      <c r="PSE168" s="3"/>
      <c r="PSF168" s="3"/>
      <c r="PSG168" s="3"/>
      <c r="PSH168" s="3"/>
      <c r="PSI168" s="3"/>
      <c r="PSJ168" s="3"/>
      <c r="PSK168" s="3"/>
      <c r="PSL168" s="3"/>
      <c r="PSM168" s="3"/>
      <c r="PSN168" s="3"/>
      <c r="PSO168" s="3"/>
      <c r="PSP168" s="3"/>
      <c r="PSQ168" s="3"/>
      <c r="PSR168" s="3"/>
      <c r="PSS168" s="3"/>
      <c r="PST168" s="3"/>
      <c r="PSU168" s="3"/>
      <c r="PSV168" s="3"/>
      <c r="PSW168" s="3"/>
      <c r="PSX168" s="3"/>
      <c r="PSY168" s="3"/>
      <c r="PSZ168" s="3"/>
      <c r="PTA168" s="3"/>
      <c r="PTB168" s="3"/>
      <c r="PTC168" s="3"/>
      <c r="PTD168" s="3"/>
      <c r="PTE168" s="3"/>
      <c r="PTF168" s="3"/>
      <c r="PTG168" s="3"/>
      <c r="PTH168" s="3"/>
      <c r="PTI168" s="3"/>
      <c r="PTJ168" s="3"/>
      <c r="PTK168" s="3"/>
      <c r="PTL168" s="3"/>
      <c r="PTM168" s="3"/>
      <c r="PTN168" s="3"/>
      <c r="PTO168" s="3"/>
      <c r="PTP168" s="3"/>
      <c r="PTQ168" s="3"/>
      <c r="PTR168" s="3"/>
      <c r="PTS168" s="3"/>
      <c r="PTT168" s="3"/>
      <c r="PTU168" s="3"/>
      <c r="PTV168" s="3"/>
      <c r="PTW168" s="3"/>
      <c r="PTX168" s="3"/>
      <c r="PTY168" s="3"/>
      <c r="PTZ168" s="3"/>
      <c r="PUA168" s="3"/>
      <c r="PUB168" s="3"/>
      <c r="PUC168" s="3"/>
      <c r="PUD168" s="3"/>
      <c r="PUE168" s="3"/>
      <c r="PUF168" s="3"/>
      <c r="PUG168" s="3"/>
      <c r="PUH168" s="3"/>
      <c r="PUI168" s="3"/>
      <c r="PUJ168" s="3"/>
      <c r="PUK168" s="3"/>
      <c r="PUL168" s="3"/>
      <c r="PUM168" s="3"/>
      <c r="PUN168" s="3"/>
      <c r="PUO168" s="3"/>
      <c r="PUP168" s="3"/>
      <c r="PUQ168" s="3"/>
      <c r="PUR168" s="3"/>
      <c r="PUS168" s="3"/>
      <c r="PUT168" s="3"/>
      <c r="PUU168" s="3"/>
      <c r="PUV168" s="3"/>
      <c r="PUW168" s="3"/>
      <c r="PUX168" s="3"/>
      <c r="PUY168" s="3"/>
      <c r="PUZ168" s="3"/>
      <c r="PVA168" s="3"/>
      <c r="PVB168" s="3"/>
      <c r="PVC168" s="3"/>
      <c r="PVD168" s="3"/>
      <c r="PVE168" s="3"/>
      <c r="PVF168" s="3"/>
      <c r="PVG168" s="3"/>
      <c r="PVH168" s="3"/>
      <c r="PVI168" s="3"/>
      <c r="PVJ168" s="3"/>
      <c r="PVK168" s="3"/>
      <c r="PVL168" s="3"/>
      <c r="PVM168" s="3"/>
      <c r="PVN168" s="3"/>
      <c r="PVO168" s="3"/>
      <c r="PVP168" s="3"/>
      <c r="PVQ168" s="3"/>
      <c r="PVR168" s="3"/>
      <c r="PVS168" s="3"/>
      <c r="PVT168" s="3"/>
      <c r="PVU168" s="3"/>
      <c r="PVV168" s="3"/>
      <c r="PVW168" s="3"/>
      <c r="PVX168" s="3"/>
      <c r="PVY168" s="3"/>
      <c r="PVZ168" s="3"/>
      <c r="PWA168" s="3"/>
      <c r="PWB168" s="3"/>
      <c r="PWC168" s="3"/>
      <c r="PWD168" s="3"/>
      <c r="PWE168" s="3"/>
      <c r="PWF168" s="3"/>
      <c r="PWG168" s="3"/>
      <c r="PWH168" s="3"/>
      <c r="PWI168" s="3"/>
      <c r="PWJ168" s="3"/>
      <c r="PWK168" s="3"/>
      <c r="PWL168" s="3"/>
      <c r="PWM168" s="3"/>
      <c r="PWN168" s="3"/>
      <c r="PWO168" s="3"/>
      <c r="PWP168" s="3"/>
      <c r="PWQ168" s="3"/>
      <c r="PWR168" s="3"/>
      <c r="PWS168" s="3"/>
      <c r="PWT168" s="3"/>
      <c r="PWU168" s="3"/>
      <c r="PWV168" s="3"/>
      <c r="PWW168" s="3"/>
      <c r="PWX168" s="3"/>
      <c r="PWY168" s="3"/>
      <c r="PWZ168" s="3"/>
      <c r="PXA168" s="3"/>
      <c r="PXB168" s="3"/>
      <c r="PXC168" s="3"/>
      <c r="PXD168" s="3"/>
      <c r="PXE168" s="3"/>
      <c r="PXF168" s="3"/>
      <c r="PXG168" s="3"/>
      <c r="PXH168" s="3"/>
      <c r="PXI168" s="3"/>
      <c r="PXJ168" s="3"/>
      <c r="PXK168" s="3"/>
      <c r="PXL168" s="3"/>
      <c r="PXM168" s="3"/>
      <c r="PXN168" s="3"/>
      <c r="PXO168" s="3"/>
      <c r="PXP168" s="3"/>
      <c r="PXQ168" s="3"/>
      <c r="PXR168" s="3"/>
      <c r="PXS168" s="3"/>
      <c r="PXT168" s="3"/>
      <c r="PXU168" s="3"/>
      <c r="PXV168" s="3"/>
      <c r="PXW168" s="3"/>
      <c r="PXX168" s="3"/>
      <c r="PXY168" s="3"/>
      <c r="PXZ168" s="3"/>
      <c r="PYA168" s="3"/>
      <c r="PYB168" s="3"/>
      <c r="PYC168" s="3"/>
      <c r="PYD168" s="3"/>
      <c r="PYE168" s="3"/>
      <c r="PYF168" s="3"/>
      <c r="PYG168" s="3"/>
      <c r="PYH168" s="3"/>
      <c r="PYI168" s="3"/>
      <c r="PYJ168" s="3"/>
      <c r="PYK168" s="3"/>
      <c r="PYL168" s="3"/>
      <c r="PYM168" s="3"/>
      <c r="PYN168" s="3"/>
      <c r="PYO168" s="3"/>
      <c r="PYP168" s="3"/>
      <c r="PYQ168" s="3"/>
      <c r="PYR168" s="3"/>
      <c r="PYS168" s="3"/>
      <c r="PYT168" s="3"/>
      <c r="PYU168" s="3"/>
      <c r="PYV168" s="3"/>
      <c r="PYW168" s="3"/>
      <c r="PYX168" s="3"/>
      <c r="PYY168" s="3"/>
      <c r="PYZ168" s="3"/>
      <c r="PZA168" s="3"/>
      <c r="PZB168" s="3"/>
      <c r="PZC168" s="3"/>
      <c r="PZD168" s="3"/>
      <c r="PZE168" s="3"/>
      <c r="PZF168" s="3"/>
      <c r="PZG168" s="3"/>
      <c r="PZH168" s="3"/>
      <c r="PZI168" s="3"/>
      <c r="PZJ168" s="3"/>
      <c r="PZK168" s="3"/>
      <c r="PZL168" s="3"/>
      <c r="PZM168" s="3"/>
      <c r="PZN168" s="3"/>
      <c r="PZO168" s="3"/>
      <c r="PZP168" s="3"/>
      <c r="PZQ168" s="3"/>
      <c r="PZR168" s="3"/>
      <c r="PZS168" s="3"/>
      <c r="PZT168" s="3"/>
      <c r="PZU168" s="3"/>
      <c r="PZV168" s="3"/>
      <c r="PZW168" s="3"/>
      <c r="PZX168" s="3"/>
      <c r="PZY168" s="3"/>
      <c r="PZZ168" s="3"/>
      <c r="QAA168" s="3"/>
      <c r="QAB168" s="3"/>
      <c r="QAC168" s="3"/>
      <c r="QAD168" s="3"/>
      <c r="QAE168" s="3"/>
      <c r="QAF168" s="3"/>
      <c r="QAG168" s="3"/>
      <c r="QAH168" s="3"/>
      <c r="QAI168" s="3"/>
      <c r="QAJ168" s="3"/>
      <c r="QAK168" s="3"/>
      <c r="QAL168" s="3"/>
      <c r="QAM168" s="3"/>
      <c r="QAN168" s="3"/>
      <c r="QAO168" s="3"/>
      <c r="QAP168" s="3"/>
      <c r="QAQ168" s="3"/>
      <c r="QAR168" s="3"/>
      <c r="QAS168" s="3"/>
      <c r="QAT168" s="3"/>
      <c r="QAU168" s="3"/>
      <c r="QAV168" s="3"/>
      <c r="QAW168" s="3"/>
      <c r="QAX168" s="3"/>
      <c r="QAY168" s="3"/>
      <c r="QAZ168" s="3"/>
      <c r="QBA168" s="3"/>
      <c r="QBB168" s="3"/>
      <c r="QBC168" s="3"/>
      <c r="QBD168" s="3"/>
      <c r="QBE168" s="3"/>
      <c r="QBF168" s="3"/>
      <c r="QBG168" s="3"/>
      <c r="QBH168" s="3"/>
      <c r="QBI168" s="3"/>
      <c r="QBJ168" s="3"/>
      <c r="QBK168" s="3"/>
      <c r="QBL168" s="3"/>
      <c r="QBM168" s="3"/>
      <c r="QBN168" s="3"/>
      <c r="QBO168" s="3"/>
      <c r="QBP168" s="3"/>
      <c r="QBQ168" s="3"/>
      <c r="QBR168" s="3"/>
      <c r="QBS168" s="3"/>
      <c r="QBT168" s="3"/>
      <c r="QBU168" s="3"/>
      <c r="QBV168" s="3"/>
      <c r="QBW168" s="3"/>
      <c r="QBX168" s="3"/>
      <c r="QBY168" s="3"/>
      <c r="QBZ168" s="3"/>
      <c r="QCA168" s="3"/>
      <c r="QCB168" s="3"/>
      <c r="QCC168" s="3"/>
      <c r="QCD168" s="3"/>
      <c r="QCE168" s="3"/>
      <c r="QCF168" s="3"/>
      <c r="QCG168" s="3"/>
      <c r="QCH168" s="3"/>
      <c r="QCI168" s="3"/>
      <c r="QCJ168" s="3"/>
      <c r="QCK168" s="3"/>
      <c r="QCL168" s="3"/>
      <c r="QCM168" s="3"/>
      <c r="QCN168" s="3"/>
      <c r="QCO168" s="3"/>
      <c r="QCP168" s="3"/>
      <c r="QCQ168" s="3"/>
      <c r="QCR168" s="3"/>
      <c r="QCS168" s="3"/>
      <c r="QCT168" s="3"/>
      <c r="QCU168" s="3"/>
      <c r="QCV168" s="3"/>
      <c r="QCW168" s="3"/>
      <c r="QCX168" s="3"/>
      <c r="QCY168" s="3"/>
      <c r="QCZ168" s="3"/>
      <c r="QDA168" s="3"/>
      <c r="QDB168" s="3"/>
      <c r="QDC168" s="3"/>
      <c r="QDD168" s="3"/>
      <c r="QDE168" s="3"/>
      <c r="QDF168" s="3"/>
      <c r="QDG168" s="3"/>
      <c r="QDH168" s="3"/>
      <c r="QDI168" s="3"/>
      <c r="QDJ168" s="3"/>
      <c r="QDK168" s="3"/>
      <c r="QDL168" s="3"/>
      <c r="QDM168" s="3"/>
      <c r="QDN168" s="3"/>
      <c r="QDO168" s="3"/>
      <c r="QDP168" s="3"/>
      <c r="QDQ168" s="3"/>
      <c r="QDR168" s="3"/>
      <c r="QDS168" s="3"/>
      <c r="QDT168" s="3"/>
      <c r="QDU168" s="3"/>
      <c r="QDV168" s="3"/>
      <c r="QDW168" s="3"/>
      <c r="QDX168" s="3"/>
      <c r="QDY168" s="3"/>
      <c r="QDZ168" s="3"/>
      <c r="QEA168" s="3"/>
      <c r="QEB168" s="3"/>
      <c r="QEC168" s="3"/>
      <c r="QED168" s="3"/>
      <c r="QEE168" s="3"/>
      <c r="QEF168" s="3"/>
      <c r="QEG168" s="3"/>
      <c r="QEH168" s="3"/>
      <c r="QEI168" s="3"/>
      <c r="QEJ168" s="3"/>
      <c r="QEK168" s="3"/>
      <c r="QEL168" s="3"/>
      <c r="QEM168" s="3"/>
      <c r="QEN168" s="3"/>
      <c r="QEO168" s="3"/>
      <c r="QEP168" s="3"/>
      <c r="QEQ168" s="3"/>
      <c r="QER168" s="3"/>
      <c r="QES168" s="3"/>
      <c r="QET168" s="3"/>
      <c r="QEU168" s="3"/>
      <c r="QEV168" s="3"/>
      <c r="QEW168" s="3"/>
      <c r="QEX168" s="3"/>
      <c r="QEY168" s="3"/>
      <c r="QEZ168" s="3"/>
      <c r="QFA168" s="3"/>
      <c r="QFB168" s="3"/>
      <c r="QFC168" s="3"/>
      <c r="QFD168" s="3"/>
      <c r="QFE168" s="3"/>
      <c r="QFF168" s="3"/>
      <c r="QFG168" s="3"/>
      <c r="QFH168" s="3"/>
      <c r="QFI168" s="3"/>
      <c r="QFJ168" s="3"/>
      <c r="QFK168" s="3"/>
      <c r="QFL168" s="3"/>
      <c r="QFM168" s="3"/>
      <c r="QFN168" s="3"/>
      <c r="QFO168" s="3"/>
      <c r="QFP168" s="3"/>
      <c r="QFQ168" s="3"/>
      <c r="QFR168" s="3"/>
      <c r="QFS168" s="3"/>
      <c r="QFT168" s="3"/>
      <c r="QFU168" s="3"/>
      <c r="QFV168" s="3"/>
      <c r="QFW168" s="3"/>
      <c r="QFX168" s="3"/>
      <c r="QFY168" s="3"/>
      <c r="QFZ168" s="3"/>
      <c r="QGA168" s="3"/>
      <c r="QGB168" s="3"/>
      <c r="QGC168" s="3"/>
      <c r="QGD168" s="3"/>
      <c r="QGE168" s="3"/>
      <c r="QGF168" s="3"/>
      <c r="QGG168" s="3"/>
      <c r="QGH168" s="3"/>
      <c r="QGI168" s="3"/>
      <c r="QGJ168" s="3"/>
      <c r="QGK168" s="3"/>
      <c r="QGL168" s="3"/>
      <c r="QGM168" s="3"/>
      <c r="QGN168" s="3"/>
      <c r="QGO168" s="3"/>
      <c r="QGP168" s="3"/>
      <c r="QGQ168" s="3"/>
      <c r="QGR168" s="3"/>
      <c r="QGS168" s="3"/>
      <c r="QGT168" s="3"/>
      <c r="QGU168" s="3"/>
      <c r="QGV168" s="3"/>
      <c r="QGW168" s="3"/>
      <c r="QGX168" s="3"/>
      <c r="QGY168" s="3"/>
      <c r="QGZ168" s="3"/>
      <c r="QHA168" s="3"/>
      <c r="QHB168" s="3"/>
      <c r="QHC168" s="3"/>
      <c r="QHD168" s="3"/>
      <c r="QHE168" s="3"/>
      <c r="QHF168" s="3"/>
      <c r="QHG168" s="3"/>
      <c r="QHH168" s="3"/>
      <c r="QHI168" s="3"/>
      <c r="QHJ168" s="3"/>
      <c r="QHK168" s="3"/>
      <c r="QHL168" s="3"/>
      <c r="QHM168" s="3"/>
      <c r="QHN168" s="3"/>
      <c r="QHO168" s="3"/>
      <c r="QHP168" s="3"/>
      <c r="QHQ168" s="3"/>
      <c r="QHR168" s="3"/>
      <c r="QHS168" s="3"/>
      <c r="QHT168" s="3"/>
      <c r="QHU168" s="3"/>
      <c r="QHV168" s="3"/>
      <c r="QHW168" s="3"/>
      <c r="QHX168" s="3"/>
      <c r="QHY168" s="3"/>
      <c r="QHZ168" s="3"/>
      <c r="QIA168" s="3"/>
      <c r="QIB168" s="3"/>
      <c r="QIC168" s="3"/>
      <c r="QID168" s="3"/>
      <c r="QIE168" s="3"/>
      <c r="QIF168" s="3"/>
      <c r="QIG168" s="3"/>
      <c r="QIH168" s="3"/>
      <c r="QII168" s="3"/>
      <c r="QIJ168" s="3"/>
      <c r="QIK168" s="3"/>
      <c r="QIL168" s="3"/>
      <c r="QIM168" s="3"/>
      <c r="QIN168" s="3"/>
      <c r="QIO168" s="3"/>
      <c r="QIP168" s="3"/>
      <c r="QIQ168" s="3"/>
      <c r="QIR168" s="3"/>
      <c r="QIS168" s="3"/>
      <c r="QIT168" s="3"/>
      <c r="QIU168" s="3"/>
      <c r="QIV168" s="3"/>
      <c r="QIW168" s="3"/>
      <c r="QIX168" s="3"/>
      <c r="QIY168" s="3"/>
      <c r="QIZ168" s="3"/>
      <c r="QJA168" s="3"/>
      <c r="QJB168" s="3"/>
      <c r="QJC168" s="3"/>
      <c r="QJD168" s="3"/>
      <c r="QJE168" s="3"/>
      <c r="QJF168" s="3"/>
      <c r="QJG168" s="3"/>
      <c r="QJH168" s="3"/>
      <c r="QJI168" s="3"/>
      <c r="QJJ168" s="3"/>
      <c r="QJK168" s="3"/>
      <c r="QJL168" s="3"/>
      <c r="QJM168" s="3"/>
      <c r="QJN168" s="3"/>
      <c r="QJO168" s="3"/>
      <c r="QJP168" s="3"/>
      <c r="QJQ168" s="3"/>
      <c r="QJR168" s="3"/>
      <c r="QJS168" s="3"/>
      <c r="QJT168" s="3"/>
      <c r="QJU168" s="3"/>
      <c r="QJV168" s="3"/>
      <c r="QJW168" s="3"/>
      <c r="QJX168" s="3"/>
      <c r="QJY168" s="3"/>
      <c r="QJZ168" s="3"/>
      <c r="QKA168" s="3"/>
      <c r="QKB168" s="3"/>
      <c r="QKC168" s="3"/>
      <c r="QKD168" s="3"/>
      <c r="QKE168" s="3"/>
      <c r="QKF168" s="3"/>
      <c r="QKG168" s="3"/>
      <c r="QKH168" s="3"/>
      <c r="QKI168" s="3"/>
      <c r="QKJ168" s="3"/>
      <c r="QKK168" s="3"/>
      <c r="QKL168" s="3"/>
      <c r="QKM168" s="3"/>
      <c r="QKN168" s="3"/>
      <c r="QKO168" s="3"/>
      <c r="QKP168" s="3"/>
      <c r="QKQ168" s="3"/>
      <c r="QKR168" s="3"/>
      <c r="QKS168" s="3"/>
      <c r="QKT168" s="3"/>
      <c r="QKU168" s="3"/>
      <c r="QKV168" s="3"/>
      <c r="QKW168" s="3"/>
      <c r="QKX168" s="3"/>
      <c r="QKY168" s="3"/>
      <c r="QKZ168" s="3"/>
      <c r="QLA168" s="3"/>
      <c r="QLB168" s="3"/>
      <c r="QLC168" s="3"/>
      <c r="QLD168" s="3"/>
      <c r="QLE168" s="3"/>
      <c r="QLF168" s="3"/>
      <c r="QLG168" s="3"/>
      <c r="QLH168" s="3"/>
      <c r="QLI168" s="3"/>
      <c r="QLJ168" s="3"/>
      <c r="QLK168" s="3"/>
      <c r="QLL168" s="3"/>
      <c r="QLM168" s="3"/>
      <c r="QLN168" s="3"/>
      <c r="QLO168" s="3"/>
      <c r="QLP168" s="3"/>
      <c r="QLQ168" s="3"/>
      <c r="QLR168" s="3"/>
      <c r="QLS168" s="3"/>
      <c r="QLT168" s="3"/>
      <c r="QLU168" s="3"/>
      <c r="QLV168" s="3"/>
      <c r="QLW168" s="3"/>
      <c r="QLX168" s="3"/>
      <c r="QLY168" s="3"/>
      <c r="QLZ168" s="3"/>
      <c r="QMA168" s="3"/>
      <c r="QMB168" s="3"/>
      <c r="QMC168" s="3"/>
      <c r="QMD168" s="3"/>
      <c r="QME168" s="3"/>
      <c r="QMF168" s="3"/>
      <c r="QMG168" s="3"/>
      <c r="QMH168" s="3"/>
      <c r="QMI168" s="3"/>
      <c r="QMJ168" s="3"/>
      <c r="QMK168" s="3"/>
      <c r="QML168" s="3"/>
      <c r="QMM168" s="3"/>
      <c r="QMN168" s="3"/>
      <c r="QMO168" s="3"/>
      <c r="QMP168" s="3"/>
      <c r="QMQ168" s="3"/>
      <c r="QMR168" s="3"/>
      <c r="QMS168" s="3"/>
      <c r="QMT168" s="3"/>
      <c r="QMU168" s="3"/>
      <c r="QMV168" s="3"/>
      <c r="QMW168" s="3"/>
      <c r="QMX168" s="3"/>
      <c r="QMY168" s="3"/>
      <c r="QMZ168" s="3"/>
      <c r="QNA168" s="3"/>
      <c r="QNB168" s="3"/>
      <c r="QNC168" s="3"/>
      <c r="QND168" s="3"/>
      <c r="QNE168" s="3"/>
      <c r="QNF168" s="3"/>
      <c r="QNG168" s="3"/>
      <c r="QNH168" s="3"/>
      <c r="QNI168" s="3"/>
      <c r="QNJ168" s="3"/>
      <c r="QNK168" s="3"/>
      <c r="QNL168" s="3"/>
      <c r="QNM168" s="3"/>
      <c r="QNN168" s="3"/>
      <c r="QNO168" s="3"/>
      <c r="QNP168" s="3"/>
      <c r="QNQ168" s="3"/>
      <c r="QNR168" s="3"/>
      <c r="QNS168" s="3"/>
      <c r="QNT168" s="3"/>
      <c r="QNU168" s="3"/>
      <c r="QNV168" s="3"/>
      <c r="QNW168" s="3"/>
      <c r="QNX168" s="3"/>
      <c r="QNY168" s="3"/>
      <c r="QNZ168" s="3"/>
      <c r="QOA168" s="3"/>
      <c r="QOB168" s="3"/>
      <c r="QOC168" s="3"/>
      <c r="QOD168" s="3"/>
      <c r="QOE168" s="3"/>
      <c r="QOF168" s="3"/>
      <c r="QOG168" s="3"/>
      <c r="QOH168" s="3"/>
      <c r="QOI168" s="3"/>
      <c r="QOJ168" s="3"/>
      <c r="QOK168" s="3"/>
      <c r="QOL168" s="3"/>
      <c r="QOM168" s="3"/>
      <c r="QON168" s="3"/>
      <c r="QOO168" s="3"/>
      <c r="QOP168" s="3"/>
      <c r="QOQ168" s="3"/>
      <c r="QOR168" s="3"/>
      <c r="QOS168" s="3"/>
      <c r="QOT168" s="3"/>
      <c r="QOU168" s="3"/>
      <c r="QOV168" s="3"/>
      <c r="QOW168" s="3"/>
      <c r="QOX168" s="3"/>
      <c r="QOY168" s="3"/>
      <c r="QOZ168" s="3"/>
      <c r="QPA168" s="3"/>
      <c r="QPB168" s="3"/>
      <c r="QPC168" s="3"/>
      <c r="QPD168" s="3"/>
      <c r="QPE168" s="3"/>
      <c r="QPF168" s="3"/>
      <c r="QPG168" s="3"/>
      <c r="QPH168" s="3"/>
      <c r="QPI168" s="3"/>
      <c r="QPJ168" s="3"/>
      <c r="QPK168" s="3"/>
      <c r="QPL168" s="3"/>
      <c r="QPM168" s="3"/>
      <c r="QPN168" s="3"/>
      <c r="QPO168" s="3"/>
      <c r="QPP168" s="3"/>
      <c r="QPQ168" s="3"/>
      <c r="QPR168" s="3"/>
      <c r="QPS168" s="3"/>
      <c r="QPT168" s="3"/>
      <c r="QPU168" s="3"/>
      <c r="QPV168" s="3"/>
      <c r="QPW168" s="3"/>
      <c r="QPX168" s="3"/>
      <c r="QPY168" s="3"/>
      <c r="QPZ168" s="3"/>
      <c r="QQA168" s="3"/>
      <c r="QQB168" s="3"/>
      <c r="QQC168" s="3"/>
      <c r="QQD168" s="3"/>
      <c r="QQE168" s="3"/>
      <c r="QQF168" s="3"/>
      <c r="QQG168" s="3"/>
      <c r="QQH168" s="3"/>
      <c r="QQI168" s="3"/>
      <c r="QQJ168" s="3"/>
      <c r="QQK168" s="3"/>
      <c r="QQL168" s="3"/>
      <c r="QQM168" s="3"/>
      <c r="QQN168" s="3"/>
      <c r="QQO168" s="3"/>
      <c r="QQP168" s="3"/>
      <c r="QQQ168" s="3"/>
      <c r="QQR168" s="3"/>
      <c r="QQS168" s="3"/>
      <c r="QQT168" s="3"/>
      <c r="QQU168" s="3"/>
      <c r="QQV168" s="3"/>
      <c r="QQW168" s="3"/>
      <c r="QQX168" s="3"/>
      <c r="QQY168" s="3"/>
      <c r="QQZ168" s="3"/>
      <c r="QRA168" s="3"/>
      <c r="QRB168" s="3"/>
      <c r="QRC168" s="3"/>
      <c r="QRD168" s="3"/>
      <c r="QRE168" s="3"/>
      <c r="QRF168" s="3"/>
      <c r="QRG168" s="3"/>
      <c r="QRH168" s="3"/>
      <c r="QRI168" s="3"/>
      <c r="QRJ168" s="3"/>
      <c r="QRK168" s="3"/>
      <c r="QRL168" s="3"/>
      <c r="QRM168" s="3"/>
      <c r="QRN168" s="3"/>
      <c r="QRO168" s="3"/>
      <c r="QRP168" s="3"/>
      <c r="QRQ168" s="3"/>
      <c r="QRR168" s="3"/>
      <c r="QRS168" s="3"/>
      <c r="QRT168" s="3"/>
      <c r="QRU168" s="3"/>
      <c r="QRV168" s="3"/>
      <c r="QRW168" s="3"/>
      <c r="QRX168" s="3"/>
      <c r="QRY168" s="3"/>
      <c r="QRZ168" s="3"/>
      <c r="QSA168" s="3"/>
      <c r="QSB168" s="3"/>
      <c r="QSC168" s="3"/>
      <c r="QSD168" s="3"/>
      <c r="QSE168" s="3"/>
      <c r="QSF168" s="3"/>
      <c r="QSG168" s="3"/>
      <c r="QSH168" s="3"/>
      <c r="QSI168" s="3"/>
      <c r="QSJ168" s="3"/>
      <c r="QSK168" s="3"/>
      <c r="QSL168" s="3"/>
      <c r="QSM168" s="3"/>
      <c r="QSN168" s="3"/>
      <c r="QSO168" s="3"/>
      <c r="QSP168" s="3"/>
      <c r="QSQ168" s="3"/>
      <c r="QSR168" s="3"/>
      <c r="QSS168" s="3"/>
      <c r="QST168" s="3"/>
      <c r="QSU168" s="3"/>
      <c r="QSV168" s="3"/>
      <c r="QSW168" s="3"/>
      <c r="QSX168" s="3"/>
      <c r="QSY168" s="3"/>
      <c r="QSZ168" s="3"/>
      <c r="QTA168" s="3"/>
      <c r="QTB168" s="3"/>
      <c r="QTC168" s="3"/>
      <c r="QTD168" s="3"/>
      <c r="QTE168" s="3"/>
      <c r="QTF168" s="3"/>
      <c r="QTG168" s="3"/>
      <c r="QTH168" s="3"/>
      <c r="QTI168" s="3"/>
      <c r="QTJ168" s="3"/>
      <c r="QTK168" s="3"/>
      <c r="QTL168" s="3"/>
      <c r="QTM168" s="3"/>
      <c r="QTN168" s="3"/>
      <c r="QTO168" s="3"/>
      <c r="QTP168" s="3"/>
      <c r="QTQ168" s="3"/>
      <c r="QTR168" s="3"/>
      <c r="QTS168" s="3"/>
      <c r="QTT168" s="3"/>
      <c r="QTU168" s="3"/>
      <c r="QTV168" s="3"/>
      <c r="QTW168" s="3"/>
      <c r="QTX168" s="3"/>
      <c r="QTY168" s="3"/>
      <c r="QTZ168" s="3"/>
      <c r="QUA168" s="3"/>
      <c r="QUB168" s="3"/>
      <c r="QUC168" s="3"/>
      <c r="QUD168" s="3"/>
      <c r="QUE168" s="3"/>
      <c r="QUF168" s="3"/>
      <c r="QUG168" s="3"/>
      <c r="QUH168" s="3"/>
      <c r="QUI168" s="3"/>
      <c r="QUJ168" s="3"/>
      <c r="QUK168" s="3"/>
      <c r="QUL168" s="3"/>
      <c r="QUM168" s="3"/>
      <c r="QUN168" s="3"/>
      <c r="QUO168" s="3"/>
      <c r="QUP168" s="3"/>
      <c r="QUQ168" s="3"/>
      <c r="QUR168" s="3"/>
      <c r="QUS168" s="3"/>
      <c r="QUT168" s="3"/>
      <c r="QUU168" s="3"/>
      <c r="QUV168" s="3"/>
      <c r="QUW168" s="3"/>
      <c r="QUX168" s="3"/>
      <c r="QUY168" s="3"/>
      <c r="QUZ168" s="3"/>
      <c r="QVA168" s="3"/>
      <c r="QVB168" s="3"/>
      <c r="QVC168" s="3"/>
      <c r="QVD168" s="3"/>
      <c r="QVE168" s="3"/>
      <c r="QVF168" s="3"/>
      <c r="QVG168" s="3"/>
      <c r="QVH168" s="3"/>
      <c r="QVI168" s="3"/>
      <c r="QVJ168" s="3"/>
      <c r="QVK168" s="3"/>
      <c r="QVL168" s="3"/>
      <c r="QVM168" s="3"/>
      <c r="QVN168" s="3"/>
      <c r="QVO168" s="3"/>
      <c r="QVP168" s="3"/>
      <c r="QVQ168" s="3"/>
      <c r="QVR168" s="3"/>
      <c r="QVS168" s="3"/>
      <c r="QVT168" s="3"/>
      <c r="QVU168" s="3"/>
      <c r="QVV168" s="3"/>
      <c r="QVW168" s="3"/>
      <c r="QVX168" s="3"/>
      <c r="QVY168" s="3"/>
      <c r="QVZ168" s="3"/>
      <c r="QWA168" s="3"/>
      <c r="QWB168" s="3"/>
      <c r="QWC168" s="3"/>
      <c r="QWD168" s="3"/>
      <c r="QWE168" s="3"/>
      <c r="QWF168" s="3"/>
      <c r="QWG168" s="3"/>
      <c r="QWH168" s="3"/>
      <c r="QWI168" s="3"/>
      <c r="QWJ168" s="3"/>
      <c r="QWK168" s="3"/>
      <c r="QWL168" s="3"/>
      <c r="QWM168" s="3"/>
      <c r="QWN168" s="3"/>
      <c r="QWO168" s="3"/>
      <c r="QWP168" s="3"/>
      <c r="QWQ168" s="3"/>
      <c r="QWR168" s="3"/>
      <c r="QWS168" s="3"/>
      <c r="QWT168" s="3"/>
      <c r="QWU168" s="3"/>
      <c r="QWV168" s="3"/>
      <c r="QWW168" s="3"/>
      <c r="QWX168" s="3"/>
      <c r="QWY168" s="3"/>
      <c r="QWZ168" s="3"/>
      <c r="QXA168" s="3"/>
      <c r="QXB168" s="3"/>
      <c r="QXC168" s="3"/>
      <c r="QXD168" s="3"/>
      <c r="QXE168" s="3"/>
      <c r="QXF168" s="3"/>
      <c r="QXG168" s="3"/>
      <c r="QXH168" s="3"/>
      <c r="QXI168" s="3"/>
      <c r="QXJ168" s="3"/>
      <c r="QXK168" s="3"/>
      <c r="QXL168" s="3"/>
      <c r="QXM168" s="3"/>
      <c r="QXN168" s="3"/>
      <c r="QXO168" s="3"/>
      <c r="QXP168" s="3"/>
      <c r="QXQ168" s="3"/>
      <c r="QXR168" s="3"/>
      <c r="QXS168" s="3"/>
      <c r="QXT168" s="3"/>
      <c r="QXU168" s="3"/>
      <c r="QXV168" s="3"/>
      <c r="QXW168" s="3"/>
      <c r="QXX168" s="3"/>
      <c r="QXY168" s="3"/>
      <c r="QXZ168" s="3"/>
      <c r="QYA168" s="3"/>
      <c r="QYB168" s="3"/>
      <c r="QYC168" s="3"/>
      <c r="QYD168" s="3"/>
      <c r="QYE168" s="3"/>
      <c r="QYF168" s="3"/>
      <c r="QYG168" s="3"/>
      <c r="QYH168" s="3"/>
      <c r="QYI168" s="3"/>
      <c r="QYJ168" s="3"/>
      <c r="QYK168" s="3"/>
      <c r="QYL168" s="3"/>
      <c r="QYM168" s="3"/>
      <c r="QYN168" s="3"/>
      <c r="QYO168" s="3"/>
      <c r="QYP168" s="3"/>
      <c r="QYQ168" s="3"/>
      <c r="QYR168" s="3"/>
      <c r="QYS168" s="3"/>
      <c r="QYT168" s="3"/>
      <c r="QYU168" s="3"/>
      <c r="QYV168" s="3"/>
      <c r="QYW168" s="3"/>
      <c r="QYX168" s="3"/>
      <c r="QYY168" s="3"/>
      <c r="QYZ168" s="3"/>
      <c r="QZA168" s="3"/>
      <c r="QZB168" s="3"/>
      <c r="QZC168" s="3"/>
      <c r="QZD168" s="3"/>
      <c r="QZE168" s="3"/>
      <c r="QZF168" s="3"/>
      <c r="QZG168" s="3"/>
      <c r="QZH168" s="3"/>
      <c r="QZI168" s="3"/>
      <c r="QZJ168" s="3"/>
      <c r="QZK168" s="3"/>
      <c r="QZL168" s="3"/>
      <c r="QZM168" s="3"/>
      <c r="QZN168" s="3"/>
      <c r="QZO168" s="3"/>
      <c r="QZP168" s="3"/>
      <c r="QZQ168" s="3"/>
      <c r="QZR168" s="3"/>
      <c r="QZS168" s="3"/>
      <c r="QZT168" s="3"/>
      <c r="QZU168" s="3"/>
      <c r="QZV168" s="3"/>
      <c r="QZW168" s="3"/>
      <c r="QZX168" s="3"/>
      <c r="QZY168" s="3"/>
      <c r="QZZ168" s="3"/>
      <c r="RAA168" s="3"/>
      <c r="RAB168" s="3"/>
      <c r="RAC168" s="3"/>
      <c r="RAD168" s="3"/>
      <c r="RAE168" s="3"/>
      <c r="RAF168" s="3"/>
      <c r="RAG168" s="3"/>
      <c r="RAH168" s="3"/>
      <c r="RAI168" s="3"/>
      <c r="RAJ168" s="3"/>
      <c r="RAK168" s="3"/>
      <c r="RAL168" s="3"/>
      <c r="RAM168" s="3"/>
      <c r="RAN168" s="3"/>
      <c r="RAO168" s="3"/>
      <c r="RAP168" s="3"/>
      <c r="RAQ168" s="3"/>
      <c r="RAR168" s="3"/>
      <c r="RAS168" s="3"/>
      <c r="RAT168" s="3"/>
      <c r="RAU168" s="3"/>
      <c r="RAV168" s="3"/>
      <c r="RAW168" s="3"/>
      <c r="RAX168" s="3"/>
      <c r="RAY168" s="3"/>
      <c r="RAZ168" s="3"/>
      <c r="RBA168" s="3"/>
      <c r="RBB168" s="3"/>
      <c r="RBC168" s="3"/>
      <c r="RBD168" s="3"/>
      <c r="RBE168" s="3"/>
      <c r="RBF168" s="3"/>
      <c r="RBG168" s="3"/>
      <c r="RBH168" s="3"/>
      <c r="RBI168" s="3"/>
      <c r="RBJ168" s="3"/>
      <c r="RBK168" s="3"/>
      <c r="RBL168" s="3"/>
      <c r="RBM168" s="3"/>
      <c r="RBN168" s="3"/>
      <c r="RBO168" s="3"/>
      <c r="RBP168" s="3"/>
      <c r="RBQ168" s="3"/>
      <c r="RBR168" s="3"/>
      <c r="RBS168" s="3"/>
      <c r="RBT168" s="3"/>
      <c r="RBU168" s="3"/>
      <c r="RBV168" s="3"/>
      <c r="RBW168" s="3"/>
      <c r="RBX168" s="3"/>
      <c r="RBY168" s="3"/>
      <c r="RBZ168" s="3"/>
      <c r="RCA168" s="3"/>
      <c r="RCB168" s="3"/>
      <c r="RCC168" s="3"/>
      <c r="RCD168" s="3"/>
      <c r="RCE168" s="3"/>
      <c r="RCF168" s="3"/>
      <c r="RCG168" s="3"/>
      <c r="RCH168" s="3"/>
      <c r="RCI168" s="3"/>
      <c r="RCJ168" s="3"/>
      <c r="RCK168" s="3"/>
      <c r="RCL168" s="3"/>
      <c r="RCM168" s="3"/>
      <c r="RCN168" s="3"/>
      <c r="RCO168" s="3"/>
      <c r="RCP168" s="3"/>
      <c r="RCQ168" s="3"/>
      <c r="RCR168" s="3"/>
      <c r="RCS168" s="3"/>
      <c r="RCT168" s="3"/>
      <c r="RCU168" s="3"/>
      <c r="RCV168" s="3"/>
      <c r="RCW168" s="3"/>
      <c r="RCX168" s="3"/>
      <c r="RCY168" s="3"/>
      <c r="RCZ168" s="3"/>
      <c r="RDA168" s="3"/>
      <c r="RDB168" s="3"/>
      <c r="RDC168" s="3"/>
      <c r="RDD168" s="3"/>
      <c r="RDE168" s="3"/>
      <c r="RDF168" s="3"/>
      <c r="RDG168" s="3"/>
      <c r="RDH168" s="3"/>
      <c r="RDI168" s="3"/>
      <c r="RDJ168" s="3"/>
      <c r="RDK168" s="3"/>
      <c r="RDL168" s="3"/>
      <c r="RDM168" s="3"/>
      <c r="RDN168" s="3"/>
      <c r="RDO168" s="3"/>
      <c r="RDP168" s="3"/>
      <c r="RDQ168" s="3"/>
      <c r="RDR168" s="3"/>
      <c r="RDS168" s="3"/>
      <c r="RDT168" s="3"/>
      <c r="RDU168" s="3"/>
      <c r="RDV168" s="3"/>
      <c r="RDW168" s="3"/>
      <c r="RDX168" s="3"/>
      <c r="RDY168" s="3"/>
      <c r="RDZ168" s="3"/>
      <c r="REA168" s="3"/>
      <c r="REB168" s="3"/>
      <c r="REC168" s="3"/>
      <c r="RED168" s="3"/>
      <c r="REE168" s="3"/>
      <c r="REF168" s="3"/>
      <c r="REG168" s="3"/>
      <c r="REH168" s="3"/>
      <c r="REI168" s="3"/>
      <c r="REJ168" s="3"/>
      <c r="REK168" s="3"/>
      <c r="REL168" s="3"/>
      <c r="REM168" s="3"/>
      <c r="REN168" s="3"/>
      <c r="REO168" s="3"/>
      <c r="REP168" s="3"/>
      <c r="REQ168" s="3"/>
      <c r="RER168" s="3"/>
      <c r="RES168" s="3"/>
      <c r="RET168" s="3"/>
      <c r="REU168" s="3"/>
      <c r="REV168" s="3"/>
      <c r="REW168" s="3"/>
      <c r="REX168" s="3"/>
      <c r="REY168" s="3"/>
      <c r="REZ168" s="3"/>
      <c r="RFA168" s="3"/>
      <c r="RFB168" s="3"/>
      <c r="RFC168" s="3"/>
      <c r="RFD168" s="3"/>
      <c r="RFE168" s="3"/>
      <c r="RFF168" s="3"/>
      <c r="RFG168" s="3"/>
      <c r="RFH168" s="3"/>
      <c r="RFI168" s="3"/>
      <c r="RFJ168" s="3"/>
      <c r="RFK168" s="3"/>
      <c r="RFL168" s="3"/>
      <c r="RFM168" s="3"/>
      <c r="RFN168" s="3"/>
      <c r="RFO168" s="3"/>
      <c r="RFP168" s="3"/>
      <c r="RFQ168" s="3"/>
      <c r="RFR168" s="3"/>
      <c r="RFS168" s="3"/>
      <c r="RFT168" s="3"/>
      <c r="RFU168" s="3"/>
      <c r="RFV168" s="3"/>
      <c r="RFW168" s="3"/>
      <c r="RFX168" s="3"/>
      <c r="RFY168" s="3"/>
      <c r="RFZ168" s="3"/>
      <c r="RGA168" s="3"/>
      <c r="RGB168" s="3"/>
      <c r="RGC168" s="3"/>
      <c r="RGD168" s="3"/>
      <c r="RGE168" s="3"/>
      <c r="RGF168" s="3"/>
      <c r="RGG168" s="3"/>
      <c r="RGH168" s="3"/>
      <c r="RGI168" s="3"/>
      <c r="RGJ168" s="3"/>
      <c r="RGK168" s="3"/>
      <c r="RGL168" s="3"/>
      <c r="RGM168" s="3"/>
      <c r="RGN168" s="3"/>
      <c r="RGO168" s="3"/>
      <c r="RGP168" s="3"/>
      <c r="RGQ168" s="3"/>
      <c r="RGR168" s="3"/>
      <c r="RGS168" s="3"/>
      <c r="RGT168" s="3"/>
      <c r="RGU168" s="3"/>
      <c r="RGV168" s="3"/>
      <c r="RGW168" s="3"/>
      <c r="RGX168" s="3"/>
      <c r="RGY168" s="3"/>
      <c r="RGZ168" s="3"/>
      <c r="RHA168" s="3"/>
      <c r="RHB168" s="3"/>
      <c r="RHC168" s="3"/>
      <c r="RHD168" s="3"/>
      <c r="RHE168" s="3"/>
      <c r="RHF168" s="3"/>
      <c r="RHG168" s="3"/>
      <c r="RHH168" s="3"/>
      <c r="RHI168" s="3"/>
      <c r="RHJ168" s="3"/>
      <c r="RHK168" s="3"/>
      <c r="RHL168" s="3"/>
      <c r="RHM168" s="3"/>
      <c r="RHN168" s="3"/>
      <c r="RHO168" s="3"/>
      <c r="RHP168" s="3"/>
      <c r="RHQ168" s="3"/>
      <c r="RHR168" s="3"/>
      <c r="RHS168" s="3"/>
      <c r="RHT168" s="3"/>
      <c r="RHU168" s="3"/>
      <c r="RHV168" s="3"/>
      <c r="RHW168" s="3"/>
      <c r="RHX168" s="3"/>
      <c r="RHY168" s="3"/>
      <c r="RHZ168" s="3"/>
      <c r="RIA168" s="3"/>
      <c r="RIB168" s="3"/>
      <c r="RIC168" s="3"/>
      <c r="RID168" s="3"/>
      <c r="RIE168" s="3"/>
      <c r="RIF168" s="3"/>
      <c r="RIG168" s="3"/>
      <c r="RIH168" s="3"/>
      <c r="RII168" s="3"/>
      <c r="RIJ168" s="3"/>
      <c r="RIK168" s="3"/>
      <c r="RIL168" s="3"/>
      <c r="RIM168" s="3"/>
      <c r="RIN168" s="3"/>
      <c r="RIO168" s="3"/>
      <c r="RIP168" s="3"/>
      <c r="RIQ168" s="3"/>
      <c r="RIR168" s="3"/>
      <c r="RIS168" s="3"/>
      <c r="RIT168" s="3"/>
      <c r="RIU168" s="3"/>
      <c r="RIV168" s="3"/>
      <c r="RIW168" s="3"/>
      <c r="RIX168" s="3"/>
      <c r="RIY168" s="3"/>
      <c r="RIZ168" s="3"/>
      <c r="RJA168" s="3"/>
      <c r="RJB168" s="3"/>
      <c r="RJC168" s="3"/>
      <c r="RJD168" s="3"/>
      <c r="RJE168" s="3"/>
      <c r="RJF168" s="3"/>
      <c r="RJG168" s="3"/>
      <c r="RJH168" s="3"/>
      <c r="RJI168" s="3"/>
      <c r="RJJ168" s="3"/>
      <c r="RJK168" s="3"/>
      <c r="RJL168" s="3"/>
      <c r="RJM168" s="3"/>
      <c r="RJN168" s="3"/>
      <c r="RJO168" s="3"/>
      <c r="RJP168" s="3"/>
      <c r="RJQ168" s="3"/>
      <c r="RJR168" s="3"/>
      <c r="RJS168" s="3"/>
      <c r="RJT168" s="3"/>
      <c r="RJU168" s="3"/>
      <c r="RJV168" s="3"/>
      <c r="RJW168" s="3"/>
      <c r="RJX168" s="3"/>
      <c r="RJY168" s="3"/>
      <c r="RJZ168" s="3"/>
      <c r="RKA168" s="3"/>
      <c r="RKB168" s="3"/>
      <c r="RKC168" s="3"/>
      <c r="RKD168" s="3"/>
      <c r="RKE168" s="3"/>
      <c r="RKF168" s="3"/>
      <c r="RKG168" s="3"/>
      <c r="RKH168" s="3"/>
      <c r="RKI168" s="3"/>
      <c r="RKJ168" s="3"/>
      <c r="RKK168" s="3"/>
      <c r="RKL168" s="3"/>
      <c r="RKM168" s="3"/>
      <c r="RKN168" s="3"/>
      <c r="RKO168" s="3"/>
      <c r="RKP168" s="3"/>
      <c r="RKQ168" s="3"/>
      <c r="RKR168" s="3"/>
      <c r="RKS168" s="3"/>
      <c r="RKT168" s="3"/>
      <c r="RKU168" s="3"/>
      <c r="RKV168" s="3"/>
      <c r="RKW168" s="3"/>
      <c r="RKX168" s="3"/>
      <c r="RKY168" s="3"/>
      <c r="RKZ168" s="3"/>
      <c r="RLA168" s="3"/>
      <c r="RLB168" s="3"/>
      <c r="RLC168" s="3"/>
      <c r="RLD168" s="3"/>
      <c r="RLE168" s="3"/>
      <c r="RLF168" s="3"/>
      <c r="RLG168" s="3"/>
      <c r="RLH168" s="3"/>
      <c r="RLI168" s="3"/>
      <c r="RLJ168" s="3"/>
      <c r="RLK168" s="3"/>
      <c r="RLL168" s="3"/>
      <c r="RLM168" s="3"/>
      <c r="RLN168" s="3"/>
      <c r="RLO168" s="3"/>
      <c r="RLP168" s="3"/>
      <c r="RLQ168" s="3"/>
      <c r="RLR168" s="3"/>
      <c r="RLS168" s="3"/>
      <c r="RLT168" s="3"/>
      <c r="RLU168" s="3"/>
      <c r="RLV168" s="3"/>
      <c r="RLW168" s="3"/>
      <c r="RLX168" s="3"/>
      <c r="RLY168" s="3"/>
      <c r="RLZ168" s="3"/>
      <c r="RMA168" s="3"/>
      <c r="RMB168" s="3"/>
      <c r="RMC168" s="3"/>
      <c r="RMD168" s="3"/>
      <c r="RME168" s="3"/>
      <c r="RMF168" s="3"/>
      <c r="RMG168" s="3"/>
      <c r="RMH168" s="3"/>
      <c r="RMI168" s="3"/>
      <c r="RMJ168" s="3"/>
      <c r="RMK168" s="3"/>
      <c r="RML168" s="3"/>
      <c r="RMM168" s="3"/>
      <c r="RMN168" s="3"/>
      <c r="RMO168" s="3"/>
      <c r="RMP168" s="3"/>
      <c r="RMQ168" s="3"/>
      <c r="RMR168" s="3"/>
      <c r="RMS168" s="3"/>
      <c r="RMT168" s="3"/>
      <c r="RMU168" s="3"/>
      <c r="RMV168" s="3"/>
      <c r="RMW168" s="3"/>
      <c r="RMX168" s="3"/>
      <c r="RMY168" s="3"/>
      <c r="RMZ168" s="3"/>
      <c r="RNA168" s="3"/>
      <c r="RNB168" s="3"/>
      <c r="RNC168" s="3"/>
      <c r="RND168" s="3"/>
      <c r="RNE168" s="3"/>
      <c r="RNF168" s="3"/>
      <c r="RNG168" s="3"/>
      <c r="RNH168" s="3"/>
      <c r="RNI168" s="3"/>
      <c r="RNJ168" s="3"/>
      <c r="RNK168" s="3"/>
      <c r="RNL168" s="3"/>
      <c r="RNM168" s="3"/>
      <c r="RNN168" s="3"/>
      <c r="RNO168" s="3"/>
      <c r="RNP168" s="3"/>
      <c r="RNQ168" s="3"/>
      <c r="RNR168" s="3"/>
      <c r="RNS168" s="3"/>
      <c r="RNT168" s="3"/>
      <c r="RNU168" s="3"/>
      <c r="RNV168" s="3"/>
      <c r="RNW168" s="3"/>
      <c r="RNX168" s="3"/>
      <c r="RNY168" s="3"/>
      <c r="RNZ168" s="3"/>
      <c r="ROA168" s="3"/>
      <c r="ROB168" s="3"/>
      <c r="ROC168" s="3"/>
      <c r="ROD168" s="3"/>
      <c r="ROE168" s="3"/>
      <c r="ROF168" s="3"/>
      <c r="ROG168" s="3"/>
      <c r="ROH168" s="3"/>
      <c r="ROI168" s="3"/>
      <c r="ROJ168" s="3"/>
      <c r="ROK168" s="3"/>
      <c r="ROL168" s="3"/>
      <c r="ROM168" s="3"/>
      <c r="RON168" s="3"/>
      <c r="ROO168" s="3"/>
      <c r="ROP168" s="3"/>
      <c r="ROQ168" s="3"/>
      <c r="ROR168" s="3"/>
      <c r="ROS168" s="3"/>
      <c r="ROT168" s="3"/>
      <c r="ROU168" s="3"/>
      <c r="ROV168" s="3"/>
      <c r="ROW168" s="3"/>
      <c r="ROX168" s="3"/>
      <c r="ROY168" s="3"/>
      <c r="ROZ168" s="3"/>
      <c r="RPA168" s="3"/>
      <c r="RPB168" s="3"/>
      <c r="RPC168" s="3"/>
      <c r="RPD168" s="3"/>
      <c r="RPE168" s="3"/>
      <c r="RPF168" s="3"/>
      <c r="RPG168" s="3"/>
      <c r="RPH168" s="3"/>
      <c r="RPI168" s="3"/>
      <c r="RPJ168" s="3"/>
      <c r="RPK168" s="3"/>
      <c r="RPL168" s="3"/>
      <c r="RPM168" s="3"/>
      <c r="RPN168" s="3"/>
      <c r="RPO168" s="3"/>
      <c r="RPP168" s="3"/>
      <c r="RPQ168" s="3"/>
      <c r="RPR168" s="3"/>
      <c r="RPS168" s="3"/>
      <c r="RPT168" s="3"/>
      <c r="RPU168" s="3"/>
      <c r="RPV168" s="3"/>
      <c r="RPW168" s="3"/>
      <c r="RPX168" s="3"/>
      <c r="RPY168" s="3"/>
      <c r="RPZ168" s="3"/>
      <c r="RQA168" s="3"/>
      <c r="RQB168" s="3"/>
      <c r="RQC168" s="3"/>
      <c r="RQD168" s="3"/>
      <c r="RQE168" s="3"/>
      <c r="RQF168" s="3"/>
      <c r="RQG168" s="3"/>
      <c r="RQH168" s="3"/>
      <c r="RQI168" s="3"/>
      <c r="RQJ168" s="3"/>
      <c r="RQK168" s="3"/>
      <c r="RQL168" s="3"/>
      <c r="RQM168" s="3"/>
      <c r="RQN168" s="3"/>
      <c r="RQO168" s="3"/>
      <c r="RQP168" s="3"/>
      <c r="RQQ168" s="3"/>
      <c r="RQR168" s="3"/>
      <c r="RQS168" s="3"/>
      <c r="RQT168" s="3"/>
      <c r="RQU168" s="3"/>
      <c r="RQV168" s="3"/>
      <c r="RQW168" s="3"/>
      <c r="RQX168" s="3"/>
      <c r="RQY168" s="3"/>
      <c r="RQZ168" s="3"/>
      <c r="RRA168" s="3"/>
      <c r="RRB168" s="3"/>
      <c r="RRC168" s="3"/>
      <c r="RRD168" s="3"/>
      <c r="RRE168" s="3"/>
      <c r="RRF168" s="3"/>
      <c r="RRG168" s="3"/>
      <c r="RRH168" s="3"/>
      <c r="RRI168" s="3"/>
      <c r="RRJ168" s="3"/>
      <c r="RRK168" s="3"/>
      <c r="RRL168" s="3"/>
      <c r="RRM168" s="3"/>
      <c r="RRN168" s="3"/>
      <c r="RRO168" s="3"/>
      <c r="RRP168" s="3"/>
      <c r="RRQ168" s="3"/>
      <c r="RRR168" s="3"/>
      <c r="RRS168" s="3"/>
      <c r="RRT168" s="3"/>
      <c r="RRU168" s="3"/>
      <c r="RRV168" s="3"/>
      <c r="RRW168" s="3"/>
      <c r="RRX168" s="3"/>
      <c r="RRY168" s="3"/>
      <c r="RRZ168" s="3"/>
      <c r="RSA168" s="3"/>
      <c r="RSB168" s="3"/>
      <c r="RSC168" s="3"/>
      <c r="RSD168" s="3"/>
      <c r="RSE168" s="3"/>
      <c r="RSF168" s="3"/>
      <c r="RSG168" s="3"/>
      <c r="RSH168" s="3"/>
      <c r="RSI168" s="3"/>
      <c r="RSJ168" s="3"/>
      <c r="RSK168" s="3"/>
      <c r="RSL168" s="3"/>
      <c r="RSM168" s="3"/>
      <c r="RSN168" s="3"/>
      <c r="RSO168" s="3"/>
      <c r="RSP168" s="3"/>
      <c r="RSQ168" s="3"/>
      <c r="RSR168" s="3"/>
      <c r="RSS168" s="3"/>
      <c r="RST168" s="3"/>
      <c r="RSU168" s="3"/>
      <c r="RSV168" s="3"/>
      <c r="RSW168" s="3"/>
      <c r="RSX168" s="3"/>
      <c r="RSY168" s="3"/>
      <c r="RSZ168" s="3"/>
      <c r="RTA168" s="3"/>
      <c r="RTB168" s="3"/>
      <c r="RTC168" s="3"/>
      <c r="RTD168" s="3"/>
      <c r="RTE168" s="3"/>
      <c r="RTF168" s="3"/>
      <c r="RTG168" s="3"/>
      <c r="RTH168" s="3"/>
      <c r="RTI168" s="3"/>
      <c r="RTJ168" s="3"/>
      <c r="RTK168" s="3"/>
      <c r="RTL168" s="3"/>
      <c r="RTM168" s="3"/>
      <c r="RTN168" s="3"/>
      <c r="RTO168" s="3"/>
      <c r="RTP168" s="3"/>
      <c r="RTQ168" s="3"/>
      <c r="RTR168" s="3"/>
      <c r="RTS168" s="3"/>
      <c r="RTT168" s="3"/>
      <c r="RTU168" s="3"/>
      <c r="RTV168" s="3"/>
      <c r="RTW168" s="3"/>
      <c r="RTX168" s="3"/>
      <c r="RTY168" s="3"/>
      <c r="RTZ168" s="3"/>
      <c r="RUA168" s="3"/>
      <c r="RUB168" s="3"/>
      <c r="RUC168" s="3"/>
      <c r="RUD168" s="3"/>
      <c r="RUE168" s="3"/>
      <c r="RUF168" s="3"/>
      <c r="RUG168" s="3"/>
      <c r="RUH168" s="3"/>
      <c r="RUI168" s="3"/>
      <c r="RUJ168" s="3"/>
      <c r="RUK168" s="3"/>
      <c r="RUL168" s="3"/>
      <c r="RUM168" s="3"/>
      <c r="RUN168" s="3"/>
      <c r="RUO168" s="3"/>
      <c r="RUP168" s="3"/>
      <c r="RUQ168" s="3"/>
      <c r="RUR168" s="3"/>
      <c r="RUS168" s="3"/>
      <c r="RUT168" s="3"/>
      <c r="RUU168" s="3"/>
      <c r="RUV168" s="3"/>
      <c r="RUW168" s="3"/>
      <c r="RUX168" s="3"/>
      <c r="RUY168" s="3"/>
      <c r="RUZ168" s="3"/>
      <c r="RVA168" s="3"/>
      <c r="RVB168" s="3"/>
      <c r="RVC168" s="3"/>
      <c r="RVD168" s="3"/>
      <c r="RVE168" s="3"/>
      <c r="RVF168" s="3"/>
      <c r="RVG168" s="3"/>
      <c r="RVH168" s="3"/>
      <c r="RVI168" s="3"/>
      <c r="RVJ168" s="3"/>
      <c r="RVK168" s="3"/>
      <c r="RVL168" s="3"/>
      <c r="RVM168" s="3"/>
      <c r="RVN168" s="3"/>
      <c r="RVO168" s="3"/>
      <c r="RVP168" s="3"/>
      <c r="RVQ168" s="3"/>
      <c r="RVR168" s="3"/>
      <c r="RVS168" s="3"/>
      <c r="RVT168" s="3"/>
      <c r="RVU168" s="3"/>
      <c r="RVV168" s="3"/>
      <c r="RVW168" s="3"/>
      <c r="RVX168" s="3"/>
      <c r="RVY168" s="3"/>
      <c r="RVZ168" s="3"/>
      <c r="RWA168" s="3"/>
      <c r="RWB168" s="3"/>
      <c r="RWC168" s="3"/>
      <c r="RWD168" s="3"/>
      <c r="RWE168" s="3"/>
      <c r="RWF168" s="3"/>
      <c r="RWG168" s="3"/>
      <c r="RWH168" s="3"/>
      <c r="RWI168" s="3"/>
      <c r="RWJ168" s="3"/>
      <c r="RWK168" s="3"/>
      <c r="RWL168" s="3"/>
      <c r="RWM168" s="3"/>
      <c r="RWN168" s="3"/>
      <c r="RWO168" s="3"/>
      <c r="RWP168" s="3"/>
      <c r="RWQ168" s="3"/>
      <c r="RWR168" s="3"/>
      <c r="RWS168" s="3"/>
      <c r="RWT168" s="3"/>
      <c r="RWU168" s="3"/>
      <c r="RWV168" s="3"/>
      <c r="RWW168" s="3"/>
      <c r="RWX168" s="3"/>
      <c r="RWY168" s="3"/>
      <c r="RWZ168" s="3"/>
      <c r="RXA168" s="3"/>
      <c r="RXB168" s="3"/>
      <c r="RXC168" s="3"/>
      <c r="RXD168" s="3"/>
      <c r="RXE168" s="3"/>
      <c r="RXF168" s="3"/>
      <c r="RXG168" s="3"/>
      <c r="RXH168" s="3"/>
      <c r="RXI168" s="3"/>
      <c r="RXJ168" s="3"/>
      <c r="RXK168" s="3"/>
      <c r="RXL168" s="3"/>
      <c r="RXM168" s="3"/>
      <c r="RXN168" s="3"/>
      <c r="RXO168" s="3"/>
      <c r="RXP168" s="3"/>
      <c r="RXQ168" s="3"/>
      <c r="RXR168" s="3"/>
      <c r="RXS168" s="3"/>
      <c r="RXT168" s="3"/>
      <c r="RXU168" s="3"/>
      <c r="RXV168" s="3"/>
      <c r="RXW168" s="3"/>
      <c r="RXX168" s="3"/>
      <c r="RXY168" s="3"/>
      <c r="RXZ168" s="3"/>
      <c r="RYA168" s="3"/>
      <c r="RYB168" s="3"/>
      <c r="RYC168" s="3"/>
      <c r="RYD168" s="3"/>
      <c r="RYE168" s="3"/>
      <c r="RYF168" s="3"/>
      <c r="RYG168" s="3"/>
      <c r="RYH168" s="3"/>
      <c r="RYI168" s="3"/>
      <c r="RYJ168" s="3"/>
      <c r="RYK168" s="3"/>
      <c r="RYL168" s="3"/>
      <c r="RYM168" s="3"/>
      <c r="RYN168" s="3"/>
      <c r="RYO168" s="3"/>
      <c r="RYP168" s="3"/>
      <c r="RYQ168" s="3"/>
      <c r="RYR168" s="3"/>
      <c r="RYS168" s="3"/>
      <c r="RYT168" s="3"/>
      <c r="RYU168" s="3"/>
      <c r="RYV168" s="3"/>
      <c r="RYW168" s="3"/>
      <c r="RYX168" s="3"/>
      <c r="RYY168" s="3"/>
      <c r="RYZ168" s="3"/>
      <c r="RZA168" s="3"/>
      <c r="RZB168" s="3"/>
      <c r="RZC168" s="3"/>
      <c r="RZD168" s="3"/>
      <c r="RZE168" s="3"/>
      <c r="RZF168" s="3"/>
      <c r="RZG168" s="3"/>
      <c r="RZH168" s="3"/>
      <c r="RZI168" s="3"/>
      <c r="RZJ168" s="3"/>
      <c r="RZK168" s="3"/>
      <c r="RZL168" s="3"/>
      <c r="RZM168" s="3"/>
      <c r="RZN168" s="3"/>
      <c r="RZO168" s="3"/>
      <c r="RZP168" s="3"/>
      <c r="RZQ168" s="3"/>
      <c r="RZR168" s="3"/>
      <c r="RZS168" s="3"/>
      <c r="RZT168" s="3"/>
      <c r="RZU168" s="3"/>
      <c r="RZV168" s="3"/>
      <c r="RZW168" s="3"/>
      <c r="RZX168" s="3"/>
      <c r="RZY168" s="3"/>
      <c r="RZZ168" s="3"/>
      <c r="SAA168" s="3"/>
      <c r="SAB168" s="3"/>
      <c r="SAC168" s="3"/>
      <c r="SAD168" s="3"/>
      <c r="SAE168" s="3"/>
      <c r="SAF168" s="3"/>
      <c r="SAG168" s="3"/>
      <c r="SAH168" s="3"/>
      <c r="SAI168" s="3"/>
      <c r="SAJ168" s="3"/>
      <c r="SAK168" s="3"/>
      <c r="SAL168" s="3"/>
      <c r="SAM168" s="3"/>
      <c r="SAN168" s="3"/>
      <c r="SAO168" s="3"/>
      <c r="SAP168" s="3"/>
      <c r="SAQ168" s="3"/>
      <c r="SAR168" s="3"/>
      <c r="SAS168" s="3"/>
      <c r="SAT168" s="3"/>
      <c r="SAU168" s="3"/>
      <c r="SAV168" s="3"/>
      <c r="SAW168" s="3"/>
      <c r="SAX168" s="3"/>
      <c r="SAY168" s="3"/>
      <c r="SAZ168" s="3"/>
      <c r="SBA168" s="3"/>
      <c r="SBB168" s="3"/>
      <c r="SBC168" s="3"/>
      <c r="SBD168" s="3"/>
      <c r="SBE168" s="3"/>
      <c r="SBF168" s="3"/>
      <c r="SBG168" s="3"/>
      <c r="SBH168" s="3"/>
      <c r="SBI168" s="3"/>
      <c r="SBJ168" s="3"/>
      <c r="SBK168" s="3"/>
      <c r="SBL168" s="3"/>
      <c r="SBM168" s="3"/>
      <c r="SBN168" s="3"/>
      <c r="SBO168" s="3"/>
      <c r="SBP168" s="3"/>
      <c r="SBQ168" s="3"/>
      <c r="SBR168" s="3"/>
      <c r="SBS168" s="3"/>
      <c r="SBT168" s="3"/>
      <c r="SBU168" s="3"/>
      <c r="SBV168" s="3"/>
      <c r="SBW168" s="3"/>
      <c r="SBX168" s="3"/>
      <c r="SBY168" s="3"/>
      <c r="SBZ168" s="3"/>
      <c r="SCA168" s="3"/>
      <c r="SCB168" s="3"/>
      <c r="SCC168" s="3"/>
      <c r="SCD168" s="3"/>
      <c r="SCE168" s="3"/>
      <c r="SCF168" s="3"/>
      <c r="SCG168" s="3"/>
      <c r="SCH168" s="3"/>
      <c r="SCI168" s="3"/>
      <c r="SCJ168" s="3"/>
      <c r="SCK168" s="3"/>
      <c r="SCL168" s="3"/>
      <c r="SCM168" s="3"/>
      <c r="SCN168" s="3"/>
      <c r="SCO168" s="3"/>
      <c r="SCP168" s="3"/>
      <c r="SCQ168" s="3"/>
      <c r="SCR168" s="3"/>
      <c r="SCS168" s="3"/>
      <c r="SCT168" s="3"/>
      <c r="SCU168" s="3"/>
      <c r="SCV168" s="3"/>
      <c r="SCW168" s="3"/>
      <c r="SCX168" s="3"/>
      <c r="SCY168" s="3"/>
      <c r="SCZ168" s="3"/>
      <c r="SDA168" s="3"/>
      <c r="SDB168" s="3"/>
      <c r="SDC168" s="3"/>
      <c r="SDD168" s="3"/>
      <c r="SDE168" s="3"/>
      <c r="SDF168" s="3"/>
      <c r="SDG168" s="3"/>
      <c r="SDH168" s="3"/>
      <c r="SDI168" s="3"/>
      <c r="SDJ168" s="3"/>
      <c r="SDK168" s="3"/>
      <c r="SDL168" s="3"/>
      <c r="SDM168" s="3"/>
      <c r="SDN168" s="3"/>
      <c r="SDO168" s="3"/>
      <c r="SDP168" s="3"/>
      <c r="SDQ168" s="3"/>
      <c r="SDR168" s="3"/>
      <c r="SDS168" s="3"/>
      <c r="SDT168" s="3"/>
      <c r="SDU168" s="3"/>
      <c r="SDV168" s="3"/>
      <c r="SDW168" s="3"/>
      <c r="SDX168" s="3"/>
      <c r="SDY168" s="3"/>
      <c r="SDZ168" s="3"/>
      <c r="SEA168" s="3"/>
      <c r="SEB168" s="3"/>
      <c r="SEC168" s="3"/>
      <c r="SED168" s="3"/>
      <c r="SEE168" s="3"/>
      <c r="SEF168" s="3"/>
      <c r="SEG168" s="3"/>
      <c r="SEH168" s="3"/>
      <c r="SEI168" s="3"/>
      <c r="SEJ168" s="3"/>
      <c r="SEK168" s="3"/>
      <c r="SEL168" s="3"/>
      <c r="SEM168" s="3"/>
      <c r="SEN168" s="3"/>
      <c r="SEO168" s="3"/>
      <c r="SEP168" s="3"/>
      <c r="SEQ168" s="3"/>
      <c r="SER168" s="3"/>
      <c r="SES168" s="3"/>
      <c r="SET168" s="3"/>
      <c r="SEU168" s="3"/>
      <c r="SEV168" s="3"/>
      <c r="SEW168" s="3"/>
      <c r="SEX168" s="3"/>
      <c r="SEY168" s="3"/>
      <c r="SEZ168" s="3"/>
      <c r="SFA168" s="3"/>
      <c r="SFB168" s="3"/>
      <c r="SFC168" s="3"/>
      <c r="SFD168" s="3"/>
      <c r="SFE168" s="3"/>
      <c r="SFF168" s="3"/>
      <c r="SFG168" s="3"/>
      <c r="SFH168" s="3"/>
      <c r="SFI168" s="3"/>
      <c r="SFJ168" s="3"/>
      <c r="SFK168" s="3"/>
      <c r="SFL168" s="3"/>
      <c r="SFM168" s="3"/>
      <c r="SFN168" s="3"/>
      <c r="SFO168" s="3"/>
      <c r="SFP168" s="3"/>
      <c r="SFQ168" s="3"/>
      <c r="SFR168" s="3"/>
      <c r="SFS168" s="3"/>
      <c r="SFT168" s="3"/>
      <c r="SFU168" s="3"/>
      <c r="SFV168" s="3"/>
      <c r="SFW168" s="3"/>
      <c r="SFX168" s="3"/>
      <c r="SFY168" s="3"/>
      <c r="SFZ168" s="3"/>
      <c r="SGA168" s="3"/>
      <c r="SGB168" s="3"/>
      <c r="SGC168" s="3"/>
      <c r="SGD168" s="3"/>
      <c r="SGE168" s="3"/>
      <c r="SGF168" s="3"/>
      <c r="SGG168" s="3"/>
      <c r="SGH168" s="3"/>
      <c r="SGI168" s="3"/>
      <c r="SGJ168" s="3"/>
      <c r="SGK168" s="3"/>
      <c r="SGL168" s="3"/>
      <c r="SGM168" s="3"/>
      <c r="SGN168" s="3"/>
      <c r="SGO168" s="3"/>
      <c r="SGP168" s="3"/>
      <c r="SGQ168" s="3"/>
      <c r="SGR168" s="3"/>
      <c r="SGS168" s="3"/>
      <c r="SGT168" s="3"/>
      <c r="SGU168" s="3"/>
      <c r="SGV168" s="3"/>
      <c r="SGW168" s="3"/>
      <c r="SGX168" s="3"/>
      <c r="SGY168" s="3"/>
      <c r="SGZ168" s="3"/>
      <c r="SHA168" s="3"/>
      <c r="SHB168" s="3"/>
      <c r="SHC168" s="3"/>
      <c r="SHD168" s="3"/>
      <c r="SHE168" s="3"/>
      <c r="SHF168" s="3"/>
      <c r="SHG168" s="3"/>
      <c r="SHH168" s="3"/>
      <c r="SHI168" s="3"/>
      <c r="SHJ168" s="3"/>
      <c r="SHK168" s="3"/>
      <c r="SHL168" s="3"/>
      <c r="SHM168" s="3"/>
      <c r="SHN168" s="3"/>
      <c r="SHO168" s="3"/>
      <c r="SHP168" s="3"/>
      <c r="SHQ168" s="3"/>
      <c r="SHR168" s="3"/>
      <c r="SHS168" s="3"/>
      <c r="SHT168" s="3"/>
      <c r="SHU168" s="3"/>
      <c r="SHV168" s="3"/>
      <c r="SHW168" s="3"/>
      <c r="SHX168" s="3"/>
      <c r="SHY168" s="3"/>
      <c r="SHZ168" s="3"/>
      <c r="SIA168" s="3"/>
      <c r="SIB168" s="3"/>
      <c r="SIC168" s="3"/>
      <c r="SID168" s="3"/>
      <c r="SIE168" s="3"/>
      <c r="SIF168" s="3"/>
      <c r="SIG168" s="3"/>
      <c r="SIH168" s="3"/>
      <c r="SII168" s="3"/>
      <c r="SIJ168" s="3"/>
      <c r="SIK168" s="3"/>
      <c r="SIL168" s="3"/>
      <c r="SIM168" s="3"/>
      <c r="SIN168" s="3"/>
      <c r="SIO168" s="3"/>
      <c r="SIP168" s="3"/>
      <c r="SIQ168" s="3"/>
      <c r="SIR168" s="3"/>
      <c r="SIS168" s="3"/>
      <c r="SIT168" s="3"/>
      <c r="SIU168" s="3"/>
      <c r="SIV168" s="3"/>
      <c r="SIW168" s="3"/>
      <c r="SIX168" s="3"/>
      <c r="SIY168" s="3"/>
      <c r="SIZ168" s="3"/>
      <c r="SJA168" s="3"/>
      <c r="SJB168" s="3"/>
      <c r="SJC168" s="3"/>
      <c r="SJD168" s="3"/>
      <c r="SJE168" s="3"/>
      <c r="SJF168" s="3"/>
      <c r="SJG168" s="3"/>
      <c r="SJH168" s="3"/>
      <c r="SJI168" s="3"/>
      <c r="SJJ168" s="3"/>
      <c r="SJK168" s="3"/>
      <c r="SJL168" s="3"/>
      <c r="SJM168" s="3"/>
      <c r="SJN168" s="3"/>
      <c r="SJO168" s="3"/>
      <c r="SJP168" s="3"/>
      <c r="SJQ168" s="3"/>
      <c r="SJR168" s="3"/>
      <c r="SJS168" s="3"/>
      <c r="SJT168" s="3"/>
      <c r="SJU168" s="3"/>
      <c r="SJV168" s="3"/>
      <c r="SJW168" s="3"/>
      <c r="SJX168" s="3"/>
      <c r="SJY168" s="3"/>
      <c r="SJZ168" s="3"/>
      <c r="SKA168" s="3"/>
      <c r="SKB168" s="3"/>
      <c r="SKC168" s="3"/>
      <c r="SKD168" s="3"/>
      <c r="SKE168" s="3"/>
      <c r="SKF168" s="3"/>
      <c r="SKG168" s="3"/>
      <c r="SKH168" s="3"/>
      <c r="SKI168" s="3"/>
      <c r="SKJ168" s="3"/>
      <c r="SKK168" s="3"/>
      <c r="SKL168" s="3"/>
      <c r="SKM168" s="3"/>
      <c r="SKN168" s="3"/>
      <c r="SKO168" s="3"/>
      <c r="SKP168" s="3"/>
      <c r="SKQ168" s="3"/>
      <c r="SKR168" s="3"/>
      <c r="SKS168" s="3"/>
      <c r="SKT168" s="3"/>
      <c r="SKU168" s="3"/>
      <c r="SKV168" s="3"/>
      <c r="SKW168" s="3"/>
      <c r="SKX168" s="3"/>
      <c r="SKY168" s="3"/>
      <c r="SKZ168" s="3"/>
      <c r="SLA168" s="3"/>
      <c r="SLB168" s="3"/>
      <c r="SLC168" s="3"/>
      <c r="SLD168" s="3"/>
      <c r="SLE168" s="3"/>
      <c r="SLF168" s="3"/>
      <c r="SLG168" s="3"/>
      <c r="SLH168" s="3"/>
      <c r="SLI168" s="3"/>
      <c r="SLJ168" s="3"/>
      <c r="SLK168" s="3"/>
      <c r="SLL168" s="3"/>
      <c r="SLM168" s="3"/>
      <c r="SLN168" s="3"/>
      <c r="SLO168" s="3"/>
      <c r="SLP168" s="3"/>
      <c r="SLQ168" s="3"/>
      <c r="SLR168" s="3"/>
      <c r="SLS168" s="3"/>
      <c r="SLT168" s="3"/>
      <c r="SLU168" s="3"/>
      <c r="SLV168" s="3"/>
      <c r="SLW168" s="3"/>
      <c r="SLX168" s="3"/>
      <c r="SLY168" s="3"/>
      <c r="SLZ168" s="3"/>
      <c r="SMA168" s="3"/>
      <c r="SMB168" s="3"/>
      <c r="SMC168" s="3"/>
      <c r="SMD168" s="3"/>
      <c r="SME168" s="3"/>
      <c r="SMF168" s="3"/>
      <c r="SMG168" s="3"/>
      <c r="SMH168" s="3"/>
      <c r="SMI168" s="3"/>
      <c r="SMJ168" s="3"/>
      <c r="SMK168" s="3"/>
      <c r="SML168" s="3"/>
      <c r="SMM168" s="3"/>
      <c r="SMN168" s="3"/>
      <c r="SMO168" s="3"/>
      <c r="SMP168" s="3"/>
      <c r="SMQ168" s="3"/>
      <c r="SMR168" s="3"/>
      <c r="SMS168" s="3"/>
      <c r="SMT168" s="3"/>
      <c r="SMU168" s="3"/>
      <c r="SMV168" s="3"/>
      <c r="SMW168" s="3"/>
      <c r="SMX168" s="3"/>
      <c r="SMY168" s="3"/>
      <c r="SMZ168" s="3"/>
      <c r="SNA168" s="3"/>
      <c r="SNB168" s="3"/>
      <c r="SNC168" s="3"/>
      <c r="SND168" s="3"/>
      <c r="SNE168" s="3"/>
      <c r="SNF168" s="3"/>
      <c r="SNG168" s="3"/>
      <c r="SNH168" s="3"/>
      <c r="SNI168" s="3"/>
      <c r="SNJ168" s="3"/>
      <c r="SNK168" s="3"/>
      <c r="SNL168" s="3"/>
      <c r="SNM168" s="3"/>
      <c r="SNN168" s="3"/>
      <c r="SNO168" s="3"/>
      <c r="SNP168" s="3"/>
      <c r="SNQ168" s="3"/>
      <c r="SNR168" s="3"/>
      <c r="SNS168" s="3"/>
      <c r="SNT168" s="3"/>
      <c r="SNU168" s="3"/>
      <c r="SNV168" s="3"/>
      <c r="SNW168" s="3"/>
      <c r="SNX168" s="3"/>
      <c r="SNY168" s="3"/>
      <c r="SNZ168" s="3"/>
      <c r="SOA168" s="3"/>
      <c r="SOB168" s="3"/>
      <c r="SOC168" s="3"/>
      <c r="SOD168" s="3"/>
      <c r="SOE168" s="3"/>
      <c r="SOF168" s="3"/>
      <c r="SOG168" s="3"/>
      <c r="SOH168" s="3"/>
      <c r="SOI168" s="3"/>
      <c r="SOJ168" s="3"/>
      <c r="SOK168" s="3"/>
      <c r="SOL168" s="3"/>
      <c r="SOM168" s="3"/>
      <c r="SON168" s="3"/>
      <c r="SOO168" s="3"/>
      <c r="SOP168" s="3"/>
      <c r="SOQ168" s="3"/>
      <c r="SOR168" s="3"/>
      <c r="SOS168" s="3"/>
      <c r="SOT168" s="3"/>
      <c r="SOU168" s="3"/>
      <c r="SOV168" s="3"/>
      <c r="SOW168" s="3"/>
      <c r="SOX168" s="3"/>
      <c r="SOY168" s="3"/>
      <c r="SOZ168" s="3"/>
      <c r="SPA168" s="3"/>
      <c r="SPB168" s="3"/>
      <c r="SPC168" s="3"/>
      <c r="SPD168" s="3"/>
      <c r="SPE168" s="3"/>
      <c r="SPF168" s="3"/>
      <c r="SPG168" s="3"/>
      <c r="SPH168" s="3"/>
      <c r="SPI168" s="3"/>
      <c r="SPJ168" s="3"/>
      <c r="SPK168" s="3"/>
      <c r="SPL168" s="3"/>
      <c r="SPM168" s="3"/>
      <c r="SPN168" s="3"/>
      <c r="SPO168" s="3"/>
      <c r="SPP168" s="3"/>
      <c r="SPQ168" s="3"/>
      <c r="SPR168" s="3"/>
      <c r="SPS168" s="3"/>
      <c r="SPT168" s="3"/>
      <c r="SPU168" s="3"/>
      <c r="SPV168" s="3"/>
      <c r="SPW168" s="3"/>
      <c r="SPX168" s="3"/>
      <c r="SPY168" s="3"/>
      <c r="SPZ168" s="3"/>
      <c r="SQA168" s="3"/>
      <c r="SQB168" s="3"/>
      <c r="SQC168" s="3"/>
      <c r="SQD168" s="3"/>
      <c r="SQE168" s="3"/>
      <c r="SQF168" s="3"/>
      <c r="SQG168" s="3"/>
      <c r="SQH168" s="3"/>
      <c r="SQI168" s="3"/>
      <c r="SQJ168" s="3"/>
      <c r="SQK168" s="3"/>
      <c r="SQL168" s="3"/>
      <c r="SQM168" s="3"/>
      <c r="SQN168" s="3"/>
      <c r="SQO168" s="3"/>
      <c r="SQP168" s="3"/>
      <c r="SQQ168" s="3"/>
      <c r="SQR168" s="3"/>
      <c r="SQS168" s="3"/>
      <c r="SQT168" s="3"/>
      <c r="SQU168" s="3"/>
      <c r="SQV168" s="3"/>
      <c r="SQW168" s="3"/>
      <c r="SQX168" s="3"/>
      <c r="SQY168" s="3"/>
      <c r="SQZ168" s="3"/>
      <c r="SRA168" s="3"/>
      <c r="SRB168" s="3"/>
      <c r="SRC168" s="3"/>
      <c r="SRD168" s="3"/>
      <c r="SRE168" s="3"/>
      <c r="SRF168" s="3"/>
      <c r="SRG168" s="3"/>
      <c r="SRH168" s="3"/>
      <c r="SRI168" s="3"/>
      <c r="SRJ168" s="3"/>
      <c r="SRK168" s="3"/>
      <c r="SRL168" s="3"/>
      <c r="SRM168" s="3"/>
      <c r="SRN168" s="3"/>
      <c r="SRO168" s="3"/>
      <c r="SRP168" s="3"/>
      <c r="SRQ168" s="3"/>
      <c r="SRR168" s="3"/>
      <c r="SRS168" s="3"/>
      <c r="SRT168" s="3"/>
      <c r="SRU168" s="3"/>
      <c r="SRV168" s="3"/>
      <c r="SRW168" s="3"/>
      <c r="SRX168" s="3"/>
      <c r="SRY168" s="3"/>
      <c r="SRZ168" s="3"/>
      <c r="SSA168" s="3"/>
      <c r="SSB168" s="3"/>
      <c r="SSC168" s="3"/>
      <c r="SSD168" s="3"/>
      <c r="SSE168" s="3"/>
      <c r="SSF168" s="3"/>
      <c r="SSG168" s="3"/>
      <c r="SSH168" s="3"/>
      <c r="SSI168" s="3"/>
      <c r="SSJ168" s="3"/>
      <c r="SSK168" s="3"/>
      <c r="SSL168" s="3"/>
      <c r="SSM168" s="3"/>
      <c r="SSN168" s="3"/>
      <c r="SSO168" s="3"/>
      <c r="SSP168" s="3"/>
      <c r="SSQ168" s="3"/>
      <c r="SSR168" s="3"/>
      <c r="SSS168" s="3"/>
      <c r="SST168" s="3"/>
      <c r="SSU168" s="3"/>
      <c r="SSV168" s="3"/>
      <c r="SSW168" s="3"/>
      <c r="SSX168" s="3"/>
      <c r="SSY168" s="3"/>
      <c r="SSZ168" s="3"/>
      <c r="STA168" s="3"/>
      <c r="STB168" s="3"/>
      <c r="STC168" s="3"/>
      <c r="STD168" s="3"/>
      <c r="STE168" s="3"/>
      <c r="STF168" s="3"/>
      <c r="STG168" s="3"/>
      <c r="STH168" s="3"/>
      <c r="STI168" s="3"/>
      <c r="STJ168" s="3"/>
      <c r="STK168" s="3"/>
      <c r="STL168" s="3"/>
      <c r="STM168" s="3"/>
      <c r="STN168" s="3"/>
      <c r="STO168" s="3"/>
      <c r="STP168" s="3"/>
      <c r="STQ168" s="3"/>
      <c r="STR168" s="3"/>
      <c r="STS168" s="3"/>
      <c r="STT168" s="3"/>
      <c r="STU168" s="3"/>
      <c r="STV168" s="3"/>
      <c r="STW168" s="3"/>
      <c r="STX168" s="3"/>
      <c r="STY168" s="3"/>
      <c r="STZ168" s="3"/>
      <c r="SUA168" s="3"/>
      <c r="SUB168" s="3"/>
      <c r="SUC168" s="3"/>
      <c r="SUD168" s="3"/>
      <c r="SUE168" s="3"/>
      <c r="SUF168" s="3"/>
      <c r="SUG168" s="3"/>
      <c r="SUH168" s="3"/>
      <c r="SUI168" s="3"/>
      <c r="SUJ168" s="3"/>
      <c r="SUK168" s="3"/>
      <c r="SUL168" s="3"/>
      <c r="SUM168" s="3"/>
      <c r="SUN168" s="3"/>
      <c r="SUO168" s="3"/>
      <c r="SUP168" s="3"/>
      <c r="SUQ168" s="3"/>
      <c r="SUR168" s="3"/>
      <c r="SUS168" s="3"/>
      <c r="SUT168" s="3"/>
      <c r="SUU168" s="3"/>
      <c r="SUV168" s="3"/>
      <c r="SUW168" s="3"/>
      <c r="SUX168" s="3"/>
      <c r="SUY168" s="3"/>
      <c r="SUZ168" s="3"/>
      <c r="SVA168" s="3"/>
      <c r="SVB168" s="3"/>
      <c r="SVC168" s="3"/>
      <c r="SVD168" s="3"/>
      <c r="SVE168" s="3"/>
      <c r="SVF168" s="3"/>
      <c r="SVG168" s="3"/>
      <c r="SVH168" s="3"/>
      <c r="SVI168" s="3"/>
      <c r="SVJ168" s="3"/>
      <c r="SVK168" s="3"/>
      <c r="SVL168" s="3"/>
      <c r="SVM168" s="3"/>
      <c r="SVN168" s="3"/>
      <c r="SVO168" s="3"/>
      <c r="SVP168" s="3"/>
      <c r="SVQ168" s="3"/>
      <c r="SVR168" s="3"/>
      <c r="SVS168" s="3"/>
      <c r="SVT168" s="3"/>
      <c r="SVU168" s="3"/>
      <c r="SVV168" s="3"/>
      <c r="SVW168" s="3"/>
      <c r="SVX168" s="3"/>
      <c r="SVY168" s="3"/>
      <c r="SVZ168" s="3"/>
      <c r="SWA168" s="3"/>
      <c r="SWB168" s="3"/>
      <c r="SWC168" s="3"/>
      <c r="SWD168" s="3"/>
      <c r="SWE168" s="3"/>
      <c r="SWF168" s="3"/>
      <c r="SWG168" s="3"/>
      <c r="SWH168" s="3"/>
      <c r="SWI168" s="3"/>
      <c r="SWJ168" s="3"/>
      <c r="SWK168" s="3"/>
      <c r="SWL168" s="3"/>
      <c r="SWM168" s="3"/>
      <c r="SWN168" s="3"/>
      <c r="SWO168" s="3"/>
      <c r="SWP168" s="3"/>
      <c r="SWQ168" s="3"/>
      <c r="SWR168" s="3"/>
      <c r="SWS168" s="3"/>
      <c r="SWT168" s="3"/>
      <c r="SWU168" s="3"/>
      <c r="SWV168" s="3"/>
      <c r="SWW168" s="3"/>
      <c r="SWX168" s="3"/>
      <c r="SWY168" s="3"/>
      <c r="SWZ168" s="3"/>
      <c r="SXA168" s="3"/>
      <c r="SXB168" s="3"/>
      <c r="SXC168" s="3"/>
      <c r="SXD168" s="3"/>
      <c r="SXE168" s="3"/>
      <c r="SXF168" s="3"/>
      <c r="SXG168" s="3"/>
      <c r="SXH168" s="3"/>
      <c r="SXI168" s="3"/>
      <c r="SXJ168" s="3"/>
      <c r="SXK168" s="3"/>
      <c r="SXL168" s="3"/>
      <c r="SXM168" s="3"/>
      <c r="SXN168" s="3"/>
      <c r="SXO168" s="3"/>
      <c r="SXP168" s="3"/>
      <c r="SXQ168" s="3"/>
      <c r="SXR168" s="3"/>
      <c r="SXS168" s="3"/>
      <c r="SXT168" s="3"/>
      <c r="SXU168" s="3"/>
      <c r="SXV168" s="3"/>
      <c r="SXW168" s="3"/>
      <c r="SXX168" s="3"/>
      <c r="SXY168" s="3"/>
      <c r="SXZ168" s="3"/>
      <c r="SYA168" s="3"/>
      <c r="SYB168" s="3"/>
      <c r="SYC168" s="3"/>
      <c r="SYD168" s="3"/>
      <c r="SYE168" s="3"/>
      <c r="SYF168" s="3"/>
      <c r="SYG168" s="3"/>
      <c r="SYH168" s="3"/>
      <c r="SYI168" s="3"/>
      <c r="SYJ168" s="3"/>
      <c r="SYK168" s="3"/>
      <c r="SYL168" s="3"/>
      <c r="SYM168" s="3"/>
      <c r="SYN168" s="3"/>
      <c r="SYO168" s="3"/>
      <c r="SYP168" s="3"/>
      <c r="SYQ168" s="3"/>
      <c r="SYR168" s="3"/>
      <c r="SYS168" s="3"/>
      <c r="SYT168" s="3"/>
      <c r="SYU168" s="3"/>
      <c r="SYV168" s="3"/>
      <c r="SYW168" s="3"/>
      <c r="SYX168" s="3"/>
      <c r="SYY168" s="3"/>
      <c r="SYZ168" s="3"/>
      <c r="SZA168" s="3"/>
      <c r="SZB168" s="3"/>
      <c r="SZC168" s="3"/>
      <c r="SZD168" s="3"/>
      <c r="SZE168" s="3"/>
      <c r="SZF168" s="3"/>
      <c r="SZG168" s="3"/>
      <c r="SZH168" s="3"/>
      <c r="SZI168" s="3"/>
      <c r="SZJ168" s="3"/>
      <c r="SZK168" s="3"/>
      <c r="SZL168" s="3"/>
      <c r="SZM168" s="3"/>
      <c r="SZN168" s="3"/>
      <c r="SZO168" s="3"/>
      <c r="SZP168" s="3"/>
      <c r="SZQ168" s="3"/>
      <c r="SZR168" s="3"/>
      <c r="SZS168" s="3"/>
      <c r="SZT168" s="3"/>
      <c r="SZU168" s="3"/>
      <c r="SZV168" s="3"/>
      <c r="SZW168" s="3"/>
      <c r="SZX168" s="3"/>
      <c r="SZY168" s="3"/>
      <c r="SZZ168" s="3"/>
      <c r="TAA168" s="3"/>
      <c r="TAB168" s="3"/>
      <c r="TAC168" s="3"/>
      <c r="TAD168" s="3"/>
      <c r="TAE168" s="3"/>
      <c r="TAF168" s="3"/>
      <c r="TAG168" s="3"/>
      <c r="TAH168" s="3"/>
      <c r="TAI168" s="3"/>
      <c r="TAJ168" s="3"/>
      <c r="TAK168" s="3"/>
      <c r="TAL168" s="3"/>
      <c r="TAM168" s="3"/>
      <c r="TAN168" s="3"/>
      <c r="TAO168" s="3"/>
      <c r="TAP168" s="3"/>
      <c r="TAQ168" s="3"/>
      <c r="TAR168" s="3"/>
      <c r="TAS168" s="3"/>
      <c r="TAT168" s="3"/>
      <c r="TAU168" s="3"/>
      <c r="TAV168" s="3"/>
      <c r="TAW168" s="3"/>
      <c r="TAX168" s="3"/>
      <c r="TAY168" s="3"/>
      <c r="TAZ168" s="3"/>
      <c r="TBA168" s="3"/>
      <c r="TBB168" s="3"/>
      <c r="TBC168" s="3"/>
      <c r="TBD168" s="3"/>
      <c r="TBE168" s="3"/>
      <c r="TBF168" s="3"/>
      <c r="TBG168" s="3"/>
      <c r="TBH168" s="3"/>
      <c r="TBI168" s="3"/>
      <c r="TBJ168" s="3"/>
      <c r="TBK168" s="3"/>
      <c r="TBL168" s="3"/>
      <c r="TBM168" s="3"/>
      <c r="TBN168" s="3"/>
      <c r="TBO168" s="3"/>
      <c r="TBP168" s="3"/>
      <c r="TBQ168" s="3"/>
      <c r="TBR168" s="3"/>
      <c r="TBS168" s="3"/>
      <c r="TBT168" s="3"/>
      <c r="TBU168" s="3"/>
      <c r="TBV168" s="3"/>
      <c r="TBW168" s="3"/>
      <c r="TBX168" s="3"/>
      <c r="TBY168" s="3"/>
      <c r="TBZ168" s="3"/>
      <c r="TCA168" s="3"/>
      <c r="TCB168" s="3"/>
      <c r="TCC168" s="3"/>
      <c r="TCD168" s="3"/>
      <c r="TCE168" s="3"/>
      <c r="TCF168" s="3"/>
      <c r="TCG168" s="3"/>
      <c r="TCH168" s="3"/>
      <c r="TCI168" s="3"/>
      <c r="TCJ168" s="3"/>
      <c r="TCK168" s="3"/>
      <c r="TCL168" s="3"/>
      <c r="TCM168" s="3"/>
      <c r="TCN168" s="3"/>
      <c r="TCO168" s="3"/>
      <c r="TCP168" s="3"/>
      <c r="TCQ168" s="3"/>
      <c r="TCR168" s="3"/>
      <c r="TCS168" s="3"/>
      <c r="TCT168" s="3"/>
      <c r="TCU168" s="3"/>
      <c r="TCV168" s="3"/>
      <c r="TCW168" s="3"/>
      <c r="TCX168" s="3"/>
      <c r="TCY168" s="3"/>
      <c r="TCZ168" s="3"/>
      <c r="TDA168" s="3"/>
      <c r="TDB168" s="3"/>
      <c r="TDC168" s="3"/>
      <c r="TDD168" s="3"/>
      <c r="TDE168" s="3"/>
      <c r="TDF168" s="3"/>
      <c r="TDG168" s="3"/>
      <c r="TDH168" s="3"/>
      <c r="TDI168" s="3"/>
      <c r="TDJ168" s="3"/>
      <c r="TDK168" s="3"/>
      <c r="TDL168" s="3"/>
      <c r="TDM168" s="3"/>
      <c r="TDN168" s="3"/>
      <c r="TDO168" s="3"/>
      <c r="TDP168" s="3"/>
      <c r="TDQ168" s="3"/>
      <c r="TDR168" s="3"/>
      <c r="TDS168" s="3"/>
      <c r="TDT168" s="3"/>
      <c r="TDU168" s="3"/>
      <c r="TDV168" s="3"/>
      <c r="TDW168" s="3"/>
      <c r="TDX168" s="3"/>
      <c r="TDY168" s="3"/>
      <c r="TDZ168" s="3"/>
      <c r="TEA168" s="3"/>
      <c r="TEB168" s="3"/>
      <c r="TEC168" s="3"/>
      <c r="TED168" s="3"/>
      <c r="TEE168" s="3"/>
      <c r="TEF168" s="3"/>
      <c r="TEG168" s="3"/>
      <c r="TEH168" s="3"/>
      <c r="TEI168" s="3"/>
      <c r="TEJ168" s="3"/>
      <c r="TEK168" s="3"/>
      <c r="TEL168" s="3"/>
      <c r="TEM168" s="3"/>
      <c r="TEN168" s="3"/>
      <c r="TEO168" s="3"/>
      <c r="TEP168" s="3"/>
      <c r="TEQ168" s="3"/>
      <c r="TER168" s="3"/>
      <c r="TES168" s="3"/>
      <c r="TET168" s="3"/>
      <c r="TEU168" s="3"/>
      <c r="TEV168" s="3"/>
      <c r="TEW168" s="3"/>
      <c r="TEX168" s="3"/>
      <c r="TEY168" s="3"/>
      <c r="TEZ168" s="3"/>
      <c r="TFA168" s="3"/>
      <c r="TFB168" s="3"/>
      <c r="TFC168" s="3"/>
      <c r="TFD168" s="3"/>
      <c r="TFE168" s="3"/>
      <c r="TFF168" s="3"/>
      <c r="TFG168" s="3"/>
      <c r="TFH168" s="3"/>
      <c r="TFI168" s="3"/>
      <c r="TFJ168" s="3"/>
      <c r="TFK168" s="3"/>
      <c r="TFL168" s="3"/>
      <c r="TFM168" s="3"/>
      <c r="TFN168" s="3"/>
      <c r="TFO168" s="3"/>
      <c r="TFP168" s="3"/>
      <c r="TFQ168" s="3"/>
      <c r="TFR168" s="3"/>
      <c r="TFS168" s="3"/>
      <c r="TFT168" s="3"/>
      <c r="TFU168" s="3"/>
      <c r="TFV168" s="3"/>
      <c r="TFW168" s="3"/>
      <c r="TFX168" s="3"/>
      <c r="TFY168" s="3"/>
      <c r="TFZ168" s="3"/>
      <c r="TGA168" s="3"/>
      <c r="TGB168" s="3"/>
      <c r="TGC168" s="3"/>
      <c r="TGD168" s="3"/>
      <c r="TGE168" s="3"/>
      <c r="TGF168" s="3"/>
      <c r="TGG168" s="3"/>
      <c r="TGH168" s="3"/>
      <c r="TGI168" s="3"/>
      <c r="TGJ168" s="3"/>
      <c r="TGK168" s="3"/>
      <c r="TGL168" s="3"/>
      <c r="TGM168" s="3"/>
      <c r="TGN168" s="3"/>
      <c r="TGO168" s="3"/>
      <c r="TGP168" s="3"/>
      <c r="TGQ168" s="3"/>
      <c r="TGR168" s="3"/>
      <c r="TGS168" s="3"/>
      <c r="TGT168" s="3"/>
      <c r="TGU168" s="3"/>
      <c r="TGV168" s="3"/>
      <c r="TGW168" s="3"/>
      <c r="TGX168" s="3"/>
      <c r="TGY168" s="3"/>
      <c r="TGZ168" s="3"/>
      <c r="THA168" s="3"/>
      <c r="THB168" s="3"/>
      <c r="THC168" s="3"/>
      <c r="THD168" s="3"/>
      <c r="THE168" s="3"/>
      <c r="THF168" s="3"/>
      <c r="THG168" s="3"/>
      <c r="THH168" s="3"/>
      <c r="THI168" s="3"/>
      <c r="THJ168" s="3"/>
      <c r="THK168" s="3"/>
      <c r="THL168" s="3"/>
      <c r="THM168" s="3"/>
      <c r="THN168" s="3"/>
      <c r="THO168" s="3"/>
      <c r="THP168" s="3"/>
      <c r="THQ168" s="3"/>
      <c r="THR168" s="3"/>
      <c r="THS168" s="3"/>
      <c r="THT168" s="3"/>
      <c r="THU168" s="3"/>
      <c r="THV168" s="3"/>
      <c r="THW168" s="3"/>
      <c r="THX168" s="3"/>
      <c r="THY168" s="3"/>
      <c r="THZ168" s="3"/>
      <c r="TIA168" s="3"/>
      <c r="TIB168" s="3"/>
      <c r="TIC168" s="3"/>
      <c r="TID168" s="3"/>
      <c r="TIE168" s="3"/>
      <c r="TIF168" s="3"/>
      <c r="TIG168" s="3"/>
      <c r="TIH168" s="3"/>
      <c r="TII168" s="3"/>
      <c r="TIJ168" s="3"/>
      <c r="TIK168" s="3"/>
      <c r="TIL168" s="3"/>
      <c r="TIM168" s="3"/>
      <c r="TIN168" s="3"/>
      <c r="TIO168" s="3"/>
      <c r="TIP168" s="3"/>
      <c r="TIQ168" s="3"/>
      <c r="TIR168" s="3"/>
      <c r="TIS168" s="3"/>
      <c r="TIT168" s="3"/>
      <c r="TIU168" s="3"/>
      <c r="TIV168" s="3"/>
      <c r="TIW168" s="3"/>
      <c r="TIX168" s="3"/>
      <c r="TIY168" s="3"/>
      <c r="TIZ168" s="3"/>
      <c r="TJA168" s="3"/>
      <c r="TJB168" s="3"/>
      <c r="TJC168" s="3"/>
      <c r="TJD168" s="3"/>
      <c r="TJE168" s="3"/>
      <c r="TJF168" s="3"/>
      <c r="TJG168" s="3"/>
      <c r="TJH168" s="3"/>
      <c r="TJI168" s="3"/>
      <c r="TJJ168" s="3"/>
      <c r="TJK168" s="3"/>
      <c r="TJL168" s="3"/>
      <c r="TJM168" s="3"/>
      <c r="TJN168" s="3"/>
      <c r="TJO168" s="3"/>
      <c r="TJP168" s="3"/>
      <c r="TJQ168" s="3"/>
      <c r="TJR168" s="3"/>
      <c r="TJS168" s="3"/>
      <c r="TJT168" s="3"/>
      <c r="TJU168" s="3"/>
      <c r="TJV168" s="3"/>
      <c r="TJW168" s="3"/>
      <c r="TJX168" s="3"/>
      <c r="TJY168" s="3"/>
      <c r="TJZ168" s="3"/>
      <c r="TKA168" s="3"/>
      <c r="TKB168" s="3"/>
      <c r="TKC168" s="3"/>
      <c r="TKD168" s="3"/>
      <c r="TKE168" s="3"/>
      <c r="TKF168" s="3"/>
      <c r="TKG168" s="3"/>
      <c r="TKH168" s="3"/>
      <c r="TKI168" s="3"/>
      <c r="TKJ168" s="3"/>
      <c r="TKK168" s="3"/>
      <c r="TKL168" s="3"/>
      <c r="TKM168" s="3"/>
      <c r="TKN168" s="3"/>
      <c r="TKO168" s="3"/>
      <c r="TKP168" s="3"/>
      <c r="TKQ168" s="3"/>
      <c r="TKR168" s="3"/>
      <c r="TKS168" s="3"/>
      <c r="TKT168" s="3"/>
      <c r="TKU168" s="3"/>
      <c r="TKV168" s="3"/>
      <c r="TKW168" s="3"/>
      <c r="TKX168" s="3"/>
      <c r="TKY168" s="3"/>
      <c r="TKZ168" s="3"/>
      <c r="TLA168" s="3"/>
      <c r="TLB168" s="3"/>
      <c r="TLC168" s="3"/>
      <c r="TLD168" s="3"/>
      <c r="TLE168" s="3"/>
      <c r="TLF168" s="3"/>
      <c r="TLG168" s="3"/>
      <c r="TLH168" s="3"/>
      <c r="TLI168" s="3"/>
      <c r="TLJ168" s="3"/>
      <c r="TLK168" s="3"/>
      <c r="TLL168" s="3"/>
      <c r="TLM168" s="3"/>
      <c r="TLN168" s="3"/>
      <c r="TLO168" s="3"/>
      <c r="TLP168" s="3"/>
      <c r="TLQ168" s="3"/>
      <c r="TLR168" s="3"/>
      <c r="TLS168" s="3"/>
      <c r="TLT168" s="3"/>
      <c r="TLU168" s="3"/>
      <c r="TLV168" s="3"/>
      <c r="TLW168" s="3"/>
      <c r="TLX168" s="3"/>
      <c r="TLY168" s="3"/>
      <c r="TLZ168" s="3"/>
      <c r="TMA168" s="3"/>
      <c r="TMB168" s="3"/>
      <c r="TMC168" s="3"/>
      <c r="TMD168" s="3"/>
      <c r="TME168" s="3"/>
      <c r="TMF168" s="3"/>
      <c r="TMG168" s="3"/>
      <c r="TMH168" s="3"/>
      <c r="TMI168" s="3"/>
      <c r="TMJ168" s="3"/>
      <c r="TMK168" s="3"/>
      <c r="TML168" s="3"/>
      <c r="TMM168" s="3"/>
      <c r="TMN168" s="3"/>
      <c r="TMO168" s="3"/>
      <c r="TMP168" s="3"/>
      <c r="TMQ168" s="3"/>
      <c r="TMR168" s="3"/>
      <c r="TMS168" s="3"/>
      <c r="TMT168" s="3"/>
      <c r="TMU168" s="3"/>
      <c r="TMV168" s="3"/>
      <c r="TMW168" s="3"/>
      <c r="TMX168" s="3"/>
      <c r="TMY168" s="3"/>
      <c r="TMZ168" s="3"/>
      <c r="TNA168" s="3"/>
      <c r="TNB168" s="3"/>
      <c r="TNC168" s="3"/>
      <c r="TND168" s="3"/>
      <c r="TNE168" s="3"/>
      <c r="TNF168" s="3"/>
      <c r="TNG168" s="3"/>
      <c r="TNH168" s="3"/>
      <c r="TNI168" s="3"/>
      <c r="TNJ168" s="3"/>
      <c r="TNK168" s="3"/>
      <c r="TNL168" s="3"/>
      <c r="TNM168" s="3"/>
      <c r="TNN168" s="3"/>
      <c r="TNO168" s="3"/>
      <c r="TNP168" s="3"/>
      <c r="TNQ168" s="3"/>
      <c r="TNR168" s="3"/>
      <c r="TNS168" s="3"/>
      <c r="TNT168" s="3"/>
      <c r="TNU168" s="3"/>
      <c r="TNV168" s="3"/>
      <c r="TNW168" s="3"/>
      <c r="TNX168" s="3"/>
      <c r="TNY168" s="3"/>
      <c r="TNZ168" s="3"/>
      <c r="TOA168" s="3"/>
      <c r="TOB168" s="3"/>
      <c r="TOC168" s="3"/>
      <c r="TOD168" s="3"/>
      <c r="TOE168" s="3"/>
      <c r="TOF168" s="3"/>
      <c r="TOG168" s="3"/>
      <c r="TOH168" s="3"/>
      <c r="TOI168" s="3"/>
      <c r="TOJ168" s="3"/>
      <c r="TOK168" s="3"/>
      <c r="TOL168" s="3"/>
      <c r="TOM168" s="3"/>
      <c r="TON168" s="3"/>
      <c r="TOO168" s="3"/>
      <c r="TOP168" s="3"/>
      <c r="TOQ168" s="3"/>
      <c r="TOR168" s="3"/>
      <c r="TOS168" s="3"/>
      <c r="TOT168" s="3"/>
      <c r="TOU168" s="3"/>
      <c r="TOV168" s="3"/>
      <c r="TOW168" s="3"/>
      <c r="TOX168" s="3"/>
      <c r="TOY168" s="3"/>
      <c r="TOZ168" s="3"/>
      <c r="TPA168" s="3"/>
      <c r="TPB168" s="3"/>
      <c r="TPC168" s="3"/>
      <c r="TPD168" s="3"/>
      <c r="TPE168" s="3"/>
      <c r="TPF168" s="3"/>
      <c r="TPG168" s="3"/>
      <c r="TPH168" s="3"/>
      <c r="TPI168" s="3"/>
      <c r="TPJ168" s="3"/>
      <c r="TPK168" s="3"/>
      <c r="TPL168" s="3"/>
      <c r="TPM168" s="3"/>
      <c r="TPN168" s="3"/>
      <c r="TPO168" s="3"/>
      <c r="TPP168" s="3"/>
      <c r="TPQ168" s="3"/>
      <c r="TPR168" s="3"/>
      <c r="TPS168" s="3"/>
      <c r="TPT168" s="3"/>
      <c r="TPU168" s="3"/>
      <c r="TPV168" s="3"/>
      <c r="TPW168" s="3"/>
      <c r="TPX168" s="3"/>
      <c r="TPY168" s="3"/>
      <c r="TPZ168" s="3"/>
      <c r="TQA168" s="3"/>
      <c r="TQB168" s="3"/>
      <c r="TQC168" s="3"/>
      <c r="TQD168" s="3"/>
      <c r="TQE168" s="3"/>
      <c r="TQF168" s="3"/>
      <c r="TQG168" s="3"/>
      <c r="TQH168" s="3"/>
      <c r="TQI168" s="3"/>
      <c r="TQJ168" s="3"/>
      <c r="TQK168" s="3"/>
      <c r="TQL168" s="3"/>
      <c r="TQM168" s="3"/>
      <c r="TQN168" s="3"/>
      <c r="TQO168" s="3"/>
      <c r="TQP168" s="3"/>
      <c r="TQQ168" s="3"/>
      <c r="TQR168" s="3"/>
      <c r="TQS168" s="3"/>
      <c r="TQT168" s="3"/>
      <c r="TQU168" s="3"/>
      <c r="TQV168" s="3"/>
      <c r="TQW168" s="3"/>
      <c r="TQX168" s="3"/>
      <c r="TQY168" s="3"/>
      <c r="TQZ168" s="3"/>
      <c r="TRA168" s="3"/>
      <c r="TRB168" s="3"/>
      <c r="TRC168" s="3"/>
      <c r="TRD168" s="3"/>
      <c r="TRE168" s="3"/>
      <c r="TRF168" s="3"/>
      <c r="TRG168" s="3"/>
      <c r="TRH168" s="3"/>
      <c r="TRI168" s="3"/>
      <c r="TRJ168" s="3"/>
      <c r="TRK168" s="3"/>
      <c r="TRL168" s="3"/>
      <c r="TRM168" s="3"/>
      <c r="TRN168" s="3"/>
      <c r="TRO168" s="3"/>
      <c r="TRP168" s="3"/>
      <c r="TRQ168" s="3"/>
      <c r="TRR168" s="3"/>
      <c r="TRS168" s="3"/>
      <c r="TRT168" s="3"/>
      <c r="TRU168" s="3"/>
      <c r="TRV168" s="3"/>
      <c r="TRW168" s="3"/>
      <c r="TRX168" s="3"/>
      <c r="TRY168" s="3"/>
      <c r="TRZ168" s="3"/>
      <c r="TSA168" s="3"/>
      <c r="TSB168" s="3"/>
      <c r="TSC168" s="3"/>
      <c r="TSD168" s="3"/>
      <c r="TSE168" s="3"/>
      <c r="TSF168" s="3"/>
      <c r="TSG168" s="3"/>
      <c r="TSH168" s="3"/>
      <c r="TSI168" s="3"/>
      <c r="TSJ168" s="3"/>
      <c r="TSK168" s="3"/>
      <c r="TSL168" s="3"/>
      <c r="TSM168" s="3"/>
      <c r="TSN168" s="3"/>
      <c r="TSO168" s="3"/>
      <c r="TSP168" s="3"/>
      <c r="TSQ168" s="3"/>
      <c r="TSR168" s="3"/>
      <c r="TSS168" s="3"/>
      <c r="TST168" s="3"/>
      <c r="TSU168" s="3"/>
      <c r="TSV168" s="3"/>
      <c r="TSW168" s="3"/>
      <c r="TSX168" s="3"/>
      <c r="TSY168" s="3"/>
      <c r="TSZ168" s="3"/>
      <c r="TTA168" s="3"/>
      <c r="TTB168" s="3"/>
      <c r="TTC168" s="3"/>
      <c r="TTD168" s="3"/>
      <c r="TTE168" s="3"/>
      <c r="TTF168" s="3"/>
      <c r="TTG168" s="3"/>
      <c r="TTH168" s="3"/>
      <c r="TTI168" s="3"/>
      <c r="TTJ168" s="3"/>
      <c r="TTK168" s="3"/>
      <c r="TTL168" s="3"/>
      <c r="TTM168" s="3"/>
      <c r="TTN168" s="3"/>
      <c r="TTO168" s="3"/>
      <c r="TTP168" s="3"/>
      <c r="TTQ168" s="3"/>
      <c r="TTR168" s="3"/>
      <c r="TTS168" s="3"/>
      <c r="TTT168" s="3"/>
      <c r="TTU168" s="3"/>
      <c r="TTV168" s="3"/>
      <c r="TTW168" s="3"/>
      <c r="TTX168" s="3"/>
      <c r="TTY168" s="3"/>
      <c r="TTZ168" s="3"/>
      <c r="TUA168" s="3"/>
      <c r="TUB168" s="3"/>
      <c r="TUC168" s="3"/>
      <c r="TUD168" s="3"/>
      <c r="TUE168" s="3"/>
      <c r="TUF168" s="3"/>
      <c r="TUG168" s="3"/>
      <c r="TUH168" s="3"/>
      <c r="TUI168" s="3"/>
      <c r="TUJ168" s="3"/>
      <c r="TUK168" s="3"/>
      <c r="TUL168" s="3"/>
      <c r="TUM168" s="3"/>
      <c r="TUN168" s="3"/>
      <c r="TUO168" s="3"/>
      <c r="TUP168" s="3"/>
      <c r="TUQ168" s="3"/>
      <c r="TUR168" s="3"/>
      <c r="TUS168" s="3"/>
      <c r="TUT168" s="3"/>
      <c r="TUU168" s="3"/>
      <c r="TUV168" s="3"/>
      <c r="TUW168" s="3"/>
      <c r="TUX168" s="3"/>
      <c r="TUY168" s="3"/>
      <c r="TUZ168" s="3"/>
      <c r="TVA168" s="3"/>
      <c r="TVB168" s="3"/>
      <c r="TVC168" s="3"/>
      <c r="TVD168" s="3"/>
      <c r="TVE168" s="3"/>
      <c r="TVF168" s="3"/>
      <c r="TVG168" s="3"/>
      <c r="TVH168" s="3"/>
      <c r="TVI168" s="3"/>
      <c r="TVJ168" s="3"/>
      <c r="TVK168" s="3"/>
      <c r="TVL168" s="3"/>
      <c r="TVM168" s="3"/>
      <c r="TVN168" s="3"/>
      <c r="TVO168" s="3"/>
      <c r="TVP168" s="3"/>
      <c r="TVQ168" s="3"/>
      <c r="TVR168" s="3"/>
      <c r="TVS168" s="3"/>
      <c r="TVT168" s="3"/>
      <c r="TVU168" s="3"/>
      <c r="TVV168" s="3"/>
      <c r="TVW168" s="3"/>
      <c r="TVX168" s="3"/>
      <c r="TVY168" s="3"/>
      <c r="TVZ168" s="3"/>
      <c r="TWA168" s="3"/>
      <c r="TWB168" s="3"/>
      <c r="TWC168" s="3"/>
      <c r="TWD168" s="3"/>
      <c r="TWE168" s="3"/>
      <c r="TWF168" s="3"/>
      <c r="TWG168" s="3"/>
      <c r="TWH168" s="3"/>
      <c r="TWI168" s="3"/>
      <c r="TWJ168" s="3"/>
      <c r="TWK168" s="3"/>
      <c r="TWL168" s="3"/>
      <c r="TWM168" s="3"/>
      <c r="TWN168" s="3"/>
      <c r="TWO168" s="3"/>
      <c r="TWP168" s="3"/>
      <c r="TWQ168" s="3"/>
      <c r="TWR168" s="3"/>
      <c r="TWS168" s="3"/>
      <c r="TWT168" s="3"/>
      <c r="TWU168" s="3"/>
      <c r="TWV168" s="3"/>
      <c r="TWW168" s="3"/>
      <c r="TWX168" s="3"/>
      <c r="TWY168" s="3"/>
      <c r="TWZ168" s="3"/>
      <c r="TXA168" s="3"/>
      <c r="TXB168" s="3"/>
      <c r="TXC168" s="3"/>
      <c r="TXD168" s="3"/>
      <c r="TXE168" s="3"/>
      <c r="TXF168" s="3"/>
      <c r="TXG168" s="3"/>
      <c r="TXH168" s="3"/>
      <c r="TXI168" s="3"/>
      <c r="TXJ168" s="3"/>
      <c r="TXK168" s="3"/>
      <c r="TXL168" s="3"/>
      <c r="TXM168" s="3"/>
      <c r="TXN168" s="3"/>
      <c r="TXO168" s="3"/>
      <c r="TXP168" s="3"/>
      <c r="TXQ168" s="3"/>
      <c r="TXR168" s="3"/>
      <c r="TXS168" s="3"/>
      <c r="TXT168" s="3"/>
      <c r="TXU168" s="3"/>
      <c r="TXV168" s="3"/>
      <c r="TXW168" s="3"/>
      <c r="TXX168" s="3"/>
      <c r="TXY168" s="3"/>
      <c r="TXZ168" s="3"/>
      <c r="TYA168" s="3"/>
      <c r="TYB168" s="3"/>
      <c r="TYC168" s="3"/>
      <c r="TYD168" s="3"/>
      <c r="TYE168" s="3"/>
      <c r="TYF168" s="3"/>
      <c r="TYG168" s="3"/>
      <c r="TYH168" s="3"/>
      <c r="TYI168" s="3"/>
      <c r="TYJ168" s="3"/>
      <c r="TYK168" s="3"/>
      <c r="TYL168" s="3"/>
      <c r="TYM168" s="3"/>
      <c r="TYN168" s="3"/>
      <c r="TYO168" s="3"/>
      <c r="TYP168" s="3"/>
      <c r="TYQ168" s="3"/>
      <c r="TYR168" s="3"/>
      <c r="TYS168" s="3"/>
      <c r="TYT168" s="3"/>
      <c r="TYU168" s="3"/>
      <c r="TYV168" s="3"/>
      <c r="TYW168" s="3"/>
      <c r="TYX168" s="3"/>
      <c r="TYY168" s="3"/>
      <c r="TYZ168" s="3"/>
      <c r="TZA168" s="3"/>
      <c r="TZB168" s="3"/>
      <c r="TZC168" s="3"/>
      <c r="TZD168" s="3"/>
      <c r="TZE168" s="3"/>
      <c r="TZF168" s="3"/>
      <c r="TZG168" s="3"/>
      <c r="TZH168" s="3"/>
      <c r="TZI168" s="3"/>
      <c r="TZJ168" s="3"/>
      <c r="TZK168" s="3"/>
      <c r="TZL168" s="3"/>
      <c r="TZM168" s="3"/>
      <c r="TZN168" s="3"/>
      <c r="TZO168" s="3"/>
      <c r="TZP168" s="3"/>
      <c r="TZQ168" s="3"/>
      <c r="TZR168" s="3"/>
      <c r="TZS168" s="3"/>
      <c r="TZT168" s="3"/>
      <c r="TZU168" s="3"/>
      <c r="TZV168" s="3"/>
      <c r="TZW168" s="3"/>
      <c r="TZX168" s="3"/>
      <c r="TZY168" s="3"/>
      <c r="TZZ168" s="3"/>
      <c r="UAA168" s="3"/>
      <c r="UAB168" s="3"/>
      <c r="UAC168" s="3"/>
      <c r="UAD168" s="3"/>
      <c r="UAE168" s="3"/>
      <c r="UAF168" s="3"/>
      <c r="UAG168" s="3"/>
      <c r="UAH168" s="3"/>
      <c r="UAI168" s="3"/>
      <c r="UAJ168" s="3"/>
      <c r="UAK168" s="3"/>
      <c r="UAL168" s="3"/>
      <c r="UAM168" s="3"/>
      <c r="UAN168" s="3"/>
      <c r="UAO168" s="3"/>
      <c r="UAP168" s="3"/>
      <c r="UAQ168" s="3"/>
      <c r="UAR168" s="3"/>
      <c r="UAS168" s="3"/>
      <c r="UAT168" s="3"/>
      <c r="UAU168" s="3"/>
      <c r="UAV168" s="3"/>
      <c r="UAW168" s="3"/>
      <c r="UAX168" s="3"/>
      <c r="UAY168" s="3"/>
      <c r="UAZ168" s="3"/>
      <c r="UBA168" s="3"/>
      <c r="UBB168" s="3"/>
      <c r="UBC168" s="3"/>
      <c r="UBD168" s="3"/>
      <c r="UBE168" s="3"/>
      <c r="UBF168" s="3"/>
      <c r="UBG168" s="3"/>
      <c r="UBH168" s="3"/>
      <c r="UBI168" s="3"/>
      <c r="UBJ168" s="3"/>
      <c r="UBK168" s="3"/>
      <c r="UBL168" s="3"/>
      <c r="UBM168" s="3"/>
      <c r="UBN168" s="3"/>
      <c r="UBO168" s="3"/>
      <c r="UBP168" s="3"/>
      <c r="UBQ168" s="3"/>
      <c r="UBR168" s="3"/>
      <c r="UBS168" s="3"/>
      <c r="UBT168" s="3"/>
      <c r="UBU168" s="3"/>
      <c r="UBV168" s="3"/>
      <c r="UBW168" s="3"/>
      <c r="UBX168" s="3"/>
      <c r="UBY168" s="3"/>
      <c r="UBZ168" s="3"/>
      <c r="UCA168" s="3"/>
      <c r="UCB168" s="3"/>
      <c r="UCC168" s="3"/>
      <c r="UCD168" s="3"/>
      <c r="UCE168" s="3"/>
      <c r="UCF168" s="3"/>
      <c r="UCG168" s="3"/>
      <c r="UCH168" s="3"/>
      <c r="UCI168" s="3"/>
      <c r="UCJ168" s="3"/>
      <c r="UCK168" s="3"/>
      <c r="UCL168" s="3"/>
      <c r="UCM168" s="3"/>
      <c r="UCN168" s="3"/>
      <c r="UCO168" s="3"/>
      <c r="UCP168" s="3"/>
      <c r="UCQ168" s="3"/>
      <c r="UCR168" s="3"/>
      <c r="UCS168" s="3"/>
      <c r="UCT168" s="3"/>
      <c r="UCU168" s="3"/>
      <c r="UCV168" s="3"/>
      <c r="UCW168" s="3"/>
      <c r="UCX168" s="3"/>
      <c r="UCY168" s="3"/>
      <c r="UCZ168" s="3"/>
      <c r="UDA168" s="3"/>
      <c r="UDB168" s="3"/>
      <c r="UDC168" s="3"/>
      <c r="UDD168" s="3"/>
      <c r="UDE168" s="3"/>
      <c r="UDF168" s="3"/>
      <c r="UDG168" s="3"/>
      <c r="UDH168" s="3"/>
      <c r="UDI168" s="3"/>
      <c r="UDJ168" s="3"/>
      <c r="UDK168" s="3"/>
      <c r="UDL168" s="3"/>
      <c r="UDM168" s="3"/>
      <c r="UDN168" s="3"/>
      <c r="UDO168" s="3"/>
      <c r="UDP168" s="3"/>
      <c r="UDQ168" s="3"/>
      <c r="UDR168" s="3"/>
      <c r="UDS168" s="3"/>
      <c r="UDT168" s="3"/>
      <c r="UDU168" s="3"/>
      <c r="UDV168" s="3"/>
      <c r="UDW168" s="3"/>
      <c r="UDX168" s="3"/>
      <c r="UDY168" s="3"/>
      <c r="UDZ168" s="3"/>
      <c r="UEA168" s="3"/>
      <c r="UEB168" s="3"/>
      <c r="UEC168" s="3"/>
      <c r="UED168" s="3"/>
      <c r="UEE168" s="3"/>
      <c r="UEF168" s="3"/>
      <c r="UEG168" s="3"/>
      <c r="UEH168" s="3"/>
      <c r="UEI168" s="3"/>
      <c r="UEJ168" s="3"/>
      <c r="UEK168" s="3"/>
      <c r="UEL168" s="3"/>
      <c r="UEM168" s="3"/>
      <c r="UEN168" s="3"/>
      <c r="UEO168" s="3"/>
      <c r="UEP168" s="3"/>
      <c r="UEQ168" s="3"/>
      <c r="UER168" s="3"/>
      <c r="UES168" s="3"/>
      <c r="UET168" s="3"/>
      <c r="UEU168" s="3"/>
      <c r="UEV168" s="3"/>
      <c r="UEW168" s="3"/>
      <c r="UEX168" s="3"/>
      <c r="UEY168" s="3"/>
      <c r="UEZ168" s="3"/>
      <c r="UFA168" s="3"/>
      <c r="UFB168" s="3"/>
      <c r="UFC168" s="3"/>
      <c r="UFD168" s="3"/>
      <c r="UFE168" s="3"/>
      <c r="UFF168" s="3"/>
      <c r="UFG168" s="3"/>
      <c r="UFH168" s="3"/>
      <c r="UFI168" s="3"/>
      <c r="UFJ168" s="3"/>
      <c r="UFK168" s="3"/>
      <c r="UFL168" s="3"/>
      <c r="UFM168" s="3"/>
      <c r="UFN168" s="3"/>
      <c r="UFO168" s="3"/>
      <c r="UFP168" s="3"/>
      <c r="UFQ168" s="3"/>
      <c r="UFR168" s="3"/>
      <c r="UFS168" s="3"/>
      <c r="UFT168" s="3"/>
      <c r="UFU168" s="3"/>
      <c r="UFV168" s="3"/>
      <c r="UFW168" s="3"/>
      <c r="UFX168" s="3"/>
      <c r="UFY168" s="3"/>
      <c r="UFZ168" s="3"/>
      <c r="UGA168" s="3"/>
      <c r="UGB168" s="3"/>
      <c r="UGC168" s="3"/>
      <c r="UGD168" s="3"/>
      <c r="UGE168" s="3"/>
      <c r="UGF168" s="3"/>
      <c r="UGG168" s="3"/>
      <c r="UGH168" s="3"/>
      <c r="UGI168" s="3"/>
      <c r="UGJ168" s="3"/>
      <c r="UGK168" s="3"/>
      <c r="UGL168" s="3"/>
      <c r="UGM168" s="3"/>
      <c r="UGN168" s="3"/>
      <c r="UGO168" s="3"/>
      <c r="UGP168" s="3"/>
      <c r="UGQ168" s="3"/>
      <c r="UGR168" s="3"/>
      <c r="UGS168" s="3"/>
      <c r="UGT168" s="3"/>
      <c r="UGU168" s="3"/>
      <c r="UGV168" s="3"/>
      <c r="UGW168" s="3"/>
      <c r="UGX168" s="3"/>
      <c r="UGY168" s="3"/>
      <c r="UGZ168" s="3"/>
      <c r="UHA168" s="3"/>
      <c r="UHB168" s="3"/>
      <c r="UHC168" s="3"/>
      <c r="UHD168" s="3"/>
      <c r="UHE168" s="3"/>
      <c r="UHF168" s="3"/>
      <c r="UHG168" s="3"/>
      <c r="UHH168" s="3"/>
      <c r="UHI168" s="3"/>
      <c r="UHJ168" s="3"/>
      <c r="UHK168" s="3"/>
      <c r="UHL168" s="3"/>
      <c r="UHM168" s="3"/>
      <c r="UHN168" s="3"/>
      <c r="UHO168" s="3"/>
      <c r="UHP168" s="3"/>
      <c r="UHQ168" s="3"/>
      <c r="UHR168" s="3"/>
      <c r="UHS168" s="3"/>
      <c r="UHT168" s="3"/>
      <c r="UHU168" s="3"/>
      <c r="UHV168" s="3"/>
      <c r="UHW168" s="3"/>
      <c r="UHX168" s="3"/>
      <c r="UHY168" s="3"/>
      <c r="UHZ168" s="3"/>
      <c r="UIA168" s="3"/>
      <c r="UIB168" s="3"/>
      <c r="UIC168" s="3"/>
      <c r="UID168" s="3"/>
      <c r="UIE168" s="3"/>
      <c r="UIF168" s="3"/>
      <c r="UIG168" s="3"/>
      <c r="UIH168" s="3"/>
      <c r="UII168" s="3"/>
      <c r="UIJ168" s="3"/>
      <c r="UIK168" s="3"/>
      <c r="UIL168" s="3"/>
      <c r="UIM168" s="3"/>
      <c r="UIN168" s="3"/>
      <c r="UIO168" s="3"/>
      <c r="UIP168" s="3"/>
      <c r="UIQ168" s="3"/>
      <c r="UIR168" s="3"/>
      <c r="UIS168" s="3"/>
      <c r="UIT168" s="3"/>
      <c r="UIU168" s="3"/>
      <c r="UIV168" s="3"/>
      <c r="UIW168" s="3"/>
      <c r="UIX168" s="3"/>
      <c r="UIY168" s="3"/>
      <c r="UIZ168" s="3"/>
      <c r="UJA168" s="3"/>
      <c r="UJB168" s="3"/>
      <c r="UJC168" s="3"/>
      <c r="UJD168" s="3"/>
      <c r="UJE168" s="3"/>
      <c r="UJF168" s="3"/>
      <c r="UJG168" s="3"/>
      <c r="UJH168" s="3"/>
      <c r="UJI168" s="3"/>
      <c r="UJJ168" s="3"/>
      <c r="UJK168" s="3"/>
      <c r="UJL168" s="3"/>
      <c r="UJM168" s="3"/>
      <c r="UJN168" s="3"/>
      <c r="UJO168" s="3"/>
      <c r="UJP168" s="3"/>
      <c r="UJQ168" s="3"/>
      <c r="UJR168" s="3"/>
      <c r="UJS168" s="3"/>
      <c r="UJT168" s="3"/>
      <c r="UJU168" s="3"/>
      <c r="UJV168" s="3"/>
      <c r="UJW168" s="3"/>
      <c r="UJX168" s="3"/>
      <c r="UJY168" s="3"/>
      <c r="UJZ168" s="3"/>
      <c r="UKA168" s="3"/>
      <c r="UKB168" s="3"/>
      <c r="UKC168" s="3"/>
      <c r="UKD168" s="3"/>
      <c r="UKE168" s="3"/>
      <c r="UKF168" s="3"/>
      <c r="UKG168" s="3"/>
      <c r="UKH168" s="3"/>
      <c r="UKI168" s="3"/>
      <c r="UKJ168" s="3"/>
      <c r="UKK168" s="3"/>
      <c r="UKL168" s="3"/>
      <c r="UKM168" s="3"/>
      <c r="UKN168" s="3"/>
      <c r="UKO168" s="3"/>
      <c r="UKP168" s="3"/>
      <c r="UKQ168" s="3"/>
      <c r="UKR168" s="3"/>
      <c r="UKS168" s="3"/>
      <c r="UKT168" s="3"/>
      <c r="UKU168" s="3"/>
      <c r="UKV168" s="3"/>
      <c r="UKW168" s="3"/>
      <c r="UKX168" s="3"/>
      <c r="UKY168" s="3"/>
      <c r="UKZ168" s="3"/>
      <c r="ULA168" s="3"/>
      <c r="ULB168" s="3"/>
      <c r="ULC168" s="3"/>
      <c r="ULD168" s="3"/>
      <c r="ULE168" s="3"/>
      <c r="ULF168" s="3"/>
      <c r="ULG168" s="3"/>
      <c r="ULH168" s="3"/>
      <c r="ULI168" s="3"/>
      <c r="ULJ168" s="3"/>
      <c r="ULK168" s="3"/>
      <c r="ULL168" s="3"/>
      <c r="ULM168" s="3"/>
      <c r="ULN168" s="3"/>
      <c r="ULO168" s="3"/>
      <c r="ULP168" s="3"/>
      <c r="ULQ168" s="3"/>
      <c r="ULR168" s="3"/>
      <c r="ULS168" s="3"/>
      <c r="ULT168" s="3"/>
      <c r="ULU168" s="3"/>
      <c r="ULV168" s="3"/>
      <c r="ULW168" s="3"/>
      <c r="ULX168" s="3"/>
      <c r="ULY168" s="3"/>
      <c r="ULZ168" s="3"/>
      <c r="UMA168" s="3"/>
      <c r="UMB168" s="3"/>
      <c r="UMC168" s="3"/>
      <c r="UMD168" s="3"/>
      <c r="UME168" s="3"/>
      <c r="UMF168" s="3"/>
      <c r="UMG168" s="3"/>
      <c r="UMH168" s="3"/>
      <c r="UMI168" s="3"/>
      <c r="UMJ168" s="3"/>
      <c r="UMK168" s="3"/>
      <c r="UML168" s="3"/>
      <c r="UMM168" s="3"/>
      <c r="UMN168" s="3"/>
      <c r="UMO168" s="3"/>
      <c r="UMP168" s="3"/>
      <c r="UMQ168" s="3"/>
      <c r="UMR168" s="3"/>
      <c r="UMS168" s="3"/>
      <c r="UMT168" s="3"/>
      <c r="UMU168" s="3"/>
      <c r="UMV168" s="3"/>
      <c r="UMW168" s="3"/>
      <c r="UMX168" s="3"/>
      <c r="UMY168" s="3"/>
      <c r="UMZ168" s="3"/>
      <c r="UNA168" s="3"/>
      <c r="UNB168" s="3"/>
      <c r="UNC168" s="3"/>
      <c r="UND168" s="3"/>
      <c r="UNE168" s="3"/>
      <c r="UNF168" s="3"/>
      <c r="UNG168" s="3"/>
      <c r="UNH168" s="3"/>
      <c r="UNI168" s="3"/>
      <c r="UNJ168" s="3"/>
      <c r="UNK168" s="3"/>
      <c r="UNL168" s="3"/>
      <c r="UNM168" s="3"/>
      <c r="UNN168" s="3"/>
      <c r="UNO168" s="3"/>
      <c r="UNP168" s="3"/>
      <c r="UNQ168" s="3"/>
      <c r="UNR168" s="3"/>
      <c r="UNS168" s="3"/>
      <c r="UNT168" s="3"/>
      <c r="UNU168" s="3"/>
      <c r="UNV168" s="3"/>
      <c r="UNW168" s="3"/>
      <c r="UNX168" s="3"/>
      <c r="UNY168" s="3"/>
      <c r="UNZ168" s="3"/>
      <c r="UOA168" s="3"/>
      <c r="UOB168" s="3"/>
      <c r="UOC168" s="3"/>
      <c r="UOD168" s="3"/>
      <c r="UOE168" s="3"/>
      <c r="UOF168" s="3"/>
      <c r="UOG168" s="3"/>
      <c r="UOH168" s="3"/>
      <c r="UOI168" s="3"/>
      <c r="UOJ168" s="3"/>
      <c r="UOK168" s="3"/>
      <c r="UOL168" s="3"/>
      <c r="UOM168" s="3"/>
      <c r="UON168" s="3"/>
      <c r="UOO168" s="3"/>
      <c r="UOP168" s="3"/>
      <c r="UOQ168" s="3"/>
      <c r="UOR168" s="3"/>
      <c r="UOS168" s="3"/>
      <c r="UOT168" s="3"/>
      <c r="UOU168" s="3"/>
      <c r="UOV168" s="3"/>
      <c r="UOW168" s="3"/>
      <c r="UOX168" s="3"/>
      <c r="UOY168" s="3"/>
      <c r="UOZ168" s="3"/>
      <c r="UPA168" s="3"/>
      <c r="UPB168" s="3"/>
      <c r="UPC168" s="3"/>
      <c r="UPD168" s="3"/>
      <c r="UPE168" s="3"/>
      <c r="UPF168" s="3"/>
      <c r="UPG168" s="3"/>
      <c r="UPH168" s="3"/>
      <c r="UPI168" s="3"/>
      <c r="UPJ168" s="3"/>
      <c r="UPK168" s="3"/>
      <c r="UPL168" s="3"/>
      <c r="UPM168" s="3"/>
      <c r="UPN168" s="3"/>
      <c r="UPO168" s="3"/>
      <c r="UPP168" s="3"/>
      <c r="UPQ168" s="3"/>
      <c r="UPR168" s="3"/>
      <c r="UPS168" s="3"/>
      <c r="UPT168" s="3"/>
      <c r="UPU168" s="3"/>
      <c r="UPV168" s="3"/>
      <c r="UPW168" s="3"/>
      <c r="UPX168" s="3"/>
      <c r="UPY168" s="3"/>
      <c r="UPZ168" s="3"/>
      <c r="UQA168" s="3"/>
      <c r="UQB168" s="3"/>
      <c r="UQC168" s="3"/>
      <c r="UQD168" s="3"/>
      <c r="UQE168" s="3"/>
      <c r="UQF168" s="3"/>
      <c r="UQG168" s="3"/>
      <c r="UQH168" s="3"/>
      <c r="UQI168" s="3"/>
      <c r="UQJ168" s="3"/>
      <c r="UQK168" s="3"/>
      <c r="UQL168" s="3"/>
      <c r="UQM168" s="3"/>
      <c r="UQN168" s="3"/>
      <c r="UQO168" s="3"/>
      <c r="UQP168" s="3"/>
      <c r="UQQ168" s="3"/>
      <c r="UQR168" s="3"/>
      <c r="UQS168" s="3"/>
      <c r="UQT168" s="3"/>
      <c r="UQU168" s="3"/>
      <c r="UQV168" s="3"/>
      <c r="UQW168" s="3"/>
      <c r="UQX168" s="3"/>
      <c r="UQY168" s="3"/>
      <c r="UQZ168" s="3"/>
      <c r="URA168" s="3"/>
      <c r="URB168" s="3"/>
      <c r="URC168" s="3"/>
      <c r="URD168" s="3"/>
      <c r="URE168" s="3"/>
      <c r="URF168" s="3"/>
      <c r="URG168" s="3"/>
      <c r="URH168" s="3"/>
      <c r="URI168" s="3"/>
      <c r="URJ168" s="3"/>
      <c r="URK168" s="3"/>
      <c r="URL168" s="3"/>
      <c r="URM168" s="3"/>
      <c r="URN168" s="3"/>
      <c r="URO168" s="3"/>
      <c r="URP168" s="3"/>
      <c r="URQ168" s="3"/>
      <c r="URR168" s="3"/>
      <c r="URS168" s="3"/>
      <c r="URT168" s="3"/>
      <c r="URU168" s="3"/>
      <c r="URV168" s="3"/>
      <c r="URW168" s="3"/>
      <c r="URX168" s="3"/>
      <c r="URY168" s="3"/>
      <c r="URZ168" s="3"/>
      <c r="USA168" s="3"/>
      <c r="USB168" s="3"/>
      <c r="USC168" s="3"/>
      <c r="USD168" s="3"/>
      <c r="USE168" s="3"/>
      <c r="USF168" s="3"/>
      <c r="USG168" s="3"/>
      <c r="USH168" s="3"/>
      <c r="USI168" s="3"/>
      <c r="USJ168" s="3"/>
      <c r="USK168" s="3"/>
      <c r="USL168" s="3"/>
      <c r="USM168" s="3"/>
      <c r="USN168" s="3"/>
      <c r="USO168" s="3"/>
      <c r="USP168" s="3"/>
      <c r="USQ168" s="3"/>
      <c r="USR168" s="3"/>
      <c r="USS168" s="3"/>
      <c r="UST168" s="3"/>
      <c r="USU168" s="3"/>
      <c r="USV168" s="3"/>
      <c r="USW168" s="3"/>
      <c r="USX168" s="3"/>
      <c r="USY168" s="3"/>
      <c r="USZ168" s="3"/>
      <c r="UTA168" s="3"/>
      <c r="UTB168" s="3"/>
      <c r="UTC168" s="3"/>
      <c r="UTD168" s="3"/>
      <c r="UTE168" s="3"/>
      <c r="UTF168" s="3"/>
      <c r="UTG168" s="3"/>
      <c r="UTH168" s="3"/>
      <c r="UTI168" s="3"/>
      <c r="UTJ168" s="3"/>
      <c r="UTK168" s="3"/>
      <c r="UTL168" s="3"/>
      <c r="UTM168" s="3"/>
      <c r="UTN168" s="3"/>
      <c r="UTO168" s="3"/>
      <c r="UTP168" s="3"/>
      <c r="UTQ168" s="3"/>
      <c r="UTR168" s="3"/>
      <c r="UTS168" s="3"/>
      <c r="UTT168" s="3"/>
      <c r="UTU168" s="3"/>
      <c r="UTV168" s="3"/>
      <c r="UTW168" s="3"/>
      <c r="UTX168" s="3"/>
      <c r="UTY168" s="3"/>
      <c r="UTZ168" s="3"/>
      <c r="UUA168" s="3"/>
      <c r="UUB168" s="3"/>
      <c r="UUC168" s="3"/>
      <c r="UUD168" s="3"/>
      <c r="UUE168" s="3"/>
      <c r="UUF168" s="3"/>
      <c r="UUG168" s="3"/>
      <c r="UUH168" s="3"/>
      <c r="UUI168" s="3"/>
      <c r="UUJ168" s="3"/>
      <c r="UUK168" s="3"/>
      <c r="UUL168" s="3"/>
      <c r="UUM168" s="3"/>
      <c r="UUN168" s="3"/>
      <c r="UUO168" s="3"/>
      <c r="UUP168" s="3"/>
      <c r="UUQ168" s="3"/>
      <c r="UUR168" s="3"/>
      <c r="UUS168" s="3"/>
      <c r="UUT168" s="3"/>
      <c r="UUU168" s="3"/>
      <c r="UUV168" s="3"/>
      <c r="UUW168" s="3"/>
      <c r="UUX168" s="3"/>
      <c r="UUY168" s="3"/>
      <c r="UUZ168" s="3"/>
      <c r="UVA168" s="3"/>
      <c r="UVB168" s="3"/>
      <c r="UVC168" s="3"/>
      <c r="UVD168" s="3"/>
      <c r="UVE168" s="3"/>
      <c r="UVF168" s="3"/>
      <c r="UVG168" s="3"/>
      <c r="UVH168" s="3"/>
      <c r="UVI168" s="3"/>
      <c r="UVJ168" s="3"/>
      <c r="UVK168" s="3"/>
      <c r="UVL168" s="3"/>
      <c r="UVM168" s="3"/>
      <c r="UVN168" s="3"/>
      <c r="UVO168" s="3"/>
      <c r="UVP168" s="3"/>
      <c r="UVQ168" s="3"/>
      <c r="UVR168" s="3"/>
      <c r="UVS168" s="3"/>
      <c r="UVT168" s="3"/>
      <c r="UVU168" s="3"/>
      <c r="UVV168" s="3"/>
      <c r="UVW168" s="3"/>
      <c r="UVX168" s="3"/>
      <c r="UVY168" s="3"/>
      <c r="UVZ168" s="3"/>
      <c r="UWA168" s="3"/>
      <c r="UWB168" s="3"/>
      <c r="UWC168" s="3"/>
      <c r="UWD168" s="3"/>
      <c r="UWE168" s="3"/>
      <c r="UWF168" s="3"/>
      <c r="UWG168" s="3"/>
      <c r="UWH168" s="3"/>
      <c r="UWI168" s="3"/>
      <c r="UWJ168" s="3"/>
      <c r="UWK168" s="3"/>
      <c r="UWL168" s="3"/>
      <c r="UWM168" s="3"/>
      <c r="UWN168" s="3"/>
      <c r="UWO168" s="3"/>
      <c r="UWP168" s="3"/>
      <c r="UWQ168" s="3"/>
      <c r="UWR168" s="3"/>
      <c r="UWS168" s="3"/>
      <c r="UWT168" s="3"/>
      <c r="UWU168" s="3"/>
      <c r="UWV168" s="3"/>
      <c r="UWW168" s="3"/>
      <c r="UWX168" s="3"/>
      <c r="UWY168" s="3"/>
      <c r="UWZ168" s="3"/>
      <c r="UXA168" s="3"/>
      <c r="UXB168" s="3"/>
      <c r="UXC168" s="3"/>
      <c r="UXD168" s="3"/>
      <c r="UXE168" s="3"/>
      <c r="UXF168" s="3"/>
      <c r="UXG168" s="3"/>
      <c r="UXH168" s="3"/>
      <c r="UXI168" s="3"/>
      <c r="UXJ168" s="3"/>
      <c r="UXK168" s="3"/>
      <c r="UXL168" s="3"/>
      <c r="UXM168" s="3"/>
      <c r="UXN168" s="3"/>
      <c r="UXO168" s="3"/>
      <c r="UXP168" s="3"/>
      <c r="UXQ168" s="3"/>
      <c r="UXR168" s="3"/>
      <c r="UXS168" s="3"/>
      <c r="UXT168" s="3"/>
      <c r="UXU168" s="3"/>
      <c r="UXV168" s="3"/>
      <c r="UXW168" s="3"/>
      <c r="UXX168" s="3"/>
      <c r="UXY168" s="3"/>
      <c r="UXZ168" s="3"/>
      <c r="UYA168" s="3"/>
      <c r="UYB168" s="3"/>
      <c r="UYC168" s="3"/>
      <c r="UYD168" s="3"/>
      <c r="UYE168" s="3"/>
      <c r="UYF168" s="3"/>
      <c r="UYG168" s="3"/>
      <c r="UYH168" s="3"/>
      <c r="UYI168" s="3"/>
      <c r="UYJ168" s="3"/>
      <c r="UYK168" s="3"/>
      <c r="UYL168" s="3"/>
      <c r="UYM168" s="3"/>
      <c r="UYN168" s="3"/>
      <c r="UYO168" s="3"/>
      <c r="UYP168" s="3"/>
      <c r="UYQ168" s="3"/>
      <c r="UYR168" s="3"/>
      <c r="UYS168" s="3"/>
      <c r="UYT168" s="3"/>
      <c r="UYU168" s="3"/>
      <c r="UYV168" s="3"/>
      <c r="UYW168" s="3"/>
      <c r="UYX168" s="3"/>
      <c r="UYY168" s="3"/>
      <c r="UYZ168" s="3"/>
      <c r="UZA168" s="3"/>
      <c r="UZB168" s="3"/>
      <c r="UZC168" s="3"/>
      <c r="UZD168" s="3"/>
      <c r="UZE168" s="3"/>
      <c r="UZF168" s="3"/>
      <c r="UZG168" s="3"/>
      <c r="UZH168" s="3"/>
      <c r="UZI168" s="3"/>
      <c r="UZJ168" s="3"/>
      <c r="UZK168" s="3"/>
      <c r="UZL168" s="3"/>
      <c r="UZM168" s="3"/>
      <c r="UZN168" s="3"/>
      <c r="UZO168" s="3"/>
      <c r="UZP168" s="3"/>
      <c r="UZQ168" s="3"/>
      <c r="UZR168" s="3"/>
      <c r="UZS168" s="3"/>
      <c r="UZT168" s="3"/>
      <c r="UZU168" s="3"/>
      <c r="UZV168" s="3"/>
      <c r="UZW168" s="3"/>
      <c r="UZX168" s="3"/>
      <c r="UZY168" s="3"/>
      <c r="UZZ168" s="3"/>
      <c r="VAA168" s="3"/>
      <c r="VAB168" s="3"/>
      <c r="VAC168" s="3"/>
      <c r="VAD168" s="3"/>
      <c r="VAE168" s="3"/>
      <c r="VAF168" s="3"/>
      <c r="VAG168" s="3"/>
      <c r="VAH168" s="3"/>
      <c r="VAI168" s="3"/>
      <c r="VAJ168" s="3"/>
      <c r="VAK168" s="3"/>
      <c r="VAL168" s="3"/>
      <c r="VAM168" s="3"/>
      <c r="VAN168" s="3"/>
      <c r="VAO168" s="3"/>
      <c r="VAP168" s="3"/>
      <c r="VAQ168" s="3"/>
      <c r="VAR168" s="3"/>
      <c r="VAS168" s="3"/>
      <c r="VAT168" s="3"/>
      <c r="VAU168" s="3"/>
      <c r="VAV168" s="3"/>
      <c r="VAW168" s="3"/>
      <c r="VAX168" s="3"/>
      <c r="VAY168" s="3"/>
      <c r="VAZ168" s="3"/>
      <c r="VBA168" s="3"/>
      <c r="VBB168" s="3"/>
      <c r="VBC168" s="3"/>
      <c r="VBD168" s="3"/>
      <c r="VBE168" s="3"/>
      <c r="VBF168" s="3"/>
      <c r="VBG168" s="3"/>
      <c r="VBH168" s="3"/>
      <c r="VBI168" s="3"/>
      <c r="VBJ168" s="3"/>
      <c r="VBK168" s="3"/>
      <c r="VBL168" s="3"/>
      <c r="VBM168" s="3"/>
      <c r="VBN168" s="3"/>
      <c r="VBO168" s="3"/>
      <c r="VBP168" s="3"/>
      <c r="VBQ168" s="3"/>
      <c r="VBR168" s="3"/>
      <c r="VBS168" s="3"/>
      <c r="VBT168" s="3"/>
      <c r="VBU168" s="3"/>
      <c r="VBV168" s="3"/>
      <c r="VBW168" s="3"/>
      <c r="VBX168" s="3"/>
      <c r="VBY168" s="3"/>
      <c r="VBZ168" s="3"/>
      <c r="VCA168" s="3"/>
      <c r="VCB168" s="3"/>
      <c r="VCC168" s="3"/>
      <c r="VCD168" s="3"/>
      <c r="VCE168" s="3"/>
      <c r="VCF168" s="3"/>
      <c r="VCG168" s="3"/>
      <c r="VCH168" s="3"/>
      <c r="VCI168" s="3"/>
      <c r="VCJ168" s="3"/>
      <c r="VCK168" s="3"/>
      <c r="VCL168" s="3"/>
      <c r="VCM168" s="3"/>
      <c r="VCN168" s="3"/>
      <c r="VCO168" s="3"/>
      <c r="VCP168" s="3"/>
      <c r="VCQ168" s="3"/>
      <c r="VCR168" s="3"/>
      <c r="VCS168" s="3"/>
      <c r="VCT168" s="3"/>
      <c r="VCU168" s="3"/>
      <c r="VCV168" s="3"/>
      <c r="VCW168" s="3"/>
      <c r="VCX168" s="3"/>
      <c r="VCY168" s="3"/>
      <c r="VCZ168" s="3"/>
      <c r="VDA168" s="3"/>
      <c r="VDB168" s="3"/>
      <c r="VDC168" s="3"/>
      <c r="VDD168" s="3"/>
      <c r="VDE168" s="3"/>
      <c r="VDF168" s="3"/>
      <c r="VDG168" s="3"/>
      <c r="VDH168" s="3"/>
      <c r="VDI168" s="3"/>
      <c r="VDJ168" s="3"/>
      <c r="VDK168" s="3"/>
      <c r="VDL168" s="3"/>
      <c r="VDM168" s="3"/>
      <c r="VDN168" s="3"/>
      <c r="VDO168" s="3"/>
      <c r="VDP168" s="3"/>
      <c r="VDQ168" s="3"/>
      <c r="VDR168" s="3"/>
      <c r="VDS168" s="3"/>
      <c r="VDT168" s="3"/>
      <c r="VDU168" s="3"/>
      <c r="VDV168" s="3"/>
      <c r="VDW168" s="3"/>
      <c r="VDX168" s="3"/>
      <c r="VDY168" s="3"/>
      <c r="VDZ168" s="3"/>
      <c r="VEA168" s="3"/>
      <c r="VEB168" s="3"/>
      <c r="VEC168" s="3"/>
      <c r="VED168" s="3"/>
      <c r="VEE168" s="3"/>
      <c r="VEF168" s="3"/>
      <c r="VEG168" s="3"/>
      <c r="VEH168" s="3"/>
      <c r="VEI168" s="3"/>
      <c r="VEJ168" s="3"/>
      <c r="VEK168" s="3"/>
      <c r="VEL168" s="3"/>
      <c r="VEM168" s="3"/>
      <c r="VEN168" s="3"/>
      <c r="VEO168" s="3"/>
      <c r="VEP168" s="3"/>
      <c r="VEQ168" s="3"/>
      <c r="VER168" s="3"/>
      <c r="VES168" s="3"/>
      <c r="VET168" s="3"/>
      <c r="VEU168" s="3"/>
      <c r="VEV168" s="3"/>
      <c r="VEW168" s="3"/>
      <c r="VEX168" s="3"/>
      <c r="VEY168" s="3"/>
      <c r="VEZ168" s="3"/>
      <c r="VFA168" s="3"/>
      <c r="VFB168" s="3"/>
      <c r="VFC168" s="3"/>
      <c r="VFD168" s="3"/>
      <c r="VFE168" s="3"/>
      <c r="VFF168" s="3"/>
      <c r="VFG168" s="3"/>
      <c r="VFH168" s="3"/>
      <c r="VFI168" s="3"/>
      <c r="VFJ168" s="3"/>
      <c r="VFK168" s="3"/>
      <c r="VFL168" s="3"/>
      <c r="VFM168" s="3"/>
      <c r="VFN168" s="3"/>
      <c r="VFO168" s="3"/>
      <c r="VFP168" s="3"/>
      <c r="VFQ168" s="3"/>
      <c r="VFR168" s="3"/>
      <c r="VFS168" s="3"/>
      <c r="VFT168" s="3"/>
      <c r="VFU168" s="3"/>
      <c r="VFV168" s="3"/>
      <c r="VFW168" s="3"/>
      <c r="VFX168" s="3"/>
      <c r="VFY168" s="3"/>
      <c r="VFZ168" s="3"/>
      <c r="VGA168" s="3"/>
      <c r="VGB168" s="3"/>
      <c r="VGC168" s="3"/>
      <c r="VGD168" s="3"/>
      <c r="VGE168" s="3"/>
      <c r="VGF168" s="3"/>
      <c r="VGG168" s="3"/>
      <c r="VGH168" s="3"/>
      <c r="VGI168" s="3"/>
      <c r="VGJ168" s="3"/>
      <c r="VGK168" s="3"/>
      <c r="VGL168" s="3"/>
      <c r="VGM168" s="3"/>
      <c r="VGN168" s="3"/>
      <c r="VGO168" s="3"/>
      <c r="VGP168" s="3"/>
      <c r="VGQ168" s="3"/>
      <c r="VGR168" s="3"/>
      <c r="VGS168" s="3"/>
      <c r="VGT168" s="3"/>
      <c r="VGU168" s="3"/>
      <c r="VGV168" s="3"/>
      <c r="VGW168" s="3"/>
      <c r="VGX168" s="3"/>
      <c r="VGY168" s="3"/>
      <c r="VGZ168" s="3"/>
      <c r="VHA168" s="3"/>
      <c r="VHB168" s="3"/>
      <c r="VHC168" s="3"/>
      <c r="VHD168" s="3"/>
      <c r="VHE168" s="3"/>
      <c r="VHF168" s="3"/>
      <c r="VHG168" s="3"/>
      <c r="VHH168" s="3"/>
      <c r="VHI168" s="3"/>
      <c r="VHJ168" s="3"/>
      <c r="VHK168" s="3"/>
      <c r="VHL168" s="3"/>
      <c r="VHM168" s="3"/>
      <c r="VHN168" s="3"/>
      <c r="VHO168" s="3"/>
      <c r="VHP168" s="3"/>
      <c r="VHQ168" s="3"/>
      <c r="VHR168" s="3"/>
      <c r="VHS168" s="3"/>
      <c r="VHT168" s="3"/>
      <c r="VHU168" s="3"/>
      <c r="VHV168" s="3"/>
      <c r="VHW168" s="3"/>
      <c r="VHX168" s="3"/>
      <c r="VHY168" s="3"/>
      <c r="VHZ168" s="3"/>
      <c r="VIA168" s="3"/>
      <c r="VIB168" s="3"/>
      <c r="VIC168" s="3"/>
      <c r="VID168" s="3"/>
      <c r="VIE168" s="3"/>
      <c r="VIF168" s="3"/>
      <c r="VIG168" s="3"/>
      <c r="VIH168" s="3"/>
      <c r="VII168" s="3"/>
      <c r="VIJ168" s="3"/>
      <c r="VIK168" s="3"/>
      <c r="VIL168" s="3"/>
      <c r="VIM168" s="3"/>
      <c r="VIN168" s="3"/>
      <c r="VIO168" s="3"/>
      <c r="VIP168" s="3"/>
      <c r="VIQ168" s="3"/>
      <c r="VIR168" s="3"/>
      <c r="VIS168" s="3"/>
      <c r="VIT168" s="3"/>
      <c r="VIU168" s="3"/>
      <c r="VIV168" s="3"/>
      <c r="VIW168" s="3"/>
      <c r="VIX168" s="3"/>
      <c r="VIY168" s="3"/>
      <c r="VIZ168" s="3"/>
      <c r="VJA168" s="3"/>
      <c r="VJB168" s="3"/>
      <c r="VJC168" s="3"/>
      <c r="VJD168" s="3"/>
      <c r="VJE168" s="3"/>
      <c r="VJF168" s="3"/>
      <c r="VJG168" s="3"/>
      <c r="VJH168" s="3"/>
      <c r="VJI168" s="3"/>
      <c r="VJJ168" s="3"/>
      <c r="VJK168" s="3"/>
      <c r="VJL168" s="3"/>
      <c r="VJM168" s="3"/>
      <c r="VJN168" s="3"/>
      <c r="VJO168" s="3"/>
      <c r="VJP168" s="3"/>
      <c r="VJQ168" s="3"/>
      <c r="VJR168" s="3"/>
      <c r="VJS168" s="3"/>
      <c r="VJT168" s="3"/>
      <c r="VJU168" s="3"/>
      <c r="VJV168" s="3"/>
      <c r="VJW168" s="3"/>
      <c r="VJX168" s="3"/>
      <c r="VJY168" s="3"/>
      <c r="VJZ168" s="3"/>
      <c r="VKA168" s="3"/>
      <c r="VKB168" s="3"/>
      <c r="VKC168" s="3"/>
      <c r="VKD168" s="3"/>
      <c r="VKE168" s="3"/>
      <c r="VKF168" s="3"/>
      <c r="VKG168" s="3"/>
      <c r="VKH168" s="3"/>
      <c r="VKI168" s="3"/>
      <c r="VKJ168" s="3"/>
      <c r="VKK168" s="3"/>
      <c r="VKL168" s="3"/>
      <c r="VKM168" s="3"/>
      <c r="VKN168" s="3"/>
      <c r="VKO168" s="3"/>
      <c r="VKP168" s="3"/>
      <c r="VKQ168" s="3"/>
      <c r="VKR168" s="3"/>
      <c r="VKS168" s="3"/>
      <c r="VKT168" s="3"/>
      <c r="VKU168" s="3"/>
      <c r="VKV168" s="3"/>
      <c r="VKW168" s="3"/>
      <c r="VKX168" s="3"/>
      <c r="VKY168" s="3"/>
      <c r="VKZ168" s="3"/>
      <c r="VLA168" s="3"/>
      <c r="VLB168" s="3"/>
      <c r="VLC168" s="3"/>
      <c r="VLD168" s="3"/>
      <c r="VLE168" s="3"/>
      <c r="VLF168" s="3"/>
      <c r="VLG168" s="3"/>
      <c r="VLH168" s="3"/>
      <c r="VLI168" s="3"/>
      <c r="VLJ168" s="3"/>
      <c r="VLK168" s="3"/>
      <c r="VLL168" s="3"/>
      <c r="VLM168" s="3"/>
      <c r="VLN168" s="3"/>
      <c r="VLO168" s="3"/>
      <c r="VLP168" s="3"/>
      <c r="VLQ168" s="3"/>
      <c r="VLR168" s="3"/>
      <c r="VLS168" s="3"/>
      <c r="VLT168" s="3"/>
      <c r="VLU168" s="3"/>
      <c r="VLV168" s="3"/>
      <c r="VLW168" s="3"/>
      <c r="VLX168" s="3"/>
      <c r="VLY168" s="3"/>
      <c r="VLZ168" s="3"/>
      <c r="VMA168" s="3"/>
      <c r="VMB168" s="3"/>
      <c r="VMC168" s="3"/>
      <c r="VMD168" s="3"/>
      <c r="VME168" s="3"/>
      <c r="VMF168" s="3"/>
      <c r="VMG168" s="3"/>
      <c r="VMH168" s="3"/>
      <c r="VMI168" s="3"/>
      <c r="VMJ168" s="3"/>
      <c r="VMK168" s="3"/>
      <c r="VML168" s="3"/>
      <c r="VMM168" s="3"/>
      <c r="VMN168" s="3"/>
      <c r="VMO168" s="3"/>
      <c r="VMP168" s="3"/>
      <c r="VMQ168" s="3"/>
      <c r="VMR168" s="3"/>
      <c r="VMS168" s="3"/>
      <c r="VMT168" s="3"/>
      <c r="VMU168" s="3"/>
      <c r="VMV168" s="3"/>
      <c r="VMW168" s="3"/>
      <c r="VMX168" s="3"/>
      <c r="VMY168" s="3"/>
      <c r="VMZ168" s="3"/>
      <c r="VNA168" s="3"/>
      <c r="VNB168" s="3"/>
      <c r="VNC168" s="3"/>
      <c r="VND168" s="3"/>
      <c r="VNE168" s="3"/>
      <c r="VNF168" s="3"/>
      <c r="VNG168" s="3"/>
      <c r="VNH168" s="3"/>
      <c r="VNI168" s="3"/>
      <c r="VNJ168" s="3"/>
      <c r="VNK168" s="3"/>
      <c r="VNL168" s="3"/>
      <c r="VNM168" s="3"/>
      <c r="VNN168" s="3"/>
      <c r="VNO168" s="3"/>
      <c r="VNP168" s="3"/>
      <c r="VNQ168" s="3"/>
      <c r="VNR168" s="3"/>
      <c r="VNS168" s="3"/>
      <c r="VNT168" s="3"/>
      <c r="VNU168" s="3"/>
      <c r="VNV168" s="3"/>
      <c r="VNW168" s="3"/>
      <c r="VNX168" s="3"/>
      <c r="VNY168" s="3"/>
      <c r="VNZ168" s="3"/>
      <c r="VOA168" s="3"/>
      <c r="VOB168" s="3"/>
      <c r="VOC168" s="3"/>
      <c r="VOD168" s="3"/>
      <c r="VOE168" s="3"/>
      <c r="VOF168" s="3"/>
      <c r="VOG168" s="3"/>
      <c r="VOH168" s="3"/>
      <c r="VOI168" s="3"/>
      <c r="VOJ168" s="3"/>
      <c r="VOK168" s="3"/>
      <c r="VOL168" s="3"/>
      <c r="VOM168" s="3"/>
      <c r="VON168" s="3"/>
      <c r="VOO168" s="3"/>
      <c r="VOP168" s="3"/>
      <c r="VOQ168" s="3"/>
      <c r="VOR168" s="3"/>
      <c r="VOS168" s="3"/>
      <c r="VOT168" s="3"/>
      <c r="VOU168" s="3"/>
      <c r="VOV168" s="3"/>
      <c r="VOW168" s="3"/>
      <c r="VOX168" s="3"/>
      <c r="VOY168" s="3"/>
      <c r="VOZ168" s="3"/>
      <c r="VPA168" s="3"/>
      <c r="VPB168" s="3"/>
      <c r="VPC168" s="3"/>
      <c r="VPD168" s="3"/>
      <c r="VPE168" s="3"/>
      <c r="VPF168" s="3"/>
      <c r="VPG168" s="3"/>
      <c r="VPH168" s="3"/>
      <c r="VPI168" s="3"/>
      <c r="VPJ168" s="3"/>
      <c r="VPK168" s="3"/>
      <c r="VPL168" s="3"/>
      <c r="VPM168" s="3"/>
      <c r="VPN168" s="3"/>
      <c r="VPO168" s="3"/>
      <c r="VPP168" s="3"/>
      <c r="VPQ168" s="3"/>
      <c r="VPR168" s="3"/>
      <c r="VPS168" s="3"/>
      <c r="VPT168" s="3"/>
      <c r="VPU168" s="3"/>
      <c r="VPV168" s="3"/>
      <c r="VPW168" s="3"/>
      <c r="VPX168" s="3"/>
      <c r="VPY168" s="3"/>
      <c r="VPZ168" s="3"/>
      <c r="VQA168" s="3"/>
      <c r="VQB168" s="3"/>
      <c r="VQC168" s="3"/>
      <c r="VQD168" s="3"/>
      <c r="VQE168" s="3"/>
      <c r="VQF168" s="3"/>
      <c r="VQG168" s="3"/>
      <c r="VQH168" s="3"/>
      <c r="VQI168" s="3"/>
      <c r="VQJ168" s="3"/>
      <c r="VQK168" s="3"/>
      <c r="VQL168" s="3"/>
      <c r="VQM168" s="3"/>
      <c r="VQN168" s="3"/>
      <c r="VQO168" s="3"/>
      <c r="VQP168" s="3"/>
      <c r="VQQ168" s="3"/>
      <c r="VQR168" s="3"/>
      <c r="VQS168" s="3"/>
      <c r="VQT168" s="3"/>
      <c r="VQU168" s="3"/>
      <c r="VQV168" s="3"/>
      <c r="VQW168" s="3"/>
      <c r="VQX168" s="3"/>
      <c r="VQY168" s="3"/>
      <c r="VQZ168" s="3"/>
      <c r="VRA168" s="3"/>
      <c r="VRB168" s="3"/>
      <c r="VRC168" s="3"/>
      <c r="VRD168" s="3"/>
      <c r="VRE168" s="3"/>
      <c r="VRF168" s="3"/>
      <c r="VRG168" s="3"/>
      <c r="VRH168" s="3"/>
      <c r="VRI168" s="3"/>
      <c r="VRJ168" s="3"/>
      <c r="VRK168" s="3"/>
      <c r="VRL168" s="3"/>
      <c r="VRM168" s="3"/>
      <c r="VRN168" s="3"/>
      <c r="VRO168" s="3"/>
      <c r="VRP168" s="3"/>
      <c r="VRQ168" s="3"/>
      <c r="VRR168" s="3"/>
      <c r="VRS168" s="3"/>
      <c r="VRT168" s="3"/>
      <c r="VRU168" s="3"/>
      <c r="VRV168" s="3"/>
      <c r="VRW168" s="3"/>
      <c r="VRX168" s="3"/>
      <c r="VRY168" s="3"/>
      <c r="VRZ168" s="3"/>
      <c r="VSA168" s="3"/>
      <c r="VSB168" s="3"/>
      <c r="VSC168" s="3"/>
      <c r="VSD168" s="3"/>
      <c r="VSE168" s="3"/>
      <c r="VSF168" s="3"/>
      <c r="VSG168" s="3"/>
      <c r="VSH168" s="3"/>
      <c r="VSI168" s="3"/>
      <c r="VSJ168" s="3"/>
      <c r="VSK168" s="3"/>
      <c r="VSL168" s="3"/>
      <c r="VSM168" s="3"/>
      <c r="VSN168" s="3"/>
      <c r="VSO168" s="3"/>
      <c r="VSP168" s="3"/>
      <c r="VSQ168" s="3"/>
      <c r="VSR168" s="3"/>
      <c r="VSS168" s="3"/>
      <c r="VST168" s="3"/>
      <c r="VSU168" s="3"/>
      <c r="VSV168" s="3"/>
      <c r="VSW168" s="3"/>
      <c r="VSX168" s="3"/>
      <c r="VSY168" s="3"/>
      <c r="VSZ168" s="3"/>
      <c r="VTA168" s="3"/>
      <c r="VTB168" s="3"/>
      <c r="VTC168" s="3"/>
      <c r="VTD168" s="3"/>
      <c r="VTE168" s="3"/>
      <c r="VTF168" s="3"/>
      <c r="VTG168" s="3"/>
      <c r="VTH168" s="3"/>
      <c r="VTI168" s="3"/>
      <c r="VTJ168" s="3"/>
      <c r="VTK168" s="3"/>
      <c r="VTL168" s="3"/>
      <c r="VTM168" s="3"/>
      <c r="VTN168" s="3"/>
      <c r="VTO168" s="3"/>
      <c r="VTP168" s="3"/>
      <c r="VTQ168" s="3"/>
      <c r="VTR168" s="3"/>
      <c r="VTS168" s="3"/>
      <c r="VTT168" s="3"/>
      <c r="VTU168" s="3"/>
      <c r="VTV168" s="3"/>
      <c r="VTW168" s="3"/>
      <c r="VTX168" s="3"/>
      <c r="VTY168" s="3"/>
      <c r="VTZ168" s="3"/>
      <c r="VUA168" s="3"/>
      <c r="VUB168" s="3"/>
      <c r="VUC168" s="3"/>
      <c r="VUD168" s="3"/>
      <c r="VUE168" s="3"/>
      <c r="VUF168" s="3"/>
      <c r="VUG168" s="3"/>
      <c r="VUH168" s="3"/>
      <c r="VUI168" s="3"/>
      <c r="VUJ168" s="3"/>
      <c r="VUK168" s="3"/>
      <c r="VUL168" s="3"/>
      <c r="VUM168" s="3"/>
      <c r="VUN168" s="3"/>
      <c r="VUO168" s="3"/>
      <c r="VUP168" s="3"/>
      <c r="VUQ168" s="3"/>
      <c r="VUR168" s="3"/>
      <c r="VUS168" s="3"/>
      <c r="VUT168" s="3"/>
      <c r="VUU168" s="3"/>
      <c r="VUV168" s="3"/>
      <c r="VUW168" s="3"/>
      <c r="VUX168" s="3"/>
      <c r="VUY168" s="3"/>
      <c r="VUZ168" s="3"/>
      <c r="VVA168" s="3"/>
      <c r="VVB168" s="3"/>
      <c r="VVC168" s="3"/>
      <c r="VVD168" s="3"/>
      <c r="VVE168" s="3"/>
      <c r="VVF168" s="3"/>
      <c r="VVG168" s="3"/>
      <c r="VVH168" s="3"/>
      <c r="VVI168" s="3"/>
      <c r="VVJ168" s="3"/>
      <c r="VVK168" s="3"/>
      <c r="VVL168" s="3"/>
      <c r="VVM168" s="3"/>
      <c r="VVN168" s="3"/>
      <c r="VVO168" s="3"/>
      <c r="VVP168" s="3"/>
      <c r="VVQ168" s="3"/>
      <c r="VVR168" s="3"/>
      <c r="VVS168" s="3"/>
      <c r="VVT168" s="3"/>
      <c r="VVU168" s="3"/>
      <c r="VVV168" s="3"/>
      <c r="VVW168" s="3"/>
      <c r="VVX168" s="3"/>
      <c r="VVY168" s="3"/>
      <c r="VVZ168" s="3"/>
      <c r="VWA168" s="3"/>
      <c r="VWB168" s="3"/>
      <c r="VWC168" s="3"/>
      <c r="VWD168" s="3"/>
      <c r="VWE168" s="3"/>
      <c r="VWF168" s="3"/>
      <c r="VWG168" s="3"/>
      <c r="VWH168" s="3"/>
      <c r="VWI168" s="3"/>
      <c r="VWJ168" s="3"/>
      <c r="VWK168" s="3"/>
      <c r="VWL168" s="3"/>
      <c r="VWM168" s="3"/>
      <c r="VWN168" s="3"/>
      <c r="VWO168" s="3"/>
      <c r="VWP168" s="3"/>
      <c r="VWQ168" s="3"/>
      <c r="VWR168" s="3"/>
      <c r="VWS168" s="3"/>
      <c r="VWT168" s="3"/>
      <c r="VWU168" s="3"/>
      <c r="VWV168" s="3"/>
      <c r="VWW168" s="3"/>
      <c r="VWX168" s="3"/>
      <c r="VWY168" s="3"/>
      <c r="VWZ168" s="3"/>
      <c r="VXA168" s="3"/>
      <c r="VXB168" s="3"/>
      <c r="VXC168" s="3"/>
      <c r="VXD168" s="3"/>
      <c r="VXE168" s="3"/>
      <c r="VXF168" s="3"/>
      <c r="VXG168" s="3"/>
      <c r="VXH168" s="3"/>
      <c r="VXI168" s="3"/>
      <c r="VXJ168" s="3"/>
      <c r="VXK168" s="3"/>
      <c r="VXL168" s="3"/>
      <c r="VXM168" s="3"/>
      <c r="VXN168" s="3"/>
      <c r="VXO168" s="3"/>
      <c r="VXP168" s="3"/>
      <c r="VXQ168" s="3"/>
      <c r="VXR168" s="3"/>
      <c r="VXS168" s="3"/>
      <c r="VXT168" s="3"/>
      <c r="VXU168" s="3"/>
      <c r="VXV168" s="3"/>
      <c r="VXW168" s="3"/>
      <c r="VXX168" s="3"/>
      <c r="VXY168" s="3"/>
      <c r="VXZ168" s="3"/>
      <c r="VYA168" s="3"/>
      <c r="VYB168" s="3"/>
      <c r="VYC168" s="3"/>
      <c r="VYD168" s="3"/>
      <c r="VYE168" s="3"/>
      <c r="VYF168" s="3"/>
      <c r="VYG168" s="3"/>
      <c r="VYH168" s="3"/>
      <c r="VYI168" s="3"/>
      <c r="VYJ168" s="3"/>
      <c r="VYK168" s="3"/>
      <c r="VYL168" s="3"/>
      <c r="VYM168" s="3"/>
      <c r="VYN168" s="3"/>
      <c r="VYO168" s="3"/>
      <c r="VYP168" s="3"/>
      <c r="VYQ168" s="3"/>
      <c r="VYR168" s="3"/>
      <c r="VYS168" s="3"/>
      <c r="VYT168" s="3"/>
      <c r="VYU168" s="3"/>
      <c r="VYV168" s="3"/>
      <c r="VYW168" s="3"/>
      <c r="VYX168" s="3"/>
      <c r="VYY168" s="3"/>
      <c r="VYZ168" s="3"/>
      <c r="VZA168" s="3"/>
      <c r="VZB168" s="3"/>
      <c r="VZC168" s="3"/>
      <c r="VZD168" s="3"/>
      <c r="VZE168" s="3"/>
      <c r="VZF168" s="3"/>
      <c r="VZG168" s="3"/>
      <c r="VZH168" s="3"/>
      <c r="VZI168" s="3"/>
      <c r="VZJ168" s="3"/>
      <c r="VZK168" s="3"/>
      <c r="VZL168" s="3"/>
      <c r="VZM168" s="3"/>
      <c r="VZN168" s="3"/>
      <c r="VZO168" s="3"/>
      <c r="VZP168" s="3"/>
      <c r="VZQ168" s="3"/>
      <c r="VZR168" s="3"/>
      <c r="VZS168" s="3"/>
      <c r="VZT168" s="3"/>
      <c r="VZU168" s="3"/>
      <c r="VZV168" s="3"/>
      <c r="VZW168" s="3"/>
      <c r="VZX168" s="3"/>
      <c r="VZY168" s="3"/>
      <c r="VZZ168" s="3"/>
      <c r="WAA168" s="3"/>
      <c r="WAB168" s="3"/>
      <c r="WAC168" s="3"/>
      <c r="WAD168" s="3"/>
      <c r="WAE168" s="3"/>
      <c r="WAF168" s="3"/>
      <c r="WAG168" s="3"/>
      <c r="WAH168" s="3"/>
      <c r="WAI168" s="3"/>
      <c r="WAJ168" s="3"/>
      <c r="WAK168" s="3"/>
      <c r="WAL168" s="3"/>
      <c r="WAM168" s="3"/>
      <c r="WAN168" s="3"/>
      <c r="WAO168" s="3"/>
      <c r="WAP168" s="3"/>
      <c r="WAQ168" s="3"/>
      <c r="WAR168" s="3"/>
      <c r="WAS168" s="3"/>
      <c r="WAT168" s="3"/>
      <c r="WAU168" s="3"/>
      <c r="WAV168" s="3"/>
      <c r="WAW168" s="3"/>
      <c r="WAX168" s="3"/>
      <c r="WAY168" s="3"/>
      <c r="WAZ168" s="3"/>
      <c r="WBA168" s="3"/>
      <c r="WBB168" s="3"/>
      <c r="WBC168" s="3"/>
      <c r="WBD168" s="3"/>
      <c r="WBE168" s="3"/>
      <c r="WBF168" s="3"/>
      <c r="WBG168" s="3"/>
      <c r="WBH168" s="3"/>
      <c r="WBI168" s="3"/>
      <c r="WBJ168" s="3"/>
      <c r="WBK168" s="3"/>
      <c r="WBL168" s="3"/>
      <c r="WBM168" s="3"/>
      <c r="WBN168" s="3"/>
      <c r="WBO168" s="3"/>
      <c r="WBP168" s="3"/>
      <c r="WBQ168" s="3"/>
      <c r="WBR168" s="3"/>
      <c r="WBS168" s="3"/>
      <c r="WBT168" s="3"/>
      <c r="WBU168" s="3"/>
      <c r="WBV168" s="3"/>
      <c r="WBW168" s="3"/>
      <c r="WBX168" s="3"/>
      <c r="WBY168" s="3"/>
      <c r="WBZ168" s="3"/>
      <c r="WCA168" s="3"/>
      <c r="WCB168" s="3"/>
      <c r="WCC168" s="3"/>
      <c r="WCD168" s="3"/>
      <c r="WCE168" s="3"/>
      <c r="WCF168" s="3"/>
      <c r="WCG168" s="3"/>
      <c r="WCH168" s="3"/>
      <c r="WCI168" s="3"/>
      <c r="WCJ168" s="3"/>
      <c r="WCK168" s="3"/>
      <c r="WCL168" s="3"/>
      <c r="WCM168" s="3"/>
      <c r="WCN168" s="3"/>
      <c r="WCO168" s="3"/>
      <c r="WCP168" s="3"/>
      <c r="WCQ168" s="3"/>
      <c r="WCR168" s="3"/>
      <c r="WCS168" s="3"/>
      <c r="WCT168" s="3"/>
      <c r="WCU168" s="3"/>
      <c r="WCV168" s="3"/>
      <c r="WCW168" s="3"/>
      <c r="WCX168" s="3"/>
      <c r="WCY168" s="3"/>
      <c r="WCZ168" s="3"/>
      <c r="WDA168" s="3"/>
      <c r="WDB168" s="3"/>
      <c r="WDC168" s="3"/>
      <c r="WDD168" s="3"/>
      <c r="WDE168" s="3"/>
      <c r="WDF168" s="3"/>
      <c r="WDG168" s="3"/>
      <c r="WDH168" s="3"/>
      <c r="WDI168" s="3"/>
      <c r="WDJ168" s="3"/>
      <c r="WDK168" s="3"/>
      <c r="WDL168" s="3"/>
      <c r="WDM168" s="3"/>
      <c r="WDN168" s="3"/>
      <c r="WDO168" s="3"/>
      <c r="WDP168" s="3"/>
      <c r="WDQ168" s="3"/>
      <c r="WDR168" s="3"/>
      <c r="WDS168" s="3"/>
      <c r="WDT168" s="3"/>
      <c r="WDU168" s="3"/>
      <c r="WDV168" s="3"/>
      <c r="WDW168" s="3"/>
      <c r="WDX168" s="3"/>
      <c r="WDY168" s="3"/>
      <c r="WDZ168" s="3"/>
      <c r="WEA168" s="3"/>
      <c r="WEB168" s="3"/>
      <c r="WEC168" s="3"/>
      <c r="WED168" s="3"/>
      <c r="WEE168" s="3"/>
      <c r="WEF168" s="3"/>
      <c r="WEG168" s="3"/>
      <c r="WEH168" s="3"/>
      <c r="WEI168" s="3"/>
      <c r="WEJ168" s="3"/>
      <c r="WEK168" s="3"/>
      <c r="WEL168" s="3"/>
      <c r="WEM168" s="3"/>
      <c r="WEN168" s="3"/>
      <c r="WEO168" s="3"/>
      <c r="WEP168" s="3"/>
      <c r="WEQ168" s="3"/>
      <c r="WER168" s="3"/>
      <c r="WES168" s="3"/>
      <c r="WET168" s="3"/>
      <c r="WEU168" s="3"/>
      <c r="WEV168" s="3"/>
      <c r="WEW168" s="3"/>
      <c r="WEX168" s="3"/>
      <c r="WEY168" s="3"/>
      <c r="WEZ168" s="3"/>
      <c r="WFA168" s="3"/>
      <c r="WFB168" s="3"/>
      <c r="WFC168" s="3"/>
      <c r="WFD168" s="3"/>
      <c r="WFE168" s="3"/>
      <c r="WFF168" s="3"/>
      <c r="WFG168" s="3"/>
      <c r="WFH168" s="3"/>
      <c r="WFI168" s="3"/>
      <c r="WFJ168" s="3"/>
      <c r="WFK168" s="3"/>
      <c r="WFL168" s="3"/>
      <c r="WFM168" s="3"/>
      <c r="WFN168" s="3"/>
      <c r="WFO168" s="3"/>
      <c r="WFP168" s="3"/>
      <c r="WFQ168" s="3"/>
      <c r="WFR168" s="3"/>
      <c r="WFS168" s="3"/>
      <c r="WFT168" s="3"/>
      <c r="WFU168" s="3"/>
      <c r="WFV168" s="3"/>
      <c r="WFW168" s="3"/>
      <c r="WFX168" s="3"/>
      <c r="WFY168" s="3"/>
      <c r="WFZ168" s="3"/>
      <c r="WGA168" s="3"/>
      <c r="WGB168" s="3"/>
      <c r="WGC168" s="3"/>
      <c r="WGD168" s="3"/>
      <c r="WGE168" s="3"/>
      <c r="WGF168" s="3"/>
      <c r="WGG168" s="3"/>
      <c r="WGH168" s="3"/>
      <c r="WGI168" s="3"/>
      <c r="WGJ168" s="3"/>
      <c r="WGK168" s="3"/>
      <c r="WGL168" s="3"/>
      <c r="WGM168" s="3"/>
      <c r="WGN168" s="3"/>
      <c r="WGO168" s="3"/>
      <c r="WGP168" s="3"/>
      <c r="WGQ168" s="3"/>
      <c r="WGR168" s="3"/>
      <c r="WGS168" s="3"/>
      <c r="WGT168" s="3"/>
      <c r="WGU168" s="3"/>
      <c r="WGV168" s="3"/>
      <c r="WGW168" s="3"/>
      <c r="WGX168" s="3"/>
      <c r="WGY168" s="3"/>
      <c r="WGZ168" s="3"/>
      <c r="WHA168" s="3"/>
      <c r="WHB168" s="3"/>
      <c r="WHC168" s="3"/>
      <c r="WHD168" s="3"/>
      <c r="WHE168" s="3"/>
      <c r="WHF168" s="3"/>
      <c r="WHG168" s="3"/>
      <c r="WHH168" s="3"/>
      <c r="WHI168" s="3"/>
      <c r="WHJ168" s="3"/>
      <c r="WHK168" s="3"/>
      <c r="WHL168" s="3"/>
      <c r="WHM168" s="3"/>
      <c r="WHN168" s="3"/>
      <c r="WHO168" s="3"/>
      <c r="WHP168" s="3"/>
      <c r="WHQ168" s="3"/>
      <c r="WHR168" s="3"/>
      <c r="WHS168" s="3"/>
      <c r="WHT168" s="3"/>
      <c r="WHU168" s="3"/>
      <c r="WHV168" s="3"/>
      <c r="WHW168" s="3"/>
      <c r="WHX168" s="3"/>
      <c r="WHY168" s="3"/>
      <c r="WHZ168" s="3"/>
      <c r="WIA168" s="3"/>
      <c r="WIB168" s="3"/>
      <c r="WIC168" s="3"/>
      <c r="WID168" s="3"/>
      <c r="WIE168" s="3"/>
      <c r="WIF168" s="3"/>
      <c r="WIG168" s="3"/>
      <c r="WIH168" s="3"/>
      <c r="WII168" s="3"/>
      <c r="WIJ168" s="3"/>
      <c r="WIK168" s="3"/>
      <c r="WIL168" s="3"/>
      <c r="WIM168" s="3"/>
      <c r="WIN168" s="3"/>
      <c r="WIO168" s="3"/>
      <c r="WIP168" s="3"/>
      <c r="WIQ168" s="3"/>
      <c r="WIR168" s="3"/>
      <c r="WIS168" s="3"/>
      <c r="WIT168" s="3"/>
      <c r="WIU168" s="3"/>
      <c r="WIV168" s="3"/>
      <c r="WIW168" s="3"/>
      <c r="WIX168" s="3"/>
      <c r="WIY168" s="3"/>
      <c r="WIZ168" s="3"/>
      <c r="WJA168" s="3"/>
      <c r="WJB168" s="3"/>
      <c r="WJC168" s="3"/>
      <c r="WJD168" s="3"/>
      <c r="WJE168" s="3"/>
      <c r="WJF168" s="3"/>
      <c r="WJG168" s="3"/>
      <c r="WJH168" s="3"/>
      <c r="WJI168" s="3"/>
      <c r="WJJ168" s="3"/>
      <c r="WJK168" s="3"/>
      <c r="WJL168" s="3"/>
      <c r="WJM168" s="3"/>
      <c r="WJN168" s="3"/>
      <c r="WJO168" s="3"/>
      <c r="WJP168" s="3"/>
      <c r="WJQ168" s="3"/>
      <c r="WJR168" s="3"/>
      <c r="WJS168" s="3"/>
      <c r="WJT168" s="3"/>
      <c r="WJU168" s="3"/>
      <c r="WJV168" s="3"/>
      <c r="WJW168" s="3"/>
      <c r="WJX168" s="3"/>
      <c r="WJY168" s="3"/>
      <c r="WJZ168" s="3"/>
      <c r="WKA168" s="3"/>
      <c r="WKB168" s="3"/>
      <c r="WKC168" s="3"/>
      <c r="WKD168" s="3"/>
      <c r="WKE168" s="3"/>
      <c r="WKF168" s="3"/>
      <c r="WKG168" s="3"/>
      <c r="WKH168" s="3"/>
      <c r="WKI168" s="3"/>
      <c r="WKJ168" s="3"/>
      <c r="WKK168" s="3"/>
      <c r="WKL168" s="3"/>
      <c r="WKM168" s="3"/>
      <c r="WKN168" s="3"/>
      <c r="WKO168" s="3"/>
      <c r="WKP168" s="3"/>
      <c r="WKQ168" s="3"/>
      <c r="WKR168" s="3"/>
      <c r="WKS168" s="3"/>
      <c r="WKT168" s="3"/>
      <c r="WKU168" s="3"/>
      <c r="WKV168" s="3"/>
      <c r="WKW168" s="3"/>
      <c r="WKX168" s="3"/>
      <c r="WKY168" s="3"/>
      <c r="WKZ168" s="3"/>
      <c r="WLA168" s="3"/>
      <c r="WLB168" s="3"/>
      <c r="WLC168" s="3"/>
      <c r="WLD168" s="3"/>
      <c r="WLE168" s="3"/>
      <c r="WLF168" s="3"/>
      <c r="WLG168" s="3"/>
      <c r="WLH168" s="3"/>
      <c r="WLI168" s="3"/>
      <c r="WLJ168" s="3"/>
      <c r="WLK168" s="3"/>
      <c r="WLL168" s="3"/>
      <c r="WLM168" s="3"/>
      <c r="WLN168" s="3"/>
      <c r="WLO168" s="3"/>
      <c r="WLP168" s="3"/>
      <c r="WLQ168" s="3"/>
      <c r="WLR168" s="3"/>
      <c r="WLS168" s="3"/>
      <c r="WLT168" s="3"/>
      <c r="WLU168" s="3"/>
      <c r="WLV168" s="3"/>
      <c r="WLW168" s="3"/>
      <c r="WLX168" s="3"/>
      <c r="WLY168" s="3"/>
      <c r="WLZ168" s="3"/>
      <c r="WMA168" s="3"/>
      <c r="WMB168" s="3"/>
      <c r="WMC168" s="3"/>
      <c r="WMD168" s="3"/>
      <c r="WME168" s="3"/>
      <c r="WMF168" s="3"/>
      <c r="WMG168" s="3"/>
      <c r="WMH168" s="3"/>
      <c r="WMI168" s="3"/>
      <c r="WMJ168" s="3"/>
      <c r="WMK168" s="3"/>
      <c r="WML168" s="3"/>
      <c r="WMM168" s="3"/>
      <c r="WMN168" s="3"/>
      <c r="WMO168" s="3"/>
      <c r="WMP168" s="3"/>
      <c r="WMQ168" s="3"/>
      <c r="WMR168" s="3"/>
      <c r="WMS168" s="3"/>
      <c r="WMT168" s="3"/>
      <c r="WMU168" s="3"/>
      <c r="WMV168" s="3"/>
      <c r="WMW168" s="3"/>
      <c r="WMX168" s="3"/>
      <c r="WMY168" s="3"/>
      <c r="WMZ168" s="3"/>
      <c r="WNA168" s="3"/>
      <c r="WNB168" s="3"/>
      <c r="WNC168" s="3"/>
      <c r="WND168" s="3"/>
      <c r="WNE168" s="3"/>
      <c r="WNF168" s="3"/>
      <c r="WNG168" s="3"/>
      <c r="WNH168" s="3"/>
      <c r="WNI168" s="3"/>
      <c r="WNJ168" s="3"/>
      <c r="WNK168" s="3"/>
      <c r="WNL168" s="3"/>
      <c r="WNM168" s="3"/>
      <c r="WNN168" s="3"/>
      <c r="WNO168" s="3"/>
      <c r="WNP168" s="3"/>
      <c r="WNQ168" s="3"/>
      <c r="WNR168" s="3"/>
      <c r="WNS168" s="3"/>
      <c r="WNT168" s="3"/>
      <c r="WNU168" s="3"/>
      <c r="WNV168" s="3"/>
      <c r="WNW168" s="3"/>
      <c r="WNX168" s="3"/>
      <c r="WNY168" s="3"/>
      <c r="WNZ168" s="3"/>
      <c r="WOA168" s="3"/>
      <c r="WOB168" s="3"/>
      <c r="WOC168" s="3"/>
      <c r="WOD168" s="3"/>
      <c r="WOE168" s="3"/>
      <c r="WOF168" s="3"/>
      <c r="WOG168" s="3"/>
      <c r="WOH168" s="3"/>
      <c r="WOI168" s="3"/>
      <c r="WOJ168" s="3"/>
      <c r="WOK168" s="3"/>
      <c r="WOL168" s="3"/>
      <c r="WOM168" s="3"/>
      <c r="WON168" s="3"/>
      <c r="WOO168" s="3"/>
      <c r="WOP168" s="3"/>
      <c r="WOQ168" s="3"/>
      <c r="WOR168" s="3"/>
      <c r="WOS168" s="3"/>
      <c r="WOT168" s="3"/>
      <c r="WOU168" s="3"/>
      <c r="WOV168" s="3"/>
      <c r="WOW168" s="3"/>
      <c r="WOX168" s="3"/>
      <c r="WOY168" s="3"/>
      <c r="WOZ168" s="3"/>
      <c r="WPA168" s="3"/>
      <c r="WPB168" s="3"/>
      <c r="WPC168" s="3"/>
      <c r="WPD168" s="3"/>
      <c r="WPE168" s="3"/>
      <c r="WPF168" s="3"/>
      <c r="WPG168" s="3"/>
      <c r="WPH168" s="3"/>
      <c r="WPI168" s="3"/>
      <c r="WPJ168" s="3"/>
      <c r="WPK168" s="3"/>
      <c r="WPL168" s="3"/>
      <c r="WPM168" s="3"/>
      <c r="WPN168" s="3"/>
      <c r="WPO168" s="3"/>
      <c r="WPP168" s="3"/>
      <c r="WPQ168" s="3"/>
      <c r="WPR168" s="3"/>
      <c r="WPS168" s="3"/>
      <c r="WPT168" s="3"/>
      <c r="WPU168" s="3"/>
      <c r="WPV168" s="3"/>
      <c r="WPW168" s="3"/>
      <c r="WPX168" s="3"/>
      <c r="WPY168" s="3"/>
      <c r="WPZ168" s="3"/>
      <c r="WQA168" s="3"/>
      <c r="WQB168" s="3"/>
      <c r="WQC168" s="3"/>
      <c r="WQD168" s="3"/>
      <c r="WQE168" s="3"/>
      <c r="WQF168" s="3"/>
      <c r="WQG168" s="3"/>
      <c r="WQH168" s="3"/>
      <c r="WQI168" s="3"/>
      <c r="WQJ168" s="3"/>
      <c r="WQK168" s="3"/>
      <c r="WQL168" s="3"/>
      <c r="WQM168" s="3"/>
      <c r="WQN168" s="3"/>
      <c r="WQO168" s="3"/>
      <c r="WQP168" s="3"/>
      <c r="WQQ168" s="3"/>
      <c r="WQR168" s="3"/>
      <c r="WQS168" s="3"/>
      <c r="WQT168" s="3"/>
      <c r="WQU168" s="3"/>
      <c r="WQV168" s="3"/>
      <c r="WQW168" s="3"/>
      <c r="WQX168" s="3"/>
      <c r="WQY168" s="3"/>
      <c r="WQZ168" s="3"/>
      <c r="WRA168" s="3"/>
      <c r="WRB168" s="3"/>
      <c r="WRC168" s="3"/>
      <c r="WRD168" s="3"/>
      <c r="WRE168" s="3"/>
      <c r="WRF168" s="3"/>
      <c r="WRG168" s="3"/>
      <c r="WRH168" s="3"/>
      <c r="WRI168" s="3"/>
      <c r="WRJ168" s="3"/>
      <c r="WRK168" s="3"/>
      <c r="WRL168" s="3"/>
      <c r="WRM168" s="3"/>
      <c r="WRN168" s="3"/>
      <c r="WRO168" s="3"/>
      <c r="WRP168" s="3"/>
      <c r="WRQ168" s="3"/>
      <c r="WRR168" s="3"/>
      <c r="WRS168" s="3"/>
      <c r="WRT168" s="3"/>
      <c r="WRU168" s="3"/>
      <c r="WRV168" s="3"/>
      <c r="WRW168" s="3"/>
      <c r="WRX168" s="3"/>
      <c r="WRY168" s="3"/>
      <c r="WRZ168" s="3"/>
      <c r="WSA168" s="3"/>
      <c r="WSB168" s="3"/>
      <c r="WSC168" s="3"/>
      <c r="WSD168" s="3"/>
      <c r="WSE168" s="3"/>
      <c r="WSF168" s="3"/>
      <c r="WSG168" s="3"/>
      <c r="WSH168" s="3"/>
      <c r="WSI168" s="3"/>
      <c r="WSJ168" s="3"/>
      <c r="WSK168" s="3"/>
      <c r="WSL168" s="3"/>
      <c r="WSM168" s="3"/>
      <c r="WSN168" s="3"/>
      <c r="WSO168" s="3"/>
      <c r="WSP168" s="3"/>
      <c r="WSQ168" s="3"/>
      <c r="WSR168" s="3"/>
      <c r="WSS168" s="3"/>
      <c r="WST168" s="3"/>
      <c r="WSU168" s="3"/>
      <c r="WSV168" s="3"/>
      <c r="WSW168" s="3"/>
      <c r="WSX168" s="3"/>
      <c r="WSY168" s="3"/>
      <c r="WSZ168" s="3"/>
      <c r="WTA168" s="3"/>
      <c r="WTB168" s="3"/>
      <c r="WTC168" s="3"/>
      <c r="WTD168" s="3"/>
      <c r="WTE168" s="3"/>
      <c r="WTF168" s="3"/>
      <c r="WTG168" s="3"/>
      <c r="WTH168" s="3"/>
      <c r="WTI168" s="3"/>
      <c r="WTJ168" s="3"/>
      <c r="WTK168" s="3"/>
      <c r="WTL168" s="3"/>
      <c r="WTM168" s="3"/>
      <c r="WTN168" s="3"/>
      <c r="WTO168" s="3"/>
      <c r="WTP168" s="3"/>
      <c r="WTQ168" s="3"/>
      <c r="WTR168" s="3"/>
      <c r="WTS168" s="3"/>
      <c r="WTT168" s="3"/>
      <c r="WTU168" s="3"/>
      <c r="WTV168" s="3"/>
      <c r="WTW168" s="3"/>
      <c r="WTX168" s="3"/>
      <c r="WTY168" s="3"/>
      <c r="WTZ168" s="3"/>
      <c r="WUA168" s="3"/>
      <c r="WUB168" s="3"/>
      <c r="WUC168" s="3"/>
      <c r="WUD168" s="3"/>
      <c r="WUE168" s="3"/>
      <c r="WUF168" s="3"/>
      <c r="WUG168" s="3"/>
      <c r="WUH168" s="3"/>
      <c r="WUI168" s="3"/>
      <c r="WUJ168" s="3"/>
      <c r="WUK168" s="3"/>
      <c r="WUL168" s="3"/>
      <c r="WUM168" s="3"/>
      <c r="WUN168" s="3"/>
      <c r="WUO168" s="3"/>
      <c r="WUP168" s="3"/>
      <c r="WUQ168" s="3"/>
      <c r="WUR168" s="3"/>
      <c r="WUS168" s="3"/>
      <c r="WUT168" s="3"/>
      <c r="WUU168" s="3"/>
      <c r="WUV168" s="3"/>
      <c r="WUW168" s="3"/>
      <c r="WUX168" s="3"/>
      <c r="WUY168" s="3"/>
      <c r="WUZ168" s="3"/>
      <c r="WVA168" s="3"/>
      <c r="WVB168" s="3"/>
      <c r="WVC168" s="3"/>
      <c r="WVD168" s="3"/>
      <c r="WVE168" s="3"/>
      <c r="WVF168" s="3"/>
      <c r="WVG168" s="3"/>
      <c r="WVH168" s="3"/>
      <c r="WVI168" s="3"/>
      <c r="WVJ168" s="3"/>
      <c r="WVK168" s="3"/>
      <c r="WVL168" s="3"/>
      <c r="WVM168" s="3"/>
      <c r="WVN168" s="3"/>
      <c r="WVO168" s="3"/>
      <c r="WVP168" s="3"/>
      <c r="WVQ168" s="3"/>
      <c r="WVR168" s="3"/>
      <c r="WVS168" s="3"/>
      <c r="WVT168" s="3"/>
      <c r="WVU168" s="3"/>
      <c r="WVV168" s="3"/>
      <c r="WVW168" s="3"/>
      <c r="WVX168" s="3"/>
      <c r="WVY168" s="3"/>
      <c r="WVZ168" s="3"/>
      <c r="WWA168" s="3"/>
      <c r="WWB168" s="3"/>
      <c r="WWC168" s="3"/>
      <c r="WWD168" s="3"/>
      <c r="WWE168" s="3"/>
      <c r="WWF168" s="3"/>
      <c r="WWG168" s="3"/>
      <c r="WWH168" s="3"/>
      <c r="WWI168" s="3"/>
      <c r="WWJ168" s="3"/>
      <c r="WWK168" s="3"/>
      <c r="WWL168" s="3"/>
      <c r="WWM168" s="3"/>
      <c r="WWN168" s="3"/>
      <c r="WWO168" s="3"/>
      <c r="WWP168" s="3"/>
      <c r="WWQ168" s="3"/>
      <c r="WWR168" s="3"/>
      <c r="WWS168" s="3"/>
      <c r="WWT168" s="3"/>
      <c r="WWU168" s="3"/>
      <c r="WWV168" s="3"/>
      <c r="WWW168" s="3"/>
      <c r="WWX168" s="3"/>
      <c r="WWY168" s="3"/>
      <c r="WWZ168" s="3"/>
      <c r="WXA168" s="3"/>
      <c r="WXB168" s="3"/>
      <c r="WXC168" s="3"/>
      <c r="WXD168" s="3"/>
      <c r="WXE168" s="3"/>
      <c r="WXF168" s="3"/>
      <c r="WXG168" s="3"/>
      <c r="WXH168" s="3"/>
      <c r="WXI168" s="3"/>
      <c r="WXJ168" s="3"/>
      <c r="WXK168" s="3"/>
      <c r="WXL168" s="3"/>
      <c r="WXM168" s="3"/>
      <c r="WXN168" s="3"/>
      <c r="WXO168" s="3"/>
      <c r="WXP168" s="3"/>
      <c r="WXQ168" s="3"/>
      <c r="WXR168" s="3"/>
      <c r="WXS168" s="3"/>
      <c r="WXT168" s="3"/>
      <c r="WXU168" s="3"/>
      <c r="WXV168" s="3"/>
      <c r="WXW168" s="3"/>
      <c r="WXX168" s="3"/>
      <c r="WXY168" s="3"/>
      <c r="WXZ168" s="3"/>
      <c r="WYA168" s="3"/>
      <c r="WYB168" s="3"/>
      <c r="WYC168" s="3"/>
      <c r="WYD168" s="3"/>
      <c r="WYE168" s="3"/>
      <c r="WYF168" s="3"/>
      <c r="WYG168" s="3"/>
      <c r="WYH168" s="3"/>
      <c r="WYI168" s="3"/>
      <c r="WYJ168" s="3"/>
      <c r="WYK168" s="3"/>
      <c r="WYL168" s="3"/>
      <c r="WYM168" s="3"/>
      <c r="WYN168" s="3"/>
      <c r="WYO168" s="3"/>
      <c r="WYP168" s="3"/>
      <c r="WYQ168" s="3"/>
      <c r="WYR168" s="3"/>
      <c r="WYS168" s="3"/>
      <c r="WYT168" s="3"/>
      <c r="WYU168" s="3"/>
      <c r="WYV168" s="3"/>
      <c r="WYW168" s="3"/>
      <c r="WYX168" s="3"/>
      <c r="WYY168" s="3"/>
      <c r="WYZ168" s="3"/>
      <c r="WZA168" s="3"/>
      <c r="WZB168" s="3"/>
      <c r="WZC168" s="3"/>
      <c r="WZD168" s="3"/>
      <c r="WZE168" s="3"/>
      <c r="WZF168" s="3"/>
      <c r="WZG168" s="3"/>
      <c r="WZH168" s="3"/>
      <c r="WZI168" s="3"/>
      <c r="WZJ168" s="3"/>
      <c r="WZK168" s="3"/>
      <c r="WZL168" s="3"/>
      <c r="WZM168" s="3"/>
      <c r="WZN168" s="3"/>
      <c r="WZO168" s="3"/>
      <c r="WZP168" s="3"/>
      <c r="WZQ168" s="3"/>
      <c r="WZR168" s="3"/>
      <c r="WZS168" s="3"/>
      <c r="WZT168" s="3"/>
      <c r="WZU168" s="3"/>
      <c r="WZV168" s="3"/>
      <c r="WZW168" s="3"/>
      <c r="WZX168" s="3"/>
      <c r="WZY168" s="3"/>
      <c r="WZZ168" s="3"/>
      <c r="XAA168" s="3"/>
      <c r="XAB168" s="3"/>
      <c r="XAC168" s="3"/>
      <c r="XAD168" s="3"/>
      <c r="XAE168" s="3"/>
      <c r="XAF168" s="3"/>
      <c r="XAG168" s="3"/>
      <c r="XAH168" s="3"/>
      <c r="XAI168" s="3"/>
      <c r="XAJ168" s="3"/>
      <c r="XAK168" s="3"/>
      <c r="XAL168" s="3"/>
      <c r="XAM168" s="3"/>
      <c r="XAN168" s="3"/>
      <c r="XAO168" s="3"/>
      <c r="XAP168" s="3"/>
      <c r="XAQ168" s="3"/>
      <c r="XAR168" s="3"/>
      <c r="XAS168" s="3"/>
      <c r="XAT168" s="3"/>
      <c r="XAU168" s="3"/>
      <c r="XAV168" s="3"/>
      <c r="XAW168" s="3"/>
      <c r="XAX168" s="3"/>
      <c r="XAY168" s="3"/>
      <c r="XAZ168" s="3"/>
      <c r="XBA168" s="3"/>
      <c r="XBB168" s="3"/>
      <c r="XBC168" s="3"/>
      <c r="XBD168" s="3"/>
      <c r="XBE168" s="3"/>
      <c r="XBF168" s="3"/>
      <c r="XBG168" s="3"/>
      <c r="XBH168" s="3"/>
      <c r="XBI168" s="3"/>
      <c r="XBJ168" s="3"/>
      <c r="XBK168" s="3"/>
      <c r="XBL168" s="3"/>
      <c r="XBM168" s="3"/>
      <c r="XBN168" s="3"/>
      <c r="XBO168" s="3"/>
      <c r="XBP168" s="3"/>
      <c r="XBQ168" s="3"/>
      <c r="XBR168" s="3"/>
      <c r="XBS168" s="3"/>
      <c r="XBT168" s="3"/>
      <c r="XBU168" s="3"/>
      <c r="XBV168" s="3"/>
      <c r="XBW168" s="3"/>
      <c r="XBX168" s="3"/>
      <c r="XBY168" s="3"/>
      <c r="XBZ168" s="3"/>
      <c r="XCA168" s="3"/>
      <c r="XCB168" s="3"/>
      <c r="XCC168" s="3"/>
      <c r="XCD168" s="3"/>
      <c r="XCE168" s="3"/>
      <c r="XCF168" s="3"/>
      <c r="XCG168" s="3"/>
      <c r="XCH168" s="3"/>
      <c r="XCI168" s="3"/>
      <c r="XCJ168" s="3"/>
      <c r="XCK168" s="3"/>
      <c r="XCL168" s="3"/>
      <c r="XCM168" s="3"/>
      <c r="XCN168" s="3"/>
      <c r="XCO168" s="3"/>
      <c r="XCP168" s="3"/>
      <c r="XCQ168" s="3"/>
      <c r="XCR168" s="3"/>
      <c r="XCS168" s="3"/>
      <c r="XCT168" s="3"/>
      <c r="XCU168" s="3"/>
      <c r="XCV168" s="3"/>
      <c r="XCW168" s="3"/>
      <c r="XCX168" s="3"/>
      <c r="XCY168" s="3"/>
      <c r="XCZ168" s="3"/>
      <c r="XDA168" s="3"/>
      <c r="XDB168" s="3"/>
      <c r="XDC168" s="3"/>
      <c r="XDD168" s="3"/>
      <c r="XDE168" s="3"/>
      <c r="XDF168" s="3"/>
      <c r="XDG168" s="3"/>
      <c r="XDH168" s="3"/>
      <c r="XDI168" s="3"/>
      <c r="XDJ168" s="3"/>
      <c r="XDK168" s="3"/>
      <c r="XDL168" s="3"/>
      <c r="XDM168" s="3"/>
      <c r="XDN168" s="3"/>
      <c r="XDO168" s="3"/>
      <c r="XDP168" s="3"/>
      <c r="XDQ168" s="3"/>
      <c r="XDR168" s="3"/>
      <c r="XDS168" s="3"/>
      <c r="XDT168" s="3"/>
      <c r="XDU168" s="3"/>
      <c r="XDV168" s="3"/>
      <c r="XDW168" s="3"/>
      <c r="XDX168" s="3"/>
      <c r="XDY168" s="3"/>
      <c r="XDZ168" s="3"/>
      <c r="XEA168" s="3"/>
      <c r="XEB168" s="3"/>
      <c r="XEC168" s="3"/>
      <c r="XED168" s="3"/>
      <c r="XEE168" s="3"/>
      <c r="XEF168" s="3"/>
      <c r="XEG168" s="3"/>
      <c r="XEH168" s="3"/>
      <c r="XEI168" s="3"/>
      <c r="XEJ168" s="3"/>
      <c r="XEK168" s="3"/>
      <c r="XEL168" s="3"/>
      <c r="XEM168" s="3"/>
      <c r="XEN168" s="3"/>
      <c r="XEO168" s="3"/>
      <c r="XEP168" s="3"/>
      <c r="XEQ168" s="3"/>
      <c r="XER168" s="3"/>
      <c r="XES168" s="3"/>
      <c r="XET168" s="3"/>
      <c r="XEU168" s="3"/>
      <c r="XEV168" s="3"/>
    </row>
    <row r="169" spans="1:16376">
      <c r="A169" s="8">
        <v>5330</v>
      </c>
      <c r="B169" t="s">
        <v>174</v>
      </c>
      <c r="C169" s="19">
        <v>28685690.579999998</v>
      </c>
      <c r="D169" s="20">
        <v>57224685.399999999</v>
      </c>
      <c r="E169" s="18">
        <v>9496821.6699999999</v>
      </c>
      <c r="F169" s="23">
        <v>50161353.159999996</v>
      </c>
      <c r="G169" t="s">
        <v>307</v>
      </c>
      <c r="H169" t="s">
        <v>309</v>
      </c>
      <c r="K169" t="str">
        <f>"M S D Lawrence Township           "</f>
        <v xml:space="preserve">M S D Lawrence Township           </v>
      </c>
      <c r="L169" t="str">
        <f>"5330"</f>
        <v>5330</v>
      </c>
      <c r="M169">
        <v>94</v>
      </c>
      <c r="N169">
        <v>16138</v>
      </c>
      <c r="O169">
        <f t="shared" si="2"/>
        <v>16044</v>
      </c>
    </row>
    <row r="170" spans="1:16376">
      <c r="A170" s="9">
        <v>5340</v>
      </c>
      <c r="B170" s="3" t="s">
        <v>175</v>
      </c>
      <c r="C170" s="19">
        <v>20227524.77</v>
      </c>
      <c r="D170" s="20">
        <v>57503371.5</v>
      </c>
      <c r="E170" s="18">
        <v>11936956.020000001</v>
      </c>
      <c r="F170" s="23">
        <v>27280276.07</v>
      </c>
      <c r="G170" t="s">
        <v>307</v>
      </c>
      <c r="H170" t="s">
        <v>309</v>
      </c>
      <c r="K170" t="str">
        <f>"M S D Perry Township              "</f>
        <v xml:space="preserve">M S D Perry Township              </v>
      </c>
      <c r="L170" t="str">
        <f>"5340"</f>
        <v>5340</v>
      </c>
      <c r="M170">
        <v>69</v>
      </c>
      <c r="N170">
        <v>14204</v>
      </c>
      <c r="O170">
        <f t="shared" si="2"/>
        <v>14135</v>
      </c>
    </row>
    <row r="171" spans="1:16376">
      <c r="A171" s="8">
        <v>5350</v>
      </c>
      <c r="B171" t="s">
        <v>176</v>
      </c>
      <c r="C171" s="19">
        <v>29773633.109999999</v>
      </c>
      <c r="D171" s="20">
        <v>22391065</v>
      </c>
      <c r="E171" s="18">
        <v>7016494.1400000006</v>
      </c>
      <c r="F171" s="23">
        <v>18243829.849999998</v>
      </c>
      <c r="G171" t="s">
        <v>307</v>
      </c>
      <c r="H171" t="s">
        <v>309</v>
      </c>
      <c r="K171" t="str">
        <f>"M S D Pike Township               "</f>
        <v xml:space="preserve">M S D Pike Township               </v>
      </c>
      <c r="L171" t="str">
        <f>"5350"</f>
        <v>5350</v>
      </c>
      <c r="M171">
        <v>78</v>
      </c>
      <c r="N171">
        <v>10662</v>
      </c>
      <c r="O171">
        <f t="shared" si="2"/>
        <v>10584</v>
      </c>
    </row>
    <row r="172" spans="1:16376">
      <c r="A172" s="8">
        <v>5360</v>
      </c>
      <c r="B172" t="s">
        <v>177</v>
      </c>
      <c r="C172" s="19">
        <v>20826992.57</v>
      </c>
      <c r="D172" s="20">
        <v>53469826.299999997</v>
      </c>
      <c r="E172" s="18">
        <v>7682062.6500000004</v>
      </c>
      <c r="F172" s="23">
        <v>554567.64</v>
      </c>
      <c r="G172" t="s">
        <v>307</v>
      </c>
      <c r="H172" t="s">
        <v>309</v>
      </c>
      <c r="K172" t="str">
        <f>"M S D Warren Township             "</f>
        <v xml:space="preserve">M S D Warren Township             </v>
      </c>
      <c r="L172" t="str">
        <f>"5360"</f>
        <v>5360</v>
      </c>
      <c r="M172">
        <v>315</v>
      </c>
      <c r="N172">
        <v>12483</v>
      </c>
      <c r="O172">
        <f t="shared" si="2"/>
        <v>12168</v>
      </c>
    </row>
    <row r="173" spans="1:16376">
      <c r="A173" s="8">
        <v>5370</v>
      </c>
      <c r="B173" t="s">
        <v>178</v>
      </c>
      <c r="C173" s="19">
        <v>35660744.799999997</v>
      </c>
      <c r="D173" s="20">
        <v>15646905.9</v>
      </c>
      <c r="E173" s="18">
        <v>9582469.4399999995</v>
      </c>
      <c r="F173" s="23">
        <v>5407336.8799999999</v>
      </c>
      <c r="G173" t="s">
        <v>307</v>
      </c>
      <c r="H173" t="s">
        <v>309</v>
      </c>
      <c r="K173" t="str">
        <f>"M S D Washington Township         "</f>
        <v xml:space="preserve">M S D Washington Township         </v>
      </c>
      <c r="L173" t="str">
        <f>"5370"</f>
        <v>5370</v>
      </c>
      <c r="M173">
        <v>158</v>
      </c>
      <c r="N173">
        <v>10433</v>
      </c>
      <c r="O173">
        <f t="shared" si="2"/>
        <v>10275</v>
      </c>
    </row>
    <row r="174" spans="1:16376">
      <c r="A174" s="8">
        <v>5375</v>
      </c>
      <c r="B174" t="s">
        <v>179</v>
      </c>
      <c r="C174" s="19">
        <v>19763130.969999999</v>
      </c>
      <c r="D174" s="20">
        <v>66207702.5</v>
      </c>
      <c r="E174" s="18">
        <v>22169262.899999999</v>
      </c>
      <c r="F174" s="23">
        <v>20390494.119999997</v>
      </c>
      <c r="G174" t="s">
        <v>307</v>
      </c>
      <c r="H174" t="s">
        <v>309</v>
      </c>
      <c r="K174" t="str">
        <f>"M S D Wayne Township              "</f>
        <v xml:space="preserve">M S D Wayne Township              </v>
      </c>
      <c r="L174" t="str">
        <f>"5375"</f>
        <v>5375</v>
      </c>
      <c r="M174">
        <v>204</v>
      </c>
      <c r="N174">
        <v>14713</v>
      </c>
      <c r="O174">
        <f t="shared" si="2"/>
        <v>14509</v>
      </c>
    </row>
    <row r="175" spans="1:16376">
      <c r="A175" s="8">
        <v>5380</v>
      </c>
      <c r="B175" t="s">
        <v>180</v>
      </c>
      <c r="C175" s="19">
        <v>2981480.96</v>
      </c>
      <c r="D175" s="20">
        <v>10578060.960000001</v>
      </c>
      <c r="E175" s="18">
        <v>591961.74</v>
      </c>
      <c r="F175" s="23">
        <v>11029.710000000001</v>
      </c>
      <c r="G175" t="s">
        <v>307</v>
      </c>
      <c r="H175" t="s">
        <v>309</v>
      </c>
      <c r="K175" t="str">
        <f>"Beech Grove City Schools          "</f>
        <v xml:space="preserve">Beech Grove City Schools          </v>
      </c>
      <c r="L175" t="str">
        <f>"5380"</f>
        <v>5380</v>
      </c>
      <c r="M175">
        <v>37</v>
      </c>
      <c r="N175">
        <v>2354</v>
      </c>
      <c r="O175">
        <f t="shared" si="2"/>
        <v>2317</v>
      </c>
    </row>
    <row r="176" spans="1:16376">
      <c r="A176" s="9">
        <v>5385</v>
      </c>
      <c r="B176" s="3" t="s">
        <v>181</v>
      </c>
      <c r="C176" s="19">
        <v>54690046.600000001</v>
      </c>
      <c r="D176" s="20">
        <v>221165751</v>
      </c>
      <c r="E176" s="18">
        <v>65919999.5</v>
      </c>
      <c r="F176" s="23">
        <v>71292517.120000005</v>
      </c>
      <c r="G176" t="s">
        <v>307</v>
      </c>
      <c r="H176" s="3" t="s">
        <v>308</v>
      </c>
      <c r="I176" s="3">
        <v>37057</v>
      </c>
      <c r="K176" t="str">
        <f>"Indianapolis Public Schools       "</f>
        <v xml:space="preserve">Indianapolis Public Schools       </v>
      </c>
      <c r="L176" t="str">
        <f>"5385"</f>
        <v>5385</v>
      </c>
      <c r="M176">
        <v>243</v>
      </c>
      <c r="N176">
        <v>37057</v>
      </c>
      <c r="O176">
        <f t="shared" si="2"/>
        <v>36814</v>
      </c>
    </row>
    <row r="177" spans="1:16376">
      <c r="A177" s="8">
        <v>5400</v>
      </c>
      <c r="B177" t="s">
        <v>182</v>
      </c>
      <c r="C177" s="19">
        <v>4643905.09</v>
      </c>
      <c r="D177" s="20">
        <v>4484107.33</v>
      </c>
      <c r="E177" s="18">
        <v>626584.83000000007</v>
      </c>
      <c r="F177" s="23">
        <v>81449.510000000009</v>
      </c>
      <c r="G177" t="s">
        <v>307</v>
      </c>
      <c r="H177" t="s">
        <v>309</v>
      </c>
      <c r="J177" s="3"/>
      <c r="K177" t="str">
        <f>"School Town of Speedway           "</f>
        <v xml:space="preserve">School Town of Speedway           </v>
      </c>
      <c r="L177" t="str">
        <f>"5400"</f>
        <v>5400</v>
      </c>
      <c r="M177">
        <v>0</v>
      </c>
      <c r="N177">
        <v>1627</v>
      </c>
      <c r="O177">
        <f t="shared" si="2"/>
        <v>1627</v>
      </c>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c r="SG177" s="3"/>
      <c r="SH177" s="3"/>
      <c r="SI177" s="3"/>
      <c r="SJ177" s="3"/>
      <c r="SK177" s="3"/>
      <c r="SL177" s="3"/>
      <c r="SM177" s="3"/>
      <c r="SN177" s="3"/>
      <c r="SO177" s="3"/>
      <c r="SP177" s="3"/>
      <c r="SQ177" s="3"/>
      <c r="SR177" s="3"/>
      <c r="SS177" s="3"/>
      <c r="ST177" s="3"/>
      <c r="SU177" s="3"/>
      <c r="SV177" s="3"/>
      <c r="SW177" s="3"/>
      <c r="SX177" s="3"/>
      <c r="SY177" s="3"/>
      <c r="SZ177" s="3"/>
      <c r="TA177" s="3"/>
      <c r="TB177" s="3"/>
      <c r="TC177" s="3"/>
      <c r="TD177" s="3"/>
      <c r="TE177" s="3"/>
      <c r="TF177" s="3"/>
      <c r="TG177" s="3"/>
      <c r="TH177" s="3"/>
      <c r="TI177" s="3"/>
      <c r="TJ177" s="3"/>
      <c r="TK177" s="3"/>
      <c r="TL177" s="3"/>
      <c r="TM177" s="3"/>
      <c r="TN177" s="3"/>
      <c r="TO177" s="3"/>
      <c r="TP177" s="3"/>
      <c r="TQ177" s="3"/>
      <c r="TR177" s="3"/>
      <c r="TS177" s="3"/>
      <c r="TT177" s="3"/>
      <c r="TU177" s="3"/>
      <c r="TV177" s="3"/>
      <c r="TW177" s="3"/>
      <c r="TX177" s="3"/>
      <c r="TY177" s="3"/>
      <c r="TZ177" s="3"/>
      <c r="UA177" s="3"/>
      <c r="UB177" s="3"/>
      <c r="UC177" s="3"/>
      <c r="UD177" s="3"/>
      <c r="UE177" s="3"/>
      <c r="UF177" s="3"/>
      <c r="UG177" s="3"/>
      <c r="UH177" s="3"/>
      <c r="UI177" s="3"/>
      <c r="UJ177" s="3"/>
      <c r="UK177" s="3"/>
      <c r="UL177" s="3"/>
      <c r="UM177" s="3"/>
      <c r="UN177" s="3"/>
      <c r="UO177" s="3"/>
      <c r="UP177" s="3"/>
      <c r="UQ177" s="3"/>
      <c r="UR177" s="3"/>
      <c r="US177" s="3"/>
      <c r="UT177" s="3"/>
      <c r="UU177" s="3"/>
      <c r="UV177" s="3"/>
      <c r="UW177" s="3"/>
      <c r="UX177" s="3"/>
      <c r="UY177" s="3"/>
      <c r="UZ177" s="3"/>
      <c r="VA177" s="3"/>
      <c r="VB177" s="3"/>
      <c r="VC177" s="3"/>
      <c r="VD177" s="3"/>
      <c r="VE177" s="3"/>
      <c r="VF177" s="3"/>
      <c r="VG177" s="3"/>
      <c r="VH177" s="3"/>
      <c r="VI177" s="3"/>
      <c r="VJ177" s="3"/>
      <c r="VK177" s="3"/>
      <c r="VL177" s="3"/>
      <c r="VM177" s="3"/>
      <c r="VN177" s="3"/>
      <c r="VO177" s="3"/>
      <c r="VP177" s="3"/>
      <c r="VQ177" s="3"/>
      <c r="VR177" s="3"/>
      <c r="VS177" s="3"/>
      <c r="VT177" s="3"/>
      <c r="VU177" s="3"/>
      <c r="VV177" s="3"/>
      <c r="VW177" s="3"/>
      <c r="VX177" s="3"/>
      <c r="VY177" s="3"/>
      <c r="VZ177" s="3"/>
      <c r="WA177" s="3"/>
      <c r="WB177" s="3"/>
      <c r="WC177" s="3"/>
      <c r="WD177" s="3"/>
      <c r="WE177" s="3"/>
      <c r="WF177" s="3"/>
      <c r="WG177" s="3"/>
      <c r="WH177" s="3"/>
      <c r="WI177" s="3"/>
      <c r="WJ177" s="3"/>
      <c r="WK177" s="3"/>
      <c r="WL177" s="3"/>
      <c r="WM177" s="3"/>
      <c r="WN177" s="3"/>
      <c r="WO177" s="3"/>
      <c r="WP177" s="3"/>
      <c r="WQ177" s="3"/>
      <c r="WR177" s="3"/>
      <c r="WS177" s="3"/>
      <c r="WT177" s="3"/>
      <c r="WU177" s="3"/>
      <c r="WV177" s="3"/>
      <c r="WW177" s="3"/>
      <c r="WX177" s="3"/>
      <c r="WY177" s="3"/>
      <c r="WZ177" s="3"/>
      <c r="XA177" s="3"/>
      <c r="XB177" s="3"/>
      <c r="XC177" s="3"/>
      <c r="XD177" s="3"/>
      <c r="XE177" s="3"/>
      <c r="XF177" s="3"/>
      <c r="XG177" s="3"/>
      <c r="XH177" s="3"/>
      <c r="XI177" s="3"/>
      <c r="XJ177" s="3"/>
      <c r="XK177" s="3"/>
      <c r="XL177" s="3"/>
      <c r="XM177" s="3"/>
      <c r="XN177" s="3"/>
      <c r="XO177" s="3"/>
      <c r="XP177" s="3"/>
      <c r="XQ177" s="3"/>
      <c r="XR177" s="3"/>
      <c r="XS177" s="3"/>
      <c r="XT177" s="3"/>
      <c r="XU177" s="3"/>
      <c r="XV177" s="3"/>
      <c r="XW177" s="3"/>
      <c r="XX177" s="3"/>
      <c r="XY177" s="3"/>
      <c r="XZ177" s="3"/>
      <c r="YA177" s="3"/>
      <c r="YB177" s="3"/>
      <c r="YC177" s="3"/>
      <c r="YD177" s="3"/>
      <c r="YE177" s="3"/>
      <c r="YF177" s="3"/>
      <c r="YG177" s="3"/>
      <c r="YH177" s="3"/>
      <c r="YI177" s="3"/>
      <c r="YJ177" s="3"/>
      <c r="YK177" s="3"/>
      <c r="YL177" s="3"/>
      <c r="YM177" s="3"/>
      <c r="YN177" s="3"/>
      <c r="YO177" s="3"/>
      <c r="YP177" s="3"/>
      <c r="YQ177" s="3"/>
      <c r="YR177" s="3"/>
      <c r="YS177" s="3"/>
      <c r="YT177" s="3"/>
      <c r="YU177" s="3"/>
      <c r="YV177" s="3"/>
      <c r="YW177" s="3"/>
      <c r="YX177" s="3"/>
      <c r="YY177" s="3"/>
      <c r="YZ177" s="3"/>
      <c r="ZA177" s="3"/>
      <c r="ZB177" s="3"/>
      <c r="ZC177" s="3"/>
      <c r="ZD177" s="3"/>
      <c r="ZE177" s="3"/>
      <c r="ZF177" s="3"/>
      <c r="ZG177" s="3"/>
      <c r="ZH177" s="3"/>
      <c r="ZI177" s="3"/>
      <c r="ZJ177" s="3"/>
      <c r="ZK177" s="3"/>
      <c r="ZL177" s="3"/>
      <c r="ZM177" s="3"/>
      <c r="ZN177" s="3"/>
      <c r="ZO177" s="3"/>
      <c r="ZP177" s="3"/>
      <c r="ZQ177" s="3"/>
      <c r="ZR177" s="3"/>
      <c r="ZS177" s="3"/>
      <c r="ZT177" s="3"/>
      <c r="ZU177" s="3"/>
      <c r="ZV177" s="3"/>
      <c r="ZW177" s="3"/>
      <c r="ZX177" s="3"/>
      <c r="ZY177" s="3"/>
      <c r="ZZ177" s="3"/>
      <c r="AAA177" s="3"/>
      <c r="AAB177" s="3"/>
      <c r="AAC177" s="3"/>
      <c r="AAD177" s="3"/>
      <c r="AAE177" s="3"/>
      <c r="AAF177" s="3"/>
      <c r="AAG177" s="3"/>
      <c r="AAH177" s="3"/>
      <c r="AAI177" s="3"/>
      <c r="AAJ177" s="3"/>
      <c r="AAK177" s="3"/>
      <c r="AAL177" s="3"/>
      <c r="AAM177" s="3"/>
      <c r="AAN177" s="3"/>
      <c r="AAO177" s="3"/>
      <c r="AAP177" s="3"/>
      <c r="AAQ177" s="3"/>
      <c r="AAR177" s="3"/>
      <c r="AAS177" s="3"/>
      <c r="AAT177" s="3"/>
      <c r="AAU177" s="3"/>
      <c r="AAV177" s="3"/>
      <c r="AAW177" s="3"/>
      <c r="AAX177" s="3"/>
      <c r="AAY177" s="3"/>
      <c r="AAZ177" s="3"/>
      <c r="ABA177" s="3"/>
      <c r="ABB177" s="3"/>
      <c r="ABC177" s="3"/>
      <c r="ABD177" s="3"/>
      <c r="ABE177" s="3"/>
      <c r="ABF177" s="3"/>
      <c r="ABG177" s="3"/>
      <c r="ABH177" s="3"/>
      <c r="ABI177" s="3"/>
      <c r="ABJ177" s="3"/>
      <c r="ABK177" s="3"/>
      <c r="ABL177" s="3"/>
      <c r="ABM177" s="3"/>
      <c r="ABN177" s="3"/>
      <c r="ABO177" s="3"/>
      <c r="ABP177" s="3"/>
      <c r="ABQ177" s="3"/>
      <c r="ABR177" s="3"/>
      <c r="ABS177" s="3"/>
      <c r="ABT177" s="3"/>
      <c r="ABU177" s="3"/>
      <c r="ABV177" s="3"/>
      <c r="ABW177" s="3"/>
      <c r="ABX177" s="3"/>
      <c r="ABY177" s="3"/>
      <c r="ABZ177" s="3"/>
      <c r="ACA177" s="3"/>
      <c r="ACB177" s="3"/>
      <c r="ACC177" s="3"/>
      <c r="ACD177" s="3"/>
      <c r="ACE177" s="3"/>
      <c r="ACF177" s="3"/>
      <c r="ACG177" s="3"/>
      <c r="ACH177" s="3"/>
      <c r="ACI177" s="3"/>
      <c r="ACJ177" s="3"/>
      <c r="ACK177" s="3"/>
      <c r="ACL177" s="3"/>
      <c r="ACM177" s="3"/>
      <c r="ACN177" s="3"/>
      <c r="ACO177" s="3"/>
      <c r="ACP177" s="3"/>
      <c r="ACQ177" s="3"/>
      <c r="ACR177" s="3"/>
      <c r="ACS177" s="3"/>
      <c r="ACT177" s="3"/>
      <c r="ACU177" s="3"/>
      <c r="ACV177" s="3"/>
      <c r="ACW177" s="3"/>
      <c r="ACX177" s="3"/>
      <c r="ACY177" s="3"/>
      <c r="ACZ177" s="3"/>
      <c r="ADA177" s="3"/>
      <c r="ADB177" s="3"/>
      <c r="ADC177" s="3"/>
      <c r="ADD177" s="3"/>
      <c r="ADE177" s="3"/>
      <c r="ADF177" s="3"/>
      <c r="ADG177" s="3"/>
      <c r="ADH177" s="3"/>
      <c r="ADI177" s="3"/>
      <c r="ADJ177" s="3"/>
      <c r="ADK177" s="3"/>
      <c r="ADL177" s="3"/>
      <c r="ADM177" s="3"/>
      <c r="ADN177" s="3"/>
      <c r="ADO177" s="3"/>
      <c r="ADP177" s="3"/>
      <c r="ADQ177" s="3"/>
      <c r="ADR177" s="3"/>
      <c r="ADS177" s="3"/>
      <c r="ADT177" s="3"/>
      <c r="ADU177" s="3"/>
      <c r="ADV177" s="3"/>
      <c r="ADW177" s="3"/>
      <c r="ADX177" s="3"/>
      <c r="ADY177" s="3"/>
      <c r="ADZ177" s="3"/>
      <c r="AEA177" s="3"/>
      <c r="AEB177" s="3"/>
      <c r="AEC177" s="3"/>
      <c r="AED177" s="3"/>
      <c r="AEE177" s="3"/>
      <c r="AEF177" s="3"/>
      <c r="AEG177" s="3"/>
      <c r="AEH177" s="3"/>
      <c r="AEI177" s="3"/>
      <c r="AEJ177" s="3"/>
      <c r="AEK177" s="3"/>
      <c r="AEL177" s="3"/>
      <c r="AEM177" s="3"/>
      <c r="AEN177" s="3"/>
      <c r="AEO177" s="3"/>
      <c r="AEP177" s="3"/>
      <c r="AEQ177" s="3"/>
      <c r="AER177" s="3"/>
      <c r="AES177" s="3"/>
      <c r="AET177" s="3"/>
      <c r="AEU177" s="3"/>
      <c r="AEV177" s="3"/>
      <c r="AEW177" s="3"/>
      <c r="AEX177" s="3"/>
      <c r="AEY177" s="3"/>
      <c r="AEZ177" s="3"/>
      <c r="AFA177" s="3"/>
      <c r="AFB177" s="3"/>
      <c r="AFC177" s="3"/>
      <c r="AFD177" s="3"/>
      <c r="AFE177" s="3"/>
      <c r="AFF177" s="3"/>
      <c r="AFG177" s="3"/>
      <c r="AFH177" s="3"/>
      <c r="AFI177" s="3"/>
      <c r="AFJ177" s="3"/>
      <c r="AFK177" s="3"/>
      <c r="AFL177" s="3"/>
      <c r="AFM177" s="3"/>
      <c r="AFN177" s="3"/>
      <c r="AFO177" s="3"/>
      <c r="AFP177" s="3"/>
      <c r="AFQ177" s="3"/>
      <c r="AFR177" s="3"/>
      <c r="AFS177" s="3"/>
      <c r="AFT177" s="3"/>
      <c r="AFU177" s="3"/>
      <c r="AFV177" s="3"/>
      <c r="AFW177" s="3"/>
      <c r="AFX177" s="3"/>
      <c r="AFY177" s="3"/>
      <c r="AFZ177" s="3"/>
      <c r="AGA177" s="3"/>
      <c r="AGB177" s="3"/>
      <c r="AGC177" s="3"/>
      <c r="AGD177" s="3"/>
      <c r="AGE177" s="3"/>
      <c r="AGF177" s="3"/>
      <c r="AGG177" s="3"/>
      <c r="AGH177" s="3"/>
      <c r="AGI177" s="3"/>
      <c r="AGJ177" s="3"/>
      <c r="AGK177" s="3"/>
      <c r="AGL177" s="3"/>
      <c r="AGM177" s="3"/>
      <c r="AGN177" s="3"/>
      <c r="AGO177" s="3"/>
      <c r="AGP177" s="3"/>
      <c r="AGQ177" s="3"/>
      <c r="AGR177" s="3"/>
      <c r="AGS177" s="3"/>
      <c r="AGT177" s="3"/>
      <c r="AGU177" s="3"/>
      <c r="AGV177" s="3"/>
      <c r="AGW177" s="3"/>
      <c r="AGX177" s="3"/>
      <c r="AGY177" s="3"/>
      <c r="AGZ177" s="3"/>
      <c r="AHA177" s="3"/>
      <c r="AHB177" s="3"/>
      <c r="AHC177" s="3"/>
      <c r="AHD177" s="3"/>
      <c r="AHE177" s="3"/>
      <c r="AHF177" s="3"/>
      <c r="AHG177" s="3"/>
      <c r="AHH177" s="3"/>
      <c r="AHI177" s="3"/>
      <c r="AHJ177" s="3"/>
      <c r="AHK177" s="3"/>
      <c r="AHL177" s="3"/>
      <c r="AHM177" s="3"/>
      <c r="AHN177" s="3"/>
      <c r="AHO177" s="3"/>
      <c r="AHP177" s="3"/>
      <c r="AHQ177" s="3"/>
      <c r="AHR177" s="3"/>
      <c r="AHS177" s="3"/>
      <c r="AHT177" s="3"/>
      <c r="AHU177" s="3"/>
      <c r="AHV177" s="3"/>
      <c r="AHW177" s="3"/>
      <c r="AHX177" s="3"/>
      <c r="AHY177" s="3"/>
      <c r="AHZ177" s="3"/>
      <c r="AIA177" s="3"/>
      <c r="AIB177" s="3"/>
      <c r="AIC177" s="3"/>
      <c r="AID177" s="3"/>
      <c r="AIE177" s="3"/>
      <c r="AIF177" s="3"/>
      <c r="AIG177" s="3"/>
      <c r="AIH177" s="3"/>
      <c r="AII177" s="3"/>
      <c r="AIJ177" s="3"/>
      <c r="AIK177" s="3"/>
      <c r="AIL177" s="3"/>
      <c r="AIM177" s="3"/>
      <c r="AIN177" s="3"/>
      <c r="AIO177" s="3"/>
      <c r="AIP177" s="3"/>
      <c r="AIQ177" s="3"/>
      <c r="AIR177" s="3"/>
      <c r="AIS177" s="3"/>
      <c r="AIT177" s="3"/>
      <c r="AIU177" s="3"/>
      <c r="AIV177" s="3"/>
      <c r="AIW177" s="3"/>
      <c r="AIX177" s="3"/>
      <c r="AIY177" s="3"/>
      <c r="AIZ177" s="3"/>
      <c r="AJA177" s="3"/>
      <c r="AJB177" s="3"/>
      <c r="AJC177" s="3"/>
      <c r="AJD177" s="3"/>
      <c r="AJE177" s="3"/>
      <c r="AJF177" s="3"/>
      <c r="AJG177" s="3"/>
      <c r="AJH177" s="3"/>
      <c r="AJI177" s="3"/>
      <c r="AJJ177" s="3"/>
      <c r="AJK177" s="3"/>
      <c r="AJL177" s="3"/>
      <c r="AJM177" s="3"/>
      <c r="AJN177" s="3"/>
      <c r="AJO177" s="3"/>
      <c r="AJP177" s="3"/>
      <c r="AJQ177" s="3"/>
      <c r="AJR177" s="3"/>
      <c r="AJS177" s="3"/>
      <c r="AJT177" s="3"/>
      <c r="AJU177" s="3"/>
      <c r="AJV177" s="3"/>
      <c r="AJW177" s="3"/>
      <c r="AJX177" s="3"/>
      <c r="AJY177" s="3"/>
      <c r="AJZ177" s="3"/>
      <c r="AKA177" s="3"/>
      <c r="AKB177" s="3"/>
      <c r="AKC177" s="3"/>
      <c r="AKD177" s="3"/>
      <c r="AKE177" s="3"/>
      <c r="AKF177" s="3"/>
      <c r="AKG177" s="3"/>
      <c r="AKH177" s="3"/>
      <c r="AKI177" s="3"/>
      <c r="AKJ177" s="3"/>
      <c r="AKK177" s="3"/>
      <c r="AKL177" s="3"/>
      <c r="AKM177" s="3"/>
      <c r="AKN177" s="3"/>
      <c r="AKO177" s="3"/>
      <c r="AKP177" s="3"/>
      <c r="AKQ177" s="3"/>
      <c r="AKR177" s="3"/>
      <c r="AKS177" s="3"/>
      <c r="AKT177" s="3"/>
      <c r="AKU177" s="3"/>
      <c r="AKV177" s="3"/>
      <c r="AKW177" s="3"/>
      <c r="AKX177" s="3"/>
      <c r="AKY177" s="3"/>
      <c r="AKZ177" s="3"/>
      <c r="ALA177" s="3"/>
      <c r="ALB177" s="3"/>
      <c r="ALC177" s="3"/>
      <c r="ALD177" s="3"/>
      <c r="ALE177" s="3"/>
      <c r="ALF177" s="3"/>
      <c r="ALG177" s="3"/>
      <c r="ALH177" s="3"/>
      <c r="ALI177" s="3"/>
      <c r="ALJ177" s="3"/>
      <c r="ALK177" s="3"/>
      <c r="ALL177" s="3"/>
      <c r="ALM177" s="3"/>
      <c r="ALN177" s="3"/>
      <c r="ALO177" s="3"/>
      <c r="ALP177" s="3"/>
      <c r="ALQ177" s="3"/>
      <c r="ALR177" s="3"/>
      <c r="ALS177" s="3"/>
      <c r="ALT177" s="3"/>
      <c r="ALU177" s="3"/>
      <c r="ALV177" s="3"/>
      <c r="ALW177" s="3"/>
      <c r="ALX177" s="3"/>
      <c r="ALY177" s="3"/>
      <c r="ALZ177" s="3"/>
      <c r="AMA177" s="3"/>
      <c r="AMB177" s="3"/>
      <c r="AMC177" s="3"/>
      <c r="AMD177" s="3"/>
      <c r="AME177" s="3"/>
      <c r="AMF177" s="3"/>
      <c r="AMG177" s="3"/>
      <c r="AMH177" s="3"/>
      <c r="AMI177" s="3"/>
      <c r="AMJ177" s="3"/>
      <c r="AMK177" s="3"/>
      <c r="AML177" s="3"/>
      <c r="AMM177" s="3"/>
      <c r="AMN177" s="3"/>
      <c r="AMO177" s="3"/>
      <c r="AMP177" s="3"/>
      <c r="AMQ177" s="3"/>
      <c r="AMR177" s="3"/>
      <c r="AMS177" s="3"/>
      <c r="AMT177" s="3"/>
      <c r="AMU177" s="3"/>
      <c r="AMV177" s="3"/>
      <c r="AMW177" s="3"/>
      <c r="AMX177" s="3"/>
      <c r="AMY177" s="3"/>
      <c r="AMZ177" s="3"/>
      <c r="ANA177" s="3"/>
      <c r="ANB177" s="3"/>
      <c r="ANC177" s="3"/>
      <c r="AND177" s="3"/>
      <c r="ANE177" s="3"/>
      <c r="ANF177" s="3"/>
      <c r="ANG177" s="3"/>
      <c r="ANH177" s="3"/>
      <c r="ANI177" s="3"/>
      <c r="ANJ177" s="3"/>
      <c r="ANK177" s="3"/>
      <c r="ANL177" s="3"/>
      <c r="ANM177" s="3"/>
      <c r="ANN177" s="3"/>
      <c r="ANO177" s="3"/>
      <c r="ANP177" s="3"/>
      <c r="ANQ177" s="3"/>
      <c r="ANR177" s="3"/>
      <c r="ANS177" s="3"/>
      <c r="ANT177" s="3"/>
      <c r="ANU177" s="3"/>
      <c r="ANV177" s="3"/>
      <c r="ANW177" s="3"/>
      <c r="ANX177" s="3"/>
      <c r="ANY177" s="3"/>
      <c r="ANZ177" s="3"/>
      <c r="AOA177" s="3"/>
      <c r="AOB177" s="3"/>
      <c r="AOC177" s="3"/>
      <c r="AOD177" s="3"/>
      <c r="AOE177" s="3"/>
      <c r="AOF177" s="3"/>
      <c r="AOG177" s="3"/>
      <c r="AOH177" s="3"/>
      <c r="AOI177" s="3"/>
      <c r="AOJ177" s="3"/>
      <c r="AOK177" s="3"/>
      <c r="AOL177" s="3"/>
      <c r="AOM177" s="3"/>
      <c r="AON177" s="3"/>
      <c r="AOO177" s="3"/>
      <c r="AOP177" s="3"/>
      <c r="AOQ177" s="3"/>
      <c r="AOR177" s="3"/>
      <c r="AOS177" s="3"/>
      <c r="AOT177" s="3"/>
      <c r="AOU177" s="3"/>
      <c r="AOV177" s="3"/>
      <c r="AOW177" s="3"/>
      <c r="AOX177" s="3"/>
      <c r="AOY177" s="3"/>
      <c r="AOZ177" s="3"/>
      <c r="APA177" s="3"/>
      <c r="APB177" s="3"/>
      <c r="APC177" s="3"/>
      <c r="APD177" s="3"/>
      <c r="APE177" s="3"/>
      <c r="APF177" s="3"/>
      <c r="APG177" s="3"/>
      <c r="APH177" s="3"/>
      <c r="API177" s="3"/>
      <c r="APJ177" s="3"/>
      <c r="APK177" s="3"/>
      <c r="APL177" s="3"/>
      <c r="APM177" s="3"/>
      <c r="APN177" s="3"/>
      <c r="APO177" s="3"/>
      <c r="APP177" s="3"/>
      <c r="APQ177" s="3"/>
      <c r="APR177" s="3"/>
      <c r="APS177" s="3"/>
      <c r="APT177" s="3"/>
      <c r="APU177" s="3"/>
      <c r="APV177" s="3"/>
      <c r="APW177" s="3"/>
      <c r="APX177" s="3"/>
      <c r="APY177" s="3"/>
      <c r="APZ177" s="3"/>
      <c r="AQA177" s="3"/>
      <c r="AQB177" s="3"/>
      <c r="AQC177" s="3"/>
      <c r="AQD177" s="3"/>
      <c r="AQE177" s="3"/>
      <c r="AQF177" s="3"/>
      <c r="AQG177" s="3"/>
      <c r="AQH177" s="3"/>
      <c r="AQI177" s="3"/>
      <c r="AQJ177" s="3"/>
      <c r="AQK177" s="3"/>
      <c r="AQL177" s="3"/>
      <c r="AQM177" s="3"/>
      <c r="AQN177" s="3"/>
      <c r="AQO177" s="3"/>
      <c r="AQP177" s="3"/>
      <c r="AQQ177" s="3"/>
      <c r="AQR177" s="3"/>
      <c r="AQS177" s="3"/>
      <c r="AQT177" s="3"/>
      <c r="AQU177" s="3"/>
      <c r="AQV177" s="3"/>
      <c r="AQW177" s="3"/>
      <c r="AQX177" s="3"/>
      <c r="AQY177" s="3"/>
      <c r="AQZ177" s="3"/>
      <c r="ARA177" s="3"/>
      <c r="ARB177" s="3"/>
      <c r="ARC177" s="3"/>
      <c r="ARD177" s="3"/>
      <c r="ARE177" s="3"/>
      <c r="ARF177" s="3"/>
      <c r="ARG177" s="3"/>
      <c r="ARH177" s="3"/>
      <c r="ARI177" s="3"/>
      <c r="ARJ177" s="3"/>
      <c r="ARK177" s="3"/>
      <c r="ARL177" s="3"/>
      <c r="ARM177" s="3"/>
      <c r="ARN177" s="3"/>
      <c r="ARO177" s="3"/>
      <c r="ARP177" s="3"/>
      <c r="ARQ177" s="3"/>
      <c r="ARR177" s="3"/>
      <c r="ARS177" s="3"/>
      <c r="ART177" s="3"/>
      <c r="ARU177" s="3"/>
      <c r="ARV177" s="3"/>
      <c r="ARW177" s="3"/>
      <c r="ARX177" s="3"/>
      <c r="ARY177" s="3"/>
      <c r="ARZ177" s="3"/>
      <c r="ASA177" s="3"/>
      <c r="ASB177" s="3"/>
      <c r="ASC177" s="3"/>
      <c r="ASD177" s="3"/>
      <c r="ASE177" s="3"/>
      <c r="ASF177" s="3"/>
      <c r="ASG177" s="3"/>
      <c r="ASH177" s="3"/>
      <c r="ASI177" s="3"/>
      <c r="ASJ177" s="3"/>
      <c r="ASK177" s="3"/>
      <c r="ASL177" s="3"/>
      <c r="ASM177" s="3"/>
      <c r="ASN177" s="3"/>
      <c r="ASO177" s="3"/>
      <c r="ASP177" s="3"/>
      <c r="ASQ177" s="3"/>
      <c r="ASR177" s="3"/>
      <c r="ASS177" s="3"/>
      <c r="AST177" s="3"/>
      <c r="ASU177" s="3"/>
      <c r="ASV177" s="3"/>
      <c r="ASW177" s="3"/>
      <c r="ASX177" s="3"/>
      <c r="ASY177" s="3"/>
      <c r="ASZ177" s="3"/>
      <c r="ATA177" s="3"/>
      <c r="ATB177" s="3"/>
      <c r="ATC177" s="3"/>
      <c r="ATD177" s="3"/>
      <c r="ATE177" s="3"/>
      <c r="ATF177" s="3"/>
      <c r="ATG177" s="3"/>
      <c r="ATH177" s="3"/>
      <c r="ATI177" s="3"/>
      <c r="ATJ177" s="3"/>
      <c r="ATK177" s="3"/>
      <c r="ATL177" s="3"/>
      <c r="ATM177" s="3"/>
      <c r="ATN177" s="3"/>
      <c r="ATO177" s="3"/>
      <c r="ATP177" s="3"/>
      <c r="ATQ177" s="3"/>
      <c r="ATR177" s="3"/>
      <c r="ATS177" s="3"/>
      <c r="ATT177" s="3"/>
      <c r="ATU177" s="3"/>
      <c r="ATV177" s="3"/>
      <c r="ATW177" s="3"/>
      <c r="ATX177" s="3"/>
      <c r="ATY177" s="3"/>
      <c r="ATZ177" s="3"/>
      <c r="AUA177" s="3"/>
      <c r="AUB177" s="3"/>
      <c r="AUC177" s="3"/>
      <c r="AUD177" s="3"/>
      <c r="AUE177" s="3"/>
      <c r="AUF177" s="3"/>
      <c r="AUG177" s="3"/>
      <c r="AUH177" s="3"/>
      <c r="AUI177" s="3"/>
      <c r="AUJ177" s="3"/>
      <c r="AUK177" s="3"/>
      <c r="AUL177" s="3"/>
      <c r="AUM177" s="3"/>
      <c r="AUN177" s="3"/>
      <c r="AUO177" s="3"/>
      <c r="AUP177" s="3"/>
      <c r="AUQ177" s="3"/>
      <c r="AUR177" s="3"/>
      <c r="AUS177" s="3"/>
      <c r="AUT177" s="3"/>
      <c r="AUU177" s="3"/>
      <c r="AUV177" s="3"/>
      <c r="AUW177" s="3"/>
      <c r="AUX177" s="3"/>
      <c r="AUY177" s="3"/>
      <c r="AUZ177" s="3"/>
      <c r="AVA177" s="3"/>
      <c r="AVB177" s="3"/>
      <c r="AVC177" s="3"/>
      <c r="AVD177" s="3"/>
      <c r="AVE177" s="3"/>
      <c r="AVF177" s="3"/>
      <c r="AVG177" s="3"/>
      <c r="AVH177" s="3"/>
      <c r="AVI177" s="3"/>
      <c r="AVJ177" s="3"/>
      <c r="AVK177" s="3"/>
      <c r="AVL177" s="3"/>
      <c r="AVM177" s="3"/>
      <c r="AVN177" s="3"/>
      <c r="AVO177" s="3"/>
      <c r="AVP177" s="3"/>
      <c r="AVQ177" s="3"/>
      <c r="AVR177" s="3"/>
      <c r="AVS177" s="3"/>
      <c r="AVT177" s="3"/>
      <c r="AVU177" s="3"/>
      <c r="AVV177" s="3"/>
      <c r="AVW177" s="3"/>
      <c r="AVX177" s="3"/>
      <c r="AVY177" s="3"/>
      <c r="AVZ177" s="3"/>
      <c r="AWA177" s="3"/>
      <c r="AWB177" s="3"/>
      <c r="AWC177" s="3"/>
      <c r="AWD177" s="3"/>
      <c r="AWE177" s="3"/>
      <c r="AWF177" s="3"/>
      <c r="AWG177" s="3"/>
      <c r="AWH177" s="3"/>
      <c r="AWI177" s="3"/>
      <c r="AWJ177" s="3"/>
      <c r="AWK177" s="3"/>
      <c r="AWL177" s="3"/>
      <c r="AWM177" s="3"/>
      <c r="AWN177" s="3"/>
      <c r="AWO177" s="3"/>
      <c r="AWP177" s="3"/>
      <c r="AWQ177" s="3"/>
      <c r="AWR177" s="3"/>
      <c r="AWS177" s="3"/>
      <c r="AWT177" s="3"/>
      <c r="AWU177" s="3"/>
      <c r="AWV177" s="3"/>
      <c r="AWW177" s="3"/>
      <c r="AWX177" s="3"/>
      <c r="AWY177" s="3"/>
      <c r="AWZ177" s="3"/>
      <c r="AXA177" s="3"/>
      <c r="AXB177" s="3"/>
      <c r="AXC177" s="3"/>
      <c r="AXD177" s="3"/>
      <c r="AXE177" s="3"/>
      <c r="AXF177" s="3"/>
      <c r="AXG177" s="3"/>
      <c r="AXH177" s="3"/>
      <c r="AXI177" s="3"/>
      <c r="AXJ177" s="3"/>
      <c r="AXK177" s="3"/>
      <c r="AXL177" s="3"/>
      <c r="AXM177" s="3"/>
      <c r="AXN177" s="3"/>
      <c r="AXO177" s="3"/>
      <c r="AXP177" s="3"/>
      <c r="AXQ177" s="3"/>
      <c r="AXR177" s="3"/>
      <c r="AXS177" s="3"/>
      <c r="AXT177" s="3"/>
      <c r="AXU177" s="3"/>
      <c r="AXV177" s="3"/>
      <c r="AXW177" s="3"/>
      <c r="AXX177" s="3"/>
      <c r="AXY177" s="3"/>
      <c r="AXZ177" s="3"/>
      <c r="AYA177" s="3"/>
      <c r="AYB177" s="3"/>
      <c r="AYC177" s="3"/>
      <c r="AYD177" s="3"/>
      <c r="AYE177" s="3"/>
      <c r="AYF177" s="3"/>
      <c r="AYG177" s="3"/>
      <c r="AYH177" s="3"/>
      <c r="AYI177" s="3"/>
      <c r="AYJ177" s="3"/>
      <c r="AYK177" s="3"/>
      <c r="AYL177" s="3"/>
      <c r="AYM177" s="3"/>
      <c r="AYN177" s="3"/>
      <c r="AYO177" s="3"/>
      <c r="AYP177" s="3"/>
      <c r="AYQ177" s="3"/>
      <c r="AYR177" s="3"/>
      <c r="AYS177" s="3"/>
      <c r="AYT177" s="3"/>
      <c r="AYU177" s="3"/>
      <c r="AYV177" s="3"/>
      <c r="AYW177" s="3"/>
      <c r="AYX177" s="3"/>
      <c r="AYY177" s="3"/>
      <c r="AYZ177" s="3"/>
      <c r="AZA177" s="3"/>
      <c r="AZB177" s="3"/>
      <c r="AZC177" s="3"/>
      <c r="AZD177" s="3"/>
      <c r="AZE177" s="3"/>
      <c r="AZF177" s="3"/>
      <c r="AZG177" s="3"/>
      <c r="AZH177" s="3"/>
      <c r="AZI177" s="3"/>
      <c r="AZJ177" s="3"/>
      <c r="AZK177" s="3"/>
      <c r="AZL177" s="3"/>
      <c r="AZM177" s="3"/>
      <c r="AZN177" s="3"/>
      <c r="AZO177" s="3"/>
      <c r="AZP177" s="3"/>
      <c r="AZQ177" s="3"/>
      <c r="AZR177" s="3"/>
      <c r="AZS177" s="3"/>
      <c r="AZT177" s="3"/>
      <c r="AZU177" s="3"/>
      <c r="AZV177" s="3"/>
      <c r="AZW177" s="3"/>
      <c r="AZX177" s="3"/>
      <c r="AZY177" s="3"/>
      <c r="AZZ177" s="3"/>
      <c r="BAA177" s="3"/>
      <c r="BAB177" s="3"/>
      <c r="BAC177" s="3"/>
      <c r="BAD177" s="3"/>
      <c r="BAE177" s="3"/>
      <c r="BAF177" s="3"/>
      <c r="BAG177" s="3"/>
      <c r="BAH177" s="3"/>
      <c r="BAI177" s="3"/>
      <c r="BAJ177" s="3"/>
      <c r="BAK177" s="3"/>
      <c r="BAL177" s="3"/>
      <c r="BAM177" s="3"/>
      <c r="BAN177" s="3"/>
      <c r="BAO177" s="3"/>
      <c r="BAP177" s="3"/>
      <c r="BAQ177" s="3"/>
      <c r="BAR177" s="3"/>
      <c r="BAS177" s="3"/>
      <c r="BAT177" s="3"/>
      <c r="BAU177" s="3"/>
      <c r="BAV177" s="3"/>
      <c r="BAW177" s="3"/>
      <c r="BAX177" s="3"/>
      <c r="BAY177" s="3"/>
      <c r="BAZ177" s="3"/>
      <c r="BBA177" s="3"/>
      <c r="BBB177" s="3"/>
      <c r="BBC177" s="3"/>
      <c r="BBD177" s="3"/>
      <c r="BBE177" s="3"/>
      <c r="BBF177" s="3"/>
      <c r="BBG177" s="3"/>
      <c r="BBH177" s="3"/>
      <c r="BBI177" s="3"/>
      <c r="BBJ177" s="3"/>
      <c r="BBK177" s="3"/>
      <c r="BBL177" s="3"/>
      <c r="BBM177" s="3"/>
      <c r="BBN177" s="3"/>
      <c r="BBO177" s="3"/>
      <c r="BBP177" s="3"/>
      <c r="BBQ177" s="3"/>
      <c r="BBR177" s="3"/>
      <c r="BBS177" s="3"/>
      <c r="BBT177" s="3"/>
      <c r="BBU177" s="3"/>
      <c r="BBV177" s="3"/>
      <c r="BBW177" s="3"/>
      <c r="BBX177" s="3"/>
      <c r="BBY177" s="3"/>
      <c r="BBZ177" s="3"/>
      <c r="BCA177" s="3"/>
      <c r="BCB177" s="3"/>
      <c r="BCC177" s="3"/>
      <c r="BCD177" s="3"/>
      <c r="BCE177" s="3"/>
      <c r="BCF177" s="3"/>
      <c r="BCG177" s="3"/>
      <c r="BCH177" s="3"/>
      <c r="BCI177" s="3"/>
      <c r="BCJ177" s="3"/>
      <c r="BCK177" s="3"/>
      <c r="BCL177" s="3"/>
      <c r="BCM177" s="3"/>
      <c r="BCN177" s="3"/>
      <c r="BCO177" s="3"/>
      <c r="BCP177" s="3"/>
      <c r="BCQ177" s="3"/>
      <c r="BCR177" s="3"/>
      <c r="BCS177" s="3"/>
      <c r="BCT177" s="3"/>
      <c r="BCU177" s="3"/>
      <c r="BCV177" s="3"/>
      <c r="BCW177" s="3"/>
      <c r="BCX177" s="3"/>
      <c r="BCY177" s="3"/>
      <c r="BCZ177" s="3"/>
      <c r="BDA177" s="3"/>
      <c r="BDB177" s="3"/>
      <c r="BDC177" s="3"/>
      <c r="BDD177" s="3"/>
      <c r="BDE177" s="3"/>
      <c r="BDF177" s="3"/>
      <c r="BDG177" s="3"/>
      <c r="BDH177" s="3"/>
      <c r="BDI177" s="3"/>
      <c r="BDJ177" s="3"/>
      <c r="BDK177" s="3"/>
      <c r="BDL177" s="3"/>
      <c r="BDM177" s="3"/>
      <c r="BDN177" s="3"/>
      <c r="BDO177" s="3"/>
      <c r="BDP177" s="3"/>
      <c r="BDQ177" s="3"/>
      <c r="BDR177" s="3"/>
      <c r="BDS177" s="3"/>
      <c r="BDT177" s="3"/>
      <c r="BDU177" s="3"/>
      <c r="BDV177" s="3"/>
      <c r="BDW177" s="3"/>
      <c r="BDX177" s="3"/>
      <c r="BDY177" s="3"/>
      <c r="BDZ177" s="3"/>
      <c r="BEA177" s="3"/>
      <c r="BEB177" s="3"/>
      <c r="BEC177" s="3"/>
      <c r="BED177" s="3"/>
      <c r="BEE177" s="3"/>
      <c r="BEF177" s="3"/>
      <c r="BEG177" s="3"/>
      <c r="BEH177" s="3"/>
      <c r="BEI177" s="3"/>
      <c r="BEJ177" s="3"/>
      <c r="BEK177" s="3"/>
      <c r="BEL177" s="3"/>
      <c r="BEM177" s="3"/>
      <c r="BEN177" s="3"/>
      <c r="BEO177" s="3"/>
      <c r="BEP177" s="3"/>
      <c r="BEQ177" s="3"/>
      <c r="BER177" s="3"/>
      <c r="BES177" s="3"/>
      <c r="BET177" s="3"/>
      <c r="BEU177" s="3"/>
      <c r="BEV177" s="3"/>
      <c r="BEW177" s="3"/>
      <c r="BEX177" s="3"/>
      <c r="BEY177" s="3"/>
      <c r="BEZ177" s="3"/>
      <c r="BFA177" s="3"/>
      <c r="BFB177" s="3"/>
      <c r="BFC177" s="3"/>
      <c r="BFD177" s="3"/>
      <c r="BFE177" s="3"/>
      <c r="BFF177" s="3"/>
      <c r="BFG177" s="3"/>
      <c r="BFH177" s="3"/>
      <c r="BFI177" s="3"/>
      <c r="BFJ177" s="3"/>
      <c r="BFK177" s="3"/>
      <c r="BFL177" s="3"/>
      <c r="BFM177" s="3"/>
      <c r="BFN177" s="3"/>
      <c r="BFO177" s="3"/>
      <c r="BFP177" s="3"/>
      <c r="BFQ177" s="3"/>
      <c r="BFR177" s="3"/>
      <c r="BFS177" s="3"/>
      <c r="BFT177" s="3"/>
      <c r="BFU177" s="3"/>
      <c r="BFV177" s="3"/>
      <c r="BFW177" s="3"/>
      <c r="BFX177" s="3"/>
      <c r="BFY177" s="3"/>
      <c r="BFZ177" s="3"/>
      <c r="BGA177" s="3"/>
      <c r="BGB177" s="3"/>
      <c r="BGC177" s="3"/>
      <c r="BGD177" s="3"/>
      <c r="BGE177" s="3"/>
      <c r="BGF177" s="3"/>
      <c r="BGG177" s="3"/>
      <c r="BGH177" s="3"/>
      <c r="BGI177" s="3"/>
      <c r="BGJ177" s="3"/>
      <c r="BGK177" s="3"/>
      <c r="BGL177" s="3"/>
      <c r="BGM177" s="3"/>
      <c r="BGN177" s="3"/>
      <c r="BGO177" s="3"/>
      <c r="BGP177" s="3"/>
      <c r="BGQ177" s="3"/>
      <c r="BGR177" s="3"/>
      <c r="BGS177" s="3"/>
      <c r="BGT177" s="3"/>
      <c r="BGU177" s="3"/>
      <c r="BGV177" s="3"/>
      <c r="BGW177" s="3"/>
      <c r="BGX177" s="3"/>
      <c r="BGY177" s="3"/>
      <c r="BGZ177" s="3"/>
      <c r="BHA177" s="3"/>
      <c r="BHB177" s="3"/>
      <c r="BHC177" s="3"/>
      <c r="BHD177" s="3"/>
      <c r="BHE177" s="3"/>
      <c r="BHF177" s="3"/>
      <c r="BHG177" s="3"/>
      <c r="BHH177" s="3"/>
      <c r="BHI177" s="3"/>
      <c r="BHJ177" s="3"/>
      <c r="BHK177" s="3"/>
      <c r="BHL177" s="3"/>
      <c r="BHM177" s="3"/>
      <c r="BHN177" s="3"/>
      <c r="BHO177" s="3"/>
      <c r="BHP177" s="3"/>
      <c r="BHQ177" s="3"/>
      <c r="BHR177" s="3"/>
      <c r="BHS177" s="3"/>
      <c r="BHT177" s="3"/>
      <c r="BHU177" s="3"/>
      <c r="BHV177" s="3"/>
      <c r="BHW177" s="3"/>
      <c r="BHX177" s="3"/>
      <c r="BHY177" s="3"/>
      <c r="BHZ177" s="3"/>
      <c r="BIA177" s="3"/>
      <c r="BIB177" s="3"/>
      <c r="BIC177" s="3"/>
      <c r="BID177" s="3"/>
      <c r="BIE177" s="3"/>
      <c r="BIF177" s="3"/>
      <c r="BIG177" s="3"/>
      <c r="BIH177" s="3"/>
      <c r="BII177" s="3"/>
      <c r="BIJ177" s="3"/>
      <c r="BIK177" s="3"/>
      <c r="BIL177" s="3"/>
      <c r="BIM177" s="3"/>
      <c r="BIN177" s="3"/>
      <c r="BIO177" s="3"/>
      <c r="BIP177" s="3"/>
      <c r="BIQ177" s="3"/>
      <c r="BIR177" s="3"/>
      <c r="BIS177" s="3"/>
      <c r="BIT177" s="3"/>
      <c r="BIU177" s="3"/>
      <c r="BIV177" s="3"/>
      <c r="BIW177" s="3"/>
      <c r="BIX177" s="3"/>
      <c r="BIY177" s="3"/>
      <c r="BIZ177" s="3"/>
      <c r="BJA177" s="3"/>
      <c r="BJB177" s="3"/>
      <c r="BJC177" s="3"/>
      <c r="BJD177" s="3"/>
      <c r="BJE177" s="3"/>
      <c r="BJF177" s="3"/>
      <c r="BJG177" s="3"/>
      <c r="BJH177" s="3"/>
      <c r="BJI177" s="3"/>
      <c r="BJJ177" s="3"/>
      <c r="BJK177" s="3"/>
      <c r="BJL177" s="3"/>
      <c r="BJM177" s="3"/>
      <c r="BJN177" s="3"/>
      <c r="BJO177" s="3"/>
      <c r="BJP177" s="3"/>
      <c r="BJQ177" s="3"/>
      <c r="BJR177" s="3"/>
      <c r="BJS177" s="3"/>
      <c r="BJT177" s="3"/>
      <c r="BJU177" s="3"/>
      <c r="BJV177" s="3"/>
      <c r="BJW177" s="3"/>
      <c r="BJX177" s="3"/>
      <c r="BJY177" s="3"/>
      <c r="BJZ177" s="3"/>
      <c r="BKA177" s="3"/>
      <c r="BKB177" s="3"/>
      <c r="BKC177" s="3"/>
      <c r="BKD177" s="3"/>
      <c r="BKE177" s="3"/>
      <c r="BKF177" s="3"/>
      <c r="BKG177" s="3"/>
      <c r="BKH177" s="3"/>
      <c r="BKI177" s="3"/>
      <c r="BKJ177" s="3"/>
      <c r="BKK177" s="3"/>
      <c r="BKL177" s="3"/>
      <c r="BKM177" s="3"/>
      <c r="BKN177" s="3"/>
      <c r="BKO177" s="3"/>
      <c r="BKP177" s="3"/>
      <c r="BKQ177" s="3"/>
      <c r="BKR177" s="3"/>
      <c r="BKS177" s="3"/>
      <c r="BKT177" s="3"/>
      <c r="BKU177" s="3"/>
      <c r="BKV177" s="3"/>
      <c r="BKW177" s="3"/>
      <c r="BKX177" s="3"/>
      <c r="BKY177" s="3"/>
      <c r="BKZ177" s="3"/>
      <c r="BLA177" s="3"/>
      <c r="BLB177" s="3"/>
      <c r="BLC177" s="3"/>
      <c r="BLD177" s="3"/>
      <c r="BLE177" s="3"/>
      <c r="BLF177" s="3"/>
      <c r="BLG177" s="3"/>
      <c r="BLH177" s="3"/>
      <c r="BLI177" s="3"/>
      <c r="BLJ177" s="3"/>
      <c r="BLK177" s="3"/>
      <c r="BLL177" s="3"/>
      <c r="BLM177" s="3"/>
      <c r="BLN177" s="3"/>
      <c r="BLO177" s="3"/>
      <c r="BLP177" s="3"/>
      <c r="BLQ177" s="3"/>
      <c r="BLR177" s="3"/>
      <c r="BLS177" s="3"/>
      <c r="BLT177" s="3"/>
      <c r="BLU177" s="3"/>
      <c r="BLV177" s="3"/>
      <c r="BLW177" s="3"/>
      <c r="BLX177" s="3"/>
      <c r="BLY177" s="3"/>
      <c r="BLZ177" s="3"/>
      <c r="BMA177" s="3"/>
      <c r="BMB177" s="3"/>
      <c r="BMC177" s="3"/>
      <c r="BMD177" s="3"/>
      <c r="BME177" s="3"/>
      <c r="BMF177" s="3"/>
      <c r="BMG177" s="3"/>
      <c r="BMH177" s="3"/>
      <c r="BMI177" s="3"/>
      <c r="BMJ177" s="3"/>
      <c r="BMK177" s="3"/>
      <c r="BML177" s="3"/>
      <c r="BMM177" s="3"/>
      <c r="BMN177" s="3"/>
      <c r="BMO177" s="3"/>
      <c r="BMP177" s="3"/>
      <c r="BMQ177" s="3"/>
      <c r="BMR177" s="3"/>
      <c r="BMS177" s="3"/>
      <c r="BMT177" s="3"/>
      <c r="BMU177" s="3"/>
      <c r="BMV177" s="3"/>
      <c r="BMW177" s="3"/>
      <c r="BMX177" s="3"/>
      <c r="BMY177" s="3"/>
      <c r="BMZ177" s="3"/>
      <c r="BNA177" s="3"/>
      <c r="BNB177" s="3"/>
      <c r="BNC177" s="3"/>
      <c r="BND177" s="3"/>
      <c r="BNE177" s="3"/>
      <c r="BNF177" s="3"/>
      <c r="BNG177" s="3"/>
      <c r="BNH177" s="3"/>
      <c r="BNI177" s="3"/>
      <c r="BNJ177" s="3"/>
      <c r="BNK177" s="3"/>
      <c r="BNL177" s="3"/>
      <c r="BNM177" s="3"/>
      <c r="BNN177" s="3"/>
      <c r="BNO177" s="3"/>
      <c r="BNP177" s="3"/>
      <c r="BNQ177" s="3"/>
      <c r="BNR177" s="3"/>
      <c r="BNS177" s="3"/>
      <c r="BNT177" s="3"/>
      <c r="BNU177" s="3"/>
      <c r="BNV177" s="3"/>
      <c r="BNW177" s="3"/>
      <c r="BNX177" s="3"/>
      <c r="BNY177" s="3"/>
      <c r="BNZ177" s="3"/>
      <c r="BOA177" s="3"/>
      <c r="BOB177" s="3"/>
      <c r="BOC177" s="3"/>
      <c r="BOD177" s="3"/>
      <c r="BOE177" s="3"/>
      <c r="BOF177" s="3"/>
      <c r="BOG177" s="3"/>
      <c r="BOH177" s="3"/>
      <c r="BOI177" s="3"/>
      <c r="BOJ177" s="3"/>
      <c r="BOK177" s="3"/>
      <c r="BOL177" s="3"/>
      <c r="BOM177" s="3"/>
      <c r="BON177" s="3"/>
      <c r="BOO177" s="3"/>
      <c r="BOP177" s="3"/>
      <c r="BOQ177" s="3"/>
      <c r="BOR177" s="3"/>
      <c r="BOS177" s="3"/>
      <c r="BOT177" s="3"/>
      <c r="BOU177" s="3"/>
      <c r="BOV177" s="3"/>
      <c r="BOW177" s="3"/>
      <c r="BOX177" s="3"/>
      <c r="BOY177" s="3"/>
      <c r="BOZ177" s="3"/>
      <c r="BPA177" s="3"/>
      <c r="BPB177" s="3"/>
      <c r="BPC177" s="3"/>
      <c r="BPD177" s="3"/>
      <c r="BPE177" s="3"/>
      <c r="BPF177" s="3"/>
      <c r="BPG177" s="3"/>
      <c r="BPH177" s="3"/>
      <c r="BPI177" s="3"/>
      <c r="BPJ177" s="3"/>
      <c r="BPK177" s="3"/>
      <c r="BPL177" s="3"/>
      <c r="BPM177" s="3"/>
      <c r="BPN177" s="3"/>
      <c r="BPO177" s="3"/>
      <c r="BPP177" s="3"/>
      <c r="BPQ177" s="3"/>
      <c r="BPR177" s="3"/>
      <c r="BPS177" s="3"/>
      <c r="BPT177" s="3"/>
      <c r="BPU177" s="3"/>
      <c r="BPV177" s="3"/>
      <c r="BPW177" s="3"/>
      <c r="BPX177" s="3"/>
      <c r="BPY177" s="3"/>
      <c r="BPZ177" s="3"/>
      <c r="BQA177" s="3"/>
      <c r="BQB177" s="3"/>
      <c r="BQC177" s="3"/>
      <c r="BQD177" s="3"/>
      <c r="BQE177" s="3"/>
      <c r="BQF177" s="3"/>
      <c r="BQG177" s="3"/>
      <c r="BQH177" s="3"/>
      <c r="BQI177" s="3"/>
      <c r="BQJ177" s="3"/>
      <c r="BQK177" s="3"/>
      <c r="BQL177" s="3"/>
      <c r="BQM177" s="3"/>
      <c r="BQN177" s="3"/>
      <c r="BQO177" s="3"/>
      <c r="BQP177" s="3"/>
      <c r="BQQ177" s="3"/>
      <c r="BQR177" s="3"/>
      <c r="BQS177" s="3"/>
      <c r="BQT177" s="3"/>
      <c r="BQU177" s="3"/>
      <c r="BQV177" s="3"/>
      <c r="BQW177" s="3"/>
      <c r="BQX177" s="3"/>
      <c r="BQY177" s="3"/>
      <c r="BQZ177" s="3"/>
      <c r="BRA177" s="3"/>
      <c r="BRB177" s="3"/>
      <c r="BRC177" s="3"/>
      <c r="BRD177" s="3"/>
      <c r="BRE177" s="3"/>
      <c r="BRF177" s="3"/>
      <c r="BRG177" s="3"/>
      <c r="BRH177" s="3"/>
      <c r="BRI177" s="3"/>
      <c r="BRJ177" s="3"/>
      <c r="BRK177" s="3"/>
      <c r="BRL177" s="3"/>
      <c r="BRM177" s="3"/>
      <c r="BRN177" s="3"/>
      <c r="BRO177" s="3"/>
      <c r="BRP177" s="3"/>
      <c r="BRQ177" s="3"/>
      <c r="BRR177" s="3"/>
      <c r="BRS177" s="3"/>
      <c r="BRT177" s="3"/>
      <c r="BRU177" s="3"/>
      <c r="BRV177" s="3"/>
      <c r="BRW177" s="3"/>
      <c r="BRX177" s="3"/>
      <c r="BRY177" s="3"/>
      <c r="BRZ177" s="3"/>
      <c r="BSA177" s="3"/>
      <c r="BSB177" s="3"/>
      <c r="BSC177" s="3"/>
      <c r="BSD177" s="3"/>
      <c r="BSE177" s="3"/>
      <c r="BSF177" s="3"/>
      <c r="BSG177" s="3"/>
      <c r="BSH177" s="3"/>
      <c r="BSI177" s="3"/>
      <c r="BSJ177" s="3"/>
      <c r="BSK177" s="3"/>
      <c r="BSL177" s="3"/>
      <c r="BSM177" s="3"/>
      <c r="BSN177" s="3"/>
      <c r="BSO177" s="3"/>
      <c r="BSP177" s="3"/>
      <c r="BSQ177" s="3"/>
      <c r="BSR177" s="3"/>
      <c r="BSS177" s="3"/>
      <c r="BST177" s="3"/>
      <c r="BSU177" s="3"/>
      <c r="BSV177" s="3"/>
      <c r="BSW177" s="3"/>
      <c r="BSX177" s="3"/>
      <c r="BSY177" s="3"/>
      <c r="BSZ177" s="3"/>
      <c r="BTA177" s="3"/>
      <c r="BTB177" s="3"/>
      <c r="BTC177" s="3"/>
      <c r="BTD177" s="3"/>
      <c r="BTE177" s="3"/>
      <c r="BTF177" s="3"/>
      <c r="BTG177" s="3"/>
      <c r="BTH177" s="3"/>
      <c r="BTI177" s="3"/>
      <c r="BTJ177" s="3"/>
      <c r="BTK177" s="3"/>
      <c r="BTL177" s="3"/>
      <c r="BTM177" s="3"/>
      <c r="BTN177" s="3"/>
      <c r="BTO177" s="3"/>
      <c r="BTP177" s="3"/>
      <c r="BTQ177" s="3"/>
      <c r="BTR177" s="3"/>
      <c r="BTS177" s="3"/>
      <c r="BTT177" s="3"/>
      <c r="BTU177" s="3"/>
      <c r="BTV177" s="3"/>
      <c r="BTW177" s="3"/>
      <c r="BTX177" s="3"/>
      <c r="BTY177" s="3"/>
      <c r="BTZ177" s="3"/>
      <c r="BUA177" s="3"/>
      <c r="BUB177" s="3"/>
      <c r="BUC177" s="3"/>
      <c r="BUD177" s="3"/>
      <c r="BUE177" s="3"/>
      <c r="BUF177" s="3"/>
      <c r="BUG177" s="3"/>
      <c r="BUH177" s="3"/>
      <c r="BUI177" s="3"/>
      <c r="BUJ177" s="3"/>
      <c r="BUK177" s="3"/>
      <c r="BUL177" s="3"/>
      <c r="BUM177" s="3"/>
      <c r="BUN177" s="3"/>
      <c r="BUO177" s="3"/>
      <c r="BUP177" s="3"/>
      <c r="BUQ177" s="3"/>
      <c r="BUR177" s="3"/>
      <c r="BUS177" s="3"/>
      <c r="BUT177" s="3"/>
      <c r="BUU177" s="3"/>
      <c r="BUV177" s="3"/>
      <c r="BUW177" s="3"/>
      <c r="BUX177" s="3"/>
      <c r="BUY177" s="3"/>
      <c r="BUZ177" s="3"/>
      <c r="BVA177" s="3"/>
      <c r="BVB177" s="3"/>
      <c r="BVC177" s="3"/>
      <c r="BVD177" s="3"/>
      <c r="BVE177" s="3"/>
      <c r="BVF177" s="3"/>
      <c r="BVG177" s="3"/>
      <c r="BVH177" s="3"/>
      <c r="BVI177" s="3"/>
      <c r="BVJ177" s="3"/>
      <c r="BVK177" s="3"/>
      <c r="BVL177" s="3"/>
      <c r="BVM177" s="3"/>
      <c r="BVN177" s="3"/>
      <c r="BVO177" s="3"/>
      <c r="BVP177" s="3"/>
      <c r="BVQ177" s="3"/>
      <c r="BVR177" s="3"/>
      <c r="BVS177" s="3"/>
      <c r="BVT177" s="3"/>
      <c r="BVU177" s="3"/>
      <c r="BVV177" s="3"/>
      <c r="BVW177" s="3"/>
      <c r="BVX177" s="3"/>
      <c r="BVY177" s="3"/>
      <c r="BVZ177" s="3"/>
      <c r="BWA177" s="3"/>
      <c r="BWB177" s="3"/>
      <c r="BWC177" s="3"/>
      <c r="BWD177" s="3"/>
      <c r="BWE177" s="3"/>
      <c r="BWF177" s="3"/>
      <c r="BWG177" s="3"/>
      <c r="BWH177" s="3"/>
      <c r="BWI177" s="3"/>
      <c r="BWJ177" s="3"/>
      <c r="BWK177" s="3"/>
      <c r="BWL177" s="3"/>
      <c r="BWM177" s="3"/>
      <c r="BWN177" s="3"/>
      <c r="BWO177" s="3"/>
      <c r="BWP177" s="3"/>
      <c r="BWQ177" s="3"/>
      <c r="BWR177" s="3"/>
      <c r="BWS177" s="3"/>
      <c r="BWT177" s="3"/>
      <c r="BWU177" s="3"/>
      <c r="BWV177" s="3"/>
      <c r="BWW177" s="3"/>
      <c r="BWX177" s="3"/>
      <c r="BWY177" s="3"/>
      <c r="BWZ177" s="3"/>
      <c r="BXA177" s="3"/>
      <c r="BXB177" s="3"/>
      <c r="BXC177" s="3"/>
      <c r="BXD177" s="3"/>
      <c r="BXE177" s="3"/>
      <c r="BXF177" s="3"/>
      <c r="BXG177" s="3"/>
      <c r="BXH177" s="3"/>
      <c r="BXI177" s="3"/>
      <c r="BXJ177" s="3"/>
      <c r="BXK177" s="3"/>
      <c r="BXL177" s="3"/>
      <c r="BXM177" s="3"/>
      <c r="BXN177" s="3"/>
      <c r="BXO177" s="3"/>
      <c r="BXP177" s="3"/>
      <c r="BXQ177" s="3"/>
      <c r="BXR177" s="3"/>
      <c r="BXS177" s="3"/>
      <c r="BXT177" s="3"/>
      <c r="BXU177" s="3"/>
      <c r="BXV177" s="3"/>
      <c r="BXW177" s="3"/>
      <c r="BXX177" s="3"/>
      <c r="BXY177" s="3"/>
      <c r="BXZ177" s="3"/>
      <c r="BYA177" s="3"/>
      <c r="BYB177" s="3"/>
      <c r="BYC177" s="3"/>
      <c r="BYD177" s="3"/>
      <c r="BYE177" s="3"/>
      <c r="BYF177" s="3"/>
      <c r="BYG177" s="3"/>
      <c r="BYH177" s="3"/>
      <c r="BYI177" s="3"/>
      <c r="BYJ177" s="3"/>
      <c r="BYK177" s="3"/>
      <c r="BYL177" s="3"/>
      <c r="BYM177" s="3"/>
      <c r="BYN177" s="3"/>
      <c r="BYO177" s="3"/>
      <c r="BYP177" s="3"/>
      <c r="BYQ177" s="3"/>
      <c r="BYR177" s="3"/>
      <c r="BYS177" s="3"/>
      <c r="BYT177" s="3"/>
      <c r="BYU177" s="3"/>
      <c r="BYV177" s="3"/>
      <c r="BYW177" s="3"/>
      <c r="BYX177" s="3"/>
      <c r="BYY177" s="3"/>
      <c r="BYZ177" s="3"/>
      <c r="BZA177" s="3"/>
      <c r="BZB177" s="3"/>
      <c r="BZC177" s="3"/>
      <c r="BZD177" s="3"/>
      <c r="BZE177" s="3"/>
      <c r="BZF177" s="3"/>
      <c r="BZG177" s="3"/>
      <c r="BZH177" s="3"/>
      <c r="BZI177" s="3"/>
      <c r="BZJ177" s="3"/>
      <c r="BZK177" s="3"/>
      <c r="BZL177" s="3"/>
      <c r="BZM177" s="3"/>
      <c r="BZN177" s="3"/>
      <c r="BZO177" s="3"/>
      <c r="BZP177" s="3"/>
      <c r="BZQ177" s="3"/>
      <c r="BZR177" s="3"/>
      <c r="BZS177" s="3"/>
      <c r="BZT177" s="3"/>
      <c r="BZU177" s="3"/>
      <c r="BZV177" s="3"/>
      <c r="BZW177" s="3"/>
      <c r="BZX177" s="3"/>
      <c r="BZY177" s="3"/>
      <c r="BZZ177" s="3"/>
      <c r="CAA177" s="3"/>
      <c r="CAB177" s="3"/>
      <c r="CAC177" s="3"/>
      <c r="CAD177" s="3"/>
      <c r="CAE177" s="3"/>
      <c r="CAF177" s="3"/>
      <c r="CAG177" s="3"/>
      <c r="CAH177" s="3"/>
      <c r="CAI177" s="3"/>
      <c r="CAJ177" s="3"/>
      <c r="CAK177" s="3"/>
      <c r="CAL177" s="3"/>
      <c r="CAM177" s="3"/>
      <c r="CAN177" s="3"/>
      <c r="CAO177" s="3"/>
      <c r="CAP177" s="3"/>
      <c r="CAQ177" s="3"/>
      <c r="CAR177" s="3"/>
      <c r="CAS177" s="3"/>
      <c r="CAT177" s="3"/>
      <c r="CAU177" s="3"/>
      <c r="CAV177" s="3"/>
      <c r="CAW177" s="3"/>
      <c r="CAX177" s="3"/>
      <c r="CAY177" s="3"/>
      <c r="CAZ177" s="3"/>
      <c r="CBA177" s="3"/>
      <c r="CBB177" s="3"/>
      <c r="CBC177" s="3"/>
      <c r="CBD177" s="3"/>
      <c r="CBE177" s="3"/>
      <c r="CBF177" s="3"/>
      <c r="CBG177" s="3"/>
      <c r="CBH177" s="3"/>
      <c r="CBI177" s="3"/>
      <c r="CBJ177" s="3"/>
      <c r="CBK177" s="3"/>
      <c r="CBL177" s="3"/>
      <c r="CBM177" s="3"/>
      <c r="CBN177" s="3"/>
      <c r="CBO177" s="3"/>
      <c r="CBP177" s="3"/>
      <c r="CBQ177" s="3"/>
      <c r="CBR177" s="3"/>
      <c r="CBS177" s="3"/>
      <c r="CBT177" s="3"/>
      <c r="CBU177" s="3"/>
      <c r="CBV177" s="3"/>
      <c r="CBW177" s="3"/>
      <c r="CBX177" s="3"/>
      <c r="CBY177" s="3"/>
      <c r="CBZ177" s="3"/>
      <c r="CCA177" s="3"/>
      <c r="CCB177" s="3"/>
      <c r="CCC177" s="3"/>
      <c r="CCD177" s="3"/>
      <c r="CCE177" s="3"/>
      <c r="CCF177" s="3"/>
      <c r="CCG177" s="3"/>
      <c r="CCH177" s="3"/>
      <c r="CCI177" s="3"/>
      <c r="CCJ177" s="3"/>
      <c r="CCK177" s="3"/>
      <c r="CCL177" s="3"/>
      <c r="CCM177" s="3"/>
      <c r="CCN177" s="3"/>
      <c r="CCO177" s="3"/>
      <c r="CCP177" s="3"/>
      <c r="CCQ177" s="3"/>
      <c r="CCR177" s="3"/>
      <c r="CCS177" s="3"/>
      <c r="CCT177" s="3"/>
      <c r="CCU177" s="3"/>
      <c r="CCV177" s="3"/>
      <c r="CCW177" s="3"/>
      <c r="CCX177" s="3"/>
      <c r="CCY177" s="3"/>
      <c r="CCZ177" s="3"/>
      <c r="CDA177" s="3"/>
      <c r="CDB177" s="3"/>
      <c r="CDC177" s="3"/>
      <c r="CDD177" s="3"/>
      <c r="CDE177" s="3"/>
      <c r="CDF177" s="3"/>
      <c r="CDG177" s="3"/>
      <c r="CDH177" s="3"/>
      <c r="CDI177" s="3"/>
      <c r="CDJ177" s="3"/>
      <c r="CDK177" s="3"/>
      <c r="CDL177" s="3"/>
      <c r="CDM177" s="3"/>
      <c r="CDN177" s="3"/>
      <c r="CDO177" s="3"/>
      <c r="CDP177" s="3"/>
      <c r="CDQ177" s="3"/>
      <c r="CDR177" s="3"/>
      <c r="CDS177" s="3"/>
      <c r="CDT177" s="3"/>
      <c r="CDU177" s="3"/>
      <c r="CDV177" s="3"/>
      <c r="CDW177" s="3"/>
      <c r="CDX177" s="3"/>
      <c r="CDY177" s="3"/>
      <c r="CDZ177" s="3"/>
      <c r="CEA177" s="3"/>
      <c r="CEB177" s="3"/>
      <c r="CEC177" s="3"/>
      <c r="CED177" s="3"/>
      <c r="CEE177" s="3"/>
      <c r="CEF177" s="3"/>
      <c r="CEG177" s="3"/>
      <c r="CEH177" s="3"/>
      <c r="CEI177" s="3"/>
      <c r="CEJ177" s="3"/>
      <c r="CEK177" s="3"/>
      <c r="CEL177" s="3"/>
      <c r="CEM177" s="3"/>
      <c r="CEN177" s="3"/>
      <c r="CEO177" s="3"/>
      <c r="CEP177" s="3"/>
      <c r="CEQ177" s="3"/>
      <c r="CER177" s="3"/>
      <c r="CES177" s="3"/>
      <c r="CET177" s="3"/>
      <c r="CEU177" s="3"/>
      <c r="CEV177" s="3"/>
      <c r="CEW177" s="3"/>
      <c r="CEX177" s="3"/>
      <c r="CEY177" s="3"/>
      <c r="CEZ177" s="3"/>
      <c r="CFA177" s="3"/>
      <c r="CFB177" s="3"/>
      <c r="CFC177" s="3"/>
      <c r="CFD177" s="3"/>
      <c r="CFE177" s="3"/>
      <c r="CFF177" s="3"/>
      <c r="CFG177" s="3"/>
      <c r="CFH177" s="3"/>
      <c r="CFI177" s="3"/>
      <c r="CFJ177" s="3"/>
      <c r="CFK177" s="3"/>
      <c r="CFL177" s="3"/>
      <c r="CFM177" s="3"/>
      <c r="CFN177" s="3"/>
      <c r="CFO177" s="3"/>
      <c r="CFP177" s="3"/>
      <c r="CFQ177" s="3"/>
      <c r="CFR177" s="3"/>
      <c r="CFS177" s="3"/>
      <c r="CFT177" s="3"/>
      <c r="CFU177" s="3"/>
      <c r="CFV177" s="3"/>
      <c r="CFW177" s="3"/>
      <c r="CFX177" s="3"/>
      <c r="CFY177" s="3"/>
      <c r="CFZ177" s="3"/>
      <c r="CGA177" s="3"/>
      <c r="CGB177" s="3"/>
      <c r="CGC177" s="3"/>
      <c r="CGD177" s="3"/>
      <c r="CGE177" s="3"/>
      <c r="CGF177" s="3"/>
      <c r="CGG177" s="3"/>
      <c r="CGH177" s="3"/>
      <c r="CGI177" s="3"/>
      <c r="CGJ177" s="3"/>
      <c r="CGK177" s="3"/>
      <c r="CGL177" s="3"/>
      <c r="CGM177" s="3"/>
      <c r="CGN177" s="3"/>
      <c r="CGO177" s="3"/>
      <c r="CGP177" s="3"/>
      <c r="CGQ177" s="3"/>
      <c r="CGR177" s="3"/>
      <c r="CGS177" s="3"/>
      <c r="CGT177" s="3"/>
      <c r="CGU177" s="3"/>
      <c r="CGV177" s="3"/>
      <c r="CGW177" s="3"/>
      <c r="CGX177" s="3"/>
      <c r="CGY177" s="3"/>
      <c r="CGZ177" s="3"/>
      <c r="CHA177" s="3"/>
      <c r="CHB177" s="3"/>
      <c r="CHC177" s="3"/>
      <c r="CHD177" s="3"/>
      <c r="CHE177" s="3"/>
      <c r="CHF177" s="3"/>
      <c r="CHG177" s="3"/>
      <c r="CHH177" s="3"/>
      <c r="CHI177" s="3"/>
      <c r="CHJ177" s="3"/>
      <c r="CHK177" s="3"/>
      <c r="CHL177" s="3"/>
      <c r="CHM177" s="3"/>
      <c r="CHN177" s="3"/>
      <c r="CHO177" s="3"/>
      <c r="CHP177" s="3"/>
      <c r="CHQ177" s="3"/>
      <c r="CHR177" s="3"/>
      <c r="CHS177" s="3"/>
      <c r="CHT177" s="3"/>
      <c r="CHU177" s="3"/>
      <c r="CHV177" s="3"/>
      <c r="CHW177" s="3"/>
      <c r="CHX177" s="3"/>
      <c r="CHY177" s="3"/>
      <c r="CHZ177" s="3"/>
      <c r="CIA177" s="3"/>
      <c r="CIB177" s="3"/>
      <c r="CIC177" s="3"/>
      <c r="CID177" s="3"/>
      <c r="CIE177" s="3"/>
      <c r="CIF177" s="3"/>
      <c r="CIG177" s="3"/>
      <c r="CIH177" s="3"/>
      <c r="CII177" s="3"/>
      <c r="CIJ177" s="3"/>
      <c r="CIK177" s="3"/>
      <c r="CIL177" s="3"/>
      <c r="CIM177" s="3"/>
      <c r="CIN177" s="3"/>
      <c r="CIO177" s="3"/>
      <c r="CIP177" s="3"/>
      <c r="CIQ177" s="3"/>
      <c r="CIR177" s="3"/>
      <c r="CIS177" s="3"/>
      <c r="CIT177" s="3"/>
      <c r="CIU177" s="3"/>
      <c r="CIV177" s="3"/>
      <c r="CIW177" s="3"/>
      <c r="CIX177" s="3"/>
      <c r="CIY177" s="3"/>
      <c r="CIZ177" s="3"/>
      <c r="CJA177" s="3"/>
      <c r="CJB177" s="3"/>
      <c r="CJC177" s="3"/>
      <c r="CJD177" s="3"/>
      <c r="CJE177" s="3"/>
      <c r="CJF177" s="3"/>
      <c r="CJG177" s="3"/>
      <c r="CJH177" s="3"/>
      <c r="CJI177" s="3"/>
      <c r="CJJ177" s="3"/>
      <c r="CJK177" s="3"/>
      <c r="CJL177" s="3"/>
      <c r="CJM177" s="3"/>
      <c r="CJN177" s="3"/>
      <c r="CJO177" s="3"/>
      <c r="CJP177" s="3"/>
      <c r="CJQ177" s="3"/>
      <c r="CJR177" s="3"/>
      <c r="CJS177" s="3"/>
      <c r="CJT177" s="3"/>
      <c r="CJU177" s="3"/>
      <c r="CJV177" s="3"/>
      <c r="CJW177" s="3"/>
      <c r="CJX177" s="3"/>
      <c r="CJY177" s="3"/>
      <c r="CJZ177" s="3"/>
      <c r="CKA177" s="3"/>
      <c r="CKB177" s="3"/>
      <c r="CKC177" s="3"/>
      <c r="CKD177" s="3"/>
      <c r="CKE177" s="3"/>
      <c r="CKF177" s="3"/>
      <c r="CKG177" s="3"/>
      <c r="CKH177" s="3"/>
      <c r="CKI177" s="3"/>
      <c r="CKJ177" s="3"/>
      <c r="CKK177" s="3"/>
      <c r="CKL177" s="3"/>
      <c r="CKM177" s="3"/>
      <c r="CKN177" s="3"/>
      <c r="CKO177" s="3"/>
      <c r="CKP177" s="3"/>
      <c r="CKQ177" s="3"/>
      <c r="CKR177" s="3"/>
      <c r="CKS177" s="3"/>
      <c r="CKT177" s="3"/>
      <c r="CKU177" s="3"/>
      <c r="CKV177" s="3"/>
      <c r="CKW177" s="3"/>
      <c r="CKX177" s="3"/>
      <c r="CKY177" s="3"/>
      <c r="CKZ177" s="3"/>
      <c r="CLA177" s="3"/>
      <c r="CLB177" s="3"/>
      <c r="CLC177" s="3"/>
      <c r="CLD177" s="3"/>
      <c r="CLE177" s="3"/>
      <c r="CLF177" s="3"/>
      <c r="CLG177" s="3"/>
      <c r="CLH177" s="3"/>
      <c r="CLI177" s="3"/>
      <c r="CLJ177" s="3"/>
      <c r="CLK177" s="3"/>
      <c r="CLL177" s="3"/>
      <c r="CLM177" s="3"/>
      <c r="CLN177" s="3"/>
      <c r="CLO177" s="3"/>
      <c r="CLP177" s="3"/>
      <c r="CLQ177" s="3"/>
      <c r="CLR177" s="3"/>
      <c r="CLS177" s="3"/>
      <c r="CLT177" s="3"/>
      <c r="CLU177" s="3"/>
      <c r="CLV177" s="3"/>
      <c r="CLW177" s="3"/>
      <c r="CLX177" s="3"/>
      <c r="CLY177" s="3"/>
      <c r="CLZ177" s="3"/>
      <c r="CMA177" s="3"/>
      <c r="CMB177" s="3"/>
      <c r="CMC177" s="3"/>
      <c r="CMD177" s="3"/>
      <c r="CME177" s="3"/>
      <c r="CMF177" s="3"/>
      <c r="CMG177" s="3"/>
      <c r="CMH177" s="3"/>
      <c r="CMI177" s="3"/>
      <c r="CMJ177" s="3"/>
      <c r="CMK177" s="3"/>
      <c r="CML177" s="3"/>
      <c r="CMM177" s="3"/>
      <c r="CMN177" s="3"/>
      <c r="CMO177" s="3"/>
      <c r="CMP177" s="3"/>
      <c r="CMQ177" s="3"/>
      <c r="CMR177" s="3"/>
      <c r="CMS177" s="3"/>
      <c r="CMT177" s="3"/>
      <c r="CMU177" s="3"/>
      <c r="CMV177" s="3"/>
      <c r="CMW177" s="3"/>
      <c r="CMX177" s="3"/>
      <c r="CMY177" s="3"/>
      <c r="CMZ177" s="3"/>
      <c r="CNA177" s="3"/>
      <c r="CNB177" s="3"/>
      <c r="CNC177" s="3"/>
      <c r="CND177" s="3"/>
      <c r="CNE177" s="3"/>
      <c r="CNF177" s="3"/>
      <c r="CNG177" s="3"/>
      <c r="CNH177" s="3"/>
      <c r="CNI177" s="3"/>
      <c r="CNJ177" s="3"/>
      <c r="CNK177" s="3"/>
      <c r="CNL177" s="3"/>
      <c r="CNM177" s="3"/>
      <c r="CNN177" s="3"/>
      <c r="CNO177" s="3"/>
      <c r="CNP177" s="3"/>
      <c r="CNQ177" s="3"/>
      <c r="CNR177" s="3"/>
      <c r="CNS177" s="3"/>
      <c r="CNT177" s="3"/>
      <c r="CNU177" s="3"/>
      <c r="CNV177" s="3"/>
      <c r="CNW177" s="3"/>
      <c r="CNX177" s="3"/>
      <c r="CNY177" s="3"/>
      <c r="CNZ177" s="3"/>
      <c r="COA177" s="3"/>
      <c r="COB177" s="3"/>
      <c r="COC177" s="3"/>
      <c r="COD177" s="3"/>
      <c r="COE177" s="3"/>
      <c r="COF177" s="3"/>
      <c r="COG177" s="3"/>
      <c r="COH177" s="3"/>
      <c r="COI177" s="3"/>
      <c r="COJ177" s="3"/>
      <c r="COK177" s="3"/>
      <c r="COL177" s="3"/>
      <c r="COM177" s="3"/>
      <c r="CON177" s="3"/>
      <c r="COO177" s="3"/>
      <c r="COP177" s="3"/>
      <c r="COQ177" s="3"/>
      <c r="COR177" s="3"/>
      <c r="COS177" s="3"/>
      <c r="COT177" s="3"/>
      <c r="COU177" s="3"/>
      <c r="COV177" s="3"/>
      <c r="COW177" s="3"/>
      <c r="COX177" s="3"/>
      <c r="COY177" s="3"/>
      <c r="COZ177" s="3"/>
      <c r="CPA177" s="3"/>
      <c r="CPB177" s="3"/>
      <c r="CPC177" s="3"/>
      <c r="CPD177" s="3"/>
      <c r="CPE177" s="3"/>
      <c r="CPF177" s="3"/>
      <c r="CPG177" s="3"/>
      <c r="CPH177" s="3"/>
      <c r="CPI177" s="3"/>
      <c r="CPJ177" s="3"/>
      <c r="CPK177" s="3"/>
      <c r="CPL177" s="3"/>
      <c r="CPM177" s="3"/>
      <c r="CPN177" s="3"/>
      <c r="CPO177" s="3"/>
      <c r="CPP177" s="3"/>
      <c r="CPQ177" s="3"/>
      <c r="CPR177" s="3"/>
      <c r="CPS177" s="3"/>
      <c r="CPT177" s="3"/>
      <c r="CPU177" s="3"/>
      <c r="CPV177" s="3"/>
      <c r="CPW177" s="3"/>
      <c r="CPX177" s="3"/>
      <c r="CPY177" s="3"/>
      <c r="CPZ177" s="3"/>
      <c r="CQA177" s="3"/>
      <c r="CQB177" s="3"/>
      <c r="CQC177" s="3"/>
      <c r="CQD177" s="3"/>
      <c r="CQE177" s="3"/>
      <c r="CQF177" s="3"/>
      <c r="CQG177" s="3"/>
      <c r="CQH177" s="3"/>
      <c r="CQI177" s="3"/>
      <c r="CQJ177" s="3"/>
      <c r="CQK177" s="3"/>
      <c r="CQL177" s="3"/>
      <c r="CQM177" s="3"/>
      <c r="CQN177" s="3"/>
      <c r="CQO177" s="3"/>
      <c r="CQP177" s="3"/>
      <c r="CQQ177" s="3"/>
      <c r="CQR177" s="3"/>
      <c r="CQS177" s="3"/>
      <c r="CQT177" s="3"/>
      <c r="CQU177" s="3"/>
      <c r="CQV177" s="3"/>
      <c r="CQW177" s="3"/>
      <c r="CQX177" s="3"/>
      <c r="CQY177" s="3"/>
      <c r="CQZ177" s="3"/>
      <c r="CRA177" s="3"/>
      <c r="CRB177" s="3"/>
      <c r="CRC177" s="3"/>
      <c r="CRD177" s="3"/>
      <c r="CRE177" s="3"/>
      <c r="CRF177" s="3"/>
      <c r="CRG177" s="3"/>
      <c r="CRH177" s="3"/>
      <c r="CRI177" s="3"/>
      <c r="CRJ177" s="3"/>
      <c r="CRK177" s="3"/>
      <c r="CRL177" s="3"/>
      <c r="CRM177" s="3"/>
      <c r="CRN177" s="3"/>
      <c r="CRO177" s="3"/>
      <c r="CRP177" s="3"/>
      <c r="CRQ177" s="3"/>
      <c r="CRR177" s="3"/>
      <c r="CRS177" s="3"/>
      <c r="CRT177" s="3"/>
      <c r="CRU177" s="3"/>
      <c r="CRV177" s="3"/>
      <c r="CRW177" s="3"/>
      <c r="CRX177" s="3"/>
      <c r="CRY177" s="3"/>
      <c r="CRZ177" s="3"/>
      <c r="CSA177" s="3"/>
      <c r="CSB177" s="3"/>
      <c r="CSC177" s="3"/>
      <c r="CSD177" s="3"/>
      <c r="CSE177" s="3"/>
      <c r="CSF177" s="3"/>
      <c r="CSG177" s="3"/>
      <c r="CSH177" s="3"/>
      <c r="CSI177" s="3"/>
      <c r="CSJ177" s="3"/>
      <c r="CSK177" s="3"/>
      <c r="CSL177" s="3"/>
      <c r="CSM177" s="3"/>
      <c r="CSN177" s="3"/>
      <c r="CSO177" s="3"/>
      <c r="CSP177" s="3"/>
      <c r="CSQ177" s="3"/>
      <c r="CSR177" s="3"/>
      <c r="CSS177" s="3"/>
      <c r="CST177" s="3"/>
      <c r="CSU177" s="3"/>
      <c r="CSV177" s="3"/>
      <c r="CSW177" s="3"/>
      <c r="CSX177" s="3"/>
      <c r="CSY177" s="3"/>
      <c r="CSZ177" s="3"/>
      <c r="CTA177" s="3"/>
      <c r="CTB177" s="3"/>
      <c r="CTC177" s="3"/>
      <c r="CTD177" s="3"/>
      <c r="CTE177" s="3"/>
      <c r="CTF177" s="3"/>
      <c r="CTG177" s="3"/>
      <c r="CTH177" s="3"/>
      <c r="CTI177" s="3"/>
      <c r="CTJ177" s="3"/>
      <c r="CTK177" s="3"/>
      <c r="CTL177" s="3"/>
      <c r="CTM177" s="3"/>
      <c r="CTN177" s="3"/>
      <c r="CTO177" s="3"/>
      <c r="CTP177" s="3"/>
      <c r="CTQ177" s="3"/>
      <c r="CTR177" s="3"/>
      <c r="CTS177" s="3"/>
      <c r="CTT177" s="3"/>
      <c r="CTU177" s="3"/>
      <c r="CTV177" s="3"/>
      <c r="CTW177" s="3"/>
      <c r="CTX177" s="3"/>
      <c r="CTY177" s="3"/>
      <c r="CTZ177" s="3"/>
      <c r="CUA177" s="3"/>
      <c r="CUB177" s="3"/>
      <c r="CUC177" s="3"/>
      <c r="CUD177" s="3"/>
      <c r="CUE177" s="3"/>
      <c r="CUF177" s="3"/>
      <c r="CUG177" s="3"/>
      <c r="CUH177" s="3"/>
      <c r="CUI177" s="3"/>
      <c r="CUJ177" s="3"/>
      <c r="CUK177" s="3"/>
      <c r="CUL177" s="3"/>
      <c r="CUM177" s="3"/>
      <c r="CUN177" s="3"/>
      <c r="CUO177" s="3"/>
      <c r="CUP177" s="3"/>
      <c r="CUQ177" s="3"/>
      <c r="CUR177" s="3"/>
      <c r="CUS177" s="3"/>
      <c r="CUT177" s="3"/>
      <c r="CUU177" s="3"/>
      <c r="CUV177" s="3"/>
      <c r="CUW177" s="3"/>
      <c r="CUX177" s="3"/>
      <c r="CUY177" s="3"/>
      <c r="CUZ177" s="3"/>
      <c r="CVA177" s="3"/>
      <c r="CVB177" s="3"/>
      <c r="CVC177" s="3"/>
      <c r="CVD177" s="3"/>
      <c r="CVE177" s="3"/>
      <c r="CVF177" s="3"/>
      <c r="CVG177" s="3"/>
      <c r="CVH177" s="3"/>
      <c r="CVI177" s="3"/>
      <c r="CVJ177" s="3"/>
      <c r="CVK177" s="3"/>
      <c r="CVL177" s="3"/>
      <c r="CVM177" s="3"/>
      <c r="CVN177" s="3"/>
      <c r="CVO177" s="3"/>
      <c r="CVP177" s="3"/>
      <c r="CVQ177" s="3"/>
      <c r="CVR177" s="3"/>
      <c r="CVS177" s="3"/>
      <c r="CVT177" s="3"/>
      <c r="CVU177" s="3"/>
      <c r="CVV177" s="3"/>
      <c r="CVW177" s="3"/>
      <c r="CVX177" s="3"/>
      <c r="CVY177" s="3"/>
      <c r="CVZ177" s="3"/>
      <c r="CWA177" s="3"/>
      <c r="CWB177" s="3"/>
      <c r="CWC177" s="3"/>
      <c r="CWD177" s="3"/>
      <c r="CWE177" s="3"/>
      <c r="CWF177" s="3"/>
      <c r="CWG177" s="3"/>
      <c r="CWH177" s="3"/>
      <c r="CWI177" s="3"/>
      <c r="CWJ177" s="3"/>
      <c r="CWK177" s="3"/>
      <c r="CWL177" s="3"/>
      <c r="CWM177" s="3"/>
      <c r="CWN177" s="3"/>
      <c r="CWO177" s="3"/>
      <c r="CWP177" s="3"/>
      <c r="CWQ177" s="3"/>
      <c r="CWR177" s="3"/>
      <c r="CWS177" s="3"/>
      <c r="CWT177" s="3"/>
      <c r="CWU177" s="3"/>
      <c r="CWV177" s="3"/>
      <c r="CWW177" s="3"/>
      <c r="CWX177" s="3"/>
      <c r="CWY177" s="3"/>
      <c r="CWZ177" s="3"/>
      <c r="CXA177" s="3"/>
      <c r="CXB177" s="3"/>
      <c r="CXC177" s="3"/>
      <c r="CXD177" s="3"/>
      <c r="CXE177" s="3"/>
      <c r="CXF177" s="3"/>
      <c r="CXG177" s="3"/>
      <c r="CXH177" s="3"/>
      <c r="CXI177" s="3"/>
      <c r="CXJ177" s="3"/>
      <c r="CXK177" s="3"/>
      <c r="CXL177" s="3"/>
      <c r="CXM177" s="3"/>
      <c r="CXN177" s="3"/>
      <c r="CXO177" s="3"/>
      <c r="CXP177" s="3"/>
      <c r="CXQ177" s="3"/>
      <c r="CXR177" s="3"/>
      <c r="CXS177" s="3"/>
      <c r="CXT177" s="3"/>
      <c r="CXU177" s="3"/>
      <c r="CXV177" s="3"/>
      <c r="CXW177" s="3"/>
      <c r="CXX177" s="3"/>
      <c r="CXY177" s="3"/>
      <c r="CXZ177" s="3"/>
      <c r="CYA177" s="3"/>
      <c r="CYB177" s="3"/>
      <c r="CYC177" s="3"/>
      <c r="CYD177" s="3"/>
      <c r="CYE177" s="3"/>
      <c r="CYF177" s="3"/>
      <c r="CYG177" s="3"/>
      <c r="CYH177" s="3"/>
      <c r="CYI177" s="3"/>
      <c r="CYJ177" s="3"/>
      <c r="CYK177" s="3"/>
      <c r="CYL177" s="3"/>
      <c r="CYM177" s="3"/>
      <c r="CYN177" s="3"/>
      <c r="CYO177" s="3"/>
      <c r="CYP177" s="3"/>
      <c r="CYQ177" s="3"/>
      <c r="CYR177" s="3"/>
      <c r="CYS177" s="3"/>
      <c r="CYT177" s="3"/>
      <c r="CYU177" s="3"/>
      <c r="CYV177" s="3"/>
      <c r="CYW177" s="3"/>
      <c r="CYX177" s="3"/>
      <c r="CYY177" s="3"/>
      <c r="CYZ177" s="3"/>
      <c r="CZA177" s="3"/>
      <c r="CZB177" s="3"/>
      <c r="CZC177" s="3"/>
      <c r="CZD177" s="3"/>
      <c r="CZE177" s="3"/>
      <c r="CZF177" s="3"/>
      <c r="CZG177" s="3"/>
      <c r="CZH177" s="3"/>
      <c r="CZI177" s="3"/>
      <c r="CZJ177" s="3"/>
      <c r="CZK177" s="3"/>
      <c r="CZL177" s="3"/>
      <c r="CZM177" s="3"/>
      <c r="CZN177" s="3"/>
      <c r="CZO177" s="3"/>
      <c r="CZP177" s="3"/>
      <c r="CZQ177" s="3"/>
      <c r="CZR177" s="3"/>
      <c r="CZS177" s="3"/>
      <c r="CZT177" s="3"/>
      <c r="CZU177" s="3"/>
      <c r="CZV177" s="3"/>
      <c r="CZW177" s="3"/>
      <c r="CZX177" s="3"/>
      <c r="CZY177" s="3"/>
      <c r="CZZ177" s="3"/>
      <c r="DAA177" s="3"/>
      <c r="DAB177" s="3"/>
      <c r="DAC177" s="3"/>
      <c r="DAD177" s="3"/>
      <c r="DAE177" s="3"/>
      <c r="DAF177" s="3"/>
      <c r="DAG177" s="3"/>
      <c r="DAH177" s="3"/>
      <c r="DAI177" s="3"/>
      <c r="DAJ177" s="3"/>
      <c r="DAK177" s="3"/>
      <c r="DAL177" s="3"/>
      <c r="DAM177" s="3"/>
      <c r="DAN177" s="3"/>
      <c r="DAO177" s="3"/>
      <c r="DAP177" s="3"/>
      <c r="DAQ177" s="3"/>
      <c r="DAR177" s="3"/>
      <c r="DAS177" s="3"/>
      <c r="DAT177" s="3"/>
      <c r="DAU177" s="3"/>
      <c r="DAV177" s="3"/>
      <c r="DAW177" s="3"/>
      <c r="DAX177" s="3"/>
      <c r="DAY177" s="3"/>
      <c r="DAZ177" s="3"/>
      <c r="DBA177" s="3"/>
      <c r="DBB177" s="3"/>
      <c r="DBC177" s="3"/>
      <c r="DBD177" s="3"/>
      <c r="DBE177" s="3"/>
      <c r="DBF177" s="3"/>
      <c r="DBG177" s="3"/>
      <c r="DBH177" s="3"/>
      <c r="DBI177" s="3"/>
      <c r="DBJ177" s="3"/>
      <c r="DBK177" s="3"/>
      <c r="DBL177" s="3"/>
      <c r="DBM177" s="3"/>
      <c r="DBN177" s="3"/>
      <c r="DBO177" s="3"/>
      <c r="DBP177" s="3"/>
      <c r="DBQ177" s="3"/>
      <c r="DBR177" s="3"/>
      <c r="DBS177" s="3"/>
      <c r="DBT177" s="3"/>
      <c r="DBU177" s="3"/>
      <c r="DBV177" s="3"/>
      <c r="DBW177" s="3"/>
      <c r="DBX177" s="3"/>
      <c r="DBY177" s="3"/>
      <c r="DBZ177" s="3"/>
      <c r="DCA177" s="3"/>
      <c r="DCB177" s="3"/>
      <c r="DCC177" s="3"/>
      <c r="DCD177" s="3"/>
      <c r="DCE177" s="3"/>
      <c r="DCF177" s="3"/>
      <c r="DCG177" s="3"/>
      <c r="DCH177" s="3"/>
      <c r="DCI177" s="3"/>
      <c r="DCJ177" s="3"/>
      <c r="DCK177" s="3"/>
      <c r="DCL177" s="3"/>
      <c r="DCM177" s="3"/>
      <c r="DCN177" s="3"/>
      <c r="DCO177" s="3"/>
      <c r="DCP177" s="3"/>
      <c r="DCQ177" s="3"/>
      <c r="DCR177" s="3"/>
      <c r="DCS177" s="3"/>
      <c r="DCT177" s="3"/>
      <c r="DCU177" s="3"/>
      <c r="DCV177" s="3"/>
      <c r="DCW177" s="3"/>
      <c r="DCX177" s="3"/>
      <c r="DCY177" s="3"/>
      <c r="DCZ177" s="3"/>
      <c r="DDA177" s="3"/>
      <c r="DDB177" s="3"/>
      <c r="DDC177" s="3"/>
      <c r="DDD177" s="3"/>
      <c r="DDE177" s="3"/>
      <c r="DDF177" s="3"/>
      <c r="DDG177" s="3"/>
      <c r="DDH177" s="3"/>
      <c r="DDI177" s="3"/>
      <c r="DDJ177" s="3"/>
      <c r="DDK177" s="3"/>
      <c r="DDL177" s="3"/>
      <c r="DDM177" s="3"/>
      <c r="DDN177" s="3"/>
      <c r="DDO177" s="3"/>
      <c r="DDP177" s="3"/>
      <c r="DDQ177" s="3"/>
      <c r="DDR177" s="3"/>
      <c r="DDS177" s="3"/>
      <c r="DDT177" s="3"/>
      <c r="DDU177" s="3"/>
      <c r="DDV177" s="3"/>
      <c r="DDW177" s="3"/>
      <c r="DDX177" s="3"/>
      <c r="DDY177" s="3"/>
      <c r="DDZ177" s="3"/>
      <c r="DEA177" s="3"/>
      <c r="DEB177" s="3"/>
      <c r="DEC177" s="3"/>
      <c r="DED177" s="3"/>
      <c r="DEE177" s="3"/>
      <c r="DEF177" s="3"/>
      <c r="DEG177" s="3"/>
      <c r="DEH177" s="3"/>
      <c r="DEI177" s="3"/>
      <c r="DEJ177" s="3"/>
      <c r="DEK177" s="3"/>
      <c r="DEL177" s="3"/>
      <c r="DEM177" s="3"/>
      <c r="DEN177" s="3"/>
      <c r="DEO177" s="3"/>
      <c r="DEP177" s="3"/>
      <c r="DEQ177" s="3"/>
      <c r="DER177" s="3"/>
      <c r="DES177" s="3"/>
      <c r="DET177" s="3"/>
      <c r="DEU177" s="3"/>
      <c r="DEV177" s="3"/>
      <c r="DEW177" s="3"/>
      <c r="DEX177" s="3"/>
      <c r="DEY177" s="3"/>
      <c r="DEZ177" s="3"/>
      <c r="DFA177" s="3"/>
      <c r="DFB177" s="3"/>
      <c r="DFC177" s="3"/>
      <c r="DFD177" s="3"/>
      <c r="DFE177" s="3"/>
      <c r="DFF177" s="3"/>
      <c r="DFG177" s="3"/>
      <c r="DFH177" s="3"/>
      <c r="DFI177" s="3"/>
      <c r="DFJ177" s="3"/>
      <c r="DFK177" s="3"/>
      <c r="DFL177" s="3"/>
      <c r="DFM177" s="3"/>
      <c r="DFN177" s="3"/>
      <c r="DFO177" s="3"/>
      <c r="DFP177" s="3"/>
      <c r="DFQ177" s="3"/>
      <c r="DFR177" s="3"/>
      <c r="DFS177" s="3"/>
      <c r="DFT177" s="3"/>
      <c r="DFU177" s="3"/>
      <c r="DFV177" s="3"/>
      <c r="DFW177" s="3"/>
      <c r="DFX177" s="3"/>
      <c r="DFY177" s="3"/>
      <c r="DFZ177" s="3"/>
      <c r="DGA177" s="3"/>
      <c r="DGB177" s="3"/>
      <c r="DGC177" s="3"/>
      <c r="DGD177" s="3"/>
      <c r="DGE177" s="3"/>
      <c r="DGF177" s="3"/>
      <c r="DGG177" s="3"/>
      <c r="DGH177" s="3"/>
      <c r="DGI177" s="3"/>
      <c r="DGJ177" s="3"/>
      <c r="DGK177" s="3"/>
      <c r="DGL177" s="3"/>
      <c r="DGM177" s="3"/>
      <c r="DGN177" s="3"/>
      <c r="DGO177" s="3"/>
      <c r="DGP177" s="3"/>
      <c r="DGQ177" s="3"/>
      <c r="DGR177" s="3"/>
      <c r="DGS177" s="3"/>
      <c r="DGT177" s="3"/>
      <c r="DGU177" s="3"/>
      <c r="DGV177" s="3"/>
      <c r="DGW177" s="3"/>
      <c r="DGX177" s="3"/>
      <c r="DGY177" s="3"/>
      <c r="DGZ177" s="3"/>
      <c r="DHA177" s="3"/>
      <c r="DHB177" s="3"/>
      <c r="DHC177" s="3"/>
      <c r="DHD177" s="3"/>
      <c r="DHE177" s="3"/>
      <c r="DHF177" s="3"/>
      <c r="DHG177" s="3"/>
      <c r="DHH177" s="3"/>
      <c r="DHI177" s="3"/>
      <c r="DHJ177" s="3"/>
      <c r="DHK177" s="3"/>
      <c r="DHL177" s="3"/>
      <c r="DHM177" s="3"/>
      <c r="DHN177" s="3"/>
      <c r="DHO177" s="3"/>
      <c r="DHP177" s="3"/>
      <c r="DHQ177" s="3"/>
      <c r="DHR177" s="3"/>
      <c r="DHS177" s="3"/>
      <c r="DHT177" s="3"/>
      <c r="DHU177" s="3"/>
      <c r="DHV177" s="3"/>
      <c r="DHW177" s="3"/>
      <c r="DHX177" s="3"/>
      <c r="DHY177" s="3"/>
      <c r="DHZ177" s="3"/>
      <c r="DIA177" s="3"/>
      <c r="DIB177" s="3"/>
      <c r="DIC177" s="3"/>
      <c r="DID177" s="3"/>
      <c r="DIE177" s="3"/>
      <c r="DIF177" s="3"/>
      <c r="DIG177" s="3"/>
      <c r="DIH177" s="3"/>
      <c r="DII177" s="3"/>
      <c r="DIJ177" s="3"/>
      <c r="DIK177" s="3"/>
      <c r="DIL177" s="3"/>
      <c r="DIM177" s="3"/>
      <c r="DIN177" s="3"/>
      <c r="DIO177" s="3"/>
      <c r="DIP177" s="3"/>
      <c r="DIQ177" s="3"/>
      <c r="DIR177" s="3"/>
      <c r="DIS177" s="3"/>
      <c r="DIT177" s="3"/>
      <c r="DIU177" s="3"/>
      <c r="DIV177" s="3"/>
      <c r="DIW177" s="3"/>
      <c r="DIX177" s="3"/>
      <c r="DIY177" s="3"/>
      <c r="DIZ177" s="3"/>
      <c r="DJA177" s="3"/>
      <c r="DJB177" s="3"/>
      <c r="DJC177" s="3"/>
      <c r="DJD177" s="3"/>
      <c r="DJE177" s="3"/>
      <c r="DJF177" s="3"/>
      <c r="DJG177" s="3"/>
      <c r="DJH177" s="3"/>
      <c r="DJI177" s="3"/>
      <c r="DJJ177" s="3"/>
      <c r="DJK177" s="3"/>
      <c r="DJL177" s="3"/>
      <c r="DJM177" s="3"/>
      <c r="DJN177" s="3"/>
      <c r="DJO177" s="3"/>
      <c r="DJP177" s="3"/>
      <c r="DJQ177" s="3"/>
      <c r="DJR177" s="3"/>
      <c r="DJS177" s="3"/>
      <c r="DJT177" s="3"/>
      <c r="DJU177" s="3"/>
      <c r="DJV177" s="3"/>
      <c r="DJW177" s="3"/>
      <c r="DJX177" s="3"/>
      <c r="DJY177" s="3"/>
      <c r="DJZ177" s="3"/>
      <c r="DKA177" s="3"/>
      <c r="DKB177" s="3"/>
      <c r="DKC177" s="3"/>
      <c r="DKD177" s="3"/>
      <c r="DKE177" s="3"/>
      <c r="DKF177" s="3"/>
      <c r="DKG177" s="3"/>
      <c r="DKH177" s="3"/>
      <c r="DKI177" s="3"/>
      <c r="DKJ177" s="3"/>
      <c r="DKK177" s="3"/>
      <c r="DKL177" s="3"/>
      <c r="DKM177" s="3"/>
      <c r="DKN177" s="3"/>
      <c r="DKO177" s="3"/>
      <c r="DKP177" s="3"/>
      <c r="DKQ177" s="3"/>
      <c r="DKR177" s="3"/>
      <c r="DKS177" s="3"/>
      <c r="DKT177" s="3"/>
      <c r="DKU177" s="3"/>
      <c r="DKV177" s="3"/>
      <c r="DKW177" s="3"/>
      <c r="DKX177" s="3"/>
      <c r="DKY177" s="3"/>
      <c r="DKZ177" s="3"/>
      <c r="DLA177" s="3"/>
      <c r="DLB177" s="3"/>
      <c r="DLC177" s="3"/>
      <c r="DLD177" s="3"/>
      <c r="DLE177" s="3"/>
      <c r="DLF177" s="3"/>
      <c r="DLG177" s="3"/>
      <c r="DLH177" s="3"/>
      <c r="DLI177" s="3"/>
      <c r="DLJ177" s="3"/>
      <c r="DLK177" s="3"/>
      <c r="DLL177" s="3"/>
      <c r="DLM177" s="3"/>
      <c r="DLN177" s="3"/>
      <c r="DLO177" s="3"/>
      <c r="DLP177" s="3"/>
      <c r="DLQ177" s="3"/>
      <c r="DLR177" s="3"/>
      <c r="DLS177" s="3"/>
      <c r="DLT177" s="3"/>
      <c r="DLU177" s="3"/>
      <c r="DLV177" s="3"/>
      <c r="DLW177" s="3"/>
      <c r="DLX177" s="3"/>
      <c r="DLY177" s="3"/>
      <c r="DLZ177" s="3"/>
      <c r="DMA177" s="3"/>
      <c r="DMB177" s="3"/>
      <c r="DMC177" s="3"/>
      <c r="DMD177" s="3"/>
      <c r="DME177" s="3"/>
      <c r="DMF177" s="3"/>
      <c r="DMG177" s="3"/>
      <c r="DMH177" s="3"/>
      <c r="DMI177" s="3"/>
      <c r="DMJ177" s="3"/>
      <c r="DMK177" s="3"/>
      <c r="DML177" s="3"/>
      <c r="DMM177" s="3"/>
      <c r="DMN177" s="3"/>
      <c r="DMO177" s="3"/>
      <c r="DMP177" s="3"/>
      <c r="DMQ177" s="3"/>
      <c r="DMR177" s="3"/>
      <c r="DMS177" s="3"/>
      <c r="DMT177" s="3"/>
      <c r="DMU177" s="3"/>
      <c r="DMV177" s="3"/>
      <c r="DMW177" s="3"/>
      <c r="DMX177" s="3"/>
      <c r="DMY177" s="3"/>
      <c r="DMZ177" s="3"/>
      <c r="DNA177" s="3"/>
      <c r="DNB177" s="3"/>
      <c r="DNC177" s="3"/>
      <c r="DND177" s="3"/>
      <c r="DNE177" s="3"/>
      <c r="DNF177" s="3"/>
      <c r="DNG177" s="3"/>
      <c r="DNH177" s="3"/>
      <c r="DNI177" s="3"/>
      <c r="DNJ177" s="3"/>
      <c r="DNK177" s="3"/>
      <c r="DNL177" s="3"/>
      <c r="DNM177" s="3"/>
      <c r="DNN177" s="3"/>
      <c r="DNO177" s="3"/>
      <c r="DNP177" s="3"/>
      <c r="DNQ177" s="3"/>
      <c r="DNR177" s="3"/>
      <c r="DNS177" s="3"/>
      <c r="DNT177" s="3"/>
      <c r="DNU177" s="3"/>
      <c r="DNV177" s="3"/>
      <c r="DNW177" s="3"/>
      <c r="DNX177" s="3"/>
      <c r="DNY177" s="3"/>
      <c r="DNZ177" s="3"/>
      <c r="DOA177" s="3"/>
      <c r="DOB177" s="3"/>
      <c r="DOC177" s="3"/>
      <c r="DOD177" s="3"/>
      <c r="DOE177" s="3"/>
      <c r="DOF177" s="3"/>
      <c r="DOG177" s="3"/>
      <c r="DOH177" s="3"/>
      <c r="DOI177" s="3"/>
      <c r="DOJ177" s="3"/>
      <c r="DOK177" s="3"/>
      <c r="DOL177" s="3"/>
      <c r="DOM177" s="3"/>
      <c r="DON177" s="3"/>
      <c r="DOO177" s="3"/>
      <c r="DOP177" s="3"/>
      <c r="DOQ177" s="3"/>
      <c r="DOR177" s="3"/>
      <c r="DOS177" s="3"/>
      <c r="DOT177" s="3"/>
      <c r="DOU177" s="3"/>
      <c r="DOV177" s="3"/>
      <c r="DOW177" s="3"/>
      <c r="DOX177" s="3"/>
      <c r="DOY177" s="3"/>
      <c r="DOZ177" s="3"/>
      <c r="DPA177" s="3"/>
      <c r="DPB177" s="3"/>
      <c r="DPC177" s="3"/>
      <c r="DPD177" s="3"/>
      <c r="DPE177" s="3"/>
      <c r="DPF177" s="3"/>
      <c r="DPG177" s="3"/>
      <c r="DPH177" s="3"/>
      <c r="DPI177" s="3"/>
      <c r="DPJ177" s="3"/>
      <c r="DPK177" s="3"/>
      <c r="DPL177" s="3"/>
      <c r="DPM177" s="3"/>
      <c r="DPN177" s="3"/>
      <c r="DPO177" s="3"/>
      <c r="DPP177" s="3"/>
      <c r="DPQ177" s="3"/>
      <c r="DPR177" s="3"/>
      <c r="DPS177" s="3"/>
      <c r="DPT177" s="3"/>
      <c r="DPU177" s="3"/>
      <c r="DPV177" s="3"/>
      <c r="DPW177" s="3"/>
      <c r="DPX177" s="3"/>
      <c r="DPY177" s="3"/>
      <c r="DPZ177" s="3"/>
      <c r="DQA177" s="3"/>
      <c r="DQB177" s="3"/>
      <c r="DQC177" s="3"/>
      <c r="DQD177" s="3"/>
      <c r="DQE177" s="3"/>
      <c r="DQF177" s="3"/>
      <c r="DQG177" s="3"/>
      <c r="DQH177" s="3"/>
      <c r="DQI177" s="3"/>
      <c r="DQJ177" s="3"/>
      <c r="DQK177" s="3"/>
      <c r="DQL177" s="3"/>
      <c r="DQM177" s="3"/>
      <c r="DQN177" s="3"/>
      <c r="DQO177" s="3"/>
      <c r="DQP177" s="3"/>
      <c r="DQQ177" s="3"/>
      <c r="DQR177" s="3"/>
      <c r="DQS177" s="3"/>
      <c r="DQT177" s="3"/>
      <c r="DQU177" s="3"/>
      <c r="DQV177" s="3"/>
      <c r="DQW177" s="3"/>
      <c r="DQX177" s="3"/>
      <c r="DQY177" s="3"/>
      <c r="DQZ177" s="3"/>
      <c r="DRA177" s="3"/>
      <c r="DRB177" s="3"/>
      <c r="DRC177" s="3"/>
      <c r="DRD177" s="3"/>
      <c r="DRE177" s="3"/>
      <c r="DRF177" s="3"/>
      <c r="DRG177" s="3"/>
      <c r="DRH177" s="3"/>
      <c r="DRI177" s="3"/>
      <c r="DRJ177" s="3"/>
      <c r="DRK177" s="3"/>
      <c r="DRL177" s="3"/>
      <c r="DRM177" s="3"/>
      <c r="DRN177" s="3"/>
      <c r="DRO177" s="3"/>
      <c r="DRP177" s="3"/>
      <c r="DRQ177" s="3"/>
      <c r="DRR177" s="3"/>
      <c r="DRS177" s="3"/>
      <c r="DRT177" s="3"/>
      <c r="DRU177" s="3"/>
      <c r="DRV177" s="3"/>
      <c r="DRW177" s="3"/>
      <c r="DRX177" s="3"/>
      <c r="DRY177" s="3"/>
      <c r="DRZ177" s="3"/>
      <c r="DSA177" s="3"/>
      <c r="DSB177" s="3"/>
      <c r="DSC177" s="3"/>
      <c r="DSD177" s="3"/>
      <c r="DSE177" s="3"/>
      <c r="DSF177" s="3"/>
      <c r="DSG177" s="3"/>
      <c r="DSH177" s="3"/>
      <c r="DSI177" s="3"/>
      <c r="DSJ177" s="3"/>
      <c r="DSK177" s="3"/>
      <c r="DSL177" s="3"/>
      <c r="DSM177" s="3"/>
      <c r="DSN177" s="3"/>
      <c r="DSO177" s="3"/>
      <c r="DSP177" s="3"/>
      <c r="DSQ177" s="3"/>
      <c r="DSR177" s="3"/>
      <c r="DSS177" s="3"/>
      <c r="DST177" s="3"/>
      <c r="DSU177" s="3"/>
      <c r="DSV177" s="3"/>
      <c r="DSW177" s="3"/>
      <c r="DSX177" s="3"/>
      <c r="DSY177" s="3"/>
      <c r="DSZ177" s="3"/>
      <c r="DTA177" s="3"/>
      <c r="DTB177" s="3"/>
      <c r="DTC177" s="3"/>
      <c r="DTD177" s="3"/>
      <c r="DTE177" s="3"/>
      <c r="DTF177" s="3"/>
      <c r="DTG177" s="3"/>
      <c r="DTH177" s="3"/>
      <c r="DTI177" s="3"/>
      <c r="DTJ177" s="3"/>
      <c r="DTK177" s="3"/>
      <c r="DTL177" s="3"/>
      <c r="DTM177" s="3"/>
      <c r="DTN177" s="3"/>
      <c r="DTO177" s="3"/>
      <c r="DTP177" s="3"/>
      <c r="DTQ177" s="3"/>
      <c r="DTR177" s="3"/>
      <c r="DTS177" s="3"/>
      <c r="DTT177" s="3"/>
      <c r="DTU177" s="3"/>
      <c r="DTV177" s="3"/>
      <c r="DTW177" s="3"/>
      <c r="DTX177" s="3"/>
      <c r="DTY177" s="3"/>
      <c r="DTZ177" s="3"/>
      <c r="DUA177" s="3"/>
      <c r="DUB177" s="3"/>
      <c r="DUC177" s="3"/>
      <c r="DUD177" s="3"/>
      <c r="DUE177" s="3"/>
      <c r="DUF177" s="3"/>
      <c r="DUG177" s="3"/>
      <c r="DUH177" s="3"/>
      <c r="DUI177" s="3"/>
      <c r="DUJ177" s="3"/>
      <c r="DUK177" s="3"/>
      <c r="DUL177" s="3"/>
      <c r="DUM177" s="3"/>
      <c r="DUN177" s="3"/>
      <c r="DUO177" s="3"/>
      <c r="DUP177" s="3"/>
      <c r="DUQ177" s="3"/>
      <c r="DUR177" s="3"/>
      <c r="DUS177" s="3"/>
      <c r="DUT177" s="3"/>
      <c r="DUU177" s="3"/>
      <c r="DUV177" s="3"/>
      <c r="DUW177" s="3"/>
      <c r="DUX177" s="3"/>
      <c r="DUY177" s="3"/>
      <c r="DUZ177" s="3"/>
      <c r="DVA177" s="3"/>
      <c r="DVB177" s="3"/>
      <c r="DVC177" s="3"/>
      <c r="DVD177" s="3"/>
      <c r="DVE177" s="3"/>
      <c r="DVF177" s="3"/>
      <c r="DVG177" s="3"/>
      <c r="DVH177" s="3"/>
      <c r="DVI177" s="3"/>
      <c r="DVJ177" s="3"/>
      <c r="DVK177" s="3"/>
      <c r="DVL177" s="3"/>
      <c r="DVM177" s="3"/>
      <c r="DVN177" s="3"/>
      <c r="DVO177" s="3"/>
      <c r="DVP177" s="3"/>
      <c r="DVQ177" s="3"/>
      <c r="DVR177" s="3"/>
      <c r="DVS177" s="3"/>
      <c r="DVT177" s="3"/>
      <c r="DVU177" s="3"/>
      <c r="DVV177" s="3"/>
      <c r="DVW177" s="3"/>
      <c r="DVX177" s="3"/>
      <c r="DVY177" s="3"/>
      <c r="DVZ177" s="3"/>
      <c r="DWA177" s="3"/>
      <c r="DWB177" s="3"/>
      <c r="DWC177" s="3"/>
      <c r="DWD177" s="3"/>
      <c r="DWE177" s="3"/>
      <c r="DWF177" s="3"/>
      <c r="DWG177" s="3"/>
      <c r="DWH177" s="3"/>
      <c r="DWI177" s="3"/>
      <c r="DWJ177" s="3"/>
      <c r="DWK177" s="3"/>
      <c r="DWL177" s="3"/>
      <c r="DWM177" s="3"/>
      <c r="DWN177" s="3"/>
      <c r="DWO177" s="3"/>
      <c r="DWP177" s="3"/>
      <c r="DWQ177" s="3"/>
      <c r="DWR177" s="3"/>
      <c r="DWS177" s="3"/>
      <c r="DWT177" s="3"/>
      <c r="DWU177" s="3"/>
      <c r="DWV177" s="3"/>
      <c r="DWW177" s="3"/>
      <c r="DWX177" s="3"/>
      <c r="DWY177" s="3"/>
      <c r="DWZ177" s="3"/>
      <c r="DXA177" s="3"/>
      <c r="DXB177" s="3"/>
      <c r="DXC177" s="3"/>
      <c r="DXD177" s="3"/>
      <c r="DXE177" s="3"/>
      <c r="DXF177" s="3"/>
      <c r="DXG177" s="3"/>
      <c r="DXH177" s="3"/>
      <c r="DXI177" s="3"/>
      <c r="DXJ177" s="3"/>
      <c r="DXK177" s="3"/>
      <c r="DXL177" s="3"/>
      <c r="DXM177" s="3"/>
      <c r="DXN177" s="3"/>
      <c r="DXO177" s="3"/>
      <c r="DXP177" s="3"/>
      <c r="DXQ177" s="3"/>
      <c r="DXR177" s="3"/>
      <c r="DXS177" s="3"/>
      <c r="DXT177" s="3"/>
      <c r="DXU177" s="3"/>
      <c r="DXV177" s="3"/>
      <c r="DXW177" s="3"/>
      <c r="DXX177" s="3"/>
      <c r="DXY177" s="3"/>
      <c r="DXZ177" s="3"/>
      <c r="DYA177" s="3"/>
      <c r="DYB177" s="3"/>
      <c r="DYC177" s="3"/>
      <c r="DYD177" s="3"/>
      <c r="DYE177" s="3"/>
      <c r="DYF177" s="3"/>
      <c r="DYG177" s="3"/>
      <c r="DYH177" s="3"/>
      <c r="DYI177" s="3"/>
      <c r="DYJ177" s="3"/>
      <c r="DYK177" s="3"/>
      <c r="DYL177" s="3"/>
      <c r="DYM177" s="3"/>
      <c r="DYN177" s="3"/>
      <c r="DYO177" s="3"/>
      <c r="DYP177" s="3"/>
      <c r="DYQ177" s="3"/>
      <c r="DYR177" s="3"/>
      <c r="DYS177" s="3"/>
      <c r="DYT177" s="3"/>
      <c r="DYU177" s="3"/>
      <c r="DYV177" s="3"/>
      <c r="DYW177" s="3"/>
      <c r="DYX177" s="3"/>
      <c r="DYY177" s="3"/>
      <c r="DYZ177" s="3"/>
      <c r="DZA177" s="3"/>
      <c r="DZB177" s="3"/>
      <c r="DZC177" s="3"/>
      <c r="DZD177" s="3"/>
      <c r="DZE177" s="3"/>
      <c r="DZF177" s="3"/>
      <c r="DZG177" s="3"/>
      <c r="DZH177" s="3"/>
      <c r="DZI177" s="3"/>
      <c r="DZJ177" s="3"/>
      <c r="DZK177" s="3"/>
      <c r="DZL177" s="3"/>
      <c r="DZM177" s="3"/>
      <c r="DZN177" s="3"/>
      <c r="DZO177" s="3"/>
      <c r="DZP177" s="3"/>
      <c r="DZQ177" s="3"/>
      <c r="DZR177" s="3"/>
      <c r="DZS177" s="3"/>
      <c r="DZT177" s="3"/>
      <c r="DZU177" s="3"/>
      <c r="DZV177" s="3"/>
      <c r="DZW177" s="3"/>
      <c r="DZX177" s="3"/>
      <c r="DZY177" s="3"/>
      <c r="DZZ177" s="3"/>
      <c r="EAA177" s="3"/>
      <c r="EAB177" s="3"/>
      <c r="EAC177" s="3"/>
      <c r="EAD177" s="3"/>
      <c r="EAE177" s="3"/>
      <c r="EAF177" s="3"/>
      <c r="EAG177" s="3"/>
      <c r="EAH177" s="3"/>
      <c r="EAI177" s="3"/>
      <c r="EAJ177" s="3"/>
      <c r="EAK177" s="3"/>
      <c r="EAL177" s="3"/>
      <c r="EAM177" s="3"/>
      <c r="EAN177" s="3"/>
      <c r="EAO177" s="3"/>
      <c r="EAP177" s="3"/>
      <c r="EAQ177" s="3"/>
      <c r="EAR177" s="3"/>
      <c r="EAS177" s="3"/>
      <c r="EAT177" s="3"/>
      <c r="EAU177" s="3"/>
      <c r="EAV177" s="3"/>
      <c r="EAW177" s="3"/>
      <c r="EAX177" s="3"/>
      <c r="EAY177" s="3"/>
      <c r="EAZ177" s="3"/>
      <c r="EBA177" s="3"/>
      <c r="EBB177" s="3"/>
      <c r="EBC177" s="3"/>
      <c r="EBD177" s="3"/>
      <c r="EBE177" s="3"/>
      <c r="EBF177" s="3"/>
      <c r="EBG177" s="3"/>
      <c r="EBH177" s="3"/>
      <c r="EBI177" s="3"/>
      <c r="EBJ177" s="3"/>
      <c r="EBK177" s="3"/>
      <c r="EBL177" s="3"/>
      <c r="EBM177" s="3"/>
      <c r="EBN177" s="3"/>
      <c r="EBO177" s="3"/>
      <c r="EBP177" s="3"/>
      <c r="EBQ177" s="3"/>
      <c r="EBR177" s="3"/>
      <c r="EBS177" s="3"/>
      <c r="EBT177" s="3"/>
      <c r="EBU177" s="3"/>
      <c r="EBV177" s="3"/>
      <c r="EBW177" s="3"/>
      <c r="EBX177" s="3"/>
      <c r="EBY177" s="3"/>
      <c r="EBZ177" s="3"/>
      <c r="ECA177" s="3"/>
      <c r="ECB177" s="3"/>
      <c r="ECC177" s="3"/>
      <c r="ECD177" s="3"/>
      <c r="ECE177" s="3"/>
      <c r="ECF177" s="3"/>
      <c r="ECG177" s="3"/>
      <c r="ECH177" s="3"/>
      <c r="ECI177" s="3"/>
      <c r="ECJ177" s="3"/>
      <c r="ECK177" s="3"/>
      <c r="ECL177" s="3"/>
      <c r="ECM177" s="3"/>
      <c r="ECN177" s="3"/>
      <c r="ECO177" s="3"/>
      <c r="ECP177" s="3"/>
      <c r="ECQ177" s="3"/>
      <c r="ECR177" s="3"/>
      <c r="ECS177" s="3"/>
      <c r="ECT177" s="3"/>
      <c r="ECU177" s="3"/>
      <c r="ECV177" s="3"/>
      <c r="ECW177" s="3"/>
      <c r="ECX177" s="3"/>
      <c r="ECY177" s="3"/>
      <c r="ECZ177" s="3"/>
      <c r="EDA177" s="3"/>
      <c r="EDB177" s="3"/>
      <c r="EDC177" s="3"/>
      <c r="EDD177" s="3"/>
      <c r="EDE177" s="3"/>
      <c r="EDF177" s="3"/>
      <c r="EDG177" s="3"/>
      <c r="EDH177" s="3"/>
      <c r="EDI177" s="3"/>
      <c r="EDJ177" s="3"/>
      <c r="EDK177" s="3"/>
      <c r="EDL177" s="3"/>
      <c r="EDM177" s="3"/>
      <c r="EDN177" s="3"/>
      <c r="EDO177" s="3"/>
      <c r="EDP177" s="3"/>
      <c r="EDQ177" s="3"/>
      <c r="EDR177" s="3"/>
      <c r="EDS177" s="3"/>
      <c r="EDT177" s="3"/>
      <c r="EDU177" s="3"/>
      <c r="EDV177" s="3"/>
      <c r="EDW177" s="3"/>
      <c r="EDX177" s="3"/>
      <c r="EDY177" s="3"/>
      <c r="EDZ177" s="3"/>
      <c r="EEA177" s="3"/>
      <c r="EEB177" s="3"/>
      <c r="EEC177" s="3"/>
      <c r="EED177" s="3"/>
      <c r="EEE177" s="3"/>
      <c r="EEF177" s="3"/>
      <c r="EEG177" s="3"/>
      <c r="EEH177" s="3"/>
      <c r="EEI177" s="3"/>
      <c r="EEJ177" s="3"/>
      <c r="EEK177" s="3"/>
      <c r="EEL177" s="3"/>
      <c r="EEM177" s="3"/>
      <c r="EEN177" s="3"/>
      <c r="EEO177" s="3"/>
      <c r="EEP177" s="3"/>
      <c r="EEQ177" s="3"/>
      <c r="EER177" s="3"/>
      <c r="EES177" s="3"/>
      <c r="EET177" s="3"/>
      <c r="EEU177" s="3"/>
      <c r="EEV177" s="3"/>
      <c r="EEW177" s="3"/>
      <c r="EEX177" s="3"/>
      <c r="EEY177" s="3"/>
      <c r="EEZ177" s="3"/>
      <c r="EFA177" s="3"/>
      <c r="EFB177" s="3"/>
      <c r="EFC177" s="3"/>
      <c r="EFD177" s="3"/>
      <c r="EFE177" s="3"/>
      <c r="EFF177" s="3"/>
      <c r="EFG177" s="3"/>
      <c r="EFH177" s="3"/>
      <c r="EFI177" s="3"/>
      <c r="EFJ177" s="3"/>
      <c r="EFK177" s="3"/>
      <c r="EFL177" s="3"/>
      <c r="EFM177" s="3"/>
      <c r="EFN177" s="3"/>
      <c r="EFO177" s="3"/>
      <c r="EFP177" s="3"/>
      <c r="EFQ177" s="3"/>
      <c r="EFR177" s="3"/>
      <c r="EFS177" s="3"/>
      <c r="EFT177" s="3"/>
      <c r="EFU177" s="3"/>
      <c r="EFV177" s="3"/>
      <c r="EFW177" s="3"/>
      <c r="EFX177" s="3"/>
      <c r="EFY177" s="3"/>
      <c r="EFZ177" s="3"/>
      <c r="EGA177" s="3"/>
      <c r="EGB177" s="3"/>
      <c r="EGC177" s="3"/>
      <c r="EGD177" s="3"/>
      <c r="EGE177" s="3"/>
      <c r="EGF177" s="3"/>
      <c r="EGG177" s="3"/>
      <c r="EGH177" s="3"/>
      <c r="EGI177" s="3"/>
      <c r="EGJ177" s="3"/>
      <c r="EGK177" s="3"/>
      <c r="EGL177" s="3"/>
      <c r="EGM177" s="3"/>
      <c r="EGN177" s="3"/>
      <c r="EGO177" s="3"/>
      <c r="EGP177" s="3"/>
      <c r="EGQ177" s="3"/>
      <c r="EGR177" s="3"/>
      <c r="EGS177" s="3"/>
      <c r="EGT177" s="3"/>
      <c r="EGU177" s="3"/>
      <c r="EGV177" s="3"/>
      <c r="EGW177" s="3"/>
      <c r="EGX177" s="3"/>
      <c r="EGY177" s="3"/>
      <c r="EGZ177" s="3"/>
      <c r="EHA177" s="3"/>
      <c r="EHB177" s="3"/>
      <c r="EHC177" s="3"/>
      <c r="EHD177" s="3"/>
      <c r="EHE177" s="3"/>
      <c r="EHF177" s="3"/>
      <c r="EHG177" s="3"/>
      <c r="EHH177" s="3"/>
      <c r="EHI177" s="3"/>
      <c r="EHJ177" s="3"/>
      <c r="EHK177" s="3"/>
      <c r="EHL177" s="3"/>
      <c r="EHM177" s="3"/>
      <c r="EHN177" s="3"/>
      <c r="EHO177" s="3"/>
      <c r="EHP177" s="3"/>
      <c r="EHQ177" s="3"/>
      <c r="EHR177" s="3"/>
      <c r="EHS177" s="3"/>
      <c r="EHT177" s="3"/>
      <c r="EHU177" s="3"/>
      <c r="EHV177" s="3"/>
      <c r="EHW177" s="3"/>
      <c r="EHX177" s="3"/>
      <c r="EHY177" s="3"/>
      <c r="EHZ177" s="3"/>
      <c r="EIA177" s="3"/>
      <c r="EIB177" s="3"/>
      <c r="EIC177" s="3"/>
      <c r="EID177" s="3"/>
      <c r="EIE177" s="3"/>
      <c r="EIF177" s="3"/>
      <c r="EIG177" s="3"/>
      <c r="EIH177" s="3"/>
      <c r="EII177" s="3"/>
      <c r="EIJ177" s="3"/>
      <c r="EIK177" s="3"/>
      <c r="EIL177" s="3"/>
      <c r="EIM177" s="3"/>
      <c r="EIN177" s="3"/>
      <c r="EIO177" s="3"/>
      <c r="EIP177" s="3"/>
      <c r="EIQ177" s="3"/>
      <c r="EIR177" s="3"/>
      <c r="EIS177" s="3"/>
      <c r="EIT177" s="3"/>
      <c r="EIU177" s="3"/>
      <c r="EIV177" s="3"/>
      <c r="EIW177" s="3"/>
      <c r="EIX177" s="3"/>
      <c r="EIY177" s="3"/>
      <c r="EIZ177" s="3"/>
      <c r="EJA177" s="3"/>
      <c r="EJB177" s="3"/>
      <c r="EJC177" s="3"/>
      <c r="EJD177" s="3"/>
      <c r="EJE177" s="3"/>
      <c r="EJF177" s="3"/>
      <c r="EJG177" s="3"/>
      <c r="EJH177" s="3"/>
      <c r="EJI177" s="3"/>
      <c r="EJJ177" s="3"/>
      <c r="EJK177" s="3"/>
      <c r="EJL177" s="3"/>
      <c r="EJM177" s="3"/>
      <c r="EJN177" s="3"/>
      <c r="EJO177" s="3"/>
      <c r="EJP177" s="3"/>
      <c r="EJQ177" s="3"/>
      <c r="EJR177" s="3"/>
      <c r="EJS177" s="3"/>
      <c r="EJT177" s="3"/>
      <c r="EJU177" s="3"/>
      <c r="EJV177" s="3"/>
      <c r="EJW177" s="3"/>
      <c r="EJX177" s="3"/>
      <c r="EJY177" s="3"/>
      <c r="EJZ177" s="3"/>
      <c r="EKA177" s="3"/>
      <c r="EKB177" s="3"/>
      <c r="EKC177" s="3"/>
      <c r="EKD177" s="3"/>
      <c r="EKE177" s="3"/>
      <c r="EKF177" s="3"/>
      <c r="EKG177" s="3"/>
      <c r="EKH177" s="3"/>
      <c r="EKI177" s="3"/>
      <c r="EKJ177" s="3"/>
      <c r="EKK177" s="3"/>
      <c r="EKL177" s="3"/>
      <c r="EKM177" s="3"/>
      <c r="EKN177" s="3"/>
      <c r="EKO177" s="3"/>
      <c r="EKP177" s="3"/>
      <c r="EKQ177" s="3"/>
      <c r="EKR177" s="3"/>
      <c r="EKS177" s="3"/>
      <c r="EKT177" s="3"/>
      <c r="EKU177" s="3"/>
      <c r="EKV177" s="3"/>
      <c r="EKW177" s="3"/>
      <c r="EKX177" s="3"/>
      <c r="EKY177" s="3"/>
      <c r="EKZ177" s="3"/>
      <c r="ELA177" s="3"/>
      <c r="ELB177" s="3"/>
      <c r="ELC177" s="3"/>
      <c r="ELD177" s="3"/>
      <c r="ELE177" s="3"/>
      <c r="ELF177" s="3"/>
      <c r="ELG177" s="3"/>
      <c r="ELH177" s="3"/>
      <c r="ELI177" s="3"/>
      <c r="ELJ177" s="3"/>
      <c r="ELK177" s="3"/>
      <c r="ELL177" s="3"/>
      <c r="ELM177" s="3"/>
      <c r="ELN177" s="3"/>
      <c r="ELO177" s="3"/>
      <c r="ELP177" s="3"/>
      <c r="ELQ177" s="3"/>
      <c r="ELR177" s="3"/>
      <c r="ELS177" s="3"/>
      <c r="ELT177" s="3"/>
      <c r="ELU177" s="3"/>
      <c r="ELV177" s="3"/>
      <c r="ELW177" s="3"/>
      <c r="ELX177" s="3"/>
      <c r="ELY177" s="3"/>
      <c r="ELZ177" s="3"/>
      <c r="EMA177" s="3"/>
      <c r="EMB177" s="3"/>
      <c r="EMC177" s="3"/>
      <c r="EMD177" s="3"/>
      <c r="EME177" s="3"/>
      <c r="EMF177" s="3"/>
      <c r="EMG177" s="3"/>
      <c r="EMH177" s="3"/>
      <c r="EMI177" s="3"/>
      <c r="EMJ177" s="3"/>
      <c r="EMK177" s="3"/>
      <c r="EML177" s="3"/>
      <c r="EMM177" s="3"/>
      <c r="EMN177" s="3"/>
      <c r="EMO177" s="3"/>
      <c r="EMP177" s="3"/>
      <c r="EMQ177" s="3"/>
      <c r="EMR177" s="3"/>
      <c r="EMS177" s="3"/>
      <c r="EMT177" s="3"/>
      <c r="EMU177" s="3"/>
      <c r="EMV177" s="3"/>
      <c r="EMW177" s="3"/>
      <c r="EMX177" s="3"/>
      <c r="EMY177" s="3"/>
      <c r="EMZ177" s="3"/>
      <c r="ENA177" s="3"/>
      <c r="ENB177" s="3"/>
      <c r="ENC177" s="3"/>
      <c r="END177" s="3"/>
      <c r="ENE177" s="3"/>
      <c r="ENF177" s="3"/>
      <c r="ENG177" s="3"/>
      <c r="ENH177" s="3"/>
      <c r="ENI177" s="3"/>
      <c r="ENJ177" s="3"/>
      <c r="ENK177" s="3"/>
      <c r="ENL177" s="3"/>
      <c r="ENM177" s="3"/>
      <c r="ENN177" s="3"/>
      <c r="ENO177" s="3"/>
      <c r="ENP177" s="3"/>
      <c r="ENQ177" s="3"/>
      <c r="ENR177" s="3"/>
      <c r="ENS177" s="3"/>
      <c r="ENT177" s="3"/>
      <c r="ENU177" s="3"/>
      <c r="ENV177" s="3"/>
      <c r="ENW177" s="3"/>
      <c r="ENX177" s="3"/>
      <c r="ENY177" s="3"/>
      <c r="ENZ177" s="3"/>
      <c r="EOA177" s="3"/>
      <c r="EOB177" s="3"/>
      <c r="EOC177" s="3"/>
      <c r="EOD177" s="3"/>
      <c r="EOE177" s="3"/>
      <c r="EOF177" s="3"/>
      <c r="EOG177" s="3"/>
      <c r="EOH177" s="3"/>
      <c r="EOI177" s="3"/>
      <c r="EOJ177" s="3"/>
      <c r="EOK177" s="3"/>
      <c r="EOL177" s="3"/>
      <c r="EOM177" s="3"/>
      <c r="EON177" s="3"/>
      <c r="EOO177" s="3"/>
      <c r="EOP177" s="3"/>
      <c r="EOQ177" s="3"/>
      <c r="EOR177" s="3"/>
      <c r="EOS177" s="3"/>
      <c r="EOT177" s="3"/>
      <c r="EOU177" s="3"/>
      <c r="EOV177" s="3"/>
      <c r="EOW177" s="3"/>
      <c r="EOX177" s="3"/>
      <c r="EOY177" s="3"/>
      <c r="EOZ177" s="3"/>
      <c r="EPA177" s="3"/>
      <c r="EPB177" s="3"/>
      <c r="EPC177" s="3"/>
      <c r="EPD177" s="3"/>
      <c r="EPE177" s="3"/>
      <c r="EPF177" s="3"/>
      <c r="EPG177" s="3"/>
      <c r="EPH177" s="3"/>
      <c r="EPI177" s="3"/>
      <c r="EPJ177" s="3"/>
      <c r="EPK177" s="3"/>
      <c r="EPL177" s="3"/>
      <c r="EPM177" s="3"/>
      <c r="EPN177" s="3"/>
      <c r="EPO177" s="3"/>
      <c r="EPP177" s="3"/>
      <c r="EPQ177" s="3"/>
      <c r="EPR177" s="3"/>
      <c r="EPS177" s="3"/>
      <c r="EPT177" s="3"/>
      <c r="EPU177" s="3"/>
      <c r="EPV177" s="3"/>
      <c r="EPW177" s="3"/>
      <c r="EPX177" s="3"/>
      <c r="EPY177" s="3"/>
      <c r="EPZ177" s="3"/>
      <c r="EQA177" s="3"/>
      <c r="EQB177" s="3"/>
      <c r="EQC177" s="3"/>
      <c r="EQD177" s="3"/>
      <c r="EQE177" s="3"/>
      <c r="EQF177" s="3"/>
      <c r="EQG177" s="3"/>
      <c r="EQH177" s="3"/>
      <c r="EQI177" s="3"/>
      <c r="EQJ177" s="3"/>
      <c r="EQK177" s="3"/>
      <c r="EQL177" s="3"/>
      <c r="EQM177" s="3"/>
      <c r="EQN177" s="3"/>
      <c r="EQO177" s="3"/>
      <c r="EQP177" s="3"/>
      <c r="EQQ177" s="3"/>
      <c r="EQR177" s="3"/>
      <c r="EQS177" s="3"/>
      <c r="EQT177" s="3"/>
      <c r="EQU177" s="3"/>
      <c r="EQV177" s="3"/>
      <c r="EQW177" s="3"/>
      <c r="EQX177" s="3"/>
      <c r="EQY177" s="3"/>
      <c r="EQZ177" s="3"/>
      <c r="ERA177" s="3"/>
      <c r="ERB177" s="3"/>
      <c r="ERC177" s="3"/>
      <c r="ERD177" s="3"/>
      <c r="ERE177" s="3"/>
      <c r="ERF177" s="3"/>
      <c r="ERG177" s="3"/>
      <c r="ERH177" s="3"/>
      <c r="ERI177" s="3"/>
      <c r="ERJ177" s="3"/>
      <c r="ERK177" s="3"/>
      <c r="ERL177" s="3"/>
      <c r="ERM177" s="3"/>
      <c r="ERN177" s="3"/>
      <c r="ERO177" s="3"/>
      <c r="ERP177" s="3"/>
      <c r="ERQ177" s="3"/>
      <c r="ERR177" s="3"/>
      <c r="ERS177" s="3"/>
      <c r="ERT177" s="3"/>
      <c r="ERU177" s="3"/>
      <c r="ERV177" s="3"/>
      <c r="ERW177" s="3"/>
      <c r="ERX177" s="3"/>
      <c r="ERY177" s="3"/>
      <c r="ERZ177" s="3"/>
      <c r="ESA177" s="3"/>
      <c r="ESB177" s="3"/>
      <c r="ESC177" s="3"/>
      <c r="ESD177" s="3"/>
      <c r="ESE177" s="3"/>
      <c r="ESF177" s="3"/>
      <c r="ESG177" s="3"/>
      <c r="ESH177" s="3"/>
      <c r="ESI177" s="3"/>
      <c r="ESJ177" s="3"/>
      <c r="ESK177" s="3"/>
      <c r="ESL177" s="3"/>
      <c r="ESM177" s="3"/>
      <c r="ESN177" s="3"/>
      <c r="ESO177" s="3"/>
      <c r="ESP177" s="3"/>
      <c r="ESQ177" s="3"/>
      <c r="ESR177" s="3"/>
      <c r="ESS177" s="3"/>
      <c r="EST177" s="3"/>
      <c r="ESU177" s="3"/>
      <c r="ESV177" s="3"/>
      <c r="ESW177" s="3"/>
      <c r="ESX177" s="3"/>
      <c r="ESY177" s="3"/>
      <c r="ESZ177" s="3"/>
      <c r="ETA177" s="3"/>
      <c r="ETB177" s="3"/>
      <c r="ETC177" s="3"/>
      <c r="ETD177" s="3"/>
      <c r="ETE177" s="3"/>
      <c r="ETF177" s="3"/>
      <c r="ETG177" s="3"/>
      <c r="ETH177" s="3"/>
      <c r="ETI177" s="3"/>
      <c r="ETJ177" s="3"/>
      <c r="ETK177" s="3"/>
      <c r="ETL177" s="3"/>
      <c r="ETM177" s="3"/>
      <c r="ETN177" s="3"/>
      <c r="ETO177" s="3"/>
      <c r="ETP177" s="3"/>
      <c r="ETQ177" s="3"/>
      <c r="ETR177" s="3"/>
      <c r="ETS177" s="3"/>
      <c r="ETT177" s="3"/>
      <c r="ETU177" s="3"/>
      <c r="ETV177" s="3"/>
      <c r="ETW177" s="3"/>
      <c r="ETX177" s="3"/>
      <c r="ETY177" s="3"/>
      <c r="ETZ177" s="3"/>
      <c r="EUA177" s="3"/>
      <c r="EUB177" s="3"/>
      <c r="EUC177" s="3"/>
      <c r="EUD177" s="3"/>
      <c r="EUE177" s="3"/>
      <c r="EUF177" s="3"/>
      <c r="EUG177" s="3"/>
      <c r="EUH177" s="3"/>
      <c r="EUI177" s="3"/>
      <c r="EUJ177" s="3"/>
      <c r="EUK177" s="3"/>
      <c r="EUL177" s="3"/>
      <c r="EUM177" s="3"/>
      <c r="EUN177" s="3"/>
      <c r="EUO177" s="3"/>
      <c r="EUP177" s="3"/>
      <c r="EUQ177" s="3"/>
      <c r="EUR177" s="3"/>
      <c r="EUS177" s="3"/>
      <c r="EUT177" s="3"/>
      <c r="EUU177" s="3"/>
      <c r="EUV177" s="3"/>
      <c r="EUW177" s="3"/>
      <c r="EUX177" s="3"/>
      <c r="EUY177" s="3"/>
      <c r="EUZ177" s="3"/>
      <c r="EVA177" s="3"/>
      <c r="EVB177" s="3"/>
      <c r="EVC177" s="3"/>
      <c r="EVD177" s="3"/>
      <c r="EVE177" s="3"/>
      <c r="EVF177" s="3"/>
      <c r="EVG177" s="3"/>
      <c r="EVH177" s="3"/>
      <c r="EVI177" s="3"/>
      <c r="EVJ177" s="3"/>
      <c r="EVK177" s="3"/>
      <c r="EVL177" s="3"/>
      <c r="EVM177" s="3"/>
      <c r="EVN177" s="3"/>
      <c r="EVO177" s="3"/>
      <c r="EVP177" s="3"/>
      <c r="EVQ177" s="3"/>
      <c r="EVR177" s="3"/>
      <c r="EVS177" s="3"/>
      <c r="EVT177" s="3"/>
      <c r="EVU177" s="3"/>
      <c r="EVV177" s="3"/>
      <c r="EVW177" s="3"/>
      <c r="EVX177" s="3"/>
      <c r="EVY177" s="3"/>
      <c r="EVZ177" s="3"/>
      <c r="EWA177" s="3"/>
      <c r="EWB177" s="3"/>
      <c r="EWC177" s="3"/>
      <c r="EWD177" s="3"/>
      <c r="EWE177" s="3"/>
      <c r="EWF177" s="3"/>
      <c r="EWG177" s="3"/>
      <c r="EWH177" s="3"/>
      <c r="EWI177" s="3"/>
      <c r="EWJ177" s="3"/>
      <c r="EWK177" s="3"/>
      <c r="EWL177" s="3"/>
      <c r="EWM177" s="3"/>
      <c r="EWN177" s="3"/>
      <c r="EWO177" s="3"/>
      <c r="EWP177" s="3"/>
      <c r="EWQ177" s="3"/>
      <c r="EWR177" s="3"/>
      <c r="EWS177" s="3"/>
      <c r="EWT177" s="3"/>
      <c r="EWU177" s="3"/>
      <c r="EWV177" s="3"/>
      <c r="EWW177" s="3"/>
      <c r="EWX177" s="3"/>
      <c r="EWY177" s="3"/>
      <c r="EWZ177" s="3"/>
      <c r="EXA177" s="3"/>
      <c r="EXB177" s="3"/>
      <c r="EXC177" s="3"/>
      <c r="EXD177" s="3"/>
      <c r="EXE177" s="3"/>
      <c r="EXF177" s="3"/>
      <c r="EXG177" s="3"/>
      <c r="EXH177" s="3"/>
      <c r="EXI177" s="3"/>
      <c r="EXJ177" s="3"/>
      <c r="EXK177" s="3"/>
      <c r="EXL177" s="3"/>
      <c r="EXM177" s="3"/>
      <c r="EXN177" s="3"/>
      <c r="EXO177" s="3"/>
      <c r="EXP177" s="3"/>
      <c r="EXQ177" s="3"/>
      <c r="EXR177" s="3"/>
      <c r="EXS177" s="3"/>
      <c r="EXT177" s="3"/>
      <c r="EXU177" s="3"/>
      <c r="EXV177" s="3"/>
      <c r="EXW177" s="3"/>
      <c r="EXX177" s="3"/>
      <c r="EXY177" s="3"/>
      <c r="EXZ177" s="3"/>
      <c r="EYA177" s="3"/>
      <c r="EYB177" s="3"/>
      <c r="EYC177" s="3"/>
      <c r="EYD177" s="3"/>
      <c r="EYE177" s="3"/>
      <c r="EYF177" s="3"/>
      <c r="EYG177" s="3"/>
      <c r="EYH177" s="3"/>
      <c r="EYI177" s="3"/>
      <c r="EYJ177" s="3"/>
      <c r="EYK177" s="3"/>
      <c r="EYL177" s="3"/>
      <c r="EYM177" s="3"/>
      <c r="EYN177" s="3"/>
      <c r="EYO177" s="3"/>
      <c r="EYP177" s="3"/>
      <c r="EYQ177" s="3"/>
      <c r="EYR177" s="3"/>
      <c r="EYS177" s="3"/>
      <c r="EYT177" s="3"/>
      <c r="EYU177" s="3"/>
      <c r="EYV177" s="3"/>
      <c r="EYW177" s="3"/>
      <c r="EYX177" s="3"/>
      <c r="EYY177" s="3"/>
      <c r="EYZ177" s="3"/>
      <c r="EZA177" s="3"/>
      <c r="EZB177" s="3"/>
      <c r="EZC177" s="3"/>
      <c r="EZD177" s="3"/>
      <c r="EZE177" s="3"/>
      <c r="EZF177" s="3"/>
      <c r="EZG177" s="3"/>
      <c r="EZH177" s="3"/>
      <c r="EZI177" s="3"/>
      <c r="EZJ177" s="3"/>
      <c r="EZK177" s="3"/>
      <c r="EZL177" s="3"/>
      <c r="EZM177" s="3"/>
      <c r="EZN177" s="3"/>
      <c r="EZO177" s="3"/>
      <c r="EZP177" s="3"/>
      <c r="EZQ177" s="3"/>
      <c r="EZR177" s="3"/>
      <c r="EZS177" s="3"/>
      <c r="EZT177" s="3"/>
      <c r="EZU177" s="3"/>
      <c r="EZV177" s="3"/>
      <c r="EZW177" s="3"/>
      <c r="EZX177" s="3"/>
      <c r="EZY177" s="3"/>
      <c r="EZZ177" s="3"/>
      <c r="FAA177" s="3"/>
      <c r="FAB177" s="3"/>
      <c r="FAC177" s="3"/>
      <c r="FAD177" s="3"/>
      <c r="FAE177" s="3"/>
      <c r="FAF177" s="3"/>
      <c r="FAG177" s="3"/>
      <c r="FAH177" s="3"/>
      <c r="FAI177" s="3"/>
      <c r="FAJ177" s="3"/>
      <c r="FAK177" s="3"/>
      <c r="FAL177" s="3"/>
      <c r="FAM177" s="3"/>
      <c r="FAN177" s="3"/>
      <c r="FAO177" s="3"/>
      <c r="FAP177" s="3"/>
      <c r="FAQ177" s="3"/>
      <c r="FAR177" s="3"/>
      <c r="FAS177" s="3"/>
      <c r="FAT177" s="3"/>
      <c r="FAU177" s="3"/>
      <c r="FAV177" s="3"/>
      <c r="FAW177" s="3"/>
      <c r="FAX177" s="3"/>
      <c r="FAY177" s="3"/>
      <c r="FAZ177" s="3"/>
      <c r="FBA177" s="3"/>
      <c r="FBB177" s="3"/>
      <c r="FBC177" s="3"/>
      <c r="FBD177" s="3"/>
      <c r="FBE177" s="3"/>
      <c r="FBF177" s="3"/>
      <c r="FBG177" s="3"/>
      <c r="FBH177" s="3"/>
      <c r="FBI177" s="3"/>
      <c r="FBJ177" s="3"/>
      <c r="FBK177" s="3"/>
      <c r="FBL177" s="3"/>
      <c r="FBM177" s="3"/>
      <c r="FBN177" s="3"/>
      <c r="FBO177" s="3"/>
      <c r="FBP177" s="3"/>
      <c r="FBQ177" s="3"/>
      <c r="FBR177" s="3"/>
      <c r="FBS177" s="3"/>
      <c r="FBT177" s="3"/>
      <c r="FBU177" s="3"/>
      <c r="FBV177" s="3"/>
      <c r="FBW177" s="3"/>
      <c r="FBX177" s="3"/>
      <c r="FBY177" s="3"/>
      <c r="FBZ177" s="3"/>
      <c r="FCA177" s="3"/>
      <c r="FCB177" s="3"/>
      <c r="FCC177" s="3"/>
      <c r="FCD177" s="3"/>
      <c r="FCE177" s="3"/>
      <c r="FCF177" s="3"/>
      <c r="FCG177" s="3"/>
      <c r="FCH177" s="3"/>
      <c r="FCI177" s="3"/>
      <c r="FCJ177" s="3"/>
      <c r="FCK177" s="3"/>
      <c r="FCL177" s="3"/>
      <c r="FCM177" s="3"/>
      <c r="FCN177" s="3"/>
      <c r="FCO177" s="3"/>
      <c r="FCP177" s="3"/>
      <c r="FCQ177" s="3"/>
      <c r="FCR177" s="3"/>
      <c r="FCS177" s="3"/>
      <c r="FCT177" s="3"/>
      <c r="FCU177" s="3"/>
      <c r="FCV177" s="3"/>
      <c r="FCW177" s="3"/>
      <c r="FCX177" s="3"/>
      <c r="FCY177" s="3"/>
      <c r="FCZ177" s="3"/>
      <c r="FDA177" s="3"/>
      <c r="FDB177" s="3"/>
      <c r="FDC177" s="3"/>
      <c r="FDD177" s="3"/>
      <c r="FDE177" s="3"/>
      <c r="FDF177" s="3"/>
      <c r="FDG177" s="3"/>
      <c r="FDH177" s="3"/>
      <c r="FDI177" s="3"/>
      <c r="FDJ177" s="3"/>
      <c r="FDK177" s="3"/>
      <c r="FDL177" s="3"/>
      <c r="FDM177" s="3"/>
      <c r="FDN177" s="3"/>
      <c r="FDO177" s="3"/>
      <c r="FDP177" s="3"/>
      <c r="FDQ177" s="3"/>
      <c r="FDR177" s="3"/>
      <c r="FDS177" s="3"/>
      <c r="FDT177" s="3"/>
      <c r="FDU177" s="3"/>
      <c r="FDV177" s="3"/>
      <c r="FDW177" s="3"/>
      <c r="FDX177" s="3"/>
      <c r="FDY177" s="3"/>
      <c r="FDZ177" s="3"/>
      <c r="FEA177" s="3"/>
      <c r="FEB177" s="3"/>
      <c r="FEC177" s="3"/>
      <c r="FED177" s="3"/>
      <c r="FEE177" s="3"/>
      <c r="FEF177" s="3"/>
      <c r="FEG177" s="3"/>
      <c r="FEH177" s="3"/>
      <c r="FEI177" s="3"/>
      <c r="FEJ177" s="3"/>
      <c r="FEK177" s="3"/>
      <c r="FEL177" s="3"/>
      <c r="FEM177" s="3"/>
      <c r="FEN177" s="3"/>
      <c r="FEO177" s="3"/>
      <c r="FEP177" s="3"/>
      <c r="FEQ177" s="3"/>
      <c r="FER177" s="3"/>
      <c r="FES177" s="3"/>
      <c r="FET177" s="3"/>
      <c r="FEU177" s="3"/>
      <c r="FEV177" s="3"/>
      <c r="FEW177" s="3"/>
      <c r="FEX177" s="3"/>
      <c r="FEY177" s="3"/>
      <c r="FEZ177" s="3"/>
      <c r="FFA177" s="3"/>
      <c r="FFB177" s="3"/>
      <c r="FFC177" s="3"/>
      <c r="FFD177" s="3"/>
      <c r="FFE177" s="3"/>
      <c r="FFF177" s="3"/>
      <c r="FFG177" s="3"/>
      <c r="FFH177" s="3"/>
      <c r="FFI177" s="3"/>
      <c r="FFJ177" s="3"/>
      <c r="FFK177" s="3"/>
      <c r="FFL177" s="3"/>
      <c r="FFM177" s="3"/>
      <c r="FFN177" s="3"/>
      <c r="FFO177" s="3"/>
      <c r="FFP177" s="3"/>
      <c r="FFQ177" s="3"/>
      <c r="FFR177" s="3"/>
      <c r="FFS177" s="3"/>
      <c r="FFT177" s="3"/>
      <c r="FFU177" s="3"/>
      <c r="FFV177" s="3"/>
      <c r="FFW177" s="3"/>
      <c r="FFX177" s="3"/>
      <c r="FFY177" s="3"/>
      <c r="FFZ177" s="3"/>
      <c r="FGA177" s="3"/>
      <c r="FGB177" s="3"/>
      <c r="FGC177" s="3"/>
      <c r="FGD177" s="3"/>
      <c r="FGE177" s="3"/>
      <c r="FGF177" s="3"/>
      <c r="FGG177" s="3"/>
      <c r="FGH177" s="3"/>
      <c r="FGI177" s="3"/>
      <c r="FGJ177" s="3"/>
      <c r="FGK177" s="3"/>
      <c r="FGL177" s="3"/>
      <c r="FGM177" s="3"/>
      <c r="FGN177" s="3"/>
      <c r="FGO177" s="3"/>
      <c r="FGP177" s="3"/>
      <c r="FGQ177" s="3"/>
      <c r="FGR177" s="3"/>
      <c r="FGS177" s="3"/>
      <c r="FGT177" s="3"/>
      <c r="FGU177" s="3"/>
      <c r="FGV177" s="3"/>
      <c r="FGW177" s="3"/>
      <c r="FGX177" s="3"/>
      <c r="FGY177" s="3"/>
      <c r="FGZ177" s="3"/>
      <c r="FHA177" s="3"/>
      <c r="FHB177" s="3"/>
      <c r="FHC177" s="3"/>
      <c r="FHD177" s="3"/>
      <c r="FHE177" s="3"/>
      <c r="FHF177" s="3"/>
      <c r="FHG177" s="3"/>
      <c r="FHH177" s="3"/>
      <c r="FHI177" s="3"/>
      <c r="FHJ177" s="3"/>
      <c r="FHK177" s="3"/>
      <c r="FHL177" s="3"/>
      <c r="FHM177" s="3"/>
      <c r="FHN177" s="3"/>
      <c r="FHO177" s="3"/>
      <c r="FHP177" s="3"/>
      <c r="FHQ177" s="3"/>
      <c r="FHR177" s="3"/>
      <c r="FHS177" s="3"/>
      <c r="FHT177" s="3"/>
      <c r="FHU177" s="3"/>
      <c r="FHV177" s="3"/>
      <c r="FHW177" s="3"/>
      <c r="FHX177" s="3"/>
      <c r="FHY177" s="3"/>
      <c r="FHZ177" s="3"/>
      <c r="FIA177" s="3"/>
      <c r="FIB177" s="3"/>
      <c r="FIC177" s="3"/>
      <c r="FID177" s="3"/>
      <c r="FIE177" s="3"/>
      <c r="FIF177" s="3"/>
      <c r="FIG177" s="3"/>
      <c r="FIH177" s="3"/>
      <c r="FII177" s="3"/>
      <c r="FIJ177" s="3"/>
      <c r="FIK177" s="3"/>
      <c r="FIL177" s="3"/>
      <c r="FIM177" s="3"/>
      <c r="FIN177" s="3"/>
      <c r="FIO177" s="3"/>
      <c r="FIP177" s="3"/>
      <c r="FIQ177" s="3"/>
      <c r="FIR177" s="3"/>
      <c r="FIS177" s="3"/>
      <c r="FIT177" s="3"/>
      <c r="FIU177" s="3"/>
      <c r="FIV177" s="3"/>
      <c r="FIW177" s="3"/>
      <c r="FIX177" s="3"/>
      <c r="FIY177" s="3"/>
      <c r="FIZ177" s="3"/>
      <c r="FJA177" s="3"/>
      <c r="FJB177" s="3"/>
      <c r="FJC177" s="3"/>
      <c r="FJD177" s="3"/>
      <c r="FJE177" s="3"/>
      <c r="FJF177" s="3"/>
      <c r="FJG177" s="3"/>
      <c r="FJH177" s="3"/>
      <c r="FJI177" s="3"/>
      <c r="FJJ177" s="3"/>
      <c r="FJK177" s="3"/>
      <c r="FJL177" s="3"/>
      <c r="FJM177" s="3"/>
      <c r="FJN177" s="3"/>
      <c r="FJO177" s="3"/>
      <c r="FJP177" s="3"/>
      <c r="FJQ177" s="3"/>
      <c r="FJR177" s="3"/>
      <c r="FJS177" s="3"/>
      <c r="FJT177" s="3"/>
      <c r="FJU177" s="3"/>
      <c r="FJV177" s="3"/>
      <c r="FJW177" s="3"/>
      <c r="FJX177" s="3"/>
      <c r="FJY177" s="3"/>
      <c r="FJZ177" s="3"/>
      <c r="FKA177" s="3"/>
      <c r="FKB177" s="3"/>
      <c r="FKC177" s="3"/>
      <c r="FKD177" s="3"/>
      <c r="FKE177" s="3"/>
      <c r="FKF177" s="3"/>
      <c r="FKG177" s="3"/>
      <c r="FKH177" s="3"/>
      <c r="FKI177" s="3"/>
      <c r="FKJ177" s="3"/>
      <c r="FKK177" s="3"/>
      <c r="FKL177" s="3"/>
      <c r="FKM177" s="3"/>
      <c r="FKN177" s="3"/>
      <c r="FKO177" s="3"/>
      <c r="FKP177" s="3"/>
      <c r="FKQ177" s="3"/>
      <c r="FKR177" s="3"/>
      <c r="FKS177" s="3"/>
      <c r="FKT177" s="3"/>
      <c r="FKU177" s="3"/>
      <c r="FKV177" s="3"/>
      <c r="FKW177" s="3"/>
      <c r="FKX177" s="3"/>
      <c r="FKY177" s="3"/>
      <c r="FKZ177" s="3"/>
      <c r="FLA177" s="3"/>
      <c r="FLB177" s="3"/>
      <c r="FLC177" s="3"/>
      <c r="FLD177" s="3"/>
      <c r="FLE177" s="3"/>
      <c r="FLF177" s="3"/>
      <c r="FLG177" s="3"/>
      <c r="FLH177" s="3"/>
      <c r="FLI177" s="3"/>
      <c r="FLJ177" s="3"/>
      <c r="FLK177" s="3"/>
      <c r="FLL177" s="3"/>
      <c r="FLM177" s="3"/>
      <c r="FLN177" s="3"/>
      <c r="FLO177" s="3"/>
      <c r="FLP177" s="3"/>
      <c r="FLQ177" s="3"/>
      <c r="FLR177" s="3"/>
      <c r="FLS177" s="3"/>
      <c r="FLT177" s="3"/>
      <c r="FLU177" s="3"/>
      <c r="FLV177" s="3"/>
      <c r="FLW177" s="3"/>
      <c r="FLX177" s="3"/>
      <c r="FLY177" s="3"/>
      <c r="FLZ177" s="3"/>
      <c r="FMA177" s="3"/>
      <c r="FMB177" s="3"/>
      <c r="FMC177" s="3"/>
      <c r="FMD177" s="3"/>
      <c r="FME177" s="3"/>
      <c r="FMF177" s="3"/>
      <c r="FMG177" s="3"/>
      <c r="FMH177" s="3"/>
      <c r="FMI177" s="3"/>
      <c r="FMJ177" s="3"/>
      <c r="FMK177" s="3"/>
      <c r="FML177" s="3"/>
      <c r="FMM177" s="3"/>
      <c r="FMN177" s="3"/>
      <c r="FMO177" s="3"/>
      <c r="FMP177" s="3"/>
      <c r="FMQ177" s="3"/>
      <c r="FMR177" s="3"/>
      <c r="FMS177" s="3"/>
      <c r="FMT177" s="3"/>
      <c r="FMU177" s="3"/>
      <c r="FMV177" s="3"/>
      <c r="FMW177" s="3"/>
      <c r="FMX177" s="3"/>
      <c r="FMY177" s="3"/>
      <c r="FMZ177" s="3"/>
      <c r="FNA177" s="3"/>
      <c r="FNB177" s="3"/>
      <c r="FNC177" s="3"/>
      <c r="FND177" s="3"/>
      <c r="FNE177" s="3"/>
      <c r="FNF177" s="3"/>
      <c r="FNG177" s="3"/>
      <c r="FNH177" s="3"/>
      <c r="FNI177" s="3"/>
      <c r="FNJ177" s="3"/>
      <c r="FNK177" s="3"/>
      <c r="FNL177" s="3"/>
      <c r="FNM177" s="3"/>
      <c r="FNN177" s="3"/>
      <c r="FNO177" s="3"/>
      <c r="FNP177" s="3"/>
      <c r="FNQ177" s="3"/>
      <c r="FNR177" s="3"/>
      <c r="FNS177" s="3"/>
      <c r="FNT177" s="3"/>
      <c r="FNU177" s="3"/>
      <c r="FNV177" s="3"/>
      <c r="FNW177" s="3"/>
      <c r="FNX177" s="3"/>
      <c r="FNY177" s="3"/>
      <c r="FNZ177" s="3"/>
      <c r="FOA177" s="3"/>
      <c r="FOB177" s="3"/>
      <c r="FOC177" s="3"/>
      <c r="FOD177" s="3"/>
      <c r="FOE177" s="3"/>
      <c r="FOF177" s="3"/>
      <c r="FOG177" s="3"/>
      <c r="FOH177" s="3"/>
      <c r="FOI177" s="3"/>
      <c r="FOJ177" s="3"/>
      <c r="FOK177" s="3"/>
      <c r="FOL177" s="3"/>
      <c r="FOM177" s="3"/>
      <c r="FON177" s="3"/>
      <c r="FOO177" s="3"/>
      <c r="FOP177" s="3"/>
      <c r="FOQ177" s="3"/>
      <c r="FOR177" s="3"/>
      <c r="FOS177" s="3"/>
      <c r="FOT177" s="3"/>
      <c r="FOU177" s="3"/>
      <c r="FOV177" s="3"/>
      <c r="FOW177" s="3"/>
      <c r="FOX177" s="3"/>
      <c r="FOY177" s="3"/>
      <c r="FOZ177" s="3"/>
      <c r="FPA177" s="3"/>
      <c r="FPB177" s="3"/>
      <c r="FPC177" s="3"/>
      <c r="FPD177" s="3"/>
      <c r="FPE177" s="3"/>
      <c r="FPF177" s="3"/>
      <c r="FPG177" s="3"/>
      <c r="FPH177" s="3"/>
      <c r="FPI177" s="3"/>
      <c r="FPJ177" s="3"/>
      <c r="FPK177" s="3"/>
      <c r="FPL177" s="3"/>
      <c r="FPM177" s="3"/>
      <c r="FPN177" s="3"/>
      <c r="FPO177" s="3"/>
      <c r="FPP177" s="3"/>
      <c r="FPQ177" s="3"/>
      <c r="FPR177" s="3"/>
      <c r="FPS177" s="3"/>
      <c r="FPT177" s="3"/>
      <c r="FPU177" s="3"/>
      <c r="FPV177" s="3"/>
      <c r="FPW177" s="3"/>
      <c r="FPX177" s="3"/>
      <c r="FPY177" s="3"/>
      <c r="FPZ177" s="3"/>
      <c r="FQA177" s="3"/>
      <c r="FQB177" s="3"/>
      <c r="FQC177" s="3"/>
      <c r="FQD177" s="3"/>
      <c r="FQE177" s="3"/>
      <c r="FQF177" s="3"/>
      <c r="FQG177" s="3"/>
      <c r="FQH177" s="3"/>
      <c r="FQI177" s="3"/>
      <c r="FQJ177" s="3"/>
      <c r="FQK177" s="3"/>
      <c r="FQL177" s="3"/>
      <c r="FQM177" s="3"/>
      <c r="FQN177" s="3"/>
      <c r="FQO177" s="3"/>
      <c r="FQP177" s="3"/>
      <c r="FQQ177" s="3"/>
      <c r="FQR177" s="3"/>
      <c r="FQS177" s="3"/>
      <c r="FQT177" s="3"/>
      <c r="FQU177" s="3"/>
      <c r="FQV177" s="3"/>
      <c r="FQW177" s="3"/>
      <c r="FQX177" s="3"/>
      <c r="FQY177" s="3"/>
      <c r="FQZ177" s="3"/>
      <c r="FRA177" s="3"/>
      <c r="FRB177" s="3"/>
      <c r="FRC177" s="3"/>
      <c r="FRD177" s="3"/>
      <c r="FRE177" s="3"/>
      <c r="FRF177" s="3"/>
      <c r="FRG177" s="3"/>
      <c r="FRH177" s="3"/>
      <c r="FRI177" s="3"/>
      <c r="FRJ177" s="3"/>
      <c r="FRK177" s="3"/>
      <c r="FRL177" s="3"/>
      <c r="FRM177" s="3"/>
      <c r="FRN177" s="3"/>
      <c r="FRO177" s="3"/>
      <c r="FRP177" s="3"/>
      <c r="FRQ177" s="3"/>
      <c r="FRR177" s="3"/>
      <c r="FRS177" s="3"/>
      <c r="FRT177" s="3"/>
      <c r="FRU177" s="3"/>
      <c r="FRV177" s="3"/>
      <c r="FRW177" s="3"/>
      <c r="FRX177" s="3"/>
      <c r="FRY177" s="3"/>
      <c r="FRZ177" s="3"/>
      <c r="FSA177" s="3"/>
      <c r="FSB177" s="3"/>
      <c r="FSC177" s="3"/>
      <c r="FSD177" s="3"/>
      <c r="FSE177" s="3"/>
      <c r="FSF177" s="3"/>
      <c r="FSG177" s="3"/>
      <c r="FSH177" s="3"/>
      <c r="FSI177" s="3"/>
      <c r="FSJ177" s="3"/>
      <c r="FSK177" s="3"/>
      <c r="FSL177" s="3"/>
      <c r="FSM177" s="3"/>
      <c r="FSN177" s="3"/>
      <c r="FSO177" s="3"/>
      <c r="FSP177" s="3"/>
      <c r="FSQ177" s="3"/>
      <c r="FSR177" s="3"/>
      <c r="FSS177" s="3"/>
      <c r="FST177" s="3"/>
      <c r="FSU177" s="3"/>
      <c r="FSV177" s="3"/>
      <c r="FSW177" s="3"/>
      <c r="FSX177" s="3"/>
      <c r="FSY177" s="3"/>
      <c r="FSZ177" s="3"/>
      <c r="FTA177" s="3"/>
      <c r="FTB177" s="3"/>
      <c r="FTC177" s="3"/>
      <c r="FTD177" s="3"/>
      <c r="FTE177" s="3"/>
      <c r="FTF177" s="3"/>
      <c r="FTG177" s="3"/>
      <c r="FTH177" s="3"/>
      <c r="FTI177" s="3"/>
      <c r="FTJ177" s="3"/>
      <c r="FTK177" s="3"/>
      <c r="FTL177" s="3"/>
      <c r="FTM177" s="3"/>
      <c r="FTN177" s="3"/>
      <c r="FTO177" s="3"/>
      <c r="FTP177" s="3"/>
      <c r="FTQ177" s="3"/>
      <c r="FTR177" s="3"/>
      <c r="FTS177" s="3"/>
      <c r="FTT177" s="3"/>
      <c r="FTU177" s="3"/>
      <c r="FTV177" s="3"/>
      <c r="FTW177" s="3"/>
      <c r="FTX177" s="3"/>
      <c r="FTY177" s="3"/>
      <c r="FTZ177" s="3"/>
      <c r="FUA177" s="3"/>
      <c r="FUB177" s="3"/>
      <c r="FUC177" s="3"/>
      <c r="FUD177" s="3"/>
      <c r="FUE177" s="3"/>
      <c r="FUF177" s="3"/>
      <c r="FUG177" s="3"/>
      <c r="FUH177" s="3"/>
      <c r="FUI177" s="3"/>
      <c r="FUJ177" s="3"/>
      <c r="FUK177" s="3"/>
      <c r="FUL177" s="3"/>
      <c r="FUM177" s="3"/>
      <c r="FUN177" s="3"/>
      <c r="FUO177" s="3"/>
      <c r="FUP177" s="3"/>
      <c r="FUQ177" s="3"/>
      <c r="FUR177" s="3"/>
      <c r="FUS177" s="3"/>
      <c r="FUT177" s="3"/>
      <c r="FUU177" s="3"/>
      <c r="FUV177" s="3"/>
      <c r="FUW177" s="3"/>
      <c r="FUX177" s="3"/>
      <c r="FUY177" s="3"/>
      <c r="FUZ177" s="3"/>
      <c r="FVA177" s="3"/>
      <c r="FVB177" s="3"/>
      <c r="FVC177" s="3"/>
      <c r="FVD177" s="3"/>
      <c r="FVE177" s="3"/>
      <c r="FVF177" s="3"/>
      <c r="FVG177" s="3"/>
      <c r="FVH177" s="3"/>
      <c r="FVI177" s="3"/>
      <c r="FVJ177" s="3"/>
      <c r="FVK177" s="3"/>
      <c r="FVL177" s="3"/>
      <c r="FVM177" s="3"/>
      <c r="FVN177" s="3"/>
      <c r="FVO177" s="3"/>
      <c r="FVP177" s="3"/>
      <c r="FVQ177" s="3"/>
      <c r="FVR177" s="3"/>
      <c r="FVS177" s="3"/>
      <c r="FVT177" s="3"/>
      <c r="FVU177" s="3"/>
      <c r="FVV177" s="3"/>
      <c r="FVW177" s="3"/>
      <c r="FVX177" s="3"/>
      <c r="FVY177" s="3"/>
      <c r="FVZ177" s="3"/>
      <c r="FWA177" s="3"/>
      <c r="FWB177" s="3"/>
      <c r="FWC177" s="3"/>
      <c r="FWD177" s="3"/>
      <c r="FWE177" s="3"/>
      <c r="FWF177" s="3"/>
      <c r="FWG177" s="3"/>
      <c r="FWH177" s="3"/>
      <c r="FWI177" s="3"/>
      <c r="FWJ177" s="3"/>
      <c r="FWK177" s="3"/>
      <c r="FWL177" s="3"/>
      <c r="FWM177" s="3"/>
      <c r="FWN177" s="3"/>
      <c r="FWO177" s="3"/>
      <c r="FWP177" s="3"/>
      <c r="FWQ177" s="3"/>
      <c r="FWR177" s="3"/>
      <c r="FWS177" s="3"/>
      <c r="FWT177" s="3"/>
      <c r="FWU177" s="3"/>
      <c r="FWV177" s="3"/>
      <c r="FWW177" s="3"/>
      <c r="FWX177" s="3"/>
      <c r="FWY177" s="3"/>
      <c r="FWZ177" s="3"/>
      <c r="FXA177" s="3"/>
      <c r="FXB177" s="3"/>
      <c r="FXC177" s="3"/>
      <c r="FXD177" s="3"/>
      <c r="FXE177" s="3"/>
      <c r="FXF177" s="3"/>
      <c r="FXG177" s="3"/>
      <c r="FXH177" s="3"/>
      <c r="FXI177" s="3"/>
      <c r="FXJ177" s="3"/>
      <c r="FXK177" s="3"/>
      <c r="FXL177" s="3"/>
      <c r="FXM177" s="3"/>
      <c r="FXN177" s="3"/>
      <c r="FXO177" s="3"/>
      <c r="FXP177" s="3"/>
      <c r="FXQ177" s="3"/>
      <c r="FXR177" s="3"/>
      <c r="FXS177" s="3"/>
      <c r="FXT177" s="3"/>
      <c r="FXU177" s="3"/>
      <c r="FXV177" s="3"/>
      <c r="FXW177" s="3"/>
      <c r="FXX177" s="3"/>
      <c r="FXY177" s="3"/>
      <c r="FXZ177" s="3"/>
      <c r="FYA177" s="3"/>
      <c r="FYB177" s="3"/>
      <c r="FYC177" s="3"/>
      <c r="FYD177" s="3"/>
      <c r="FYE177" s="3"/>
      <c r="FYF177" s="3"/>
      <c r="FYG177" s="3"/>
      <c r="FYH177" s="3"/>
      <c r="FYI177" s="3"/>
      <c r="FYJ177" s="3"/>
      <c r="FYK177" s="3"/>
      <c r="FYL177" s="3"/>
      <c r="FYM177" s="3"/>
      <c r="FYN177" s="3"/>
      <c r="FYO177" s="3"/>
      <c r="FYP177" s="3"/>
      <c r="FYQ177" s="3"/>
      <c r="FYR177" s="3"/>
      <c r="FYS177" s="3"/>
      <c r="FYT177" s="3"/>
      <c r="FYU177" s="3"/>
      <c r="FYV177" s="3"/>
      <c r="FYW177" s="3"/>
      <c r="FYX177" s="3"/>
      <c r="FYY177" s="3"/>
      <c r="FYZ177" s="3"/>
      <c r="FZA177" s="3"/>
      <c r="FZB177" s="3"/>
      <c r="FZC177" s="3"/>
      <c r="FZD177" s="3"/>
      <c r="FZE177" s="3"/>
      <c r="FZF177" s="3"/>
      <c r="FZG177" s="3"/>
      <c r="FZH177" s="3"/>
      <c r="FZI177" s="3"/>
      <c r="FZJ177" s="3"/>
      <c r="FZK177" s="3"/>
      <c r="FZL177" s="3"/>
      <c r="FZM177" s="3"/>
      <c r="FZN177" s="3"/>
      <c r="FZO177" s="3"/>
      <c r="FZP177" s="3"/>
      <c r="FZQ177" s="3"/>
      <c r="FZR177" s="3"/>
      <c r="FZS177" s="3"/>
      <c r="FZT177" s="3"/>
      <c r="FZU177" s="3"/>
      <c r="FZV177" s="3"/>
      <c r="FZW177" s="3"/>
      <c r="FZX177" s="3"/>
      <c r="FZY177" s="3"/>
      <c r="FZZ177" s="3"/>
      <c r="GAA177" s="3"/>
      <c r="GAB177" s="3"/>
      <c r="GAC177" s="3"/>
      <c r="GAD177" s="3"/>
      <c r="GAE177" s="3"/>
      <c r="GAF177" s="3"/>
      <c r="GAG177" s="3"/>
      <c r="GAH177" s="3"/>
      <c r="GAI177" s="3"/>
      <c r="GAJ177" s="3"/>
      <c r="GAK177" s="3"/>
      <c r="GAL177" s="3"/>
      <c r="GAM177" s="3"/>
      <c r="GAN177" s="3"/>
      <c r="GAO177" s="3"/>
      <c r="GAP177" s="3"/>
      <c r="GAQ177" s="3"/>
      <c r="GAR177" s="3"/>
      <c r="GAS177" s="3"/>
      <c r="GAT177" s="3"/>
      <c r="GAU177" s="3"/>
      <c r="GAV177" s="3"/>
      <c r="GAW177" s="3"/>
      <c r="GAX177" s="3"/>
      <c r="GAY177" s="3"/>
      <c r="GAZ177" s="3"/>
      <c r="GBA177" s="3"/>
      <c r="GBB177" s="3"/>
      <c r="GBC177" s="3"/>
      <c r="GBD177" s="3"/>
      <c r="GBE177" s="3"/>
      <c r="GBF177" s="3"/>
      <c r="GBG177" s="3"/>
      <c r="GBH177" s="3"/>
      <c r="GBI177" s="3"/>
      <c r="GBJ177" s="3"/>
      <c r="GBK177" s="3"/>
      <c r="GBL177" s="3"/>
      <c r="GBM177" s="3"/>
      <c r="GBN177" s="3"/>
      <c r="GBO177" s="3"/>
      <c r="GBP177" s="3"/>
      <c r="GBQ177" s="3"/>
      <c r="GBR177" s="3"/>
      <c r="GBS177" s="3"/>
      <c r="GBT177" s="3"/>
      <c r="GBU177" s="3"/>
      <c r="GBV177" s="3"/>
      <c r="GBW177" s="3"/>
      <c r="GBX177" s="3"/>
      <c r="GBY177" s="3"/>
      <c r="GBZ177" s="3"/>
      <c r="GCA177" s="3"/>
      <c r="GCB177" s="3"/>
      <c r="GCC177" s="3"/>
      <c r="GCD177" s="3"/>
      <c r="GCE177" s="3"/>
      <c r="GCF177" s="3"/>
      <c r="GCG177" s="3"/>
      <c r="GCH177" s="3"/>
      <c r="GCI177" s="3"/>
      <c r="GCJ177" s="3"/>
      <c r="GCK177" s="3"/>
      <c r="GCL177" s="3"/>
      <c r="GCM177" s="3"/>
      <c r="GCN177" s="3"/>
      <c r="GCO177" s="3"/>
      <c r="GCP177" s="3"/>
      <c r="GCQ177" s="3"/>
      <c r="GCR177" s="3"/>
      <c r="GCS177" s="3"/>
      <c r="GCT177" s="3"/>
      <c r="GCU177" s="3"/>
      <c r="GCV177" s="3"/>
      <c r="GCW177" s="3"/>
      <c r="GCX177" s="3"/>
      <c r="GCY177" s="3"/>
      <c r="GCZ177" s="3"/>
      <c r="GDA177" s="3"/>
      <c r="GDB177" s="3"/>
      <c r="GDC177" s="3"/>
      <c r="GDD177" s="3"/>
      <c r="GDE177" s="3"/>
      <c r="GDF177" s="3"/>
      <c r="GDG177" s="3"/>
      <c r="GDH177" s="3"/>
      <c r="GDI177" s="3"/>
      <c r="GDJ177" s="3"/>
      <c r="GDK177" s="3"/>
      <c r="GDL177" s="3"/>
      <c r="GDM177" s="3"/>
      <c r="GDN177" s="3"/>
      <c r="GDO177" s="3"/>
      <c r="GDP177" s="3"/>
      <c r="GDQ177" s="3"/>
      <c r="GDR177" s="3"/>
      <c r="GDS177" s="3"/>
      <c r="GDT177" s="3"/>
      <c r="GDU177" s="3"/>
      <c r="GDV177" s="3"/>
      <c r="GDW177" s="3"/>
      <c r="GDX177" s="3"/>
      <c r="GDY177" s="3"/>
      <c r="GDZ177" s="3"/>
      <c r="GEA177" s="3"/>
      <c r="GEB177" s="3"/>
      <c r="GEC177" s="3"/>
      <c r="GED177" s="3"/>
      <c r="GEE177" s="3"/>
      <c r="GEF177" s="3"/>
      <c r="GEG177" s="3"/>
      <c r="GEH177" s="3"/>
      <c r="GEI177" s="3"/>
      <c r="GEJ177" s="3"/>
      <c r="GEK177" s="3"/>
      <c r="GEL177" s="3"/>
      <c r="GEM177" s="3"/>
      <c r="GEN177" s="3"/>
      <c r="GEO177" s="3"/>
      <c r="GEP177" s="3"/>
      <c r="GEQ177" s="3"/>
      <c r="GER177" s="3"/>
      <c r="GES177" s="3"/>
      <c r="GET177" s="3"/>
      <c r="GEU177" s="3"/>
      <c r="GEV177" s="3"/>
      <c r="GEW177" s="3"/>
      <c r="GEX177" s="3"/>
      <c r="GEY177" s="3"/>
      <c r="GEZ177" s="3"/>
      <c r="GFA177" s="3"/>
      <c r="GFB177" s="3"/>
      <c r="GFC177" s="3"/>
      <c r="GFD177" s="3"/>
      <c r="GFE177" s="3"/>
      <c r="GFF177" s="3"/>
      <c r="GFG177" s="3"/>
      <c r="GFH177" s="3"/>
      <c r="GFI177" s="3"/>
      <c r="GFJ177" s="3"/>
      <c r="GFK177" s="3"/>
      <c r="GFL177" s="3"/>
      <c r="GFM177" s="3"/>
      <c r="GFN177" s="3"/>
      <c r="GFO177" s="3"/>
      <c r="GFP177" s="3"/>
      <c r="GFQ177" s="3"/>
      <c r="GFR177" s="3"/>
      <c r="GFS177" s="3"/>
      <c r="GFT177" s="3"/>
      <c r="GFU177" s="3"/>
      <c r="GFV177" s="3"/>
      <c r="GFW177" s="3"/>
      <c r="GFX177" s="3"/>
      <c r="GFY177" s="3"/>
      <c r="GFZ177" s="3"/>
      <c r="GGA177" s="3"/>
      <c r="GGB177" s="3"/>
      <c r="GGC177" s="3"/>
      <c r="GGD177" s="3"/>
      <c r="GGE177" s="3"/>
      <c r="GGF177" s="3"/>
      <c r="GGG177" s="3"/>
      <c r="GGH177" s="3"/>
      <c r="GGI177" s="3"/>
      <c r="GGJ177" s="3"/>
      <c r="GGK177" s="3"/>
      <c r="GGL177" s="3"/>
      <c r="GGM177" s="3"/>
      <c r="GGN177" s="3"/>
      <c r="GGO177" s="3"/>
      <c r="GGP177" s="3"/>
      <c r="GGQ177" s="3"/>
      <c r="GGR177" s="3"/>
      <c r="GGS177" s="3"/>
      <c r="GGT177" s="3"/>
      <c r="GGU177" s="3"/>
      <c r="GGV177" s="3"/>
      <c r="GGW177" s="3"/>
      <c r="GGX177" s="3"/>
      <c r="GGY177" s="3"/>
      <c r="GGZ177" s="3"/>
      <c r="GHA177" s="3"/>
      <c r="GHB177" s="3"/>
      <c r="GHC177" s="3"/>
      <c r="GHD177" s="3"/>
      <c r="GHE177" s="3"/>
      <c r="GHF177" s="3"/>
      <c r="GHG177" s="3"/>
      <c r="GHH177" s="3"/>
      <c r="GHI177" s="3"/>
      <c r="GHJ177" s="3"/>
      <c r="GHK177" s="3"/>
      <c r="GHL177" s="3"/>
      <c r="GHM177" s="3"/>
      <c r="GHN177" s="3"/>
      <c r="GHO177" s="3"/>
      <c r="GHP177" s="3"/>
      <c r="GHQ177" s="3"/>
      <c r="GHR177" s="3"/>
      <c r="GHS177" s="3"/>
      <c r="GHT177" s="3"/>
      <c r="GHU177" s="3"/>
      <c r="GHV177" s="3"/>
      <c r="GHW177" s="3"/>
      <c r="GHX177" s="3"/>
      <c r="GHY177" s="3"/>
      <c r="GHZ177" s="3"/>
      <c r="GIA177" s="3"/>
      <c r="GIB177" s="3"/>
      <c r="GIC177" s="3"/>
      <c r="GID177" s="3"/>
      <c r="GIE177" s="3"/>
      <c r="GIF177" s="3"/>
      <c r="GIG177" s="3"/>
      <c r="GIH177" s="3"/>
      <c r="GII177" s="3"/>
      <c r="GIJ177" s="3"/>
      <c r="GIK177" s="3"/>
      <c r="GIL177" s="3"/>
      <c r="GIM177" s="3"/>
      <c r="GIN177" s="3"/>
      <c r="GIO177" s="3"/>
      <c r="GIP177" s="3"/>
      <c r="GIQ177" s="3"/>
      <c r="GIR177" s="3"/>
      <c r="GIS177" s="3"/>
      <c r="GIT177" s="3"/>
      <c r="GIU177" s="3"/>
      <c r="GIV177" s="3"/>
      <c r="GIW177" s="3"/>
      <c r="GIX177" s="3"/>
      <c r="GIY177" s="3"/>
      <c r="GIZ177" s="3"/>
      <c r="GJA177" s="3"/>
      <c r="GJB177" s="3"/>
      <c r="GJC177" s="3"/>
      <c r="GJD177" s="3"/>
      <c r="GJE177" s="3"/>
      <c r="GJF177" s="3"/>
      <c r="GJG177" s="3"/>
      <c r="GJH177" s="3"/>
      <c r="GJI177" s="3"/>
      <c r="GJJ177" s="3"/>
      <c r="GJK177" s="3"/>
      <c r="GJL177" s="3"/>
      <c r="GJM177" s="3"/>
      <c r="GJN177" s="3"/>
      <c r="GJO177" s="3"/>
      <c r="GJP177" s="3"/>
      <c r="GJQ177" s="3"/>
      <c r="GJR177" s="3"/>
      <c r="GJS177" s="3"/>
      <c r="GJT177" s="3"/>
      <c r="GJU177" s="3"/>
      <c r="GJV177" s="3"/>
      <c r="GJW177" s="3"/>
      <c r="GJX177" s="3"/>
      <c r="GJY177" s="3"/>
      <c r="GJZ177" s="3"/>
      <c r="GKA177" s="3"/>
      <c r="GKB177" s="3"/>
      <c r="GKC177" s="3"/>
      <c r="GKD177" s="3"/>
      <c r="GKE177" s="3"/>
      <c r="GKF177" s="3"/>
      <c r="GKG177" s="3"/>
      <c r="GKH177" s="3"/>
      <c r="GKI177" s="3"/>
      <c r="GKJ177" s="3"/>
      <c r="GKK177" s="3"/>
      <c r="GKL177" s="3"/>
      <c r="GKM177" s="3"/>
      <c r="GKN177" s="3"/>
      <c r="GKO177" s="3"/>
      <c r="GKP177" s="3"/>
      <c r="GKQ177" s="3"/>
      <c r="GKR177" s="3"/>
      <c r="GKS177" s="3"/>
      <c r="GKT177" s="3"/>
      <c r="GKU177" s="3"/>
      <c r="GKV177" s="3"/>
      <c r="GKW177" s="3"/>
      <c r="GKX177" s="3"/>
      <c r="GKY177" s="3"/>
      <c r="GKZ177" s="3"/>
      <c r="GLA177" s="3"/>
      <c r="GLB177" s="3"/>
      <c r="GLC177" s="3"/>
      <c r="GLD177" s="3"/>
      <c r="GLE177" s="3"/>
      <c r="GLF177" s="3"/>
      <c r="GLG177" s="3"/>
      <c r="GLH177" s="3"/>
      <c r="GLI177" s="3"/>
      <c r="GLJ177" s="3"/>
      <c r="GLK177" s="3"/>
      <c r="GLL177" s="3"/>
      <c r="GLM177" s="3"/>
      <c r="GLN177" s="3"/>
      <c r="GLO177" s="3"/>
      <c r="GLP177" s="3"/>
      <c r="GLQ177" s="3"/>
      <c r="GLR177" s="3"/>
      <c r="GLS177" s="3"/>
      <c r="GLT177" s="3"/>
      <c r="GLU177" s="3"/>
      <c r="GLV177" s="3"/>
      <c r="GLW177" s="3"/>
      <c r="GLX177" s="3"/>
      <c r="GLY177" s="3"/>
      <c r="GLZ177" s="3"/>
      <c r="GMA177" s="3"/>
      <c r="GMB177" s="3"/>
      <c r="GMC177" s="3"/>
      <c r="GMD177" s="3"/>
      <c r="GME177" s="3"/>
      <c r="GMF177" s="3"/>
      <c r="GMG177" s="3"/>
      <c r="GMH177" s="3"/>
      <c r="GMI177" s="3"/>
      <c r="GMJ177" s="3"/>
      <c r="GMK177" s="3"/>
      <c r="GML177" s="3"/>
      <c r="GMM177" s="3"/>
      <c r="GMN177" s="3"/>
      <c r="GMO177" s="3"/>
      <c r="GMP177" s="3"/>
      <c r="GMQ177" s="3"/>
      <c r="GMR177" s="3"/>
      <c r="GMS177" s="3"/>
      <c r="GMT177" s="3"/>
      <c r="GMU177" s="3"/>
      <c r="GMV177" s="3"/>
      <c r="GMW177" s="3"/>
      <c r="GMX177" s="3"/>
      <c r="GMY177" s="3"/>
      <c r="GMZ177" s="3"/>
      <c r="GNA177" s="3"/>
      <c r="GNB177" s="3"/>
      <c r="GNC177" s="3"/>
      <c r="GND177" s="3"/>
      <c r="GNE177" s="3"/>
      <c r="GNF177" s="3"/>
      <c r="GNG177" s="3"/>
      <c r="GNH177" s="3"/>
      <c r="GNI177" s="3"/>
      <c r="GNJ177" s="3"/>
      <c r="GNK177" s="3"/>
      <c r="GNL177" s="3"/>
      <c r="GNM177" s="3"/>
      <c r="GNN177" s="3"/>
      <c r="GNO177" s="3"/>
      <c r="GNP177" s="3"/>
      <c r="GNQ177" s="3"/>
      <c r="GNR177" s="3"/>
      <c r="GNS177" s="3"/>
      <c r="GNT177" s="3"/>
      <c r="GNU177" s="3"/>
      <c r="GNV177" s="3"/>
      <c r="GNW177" s="3"/>
      <c r="GNX177" s="3"/>
      <c r="GNY177" s="3"/>
      <c r="GNZ177" s="3"/>
      <c r="GOA177" s="3"/>
      <c r="GOB177" s="3"/>
      <c r="GOC177" s="3"/>
      <c r="GOD177" s="3"/>
      <c r="GOE177" s="3"/>
      <c r="GOF177" s="3"/>
      <c r="GOG177" s="3"/>
      <c r="GOH177" s="3"/>
      <c r="GOI177" s="3"/>
      <c r="GOJ177" s="3"/>
      <c r="GOK177" s="3"/>
      <c r="GOL177" s="3"/>
      <c r="GOM177" s="3"/>
      <c r="GON177" s="3"/>
      <c r="GOO177" s="3"/>
      <c r="GOP177" s="3"/>
      <c r="GOQ177" s="3"/>
      <c r="GOR177" s="3"/>
      <c r="GOS177" s="3"/>
      <c r="GOT177" s="3"/>
      <c r="GOU177" s="3"/>
      <c r="GOV177" s="3"/>
      <c r="GOW177" s="3"/>
      <c r="GOX177" s="3"/>
      <c r="GOY177" s="3"/>
      <c r="GOZ177" s="3"/>
      <c r="GPA177" s="3"/>
      <c r="GPB177" s="3"/>
      <c r="GPC177" s="3"/>
      <c r="GPD177" s="3"/>
      <c r="GPE177" s="3"/>
      <c r="GPF177" s="3"/>
      <c r="GPG177" s="3"/>
      <c r="GPH177" s="3"/>
      <c r="GPI177" s="3"/>
      <c r="GPJ177" s="3"/>
      <c r="GPK177" s="3"/>
      <c r="GPL177" s="3"/>
      <c r="GPM177" s="3"/>
      <c r="GPN177" s="3"/>
      <c r="GPO177" s="3"/>
      <c r="GPP177" s="3"/>
      <c r="GPQ177" s="3"/>
      <c r="GPR177" s="3"/>
      <c r="GPS177" s="3"/>
      <c r="GPT177" s="3"/>
      <c r="GPU177" s="3"/>
      <c r="GPV177" s="3"/>
      <c r="GPW177" s="3"/>
      <c r="GPX177" s="3"/>
      <c r="GPY177" s="3"/>
      <c r="GPZ177" s="3"/>
      <c r="GQA177" s="3"/>
      <c r="GQB177" s="3"/>
      <c r="GQC177" s="3"/>
      <c r="GQD177" s="3"/>
      <c r="GQE177" s="3"/>
      <c r="GQF177" s="3"/>
      <c r="GQG177" s="3"/>
      <c r="GQH177" s="3"/>
      <c r="GQI177" s="3"/>
      <c r="GQJ177" s="3"/>
      <c r="GQK177" s="3"/>
      <c r="GQL177" s="3"/>
      <c r="GQM177" s="3"/>
      <c r="GQN177" s="3"/>
      <c r="GQO177" s="3"/>
      <c r="GQP177" s="3"/>
      <c r="GQQ177" s="3"/>
      <c r="GQR177" s="3"/>
      <c r="GQS177" s="3"/>
      <c r="GQT177" s="3"/>
      <c r="GQU177" s="3"/>
      <c r="GQV177" s="3"/>
      <c r="GQW177" s="3"/>
      <c r="GQX177" s="3"/>
      <c r="GQY177" s="3"/>
      <c r="GQZ177" s="3"/>
      <c r="GRA177" s="3"/>
      <c r="GRB177" s="3"/>
      <c r="GRC177" s="3"/>
      <c r="GRD177" s="3"/>
      <c r="GRE177" s="3"/>
      <c r="GRF177" s="3"/>
      <c r="GRG177" s="3"/>
      <c r="GRH177" s="3"/>
      <c r="GRI177" s="3"/>
      <c r="GRJ177" s="3"/>
      <c r="GRK177" s="3"/>
      <c r="GRL177" s="3"/>
      <c r="GRM177" s="3"/>
      <c r="GRN177" s="3"/>
      <c r="GRO177" s="3"/>
      <c r="GRP177" s="3"/>
      <c r="GRQ177" s="3"/>
      <c r="GRR177" s="3"/>
      <c r="GRS177" s="3"/>
      <c r="GRT177" s="3"/>
      <c r="GRU177" s="3"/>
      <c r="GRV177" s="3"/>
      <c r="GRW177" s="3"/>
      <c r="GRX177" s="3"/>
      <c r="GRY177" s="3"/>
      <c r="GRZ177" s="3"/>
      <c r="GSA177" s="3"/>
      <c r="GSB177" s="3"/>
      <c r="GSC177" s="3"/>
      <c r="GSD177" s="3"/>
      <c r="GSE177" s="3"/>
      <c r="GSF177" s="3"/>
      <c r="GSG177" s="3"/>
      <c r="GSH177" s="3"/>
      <c r="GSI177" s="3"/>
      <c r="GSJ177" s="3"/>
      <c r="GSK177" s="3"/>
      <c r="GSL177" s="3"/>
      <c r="GSM177" s="3"/>
      <c r="GSN177" s="3"/>
      <c r="GSO177" s="3"/>
      <c r="GSP177" s="3"/>
      <c r="GSQ177" s="3"/>
      <c r="GSR177" s="3"/>
      <c r="GSS177" s="3"/>
      <c r="GST177" s="3"/>
      <c r="GSU177" s="3"/>
      <c r="GSV177" s="3"/>
      <c r="GSW177" s="3"/>
      <c r="GSX177" s="3"/>
      <c r="GSY177" s="3"/>
      <c r="GSZ177" s="3"/>
      <c r="GTA177" s="3"/>
      <c r="GTB177" s="3"/>
      <c r="GTC177" s="3"/>
      <c r="GTD177" s="3"/>
      <c r="GTE177" s="3"/>
      <c r="GTF177" s="3"/>
      <c r="GTG177" s="3"/>
      <c r="GTH177" s="3"/>
      <c r="GTI177" s="3"/>
      <c r="GTJ177" s="3"/>
      <c r="GTK177" s="3"/>
      <c r="GTL177" s="3"/>
      <c r="GTM177" s="3"/>
      <c r="GTN177" s="3"/>
      <c r="GTO177" s="3"/>
      <c r="GTP177" s="3"/>
      <c r="GTQ177" s="3"/>
      <c r="GTR177" s="3"/>
      <c r="GTS177" s="3"/>
      <c r="GTT177" s="3"/>
      <c r="GTU177" s="3"/>
      <c r="GTV177" s="3"/>
      <c r="GTW177" s="3"/>
      <c r="GTX177" s="3"/>
      <c r="GTY177" s="3"/>
      <c r="GTZ177" s="3"/>
      <c r="GUA177" s="3"/>
      <c r="GUB177" s="3"/>
      <c r="GUC177" s="3"/>
      <c r="GUD177" s="3"/>
      <c r="GUE177" s="3"/>
      <c r="GUF177" s="3"/>
      <c r="GUG177" s="3"/>
      <c r="GUH177" s="3"/>
      <c r="GUI177" s="3"/>
      <c r="GUJ177" s="3"/>
      <c r="GUK177" s="3"/>
      <c r="GUL177" s="3"/>
      <c r="GUM177" s="3"/>
      <c r="GUN177" s="3"/>
      <c r="GUO177" s="3"/>
      <c r="GUP177" s="3"/>
      <c r="GUQ177" s="3"/>
      <c r="GUR177" s="3"/>
      <c r="GUS177" s="3"/>
      <c r="GUT177" s="3"/>
      <c r="GUU177" s="3"/>
      <c r="GUV177" s="3"/>
      <c r="GUW177" s="3"/>
      <c r="GUX177" s="3"/>
      <c r="GUY177" s="3"/>
      <c r="GUZ177" s="3"/>
      <c r="GVA177" s="3"/>
      <c r="GVB177" s="3"/>
      <c r="GVC177" s="3"/>
      <c r="GVD177" s="3"/>
      <c r="GVE177" s="3"/>
      <c r="GVF177" s="3"/>
      <c r="GVG177" s="3"/>
      <c r="GVH177" s="3"/>
      <c r="GVI177" s="3"/>
      <c r="GVJ177" s="3"/>
      <c r="GVK177" s="3"/>
      <c r="GVL177" s="3"/>
      <c r="GVM177" s="3"/>
      <c r="GVN177" s="3"/>
      <c r="GVO177" s="3"/>
      <c r="GVP177" s="3"/>
      <c r="GVQ177" s="3"/>
      <c r="GVR177" s="3"/>
      <c r="GVS177" s="3"/>
      <c r="GVT177" s="3"/>
      <c r="GVU177" s="3"/>
      <c r="GVV177" s="3"/>
      <c r="GVW177" s="3"/>
      <c r="GVX177" s="3"/>
      <c r="GVY177" s="3"/>
      <c r="GVZ177" s="3"/>
      <c r="GWA177" s="3"/>
      <c r="GWB177" s="3"/>
      <c r="GWC177" s="3"/>
      <c r="GWD177" s="3"/>
      <c r="GWE177" s="3"/>
      <c r="GWF177" s="3"/>
      <c r="GWG177" s="3"/>
      <c r="GWH177" s="3"/>
      <c r="GWI177" s="3"/>
      <c r="GWJ177" s="3"/>
      <c r="GWK177" s="3"/>
      <c r="GWL177" s="3"/>
      <c r="GWM177" s="3"/>
      <c r="GWN177" s="3"/>
      <c r="GWO177" s="3"/>
      <c r="GWP177" s="3"/>
      <c r="GWQ177" s="3"/>
      <c r="GWR177" s="3"/>
      <c r="GWS177" s="3"/>
      <c r="GWT177" s="3"/>
      <c r="GWU177" s="3"/>
      <c r="GWV177" s="3"/>
      <c r="GWW177" s="3"/>
      <c r="GWX177" s="3"/>
      <c r="GWY177" s="3"/>
      <c r="GWZ177" s="3"/>
      <c r="GXA177" s="3"/>
      <c r="GXB177" s="3"/>
      <c r="GXC177" s="3"/>
      <c r="GXD177" s="3"/>
      <c r="GXE177" s="3"/>
      <c r="GXF177" s="3"/>
      <c r="GXG177" s="3"/>
      <c r="GXH177" s="3"/>
      <c r="GXI177" s="3"/>
      <c r="GXJ177" s="3"/>
      <c r="GXK177" s="3"/>
      <c r="GXL177" s="3"/>
      <c r="GXM177" s="3"/>
      <c r="GXN177" s="3"/>
      <c r="GXO177" s="3"/>
      <c r="GXP177" s="3"/>
      <c r="GXQ177" s="3"/>
      <c r="GXR177" s="3"/>
      <c r="GXS177" s="3"/>
      <c r="GXT177" s="3"/>
      <c r="GXU177" s="3"/>
      <c r="GXV177" s="3"/>
      <c r="GXW177" s="3"/>
      <c r="GXX177" s="3"/>
      <c r="GXY177" s="3"/>
      <c r="GXZ177" s="3"/>
      <c r="GYA177" s="3"/>
      <c r="GYB177" s="3"/>
      <c r="GYC177" s="3"/>
      <c r="GYD177" s="3"/>
      <c r="GYE177" s="3"/>
      <c r="GYF177" s="3"/>
      <c r="GYG177" s="3"/>
      <c r="GYH177" s="3"/>
      <c r="GYI177" s="3"/>
      <c r="GYJ177" s="3"/>
      <c r="GYK177" s="3"/>
      <c r="GYL177" s="3"/>
      <c r="GYM177" s="3"/>
      <c r="GYN177" s="3"/>
      <c r="GYO177" s="3"/>
      <c r="GYP177" s="3"/>
      <c r="GYQ177" s="3"/>
      <c r="GYR177" s="3"/>
      <c r="GYS177" s="3"/>
      <c r="GYT177" s="3"/>
      <c r="GYU177" s="3"/>
      <c r="GYV177" s="3"/>
      <c r="GYW177" s="3"/>
      <c r="GYX177" s="3"/>
      <c r="GYY177" s="3"/>
      <c r="GYZ177" s="3"/>
      <c r="GZA177" s="3"/>
      <c r="GZB177" s="3"/>
      <c r="GZC177" s="3"/>
      <c r="GZD177" s="3"/>
      <c r="GZE177" s="3"/>
      <c r="GZF177" s="3"/>
      <c r="GZG177" s="3"/>
      <c r="GZH177" s="3"/>
      <c r="GZI177" s="3"/>
      <c r="GZJ177" s="3"/>
      <c r="GZK177" s="3"/>
      <c r="GZL177" s="3"/>
      <c r="GZM177" s="3"/>
      <c r="GZN177" s="3"/>
      <c r="GZO177" s="3"/>
      <c r="GZP177" s="3"/>
      <c r="GZQ177" s="3"/>
      <c r="GZR177" s="3"/>
      <c r="GZS177" s="3"/>
      <c r="GZT177" s="3"/>
      <c r="GZU177" s="3"/>
      <c r="GZV177" s="3"/>
      <c r="GZW177" s="3"/>
      <c r="GZX177" s="3"/>
      <c r="GZY177" s="3"/>
      <c r="GZZ177" s="3"/>
      <c r="HAA177" s="3"/>
      <c r="HAB177" s="3"/>
      <c r="HAC177" s="3"/>
      <c r="HAD177" s="3"/>
      <c r="HAE177" s="3"/>
      <c r="HAF177" s="3"/>
      <c r="HAG177" s="3"/>
      <c r="HAH177" s="3"/>
      <c r="HAI177" s="3"/>
      <c r="HAJ177" s="3"/>
      <c r="HAK177" s="3"/>
      <c r="HAL177" s="3"/>
      <c r="HAM177" s="3"/>
      <c r="HAN177" s="3"/>
      <c r="HAO177" s="3"/>
      <c r="HAP177" s="3"/>
      <c r="HAQ177" s="3"/>
      <c r="HAR177" s="3"/>
      <c r="HAS177" s="3"/>
      <c r="HAT177" s="3"/>
      <c r="HAU177" s="3"/>
      <c r="HAV177" s="3"/>
      <c r="HAW177" s="3"/>
      <c r="HAX177" s="3"/>
      <c r="HAY177" s="3"/>
      <c r="HAZ177" s="3"/>
      <c r="HBA177" s="3"/>
      <c r="HBB177" s="3"/>
      <c r="HBC177" s="3"/>
      <c r="HBD177" s="3"/>
      <c r="HBE177" s="3"/>
      <c r="HBF177" s="3"/>
      <c r="HBG177" s="3"/>
      <c r="HBH177" s="3"/>
      <c r="HBI177" s="3"/>
      <c r="HBJ177" s="3"/>
      <c r="HBK177" s="3"/>
      <c r="HBL177" s="3"/>
      <c r="HBM177" s="3"/>
      <c r="HBN177" s="3"/>
      <c r="HBO177" s="3"/>
      <c r="HBP177" s="3"/>
      <c r="HBQ177" s="3"/>
      <c r="HBR177" s="3"/>
      <c r="HBS177" s="3"/>
      <c r="HBT177" s="3"/>
      <c r="HBU177" s="3"/>
      <c r="HBV177" s="3"/>
      <c r="HBW177" s="3"/>
      <c r="HBX177" s="3"/>
      <c r="HBY177" s="3"/>
      <c r="HBZ177" s="3"/>
      <c r="HCA177" s="3"/>
      <c r="HCB177" s="3"/>
      <c r="HCC177" s="3"/>
      <c r="HCD177" s="3"/>
      <c r="HCE177" s="3"/>
      <c r="HCF177" s="3"/>
      <c r="HCG177" s="3"/>
      <c r="HCH177" s="3"/>
      <c r="HCI177" s="3"/>
      <c r="HCJ177" s="3"/>
      <c r="HCK177" s="3"/>
      <c r="HCL177" s="3"/>
      <c r="HCM177" s="3"/>
      <c r="HCN177" s="3"/>
      <c r="HCO177" s="3"/>
      <c r="HCP177" s="3"/>
      <c r="HCQ177" s="3"/>
      <c r="HCR177" s="3"/>
      <c r="HCS177" s="3"/>
      <c r="HCT177" s="3"/>
      <c r="HCU177" s="3"/>
      <c r="HCV177" s="3"/>
      <c r="HCW177" s="3"/>
      <c r="HCX177" s="3"/>
      <c r="HCY177" s="3"/>
      <c r="HCZ177" s="3"/>
      <c r="HDA177" s="3"/>
      <c r="HDB177" s="3"/>
      <c r="HDC177" s="3"/>
      <c r="HDD177" s="3"/>
      <c r="HDE177" s="3"/>
      <c r="HDF177" s="3"/>
      <c r="HDG177" s="3"/>
      <c r="HDH177" s="3"/>
      <c r="HDI177" s="3"/>
      <c r="HDJ177" s="3"/>
      <c r="HDK177" s="3"/>
      <c r="HDL177" s="3"/>
      <c r="HDM177" s="3"/>
      <c r="HDN177" s="3"/>
      <c r="HDO177" s="3"/>
      <c r="HDP177" s="3"/>
      <c r="HDQ177" s="3"/>
      <c r="HDR177" s="3"/>
      <c r="HDS177" s="3"/>
      <c r="HDT177" s="3"/>
      <c r="HDU177" s="3"/>
      <c r="HDV177" s="3"/>
      <c r="HDW177" s="3"/>
      <c r="HDX177" s="3"/>
      <c r="HDY177" s="3"/>
      <c r="HDZ177" s="3"/>
      <c r="HEA177" s="3"/>
      <c r="HEB177" s="3"/>
      <c r="HEC177" s="3"/>
      <c r="HED177" s="3"/>
      <c r="HEE177" s="3"/>
      <c r="HEF177" s="3"/>
      <c r="HEG177" s="3"/>
      <c r="HEH177" s="3"/>
      <c r="HEI177" s="3"/>
      <c r="HEJ177" s="3"/>
      <c r="HEK177" s="3"/>
      <c r="HEL177" s="3"/>
      <c r="HEM177" s="3"/>
      <c r="HEN177" s="3"/>
      <c r="HEO177" s="3"/>
      <c r="HEP177" s="3"/>
      <c r="HEQ177" s="3"/>
      <c r="HER177" s="3"/>
      <c r="HES177" s="3"/>
      <c r="HET177" s="3"/>
      <c r="HEU177" s="3"/>
      <c r="HEV177" s="3"/>
      <c r="HEW177" s="3"/>
      <c r="HEX177" s="3"/>
      <c r="HEY177" s="3"/>
      <c r="HEZ177" s="3"/>
      <c r="HFA177" s="3"/>
      <c r="HFB177" s="3"/>
      <c r="HFC177" s="3"/>
      <c r="HFD177" s="3"/>
      <c r="HFE177" s="3"/>
      <c r="HFF177" s="3"/>
      <c r="HFG177" s="3"/>
      <c r="HFH177" s="3"/>
      <c r="HFI177" s="3"/>
      <c r="HFJ177" s="3"/>
      <c r="HFK177" s="3"/>
      <c r="HFL177" s="3"/>
      <c r="HFM177" s="3"/>
      <c r="HFN177" s="3"/>
      <c r="HFO177" s="3"/>
      <c r="HFP177" s="3"/>
      <c r="HFQ177" s="3"/>
      <c r="HFR177" s="3"/>
      <c r="HFS177" s="3"/>
      <c r="HFT177" s="3"/>
      <c r="HFU177" s="3"/>
      <c r="HFV177" s="3"/>
      <c r="HFW177" s="3"/>
      <c r="HFX177" s="3"/>
      <c r="HFY177" s="3"/>
      <c r="HFZ177" s="3"/>
      <c r="HGA177" s="3"/>
      <c r="HGB177" s="3"/>
      <c r="HGC177" s="3"/>
      <c r="HGD177" s="3"/>
      <c r="HGE177" s="3"/>
      <c r="HGF177" s="3"/>
      <c r="HGG177" s="3"/>
      <c r="HGH177" s="3"/>
      <c r="HGI177" s="3"/>
      <c r="HGJ177" s="3"/>
      <c r="HGK177" s="3"/>
      <c r="HGL177" s="3"/>
      <c r="HGM177" s="3"/>
      <c r="HGN177" s="3"/>
      <c r="HGO177" s="3"/>
      <c r="HGP177" s="3"/>
      <c r="HGQ177" s="3"/>
      <c r="HGR177" s="3"/>
      <c r="HGS177" s="3"/>
      <c r="HGT177" s="3"/>
      <c r="HGU177" s="3"/>
      <c r="HGV177" s="3"/>
      <c r="HGW177" s="3"/>
      <c r="HGX177" s="3"/>
      <c r="HGY177" s="3"/>
      <c r="HGZ177" s="3"/>
      <c r="HHA177" s="3"/>
      <c r="HHB177" s="3"/>
      <c r="HHC177" s="3"/>
      <c r="HHD177" s="3"/>
      <c r="HHE177" s="3"/>
      <c r="HHF177" s="3"/>
      <c r="HHG177" s="3"/>
      <c r="HHH177" s="3"/>
      <c r="HHI177" s="3"/>
      <c r="HHJ177" s="3"/>
      <c r="HHK177" s="3"/>
      <c r="HHL177" s="3"/>
      <c r="HHM177" s="3"/>
      <c r="HHN177" s="3"/>
      <c r="HHO177" s="3"/>
      <c r="HHP177" s="3"/>
      <c r="HHQ177" s="3"/>
      <c r="HHR177" s="3"/>
      <c r="HHS177" s="3"/>
      <c r="HHT177" s="3"/>
      <c r="HHU177" s="3"/>
      <c r="HHV177" s="3"/>
      <c r="HHW177" s="3"/>
      <c r="HHX177" s="3"/>
      <c r="HHY177" s="3"/>
      <c r="HHZ177" s="3"/>
      <c r="HIA177" s="3"/>
      <c r="HIB177" s="3"/>
      <c r="HIC177" s="3"/>
      <c r="HID177" s="3"/>
      <c r="HIE177" s="3"/>
      <c r="HIF177" s="3"/>
      <c r="HIG177" s="3"/>
      <c r="HIH177" s="3"/>
      <c r="HII177" s="3"/>
      <c r="HIJ177" s="3"/>
      <c r="HIK177" s="3"/>
      <c r="HIL177" s="3"/>
      <c r="HIM177" s="3"/>
      <c r="HIN177" s="3"/>
      <c r="HIO177" s="3"/>
      <c r="HIP177" s="3"/>
      <c r="HIQ177" s="3"/>
      <c r="HIR177" s="3"/>
      <c r="HIS177" s="3"/>
      <c r="HIT177" s="3"/>
      <c r="HIU177" s="3"/>
      <c r="HIV177" s="3"/>
      <c r="HIW177" s="3"/>
      <c r="HIX177" s="3"/>
      <c r="HIY177" s="3"/>
      <c r="HIZ177" s="3"/>
      <c r="HJA177" s="3"/>
      <c r="HJB177" s="3"/>
      <c r="HJC177" s="3"/>
      <c r="HJD177" s="3"/>
      <c r="HJE177" s="3"/>
      <c r="HJF177" s="3"/>
      <c r="HJG177" s="3"/>
      <c r="HJH177" s="3"/>
      <c r="HJI177" s="3"/>
      <c r="HJJ177" s="3"/>
      <c r="HJK177" s="3"/>
      <c r="HJL177" s="3"/>
      <c r="HJM177" s="3"/>
      <c r="HJN177" s="3"/>
      <c r="HJO177" s="3"/>
      <c r="HJP177" s="3"/>
      <c r="HJQ177" s="3"/>
      <c r="HJR177" s="3"/>
      <c r="HJS177" s="3"/>
      <c r="HJT177" s="3"/>
      <c r="HJU177" s="3"/>
      <c r="HJV177" s="3"/>
      <c r="HJW177" s="3"/>
      <c r="HJX177" s="3"/>
      <c r="HJY177" s="3"/>
      <c r="HJZ177" s="3"/>
      <c r="HKA177" s="3"/>
      <c r="HKB177" s="3"/>
      <c r="HKC177" s="3"/>
      <c r="HKD177" s="3"/>
      <c r="HKE177" s="3"/>
      <c r="HKF177" s="3"/>
      <c r="HKG177" s="3"/>
      <c r="HKH177" s="3"/>
      <c r="HKI177" s="3"/>
      <c r="HKJ177" s="3"/>
      <c r="HKK177" s="3"/>
      <c r="HKL177" s="3"/>
      <c r="HKM177" s="3"/>
      <c r="HKN177" s="3"/>
      <c r="HKO177" s="3"/>
      <c r="HKP177" s="3"/>
      <c r="HKQ177" s="3"/>
      <c r="HKR177" s="3"/>
      <c r="HKS177" s="3"/>
      <c r="HKT177" s="3"/>
      <c r="HKU177" s="3"/>
      <c r="HKV177" s="3"/>
      <c r="HKW177" s="3"/>
      <c r="HKX177" s="3"/>
      <c r="HKY177" s="3"/>
      <c r="HKZ177" s="3"/>
      <c r="HLA177" s="3"/>
      <c r="HLB177" s="3"/>
      <c r="HLC177" s="3"/>
      <c r="HLD177" s="3"/>
      <c r="HLE177" s="3"/>
      <c r="HLF177" s="3"/>
      <c r="HLG177" s="3"/>
      <c r="HLH177" s="3"/>
      <c r="HLI177" s="3"/>
      <c r="HLJ177" s="3"/>
      <c r="HLK177" s="3"/>
      <c r="HLL177" s="3"/>
      <c r="HLM177" s="3"/>
      <c r="HLN177" s="3"/>
      <c r="HLO177" s="3"/>
      <c r="HLP177" s="3"/>
      <c r="HLQ177" s="3"/>
      <c r="HLR177" s="3"/>
      <c r="HLS177" s="3"/>
      <c r="HLT177" s="3"/>
      <c r="HLU177" s="3"/>
      <c r="HLV177" s="3"/>
      <c r="HLW177" s="3"/>
      <c r="HLX177" s="3"/>
      <c r="HLY177" s="3"/>
      <c r="HLZ177" s="3"/>
      <c r="HMA177" s="3"/>
      <c r="HMB177" s="3"/>
      <c r="HMC177" s="3"/>
      <c r="HMD177" s="3"/>
      <c r="HME177" s="3"/>
      <c r="HMF177" s="3"/>
      <c r="HMG177" s="3"/>
      <c r="HMH177" s="3"/>
      <c r="HMI177" s="3"/>
      <c r="HMJ177" s="3"/>
      <c r="HMK177" s="3"/>
      <c r="HML177" s="3"/>
      <c r="HMM177" s="3"/>
      <c r="HMN177" s="3"/>
      <c r="HMO177" s="3"/>
      <c r="HMP177" s="3"/>
      <c r="HMQ177" s="3"/>
      <c r="HMR177" s="3"/>
      <c r="HMS177" s="3"/>
      <c r="HMT177" s="3"/>
      <c r="HMU177" s="3"/>
      <c r="HMV177" s="3"/>
      <c r="HMW177" s="3"/>
      <c r="HMX177" s="3"/>
      <c r="HMY177" s="3"/>
      <c r="HMZ177" s="3"/>
      <c r="HNA177" s="3"/>
      <c r="HNB177" s="3"/>
      <c r="HNC177" s="3"/>
      <c r="HND177" s="3"/>
      <c r="HNE177" s="3"/>
      <c r="HNF177" s="3"/>
      <c r="HNG177" s="3"/>
      <c r="HNH177" s="3"/>
      <c r="HNI177" s="3"/>
      <c r="HNJ177" s="3"/>
      <c r="HNK177" s="3"/>
      <c r="HNL177" s="3"/>
      <c r="HNM177" s="3"/>
      <c r="HNN177" s="3"/>
      <c r="HNO177" s="3"/>
      <c r="HNP177" s="3"/>
      <c r="HNQ177" s="3"/>
      <c r="HNR177" s="3"/>
      <c r="HNS177" s="3"/>
      <c r="HNT177" s="3"/>
      <c r="HNU177" s="3"/>
      <c r="HNV177" s="3"/>
      <c r="HNW177" s="3"/>
      <c r="HNX177" s="3"/>
      <c r="HNY177" s="3"/>
      <c r="HNZ177" s="3"/>
      <c r="HOA177" s="3"/>
      <c r="HOB177" s="3"/>
      <c r="HOC177" s="3"/>
      <c r="HOD177" s="3"/>
      <c r="HOE177" s="3"/>
      <c r="HOF177" s="3"/>
      <c r="HOG177" s="3"/>
      <c r="HOH177" s="3"/>
      <c r="HOI177" s="3"/>
      <c r="HOJ177" s="3"/>
      <c r="HOK177" s="3"/>
      <c r="HOL177" s="3"/>
      <c r="HOM177" s="3"/>
      <c r="HON177" s="3"/>
      <c r="HOO177" s="3"/>
      <c r="HOP177" s="3"/>
      <c r="HOQ177" s="3"/>
      <c r="HOR177" s="3"/>
      <c r="HOS177" s="3"/>
      <c r="HOT177" s="3"/>
      <c r="HOU177" s="3"/>
      <c r="HOV177" s="3"/>
      <c r="HOW177" s="3"/>
      <c r="HOX177" s="3"/>
      <c r="HOY177" s="3"/>
      <c r="HOZ177" s="3"/>
      <c r="HPA177" s="3"/>
      <c r="HPB177" s="3"/>
      <c r="HPC177" s="3"/>
      <c r="HPD177" s="3"/>
      <c r="HPE177" s="3"/>
      <c r="HPF177" s="3"/>
      <c r="HPG177" s="3"/>
      <c r="HPH177" s="3"/>
      <c r="HPI177" s="3"/>
      <c r="HPJ177" s="3"/>
      <c r="HPK177" s="3"/>
      <c r="HPL177" s="3"/>
      <c r="HPM177" s="3"/>
      <c r="HPN177" s="3"/>
      <c r="HPO177" s="3"/>
      <c r="HPP177" s="3"/>
      <c r="HPQ177" s="3"/>
      <c r="HPR177" s="3"/>
      <c r="HPS177" s="3"/>
      <c r="HPT177" s="3"/>
      <c r="HPU177" s="3"/>
      <c r="HPV177" s="3"/>
      <c r="HPW177" s="3"/>
      <c r="HPX177" s="3"/>
      <c r="HPY177" s="3"/>
      <c r="HPZ177" s="3"/>
      <c r="HQA177" s="3"/>
      <c r="HQB177" s="3"/>
      <c r="HQC177" s="3"/>
      <c r="HQD177" s="3"/>
      <c r="HQE177" s="3"/>
      <c r="HQF177" s="3"/>
      <c r="HQG177" s="3"/>
      <c r="HQH177" s="3"/>
      <c r="HQI177" s="3"/>
      <c r="HQJ177" s="3"/>
      <c r="HQK177" s="3"/>
      <c r="HQL177" s="3"/>
      <c r="HQM177" s="3"/>
      <c r="HQN177" s="3"/>
      <c r="HQO177" s="3"/>
      <c r="HQP177" s="3"/>
      <c r="HQQ177" s="3"/>
      <c r="HQR177" s="3"/>
      <c r="HQS177" s="3"/>
      <c r="HQT177" s="3"/>
      <c r="HQU177" s="3"/>
      <c r="HQV177" s="3"/>
      <c r="HQW177" s="3"/>
      <c r="HQX177" s="3"/>
      <c r="HQY177" s="3"/>
      <c r="HQZ177" s="3"/>
      <c r="HRA177" s="3"/>
      <c r="HRB177" s="3"/>
      <c r="HRC177" s="3"/>
      <c r="HRD177" s="3"/>
      <c r="HRE177" s="3"/>
      <c r="HRF177" s="3"/>
      <c r="HRG177" s="3"/>
      <c r="HRH177" s="3"/>
      <c r="HRI177" s="3"/>
      <c r="HRJ177" s="3"/>
      <c r="HRK177" s="3"/>
      <c r="HRL177" s="3"/>
      <c r="HRM177" s="3"/>
      <c r="HRN177" s="3"/>
      <c r="HRO177" s="3"/>
      <c r="HRP177" s="3"/>
      <c r="HRQ177" s="3"/>
      <c r="HRR177" s="3"/>
      <c r="HRS177" s="3"/>
      <c r="HRT177" s="3"/>
      <c r="HRU177" s="3"/>
      <c r="HRV177" s="3"/>
      <c r="HRW177" s="3"/>
      <c r="HRX177" s="3"/>
      <c r="HRY177" s="3"/>
      <c r="HRZ177" s="3"/>
      <c r="HSA177" s="3"/>
      <c r="HSB177" s="3"/>
      <c r="HSC177" s="3"/>
      <c r="HSD177" s="3"/>
      <c r="HSE177" s="3"/>
      <c r="HSF177" s="3"/>
      <c r="HSG177" s="3"/>
      <c r="HSH177" s="3"/>
      <c r="HSI177" s="3"/>
      <c r="HSJ177" s="3"/>
      <c r="HSK177" s="3"/>
      <c r="HSL177" s="3"/>
      <c r="HSM177" s="3"/>
      <c r="HSN177" s="3"/>
      <c r="HSO177" s="3"/>
      <c r="HSP177" s="3"/>
      <c r="HSQ177" s="3"/>
      <c r="HSR177" s="3"/>
      <c r="HSS177" s="3"/>
      <c r="HST177" s="3"/>
      <c r="HSU177" s="3"/>
      <c r="HSV177" s="3"/>
      <c r="HSW177" s="3"/>
      <c r="HSX177" s="3"/>
      <c r="HSY177" s="3"/>
      <c r="HSZ177" s="3"/>
      <c r="HTA177" s="3"/>
      <c r="HTB177" s="3"/>
      <c r="HTC177" s="3"/>
      <c r="HTD177" s="3"/>
      <c r="HTE177" s="3"/>
      <c r="HTF177" s="3"/>
      <c r="HTG177" s="3"/>
      <c r="HTH177" s="3"/>
      <c r="HTI177" s="3"/>
      <c r="HTJ177" s="3"/>
      <c r="HTK177" s="3"/>
      <c r="HTL177" s="3"/>
      <c r="HTM177" s="3"/>
      <c r="HTN177" s="3"/>
      <c r="HTO177" s="3"/>
      <c r="HTP177" s="3"/>
      <c r="HTQ177" s="3"/>
      <c r="HTR177" s="3"/>
      <c r="HTS177" s="3"/>
      <c r="HTT177" s="3"/>
      <c r="HTU177" s="3"/>
      <c r="HTV177" s="3"/>
      <c r="HTW177" s="3"/>
      <c r="HTX177" s="3"/>
      <c r="HTY177" s="3"/>
      <c r="HTZ177" s="3"/>
      <c r="HUA177" s="3"/>
      <c r="HUB177" s="3"/>
      <c r="HUC177" s="3"/>
      <c r="HUD177" s="3"/>
      <c r="HUE177" s="3"/>
      <c r="HUF177" s="3"/>
      <c r="HUG177" s="3"/>
      <c r="HUH177" s="3"/>
      <c r="HUI177" s="3"/>
      <c r="HUJ177" s="3"/>
      <c r="HUK177" s="3"/>
      <c r="HUL177" s="3"/>
      <c r="HUM177" s="3"/>
      <c r="HUN177" s="3"/>
      <c r="HUO177" s="3"/>
      <c r="HUP177" s="3"/>
      <c r="HUQ177" s="3"/>
      <c r="HUR177" s="3"/>
      <c r="HUS177" s="3"/>
      <c r="HUT177" s="3"/>
      <c r="HUU177" s="3"/>
      <c r="HUV177" s="3"/>
      <c r="HUW177" s="3"/>
      <c r="HUX177" s="3"/>
      <c r="HUY177" s="3"/>
      <c r="HUZ177" s="3"/>
      <c r="HVA177" s="3"/>
      <c r="HVB177" s="3"/>
      <c r="HVC177" s="3"/>
      <c r="HVD177" s="3"/>
      <c r="HVE177" s="3"/>
      <c r="HVF177" s="3"/>
      <c r="HVG177" s="3"/>
      <c r="HVH177" s="3"/>
      <c r="HVI177" s="3"/>
      <c r="HVJ177" s="3"/>
      <c r="HVK177" s="3"/>
      <c r="HVL177" s="3"/>
      <c r="HVM177" s="3"/>
      <c r="HVN177" s="3"/>
      <c r="HVO177" s="3"/>
      <c r="HVP177" s="3"/>
      <c r="HVQ177" s="3"/>
      <c r="HVR177" s="3"/>
      <c r="HVS177" s="3"/>
      <c r="HVT177" s="3"/>
      <c r="HVU177" s="3"/>
      <c r="HVV177" s="3"/>
      <c r="HVW177" s="3"/>
      <c r="HVX177" s="3"/>
      <c r="HVY177" s="3"/>
      <c r="HVZ177" s="3"/>
      <c r="HWA177" s="3"/>
      <c r="HWB177" s="3"/>
      <c r="HWC177" s="3"/>
      <c r="HWD177" s="3"/>
      <c r="HWE177" s="3"/>
      <c r="HWF177" s="3"/>
      <c r="HWG177" s="3"/>
      <c r="HWH177" s="3"/>
      <c r="HWI177" s="3"/>
      <c r="HWJ177" s="3"/>
      <c r="HWK177" s="3"/>
      <c r="HWL177" s="3"/>
      <c r="HWM177" s="3"/>
      <c r="HWN177" s="3"/>
      <c r="HWO177" s="3"/>
      <c r="HWP177" s="3"/>
      <c r="HWQ177" s="3"/>
      <c r="HWR177" s="3"/>
      <c r="HWS177" s="3"/>
      <c r="HWT177" s="3"/>
      <c r="HWU177" s="3"/>
      <c r="HWV177" s="3"/>
      <c r="HWW177" s="3"/>
      <c r="HWX177" s="3"/>
      <c r="HWY177" s="3"/>
      <c r="HWZ177" s="3"/>
      <c r="HXA177" s="3"/>
      <c r="HXB177" s="3"/>
      <c r="HXC177" s="3"/>
      <c r="HXD177" s="3"/>
      <c r="HXE177" s="3"/>
      <c r="HXF177" s="3"/>
      <c r="HXG177" s="3"/>
      <c r="HXH177" s="3"/>
      <c r="HXI177" s="3"/>
      <c r="HXJ177" s="3"/>
      <c r="HXK177" s="3"/>
      <c r="HXL177" s="3"/>
      <c r="HXM177" s="3"/>
      <c r="HXN177" s="3"/>
      <c r="HXO177" s="3"/>
      <c r="HXP177" s="3"/>
      <c r="HXQ177" s="3"/>
      <c r="HXR177" s="3"/>
      <c r="HXS177" s="3"/>
      <c r="HXT177" s="3"/>
      <c r="HXU177" s="3"/>
      <c r="HXV177" s="3"/>
      <c r="HXW177" s="3"/>
      <c r="HXX177" s="3"/>
      <c r="HXY177" s="3"/>
      <c r="HXZ177" s="3"/>
      <c r="HYA177" s="3"/>
      <c r="HYB177" s="3"/>
      <c r="HYC177" s="3"/>
      <c r="HYD177" s="3"/>
      <c r="HYE177" s="3"/>
      <c r="HYF177" s="3"/>
      <c r="HYG177" s="3"/>
      <c r="HYH177" s="3"/>
      <c r="HYI177" s="3"/>
      <c r="HYJ177" s="3"/>
      <c r="HYK177" s="3"/>
      <c r="HYL177" s="3"/>
      <c r="HYM177" s="3"/>
      <c r="HYN177" s="3"/>
      <c r="HYO177" s="3"/>
      <c r="HYP177" s="3"/>
      <c r="HYQ177" s="3"/>
      <c r="HYR177" s="3"/>
      <c r="HYS177" s="3"/>
      <c r="HYT177" s="3"/>
      <c r="HYU177" s="3"/>
      <c r="HYV177" s="3"/>
      <c r="HYW177" s="3"/>
      <c r="HYX177" s="3"/>
      <c r="HYY177" s="3"/>
      <c r="HYZ177" s="3"/>
      <c r="HZA177" s="3"/>
      <c r="HZB177" s="3"/>
      <c r="HZC177" s="3"/>
      <c r="HZD177" s="3"/>
      <c r="HZE177" s="3"/>
      <c r="HZF177" s="3"/>
      <c r="HZG177" s="3"/>
      <c r="HZH177" s="3"/>
      <c r="HZI177" s="3"/>
      <c r="HZJ177" s="3"/>
      <c r="HZK177" s="3"/>
      <c r="HZL177" s="3"/>
      <c r="HZM177" s="3"/>
      <c r="HZN177" s="3"/>
      <c r="HZO177" s="3"/>
      <c r="HZP177" s="3"/>
      <c r="HZQ177" s="3"/>
      <c r="HZR177" s="3"/>
      <c r="HZS177" s="3"/>
      <c r="HZT177" s="3"/>
      <c r="HZU177" s="3"/>
      <c r="HZV177" s="3"/>
      <c r="HZW177" s="3"/>
      <c r="HZX177" s="3"/>
      <c r="HZY177" s="3"/>
      <c r="HZZ177" s="3"/>
      <c r="IAA177" s="3"/>
      <c r="IAB177" s="3"/>
      <c r="IAC177" s="3"/>
      <c r="IAD177" s="3"/>
      <c r="IAE177" s="3"/>
      <c r="IAF177" s="3"/>
      <c r="IAG177" s="3"/>
      <c r="IAH177" s="3"/>
      <c r="IAI177" s="3"/>
      <c r="IAJ177" s="3"/>
      <c r="IAK177" s="3"/>
      <c r="IAL177" s="3"/>
      <c r="IAM177" s="3"/>
      <c r="IAN177" s="3"/>
      <c r="IAO177" s="3"/>
      <c r="IAP177" s="3"/>
      <c r="IAQ177" s="3"/>
      <c r="IAR177" s="3"/>
      <c r="IAS177" s="3"/>
      <c r="IAT177" s="3"/>
      <c r="IAU177" s="3"/>
      <c r="IAV177" s="3"/>
      <c r="IAW177" s="3"/>
      <c r="IAX177" s="3"/>
      <c r="IAY177" s="3"/>
      <c r="IAZ177" s="3"/>
      <c r="IBA177" s="3"/>
      <c r="IBB177" s="3"/>
      <c r="IBC177" s="3"/>
      <c r="IBD177" s="3"/>
      <c r="IBE177" s="3"/>
      <c r="IBF177" s="3"/>
      <c r="IBG177" s="3"/>
      <c r="IBH177" s="3"/>
      <c r="IBI177" s="3"/>
      <c r="IBJ177" s="3"/>
      <c r="IBK177" s="3"/>
      <c r="IBL177" s="3"/>
      <c r="IBM177" s="3"/>
      <c r="IBN177" s="3"/>
      <c r="IBO177" s="3"/>
      <c r="IBP177" s="3"/>
      <c r="IBQ177" s="3"/>
      <c r="IBR177" s="3"/>
      <c r="IBS177" s="3"/>
      <c r="IBT177" s="3"/>
      <c r="IBU177" s="3"/>
      <c r="IBV177" s="3"/>
      <c r="IBW177" s="3"/>
      <c r="IBX177" s="3"/>
      <c r="IBY177" s="3"/>
      <c r="IBZ177" s="3"/>
      <c r="ICA177" s="3"/>
      <c r="ICB177" s="3"/>
      <c r="ICC177" s="3"/>
      <c r="ICD177" s="3"/>
      <c r="ICE177" s="3"/>
      <c r="ICF177" s="3"/>
      <c r="ICG177" s="3"/>
      <c r="ICH177" s="3"/>
      <c r="ICI177" s="3"/>
      <c r="ICJ177" s="3"/>
      <c r="ICK177" s="3"/>
      <c r="ICL177" s="3"/>
      <c r="ICM177" s="3"/>
      <c r="ICN177" s="3"/>
      <c r="ICO177" s="3"/>
      <c r="ICP177" s="3"/>
      <c r="ICQ177" s="3"/>
      <c r="ICR177" s="3"/>
      <c r="ICS177" s="3"/>
      <c r="ICT177" s="3"/>
      <c r="ICU177" s="3"/>
      <c r="ICV177" s="3"/>
      <c r="ICW177" s="3"/>
      <c r="ICX177" s="3"/>
      <c r="ICY177" s="3"/>
      <c r="ICZ177" s="3"/>
      <c r="IDA177" s="3"/>
      <c r="IDB177" s="3"/>
      <c r="IDC177" s="3"/>
      <c r="IDD177" s="3"/>
      <c r="IDE177" s="3"/>
      <c r="IDF177" s="3"/>
      <c r="IDG177" s="3"/>
      <c r="IDH177" s="3"/>
      <c r="IDI177" s="3"/>
      <c r="IDJ177" s="3"/>
      <c r="IDK177" s="3"/>
      <c r="IDL177" s="3"/>
      <c r="IDM177" s="3"/>
      <c r="IDN177" s="3"/>
      <c r="IDO177" s="3"/>
      <c r="IDP177" s="3"/>
      <c r="IDQ177" s="3"/>
      <c r="IDR177" s="3"/>
      <c r="IDS177" s="3"/>
      <c r="IDT177" s="3"/>
      <c r="IDU177" s="3"/>
      <c r="IDV177" s="3"/>
      <c r="IDW177" s="3"/>
      <c r="IDX177" s="3"/>
      <c r="IDY177" s="3"/>
      <c r="IDZ177" s="3"/>
      <c r="IEA177" s="3"/>
      <c r="IEB177" s="3"/>
      <c r="IEC177" s="3"/>
      <c r="IED177" s="3"/>
      <c r="IEE177" s="3"/>
      <c r="IEF177" s="3"/>
      <c r="IEG177" s="3"/>
      <c r="IEH177" s="3"/>
      <c r="IEI177" s="3"/>
      <c r="IEJ177" s="3"/>
      <c r="IEK177" s="3"/>
      <c r="IEL177" s="3"/>
      <c r="IEM177" s="3"/>
      <c r="IEN177" s="3"/>
      <c r="IEO177" s="3"/>
      <c r="IEP177" s="3"/>
      <c r="IEQ177" s="3"/>
      <c r="IER177" s="3"/>
      <c r="IES177" s="3"/>
      <c r="IET177" s="3"/>
      <c r="IEU177" s="3"/>
      <c r="IEV177" s="3"/>
      <c r="IEW177" s="3"/>
      <c r="IEX177" s="3"/>
      <c r="IEY177" s="3"/>
      <c r="IEZ177" s="3"/>
      <c r="IFA177" s="3"/>
      <c r="IFB177" s="3"/>
      <c r="IFC177" s="3"/>
      <c r="IFD177" s="3"/>
      <c r="IFE177" s="3"/>
      <c r="IFF177" s="3"/>
      <c r="IFG177" s="3"/>
      <c r="IFH177" s="3"/>
      <c r="IFI177" s="3"/>
      <c r="IFJ177" s="3"/>
      <c r="IFK177" s="3"/>
      <c r="IFL177" s="3"/>
      <c r="IFM177" s="3"/>
      <c r="IFN177" s="3"/>
      <c r="IFO177" s="3"/>
      <c r="IFP177" s="3"/>
      <c r="IFQ177" s="3"/>
      <c r="IFR177" s="3"/>
      <c r="IFS177" s="3"/>
      <c r="IFT177" s="3"/>
      <c r="IFU177" s="3"/>
      <c r="IFV177" s="3"/>
      <c r="IFW177" s="3"/>
      <c r="IFX177" s="3"/>
      <c r="IFY177" s="3"/>
      <c r="IFZ177" s="3"/>
      <c r="IGA177" s="3"/>
      <c r="IGB177" s="3"/>
      <c r="IGC177" s="3"/>
      <c r="IGD177" s="3"/>
      <c r="IGE177" s="3"/>
      <c r="IGF177" s="3"/>
      <c r="IGG177" s="3"/>
      <c r="IGH177" s="3"/>
      <c r="IGI177" s="3"/>
      <c r="IGJ177" s="3"/>
      <c r="IGK177" s="3"/>
      <c r="IGL177" s="3"/>
      <c r="IGM177" s="3"/>
      <c r="IGN177" s="3"/>
      <c r="IGO177" s="3"/>
      <c r="IGP177" s="3"/>
      <c r="IGQ177" s="3"/>
      <c r="IGR177" s="3"/>
      <c r="IGS177" s="3"/>
      <c r="IGT177" s="3"/>
      <c r="IGU177" s="3"/>
      <c r="IGV177" s="3"/>
      <c r="IGW177" s="3"/>
      <c r="IGX177" s="3"/>
      <c r="IGY177" s="3"/>
      <c r="IGZ177" s="3"/>
      <c r="IHA177" s="3"/>
      <c r="IHB177" s="3"/>
      <c r="IHC177" s="3"/>
      <c r="IHD177" s="3"/>
      <c r="IHE177" s="3"/>
      <c r="IHF177" s="3"/>
      <c r="IHG177" s="3"/>
      <c r="IHH177" s="3"/>
      <c r="IHI177" s="3"/>
      <c r="IHJ177" s="3"/>
      <c r="IHK177" s="3"/>
      <c r="IHL177" s="3"/>
      <c r="IHM177" s="3"/>
      <c r="IHN177" s="3"/>
      <c r="IHO177" s="3"/>
      <c r="IHP177" s="3"/>
      <c r="IHQ177" s="3"/>
      <c r="IHR177" s="3"/>
      <c r="IHS177" s="3"/>
      <c r="IHT177" s="3"/>
      <c r="IHU177" s="3"/>
      <c r="IHV177" s="3"/>
      <c r="IHW177" s="3"/>
      <c r="IHX177" s="3"/>
      <c r="IHY177" s="3"/>
      <c r="IHZ177" s="3"/>
      <c r="IIA177" s="3"/>
      <c r="IIB177" s="3"/>
      <c r="IIC177" s="3"/>
      <c r="IID177" s="3"/>
      <c r="IIE177" s="3"/>
      <c r="IIF177" s="3"/>
      <c r="IIG177" s="3"/>
      <c r="IIH177" s="3"/>
      <c r="III177" s="3"/>
      <c r="IIJ177" s="3"/>
      <c r="IIK177" s="3"/>
      <c r="IIL177" s="3"/>
      <c r="IIM177" s="3"/>
      <c r="IIN177" s="3"/>
      <c r="IIO177" s="3"/>
      <c r="IIP177" s="3"/>
      <c r="IIQ177" s="3"/>
      <c r="IIR177" s="3"/>
      <c r="IIS177" s="3"/>
      <c r="IIT177" s="3"/>
      <c r="IIU177" s="3"/>
      <c r="IIV177" s="3"/>
      <c r="IIW177" s="3"/>
      <c r="IIX177" s="3"/>
      <c r="IIY177" s="3"/>
      <c r="IIZ177" s="3"/>
      <c r="IJA177" s="3"/>
      <c r="IJB177" s="3"/>
      <c r="IJC177" s="3"/>
      <c r="IJD177" s="3"/>
      <c r="IJE177" s="3"/>
      <c r="IJF177" s="3"/>
      <c r="IJG177" s="3"/>
      <c r="IJH177" s="3"/>
      <c r="IJI177" s="3"/>
      <c r="IJJ177" s="3"/>
      <c r="IJK177" s="3"/>
      <c r="IJL177" s="3"/>
      <c r="IJM177" s="3"/>
      <c r="IJN177" s="3"/>
      <c r="IJO177" s="3"/>
      <c r="IJP177" s="3"/>
      <c r="IJQ177" s="3"/>
      <c r="IJR177" s="3"/>
      <c r="IJS177" s="3"/>
      <c r="IJT177" s="3"/>
      <c r="IJU177" s="3"/>
      <c r="IJV177" s="3"/>
      <c r="IJW177" s="3"/>
      <c r="IJX177" s="3"/>
      <c r="IJY177" s="3"/>
      <c r="IJZ177" s="3"/>
      <c r="IKA177" s="3"/>
      <c r="IKB177" s="3"/>
      <c r="IKC177" s="3"/>
      <c r="IKD177" s="3"/>
      <c r="IKE177" s="3"/>
      <c r="IKF177" s="3"/>
      <c r="IKG177" s="3"/>
      <c r="IKH177" s="3"/>
      <c r="IKI177" s="3"/>
      <c r="IKJ177" s="3"/>
      <c r="IKK177" s="3"/>
      <c r="IKL177" s="3"/>
      <c r="IKM177" s="3"/>
      <c r="IKN177" s="3"/>
      <c r="IKO177" s="3"/>
      <c r="IKP177" s="3"/>
      <c r="IKQ177" s="3"/>
      <c r="IKR177" s="3"/>
      <c r="IKS177" s="3"/>
      <c r="IKT177" s="3"/>
      <c r="IKU177" s="3"/>
      <c r="IKV177" s="3"/>
      <c r="IKW177" s="3"/>
      <c r="IKX177" s="3"/>
      <c r="IKY177" s="3"/>
      <c r="IKZ177" s="3"/>
      <c r="ILA177" s="3"/>
      <c r="ILB177" s="3"/>
      <c r="ILC177" s="3"/>
      <c r="ILD177" s="3"/>
      <c r="ILE177" s="3"/>
      <c r="ILF177" s="3"/>
      <c r="ILG177" s="3"/>
      <c r="ILH177" s="3"/>
      <c r="ILI177" s="3"/>
      <c r="ILJ177" s="3"/>
      <c r="ILK177" s="3"/>
      <c r="ILL177" s="3"/>
      <c r="ILM177" s="3"/>
      <c r="ILN177" s="3"/>
      <c r="ILO177" s="3"/>
      <c r="ILP177" s="3"/>
      <c r="ILQ177" s="3"/>
      <c r="ILR177" s="3"/>
      <c r="ILS177" s="3"/>
      <c r="ILT177" s="3"/>
      <c r="ILU177" s="3"/>
      <c r="ILV177" s="3"/>
      <c r="ILW177" s="3"/>
      <c r="ILX177" s="3"/>
      <c r="ILY177" s="3"/>
      <c r="ILZ177" s="3"/>
      <c r="IMA177" s="3"/>
      <c r="IMB177" s="3"/>
      <c r="IMC177" s="3"/>
      <c r="IMD177" s="3"/>
      <c r="IME177" s="3"/>
      <c r="IMF177" s="3"/>
      <c r="IMG177" s="3"/>
      <c r="IMH177" s="3"/>
      <c r="IMI177" s="3"/>
      <c r="IMJ177" s="3"/>
      <c r="IMK177" s="3"/>
      <c r="IML177" s="3"/>
      <c r="IMM177" s="3"/>
      <c r="IMN177" s="3"/>
      <c r="IMO177" s="3"/>
      <c r="IMP177" s="3"/>
      <c r="IMQ177" s="3"/>
      <c r="IMR177" s="3"/>
      <c r="IMS177" s="3"/>
      <c r="IMT177" s="3"/>
      <c r="IMU177" s="3"/>
      <c r="IMV177" s="3"/>
      <c r="IMW177" s="3"/>
      <c r="IMX177" s="3"/>
      <c r="IMY177" s="3"/>
      <c r="IMZ177" s="3"/>
      <c r="INA177" s="3"/>
      <c r="INB177" s="3"/>
      <c r="INC177" s="3"/>
      <c r="IND177" s="3"/>
      <c r="INE177" s="3"/>
      <c r="INF177" s="3"/>
      <c r="ING177" s="3"/>
      <c r="INH177" s="3"/>
      <c r="INI177" s="3"/>
      <c r="INJ177" s="3"/>
      <c r="INK177" s="3"/>
      <c r="INL177" s="3"/>
      <c r="INM177" s="3"/>
      <c r="INN177" s="3"/>
      <c r="INO177" s="3"/>
      <c r="INP177" s="3"/>
      <c r="INQ177" s="3"/>
      <c r="INR177" s="3"/>
      <c r="INS177" s="3"/>
      <c r="INT177" s="3"/>
      <c r="INU177" s="3"/>
      <c r="INV177" s="3"/>
      <c r="INW177" s="3"/>
      <c r="INX177" s="3"/>
      <c r="INY177" s="3"/>
      <c r="INZ177" s="3"/>
      <c r="IOA177" s="3"/>
      <c r="IOB177" s="3"/>
      <c r="IOC177" s="3"/>
      <c r="IOD177" s="3"/>
      <c r="IOE177" s="3"/>
      <c r="IOF177" s="3"/>
      <c r="IOG177" s="3"/>
      <c r="IOH177" s="3"/>
      <c r="IOI177" s="3"/>
      <c r="IOJ177" s="3"/>
      <c r="IOK177" s="3"/>
      <c r="IOL177" s="3"/>
      <c r="IOM177" s="3"/>
      <c r="ION177" s="3"/>
      <c r="IOO177" s="3"/>
      <c r="IOP177" s="3"/>
      <c r="IOQ177" s="3"/>
      <c r="IOR177" s="3"/>
      <c r="IOS177" s="3"/>
      <c r="IOT177" s="3"/>
      <c r="IOU177" s="3"/>
      <c r="IOV177" s="3"/>
      <c r="IOW177" s="3"/>
      <c r="IOX177" s="3"/>
      <c r="IOY177" s="3"/>
      <c r="IOZ177" s="3"/>
      <c r="IPA177" s="3"/>
      <c r="IPB177" s="3"/>
      <c r="IPC177" s="3"/>
      <c r="IPD177" s="3"/>
      <c r="IPE177" s="3"/>
      <c r="IPF177" s="3"/>
      <c r="IPG177" s="3"/>
      <c r="IPH177" s="3"/>
      <c r="IPI177" s="3"/>
      <c r="IPJ177" s="3"/>
      <c r="IPK177" s="3"/>
      <c r="IPL177" s="3"/>
      <c r="IPM177" s="3"/>
      <c r="IPN177" s="3"/>
      <c r="IPO177" s="3"/>
      <c r="IPP177" s="3"/>
      <c r="IPQ177" s="3"/>
      <c r="IPR177" s="3"/>
      <c r="IPS177" s="3"/>
      <c r="IPT177" s="3"/>
      <c r="IPU177" s="3"/>
      <c r="IPV177" s="3"/>
      <c r="IPW177" s="3"/>
      <c r="IPX177" s="3"/>
      <c r="IPY177" s="3"/>
      <c r="IPZ177" s="3"/>
      <c r="IQA177" s="3"/>
      <c r="IQB177" s="3"/>
      <c r="IQC177" s="3"/>
      <c r="IQD177" s="3"/>
      <c r="IQE177" s="3"/>
      <c r="IQF177" s="3"/>
      <c r="IQG177" s="3"/>
      <c r="IQH177" s="3"/>
      <c r="IQI177" s="3"/>
      <c r="IQJ177" s="3"/>
      <c r="IQK177" s="3"/>
      <c r="IQL177" s="3"/>
      <c r="IQM177" s="3"/>
      <c r="IQN177" s="3"/>
      <c r="IQO177" s="3"/>
      <c r="IQP177" s="3"/>
      <c r="IQQ177" s="3"/>
      <c r="IQR177" s="3"/>
      <c r="IQS177" s="3"/>
      <c r="IQT177" s="3"/>
      <c r="IQU177" s="3"/>
      <c r="IQV177" s="3"/>
      <c r="IQW177" s="3"/>
      <c r="IQX177" s="3"/>
      <c r="IQY177" s="3"/>
      <c r="IQZ177" s="3"/>
      <c r="IRA177" s="3"/>
      <c r="IRB177" s="3"/>
      <c r="IRC177" s="3"/>
      <c r="IRD177" s="3"/>
      <c r="IRE177" s="3"/>
      <c r="IRF177" s="3"/>
      <c r="IRG177" s="3"/>
      <c r="IRH177" s="3"/>
      <c r="IRI177" s="3"/>
      <c r="IRJ177" s="3"/>
      <c r="IRK177" s="3"/>
      <c r="IRL177" s="3"/>
      <c r="IRM177" s="3"/>
      <c r="IRN177" s="3"/>
      <c r="IRO177" s="3"/>
      <c r="IRP177" s="3"/>
      <c r="IRQ177" s="3"/>
      <c r="IRR177" s="3"/>
      <c r="IRS177" s="3"/>
      <c r="IRT177" s="3"/>
      <c r="IRU177" s="3"/>
      <c r="IRV177" s="3"/>
      <c r="IRW177" s="3"/>
      <c r="IRX177" s="3"/>
      <c r="IRY177" s="3"/>
      <c r="IRZ177" s="3"/>
      <c r="ISA177" s="3"/>
      <c r="ISB177" s="3"/>
      <c r="ISC177" s="3"/>
      <c r="ISD177" s="3"/>
      <c r="ISE177" s="3"/>
      <c r="ISF177" s="3"/>
      <c r="ISG177" s="3"/>
      <c r="ISH177" s="3"/>
      <c r="ISI177" s="3"/>
      <c r="ISJ177" s="3"/>
      <c r="ISK177" s="3"/>
      <c r="ISL177" s="3"/>
      <c r="ISM177" s="3"/>
      <c r="ISN177" s="3"/>
      <c r="ISO177" s="3"/>
      <c r="ISP177" s="3"/>
      <c r="ISQ177" s="3"/>
      <c r="ISR177" s="3"/>
      <c r="ISS177" s="3"/>
      <c r="IST177" s="3"/>
      <c r="ISU177" s="3"/>
      <c r="ISV177" s="3"/>
      <c r="ISW177" s="3"/>
      <c r="ISX177" s="3"/>
      <c r="ISY177" s="3"/>
      <c r="ISZ177" s="3"/>
      <c r="ITA177" s="3"/>
      <c r="ITB177" s="3"/>
      <c r="ITC177" s="3"/>
      <c r="ITD177" s="3"/>
      <c r="ITE177" s="3"/>
      <c r="ITF177" s="3"/>
      <c r="ITG177" s="3"/>
      <c r="ITH177" s="3"/>
      <c r="ITI177" s="3"/>
      <c r="ITJ177" s="3"/>
      <c r="ITK177" s="3"/>
      <c r="ITL177" s="3"/>
      <c r="ITM177" s="3"/>
      <c r="ITN177" s="3"/>
      <c r="ITO177" s="3"/>
      <c r="ITP177" s="3"/>
      <c r="ITQ177" s="3"/>
      <c r="ITR177" s="3"/>
      <c r="ITS177" s="3"/>
      <c r="ITT177" s="3"/>
      <c r="ITU177" s="3"/>
      <c r="ITV177" s="3"/>
      <c r="ITW177" s="3"/>
      <c r="ITX177" s="3"/>
      <c r="ITY177" s="3"/>
      <c r="ITZ177" s="3"/>
      <c r="IUA177" s="3"/>
      <c r="IUB177" s="3"/>
      <c r="IUC177" s="3"/>
      <c r="IUD177" s="3"/>
      <c r="IUE177" s="3"/>
      <c r="IUF177" s="3"/>
      <c r="IUG177" s="3"/>
      <c r="IUH177" s="3"/>
      <c r="IUI177" s="3"/>
      <c r="IUJ177" s="3"/>
      <c r="IUK177" s="3"/>
      <c r="IUL177" s="3"/>
      <c r="IUM177" s="3"/>
      <c r="IUN177" s="3"/>
      <c r="IUO177" s="3"/>
      <c r="IUP177" s="3"/>
      <c r="IUQ177" s="3"/>
      <c r="IUR177" s="3"/>
      <c r="IUS177" s="3"/>
      <c r="IUT177" s="3"/>
      <c r="IUU177" s="3"/>
      <c r="IUV177" s="3"/>
      <c r="IUW177" s="3"/>
      <c r="IUX177" s="3"/>
      <c r="IUY177" s="3"/>
      <c r="IUZ177" s="3"/>
      <c r="IVA177" s="3"/>
      <c r="IVB177" s="3"/>
      <c r="IVC177" s="3"/>
      <c r="IVD177" s="3"/>
      <c r="IVE177" s="3"/>
      <c r="IVF177" s="3"/>
      <c r="IVG177" s="3"/>
      <c r="IVH177" s="3"/>
      <c r="IVI177" s="3"/>
      <c r="IVJ177" s="3"/>
      <c r="IVK177" s="3"/>
      <c r="IVL177" s="3"/>
      <c r="IVM177" s="3"/>
      <c r="IVN177" s="3"/>
      <c r="IVO177" s="3"/>
      <c r="IVP177" s="3"/>
      <c r="IVQ177" s="3"/>
      <c r="IVR177" s="3"/>
      <c r="IVS177" s="3"/>
      <c r="IVT177" s="3"/>
      <c r="IVU177" s="3"/>
      <c r="IVV177" s="3"/>
      <c r="IVW177" s="3"/>
      <c r="IVX177" s="3"/>
      <c r="IVY177" s="3"/>
      <c r="IVZ177" s="3"/>
      <c r="IWA177" s="3"/>
      <c r="IWB177" s="3"/>
      <c r="IWC177" s="3"/>
      <c r="IWD177" s="3"/>
      <c r="IWE177" s="3"/>
      <c r="IWF177" s="3"/>
      <c r="IWG177" s="3"/>
      <c r="IWH177" s="3"/>
      <c r="IWI177" s="3"/>
      <c r="IWJ177" s="3"/>
      <c r="IWK177" s="3"/>
      <c r="IWL177" s="3"/>
      <c r="IWM177" s="3"/>
      <c r="IWN177" s="3"/>
      <c r="IWO177" s="3"/>
      <c r="IWP177" s="3"/>
      <c r="IWQ177" s="3"/>
      <c r="IWR177" s="3"/>
      <c r="IWS177" s="3"/>
      <c r="IWT177" s="3"/>
      <c r="IWU177" s="3"/>
      <c r="IWV177" s="3"/>
      <c r="IWW177" s="3"/>
      <c r="IWX177" s="3"/>
      <c r="IWY177" s="3"/>
      <c r="IWZ177" s="3"/>
      <c r="IXA177" s="3"/>
      <c r="IXB177" s="3"/>
      <c r="IXC177" s="3"/>
      <c r="IXD177" s="3"/>
      <c r="IXE177" s="3"/>
      <c r="IXF177" s="3"/>
      <c r="IXG177" s="3"/>
      <c r="IXH177" s="3"/>
      <c r="IXI177" s="3"/>
      <c r="IXJ177" s="3"/>
      <c r="IXK177" s="3"/>
      <c r="IXL177" s="3"/>
      <c r="IXM177" s="3"/>
      <c r="IXN177" s="3"/>
      <c r="IXO177" s="3"/>
      <c r="IXP177" s="3"/>
      <c r="IXQ177" s="3"/>
      <c r="IXR177" s="3"/>
      <c r="IXS177" s="3"/>
      <c r="IXT177" s="3"/>
      <c r="IXU177" s="3"/>
      <c r="IXV177" s="3"/>
      <c r="IXW177" s="3"/>
      <c r="IXX177" s="3"/>
      <c r="IXY177" s="3"/>
      <c r="IXZ177" s="3"/>
      <c r="IYA177" s="3"/>
      <c r="IYB177" s="3"/>
      <c r="IYC177" s="3"/>
      <c r="IYD177" s="3"/>
      <c r="IYE177" s="3"/>
      <c r="IYF177" s="3"/>
      <c r="IYG177" s="3"/>
      <c r="IYH177" s="3"/>
      <c r="IYI177" s="3"/>
      <c r="IYJ177" s="3"/>
      <c r="IYK177" s="3"/>
      <c r="IYL177" s="3"/>
      <c r="IYM177" s="3"/>
      <c r="IYN177" s="3"/>
      <c r="IYO177" s="3"/>
      <c r="IYP177" s="3"/>
      <c r="IYQ177" s="3"/>
      <c r="IYR177" s="3"/>
      <c r="IYS177" s="3"/>
      <c r="IYT177" s="3"/>
      <c r="IYU177" s="3"/>
      <c r="IYV177" s="3"/>
      <c r="IYW177" s="3"/>
      <c r="IYX177" s="3"/>
      <c r="IYY177" s="3"/>
      <c r="IYZ177" s="3"/>
      <c r="IZA177" s="3"/>
      <c r="IZB177" s="3"/>
      <c r="IZC177" s="3"/>
      <c r="IZD177" s="3"/>
      <c r="IZE177" s="3"/>
      <c r="IZF177" s="3"/>
      <c r="IZG177" s="3"/>
      <c r="IZH177" s="3"/>
      <c r="IZI177" s="3"/>
      <c r="IZJ177" s="3"/>
      <c r="IZK177" s="3"/>
      <c r="IZL177" s="3"/>
      <c r="IZM177" s="3"/>
      <c r="IZN177" s="3"/>
      <c r="IZO177" s="3"/>
      <c r="IZP177" s="3"/>
      <c r="IZQ177" s="3"/>
      <c r="IZR177" s="3"/>
      <c r="IZS177" s="3"/>
      <c r="IZT177" s="3"/>
      <c r="IZU177" s="3"/>
      <c r="IZV177" s="3"/>
      <c r="IZW177" s="3"/>
      <c r="IZX177" s="3"/>
      <c r="IZY177" s="3"/>
      <c r="IZZ177" s="3"/>
      <c r="JAA177" s="3"/>
      <c r="JAB177" s="3"/>
      <c r="JAC177" s="3"/>
      <c r="JAD177" s="3"/>
      <c r="JAE177" s="3"/>
      <c r="JAF177" s="3"/>
      <c r="JAG177" s="3"/>
      <c r="JAH177" s="3"/>
      <c r="JAI177" s="3"/>
      <c r="JAJ177" s="3"/>
      <c r="JAK177" s="3"/>
      <c r="JAL177" s="3"/>
      <c r="JAM177" s="3"/>
      <c r="JAN177" s="3"/>
      <c r="JAO177" s="3"/>
      <c r="JAP177" s="3"/>
      <c r="JAQ177" s="3"/>
      <c r="JAR177" s="3"/>
      <c r="JAS177" s="3"/>
      <c r="JAT177" s="3"/>
      <c r="JAU177" s="3"/>
      <c r="JAV177" s="3"/>
      <c r="JAW177" s="3"/>
      <c r="JAX177" s="3"/>
      <c r="JAY177" s="3"/>
      <c r="JAZ177" s="3"/>
      <c r="JBA177" s="3"/>
      <c r="JBB177" s="3"/>
      <c r="JBC177" s="3"/>
      <c r="JBD177" s="3"/>
      <c r="JBE177" s="3"/>
      <c r="JBF177" s="3"/>
      <c r="JBG177" s="3"/>
      <c r="JBH177" s="3"/>
      <c r="JBI177" s="3"/>
      <c r="JBJ177" s="3"/>
      <c r="JBK177" s="3"/>
      <c r="JBL177" s="3"/>
      <c r="JBM177" s="3"/>
      <c r="JBN177" s="3"/>
      <c r="JBO177" s="3"/>
      <c r="JBP177" s="3"/>
      <c r="JBQ177" s="3"/>
      <c r="JBR177" s="3"/>
      <c r="JBS177" s="3"/>
      <c r="JBT177" s="3"/>
      <c r="JBU177" s="3"/>
      <c r="JBV177" s="3"/>
      <c r="JBW177" s="3"/>
      <c r="JBX177" s="3"/>
      <c r="JBY177" s="3"/>
      <c r="JBZ177" s="3"/>
      <c r="JCA177" s="3"/>
      <c r="JCB177" s="3"/>
      <c r="JCC177" s="3"/>
      <c r="JCD177" s="3"/>
      <c r="JCE177" s="3"/>
      <c r="JCF177" s="3"/>
      <c r="JCG177" s="3"/>
      <c r="JCH177" s="3"/>
      <c r="JCI177" s="3"/>
      <c r="JCJ177" s="3"/>
      <c r="JCK177" s="3"/>
      <c r="JCL177" s="3"/>
      <c r="JCM177" s="3"/>
      <c r="JCN177" s="3"/>
      <c r="JCO177" s="3"/>
      <c r="JCP177" s="3"/>
      <c r="JCQ177" s="3"/>
      <c r="JCR177" s="3"/>
      <c r="JCS177" s="3"/>
      <c r="JCT177" s="3"/>
      <c r="JCU177" s="3"/>
      <c r="JCV177" s="3"/>
      <c r="JCW177" s="3"/>
      <c r="JCX177" s="3"/>
      <c r="JCY177" s="3"/>
      <c r="JCZ177" s="3"/>
      <c r="JDA177" s="3"/>
      <c r="JDB177" s="3"/>
      <c r="JDC177" s="3"/>
      <c r="JDD177" s="3"/>
      <c r="JDE177" s="3"/>
      <c r="JDF177" s="3"/>
      <c r="JDG177" s="3"/>
      <c r="JDH177" s="3"/>
      <c r="JDI177" s="3"/>
      <c r="JDJ177" s="3"/>
      <c r="JDK177" s="3"/>
      <c r="JDL177" s="3"/>
      <c r="JDM177" s="3"/>
      <c r="JDN177" s="3"/>
      <c r="JDO177" s="3"/>
      <c r="JDP177" s="3"/>
      <c r="JDQ177" s="3"/>
      <c r="JDR177" s="3"/>
      <c r="JDS177" s="3"/>
      <c r="JDT177" s="3"/>
      <c r="JDU177" s="3"/>
      <c r="JDV177" s="3"/>
      <c r="JDW177" s="3"/>
      <c r="JDX177" s="3"/>
      <c r="JDY177" s="3"/>
      <c r="JDZ177" s="3"/>
      <c r="JEA177" s="3"/>
      <c r="JEB177" s="3"/>
      <c r="JEC177" s="3"/>
      <c r="JED177" s="3"/>
      <c r="JEE177" s="3"/>
      <c r="JEF177" s="3"/>
      <c r="JEG177" s="3"/>
      <c r="JEH177" s="3"/>
      <c r="JEI177" s="3"/>
      <c r="JEJ177" s="3"/>
      <c r="JEK177" s="3"/>
      <c r="JEL177" s="3"/>
      <c r="JEM177" s="3"/>
      <c r="JEN177" s="3"/>
      <c r="JEO177" s="3"/>
      <c r="JEP177" s="3"/>
      <c r="JEQ177" s="3"/>
      <c r="JER177" s="3"/>
      <c r="JES177" s="3"/>
      <c r="JET177" s="3"/>
      <c r="JEU177" s="3"/>
      <c r="JEV177" s="3"/>
      <c r="JEW177" s="3"/>
      <c r="JEX177" s="3"/>
      <c r="JEY177" s="3"/>
      <c r="JEZ177" s="3"/>
      <c r="JFA177" s="3"/>
      <c r="JFB177" s="3"/>
      <c r="JFC177" s="3"/>
      <c r="JFD177" s="3"/>
      <c r="JFE177" s="3"/>
      <c r="JFF177" s="3"/>
      <c r="JFG177" s="3"/>
      <c r="JFH177" s="3"/>
      <c r="JFI177" s="3"/>
      <c r="JFJ177" s="3"/>
      <c r="JFK177" s="3"/>
      <c r="JFL177" s="3"/>
      <c r="JFM177" s="3"/>
      <c r="JFN177" s="3"/>
      <c r="JFO177" s="3"/>
      <c r="JFP177" s="3"/>
      <c r="JFQ177" s="3"/>
      <c r="JFR177" s="3"/>
      <c r="JFS177" s="3"/>
      <c r="JFT177" s="3"/>
      <c r="JFU177" s="3"/>
      <c r="JFV177" s="3"/>
      <c r="JFW177" s="3"/>
      <c r="JFX177" s="3"/>
      <c r="JFY177" s="3"/>
      <c r="JFZ177" s="3"/>
      <c r="JGA177" s="3"/>
      <c r="JGB177" s="3"/>
      <c r="JGC177" s="3"/>
      <c r="JGD177" s="3"/>
      <c r="JGE177" s="3"/>
      <c r="JGF177" s="3"/>
      <c r="JGG177" s="3"/>
      <c r="JGH177" s="3"/>
      <c r="JGI177" s="3"/>
      <c r="JGJ177" s="3"/>
      <c r="JGK177" s="3"/>
      <c r="JGL177" s="3"/>
      <c r="JGM177" s="3"/>
      <c r="JGN177" s="3"/>
      <c r="JGO177" s="3"/>
      <c r="JGP177" s="3"/>
      <c r="JGQ177" s="3"/>
      <c r="JGR177" s="3"/>
      <c r="JGS177" s="3"/>
      <c r="JGT177" s="3"/>
      <c r="JGU177" s="3"/>
      <c r="JGV177" s="3"/>
      <c r="JGW177" s="3"/>
      <c r="JGX177" s="3"/>
      <c r="JGY177" s="3"/>
      <c r="JGZ177" s="3"/>
      <c r="JHA177" s="3"/>
      <c r="JHB177" s="3"/>
      <c r="JHC177" s="3"/>
      <c r="JHD177" s="3"/>
      <c r="JHE177" s="3"/>
      <c r="JHF177" s="3"/>
      <c r="JHG177" s="3"/>
      <c r="JHH177" s="3"/>
      <c r="JHI177" s="3"/>
      <c r="JHJ177" s="3"/>
      <c r="JHK177" s="3"/>
      <c r="JHL177" s="3"/>
      <c r="JHM177" s="3"/>
      <c r="JHN177" s="3"/>
      <c r="JHO177" s="3"/>
      <c r="JHP177" s="3"/>
      <c r="JHQ177" s="3"/>
      <c r="JHR177" s="3"/>
      <c r="JHS177" s="3"/>
      <c r="JHT177" s="3"/>
      <c r="JHU177" s="3"/>
      <c r="JHV177" s="3"/>
      <c r="JHW177" s="3"/>
      <c r="JHX177" s="3"/>
      <c r="JHY177" s="3"/>
      <c r="JHZ177" s="3"/>
      <c r="JIA177" s="3"/>
      <c r="JIB177" s="3"/>
      <c r="JIC177" s="3"/>
      <c r="JID177" s="3"/>
      <c r="JIE177" s="3"/>
      <c r="JIF177" s="3"/>
      <c r="JIG177" s="3"/>
      <c r="JIH177" s="3"/>
      <c r="JII177" s="3"/>
      <c r="JIJ177" s="3"/>
      <c r="JIK177" s="3"/>
      <c r="JIL177" s="3"/>
      <c r="JIM177" s="3"/>
      <c r="JIN177" s="3"/>
      <c r="JIO177" s="3"/>
      <c r="JIP177" s="3"/>
      <c r="JIQ177" s="3"/>
      <c r="JIR177" s="3"/>
      <c r="JIS177" s="3"/>
      <c r="JIT177" s="3"/>
      <c r="JIU177" s="3"/>
      <c r="JIV177" s="3"/>
      <c r="JIW177" s="3"/>
      <c r="JIX177" s="3"/>
      <c r="JIY177" s="3"/>
      <c r="JIZ177" s="3"/>
      <c r="JJA177" s="3"/>
      <c r="JJB177" s="3"/>
      <c r="JJC177" s="3"/>
      <c r="JJD177" s="3"/>
      <c r="JJE177" s="3"/>
      <c r="JJF177" s="3"/>
      <c r="JJG177" s="3"/>
      <c r="JJH177" s="3"/>
      <c r="JJI177" s="3"/>
      <c r="JJJ177" s="3"/>
      <c r="JJK177" s="3"/>
      <c r="JJL177" s="3"/>
      <c r="JJM177" s="3"/>
      <c r="JJN177" s="3"/>
      <c r="JJO177" s="3"/>
      <c r="JJP177" s="3"/>
      <c r="JJQ177" s="3"/>
      <c r="JJR177" s="3"/>
      <c r="JJS177" s="3"/>
      <c r="JJT177" s="3"/>
      <c r="JJU177" s="3"/>
      <c r="JJV177" s="3"/>
      <c r="JJW177" s="3"/>
      <c r="JJX177" s="3"/>
      <c r="JJY177" s="3"/>
      <c r="JJZ177" s="3"/>
      <c r="JKA177" s="3"/>
      <c r="JKB177" s="3"/>
      <c r="JKC177" s="3"/>
      <c r="JKD177" s="3"/>
      <c r="JKE177" s="3"/>
      <c r="JKF177" s="3"/>
      <c r="JKG177" s="3"/>
      <c r="JKH177" s="3"/>
      <c r="JKI177" s="3"/>
      <c r="JKJ177" s="3"/>
      <c r="JKK177" s="3"/>
      <c r="JKL177" s="3"/>
      <c r="JKM177" s="3"/>
      <c r="JKN177" s="3"/>
      <c r="JKO177" s="3"/>
      <c r="JKP177" s="3"/>
      <c r="JKQ177" s="3"/>
      <c r="JKR177" s="3"/>
      <c r="JKS177" s="3"/>
      <c r="JKT177" s="3"/>
      <c r="JKU177" s="3"/>
      <c r="JKV177" s="3"/>
      <c r="JKW177" s="3"/>
      <c r="JKX177" s="3"/>
      <c r="JKY177" s="3"/>
      <c r="JKZ177" s="3"/>
      <c r="JLA177" s="3"/>
      <c r="JLB177" s="3"/>
      <c r="JLC177" s="3"/>
      <c r="JLD177" s="3"/>
      <c r="JLE177" s="3"/>
      <c r="JLF177" s="3"/>
      <c r="JLG177" s="3"/>
      <c r="JLH177" s="3"/>
      <c r="JLI177" s="3"/>
      <c r="JLJ177" s="3"/>
      <c r="JLK177" s="3"/>
      <c r="JLL177" s="3"/>
      <c r="JLM177" s="3"/>
      <c r="JLN177" s="3"/>
      <c r="JLO177" s="3"/>
      <c r="JLP177" s="3"/>
      <c r="JLQ177" s="3"/>
      <c r="JLR177" s="3"/>
      <c r="JLS177" s="3"/>
      <c r="JLT177" s="3"/>
      <c r="JLU177" s="3"/>
      <c r="JLV177" s="3"/>
      <c r="JLW177" s="3"/>
      <c r="JLX177" s="3"/>
      <c r="JLY177" s="3"/>
      <c r="JLZ177" s="3"/>
      <c r="JMA177" s="3"/>
      <c r="JMB177" s="3"/>
      <c r="JMC177" s="3"/>
      <c r="JMD177" s="3"/>
      <c r="JME177" s="3"/>
      <c r="JMF177" s="3"/>
      <c r="JMG177" s="3"/>
      <c r="JMH177" s="3"/>
      <c r="JMI177" s="3"/>
      <c r="JMJ177" s="3"/>
      <c r="JMK177" s="3"/>
      <c r="JML177" s="3"/>
      <c r="JMM177" s="3"/>
      <c r="JMN177" s="3"/>
      <c r="JMO177" s="3"/>
      <c r="JMP177" s="3"/>
      <c r="JMQ177" s="3"/>
      <c r="JMR177" s="3"/>
      <c r="JMS177" s="3"/>
      <c r="JMT177" s="3"/>
      <c r="JMU177" s="3"/>
      <c r="JMV177" s="3"/>
      <c r="JMW177" s="3"/>
      <c r="JMX177" s="3"/>
      <c r="JMY177" s="3"/>
      <c r="JMZ177" s="3"/>
      <c r="JNA177" s="3"/>
      <c r="JNB177" s="3"/>
      <c r="JNC177" s="3"/>
      <c r="JND177" s="3"/>
      <c r="JNE177" s="3"/>
      <c r="JNF177" s="3"/>
      <c r="JNG177" s="3"/>
      <c r="JNH177" s="3"/>
      <c r="JNI177" s="3"/>
      <c r="JNJ177" s="3"/>
      <c r="JNK177" s="3"/>
      <c r="JNL177" s="3"/>
      <c r="JNM177" s="3"/>
      <c r="JNN177" s="3"/>
      <c r="JNO177" s="3"/>
      <c r="JNP177" s="3"/>
      <c r="JNQ177" s="3"/>
      <c r="JNR177" s="3"/>
      <c r="JNS177" s="3"/>
      <c r="JNT177" s="3"/>
      <c r="JNU177" s="3"/>
      <c r="JNV177" s="3"/>
      <c r="JNW177" s="3"/>
      <c r="JNX177" s="3"/>
      <c r="JNY177" s="3"/>
      <c r="JNZ177" s="3"/>
      <c r="JOA177" s="3"/>
      <c r="JOB177" s="3"/>
      <c r="JOC177" s="3"/>
      <c r="JOD177" s="3"/>
      <c r="JOE177" s="3"/>
      <c r="JOF177" s="3"/>
      <c r="JOG177" s="3"/>
      <c r="JOH177" s="3"/>
      <c r="JOI177" s="3"/>
      <c r="JOJ177" s="3"/>
      <c r="JOK177" s="3"/>
      <c r="JOL177" s="3"/>
      <c r="JOM177" s="3"/>
      <c r="JON177" s="3"/>
      <c r="JOO177" s="3"/>
      <c r="JOP177" s="3"/>
      <c r="JOQ177" s="3"/>
      <c r="JOR177" s="3"/>
      <c r="JOS177" s="3"/>
      <c r="JOT177" s="3"/>
      <c r="JOU177" s="3"/>
      <c r="JOV177" s="3"/>
      <c r="JOW177" s="3"/>
      <c r="JOX177" s="3"/>
      <c r="JOY177" s="3"/>
      <c r="JOZ177" s="3"/>
      <c r="JPA177" s="3"/>
      <c r="JPB177" s="3"/>
      <c r="JPC177" s="3"/>
      <c r="JPD177" s="3"/>
      <c r="JPE177" s="3"/>
      <c r="JPF177" s="3"/>
      <c r="JPG177" s="3"/>
      <c r="JPH177" s="3"/>
      <c r="JPI177" s="3"/>
      <c r="JPJ177" s="3"/>
      <c r="JPK177" s="3"/>
      <c r="JPL177" s="3"/>
      <c r="JPM177" s="3"/>
      <c r="JPN177" s="3"/>
      <c r="JPO177" s="3"/>
      <c r="JPP177" s="3"/>
      <c r="JPQ177" s="3"/>
      <c r="JPR177" s="3"/>
      <c r="JPS177" s="3"/>
      <c r="JPT177" s="3"/>
      <c r="JPU177" s="3"/>
      <c r="JPV177" s="3"/>
      <c r="JPW177" s="3"/>
      <c r="JPX177" s="3"/>
      <c r="JPY177" s="3"/>
      <c r="JPZ177" s="3"/>
      <c r="JQA177" s="3"/>
      <c r="JQB177" s="3"/>
      <c r="JQC177" s="3"/>
      <c r="JQD177" s="3"/>
      <c r="JQE177" s="3"/>
      <c r="JQF177" s="3"/>
      <c r="JQG177" s="3"/>
      <c r="JQH177" s="3"/>
      <c r="JQI177" s="3"/>
      <c r="JQJ177" s="3"/>
      <c r="JQK177" s="3"/>
      <c r="JQL177" s="3"/>
      <c r="JQM177" s="3"/>
      <c r="JQN177" s="3"/>
      <c r="JQO177" s="3"/>
      <c r="JQP177" s="3"/>
      <c r="JQQ177" s="3"/>
      <c r="JQR177" s="3"/>
      <c r="JQS177" s="3"/>
      <c r="JQT177" s="3"/>
      <c r="JQU177" s="3"/>
      <c r="JQV177" s="3"/>
      <c r="JQW177" s="3"/>
      <c r="JQX177" s="3"/>
      <c r="JQY177" s="3"/>
      <c r="JQZ177" s="3"/>
      <c r="JRA177" s="3"/>
      <c r="JRB177" s="3"/>
      <c r="JRC177" s="3"/>
      <c r="JRD177" s="3"/>
      <c r="JRE177" s="3"/>
      <c r="JRF177" s="3"/>
      <c r="JRG177" s="3"/>
      <c r="JRH177" s="3"/>
      <c r="JRI177" s="3"/>
      <c r="JRJ177" s="3"/>
      <c r="JRK177" s="3"/>
      <c r="JRL177" s="3"/>
      <c r="JRM177" s="3"/>
      <c r="JRN177" s="3"/>
      <c r="JRO177" s="3"/>
      <c r="JRP177" s="3"/>
      <c r="JRQ177" s="3"/>
      <c r="JRR177" s="3"/>
      <c r="JRS177" s="3"/>
      <c r="JRT177" s="3"/>
      <c r="JRU177" s="3"/>
      <c r="JRV177" s="3"/>
      <c r="JRW177" s="3"/>
      <c r="JRX177" s="3"/>
      <c r="JRY177" s="3"/>
      <c r="JRZ177" s="3"/>
      <c r="JSA177" s="3"/>
      <c r="JSB177" s="3"/>
      <c r="JSC177" s="3"/>
      <c r="JSD177" s="3"/>
      <c r="JSE177" s="3"/>
      <c r="JSF177" s="3"/>
      <c r="JSG177" s="3"/>
      <c r="JSH177" s="3"/>
      <c r="JSI177" s="3"/>
      <c r="JSJ177" s="3"/>
      <c r="JSK177" s="3"/>
      <c r="JSL177" s="3"/>
      <c r="JSM177" s="3"/>
      <c r="JSN177" s="3"/>
      <c r="JSO177" s="3"/>
      <c r="JSP177" s="3"/>
      <c r="JSQ177" s="3"/>
      <c r="JSR177" s="3"/>
      <c r="JSS177" s="3"/>
      <c r="JST177" s="3"/>
      <c r="JSU177" s="3"/>
      <c r="JSV177" s="3"/>
      <c r="JSW177" s="3"/>
      <c r="JSX177" s="3"/>
      <c r="JSY177" s="3"/>
      <c r="JSZ177" s="3"/>
      <c r="JTA177" s="3"/>
      <c r="JTB177" s="3"/>
      <c r="JTC177" s="3"/>
      <c r="JTD177" s="3"/>
      <c r="JTE177" s="3"/>
      <c r="JTF177" s="3"/>
      <c r="JTG177" s="3"/>
      <c r="JTH177" s="3"/>
      <c r="JTI177" s="3"/>
      <c r="JTJ177" s="3"/>
      <c r="JTK177" s="3"/>
      <c r="JTL177" s="3"/>
      <c r="JTM177" s="3"/>
      <c r="JTN177" s="3"/>
      <c r="JTO177" s="3"/>
      <c r="JTP177" s="3"/>
      <c r="JTQ177" s="3"/>
      <c r="JTR177" s="3"/>
      <c r="JTS177" s="3"/>
      <c r="JTT177" s="3"/>
      <c r="JTU177" s="3"/>
      <c r="JTV177" s="3"/>
      <c r="JTW177" s="3"/>
      <c r="JTX177" s="3"/>
      <c r="JTY177" s="3"/>
      <c r="JTZ177" s="3"/>
      <c r="JUA177" s="3"/>
      <c r="JUB177" s="3"/>
      <c r="JUC177" s="3"/>
      <c r="JUD177" s="3"/>
      <c r="JUE177" s="3"/>
      <c r="JUF177" s="3"/>
      <c r="JUG177" s="3"/>
      <c r="JUH177" s="3"/>
      <c r="JUI177" s="3"/>
      <c r="JUJ177" s="3"/>
      <c r="JUK177" s="3"/>
      <c r="JUL177" s="3"/>
      <c r="JUM177" s="3"/>
      <c r="JUN177" s="3"/>
      <c r="JUO177" s="3"/>
      <c r="JUP177" s="3"/>
      <c r="JUQ177" s="3"/>
      <c r="JUR177" s="3"/>
      <c r="JUS177" s="3"/>
      <c r="JUT177" s="3"/>
      <c r="JUU177" s="3"/>
      <c r="JUV177" s="3"/>
      <c r="JUW177" s="3"/>
      <c r="JUX177" s="3"/>
      <c r="JUY177" s="3"/>
      <c r="JUZ177" s="3"/>
      <c r="JVA177" s="3"/>
      <c r="JVB177" s="3"/>
      <c r="JVC177" s="3"/>
      <c r="JVD177" s="3"/>
      <c r="JVE177" s="3"/>
      <c r="JVF177" s="3"/>
      <c r="JVG177" s="3"/>
      <c r="JVH177" s="3"/>
      <c r="JVI177" s="3"/>
      <c r="JVJ177" s="3"/>
      <c r="JVK177" s="3"/>
      <c r="JVL177" s="3"/>
      <c r="JVM177" s="3"/>
      <c r="JVN177" s="3"/>
      <c r="JVO177" s="3"/>
      <c r="JVP177" s="3"/>
      <c r="JVQ177" s="3"/>
      <c r="JVR177" s="3"/>
      <c r="JVS177" s="3"/>
      <c r="JVT177" s="3"/>
      <c r="JVU177" s="3"/>
      <c r="JVV177" s="3"/>
      <c r="JVW177" s="3"/>
      <c r="JVX177" s="3"/>
      <c r="JVY177" s="3"/>
      <c r="JVZ177" s="3"/>
      <c r="JWA177" s="3"/>
      <c r="JWB177" s="3"/>
      <c r="JWC177" s="3"/>
      <c r="JWD177" s="3"/>
      <c r="JWE177" s="3"/>
      <c r="JWF177" s="3"/>
      <c r="JWG177" s="3"/>
      <c r="JWH177" s="3"/>
      <c r="JWI177" s="3"/>
      <c r="JWJ177" s="3"/>
      <c r="JWK177" s="3"/>
      <c r="JWL177" s="3"/>
      <c r="JWM177" s="3"/>
      <c r="JWN177" s="3"/>
      <c r="JWO177" s="3"/>
      <c r="JWP177" s="3"/>
      <c r="JWQ177" s="3"/>
      <c r="JWR177" s="3"/>
      <c r="JWS177" s="3"/>
      <c r="JWT177" s="3"/>
      <c r="JWU177" s="3"/>
      <c r="JWV177" s="3"/>
      <c r="JWW177" s="3"/>
      <c r="JWX177" s="3"/>
      <c r="JWY177" s="3"/>
      <c r="JWZ177" s="3"/>
      <c r="JXA177" s="3"/>
      <c r="JXB177" s="3"/>
      <c r="JXC177" s="3"/>
      <c r="JXD177" s="3"/>
      <c r="JXE177" s="3"/>
      <c r="JXF177" s="3"/>
      <c r="JXG177" s="3"/>
      <c r="JXH177" s="3"/>
      <c r="JXI177" s="3"/>
      <c r="JXJ177" s="3"/>
      <c r="JXK177" s="3"/>
      <c r="JXL177" s="3"/>
      <c r="JXM177" s="3"/>
      <c r="JXN177" s="3"/>
      <c r="JXO177" s="3"/>
      <c r="JXP177" s="3"/>
      <c r="JXQ177" s="3"/>
      <c r="JXR177" s="3"/>
      <c r="JXS177" s="3"/>
      <c r="JXT177" s="3"/>
      <c r="JXU177" s="3"/>
      <c r="JXV177" s="3"/>
      <c r="JXW177" s="3"/>
      <c r="JXX177" s="3"/>
      <c r="JXY177" s="3"/>
      <c r="JXZ177" s="3"/>
      <c r="JYA177" s="3"/>
      <c r="JYB177" s="3"/>
      <c r="JYC177" s="3"/>
      <c r="JYD177" s="3"/>
      <c r="JYE177" s="3"/>
      <c r="JYF177" s="3"/>
      <c r="JYG177" s="3"/>
      <c r="JYH177" s="3"/>
      <c r="JYI177" s="3"/>
      <c r="JYJ177" s="3"/>
      <c r="JYK177" s="3"/>
      <c r="JYL177" s="3"/>
      <c r="JYM177" s="3"/>
      <c r="JYN177" s="3"/>
      <c r="JYO177" s="3"/>
      <c r="JYP177" s="3"/>
      <c r="JYQ177" s="3"/>
      <c r="JYR177" s="3"/>
      <c r="JYS177" s="3"/>
      <c r="JYT177" s="3"/>
      <c r="JYU177" s="3"/>
      <c r="JYV177" s="3"/>
      <c r="JYW177" s="3"/>
      <c r="JYX177" s="3"/>
      <c r="JYY177" s="3"/>
      <c r="JYZ177" s="3"/>
      <c r="JZA177" s="3"/>
      <c r="JZB177" s="3"/>
      <c r="JZC177" s="3"/>
      <c r="JZD177" s="3"/>
      <c r="JZE177" s="3"/>
      <c r="JZF177" s="3"/>
      <c r="JZG177" s="3"/>
      <c r="JZH177" s="3"/>
      <c r="JZI177" s="3"/>
      <c r="JZJ177" s="3"/>
      <c r="JZK177" s="3"/>
      <c r="JZL177" s="3"/>
      <c r="JZM177" s="3"/>
      <c r="JZN177" s="3"/>
      <c r="JZO177" s="3"/>
      <c r="JZP177" s="3"/>
      <c r="JZQ177" s="3"/>
      <c r="JZR177" s="3"/>
      <c r="JZS177" s="3"/>
      <c r="JZT177" s="3"/>
      <c r="JZU177" s="3"/>
      <c r="JZV177" s="3"/>
      <c r="JZW177" s="3"/>
      <c r="JZX177" s="3"/>
      <c r="JZY177" s="3"/>
      <c r="JZZ177" s="3"/>
      <c r="KAA177" s="3"/>
      <c r="KAB177" s="3"/>
      <c r="KAC177" s="3"/>
      <c r="KAD177" s="3"/>
      <c r="KAE177" s="3"/>
      <c r="KAF177" s="3"/>
      <c r="KAG177" s="3"/>
      <c r="KAH177" s="3"/>
      <c r="KAI177" s="3"/>
      <c r="KAJ177" s="3"/>
      <c r="KAK177" s="3"/>
      <c r="KAL177" s="3"/>
      <c r="KAM177" s="3"/>
      <c r="KAN177" s="3"/>
      <c r="KAO177" s="3"/>
      <c r="KAP177" s="3"/>
      <c r="KAQ177" s="3"/>
      <c r="KAR177" s="3"/>
      <c r="KAS177" s="3"/>
      <c r="KAT177" s="3"/>
      <c r="KAU177" s="3"/>
      <c r="KAV177" s="3"/>
      <c r="KAW177" s="3"/>
      <c r="KAX177" s="3"/>
      <c r="KAY177" s="3"/>
      <c r="KAZ177" s="3"/>
      <c r="KBA177" s="3"/>
      <c r="KBB177" s="3"/>
      <c r="KBC177" s="3"/>
      <c r="KBD177" s="3"/>
      <c r="KBE177" s="3"/>
      <c r="KBF177" s="3"/>
      <c r="KBG177" s="3"/>
      <c r="KBH177" s="3"/>
      <c r="KBI177" s="3"/>
      <c r="KBJ177" s="3"/>
      <c r="KBK177" s="3"/>
      <c r="KBL177" s="3"/>
      <c r="KBM177" s="3"/>
      <c r="KBN177" s="3"/>
      <c r="KBO177" s="3"/>
      <c r="KBP177" s="3"/>
      <c r="KBQ177" s="3"/>
      <c r="KBR177" s="3"/>
      <c r="KBS177" s="3"/>
      <c r="KBT177" s="3"/>
      <c r="KBU177" s="3"/>
      <c r="KBV177" s="3"/>
      <c r="KBW177" s="3"/>
      <c r="KBX177" s="3"/>
      <c r="KBY177" s="3"/>
      <c r="KBZ177" s="3"/>
      <c r="KCA177" s="3"/>
      <c r="KCB177" s="3"/>
      <c r="KCC177" s="3"/>
      <c r="KCD177" s="3"/>
      <c r="KCE177" s="3"/>
      <c r="KCF177" s="3"/>
      <c r="KCG177" s="3"/>
      <c r="KCH177" s="3"/>
      <c r="KCI177" s="3"/>
      <c r="KCJ177" s="3"/>
      <c r="KCK177" s="3"/>
      <c r="KCL177" s="3"/>
      <c r="KCM177" s="3"/>
      <c r="KCN177" s="3"/>
      <c r="KCO177" s="3"/>
      <c r="KCP177" s="3"/>
      <c r="KCQ177" s="3"/>
      <c r="KCR177" s="3"/>
      <c r="KCS177" s="3"/>
      <c r="KCT177" s="3"/>
      <c r="KCU177" s="3"/>
      <c r="KCV177" s="3"/>
      <c r="KCW177" s="3"/>
      <c r="KCX177" s="3"/>
      <c r="KCY177" s="3"/>
      <c r="KCZ177" s="3"/>
      <c r="KDA177" s="3"/>
      <c r="KDB177" s="3"/>
      <c r="KDC177" s="3"/>
      <c r="KDD177" s="3"/>
      <c r="KDE177" s="3"/>
      <c r="KDF177" s="3"/>
      <c r="KDG177" s="3"/>
      <c r="KDH177" s="3"/>
      <c r="KDI177" s="3"/>
      <c r="KDJ177" s="3"/>
      <c r="KDK177" s="3"/>
      <c r="KDL177" s="3"/>
      <c r="KDM177" s="3"/>
      <c r="KDN177" s="3"/>
      <c r="KDO177" s="3"/>
      <c r="KDP177" s="3"/>
      <c r="KDQ177" s="3"/>
      <c r="KDR177" s="3"/>
      <c r="KDS177" s="3"/>
      <c r="KDT177" s="3"/>
      <c r="KDU177" s="3"/>
      <c r="KDV177" s="3"/>
      <c r="KDW177" s="3"/>
      <c r="KDX177" s="3"/>
      <c r="KDY177" s="3"/>
      <c r="KDZ177" s="3"/>
      <c r="KEA177" s="3"/>
      <c r="KEB177" s="3"/>
      <c r="KEC177" s="3"/>
      <c r="KED177" s="3"/>
      <c r="KEE177" s="3"/>
      <c r="KEF177" s="3"/>
      <c r="KEG177" s="3"/>
      <c r="KEH177" s="3"/>
      <c r="KEI177" s="3"/>
      <c r="KEJ177" s="3"/>
      <c r="KEK177" s="3"/>
      <c r="KEL177" s="3"/>
      <c r="KEM177" s="3"/>
      <c r="KEN177" s="3"/>
      <c r="KEO177" s="3"/>
      <c r="KEP177" s="3"/>
      <c r="KEQ177" s="3"/>
      <c r="KER177" s="3"/>
      <c r="KES177" s="3"/>
      <c r="KET177" s="3"/>
      <c r="KEU177" s="3"/>
      <c r="KEV177" s="3"/>
      <c r="KEW177" s="3"/>
      <c r="KEX177" s="3"/>
      <c r="KEY177" s="3"/>
      <c r="KEZ177" s="3"/>
      <c r="KFA177" s="3"/>
      <c r="KFB177" s="3"/>
      <c r="KFC177" s="3"/>
      <c r="KFD177" s="3"/>
      <c r="KFE177" s="3"/>
      <c r="KFF177" s="3"/>
      <c r="KFG177" s="3"/>
      <c r="KFH177" s="3"/>
      <c r="KFI177" s="3"/>
      <c r="KFJ177" s="3"/>
      <c r="KFK177" s="3"/>
      <c r="KFL177" s="3"/>
      <c r="KFM177" s="3"/>
      <c r="KFN177" s="3"/>
      <c r="KFO177" s="3"/>
      <c r="KFP177" s="3"/>
      <c r="KFQ177" s="3"/>
      <c r="KFR177" s="3"/>
      <c r="KFS177" s="3"/>
      <c r="KFT177" s="3"/>
      <c r="KFU177" s="3"/>
      <c r="KFV177" s="3"/>
      <c r="KFW177" s="3"/>
      <c r="KFX177" s="3"/>
      <c r="KFY177" s="3"/>
      <c r="KFZ177" s="3"/>
      <c r="KGA177" s="3"/>
      <c r="KGB177" s="3"/>
      <c r="KGC177" s="3"/>
      <c r="KGD177" s="3"/>
      <c r="KGE177" s="3"/>
      <c r="KGF177" s="3"/>
      <c r="KGG177" s="3"/>
      <c r="KGH177" s="3"/>
      <c r="KGI177" s="3"/>
      <c r="KGJ177" s="3"/>
      <c r="KGK177" s="3"/>
      <c r="KGL177" s="3"/>
      <c r="KGM177" s="3"/>
      <c r="KGN177" s="3"/>
      <c r="KGO177" s="3"/>
      <c r="KGP177" s="3"/>
      <c r="KGQ177" s="3"/>
      <c r="KGR177" s="3"/>
      <c r="KGS177" s="3"/>
      <c r="KGT177" s="3"/>
      <c r="KGU177" s="3"/>
      <c r="KGV177" s="3"/>
      <c r="KGW177" s="3"/>
      <c r="KGX177" s="3"/>
      <c r="KGY177" s="3"/>
      <c r="KGZ177" s="3"/>
      <c r="KHA177" s="3"/>
      <c r="KHB177" s="3"/>
      <c r="KHC177" s="3"/>
      <c r="KHD177" s="3"/>
      <c r="KHE177" s="3"/>
      <c r="KHF177" s="3"/>
      <c r="KHG177" s="3"/>
      <c r="KHH177" s="3"/>
      <c r="KHI177" s="3"/>
      <c r="KHJ177" s="3"/>
      <c r="KHK177" s="3"/>
      <c r="KHL177" s="3"/>
      <c r="KHM177" s="3"/>
      <c r="KHN177" s="3"/>
      <c r="KHO177" s="3"/>
      <c r="KHP177" s="3"/>
      <c r="KHQ177" s="3"/>
      <c r="KHR177" s="3"/>
      <c r="KHS177" s="3"/>
      <c r="KHT177" s="3"/>
      <c r="KHU177" s="3"/>
      <c r="KHV177" s="3"/>
      <c r="KHW177" s="3"/>
      <c r="KHX177" s="3"/>
      <c r="KHY177" s="3"/>
      <c r="KHZ177" s="3"/>
      <c r="KIA177" s="3"/>
      <c r="KIB177" s="3"/>
      <c r="KIC177" s="3"/>
      <c r="KID177" s="3"/>
      <c r="KIE177" s="3"/>
      <c r="KIF177" s="3"/>
      <c r="KIG177" s="3"/>
      <c r="KIH177" s="3"/>
      <c r="KII177" s="3"/>
      <c r="KIJ177" s="3"/>
      <c r="KIK177" s="3"/>
      <c r="KIL177" s="3"/>
      <c r="KIM177" s="3"/>
      <c r="KIN177" s="3"/>
      <c r="KIO177" s="3"/>
      <c r="KIP177" s="3"/>
      <c r="KIQ177" s="3"/>
      <c r="KIR177" s="3"/>
      <c r="KIS177" s="3"/>
      <c r="KIT177" s="3"/>
      <c r="KIU177" s="3"/>
      <c r="KIV177" s="3"/>
      <c r="KIW177" s="3"/>
      <c r="KIX177" s="3"/>
      <c r="KIY177" s="3"/>
      <c r="KIZ177" s="3"/>
      <c r="KJA177" s="3"/>
      <c r="KJB177" s="3"/>
      <c r="KJC177" s="3"/>
      <c r="KJD177" s="3"/>
      <c r="KJE177" s="3"/>
      <c r="KJF177" s="3"/>
      <c r="KJG177" s="3"/>
      <c r="KJH177" s="3"/>
      <c r="KJI177" s="3"/>
      <c r="KJJ177" s="3"/>
      <c r="KJK177" s="3"/>
      <c r="KJL177" s="3"/>
      <c r="KJM177" s="3"/>
      <c r="KJN177" s="3"/>
      <c r="KJO177" s="3"/>
      <c r="KJP177" s="3"/>
      <c r="KJQ177" s="3"/>
      <c r="KJR177" s="3"/>
      <c r="KJS177" s="3"/>
      <c r="KJT177" s="3"/>
      <c r="KJU177" s="3"/>
      <c r="KJV177" s="3"/>
      <c r="KJW177" s="3"/>
      <c r="KJX177" s="3"/>
      <c r="KJY177" s="3"/>
      <c r="KJZ177" s="3"/>
      <c r="KKA177" s="3"/>
      <c r="KKB177" s="3"/>
      <c r="KKC177" s="3"/>
      <c r="KKD177" s="3"/>
      <c r="KKE177" s="3"/>
      <c r="KKF177" s="3"/>
      <c r="KKG177" s="3"/>
      <c r="KKH177" s="3"/>
      <c r="KKI177" s="3"/>
      <c r="KKJ177" s="3"/>
      <c r="KKK177" s="3"/>
      <c r="KKL177" s="3"/>
      <c r="KKM177" s="3"/>
      <c r="KKN177" s="3"/>
      <c r="KKO177" s="3"/>
      <c r="KKP177" s="3"/>
      <c r="KKQ177" s="3"/>
      <c r="KKR177" s="3"/>
      <c r="KKS177" s="3"/>
      <c r="KKT177" s="3"/>
      <c r="KKU177" s="3"/>
      <c r="KKV177" s="3"/>
      <c r="KKW177" s="3"/>
      <c r="KKX177" s="3"/>
      <c r="KKY177" s="3"/>
      <c r="KKZ177" s="3"/>
      <c r="KLA177" s="3"/>
      <c r="KLB177" s="3"/>
      <c r="KLC177" s="3"/>
      <c r="KLD177" s="3"/>
      <c r="KLE177" s="3"/>
      <c r="KLF177" s="3"/>
      <c r="KLG177" s="3"/>
      <c r="KLH177" s="3"/>
      <c r="KLI177" s="3"/>
      <c r="KLJ177" s="3"/>
      <c r="KLK177" s="3"/>
      <c r="KLL177" s="3"/>
      <c r="KLM177" s="3"/>
      <c r="KLN177" s="3"/>
      <c r="KLO177" s="3"/>
      <c r="KLP177" s="3"/>
      <c r="KLQ177" s="3"/>
      <c r="KLR177" s="3"/>
      <c r="KLS177" s="3"/>
      <c r="KLT177" s="3"/>
      <c r="KLU177" s="3"/>
      <c r="KLV177" s="3"/>
      <c r="KLW177" s="3"/>
      <c r="KLX177" s="3"/>
      <c r="KLY177" s="3"/>
      <c r="KLZ177" s="3"/>
      <c r="KMA177" s="3"/>
      <c r="KMB177" s="3"/>
      <c r="KMC177" s="3"/>
      <c r="KMD177" s="3"/>
      <c r="KME177" s="3"/>
      <c r="KMF177" s="3"/>
      <c r="KMG177" s="3"/>
      <c r="KMH177" s="3"/>
      <c r="KMI177" s="3"/>
      <c r="KMJ177" s="3"/>
      <c r="KMK177" s="3"/>
      <c r="KML177" s="3"/>
      <c r="KMM177" s="3"/>
      <c r="KMN177" s="3"/>
      <c r="KMO177" s="3"/>
      <c r="KMP177" s="3"/>
      <c r="KMQ177" s="3"/>
      <c r="KMR177" s="3"/>
      <c r="KMS177" s="3"/>
      <c r="KMT177" s="3"/>
      <c r="KMU177" s="3"/>
      <c r="KMV177" s="3"/>
      <c r="KMW177" s="3"/>
      <c r="KMX177" s="3"/>
      <c r="KMY177" s="3"/>
      <c r="KMZ177" s="3"/>
      <c r="KNA177" s="3"/>
      <c r="KNB177" s="3"/>
      <c r="KNC177" s="3"/>
      <c r="KND177" s="3"/>
      <c r="KNE177" s="3"/>
      <c r="KNF177" s="3"/>
      <c r="KNG177" s="3"/>
      <c r="KNH177" s="3"/>
      <c r="KNI177" s="3"/>
      <c r="KNJ177" s="3"/>
      <c r="KNK177" s="3"/>
      <c r="KNL177" s="3"/>
      <c r="KNM177" s="3"/>
      <c r="KNN177" s="3"/>
      <c r="KNO177" s="3"/>
      <c r="KNP177" s="3"/>
      <c r="KNQ177" s="3"/>
      <c r="KNR177" s="3"/>
      <c r="KNS177" s="3"/>
      <c r="KNT177" s="3"/>
      <c r="KNU177" s="3"/>
      <c r="KNV177" s="3"/>
      <c r="KNW177" s="3"/>
      <c r="KNX177" s="3"/>
      <c r="KNY177" s="3"/>
      <c r="KNZ177" s="3"/>
      <c r="KOA177" s="3"/>
      <c r="KOB177" s="3"/>
      <c r="KOC177" s="3"/>
      <c r="KOD177" s="3"/>
      <c r="KOE177" s="3"/>
      <c r="KOF177" s="3"/>
      <c r="KOG177" s="3"/>
      <c r="KOH177" s="3"/>
      <c r="KOI177" s="3"/>
      <c r="KOJ177" s="3"/>
      <c r="KOK177" s="3"/>
      <c r="KOL177" s="3"/>
      <c r="KOM177" s="3"/>
      <c r="KON177" s="3"/>
      <c r="KOO177" s="3"/>
      <c r="KOP177" s="3"/>
      <c r="KOQ177" s="3"/>
      <c r="KOR177" s="3"/>
      <c r="KOS177" s="3"/>
      <c r="KOT177" s="3"/>
      <c r="KOU177" s="3"/>
      <c r="KOV177" s="3"/>
      <c r="KOW177" s="3"/>
      <c r="KOX177" s="3"/>
      <c r="KOY177" s="3"/>
      <c r="KOZ177" s="3"/>
      <c r="KPA177" s="3"/>
      <c r="KPB177" s="3"/>
      <c r="KPC177" s="3"/>
      <c r="KPD177" s="3"/>
      <c r="KPE177" s="3"/>
      <c r="KPF177" s="3"/>
      <c r="KPG177" s="3"/>
      <c r="KPH177" s="3"/>
      <c r="KPI177" s="3"/>
      <c r="KPJ177" s="3"/>
      <c r="KPK177" s="3"/>
      <c r="KPL177" s="3"/>
      <c r="KPM177" s="3"/>
      <c r="KPN177" s="3"/>
      <c r="KPO177" s="3"/>
      <c r="KPP177" s="3"/>
      <c r="KPQ177" s="3"/>
      <c r="KPR177" s="3"/>
      <c r="KPS177" s="3"/>
      <c r="KPT177" s="3"/>
      <c r="KPU177" s="3"/>
      <c r="KPV177" s="3"/>
      <c r="KPW177" s="3"/>
      <c r="KPX177" s="3"/>
      <c r="KPY177" s="3"/>
      <c r="KPZ177" s="3"/>
      <c r="KQA177" s="3"/>
      <c r="KQB177" s="3"/>
      <c r="KQC177" s="3"/>
      <c r="KQD177" s="3"/>
      <c r="KQE177" s="3"/>
      <c r="KQF177" s="3"/>
      <c r="KQG177" s="3"/>
      <c r="KQH177" s="3"/>
      <c r="KQI177" s="3"/>
      <c r="KQJ177" s="3"/>
      <c r="KQK177" s="3"/>
      <c r="KQL177" s="3"/>
      <c r="KQM177" s="3"/>
      <c r="KQN177" s="3"/>
      <c r="KQO177" s="3"/>
      <c r="KQP177" s="3"/>
      <c r="KQQ177" s="3"/>
      <c r="KQR177" s="3"/>
      <c r="KQS177" s="3"/>
      <c r="KQT177" s="3"/>
      <c r="KQU177" s="3"/>
      <c r="KQV177" s="3"/>
      <c r="KQW177" s="3"/>
      <c r="KQX177" s="3"/>
      <c r="KQY177" s="3"/>
      <c r="KQZ177" s="3"/>
      <c r="KRA177" s="3"/>
      <c r="KRB177" s="3"/>
      <c r="KRC177" s="3"/>
      <c r="KRD177" s="3"/>
      <c r="KRE177" s="3"/>
      <c r="KRF177" s="3"/>
      <c r="KRG177" s="3"/>
      <c r="KRH177" s="3"/>
      <c r="KRI177" s="3"/>
      <c r="KRJ177" s="3"/>
      <c r="KRK177" s="3"/>
      <c r="KRL177" s="3"/>
      <c r="KRM177" s="3"/>
      <c r="KRN177" s="3"/>
      <c r="KRO177" s="3"/>
      <c r="KRP177" s="3"/>
      <c r="KRQ177" s="3"/>
      <c r="KRR177" s="3"/>
      <c r="KRS177" s="3"/>
      <c r="KRT177" s="3"/>
      <c r="KRU177" s="3"/>
      <c r="KRV177" s="3"/>
      <c r="KRW177" s="3"/>
      <c r="KRX177" s="3"/>
      <c r="KRY177" s="3"/>
      <c r="KRZ177" s="3"/>
      <c r="KSA177" s="3"/>
      <c r="KSB177" s="3"/>
      <c r="KSC177" s="3"/>
      <c r="KSD177" s="3"/>
      <c r="KSE177" s="3"/>
      <c r="KSF177" s="3"/>
      <c r="KSG177" s="3"/>
      <c r="KSH177" s="3"/>
      <c r="KSI177" s="3"/>
      <c r="KSJ177" s="3"/>
      <c r="KSK177" s="3"/>
      <c r="KSL177" s="3"/>
      <c r="KSM177" s="3"/>
      <c r="KSN177" s="3"/>
      <c r="KSO177" s="3"/>
      <c r="KSP177" s="3"/>
      <c r="KSQ177" s="3"/>
      <c r="KSR177" s="3"/>
      <c r="KSS177" s="3"/>
      <c r="KST177" s="3"/>
      <c r="KSU177" s="3"/>
      <c r="KSV177" s="3"/>
      <c r="KSW177" s="3"/>
      <c r="KSX177" s="3"/>
      <c r="KSY177" s="3"/>
      <c r="KSZ177" s="3"/>
      <c r="KTA177" s="3"/>
      <c r="KTB177" s="3"/>
      <c r="KTC177" s="3"/>
      <c r="KTD177" s="3"/>
      <c r="KTE177" s="3"/>
      <c r="KTF177" s="3"/>
      <c r="KTG177" s="3"/>
      <c r="KTH177" s="3"/>
      <c r="KTI177" s="3"/>
      <c r="KTJ177" s="3"/>
      <c r="KTK177" s="3"/>
      <c r="KTL177" s="3"/>
      <c r="KTM177" s="3"/>
      <c r="KTN177" s="3"/>
      <c r="KTO177" s="3"/>
      <c r="KTP177" s="3"/>
      <c r="KTQ177" s="3"/>
      <c r="KTR177" s="3"/>
      <c r="KTS177" s="3"/>
      <c r="KTT177" s="3"/>
      <c r="KTU177" s="3"/>
      <c r="KTV177" s="3"/>
      <c r="KTW177" s="3"/>
      <c r="KTX177" s="3"/>
      <c r="KTY177" s="3"/>
      <c r="KTZ177" s="3"/>
      <c r="KUA177" s="3"/>
      <c r="KUB177" s="3"/>
      <c r="KUC177" s="3"/>
      <c r="KUD177" s="3"/>
      <c r="KUE177" s="3"/>
      <c r="KUF177" s="3"/>
      <c r="KUG177" s="3"/>
      <c r="KUH177" s="3"/>
      <c r="KUI177" s="3"/>
      <c r="KUJ177" s="3"/>
      <c r="KUK177" s="3"/>
      <c r="KUL177" s="3"/>
      <c r="KUM177" s="3"/>
      <c r="KUN177" s="3"/>
      <c r="KUO177" s="3"/>
      <c r="KUP177" s="3"/>
      <c r="KUQ177" s="3"/>
      <c r="KUR177" s="3"/>
      <c r="KUS177" s="3"/>
      <c r="KUT177" s="3"/>
      <c r="KUU177" s="3"/>
      <c r="KUV177" s="3"/>
      <c r="KUW177" s="3"/>
      <c r="KUX177" s="3"/>
      <c r="KUY177" s="3"/>
      <c r="KUZ177" s="3"/>
      <c r="KVA177" s="3"/>
      <c r="KVB177" s="3"/>
      <c r="KVC177" s="3"/>
      <c r="KVD177" s="3"/>
      <c r="KVE177" s="3"/>
      <c r="KVF177" s="3"/>
      <c r="KVG177" s="3"/>
      <c r="KVH177" s="3"/>
      <c r="KVI177" s="3"/>
      <c r="KVJ177" s="3"/>
      <c r="KVK177" s="3"/>
      <c r="KVL177" s="3"/>
      <c r="KVM177" s="3"/>
      <c r="KVN177" s="3"/>
      <c r="KVO177" s="3"/>
      <c r="KVP177" s="3"/>
      <c r="KVQ177" s="3"/>
      <c r="KVR177" s="3"/>
      <c r="KVS177" s="3"/>
      <c r="KVT177" s="3"/>
      <c r="KVU177" s="3"/>
      <c r="KVV177" s="3"/>
      <c r="KVW177" s="3"/>
      <c r="KVX177" s="3"/>
      <c r="KVY177" s="3"/>
      <c r="KVZ177" s="3"/>
      <c r="KWA177" s="3"/>
      <c r="KWB177" s="3"/>
      <c r="KWC177" s="3"/>
      <c r="KWD177" s="3"/>
      <c r="KWE177" s="3"/>
      <c r="KWF177" s="3"/>
      <c r="KWG177" s="3"/>
      <c r="KWH177" s="3"/>
      <c r="KWI177" s="3"/>
      <c r="KWJ177" s="3"/>
      <c r="KWK177" s="3"/>
      <c r="KWL177" s="3"/>
      <c r="KWM177" s="3"/>
      <c r="KWN177" s="3"/>
      <c r="KWO177" s="3"/>
      <c r="KWP177" s="3"/>
      <c r="KWQ177" s="3"/>
      <c r="KWR177" s="3"/>
      <c r="KWS177" s="3"/>
      <c r="KWT177" s="3"/>
      <c r="KWU177" s="3"/>
      <c r="KWV177" s="3"/>
      <c r="KWW177" s="3"/>
      <c r="KWX177" s="3"/>
      <c r="KWY177" s="3"/>
      <c r="KWZ177" s="3"/>
      <c r="KXA177" s="3"/>
      <c r="KXB177" s="3"/>
      <c r="KXC177" s="3"/>
      <c r="KXD177" s="3"/>
      <c r="KXE177" s="3"/>
      <c r="KXF177" s="3"/>
      <c r="KXG177" s="3"/>
      <c r="KXH177" s="3"/>
      <c r="KXI177" s="3"/>
      <c r="KXJ177" s="3"/>
      <c r="KXK177" s="3"/>
      <c r="KXL177" s="3"/>
      <c r="KXM177" s="3"/>
      <c r="KXN177" s="3"/>
      <c r="KXO177" s="3"/>
      <c r="KXP177" s="3"/>
      <c r="KXQ177" s="3"/>
      <c r="KXR177" s="3"/>
      <c r="KXS177" s="3"/>
      <c r="KXT177" s="3"/>
      <c r="KXU177" s="3"/>
      <c r="KXV177" s="3"/>
      <c r="KXW177" s="3"/>
      <c r="KXX177" s="3"/>
      <c r="KXY177" s="3"/>
      <c r="KXZ177" s="3"/>
      <c r="KYA177" s="3"/>
      <c r="KYB177" s="3"/>
      <c r="KYC177" s="3"/>
      <c r="KYD177" s="3"/>
      <c r="KYE177" s="3"/>
      <c r="KYF177" s="3"/>
      <c r="KYG177" s="3"/>
      <c r="KYH177" s="3"/>
      <c r="KYI177" s="3"/>
      <c r="KYJ177" s="3"/>
      <c r="KYK177" s="3"/>
      <c r="KYL177" s="3"/>
      <c r="KYM177" s="3"/>
      <c r="KYN177" s="3"/>
      <c r="KYO177" s="3"/>
      <c r="KYP177" s="3"/>
      <c r="KYQ177" s="3"/>
      <c r="KYR177" s="3"/>
      <c r="KYS177" s="3"/>
      <c r="KYT177" s="3"/>
      <c r="KYU177" s="3"/>
      <c r="KYV177" s="3"/>
      <c r="KYW177" s="3"/>
      <c r="KYX177" s="3"/>
      <c r="KYY177" s="3"/>
      <c r="KYZ177" s="3"/>
      <c r="KZA177" s="3"/>
      <c r="KZB177" s="3"/>
      <c r="KZC177" s="3"/>
      <c r="KZD177" s="3"/>
      <c r="KZE177" s="3"/>
      <c r="KZF177" s="3"/>
      <c r="KZG177" s="3"/>
      <c r="KZH177" s="3"/>
      <c r="KZI177" s="3"/>
      <c r="KZJ177" s="3"/>
      <c r="KZK177" s="3"/>
      <c r="KZL177" s="3"/>
      <c r="KZM177" s="3"/>
      <c r="KZN177" s="3"/>
      <c r="KZO177" s="3"/>
      <c r="KZP177" s="3"/>
      <c r="KZQ177" s="3"/>
      <c r="KZR177" s="3"/>
      <c r="KZS177" s="3"/>
      <c r="KZT177" s="3"/>
      <c r="KZU177" s="3"/>
      <c r="KZV177" s="3"/>
      <c r="KZW177" s="3"/>
      <c r="KZX177" s="3"/>
      <c r="KZY177" s="3"/>
      <c r="KZZ177" s="3"/>
      <c r="LAA177" s="3"/>
      <c r="LAB177" s="3"/>
      <c r="LAC177" s="3"/>
      <c r="LAD177" s="3"/>
      <c r="LAE177" s="3"/>
      <c r="LAF177" s="3"/>
      <c r="LAG177" s="3"/>
      <c r="LAH177" s="3"/>
      <c r="LAI177" s="3"/>
      <c r="LAJ177" s="3"/>
      <c r="LAK177" s="3"/>
      <c r="LAL177" s="3"/>
      <c r="LAM177" s="3"/>
      <c r="LAN177" s="3"/>
      <c r="LAO177" s="3"/>
      <c r="LAP177" s="3"/>
      <c r="LAQ177" s="3"/>
      <c r="LAR177" s="3"/>
      <c r="LAS177" s="3"/>
      <c r="LAT177" s="3"/>
      <c r="LAU177" s="3"/>
      <c r="LAV177" s="3"/>
      <c r="LAW177" s="3"/>
      <c r="LAX177" s="3"/>
      <c r="LAY177" s="3"/>
      <c r="LAZ177" s="3"/>
      <c r="LBA177" s="3"/>
      <c r="LBB177" s="3"/>
      <c r="LBC177" s="3"/>
      <c r="LBD177" s="3"/>
      <c r="LBE177" s="3"/>
      <c r="LBF177" s="3"/>
      <c r="LBG177" s="3"/>
      <c r="LBH177" s="3"/>
      <c r="LBI177" s="3"/>
      <c r="LBJ177" s="3"/>
      <c r="LBK177" s="3"/>
      <c r="LBL177" s="3"/>
      <c r="LBM177" s="3"/>
      <c r="LBN177" s="3"/>
      <c r="LBO177" s="3"/>
      <c r="LBP177" s="3"/>
      <c r="LBQ177" s="3"/>
      <c r="LBR177" s="3"/>
      <c r="LBS177" s="3"/>
      <c r="LBT177" s="3"/>
      <c r="LBU177" s="3"/>
      <c r="LBV177" s="3"/>
      <c r="LBW177" s="3"/>
      <c r="LBX177" s="3"/>
      <c r="LBY177" s="3"/>
      <c r="LBZ177" s="3"/>
      <c r="LCA177" s="3"/>
      <c r="LCB177" s="3"/>
      <c r="LCC177" s="3"/>
      <c r="LCD177" s="3"/>
      <c r="LCE177" s="3"/>
      <c r="LCF177" s="3"/>
      <c r="LCG177" s="3"/>
      <c r="LCH177" s="3"/>
      <c r="LCI177" s="3"/>
      <c r="LCJ177" s="3"/>
      <c r="LCK177" s="3"/>
      <c r="LCL177" s="3"/>
      <c r="LCM177" s="3"/>
      <c r="LCN177" s="3"/>
      <c r="LCO177" s="3"/>
      <c r="LCP177" s="3"/>
      <c r="LCQ177" s="3"/>
      <c r="LCR177" s="3"/>
      <c r="LCS177" s="3"/>
      <c r="LCT177" s="3"/>
      <c r="LCU177" s="3"/>
      <c r="LCV177" s="3"/>
      <c r="LCW177" s="3"/>
      <c r="LCX177" s="3"/>
      <c r="LCY177" s="3"/>
      <c r="LCZ177" s="3"/>
      <c r="LDA177" s="3"/>
      <c r="LDB177" s="3"/>
      <c r="LDC177" s="3"/>
      <c r="LDD177" s="3"/>
      <c r="LDE177" s="3"/>
      <c r="LDF177" s="3"/>
      <c r="LDG177" s="3"/>
      <c r="LDH177" s="3"/>
      <c r="LDI177" s="3"/>
      <c r="LDJ177" s="3"/>
      <c r="LDK177" s="3"/>
      <c r="LDL177" s="3"/>
      <c r="LDM177" s="3"/>
      <c r="LDN177" s="3"/>
      <c r="LDO177" s="3"/>
      <c r="LDP177" s="3"/>
      <c r="LDQ177" s="3"/>
      <c r="LDR177" s="3"/>
      <c r="LDS177" s="3"/>
      <c r="LDT177" s="3"/>
      <c r="LDU177" s="3"/>
      <c r="LDV177" s="3"/>
      <c r="LDW177" s="3"/>
      <c r="LDX177" s="3"/>
      <c r="LDY177" s="3"/>
      <c r="LDZ177" s="3"/>
      <c r="LEA177" s="3"/>
      <c r="LEB177" s="3"/>
      <c r="LEC177" s="3"/>
      <c r="LED177" s="3"/>
      <c r="LEE177" s="3"/>
      <c r="LEF177" s="3"/>
      <c r="LEG177" s="3"/>
      <c r="LEH177" s="3"/>
      <c r="LEI177" s="3"/>
      <c r="LEJ177" s="3"/>
      <c r="LEK177" s="3"/>
      <c r="LEL177" s="3"/>
      <c r="LEM177" s="3"/>
      <c r="LEN177" s="3"/>
      <c r="LEO177" s="3"/>
      <c r="LEP177" s="3"/>
      <c r="LEQ177" s="3"/>
      <c r="LER177" s="3"/>
      <c r="LES177" s="3"/>
      <c r="LET177" s="3"/>
      <c r="LEU177" s="3"/>
      <c r="LEV177" s="3"/>
      <c r="LEW177" s="3"/>
      <c r="LEX177" s="3"/>
      <c r="LEY177" s="3"/>
      <c r="LEZ177" s="3"/>
      <c r="LFA177" s="3"/>
      <c r="LFB177" s="3"/>
      <c r="LFC177" s="3"/>
      <c r="LFD177" s="3"/>
      <c r="LFE177" s="3"/>
      <c r="LFF177" s="3"/>
      <c r="LFG177" s="3"/>
      <c r="LFH177" s="3"/>
      <c r="LFI177" s="3"/>
      <c r="LFJ177" s="3"/>
      <c r="LFK177" s="3"/>
      <c r="LFL177" s="3"/>
      <c r="LFM177" s="3"/>
      <c r="LFN177" s="3"/>
      <c r="LFO177" s="3"/>
      <c r="LFP177" s="3"/>
      <c r="LFQ177" s="3"/>
      <c r="LFR177" s="3"/>
      <c r="LFS177" s="3"/>
      <c r="LFT177" s="3"/>
      <c r="LFU177" s="3"/>
      <c r="LFV177" s="3"/>
      <c r="LFW177" s="3"/>
      <c r="LFX177" s="3"/>
      <c r="LFY177" s="3"/>
      <c r="LFZ177" s="3"/>
      <c r="LGA177" s="3"/>
      <c r="LGB177" s="3"/>
      <c r="LGC177" s="3"/>
      <c r="LGD177" s="3"/>
      <c r="LGE177" s="3"/>
      <c r="LGF177" s="3"/>
      <c r="LGG177" s="3"/>
      <c r="LGH177" s="3"/>
      <c r="LGI177" s="3"/>
      <c r="LGJ177" s="3"/>
      <c r="LGK177" s="3"/>
      <c r="LGL177" s="3"/>
      <c r="LGM177" s="3"/>
      <c r="LGN177" s="3"/>
      <c r="LGO177" s="3"/>
      <c r="LGP177" s="3"/>
      <c r="LGQ177" s="3"/>
      <c r="LGR177" s="3"/>
      <c r="LGS177" s="3"/>
      <c r="LGT177" s="3"/>
      <c r="LGU177" s="3"/>
      <c r="LGV177" s="3"/>
      <c r="LGW177" s="3"/>
      <c r="LGX177" s="3"/>
      <c r="LGY177" s="3"/>
      <c r="LGZ177" s="3"/>
      <c r="LHA177" s="3"/>
      <c r="LHB177" s="3"/>
      <c r="LHC177" s="3"/>
      <c r="LHD177" s="3"/>
      <c r="LHE177" s="3"/>
      <c r="LHF177" s="3"/>
      <c r="LHG177" s="3"/>
      <c r="LHH177" s="3"/>
      <c r="LHI177" s="3"/>
      <c r="LHJ177" s="3"/>
      <c r="LHK177" s="3"/>
      <c r="LHL177" s="3"/>
      <c r="LHM177" s="3"/>
      <c r="LHN177" s="3"/>
      <c r="LHO177" s="3"/>
      <c r="LHP177" s="3"/>
      <c r="LHQ177" s="3"/>
      <c r="LHR177" s="3"/>
      <c r="LHS177" s="3"/>
      <c r="LHT177" s="3"/>
      <c r="LHU177" s="3"/>
      <c r="LHV177" s="3"/>
      <c r="LHW177" s="3"/>
      <c r="LHX177" s="3"/>
      <c r="LHY177" s="3"/>
      <c r="LHZ177" s="3"/>
      <c r="LIA177" s="3"/>
      <c r="LIB177" s="3"/>
      <c r="LIC177" s="3"/>
      <c r="LID177" s="3"/>
      <c r="LIE177" s="3"/>
      <c r="LIF177" s="3"/>
      <c r="LIG177" s="3"/>
      <c r="LIH177" s="3"/>
      <c r="LII177" s="3"/>
      <c r="LIJ177" s="3"/>
      <c r="LIK177" s="3"/>
      <c r="LIL177" s="3"/>
      <c r="LIM177" s="3"/>
      <c r="LIN177" s="3"/>
      <c r="LIO177" s="3"/>
      <c r="LIP177" s="3"/>
      <c r="LIQ177" s="3"/>
      <c r="LIR177" s="3"/>
      <c r="LIS177" s="3"/>
      <c r="LIT177" s="3"/>
      <c r="LIU177" s="3"/>
      <c r="LIV177" s="3"/>
      <c r="LIW177" s="3"/>
      <c r="LIX177" s="3"/>
      <c r="LIY177" s="3"/>
      <c r="LIZ177" s="3"/>
      <c r="LJA177" s="3"/>
      <c r="LJB177" s="3"/>
      <c r="LJC177" s="3"/>
      <c r="LJD177" s="3"/>
      <c r="LJE177" s="3"/>
      <c r="LJF177" s="3"/>
      <c r="LJG177" s="3"/>
      <c r="LJH177" s="3"/>
      <c r="LJI177" s="3"/>
      <c r="LJJ177" s="3"/>
      <c r="LJK177" s="3"/>
      <c r="LJL177" s="3"/>
      <c r="LJM177" s="3"/>
      <c r="LJN177" s="3"/>
      <c r="LJO177" s="3"/>
      <c r="LJP177" s="3"/>
      <c r="LJQ177" s="3"/>
      <c r="LJR177" s="3"/>
      <c r="LJS177" s="3"/>
      <c r="LJT177" s="3"/>
      <c r="LJU177" s="3"/>
      <c r="LJV177" s="3"/>
      <c r="LJW177" s="3"/>
      <c r="LJX177" s="3"/>
      <c r="LJY177" s="3"/>
      <c r="LJZ177" s="3"/>
      <c r="LKA177" s="3"/>
      <c r="LKB177" s="3"/>
      <c r="LKC177" s="3"/>
      <c r="LKD177" s="3"/>
      <c r="LKE177" s="3"/>
      <c r="LKF177" s="3"/>
      <c r="LKG177" s="3"/>
      <c r="LKH177" s="3"/>
      <c r="LKI177" s="3"/>
      <c r="LKJ177" s="3"/>
      <c r="LKK177" s="3"/>
      <c r="LKL177" s="3"/>
      <c r="LKM177" s="3"/>
      <c r="LKN177" s="3"/>
      <c r="LKO177" s="3"/>
      <c r="LKP177" s="3"/>
      <c r="LKQ177" s="3"/>
      <c r="LKR177" s="3"/>
      <c r="LKS177" s="3"/>
      <c r="LKT177" s="3"/>
      <c r="LKU177" s="3"/>
      <c r="LKV177" s="3"/>
      <c r="LKW177" s="3"/>
      <c r="LKX177" s="3"/>
      <c r="LKY177" s="3"/>
      <c r="LKZ177" s="3"/>
      <c r="LLA177" s="3"/>
      <c r="LLB177" s="3"/>
      <c r="LLC177" s="3"/>
      <c r="LLD177" s="3"/>
      <c r="LLE177" s="3"/>
      <c r="LLF177" s="3"/>
      <c r="LLG177" s="3"/>
      <c r="LLH177" s="3"/>
      <c r="LLI177" s="3"/>
      <c r="LLJ177" s="3"/>
      <c r="LLK177" s="3"/>
      <c r="LLL177" s="3"/>
      <c r="LLM177" s="3"/>
      <c r="LLN177" s="3"/>
      <c r="LLO177" s="3"/>
      <c r="LLP177" s="3"/>
      <c r="LLQ177" s="3"/>
      <c r="LLR177" s="3"/>
      <c r="LLS177" s="3"/>
      <c r="LLT177" s="3"/>
      <c r="LLU177" s="3"/>
      <c r="LLV177" s="3"/>
      <c r="LLW177" s="3"/>
      <c r="LLX177" s="3"/>
      <c r="LLY177" s="3"/>
      <c r="LLZ177" s="3"/>
      <c r="LMA177" s="3"/>
      <c r="LMB177" s="3"/>
      <c r="LMC177" s="3"/>
      <c r="LMD177" s="3"/>
      <c r="LME177" s="3"/>
      <c r="LMF177" s="3"/>
      <c r="LMG177" s="3"/>
      <c r="LMH177" s="3"/>
      <c r="LMI177" s="3"/>
      <c r="LMJ177" s="3"/>
      <c r="LMK177" s="3"/>
      <c r="LML177" s="3"/>
      <c r="LMM177" s="3"/>
      <c r="LMN177" s="3"/>
      <c r="LMO177" s="3"/>
      <c r="LMP177" s="3"/>
      <c r="LMQ177" s="3"/>
      <c r="LMR177" s="3"/>
      <c r="LMS177" s="3"/>
      <c r="LMT177" s="3"/>
      <c r="LMU177" s="3"/>
      <c r="LMV177" s="3"/>
      <c r="LMW177" s="3"/>
      <c r="LMX177" s="3"/>
      <c r="LMY177" s="3"/>
      <c r="LMZ177" s="3"/>
      <c r="LNA177" s="3"/>
      <c r="LNB177" s="3"/>
      <c r="LNC177" s="3"/>
      <c r="LND177" s="3"/>
      <c r="LNE177" s="3"/>
      <c r="LNF177" s="3"/>
      <c r="LNG177" s="3"/>
      <c r="LNH177" s="3"/>
      <c r="LNI177" s="3"/>
      <c r="LNJ177" s="3"/>
      <c r="LNK177" s="3"/>
      <c r="LNL177" s="3"/>
      <c r="LNM177" s="3"/>
      <c r="LNN177" s="3"/>
      <c r="LNO177" s="3"/>
      <c r="LNP177" s="3"/>
      <c r="LNQ177" s="3"/>
      <c r="LNR177" s="3"/>
      <c r="LNS177" s="3"/>
      <c r="LNT177" s="3"/>
      <c r="LNU177" s="3"/>
      <c r="LNV177" s="3"/>
      <c r="LNW177" s="3"/>
      <c r="LNX177" s="3"/>
      <c r="LNY177" s="3"/>
      <c r="LNZ177" s="3"/>
      <c r="LOA177" s="3"/>
      <c r="LOB177" s="3"/>
      <c r="LOC177" s="3"/>
      <c r="LOD177" s="3"/>
      <c r="LOE177" s="3"/>
      <c r="LOF177" s="3"/>
      <c r="LOG177" s="3"/>
      <c r="LOH177" s="3"/>
      <c r="LOI177" s="3"/>
      <c r="LOJ177" s="3"/>
      <c r="LOK177" s="3"/>
      <c r="LOL177" s="3"/>
      <c r="LOM177" s="3"/>
      <c r="LON177" s="3"/>
      <c r="LOO177" s="3"/>
      <c r="LOP177" s="3"/>
      <c r="LOQ177" s="3"/>
      <c r="LOR177" s="3"/>
      <c r="LOS177" s="3"/>
      <c r="LOT177" s="3"/>
      <c r="LOU177" s="3"/>
      <c r="LOV177" s="3"/>
      <c r="LOW177" s="3"/>
      <c r="LOX177" s="3"/>
      <c r="LOY177" s="3"/>
      <c r="LOZ177" s="3"/>
      <c r="LPA177" s="3"/>
      <c r="LPB177" s="3"/>
      <c r="LPC177" s="3"/>
      <c r="LPD177" s="3"/>
      <c r="LPE177" s="3"/>
      <c r="LPF177" s="3"/>
      <c r="LPG177" s="3"/>
      <c r="LPH177" s="3"/>
      <c r="LPI177" s="3"/>
      <c r="LPJ177" s="3"/>
      <c r="LPK177" s="3"/>
      <c r="LPL177" s="3"/>
      <c r="LPM177" s="3"/>
      <c r="LPN177" s="3"/>
      <c r="LPO177" s="3"/>
      <c r="LPP177" s="3"/>
      <c r="LPQ177" s="3"/>
      <c r="LPR177" s="3"/>
      <c r="LPS177" s="3"/>
      <c r="LPT177" s="3"/>
      <c r="LPU177" s="3"/>
      <c r="LPV177" s="3"/>
      <c r="LPW177" s="3"/>
      <c r="LPX177" s="3"/>
      <c r="LPY177" s="3"/>
      <c r="LPZ177" s="3"/>
      <c r="LQA177" s="3"/>
      <c r="LQB177" s="3"/>
      <c r="LQC177" s="3"/>
      <c r="LQD177" s="3"/>
      <c r="LQE177" s="3"/>
      <c r="LQF177" s="3"/>
      <c r="LQG177" s="3"/>
      <c r="LQH177" s="3"/>
      <c r="LQI177" s="3"/>
      <c r="LQJ177" s="3"/>
      <c r="LQK177" s="3"/>
      <c r="LQL177" s="3"/>
      <c r="LQM177" s="3"/>
      <c r="LQN177" s="3"/>
      <c r="LQO177" s="3"/>
      <c r="LQP177" s="3"/>
      <c r="LQQ177" s="3"/>
      <c r="LQR177" s="3"/>
      <c r="LQS177" s="3"/>
      <c r="LQT177" s="3"/>
      <c r="LQU177" s="3"/>
      <c r="LQV177" s="3"/>
      <c r="LQW177" s="3"/>
      <c r="LQX177" s="3"/>
      <c r="LQY177" s="3"/>
      <c r="LQZ177" s="3"/>
      <c r="LRA177" s="3"/>
      <c r="LRB177" s="3"/>
      <c r="LRC177" s="3"/>
      <c r="LRD177" s="3"/>
      <c r="LRE177" s="3"/>
      <c r="LRF177" s="3"/>
      <c r="LRG177" s="3"/>
      <c r="LRH177" s="3"/>
      <c r="LRI177" s="3"/>
      <c r="LRJ177" s="3"/>
      <c r="LRK177" s="3"/>
      <c r="LRL177" s="3"/>
      <c r="LRM177" s="3"/>
      <c r="LRN177" s="3"/>
      <c r="LRO177" s="3"/>
      <c r="LRP177" s="3"/>
      <c r="LRQ177" s="3"/>
      <c r="LRR177" s="3"/>
      <c r="LRS177" s="3"/>
      <c r="LRT177" s="3"/>
      <c r="LRU177" s="3"/>
      <c r="LRV177" s="3"/>
      <c r="LRW177" s="3"/>
      <c r="LRX177" s="3"/>
      <c r="LRY177" s="3"/>
      <c r="LRZ177" s="3"/>
      <c r="LSA177" s="3"/>
      <c r="LSB177" s="3"/>
      <c r="LSC177" s="3"/>
      <c r="LSD177" s="3"/>
      <c r="LSE177" s="3"/>
      <c r="LSF177" s="3"/>
      <c r="LSG177" s="3"/>
      <c r="LSH177" s="3"/>
      <c r="LSI177" s="3"/>
      <c r="LSJ177" s="3"/>
      <c r="LSK177" s="3"/>
      <c r="LSL177" s="3"/>
      <c r="LSM177" s="3"/>
      <c r="LSN177" s="3"/>
      <c r="LSO177" s="3"/>
      <c r="LSP177" s="3"/>
      <c r="LSQ177" s="3"/>
      <c r="LSR177" s="3"/>
      <c r="LSS177" s="3"/>
      <c r="LST177" s="3"/>
      <c r="LSU177" s="3"/>
      <c r="LSV177" s="3"/>
      <c r="LSW177" s="3"/>
      <c r="LSX177" s="3"/>
      <c r="LSY177" s="3"/>
      <c r="LSZ177" s="3"/>
      <c r="LTA177" s="3"/>
      <c r="LTB177" s="3"/>
      <c r="LTC177" s="3"/>
      <c r="LTD177" s="3"/>
      <c r="LTE177" s="3"/>
      <c r="LTF177" s="3"/>
      <c r="LTG177" s="3"/>
      <c r="LTH177" s="3"/>
      <c r="LTI177" s="3"/>
      <c r="LTJ177" s="3"/>
      <c r="LTK177" s="3"/>
      <c r="LTL177" s="3"/>
      <c r="LTM177" s="3"/>
      <c r="LTN177" s="3"/>
      <c r="LTO177" s="3"/>
      <c r="LTP177" s="3"/>
      <c r="LTQ177" s="3"/>
      <c r="LTR177" s="3"/>
      <c r="LTS177" s="3"/>
      <c r="LTT177" s="3"/>
      <c r="LTU177" s="3"/>
      <c r="LTV177" s="3"/>
      <c r="LTW177" s="3"/>
      <c r="LTX177" s="3"/>
      <c r="LTY177" s="3"/>
      <c r="LTZ177" s="3"/>
      <c r="LUA177" s="3"/>
      <c r="LUB177" s="3"/>
      <c r="LUC177" s="3"/>
      <c r="LUD177" s="3"/>
      <c r="LUE177" s="3"/>
      <c r="LUF177" s="3"/>
      <c r="LUG177" s="3"/>
      <c r="LUH177" s="3"/>
      <c r="LUI177" s="3"/>
      <c r="LUJ177" s="3"/>
      <c r="LUK177" s="3"/>
      <c r="LUL177" s="3"/>
      <c r="LUM177" s="3"/>
      <c r="LUN177" s="3"/>
      <c r="LUO177" s="3"/>
      <c r="LUP177" s="3"/>
      <c r="LUQ177" s="3"/>
      <c r="LUR177" s="3"/>
      <c r="LUS177" s="3"/>
      <c r="LUT177" s="3"/>
      <c r="LUU177" s="3"/>
      <c r="LUV177" s="3"/>
      <c r="LUW177" s="3"/>
      <c r="LUX177" s="3"/>
      <c r="LUY177" s="3"/>
      <c r="LUZ177" s="3"/>
      <c r="LVA177" s="3"/>
      <c r="LVB177" s="3"/>
      <c r="LVC177" s="3"/>
      <c r="LVD177" s="3"/>
      <c r="LVE177" s="3"/>
      <c r="LVF177" s="3"/>
      <c r="LVG177" s="3"/>
      <c r="LVH177" s="3"/>
      <c r="LVI177" s="3"/>
      <c r="LVJ177" s="3"/>
      <c r="LVK177" s="3"/>
      <c r="LVL177" s="3"/>
      <c r="LVM177" s="3"/>
      <c r="LVN177" s="3"/>
      <c r="LVO177" s="3"/>
      <c r="LVP177" s="3"/>
      <c r="LVQ177" s="3"/>
      <c r="LVR177" s="3"/>
      <c r="LVS177" s="3"/>
      <c r="LVT177" s="3"/>
      <c r="LVU177" s="3"/>
      <c r="LVV177" s="3"/>
      <c r="LVW177" s="3"/>
      <c r="LVX177" s="3"/>
      <c r="LVY177" s="3"/>
      <c r="LVZ177" s="3"/>
      <c r="LWA177" s="3"/>
      <c r="LWB177" s="3"/>
      <c r="LWC177" s="3"/>
      <c r="LWD177" s="3"/>
      <c r="LWE177" s="3"/>
      <c r="LWF177" s="3"/>
      <c r="LWG177" s="3"/>
      <c r="LWH177" s="3"/>
      <c r="LWI177" s="3"/>
      <c r="LWJ177" s="3"/>
      <c r="LWK177" s="3"/>
      <c r="LWL177" s="3"/>
      <c r="LWM177" s="3"/>
      <c r="LWN177" s="3"/>
      <c r="LWO177" s="3"/>
      <c r="LWP177" s="3"/>
      <c r="LWQ177" s="3"/>
      <c r="LWR177" s="3"/>
      <c r="LWS177" s="3"/>
      <c r="LWT177" s="3"/>
      <c r="LWU177" s="3"/>
      <c r="LWV177" s="3"/>
      <c r="LWW177" s="3"/>
      <c r="LWX177" s="3"/>
      <c r="LWY177" s="3"/>
      <c r="LWZ177" s="3"/>
      <c r="LXA177" s="3"/>
      <c r="LXB177" s="3"/>
      <c r="LXC177" s="3"/>
      <c r="LXD177" s="3"/>
      <c r="LXE177" s="3"/>
      <c r="LXF177" s="3"/>
      <c r="LXG177" s="3"/>
      <c r="LXH177" s="3"/>
      <c r="LXI177" s="3"/>
      <c r="LXJ177" s="3"/>
      <c r="LXK177" s="3"/>
      <c r="LXL177" s="3"/>
      <c r="LXM177" s="3"/>
      <c r="LXN177" s="3"/>
      <c r="LXO177" s="3"/>
      <c r="LXP177" s="3"/>
      <c r="LXQ177" s="3"/>
      <c r="LXR177" s="3"/>
      <c r="LXS177" s="3"/>
      <c r="LXT177" s="3"/>
      <c r="LXU177" s="3"/>
      <c r="LXV177" s="3"/>
      <c r="LXW177" s="3"/>
      <c r="LXX177" s="3"/>
      <c r="LXY177" s="3"/>
      <c r="LXZ177" s="3"/>
      <c r="LYA177" s="3"/>
      <c r="LYB177" s="3"/>
      <c r="LYC177" s="3"/>
      <c r="LYD177" s="3"/>
      <c r="LYE177" s="3"/>
      <c r="LYF177" s="3"/>
      <c r="LYG177" s="3"/>
      <c r="LYH177" s="3"/>
      <c r="LYI177" s="3"/>
      <c r="LYJ177" s="3"/>
      <c r="LYK177" s="3"/>
      <c r="LYL177" s="3"/>
      <c r="LYM177" s="3"/>
      <c r="LYN177" s="3"/>
      <c r="LYO177" s="3"/>
      <c r="LYP177" s="3"/>
      <c r="LYQ177" s="3"/>
      <c r="LYR177" s="3"/>
      <c r="LYS177" s="3"/>
      <c r="LYT177" s="3"/>
      <c r="LYU177" s="3"/>
      <c r="LYV177" s="3"/>
      <c r="LYW177" s="3"/>
      <c r="LYX177" s="3"/>
      <c r="LYY177" s="3"/>
      <c r="LYZ177" s="3"/>
      <c r="LZA177" s="3"/>
      <c r="LZB177" s="3"/>
      <c r="LZC177" s="3"/>
      <c r="LZD177" s="3"/>
      <c r="LZE177" s="3"/>
      <c r="LZF177" s="3"/>
      <c r="LZG177" s="3"/>
      <c r="LZH177" s="3"/>
      <c r="LZI177" s="3"/>
      <c r="LZJ177" s="3"/>
      <c r="LZK177" s="3"/>
      <c r="LZL177" s="3"/>
      <c r="LZM177" s="3"/>
      <c r="LZN177" s="3"/>
      <c r="LZO177" s="3"/>
      <c r="LZP177" s="3"/>
      <c r="LZQ177" s="3"/>
      <c r="LZR177" s="3"/>
      <c r="LZS177" s="3"/>
      <c r="LZT177" s="3"/>
      <c r="LZU177" s="3"/>
      <c r="LZV177" s="3"/>
      <c r="LZW177" s="3"/>
      <c r="LZX177" s="3"/>
      <c r="LZY177" s="3"/>
      <c r="LZZ177" s="3"/>
      <c r="MAA177" s="3"/>
      <c r="MAB177" s="3"/>
      <c r="MAC177" s="3"/>
      <c r="MAD177" s="3"/>
      <c r="MAE177" s="3"/>
      <c r="MAF177" s="3"/>
      <c r="MAG177" s="3"/>
      <c r="MAH177" s="3"/>
      <c r="MAI177" s="3"/>
      <c r="MAJ177" s="3"/>
      <c r="MAK177" s="3"/>
      <c r="MAL177" s="3"/>
      <c r="MAM177" s="3"/>
      <c r="MAN177" s="3"/>
      <c r="MAO177" s="3"/>
      <c r="MAP177" s="3"/>
      <c r="MAQ177" s="3"/>
      <c r="MAR177" s="3"/>
      <c r="MAS177" s="3"/>
      <c r="MAT177" s="3"/>
      <c r="MAU177" s="3"/>
      <c r="MAV177" s="3"/>
      <c r="MAW177" s="3"/>
      <c r="MAX177" s="3"/>
      <c r="MAY177" s="3"/>
      <c r="MAZ177" s="3"/>
      <c r="MBA177" s="3"/>
      <c r="MBB177" s="3"/>
      <c r="MBC177" s="3"/>
      <c r="MBD177" s="3"/>
      <c r="MBE177" s="3"/>
      <c r="MBF177" s="3"/>
      <c r="MBG177" s="3"/>
      <c r="MBH177" s="3"/>
      <c r="MBI177" s="3"/>
      <c r="MBJ177" s="3"/>
      <c r="MBK177" s="3"/>
      <c r="MBL177" s="3"/>
      <c r="MBM177" s="3"/>
      <c r="MBN177" s="3"/>
      <c r="MBO177" s="3"/>
      <c r="MBP177" s="3"/>
      <c r="MBQ177" s="3"/>
      <c r="MBR177" s="3"/>
      <c r="MBS177" s="3"/>
      <c r="MBT177" s="3"/>
      <c r="MBU177" s="3"/>
      <c r="MBV177" s="3"/>
      <c r="MBW177" s="3"/>
      <c r="MBX177" s="3"/>
      <c r="MBY177" s="3"/>
      <c r="MBZ177" s="3"/>
      <c r="MCA177" s="3"/>
      <c r="MCB177" s="3"/>
      <c r="MCC177" s="3"/>
      <c r="MCD177" s="3"/>
      <c r="MCE177" s="3"/>
      <c r="MCF177" s="3"/>
      <c r="MCG177" s="3"/>
      <c r="MCH177" s="3"/>
      <c r="MCI177" s="3"/>
      <c r="MCJ177" s="3"/>
      <c r="MCK177" s="3"/>
      <c r="MCL177" s="3"/>
      <c r="MCM177" s="3"/>
      <c r="MCN177" s="3"/>
      <c r="MCO177" s="3"/>
      <c r="MCP177" s="3"/>
      <c r="MCQ177" s="3"/>
      <c r="MCR177" s="3"/>
      <c r="MCS177" s="3"/>
      <c r="MCT177" s="3"/>
      <c r="MCU177" s="3"/>
      <c r="MCV177" s="3"/>
      <c r="MCW177" s="3"/>
      <c r="MCX177" s="3"/>
      <c r="MCY177" s="3"/>
      <c r="MCZ177" s="3"/>
      <c r="MDA177" s="3"/>
      <c r="MDB177" s="3"/>
      <c r="MDC177" s="3"/>
      <c r="MDD177" s="3"/>
      <c r="MDE177" s="3"/>
      <c r="MDF177" s="3"/>
      <c r="MDG177" s="3"/>
      <c r="MDH177" s="3"/>
      <c r="MDI177" s="3"/>
      <c r="MDJ177" s="3"/>
      <c r="MDK177" s="3"/>
      <c r="MDL177" s="3"/>
      <c r="MDM177" s="3"/>
      <c r="MDN177" s="3"/>
      <c r="MDO177" s="3"/>
      <c r="MDP177" s="3"/>
      <c r="MDQ177" s="3"/>
      <c r="MDR177" s="3"/>
      <c r="MDS177" s="3"/>
      <c r="MDT177" s="3"/>
      <c r="MDU177" s="3"/>
      <c r="MDV177" s="3"/>
      <c r="MDW177" s="3"/>
      <c r="MDX177" s="3"/>
      <c r="MDY177" s="3"/>
      <c r="MDZ177" s="3"/>
      <c r="MEA177" s="3"/>
      <c r="MEB177" s="3"/>
      <c r="MEC177" s="3"/>
      <c r="MED177" s="3"/>
      <c r="MEE177" s="3"/>
      <c r="MEF177" s="3"/>
      <c r="MEG177" s="3"/>
      <c r="MEH177" s="3"/>
      <c r="MEI177" s="3"/>
      <c r="MEJ177" s="3"/>
      <c r="MEK177" s="3"/>
      <c r="MEL177" s="3"/>
      <c r="MEM177" s="3"/>
      <c r="MEN177" s="3"/>
      <c r="MEO177" s="3"/>
      <c r="MEP177" s="3"/>
      <c r="MEQ177" s="3"/>
      <c r="MER177" s="3"/>
      <c r="MES177" s="3"/>
      <c r="MET177" s="3"/>
      <c r="MEU177" s="3"/>
      <c r="MEV177" s="3"/>
      <c r="MEW177" s="3"/>
      <c r="MEX177" s="3"/>
      <c r="MEY177" s="3"/>
      <c r="MEZ177" s="3"/>
      <c r="MFA177" s="3"/>
      <c r="MFB177" s="3"/>
      <c r="MFC177" s="3"/>
      <c r="MFD177" s="3"/>
      <c r="MFE177" s="3"/>
      <c r="MFF177" s="3"/>
      <c r="MFG177" s="3"/>
      <c r="MFH177" s="3"/>
      <c r="MFI177" s="3"/>
      <c r="MFJ177" s="3"/>
      <c r="MFK177" s="3"/>
      <c r="MFL177" s="3"/>
      <c r="MFM177" s="3"/>
      <c r="MFN177" s="3"/>
      <c r="MFO177" s="3"/>
      <c r="MFP177" s="3"/>
      <c r="MFQ177" s="3"/>
      <c r="MFR177" s="3"/>
      <c r="MFS177" s="3"/>
      <c r="MFT177" s="3"/>
      <c r="MFU177" s="3"/>
      <c r="MFV177" s="3"/>
      <c r="MFW177" s="3"/>
      <c r="MFX177" s="3"/>
      <c r="MFY177" s="3"/>
      <c r="MFZ177" s="3"/>
      <c r="MGA177" s="3"/>
      <c r="MGB177" s="3"/>
      <c r="MGC177" s="3"/>
      <c r="MGD177" s="3"/>
      <c r="MGE177" s="3"/>
      <c r="MGF177" s="3"/>
      <c r="MGG177" s="3"/>
      <c r="MGH177" s="3"/>
      <c r="MGI177" s="3"/>
      <c r="MGJ177" s="3"/>
      <c r="MGK177" s="3"/>
      <c r="MGL177" s="3"/>
      <c r="MGM177" s="3"/>
      <c r="MGN177" s="3"/>
      <c r="MGO177" s="3"/>
      <c r="MGP177" s="3"/>
      <c r="MGQ177" s="3"/>
      <c r="MGR177" s="3"/>
      <c r="MGS177" s="3"/>
      <c r="MGT177" s="3"/>
      <c r="MGU177" s="3"/>
      <c r="MGV177" s="3"/>
      <c r="MGW177" s="3"/>
      <c r="MGX177" s="3"/>
      <c r="MGY177" s="3"/>
      <c r="MGZ177" s="3"/>
      <c r="MHA177" s="3"/>
      <c r="MHB177" s="3"/>
      <c r="MHC177" s="3"/>
      <c r="MHD177" s="3"/>
      <c r="MHE177" s="3"/>
      <c r="MHF177" s="3"/>
      <c r="MHG177" s="3"/>
      <c r="MHH177" s="3"/>
      <c r="MHI177" s="3"/>
      <c r="MHJ177" s="3"/>
      <c r="MHK177" s="3"/>
      <c r="MHL177" s="3"/>
      <c r="MHM177" s="3"/>
      <c r="MHN177" s="3"/>
      <c r="MHO177" s="3"/>
      <c r="MHP177" s="3"/>
      <c r="MHQ177" s="3"/>
      <c r="MHR177" s="3"/>
      <c r="MHS177" s="3"/>
      <c r="MHT177" s="3"/>
      <c r="MHU177" s="3"/>
      <c r="MHV177" s="3"/>
      <c r="MHW177" s="3"/>
      <c r="MHX177" s="3"/>
      <c r="MHY177" s="3"/>
      <c r="MHZ177" s="3"/>
      <c r="MIA177" s="3"/>
      <c r="MIB177" s="3"/>
      <c r="MIC177" s="3"/>
      <c r="MID177" s="3"/>
      <c r="MIE177" s="3"/>
      <c r="MIF177" s="3"/>
      <c r="MIG177" s="3"/>
      <c r="MIH177" s="3"/>
      <c r="MII177" s="3"/>
      <c r="MIJ177" s="3"/>
      <c r="MIK177" s="3"/>
      <c r="MIL177" s="3"/>
      <c r="MIM177" s="3"/>
      <c r="MIN177" s="3"/>
      <c r="MIO177" s="3"/>
      <c r="MIP177" s="3"/>
      <c r="MIQ177" s="3"/>
      <c r="MIR177" s="3"/>
      <c r="MIS177" s="3"/>
      <c r="MIT177" s="3"/>
      <c r="MIU177" s="3"/>
      <c r="MIV177" s="3"/>
      <c r="MIW177" s="3"/>
      <c r="MIX177" s="3"/>
      <c r="MIY177" s="3"/>
      <c r="MIZ177" s="3"/>
      <c r="MJA177" s="3"/>
      <c r="MJB177" s="3"/>
      <c r="MJC177" s="3"/>
      <c r="MJD177" s="3"/>
      <c r="MJE177" s="3"/>
      <c r="MJF177" s="3"/>
      <c r="MJG177" s="3"/>
      <c r="MJH177" s="3"/>
      <c r="MJI177" s="3"/>
      <c r="MJJ177" s="3"/>
      <c r="MJK177" s="3"/>
      <c r="MJL177" s="3"/>
      <c r="MJM177" s="3"/>
      <c r="MJN177" s="3"/>
      <c r="MJO177" s="3"/>
      <c r="MJP177" s="3"/>
      <c r="MJQ177" s="3"/>
      <c r="MJR177" s="3"/>
      <c r="MJS177" s="3"/>
      <c r="MJT177" s="3"/>
      <c r="MJU177" s="3"/>
      <c r="MJV177" s="3"/>
      <c r="MJW177" s="3"/>
      <c r="MJX177" s="3"/>
      <c r="MJY177" s="3"/>
      <c r="MJZ177" s="3"/>
      <c r="MKA177" s="3"/>
      <c r="MKB177" s="3"/>
      <c r="MKC177" s="3"/>
      <c r="MKD177" s="3"/>
      <c r="MKE177" s="3"/>
      <c r="MKF177" s="3"/>
      <c r="MKG177" s="3"/>
      <c r="MKH177" s="3"/>
      <c r="MKI177" s="3"/>
      <c r="MKJ177" s="3"/>
      <c r="MKK177" s="3"/>
      <c r="MKL177" s="3"/>
      <c r="MKM177" s="3"/>
      <c r="MKN177" s="3"/>
      <c r="MKO177" s="3"/>
      <c r="MKP177" s="3"/>
      <c r="MKQ177" s="3"/>
      <c r="MKR177" s="3"/>
      <c r="MKS177" s="3"/>
      <c r="MKT177" s="3"/>
      <c r="MKU177" s="3"/>
      <c r="MKV177" s="3"/>
      <c r="MKW177" s="3"/>
      <c r="MKX177" s="3"/>
      <c r="MKY177" s="3"/>
      <c r="MKZ177" s="3"/>
      <c r="MLA177" s="3"/>
      <c r="MLB177" s="3"/>
      <c r="MLC177" s="3"/>
      <c r="MLD177" s="3"/>
      <c r="MLE177" s="3"/>
      <c r="MLF177" s="3"/>
      <c r="MLG177" s="3"/>
      <c r="MLH177" s="3"/>
      <c r="MLI177" s="3"/>
      <c r="MLJ177" s="3"/>
      <c r="MLK177" s="3"/>
      <c r="MLL177" s="3"/>
      <c r="MLM177" s="3"/>
      <c r="MLN177" s="3"/>
      <c r="MLO177" s="3"/>
      <c r="MLP177" s="3"/>
      <c r="MLQ177" s="3"/>
      <c r="MLR177" s="3"/>
      <c r="MLS177" s="3"/>
      <c r="MLT177" s="3"/>
      <c r="MLU177" s="3"/>
      <c r="MLV177" s="3"/>
      <c r="MLW177" s="3"/>
      <c r="MLX177" s="3"/>
      <c r="MLY177" s="3"/>
      <c r="MLZ177" s="3"/>
      <c r="MMA177" s="3"/>
      <c r="MMB177" s="3"/>
      <c r="MMC177" s="3"/>
      <c r="MMD177" s="3"/>
      <c r="MME177" s="3"/>
      <c r="MMF177" s="3"/>
      <c r="MMG177" s="3"/>
      <c r="MMH177" s="3"/>
      <c r="MMI177" s="3"/>
      <c r="MMJ177" s="3"/>
      <c r="MMK177" s="3"/>
      <c r="MML177" s="3"/>
      <c r="MMM177" s="3"/>
      <c r="MMN177" s="3"/>
      <c r="MMO177" s="3"/>
      <c r="MMP177" s="3"/>
      <c r="MMQ177" s="3"/>
      <c r="MMR177" s="3"/>
      <c r="MMS177" s="3"/>
      <c r="MMT177" s="3"/>
      <c r="MMU177" s="3"/>
      <c r="MMV177" s="3"/>
      <c r="MMW177" s="3"/>
      <c r="MMX177" s="3"/>
      <c r="MMY177" s="3"/>
      <c r="MMZ177" s="3"/>
      <c r="MNA177" s="3"/>
      <c r="MNB177" s="3"/>
      <c r="MNC177" s="3"/>
      <c r="MND177" s="3"/>
      <c r="MNE177" s="3"/>
      <c r="MNF177" s="3"/>
      <c r="MNG177" s="3"/>
      <c r="MNH177" s="3"/>
      <c r="MNI177" s="3"/>
      <c r="MNJ177" s="3"/>
      <c r="MNK177" s="3"/>
      <c r="MNL177" s="3"/>
      <c r="MNM177" s="3"/>
      <c r="MNN177" s="3"/>
      <c r="MNO177" s="3"/>
      <c r="MNP177" s="3"/>
      <c r="MNQ177" s="3"/>
      <c r="MNR177" s="3"/>
      <c r="MNS177" s="3"/>
      <c r="MNT177" s="3"/>
      <c r="MNU177" s="3"/>
      <c r="MNV177" s="3"/>
      <c r="MNW177" s="3"/>
      <c r="MNX177" s="3"/>
      <c r="MNY177" s="3"/>
      <c r="MNZ177" s="3"/>
      <c r="MOA177" s="3"/>
      <c r="MOB177" s="3"/>
      <c r="MOC177" s="3"/>
      <c r="MOD177" s="3"/>
      <c r="MOE177" s="3"/>
      <c r="MOF177" s="3"/>
      <c r="MOG177" s="3"/>
      <c r="MOH177" s="3"/>
      <c r="MOI177" s="3"/>
      <c r="MOJ177" s="3"/>
      <c r="MOK177" s="3"/>
      <c r="MOL177" s="3"/>
      <c r="MOM177" s="3"/>
      <c r="MON177" s="3"/>
      <c r="MOO177" s="3"/>
      <c r="MOP177" s="3"/>
      <c r="MOQ177" s="3"/>
      <c r="MOR177" s="3"/>
      <c r="MOS177" s="3"/>
      <c r="MOT177" s="3"/>
      <c r="MOU177" s="3"/>
      <c r="MOV177" s="3"/>
      <c r="MOW177" s="3"/>
      <c r="MOX177" s="3"/>
      <c r="MOY177" s="3"/>
      <c r="MOZ177" s="3"/>
      <c r="MPA177" s="3"/>
      <c r="MPB177" s="3"/>
      <c r="MPC177" s="3"/>
      <c r="MPD177" s="3"/>
      <c r="MPE177" s="3"/>
      <c r="MPF177" s="3"/>
      <c r="MPG177" s="3"/>
      <c r="MPH177" s="3"/>
      <c r="MPI177" s="3"/>
      <c r="MPJ177" s="3"/>
      <c r="MPK177" s="3"/>
      <c r="MPL177" s="3"/>
      <c r="MPM177" s="3"/>
      <c r="MPN177" s="3"/>
      <c r="MPO177" s="3"/>
      <c r="MPP177" s="3"/>
      <c r="MPQ177" s="3"/>
      <c r="MPR177" s="3"/>
      <c r="MPS177" s="3"/>
      <c r="MPT177" s="3"/>
      <c r="MPU177" s="3"/>
      <c r="MPV177" s="3"/>
      <c r="MPW177" s="3"/>
      <c r="MPX177" s="3"/>
      <c r="MPY177" s="3"/>
      <c r="MPZ177" s="3"/>
      <c r="MQA177" s="3"/>
      <c r="MQB177" s="3"/>
      <c r="MQC177" s="3"/>
      <c r="MQD177" s="3"/>
      <c r="MQE177" s="3"/>
      <c r="MQF177" s="3"/>
      <c r="MQG177" s="3"/>
      <c r="MQH177" s="3"/>
      <c r="MQI177" s="3"/>
      <c r="MQJ177" s="3"/>
      <c r="MQK177" s="3"/>
      <c r="MQL177" s="3"/>
      <c r="MQM177" s="3"/>
      <c r="MQN177" s="3"/>
      <c r="MQO177" s="3"/>
      <c r="MQP177" s="3"/>
      <c r="MQQ177" s="3"/>
      <c r="MQR177" s="3"/>
      <c r="MQS177" s="3"/>
      <c r="MQT177" s="3"/>
      <c r="MQU177" s="3"/>
      <c r="MQV177" s="3"/>
      <c r="MQW177" s="3"/>
      <c r="MQX177" s="3"/>
      <c r="MQY177" s="3"/>
      <c r="MQZ177" s="3"/>
      <c r="MRA177" s="3"/>
      <c r="MRB177" s="3"/>
      <c r="MRC177" s="3"/>
      <c r="MRD177" s="3"/>
      <c r="MRE177" s="3"/>
      <c r="MRF177" s="3"/>
      <c r="MRG177" s="3"/>
      <c r="MRH177" s="3"/>
      <c r="MRI177" s="3"/>
      <c r="MRJ177" s="3"/>
      <c r="MRK177" s="3"/>
      <c r="MRL177" s="3"/>
      <c r="MRM177" s="3"/>
      <c r="MRN177" s="3"/>
      <c r="MRO177" s="3"/>
      <c r="MRP177" s="3"/>
      <c r="MRQ177" s="3"/>
      <c r="MRR177" s="3"/>
      <c r="MRS177" s="3"/>
      <c r="MRT177" s="3"/>
      <c r="MRU177" s="3"/>
      <c r="MRV177" s="3"/>
      <c r="MRW177" s="3"/>
      <c r="MRX177" s="3"/>
      <c r="MRY177" s="3"/>
      <c r="MRZ177" s="3"/>
      <c r="MSA177" s="3"/>
      <c r="MSB177" s="3"/>
      <c r="MSC177" s="3"/>
      <c r="MSD177" s="3"/>
      <c r="MSE177" s="3"/>
      <c r="MSF177" s="3"/>
      <c r="MSG177" s="3"/>
      <c r="MSH177" s="3"/>
      <c r="MSI177" s="3"/>
      <c r="MSJ177" s="3"/>
      <c r="MSK177" s="3"/>
      <c r="MSL177" s="3"/>
      <c r="MSM177" s="3"/>
      <c r="MSN177" s="3"/>
      <c r="MSO177" s="3"/>
      <c r="MSP177" s="3"/>
      <c r="MSQ177" s="3"/>
      <c r="MSR177" s="3"/>
      <c r="MSS177" s="3"/>
      <c r="MST177" s="3"/>
      <c r="MSU177" s="3"/>
      <c r="MSV177" s="3"/>
      <c r="MSW177" s="3"/>
      <c r="MSX177" s="3"/>
      <c r="MSY177" s="3"/>
      <c r="MSZ177" s="3"/>
      <c r="MTA177" s="3"/>
      <c r="MTB177" s="3"/>
      <c r="MTC177" s="3"/>
      <c r="MTD177" s="3"/>
      <c r="MTE177" s="3"/>
      <c r="MTF177" s="3"/>
      <c r="MTG177" s="3"/>
      <c r="MTH177" s="3"/>
      <c r="MTI177" s="3"/>
      <c r="MTJ177" s="3"/>
      <c r="MTK177" s="3"/>
      <c r="MTL177" s="3"/>
      <c r="MTM177" s="3"/>
      <c r="MTN177" s="3"/>
      <c r="MTO177" s="3"/>
      <c r="MTP177" s="3"/>
      <c r="MTQ177" s="3"/>
      <c r="MTR177" s="3"/>
      <c r="MTS177" s="3"/>
      <c r="MTT177" s="3"/>
      <c r="MTU177" s="3"/>
      <c r="MTV177" s="3"/>
      <c r="MTW177" s="3"/>
      <c r="MTX177" s="3"/>
      <c r="MTY177" s="3"/>
      <c r="MTZ177" s="3"/>
      <c r="MUA177" s="3"/>
      <c r="MUB177" s="3"/>
      <c r="MUC177" s="3"/>
      <c r="MUD177" s="3"/>
      <c r="MUE177" s="3"/>
      <c r="MUF177" s="3"/>
      <c r="MUG177" s="3"/>
      <c r="MUH177" s="3"/>
      <c r="MUI177" s="3"/>
      <c r="MUJ177" s="3"/>
      <c r="MUK177" s="3"/>
      <c r="MUL177" s="3"/>
      <c r="MUM177" s="3"/>
      <c r="MUN177" s="3"/>
      <c r="MUO177" s="3"/>
      <c r="MUP177" s="3"/>
      <c r="MUQ177" s="3"/>
      <c r="MUR177" s="3"/>
      <c r="MUS177" s="3"/>
      <c r="MUT177" s="3"/>
      <c r="MUU177" s="3"/>
      <c r="MUV177" s="3"/>
      <c r="MUW177" s="3"/>
      <c r="MUX177" s="3"/>
      <c r="MUY177" s="3"/>
      <c r="MUZ177" s="3"/>
      <c r="MVA177" s="3"/>
      <c r="MVB177" s="3"/>
      <c r="MVC177" s="3"/>
      <c r="MVD177" s="3"/>
      <c r="MVE177" s="3"/>
      <c r="MVF177" s="3"/>
      <c r="MVG177" s="3"/>
      <c r="MVH177" s="3"/>
      <c r="MVI177" s="3"/>
      <c r="MVJ177" s="3"/>
      <c r="MVK177" s="3"/>
      <c r="MVL177" s="3"/>
      <c r="MVM177" s="3"/>
      <c r="MVN177" s="3"/>
      <c r="MVO177" s="3"/>
      <c r="MVP177" s="3"/>
      <c r="MVQ177" s="3"/>
      <c r="MVR177" s="3"/>
      <c r="MVS177" s="3"/>
      <c r="MVT177" s="3"/>
      <c r="MVU177" s="3"/>
      <c r="MVV177" s="3"/>
      <c r="MVW177" s="3"/>
      <c r="MVX177" s="3"/>
      <c r="MVY177" s="3"/>
      <c r="MVZ177" s="3"/>
      <c r="MWA177" s="3"/>
      <c r="MWB177" s="3"/>
      <c r="MWC177" s="3"/>
      <c r="MWD177" s="3"/>
      <c r="MWE177" s="3"/>
      <c r="MWF177" s="3"/>
      <c r="MWG177" s="3"/>
      <c r="MWH177" s="3"/>
      <c r="MWI177" s="3"/>
      <c r="MWJ177" s="3"/>
      <c r="MWK177" s="3"/>
      <c r="MWL177" s="3"/>
      <c r="MWM177" s="3"/>
      <c r="MWN177" s="3"/>
      <c r="MWO177" s="3"/>
      <c r="MWP177" s="3"/>
      <c r="MWQ177" s="3"/>
      <c r="MWR177" s="3"/>
      <c r="MWS177" s="3"/>
      <c r="MWT177" s="3"/>
      <c r="MWU177" s="3"/>
      <c r="MWV177" s="3"/>
      <c r="MWW177" s="3"/>
      <c r="MWX177" s="3"/>
      <c r="MWY177" s="3"/>
      <c r="MWZ177" s="3"/>
      <c r="MXA177" s="3"/>
      <c r="MXB177" s="3"/>
      <c r="MXC177" s="3"/>
      <c r="MXD177" s="3"/>
      <c r="MXE177" s="3"/>
      <c r="MXF177" s="3"/>
      <c r="MXG177" s="3"/>
      <c r="MXH177" s="3"/>
      <c r="MXI177" s="3"/>
      <c r="MXJ177" s="3"/>
      <c r="MXK177" s="3"/>
      <c r="MXL177" s="3"/>
      <c r="MXM177" s="3"/>
      <c r="MXN177" s="3"/>
      <c r="MXO177" s="3"/>
      <c r="MXP177" s="3"/>
      <c r="MXQ177" s="3"/>
      <c r="MXR177" s="3"/>
      <c r="MXS177" s="3"/>
      <c r="MXT177" s="3"/>
      <c r="MXU177" s="3"/>
      <c r="MXV177" s="3"/>
      <c r="MXW177" s="3"/>
      <c r="MXX177" s="3"/>
      <c r="MXY177" s="3"/>
      <c r="MXZ177" s="3"/>
      <c r="MYA177" s="3"/>
      <c r="MYB177" s="3"/>
      <c r="MYC177" s="3"/>
      <c r="MYD177" s="3"/>
      <c r="MYE177" s="3"/>
      <c r="MYF177" s="3"/>
      <c r="MYG177" s="3"/>
      <c r="MYH177" s="3"/>
      <c r="MYI177" s="3"/>
      <c r="MYJ177" s="3"/>
      <c r="MYK177" s="3"/>
      <c r="MYL177" s="3"/>
      <c r="MYM177" s="3"/>
      <c r="MYN177" s="3"/>
      <c r="MYO177" s="3"/>
      <c r="MYP177" s="3"/>
      <c r="MYQ177" s="3"/>
      <c r="MYR177" s="3"/>
      <c r="MYS177" s="3"/>
      <c r="MYT177" s="3"/>
      <c r="MYU177" s="3"/>
      <c r="MYV177" s="3"/>
      <c r="MYW177" s="3"/>
      <c r="MYX177" s="3"/>
      <c r="MYY177" s="3"/>
      <c r="MYZ177" s="3"/>
      <c r="MZA177" s="3"/>
      <c r="MZB177" s="3"/>
      <c r="MZC177" s="3"/>
      <c r="MZD177" s="3"/>
      <c r="MZE177" s="3"/>
      <c r="MZF177" s="3"/>
      <c r="MZG177" s="3"/>
      <c r="MZH177" s="3"/>
      <c r="MZI177" s="3"/>
      <c r="MZJ177" s="3"/>
      <c r="MZK177" s="3"/>
      <c r="MZL177" s="3"/>
      <c r="MZM177" s="3"/>
      <c r="MZN177" s="3"/>
      <c r="MZO177" s="3"/>
      <c r="MZP177" s="3"/>
      <c r="MZQ177" s="3"/>
      <c r="MZR177" s="3"/>
      <c r="MZS177" s="3"/>
      <c r="MZT177" s="3"/>
      <c r="MZU177" s="3"/>
      <c r="MZV177" s="3"/>
      <c r="MZW177" s="3"/>
      <c r="MZX177" s="3"/>
      <c r="MZY177" s="3"/>
      <c r="MZZ177" s="3"/>
      <c r="NAA177" s="3"/>
      <c r="NAB177" s="3"/>
      <c r="NAC177" s="3"/>
      <c r="NAD177" s="3"/>
      <c r="NAE177" s="3"/>
      <c r="NAF177" s="3"/>
      <c r="NAG177" s="3"/>
      <c r="NAH177" s="3"/>
      <c r="NAI177" s="3"/>
      <c r="NAJ177" s="3"/>
      <c r="NAK177" s="3"/>
      <c r="NAL177" s="3"/>
      <c r="NAM177" s="3"/>
      <c r="NAN177" s="3"/>
      <c r="NAO177" s="3"/>
      <c r="NAP177" s="3"/>
      <c r="NAQ177" s="3"/>
      <c r="NAR177" s="3"/>
      <c r="NAS177" s="3"/>
      <c r="NAT177" s="3"/>
      <c r="NAU177" s="3"/>
      <c r="NAV177" s="3"/>
      <c r="NAW177" s="3"/>
      <c r="NAX177" s="3"/>
      <c r="NAY177" s="3"/>
      <c r="NAZ177" s="3"/>
      <c r="NBA177" s="3"/>
      <c r="NBB177" s="3"/>
      <c r="NBC177" s="3"/>
      <c r="NBD177" s="3"/>
      <c r="NBE177" s="3"/>
      <c r="NBF177" s="3"/>
      <c r="NBG177" s="3"/>
      <c r="NBH177" s="3"/>
      <c r="NBI177" s="3"/>
      <c r="NBJ177" s="3"/>
      <c r="NBK177" s="3"/>
      <c r="NBL177" s="3"/>
      <c r="NBM177" s="3"/>
      <c r="NBN177" s="3"/>
      <c r="NBO177" s="3"/>
      <c r="NBP177" s="3"/>
      <c r="NBQ177" s="3"/>
      <c r="NBR177" s="3"/>
      <c r="NBS177" s="3"/>
      <c r="NBT177" s="3"/>
      <c r="NBU177" s="3"/>
      <c r="NBV177" s="3"/>
      <c r="NBW177" s="3"/>
      <c r="NBX177" s="3"/>
      <c r="NBY177" s="3"/>
      <c r="NBZ177" s="3"/>
      <c r="NCA177" s="3"/>
      <c r="NCB177" s="3"/>
      <c r="NCC177" s="3"/>
      <c r="NCD177" s="3"/>
      <c r="NCE177" s="3"/>
      <c r="NCF177" s="3"/>
      <c r="NCG177" s="3"/>
      <c r="NCH177" s="3"/>
      <c r="NCI177" s="3"/>
      <c r="NCJ177" s="3"/>
      <c r="NCK177" s="3"/>
      <c r="NCL177" s="3"/>
      <c r="NCM177" s="3"/>
      <c r="NCN177" s="3"/>
      <c r="NCO177" s="3"/>
      <c r="NCP177" s="3"/>
      <c r="NCQ177" s="3"/>
      <c r="NCR177" s="3"/>
      <c r="NCS177" s="3"/>
      <c r="NCT177" s="3"/>
      <c r="NCU177" s="3"/>
      <c r="NCV177" s="3"/>
      <c r="NCW177" s="3"/>
      <c r="NCX177" s="3"/>
      <c r="NCY177" s="3"/>
      <c r="NCZ177" s="3"/>
      <c r="NDA177" s="3"/>
      <c r="NDB177" s="3"/>
      <c r="NDC177" s="3"/>
      <c r="NDD177" s="3"/>
      <c r="NDE177" s="3"/>
      <c r="NDF177" s="3"/>
      <c r="NDG177" s="3"/>
      <c r="NDH177" s="3"/>
      <c r="NDI177" s="3"/>
      <c r="NDJ177" s="3"/>
      <c r="NDK177" s="3"/>
      <c r="NDL177" s="3"/>
      <c r="NDM177" s="3"/>
      <c r="NDN177" s="3"/>
      <c r="NDO177" s="3"/>
      <c r="NDP177" s="3"/>
      <c r="NDQ177" s="3"/>
      <c r="NDR177" s="3"/>
      <c r="NDS177" s="3"/>
      <c r="NDT177" s="3"/>
      <c r="NDU177" s="3"/>
      <c r="NDV177" s="3"/>
      <c r="NDW177" s="3"/>
      <c r="NDX177" s="3"/>
      <c r="NDY177" s="3"/>
      <c r="NDZ177" s="3"/>
      <c r="NEA177" s="3"/>
      <c r="NEB177" s="3"/>
      <c r="NEC177" s="3"/>
      <c r="NED177" s="3"/>
      <c r="NEE177" s="3"/>
      <c r="NEF177" s="3"/>
      <c r="NEG177" s="3"/>
      <c r="NEH177" s="3"/>
      <c r="NEI177" s="3"/>
      <c r="NEJ177" s="3"/>
      <c r="NEK177" s="3"/>
      <c r="NEL177" s="3"/>
      <c r="NEM177" s="3"/>
      <c r="NEN177" s="3"/>
      <c r="NEO177" s="3"/>
      <c r="NEP177" s="3"/>
      <c r="NEQ177" s="3"/>
      <c r="NER177" s="3"/>
      <c r="NES177" s="3"/>
      <c r="NET177" s="3"/>
      <c r="NEU177" s="3"/>
      <c r="NEV177" s="3"/>
      <c r="NEW177" s="3"/>
      <c r="NEX177" s="3"/>
      <c r="NEY177" s="3"/>
      <c r="NEZ177" s="3"/>
      <c r="NFA177" s="3"/>
      <c r="NFB177" s="3"/>
      <c r="NFC177" s="3"/>
      <c r="NFD177" s="3"/>
      <c r="NFE177" s="3"/>
      <c r="NFF177" s="3"/>
      <c r="NFG177" s="3"/>
      <c r="NFH177" s="3"/>
      <c r="NFI177" s="3"/>
      <c r="NFJ177" s="3"/>
      <c r="NFK177" s="3"/>
      <c r="NFL177" s="3"/>
      <c r="NFM177" s="3"/>
      <c r="NFN177" s="3"/>
      <c r="NFO177" s="3"/>
      <c r="NFP177" s="3"/>
      <c r="NFQ177" s="3"/>
      <c r="NFR177" s="3"/>
      <c r="NFS177" s="3"/>
      <c r="NFT177" s="3"/>
      <c r="NFU177" s="3"/>
      <c r="NFV177" s="3"/>
      <c r="NFW177" s="3"/>
      <c r="NFX177" s="3"/>
      <c r="NFY177" s="3"/>
      <c r="NFZ177" s="3"/>
      <c r="NGA177" s="3"/>
      <c r="NGB177" s="3"/>
      <c r="NGC177" s="3"/>
      <c r="NGD177" s="3"/>
      <c r="NGE177" s="3"/>
      <c r="NGF177" s="3"/>
      <c r="NGG177" s="3"/>
      <c r="NGH177" s="3"/>
      <c r="NGI177" s="3"/>
      <c r="NGJ177" s="3"/>
      <c r="NGK177" s="3"/>
      <c r="NGL177" s="3"/>
      <c r="NGM177" s="3"/>
      <c r="NGN177" s="3"/>
      <c r="NGO177" s="3"/>
      <c r="NGP177" s="3"/>
      <c r="NGQ177" s="3"/>
      <c r="NGR177" s="3"/>
      <c r="NGS177" s="3"/>
      <c r="NGT177" s="3"/>
      <c r="NGU177" s="3"/>
      <c r="NGV177" s="3"/>
      <c r="NGW177" s="3"/>
      <c r="NGX177" s="3"/>
      <c r="NGY177" s="3"/>
      <c r="NGZ177" s="3"/>
      <c r="NHA177" s="3"/>
      <c r="NHB177" s="3"/>
      <c r="NHC177" s="3"/>
      <c r="NHD177" s="3"/>
      <c r="NHE177" s="3"/>
      <c r="NHF177" s="3"/>
      <c r="NHG177" s="3"/>
      <c r="NHH177" s="3"/>
      <c r="NHI177" s="3"/>
      <c r="NHJ177" s="3"/>
      <c r="NHK177" s="3"/>
      <c r="NHL177" s="3"/>
      <c r="NHM177" s="3"/>
      <c r="NHN177" s="3"/>
      <c r="NHO177" s="3"/>
      <c r="NHP177" s="3"/>
      <c r="NHQ177" s="3"/>
      <c r="NHR177" s="3"/>
      <c r="NHS177" s="3"/>
      <c r="NHT177" s="3"/>
      <c r="NHU177" s="3"/>
      <c r="NHV177" s="3"/>
      <c r="NHW177" s="3"/>
      <c r="NHX177" s="3"/>
      <c r="NHY177" s="3"/>
      <c r="NHZ177" s="3"/>
      <c r="NIA177" s="3"/>
      <c r="NIB177" s="3"/>
      <c r="NIC177" s="3"/>
      <c r="NID177" s="3"/>
      <c r="NIE177" s="3"/>
      <c r="NIF177" s="3"/>
      <c r="NIG177" s="3"/>
      <c r="NIH177" s="3"/>
      <c r="NII177" s="3"/>
      <c r="NIJ177" s="3"/>
      <c r="NIK177" s="3"/>
      <c r="NIL177" s="3"/>
      <c r="NIM177" s="3"/>
      <c r="NIN177" s="3"/>
      <c r="NIO177" s="3"/>
      <c r="NIP177" s="3"/>
      <c r="NIQ177" s="3"/>
      <c r="NIR177" s="3"/>
      <c r="NIS177" s="3"/>
      <c r="NIT177" s="3"/>
      <c r="NIU177" s="3"/>
      <c r="NIV177" s="3"/>
      <c r="NIW177" s="3"/>
      <c r="NIX177" s="3"/>
      <c r="NIY177" s="3"/>
      <c r="NIZ177" s="3"/>
      <c r="NJA177" s="3"/>
      <c r="NJB177" s="3"/>
      <c r="NJC177" s="3"/>
      <c r="NJD177" s="3"/>
      <c r="NJE177" s="3"/>
      <c r="NJF177" s="3"/>
      <c r="NJG177" s="3"/>
      <c r="NJH177" s="3"/>
      <c r="NJI177" s="3"/>
      <c r="NJJ177" s="3"/>
      <c r="NJK177" s="3"/>
      <c r="NJL177" s="3"/>
      <c r="NJM177" s="3"/>
      <c r="NJN177" s="3"/>
      <c r="NJO177" s="3"/>
      <c r="NJP177" s="3"/>
      <c r="NJQ177" s="3"/>
      <c r="NJR177" s="3"/>
      <c r="NJS177" s="3"/>
      <c r="NJT177" s="3"/>
      <c r="NJU177" s="3"/>
      <c r="NJV177" s="3"/>
      <c r="NJW177" s="3"/>
      <c r="NJX177" s="3"/>
      <c r="NJY177" s="3"/>
      <c r="NJZ177" s="3"/>
      <c r="NKA177" s="3"/>
      <c r="NKB177" s="3"/>
      <c r="NKC177" s="3"/>
      <c r="NKD177" s="3"/>
      <c r="NKE177" s="3"/>
      <c r="NKF177" s="3"/>
      <c r="NKG177" s="3"/>
      <c r="NKH177" s="3"/>
      <c r="NKI177" s="3"/>
      <c r="NKJ177" s="3"/>
      <c r="NKK177" s="3"/>
      <c r="NKL177" s="3"/>
      <c r="NKM177" s="3"/>
      <c r="NKN177" s="3"/>
      <c r="NKO177" s="3"/>
      <c r="NKP177" s="3"/>
      <c r="NKQ177" s="3"/>
      <c r="NKR177" s="3"/>
      <c r="NKS177" s="3"/>
      <c r="NKT177" s="3"/>
      <c r="NKU177" s="3"/>
      <c r="NKV177" s="3"/>
      <c r="NKW177" s="3"/>
      <c r="NKX177" s="3"/>
      <c r="NKY177" s="3"/>
      <c r="NKZ177" s="3"/>
      <c r="NLA177" s="3"/>
      <c r="NLB177" s="3"/>
      <c r="NLC177" s="3"/>
      <c r="NLD177" s="3"/>
      <c r="NLE177" s="3"/>
      <c r="NLF177" s="3"/>
      <c r="NLG177" s="3"/>
      <c r="NLH177" s="3"/>
      <c r="NLI177" s="3"/>
      <c r="NLJ177" s="3"/>
      <c r="NLK177" s="3"/>
      <c r="NLL177" s="3"/>
      <c r="NLM177" s="3"/>
      <c r="NLN177" s="3"/>
      <c r="NLO177" s="3"/>
      <c r="NLP177" s="3"/>
      <c r="NLQ177" s="3"/>
      <c r="NLR177" s="3"/>
      <c r="NLS177" s="3"/>
      <c r="NLT177" s="3"/>
      <c r="NLU177" s="3"/>
      <c r="NLV177" s="3"/>
      <c r="NLW177" s="3"/>
      <c r="NLX177" s="3"/>
      <c r="NLY177" s="3"/>
      <c r="NLZ177" s="3"/>
      <c r="NMA177" s="3"/>
      <c r="NMB177" s="3"/>
      <c r="NMC177" s="3"/>
      <c r="NMD177" s="3"/>
      <c r="NME177" s="3"/>
      <c r="NMF177" s="3"/>
      <c r="NMG177" s="3"/>
      <c r="NMH177" s="3"/>
      <c r="NMI177" s="3"/>
      <c r="NMJ177" s="3"/>
      <c r="NMK177" s="3"/>
      <c r="NML177" s="3"/>
      <c r="NMM177" s="3"/>
      <c r="NMN177" s="3"/>
      <c r="NMO177" s="3"/>
      <c r="NMP177" s="3"/>
      <c r="NMQ177" s="3"/>
      <c r="NMR177" s="3"/>
      <c r="NMS177" s="3"/>
      <c r="NMT177" s="3"/>
      <c r="NMU177" s="3"/>
      <c r="NMV177" s="3"/>
      <c r="NMW177" s="3"/>
      <c r="NMX177" s="3"/>
      <c r="NMY177" s="3"/>
      <c r="NMZ177" s="3"/>
      <c r="NNA177" s="3"/>
      <c r="NNB177" s="3"/>
      <c r="NNC177" s="3"/>
      <c r="NND177" s="3"/>
      <c r="NNE177" s="3"/>
      <c r="NNF177" s="3"/>
      <c r="NNG177" s="3"/>
      <c r="NNH177" s="3"/>
      <c r="NNI177" s="3"/>
      <c r="NNJ177" s="3"/>
      <c r="NNK177" s="3"/>
      <c r="NNL177" s="3"/>
      <c r="NNM177" s="3"/>
      <c r="NNN177" s="3"/>
      <c r="NNO177" s="3"/>
      <c r="NNP177" s="3"/>
      <c r="NNQ177" s="3"/>
      <c r="NNR177" s="3"/>
      <c r="NNS177" s="3"/>
      <c r="NNT177" s="3"/>
      <c r="NNU177" s="3"/>
      <c r="NNV177" s="3"/>
      <c r="NNW177" s="3"/>
      <c r="NNX177" s="3"/>
      <c r="NNY177" s="3"/>
      <c r="NNZ177" s="3"/>
      <c r="NOA177" s="3"/>
      <c r="NOB177" s="3"/>
      <c r="NOC177" s="3"/>
      <c r="NOD177" s="3"/>
      <c r="NOE177" s="3"/>
      <c r="NOF177" s="3"/>
      <c r="NOG177" s="3"/>
      <c r="NOH177" s="3"/>
      <c r="NOI177" s="3"/>
      <c r="NOJ177" s="3"/>
      <c r="NOK177" s="3"/>
      <c r="NOL177" s="3"/>
      <c r="NOM177" s="3"/>
      <c r="NON177" s="3"/>
      <c r="NOO177" s="3"/>
      <c r="NOP177" s="3"/>
      <c r="NOQ177" s="3"/>
      <c r="NOR177" s="3"/>
      <c r="NOS177" s="3"/>
      <c r="NOT177" s="3"/>
      <c r="NOU177" s="3"/>
      <c r="NOV177" s="3"/>
      <c r="NOW177" s="3"/>
      <c r="NOX177" s="3"/>
      <c r="NOY177" s="3"/>
      <c r="NOZ177" s="3"/>
      <c r="NPA177" s="3"/>
      <c r="NPB177" s="3"/>
      <c r="NPC177" s="3"/>
      <c r="NPD177" s="3"/>
      <c r="NPE177" s="3"/>
      <c r="NPF177" s="3"/>
      <c r="NPG177" s="3"/>
      <c r="NPH177" s="3"/>
      <c r="NPI177" s="3"/>
      <c r="NPJ177" s="3"/>
      <c r="NPK177" s="3"/>
      <c r="NPL177" s="3"/>
      <c r="NPM177" s="3"/>
      <c r="NPN177" s="3"/>
      <c r="NPO177" s="3"/>
      <c r="NPP177" s="3"/>
      <c r="NPQ177" s="3"/>
      <c r="NPR177" s="3"/>
      <c r="NPS177" s="3"/>
      <c r="NPT177" s="3"/>
      <c r="NPU177" s="3"/>
      <c r="NPV177" s="3"/>
      <c r="NPW177" s="3"/>
      <c r="NPX177" s="3"/>
      <c r="NPY177" s="3"/>
      <c r="NPZ177" s="3"/>
      <c r="NQA177" s="3"/>
      <c r="NQB177" s="3"/>
      <c r="NQC177" s="3"/>
      <c r="NQD177" s="3"/>
      <c r="NQE177" s="3"/>
      <c r="NQF177" s="3"/>
      <c r="NQG177" s="3"/>
      <c r="NQH177" s="3"/>
      <c r="NQI177" s="3"/>
      <c r="NQJ177" s="3"/>
      <c r="NQK177" s="3"/>
      <c r="NQL177" s="3"/>
      <c r="NQM177" s="3"/>
      <c r="NQN177" s="3"/>
      <c r="NQO177" s="3"/>
      <c r="NQP177" s="3"/>
      <c r="NQQ177" s="3"/>
      <c r="NQR177" s="3"/>
      <c r="NQS177" s="3"/>
      <c r="NQT177" s="3"/>
      <c r="NQU177" s="3"/>
      <c r="NQV177" s="3"/>
      <c r="NQW177" s="3"/>
      <c r="NQX177" s="3"/>
      <c r="NQY177" s="3"/>
      <c r="NQZ177" s="3"/>
      <c r="NRA177" s="3"/>
      <c r="NRB177" s="3"/>
      <c r="NRC177" s="3"/>
      <c r="NRD177" s="3"/>
      <c r="NRE177" s="3"/>
      <c r="NRF177" s="3"/>
      <c r="NRG177" s="3"/>
      <c r="NRH177" s="3"/>
      <c r="NRI177" s="3"/>
      <c r="NRJ177" s="3"/>
      <c r="NRK177" s="3"/>
      <c r="NRL177" s="3"/>
      <c r="NRM177" s="3"/>
      <c r="NRN177" s="3"/>
      <c r="NRO177" s="3"/>
      <c r="NRP177" s="3"/>
      <c r="NRQ177" s="3"/>
      <c r="NRR177" s="3"/>
      <c r="NRS177" s="3"/>
      <c r="NRT177" s="3"/>
      <c r="NRU177" s="3"/>
      <c r="NRV177" s="3"/>
      <c r="NRW177" s="3"/>
      <c r="NRX177" s="3"/>
      <c r="NRY177" s="3"/>
      <c r="NRZ177" s="3"/>
      <c r="NSA177" s="3"/>
      <c r="NSB177" s="3"/>
      <c r="NSC177" s="3"/>
      <c r="NSD177" s="3"/>
      <c r="NSE177" s="3"/>
      <c r="NSF177" s="3"/>
      <c r="NSG177" s="3"/>
      <c r="NSH177" s="3"/>
      <c r="NSI177" s="3"/>
      <c r="NSJ177" s="3"/>
      <c r="NSK177" s="3"/>
      <c r="NSL177" s="3"/>
      <c r="NSM177" s="3"/>
      <c r="NSN177" s="3"/>
      <c r="NSO177" s="3"/>
      <c r="NSP177" s="3"/>
      <c r="NSQ177" s="3"/>
      <c r="NSR177" s="3"/>
      <c r="NSS177" s="3"/>
      <c r="NST177" s="3"/>
      <c r="NSU177" s="3"/>
      <c r="NSV177" s="3"/>
      <c r="NSW177" s="3"/>
      <c r="NSX177" s="3"/>
      <c r="NSY177" s="3"/>
      <c r="NSZ177" s="3"/>
      <c r="NTA177" s="3"/>
      <c r="NTB177" s="3"/>
      <c r="NTC177" s="3"/>
      <c r="NTD177" s="3"/>
      <c r="NTE177" s="3"/>
      <c r="NTF177" s="3"/>
      <c r="NTG177" s="3"/>
      <c r="NTH177" s="3"/>
      <c r="NTI177" s="3"/>
      <c r="NTJ177" s="3"/>
      <c r="NTK177" s="3"/>
      <c r="NTL177" s="3"/>
      <c r="NTM177" s="3"/>
      <c r="NTN177" s="3"/>
      <c r="NTO177" s="3"/>
      <c r="NTP177" s="3"/>
      <c r="NTQ177" s="3"/>
      <c r="NTR177" s="3"/>
      <c r="NTS177" s="3"/>
      <c r="NTT177" s="3"/>
      <c r="NTU177" s="3"/>
      <c r="NTV177" s="3"/>
      <c r="NTW177" s="3"/>
      <c r="NTX177" s="3"/>
      <c r="NTY177" s="3"/>
      <c r="NTZ177" s="3"/>
      <c r="NUA177" s="3"/>
      <c r="NUB177" s="3"/>
      <c r="NUC177" s="3"/>
      <c r="NUD177" s="3"/>
      <c r="NUE177" s="3"/>
      <c r="NUF177" s="3"/>
      <c r="NUG177" s="3"/>
      <c r="NUH177" s="3"/>
      <c r="NUI177" s="3"/>
      <c r="NUJ177" s="3"/>
      <c r="NUK177" s="3"/>
      <c r="NUL177" s="3"/>
      <c r="NUM177" s="3"/>
      <c r="NUN177" s="3"/>
      <c r="NUO177" s="3"/>
      <c r="NUP177" s="3"/>
      <c r="NUQ177" s="3"/>
      <c r="NUR177" s="3"/>
      <c r="NUS177" s="3"/>
      <c r="NUT177" s="3"/>
      <c r="NUU177" s="3"/>
      <c r="NUV177" s="3"/>
      <c r="NUW177" s="3"/>
      <c r="NUX177" s="3"/>
      <c r="NUY177" s="3"/>
      <c r="NUZ177" s="3"/>
      <c r="NVA177" s="3"/>
      <c r="NVB177" s="3"/>
      <c r="NVC177" s="3"/>
      <c r="NVD177" s="3"/>
      <c r="NVE177" s="3"/>
      <c r="NVF177" s="3"/>
      <c r="NVG177" s="3"/>
      <c r="NVH177" s="3"/>
      <c r="NVI177" s="3"/>
      <c r="NVJ177" s="3"/>
      <c r="NVK177" s="3"/>
      <c r="NVL177" s="3"/>
      <c r="NVM177" s="3"/>
      <c r="NVN177" s="3"/>
      <c r="NVO177" s="3"/>
      <c r="NVP177" s="3"/>
      <c r="NVQ177" s="3"/>
      <c r="NVR177" s="3"/>
      <c r="NVS177" s="3"/>
      <c r="NVT177" s="3"/>
      <c r="NVU177" s="3"/>
      <c r="NVV177" s="3"/>
      <c r="NVW177" s="3"/>
      <c r="NVX177" s="3"/>
      <c r="NVY177" s="3"/>
      <c r="NVZ177" s="3"/>
      <c r="NWA177" s="3"/>
      <c r="NWB177" s="3"/>
      <c r="NWC177" s="3"/>
      <c r="NWD177" s="3"/>
      <c r="NWE177" s="3"/>
      <c r="NWF177" s="3"/>
      <c r="NWG177" s="3"/>
      <c r="NWH177" s="3"/>
      <c r="NWI177" s="3"/>
      <c r="NWJ177" s="3"/>
      <c r="NWK177" s="3"/>
      <c r="NWL177" s="3"/>
      <c r="NWM177" s="3"/>
      <c r="NWN177" s="3"/>
      <c r="NWO177" s="3"/>
      <c r="NWP177" s="3"/>
      <c r="NWQ177" s="3"/>
      <c r="NWR177" s="3"/>
      <c r="NWS177" s="3"/>
      <c r="NWT177" s="3"/>
      <c r="NWU177" s="3"/>
      <c r="NWV177" s="3"/>
      <c r="NWW177" s="3"/>
      <c r="NWX177" s="3"/>
      <c r="NWY177" s="3"/>
      <c r="NWZ177" s="3"/>
      <c r="NXA177" s="3"/>
      <c r="NXB177" s="3"/>
      <c r="NXC177" s="3"/>
      <c r="NXD177" s="3"/>
      <c r="NXE177" s="3"/>
      <c r="NXF177" s="3"/>
      <c r="NXG177" s="3"/>
      <c r="NXH177" s="3"/>
      <c r="NXI177" s="3"/>
      <c r="NXJ177" s="3"/>
      <c r="NXK177" s="3"/>
      <c r="NXL177" s="3"/>
      <c r="NXM177" s="3"/>
      <c r="NXN177" s="3"/>
      <c r="NXO177" s="3"/>
      <c r="NXP177" s="3"/>
      <c r="NXQ177" s="3"/>
      <c r="NXR177" s="3"/>
      <c r="NXS177" s="3"/>
      <c r="NXT177" s="3"/>
      <c r="NXU177" s="3"/>
      <c r="NXV177" s="3"/>
      <c r="NXW177" s="3"/>
      <c r="NXX177" s="3"/>
      <c r="NXY177" s="3"/>
      <c r="NXZ177" s="3"/>
      <c r="NYA177" s="3"/>
      <c r="NYB177" s="3"/>
      <c r="NYC177" s="3"/>
      <c r="NYD177" s="3"/>
      <c r="NYE177" s="3"/>
      <c r="NYF177" s="3"/>
      <c r="NYG177" s="3"/>
      <c r="NYH177" s="3"/>
      <c r="NYI177" s="3"/>
      <c r="NYJ177" s="3"/>
      <c r="NYK177" s="3"/>
      <c r="NYL177" s="3"/>
      <c r="NYM177" s="3"/>
      <c r="NYN177" s="3"/>
      <c r="NYO177" s="3"/>
      <c r="NYP177" s="3"/>
      <c r="NYQ177" s="3"/>
      <c r="NYR177" s="3"/>
      <c r="NYS177" s="3"/>
      <c r="NYT177" s="3"/>
      <c r="NYU177" s="3"/>
      <c r="NYV177" s="3"/>
      <c r="NYW177" s="3"/>
      <c r="NYX177" s="3"/>
      <c r="NYY177" s="3"/>
      <c r="NYZ177" s="3"/>
      <c r="NZA177" s="3"/>
      <c r="NZB177" s="3"/>
      <c r="NZC177" s="3"/>
      <c r="NZD177" s="3"/>
      <c r="NZE177" s="3"/>
      <c r="NZF177" s="3"/>
      <c r="NZG177" s="3"/>
      <c r="NZH177" s="3"/>
      <c r="NZI177" s="3"/>
      <c r="NZJ177" s="3"/>
      <c r="NZK177" s="3"/>
      <c r="NZL177" s="3"/>
      <c r="NZM177" s="3"/>
      <c r="NZN177" s="3"/>
      <c r="NZO177" s="3"/>
      <c r="NZP177" s="3"/>
      <c r="NZQ177" s="3"/>
      <c r="NZR177" s="3"/>
      <c r="NZS177" s="3"/>
      <c r="NZT177" s="3"/>
      <c r="NZU177" s="3"/>
      <c r="NZV177" s="3"/>
      <c r="NZW177" s="3"/>
      <c r="NZX177" s="3"/>
      <c r="NZY177" s="3"/>
      <c r="NZZ177" s="3"/>
      <c r="OAA177" s="3"/>
      <c r="OAB177" s="3"/>
      <c r="OAC177" s="3"/>
      <c r="OAD177" s="3"/>
      <c r="OAE177" s="3"/>
      <c r="OAF177" s="3"/>
      <c r="OAG177" s="3"/>
      <c r="OAH177" s="3"/>
      <c r="OAI177" s="3"/>
      <c r="OAJ177" s="3"/>
      <c r="OAK177" s="3"/>
      <c r="OAL177" s="3"/>
      <c r="OAM177" s="3"/>
      <c r="OAN177" s="3"/>
      <c r="OAO177" s="3"/>
      <c r="OAP177" s="3"/>
      <c r="OAQ177" s="3"/>
      <c r="OAR177" s="3"/>
      <c r="OAS177" s="3"/>
      <c r="OAT177" s="3"/>
      <c r="OAU177" s="3"/>
      <c r="OAV177" s="3"/>
      <c r="OAW177" s="3"/>
      <c r="OAX177" s="3"/>
      <c r="OAY177" s="3"/>
      <c r="OAZ177" s="3"/>
      <c r="OBA177" s="3"/>
      <c r="OBB177" s="3"/>
      <c r="OBC177" s="3"/>
      <c r="OBD177" s="3"/>
      <c r="OBE177" s="3"/>
      <c r="OBF177" s="3"/>
      <c r="OBG177" s="3"/>
      <c r="OBH177" s="3"/>
      <c r="OBI177" s="3"/>
      <c r="OBJ177" s="3"/>
      <c r="OBK177" s="3"/>
      <c r="OBL177" s="3"/>
      <c r="OBM177" s="3"/>
      <c r="OBN177" s="3"/>
      <c r="OBO177" s="3"/>
      <c r="OBP177" s="3"/>
      <c r="OBQ177" s="3"/>
      <c r="OBR177" s="3"/>
      <c r="OBS177" s="3"/>
      <c r="OBT177" s="3"/>
      <c r="OBU177" s="3"/>
      <c r="OBV177" s="3"/>
      <c r="OBW177" s="3"/>
      <c r="OBX177" s="3"/>
      <c r="OBY177" s="3"/>
      <c r="OBZ177" s="3"/>
      <c r="OCA177" s="3"/>
      <c r="OCB177" s="3"/>
      <c r="OCC177" s="3"/>
      <c r="OCD177" s="3"/>
      <c r="OCE177" s="3"/>
      <c r="OCF177" s="3"/>
      <c r="OCG177" s="3"/>
      <c r="OCH177" s="3"/>
      <c r="OCI177" s="3"/>
      <c r="OCJ177" s="3"/>
      <c r="OCK177" s="3"/>
      <c r="OCL177" s="3"/>
      <c r="OCM177" s="3"/>
      <c r="OCN177" s="3"/>
      <c r="OCO177" s="3"/>
      <c r="OCP177" s="3"/>
      <c r="OCQ177" s="3"/>
      <c r="OCR177" s="3"/>
      <c r="OCS177" s="3"/>
      <c r="OCT177" s="3"/>
      <c r="OCU177" s="3"/>
      <c r="OCV177" s="3"/>
      <c r="OCW177" s="3"/>
      <c r="OCX177" s="3"/>
      <c r="OCY177" s="3"/>
      <c r="OCZ177" s="3"/>
      <c r="ODA177" s="3"/>
      <c r="ODB177" s="3"/>
      <c r="ODC177" s="3"/>
      <c r="ODD177" s="3"/>
      <c r="ODE177" s="3"/>
      <c r="ODF177" s="3"/>
      <c r="ODG177" s="3"/>
      <c r="ODH177" s="3"/>
      <c r="ODI177" s="3"/>
      <c r="ODJ177" s="3"/>
      <c r="ODK177" s="3"/>
      <c r="ODL177" s="3"/>
      <c r="ODM177" s="3"/>
      <c r="ODN177" s="3"/>
      <c r="ODO177" s="3"/>
      <c r="ODP177" s="3"/>
      <c r="ODQ177" s="3"/>
      <c r="ODR177" s="3"/>
      <c r="ODS177" s="3"/>
      <c r="ODT177" s="3"/>
      <c r="ODU177" s="3"/>
      <c r="ODV177" s="3"/>
      <c r="ODW177" s="3"/>
      <c r="ODX177" s="3"/>
      <c r="ODY177" s="3"/>
      <c r="ODZ177" s="3"/>
      <c r="OEA177" s="3"/>
      <c r="OEB177" s="3"/>
      <c r="OEC177" s="3"/>
      <c r="OED177" s="3"/>
      <c r="OEE177" s="3"/>
      <c r="OEF177" s="3"/>
      <c r="OEG177" s="3"/>
      <c r="OEH177" s="3"/>
      <c r="OEI177" s="3"/>
      <c r="OEJ177" s="3"/>
      <c r="OEK177" s="3"/>
      <c r="OEL177" s="3"/>
      <c r="OEM177" s="3"/>
      <c r="OEN177" s="3"/>
      <c r="OEO177" s="3"/>
      <c r="OEP177" s="3"/>
      <c r="OEQ177" s="3"/>
      <c r="OER177" s="3"/>
      <c r="OES177" s="3"/>
      <c r="OET177" s="3"/>
      <c r="OEU177" s="3"/>
      <c r="OEV177" s="3"/>
      <c r="OEW177" s="3"/>
      <c r="OEX177" s="3"/>
      <c r="OEY177" s="3"/>
      <c r="OEZ177" s="3"/>
      <c r="OFA177" s="3"/>
      <c r="OFB177" s="3"/>
      <c r="OFC177" s="3"/>
      <c r="OFD177" s="3"/>
      <c r="OFE177" s="3"/>
      <c r="OFF177" s="3"/>
      <c r="OFG177" s="3"/>
      <c r="OFH177" s="3"/>
      <c r="OFI177" s="3"/>
      <c r="OFJ177" s="3"/>
      <c r="OFK177" s="3"/>
      <c r="OFL177" s="3"/>
      <c r="OFM177" s="3"/>
      <c r="OFN177" s="3"/>
      <c r="OFO177" s="3"/>
      <c r="OFP177" s="3"/>
      <c r="OFQ177" s="3"/>
      <c r="OFR177" s="3"/>
      <c r="OFS177" s="3"/>
      <c r="OFT177" s="3"/>
      <c r="OFU177" s="3"/>
      <c r="OFV177" s="3"/>
      <c r="OFW177" s="3"/>
      <c r="OFX177" s="3"/>
      <c r="OFY177" s="3"/>
      <c r="OFZ177" s="3"/>
      <c r="OGA177" s="3"/>
      <c r="OGB177" s="3"/>
      <c r="OGC177" s="3"/>
      <c r="OGD177" s="3"/>
      <c r="OGE177" s="3"/>
      <c r="OGF177" s="3"/>
      <c r="OGG177" s="3"/>
      <c r="OGH177" s="3"/>
      <c r="OGI177" s="3"/>
      <c r="OGJ177" s="3"/>
      <c r="OGK177" s="3"/>
      <c r="OGL177" s="3"/>
      <c r="OGM177" s="3"/>
      <c r="OGN177" s="3"/>
      <c r="OGO177" s="3"/>
      <c r="OGP177" s="3"/>
      <c r="OGQ177" s="3"/>
      <c r="OGR177" s="3"/>
      <c r="OGS177" s="3"/>
      <c r="OGT177" s="3"/>
      <c r="OGU177" s="3"/>
      <c r="OGV177" s="3"/>
      <c r="OGW177" s="3"/>
      <c r="OGX177" s="3"/>
      <c r="OGY177" s="3"/>
      <c r="OGZ177" s="3"/>
      <c r="OHA177" s="3"/>
      <c r="OHB177" s="3"/>
      <c r="OHC177" s="3"/>
      <c r="OHD177" s="3"/>
      <c r="OHE177" s="3"/>
      <c r="OHF177" s="3"/>
      <c r="OHG177" s="3"/>
      <c r="OHH177" s="3"/>
      <c r="OHI177" s="3"/>
      <c r="OHJ177" s="3"/>
      <c r="OHK177" s="3"/>
      <c r="OHL177" s="3"/>
      <c r="OHM177" s="3"/>
      <c r="OHN177" s="3"/>
      <c r="OHO177" s="3"/>
      <c r="OHP177" s="3"/>
      <c r="OHQ177" s="3"/>
      <c r="OHR177" s="3"/>
      <c r="OHS177" s="3"/>
      <c r="OHT177" s="3"/>
      <c r="OHU177" s="3"/>
      <c r="OHV177" s="3"/>
      <c r="OHW177" s="3"/>
      <c r="OHX177" s="3"/>
      <c r="OHY177" s="3"/>
      <c r="OHZ177" s="3"/>
      <c r="OIA177" s="3"/>
      <c r="OIB177" s="3"/>
      <c r="OIC177" s="3"/>
      <c r="OID177" s="3"/>
      <c r="OIE177" s="3"/>
      <c r="OIF177" s="3"/>
      <c r="OIG177" s="3"/>
      <c r="OIH177" s="3"/>
      <c r="OII177" s="3"/>
      <c r="OIJ177" s="3"/>
      <c r="OIK177" s="3"/>
      <c r="OIL177" s="3"/>
      <c r="OIM177" s="3"/>
      <c r="OIN177" s="3"/>
      <c r="OIO177" s="3"/>
      <c r="OIP177" s="3"/>
      <c r="OIQ177" s="3"/>
      <c r="OIR177" s="3"/>
      <c r="OIS177" s="3"/>
      <c r="OIT177" s="3"/>
      <c r="OIU177" s="3"/>
      <c r="OIV177" s="3"/>
      <c r="OIW177" s="3"/>
      <c r="OIX177" s="3"/>
      <c r="OIY177" s="3"/>
      <c r="OIZ177" s="3"/>
      <c r="OJA177" s="3"/>
      <c r="OJB177" s="3"/>
      <c r="OJC177" s="3"/>
      <c r="OJD177" s="3"/>
      <c r="OJE177" s="3"/>
      <c r="OJF177" s="3"/>
      <c r="OJG177" s="3"/>
      <c r="OJH177" s="3"/>
      <c r="OJI177" s="3"/>
      <c r="OJJ177" s="3"/>
      <c r="OJK177" s="3"/>
      <c r="OJL177" s="3"/>
      <c r="OJM177" s="3"/>
      <c r="OJN177" s="3"/>
      <c r="OJO177" s="3"/>
      <c r="OJP177" s="3"/>
      <c r="OJQ177" s="3"/>
      <c r="OJR177" s="3"/>
      <c r="OJS177" s="3"/>
      <c r="OJT177" s="3"/>
      <c r="OJU177" s="3"/>
      <c r="OJV177" s="3"/>
      <c r="OJW177" s="3"/>
      <c r="OJX177" s="3"/>
      <c r="OJY177" s="3"/>
      <c r="OJZ177" s="3"/>
      <c r="OKA177" s="3"/>
      <c r="OKB177" s="3"/>
      <c r="OKC177" s="3"/>
      <c r="OKD177" s="3"/>
      <c r="OKE177" s="3"/>
      <c r="OKF177" s="3"/>
      <c r="OKG177" s="3"/>
      <c r="OKH177" s="3"/>
      <c r="OKI177" s="3"/>
      <c r="OKJ177" s="3"/>
      <c r="OKK177" s="3"/>
      <c r="OKL177" s="3"/>
      <c r="OKM177" s="3"/>
      <c r="OKN177" s="3"/>
      <c r="OKO177" s="3"/>
      <c r="OKP177" s="3"/>
      <c r="OKQ177" s="3"/>
      <c r="OKR177" s="3"/>
      <c r="OKS177" s="3"/>
      <c r="OKT177" s="3"/>
      <c r="OKU177" s="3"/>
      <c r="OKV177" s="3"/>
      <c r="OKW177" s="3"/>
      <c r="OKX177" s="3"/>
      <c r="OKY177" s="3"/>
      <c r="OKZ177" s="3"/>
      <c r="OLA177" s="3"/>
      <c r="OLB177" s="3"/>
      <c r="OLC177" s="3"/>
      <c r="OLD177" s="3"/>
      <c r="OLE177" s="3"/>
      <c r="OLF177" s="3"/>
      <c r="OLG177" s="3"/>
      <c r="OLH177" s="3"/>
      <c r="OLI177" s="3"/>
      <c r="OLJ177" s="3"/>
      <c r="OLK177" s="3"/>
      <c r="OLL177" s="3"/>
      <c r="OLM177" s="3"/>
      <c r="OLN177" s="3"/>
      <c r="OLO177" s="3"/>
      <c r="OLP177" s="3"/>
      <c r="OLQ177" s="3"/>
      <c r="OLR177" s="3"/>
      <c r="OLS177" s="3"/>
      <c r="OLT177" s="3"/>
      <c r="OLU177" s="3"/>
      <c r="OLV177" s="3"/>
      <c r="OLW177" s="3"/>
      <c r="OLX177" s="3"/>
      <c r="OLY177" s="3"/>
      <c r="OLZ177" s="3"/>
      <c r="OMA177" s="3"/>
      <c r="OMB177" s="3"/>
      <c r="OMC177" s="3"/>
      <c r="OMD177" s="3"/>
      <c r="OME177" s="3"/>
      <c r="OMF177" s="3"/>
      <c r="OMG177" s="3"/>
      <c r="OMH177" s="3"/>
      <c r="OMI177" s="3"/>
      <c r="OMJ177" s="3"/>
      <c r="OMK177" s="3"/>
      <c r="OML177" s="3"/>
      <c r="OMM177" s="3"/>
      <c r="OMN177" s="3"/>
      <c r="OMO177" s="3"/>
      <c r="OMP177" s="3"/>
      <c r="OMQ177" s="3"/>
      <c r="OMR177" s="3"/>
      <c r="OMS177" s="3"/>
      <c r="OMT177" s="3"/>
      <c r="OMU177" s="3"/>
      <c r="OMV177" s="3"/>
      <c r="OMW177" s="3"/>
      <c r="OMX177" s="3"/>
      <c r="OMY177" s="3"/>
      <c r="OMZ177" s="3"/>
      <c r="ONA177" s="3"/>
      <c r="ONB177" s="3"/>
      <c r="ONC177" s="3"/>
      <c r="OND177" s="3"/>
      <c r="ONE177" s="3"/>
      <c r="ONF177" s="3"/>
      <c r="ONG177" s="3"/>
      <c r="ONH177" s="3"/>
      <c r="ONI177" s="3"/>
      <c r="ONJ177" s="3"/>
      <c r="ONK177" s="3"/>
      <c r="ONL177" s="3"/>
      <c r="ONM177" s="3"/>
      <c r="ONN177" s="3"/>
      <c r="ONO177" s="3"/>
      <c r="ONP177" s="3"/>
      <c r="ONQ177" s="3"/>
      <c r="ONR177" s="3"/>
      <c r="ONS177" s="3"/>
      <c r="ONT177" s="3"/>
      <c r="ONU177" s="3"/>
      <c r="ONV177" s="3"/>
      <c r="ONW177" s="3"/>
      <c r="ONX177" s="3"/>
      <c r="ONY177" s="3"/>
      <c r="ONZ177" s="3"/>
      <c r="OOA177" s="3"/>
      <c r="OOB177" s="3"/>
      <c r="OOC177" s="3"/>
      <c r="OOD177" s="3"/>
      <c r="OOE177" s="3"/>
      <c r="OOF177" s="3"/>
      <c r="OOG177" s="3"/>
      <c r="OOH177" s="3"/>
      <c r="OOI177" s="3"/>
      <c r="OOJ177" s="3"/>
      <c r="OOK177" s="3"/>
      <c r="OOL177" s="3"/>
      <c r="OOM177" s="3"/>
      <c r="OON177" s="3"/>
      <c r="OOO177" s="3"/>
      <c r="OOP177" s="3"/>
      <c r="OOQ177" s="3"/>
      <c r="OOR177" s="3"/>
      <c r="OOS177" s="3"/>
      <c r="OOT177" s="3"/>
      <c r="OOU177" s="3"/>
      <c r="OOV177" s="3"/>
      <c r="OOW177" s="3"/>
      <c r="OOX177" s="3"/>
      <c r="OOY177" s="3"/>
      <c r="OOZ177" s="3"/>
      <c r="OPA177" s="3"/>
      <c r="OPB177" s="3"/>
      <c r="OPC177" s="3"/>
      <c r="OPD177" s="3"/>
      <c r="OPE177" s="3"/>
      <c r="OPF177" s="3"/>
      <c r="OPG177" s="3"/>
      <c r="OPH177" s="3"/>
      <c r="OPI177" s="3"/>
      <c r="OPJ177" s="3"/>
      <c r="OPK177" s="3"/>
      <c r="OPL177" s="3"/>
      <c r="OPM177" s="3"/>
      <c r="OPN177" s="3"/>
      <c r="OPO177" s="3"/>
      <c r="OPP177" s="3"/>
      <c r="OPQ177" s="3"/>
      <c r="OPR177" s="3"/>
      <c r="OPS177" s="3"/>
      <c r="OPT177" s="3"/>
      <c r="OPU177" s="3"/>
      <c r="OPV177" s="3"/>
      <c r="OPW177" s="3"/>
      <c r="OPX177" s="3"/>
      <c r="OPY177" s="3"/>
      <c r="OPZ177" s="3"/>
      <c r="OQA177" s="3"/>
      <c r="OQB177" s="3"/>
      <c r="OQC177" s="3"/>
      <c r="OQD177" s="3"/>
      <c r="OQE177" s="3"/>
      <c r="OQF177" s="3"/>
      <c r="OQG177" s="3"/>
      <c r="OQH177" s="3"/>
      <c r="OQI177" s="3"/>
      <c r="OQJ177" s="3"/>
      <c r="OQK177" s="3"/>
      <c r="OQL177" s="3"/>
      <c r="OQM177" s="3"/>
      <c r="OQN177" s="3"/>
      <c r="OQO177" s="3"/>
      <c r="OQP177" s="3"/>
      <c r="OQQ177" s="3"/>
      <c r="OQR177" s="3"/>
      <c r="OQS177" s="3"/>
      <c r="OQT177" s="3"/>
      <c r="OQU177" s="3"/>
      <c r="OQV177" s="3"/>
      <c r="OQW177" s="3"/>
      <c r="OQX177" s="3"/>
      <c r="OQY177" s="3"/>
      <c r="OQZ177" s="3"/>
      <c r="ORA177" s="3"/>
      <c r="ORB177" s="3"/>
      <c r="ORC177" s="3"/>
      <c r="ORD177" s="3"/>
      <c r="ORE177" s="3"/>
      <c r="ORF177" s="3"/>
      <c r="ORG177" s="3"/>
      <c r="ORH177" s="3"/>
      <c r="ORI177" s="3"/>
      <c r="ORJ177" s="3"/>
      <c r="ORK177" s="3"/>
      <c r="ORL177" s="3"/>
      <c r="ORM177" s="3"/>
      <c r="ORN177" s="3"/>
      <c r="ORO177" s="3"/>
      <c r="ORP177" s="3"/>
      <c r="ORQ177" s="3"/>
      <c r="ORR177" s="3"/>
      <c r="ORS177" s="3"/>
      <c r="ORT177" s="3"/>
      <c r="ORU177" s="3"/>
      <c r="ORV177" s="3"/>
      <c r="ORW177" s="3"/>
      <c r="ORX177" s="3"/>
      <c r="ORY177" s="3"/>
      <c r="ORZ177" s="3"/>
      <c r="OSA177" s="3"/>
      <c r="OSB177" s="3"/>
      <c r="OSC177" s="3"/>
      <c r="OSD177" s="3"/>
      <c r="OSE177" s="3"/>
      <c r="OSF177" s="3"/>
      <c r="OSG177" s="3"/>
      <c r="OSH177" s="3"/>
      <c r="OSI177" s="3"/>
      <c r="OSJ177" s="3"/>
      <c r="OSK177" s="3"/>
      <c r="OSL177" s="3"/>
      <c r="OSM177" s="3"/>
      <c r="OSN177" s="3"/>
      <c r="OSO177" s="3"/>
      <c r="OSP177" s="3"/>
      <c r="OSQ177" s="3"/>
      <c r="OSR177" s="3"/>
      <c r="OSS177" s="3"/>
      <c r="OST177" s="3"/>
      <c r="OSU177" s="3"/>
      <c r="OSV177" s="3"/>
      <c r="OSW177" s="3"/>
      <c r="OSX177" s="3"/>
      <c r="OSY177" s="3"/>
      <c r="OSZ177" s="3"/>
      <c r="OTA177" s="3"/>
      <c r="OTB177" s="3"/>
      <c r="OTC177" s="3"/>
      <c r="OTD177" s="3"/>
      <c r="OTE177" s="3"/>
      <c r="OTF177" s="3"/>
      <c r="OTG177" s="3"/>
      <c r="OTH177" s="3"/>
      <c r="OTI177" s="3"/>
      <c r="OTJ177" s="3"/>
      <c r="OTK177" s="3"/>
      <c r="OTL177" s="3"/>
      <c r="OTM177" s="3"/>
      <c r="OTN177" s="3"/>
      <c r="OTO177" s="3"/>
      <c r="OTP177" s="3"/>
      <c r="OTQ177" s="3"/>
      <c r="OTR177" s="3"/>
      <c r="OTS177" s="3"/>
      <c r="OTT177" s="3"/>
      <c r="OTU177" s="3"/>
      <c r="OTV177" s="3"/>
      <c r="OTW177" s="3"/>
      <c r="OTX177" s="3"/>
      <c r="OTY177" s="3"/>
      <c r="OTZ177" s="3"/>
      <c r="OUA177" s="3"/>
      <c r="OUB177" s="3"/>
      <c r="OUC177" s="3"/>
      <c r="OUD177" s="3"/>
      <c r="OUE177" s="3"/>
      <c r="OUF177" s="3"/>
      <c r="OUG177" s="3"/>
      <c r="OUH177" s="3"/>
      <c r="OUI177" s="3"/>
      <c r="OUJ177" s="3"/>
      <c r="OUK177" s="3"/>
      <c r="OUL177" s="3"/>
      <c r="OUM177" s="3"/>
      <c r="OUN177" s="3"/>
      <c r="OUO177" s="3"/>
      <c r="OUP177" s="3"/>
      <c r="OUQ177" s="3"/>
      <c r="OUR177" s="3"/>
      <c r="OUS177" s="3"/>
      <c r="OUT177" s="3"/>
      <c r="OUU177" s="3"/>
      <c r="OUV177" s="3"/>
      <c r="OUW177" s="3"/>
      <c r="OUX177" s="3"/>
      <c r="OUY177" s="3"/>
      <c r="OUZ177" s="3"/>
      <c r="OVA177" s="3"/>
      <c r="OVB177" s="3"/>
      <c r="OVC177" s="3"/>
      <c r="OVD177" s="3"/>
      <c r="OVE177" s="3"/>
      <c r="OVF177" s="3"/>
      <c r="OVG177" s="3"/>
      <c r="OVH177" s="3"/>
      <c r="OVI177" s="3"/>
      <c r="OVJ177" s="3"/>
      <c r="OVK177" s="3"/>
      <c r="OVL177" s="3"/>
      <c r="OVM177" s="3"/>
      <c r="OVN177" s="3"/>
      <c r="OVO177" s="3"/>
      <c r="OVP177" s="3"/>
      <c r="OVQ177" s="3"/>
      <c r="OVR177" s="3"/>
      <c r="OVS177" s="3"/>
      <c r="OVT177" s="3"/>
      <c r="OVU177" s="3"/>
      <c r="OVV177" s="3"/>
      <c r="OVW177" s="3"/>
      <c r="OVX177" s="3"/>
      <c r="OVY177" s="3"/>
      <c r="OVZ177" s="3"/>
      <c r="OWA177" s="3"/>
      <c r="OWB177" s="3"/>
      <c r="OWC177" s="3"/>
      <c r="OWD177" s="3"/>
      <c r="OWE177" s="3"/>
      <c r="OWF177" s="3"/>
      <c r="OWG177" s="3"/>
      <c r="OWH177" s="3"/>
      <c r="OWI177" s="3"/>
      <c r="OWJ177" s="3"/>
      <c r="OWK177" s="3"/>
      <c r="OWL177" s="3"/>
      <c r="OWM177" s="3"/>
      <c r="OWN177" s="3"/>
      <c r="OWO177" s="3"/>
      <c r="OWP177" s="3"/>
      <c r="OWQ177" s="3"/>
      <c r="OWR177" s="3"/>
      <c r="OWS177" s="3"/>
      <c r="OWT177" s="3"/>
      <c r="OWU177" s="3"/>
      <c r="OWV177" s="3"/>
      <c r="OWW177" s="3"/>
      <c r="OWX177" s="3"/>
      <c r="OWY177" s="3"/>
      <c r="OWZ177" s="3"/>
      <c r="OXA177" s="3"/>
      <c r="OXB177" s="3"/>
      <c r="OXC177" s="3"/>
      <c r="OXD177" s="3"/>
      <c r="OXE177" s="3"/>
      <c r="OXF177" s="3"/>
      <c r="OXG177" s="3"/>
      <c r="OXH177" s="3"/>
      <c r="OXI177" s="3"/>
      <c r="OXJ177" s="3"/>
      <c r="OXK177" s="3"/>
      <c r="OXL177" s="3"/>
      <c r="OXM177" s="3"/>
      <c r="OXN177" s="3"/>
      <c r="OXO177" s="3"/>
      <c r="OXP177" s="3"/>
      <c r="OXQ177" s="3"/>
      <c r="OXR177" s="3"/>
      <c r="OXS177" s="3"/>
      <c r="OXT177" s="3"/>
      <c r="OXU177" s="3"/>
      <c r="OXV177" s="3"/>
      <c r="OXW177" s="3"/>
      <c r="OXX177" s="3"/>
      <c r="OXY177" s="3"/>
      <c r="OXZ177" s="3"/>
      <c r="OYA177" s="3"/>
      <c r="OYB177" s="3"/>
      <c r="OYC177" s="3"/>
      <c r="OYD177" s="3"/>
      <c r="OYE177" s="3"/>
      <c r="OYF177" s="3"/>
      <c r="OYG177" s="3"/>
      <c r="OYH177" s="3"/>
      <c r="OYI177" s="3"/>
      <c r="OYJ177" s="3"/>
      <c r="OYK177" s="3"/>
      <c r="OYL177" s="3"/>
      <c r="OYM177" s="3"/>
      <c r="OYN177" s="3"/>
      <c r="OYO177" s="3"/>
      <c r="OYP177" s="3"/>
      <c r="OYQ177" s="3"/>
      <c r="OYR177" s="3"/>
      <c r="OYS177" s="3"/>
      <c r="OYT177" s="3"/>
      <c r="OYU177" s="3"/>
      <c r="OYV177" s="3"/>
      <c r="OYW177" s="3"/>
      <c r="OYX177" s="3"/>
      <c r="OYY177" s="3"/>
      <c r="OYZ177" s="3"/>
      <c r="OZA177" s="3"/>
      <c r="OZB177" s="3"/>
      <c r="OZC177" s="3"/>
      <c r="OZD177" s="3"/>
      <c r="OZE177" s="3"/>
      <c r="OZF177" s="3"/>
      <c r="OZG177" s="3"/>
      <c r="OZH177" s="3"/>
      <c r="OZI177" s="3"/>
      <c r="OZJ177" s="3"/>
      <c r="OZK177" s="3"/>
      <c r="OZL177" s="3"/>
      <c r="OZM177" s="3"/>
      <c r="OZN177" s="3"/>
      <c r="OZO177" s="3"/>
      <c r="OZP177" s="3"/>
      <c r="OZQ177" s="3"/>
      <c r="OZR177" s="3"/>
      <c r="OZS177" s="3"/>
      <c r="OZT177" s="3"/>
      <c r="OZU177" s="3"/>
      <c r="OZV177" s="3"/>
      <c r="OZW177" s="3"/>
      <c r="OZX177" s="3"/>
      <c r="OZY177" s="3"/>
      <c r="OZZ177" s="3"/>
      <c r="PAA177" s="3"/>
      <c r="PAB177" s="3"/>
      <c r="PAC177" s="3"/>
      <c r="PAD177" s="3"/>
      <c r="PAE177" s="3"/>
      <c r="PAF177" s="3"/>
      <c r="PAG177" s="3"/>
      <c r="PAH177" s="3"/>
      <c r="PAI177" s="3"/>
      <c r="PAJ177" s="3"/>
      <c r="PAK177" s="3"/>
      <c r="PAL177" s="3"/>
      <c r="PAM177" s="3"/>
      <c r="PAN177" s="3"/>
      <c r="PAO177" s="3"/>
      <c r="PAP177" s="3"/>
      <c r="PAQ177" s="3"/>
      <c r="PAR177" s="3"/>
      <c r="PAS177" s="3"/>
      <c r="PAT177" s="3"/>
      <c r="PAU177" s="3"/>
      <c r="PAV177" s="3"/>
      <c r="PAW177" s="3"/>
      <c r="PAX177" s="3"/>
      <c r="PAY177" s="3"/>
      <c r="PAZ177" s="3"/>
      <c r="PBA177" s="3"/>
      <c r="PBB177" s="3"/>
      <c r="PBC177" s="3"/>
      <c r="PBD177" s="3"/>
      <c r="PBE177" s="3"/>
      <c r="PBF177" s="3"/>
      <c r="PBG177" s="3"/>
      <c r="PBH177" s="3"/>
      <c r="PBI177" s="3"/>
      <c r="PBJ177" s="3"/>
      <c r="PBK177" s="3"/>
      <c r="PBL177" s="3"/>
      <c r="PBM177" s="3"/>
      <c r="PBN177" s="3"/>
      <c r="PBO177" s="3"/>
      <c r="PBP177" s="3"/>
      <c r="PBQ177" s="3"/>
      <c r="PBR177" s="3"/>
      <c r="PBS177" s="3"/>
      <c r="PBT177" s="3"/>
      <c r="PBU177" s="3"/>
      <c r="PBV177" s="3"/>
      <c r="PBW177" s="3"/>
      <c r="PBX177" s="3"/>
      <c r="PBY177" s="3"/>
      <c r="PBZ177" s="3"/>
      <c r="PCA177" s="3"/>
      <c r="PCB177" s="3"/>
      <c r="PCC177" s="3"/>
      <c r="PCD177" s="3"/>
      <c r="PCE177" s="3"/>
      <c r="PCF177" s="3"/>
      <c r="PCG177" s="3"/>
      <c r="PCH177" s="3"/>
      <c r="PCI177" s="3"/>
      <c r="PCJ177" s="3"/>
      <c r="PCK177" s="3"/>
      <c r="PCL177" s="3"/>
      <c r="PCM177" s="3"/>
      <c r="PCN177" s="3"/>
      <c r="PCO177" s="3"/>
      <c r="PCP177" s="3"/>
      <c r="PCQ177" s="3"/>
      <c r="PCR177" s="3"/>
      <c r="PCS177" s="3"/>
      <c r="PCT177" s="3"/>
      <c r="PCU177" s="3"/>
      <c r="PCV177" s="3"/>
      <c r="PCW177" s="3"/>
      <c r="PCX177" s="3"/>
      <c r="PCY177" s="3"/>
      <c r="PCZ177" s="3"/>
      <c r="PDA177" s="3"/>
      <c r="PDB177" s="3"/>
      <c r="PDC177" s="3"/>
      <c r="PDD177" s="3"/>
      <c r="PDE177" s="3"/>
      <c r="PDF177" s="3"/>
      <c r="PDG177" s="3"/>
      <c r="PDH177" s="3"/>
      <c r="PDI177" s="3"/>
      <c r="PDJ177" s="3"/>
      <c r="PDK177" s="3"/>
      <c r="PDL177" s="3"/>
      <c r="PDM177" s="3"/>
      <c r="PDN177" s="3"/>
      <c r="PDO177" s="3"/>
      <c r="PDP177" s="3"/>
      <c r="PDQ177" s="3"/>
      <c r="PDR177" s="3"/>
      <c r="PDS177" s="3"/>
      <c r="PDT177" s="3"/>
      <c r="PDU177" s="3"/>
      <c r="PDV177" s="3"/>
      <c r="PDW177" s="3"/>
      <c r="PDX177" s="3"/>
      <c r="PDY177" s="3"/>
      <c r="PDZ177" s="3"/>
      <c r="PEA177" s="3"/>
      <c r="PEB177" s="3"/>
      <c r="PEC177" s="3"/>
      <c r="PED177" s="3"/>
      <c r="PEE177" s="3"/>
      <c r="PEF177" s="3"/>
      <c r="PEG177" s="3"/>
      <c r="PEH177" s="3"/>
      <c r="PEI177" s="3"/>
      <c r="PEJ177" s="3"/>
      <c r="PEK177" s="3"/>
      <c r="PEL177" s="3"/>
      <c r="PEM177" s="3"/>
      <c r="PEN177" s="3"/>
      <c r="PEO177" s="3"/>
      <c r="PEP177" s="3"/>
      <c r="PEQ177" s="3"/>
      <c r="PER177" s="3"/>
      <c r="PES177" s="3"/>
      <c r="PET177" s="3"/>
      <c r="PEU177" s="3"/>
      <c r="PEV177" s="3"/>
      <c r="PEW177" s="3"/>
      <c r="PEX177" s="3"/>
      <c r="PEY177" s="3"/>
      <c r="PEZ177" s="3"/>
      <c r="PFA177" s="3"/>
      <c r="PFB177" s="3"/>
      <c r="PFC177" s="3"/>
      <c r="PFD177" s="3"/>
      <c r="PFE177" s="3"/>
      <c r="PFF177" s="3"/>
      <c r="PFG177" s="3"/>
      <c r="PFH177" s="3"/>
      <c r="PFI177" s="3"/>
      <c r="PFJ177" s="3"/>
      <c r="PFK177" s="3"/>
      <c r="PFL177" s="3"/>
      <c r="PFM177" s="3"/>
      <c r="PFN177" s="3"/>
      <c r="PFO177" s="3"/>
      <c r="PFP177" s="3"/>
      <c r="PFQ177" s="3"/>
      <c r="PFR177" s="3"/>
      <c r="PFS177" s="3"/>
      <c r="PFT177" s="3"/>
      <c r="PFU177" s="3"/>
      <c r="PFV177" s="3"/>
      <c r="PFW177" s="3"/>
      <c r="PFX177" s="3"/>
      <c r="PFY177" s="3"/>
      <c r="PFZ177" s="3"/>
      <c r="PGA177" s="3"/>
      <c r="PGB177" s="3"/>
      <c r="PGC177" s="3"/>
      <c r="PGD177" s="3"/>
      <c r="PGE177" s="3"/>
      <c r="PGF177" s="3"/>
      <c r="PGG177" s="3"/>
      <c r="PGH177" s="3"/>
      <c r="PGI177" s="3"/>
      <c r="PGJ177" s="3"/>
      <c r="PGK177" s="3"/>
      <c r="PGL177" s="3"/>
      <c r="PGM177" s="3"/>
      <c r="PGN177" s="3"/>
      <c r="PGO177" s="3"/>
      <c r="PGP177" s="3"/>
      <c r="PGQ177" s="3"/>
      <c r="PGR177" s="3"/>
      <c r="PGS177" s="3"/>
      <c r="PGT177" s="3"/>
      <c r="PGU177" s="3"/>
      <c r="PGV177" s="3"/>
      <c r="PGW177" s="3"/>
      <c r="PGX177" s="3"/>
      <c r="PGY177" s="3"/>
      <c r="PGZ177" s="3"/>
      <c r="PHA177" s="3"/>
      <c r="PHB177" s="3"/>
      <c r="PHC177" s="3"/>
      <c r="PHD177" s="3"/>
      <c r="PHE177" s="3"/>
      <c r="PHF177" s="3"/>
      <c r="PHG177" s="3"/>
      <c r="PHH177" s="3"/>
      <c r="PHI177" s="3"/>
      <c r="PHJ177" s="3"/>
      <c r="PHK177" s="3"/>
      <c r="PHL177" s="3"/>
      <c r="PHM177" s="3"/>
      <c r="PHN177" s="3"/>
      <c r="PHO177" s="3"/>
      <c r="PHP177" s="3"/>
      <c r="PHQ177" s="3"/>
      <c r="PHR177" s="3"/>
      <c r="PHS177" s="3"/>
      <c r="PHT177" s="3"/>
      <c r="PHU177" s="3"/>
      <c r="PHV177" s="3"/>
      <c r="PHW177" s="3"/>
      <c r="PHX177" s="3"/>
      <c r="PHY177" s="3"/>
      <c r="PHZ177" s="3"/>
      <c r="PIA177" s="3"/>
      <c r="PIB177" s="3"/>
      <c r="PIC177" s="3"/>
      <c r="PID177" s="3"/>
      <c r="PIE177" s="3"/>
      <c r="PIF177" s="3"/>
      <c r="PIG177" s="3"/>
      <c r="PIH177" s="3"/>
      <c r="PII177" s="3"/>
      <c r="PIJ177" s="3"/>
      <c r="PIK177" s="3"/>
      <c r="PIL177" s="3"/>
      <c r="PIM177" s="3"/>
      <c r="PIN177" s="3"/>
      <c r="PIO177" s="3"/>
      <c r="PIP177" s="3"/>
      <c r="PIQ177" s="3"/>
      <c r="PIR177" s="3"/>
      <c r="PIS177" s="3"/>
      <c r="PIT177" s="3"/>
      <c r="PIU177" s="3"/>
      <c r="PIV177" s="3"/>
      <c r="PIW177" s="3"/>
      <c r="PIX177" s="3"/>
      <c r="PIY177" s="3"/>
      <c r="PIZ177" s="3"/>
      <c r="PJA177" s="3"/>
      <c r="PJB177" s="3"/>
      <c r="PJC177" s="3"/>
      <c r="PJD177" s="3"/>
      <c r="PJE177" s="3"/>
      <c r="PJF177" s="3"/>
      <c r="PJG177" s="3"/>
      <c r="PJH177" s="3"/>
      <c r="PJI177" s="3"/>
      <c r="PJJ177" s="3"/>
      <c r="PJK177" s="3"/>
      <c r="PJL177" s="3"/>
      <c r="PJM177" s="3"/>
      <c r="PJN177" s="3"/>
      <c r="PJO177" s="3"/>
      <c r="PJP177" s="3"/>
      <c r="PJQ177" s="3"/>
      <c r="PJR177" s="3"/>
      <c r="PJS177" s="3"/>
      <c r="PJT177" s="3"/>
      <c r="PJU177" s="3"/>
      <c r="PJV177" s="3"/>
      <c r="PJW177" s="3"/>
      <c r="PJX177" s="3"/>
      <c r="PJY177" s="3"/>
      <c r="PJZ177" s="3"/>
      <c r="PKA177" s="3"/>
      <c r="PKB177" s="3"/>
      <c r="PKC177" s="3"/>
      <c r="PKD177" s="3"/>
      <c r="PKE177" s="3"/>
      <c r="PKF177" s="3"/>
      <c r="PKG177" s="3"/>
      <c r="PKH177" s="3"/>
      <c r="PKI177" s="3"/>
      <c r="PKJ177" s="3"/>
      <c r="PKK177" s="3"/>
      <c r="PKL177" s="3"/>
      <c r="PKM177" s="3"/>
      <c r="PKN177" s="3"/>
      <c r="PKO177" s="3"/>
      <c r="PKP177" s="3"/>
      <c r="PKQ177" s="3"/>
      <c r="PKR177" s="3"/>
      <c r="PKS177" s="3"/>
      <c r="PKT177" s="3"/>
      <c r="PKU177" s="3"/>
      <c r="PKV177" s="3"/>
      <c r="PKW177" s="3"/>
      <c r="PKX177" s="3"/>
      <c r="PKY177" s="3"/>
      <c r="PKZ177" s="3"/>
      <c r="PLA177" s="3"/>
      <c r="PLB177" s="3"/>
      <c r="PLC177" s="3"/>
      <c r="PLD177" s="3"/>
      <c r="PLE177" s="3"/>
      <c r="PLF177" s="3"/>
      <c r="PLG177" s="3"/>
      <c r="PLH177" s="3"/>
      <c r="PLI177" s="3"/>
      <c r="PLJ177" s="3"/>
      <c r="PLK177" s="3"/>
      <c r="PLL177" s="3"/>
      <c r="PLM177" s="3"/>
      <c r="PLN177" s="3"/>
      <c r="PLO177" s="3"/>
      <c r="PLP177" s="3"/>
      <c r="PLQ177" s="3"/>
      <c r="PLR177" s="3"/>
      <c r="PLS177" s="3"/>
      <c r="PLT177" s="3"/>
      <c r="PLU177" s="3"/>
      <c r="PLV177" s="3"/>
      <c r="PLW177" s="3"/>
      <c r="PLX177" s="3"/>
      <c r="PLY177" s="3"/>
      <c r="PLZ177" s="3"/>
      <c r="PMA177" s="3"/>
      <c r="PMB177" s="3"/>
      <c r="PMC177" s="3"/>
      <c r="PMD177" s="3"/>
      <c r="PME177" s="3"/>
      <c r="PMF177" s="3"/>
      <c r="PMG177" s="3"/>
      <c r="PMH177" s="3"/>
      <c r="PMI177" s="3"/>
      <c r="PMJ177" s="3"/>
      <c r="PMK177" s="3"/>
      <c r="PML177" s="3"/>
      <c r="PMM177" s="3"/>
      <c r="PMN177" s="3"/>
      <c r="PMO177" s="3"/>
      <c r="PMP177" s="3"/>
      <c r="PMQ177" s="3"/>
      <c r="PMR177" s="3"/>
      <c r="PMS177" s="3"/>
      <c r="PMT177" s="3"/>
      <c r="PMU177" s="3"/>
      <c r="PMV177" s="3"/>
      <c r="PMW177" s="3"/>
      <c r="PMX177" s="3"/>
      <c r="PMY177" s="3"/>
      <c r="PMZ177" s="3"/>
      <c r="PNA177" s="3"/>
      <c r="PNB177" s="3"/>
      <c r="PNC177" s="3"/>
      <c r="PND177" s="3"/>
      <c r="PNE177" s="3"/>
      <c r="PNF177" s="3"/>
      <c r="PNG177" s="3"/>
      <c r="PNH177" s="3"/>
      <c r="PNI177" s="3"/>
      <c r="PNJ177" s="3"/>
      <c r="PNK177" s="3"/>
      <c r="PNL177" s="3"/>
      <c r="PNM177" s="3"/>
      <c r="PNN177" s="3"/>
      <c r="PNO177" s="3"/>
      <c r="PNP177" s="3"/>
      <c r="PNQ177" s="3"/>
      <c r="PNR177" s="3"/>
      <c r="PNS177" s="3"/>
      <c r="PNT177" s="3"/>
      <c r="PNU177" s="3"/>
      <c r="PNV177" s="3"/>
      <c r="PNW177" s="3"/>
      <c r="PNX177" s="3"/>
      <c r="PNY177" s="3"/>
      <c r="PNZ177" s="3"/>
      <c r="POA177" s="3"/>
      <c r="POB177" s="3"/>
      <c r="POC177" s="3"/>
      <c r="POD177" s="3"/>
      <c r="POE177" s="3"/>
      <c r="POF177" s="3"/>
      <c r="POG177" s="3"/>
      <c r="POH177" s="3"/>
      <c r="POI177" s="3"/>
      <c r="POJ177" s="3"/>
      <c r="POK177" s="3"/>
      <c r="POL177" s="3"/>
      <c r="POM177" s="3"/>
      <c r="PON177" s="3"/>
      <c r="POO177" s="3"/>
      <c r="POP177" s="3"/>
      <c r="POQ177" s="3"/>
      <c r="POR177" s="3"/>
      <c r="POS177" s="3"/>
      <c r="POT177" s="3"/>
      <c r="POU177" s="3"/>
      <c r="POV177" s="3"/>
      <c r="POW177" s="3"/>
      <c r="POX177" s="3"/>
      <c r="POY177" s="3"/>
      <c r="POZ177" s="3"/>
      <c r="PPA177" s="3"/>
      <c r="PPB177" s="3"/>
      <c r="PPC177" s="3"/>
      <c r="PPD177" s="3"/>
      <c r="PPE177" s="3"/>
      <c r="PPF177" s="3"/>
      <c r="PPG177" s="3"/>
      <c r="PPH177" s="3"/>
      <c r="PPI177" s="3"/>
      <c r="PPJ177" s="3"/>
      <c r="PPK177" s="3"/>
      <c r="PPL177" s="3"/>
      <c r="PPM177" s="3"/>
      <c r="PPN177" s="3"/>
      <c r="PPO177" s="3"/>
      <c r="PPP177" s="3"/>
      <c r="PPQ177" s="3"/>
      <c r="PPR177" s="3"/>
      <c r="PPS177" s="3"/>
      <c r="PPT177" s="3"/>
      <c r="PPU177" s="3"/>
      <c r="PPV177" s="3"/>
      <c r="PPW177" s="3"/>
      <c r="PPX177" s="3"/>
      <c r="PPY177" s="3"/>
      <c r="PPZ177" s="3"/>
      <c r="PQA177" s="3"/>
      <c r="PQB177" s="3"/>
      <c r="PQC177" s="3"/>
      <c r="PQD177" s="3"/>
      <c r="PQE177" s="3"/>
      <c r="PQF177" s="3"/>
      <c r="PQG177" s="3"/>
      <c r="PQH177" s="3"/>
      <c r="PQI177" s="3"/>
      <c r="PQJ177" s="3"/>
      <c r="PQK177" s="3"/>
      <c r="PQL177" s="3"/>
      <c r="PQM177" s="3"/>
      <c r="PQN177" s="3"/>
      <c r="PQO177" s="3"/>
      <c r="PQP177" s="3"/>
      <c r="PQQ177" s="3"/>
      <c r="PQR177" s="3"/>
      <c r="PQS177" s="3"/>
      <c r="PQT177" s="3"/>
      <c r="PQU177" s="3"/>
      <c r="PQV177" s="3"/>
      <c r="PQW177" s="3"/>
      <c r="PQX177" s="3"/>
      <c r="PQY177" s="3"/>
      <c r="PQZ177" s="3"/>
      <c r="PRA177" s="3"/>
      <c r="PRB177" s="3"/>
      <c r="PRC177" s="3"/>
      <c r="PRD177" s="3"/>
      <c r="PRE177" s="3"/>
      <c r="PRF177" s="3"/>
      <c r="PRG177" s="3"/>
      <c r="PRH177" s="3"/>
      <c r="PRI177" s="3"/>
      <c r="PRJ177" s="3"/>
      <c r="PRK177" s="3"/>
      <c r="PRL177" s="3"/>
      <c r="PRM177" s="3"/>
      <c r="PRN177" s="3"/>
      <c r="PRO177" s="3"/>
      <c r="PRP177" s="3"/>
      <c r="PRQ177" s="3"/>
      <c r="PRR177" s="3"/>
      <c r="PRS177" s="3"/>
      <c r="PRT177" s="3"/>
      <c r="PRU177" s="3"/>
      <c r="PRV177" s="3"/>
      <c r="PRW177" s="3"/>
      <c r="PRX177" s="3"/>
      <c r="PRY177" s="3"/>
      <c r="PRZ177" s="3"/>
      <c r="PSA177" s="3"/>
      <c r="PSB177" s="3"/>
      <c r="PSC177" s="3"/>
      <c r="PSD177" s="3"/>
      <c r="PSE177" s="3"/>
      <c r="PSF177" s="3"/>
      <c r="PSG177" s="3"/>
      <c r="PSH177" s="3"/>
      <c r="PSI177" s="3"/>
      <c r="PSJ177" s="3"/>
      <c r="PSK177" s="3"/>
      <c r="PSL177" s="3"/>
      <c r="PSM177" s="3"/>
      <c r="PSN177" s="3"/>
      <c r="PSO177" s="3"/>
      <c r="PSP177" s="3"/>
      <c r="PSQ177" s="3"/>
      <c r="PSR177" s="3"/>
      <c r="PSS177" s="3"/>
      <c r="PST177" s="3"/>
      <c r="PSU177" s="3"/>
      <c r="PSV177" s="3"/>
      <c r="PSW177" s="3"/>
      <c r="PSX177" s="3"/>
      <c r="PSY177" s="3"/>
      <c r="PSZ177" s="3"/>
      <c r="PTA177" s="3"/>
      <c r="PTB177" s="3"/>
      <c r="PTC177" s="3"/>
      <c r="PTD177" s="3"/>
      <c r="PTE177" s="3"/>
      <c r="PTF177" s="3"/>
      <c r="PTG177" s="3"/>
      <c r="PTH177" s="3"/>
      <c r="PTI177" s="3"/>
      <c r="PTJ177" s="3"/>
      <c r="PTK177" s="3"/>
      <c r="PTL177" s="3"/>
      <c r="PTM177" s="3"/>
      <c r="PTN177" s="3"/>
      <c r="PTO177" s="3"/>
      <c r="PTP177" s="3"/>
      <c r="PTQ177" s="3"/>
      <c r="PTR177" s="3"/>
      <c r="PTS177" s="3"/>
      <c r="PTT177" s="3"/>
      <c r="PTU177" s="3"/>
      <c r="PTV177" s="3"/>
      <c r="PTW177" s="3"/>
      <c r="PTX177" s="3"/>
      <c r="PTY177" s="3"/>
      <c r="PTZ177" s="3"/>
      <c r="PUA177" s="3"/>
      <c r="PUB177" s="3"/>
      <c r="PUC177" s="3"/>
      <c r="PUD177" s="3"/>
      <c r="PUE177" s="3"/>
      <c r="PUF177" s="3"/>
      <c r="PUG177" s="3"/>
      <c r="PUH177" s="3"/>
      <c r="PUI177" s="3"/>
      <c r="PUJ177" s="3"/>
      <c r="PUK177" s="3"/>
      <c r="PUL177" s="3"/>
      <c r="PUM177" s="3"/>
      <c r="PUN177" s="3"/>
      <c r="PUO177" s="3"/>
      <c r="PUP177" s="3"/>
      <c r="PUQ177" s="3"/>
      <c r="PUR177" s="3"/>
      <c r="PUS177" s="3"/>
      <c r="PUT177" s="3"/>
      <c r="PUU177" s="3"/>
      <c r="PUV177" s="3"/>
      <c r="PUW177" s="3"/>
      <c r="PUX177" s="3"/>
      <c r="PUY177" s="3"/>
      <c r="PUZ177" s="3"/>
      <c r="PVA177" s="3"/>
      <c r="PVB177" s="3"/>
      <c r="PVC177" s="3"/>
      <c r="PVD177" s="3"/>
      <c r="PVE177" s="3"/>
      <c r="PVF177" s="3"/>
      <c r="PVG177" s="3"/>
      <c r="PVH177" s="3"/>
      <c r="PVI177" s="3"/>
      <c r="PVJ177" s="3"/>
      <c r="PVK177" s="3"/>
      <c r="PVL177" s="3"/>
      <c r="PVM177" s="3"/>
      <c r="PVN177" s="3"/>
      <c r="PVO177" s="3"/>
      <c r="PVP177" s="3"/>
      <c r="PVQ177" s="3"/>
      <c r="PVR177" s="3"/>
      <c r="PVS177" s="3"/>
      <c r="PVT177" s="3"/>
      <c r="PVU177" s="3"/>
      <c r="PVV177" s="3"/>
      <c r="PVW177" s="3"/>
      <c r="PVX177" s="3"/>
      <c r="PVY177" s="3"/>
      <c r="PVZ177" s="3"/>
      <c r="PWA177" s="3"/>
      <c r="PWB177" s="3"/>
      <c r="PWC177" s="3"/>
      <c r="PWD177" s="3"/>
      <c r="PWE177" s="3"/>
      <c r="PWF177" s="3"/>
      <c r="PWG177" s="3"/>
      <c r="PWH177" s="3"/>
      <c r="PWI177" s="3"/>
      <c r="PWJ177" s="3"/>
      <c r="PWK177" s="3"/>
      <c r="PWL177" s="3"/>
      <c r="PWM177" s="3"/>
      <c r="PWN177" s="3"/>
      <c r="PWO177" s="3"/>
      <c r="PWP177" s="3"/>
      <c r="PWQ177" s="3"/>
      <c r="PWR177" s="3"/>
      <c r="PWS177" s="3"/>
      <c r="PWT177" s="3"/>
      <c r="PWU177" s="3"/>
      <c r="PWV177" s="3"/>
      <c r="PWW177" s="3"/>
      <c r="PWX177" s="3"/>
      <c r="PWY177" s="3"/>
      <c r="PWZ177" s="3"/>
      <c r="PXA177" s="3"/>
      <c r="PXB177" s="3"/>
      <c r="PXC177" s="3"/>
      <c r="PXD177" s="3"/>
      <c r="PXE177" s="3"/>
      <c r="PXF177" s="3"/>
      <c r="PXG177" s="3"/>
      <c r="PXH177" s="3"/>
      <c r="PXI177" s="3"/>
      <c r="PXJ177" s="3"/>
      <c r="PXK177" s="3"/>
      <c r="PXL177" s="3"/>
      <c r="PXM177" s="3"/>
      <c r="PXN177" s="3"/>
      <c r="PXO177" s="3"/>
      <c r="PXP177" s="3"/>
      <c r="PXQ177" s="3"/>
      <c r="PXR177" s="3"/>
      <c r="PXS177" s="3"/>
      <c r="PXT177" s="3"/>
      <c r="PXU177" s="3"/>
      <c r="PXV177" s="3"/>
      <c r="PXW177" s="3"/>
      <c r="PXX177" s="3"/>
      <c r="PXY177" s="3"/>
      <c r="PXZ177" s="3"/>
      <c r="PYA177" s="3"/>
      <c r="PYB177" s="3"/>
      <c r="PYC177" s="3"/>
      <c r="PYD177" s="3"/>
      <c r="PYE177" s="3"/>
      <c r="PYF177" s="3"/>
      <c r="PYG177" s="3"/>
      <c r="PYH177" s="3"/>
      <c r="PYI177" s="3"/>
      <c r="PYJ177" s="3"/>
      <c r="PYK177" s="3"/>
      <c r="PYL177" s="3"/>
      <c r="PYM177" s="3"/>
      <c r="PYN177" s="3"/>
      <c r="PYO177" s="3"/>
      <c r="PYP177" s="3"/>
      <c r="PYQ177" s="3"/>
      <c r="PYR177" s="3"/>
      <c r="PYS177" s="3"/>
      <c r="PYT177" s="3"/>
      <c r="PYU177" s="3"/>
      <c r="PYV177" s="3"/>
      <c r="PYW177" s="3"/>
      <c r="PYX177" s="3"/>
      <c r="PYY177" s="3"/>
      <c r="PYZ177" s="3"/>
      <c r="PZA177" s="3"/>
      <c r="PZB177" s="3"/>
      <c r="PZC177" s="3"/>
      <c r="PZD177" s="3"/>
      <c r="PZE177" s="3"/>
      <c r="PZF177" s="3"/>
      <c r="PZG177" s="3"/>
      <c r="PZH177" s="3"/>
      <c r="PZI177" s="3"/>
      <c r="PZJ177" s="3"/>
      <c r="PZK177" s="3"/>
      <c r="PZL177" s="3"/>
      <c r="PZM177" s="3"/>
      <c r="PZN177" s="3"/>
      <c r="PZO177" s="3"/>
      <c r="PZP177" s="3"/>
      <c r="PZQ177" s="3"/>
      <c r="PZR177" s="3"/>
      <c r="PZS177" s="3"/>
      <c r="PZT177" s="3"/>
      <c r="PZU177" s="3"/>
      <c r="PZV177" s="3"/>
      <c r="PZW177" s="3"/>
      <c r="PZX177" s="3"/>
      <c r="PZY177" s="3"/>
      <c r="PZZ177" s="3"/>
      <c r="QAA177" s="3"/>
      <c r="QAB177" s="3"/>
      <c r="QAC177" s="3"/>
      <c r="QAD177" s="3"/>
      <c r="QAE177" s="3"/>
      <c r="QAF177" s="3"/>
      <c r="QAG177" s="3"/>
      <c r="QAH177" s="3"/>
      <c r="QAI177" s="3"/>
      <c r="QAJ177" s="3"/>
      <c r="QAK177" s="3"/>
      <c r="QAL177" s="3"/>
      <c r="QAM177" s="3"/>
      <c r="QAN177" s="3"/>
      <c r="QAO177" s="3"/>
      <c r="QAP177" s="3"/>
      <c r="QAQ177" s="3"/>
      <c r="QAR177" s="3"/>
      <c r="QAS177" s="3"/>
      <c r="QAT177" s="3"/>
      <c r="QAU177" s="3"/>
      <c r="QAV177" s="3"/>
      <c r="QAW177" s="3"/>
      <c r="QAX177" s="3"/>
      <c r="QAY177" s="3"/>
      <c r="QAZ177" s="3"/>
      <c r="QBA177" s="3"/>
      <c r="QBB177" s="3"/>
      <c r="QBC177" s="3"/>
      <c r="QBD177" s="3"/>
      <c r="QBE177" s="3"/>
      <c r="QBF177" s="3"/>
      <c r="QBG177" s="3"/>
      <c r="QBH177" s="3"/>
      <c r="QBI177" s="3"/>
      <c r="QBJ177" s="3"/>
      <c r="QBK177" s="3"/>
      <c r="QBL177" s="3"/>
      <c r="QBM177" s="3"/>
      <c r="QBN177" s="3"/>
      <c r="QBO177" s="3"/>
      <c r="QBP177" s="3"/>
      <c r="QBQ177" s="3"/>
      <c r="QBR177" s="3"/>
      <c r="QBS177" s="3"/>
      <c r="QBT177" s="3"/>
      <c r="QBU177" s="3"/>
      <c r="QBV177" s="3"/>
      <c r="QBW177" s="3"/>
      <c r="QBX177" s="3"/>
      <c r="QBY177" s="3"/>
      <c r="QBZ177" s="3"/>
      <c r="QCA177" s="3"/>
      <c r="QCB177" s="3"/>
      <c r="QCC177" s="3"/>
      <c r="QCD177" s="3"/>
      <c r="QCE177" s="3"/>
      <c r="QCF177" s="3"/>
      <c r="QCG177" s="3"/>
      <c r="QCH177" s="3"/>
      <c r="QCI177" s="3"/>
      <c r="QCJ177" s="3"/>
      <c r="QCK177" s="3"/>
      <c r="QCL177" s="3"/>
      <c r="QCM177" s="3"/>
      <c r="QCN177" s="3"/>
      <c r="QCO177" s="3"/>
      <c r="QCP177" s="3"/>
      <c r="QCQ177" s="3"/>
      <c r="QCR177" s="3"/>
      <c r="QCS177" s="3"/>
      <c r="QCT177" s="3"/>
      <c r="QCU177" s="3"/>
      <c r="QCV177" s="3"/>
      <c r="QCW177" s="3"/>
      <c r="QCX177" s="3"/>
      <c r="QCY177" s="3"/>
      <c r="QCZ177" s="3"/>
      <c r="QDA177" s="3"/>
      <c r="QDB177" s="3"/>
      <c r="QDC177" s="3"/>
      <c r="QDD177" s="3"/>
      <c r="QDE177" s="3"/>
      <c r="QDF177" s="3"/>
      <c r="QDG177" s="3"/>
      <c r="QDH177" s="3"/>
      <c r="QDI177" s="3"/>
      <c r="QDJ177" s="3"/>
      <c r="QDK177" s="3"/>
      <c r="QDL177" s="3"/>
      <c r="QDM177" s="3"/>
      <c r="QDN177" s="3"/>
      <c r="QDO177" s="3"/>
      <c r="QDP177" s="3"/>
      <c r="QDQ177" s="3"/>
      <c r="QDR177" s="3"/>
      <c r="QDS177" s="3"/>
      <c r="QDT177" s="3"/>
      <c r="QDU177" s="3"/>
      <c r="QDV177" s="3"/>
      <c r="QDW177" s="3"/>
      <c r="QDX177" s="3"/>
      <c r="QDY177" s="3"/>
      <c r="QDZ177" s="3"/>
      <c r="QEA177" s="3"/>
      <c r="QEB177" s="3"/>
      <c r="QEC177" s="3"/>
      <c r="QED177" s="3"/>
      <c r="QEE177" s="3"/>
      <c r="QEF177" s="3"/>
      <c r="QEG177" s="3"/>
      <c r="QEH177" s="3"/>
      <c r="QEI177" s="3"/>
      <c r="QEJ177" s="3"/>
      <c r="QEK177" s="3"/>
      <c r="QEL177" s="3"/>
      <c r="QEM177" s="3"/>
      <c r="QEN177" s="3"/>
      <c r="QEO177" s="3"/>
      <c r="QEP177" s="3"/>
      <c r="QEQ177" s="3"/>
      <c r="QER177" s="3"/>
      <c r="QES177" s="3"/>
      <c r="QET177" s="3"/>
      <c r="QEU177" s="3"/>
      <c r="QEV177" s="3"/>
      <c r="QEW177" s="3"/>
      <c r="QEX177" s="3"/>
      <c r="QEY177" s="3"/>
      <c r="QEZ177" s="3"/>
      <c r="QFA177" s="3"/>
      <c r="QFB177" s="3"/>
      <c r="QFC177" s="3"/>
      <c r="QFD177" s="3"/>
      <c r="QFE177" s="3"/>
      <c r="QFF177" s="3"/>
      <c r="QFG177" s="3"/>
      <c r="QFH177" s="3"/>
      <c r="QFI177" s="3"/>
      <c r="QFJ177" s="3"/>
      <c r="QFK177" s="3"/>
      <c r="QFL177" s="3"/>
      <c r="QFM177" s="3"/>
      <c r="QFN177" s="3"/>
      <c r="QFO177" s="3"/>
      <c r="QFP177" s="3"/>
      <c r="QFQ177" s="3"/>
      <c r="QFR177" s="3"/>
      <c r="QFS177" s="3"/>
      <c r="QFT177" s="3"/>
      <c r="QFU177" s="3"/>
      <c r="QFV177" s="3"/>
      <c r="QFW177" s="3"/>
      <c r="QFX177" s="3"/>
      <c r="QFY177" s="3"/>
      <c r="QFZ177" s="3"/>
      <c r="QGA177" s="3"/>
      <c r="QGB177" s="3"/>
      <c r="QGC177" s="3"/>
      <c r="QGD177" s="3"/>
      <c r="QGE177" s="3"/>
      <c r="QGF177" s="3"/>
      <c r="QGG177" s="3"/>
      <c r="QGH177" s="3"/>
      <c r="QGI177" s="3"/>
      <c r="QGJ177" s="3"/>
      <c r="QGK177" s="3"/>
      <c r="QGL177" s="3"/>
      <c r="QGM177" s="3"/>
      <c r="QGN177" s="3"/>
      <c r="QGO177" s="3"/>
      <c r="QGP177" s="3"/>
      <c r="QGQ177" s="3"/>
      <c r="QGR177" s="3"/>
      <c r="QGS177" s="3"/>
      <c r="QGT177" s="3"/>
      <c r="QGU177" s="3"/>
      <c r="QGV177" s="3"/>
      <c r="QGW177" s="3"/>
      <c r="QGX177" s="3"/>
      <c r="QGY177" s="3"/>
      <c r="QGZ177" s="3"/>
      <c r="QHA177" s="3"/>
      <c r="QHB177" s="3"/>
      <c r="QHC177" s="3"/>
      <c r="QHD177" s="3"/>
      <c r="QHE177" s="3"/>
      <c r="QHF177" s="3"/>
      <c r="QHG177" s="3"/>
      <c r="QHH177" s="3"/>
      <c r="QHI177" s="3"/>
      <c r="QHJ177" s="3"/>
      <c r="QHK177" s="3"/>
      <c r="QHL177" s="3"/>
      <c r="QHM177" s="3"/>
      <c r="QHN177" s="3"/>
      <c r="QHO177" s="3"/>
      <c r="QHP177" s="3"/>
      <c r="QHQ177" s="3"/>
      <c r="QHR177" s="3"/>
      <c r="QHS177" s="3"/>
      <c r="QHT177" s="3"/>
      <c r="QHU177" s="3"/>
      <c r="QHV177" s="3"/>
      <c r="QHW177" s="3"/>
      <c r="QHX177" s="3"/>
      <c r="QHY177" s="3"/>
      <c r="QHZ177" s="3"/>
      <c r="QIA177" s="3"/>
      <c r="QIB177" s="3"/>
      <c r="QIC177" s="3"/>
      <c r="QID177" s="3"/>
      <c r="QIE177" s="3"/>
      <c r="QIF177" s="3"/>
      <c r="QIG177" s="3"/>
      <c r="QIH177" s="3"/>
      <c r="QII177" s="3"/>
      <c r="QIJ177" s="3"/>
      <c r="QIK177" s="3"/>
      <c r="QIL177" s="3"/>
      <c r="QIM177" s="3"/>
      <c r="QIN177" s="3"/>
      <c r="QIO177" s="3"/>
      <c r="QIP177" s="3"/>
      <c r="QIQ177" s="3"/>
      <c r="QIR177" s="3"/>
      <c r="QIS177" s="3"/>
      <c r="QIT177" s="3"/>
      <c r="QIU177" s="3"/>
      <c r="QIV177" s="3"/>
      <c r="QIW177" s="3"/>
      <c r="QIX177" s="3"/>
      <c r="QIY177" s="3"/>
      <c r="QIZ177" s="3"/>
      <c r="QJA177" s="3"/>
      <c r="QJB177" s="3"/>
      <c r="QJC177" s="3"/>
      <c r="QJD177" s="3"/>
      <c r="QJE177" s="3"/>
      <c r="QJF177" s="3"/>
      <c r="QJG177" s="3"/>
      <c r="QJH177" s="3"/>
      <c r="QJI177" s="3"/>
      <c r="QJJ177" s="3"/>
      <c r="QJK177" s="3"/>
      <c r="QJL177" s="3"/>
      <c r="QJM177" s="3"/>
      <c r="QJN177" s="3"/>
      <c r="QJO177" s="3"/>
      <c r="QJP177" s="3"/>
      <c r="QJQ177" s="3"/>
      <c r="QJR177" s="3"/>
      <c r="QJS177" s="3"/>
      <c r="QJT177" s="3"/>
      <c r="QJU177" s="3"/>
      <c r="QJV177" s="3"/>
      <c r="QJW177" s="3"/>
      <c r="QJX177" s="3"/>
      <c r="QJY177" s="3"/>
      <c r="QJZ177" s="3"/>
      <c r="QKA177" s="3"/>
      <c r="QKB177" s="3"/>
      <c r="QKC177" s="3"/>
      <c r="QKD177" s="3"/>
      <c r="QKE177" s="3"/>
      <c r="QKF177" s="3"/>
      <c r="QKG177" s="3"/>
      <c r="QKH177" s="3"/>
      <c r="QKI177" s="3"/>
      <c r="QKJ177" s="3"/>
      <c r="QKK177" s="3"/>
      <c r="QKL177" s="3"/>
      <c r="QKM177" s="3"/>
      <c r="QKN177" s="3"/>
      <c r="QKO177" s="3"/>
      <c r="QKP177" s="3"/>
      <c r="QKQ177" s="3"/>
      <c r="QKR177" s="3"/>
      <c r="QKS177" s="3"/>
      <c r="QKT177" s="3"/>
      <c r="QKU177" s="3"/>
      <c r="QKV177" s="3"/>
      <c r="QKW177" s="3"/>
      <c r="QKX177" s="3"/>
      <c r="QKY177" s="3"/>
      <c r="QKZ177" s="3"/>
      <c r="QLA177" s="3"/>
      <c r="QLB177" s="3"/>
      <c r="QLC177" s="3"/>
      <c r="QLD177" s="3"/>
      <c r="QLE177" s="3"/>
      <c r="QLF177" s="3"/>
      <c r="QLG177" s="3"/>
      <c r="QLH177" s="3"/>
      <c r="QLI177" s="3"/>
      <c r="QLJ177" s="3"/>
      <c r="QLK177" s="3"/>
      <c r="QLL177" s="3"/>
      <c r="QLM177" s="3"/>
      <c r="QLN177" s="3"/>
      <c r="QLO177" s="3"/>
      <c r="QLP177" s="3"/>
      <c r="QLQ177" s="3"/>
      <c r="QLR177" s="3"/>
      <c r="QLS177" s="3"/>
      <c r="QLT177" s="3"/>
      <c r="QLU177" s="3"/>
      <c r="QLV177" s="3"/>
      <c r="QLW177" s="3"/>
      <c r="QLX177" s="3"/>
      <c r="QLY177" s="3"/>
      <c r="QLZ177" s="3"/>
      <c r="QMA177" s="3"/>
      <c r="QMB177" s="3"/>
      <c r="QMC177" s="3"/>
      <c r="QMD177" s="3"/>
      <c r="QME177" s="3"/>
      <c r="QMF177" s="3"/>
      <c r="QMG177" s="3"/>
      <c r="QMH177" s="3"/>
      <c r="QMI177" s="3"/>
      <c r="QMJ177" s="3"/>
      <c r="QMK177" s="3"/>
      <c r="QML177" s="3"/>
      <c r="QMM177" s="3"/>
      <c r="QMN177" s="3"/>
      <c r="QMO177" s="3"/>
      <c r="QMP177" s="3"/>
      <c r="QMQ177" s="3"/>
      <c r="QMR177" s="3"/>
      <c r="QMS177" s="3"/>
      <c r="QMT177" s="3"/>
      <c r="QMU177" s="3"/>
      <c r="QMV177" s="3"/>
      <c r="QMW177" s="3"/>
      <c r="QMX177" s="3"/>
      <c r="QMY177" s="3"/>
      <c r="QMZ177" s="3"/>
      <c r="QNA177" s="3"/>
      <c r="QNB177" s="3"/>
      <c r="QNC177" s="3"/>
      <c r="QND177" s="3"/>
      <c r="QNE177" s="3"/>
      <c r="QNF177" s="3"/>
      <c r="QNG177" s="3"/>
      <c r="QNH177" s="3"/>
      <c r="QNI177" s="3"/>
      <c r="QNJ177" s="3"/>
      <c r="QNK177" s="3"/>
      <c r="QNL177" s="3"/>
      <c r="QNM177" s="3"/>
      <c r="QNN177" s="3"/>
      <c r="QNO177" s="3"/>
      <c r="QNP177" s="3"/>
      <c r="QNQ177" s="3"/>
      <c r="QNR177" s="3"/>
      <c r="QNS177" s="3"/>
      <c r="QNT177" s="3"/>
      <c r="QNU177" s="3"/>
      <c r="QNV177" s="3"/>
      <c r="QNW177" s="3"/>
      <c r="QNX177" s="3"/>
      <c r="QNY177" s="3"/>
      <c r="QNZ177" s="3"/>
      <c r="QOA177" s="3"/>
      <c r="QOB177" s="3"/>
      <c r="QOC177" s="3"/>
      <c r="QOD177" s="3"/>
      <c r="QOE177" s="3"/>
      <c r="QOF177" s="3"/>
      <c r="QOG177" s="3"/>
      <c r="QOH177" s="3"/>
      <c r="QOI177" s="3"/>
      <c r="QOJ177" s="3"/>
      <c r="QOK177" s="3"/>
      <c r="QOL177" s="3"/>
      <c r="QOM177" s="3"/>
      <c r="QON177" s="3"/>
      <c r="QOO177" s="3"/>
      <c r="QOP177" s="3"/>
      <c r="QOQ177" s="3"/>
      <c r="QOR177" s="3"/>
      <c r="QOS177" s="3"/>
      <c r="QOT177" s="3"/>
      <c r="QOU177" s="3"/>
      <c r="QOV177" s="3"/>
      <c r="QOW177" s="3"/>
      <c r="QOX177" s="3"/>
      <c r="QOY177" s="3"/>
      <c r="QOZ177" s="3"/>
      <c r="QPA177" s="3"/>
      <c r="QPB177" s="3"/>
      <c r="QPC177" s="3"/>
      <c r="QPD177" s="3"/>
      <c r="QPE177" s="3"/>
      <c r="QPF177" s="3"/>
      <c r="QPG177" s="3"/>
      <c r="QPH177" s="3"/>
      <c r="QPI177" s="3"/>
      <c r="QPJ177" s="3"/>
      <c r="QPK177" s="3"/>
      <c r="QPL177" s="3"/>
      <c r="QPM177" s="3"/>
      <c r="QPN177" s="3"/>
      <c r="QPO177" s="3"/>
      <c r="QPP177" s="3"/>
      <c r="QPQ177" s="3"/>
      <c r="QPR177" s="3"/>
      <c r="QPS177" s="3"/>
      <c r="QPT177" s="3"/>
      <c r="QPU177" s="3"/>
      <c r="QPV177" s="3"/>
      <c r="QPW177" s="3"/>
      <c r="QPX177" s="3"/>
      <c r="QPY177" s="3"/>
      <c r="QPZ177" s="3"/>
      <c r="QQA177" s="3"/>
      <c r="QQB177" s="3"/>
      <c r="QQC177" s="3"/>
      <c r="QQD177" s="3"/>
      <c r="QQE177" s="3"/>
      <c r="QQF177" s="3"/>
      <c r="QQG177" s="3"/>
      <c r="QQH177" s="3"/>
      <c r="QQI177" s="3"/>
      <c r="QQJ177" s="3"/>
      <c r="QQK177" s="3"/>
      <c r="QQL177" s="3"/>
      <c r="QQM177" s="3"/>
      <c r="QQN177" s="3"/>
      <c r="QQO177" s="3"/>
      <c r="QQP177" s="3"/>
      <c r="QQQ177" s="3"/>
      <c r="QQR177" s="3"/>
      <c r="QQS177" s="3"/>
      <c r="QQT177" s="3"/>
      <c r="QQU177" s="3"/>
      <c r="QQV177" s="3"/>
      <c r="QQW177" s="3"/>
      <c r="QQX177" s="3"/>
      <c r="QQY177" s="3"/>
      <c r="QQZ177" s="3"/>
      <c r="QRA177" s="3"/>
      <c r="QRB177" s="3"/>
      <c r="QRC177" s="3"/>
      <c r="QRD177" s="3"/>
      <c r="QRE177" s="3"/>
      <c r="QRF177" s="3"/>
      <c r="QRG177" s="3"/>
      <c r="QRH177" s="3"/>
      <c r="QRI177" s="3"/>
      <c r="QRJ177" s="3"/>
      <c r="QRK177" s="3"/>
      <c r="QRL177" s="3"/>
      <c r="QRM177" s="3"/>
      <c r="QRN177" s="3"/>
      <c r="QRO177" s="3"/>
      <c r="QRP177" s="3"/>
      <c r="QRQ177" s="3"/>
      <c r="QRR177" s="3"/>
      <c r="QRS177" s="3"/>
      <c r="QRT177" s="3"/>
      <c r="QRU177" s="3"/>
      <c r="QRV177" s="3"/>
      <c r="QRW177" s="3"/>
      <c r="QRX177" s="3"/>
      <c r="QRY177" s="3"/>
      <c r="QRZ177" s="3"/>
      <c r="QSA177" s="3"/>
      <c r="QSB177" s="3"/>
      <c r="QSC177" s="3"/>
      <c r="QSD177" s="3"/>
      <c r="QSE177" s="3"/>
      <c r="QSF177" s="3"/>
      <c r="QSG177" s="3"/>
      <c r="QSH177" s="3"/>
      <c r="QSI177" s="3"/>
      <c r="QSJ177" s="3"/>
      <c r="QSK177" s="3"/>
      <c r="QSL177" s="3"/>
      <c r="QSM177" s="3"/>
      <c r="QSN177" s="3"/>
      <c r="QSO177" s="3"/>
      <c r="QSP177" s="3"/>
      <c r="QSQ177" s="3"/>
      <c r="QSR177" s="3"/>
      <c r="QSS177" s="3"/>
      <c r="QST177" s="3"/>
      <c r="QSU177" s="3"/>
      <c r="QSV177" s="3"/>
      <c r="QSW177" s="3"/>
      <c r="QSX177" s="3"/>
      <c r="QSY177" s="3"/>
      <c r="QSZ177" s="3"/>
      <c r="QTA177" s="3"/>
      <c r="QTB177" s="3"/>
      <c r="QTC177" s="3"/>
      <c r="QTD177" s="3"/>
      <c r="QTE177" s="3"/>
      <c r="QTF177" s="3"/>
      <c r="QTG177" s="3"/>
      <c r="QTH177" s="3"/>
      <c r="QTI177" s="3"/>
      <c r="QTJ177" s="3"/>
      <c r="QTK177" s="3"/>
      <c r="QTL177" s="3"/>
      <c r="QTM177" s="3"/>
      <c r="QTN177" s="3"/>
      <c r="QTO177" s="3"/>
      <c r="QTP177" s="3"/>
      <c r="QTQ177" s="3"/>
      <c r="QTR177" s="3"/>
      <c r="QTS177" s="3"/>
      <c r="QTT177" s="3"/>
      <c r="QTU177" s="3"/>
      <c r="QTV177" s="3"/>
      <c r="QTW177" s="3"/>
      <c r="QTX177" s="3"/>
      <c r="QTY177" s="3"/>
      <c r="QTZ177" s="3"/>
      <c r="QUA177" s="3"/>
      <c r="QUB177" s="3"/>
      <c r="QUC177" s="3"/>
      <c r="QUD177" s="3"/>
      <c r="QUE177" s="3"/>
      <c r="QUF177" s="3"/>
      <c r="QUG177" s="3"/>
      <c r="QUH177" s="3"/>
      <c r="QUI177" s="3"/>
      <c r="QUJ177" s="3"/>
      <c r="QUK177" s="3"/>
      <c r="QUL177" s="3"/>
      <c r="QUM177" s="3"/>
      <c r="QUN177" s="3"/>
      <c r="QUO177" s="3"/>
      <c r="QUP177" s="3"/>
      <c r="QUQ177" s="3"/>
      <c r="QUR177" s="3"/>
      <c r="QUS177" s="3"/>
      <c r="QUT177" s="3"/>
      <c r="QUU177" s="3"/>
      <c r="QUV177" s="3"/>
      <c r="QUW177" s="3"/>
      <c r="QUX177" s="3"/>
      <c r="QUY177" s="3"/>
      <c r="QUZ177" s="3"/>
      <c r="QVA177" s="3"/>
      <c r="QVB177" s="3"/>
      <c r="QVC177" s="3"/>
      <c r="QVD177" s="3"/>
      <c r="QVE177" s="3"/>
      <c r="QVF177" s="3"/>
      <c r="QVG177" s="3"/>
      <c r="QVH177" s="3"/>
      <c r="QVI177" s="3"/>
      <c r="QVJ177" s="3"/>
      <c r="QVK177" s="3"/>
      <c r="QVL177" s="3"/>
      <c r="QVM177" s="3"/>
      <c r="QVN177" s="3"/>
      <c r="QVO177" s="3"/>
      <c r="QVP177" s="3"/>
      <c r="QVQ177" s="3"/>
      <c r="QVR177" s="3"/>
      <c r="QVS177" s="3"/>
      <c r="QVT177" s="3"/>
      <c r="QVU177" s="3"/>
      <c r="QVV177" s="3"/>
      <c r="QVW177" s="3"/>
      <c r="QVX177" s="3"/>
      <c r="QVY177" s="3"/>
      <c r="QVZ177" s="3"/>
      <c r="QWA177" s="3"/>
      <c r="QWB177" s="3"/>
      <c r="QWC177" s="3"/>
      <c r="QWD177" s="3"/>
      <c r="QWE177" s="3"/>
      <c r="QWF177" s="3"/>
      <c r="QWG177" s="3"/>
      <c r="QWH177" s="3"/>
      <c r="QWI177" s="3"/>
      <c r="QWJ177" s="3"/>
      <c r="QWK177" s="3"/>
      <c r="QWL177" s="3"/>
      <c r="QWM177" s="3"/>
      <c r="QWN177" s="3"/>
      <c r="QWO177" s="3"/>
      <c r="QWP177" s="3"/>
      <c r="QWQ177" s="3"/>
      <c r="QWR177" s="3"/>
      <c r="QWS177" s="3"/>
      <c r="QWT177" s="3"/>
      <c r="QWU177" s="3"/>
      <c r="QWV177" s="3"/>
      <c r="QWW177" s="3"/>
      <c r="QWX177" s="3"/>
      <c r="QWY177" s="3"/>
      <c r="QWZ177" s="3"/>
      <c r="QXA177" s="3"/>
      <c r="QXB177" s="3"/>
      <c r="QXC177" s="3"/>
      <c r="QXD177" s="3"/>
      <c r="QXE177" s="3"/>
      <c r="QXF177" s="3"/>
      <c r="QXG177" s="3"/>
      <c r="QXH177" s="3"/>
      <c r="QXI177" s="3"/>
      <c r="QXJ177" s="3"/>
      <c r="QXK177" s="3"/>
      <c r="QXL177" s="3"/>
      <c r="QXM177" s="3"/>
      <c r="QXN177" s="3"/>
      <c r="QXO177" s="3"/>
      <c r="QXP177" s="3"/>
      <c r="QXQ177" s="3"/>
      <c r="QXR177" s="3"/>
      <c r="QXS177" s="3"/>
      <c r="QXT177" s="3"/>
      <c r="QXU177" s="3"/>
      <c r="QXV177" s="3"/>
      <c r="QXW177" s="3"/>
      <c r="QXX177" s="3"/>
      <c r="QXY177" s="3"/>
      <c r="QXZ177" s="3"/>
      <c r="QYA177" s="3"/>
      <c r="QYB177" s="3"/>
      <c r="QYC177" s="3"/>
      <c r="QYD177" s="3"/>
      <c r="QYE177" s="3"/>
      <c r="QYF177" s="3"/>
      <c r="QYG177" s="3"/>
      <c r="QYH177" s="3"/>
      <c r="QYI177" s="3"/>
      <c r="QYJ177" s="3"/>
      <c r="QYK177" s="3"/>
      <c r="QYL177" s="3"/>
      <c r="QYM177" s="3"/>
      <c r="QYN177" s="3"/>
      <c r="QYO177" s="3"/>
      <c r="QYP177" s="3"/>
      <c r="QYQ177" s="3"/>
      <c r="QYR177" s="3"/>
      <c r="QYS177" s="3"/>
      <c r="QYT177" s="3"/>
      <c r="QYU177" s="3"/>
      <c r="QYV177" s="3"/>
      <c r="QYW177" s="3"/>
      <c r="QYX177" s="3"/>
      <c r="QYY177" s="3"/>
      <c r="QYZ177" s="3"/>
      <c r="QZA177" s="3"/>
      <c r="QZB177" s="3"/>
      <c r="QZC177" s="3"/>
      <c r="QZD177" s="3"/>
      <c r="QZE177" s="3"/>
      <c r="QZF177" s="3"/>
      <c r="QZG177" s="3"/>
      <c r="QZH177" s="3"/>
      <c r="QZI177" s="3"/>
      <c r="QZJ177" s="3"/>
      <c r="QZK177" s="3"/>
      <c r="QZL177" s="3"/>
      <c r="QZM177" s="3"/>
      <c r="QZN177" s="3"/>
      <c r="QZO177" s="3"/>
      <c r="QZP177" s="3"/>
      <c r="QZQ177" s="3"/>
      <c r="QZR177" s="3"/>
      <c r="QZS177" s="3"/>
      <c r="QZT177" s="3"/>
      <c r="QZU177" s="3"/>
      <c r="QZV177" s="3"/>
      <c r="QZW177" s="3"/>
      <c r="QZX177" s="3"/>
      <c r="QZY177" s="3"/>
      <c r="QZZ177" s="3"/>
      <c r="RAA177" s="3"/>
      <c r="RAB177" s="3"/>
      <c r="RAC177" s="3"/>
      <c r="RAD177" s="3"/>
      <c r="RAE177" s="3"/>
      <c r="RAF177" s="3"/>
      <c r="RAG177" s="3"/>
      <c r="RAH177" s="3"/>
      <c r="RAI177" s="3"/>
      <c r="RAJ177" s="3"/>
      <c r="RAK177" s="3"/>
      <c r="RAL177" s="3"/>
      <c r="RAM177" s="3"/>
      <c r="RAN177" s="3"/>
      <c r="RAO177" s="3"/>
      <c r="RAP177" s="3"/>
      <c r="RAQ177" s="3"/>
      <c r="RAR177" s="3"/>
      <c r="RAS177" s="3"/>
      <c r="RAT177" s="3"/>
      <c r="RAU177" s="3"/>
      <c r="RAV177" s="3"/>
      <c r="RAW177" s="3"/>
      <c r="RAX177" s="3"/>
      <c r="RAY177" s="3"/>
      <c r="RAZ177" s="3"/>
      <c r="RBA177" s="3"/>
      <c r="RBB177" s="3"/>
      <c r="RBC177" s="3"/>
      <c r="RBD177" s="3"/>
      <c r="RBE177" s="3"/>
      <c r="RBF177" s="3"/>
      <c r="RBG177" s="3"/>
      <c r="RBH177" s="3"/>
      <c r="RBI177" s="3"/>
      <c r="RBJ177" s="3"/>
      <c r="RBK177" s="3"/>
      <c r="RBL177" s="3"/>
      <c r="RBM177" s="3"/>
      <c r="RBN177" s="3"/>
      <c r="RBO177" s="3"/>
      <c r="RBP177" s="3"/>
      <c r="RBQ177" s="3"/>
      <c r="RBR177" s="3"/>
      <c r="RBS177" s="3"/>
      <c r="RBT177" s="3"/>
      <c r="RBU177" s="3"/>
      <c r="RBV177" s="3"/>
      <c r="RBW177" s="3"/>
      <c r="RBX177" s="3"/>
      <c r="RBY177" s="3"/>
      <c r="RBZ177" s="3"/>
      <c r="RCA177" s="3"/>
      <c r="RCB177" s="3"/>
      <c r="RCC177" s="3"/>
      <c r="RCD177" s="3"/>
      <c r="RCE177" s="3"/>
      <c r="RCF177" s="3"/>
      <c r="RCG177" s="3"/>
      <c r="RCH177" s="3"/>
      <c r="RCI177" s="3"/>
      <c r="RCJ177" s="3"/>
      <c r="RCK177" s="3"/>
      <c r="RCL177" s="3"/>
      <c r="RCM177" s="3"/>
      <c r="RCN177" s="3"/>
      <c r="RCO177" s="3"/>
      <c r="RCP177" s="3"/>
      <c r="RCQ177" s="3"/>
      <c r="RCR177" s="3"/>
      <c r="RCS177" s="3"/>
      <c r="RCT177" s="3"/>
      <c r="RCU177" s="3"/>
      <c r="RCV177" s="3"/>
      <c r="RCW177" s="3"/>
      <c r="RCX177" s="3"/>
      <c r="RCY177" s="3"/>
      <c r="RCZ177" s="3"/>
      <c r="RDA177" s="3"/>
      <c r="RDB177" s="3"/>
      <c r="RDC177" s="3"/>
      <c r="RDD177" s="3"/>
      <c r="RDE177" s="3"/>
      <c r="RDF177" s="3"/>
      <c r="RDG177" s="3"/>
      <c r="RDH177" s="3"/>
      <c r="RDI177" s="3"/>
      <c r="RDJ177" s="3"/>
      <c r="RDK177" s="3"/>
      <c r="RDL177" s="3"/>
      <c r="RDM177" s="3"/>
      <c r="RDN177" s="3"/>
      <c r="RDO177" s="3"/>
      <c r="RDP177" s="3"/>
      <c r="RDQ177" s="3"/>
      <c r="RDR177" s="3"/>
      <c r="RDS177" s="3"/>
      <c r="RDT177" s="3"/>
      <c r="RDU177" s="3"/>
      <c r="RDV177" s="3"/>
      <c r="RDW177" s="3"/>
      <c r="RDX177" s="3"/>
      <c r="RDY177" s="3"/>
      <c r="RDZ177" s="3"/>
      <c r="REA177" s="3"/>
      <c r="REB177" s="3"/>
      <c r="REC177" s="3"/>
      <c r="RED177" s="3"/>
      <c r="REE177" s="3"/>
      <c r="REF177" s="3"/>
      <c r="REG177" s="3"/>
      <c r="REH177" s="3"/>
      <c r="REI177" s="3"/>
      <c r="REJ177" s="3"/>
      <c r="REK177" s="3"/>
      <c r="REL177" s="3"/>
      <c r="REM177" s="3"/>
      <c r="REN177" s="3"/>
      <c r="REO177" s="3"/>
      <c r="REP177" s="3"/>
      <c r="REQ177" s="3"/>
      <c r="RER177" s="3"/>
      <c r="RES177" s="3"/>
      <c r="RET177" s="3"/>
      <c r="REU177" s="3"/>
      <c r="REV177" s="3"/>
      <c r="REW177" s="3"/>
      <c r="REX177" s="3"/>
      <c r="REY177" s="3"/>
      <c r="REZ177" s="3"/>
      <c r="RFA177" s="3"/>
      <c r="RFB177" s="3"/>
      <c r="RFC177" s="3"/>
      <c r="RFD177" s="3"/>
      <c r="RFE177" s="3"/>
      <c r="RFF177" s="3"/>
      <c r="RFG177" s="3"/>
      <c r="RFH177" s="3"/>
      <c r="RFI177" s="3"/>
      <c r="RFJ177" s="3"/>
      <c r="RFK177" s="3"/>
      <c r="RFL177" s="3"/>
      <c r="RFM177" s="3"/>
      <c r="RFN177" s="3"/>
      <c r="RFO177" s="3"/>
      <c r="RFP177" s="3"/>
      <c r="RFQ177" s="3"/>
      <c r="RFR177" s="3"/>
      <c r="RFS177" s="3"/>
      <c r="RFT177" s="3"/>
      <c r="RFU177" s="3"/>
      <c r="RFV177" s="3"/>
      <c r="RFW177" s="3"/>
      <c r="RFX177" s="3"/>
      <c r="RFY177" s="3"/>
      <c r="RFZ177" s="3"/>
      <c r="RGA177" s="3"/>
      <c r="RGB177" s="3"/>
      <c r="RGC177" s="3"/>
      <c r="RGD177" s="3"/>
      <c r="RGE177" s="3"/>
      <c r="RGF177" s="3"/>
      <c r="RGG177" s="3"/>
      <c r="RGH177" s="3"/>
      <c r="RGI177" s="3"/>
      <c r="RGJ177" s="3"/>
      <c r="RGK177" s="3"/>
      <c r="RGL177" s="3"/>
      <c r="RGM177" s="3"/>
      <c r="RGN177" s="3"/>
      <c r="RGO177" s="3"/>
      <c r="RGP177" s="3"/>
      <c r="RGQ177" s="3"/>
      <c r="RGR177" s="3"/>
      <c r="RGS177" s="3"/>
      <c r="RGT177" s="3"/>
      <c r="RGU177" s="3"/>
      <c r="RGV177" s="3"/>
      <c r="RGW177" s="3"/>
      <c r="RGX177" s="3"/>
      <c r="RGY177" s="3"/>
      <c r="RGZ177" s="3"/>
      <c r="RHA177" s="3"/>
      <c r="RHB177" s="3"/>
      <c r="RHC177" s="3"/>
      <c r="RHD177" s="3"/>
      <c r="RHE177" s="3"/>
      <c r="RHF177" s="3"/>
      <c r="RHG177" s="3"/>
      <c r="RHH177" s="3"/>
      <c r="RHI177" s="3"/>
      <c r="RHJ177" s="3"/>
      <c r="RHK177" s="3"/>
      <c r="RHL177" s="3"/>
      <c r="RHM177" s="3"/>
      <c r="RHN177" s="3"/>
      <c r="RHO177" s="3"/>
      <c r="RHP177" s="3"/>
      <c r="RHQ177" s="3"/>
      <c r="RHR177" s="3"/>
      <c r="RHS177" s="3"/>
      <c r="RHT177" s="3"/>
      <c r="RHU177" s="3"/>
      <c r="RHV177" s="3"/>
      <c r="RHW177" s="3"/>
      <c r="RHX177" s="3"/>
      <c r="RHY177" s="3"/>
      <c r="RHZ177" s="3"/>
      <c r="RIA177" s="3"/>
      <c r="RIB177" s="3"/>
      <c r="RIC177" s="3"/>
      <c r="RID177" s="3"/>
      <c r="RIE177" s="3"/>
      <c r="RIF177" s="3"/>
      <c r="RIG177" s="3"/>
      <c r="RIH177" s="3"/>
      <c r="RII177" s="3"/>
      <c r="RIJ177" s="3"/>
      <c r="RIK177" s="3"/>
      <c r="RIL177" s="3"/>
      <c r="RIM177" s="3"/>
      <c r="RIN177" s="3"/>
      <c r="RIO177" s="3"/>
      <c r="RIP177" s="3"/>
      <c r="RIQ177" s="3"/>
      <c r="RIR177" s="3"/>
      <c r="RIS177" s="3"/>
      <c r="RIT177" s="3"/>
      <c r="RIU177" s="3"/>
      <c r="RIV177" s="3"/>
      <c r="RIW177" s="3"/>
      <c r="RIX177" s="3"/>
      <c r="RIY177" s="3"/>
      <c r="RIZ177" s="3"/>
      <c r="RJA177" s="3"/>
      <c r="RJB177" s="3"/>
      <c r="RJC177" s="3"/>
      <c r="RJD177" s="3"/>
      <c r="RJE177" s="3"/>
      <c r="RJF177" s="3"/>
      <c r="RJG177" s="3"/>
      <c r="RJH177" s="3"/>
      <c r="RJI177" s="3"/>
      <c r="RJJ177" s="3"/>
      <c r="RJK177" s="3"/>
      <c r="RJL177" s="3"/>
      <c r="RJM177" s="3"/>
      <c r="RJN177" s="3"/>
      <c r="RJO177" s="3"/>
      <c r="RJP177" s="3"/>
      <c r="RJQ177" s="3"/>
      <c r="RJR177" s="3"/>
      <c r="RJS177" s="3"/>
      <c r="RJT177" s="3"/>
      <c r="RJU177" s="3"/>
      <c r="RJV177" s="3"/>
      <c r="RJW177" s="3"/>
      <c r="RJX177" s="3"/>
      <c r="RJY177" s="3"/>
      <c r="RJZ177" s="3"/>
      <c r="RKA177" s="3"/>
      <c r="RKB177" s="3"/>
      <c r="RKC177" s="3"/>
      <c r="RKD177" s="3"/>
      <c r="RKE177" s="3"/>
      <c r="RKF177" s="3"/>
      <c r="RKG177" s="3"/>
      <c r="RKH177" s="3"/>
      <c r="RKI177" s="3"/>
      <c r="RKJ177" s="3"/>
      <c r="RKK177" s="3"/>
      <c r="RKL177" s="3"/>
      <c r="RKM177" s="3"/>
      <c r="RKN177" s="3"/>
      <c r="RKO177" s="3"/>
      <c r="RKP177" s="3"/>
      <c r="RKQ177" s="3"/>
      <c r="RKR177" s="3"/>
      <c r="RKS177" s="3"/>
      <c r="RKT177" s="3"/>
      <c r="RKU177" s="3"/>
      <c r="RKV177" s="3"/>
      <c r="RKW177" s="3"/>
      <c r="RKX177" s="3"/>
      <c r="RKY177" s="3"/>
      <c r="RKZ177" s="3"/>
      <c r="RLA177" s="3"/>
      <c r="RLB177" s="3"/>
      <c r="RLC177" s="3"/>
      <c r="RLD177" s="3"/>
      <c r="RLE177" s="3"/>
      <c r="RLF177" s="3"/>
      <c r="RLG177" s="3"/>
      <c r="RLH177" s="3"/>
      <c r="RLI177" s="3"/>
      <c r="RLJ177" s="3"/>
      <c r="RLK177" s="3"/>
      <c r="RLL177" s="3"/>
      <c r="RLM177" s="3"/>
      <c r="RLN177" s="3"/>
      <c r="RLO177" s="3"/>
      <c r="RLP177" s="3"/>
      <c r="RLQ177" s="3"/>
      <c r="RLR177" s="3"/>
      <c r="RLS177" s="3"/>
      <c r="RLT177" s="3"/>
      <c r="RLU177" s="3"/>
      <c r="RLV177" s="3"/>
      <c r="RLW177" s="3"/>
      <c r="RLX177" s="3"/>
      <c r="RLY177" s="3"/>
      <c r="RLZ177" s="3"/>
      <c r="RMA177" s="3"/>
      <c r="RMB177" s="3"/>
      <c r="RMC177" s="3"/>
      <c r="RMD177" s="3"/>
      <c r="RME177" s="3"/>
      <c r="RMF177" s="3"/>
      <c r="RMG177" s="3"/>
      <c r="RMH177" s="3"/>
      <c r="RMI177" s="3"/>
      <c r="RMJ177" s="3"/>
      <c r="RMK177" s="3"/>
      <c r="RML177" s="3"/>
      <c r="RMM177" s="3"/>
      <c r="RMN177" s="3"/>
      <c r="RMO177" s="3"/>
      <c r="RMP177" s="3"/>
      <c r="RMQ177" s="3"/>
      <c r="RMR177" s="3"/>
      <c r="RMS177" s="3"/>
      <c r="RMT177" s="3"/>
      <c r="RMU177" s="3"/>
      <c r="RMV177" s="3"/>
      <c r="RMW177" s="3"/>
      <c r="RMX177" s="3"/>
      <c r="RMY177" s="3"/>
      <c r="RMZ177" s="3"/>
      <c r="RNA177" s="3"/>
      <c r="RNB177" s="3"/>
      <c r="RNC177" s="3"/>
      <c r="RND177" s="3"/>
      <c r="RNE177" s="3"/>
      <c r="RNF177" s="3"/>
      <c r="RNG177" s="3"/>
      <c r="RNH177" s="3"/>
      <c r="RNI177" s="3"/>
      <c r="RNJ177" s="3"/>
      <c r="RNK177" s="3"/>
      <c r="RNL177" s="3"/>
      <c r="RNM177" s="3"/>
      <c r="RNN177" s="3"/>
      <c r="RNO177" s="3"/>
      <c r="RNP177" s="3"/>
      <c r="RNQ177" s="3"/>
      <c r="RNR177" s="3"/>
      <c r="RNS177" s="3"/>
      <c r="RNT177" s="3"/>
      <c r="RNU177" s="3"/>
      <c r="RNV177" s="3"/>
      <c r="RNW177" s="3"/>
      <c r="RNX177" s="3"/>
      <c r="RNY177" s="3"/>
      <c r="RNZ177" s="3"/>
      <c r="ROA177" s="3"/>
      <c r="ROB177" s="3"/>
      <c r="ROC177" s="3"/>
      <c r="ROD177" s="3"/>
      <c r="ROE177" s="3"/>
      <c r="ROF177" s="3"/>
      <c r="ROG177" s="3"/>
      <c r="ROH177" s="3"/>
      <c r="ROI177" s="3"/>
      <c r="ROJ177" s="3"/>
      <c r="ROK177" s="3"/>
      <c r="ROL177" s="3"/>
      <c r="ROM177" s="3"/>
      <c r="RON177" s="3"/>
      <c r="ROO177" s="3"/>
      <c r="ROP177" s="3"/>
      <c r="ROQ177" s="3"/>
      <c r="ROR177" s="3"/>
      <c r="ROS177" s="3"/>
      <c r="ROT177" s="3"/>
      <c r="ROU177" s="3"/>
      <c r="ROV177" s="3"/>
      <c r="ROW177" s="3"/>
      <c r="ROX177" s="3"/>
      <c r="ROY177" s="3"/>
      <c r="ROZ177" s="3"/>
      <c r="RPA177" s="3"/>
      <c r="RPB177" s="3"/>
      <c r="RPC177" s="3"/>
      <c r="RPD177" s="3"/>
      <c r="RPE177" s="3"/>
      <c r="RPF177" s="3"/>
      <c r="RPG177" s="3"/>
      <c r="RPH177" s="3"/>
      <c r="RPI177" s="3"/>
      <c r="RPJ177" s="3"/>
      <c r="RPK177" s="3"/>
      <c r="RPL177" s="3"/>
      <c r="RPM177" s="3"/>
      <c r="RPN177" s="3"/>
      <c r="RPO177" s="3"/>
      <c r="RPP177" s="3"/>
      <c r="RPQ177" s="3"/>
      <c r="RPR177" s="3"/>
      <c r="RPS177" s="3"/>
      <c r="RPT177" s="3"/>
      <c r="RPU177" s="3"/>
      <c r="RPV177" s="3"/>
      <c r="RPW177" s="3"/>
      <c r="RPX177" s="3"/>
      <c r="RPY177" s="3"/>
      <c r="RPZ177" s="3"/>
      <c r="RQA177" s="3"/>
      <c r="RQB177" s="3"/>
      <c r="RQC177" s="3"/>
      <c r="RQD177" s="3"/>
      <c r="RQE177" s="3"/>
      <c r="RQF177" s="3"/>
      <c r="RQG177" s="3"/>
      <c r="RQH177" s="3"/>
      <c r="RQI177" s="3"/>
      <c r="RQJ177" s="3"/>
      <c r="RQK177" s="3"/>
      <c r="RQL177" s="3"/>
      <c r="RQM177" s="3"/>
      <c r="RQN177" s="3"/>
      <c r="RQO177" s="3"/>
      <c r="RQP177" s="3"/>
      <c r="RQQ177" s="3"/>
      <c r="RQR177" s="3"/>
      <c r="RQS177" s="3"/>
      <c r="RQT177" s="3"/>
      <c r="RQU177" s="3"/>
      <c r="RQV177" s="3"/>
      <c r="RQW177" s="3"/>
      <c r="RQX177" s="3"/>
      <c r="RQY177" s="3"/>
      <c r="RQZ177" s="3"/>
      <c r="RRA177" s="3"/>
      <c r="RRB177" s="3"/>
      <c r="RRC177" s="3"/>
      <c r="RRD177" s="3"/>
      <c r="RRE177" s="3"/>
      <c r="RRF177" s="3"/>
      <c r="RRG177" s="3"/>
      <c r="RRH177" s="3"/>
      <c r="RRI177" s="3"/>
      <c r="RRJ177" s="3"/>
      <c r="RRK177" s="3"/>
      <c r="RRL177" s="3"/>
      <c r="RRM177" s="3"/>
      <c r="RRN177" s="3"/>
      <c r="RRO177" s="3"/>
      <c r="RRP177" s="3"/>
      <c r="RRQ177" s="3"/>
      <c r="RRR177" s="3"/>
      <c r="RRS177" s="3"/>
      <c r="RRT177" s="3"/>
      <c r="RRU177" s="3"/>
      <c r="RRV177" s="3"/>
      <c r="RRW177" s="3"/>
      <c r="RRX177" s="3"/>
      <c r="RRY177" s="3"/>
      <c r="RRZ177" s="3"/>
      <c r="RSA177" s="3"/>
      <c r="RSB177" s="3"/>
      <c r="RSC177" s="3"/>
      <c r="RSD177" s="3"/>
      <c r="RSE177" s="3"/>
      <c r="RSF177" s="3"/>
      <c r="RSG177" s="3"/>
      <c r="RSH177" s="3"/>
      <c r="RSI177" s="3"/>
      <c r="RSJ177" s="3"/>
      <c r="RSK177" s="3"/>
      <c r="RSL177" s="3"/>
      <c r="RSM177" s="3"/>
      <c r="RSN177" s="3"/>
      <c r="RSO177" s="3"/>
      <c r="RSP177" s="3"/>
      <c r="RSQ177" s="3"/>
      <c r="RSR177" s="3"/>
      <c r="RSS177" s="3"/>
      <c r="RST177" s="3"/>
      <c r="RSU177" s="3"/>
      <c r="RSV177" s="3"/>
      <c r="RSW177" s="3"/>
      <c r="RSX177" s="3"/>
      <c r="RSY177" s="3"/>
      <c r="RSZ177" s="3"/>
      <c r="RTA177" s="3"/>
      <c r="RTB177" s="3"/>
      <c r="RTC177" s="3"/>
      <c r="RTD177" s="3"/>
      <c r="RTE177" s="3"/>
      <c r="RTF177" s="3"/>
      <c r="RTG177" s="3"/>
      <c r="RTH177" s="3"/>
      <c r="RTI177" s="3"/>
      <c r="RTJ177" s="3"/>
      <c r="RTK177" s="3"/>
      <c r="RTL177" s="3"/>
      <c r="RTM177" s="3"/>
      <c r="RTN177" s="3"/>
      <c r="RTO177" s="3"/>
      <c r="RTP177" s="3"/>
      <c r="RTQ177" s="3"/>
      <c r="RTR177" s="3"/>
      <c r="RTS177" s="3"/>
      <c r="RTT177" s="3"/>
      <c r="RTU177" s="3"/>
      <c r="RTV177" s="3"/>
      <c r="RTW177" s="3"/>
      <c r="RTX177" s="3"/>
      <c r="RTY177" s="3"/>
      <c r="RTZ177" s="3"/>
      <c r="RUA177" s="3"/>
      <c r="RUB177" s="3"/>
      <c r="RUC177" s="3"/>
      <c r="RUD177" s="3"/>
      <c r="RUE177" s="3"/>
      <c r="RUF177" s="3"/>
      <c r="RUG177" s="3"/>
      <c r="RUH177" s="3"/>
      <c r="RUI177" s="3"/>
      <c r="RUJ177" s="3"/>
      <c r="RUK177" s="3"/>
      <c r="RUL177" s="3"/>
      <c r="RUM177" s="3"/>
      <c r="RUN177" s="3"/>
      <c r="RUO177" s="3"/>
      <c r="RUP177" s="3"/>
      <c r="RUQ177" s="3"/>
      <c r="RUR177" s="3"/>
      <c r="RUS177" s="3"/>
      <c r="RUT177" s="3"/>
      <c r="RUU177" s="3"/>
      <c r="RUV177" s="3"/>
      <c r="RUW177" s="3"/>
      <c r="RUX177" s="3"/>
      <c r="RUY177" s="3"/>
      <c r="RUZ177" s="3"/>
      <c r="RVA177" s="3"/>
      <c r="RVB177" s="3"/>
      <c r="RVC177" s="3"/>
      <c r="RVD177" s="3"/>
      <c r="RVE177" s="3"/>
      <c r="RVF177" s="3"/>
      <c r="RVG177" s="3"/>
      <c r="RVH177" s="3"/>
      <c r="RVI177" s="3"/>
      <c r="RVJ177" s="3"/>
      <c r="RVK177" s="3"/>
      <c r="RVL177" s="3"/>
      <c r="RVM177" s="3"/>
      <c r="RVN177" s="3"/>
      <c r="RVO177" s="3"/>
      <c r="RVP177" s="3"/>
      <c r="RVQ177" s="3"/>
      <c r="RVR177" s="3"/>
      <c r="RVS177" s="3"/>
      <c r="RVT177" s="3"/>
      <c r="RVU177" s="3"/>
      <c r="RVV177" s="3"/>
      <c r="RVW177" s="3"/>
      <c r="RVX177" s="3"/>
      <c r="RVY177" s="3"/>
      <c r="RVZ177" s="3"/>
      <c r="RWA177" s="3"/>
      <c r="RWB177" s="3"/>
      <c r="RWC177" s="3"/>
      <c r="RWD177" s="3"/>
      <c r="RWE177" s="3"/>
      <c r="RWF177" s="3"/>
      <c r="RWG177" s="3"/>
      <c r="RWH177" s="3"/>
      <c r="RWI177" s="3"/>
      <c r="RWJ177" s="3"/>
      <c r="RWK177" s="3"/>
      <c r="RWL177" s="3"/>
      <c r="RWM177" s="3"/>
      <c r="RWN177" s="3"/>
      <c r="RWO177" s="3"/>
      <c r="RWP177" s="3"/>
      <c r="RWQ177" s="3"/>
      <c r="RWR177" s="3"/>
      <c r="RWS177" s="3"/>
      <c r="RWT177" s="3"/>
      <c r="RWU177" s="3"/>
      <c r="RWV177" s="3"/>
      <c r="RWW177" s="3"/>
      <c r="RWX177" s="3"/>
      <c r="RWY177" s="3"/>
      <c r="RWZ177" s="3"/>
      <c r="RXA177" s="3"/>
      <c r="RXB177" s="3"/>
      <c r="RXC177" s="3"/>
      <c r="RXD177" s="3"/>
      <c r="RXE177" s="3"/>
      <c r="RXF177" s="3"/>
      <c r="RXG177" s="3"/>
      <c r="RXH177" s="3"/>
      <c r="RXI177" s="3"/>
      <c r="RXJ177" s="3"/>
      <c r="RXK177" s="3"/>
      <c r="RXL177" s="3"/>
      <c r="RXM177" s="3"/>
      <c r="RXN177" s="3"/>
      <c r="RXO177" s="3"/>
      <c r="RXP177" s="3"/>
      <c r="RXQ177" s="3"/>
      <c r="RXR177" s="3"/>
      <c r="RXS177" s="3"/>
      <c r="RXT177" s="3"/>
      <c r="RXU177" s="3"/>
      <c r="RXV177" s="3"/>
      <c r="RXW177" s="3"/>
      <c r="RXX177" s="3"/>
      <c r="RXY177" s="3"/>
      <c r="RXZ177" s="3"/>
      <c r="RYA177" s="3"/>
      <c r="RYB177" s="3"/>
      <c r="RYC177" s="3"/>
      <c r="RYD177" s="3"/>
      <c r="RYE177" s="3"/>
      <c r="RYF177" s="3"/>
      <c r="RYG177" s="3"/>
      <c r="RYH177" s="3"/>
      <c r="RYI177" s="3"/>
      <c r="RYJ177" s="3"/>
      <c r="RYK177" s="3"/>
      <c r="RYL177" s="3"/>
      <c r="RYM177" s="3"/>
      <c r="RYN177" s="3"/>
      <c r="RYO177" s="3"/>
      <c r="RYP177" s="3"/>
      <c r="RYQ177" s="3"/>
      <c r="RYR177" s="3"/>
      <c r="RYS177" s="3"/>
      <c r="RYT177" s="3"/>
      <c r="RYU177" s="3"/>
      <c r="RYV177" s="3"/>
      <c r="RYW177" s="3"/>
      <c r="RYX177" s="3"/>
      <c r="RYY177" s="3"/>
      <c r="RYZ177" s="3"/>
      <c r="RZA177" s="3"/>
      <c r="RZB177" s="3"/>
      <c r="RZC177" s="3"/>
      <c r="RZD177" s="3"/>
      <c r="RZE177" s="3"/>
      <c r="RZF177" s="3"/>
      <c r="RZG177" s="3"/>
      <c r="RZH177" s="3"/>
      <c r="RZI177" s="3"/>
      <c r="RZJ177" s="3"/>
      <c r="RZK177" s="3"/>
      <c r="RZL177" s="3"/>
      <c r="RZM177" s="3"/>
      <c r="RZN177" s="3"/>
      <c r="RZO177" s="3"/>
      <c r="RZP177" s="3"/>
      <c r="RZQ177" s="3"/>
      <c r="RZR177" s="3"/>
      <c r="RZS177" s="3"/>
      <c r="RZT177" s="3"/>
      <c r="RZU177" s="3"/>
      <c r="RZV177" s="3"/>
      <c r="RZW177" s="3"/>
      <c r="RZX177" s="3"/>
      <c r="RZY177" s="3"/>
      <c r="RZZ177" s="3"/>
      <c r="SAA177" s="3"/>
      <c r="SAB177" s="3"/>
      <c r="SAC177" s="3"/>
      <c r="SAD177" s="3"/>
      <c r="SAE177" s="3"/>
      <c r="SAF177" s="3"/>
      <c r="SAG177" s="3"/>
      <c r="SAH177" s="3"/>
      <c r="SAI177" s="3"/>
      <c r="SAJ177" s="3"/>
      <c r="SAK177" s="3"/>
      <c r="SAL177" s="3"/>
      <c r="SAM177" s="3"/>
      <c r="SAN177" s="3"/>
      <c r="SAO177" s="3"/>
      <c r="SAP177" s="3"/>
      <c r="SAQ177" s="3"/>
      <c r="SAR177" s="3"/>
      <c r="SAS177" s="3"/>
      <c r="SAT177" s="3"/>
      <c r="SAU177" s="3"/>
      <c r="SAV177" s="3"/>
      <c r="SAW177" s="3"/>
      <c r="SAX177" s="3"/>
      <c r="SAY177" s="3"/>
      <c r="SAZ177" s="3"/>
      <c r="SBA177" s="3"/>
      <c r="SBB177" s="3"/>
      <c r="SBC177" s="3"/>
      <c r="SBD177" s="3"/>
      <c r="SBE177" s="3"/>
      <c r="SBF177" s="3"/>
      <c r="SBG177" s="3"/>
      <c r="SBH177" s="3"/>
      <c r="SBI177" s="3"/>
      <c r="SBJ177" s="3"/>
      <c r="SBK177" s="3"/>
      <c r="SBL177" s="3"/>
      <c r="SBM177" s="3"/>
      <c r="SBN177" s="3"/>
      <c r="SBO177" s="3"/>
      <c r="SBP177" s="3"/>
      <c r="SBQ177" s="3"/>
      <c r="SBR177" s="3"/>
      <c r="SBS177" s="3"/>
      <c r="SBT177" s="3"/>
      <c r="SBU177" s="3"/>
      <c r="SBV177" s="3"/>
      <c r="SBW177" s="3"/>
      <c r="SBX177" s="3"/>
      <c r="SBY177" s="3"/>
      <c r="SBZ177" s="3"/>
      <c r="SCA177" s="3"/>
      <c r="SCB177" s="3"/>
      <c r="SCC177" s="3"/>
      <c r="SCD177" s="3"/>
      <c r="SCE177" s="3"/>
      <c r="SCF177" s="3"/>
      <c r="SCG177" s="3"/>
      <c r="SCH177" s="3"/>
      <c r="SCI177" s="3"/>
      <c r="SCJ177" s="3"/>
      <c r="SCK177" s="3"/>
      <c r="SCL177" s="3"/>
      <c r="SCM177" s="3"/>
      <c r="SCN177" s="3"/>
      <c r="SCO177" s="3"/>
      <c r="SCP177" s="3"/>
      <c r="SCQ177" s="3"/>
      <c r="SCR177" s="3"/>
      <c r="SCS177" s="3"/>
      <c r="SCT177" s="3"/>
      <c r="SCU177" s="3"/>
      <c r="SCV177" s="3"/>
      <c r="SCW177" s="3"/>
      <c r="SCX177" s="3"/>
      <c r="SCY177" s="3"/>
      <c r="SCZ177" s="3"/>
      <c r="SDA177" s="3"/>
      <c r="SDB177" s="3"/>
      <c r="SDC177" s="3"/>
      <c r="SDD177" s="3"/>
      <c r="SDE177" s="3"/>
      <c r="SDF177" s="3"/>
      <c r="SDG177" s="3"/>
      <c r="SDH177" s="3"/>
      <c r="SDI177" s="3"/>
      <c r="SDJ177" s="3"/>
      <c r="SDK177" s="3"/>
      <c r="SDL177" s="3"/>
      <c r="SDM177" s="3"/>
      <c r="SDN177" s="3"/>
      <c r="SDO177" s="3"/>
      <c r="SDP177" s="3"/>
      <c r="SDQ177" s="3"/>
      <c r="SDR177" s="3"/>
      <c r="SDS177" s="3"/>
      <c r="SDT177" s="3"/>
      <c r="SDU177" s="3"/>
      <c r="SDV177" s="3"/>
      <c r="SDW177" s="3"/>
      <c r="SDX177" s="3"/>
      <c r="SDY177" s="3"/>
      <c r="SDZ177" s="3"/>
      <c r="SEA177" s="3"/>
      <c r="SEB177" s="3"/>
      <c r="SEC177" s="3"/>
      <c r="SED177" s="3"/>
      <c r="SEE177" s="3"/>
      <c r="SEF177" s="3"/>
      <c r="SEG177" s="3"/>
      <c r="SEH177" s="3"/>
      <c r="SEI177" s="3"/>
      <c r="SEJ177" s="3"/>
      <c r="SEK177" s="3"/>
      <c r="SEL177" s="3"/>
      <c r="SEM177" s="3"/>
      <c r="SEN177" s="3"/>
      <c r="SEO177" s="3"/>
      <c r="SEP177" s="3"/>
      <c r="SEQ177" s="3"/>
      <c r="SER177" s="3"/>
      <c r="SES177" s="3"/>
      <c r="SET177" s="3"/>
      <c r="SEU177" s="3"/>
      <c r="SEV177" s="3"/>
      <c r="SEW177" s="3"/>
      <c r="SEX177" s="3"/>
      <c r="SEY177" s="3"/>
      <c r="SEZ177" s="3"/>
      <c r="SFA177" s="3"/>
      <c r="SFB177" s="3"/>
      <c r="SFC177" s="3"/>
      <c r="SFD177" s="3"/>
      <c r="SFE177" s="3"/>
      <c r="SFF177" s="3"/>
      <c r="SFG177" s="3"/>
      <c r="SFH177" s="3"/>
      <c r="SFI177" s="3"/>
      <c r="SFJ177" s="3"/>
      <c r="SFK177" s="3"/>
      <c r="SFL177" s="3"/>
      <c r="SFM177" s="3"/>
      <c r="SFN177" s="3"/>
      <c r="SFO177" s="3"/>
      <c r="SFP177" s="3"/>
      <c r="SFQ177" s="3"/>
      <c r="SFR177" s="3"/>
      <c r="SFS177" s="3"/>
      <c r="SFT177" s="3"/>
      <c r="SFU177" s="3"/>
      <c r="SFV177" s="3"/>
      <c r="SFW177" s="3"/>
      <c r="SFX177" s="3"/>
      <c r="SFY177" s="3"/>
      <c r="SFZ177" s="3"/>
      <c r="SGA177" s="3"/>
      <c r="SGB177" s="3"/>
      <c r="SGC177" s="3"/>
      <c r="SGD177" s="3"/>
      <c r="SGE177" s="3"/>
      <c r="SGF177" s="3"/>
      <c r="SGG177" s="3"/>
      <c r="SGH177" s="3"/>
      <c r="SGI177" s="3"/>
      <c r="SGJ177" s="3"/>
      <c r="SGK177" s="3"/>
      <c r="SGL177" s="3"/>
      <c r="SGM177" s="3"/>
      <c r="SGN177" s="3"/>
      <c r="SGO177" s="3"/>
      <c r="SGP177" s="3"/>
      <c r="SGQ177" s="3"/>
      <c r="SGR177" s="3"/>
      <c r="SGS177" s="3"/>
      <c r="SGT177" s="3"/>
      <c r="SGU177" s="3"/>
      <c r="SGV177" s="3"/>
      <c r="SGW177" s="3"/>
      <c r="SGX177" s="3"/>
      <c r="SGY177" s="3"/>
      <c r="SGZ177" s="3"/>
      <c r="SHA177" s="3"/>
      <c r="SHB177" s="3"/>
      <c r="SHC177" s="3"/>
      <c r="SHD177" s="3"/>
      <c r="SHE177" s="3"/>
      <c r="SHF177" s="3"/>
      <c r="SHG177" s="3"/>
      <c r="SHH177" s="3"/>
      <c r="SHI177" s="3"/>
      <c r="SHJ177" s="3"/>
      <c r="SHK177" s="3"/>
      <c r="SHL177" s="3"/>
      <c r="SHM177" s="3"/>
      <c r="SHN177" s="3"/>
      <c r="SHO177" s="3"/>
      <c r="SHP177" s="3"/>
      <c r="SHQ177" s="3"/>
      <c r="SHR177" s="3"/>
      <c r="SHS177" s="3"/>
      <c r="SHT177" s="3"/>
      <c r="SHU177" s="3"/>
      <c r="SHV177" s="3"/>
      <c r="SHW177" s="3"/>
      <c r="SHX177" s="3"/>
      <c r="SHY177" s="3"/>
      <c r="SHZ177" s="3"/>
      <c r="SIA177" s="3"/>
      <c r="SIB177" s="3"/>
      <c r="SIC177" s="3"/>
      <c r="SID177" s="3"/>
      <c r="SIE177" s="3"/>
      <c r="SIF177" s="3"/>
      <c r="SIG177" s="3"/>
      <c r="SIH177" s="3"/>
      <c r="SII177" s="3"/>
      <c r="SIJ177" s="3"/>
      <c r="SIK177" s="3"/>
      <c r="SIL177" s="3"/>
      <c r="SIM177" s="3"/>
      <c r="SIN177" s="3"/>
      <c r="SIO177" s="3"/>
      <c r="SIP177" s="3"/>
      <c r="SIQ177" s="3"/>
      <c r="SIR177" s="3"/>
      <c r="SIS177" s="3"/>
      <c r="SIT177" s="3"/>
      <c r="SIU177" s="3"/>
      <c r="SIV177" s="3"/>
      <c r="SIW177" s="3"/>
      <c r="SIX177" s="3"/>
      <c r="SIY177" s="3"/>
      <c r="SIZ177" s="3"/>
      <c r="SJA177" s="3"/>
      <c r="SJB177" s="3"/>
      <c r="SJC177" s="3"/>
      <c r="SJD177" s="3"/>
      <c r="SJE177" s="3"/>
      <c r="SJF177" s="3"/>
      <c r="SJG177" s="3"/>
      <c r="SJH177" s="3"/>
      <c r="SJI177" s="3"/>
      <c r="SJJ177" s="3"/>
      <c r="SJK177" s="3"/>
      <c r="SJL177" s="3"/>
      <c r="SJM177" s="3"/>
      <c r="SJN177" s="3"/>
      <c r="SJO177" s="3"/>
      <c r="SJP177" s="3"/>
      <c r="SJQ177" s="3"/>
      <c r="SJR177" s="3"/>
      <c r="SJS177" s="3"/>
      <c r="SJT177" s="3"/>
      <c r="SJU177" s="3"/>
      <c r="SJV177" s="3"/>
      <c r="SJW177" s="3"/>
      <c r="SJX177" s="3"/>
      <c r="SJY177" s="3"/>
      <c r="SJZ177" s="3"/>
      <c r="SKA177" s="3"/>
      <c r="SKB177" s="3"/>
      <c r="SKC177" s="3"/>
      <c r="SKD177" s="3"/>
      <c r="SKE177" s="3"/>
      <c r="SKF177" s="3"/>
      <c r="SKG177" s="3"/>
      <c r="SKH177" s="3"/>
      <c r="SKI177" s="3"/>
      <c r="SKJ177" s="3"/>
      <c r="SKK177" s="3"/>
      <c r="SKL177" s="3"/>
      <c r="SKM177" s="3"/>
      <c r="SKN177" s="3"/>
      <c r="SKO177" s="3"/>
      <c r="SKP177" s="3"/>
      <c r="SKQ177" s="3"/>
      <c r="SKR177" s="3"/>
      <c r="SKS177" s="3"/>
      <c r="SKT177" s="3"/>
      <c r="SKU177" s="3"/>
      <c r="SKV177" s="3"/>
      <c r="SKW177" s="3"/>
      <c r="SKX177" s="3"/>
      <c r="SKY177" s="3"/>
      <c r="SKZ177" s="3"/>
      <c r="SLA177" s="3"/>
      <c r="SLB177" s="3"/>
      <c r="SLC177" s="3"/>
      <c r="SLD177" s="3"/>
      <c r="SLE177" s="3"/>
      <c r="SLF177" s="3"/>
      <c r="SLG177" s="3"/>
      <c r="SLH177" s="3"/>
      <c r="SLI177" s="3"/>
      <c r="SLJ177" s="3"/>
      <c r="SLK177" s="3"/>
      <c r="SLL177" s="3"/>
      <c r="SLM177" s="3"/>
      <c r="SLN177" s="3"/>
      <c r="SLO177" s="3"/>
      <c r="SLP177" s="3"/>
      <c r="SLQ177" s="3"/>
      <c r="SLR177" s="3"/>
      <c r="SLS177" s="3"/>
      <c r="SLT177" s="3"/>
      <c r="SLU177" s="3"/>
      <c r="SLV177" s="3"/>
      <c r="SLW177" s="3"/>
      <c r="SLX177" s="3"/>
      <c r="SLY177" s="3"/>
      <c r="SLZ177" s="3"/>
      <c r="SMA177" s="3"/>
      <c r="SMB177" s="3"/>
      <c r="SMC177" s="3"/>
      <c r="SMD177" s="3"/>
      <c r="SME177" s="3"/>
      <c r="SMF177" s="3"/>
      <c r="SMG177" s="3"/>
      <c r="SMH177" s="3"/>
      <c r="SMI177" s="3"/>
      <c r="SMJ177" s="3"/>
      <c r="SMK177" s="3"/>
      <c r="SML177" s="3"/>
      <c r="SMM177" s="3"/>
      <c r="SMN177" s="3"/>
      <c r="SMO177" s="3"/>
      <c r="SMP177" s="3"/>
      <c r="SMQ177" s="3"/>
      <c r="SMR177" s="3"/>
      <c r="SMS177" s="3"/>
      <c r="SMT177" s="3"/>
      <c r="SMU177" s="3"/>
      <c r="SMV177" s="3"/>
      <c r="SMW177" s="3"/>
      <c r="SMX177" s="3"/>
      <c r="SMY177" s="3"/>
      <c r="SMZ177" s="3"/>
      <c r="SNA177" s="3"/>
      <c r="SNB177" s="3"/>
      <c r="SNC177" s="3"/>
      <c r="SND177" s="3"/>
      <c r="SNE177" s="3"/>
      <c r="SNF177" s="3"/>
      <c r="SNG177" s="3"/>
      <c r="SNH177" s="3"/>
      <c r="SNI177" s="3"/>
      <c r="SNJ177" s="3"/>
      <c r="SNK177" s="3"/>
      <c r="SNL177" s="3"/>
      <c r="SNM177" s="3"/>
      <c r="SNN177" s="3"/>
      <c r="SNO177" s="3"/>
      <c r="SNP177" s="3"/>
      <c r="SNQ177" s="3"/>
      <c r="SNR177" s="3"/>
      <c r="SNS177" s="3"/>
      <c r="SNT177" s="3"/>
      <c r="SNU177" s="3"/>
      <c r="SNV177" s="3"/>
      <c r="SNW177" s="3"/>
      <c r="SNX177" s="3"/>
      <c r="SNY177" s="3"/>
      <c r="SNZ177" s="3"/>
      <c r="SOA177" s="3"/>
      <c r="SOB177" s="3"/>
      <c r="SOC177" s="3"/>
      <c r="SOD177" s="3"/>
      <c r="SOE177" s="3"/>
      <c r="SOF177" s="3"/>
      <c r="SOG177" s="3"/>
      <c r="SOH177" s="3"/>
      <c r="SOI177" s="3"/>
      <c r="SOJ177" s="3"/>
      <c r="SOK177" s="3"/>
      <c r="SOL177" s="3"/>
      <c r="SOM177" s="3"/>
      <c r="SON177" s="3"/>
      <c r="SOO177" s="3"/>
      <c r="SOP177" s="3"/>
      <c r="SOQ177" s="3"/>
      <c r="SOR177" s="3"/>
      <c r="SOS177" s="3"/>
      <c r="SOT177" s="3"/>
      <c r="SOU177" s="3"/>
      <c r="SOV177" s="3"/>
      <c r="SOW177" s="3"/>
      <c r="SOX177" s="3"/>
      <c r="SOY177" s="3"/>
      <c r="SOZ177" s="3"/>
      <c r="SPA177" s="3"/>
      <c r="SPB177" s="3"/>
      <c r="SPC177" s="3"/>
      <c r="SPD177" s="3"/>
      <c r="SPE177" s="3"/>
      <c r="SPF177" s="3"/>
      <c r="SPG177" s="3"/>
      <c r="SPH177" s="3"/>
      <c r="SPI177" s="3"/>
      <c r="SPJ177" s="3"/>
      <c r="SPK177" s="3"/>
      <c r="SPL177" s="3"/>
      <c r="SPM177" s="3"/>
      <c r="SPN177" s="3"/>
      <c r="SPO177" s="3"/>
      <c r="SPP177" s="3"/>
      <c r="SPQ177" s="3"/>
      <c r="SPR177" s="3"/>
      <c r="SPS177" s="3"/>
      <c r="SPT177" s="3"/>
      <c r="SPU177" s="3"/>
      <c r="SPV177" s="3"/>
      <c r="SPW177" s="3"/>
      <c r="SPX177" s="3"/>
      <c r="SPY177" s="3"/>
      <c r="SPZ177" s="3"/>
      <c r="SQA177" s="3"/>
      <c r="SQB177" s="3"/>
      <c r="SQC177" s="3"/>
      <c r="SQD177" s="3"/>
      <c r="SQE177" s="3"/>
      <c r="SQF177" s="3"/>
      <c r="SQG177" s="3"/>
      <c r="SQH177" s="3"/>
      <c r="SQI177" s="3"/>
      <c r="SQJ177" s="3"/>
      <c r="SQK177" s="3"/>
      <c r="SQL177" s="3"/>
      <c r="SQM177" s="3"/>
      <c r="SQN177" s="3"/>
      <c r="SQO177" s="3"/>
      <c r="SQP177" s="3"/>
      <c r="SQQ177" s="3"/>
      <c r="SQR177" s="3"/>
      <c r="SQS177" s="3"/>
      <c r="SQT177" s="3"/>
      <c r="SQU177" s="3"/>
      <c r="SQV177" s="3"/>
      <c r="SQW177" s="3"/>
      <c r="SQX177" s="3"/>
      <c r="SQY177" s="3"/>
      <c r="SQZ177" s="3"/>
      <c r="SRA177" s="3"/>
      <c r="SRB177" s="3"/>
      <c r="SRC177" s="3"/>
      <c r="SRD177" s="3"/>
      <c r="SRE177" s="3"/>
      <c r="SRF177" s="3"/>
      <c r="SRG177" s="3"/>
      <c r="SRH177" s="3"/>
      <c r="SRI177" s="3"/>
      <c r="SRJ177" s="3"/>
      <c r="SRK177" s="3"/>
      <c r="SRL177" s="3"/>
      <c r="SRM177" s="3"/>
      <c r="SRN177" s="3"/>
      <c r="SRO177" s="3"/>
      <c r="SRP177" s="3"/>
      <c r="SRQ177" s="3"/>
      <c r="SRR177" s="3"/>
      <c r="SRS177" s="3"/>
      <c r="SRT177" s="3"/>
      <c r="SRU177" s="3"/>
      <c r="SRV177" s="3"/>
      <c r="SRW177" s="3"/>
      <c r="SRX177" s="3"/>
      <c r="SRY177" s="3"/>
      <c r="SRZ177" s="3"/>
      <c r="SSA177" s="3"/>
      <c r="SSB177" s="3"/>
      <c r="SSC177" s="3"/>
      <c r="SSD177" s="3"/>
      <c r="SSE177" s="3"/>
      <c r="SSF177" s="3"/>
      <c r="SSG177" s="3"/>
      <c r="SSH177" s="3"/>
      <c r="SSI177" s="3"/>
      <c r="SSJ177" s="3"/>
      <c r="SSK177" s="3"/>
      <c r="SSL177" s="3"/>
      <c r="SSM177" s="3"/>
      <c r="SSN177" s="3"/>
      <c r="SSO177" s="3"/>
      <c r="SSP177" s="3"/>
      <c r="SSQ177" s="3"/>
      <c r="SSR177" s="3"/>
      <c r="SSS177" s="3"/>
      <c r="SST177" s="3"/>
      <c r="SSU177" s="3"/>
      <c r="SSV177" s="3"/>
      <c r="SSW177" s="3"/>
      <c r="SSX177" s="3"/>
      <c r="SSY177" s="3"/>
      <c r="SSZ177" s="3"/>
      <c r="STA177" s="3"/>
      <c r="STB177" s="3"/>
      <c r="STC177" s="3"/>
      <c r="STD177" s="3"/>
      <c r="STE177" s="3"/>
      <c r="STF177" s="3"/>
      <c r="STG177" s="3"/>
      <c r="STH177" s="3"/>
      <c r="STI177" s="3"/>
      <c r="STJ177" s="3"/>
      <c r="STK177" s="3"/>
      <c r="STL177" s="3"/>
      <c r="STM177" s="3"/>
      <c r="STN177" s="3"/>
      <c r="STO177" s="3"/>
      <c r="STP177" s="3"/>
      <c r="STQ177" s="3"/>
      <c r="STR177" s="3"/>
      <c r="STS177" s="3"/>
      <c r="STT177" s="3"/>
      <c r="STU177" s="3"/>
      <c r="STV177" s="3"/>
      <c r="STW177" s="3"/>
      <c r="STX177" s="3"/>
      <c r="STY177" s="3"/>
      <c r="STZ177" s="3"/>
      <c r="SUA177" s="3"/>
      <c r="SUB177" s="3"/>
      <c r="SUC177" s="3"/>
      <c r="SUD177" s="3"/>
      <c r="SUE177" s="3"/>
      <c r="SUF177" s="3"/>
      <c r="SUG177" s="3"/>
      <c r="SUH177" s="3"/>
      <c r="SUI177" s="3"/>
      <c r="SUJ177" s="3"/>
      <c r="SUK177" s="3"/>
      <c r="SUL177" s="3"/>
      <c r="SUM177" s="3"/>
      <c r="SUN177" s="3"/>
      <c r="SUO177" s="3"/>
      <c r="SUP177" s="3"/>
      <c r="SUQ177" s="3"/>
      <c r="SUR177" s="3"/>
      <c r="SUS177" s="3"/>
      <c r="SUT177" s="3"/>
      <c r="SUU177" s="3"/>
      <c r="SUV177" s="3"/>
      <c r="SUW177" s="3"/>
      <c r="SUX177" s="3"/>
      <c r="SUY177" s="3"/>
      <c r="SUZ177" s="3"/>
      <c r="SVA177" s="3"/>
      <c r="SVB177" s="3"/>
      <c r="SVC177" s="3"/>
      <c r="SVD177" s="3"/>
      <c r="SVE177" s="3"/>
      <c r="SVF177" s="3"/>
      <c r="SVG177" s="3"/>
      <c r="SVH177" s="3"/>
      <c r="SVI177" s="3"/>
      <c r="SVJ177" s="3"/>
      <c r="SVK177" s="3"/>
      <c r="SVL177" s="3"/>
      <c r="SVM177" s="3"/>
      <c r="SVN177" s="3"/>
      <c r="SVO177" s="3"/>
      <c r="SVP177" s="3"/>
      <c r="SVQ177" s="3"/>
      <c r="SVR177" s="3"/>
      <c r="SVS177" s="3"/>
      <c r="SVT177" s="3"/>
      <c r="SVU177" s="3"/>
      <c r="SVV177" s="3"/>
      <c r="SVW177" s="3"/>
      <c r="SVX177" s="3"/>
      <c r="SVY177" s="3"/>
      <c r="SVZ177" s="3"/>
      <c r="SWA177" s="3"/>
      <c r="SWB177" s="3"/>
      <c r="SWC177" s="3"/>
      <c r="SWD177" s="3"/>
      <c r="SWE177" s="3"/>
      <c r="SWF177" s="3"/>
      <c r="SWG177" s="3"/>
      <c r="SWH177" s="3"/>
      <c r="SWI177" s="3"/>
      <c r="SWJ177" s="3"/>
      <c r="SWK177" s="3"/>
      <c r="SWL177" s="3"/>
      <c r="SWM177" s="3"/>
      <c r="SWN177" s="3"/>
      <c r="SWO177" s="3"/>
      <c r="SWP177" s="3"/>
      <c r="SWQ177" s="3"/>
      <c r="SWR177" s="3"/>
      <c r="SWS177" s="3"/>
      <c r="SWT177" s="3"/>
      <c r="SWU177" s="3"/>
      <c r="SWV177" s="3"/>
      <c r="SWW177" s="3"/>
      <c r="SWX177" s="3"/>
      <c r="SWY177" s="3"/>
      <c r="SWZ177" s="3"/>
      <c r="SXA177" s="3"/>
      <c r="SXB177" s="3"/>
      <c r="SXC177" s="3"/>
      <c r="SXD177" s="3"/>
      <c r="SXE177" s="3"/>
      <c r="SXF177" s="3"/>
      <c r="SXG177" s="3"/>
      <c r="SXH177" s="3"/>
      <c r="SXI177" s="3"/>
      <c r="SXJ177" s="3"/>
      <c r="SXK177" s="3"/>
      <c r="SXL177" s="3"/>
      <c r="SXM177" s="3"/>
      <c r="SXN177" s="3"/>
      <c r="SXO177" s="3"/>
      <c r="SXP177" s="3"/>
      <c r="SXQ177" s="3"/>
      <c r="SXR177" s="3"/>
      <c r="SXS177" s="3"/>
      <c r="SXT177" s="3"/>
      <c r="SXU177" s="3"/>
      <c r="SXV177" s="3"/>
      <c r="SXW177" s="3"/>
      <c r="SXX177" s="3"/>
      <c r="SXY177" s="3"/>
      <c r="SXZ177" s="3"/>
      <c r="SYA177" s="3"/>
      <c r="SYB177" s="3"/>
      <c r="SYC177" s="3"/>
      <c r="SYD177" s="3"/>
      <c r="SYE177" s="3"/>
      <c r="SYF177" s="3"/>
      <c r="SYG177" s="3"/>
      <c r="SYH177" s="3"/>
      <c r="SYI177" s="3"/>
      <c r="SYJ177" s="3"/>
      <c r="SYK177" s="3"/>
      <c r="SYL177" s="3"/>
      <c r="SYM177" s="3"/>
      <c r="SYN177" s="3"/>
      <c r="SYO177" s="3"/>
      <c r="SYP177" s="3"/>
      <c r="SYQ177" s="3"/>
      <c r="SYR177" s="3"/>
      <c r="SYS177" s="3"/>
      <c r="SYT177" s="3"/>
      <c r="SYU177" s="3"/>
      <c r="SYV177" s="3"/>
      <c r="SYW177" s="3"/>
      <c r="SYX177" s="3"/>
      <c r="SYY177" s="3"/>
      <c r="SYZ177" s="3"/>
      <c r="SZA177" s="3"/>
      <c r="SZB177" s="3"/>
      <c r="SZC177" s="3"/>
      <c r="SZD177" s="3"/>
      <c r="SZE177" s="3"/>
      <c r="SZF177" s="3"/>
      <c r="SZG177" s="3"/>
      <c r="SZH177" s="3"/>
      <c r="SZI177" s="3"/>
      <c r="SZJ177" s="3"/>
      <c r="SZK177" s="3"/>
      <c r="SZL177" s="3"/>
      <c r="SZM177" s="3"/>
      <c r="SZN177" s="3"/>
      <c r="SZO177" s="3"/>
      <c r="SZP177" s="3"/>
      <c r="SZQ177" s="3"/>
      <c r="SZR177" s="3"/>
      <c r="SZS177" s="3"/>
      <c r="SZT177" s="3"/>
      <c r="SZU177" s="3"/>
      <c r="SZV177" s="3"/>
      <c r="SZW177" s="3"/>
      <c r="SZX177" s="3"/>
      <c r="SZY177" s="3"/>
      <c r="SZZ177" s="3"/>
      <c r="TAA177" s="3"/>
      <c r="TAB177" s="3"/>
      <c r="TAC177" s="3"/>
      <c r="TAD177" s="3"/>
      <c r="TAE177" s="3"/>
      <c r="TAF177" s="3"/>
      <c r="TAG177" s="3"/>
      <c r="TAH177" s="3"/>
      <c r="TAI177" s="3"/>
      <c r="TAJ177" s="3"/>
      <c r="TAK177" s="3"/>
      <c r="TAL177" s="3"/>
      <c r="TAM177" s="3"/>
      <c r="TAN177" s="3"/>
      <c r="TAO177" s="3"/>
      <c r="TAP177" s="3"/>
      <c r="TAQ177" s="3"/>
      <c r="TAR177" s="3"/>
      <c r="TAS177" s="3"/>
      <c r="TAT177" s="3"/>
      <c r="TAU177" s="3"/>
      <c r="TAV177" s="3"/>
      <c r="TAW177" s="3"/>
      <c r="TAX177" s="3"/>
      <c r="TAY177" s="3"/>
      <c r="TAZ177" s="3"/>
      <c r="TBA177" s="3"/>
      <c r="TBB177" s="3"/>
      <c r="TBC177" s="3"/>
      <c r="TBD177" s="3"/>
      <c r="TBE177" s="3"/>
      <c r="TBF177" s="3"/>
      <c r="TBG177" s="3"/>
      <c r="TBH177" s="3"/>
      <c r="TBI177" s="3"/>
      <c r="TBJ177" s="3"/>
      <c r="TBK177" s="3"/>
      <c r="TBL177" s="3"/>
      <c r="TBM177" s="3"/>
      <c r="TBN177" s="3"/>
      <c r="TBO177" s="3"/>
      <c r="TBP177" s="3"/>
      <c r="TBQ177" s="3"/>
      <c r="TBR177" s="3"/>
      <c r="TBS177" s="3"/>
      <c r="TBT177" s="3"/>
      <c r="TBU177" s="3"/>
      <c r="TBV177" s="3"/>
      <c r="TBW177" s="3"/>
      <c r="TBX177" s="3"/>
      <c r="TBY177" s="3"/>
      <c r="TBZ177" s="3"/>
      <c r="TCA177" s="3"/>
      <c r="TCB177" s="3"/>
      <c r="TCC177" s="3"/>
      <c r="TCD177" s="3"/>
      <c r="TCE177" s="3"/>
      <c r="TCF177" s="3"/>
      <c r="TCG177" s="3"/>
      <c r="TCH177" s="3"/>
      <c r="TCI177" s="3"/>
      <c r="TCJ177" s="3"/>
      <c r="TCK177" s="3"/>
      <c r="TCL177" s="3"/>
      <c r="TCM177" s="3"/>
      <c r="TCN177" s="3"/>
      <c r="TCO177" s="3"/>
      <c r="TCP177" s="3"/>
      <c r="TCQ177" s="3"/>
      <c r="TCR177" s="3"/>
      <c r="TCS177" s="3"/>
      <c r="TCT177" s="3"/>
      <c r="TCU177" s="3"/>
      <c r="TCV177" s="3"/>
      <c r="TCW177" s="3"/>
      <c r="TCX177" s="3"/>
      <c r="TCY177" s="3"/>
      <c r="TCZ177" s="3"/>
      <c r="TDA177" s="3"/>
      <c r="TDB177" s="3"/>
      <c r="TDC177" s="3"/>
      <c r="TDD177" s="3"/>
      <c r="TDE177" s="3"/>
      <c r="TDF177" s="3"/>
      <c r="TDG177" s="3"/>
      <c r="TDH177" s="3"/>
      <c r="TDI177" s="3"/>
      <c r="TDJ177" s="3"/>
      <c r="TDK177" s="3"/>
      <c r="TDL177" s="3"/>
      <c r="TDM177" s="3"/>
      <c r="TDN177" s="3"/>
      <c r="TDO177" s="3"/>
      <c r="TDP177" s="3"/>
      <c r="TDQ177" s="3"/>
      <c r="TDR177" s="3"/>
      <c r="TDS177" s="3"/>
      <c r="TDT177" s="3"/>
      <c r="TDU177" s="3"/>
      <c r="TDV177" s="3"/>
      <c r="TDW177" s="3"/>
      <c r="TDX177" s="3"/>
      <c r="TDY177" s="3"/>
      <c r="TDZ177" s="3"/>
      <c r="TEA177" s="3"/>
      <c r="TEB177" s="3"/>
      <c r="TEC177" s="3"/>
      <c r="TED177" s="3"/>
      <c r="TEE177" s="3"/>
      <c r="TEF177" s="3"/>
      <c r="TEG177" s="3"/>
      <c r="TEH177" s="3"/>
      <c r="TEI177" s="3"/>
      <c r="TEJ177" s="3"/>
      <c r="TEK177" s="3"/>
      <c r="TEL177" s="3"/>
      <c r="TEM177" s="3"/>
      <c r="TEN177" s="3"/>
      <c r="TEO177" s="3"/>
      <c r="TEP177" s="3"/>
      <c r="TEQ177" s="3"/>
      <c r="TER177" s="3"/>
      <c r="TES177" s="3"/>
      <c r="TET177" s="3"/>
      <c r="TEU177" s="3"/>
      <c r="TEV177" s="3"/>
      <c r="TEW177" s="3"/>
      <c r="TEX177" s="3"/>
      <c r="TEY177" s="3"/>
      <c r="TEZ177" s="3"/>
      <c r="TFA177" s="3"/>
      <c r="TFB177" s="3"/>
      <c r="TFC177" s="3"/>
      <c r="TFD177" s="3"/>
      <c r="TFE177" s="3"/>
      <c r="TFF177" s="3"/>
      <c r="TFG177" s="3"/>
      <c r="TFH177" s="3"/>
      <c r="TFI177" s="3"/>
      <c r="TFJ177" s="3"/>
      <c r="TFK177" s="3"/>
      <c r="TFL177" s="3"/>
      <c r="TFM177" s="3"/>
      <c r="TFN177" s="3"/>
      <c r="TFO177" s="3"/>
      <c r="TFP177" s="3"/>
      <c r="TFQ177" s="3"/>
      <c r="TFR177" s="3"/>
      <c r="TFS177" s="3"/>
      <c r="TFT177" s="3"/>
      <c r="TFU177" s="3"/>
      <c r="TFV177" s="3"/>
      <c r="TFW177" s="3"/>
      <c r="TFX177" s="3"/>
      <c r="TFY177" s="3"/>
      <c r="TFZ177" s="3"/>
      <c r="TGA177" s="3"/>
      <c r="TGB177" s="3"/>
      <c r="TGC177" s="3"/>
      <c r="TGD177" s="3"/>
      <c r="TGE177" s="3"/>
      <c r="TGF177" s="3"/>
      <c r="TGG177" s="3"/>
      <c r="TGH177" s="3"/>
      <c r="TGI177" s="3"/>
      <c r="TGJ177" s="3"/>
      <c r="TGK177" s="3"/>
      <c r="TGL177" s="3"/>
      <c r="TGM177" s="3"/>
      <c r="TGN177" s="3"/>
      <c r="TGO177" s="3"/>
      <c r="TGP177" s="3"/>
      <c r="TGQ177" s="3"/>
      <c r="TGR177" s="3"/>
      <c r="TGS177" s="3"/>
      <c r="TGT177" s="3"/>
      <c r="TGU177" s="3"/>
      <c r="TGV177" s="3"/>
      <c r="TGW177" s="3"/>
      <c r="TGX177" s="3"/>
      <c r="TGY177" s="3"/>
      <c r="TGZ177" s="3"/>
      <c r="THA177" s="3"/>
      <c r="THB177" s="3"/>
      <c r="THC177" s="3"/>
      <c r="THD177" s="3"/>
      <c r="THE177" s="3"/>
      <c r="THF177" s="3"/>
      <c r="THG177" s="3"/>
      <c r="THH177" s="3"/>
      <c r="THI177" s="3"/>
      <c r="THJ177" s="3"/>
      <c r="THK177" s="3"/>
      <c r="THL177" s="3"/>
      <c r="THM177" s="3"/>
      <c r="THN177" s="3"/>
      <c r="THO177" s="3"/>
      <c r="THP177" s="3"/>
      <c r="THQ177" s="3"/>
      <c r="THR177" s="3"/>
      <c r="THS177" s="3"/>
      <c r="THT177" s="3"/>
      <c r="THU177" s="3"/>
      <c r="THV177" s="3"/>
      <c r="THW177" s="3"/>
      <c r="THX177" s="3"/>
      <c r="THY177" s="3"/>
      <c r="THZ177" s="3"/>
      <c r="TIA177" s="3"/>
      <c r="TIB177" s="3"/>
      <c r="TIC177" s="3"/>
      <c r="TID177" s="3"/>
      <c r="TIE177" s="3"/>
      <c r="TIF177" s="3"/>
      <c r="TIG177" s="3"/>
      <c r="TIH177" s="3"/>
      <c r="TII177" s="3"/>
      <c r="TIJ177" s="3"/>
      <c r="TIK177" s="3"/>
      <c r="TIL177" s="3"/>
      <c r="TIM177" s="3"/>
      <c r="TIN177" s="3"/>
      <c r="TIO177" s="3"/>
      <c r="TIP177" s="3"/>
      <c r="TIQ177" s="3"/>
      <c r="TIR177" s="3"/>
      <c r="TIS177" s="3"/>
      <c r="TIT177" s="3"/>
      <c r="TIU177" s="3"/>
      <c r="TIV177" s="3"/>
      <c r="TIW177" s="3"/>
      <c r="TIX177" s="3"/>
      <c r="TIY177" s="3"/>
      <c r="TIZ177" s="3"/>
      <c r="TJA177" s="3"/>
      <c r="TJB177" s="3"/>
      <c r="TJC177" s="3"/>
      <c r="TJD177" s="3"/>
      <c r="TJE177" s="3"/>
      <c r="TJF177" s="3"/>
      <c r="TJG177" s="3"/>
      <c r="TJH177" s="3"/>
      <c r="TJI177" s="3"/>
      <c r="TJJ177" s="3"/>
      <c r="TJK177" s="3"/>
      <c r="TJL177" s="3"/>
      <c r="TJM177" s="3"/>
      <c r="TJN177" s="3"/>
      <c r="TJO177" s="3"/>
      <c r="TJP177" s="3"/>
      <c r="TJQ177" s="3"/>
      <c r="TJR177" s="3"/>
      <c r="TJS177" s="3"/>
      <c r="TJT177" s="3"/>
      <c r="TJU177" s="3"/>
      <c r="TJV177" s="3"/>
      <c r="TJW177" s="3"/>
      <c r="TJX177" s="3"/>
      <c r="TJY177" s="3"/>
      <c r="TJZ177" s="3"/>
      <c r="TKA177" s="3"/>
      <c r="TKB177" s="3"/>
      <c r="TKC177" s="3"/>
      <c r="TKD177" s="3"/>
      <c r="TKE177" s="3"/>
      <c r="TKF177" s="3"/>
      <c r="TKG177" s="3"/>
      <c r="TKH177" s="3"/>
      <c r="TKI177" s="3"/>
      <c r="TKJ177" s="3"/>
      <c r="TKK177" s="3"/>
      <c r="TKL177" s="3"/>
      <c r="TKM177" s="3"/>
      <c r="TKN177" s="3"/>
      <c r="TKO177" s="3"/>
      <c r="TKP177" s="3"/>
      <c r="TKQ177" s="3"/>
      <c r="TKR177" s="3"/>
      <c r="TKS177" s="3"/>
      <c r="TKT177" s="3"/>
      <c r="TKU177" s="3"/>
      <c r="TKV177" s="3"/>
      <c r="TKW177" s="3"/>
      <c r="TKX177" s="3"/>
      <c r="TKY177" s="3"/>
      <c r="TKZ177" s="3"/>
      <c r="TLA177" s="3"/>
      <c r="TLB177" s="3"/>
      <c r="TLC177" s="3"/>
      <c r="TLD177" s="3"/>
      <c r="TLE177" s="3"/>
      <c r="TLF177" s="3"/>
      <c r="TLG177" s="3"/>
      <c r="TLH177" s="3"/>
      <c r="TLI177" s="3"/>
      <c r="TLJ177" s="3"/>
      <c r="TLK177" s="3"/>
      <c r="TLL177" s="3"/>
      <c r="TLM177" s="3"/>
      <c r="TLN177" s="3"/>
      <c r="TLO177" s="3"/>
      <c r="TLP177" s="3"/>
      <c r="TLQ177" s="3"/>
      <c r="TLR177" s="3"/>
      <c r="TLS177" s="3"/>
      <c r="TLT177" s="3"/>
      <c r="TLU177" s="3"/>
      <c r="TLV177" s="3"/>
      <c r="TLW177" s="3"/>
      <c r="TLX177" s="3"/>
      <c r="TLY177" s="3"/>
      <c r="TLZ177" s="3"/>
      <c r="TMA177" s="3"/>
      <c r="TMB177" s="3"/>
      <c r="TMC177" s="3"/>
      <c r="TMD177" s="3"/>
      <c r="TME177" s="3"/>
      <c r="TMF177" s="3"/>
      <c r="TMG177" s="3"/>
      <c r="TMH177" s="3"/>
      <c r="TMI177" s="3"/>
      <c r="TMJ177" s="3"/>
      <c r="TMK177" s="3"/>
      <c r="TML177" s="3"/>
      <c r="TMM177" s="3"/>
      <c r="TMN177" s="3"/>
      <c r="TMO177" s="3"/>
      <c r="TMP177" s="3"/>
      <c r="TMQ177" s="3"/>
      <c r="TMR177" s="3"/>
      <c r="TMS177" s="3"/>
      <c r="TMT177" s="3"/>
      <c r="TMU177" s="3"/>
      <c r="TMV177" s="3"/>
      <c r="TMW177" s="3"/>
      <c r="TMX177" s="3"/>
      <c r="TMY177" s="3"/>
      <c r="TMZ177" s="3"/>
      <c r="TNA177" s="3"/>
      <c r="TNB177" s="3"/>
      <c r="TNC177" s="3"/>
      <c r="TND177" s="3"/>
      <c r="TNE177" s="3"/>
      <c r="TNF177" s="3"/>
      <c r="TNG177" s="3"/>
      <c r="TNH177" s="3"/>
      <c r="TNI177" s="3"/>
      <c r="TNJ177" s="3"/>
      <c r="TNK177" s="3"/>
      <c r="TNL177" s="3"/>
      <c r="TNM177" s="3"/>
      <c r="TNN177" s="3"/>
      <c r="TNO177" s="3"/>
      <c r="TNP177" s="3"/>
      <c r="TNQ177" s="3"/>
      <c r="TNR177" s="3"/>
      <c r="TNS177" s="3"/>
      <c r="TNT177" s="3"/>
      <c r="TNU177" s="3"/>
      <c r="TNV177" s="3"/>
      <c r="TNW177" s="3"/>
      <c r="TNX177" s="3"/>
      <c r="TNY177" s="3"/>
      <c r="TNZ177" s="3"/>
      <c r="TOA177" s="3"/>
      <c r="TOB177" s="3"/>
      <c r="TOC177" s="3"/>
      <c r="TOD177" s="3"/>
      <c r="TOE177" s="3"/>
      <c r="TOF177" s="3"/>
      <c r="TOG177" s="3"/>
      <c r="TOH177" s="3"/>
      <c r="TOI177" s="3"/>
      <c r="TOJ177" s="3"/>
      <c r="TOK177" s="3"/>
      <c r="TOL177" s="3"/>
      <c r="TOM177" s="3"/>
      <c r="TON177" s="3"/>
      <c r="TOO177" s="3"/>
      <c r="TOP177" s="3"/>
      <c r="TOQ177" s="3"/>
      <c r="TOR177" s="3"/>
      <c r="TOS177" s="3"/>
      <c r="TOT177" s="3"/>
      <c r="TOU177" s="3"/>
      <c r="TOV177" s="3"/>
      <c r="TOW177" s="3"/>
      <c r="TOX177" s="3"/>
      <c r="TOY177" s="3"/>
      <c r="TOZ177" s="3"/>
      <c r="TPA177" s="3"/>
      <c r="TPB177" s="3"/>
      <c r="TPC177" s="3"/>
      <c r="TPD177" s="3"/>
      <c r="TPE177" s="3"/>
      <c r="TPF177" s="3"/>
      <c r="TPG177" s="3"/>
      <c r="TPH177" s="3"/>
      <c r="TPI177" s="3"/>
      <c r="TPJ177" s="3"/>
      <c r="TPK177" s="3"/>
      <c r="TPL177" s="3"/>
      <c r="TPM177" s="3"/>
      <c r="TPN177" s="3"/>
      <c r="TPO177" s="3"/>
      <c r="TPP177" s="3"/>
      <c r="TPQ177" s="3"/>
      <c r="TPR177" s="3"/>
      <c r="TPS177" s="3"/>
      <c r="TPT177" s="3"/>
      <c r="TPU177" s="3"/>
      <c r="TPV177" s="3"/>
      <c r="TPW177" s="3"/>
      <c r="TPX177" s="3"/>
      <c r="TPY177" s="3"/>
      <c r="TPZ177" s="3"/>
      <c r="TQA177" s="3"/>
      <c r="TQB177" s="3"/>
      <c r="TQC177" s="3"/>
      <c r="TQD177" s="3"/>
      <c r="TQE177" s="3"/>
      <c r="TQF177" s="3"/>
      <c r="TQG177" s="3"/>
      <c r="TQH177" s="3"/>
      <c r="TQI177" s="3"/>
      <c r="TQJ177" s="3"/>
      <c r="TQK177" s="3"/>
      <c r="TQL177" s="3"/>
      <c r="TQM177" s="3"/>
      <c r="TQN177" s="3"/>
      <c r="TQO177" s="3"/>
      <c r="TQP177" s="3"/>
      <c r="TQQ177" s="3"/>
      <c r="TQR177" s="3"/>
      <c r="TQS177" s="3"/>
      <c r="TQT177" s="3"/>
      <c r="TQU177" s="3"/>
      <c r="TQV177" s="3"/>
      <c r="TQW177" s="3"/>
      <c r="TQX177" s="3"/>
      <c r="TQY177" s="3"/>
      <c r="TQZ177" s="3"/>
      <c r="TRA177" s="3"/>
      <c r="TRB177" s="3"/>
      <c r="TRC177" s="3"/>
      <c r="TRD177" s="3"/>
      <c r="TRE177" s="3"/>
      <c r="TRF177" s="3"/>
      <c r="TRG177" s="3"/>
      <c r="TRH177" s="3"/>
      <c r="TRI177" s="3"/>
      <c r="TRJ177" s="3"/>
      <c r="TRK177" s="3"/>
      <c r="TRL177" s="3"/>
      <c r="TRM177" s="3"/>
      <c r="TRN177" s="3"/>
      <c r="TRO177" s="3"/>
      <c r="TRP177" s="3"/>
      <c r="TRQ177" s="3"/>
      <c r="TRR177" s="3"/>
      <c r="TRS177" s="3"/>
      <c r="TRT177" s="3"/>
      <c r="TRU177" s="3"/>
      <c r="TRV177" s="3"/>
      <c r="TRW177" s="3"/>
      <c r="TRX177" s="3"/>
      <c r="TRY177" s="3"/>
      <c r="TRZ177" s="3"/>
      <c r="TSA177" s="3"/>
      <c r="TSB177" s="3"/>
      <c r="TSC177" s="3"/>
      <c r="TSD177" s="3"/>
      <c r="TSE177" s="3"/>
      <c r="TSF177" s="3"/>
      <c r="TSG177" s="3"/>
      <c r="TSH177" s="3"/>
      <c r="TSI177" s="3"/>
      <c r="TSJ177" s="3"/>
      <c r="TSK177" s="3"/>
      <c r="TSL177" s="3"/>
      <c r="TSM177" s="3"/>
      <c r="TSN177" s="3"/>
      <c r="TSO177" s="3"/>
      <c r="TSP177" s="3"/>
      <c r="TSQ177" s="3"/>
      <c r="TSR177" s="3"/>
      <c r="TSS177" s="3"/>
      <c r="TST177" s="3"/>
      <c r="TSU177" s="3"/>
      <c r="TSV177" s="3"/>
      <c r="TSW177" s="3"/>
      <c r="TSX177" s="3"/>
      <c r="TSY177" s="3"/>
      <c r="TSZ177" s="3"/>
      <c r="TTA177" s="3"/>
      <c r="TTB177" s="3"/>
      <c r="TTC177" s="3"/>
      <c r="TTD177" s="3"/>
      <c r="TTE177" s="3"/>
      <c r="TTF177" s="3"/>
      <c r="TTG177" s="3"/>
      <c r="TTH177" s="3"/>
      <c r="TTI177" s="3"/>
      <c r="TTJ177" s="3"/>
      <c r="TTK177" s="3"/>
      <c r="TTL177" s="3"/>
      <c r="TTM177" s="3"/>
      <c r="TTN177" s="3"/>
      <c r="TTO177" s="3"/>
      <c r="TTP177" s="3"/>
      <c r="TTQ177" s="3"/>
      <c r="TTR177" s="3"/>
      <c r="TTS177" s="3"/>
      <c r="TTT177" s="3"/>
      <c r="TTU177" s="3"/>
      <c r="TTV177" s="3"/>
      <c r="TTW177" s="3"/>
      <c r="TTX177" s="3"/>
      <c r="TTY177" s="3"/>
      <c r="TTZ177" s="3"/>
      <c r="TUA177" s="3"/>
      <c r="TUB177" s="3"/>
      <c r="TUC177" s="3"/>
      <c r="TUD177" s="3"/>
      <c r="TUE177" s="3"/>
      <c r="TUF177" s="3"/>
      <c r="TUG177" s="3"/>
      <c r="TUH177" s="3"/>
      <c r="TUI177" s="3"/>
      <c r="TUJ177" s="3"/>
      <c r="TUK177" s="3"/>
      <c r="TUL177" s="3"/>
      <c r="TUM177" s="3"/>
      <c r="TUN177" s="3"/>
      <c r="TUO177" s="3"/>
      <c r="TUP177" s="3"/>
      <c r="TUQ177" s="3"/>
      <c r="TUR177" s="3"/>
      <c r="TUS177" s="3"/>
      <c r="TUT177" s="3"/>
      <c r="TUU177" s="3"/>
      <c r="TUV177" s="3"/>
      <c r="TUW177" s="3"/>
      <c r="TUX177" s="3"/>
      <c r="TUY177" s="3"/>
      <c r="TUZ177" s="3"/>
      <c r="TVA177" s="3"/>
      <c r="TVB177" s="3"/>
      <c r="TVC177" s="3"/>
      <c r="TVD177" s="3"/>
      <c r="TVE177" s="3"/>
      <c r="TVF177" s="3"/>
      <c r="TVG177" s="3"/>
      <c r="TVH177" s="3"/>
      <c r="TVI177" s="3"/>
      <c r="TVJ177" s="3"/>
      <c r="TVK177" s="3"/>
      <c r="TVL177" s="3"/>
      <c r="TVM177" s="3"/>
      <c r="TVN177" s="3"/>
      <c r="TVO177" s="3"/>
      <c r="TVP177" s="3"/>
      <c r="TVQ177" s="3"/>
      <c r="TVR177" s="3"/>
      <c r="TVS177" s="3"/>
      <c r="TVT177" s="3"/>
      <c r="TVU177" s="3"/>
      <c r="TVV177" s="3"/>
      <c r="TVW177" s="3"/>
      <c r="TVX177" s="3"/>
      <c r="TVY177" s="3"/>
      <c r="TVZ177" s="3"/>
      <c r="TWA177" s="3"/>
      <c r="TWB177" s="3"/>
      <c r="TWC177" s="3"/>
      <c r="TWD177" s="3"/>
      <c r="TWE177" s="3"/>
      <c r="TWF177" s="3"/>
      <c r="TWG177" s="3"/>
      <c r="TWH177" s="3"/>
      <c r="TWI177" s="3"/>
      <c r="TWJ177" s="3"/>
      <c r="TWK177" s="3"/>
      <c r="TWL177" s="3"/>
      <c r="TWM177" s="3"/>
      <c r="TWN177" s="3"/>
      <c r="TWO177" s="3"/>
      <c r="TWP177" s="3"/>
      <c r="TWQ177" s="3"/>
      <c r="TWR177" s="3"/>
      <c r="TWS177" s="3"/>
      <c r="TWT177" s="3"/>
      <c r="TWU177" s="3"/>
      <c r="TWV177" s="3"/>
      <c r="TWW177" s="3"/>
      <c r="TWX177" s="3"/>
      <c r="TWY177" s="3"/>
      <c r="TWZ177" s="3"/>
      <c r="TXA177" s="3"/>
      <c r="TXB177" s="3"/>
      <c r="TXC177" s="3"/>
      <c r="TXD177" s="3"/>
      <c r="TXE177" s="3"/>
      <c r="TXF177" s="3"/>
      <c r="TXG177" s="3"/>
      <c r="TXH177" s="3"/>
      <c r="TXI177" s="3"/>
      <c r="TXJ177" s="3"/>
      <c r="TXK177" s="3"/>
      <c r="TXL177" s="3"/>
      <c r="TXM177" s="3"/>
      <c r="TXN177" s="3"/>
      <c r="TXO177" s="3"/>
      <c r="TXP177" s="3"/>
      <c r="TXQ177" s="3"/>
      <c r="TXR177" s="3"/>
      <c r="TXS177" s="3"/>
      <c r="TXT177" s="3"/>
      <c r="TXU177" s="3"/>
      <c r="TXV177" s="3"/>
      <c r="TXW177" s="3"/>
      <c r="TXX177" s="3"/>
      <c r="TXY177" s="3"/>
      <c r="TXZ177" s="3"/>
      <c r="TYA177" s="3"/>
      <c r="TYB177" s="3"/>
      <c r="TYC177" s="3"/>
      <c r="TYD177" s="3"/>
      <c r="TYE177" s="3"/>
      <c r="TYF177" s="3"/>
      <c r="TYG177" s="3"/>
      <c r="TYH177" s="3"/>
      <c r="TYI177" s="3"/>
      <c r="TYJ177" s="3"/>
      <c r="TYK177" s="3"/>
      <c r="TYL177" s="3"/>
      <c r="TYM177" s="3"/>
      <c r="TYN177" s="3"/>
      <c r="TYO177" s="3"/>
      <c r="TYP177" s="3"/>
      <c r="TYQ177" s="3"/>
      <c r="TYR177" s="3"/>
      <c r="TYS177" s="3"/>
      <c r="TYT177" s="3"/>
      <c r="TYU177" s="3"/>
      <c r="TYV177" s="3"/>
      <c r="TYW177" s="3"/>
      <c r="TYX177" s="3"/>
      <c r="TYY177" s="3"/>
      <c r="TYZ177" s="3"/>
      <c r="TZA177" s="3"/>
      <c r="TZB177" s="3"/>
      <c r="TZC177" s="3"/>
      <c r="TZD177" s="3"/>
      <c r="TZE177" s="3"/>
      <c r="TZF177" s="3"/>
      <c r="TZG177" s="3"/>
      <c r="TZH177" s="3"/>
      <c r="TZI177" s="3"/>
      <c r="TZJ177" s="3"/>
      <c r="TZK177" s="3"/>
      <c r="TZL177" s="3"/>
      <c r="TZM177" s="3"/>
      <c r="TZN177" s="3"/>
      <c r="TZO177" s="3"/>
      <c r="TZP177" s="3"/>
      <c r="TZQ177" s="3"/>
      <c r="TZR177" s="3"/>
      <c r="TZS177" s="3"/>
      <c r="TZT177" s="3"/>
      <c r="TZU177" s="3"/>
      <c r="TZV177" s="3"/>
      <c r="TZW177" s="3"/>
      <c r="TZX177" s="3"/>
      <c r="TZY177" s="3"/>
      <c r="TZZ177" s="3"/>
      <c r="UAA177" s="3"/>
      <c r="UAB177" s="3"/>
      <c r="UAC177" s="3"/>
      <c r="UAD177" s="3"/>
      <c r="UAE177" s="3"/>
      <c r="UAF177" s="3"/>
      <c r="UAG177" s="3"/>
      <c r="UAH177" s="3"/>
      <c r="UAI177" s="3"/>
      <c r="UAJ177" s="3"/>
      <c r="UAK177" s="3"/>
      <c r="UAL177" s="3"/>
      <c r="UAM177" s="3"/>
      <c r="UAN177" s="3"/>
      <c r="UAO177" s="3"/>
      <c r="UAP177" s="3"/>
      <c r="UAQ177" s="3"/>
      <c r="UAR177" s="3"/>
      <c r="UAS177" s="3"/>
      <c r="UAT177" s="3"/>
      <c r="UAU177" s="3"/>
      <c r="UAV177" s="3"/>
      <c r="UAW177" s="3"/>
      <c r="UAX177" s="3"/>
      <c r="UAY177" s="3"/>
      <c r="UAZ177" s="3"/>
      <c r="UBA177" s="3"/>
      <c r="UBB177" s="3"/>
      <c r="UBC177" s="3"/>
      <c r="UBD177" s="3"/>
      <c r="UBE177" s="3"/>
      <c r="UBF177" s="3"/>
      <c r="UBG177" s="3"/>
      <c r="UBH177" s="3"/>
      <c r="UBI177" s="3"/>
      <c r="UBJ177" s="3"/>
      <c r="UBK177" s="3"/>
      <c r="UBL177" s="3"/>
      <c r="UBM177" s="3"/>
      <c r="UBN177" s="3"/>
      <c r="UBO177" s="3"/>
      <c r="UBP177" s="3"/>
      <c r="UBQ177" s="3"/>
      <c r="UBR177" s="3"/>
      <c r="UBS177" s="3"/>
      <c r="UBT177" s="3"/>
      <c r="UBU177" s="3"/>
      <c r="UBV177" s="3"/>
      <c r="UBW177" s="3"/>
      <c r="UBX177" s="3"/>
      <c r="UBY177" s="3"/>
      <c r="UBZ177" s="3"/>
      <c r="UCA177" s="3"/>
      <c r="UCB177" s="3"/>
      <c r="UCC177" s="3"/>
      <c r="UCD177" s="3"/>
      <c r="UCE177" s="3"/>
      <c r="UCF177" s="3"/>
      <c r="UCG177" s="3"/>
      <c r="UCH177" s="3"/>
      <c r="UCI177" s="3"/>
      <c r="UCJ177" s="3"/>
      <c r="UCK177" s="3"/>
      <c r="UCL177" s="3"/>
      <c r="UCM177" s="3"/>
      <c r="UCN177" s="3"/>
      <c r="UCO177" s="3"/>
      <c r="UCP177" s="3"/>
      <c r="UCQ177" s="3"/>
      <c r="UCR177" s="3"/>
      <c r="UCS177" s="3"/>
      <c r="UCT177" s="3"/>
      <c r="UCU177" s="3"/>
      <c r="UCV177" s="3"/>
      <c r="UCW177" s="3"/>
      <c r="UCX177" s="3"/>
      <c r="UCY177" s="3"/>
      <c r="UCZ177" s="3"/>
      <c r="UDA177" s="3"/>
      <c r="UDB177" s="3"/>
      <c r="UDC177" s="3"/>
      <c r="UDD177" s="3"/>
      <c r="UDE177" s="3"/>
      <c r="UDF177" s="3"/>
      <c r="UDG177" s="3"/>
      <c r="UDH177" s="3"/>
      <c r="UDI177" s="3"/>
      <c r="UDJ177" s="3"/>
      <c r="UDK177" s="3"/>
      <c r="UDL177" s="3"/>
      <c r="UDM177" s="3"/>
      <c r="UDN177" s="3"/>
      <c r="UDO177" s="3"/>
      <c r="UDP177" s="3"/>
      <c r="UDQ177" s="3"/>
      <c r="UDR177" s="3"/>
      <c r="UDS177" s="3"/>
      <c r="UDT177" s="3"/>
      <c r="UDU177" s="3"/>
      <c r="UDV177" s="3"/>
      <c r="UDW177" s="3"/>
      <c r="UDX177" s="3"/>
      <c r="UDY177" s="3"/>
      <c r="UDZ177" s="3"/>
      <c r="UEA177" s="3"/>
      <c r="UEB177" s="3"/>
      <c r="UEC177" s="3"/>
      <c r="UED177" s="3"/>
      <c r="UEE177" s="3"/>
      <c r="UEF177" s="3"/>
      <c r="UEG177" s="3"/>
      <c r="UEH177" s="3"/>
      <c r="UEI177" s="3"/>
      <c r="UEJ177" s="3"/>
      <c r="UEK177" s="3"/>
      <c r="UEL177" s="3"/>
      <c r="UEM177" s="3"/>
      <c r="UEN177" s="3"/>
      <c r="UEO177" s="3"/>
      <c r="UEP177" s="3"/>
      <c r="UEQ177" s="3"/>
      <c r="UER177" s="3"/>
      <c r="UES177" s="3"/>
      <c r="UET177" s="3"/>
      <c r="UEU177" s="3"/>
      <c r="UEV177" s="3"/>
      <c r="UEW177" s="3"/>
      <c r="UEX177" s="3"/>
      <c r="UEY177" s="3"/>
      <c r="UEZ177" s="3"/>
      <c r="UFA177" s="3"/>
      <c r="UFB177" s="3"/>
      <c r="UFC177" s="3"/>
      <c r="UFD177" s="3"/>
      <c r="UFE177" s="3"/>
      <c r="UFF177" s="3"/>
      <c r="UFG177" s="3"/>
      <c r="UFH177" s="3"/>
      <c r="UFI177" s="3"/>
      <c r="UFJ177" s="3"/>
      <c r="UFK177" s="3"/>
      <c r="UFL177" s="3"/>
      <c r="UFM177" s="3"/>
      <c r="UFN177" s="3"/>
      <c r="UFO177" s="3"/>
      <c r="UFP177" s="3"/>
      <c r="UFQ177" s="3"/>
      <c r="UFR177" s="3"/>
      <c r="UFS177" s="3"/>
      <c r="UFT177" s="3"/>
      <c r="UFU177" s="3"/>
      <c r="UFV177" s="3"/>
      <c r="UFW177" s="3"/>
      <c r="UFX177" s="3"/>
      <c r="UFY177" s="3"/>
      <c r="UFZ177" s="3"/>
      <c r="UGA177" s="3"/>
      <c r="UGB177" s="3"/>
      <c r="UGC177" s="3"/>
      <c r="UGD177" s="3"/>
      <c r="UGE177" s="3"/>
      <c r="UGF177" s="3"/>
      <c r="UGG177" s="3"/>
      <c r="UGH177" s="3"/>
      <c r="UGI177" s="3"/>
      <c r="UGJ177" s="3"/>
      <c r="UGK177" s="3"/>
      <c r="UGL177" s="3"/>
      <c r="UGM177" s="3"/>
      <c r="UGN177" s="3"/>
      <c r="UGO177" s="3"/>
      <c r="UGP177" s="3"/>
      <c r="UGQ177" s="3"/>
      <c r="UGR177" s="3"/>
      <c r="UGS177" s="3"/>
      <c r="UGT177" s="3"/>
      <c r="UGU177" s="3"/>
      <c r="UGV177" s="3"/>
      <c r="UGW177" s="3"/>
      <c r="UGX177" s="3"/>
      <c r="UGY177" s="3"/>
      <c r="UGZ177" s="3"/>
      <c r="UHA177" s="3"/>
      <c r="UHB177" s="3"/>
      <c r="UHC177" s="3"/>
      <c r="UHD177" s="3"/>
      <c r="UHE177" s="3"/>
      <c r="UHF177" s="3"/>
      <c r="UHG177" s="3"/>
      <c r="UHH177" s="3"/>
      <c r="UHI177" s="3"/>
      <c r="UHJ177" s="3"/>
      <c r="UHK177" s="3"/>
      <c r="UHL177" s="3"/>
      <c r="UHM177" s="3"/>
      <c r="UHN177" s="3"/>
      <c r="UHO177" s="3"/>
      <c r="UHP177" s="3"/>
      <c r="UHQ177" s="3"/>
      <c r="UHR177" s="3"/>
      <c r="UHS177" s="3"/>
      <c r="UHT177" s="3"/>
      <c r="UHU177" s="3"/>
      <c r="UHV177" s="3"/>
      <c r="UHW177" s="3"/>
      <c r="UHX177" s="3"/>
      <c r="UHY177" s="3"/>
      <c r="UHZ177" s="3"/>
      <c r="UIA177" s="3"/>
      <c r="UIB177" s="3"/>
      <c r="UIC177" s="3"/>
      <c r="UID177" s="3"/>
      <c r="UIE177" s="3"/>
      <c r="UIF177" s="3"/>
      <c r="UIG177" s="3"/>
      <c r="UIH177" s="3"/>
      <c r="UII177" s="3"/>
      <c r="UIJ177" s="3"/>
      <c r="UIK177" s="3"/>
      <c r="UIL177" s="3"/>
      <c r="UIM177" s="3"/>
      <c r="UIN177" s="3"/>
      <c r="UIO177" s="3"/>
      <c r="UIP177" s="3"/>
      <c r="UIQ177" s="3"/>
      <c r="UIR177" s="3"/>
      <c r="UIS177" s="3"/>
      <c r="UIT177" s="3"/>
      <c r="UIU177" s="3"/>
      <c r="UIV177" s="3"/>
      <c r="UIW177" s="3"/>
      <c r="UIX177" s="3"/>
      <c r="UIY177" s="3"/>
      <c r="UIZ177" s="3"/>
      <c r="UJA177" s="3"/>
      <c r="UJB177" s="3"/>
      <c r="UJC177" s="3"/>
      <c r="UJD177" s="3"/>
      <c r="UJE177" s="3"/>
      <c r="UJF177" s="3"/>
      <c r="UJG177" s="3"/>
      <c r="UJH177" s="3"/>
      <c r="UJI177" s="3"/>
      <c r="UJJ177" s="3"/>
      <c r="UJK177" s="3"/>
      <c r="UJL177" s="3"/>
      <c r="UJM177" s="3"/>
      <c r="UJN177" s="3"/>
      <c r="UJO177" s="3"/>
      <c r="UJP177" s="3"/>
      <c r="UJQ177" s="3"/>
      <c r="UJR177" s="3"/>
      <c r="UJS177" s="3"/>
      <c r="UJT177" s="3"/>
      <c r="UJU177" s="3"/>
      <c r="UJV177" s="3"/>
      <c r="UJW177" s="3"/>
      <c r="UJX177" s="3"/>
      <c r="UJY177" s="3"/>
      <c r="UJZ177" s="3"/>
      <c r="UKA177" s="3"/>
      <c r="UKB177" s="3"/>
      <c r="UKC177" s="3"/>
      <c r="UKD177" s="3"/>
      <c r="UKE177" s="3"/>
      <c r="UKF177" s="3"/>
      <c r="UKG177" s="3"/>
      <c r="UKH177" s="3"/>
      <c r="UKI177" s="3"/>
      <c r="UKJ177" s="3"/>
      <c r="UKK177" s="3"/>
      <c r="UKL177" s="3"/>
      <c r="UKM177" s="3"/>
      <c r="UKN177" s="3"/>
      <c r="UKO177" s="3"/>
      <c r="UKP177" s="3"/>
      <c r="UKQ177" s="3"/>
      <c r="UKR177" s="3"/>
      <c r="UKS177" s="3"/>
      <c r="UKT177" s="3"/>
      <c r="UKU177" s="3"/>
      <c r="UKV177" s="3"/>
      <c r="UKW177" s="3"/>
      <c r="UKX177" s="3"/>
      <c r="UKY177" s="3"/>
      <c r="UKZ177" s="3"/>
      <c r="ULA177" s="3"/>
      <c r="ULB177" s="3"/>
      <c r="ULC177" s="3"/>
      <c r="ULD177" s="3"/>
      <c r="ULE177" s="3"/>
      <c r="ULF177" s="3"/>
      <c r="ULG177" s="3"/>
      <c r="ULH177" s="3"/>
      <c r="ULI177" s="3"/>
      <c r="ULJ177" s="3"/>
      <c r="ULK177" s="3"/>
      <c r="ULL177" s="3"/>
      <c r="ULM177" s="3"/>
      <c r="ULN177" s="3"/>
      <c r="ULO177" s="3"/>
      <c r="ULP177" s="3"/>
      <c r="ULQ177" s="3"/>
      <c r="ULR177" s="3"/>
      <c r="ULS177" s="3"/>
      <c r="ULT177" s="3"/>
      <c r="ULU177" s="3"/>
      <c r="ULV177" s="3"/>
      <c r="ULW177" s="3"/>
      <c r="ULX177" s="3"/>
      <c r="ULY177" s="3"/>
      <c r="ULZ177" s="3"/>
      <c r="UMA177" s="3"/>
      <c r="UMB177" s="3"/>
      <c r="UMC177" s="3"/>
      <c r="UMD177" s="3"/>
      <c r="UME177" s="3"/>
      <c r="UMF177" s="3"/>
      <c r="UMG177" s="3"/>
      <c r="UMH177" s="3"/>
      <c r="UMI177" s="3"/>
      <c r="UMJ177" s="3"/>
      <c r="UMK177" s="3"/>
      <c r="UML177" s="3"/>
      <c r="UMM177" s="3"/>
      <c r="UMN177" s="3"/>
      <c r="UMO177" s="3"/>
      <c r="UMP177" s="3"/>
      <c r="UMQ177" s="3"/>
      <c r="UMR177" s="3"/>
      <c r="UMS177" s="3"/>
      <c r="UMT177" s="3"/>
      <c r="UMU177" s="3"/>
      <c r="UMV177" s="3"/>
      <c r="UMW177" s="3"/>
      <c r="UMX177" s="3"/>
      <c r="UMY177" s="3"/>
      <c r="UMZ177" s="3"/>
      <c r="UNA177" s="3"/>
      <c r="UNB177" s="3"/>
      <c r="UNC177" s="3"/>
      <c r="UND177" s="3"/>
      <c r="UNE177" s="3"/>
      <c r="UNF177" s="3"/>
      <c r="UNG177" s="3"/>
      <c r="UNH177" s="3"/>
      <c r="UNI177" s="3"/>
      <c r="UNJ177" s="3"/>
      <c r="UNK177" s="3"/>
      <c r="UNL177" s="3"/>
      <c r="UNM177" s="3"/>
      <c r="UNN177" s="3"/>
      <c r="UNO177" s="3"/>
      <c r="UNP177" s="3"/>
      <c r="UNQ177" s="3"/>
      <c r="UNR177" s="3"/>
      <c r="UNS177" s="3"/>
      <c r="UNT177" s="3"/>
      <c r="UNU177" s="3"/>
      <c r="UNV177" s="3"/>
      <c r="UNW177" s="3"/>
      <c r="UNX177" s="3"/>
      <c r="UNY177" s="3"/>
      <c r="UNZ177" s="3"/>
      <c r="UOA177" s="3"/>
      <c r="UOB177" s="3"/>
      <c r="UOC177" s="3"/>
      <c r="UOD177" s="3"/>
      <c r="UOE177" s="3"/>
      <c r="UOF177" s="3"/>
      <c r="UOG177" s="3"/>
      <c r="UOH177" s="3"/>
      <c r="UOI177" s="3"/>
      <c r="UOJ177" s="3"/>
      <c r="UOK177" s="3"/>
      <c r="UOL177" s="3"/>
      <c r="UOM177" s="3"/>
      <c r="UON177" s="3"/>
      <c r="UOO177" s="3"/>
      <c r="UOP177" s="3"/>
      <c r="UOQ177" s="3"/>
      <c r="UOR177" s="3"/>
      <c r="UOS177" s="3"/>
      <c r="UOT177" s="3"/>
      <c r="UOU177" s="3"/>
      <c r="UOV177" s="3"/>
      <c r="UOW177" s="3"/>
      <c r="UOX177" s="3"/>
      <c r="UOY177" s="3"/>
      <c r="UOZ177" s="3"/>
      <c r="UPA177" s="3"/>
      <c r="UPB177" s="3"/>
      <c r="UPC177" s="3"/>
      <c r="UPD177" s="3"/>
      <c r="UPE177" s="3"/>
      <c r="UPF177" s="3"/>
      <c r="UPG177" s="3"/>
      <c r="UPH177" s="3"/>
      <c r="UPI177" s="3"/>
      <c r="UPJ177" s="3"/>
      <c r="UPK177" s="3"/>
      <c r="UPL177" s="3"/>
      <c r="UPM177" s="3"/>
      <c r="UPN177" s="3"/>
      <c r="UPO177" s="3"/>
      <c r="UPP177" s="3"/>
      <c r="UPQ177" s="3"/>
      <c r="UPR177" s="3"/>
      <c r="UPS177" s="3"/>
      <c r="UPT177" s="3"/>
      <c r="UPU177" s="3"/>
      <c r="UPV177" s="3"/>
      <c r="UPW177" s="3"/>
      <c r="UPX177" s="3"/>
      <c r="UPY177" s="3"/>
      <c r="UPZ177" s="3"/>
      <c r="UQA177" s="3"/>
      <c r="UQB177" s="3"/>
      <c r="UQC177" s="3"/>
      <c r="UQD177" s="3"/>
      <c r="UQE177" s="3"/>
      <c r="UQF177" s="3"/>
      <c r="UQG177" s="3"/>
      <c r="UQH177" s="3"/>
      <c r="UQI177" s="3"/>
      <c r="UQJ177" s="3"/>
      <c r="UQK177" s="3"/>
      <c r="UQL177" s="3"/>
      <c r="UQM177" s="3"/>
      <c r="UQN177" s="3"/>
      <c r="UQO177" s="3"/>
      <c r="UQP177" s="3"/>
      <c r="UQQ177" s="3"/>
      <c r="UQR177" s="3"/>
      <c r="UQS177" s="3"/>
      <c r="UQT177" s="3"/>
      <c r="UQU177" s="3"/>
      <c r="UQV177" s="3"/>
      <c r="UQW177" s="3"/>
      <c r="UQX177" s="3"/>
      <c r="UQY177" s="3"/>
      <c r="UQZ177" s="3"/>
      <c r="URA177" s="3"/>
      <c r="URB177" s="3"/>
      <c r="URC177" s="3"/>
      <c r="URD177" s="3"/>
      <c r="URE177" s="3"/>
      <c r="URF177" s="3"/>
      <c r="URG177" s="3"/>
      <c r="URH177" s="3"/>
      <c r="URI177" s="3"/>
      <c r="URJ177" s="3"/>
      <c r="URK177" s="3"/>
      <c r="URL177" s="3"/>
      <c r="URM177" s="3"/>
      <c r="URN177" s="3"/>
      <c r="URO177" s="3"/>
      <c r="URP177" s="3"/>
      <c r="URQ177" s="3"/>
      <c r="URR177" s="3"/>
      <c r="URS177" s="3"/>
      <c r="URT177" s="3"/>
      <c r="URU177" s="3"/>
      <c r="URV177" s="3"/>
      <c r="URW177" s="3"/>
      <c r="URX177" s="3"/>
      <c r="URY177" s="3"/>
      <c r="URZ177" s="3"/>
      <c r="USA177" s="3"/>
      <c r="USB177" s="3"/>
      <c r="USC177" s="3"/>
      <c r="USD177" s="3"/>
      <c r="USE177" s="3"/>
      <c r="USF177" s="3"/>
      <c r="USG177" s="3"/>
      <c r="USH177" s="3"/>
      <c r="USI177" s="3"/>
      <c r="USJ177" s="3"/>
      <c r="USK177" s="3"/>
      <c r="USL177" s="3"/>
      <c r="USM177" s="3"/>
      <c r="USN177" s="3"/>
      <c r="USO177" s="3"/>
      <c r="USP177" s="3"/>
      <c r="USQ177" s="3"/>
      <c r="USR177" s="3"/>
      <c r="USS177" s="3"/>
      <c r="UST177" s="3"/>
      <c r="USU177" s="3"/>
      <c r="USV177" s="3"/>
      <c r="USW177" s="3"/>
      <c r="USX177" s="3"/>
      <c r="USY177" s="3"/>
      <c r="USZ177" s="3"/>
      <c r="UTA177" s="3"/>
      <c r="UTB177" s="3"/>
      <c r="UTC177" s="3"/>
      <c r="UTD177" s="3"/>
      <c r="UTE177" s="3"/>
      <c r="UTF177" s="3"/>
      <c r="UTG177" s="3"/>
      <c r="UTH177" s="3"/>
      <c r="UTI177" s="3"/>
      <c r="UTJ177" s="3"/>
      <c r="UTK177" s="3"/>
      <c r="UTL177" s="3"/>
      <c r="UTM177" s="3"/>
      <c r="UTN177" s="3"/>
      <c r="UTO177" s="3"/>
      <c r="UTP177" s="3"/>
      <c r="UTQ177" s="3"/>
      <c r="UTR177" s="3"/>
      <c r="UTS177" s="3"/>
      <c r="UTT177" s="3"/>
      <c r="UTU177" s="3"/>
      <c r="UTV177" s="3"/>
      <c r="UTW177" s="3"/>
      <c r="UTX177" s="3"/>
      <c r="UTY177" s="3"/>
      <c r="UTZ177" s="3"/>
      <c r="UUA177" s="3"/>
      <c r="UUB177" s="3"/>
      <c r="UUC177" s="3"/>
      <c r="UUD177" s="3"/>
      <c r="UUE177" s="3"/>
      <c r="UUF177" s="3"/>
      <c r="UUG177" s="3"/>
      <c r="UUH177" s="3"/>
      <c r="UUI177" s="3"/>
      <c r="UUJ177" s="3"/>
      <c r="UUK177" s="3"/>
      <c r="UUL177" s="3"/>
      <c r="UUM177" s="3"/>
      <c r="UUN177" s="3"/>
      <c r="UUO177" s="3"/>
      <c r="UUP177" s="3"/>
      <c r="UUQ177" s="3"/>
      <c r="UUR177" s="3"/>
      <c r="UUS177" s="3"/>
      <c r="UUT177" s="3"/>
      <c r="UUU177" s="3"/>
      <c r="UUV177" s="3"/>
      <c r="UUW177" s="3"/>
      <c r="UUX177" s="3"/>
      <c r="UUY177" s="3"/>
      <c r="UUZ177" s="3"/>
      <c r="UVA177" s="3"/>
      <c r="UVB177" s="3"/>
      <c r="UVC177" s="3"/>
      <c r="UVD177" s="3"/>
      <c r="UVE177" s="3"/>
      <c r="UVF177" s="3"/>
      <c r="UVG177" s="3"/>
      <c r="UVH177" s="3"/>
      <c r="UVI177" s="3"/>
      <c r="UVJ177" s="3"/>
      <c r="UVK177" s="3"/>
      <c r="UVL177" s="3"/>
      <c r="UVM177" s="3"/>
      <c r="UVN177" s="3"/>
      <c r="UVO177" s="3"/>
      <c r="UVP177" s="3"/>
      <c r="UVQ177" s="3"/>
      <c r="UVR177" s="3"/>
      <c r="UVS177" s="3"/>
      <c r="UVT177" s="3"/>
      <c r="UVU177" s="3"/>
      <c r="UVV177" s="3"/>
      <c r="UVW177" s="3"/>
      <c r="UVX177" s="3"/>
      <c r="UVY177" s="3"/>
      <c r="UVZ177" s="3"/>
      <c r="UWA177" s="3"/>
      <c r="UWB177" s="3"/>
      <c r="UWC177" s="3"/>
      <c r="UWD177" s="3"/>
      <c r="UWE177" s="3"/>
      <c r="UWF177" s="3"/>
      <c r="UWG177" s="3"/>
      <c r="UWH177" s="3"/>
      <c r="UWI177" s="3"/>
      <c r="UWJ177" s="3"/>
      <c r="UWK177" s="3"/>
      <c r="UWL177" s="3"/>
      <c r="UWM177" s="3"/>
      <c r="UWN177" s="3"/>
      <c r="UWO177" s="3"/>
      <c r="UWP177" s="3"/>
      <c r="UWQ177" s="3"/>
      <c r="UWR177" s="3"/>
      <c r="UWS177" s="3"/>
      <c r="UWT177" s="3"/>
      <c r="UWU177" s="3"/>
      <c r="UWV177" s="3"/>
      <c r="UWW177" s="3"/>
      <c r="UWX177" s="3"/>
      <c r="UWY177" s="3"/>
      <c r="UWZ177" s="3"/>
      <c r="UXA177" s="3"/>
      <c r="UXB177" s="3"/>
      <c r="UXC177" s="3"/>
      <c r="UXD177" s="3"/>
      <c r="UXE177" s="3"/>
      <c r="UXF177" s="3"/>
      <c r="UXG177" s="3"/>
      <c r="UXH177" s="3"/>
      <c r="UXI177" s="3"/>
      <c r="UXJ177" s="3"/>
      <c r="UXK177" s="3"/>
      <c r="UXL177" s="3"/>
      <c r="UXM177" s="3"/>
      <c r="UXN177" s="3"/>
      <c r="UXO177" s="3"/>
      <c r="UXP177" s="3"/>
      <c r="UXQ177" s="3"/>
      <c r="UXR177" s="3"/>
      <c r="UXS177" s="3"/>
      <c r="UXT177" s="3"/>
      <c r="UXU177" s="3"/>
      <c r="UXV177" s="3"/>
      <c r="UXW177" s="3"/>
      <c r="UXX177" s="3"/>
      <c r="UXY177" s="3"/>
      <c r="UXZ177" s="3"/>
      <c r="UYA177" s="3"/>
      <c r="UYB177" s="3"/>
      <c r="UYC177" s="3"/>
      <c r="UYD177" s="3"/>
      <c r="UYE177" s="3"/>
      <c r="UYF177" s="3"/>
      <c r="UYG177" s="3"/>
      <c r="UYH177" s="3"/>
      <c r="UYI177" s="3"/>
      <c r="UYJ177" s="3"/>
      <c r="UYK177" s="3"/>
      <c r="UYL177" s="3"/>
      <c r="UYM177" s="3"/>
      <c r="UYN177" s="3"/>
      <c r="UYO177" s="3"/>
      <c r="UYP177" s="3"/>
      <c r="UYQ177" s="3"/>
      <c r="UYR177" s="3"/>
      <c r="UYS177" s="3"/>
      <c r="UYT177" s="3"/>
      <c r="UYU177" s="3"/>
      <c r="UYV177" s="3"/>
      <c r="UYW177" s="3"/>
      <c r="UYX177" s="3"/>
      <c r="UYY177" s="3"/>
      <c r="UYZ177" s="3"/>
      <c r="UZA177" s="3"/>
      <c r="UZB177" s="3"/>
      <c r="UZC177" s="3"/>
      <c r="UZD177" s="3"/>
      <c r="UZE177" s="3"/>
      <c r="UZF177" s="3"/>
      <c r="UZG177" s="3"/>
      <c r="UZH177" s="3"/>
      <c r="UZI177" s="3"/>
      <c r="UZJ177" s="3"/>
      <c r="UZK177" s="3"/>
      <c r="UZL177" s="3"/>
      <c r="UZM177" s="3"/>
      <c r="UZN177" s="3"/>
      <c r="UZO177" s="3"/>
      <c r="UZP177" s="3"/>
      <c r="UZQ177" s="3"/>
      <c r="UZR177" s="3"/>
      <c r="UZS177" s="3"/>
      <c r="UZT177" s="3"/>
      <c r="UZU177" s="3"/>
      <c r="UZV177" s="3"/>
      <c r="UZW177" s="3"/>
      <c r="UZX177" s="3"/>
      <c r="UZY177" s="3"/>
      <c r="UZZ177" s="3"/>
      <c r="VAA177" s="3"/>
      <c r="VAB177" s="3"/>
      <c r="VAC177" s="3"/>
      <c r="VAD177" s="3"/>
      <c r="VAE177" s="3"/>
      <c r="VAF177" s="3"/>
      <c r="VAG177" s="3"/>
      <c r="VAH177" s="3"/>
      <c r="VAI177" s="3"/>
      <c r="VAJ177" s="3"/>
      <c r="VAK177" s="3"/>
      <c r="VAL177" s="3"/>
      <c r="VAM177" s="3"/>
      <c r="VAN177" s="3"/>
      <c r="VAO177" s="3"/>
      <c r="VAP177" s="3"/>
      <c r="VAQ177" s="3"/>
      <c r="VAR177" s="3"/>
      <c r="VAS177" s="3"/>
      <c r="VAT177" s="3"/>
      <c r="VAU177" s="3"/>
      <c r="VAV177" s="3"/>
      <c r="VAW177" s="3"/>
      <c r="VAX177" s="3"/>
      <c r="VAY177" s="3"/>
      <c r="VAZ177" s="3"/>
      <c r="VBA177" s="3"/>
      <c r="VBB177" s="3"/>
      <c r="VBC177" s="3"/>
      <c r="VBD177" s="3"/>
      <c r="VBE177" s="3"/>
      <c r="VBF177" s="3"/>
      <c r="VBG177" s="3"/>
      <c r="VBH177" s="3"/>
      <c r="VBI177" s="3"/>
      <c r="VBJ177" s="3"/>
      <c r="VBK177" s="3"/>
      <c r="VBL177" s="3"/>
      <c r="VBM177" s="3"/>
      <c r="VBN177" s="3"/>
      <c r="VBO177" s="3"/>
      <c r="VBP177" s="3"/>
      <c r="VBQ177" s="3"/>
      <c r="VBR177" s="3"/>
      <c r="VBS177" s="3"/>
      <c r="VBT177" s="3"/>
      <c r="VBU177" s="3"/>
      <c r="VBV177" s="3"/>
      <c r="VBW177" s="3"/>
      <c r="VBX177" s="3"/>
      <c r="VBY177" s="3"/>
      <c r="VBZ177" s="3"/>
      <c r="VCA177" s="3"/>
      <c r="VCB177" s="3"/>
      <c r="VCC177" s="3"/>
      <c r="VCD177" s="3"/>
      <c r="VCE177" s="3"/>
      <c r="VCF177" s="3"/>
      <c r="VCG177" s="3"/>
      <c r="VCH177" s="3"/>
      <c r="VCI177" s="3"/>
      <c r="VCJ177" s="3"/>
      <c r="VCK177" s="3"/>
      <c r="VCL177" s="3"/>
      <c r="VCM177" s="3"/>
      <c r="VCN177" s="3"/>
      <c r="VCO177" s="3"/>
      <c r="VCP177" s="3"/>
      <c r="VCQ177" s="3"/>
      <c r="VCR177" s="3"/>
      <c r="VCS177" s="3"/>
      <c r="VCT177" s="3"/>
      <c r="VCU177" s="3"/>
      <c r="VCV177" s="3"/>
      <c r="VCW177" s="3"/>
      <c r="VCX177" s="3"/>
      <c r="VCY177" s="3"/>
      <c r="VCZ177" s="3"/>
      <c r="VDA177" s="3"/>
      <c r="VDB177" s="3"/>
      <c r="VDC177" s="3"/>
      <c r="VDD177" s="3"/>
      <c r="VDE177" s="3"/>
      <c r="VDF177" s="3"/>
      <c r="VDG177" s="3"/>
      <c r="VDH177" s="3"/>
      <c r="VDI177" s="3"/>
      <c r="VDJ177" s="3"/>
      <c r="VDK177" s="3"/>
      <c r="VDL177" s="3"/>
      <c r="VDM177" s="3"/>
      <c r="VDN177" s="3"/>
      <c r="VDO177" s="3"/>
      <c r="VDP177" s="3"/>
      <c r="VDQ177" s="3"/>
      <c r="VDR177" s="3"/>
      <c r="VDS177" s="3"/>
      <c r="VDT177" s="3"/>
      <c r="VDU177" s="3"/>
      <c r="VDV177" s="3"/>
      <c r="VDW177" s="3"/>
      <c r="VDX177" s="3"/>
      <c r="VDY177" s="3"/>
      <c r="VDZ177" s="3"/>
      <c r="VEA177" s="3"/>
      <c r="VEB177" s="3"/>
      <c r="VEC177" s="3"/>
      <c r="VED177" s="3"/>
      <c r="VEE177" s="3"/>
      <c r="VEF177" s="3"/>
      <c r="VEG177" s="3"/>
      <c r="VEH177" s="3"/>
      <c r="VEI177" s="3"/>
      <c r="VEJ177" s="3"/>
      <c r="VEK177" s="3"/>
      <c r="VEL177" s="3"/>
      <c r="VEM177" s="3"/>
      <c r="VEN177" s="3"/>
      <c r="VEO177" s="3"/>
      <c r="VEP177" s="3"/>
      <c r="VEQ177" s="3"/>
      <c r="VER177" s="3"/>
      <c r="VES177" s="3"/>
      <c r="VET177" s="3"/>
      <c r="VEU177" s="3"/>
      <c r="VEV177" s="3"/>
      <c r="VEW177" s="3"/>
      <c r="VEX177" s="3"/>
      <c r="VEY177" s="3"/>
      <c r="VEZ177" s="3"/>
      <c r="VFA177" s="3"/>
      <c r="VFB177" s="3"/>
      <c r="VFC177" s="3"/>
      <c r="VFD177" s="3"/>
      <c r="VFE177" s="3"/>
      <c r="VFF177" s="3"/>
      <c r="VFG177" s="3"/>
      <c r="VFH177" s="3"/>
      <c r="VFI177" s="3"/>
      <c r="VFJ177" s="3"/>
      <c r="VFK177" s="3"/>
      <c r="VFL177" s="3"/>
      <c r="VFM177" s="3"/>
      <c r="VFN177" s="3"/>
      <c r="VFO177" s="3"/>
      <c r="VFP177" s="3"/>
      <c r="VFQ177" s="3"/>
      <c r="VFR177" s="3"/>
      <c r="VFS177" s="3"/>
      <c r="VFT177" s="3"/>
      <c r="VFU177" s="3"/>
      <c r="VFV177" s="3"/>
      <c r="VFW177" s="3"/>
      <c r="VFX177" s="3"/>
      <c r="VFY177" s="3"/>
      <c r="VFZ177" s="3"/>
      <c r="VGA177" s="3"/>
      <c r="VGB177" s="3"/>
      <c r="VGC177" s="3"/>
      <c r="VGD177" s="3"/>
      <c r="VGE177" s="3"/>
      <c r="VGF177" s="3"/>
      <c r="VGG177" s="3"/>
      <c r="VGH177" s="3"/>
      <c r="VGI177" s="3"/>
      <c r="VGJ177" s="3"/>
      <c r="VGK177" s="3"/>
      <c r="VGL177" s="3"/>
      <c r="VGM177" s="3"/>
      <c r="VGN177" s="3"/>
      <c r="VGO177" s="3"/>
      <c r="VGP177" s="3"/>
      <c r="VGQ177" s="3"/>
      <c r="VGR177" s="3"/>
      <c r="VGS177" s="3"/>
      <c r="VGT177" s="3"/>
      <c r="VGU177" s="3"/>
      <c r="VGV177" s="3"/>
      <c r="VGW177" s="3"/>
      <c r="VGX177" s="3"/>
      <c r="VGY177" s="3"/>
      <c r="VGZ177" s="3"/>
      <c r="VHA177" s="3"/>
      <c r="VHB177" s="3"/>
      <c r="VHC177" s="3"/>
      <c r="VHD177" s="3"/>
      <c r="VHE177" s="3"/>
      <c r="VHF177" s="3"/>
      <c r="VHG177" s="3"/>
      <c r="VHH177" s="3"/>
      <c r="VHI177" s="3"/>
      <c r="VHJ177" s="3"/>
      <c r="VHK177" s="3"/>
      <c r="VHL177" s="3"/>
      <c r="VHM177" s="3"/>
      <c r="VHN177" s="3"/>
      <c r="VHO177" s="3"/>
      <c r="VHP177" s="3"/>
      <c r="VHQ177" s="3"/>
      <c r="VHR177" s="3"/>
      <c r="VHS177" s="3"/>
      <c r="VHT177" s="3"/>
      <c r="VHU177" s="3"/>
      <c r="VHV177" s="3"/>
      <c r="VHW177" s="3"/>
      <c r="VHX177" s="3"/>
      <c r="VHY177" s="3"/>
      <c r="VHZ177" s="3"/>
      <c r="VIA177" s="3"/>
      <c r="VIB177" s="3"/>
      <c r="VIC177" s="3"/>
      <c r="VID177" s="3"/>
      <c r="VIE177" s="3"/>
      <c r="VIF177" s="3"/>
      <c r="VIG177" s="3"/>
      <c r="VIH177" s="3"/>
      <c r="VII177" s="3"/>
      <c r="VIJ177" s="3"/>
      <c r="VIK177" s="3"/>
      <c r="VIL177" s="3"/>
      <c r="VIM177" s="3"/>
      <c r="VIN177" s="3"/>
      <c r="VIO177" s="3"/>
      <c r="VIP177" s="3"/>
      <c r="VIQ177" s="3"/>
      <c r="VIR177" s="3"/>
      <c r="VIS177" s="3"/>
      <c r="VIT177" s="3"/>
      <c r="VIU177" s="3"/>
      <c r="VIV177" s="3"/>
      <c r="VIW177" s="3"/>
      <c r="VIX177" s="3"/>
      <c r="VIY177" s="3"/>
      <c r="VIZ177" s="3"/>
      <c r="VJA177" s="3"/>
      <c r="VJB177" s="3"/>
      <c r="VJC177" s="3"/>
      <c r="VJD177" s="3"/>
      <c r="VJE177" s="3"/>
      <c r="VJF177" s="3"/>
      <c r="VJG177" s="3"/>
      <c r="VJH177" s="3"/>
      <c r="VJI177" s="3"/>
      <c r="VJJ177" s="3"/>
      <c r="VJK177" s="3"/>
      <c r="VJL177" s="3"/>
      <c r="VJM177" s="3"/>
      <c r="VJN177" s="3"/>
      <c r="VJO177" s="3"/>
      <c r="VJP177" s="3"/>
      <c r="VJQ177" s="3"/>
      <c r="VJR177" s="3"/>
      <c r="VJS177" s="3"/>
      <c r="VJT177" s="3"/>
      <c r="VJU177" s="3"/>
      <c r="VJV177" s="3"/>
      <c r="VJW177" s="3"/>
      <c r="VJX177" s="3"/>
      <c r="VJY177" s="3"/>
      <c r="VJZ177" s="3"/>
      <c r="VKA177" s="3"/>
      <c r="VKB177" s="3"/>
      <c r="VKC177" s="3"/>
      <c r="VKD177" s="3"/>
      <c r="VKE177" s="3"/>
      <c r="VKF177" s="3"/>
      <c r="VKG177" s="3"/>
      <c r="VKH177" s="3"/>
      <c r="VKI177" s="3"/>
      <c r="VKJ177" s="3"/>
      <c r="VKK177" s="3"/>
      <c r="VKL177" s="3"/>
      <c r="VKM177" s="3"/>
      <c r="VKN177" s="3"/>
      <c r="VKO177" s="3"/>
      <c r="VKP177" s="3"/>
      <c r="VKQ177" s="3"/>
      <c r="VKR177" s="3"/>
      <c r="VKS177" s="3"/>
      <c r="VKT177" s="3"/>
      <c r="VKU177" s="3"/>
      <c r="VKV177" s="3"/>
      <c r="VKW177" s="3"/>
      <c r="VKX177" s="3"/>
      <c r="VKY177" s="3"/>
      <c r="VKZ177" s="3"/>
      <c r="VLA177" s="3"/>
      <c r="VLB177" s="3"/>
      <c r="VLC177" s="3"/>
      <c r="VLD177" s="3"/>
      <c r="VLE177" s="3"/>
      <c r="VLF177" s="3"/>
      <c r="VLG177" s="3"/>
      <c r="VLH177" s="3"/>
      <c r="VLI177" s="3"/>
      <c r="VLJ177" s="3"/>
      <c r="VLK177" s="3"/>
      <c r="VLL177" s="3"/>
      <c r="VLM177" s="3"/>
      <c r="VLN177" s="3"/>
      <c r="VLO177" s="3"/>
      <c r="VLP177" s="3"/>
      <c r="VLQ177" s="3"/>
      <c r="VLR177" s="3"/>
      <c r="VLS177" s="3"/>
      <c r="VLT177" s="3"/>
      <c r="VLU177" s="3"/>
      <c r="VLV177" s="3"/>
      <c r="VLW177" s="3"/>
      <c r="VLX177" s="3"/>
      <c r="VLY177" s="3"/>
      <c r="VLZ177" s="3"/>
      <c r="VMA177" s="3"/>
      <c r="VMB177" s="3"/>
      <c r="VMC177" s="3"/>
      <c r="VMD177" s="3"/>
      <c r="VME177" s="3"/>
      <c r="VMF177" s="3"/>
      <c r="VMG177" s="3"/>
      <c r="VMH177" s="3"/>
      <c r="VMI177" s="3"/>
      <c r="VMJ177" s="3"/>
      <c r="VMK177" s="3"/>
      <c r="VML177" s="3"/>
      <c r="VMM177" s="3"/>
      <c r="VMN177" s="3"/>
      <c r="VMO177" s="3"/>
      <c r="VMP177" s="3"/>
      <c r="VMQ177" s="3"/>
      <c r="VMR177" s="3"/>
      <c r="VMS177" s="3"/>
      <c r="VMT177" s="3"/>
      <c r="VMU177" s="3"/>
      <c r="VMV177" s="3"/>
      <c r="VMW177" s="3"/>
      <c r="VMX177" s="3"/>
      <c r="VMY177" s="3"/>
      <c r="VMZ177" s="3"/>
      <c r="VNA177" s="3"/>
      <c r="VNB177" s="3"/>
      <c r="VNC177" s="3"/>
      <c r="VND177" s="3"/>
      <c r="VNE177" s="3"/>
      <c r="VNF177" s="3"/>
      <c r="VNG177" s="3"/>
      <c r="VNH177" s="3"/>
      <c r="VNI177" s="3"/>
      <c r="VNJ177" s="3"/>
      <c r="VNK177" s="3"/>
      <c r="VNL177" s="3"/>
      <c r="VNM177" s="3"/>
      <c r="VNN177" s="3"/>
      <c r="VNO177" s="3"/>
      <c r="VNP177" s="3"/>
      <c r="VNQ177" s="3"/>
      <c r="VNR177" s="3"/>
      <c r="VNS177" s="3"/>
      <c r="VNT177" s="3"/>
      <c r="VNU177" s="3"/>
      <c r="VNV177" s="3"/>
      <c r="VNW177" s="3"/>
      <c r="VNX177" s="3"/>
      <c r="VNY177" s="3"/>
      <c r="VNZ177" s="3"/>
      <c r="VOA177" s="3"/>
      <c r="VOB177" s="3"/>
      <c r="VOC177" s="3"/>
      <c r="VOD177" s="3"/>
      <c r="VOE177" s="3"/>
      <c r="VOF177" s="3"/>
      <c r="VOG177" s="3"/>
      <c r="VOH177" s="3"/>
      <c r="VOI177" s="3"/>
      <c r="VOJ177" s="3"/>
      <c r="VOK177" s="3"/>
      <c r="VOL177" s="3"/>
      <c r="VOM177" s="3"/>
      <c r="VON177" s="3"/>
      <c r="VOO177" s="3"/>
      <c r="VOP177" s="3"/>
      <c r="VOQ177" s="3"/>
      <c r="VOR177" s="3"/>
      <c r="VOS177" s="3"/>
      <c r="VOT177" s="3"/>
      <c r="VOU177" s="3"/>
      <c r="VOV177" s="3"/>
      <c r="VOW177" s="3"/>
      <c r="VOX177" s="3"/>
      <c r="VOY177" s="3"/>
      <c r="VOZ177" s="3"/>
      <c r="VPA177" s="3"/>
      <c r="VPB177" s="3"/>
      <c r="VPC177" s="3"/>
      <c r="VPD177" s="3"/>
      <c r="VPE177" s="3"/>
      <c r="VPF177" s="3"/>
      <c r="VPG177" s="3"/>
      <c r="VPH177" s="3"/>
      <c r="VPI177" s="3"/>
      <c r="VPJ177" s="3"/>
      <c r="VPK177" s="3"/>
      <c r="VPL177" s="3"/>
      <c r="VPM177" s="3"/>
      <c r="VPN177" s="3"/>
      <c r="VPO177" s="3"/>
      <c r="VPP177" s="3"/>
      <c r="VPQ177" s="3"/>
      <c r="VPR177" s="3"/>
      <c r="VPS177" s="3"/>
      <c r="VPT177" s="3"/>
      <c r="VPU177" s="3"/>
      <c r="VPV177" s="3"/>
      <c r="VPW177" s="3"/>
      <c r="VPX177" s="3"/>
      <c r="VPY177" s="3"/>
      <c r="VPZ177" s="3"/>
      <c r="VQA177" s="3"/>
      <c r="VQB177" s="3"/>
      <c r="VQC177" s="3"/>
      <c r="VQD177" s="3"/>
      <c r="VQE177" s="3"/>
      <c r="VQF177" s="3"/>
      <c r="VQG177" s="3"/>
      <c r="VQH177" s="3"/>
      <c r="VQI177" s="3"/>
      <c r="VQJ177" s="3"/>
      <c r="VQK177" s="3"/>
      <c r="VQL177" s="3"/>
      <c r="VQM177" s="3"/>
      <c r="VQN177" s="3"/>
      <c r="VQO177" s="3"/>
      <c r="VQP177" s="3"/>
      <c r="VQQ177" s="3"/>
      <c r="VQR177" s="3"/>
      <c r="VQS177" s="3"/>
      <c r="VQT177" s="3"/>
      <c r="VQU177" s="3"/>
      <c r="VQV177" s="3"/>
      <c r="VQW177" s="3"/>
      <c r="VQX177" s="3"/>
      <c r="VQY177" s="3"/>
      <c r="VQZ177" s="3"/>
      <c r="VRA177" s="3"/>
      <c r="VRB177" s="3"/>
      <c r="VRC177" s="3"/>
      <c r="VRD177" s="3"/>
      <c r="VRE177" s="3"/>
      <c r="VRF177" s="3"/>
      <c r="VRG177" s="3"/>
      <c r="VRH177" s="3"/>
      <c r="VRI177" s="3"/>
      <c r="VRJ177" s="3"/>
      <c r="VRK177" s="3"/>
      <c r="VRL177" s="3"/>
      <c r="VRM177" s="3"/>
      <c r="VRN177" s="3"/>
      <c r="VRO177" s="3"/>
      <c r="VRP177" s="3"/>
      <c r="VRQ177" s="3"/>
      <c r="VRR177" s="3"/>
      <c r="VRS177" s="3"/>
      <c r="VRT177" s="3"/>
      <c r="VRU177" s="3"/>
      <c r="VRV177" s="3"/>
      <c r="VRW177" s="3"/>
      <c r="VRX177" s="3"/>
      <c r="VRY177" s="3"/>
      <c r="VRZ177" s="3"/>
      <c r="VSA177" s="3"/>
      <c r="VSB177" s="3"/>
      <c r="VSC177" s="3"/>
      <c r="VSD177" s="3"/>
      <c r="VSE177" s="3"/>
      <c r="VSF177" s="3"/>
      <c r="VSG177" s="3"/>
      <c r="VSH177" s="3"/>
      <c r="VSI177" s="3"/>
      <c r="VSJ177" s="3"/>
      <c r="VSK177" s="3"/>
      <c r="VSL177" s="3"/>
      <c r="VSM177" s="3"/>
      <c r="VSN177" s="3"/>
      <c r="VSO177" s="3"/>
      <c r="VSP177" s="3"/>
      <c r="VSQ177" s="3"/>
      <c r="VSR177" s="3"/>
      <c r="VSS177" s="3"/>
      <c r="VST177" s="3"/>
      <c r="VSU177" s="3"/>
      <c r="VSV177" s="3"/>
      <c r="VSW177" s="3"/>
      <c r="VSX177" s="3"/>
      <c r="VSY177" s="3"/>
      <c r="VSZ177" s="3"/>
      <c r="VTA177" s="3"/>
      <c r="VTB177" s="3"/>
      <c r="VTC177" s="3"/>
      <c r="VTD177" s="3"/>
      <c r="VTE177" s="3"/>
      <c r="VTF177" s="3"/>
      <c r="VTG177" s="3"/>
      <c r="VTH177" s="3"/>
      <c r="VTI177" s="3"/>
      <c r="VTJ177" s="3"/>
      <c r="VTK177" s="3"/>
      <c r="VTL177" s="3"/>
      <c r="VTM177" s="3"/>
      <c r="VTN177" s="3"/>
      <c r="VTO177" s="3"/>
      <c r="VTP177" s="3"/>
      <c r="VTQ177" s="3"/>
      <c r="VTR177" s="3"/>
      <c r="VTS177" s="3"/>
      <c r="VTT177" s="3"/>
      <c r="VTU177" s="3"/>
      <c r="VTV177" s="3"/>
      <c r="VTW177" s="3"/>
      <c r="VTX177" s="3"/>
      <c r="VTY177" s="3"/>
      <c r="VTZ177" s="3"/>
      <c r="VUA177" s="3"/>
      <c r="VUB177" s="3"/>
      <c r="VUC177" s="3"/>
      <c r="VUD177" s="3"/>
      <c r="VUE177" s="3"/>
      <c r="VUF177" s="3"/>
      <c r="VUG177" s="3"/>
      <c r="VUH177" s="3"/>
      <c r="VUI177" s="3"/>
      <c r="VUJ177" s="3"/>
      <c r="VUK177" s="3"/>
      <c r="VUL177" s="3"/>
      <c r="VUM177" s="3"/>
      <c r="VUN177" s="3"/>
      <c r="VUO177" s="3"/>
      <c r="VUP177" s="3"/>
      <c r="VUQ177" s="3"/>
      <c r="VUR177" s="3"/>
      <c r="VUS177" s="3"/>
      <c r="VUT177" s="3"/>
      <c r="VUU177" s="3"/>
      <c r="VUV177" s="3"/>
      <c r="VUW177" s="3"/>
      <c r="VUX177" s="3"/>
      <c r="VUY177" s="3"/>
      <c r="VUZ177" s="3"/>
      <c r="VVA177" s="3"/>
      <c r="VVB177" s="3"/>
      <c r="VVC177" s="3"/>
      <c r="VVD177" s="3"/>
      <c r="VVE177" s="3"/>
      <c r="VVF177" s="3"/>
      <c r="VVG177" s="3"/>
      <c r="VVH177" s="3"/>
      <c r="VVI177" s="3"/>
      <c r="VVJ177" s="3"/>
      <c r="VVK177" s="3"/>
      <c r="VVL177" s="3"/>
      <c r="VVM177" s="3"/>
      <c r="VVN177" s="3"/>
      <c r="VVO177" s="3"/>
      <c r="VVP177" s="3"/>
      <c r="VVQ177" s="3"/>
      <c r="VVR177" s="3"/>
      <c r="VVS177" s="3"/>
      <c r="VVT177" s="3"/>
      <c r="VVU177" s="3"/>
      <c r="VVV177" s="3"/>
      <c r="VVW177" s="3"/>
      <c r="VVX177" s="3"/>
      <c r="VVY177" s="3"/>
      <c r="VVZ177" s="3"/>
      <c r="VWA177" s="3"/>
      <c r="VWB177" s="3"/>
      <c r="VWC177" s="3"/>
      <c r="VWD177" s="3"/>
      <c r="VWE177" s="3"/>
      <c r="VWF177" s="3"/>
      <c r="VWG177" s="3"/>
      <c r="VWH177" s="3"/>
      <c r="VWI177" s="3"/>
      <c r="VWJ177" s="3"/>
      <c r="VWK177" s="3"/>
      <c r="VWL177" s="3"/>
      <c r="VWM177" s="3"/>
      <c r="VWN177" s="3"/>
      <c r="VWO177" s="3"/>
      <c r="VWP177" s="3"/>
      <c r="VWQ177" s="3"/>
      <c r="VWR177" s="3"/>
      <c r="VWS177" s="3"/>
      <c r="VWT177" s="3"/>
      <c r="VWU177" s="3"/>
      <c r="VWV177" s="3"/>
      <c r="VWW177" s="3"/>
      <c r="VWX177" s="3"/>
      <c r="VWY177" s="3"/>
      <c r="VWZ177" s="3"/>
      <c r="VXA177" s="3"/>
      <c r="VXB177" s="3"/>
      <c r="VXC177" s="3"/>
      <c r="VXD177" s="3"/>
      <c r="VXE177" s="3"/>
      <c r="VXF177" s="3"/>
      <c r="VXG177" s="3"/>
      <c r="VXH177" s="3"/>
      <c r="VXI177" s="3"/>
      <c r="VXJ177" s="3"/>
      <c r="VXK177" s="3"/>
      <c r="VXL177" s="3"/>
      <c r="VXM177" s="3"/>
      <c r="VXN177" s="3"/>
      <c r="VXO177" s="3"/>
      <c r="VXP177" s="3"/>
      <c r="VXQ177" s="3"/>
      <c r="VXR177" s="3"/>
      <c r="VXS177" s="3"/>
      <c r="VXT177" s="3"/>
      <c r="VXU177" s="3"/>
      <c r="VXV177" s="3"/>
      <c r="VXW177" s="3"/>
      <c r="VXX177" s="3"/>
      <c r="VXY177" s="3"/>
      <c r="VXZ177" s="3"/>
      <c r="VYA177" s="3"/>
      <c r="VYB177" s="3"/>
      <c r="VYC177" s="3"/>
      <c r="VYD177" s="3"/>
      <c r="VYE177" s="3"/>
      <c r="VYF177" s="3"/>
      <c r="VYG177" s="3"/>
      <c r="VYH177" s="3"/>
      <c r="VYI177" s="3"/>
      <c r="VYJ177" s="3"/>
      <c r="VYK177" s="3"/>
      <c r="VYL177" s="3"/>
      <c r="VYM177" s="3"/>
      <c r="VYN177" s="3"/>
      <c r="VYO177" s="3"/>
      <c r="VYP177" s="3"/>
      <c r="VYQ177" s="3"/>
      <c r="VYR177" s="3"/>
      <c r="VYS177" s="3"/>
      <c r="VYT177" s="3"/>
      <c r="VYU177" s="3"/>
      <c r="VYV177" s="3"/>
      <c r="VYW177" s="3"/>
      <c r="VYX177" s="3"/>
      <c r="VYY177" s="3"/>
      <c r="VYZ177" s="3"/>
      <c r="VZA177" s="3"/>
      <c r="VZB177" s="3"/>
      <c r="VZC177" s="3"/>
      <c r="VZD177" s="3"/>
      <c r="VZE177" s="3"/>
      <c r="VZF177" s="3"/>
      <c r="VZG177" s="3"/>
      <c r="VZH177" s="3"/>
      <c r="VZI177" s="3"/>
      <c r="VZJ177" s="3"/>
      <c r="VZK177" s="3"/>
      <c r="VZL177" s="3"/>
      <c r="VZM177" s="3"/>
      <c r="VZN177" s="3"/>
      <c r="VZO177" s="3"/>
      <c r="VZP177" s="3"/>
      <c r="VZQ177" s="3"/>
      <c r="VZR177" s="3"/>
      <c r="VZS177" s="3"/>
      <c r="VZT177" s="3"/>
      <c r="VZU177" s="3"/>
      <c r="VZV177" s="3"/>
      <c r="VZW177" s="3"/>
      <c r="VZX177" s="3"/>
      <c r="VZY177" s="3"/>
      <c r="VZZ177" s="3"/>
      <c r="WAA177" s="3"/>
      <c r="WAB177" s="3"/>
      <c r="WAC177" s="3"/>
      <c r="WAD177" s="3"/>
      <c r="WAE177" s="3"/>
      <c r="WAF177" s="3"/>
      <c r="WAG177" s="3"/>
      <c r="WAH177" s="3"/>
      <c r="WAI177" s="3"/>
      <c r="WAJ177" s="3"/>
      <c r="WAK177" s="3"/>
      <c r="WAL177" s="3"/>
      <c r="WAM177" s="3"/>
      <c r="WAN177" s="3"/>
      <c r="WAO177" s="3"/>
      <c r="WAP177" s="3"/>
      <c r="WAQ177" s="3"/>
      <c r="WAR177" s="3"/>
      <c r="WAS177" s="3"/>
      <c r="WAT177" s="3"/>
      <c r="WAU177" s="3"/>
      <c r="WAV177" s="3"/>
      <c r="WAW177" s="3"/>
      <c r="WAX177" s="3"/>
      <c r="WAY177" s="3"/>
      <c r="WAZ177" s="3"/>
      <c r="WBA177" s="3"/>
      <c r="WBB177" s="3"/>
      <c r="WBC177" s="3"/>
      <c r="WBD177" s="3"/>
      <c r="WBE177" s="3"/>
      <c r="WBF177" s="3"/>
      <c r="WBG177" s="3"/>
      <c r="WBH177" s="3"/>
      <c r="WBI177" s="3"/>
      <c r="WBJ177" s="3"/>
      <c r="WBK177" s="3"/>
      <c r="WBL177" s="3"/>
      <c r="WBM177" s="3"/>
      <c r="WBN177" s="3"/>
      <c r="WBO177" s="3"/>
      <c r="WBP177" s="3"/>
      <c r="WBQ177" s="3"/>
      <c r="WBR177" s="3"/>
      <c r="WBS177" s="3"/>
      <c r="WBT177" s="3"/>
      <c r="WBU177" s="3"/>
      <c r="WBV177" s="3"/>
      <c r="WBW177" s="3"/>
      <c r="WBX177" s="3"/>
      <c r="WBY177" s="3"/>
      <c r="WBZ177" s="3"/>
      <c r="WCA177" s="3"/>
      <c r="WCB177" s="3"/>
      <c r="WCC177" s="3"/>
      <c r="WCD177" s="3"/>
      <c r="WCE177" s="3"/>
      <c r="WCF177" s="3"/>
      <c r="WCG177" s="3"/>
      <c r="WCH177" s="3"/>
      <c r="WCI177" s="3"/>
      <c r="WCJ177" s="3"/>
      <c r="WCK177" s="3"/>
      <c r="WCL177" s="3"/>
      <c r="WCM177" s="3"/>
      <c r="WCN177" s="3"/>
      <c r="WCO177" s="3"/>
      <c r="WCP177" s="3"/>
      <c r="WCQ177" s="3"/>
      <c r="WCR177" s="3"/>
      <c r="WCS177" s="3"/>
      <c r="WCT177" s="3"/>
      <c r="WCU177" s="3"/>
      <c r="WCV177" s="3"/>
      <c r="WCW177" s="3"/>
      <c r="WCX177" s="3"/>
      <c r="WCY177" s="3"/>
      <c r="WCZ177" s="3"/>
      <c r="WDA177" s="3"/>
      <c r="WDB177" s="3"/>
      <c r="WDC177" s="3"/>
      <c r="WDD177" s="3"/>
      <c r="WDE177" s="3"/>
      <c r="WDF177" s="3"/>
      <c r="WDG177" s="3"/>
      <c r="WDH177" s="3"/>
      <c r="WDI177" s="3"/>
      <c r="WDJ177" s="3"/>
      <c r="WDK177" s="3"/>
      <c r="WDL177" s="3"/>
      <c r="WDM177" s="3"/>
      <c r="WDN177" s="3"/>
      <c r="WDO177" s="3"/>
      <c r="WDP177" s="3"/>
      <c r="WDQ177" s="3"/>
      <c r="WDR177" s="3"/>
      <c r="WDS177" s="3"/>
      <c r="WDT177" s="3"/>
      <c r="WDU177" s="3"/>
      <c r="WDV177" s="3"/>
      <c r="WDW177" s="3"/>
      <c r="WDX177" s="3"/>
      <c r="WDY177" s="3"/>
      <c r="WDZ177" s="3"/>
      <c r="WEA177" s="3"/>
      <c r="WEB177" s="3"/>
      <c r="WEC177" s="3"/>
      <c r="WED177" s="3"/>
      <c r="WEE177" s="3"/>
      <c r="WEF177" s="3"/>
      <c r="WEG177" s="3"/>
      <c r="WEH177" s="3"/>
      <c r="WEI177" s="3"/>
      <c r="WEJ177" s="3"/>
      <c r="WEK177" s="3"/>
      <c r="WEL177" s="3"/>
      <c r="WEM177" s="3"/>
      <c r="WEN177" s="3"/>
      <c r="WEO177" s="3"/>
      <c r="WEP177" s="3"/>
      <c r="WEQ177" s="3"/>
      <c r="WER177" s="3"/>
      <c r="WES177" s="3"/>
      <c r="WET177" s="3"/>
      <c r="WEU177" s="3"/>
      <c r="WEV177" s="3"/>
      <c r="WEW177" s="3"/>
      <c r="WEX177" s="3"/>
      <c r="WEY177" s="3"/>
      <c r="WEZ177" s="3"/>
      <c r="WFA177" s="3"/>
      <c r="WFB177" s="3"/>
      <c r="WFC177" s="3"/>
      <c r="WFD177" s="3"/>
      <c r="WFE177" s="3"/>
      <c r="WFF177" s="3"/>
      <c r="WFG177" s="3"/>
      <c r="WFH177" s="3"/>
      <c r="WFI177" s="3"/>
      <c r="WFJ177" s="3"/>
      <c r="WFK177" s="3"/>
      <c r="WFL177" s="3"/>
      <c r="WFM177" s="3"/>
      <c r="WFN177" s="3"/>
      <c r="WFO177" s="3"/>
      <c r="WFP177" s="3"/>
      <c r="WFQ177" s="3"/>
      <c r="WFR177" s="3"/>
      <c r="WFS177" s="3"/>
      <c r="WFT177" s="3"/>
      <c r="WFU177" s="3"/>
      <c r="WFV177" s="3"/>
      <c r="WFW177" s="3"/>
      <c r="WFX177" s="3"/>
      <c r="WFY177" s="3"/>
      <c r="WFZ177" s="3"/>
      <c r="WGA177" s="3"/>
      <c r="WGB177" s="3"/>
      <c r="WGC177" s="3"/>
      <c r="WGD177" s="3"/>
      <c r="WGE177" s="3"/>
      <c r="WGF177" s="3"/>
      <c r="WGG177" s="3"/>
      <c r="WGH177" s="3"/>
      <c r="WGI177" s="3"/>
      <c r="WGJ177" s="3"/>
      <c r="WGK177" s="3"/>
      <c r="WGL177" s="3"/>
      <c r="WGM177" s="3"/>
      <c r="WGN177" s="3"/>
      <c r="WGO177" s="3"/>
      <c r="WGP177" s="3"/>
      <c r="WGQ177" s="3"/>
      <c r="WGR177" s="3"/>
      <c r="WGS177" s="3"/>
      <c r="WGT177" s="3"/>
      <c r="WGU177" s="3"/>
      <c r="WGV177" s="3"/>
      <c r="WGW177" s="3"/>
      <c r="WGX177" s="3"/>
      <c r="WGY177" s="3"/>
      <c r="WGZ177" s="3"/>
      <c r="WHA177" s="3"/>
      <c r="WHB177" s="3"/>
      <c r="WHC177" s="3"/>
      <c r="WHD177" s="3"/>
      <c r="WHE177" s="3"/>
      <c r="WHF177" s="3"/>
      <c r="WHG177" s="3"/>
      <c r="WHH177" s="3"/>
      <c r="WHI177" s="3"/>
      <c r="WHJ177" s="3"/>
      <c r="WHK177" s="3"/>
      <c r="WHL177" s="3"/>
      <c r="WHM177" s="3"/>
      <c r="WHN177" s="3"/>
      <c r="WHO177" s="3"/>
      <c r="WHP177" s="3"/>
      <c r="WHQ177" s="3"/>
      <c r="WHR177" s="3"/>
      <c r="WHS177" s="3"/>
      <c r="WHT177" s="3"/>
      <c r="WHU177" s="3"/>
      <c r="WHV177" s="3"/>
      <c r="WHW177" s="3"/>
      <c r="WHX177" s="3"/>
      <c r="WHY177" s="3"/>
      <c r="WHZ177" s="3"/>
      <c r="WIA177" s="3"/>
      <c r="WIB177" s="3"/>
      <c r="WIC177" s="3"/>
      <c r="WID177" s="3"/>
      <c r="WIE177" s="3"/>
      <c r="WIF177" s="3"/>
      <c r="WIG177" s="3"/>
      <c r="WIH177" s="3"/>
      <c r="WII177" s="3"/>
      <c r="WIJ177" s="3"/>
      <c r="WIK177" s="3"/>
      <c r="WIL177" s="3"/>
      <c r="WIM177" s="3"/>
      <c r="WIN177" s="3"/>
      <c r="WIO177" s="3"/>
      <c r="WIP177" s="3"/>
      <c r="WIQ177" s="3"/>
      <c r="WIR177" s="3"/>
      <c r="WIS177" s="3"/>
      <c r="WIT177" s="3"/>
      <c r="WIU177" s="3"/>
      <c r="WIV177" s="3"/>
      <c r="WIW177" s="3"/>
      <c r="WIX177" s="3"/>
      <c r="WIY177" s="3"/>
      <c r="WIZ177" s="3"/>
      <c r="WJA177" s="3"/>
      <c r="WJB177" s="3"/>
      <c r="WJC177" s="3"/>
      <c r="WJD177" s="3"/>
      <c r="WJE177" s="3"/>
      <c r="WJF177" s="3"/>
      <c r="WJG177" s="3"/>
      <c r="WJH177" s="3"/>
      <c r="WJI177" s="3"/>
      <c r="WJJ177" s="3"/>
      <c r="WJK177" s="3"/>
      <c r="WJL177" s="3"/>
      <c r="WJM177" s="3"/>
      <c r="WJN177" s="3"/>
      <c r="WJO177" s="3"/>
      <c r="WJP177" s="3"/>
      <c r="WJQ177" s="3"/>
      <c r="WJR177" s="3"/>
      <c r="WJS177" s="3"/>
      <c r="WJT177" s="3"/>
      <c r="WJU177" s="3"/>
      <c r="WJV177" s="3"/>
      <c r="WJW177" s="3"/>
      <c r="WJX177" s="3"/>
      <c r="WJY177" s="3"/>
      <c r="WJZ177" s="3"/>
      <c r="WKA177" s="3"/>
      <c r="WKB177" s="3"/>
      <c r="WKC177" s="3"/>
      <c r="WKD177" s="3"/>
      <c r="WKE177" s="3"/>
      <c r="WKF177" s="3"/>
      <c r="WKG177" s="3"/>
      <c r="WKH177" s="3"/>
      <c r="WKI177" s="3"/>
      <c r="WKJ177" s="3"/>
      <c r="WKK177" s="3"/>
      <c r="WKL177" s="3"/>
      <c r="WKM177" s="3"/>
      <c r="WKN177" s="3"/>
      <c r="WKO177" s="3"/>
      <c r="WKP177" s="3"/>
      <c r="WKQ177" s="3"/>
      <c r="WKR177" s="3"/>
      <c r="WKS177" s="3"/>
      <c r="WKT177" s="3"/>
      <c r="WKU177" s="3"/>
      <c r="WKV177" s="3"/>
      <c r="WKW177" s="3"/>
      <c r="WKX177" s="3"/>
      <c r="WKY177" s="3"/>
      <c r="WKZ177" s="3"/>
      <c r="WLA177" s="3"/>
      <c r="WLB177" s="3"/>
      <c r="WLC177" s="3"/>
      <c r="WLD177" s="3"/>
      <c r="WLE177" s="3"/>
      <c r="WLF177" s="3"/>
      <c r="WLG177" s="3"/>
      <c r="WLH177" s="3"/>
      <c r="WLI177" s="3"/>
      <c r="WLJ177" s="3"/>
      <c r="WLK177" s="3"/>
      <c r="WLL177" s="3"/>
      <c r="WLM177" s="3"/>
      <c r="WLN177" s="3"/>
      <c r="WLO177" s="3"/>
      <c r="WLP177" s="3"/>
      <c r="WLQ177" s="3"/>
      <c r="WLR177" s="3"/>
      <c r="WLS177" s="3"/>
      <c r="WLT177" s="3"/>
      <c r="WLU177" s="3"/>
      <c r="WLV177" s="3"/>
      <c r="WLW177" s="3"/>
      <c r="WLX177" s="3"/>
      <c r="WLY177" s="3"/>
      <c r="WLZ177" s="3"/>
      <c r="WMA177" s="3"/>
      <c r="WMB177" s="3"/>
      <c r="WMC177" s="3"/>
      <c r="WMD177" s="3"/>
      <c r="WME177" s="3"/>
      <c r="WMF177" s="3"/>
      <c r="WMG177" s="3"/>
      <c r="WMH177" s="3"/>
      <c r="WMI177" s="3"/>
      <c r="WMJ177" s="3"/>
      <c r="WMK177" s="3"/>
      <c r="WML177" s="3"/>
      <c r="WMM177" s="3"/>
      <c r="WMN177" s="3"/>
      <c r="WMO177" s="3"/>
      <c r="WMP177" s="3"/>
      <c r="WMQ177" s="3"/>
      <c r="WMR177" s="3"/>
      <c r="WMS177" s="3"/>
      <c r="WMT177" s="3"/>
      <c r="WMU177" s="3"/>
      <c r="WMV177" s="3"/>
      <c r="WMW177" s="3"/>
      <c r="WMX177" s="3"/>
      <c r="WMY177" s="3"/>
      <c r="WMZ177" s="3"/>
      <c r="WNA177" s="3"/>
      <c r="WNB177" s="3"/>
      <c r="WNC177" s="3"/>
      <c r="WND177" s="3"/>
      <c r="WNE177" s="3"/>
      <c r="WNF177" s="3"/>
      <c r="WNG177" s="3"/>
      <c r="WNH177" s="3"/>
      <c r="WNI177" s="3"/>
      <c r="WNJ177" s="3"/>
      <c r="WNK177" s="3"/>
      <c r="WNL177" s="3"/>
      <c r="WNM177" s="3"/>
      <c r="WNN177" s="3"/>
      <c r="WNO177" s="3"/>
      <c r="WNP177" s="3"/>
      <c r="WNQ177" s="3"/>
      <c r="WNR177" s="3"/>
      <c r="WNS177" s="3"/>
      <c r="WNT177" s="3"/>
      <c r="WNU177" s="3"/>
      <c r="WNV177" s="3"/>
      <c r="WNW177" s="3"/>
      <c r="WNX177" s="3"/>
      <c r="WNY177" s="3"/>
      <c r="WNZ177" s="3"/>
      <c r="WOA177" s="3"/>
      <c r="WOB177" s="3"/>
      <c r="WOC177" s="3"/>
      <c r="WOD177" s="3"/>
      <c r="WOE177" s="3"/>
      <c r="WOF177" s="3"/>
      <c r="WOG177" s="3"/>
      <c r="WOH177" s="3"/>
      <c r="WOI177" s="3"/>
      <c r="WOJ177" s="3"/>
      <c r="WOK177" s="3"/>
      <c r="WOL177" s="3"/>
      <c r="WOM177" s="3"/>
      <c r="WON177" s="3"/>
      <c r="WOO177" s="3"/>
      <c r="WOP177" s="3"/>
      <c r="WOQ177" s="3"/>
      <c r="WOR177" s="3"/>
      <c r="WOS177" s="3"/>
      <c r="WOT177" s="3"/>
      <c r="WOU177" s="3"/>
      <c r="WOV177" s="3"/>
      <c r="WOW177" s="3"/>
      <c r="WOX177" s="3"/>
      <c r="WOY177" s="3"/>
      <c r="WOZ177" s="3"/>
      <c r="WPA177" s="3"/>
      <c r="WPB177" s="3"/>
      <c r="WPC177" s="3"/>
      <c r="WPD177" s="3"/>
      <c r="WPE177" s="3"/>
      <c r="WPF177" s="3"/>
      <c r="WPG177" s="3"/>
      <c r="WPH177" s="3"/>
      <c r="WPI177" s="3"/>
      <c r="WPJ177" s="3"/>
      <c r="WPK177" s="3"/>
      <c r="WPL177" s="3"/>
      <c r="WPM177" s="3"/>
      <c r="WPN177" s="3"/>
      <c r="WPO177" s="3"/>
      <c r="WPP177" s="3"/>
      <c r="WPQ177" s="3"/>
      <c r="WPR177" s="3"/>
      <c r="WPS177" s="3"/>
      <c r="WPT177" s="3"/>
      <c r="WPU177" s="3"/>
      <c r="WPV177" s="3"/>
      <c r="WPW177" s="3"/>
      <c r="WPX177" s="3"/>
      <c r="WPY177" s="3"/>
      <c r="WPZ177" s="3"/>
      <c r="WQA177" s="3"/>
      <c r="WQB177" s="3"/>
      <c r="WQC177" s="3"/>
      <c r="WQD177" s="3"/>
      <c r="WQE177" s="3"/>
      <c r="WQF177" s="3"/>
      <c r="WQG177" s="3"/>
      <c r="WQH177" s="3"/>
      <c r="WQI177" s="3"/>
      <c r="WQJ177" s="3"/>
      <c r="WQK177" s="3"/>
      <c r="WQL177" s="3"/>
      <c r="WQM177" s="3"/>
      <c r="WQN177" s="3"/>
      <c r="WQO177" s="3"/>
      <c r="WQP177" s="3"/>
      <c r="WQQ177" s="3"/>
      <c r="WQR177" s="3"/>
      <c r="WQS177" s="3"/>
      <c r="WQT177" s="3"/>
      <c r="WQU177" s="3"/>
      <c r="WQV177" s="3"/>
      <c r="WQW177" s="3"/>
      <c r="WQX177" s="3"/>
      <c r="WQY177" s="3"/>
      <c r="WQZ177" s="3"/>
      <c r="WRA177" s="3"/>
      <c r="WRB177" s="3"/>
      <c r="WRC177" s="3"/>
      <c r="WRD177" s="3"/>
      <c r="WRE177" s="3"/>
      <c r="WRF177" s="3"/>
      <c r="WRG177" s="3"/>
      <c r="WRH177" s="3"/>
      <c r="WRI177" s="3"/>
      <c r="WRJ177" s="3"/>
      <c r="WRK177" s="3"/>
      <c r="WRL177" s="3"/>
      <c r="WRM177" s="3"/>
      <c r="WRN177" s="3"/>
      <c r="WRO177" s="3"/>
      <c r="WRP177" s="3"/>
      <c r="WRQ177" s="3"/>
      <c r="WRR177" s="3"/>
      <c r="WRS177" s="3"/>
      <c r="WRT177" s="3"/>
      <c r="WRU177" s="3"/>
      <c r="WRV177" s="3"/>
      <c r="WRW177" s="3"/>
      <c r="WRX177" s="3"/>
      <c r="WRY177" s="3"/>
      <c r="WRZ177" s="3"/>
      <c r="WSA177" s="3"/>
      <c r="WSB177" s="3"/>
      <c r="WSC177" s="3"/>
      <c r="WSD177" s="3"/>
      <c r="WSE177" s="3"/>
      <c r="WSF177" s="3"/>
      <c r="WSG177" s="3"/>
      <c r="WSH177" s="3"/>
      <c r="WSI177" s="3"/>
      <c r="WSJ177" s="3"/>
      <c r="WSK177" s="3"/>
      <c r="WSL177" s="3"/>
      <c r="WSM177" s="3"/>
      <c r="WSN177" s="3"/>
      <c r="WSO177" s="3"/>
      <c r="WSP177" s="3"/>
      <c r="WSQ177" s="3"/>
      <c r="WSR177" s="3"/>
      <c r="WSS177" s="3"/>
      <c r="WST177" s="3"/>
      <c r="WSU177" s="3"/>
      <c r="WSV177" s="3"/>
      <c r="WSW177" s="3"/>
      <c r="WSX177" s="3"/>
      <c r="WSY177" s="3"/>
      <c r="WSZ177" s="3"/>
      <c r="WTA177" s="3"/>
      <c r="WTB177" s="3"/>
      <c r="WTC177" s="3"/>
      <c r="WTD177" s="3"/>
      <c r="WTE177" s="3"/>
      <c r="WTF177" s="3"/>
      <c r="WTG177" s="3"/>
      <c r="WTH177" s="3"/>
      <c r="WTI177" s="3"/>
      <c r="WTJ177" s="3"/>
      <c r="WTK177" s="3"/>
      <c r="WTL177" s="3"/>
      <c r="WTM177" s="3"/>
      <c r="WTN177" s="3"/>
      <c r="WTO177" s="3"/>
      <c r="WTP177" s="3"/>
      <c r="WTQ177" s="3"/>
      <c r="WTR177" s="3"/>
      <c r="WTS177" s="3"/>
      <c r="WTT177" s="3"/>
      <c r="WTU177" s="3"/>
      <c r="WTV177" s="3"/>
      <c r="WTW177" s="3"/>
      <c r="WTX177" s="3"/>
      <c r="WTY177" s="3"/>
      <c r="WTZ177" s="3"/>
      <c r="WUA177" s="3"/>
      <c r="WUB177" s="3"/>
      <c r="WUC177" s="3"/>
      <c r="WUD177" s="3"/>
      <c r="WUE177" s="3"/>
      <c r="WUF177" s="3"/>
      <c r="WUG177" s="3"/>
      <c r="WUH177" s="3"/>
      <c r="WUI177" s="3"/>
      <c r="WUJ177" s="3"/>
      <c r="WUK177" s="3"/>
      <c r="WUL177" s="3"/>
      <c r="WUM177" s="3"/>
      <c r="WUN177" s="3"/>
      <c r="WUO177" s="3"/>
      <c r="WUP177" s="3"/>
      <c r="WUQ177" s="3"/>
      <c r="WUR177" s="3"/>
      <c r="WUS177" s="3"/>
      <c r="WUT177" s="3"/>
      <c r="WUU177" s="3"/>
      <c r="WUV177" s="3"/>
      <c r="WUW177" s="3"/>
      <c r="WUX177" s="3"/>
      <c r="WUY177" s="3"/>
      <c r="WUZ177" s="3"/>
      <c r="WVA177" s="3"/>
      <c r="WVB177" s="3"/>
      <c r="WVC177" s="3"/>
      <c r="WVD177" s="3"/>
      <c r="WVE177" s="3"/>
      <c r="WVF177" s="3"/>
      <c r="WVG177" s="3"/>
      <c r="WVH177" s="3"/>
      <c r="WVI177" s="3"/>
      <c r="WVJ177" s="3"/>
      <c r="WVK177" s="3"/>
      <c r="WVL177" s="3"/>
      <c r="WVM177" s="3"/>
      <c r="WVN177" s="3"/>
      <c r="WVO177" s="3"/>
      <c r="WVP177" s="3"/>
      <c r="WVQ177" s="3"/>
      <c r="WVR177" s="3"/>
      <c r="WVS177" s="3"/>
      <c r="WVT177" s="3"/>
      <c r="WVU177" s="3"/>
      <c r="WVV177" s="3"/>
      <c r="WVW177" s="3"/>
      <c r="WVX177" s="3"/>
      <c r="WVY177" s="3"/>
      <c r="WVZ177" s="3"/>
      <c r="WWA177" s="3"/>
      <c r="WWB177" s="3"/>
      <c r="WWC177" s="3"/>
      <c r="WWD177" s="3"/>
      <c r="WWE177" s="3"/>
      <c r="WWF177" s="3"/>
      <c r="WWG177" s="3"/>
      <c r="WWH177" s="3"/>
      <c r="WWI177" s="3"/>
      <c r="WWJ177" s="3"/>
      <c r="WWK177" s="3"/>
      <c r="WWL177" s="3"/>
      <c r="WWM177" s="3"/>
      <c r="WWN177" s="3"/>
      <c r="WWO177" s="3"/>
      <c r="WWP177" s="3"/>
      <c r="WWQ177" s="3"/>
      <c r="WWR177" s="3"/>
      <c r="WWS177" s="3"/>
      <c r="WWT177" s="3"/>
      <c r="WWU177" s="3"/>
      <c r="WWV177" s="3"/>
      <c r="WWW177" s="3"/>
      <c r="WWX177" s="3"/>
      <c r="WWY177" s="3"/>
      <c r="WWZ177" s="3"/>
      <c r="WXA177" s="3"/>
      <c r="WXB177" s="3"/>
      <c r="WXC177" s="3"/>
      <c r="WXD177" s="3"/>
      <c r="WXE177" s="3"/>
      <c r="WXF177" s="3"/>
      <c r="WXG177" s="3"/>
      <c r="WXH177" s="3"/>
      <c r="WXI177" s="3"/>
      <c r="WXJ177" s="3"/>
      <c r="WXK177" s="3"/>
      <c r="WXL177" s="3"/>
      <c r="WXM177" s="3"/>
      <c r="WXN177" s="3"/>
      <c r="WXO177" s="3"/>
      <c r="WXP177" s="3"/>
      <c r="WXQ177" s="3"/>
      <c r="WXR177" s="3"/>
      <c r="WXS177" s="3"/>
      <c r="WXT177" s="3"/>
      <c r="WXU177" s="3"/>
      <c r="WXV177" s="3"/>
      <c r="WXW177" s="3"/>
      <c r="WXX177" s="3"/>
      <c r="WXY177" s="3"/>
      <c r="WXZ177" s="3"/>
      <c r="WYA177" s="3"/>
      <c r="WYB177" s="3"/>
      <c r="WYC177" s="3"/>
      <c r="WYD177" s="3"/>
      <c r="WYE177" s="3"/>
      <c r="WYF177" s="3"/>
      <c r="WYG177" s="3"/>
      <c r="WYH177" s="3"/>
      <c r="WYI177" s="3"/>
      <c r="WYJ177" s="3"/>
      <c r="WYK177" s="3"/>
      <c r="WYL177" s="3"/>
      <c r="WYM177" s="3"/>
      <c r="WYN177" s="3"/>
      <c r="WYO177" s="3"/>
      <c r="WYP177" s="3"/>
      <c r="WYQ177" s="3"/>
      <c r="WYR177" s="3"/>
      <c r="WYS177" s="3"/>
      <c r="WYT177" s="3"/>
      <c r="WYU177" s="3"/>
      <c r="WYV177" s="3"/>
      <c r="WYW177" s="3"/>
      <c r="WYX177" s="3"/>
      <c r="WYY177" s="3"/>
      <c r="WYZ177" s="3"/>
      <c r="WZA177" s="3"/>
      <c r="WZB177" s="3"/>
      <c r="WZC177" s="3"/>
      <c r="WZD177" s="3"/>
      <c r="WZE177" s="3"/>
      <c r="WZF177" s="3"/>
      <c r="WZG177" s="3"/>
      <c r="WZH177" s="3"/>
      <c r="WZI177" s="3"/>
      <c r="WZJ177" s="3"/>
      <c r="WZK177" s="3"/>
      <c r="WZL177" s="3"/>
      <c r="WZM177" s="3"/>
      <c r="WZN177" s="3"/>
      <c r="WZO177" s="3"/>
      <c r="WZP177" s="3"/>
      <c r="WZQ177" s="3"/>
      <c r="WZR177" s="3"/>
      <c r="WZS177" s="3"/>
      <c r="WZT177" s="3"/>
      <c r="WZU177" s="3"/>
      <c r="WZV177" s="3"/>
      <c r="WZW177" s="3"/>
      <c r="WZX177" s="3"/>
      <c r="WZY177" s="3"/>
      <c r="WZZ177" s="3"/>
      <c r="XAA177" s="3"/>
      <c r="XAB177" s="3"/>
      <c r="XAC177" s="3"/>
      <c r="XAD177" s="3"/>
      <c r="XAE177" s="3"/>
      <c r="XAF177" s="3"/>
      <c r="XAG177" s="3"/>
      <c r="XAH177" s="3"/>
      <c r="XAI177" s="3"/>
      <c r="XAJ177" s="3"/>
      <c r="XAK177" s="3"/>
      <c r="XAL177" s="3"/>
      <c r="XAM177" s="3"/>
      <c r="XAN177" s="3"/>
      <c r="XAO177" s="3"/>
      <c r="XAP177" s="3"/>
      <c r="XAQ177" s="3"/>
      <c r="XAR177" s="3"/>
      <c r="XAS177" s="3"/>
      <c r="XAT177" s="3"/>
      <c r="XAU177" s="3"/>
      <c r="XAV177" s="3"/>
      <c r="XAW177" s="3"/>
      <c r="XAX177" s="3"/>
      <c r="XAY177" s="3"/>
      <c r="XAZ177" s="3"/>
      <c r="XBA177" s="3"/>
      <c r="XBB177" s="3"/>
      <c r="XBC177" s="3"/>
      <c r="XBD177" s="3"/>
      <c r="XBE177" s="3"/>
      <c r="XBF177" s="3"/>
      <c r="XBG177" s="3"/>
      <c r="XBH177" s="3"/>
      <c r="XBI177" s="3"/>
      <c r="XBJ177" s="3"/>
      <c r="XBK177" s="3"/>
      <c r="XBL177" s="3"/>
      <c r="XBM177" s="3"/>
      <c r="XBN177" s="3"/>
      <c r="XBO177" s="3"/>
      <c r="XBP177" s="3"/>
      <c r="XBQ177" s="3"/>
      <c r="XBR177" s="3"/>
      <c r="XBS177" s="3"/>
      <c r="XBT177" s="3"/>
      <c r="XBU177" s="3"/>
      <c r="XBV177" s="3"/>
      <c r="XBW177" s="3"/>
      <c r="XBX177" s="3"/>
      <c r="XBY177" s="3"/>
      <c r="XBZ177" s="3"/>
      <c r="XCA177" s="3"/>
      <c r="XCB177" s="3"/>
      <c r="XCC177" s="3"/>
      <c r="XCD177" s="3"/>
      <c r="XCE177" s="3"/>
      <c r="XCF177" s="3"/>
      <c r="XCG177" s="3"/>
      <c r="XCH177" s="3"/>
      <c r="XCI177" s="3"/>
      <c r="XCJ177" s="3"/>
      <c r="XCK177" s="3"/>
      <c r="XCL177" s="3"/>
      <c r="XCM177" s="3"/>
      <c r="XCN177" s="3"/>
      <c r="XCO177" s="3"/>
      <c r="XCP177" s="3"/>
      <c r="XCQ177" s="3"/>
      <c r="XCR177" s="3"/>
      <c r="XCS177" s="3"/>
      <c r="XCT177" s="3"/>
      <c r="XCU177" s="3"/>
      <c r="XCV177" s="3"/>
      <c r="XCW177" s="3"/>
      <c r="XCX177" s="3"/>
      <c r="XCY177" s="3"/>
      <c r="XCZ177" s="3"/>
      <c r="XDA177" s="3"/>
      <c r="XDB177" s="3"/>
      <c r="XDC177" s="3"/>
      <c r="XDD177" s="3"/>
      <c r="XDE177" s="3"/>
      <c r="XDF177" s="3"/>
      <c r="XDG177" s="3"/>
      <c r="XDH177" s="3"/>
      <c r="XDI177" s="3"/>
      <c r="XDJ177" s="3"/>
      <c r="XDK177" s="3"/>
      <c r="XDL177" s="3"/>
      <c r="XDM177" s="3"/>
      <c r="XDN177" s="3"/>
      <c r="XDO177" s="3"/>
      <c r="XDP177" s="3"/>
      <c r="XDQ177" s="3"/>
      <c r="XDR177" s="3"/>
      <c r="XDS177" s="3"/>
      <c r="XDT177" s="3"/>
      <c r="XDU177" s="3"/>
      <c r="XDV177" s="3"/>
      <c r="XDW177" s="3"/>
      <c r="XDX177" s="3"/>
      <c r="XDY177" s="3"/>
      <c r="XDZ177" s="3"/>
      <c r="XEA177" s="3"/>
      <c r="XEB177" s="3"/>
      <c r="XEC177" s="3"/>
      <c r="XED177" s="3"/>
      <c r="XEE177" s="3"/>
      <c r="XEF177" s="3"/>
      <c r="XEG177" s="3"/>
      <c r="XEH177" s="3"/>
      <c r="XEI177" s="3"/>
      <c r="XEJ177" s="3"/>
      <c r="XEK177" s="3"/>
      <c r="XEL177" s="3"/>
      <c r="XEM177" s="3"/>
      <c r="XEN177" s="3"/>
      <c r="XEO177" s="3"/>
      <c r="XEP177" s="3"/>
      <c r="XEQ177" s="3"/>
      <c r="XER177" s="3"/>
      <c r="XES177" s="3"/>
      <c r="XET177" s="3"/>
      <c r="XEU177" s="3"/>
      <c r="XEV177" s="3"/>
    </row>
    <row r="178" spans="1:16376">
      <c r="A178" s="8">
        <v>5455</v>
      </c>
      <c r="B178" t="s">
        <v>183</v>
      </c>
      <c r="C178" s="19">
        <v>2225585.13</v>
      </c>
      <c r="D178" s="20">
        <v>3711889.34</v>
      </c>
      <c r="E178" s="18">
        <v>779613.82000000007</v>
      </c>
      <c r="F178" s="23">
        <v>23069.16</v>
      </c>
      <c r="G178" t="s">
        <v>307</v>
      </c>
      <c r="H178" t="s">
        <v>309</v>
      </c>
      <c r="K178" t="str">
        <f>"Culver Community Schools Corp     "</f>
        <v xml:space="preserve">Culver Community Schools Corp     </v>
      </c>
      <c r="L178" t="str">
        <f>"5455"</f>
        <v>5455</v>
      </c>
      <c r="M178">
        <v>8</v>
      </c>
      <c r="N178">
        <v>1156</v>
      </c>
      <c r="O178">
        <f t="shared" si="2"/>
        <v>1148</v>
      </c>
    </row>
    <row r="179" spans="1:16376">
      <c r="A179" s="8">
        <v>5470</v>
      </c>
      <c r="B179" t="s">
        <v>184</v>
      </c>
      <c r="C179" s="19">
        <v>873778.66999999993</v>
      </c>
      <c r="D179" s="20">
        <v>3034188.8600000003</v>
      </c>
      <c r="E179" s="18">
        <v>215909.66</v>
      </c>
      <c r="F179" s="23">
        <v>138765.70000000001</v>
      </c>
      <c r="G179" t="s">
        <v>307</v>
      </c>
      <c r="H179" t="s">
        <v>309</v>
      </c>
      <c r="K179" t="str">
        <f>"Argos Community Schools           "</f>
        <v xml:space="preserve">Argos Community Schools           </v>
      </c>
      <c r="L179" t="str">
        <f>"5470"</f>
        <v>5470</v>
      </c>
      <c r="M179">
        <v>0</v>
      </c>
      <c r="N179">
        <v>667</v>
      </c>
      <c r="O179">
        <f t="shared" si="2"/>
        <v>667</v>
      </c>
    </row>
    <row r="180" spans="1:16376">
      <c r="A180" s="8">
        <v>5480</v>
      </c>
      <c r="B180" t="s">
        <v>185</v>
      </c>
      <c r="C180" s="19">
        <v>2064294.6099999999</v>
      </c>
      <c r="D180" s="20">
        <v>4828523.1899999995</v>
      </c>
      <c r="E180" s="18">
        <v>669683.71</v>
      </c>
      <c r="F180" s="23">
        <v>9091278.3499999996</v>
      </c>
      <c r="G180" t="s">
        <v>307</v>
      </c>
      <c r="H180" t="s">
        <v>309</v>
      </c>
      <c r="K180" t="str">
        <f>"Bremen Public Schools             "</f>
        <v xml:space="preserve">Bremen Public Schools             </v>
      </c>
      <c r="L180" t="str">
        <f>"5480"</f>
        <v>5480</v>
      </c>
      <c r="M180">
        <v>0</v>
      </c>
      <c r="N180">
        <v>1461</v>
      </c>
      <c r="O180">
        <f t="shared" si="2"/>
        <v>1461</v>
      </c>
    </row>
    <row r="181" spans="1:16376">
      <c r="A181" s="8">
        <v>5485</v>
      </c>
      <c r="B181" t="s">
        <v>186</v>
      </c>
      <c r="C181" s="19">
        <v>5335244.5</v>
      </c>
      <c r="D181" s="20">
        <v>13361429.800000001</v>
      </c>
      <c r="E181" s="18">
        <v>2035732.72</v>
      </c>
      <c r="F181" s="23">
        <v>590802.67999999993</v>
      </c>
      <c r="G181" t="s">
        <v>307</v>
      </c>
      <c r="H181" t="s">
        <v>309</v>
      </c>
      <c r="K181" t="str">
        <f>"Plymouth Community School Corp    "</f>
        <v xml:space="preserve">Plymouth Community School Corp    </v>
      </c>
      <c r="L181" t="str">
        <f>"5485"</f>
        <v>5485</v>
      </c>
      <c r="M181">
        <v>0</v>
      </c>
      <c r="N181">
        <v>3526</v>
      </c>
      <c r="O181">
        <f t="shared" si="2"/>
        <v>3526</v>
      </c>
    </row>
    <row r="182" spans="1:16376">
      <c r="A182" s="8">
        <v>5495</v>
      </c>
      <c r="B182" t="s">
        <v>187</v>
      </c>
      <c r="C182" s="19">
        <v>1460791.8699999999</v>
      </c>
      <c r="D182" s="20">
        <v>4333179.9399999995</v>
      </c>
      <c r="E182" s="18">
        <v>363105.17</v>
      </c>
      <c r="F182" s="23">
        <v>30595.1</v>
      </c>
      <c r="G182" t="s">
        <v>307</v>
      </c>
      <c r="H182" t="s">
        <v>309</v>
      </c>
      <c r="K182" t="str">
        <f>"Triton School Corporation         "</f>
        <v xml:space="preserve">Triton School Corporation         </v>
      </c>
      <c r="L182" t="str">
        <f>"5495"</f>
        <v>5495</v>
      </c>
      <c r="M182">
        <v>0</v>
      </c>
      <c r="N182">
        <v>1090</v>
      </c>
      <c r="O182">
        <f t="shared" si="2"/>
        <v>1090</v>
      </c>
    </row>
    <row r="183" spans="1:16376">
      <c r="A183" s="8">
        <v>5520</v>
      </c>
      <c r="B183" t="s">
        <v>188</v>
      </c>
      <c r="C183" s="19">
        <v>1038152.8999999999</v>
      </c>
      <c r="D183" s="20">
        <v>3483371.69</v>
      </c>
      <c r="E183" s="18">
        <v>303616.48</v>
      </c>
      <c r="F183" s="23">
        <v>73288.710000000006</v>
      </c>
      <c r="G183" t="s">
        <v>307</v>
      </c>
      <c r="H183" t="s">
        <v>309</v>
      </c>
      <c r="K183" t="str">
        <f>"Shoals Community School Corp      "</f>
        <v xml:space="preserve">Shoals Community School Corp      </v>
      </c>
      <c r="L183" t="str">
        <f>"5520"</f>
        <v>5520</v>
      </c>
      <c r="M183">
        <v>0</v>
      </c>
      <c r="N183">
        <v>698</v>
      </c>
      <c r="O183">
        <f t="shared" si="2"/>
        <v>698</v>
      </c>
    </row>
    <row r="184" spans="1:16376">
      <c r="A184" s="8">
        <v>5525</v>
      </c>
      <c r="B184" t="s">
        <v>189</v>
      </c>
      <c r="C184" s="19">
        <v>1723310.81</v>
      </c>
      <c r="D184" s="20">
        <v>4684538.8499999996</v>
      </c>
      <c r="E184" s="18">
        <v>729538.62</v>
      </c>
      <c r="F184" s="23">
        <v>20025.650000000001</v>
      </c>
      <c r="G184" t="s">
        <v>307</v>
      </c>
      <c r="H184" t="s">
        <v>309</v>
      </c>
      <c r="K184" t="str">
        <f>"Loogootee Community Sch Corp      "</f>
        <v xml:space="preserve">Loogootee Community Sch Corp      </v>
      </c>
      <c r="L184" t="str">
        <f>"5525"</f>
        <v>5525</v>
      </c>
      <c r="M184">
        <v>0</v>
      </c>
      <c r="N184">
        <v>1053</v>
      </c>
      <c r="O184">
        <f t="shared" si="2"/>
        <v>1053</v>
      </c>
    </row>
    <row r="185" spans="1:16376">
      <c r="A185" s="8">
        <v>5615</v>
      </c>
      <c r="B185" t="s">
        <v>190</v>
      </c>
      <c r="C185" s="19">
        <v>5011569.9400000004</v>
      </c>
      <c r="D185" s="20">
        <v>12856549.560000001</v>
      </c>
      <c r="E185" s="18">
        <v>627135.57000000007</v>
      </c>
      <c r="F185" s="23">
        <v>2867417.8</v>
      </c>
      <c r="G185" t="s">
        <v>307</v>
      </c>
      <c r="H185" t="s">
        <v>309</v>
      </c>
      <c r="K185" t="str">
        <f>"Maconaquah School Corp            "</f>
        <v xml:space="preserve">Maconaquah School Corp            </v>
      </c>
      <c r="L185" t="str">
        <f>"5615"</f>
        <v>5615</v>
      </c>
      <c r="M185">
        <v>37</v>
      </c>
      <c r="N185">
        <v>2425</v>
      </c>
      <c r="O185">
        <f t="shared" si="2"/>
        <v>2388</v>
      </c>
    </row>
    <row r="186" spans="1:16376">
      <c r="A186" s="8">
        <v>5620</v>
      </c>
      <c r="B186" t="s">
        <v>191</v>
      </c>
      <c r="C186" s="19">
        <v>1814617.94</v>
      </c>
      <c r="D186" s="20">
        <v>4950661.51</v>
      </c>
      <c r="E186" s="18">
        <v>242928.81</v>
      </c>
      <c r="F186" s="23">
        <v>113204.54999999999</v>
      </c>
      <c r="G186" t="s">
        <v>307</v>
      </c>
      <c r="H186" t="s">
        <v>309</v>
      </c>
      <c r="K186" t="str">
        <f>"North Miami Community Schools     "</f>
        <v xml:space="preserve">North Miami Community Schools     </v>
      </c>
      <c r="L186" t="str">
        <f>"5620"</f>
        <v>5620</v>
      </c>
      <c r="M186">
        <v>7</v>
      </c>
      <c r="N186">
        <v>1151</v>
      </c>
      <c r="O186">
        <f t="shared" si="2"/>
        <v>1144</v>
      </c>
    </row>
    <row r="187" spans="1:16376">
      <c r="A187" s="8">
        <v>5625</v>
      </c>
      <c r="B187" t="s">
        <v>192</v>
      </c>
      <c r="C187" s="19">
        <v>1935614.46</v>
      </c>
      <c r="D187" s="20">
        <v>6040417.8800000008</v>
      </c>
      <c r="E187" s="18">
        <v>639756.89999999991</v>
      </c>
      <c r="F187" s="23">
        <v>2838233.1900000004</v>
      </c>
      <c r="G187" t="s">
        <v>307</v>
      </c>
      <c r="H187" t="s">
        <v>309</v>
      </c>
      <c r="K187" t="str">
        <f>"Oak Hill United School Corp       "</f>
        <v xml:space="preserve">Oak Hill United School Corp       </v>
      </c>
      <c r="L187" t="str">
        <f>"5625"</f>
        <v>5625</v>
      </c>
      <c r="M187">
        <v>28</v>
      </c>
      <c r="N187">
        <v>1509</v>
      </c>
      <c r="O187">
        <f t="shared" si="2"/>
        <v>1481</v>
      </c>
    </row>
    <row r="188" spans="1:16376">
      <c r="A188" s="8">
        <v>5635</v>
      </c>
      <c r="B188" t="s">
        <v>193</v>
      </c>
      <c r="C188" s="19">
        <v>3171698.96</v>
      </c>
      <c r="D188" s="20">
        <v>11591974.140000001</v>
      </c>
      <c r="E188" s="18">
        <v>1349702.58</v>
      </c>
      <c r="F188" s="23">
        <v>37785.369999999995</v>
      </c>
      <c r="G188" t="s">
        <v>307</v>
      </c>
      <c r="H188" t="s">
        <v>309</v>
      </c>
      <c r="K188" t="str">
        <f>"Peru Community Schools            "</f>
        <v xml:space="preserve">Peru Community Schools            </v>
      </c>
      <c r="L188" t="str">
        <f>"5635"</f>
        <v>5635</v>
      </c>
      <c r="M188">
        <v>14</v>
      </c>
      <c r="N188">
        <v>2300</v>
      </c>
      <c r="O188">
        <f t="shared" si="2"/>
        <v>2286</v>
      </c>
    </row>
    <row r="189" spans="1:16376">
      <c r="A189" s="8">
        <v>5705</v>
      </c>
      <c r="B189" t="s">
        <v>194</v>
      </c>
      <c r="C189" s="19">
        <v>4282410.3</v>
      </c>
      <c r="D189" s="20">
        <v>10548382.939999999</v>
      </c>
      <c r="E189" s="18">
        <v>1423463.12</v>
      </c>
      <c r="F189" s="23">
        <v>919973.66999999993</v>
      </c>
      <c r="G189" t="s">
        <v>307</v>
      </c>
      <c r="H189" t="s">
        <v>309</v>
      </c>
      <c r="K189" t="str">
        <f>"Richland-Bean Blossom C S C       "</f>
        <v xml:space="preserve">Richland-Bean Blossom C S C       </v>
      </c>
      <c r="L189" t="str">
        <f>"5705"</f>
        <v>5705</v>
      </c>
      <c r="M189">
        <v>87</v>
      </c>
      <c r="N189">
        <v>2835</v>
      </c>
      <c r="O189">
        <f t="shared" si="2"/>
        <v>2748</v>
      </c>
    </row>
    <row r="190" spans="1:16376">
      <c r="A190" s="8">
        <v>5740</v>
      </c>
      <c r="B190" t="s">
        <v>195</v>
      </c>
      <c r="C190" s="19">
        <v>24765902.93</v>
      </c>
      <c r="D190" s="20">
        <v>26597926</v>
      </c>
      <c r="E190" s="18">
        <v>8576502.1500000004</v>
      </c>
      <c r="F190" s="23">
        <v>10025188.129999999</v>
      </c>
      <c r="G190" t="s">
        <v>307</v>
      </c>
      <c r="H190" t="s">
        <v>309</v>
      </c>
      <c r="K190" t="str">
        <f>"Monroe County Com Sch Corp        "</f>
        <v xml:space="preserve">Monroe County Com Sch Corp        </v>
      </c>
      <c r="L190" t="str">
        <f>"5740"</f>
        <v>5740</v>
      </c>
      <c r="M190">
        <v>70</v>
      </c>
      <c r="N190">
        <v>11034</v>
      </c>
      <c r="O190">
        <f t="shared" si="2"/>
        <v>10964</v>
      </c>
    </row>
    <row r="191" spans="1:16376">
      <c r="A191" s="9">
        <v>5835</v>
      </c>
      <c r="B191" s="3" t="s">
        <v>196</v>
      </c>
      <c r="C191" s="19">
        <v>3375638.71</v>
      </c>
      <c r="D191" s="20">
        <v>6902856.21</v>
      </c>
      <c r="E191" s="18">
        <v>1020666.83</v>
      </c>
      <c r="F191" s="23">
        <v>96703.17</v>
      </c>
      <c r="G191" t="s">
        <v>307</v>
      </c>
      <c r="H191" t="s">
        <v>309</v>
      </c>
      <c r="K191" t="str">
        <f>"North Montgomery Com Sch Corp     "</f>
        <v xml:space="preserve">North Montgomery Com Sch Corp     </v>
      </c>
      <c r="L191" t="str">
        <f>"5835"</f>
        <v>5835</v>
      </c>
      <c r="M191">
        <v>23</v>
      </c>
      <c r="N191">
        <v>2219</v>
      </c>
      <c r="O191">
        <f t="shared" si="2"/>
        <v>2196</v>
      </c>
    </row>
    <row r="192" spans="1:16376">
      <c r="A192" s="8">
        <v>5845</v>
      </c>
      <c r="B192" t="s">
        <v>197</v>
      </c>
      <c r="C192" s="19">
        <v>3572587.18</v>
      </c>
      <c r="D192" s="20">
        <v>5830218.8499999996</v>
      </c>
      <c r="E192" s="18">
        <v>934262.95</v>
      </c>
      <c r="F192" s="23">
        <v>99278.23</v>
      </c>
      <c r="G192" t="s">
        <v>307</v>
      </c>
      <c r="H192" t="s">
        <v>309</v>
      </c>
      <c r="K192" t="str">
        <f>"South Montgomery Com Sch Corp     "</f>
        <v xml:space="preserve">South Montgomery Com Sch Corp     </v>
      </c>
      <c r="L192" t="str">
        <f>"5845"</f>
        <v>5845</v>
      </c>
      <c r="M192">
        <v>0</v>
      </c>
      <c r="N192">
        <v>1995</v>
      </c>
      <c r="O192">
        <f t="shared" si="2"/>
        <v>1995</v>
      </c>
    </row>
    <row r="193" spans="1:15">
      <c r="A193" s="8">
        <v>5855</v>
      </c>
      <c r="B193" t="s">
        <v>198</v>
      </c>
      <c r="C193" s="19">
        <v>2985114.92</v>
      </c>
      <c r="D193" s="20">
        <v>10628679.99</v>
      </c>
      <c r="E193" s="18">
        <v>6142232.0700000003</v>
      </c>
      <c r="F193" s="23">
        <v>5458670.0299999993</v>
      </c>
      <c r="G193" t="s">
        <v>307</v>
      </c>
      <c r="H193" t="s">
        <v>309</v>
      </c>
      <c r="K193" t="str">
        <f>"Crawfordsville Com Schools        "</f>
        <v xml:space="preserve">Crawfordsville Com Schools        </v>
      </c>
      <c r="L193" t="str">
        <f>"5855"</f>
        <v>5855</v>
      </c>
      <c r="M193">
        <v>0</v>
      </c>
      <c r="N193">
        <v>2397</v>
      </c>
      <c r="O193">
        <f t="shared" si="2"/>
        <v>2397</v>
      </c>
    </row>
    <row r="194" spans="1:15">
      <c r="A194" s="8">
        <v>5900</v>
      </c>
      <c r="B194" t="s">
        <v>199</v>
      </c>
      <c r="C194" s="19">
        <v>1638660.31</v>
      </c>
      <c r="D194" s="20">
        <v>5096014.58</v>
      </c>
      <c r="E194" s="18">
        <v>469136.2</v>
      </c>
      <c r="F194" s="23">
        <v>57830</v>
      </c>
      <c r="G194" t="s">
        <v>307</v>
      </c>
      <c r="H194" t="s">
        <v>309</v>
      </c>
      <c r="K194" t="str">
        <f>"Monroe-Gregg School District      "</f>
        <v xml:space="preserve">Monroe-Gregg School District      </v>
      </c>
      <c r="L194" t="str">
        <f>"5900"</f>
        <v>5900</v>
      </c>
      <c r="M194">
        <v>15</v>
      </c>
      <c r="N194">
        <v>1392</v>
      </c>
      <c r="O194">
        <f t="shared" si="2"/>
        <v>1377</v>
      </c>
    </row>
    <row r="195" spans="1:15">
      <c r="A195" s="8">
        <v>5910</v>
      </c>
      <c r="B195" t="s">
        <v>200</v>
      </c>
      <c r="C195" s="19">
        <v>655273.95000000007</v>
      </c>
      <c r="D195" s="20">
        <v>2084041.6800000002</v>
      </c>
      <c r="E195" s="18">
        <v>129200.77</v>
      </c>
      <c r="F195" s="23">
        <v>5462.46</v>
      </c>
      <c r="G195" t="s">
        <v>307</v>
      </c>
      <c r="H195" t="s">
        <v>309</v>
      </c>
      <c r="K195" t="str">
        <f>"Eminence Community School Corp    "</f>
        <v xml:space="preserve">Eminence Community School Corp    </v>
      </c>
      <c r="L195" t="str">
        <f>"5910"</f>
        <v>5910</v>
      </c>
      <c r="M195">
        <v>0</v>
      </c>
      <c r="N195">
        <v>529</v>
      </c>
      <c r="O195">
        <f t="shared" ref="O195:O257" si="4">N195-M195</f>
        <v>529</v>
      </c>
    </row>
    <row r="196" spans="1:15">
      <c r="A196" s="8">
        <v>5925</v>
      </c>
      <c r="B196" t="s">
        <v>201</v>
      </c>
      <c r="C196" s="19">
        <v>6252946.3300000001</v>
      </c>
      <c r="D196" s="20">
        <v>21568827.899999999</v>
      </c>
      <c r="E196" s="18">
        <v>3107443.71</v>
      </c>
      <c r="F196" s="23">
        <v>1147648.76</v>
      </c>
      <c r="G196" t="s">
        <v>307</v>
      </c>
      <c r="H196" t="s">
        <v>309</v>
      </c>
      <c r="K196" t="str">
        <f>"M S D Martinsville Schools        "</f>
        <v xml:space="preserve">M S D Martinsville Schools        </v>
      </c>
      <c r="L196" t="str">
        <f>"5925"</f>
        <v>5925</v>
      </c>
      <c r="M196">
        <v>46</v>
      </c>
      <c r="N196">
        <v>5675</v>
      </c>
      <c r="O196">
        <f t="shared" si="4"/>
        <v>5629</v>
      </c>
    </row>
    <row r="197" spans="1:15">
      <c r="A197" s="8">
        <v>5930</v>
      </c>
      <c r="B197" t="s">
        <v>202</v>
      </c>
      <c r="C197" s="19">
        <v>4622975.93</v>
      </c>
      <c r="D197" s="20">
        <v>16204069.34</v>
      </c>
      <c r="E197" s="18">
        <v>1346235.29</v>
      </c>
      <c r="F197" s="23">
        <v>284877.26</v>
      </c>
      <c r="G197" t="s">
        <v>307</v>
      </c>
      <c r="H197" t="s">
        <v>309</v>
      </c>
      <c r="K197" t="str">
        <f>"Mooresville Con School Corp       "</f>
        <v xml:space="preserve">Mooresville Con School Corp       </v>
      </c>
      <c r="L197" t="str">
        <f>"5930"</f>
        <v>5930</v>
      </c>
      <c r="M197">
        <v>32</v>
      </c>
      <c r="N197">
        <v>4469</v>
      </c>
      <c r="O197">
        <f t="shared" si="4"/>
        <v>4437</v>
      </c>
    </row>
    <row r="198" spans="1:15">
      <c r="A198" s="8">
        <v>5945</v>
      </c>
      <c r="B198" t="s">
        <v>203</v>
      </c>
      <c r="C198" s="19">
        <v>3506145.26</v>
      </c>
      <c r="D198" s="20">
        <v>6345911.4500000002</v>
      </c>
      <c r="E198" s="18">
        <v>480681.02999999997</v>
      </c>
      <c r="F198" s="23">
        <v>181368.42</v>
      </c>
      <c r="G198" t="s">
        <v>307</v>
      </c>
      <c r="H198" t="s">
        <v>309</v>
      </c>
      <c r="K198" t="str">
        <f>"North Newton School Corp          "</f>
        <v xml:space="preserve">North Newton School Corp          </v>
      </c>
      <c r="L198" t="str">
        <f>"5945"</f>
        <v>5945</v>
      </c>
      <c r="M198">
        <v>0</v>
      </c>
      <c r="N198">
        <v>1619</v>
      </c>
      <c r="O198">
        <f t="shared" si="4"/>
        <v>1619</v>
      </c>
    </row>
    <row r="199" spans="1:15">
      <c r="A199" s="8">
        <v>5995</v>
      </c>
      <c r="B199" t="s">
        <v>204</v>
      </c>
      <c r="C199" s="19">
        <v>2911538.55</v>
      </c>
      <c r="D199" s="20">
        <v>3686100.08</v>
      </c>
      <c r="E199" s="18">
        <v>330176.83999999997</v>
      </c>
      <c r="F199" s="23">
        <v>162440.78</v>
      </c>
      <c r="G199" t="s">
        <v>307</v>
      </c>
      <c r="H199" t="s">
        <v>309</v>
      </c>
      <c r="K199" t="str">
        <f>"South Newton School Corp          "</f>
        <v xml:space="preserve">South Newton School Corp          </v>
      </c>
      <c r="L199" t="str">
        <f>"5995"</f>
        <v>5995</v>
      </c>
      <c r="M199">
        <v>20</v>
      </c>
      <c r="N199">
        <v>929</v>
      </c>
      <c r="O199">
        <f t="shared" si="4"/>
        <v>909</v>
      </c>
    </row>
    <row r="200" spans="1:15">
      <c r="A200" s="8">
        <v>6055</v>
      </c>
      <c r="B200" t="s">
        <v>205</v>
      </c>
      <c r="C200" s="19">
        <v>1808114.23</v>
      </c>
      <c r="D200" s="20">
        <v>5614178.9700000007</v>
      </c>
      <c r="E200" s="18">
        <v>348181.54</v>
      </c>
      <c r="F200" s="23">
        <v>81130.94</v>
      </c>
      <c r="G200" t="s">
        <v>307</v>
      </c>
      <c r="H200" t="s">
        <v>309</v>
      </c>
      <c r="K200" t="str">
        <f>"Central Noble Com School Corp     "</f>
        <v xml:space="preserve">Central Noble Com School Corp     </v>
      </c>
      <c r="L200" t="str">
        <f>"6055"</f>
        <v>6055</v>
      </c>
      <c r="M200">
        <v>2</v>
      </c>
      <c r="N200">
        <v>1432</v>
      </c>
      <c r="O200">
        <f t="shared" si="4"/>
        <v>1430</v>
      </c>
    </row>
    <row r="201" spans="1:15">
      <c r="A201" s="8">
        <v>6060</v>
      </c>
      <c r="B201" t="s">
        <v>206</v>
      </c>
      <c r="C201" s="19">
        <v>5417946.7899999991</v>
      </c>
      <c r="D201" s="20">
        <v>13955087.09</v>
      </c>
      <c r="E201" s="18">
        <v>1631319.37</v>
      </c>
      <c r="F201" s="23">
        <v>273999.95999999996</v>
      </c>
      <c r="G201" t="s">
        <v>307</v>
      </c>
      <c r="H201" t="s">
        <v>309</v>
      </c>
      <c r="K201" t="str">
        <f>"East Noble School Corp            "</f>
        <v xml:space="preserve">East Noble School Corp            </v>
      </c>
      <c r="L201" t="str">
        <f>"6060"</f>
        <v>6060</v>
      </c>
      <c r="M201">
        <v>60</v>
      </c>
      <c r="N201">
        <v>3872</v>
      </c>
      <c r="O201">
        <f t="shared" si="4"/>
        <v>3812</v>
      </c>
    </row>
    <row r="202" spans="1:15">
      <c r="A202" s="9">
        <v>6065</v>
      </c>
      <c r="B202" s="3" t="s">
        <v>207</v>
      </c>
      <c r="C202" s="19">
        <v>2161075.2199999997</v>
      </c>
      <c r="D202" s="20">
        <v>12593221.619999999</v>
      </c>
      <c r="E202" s="18">
        <v>1642533.81</v>
      </c>
      <c r="F202" s="23">
        <v>630324.55999999994</v>
      </c>
      <c r="G202" t="s">
        <v>307</v>
      </c>
      <c r="H202" t="s">
        <v>309</v>
      </c>
      <c r="K202" t="str">
        <f>"West Noble School Corporation     "</f>
        <v xml:space="preserve">West Noble School Corporation     </v>
      </c>
      <c r="L202" t="str">
        <f>"6065"</f>
        <v>6065</v>
      </c>
      <c r="M202">
        <v>12</v>
      </c>
      <c r="N202">
        <v>2641</v>
      </c>
      <c r="O202">
        <f t="shared" si="4"/>
        <v>2629</v>
      </c>
    </row>
    <row r="203" spans="1:15">
      <c r="A203" s="8">
        <v>6080</v>
      </c>
      <c r="B203" t="s">
        <v>208</v>
      </c>
      <c r="C203" s="19">
        <v>2011908.23</v>
      </c>
      <c r="D203" s="20">
        <v>3274889.55</v>
      </c>
      <c r="E203" s="18">
        <v>202953.76</v>
      </c>
      <c r="F203" s="23">
        <v>66042.76999999999</v>
      </c>
      <c r="G203" t="s">
        <v>307</v>
      </c>
      <c r="H203" t="s">
        <v>309</v>
      </c>
      <c r="K203" t="str">
        <f>"Rising Sun-Ohio Co Com            "</f>
        <v xml:space="preserve">Rising Sun-Ohio Co Com            </v>
      </c>
      <c r="L203" t="str">
        <f>"6080"</f>
        <v>6080</v>
      </c>
      <c r="M203">
        <v>0</v>
      </c>
      <c r="N203">
        <v>953</v>
      </c>
      <c r="O203">
        <f t="shared" si="4"/>
        <v>953</v>
      </c>
    </row>
    <row r="204" spans="1:15">
      <c r="A204" s="8">
        <v>6145</v>
      </c>
      <c r="B204" t="s">
        <v>209</v>
      </c>
      <c r="C204" s="19">
        <v>1114136.9099999999</v>
      </c>
      <c r="D204" s="20">
        <v>3613012</v>
      </c>
      <c r="E204" s="18">
        <v>471173.52</v>
      </c>
      <c r="F204" s="23">
        <v>20275.5</v>
      </c>
      <c r="G204" t="s">
        <v>307</v>
      </c>
      <c r="H204" t="s">
        <v>309</v>
      </c>
      <c r="K204" t="str">
        <f>"Orleans Community Schools         "</f>
        <v xml:space="preserve">Orleans Community Schools         </v>
      </c>
      <c r="L204" t="str">
        <f>"6145"</f>
        <v>6145</v>
      </c>
      <c r="M204">
        <v>3</v>
      </c>
      <c r="N204">
        <v>858</v>
      </c>
      <c r="O204">
        <f t="shared" si="4"/>
        <v>855</v>
      </c>
    </row>
    <row r="205" spans="1:15">
      <c r="A205" s="8">
        <v>6155</v>
      </c>
      <c r="B205" t="s">
        <v>210</v>
      </c>
      <c r="C205" s="19">
        <v>1604417.79</v>
      </c>
      <c r="D205" s="20">
        <v>8381793.1900000004</v>
      </c>
      <c r="E205" s="18">
        <v>842252.41999999993</v>
      </c>
      <c r="F205" s="23">
        <v>559170.76</v>
      </c>
      <c r="G205" t="s">
        <v>307</v>
      </c>
      <c r="H205" t="s">
        <v>309</v>
      </c>
      <c r="K205" t="str">
        <f>"Paoli Community School Corp       "</f>
        <v xml:space="preserve">Paoli Community School Corp       </v>
      </c>
      <c r="L205" t="str">
        <f>"6155"</f>
        <v>6155</v>
      </c>
      <c r="M205">
        <v>14</v>
      </c>
      <c r="N205">
        <v>1647</v>
      </c>
      <c r="O205">
        <f t="shared" si="4"/>
        <v>1633</v>
      </c>
    </row>
    <row r="206" spans="1:15">
      <c r="A206" s="8">
        <v>6160</v>
      </c>
      <c r="B206" t="s">
        <v>211</v>
      </c>
      <c r="C206" s="19">
        <v>1139116.7</v>
      </c>
      <c r="D206" s="20">
        <v>4581187.99</v>
      </c>
      <c r="E206" s="18">
        <v>483680.19</v>
      </c>
      <c r="F206" s="23">
        <v>259486.4</v>
      </c>
      <c r="G206" t="s">
        <v>307</v>
      </c>
      <c r="H206" t="s">
        <v>309</v>
      </c>
      <c r="K206" t="str">
        <f>"Springs Valley Com School Corp    "</f>
        <v xml:space="preserve">Springs Valley Com School Corp    </v>
      </c>
      <c r="L206" t="str">
        <f>"6160"</f>
        <v>6160</v>
      </c>
      <c r="M206">
        <v>0</v>
      </c>
      <c r="N206">
        <v>965</v>
      </c>
      <c r="O206">
        <f t="shared" si="4"/>
        <v>965</v>
      </c>
    </row>
    <row r="207" spans="1:15">
      <c r="A207" s="8">
        <v>6195</v>
      </c>
      <c r="B207" t="s">
        <v>212</v>
      </c>
      <c r="C207" s="19">
        <v>4879508.5500000007</v>
      </c>
      <c r="D207" s="20">
        <v>14766371.07</v>
      </c>
      <c r="E207" s="18">
        <v>1815384.53</v>
      </c>
      <c r="F207" s="23">
        <v>55416.160000000003</v>
      </c>
      <c r="G207" t="s">
        <v>307</v>
      </c>
      <c r="H207" t="s">
        <v>309</v>
      </c>
      <c r="K207" t="str">
        <f>"Spencer-Owen Community Schools    "</f>
        <v xml:space="preserve">Spencer-Owen Community Schools    </v>
      </c>
      <c r="L207" t="str">
        <f>"6195"</f>
        <v>6195</v>
      </c>
      <c r="M207">
        <v>30</v>
      </c>
      <c r="N207">
        <v>3121</v>
      </c>
      <c r="O207">
        <f t="shared" si="4"/>
        <v>3091</v>
      </c>
    </row>
    <row r="208" spans="1:15">
      <c r="A208" s="9">
        <v>6260</v>
      </c>
      <c r="B208" s="3" t="s">
        <v>213</v>
      </c>
      <c r="C208" s="19">
        <v>1146838.3600000001</v>
      </c>
      <c r="D208" s="20">
        <v>4879021.6400000006</v>
      </c>
      <c r="E208" s="18">
        <v>539956.29</v>
      </c>
      <c r="F208" s="23">
        <v>66379.929999999993</v>
      </c>
      <c r="G208" t="s">
        <v>307</v>
      </c>
      <c r="H208" t="s">
        <v>309</v>
      </c>
      <c r="K208" t="str">
        <f>"Southwest Parke Com Sch Corp      "</f>
        <v xml:space="preserve">Southwest Parke Com Sch Corp      </v>
      </c>
      <c r="L208" t="str">
        <f>"6260"</f>
        <v>6260</v>
      </c>
      <c r="M208">
        <v>0</v>
      </c>
      <c r="N208">
        <v>974</v>
      </c>
      <c r="O208">
        <f t="shared" si="4"/>
        <v>974</v>
      </c>
    </row>
    <row r="209" spans="1:16376">
      <c r="A209" s="8">
        <v>6300</v>
      </c>
      <c r="B209" t="s">
        <v>214</v>
      </c>
      <c r="C209" s="19">
        <v>1177681.78</v>
      </c>
      <c r="D209" s="20">
        <v>3836067.96</v>
      </c>
      <c r="E209" s="18">
        <v>320825.2</v>
      </c>
      <c r="F209" s="23">
        <v>646098.81999999995</v>
      </c>
      <c r="G209" t="s">
        <v>307</v>
      </c>
      <c r="H209" t="s">
        <v>309</v>
      </c>
      <c r="K209" t="str">
        <f>"Rockville Community School Corp   "</f>
        <v xml:space="preserve">Rockville Community School Corp   </v>
      </c>
      <c r="L209" t="str">
        <f>"6300"</f>
        <v>6300</v>
      </c>
      <c r="M209">
        <v>20</v>
      </c>
      <c r="N209">
        <v>886</v>
      </c>
      <c r="O209">
        <f t="shared" si="4"/>
        <v>866</v>
      </c>
    </row>
    <row r="210" spans="1:16376">
      <c r="A210" s="8">
        <v>6310</v>
      </c>
      <c r="B210" t="s">
        <v>215</v>
      </c>
      <c r="C210" s="19">
        <v>874731.51</v>
      </c>
      <c r="D210" s="20">
        <v>2690070.58</v>
      </c>
      <c r="E210" s="18">
        <v>556597.81000000006</v>
      </c>
      <c r="F210" s="23">
        <v>37951.369999999995</v>
      </c>
      <c r="G210" t="s">
        <v>307</v>
      </c>
      <c r="H210" t="s">
        <v>309</v>
      </c>
      <c r="K210" t="str">
        <f>"Turkey Run Community Sch Corp     "</f>
        <v xml:space="preserve">Turkey Run Community Sch Corp     </v>
      </c>
      <c r="L210" t="str">
        <f>"6310"</f>
        <v>6310</v>
      </c>
      <c r="M210">
        <v>5</v>
      </c>
      <c r="N210">
        <v>638</v>
      </c>
      <c r="O210">
        <f t="shared" si="4"/>
        <v>633</v>
      </c>
    </row>
    <row r="211" spans="1:16376">
      <c r="A211" s="8">
        <v>6325</v>
      </c>
      <c r="B211" t="s">
        <v>216</v>
      </c>
      <c r="C211" s="19">
        <v>1409753.4300000002</v>
      </c>
      <c r="D211" s="20">
        <v>5217760.1899999995</v>
      </c>
      <c r="E211" s="18">
        <v>570744.87</v>
      </c>
      <c r="F211" s="23">
        <v>140352.63</v>
      </c>
      <c r="G211" t="s">
        <v>307</v>
      </c>
      <c r="H211" t="s">
        <v>309</v>
      </c>
      <c r="K211" t="str">
        <f>"Perry Central Com Schools Corp    "</f>
        <v xml:space="preserve">Perry Central Com Schools Corp    </v>
      </c>
      <c r="L211" t="str">
        <f>"6325"</f>
        <v>6325</v>
      </c>
      <c r="M211">
        <v>46</v>
      </c>
      <c r="N211">
        <v>1158</v>
      </c>
      <c r="O211">
        <f t="shared" si="4"/>
        <v>1112</v>
      </c>
    </row>
    <row r="212" spans="1:16376">
      <c r="A212" s="9">
        <v>6340</v>
      </c>
      <c r="B212" s="3" t="s">
        <v>217</v>
      </c>
      <c r="C212" s="19">
        <v>351639.37</v>
      </c>
      <c r="D212" s="20">
        <v>1522994.87</v>
      </c>
      <c r="E212" s="18">
        <v>383271.01</v>
      </c>
      <c r="F212" s="23">
        <v>0</v>
      </c>
      <c r="G212" t="s">
        <v>307</v>
      </c>
      <c r="H212" t="s">
        <v>309</v>
      </c>
      <c r="I212" s="3"/>
      <c r="K212" t="str">
        <f>"Cannelton City Schools            "</f>
        <v xml:space="preserve">Cannelton City Schools            </v>
      </c>
      <c r="L212" t="str">
        <f>"6340"</f>
        <v>6340</v>
      </c>
      <c r="M212">
        <v>35</v>
      </c>
      <c r="N212">
        <v>261</v>
      </c>
      <c r="O212">
        <f t="shared" si="4"/>
        <v>226</v>
      </c>
    </row>
    <row r="213" spans="1:16376">
      <c r="A213" s="8">
        <v>6350</v>
      </c>
      <c r="B213" t="s">
        <v>218</v>
      </c>
      <c r="C213" s="19">
        <v>2409358.9</v>
      </c>
      <c r="D213" s="20">
        <v>7076660.7300000004</v>
      </c>
      <c r="E213" s="18">
        <v>690045.52</v>
      </c>
      <c r="F213" s="23">
        <v>3174748.07</v>
      </c>
      <c r="G213" t="s">
        <v>307</v>
      </c>
      <c r="H213" t="s">
        <v>309</v>
      </c>
      <c r="J213" s="3"/>
      <c r="K213" t="str">
        <f>"Tell City-Troy Twp School Corp    "</f>
        <v xml:space="preserve">Tell City-Troy Twp School Corp    </v>
      </c>
      <c r="L213" t="str">
        <f>"6350"</f>
        <v>6350</v>
      </c>
      <c r="M213">
        <v>7</v>
      </c>
      <c r="N213">
        <v>1617</v>
      </c>
      <c r="O213">
        <f t="shared" si="4"/>
        <v>1610</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3"/>
      <c r="PB213" s="3"/>
      <c r="PC213" s="3"/>
      <c r="PD213" s="3"/>
      <c r="PE213" s="3"/>
      <c r="PF213" s="3"/>
      <c r="PG213" s="3"/>
      <c r="PH213" s="3"/>
      <c r="PI213" s="3"/>
      <c r="PJ213" s="3"/>
      <c r="PK213" s="3"/>
      <c r="PL213" s="3"/>
      <c r="PM213" s="3"/>
      <c r="PN213" s="3"/>
      <c r="PO213" s="3"/>
      <c r="PP213" s="3"/>
      <c r="PQ213" s="3"/>
      <c r="PR213" s="3"/>
      <c r="PS213" s="3"/>
      <c r="PT213" s="3"/>
      <c r="PU213" s="3"/>
      <c r="PV213" s="3"/>
      <c r="PW213" s="3"/>
      <c r="PX213" s="3"/>
      <c r="PY213" s="3"/>
      <c r="PZ213" s="3"/>
      <c r="QA213" s="3"/>
      <c r="QB213" s="3"/>
      <c r="QC213" s="3"/>
      <c r="QD213" s="3"/>
      <c r="QE213" s="3"/>
      <c r="QF213" s="3"/>
      <c r="QG213" s="3"/>
      <c r="QH213" s="3"/>
      <c r="QI213" s="3"/>
      <c r="QJ213" s="3"/>
      <c r="QK213" s="3"/>
      <c r="QL213" s="3"/>
      <c r="QM213" s="3"/>
      <c r="QN213" s="3"/>
      <c r="QO213" s="3"/>
      <c r="QP213" s="3"/>
      <c r="QQ213" s="3"/>
      <c r="QR213" s="3"/>
      <c r="QS213" s="3"/>
      <c r="QT213" s="3"/>
      <c r="QU213" s="3"/>
      <c r="QV213" s="3"/>
      <c r="QW213" s="3"/>
      <c r="QX213" s="3"/>
      <c r="QY213" s="3"/>
      <c r="QZ213" s="3"/>
      <c r="RA213" s="3"/>
      <c r="RB213" s="3"/>
      <c r="RC213" s="3"/>
      <c r="RD213" s="3"/>
      <c r="RE213" s="3"/>
      <c r="RF213" s="3"/>
      <c r="RG213" s="3"/>
      <c r="RH213" s="3"/>
      <c r="RI213" s="3"/>
      <c r="RJ213" s="3"/>
      <c r="RK213" s="3"/>
      <c r="RL213" s="3"/>
      <c r="RM213" s="3"/>
      <c r="RN213" s="3"/>
      <c r="RO213" s="3"/>
      <c r="RP213" s="3"/>
      <c r="RQ213" s="3"/>
      <c r="RR213" s="3"/>
      <c r="RS213" s="3"/>
      <c r="RT213" s="3"/>
      <c r="RU213" s="3"/>
      <c r="RV213" s="3"/>
      <c r="RW213" s="3"/>
      <c r="RX213" s="3"/>
      <c r="RY213" s="3"/>
      <c r="RZ213" s="3"/>
      <c r="SA213" s="3"/>
      <c r="SB213" s="3"/>
      <c r="SC213" s="3"/>
      <c r="SD213" s="3"/>
      <c r="SE213" s="3"/>
      <c r="SF213" s="3"/>
      <c r="SG213" s="3"/>
      <c r="SH213" s="3"/>
      <c r="SI213" s="3"/>
      <c r="SJ213" s="3"/>
      <c r="SK213" s="3"/>
      <c r="SL213" s="3"/>
      <c r="SM213" s="3"/>
      <c r="SN213" s="3"/>
      <c r="SO213" s="3"/>
      <c r="SP213" s="3"/>
      <c r="SQ213" s="3"/>
      <c r="SR213" s="3"/>
      <c r="SS213" s="3"/>
      <c r="ST213" s="3"/>
      <c r="SU213" s="3"/>
      <c r="SV213" s="3"/>
      <c r="SW213" s="3"/>
      <c r="SX213" s="3"/>
      <c r="SY213" s="3"/>
      <c r="SZ213" s="3"/>
      <c r="TA213" s="3"/>
      <c r="TB213" s="3"/>
      <c r="TC213" s="3"/>
      <c r="TD213" s="3"/>
      <c r="TE213" s="3"/>
      <c r="TF213" s="3"/>
      <c r="TG213" s="3"/>
      <c r="TH213" s="3"/>
      <c r="TI213" s="3"/>
      <c r="TJ213" s="3"/>
      <c r="TK213" s="3"/>
      <c r="TL213" s="3"/>
      <c r="TM213" s="3"/>
      <c r="TN213" s="3"/>
      <c r="TO213" s="3"/>
      <c r="TP213" s="3"/>
      <c r="TQ213" s="3"/>
      <c r="TR213" s="3"/>
      <c r="TS213" s="3"/>
      <c r="TT213" s="3"/>
      <c r="TU213" s="3"/>
      <c r="TV213" s="3"/>
      <c r="TW213" s="3"/>
      <c r="TX213" s="3"/>
      <c r="TY213" s="3"/>
      <c r="TZ213" s="3"/>
      <c r="UA213" s="3"/>
      <c r="UB213" s="3"/>
      <c r="UC213" s="3"/>
      <c r="UD213" s="3"/>
      <c r="UE213" s="3"/>
      <c r="UF213" s="3"/>
      <c r="UG213" s="3"/>
      <c r="UH213" s="3"/>
      <c r="UI213" s="3"/>
      <c r="UJ213" s="3"/>
      <c r="UK213" s="3"/>
      <c r="UL213" s="3"/>
      <c r="UM213" s="3"/>
      <c r="UN213" s="3"/>
      <c r="UO213" s="3"/>
      <c r="UP213" s="3"/>
      <c r="UQ213" s="3"/>
      <c r="UR213" s="3"/>
      <c r="US213" s="3"/>
      <c r="UT213" s="3"/>
      <c r="UU213" s="3"/>
      <c r="UV213" s="3"/>
      <c r="UW213" s="3"/>
      <c r="UX213" s="3"/>
      <c r="UY213" s="3"/>
      <c r="UZ213" s="3"/>
      <c r="VA213" s="3"/>
      <c r="VB213" s="3"/>
      <c r="VC213" s="3"/>
      <c r="VD213" s="3"/>
      <c r="VE213" s="3"/>
      <c r="VF213" s="3"/>
      <c r="VG213" s="3"/>
      <c r="VH213" s="3"/>
      <c r="VI213" s="3"/>
      <c r="VJ213" s="3"/>
      <c r="VK213" s="3"/>
      <c r="VL213" s="3"/>
      <c r="VM213" s="3"/>
      <c r="VN213" s="3"/>
      <c r="VO213" s="3"/>
      <c r="VP213" s="3"/>
      <c r="VQ213" s="3"/>
      <c r="VR213" s="3"/>
      <c r="VS213" s="3"/>
      <c r="VT213" s="3"/>
      <c r="VU213" s="3"/>
      <c r="VV213" s="3"/>
      <c r="VW213" s="3"/>
      <c r="VX213" s="3"/>
      <c r="VY213" s="3"/>
      <c r="VZ213" s="3"/>
      <c r="WA213" s="3"/>
      <c r="WB213" s="3"/>
      <c r="WC213" s="3"/>
      <c r="WD213" s="3"/>
      <c r="WE213" s="3"/>
      <c r="WF213" s="3"/>
      <c r="WG213" s="3"/>
      <c r="WH213" s="3"/>
      <c r="WI213" s="3"/>
      <c r="WJ213" s="3"/>
      <c r="WK213" s="3"/>
      <c r="WL213" s="3"/>
      <c r="WM213" s="3"/>
      <c r="WN213" s="3"/>
      <c r="WO213" s="3"/>
      <c r="WP213" s="3"/>
      <c r="WQ213" s="3"/>
      <c r="WR213" s="3"/>
      <c r="WS213" s="3"/>
      <c r="WT213" s="3"/>
      <c r="WU213" s="3"/>
      <c r="WV213" s="3"/>
      <c r="WW213" s="3"/>
      <c r="WX213" s="3"/>
      <c r="WY213" s="3"/>
      <c r="WZ213" s="3"/>
      <c r="XA213" s="3"/>
      <c r="XB213" s="3"/>
      <c r="XC213" s="3"/>
      <c r="XD213" s="3"/>
      <c r="XE213" s="3"/>
      <c r="XF213" s="3"/>
      <c r="XG213" s="3"/>
      <c r="XH213" s="3"/>
      <c r="XI213" s="3"/>
      <c r="XJ213" s="3"/>
      <c r="XK213" s="3"/>
      <c r="XL213" s="3"/>
      <c r="XM213" s="3"/>
      <c r="XN213" s="3"/>
      <c r="XO213" s="3"/>
      <c r="XP213" s="3"/>
      <c r="XQ213" s="3"/>
      <c r="XR213" s="3"/>
      <c r="XS213" s="3"/>
      <c r="XT213" s="3"/>
      <c r="XU213" s="3"/>
      <c r="XV213" s="3"/>
      <c r="XW213" s="3"/>
      <c r="XX213" s="3"/>
      <c r="XY213" s="3"/>
      <c r="XZ213" s="3"/>
      <c r="YA213" s="3"/>
      <c r="YB213" s="3"/>
      <c r="YC213" s="3"/>
      <c r="YD213" s="3"/>
      <c r="YE213" s="3"/>
      <c r="YF213" s="3"/>
      <c r="YG213" s="3"/>
      <c r="YH213" s="3"/>
      <c r="YI213" s="3"/>
      <c r="YJ213" s="3"/>
      <c r="YK213" s="3"/>
      <c r="YL213" s="3"/>
      <c r="YM213" s="3"/>
      <c r="YN213" s="3"/>
      <c r="YO213" s="3"/>
      <c r="YP213" s="3"/>
      <c r="YQ213" s="3"/>
      <c r="YR213" s="3"/>
      <c r="YS213" s="3"/>
      <c r="YT213" s="3"/>
      <c r="YU213" s="3"/>
      <c r="YV213" s="3"/>
      <c r="YW213" s="3"/>
      <c r="YX213" s="3"/>
      <c r="YY213" s="3"/>
      <c r="YZ213" s="3"/>
      <c r="ZA213" s="3"/>
      <c r="ZB213" s="3"/>
      <c r="ZC213" s="3"/>
      <c r="ZD213" s="3"/>
      <c r="ZE213" s="3"/>
      <c r="ZF213" s="3"/>
      <c r="ZG213" s="3"/>
      <c r="ZH213" s="3"/>
      <c r="ZI213" s="3"/>
      <c r="ZJ213" s="3"/>
      <c r="ZK213" s="3"/>
      <c r="ZL213" s="3"/>
      <c r="ZM213" s="3"/>
      <c r="ZN213" s="3"/>
      <c r="ZO213" s="3"/>
      <c r="ZP213" s="3"/>
      <c r="ZQ213" s="3"/>
      <c r="ZR213" s="3"/>
      <c r="ZS213" s="3"/>
      <c r="ZT213" s="3"/>
      <c r="ZU213" s="3"/>
      <c r="ZV213" s="3"/>
      <c r="ZW213" s="3"/>
      <c r="ZX213" s="3"/>
      <c r="ZY213" s="3"/>
      <c r="ZZ213" s="3"/>
      <c r="AAA213" s="3"/>
      <c r="AAB213" s="3"/>
      <c r="AAC213" s="3"/>
      <c r="AAD213" s="3"/>
      <c r="AAE213" s="3"/>
      <c r="AAF213" s="3"/>
      <c r="AAG213" s="3"/>
      <c r="AAH213" s="3"/>
      <c r="AAI213" s="3"/>
      <c r="AAJ213" s="3"/>
      <c r="AAK213" s="3"/>
      <c r="AAL213" s="3"/>
      <c r="AAM213" s="3"/>
      <c r="AAN213" s="3"/>
      <c r="AAO213" s="3"/>
      <c r="AAP213" s="3"/>
      <c r="AAQ213" s="3"/>
      <c r="AAR213" s="3"/>
      <c r="AAS213" s="3"/>
      <c r="AAT213" s="3"/>
      <c r="AAU213" s="3"/>
      <c r="AAV213" s="3"/>
      <c r="AAW213" s="3"/>
      <c r="AAX213" s="3"/>
      <c r="AAY213" s="3"/>
      <c r="AAZ213" s="3"/>
      <c r="ABA213" s="3"/>
      <c r="ABB213" s="3"/>
      <c r="ABC213" s="3"/>
      <c r="ABD213" s="3"/>
      <c r="ABE213" s="3"/>
      <c r="ABF213" s="3"/>
      <c r="ABG213" s="3"/>
      <c r="ABH213" s="3"/>
      <c r="ABI213" s="3"/>
      <c r="ABJ213" s="3"/>
      <c r="ABK213" s="3"/>
      <c r="ABL213" s="3"/>
      <c r="ABM213" s="3"/>
      <c r="ABN213" s="3"/>
      <c r="ABO213" s="3"/>
      <c r="ABP213" s="3"/>
      <c r="ABQ213" s="3"/>
      <c r="ABR213" s="3"/>
      <c r="ABS213" s="3"/>
      <c r="ABT213" s="3"/>
      <c r="ABU213" s="3"/>
      <c r="ABV213" s="3"/>
      <c r="ABW213" s="3"/>
      <c r="ABX213" s="3"/>
      <c r="ABY213" s="3"/>
      <c r="ABZ213" s="3"/>
      <c r="ACA213" s="3"/>
      <c r="ACB213" s="3"/>
      <c r="ACC213" s="3"/>
      <c r="ACD213" s="3"/>
      <c r="ACE213" s="3"/>
      <c r="ACF213" s="3"/>
      <c r="ACG213" s="3"/>
      <c r="ACH213" s="3"/>
      <c r="ACI213" s="3"/>
      <c r="ACJ213" s="3"/>
      <c r="ACK213" s="3"/>
      <c r="ACL213" s="3"/>
      <c r="ACM213" s="3"/>
      <c r="ACN213" s="3"/>
      <c r="ACO213" s="3"/>
      <c r="ACP213" s="3"/>
      <c r="ACQ213" s="3"/>
      <c r="ACR213" s="3"/>
      <c r="ACS213" s="3"/>
      <c r="ACT213" s="3"/>
      <c r="ACU213" s="3"/>
      <c r="ACV213" s="3"/>
      <c r="ACW213" s="3"/>
      <c r="ACX213" s="3"/>
      <c r="ACY213" s="3"/>
      <c r="ACZ213" s="3"/>
      <c r="ADA213" s="3"/>
      <c r="ADB213" s="3"/>
      <c r="ADC213" s="3"/>
      <c r="ADD213" s="3"/>
      <c r="ADE213" s="3"/>
      <c r="ADF213" s="3"/>
      <c r="ADG213" s="3"/>
      <c r="ADH213" s="3"/>
      <c r="ADI213" s="3"/>
      <c r="ADJ213" s="3"/>
      <c r="ADK213" s="3"/>
      <c r="ADL213" s="3"/>
      <c r="ADM213" s="3"/>
      <c r="ADN213" s="3"/>
      <c r="ADO213" s="3"/>
      <c r="ADP213" s="3"/>
      <c r="ADQ213" s="3"/>
      <c r="ADR213" s="3"/>
      <c r="ADS213" s="3"/>
      <c r="ADT213" s="3"/>
      <c r="ADU213" s="3"/>
      <c r="ADV213" s="3"/>
      <c r="ADW213" s="3"/>
      <c r="ADX213" s="3"/>
      <c r="ADY213" s="3"/>
      <c r="ADZ213" s="3"/>
      <c r="AEA213" s="3"/>
      <c r="AEB213" s="3"/>
      <c r="AEC213" s="3"/>
      <c r="AED213" s="3"/>
      <c r="AEE213" s="3"/>
      <c r="AEF213" s="3"/>
      <c r="AEG213" s="3"/>
      <c r="AEH213" s="3"/>
      <c r="AEI213" s="3"/>
      <c r="AEJ213" s="3"/>
      <c r="AEK213" s="3"/>
      <c r="AEL213" s="3"/>
      <c r="AEM213" s="3"/>
      <c r="AEN213" s="3"/>
      <c r="AEO213" s="3"/>
      <c r="AEP213" s="3"/>
      <c r="AEQ213" s="3"/>
      <c r="AER213" s="3"/>
      <c r="AES213" s="3"/>
      <c r="AET213" s="3"/>
      <c r="AEU213" s="3"/>
      <c r="AEV213" s="3"/>
      <c r="AEW213" s="3"/>
      <c r="AEX213" s="3"/>
      <c r="AEY213" s="3"/>
      <c r="AEZ213" s="3"/>
      <c r="AFA213" s="3"/>
      <c r="AFB213" s="3"/>
      <c r="AFC213" s="3"/>
      <c r="AFD213" s="3"/>
      <c r="AFE213" s="3"/>
      <c r="AFF213" s="3"/>
      <c r="AFG213" s="3"/>
      <c r="AFH213" s="3"/>
      <c r="AFI213" s="3"/>
      <c r="AFJ213" s="3"/>
      <c r="AFK213" s="3"/>
      <c r="AFL213" s="3"/>
      <c r="AFM213" s="3"/>
      <c r="AFN213" s="3"/>
      <c r="AFO213" s="3"/>
      <c r="AFP213" s="3"/>
      <c r="AFQ213" s="3"/>
      <c r="AFR213" s="3"/>
      <c r="AFS213" s="3"/>
      <c r="AFT213" s="3"/>
      <c r="AFU213" s="3"/>
      <c r="AFV213" s="3"/>
      <c r="AFW213" s="3"/>
      <c r="AFX213" s="3"/>
      <c r="AFY213" s="3"/>
      <c r="AFZ213" s="3"/>
      <c r="AGA213" s="3"/>
      <c r="AGB213" s="3"/>
      <c r="AGC213" s="3"/>
      <c r="AGD213" s="3"/>
      <c r="AGE213" s="3"/>
      <c r="AGF213" s="3"/>
      <c r="AGG213" s="3"/>
      <c r="AGH213" s="3"/>
      <c r="AGI213" s="3"/>
      <c r="AGJ213" s="3"/>
      <c r="AGK213" s="3"/>
      <c r="AGL213" s="3"/>
      <c r="AGM213" s="3"/>
      <c r="AGN213" s="3"/>
      <c r="AGO213" s="3"/>
      <c r="AGP213" s="3"/>
      <c r="AGQ213" s="3"/>
      <c r="AGR213" s="3"/>
      <c r="AGS213" s="3"/>
      <c r="AGT213" s="3"/>
      <c r="AGU213" s="3"/>
      <c r="AGV213" s="3"/>
      <c r="AGW213" s="3"/>
      <c r="AGX213" s="3"/>
      <c r="AGY213" s="3"/>
      <c r="AGZ213" s="3"/>
      <c r="AHA213" s="3"/>
      <c r="AHB213" s="3"/>
      <c r="AHC213" s="3"/>
      <c r="AHD213" s="3"/>
      <c r="AHE213" s="3"/>
      <c r="AHF213" s="3"/>
      <c r="AHG213" s="3"/>
      <c r="AHH213" s="3"/>
      <c r="AHI213" s="3"/>
      <c r="AHJ213" s="3"/>
      <c r="AHK213" s="3"/>
      <c r="AHL213" s="3"/>
      <c r="AHM213" s="3"/>
      <c r="AHN213" s="3"/>
      <c r="AHO213" s="3"/>
      <c r="AHP213" s="3"/>
      <c r="AHQ213" s="3"/>
      <c r="AHR213" s="3"/>
      <c r="AHS213" s="3"/>
      <c r="AHT213" s="3"/>
      <c r="AHU213" s="3"/>
      <c r="AHV213" s="3"/>
      <c r="AHW213" s="3"/>
      <c r="AHX213" s="3"/>
      <c r="AHY213" s="3"/>
      <c r="AHZ213" s="3"/>
      <c r="AIA213" s="3"/>
      <c r="AIB213" s="3"/>
      <c r="AIC213" s="3"/>
      <c r="AID213" s="3"/>
      <c r="AIE213" s="3"/>
      <c r="AIF213" s="3"/>
      <c r="AIG213" s="3"/>
      <c r="AIH213" s="3"/>
      <c r="AII213" s="3"/>
      <c r="AIJ213" s="3"/>
      <c r="AIK213" s="3"/>
      <c r="AIL213" s="3"/>
      <c r="AIM213" s="3"/>
      <c r="AIN213" s="3"/>
      <c r="AIO213" s="3"/>
      <c r="AIP213" s="3"/>
      <c r="AIQ213" s="3"/>
      <c r="AIR213" s="3"/>
      <c r="AIS213" s="3"/>
      <c r="AIT213" s="3"/>
      <c r="AIU213" s="3"/>
      <c r="AIV213" s="3"/>
      <c r="AIW213" s="3"/>
      <c r="AIX213" s="3"/>
      <c r="AIY213" s="3"/>
      <c r="AIZ213" s="3"/>
      <c r="AJA213" s="3"/>
      <c r="AJB213" s="3"/>
      <c r="AJC213" s="3"/>
      <c r="AJD213" s="3"/>
      <c r="AJE213" s="3"/>
      <c r="AJF213" s="3"/>
      <c r="AJG213" s="3"/>
      <c r="AJH213" s="3"/>
      <c r="AJI213" s="3"/>
      <c r="AJJ213" s="3"/>
      <c r="AJK213" s="3"/>
      <c r="AJL213" s="3"/>
      <c r="AJM213" s="3"/>
      <c r="AJN213" s="3"/>
      <c r="AJO213" s="3"/>
      <c r="AJP213" s="3"/>
      <c r="AJQ213" s="3"/>
      <c r="AJR213" s="3"/>
      <c r="AJS213" s="3"/>
      <c r="AJT213" s="3"/>
      <c r="AJU213" s="3"/>
      <c r="AJV213" s="3"/>
      <c r="AJW213" s="3"/>
      <c r="AJX213" s="3"/>
      <c r="AJY213" s="3"/>
      <c r="AJZ213" s="3"/>
      <c r="AKA213" s="3"/>
      <c r="AKB213" s="3"/>
      <c r="AKC213" s="3"/>
      <c r="AKD213" s="3"/>
      <c r="AKE213" s="3"/>
      <c r="AKF213" s="3"/>
      <c r="AKG213" s="3"/>
      <c r="AKH213" s="3"/>
      <c r="AKI213" s="3"/>
      <c r="AKJ213" s="3"/>
      <c r="AKK213" s="3"/>
      <c r="AKL213" s="3"/>
      <c r="AKM213" s="3"/>
      <c r="AKN213" s="3"/>
      <c r="AKO213" s="3"/>
      <c r="AKP213" s="3"/>
      <c r="AKQ213" s="3"/>
      <c r="AKR213" s="3"/>
      <c r="AKS213" s="3"/>
      <c r="AKT213" s="3"/>
      <c r="AKU213" s="3"/>
      <c r="AKV213" s="3"/>
      <c r="AKW213" s="3"/>
      <c r="AKX213" s="3"/>
      <c r="AKY213" s="3"/>
      <c r="AKZ213" s="3"/>
      <c r="ALA213" s="3"/>
      <c r="ALB213" s="3"/>
      <c r="ALC213" s="3"/>
      <c r="ALD213" s="3"/>
      <c r="ALE213" s="3"/>
      <c r="ALF213" s="3"/>
      <c r="ALG213" s="3"/>
      <c r="ALH213" s="3"/>
      <c r="ALI213" s="3"/>
      <c r="ALJ213" s="3"/>
      <c r="ALK213" s="3"/>
      <c r="ALL213" s="3"/>
      <c r="ALM213" s="3"/>
      <c r="ALN213" s="3"/>
      <c r="ALO213" s="3"/>
      <c r="ALP213" s="3"/>
      <c r="ALQ213" s="3"/>
      <c r="ALR213" s="3"/>
      <c r="ALS213" s="3"/>
      <c r="ALT213" s="3"/>
      <c r="ALU213" s="3"/>
      <c r="ALV213" s="3"/>
      <c r="ALW213" s="3"/>
      <c r="ALX213" s="3"/>
      <c r="ALY213" s="3"/>
      <c r="ALZ213" s="3"/>
      <c r="AMA213" s="3"/>
      <c r="AMB213" s="3"/>
      <c r="AMC213" s="3"/>
      <c r="AMD213" s="3"/>
      <c r="AME213" s="3"/>
      <c r="AMF213" s="3"/>
      <c r="AMG213" s="3"/>
      <c r="AMH213" s="3"/>
      <c r="AMI213" s="3"/>
      <c r="AMJ213" s="3"/>
      <c r="AMK213" s="3"/>
      <c r="AML213" s="3"/>
      <c r="AMM213" s="3"/>
      <c r="AMN213" s="3"/>
      <c r="AMO213" s="3"/>
      <c r="AMP213" s="3"/>
      <c r="AMQ213" s="3"/>
      <c r="AMR213" s="3"/>
      <c r="AMS213" s="3"/>
      <c r="AMT213" s="3"/>
      <c r="AMU213" s="3"/>
      <c r="AMV213" s="3"/>
      <c r="AMW213" s="3"/>
      <c r="AMX213" s="3"/>
      <c r="AMY213" s="3"/>
      <c r="AMZ213" s="3"/>
      <c r="ANA213" s="3"/>
      <c r="ANB213" s="3"/>
      <c r="ANC213" s="3"/>
      <c r="AND213" s="3"/>
      <c r="ANE213" s="3"/>
      <c r="ANF213" s="3"/>
      <c r="ANG213" s="3"/>
      <c r="ANH213" s="3"/>
      <c r="ANI213" s="3"/>
      <c r="ANJ213" s="3"/>
      <c r="ANK213" s="3"/>
      <c r="ANL213" s="3"/>
      <c r="ANM213" s="3"/>
      <c r="ANN213" s="3"/>
      <c r="ANO213" s="3"/>
      <c r="ANP213" s="3"/>
      <c r="ANQ213" s="3"/>
      <c r="ANR213" s="3"/>
      <c r="ANS213" s="3"/>
      <c r="ANT213" s="3"/>
      <c r="ANU213" s="3"/>
      <c r="ANV213" s="3"/>
      <c r="ANW213" s="3"/>
      <c r="ANX213" s="3"/>
      <c r="ANY213" s="3"/>
      <c r="ANZ213" s="3"/>
      <c r="AOA213" s="3"/>
      <c r="AOB213" s="3"/>
      <c r="AOC213" s="3"/>
      <c r="AOD213" s="3"/>
      <c r="AOE213" s="3"/>
      <c r="AOF213" s="3"/>
      <c r="AOG213" s="3"/>
      <c r="AOH213" s="3"/>
      <c r="AOI213" s="3"/>
      <c r="AOJ213" s="3"/>
      <c r="AOK213" s="3"/>
      <c r="AOL213" s="3"/>
      <c r="AOM213" s="3"/>
      <c r="AON213" s="3"/>
      <c r="AOO213" s="3"/>
      <c r="AOP213" s="3"/>
      <c r="AOQ213" s="3"/>
      <c r="AOR213" s="3"/>
      <c r="AOS213" s="3"/>
      <c r="AOT213" s="3"/>
      <c r="AOU213" s="3"/>
      <c r="AOV213" s="3"/>
      <c r="AOW213" s="3"/>
      <c r="AOX213" s="3"/>
      <c r="AOY213" s="3"/>
      <c r="AOZ213" s="3"/>
      <c r="APA213" s="3"/>
      <c r="APB213" s="3"/>
      <c r="APC213" s="3"/>
      <c r="APD213" s="3"/>
      <c r="APE213" s="3"/>
      <c r="APF213" s="3"/>
      <c r="APG213" s="3"/>
      <c r="APH213" s="3"/>
      <c r="API213" s="3"/>
      <c r="APJ213" s="3"/>
      <c r="APK213" s="3"/>
      <c r="APL213" s="3"/>
      <c r="APM213" s="3"/>
      <c r="APN213" s="3"/>
      <c r="APO213" s="3"/>
      <c r="APP213" s="3"/>
      <c r="APQ213" s="3"/>
      <c r="APR213" s="3"/>
      <c r="APS213" s="3"/>
      <c r="APT213" s="3"/>
      <c r="APU213" s="3"/>
      <c r="APV213" s="3"/>
      <c r="APW213" s="3"/>
      <c r="APX213" s="3"/>
      <c r="APY213" s="3"/>
      <c r="APZ213" s="3"/>
      <c r="AQA213" s="3"/>
      <c r="AQB213" s="3"/>
      <c r="AQC213" s="3"/>
      <c r="AQD213" s="3"/>
      <c r="AQE213" s="3"/>
      <c r="AQF213" s="3"/>
      <c r="AQG213" s="3"/>
      <c r="AQH213" s="3"/>
      <c r="AQI213" s="3"/>
      <c r="AQJ213" s="3"/>
      <c r="AQK213" s="3"/>
      <c r="AQL213" s="3"/>
      <c r="AQM213" s="3"/>
      <c r="AQN213" s="3"/>
      <c r="AQO213" s="3"/>
      <c r="AQP213" s="3"/>
      <c r="AQQ213" s="3"/>
      <c r="AQR213" s="3"/>
      <c r="AQS213" s="3"/>
      <c r="AQT213" s="3"/>
      <c r="AQU213" s="3"/>
      <c r="AQV213" s="3"/>
      <c r="AQW213" s="3"/>
      <c r="AQX213" s="3"/>
      <c r="AQY213" s="3"/>
      <c r="AQZ213" s="3"/>
      <c r="ARA213" s="3"/>
      <c r="ARB213" s="3"/>
      <c r="ARC213" s="3"/>
      <c r="ARD213" s="3"/>
      <c r="ARE213" s="3"/>
      <c r="ARF213" s="3"/>
      <c r="ARG213" s="3"/>
      <c r="ARH213" s="3"/>
      <c r="ARI213" s="3"/>
      <c r="ARJ213" s="3"/>
      <c r="ARK213" s="3"/>
      <c r="ARL213" s="3"/>
      <c r="ARM213" s="3"/>
      <c r="ARN213" s="3"/>
      <c r="ARO213" s="3"/>
      <c r="ARP213" s="3"/>
      <c r="ARQ213" s="3"/>
      <c r="ARR213" s="3"/>
      <c r="ARS213" s="3"/>
      <c r="ART213" s="3"/>
      <c r="ARU213" s="3"/>
      <c r="ARV213" s="3"/>
      <c r="ARW213" s="3"/>
      <c r="ARX213" s="3"/>
      <c r="ARY213" s="3"/>
      <c r="ARZ213" s="3"/>
      <c r="ASA213" s="3"/>
      <c r="ASB213" s="3"/>
      <c r="ASC213" s="3"/>
      <c r="ASD213" s="3"/>
      <c r="ASE213" s="3"/>
      <c r="ASF213" s="3"/>
      <c r="ASG213" s="3"/>
      <c r="ASH213" s="3"/>
      <c r="ASI213" s="3"/>
      <c r="ASJ213" s="3"/>
      <c r="ASK213" s="3"/>
      <c r="ASL213" s="3"/>
      <c r="ASM213" s="3"/>
      <c r="ASN213" s="3"/>
      <c r="ASO213" s="3"/>
      <c r="ASP213" s="3"/>
      <c r="ASQ213" s="3"/>
      <c r="ASR213" s="3"/>
      <c r="ASS213" s="3"/>
      <c r="AST213" s="3"/>
      <c r="ASU213" s="3"/>
      <c r="ASV213" s="3"/>
      <c r="ASW213" s="3"/>
      <c r="ASX213" s="3"/>
      <c r="ASY213" s="3"/>
      <c r="ASZ213" s="3"/>
      <c r="ATA213" s="3"/>
      <c r="ATB213" s="3"/>
      <c r="ATC213" s="3"/>
      <c r="ATD213" s="3"/>
      <c r="ATE213" s="3"/>
      <c r="ATF213" s="3"/>
      <c r="ATG213" s="3"/>
      <c r="ATH213" s="3"/>
      <c r="ATI213" s="3"/>
      <c r="ATJ213" s="3"/>
      <c r="ATK213" s="3"/>
      <c r="ATL213" s="3"/>
      <c r="ATM213" s="3"/>
      <c r="ATN213" s="3"/>
      <c r="ATO213" s="3"/>
      <c r="ATP213" s="3"/>
      <c r="ATQ213" s="3"/>
      <c r="ATR213" s="3"/>
      <c r="ATS213" s="3"/>
      <c r="ATT213" s="3"/>
      <c r="ATU213" s="3"/>
      <c r="ATV213" s="3"/>
      <c r="ATW213" s="3"/>
      <c r="ATX213" s="3"/>
      <c r="ATY213" s="3"/>
      <c r="ATZ213" s="3"/>
      <c r="AUA213" s="3"/>
      <c r="AUB213" s="3"/>
      <c r="AUC213" s="3"/>
      <c r="AUD213" s="3"/>
      <c r="AUE213" s="3"/>
      <c r="AUF213" s="3"/>
      <c r="AUG213" s="3"/>
      <c r="AUH213" s="3"/>
      <c r="AUI213" s="3"/>
      <c r="AUJ213" s="3"/>
      <c r="AUK213" s="3"/>
      <c r="AUL213" s="3"/>
      <c r="AUM213" s="3"/>
      <c r="AUN213" s="3"/>
      <c r="AUO213" s="3"/>
      <c r="AUP213" s="3"/>
      <c r="AUQ213" s="3"/>
      <c r="AUR213" s="3"/>
      <c r="AUS213" s="3"/>
      <c r="AUT213" s="3"/>
      <c r="AUU213" s="3"/>
      <c r="AUV213" s="3"/>
      <c r="AUW213" s="3"/>
      <c r="AUX213" s="3"/>
      <c r="AUY213" s="3"/>
      <c r="AUZ213" s="3"/>
      <c r="AVA213" s="3"/>
      <c r="AVB213" s="3"/>
      <c r="AVC213" s="3"/>
      <c r="AVD213" s="3"/>
      <c r="AVE213" s="3"/>
      <c r="AVF213" s="3"/>
      <c r="AVG213" s="3"/>
      <c r="AVH213" s="3"/>
      <c r="AVI213" s="3"/>
      <c r="AVJ213" s="3"/>
      <c r="AVK213" s="3"/>
      <c r="AVL213" s="3"/>
      <c r="AVM213" s="3"/>
      <c r="AVN213" s="3"/>
      <c r="AVO213" s="3"/>
      <c r="AVP213" s="3"/>
      <c r="AVQ213" s="3"/>
      <c r="AVR213" s="3"/>
      <c r="AVS213" s="3"/>
      <c r="AVT213" s="3"/>
      <c r="AVU213" s="3"/>
      <c r="AVV213" s="3"/>
      <c r="AVW213" s="3"/>
      <c r="AVX213" s="3"/>
      <c r="AVY213" s="3"/>
      <c r="AVZ213" s="3"/>
      <c r="AWA213" s="3"/>
      <c r="AWB213" s="3"/>
      <c r="AWC213" s="3"/>
      <c r="AWD213" s="3"/>
      <c r="AWE213" s="3"/>
      <c r="AWF213" s="3"/>
      <c r="AWG213" s="3"/>
      <c r="AWH213" s="3"/>
      <c r="AWI213" s="3"/>
      <c r="AWJ213" s="3"/>
      <c r="AWK213" s="3"/>
      <c r="AWL213" s="3"/>
      <c r="AWM213" s="3"/>
      <c r="AWN213" s="3"/>
      <c r="AWO213" s="3"/>
      <c r="AWP213" s="3"/>
      <c r="AWQ213" s="3"/>
      <c r="AWR213" s="3"/>
      <c r="AWS213" s="3"/>
      <c r="AWT213" s="3"/>
      <c r="AWU213" s="3"/>
      <c r="AWV213" s="3"/>
      <c r="AWW213" s="3"/>
      <c r="AWX213" s="3"/>
      <c r="AWY213" s="3"/>
      <c r="AWZ213" s="3"/>
      <c r="AXA213" s="3"/>
      <c r="AXB213" s="3"/>
      <c r="AXC213" s="3"/>
      <c r="AXD213" s="3"/>
      <c r="AXE213" s="3"/>
      <c r="AXF213" s="3"/>
      <c r="AXG213" s="3"/>
      <c r="AXH213" s="3"/>
      <c r="AXI213" s="3"/>
      <c r="AXJ213" s="3"/>
      <c r="AXK213" s="3"/>
      <c r="AXL213" s="3"/>
      <c r="AXM213" s="3"/>
      <c r="AXN213" s="3"/>
      <c r="AXO213" s="3"/>
      <c r="AXP213" s="3"/>
      <c r="AXQ213" s="3"/>
      <c r="AXR213" s="3"/>
      <c r="AXS213" s="3"/>
      <c r="AXT213" s="3"/>
      <c r="AXU213" s="3"/>
      <c r="AXV213" s="3"/>
      <c r="AXW213" s="3"/>
      <c r="AXX213" s="3"/>
      <c r="AXY213" s="3"/>
      <c r="AXZ213" s="3"/>
      <c r="AYA213" s="3"/>
      <c r="AYB213" s="3"/>
      <c r="AYC213" s="3"/>
      <c r="AYD213" s="3"/>
      <c r="AYE213" s="3"/>
      <c r="AYF213" s="3"/>
      <c r="AYG213" s="3"/>
      <c r="AYH213" s="3"/>
      <c r="AYI213" s="3"/>
      <c r="AYJ213" s="3"/>
      <c r="AYK213" s="3"/>
      <c r="AYL213" s="3"/>
      <c r="AYM213" s="3"/>
      <c r="AYN213" s="3"/>
      <c r="AYO213" s="3"/>
      <c r="AYP213" s="3"/>
      <c r="AYQ213" s="3"/>
      <c r="AYR213" s="3"/>
      <c r="AYS213" s="3"/>
      <c r="AYT213" s="3"/>
      <c r="AYU213" s="3"/>
      <c r="AYV213" s="3"/>
      <c r="AYW213" s="3"/>
      <c r="AYX213" s="3"/>
      <c r="AYY213" s="3"/>
      <c r="AYZ213" s="3"/>
      <c r="AZA213" s="3"/>
      <c r="AZB213" s="3"/>
      <c r="AZC213" s="3"/>
      <c r="AZD213" s="3"/>
      <c r="AZE213" s="3"/>
      <c r="AZF213" s="3"/>
      <c r="AZG213" s="3"/>
      <c r="AZH213" s="3"/>
      <c r="AZI213" s="3"/>
      <c r="AZJ213" s="3"/>
      <c r="AZK213" s="3"/>
      <c r="AZL213" s="3"/>
      <c r="AZM213" s="3"/>
      <c r="AZN213" s="3"/>
      <c r="AZO213" s="3"/>
      <c r="AZP213" s="3"/>
      <c r="AZQ213" s="3"/>
      <c r="AZR213" s="3"/>
      <c r="AZS213" s="3"/>
      <c r="AZT213" s="3"/>
      <c r="AZU213" s="3"/>
      <c r="AZV213" s="3"/>
      <c r="AZW213" s="3"/>
      <c r="AZX213" s="3"/>
      <c r="AZY213" s="3"/>
      <c r="AZZ213" s="3"/>
      <c r="BAA213" s="3"/>
      <c r="BAB213" s="3"/>
      <c r="BAC213" s="3"/>
      <c r="BAD213" s="3"/>
      <c r="BAE213" s="3"/>
      <c r="BAF213" s="3"/>
      <c r="BAG213" s="3"/>
      <c r="BAH213" s="3"/>
      <c r="BAI213" s="3"/>
      <c r="BAJ213" s="3"/>
      <c r="BAK213" s="3"/>
      <c r="BAL213" s="3"/>
      <c r="BAM213" s="3"/>
      <c r="BAN213" s="3"/>
      <c r="BAO213" s="3"/>
      <c r="BAP213" s="3"/>
      <c r="BAQ213" s="3"/>
      <c r="BAR213" s="3"/>
      <c r="BAS213" s="3"/>
      <c r="BAT213" s="3"/>
      <c r="BAU213" s="3"/>
      <c r="BAV213" s="3"/>
      <c r="BAW213" s="3"/>
      <c r="BAX213" s="3"/>
      <c r="BAY213" s="3"/>
      <c r="BAZ213" s="3"/>
      <c r="BBA213" s="3"/>
      <c r="BBB213" s="3"/>
      <c r="BBC213" s="3"/>
      <c r="BBD213" s="3"/>
      <c r="BBE213" s="3"/>
      <c r="BBF213" s="3"/>
      <c r="BBG213" s="3"/>
      <c r="BBH213" s="3"/>
      <c r="BBI213" s="3"/>
      <c r="BBJ213" s="3"/>
      <c r="BBK213" s="3"/>
      <c r="BBL213" s="3"/>
      <c r="BBM213" s="3"/>
      <c r="BBN213" s="3"/>
      <c r="BBO213" s="3"/>
      <c r="BBP213" s="3"/>
      <c r="BBQ213" s="3"/>
      <c r="BBR213" s="3"/>
      <c r="BBS213" s="3"/>
      <c r="BBT213" s="3"/>
      <c r="BBU213" s="3"/>
      <c r="BBV213" s="3"/>
      <c r="BBW213" s="3"/>
      <c r="BBX213" s="3"/>
      <c r="BBY213" s="3"/>
      <c r="BBZ213" s="3"/>
      <c r="BCA213" s="3"/>
      <c r="BCB213" s="3"/>
      <c r="BCC213" s="3"/>
      <c r="BCD213" s="3"/>
      <c r="BCE213" s="3"/>
      <c r="BCF213" s="3"/>
      <c r="BCG213" s="3"/>
      <c r="BCH213" s="3"/>
      <c r="BCI213" s="3"/>
      <c r="BCJ213" s="3"/>
      <c r="BCK213" s="3"/>
      <c r="BCL213" s="3"/>
      <c r="BCM213" s="3"/>
      <c r="BCN213" s="3"/>
      <c r="BCO213" s="3"/>
      <c r="BCP213" s="3"/>
      <c r="BCQ213" s="3"/>
      <c r="BCR213" s="3"/>
      <c r="BCS213" s="3"/>
      <c r="BCT213" s="3"/>
      <c r="BCU213" s="3"/>
      <c r="BCV213" s="3"/>
      <c r="BCW213" s="3"/>
      <c r="BCX213" s="3"/>
      <c r="BCY213" s="3"/>
      <c r="BCZ213" s="3"/>
      <c r="BDA213" s="3"/>
      <c r="BDB213" s="3"/>
      <c r="BDC213" s="3"/>
      <c r="BDD213" s="3"/>
      <c r="BDE213" s="3"/>
      <c r="BDF213" s="3"/>
      <c r="BDG213" s="3"/>
      <c r="BDH213" s="3"/>
      <c r="BDI213" s="3"/>
      <c r="BDJ213" s="3"/>
      <c r="BDK213" s="3"/>
      <c r="BDL213" s="3"/>
      <c r="BDM213" s="3"/>
      <c r="BDN213" s="3"/>
      <c r="BDO213" s="3"/>
      <c r="BDP213" s="3"/>
      <c r="BDQ213" s="3"/>
      <c r="BDR213" s="3"/>
      <c r="BDS213" s="3"/>
      <c r="BDT213" s="3"/>
      <c r="BDU213" s="3"/>
      <c r="BDV213" s="3"/>
      <c r="BDW213" s="3"/>
      <c r="BDX213" s="3"/>
      <c r="BDY213" s="3"/>
      <c r="BDZ213" s="3"/>
      <c r="BEA213" s="3"/>
      <c r="BEB213" s="3"/>
      <c r="BEC213" s="3"/>
      <c r="BED213" s="3"/>
      <c r="BEE213" s="3"/>
      <c r="BEF213" s="3"/>
      <c r="BEG213" s="3"/>
      <c r="BEH213" s="3"/>
      <c r="BEI213" s="3"/>
      <c r="BEJ213" s="3"/>
      <c r="BEK213" s="3"/>
      <c r="BEL213" s="3"/>
      <c r="BEM213" s="3"/>
      <c r="BEN213" s="3"/>
      <c r="BEO213" s="3"/>
      <c r="BEP213" s="3"/>
      <c r="BEQ213" s="3"/>
      <c r="BER213" s="3"/>
      <c r="BES213" s="3"/>
      <c r="BET213" s="3"/>
      <c r="BEU213" s="3"/>
      <c r="BEV213" s="3"/>
      <c r="BEW213" s="3"/>
      <c r="BEX213" s="3"/>
      <c r="BEY213" s="3"/>
      <c r="BEZ213" s="3"/>
      <c r="BFA213" s="3"/>
      <c r="BFB213" s="3"/>
      <c r="BFC213" s="3"/>
      <c r="BFD213" s="3"/>
      <c r="BFE213" s="3"/>
      <c r="BFF213" s="3"/>
      <c r="BFG213" s="3"/>
      <c r="BFH213" s="3"/>
      <c r="BFI213" s="3"/>
      <c r="BFJ213" s="3"/>
      <c r="BFK213" s="3"/>
      <c r="BFL213" s="3"/>
      <c r="BFM213" s="3"/>
      <c r="BFN213" s="3"/>
      <c r="BFO213" s="3"/>
      <c r="BFP213" s="3"/>
      <c r="BFQ213" s="3"/>
      <c r="BFR213" s="3"/>
      <c r="BFS213" s="3"/>
      <c r="BFT213" s="3"/>
      <c r="BFU213" s="3"/>
      <c r="BFV213" s="3"/>
      <c r="BFW213" s="3"/>
      <c r="BFX213" s="3"/>
      <c r="BFY213" s="3"/>
      <c r="BFZ213" s="3"/>
      <c r="BGA213" s="3"/>
      <c r="BGB213" s="3"/>
      <c r="BGC213" s="3"/>
      <c r="BGD213" s="3"/>
      <c r="BGE213" s="3"/>
      <c r="BGF213" s="3"/>
      <c r="BGG213" s="3"/>
      <c r="BGH213" s="3"/>
      <c r="BGI213" s="3"/>
      <c r="BGJ213" s="3"/>
      <c r="BGK213" s="3"/>
      <c r="BGL213" s="3"/>
      <c r="BGM213" s="3"/>
      <c r="BGN213" s="3"/>
      <c r="BGO213" s="3"/>
      <c r="BGP213" s="3"/>
      <c r="BGQ213" s="3"/>
      <c r="BGR213" s="3"/>
      <c r="BGS213" s="3"/>
      <c r="BGT213" s="3"/>
      <c r="BGU213" s="3"/>
      <c r="BGV213" s="3"/>
      <c r="BGW213" s="3"/>
      <c r="BGX213" s="3"/>
      <c r="BGY213" s="3"/>
      <c r="BGZ213" s="3"/>
      <c r="BHA213" s="3"/>
      <c r="BHB213" s="3"/>
      <c r="BHC213" s="3"/>
      <c r="BHD213" s="3"/>
      <c r="BHE213" s="3"/>
      <c r="BHF213" s="3"/>
      <c r="BHG213" s="3"/>
      <c r="BHH213" s="3"/>
      <c r="BHI213" s="3"/>
      <c r="BHJ213" s="3"/>
      <c r="BHK213" s="3"/>
      <c r="BHL213" s="3"/>
      <c r="BHM213" s="3"/>
      <c r="BHN213" s="3"/>
      <c r="BHO213" s="3"/>
      <c r="BHP213" s="3"/>
      <c r="BHQ213" s="3"/>
      <c r="BHR213" s="3"/>
      <c r="BHS213" s="3"/>
      <c r="BHT213" s="3"/>
      <c r="BHU213" s="3"/>
      <c r="BHV213" s="3"/>
      <c r="BHW213" s="3"/>
      <c r="BHX213" s="3"/>
      <c r="BHY213" s="3"/>
      <c r="BHZ213" s="3"/>
      <c r="BIA213" s="3"/>
      <c r="BIB213" s="3"/>
      <c r="BIC213" s="3"/>
      <c r="BID213" s="3"/>
      <c r="BIE213" s="3"/>
      <c r="BIF213" s="3"/>
      <c r="BIG213" s="3"/>
      <c r="BIH213" s="3"/>
      <c r="BII213" s="3"/>
      <c r="BIJ213" s="3"/>
      <c r="BIK213" s="3"/>
      <c r="BIL213" s="3"/>
      <c r="BIM213" s="3"/>
      <c r="BIN213" s="3"/>
      <c r="BIO213" s="3"/>
      <c r="BIP213" s="3"/>
      <c r="BIQ213" s="3"/>
      <c r="BIR213" s="3"/>
      <c r="BIS213" s="3"/>
      <c r="BIT213" s="3"/>
      <c r="BIU213" s="3"/>
      <c r="BIV213" s="3"/>
      <c r="BIW213" s="3"/>
      <c r="BIX213" s="3"/>
      <c r="BIY213" s="3"/>
      <c r="BIZ213" s="3"/>
      <c r="BJA213" s="3"/>
      <c r="BJB213" s="3"/>
      <c r="BJC213" s="3"/>
      <c r="BJD213" s="3"/>
      <c r="BJE213" s="3"/>
      <c r="BJF213" s="3"/>
      <c r="BJG213" s="3"/>
      <c r="BJH213" s="3"/>
      <c r="BJI213" s="3"/>
      <c r="BJJ213" s="3"/>
      <c r="BJK213" s="3"/>
      <c r="BJL213" s="3"/>
      <c r="BJM213" s="3"/>
      <c r="BJN213" s="3"/>
      <c r="BJO213" s="3"/>
      <c r="BJP213" s="3"/>
      <c r="BJQ213" s="3"/>
      <c r="BJR213" s="3"/>
      <c r="BJS213" s="3"/>
      <c r="BJT213" s="3"/>
      <c r="BJU213" s="3"/>
      <c r="BJV213" s="3"/>
      <c r="BJW213" s="3"/>
      <c r="BJX213" s="3"/>
      <c r="BJY213" s="3"/>
      <c r="BJZ213" s="3"/>
      <c r="BKA213" s="3"/>
      <c r="BKB213" s="3"/>
      <c r="BKC213" s="3"/>
      <c r="BKD213" s="3"/>
      <c r="BKE213" s="3"/>
      <c r="BKF213" s="3"/>
      <c r="BKG213" s="3"/>
      <c r="BKH213" s="3"/>
      <c r="BKI213" s="3"/>
      <c r="BKJ213" s="3"/>
      <c r="BKK213" s="3"/>
      <c r="BKL213" s="3"/>
      <c r="BKM213" s="3"/>
      <c r="BKN213" s="3"/>
      <c r="BKO213" s="3"/>
      <c r="BKP213" s="3"/>
      <c r="BKQ213" s="3"/>
      <c r="BKR213" s="3"/>
      <c r="BKS213" s="3"/>
      <c r="BKT213" s="3"/>
      <c r="BKU213" s="3"/>
      <c r="BKV213" s="3"/>
      <c r="BKW213" s="3"/>
      <c r="BKX213" s="3"/>
      <c r="BKY213" s="3"/>
      <c r="BKZ213" s="3"/>
      <c r="BLA213" s="3"/>
      <c r="BLB213" s="3"/>
      <c r="BLC213" s="3"/>
      <c r="BLD213" s="3"/>
      <c r="BLE213" s="3"/>
      <c r="BLF213" s="3"/>
      <c r="BLG213" s="3"/>
      <c r="BLH213" s="3"/>
      <c r="BLI213" s="3"/>
      <c r="BLJ213" s="3"/>
      <c r="BLK213" s="3"/>
      <c r="BLL213" s="3"/>
      <c r="BLM213" s="3"/>
      <c r="BLN213" s="3"/>
      <c r="BLO213" s="3"/>
      <c r="BLP213" s="3"/>
      <c r="BLQ213" s="3"/>
      <c r="BLR213" s="3"/>
      <c r="BLS213" s="3"/>
      <c r="BLT213" s="3"/>
      <c r="BLU213" s="3"/>
      <c r="BLV213" s="3"/>
      <c r="BLW213" s="3"/>
      <c r="BLX213" s="3"/>
      <c r="BLY213" s="3"/>
      <c r="BLZ213" s="3"/>
      <c r="BMA213" s="3"/>
      <c r="BMB213" s="3"/>
      <c r="BMC213" s="3"/>
      <c r="BMD213" s="3"/>
      <c r="BME213" s="3"/>
      <c r="BMF213" s="3"/>
      <c r="BMG213" s="3"/>
      <c r="BMH213" s="3"/>
      <c r="BMI213" s="3"/>
      <c r="BMJ213" s="3"/>
      <c r="BMK213" s="3"/>
      <c r="BML213" s="3"/>
      <c r="BMM213" s="3"/>
      <c r="BMN213" s="3"/>
      <c r="BMO213" s="3"/>
      <c r="BMP213" s="3"/>
      <c r="BMQ213" s="3"/>
      <c r="BMR213" s="3"/>
      <c r="BMS213" s="3"/>
      <c r="BMT213" s="3"/>
      <c r="BMU213" s="3"/>
      <c r="BMV213" s="3"/>
      <c r="BMW213" s="3"/>
      <c r="BMX213" s="3"/>
      <c r="BMY213" s="3"/>
      <c r="BMZ213" s="3"/>
      <c r="BNA213" s="3"/>
      <c r="BNB213" s="3"/>
      <c r="BNC213" s="3"/>
      <c r="BND213" s="3"/>
      <c r="BNE213" s="3"/>
      <c r="BNF213" s="3"/>
      <c r="BNG213" s="3"/>
      <c r="BNH213" s="3"/>
      <c r="BNI213" s="3"/>
      <c r="BNJ213" s="3"/>
      <c r="BNK213" s="3"/>
      <c r="BNL213" s="3"/>
      <c r="BNM213" s="3"/>
      <c r="BNN213" s="3"/>
      <c r="BNO213" s="3"/>
      <c r="BNP213" s="3"/>
      <c r="BNQ213" s="3"/>
      <c r="BNR213" s="3"/>
      <c r="BNS213" s="3"/>
      <c r="BNT213" s="3"/>
      <c r="BNU213" s="3"/>
      <c r="BNV213" s="3"/>
      <c r="BNW213" s="3"/>
      <c r="BNX213" s="3"/>
      <c r="BNY213" s="3"/>
      <c r="BNZ213" s="3"/>
      <c r="BOA213" s="3"/>
      <c r="BOB213" s="3"/>
      <c r="BOC213" s="3"/>
      <c r="BOD213" s="3"/>
      <c r="BOE213" s="3"/>
      <c r="BOF213" s="3"/>
      <c r="BOG213" s="3"/>
      <c r="BOH213" s="3"/>
      <c r="BOI213" s="3"/>
      <c r="BOJ213" s="3"/>
      <c r="BOK213" s="3"/>
      <c r="BOL213" s="3"/>
      <c r="BOM213" s="3"/>
      <c r="BON213" s="3"/>
      <c r="BOO213" s="3"/>
      <c r="BOP213" s="3"/>
      <c r="BOQ213" s="3"/>
      <c r="BOR213" s="3"/>
      <c r="BOS213" s="3"/>
      <c r="BOT213" s="3"/>
      <c r="BOU213" s="3"/>
      <c r="BOV213" s="3"/>
      <c r="BOW213" s="3"/>
      <c r="BOX213" s="3"/>
      <c r="BOY213" s="3"/>
      <c r="BOZ213" s="3"/>
      <c r="BPA213" s="3"/>
      <c r="BPB213" s="3"/>
      <c r="BPC213" s="3"/>
      <c r="BPD213" s="3"/>
      <c r="BPE213" s="3"/>
      <c r="BPF213" s="3"/>
      <c r="BPG213" s="3"/>
      <c r="BPH213" s="3"/>
      <c r="BPI213" s="3"/>
      <c r="BPJ213" s="3"/>
      <c r="BPK213" s="3"/>
      <c r="BPL213" s="3"/>
      <c r="BPM213" s="3"/>
      <c r="BPN213" s="3"/>
      <c r="BPO213" s="3"/>
      <c r="BPP213" s="3"/>
      <c r="BPQ213" s="3"/>
      <c r="BPR213" s="3"/>
      <c r="BPS213" s="3"/>
      <c r="BPT213" s="3"/>
      <c r="BPU213" s="3"/>
      <c r="BPV213" s="3"/>
      <c r="BPW213" s="3"/>
      <c r="BPX213" s="3"/>
      <c r="BPY213" s="3"/>
      <c r="BPZ213" s="3"/>
      <c r="BQA213" s="3"/>
      <c r="BQB213" s="3"/>
      <c r="BQC213" s="3"/>
      <c r="BQD213" s="3"/>
      <c r="BQE213" s="3"/>
      <c r="BQF213" s="3"/>
      <c r="BQG213" s="3"/>
      <c r="BQH213" s="3"/>
      <c r="BQI213" s="3"/>
      <c r="BQJ213" s="3"/>
      <c r="BQK213" s="3"/>
      <c r="BQL213" s="3"/>
      <c r="BQM213" s="3"/>
      <c r="BQN213" s="3"/>
      <c r="BQO213" s="3"/>
      <c r="BQP213" s="3"/>
      <c r="BQQ213" s="3"/>
      <c r="BQR213" s="3"/>
      <c r="BQS213" s="3"/>
      <c r="BQT213" s="3"/>
      <c r="BQU213" s="3"/>
      <c r="BQV213" s="3"/>
      <c r="BQW213" s="3"/>
      <c r="BQX213" s="3"/>
      <c r="BQY213" s="3"/>
      <c r="BQZ213" s="3"/>
      <c r="BRA213" s="3"/>
      <c r="BRB213" s="3"/>
      <c r="BRC213" s="3"/>
      <c r="BRD213" s="3"/>
      <c r="BRE213" s="3"/>
      <c r="BRF213" s="3"/>
      <c r="BRG213" s="3"/>
      <c r="BRH213" s="3"/>
      <c r="BRI213" s="3"/>
      <c r="BRJ213" s="3"/>
      <c r="BRK213" s="3"/>
      <c r="BRL213" s="3"/>
      <c r="BRM213" s="3"/>
      <c r="BRN213" s="3"/>
      <c r="BRO213" s="3"/>
      <c r="BRP213" s="3"/>
      <c r="BRQ213" s="3"/>
      <c r="BRR213" s="3"/>
      <c r="BRS213" s="3"/>
      <c r="BRT213" s="3"/>
      <c r="BRU213" s="3"/>
      <c r="BRV213" s="3"/>
      <c r="BRW213" s="3"/>
      <c r="BRX213" s="3"/>
      <c r="BRY213" s="3"/>
      <c r="BRZ213" s="3"/>
      <c r="BSA213" s="3"/>
      <c r="BSB213" s="3"/>
      <c r="BSC213" s="3"/>
      <c r="BSD213" s="3"/>
      <c r="BSE213" s="3"/>
      <c r="BSF213" s="3"/>
      <c r="BSG213" s="3"/>
      <c r="BSH213" s="3"/>
      <c r="BSI213" s="3"/>
      <c r="BSJ213" s="3"/>
      <c r="BSK213" s="3"/>
      <c r="BSL213" s="3"/>
      <c r="BSM213" s="3"/>
      <c r="BSN213" s="3"/>
      <c r="BSO213" s="3"/>
      <c r="BSP213" s="3"/>
      <c r="BSQ213" s="3"/>
      <c r="BSR213" s="3"/>
      <c r="BSS213" s="3"/>
      <c r="BST213" s="3"/>
      <c r="BSU213" s="3"/>
      <c r="BSV213" s="3"/>
      <c r="BSW213" s="3"/>
      <c r="BSX213" s="3"/>
      <c r="BSY213" s="3"/>
      <c r="BSZ213" s="3"/>
      <c r="BTA213" s="3"/>
      <c r="BTB213" s="3"/>
      <c r="BTC213" s="3"/>
      <c r="BTD213" s="3"/>
      <c r="BTE213" s="3"/>
      <c r="BTF213" s="3"/>
      <c r="BTG213" s="3"/>
      <c r="BTH213" s="3"/>
      <c r="BTI213" s="3"/>
      <c r="BTJ213" s="3"/>
      <c r="BTK213" s="3"/>
      <c r="BTL213" s="3"/>
      <c r="BTM213" s="3"/>
      <c r="BTN213" s="3"/>
      <c r="BTO213" s="3"/>
      <c r="BTP213" s="3"/>
      <c r="BTQ213" s="3"/>
      <c r="BTR213" s="3"/>
      <c r="BTS213" s="3"/>
      <c r="BTT213" s="3"/>
      <c r="BTU213" s="3"/>
      <c r="BTV213" s="3"/>
      <c r="BTW213" s="3"/>
      <c r="BTX213" s="3"/>
      <c r="BTY213" s="3"/>
      <c r="BTZ213" s="3"/>
      <c r="BUA213" s="3"/>
      <c r="BUB213" s="3"/>
      <c r="BUC213" s="3"/>
      <c r="BUD213" s="3"/>
      <c r="BUE213" s="3"/>
      <c r="BUF213" s="3"/>
      <c r="BUG213" s="3"/>
      <c r="BUH213" s="3"/>
      <c r="BUI213" s="3"/>
      <c r="BUJ213" s="3"/>
      <c r="BUK213" s="3"/>
      <c r="BUL213" s="3"/>
      <c r="BUM213" s="3"/>
      <c r="BUN213" s="3"/>
      <c r="BUO213" s="3"/>
      <c r="BUP213" s="3"/>
      <c r="BUQ213" s="3"/>
      <c r="BUR213" s="3"/>
      <c r="BUS213" s="3"/>
      <c r="BUT213" s="3"/>
      <c r="BUU213" s="3"/>
      <c r="BUV213" s="3"/>
      <c r="BUW213" s="3"/>
      <c r="BUX213" s="3"/>
      <c r="BUY213" s="3"/>
      <c r="BUZ213" s="3"/>
      <c r="BVA213" s="3"/>
      <c r="BVB213" s="3"/>
      <c r="BVC213" s="3"/>
      <c r="BVD213" s="3"/>
      <c r="BVE213" s="3"/>
      <c r="BVF213" s="3"/>
      <c r="BVG213" s="3"/>
      <c r="BVH213" s="3"/>
      <c r="BVI213" s="3"/>
      <c r="BVJ213" s="3"/>
      <c r="BVK213" s="3"/>
      <c r="BVL213" s="3"/>
      <c r="BVM213" s="3"/>
      <c r="BVN213" s="3"/>
      <c r="BVO213" s="3"/>
      <c r="BVP213" s="3"/>
      <c r="BVQ213" s="3"/>
      <c r="BVR213" s="3"/>
      <c r="BVS213" s="3"/>
      <c r="BVT213" s="3"/>
      <c r="BVU213" s="3"/>
      <c r="BVV213" s="3"/>
      <c r="BVW213" s="3"/>
      <c r="BVX213" s="3"/>
      <c r="BVY213" s="3"/>
      <c r="BVZ213" s="3"/>
      <c r="BWA213" s="3"/>
      <c r="BWB213" s="3"/>
      <c r="BWC213" s="3"/>
      <c r="BWD213" s="3"/>
      <c r="BWE213" s="3"/>
      <c r="BWF213" s="3"/>
      <c r="BWG213" s="3"/>
      <c r="BWH213" s="3"/>
      <c r="BWI213" s="3"/>
      <c r="BWJ213" s="3"/>
      <c r="BWK213" s="3"/>
      <c r="BWL213" s="3"/>
      <c r="BWM213" s="3"/>
      <c r="BWN213" s="3"/>
      <c r="BWO213" s="3"/>
      <c r="BWP213" s="3"/>
      <c r="BWQ213" s="3"/>
      <c r="BWR213" s="3"/>
      <c r="BWS213" s="3"/>
      <c r="BWT213" s="3"/>
      <c r="BWU213" s="3"/>
      <c r="BWV213" s="3"/>
      <c r="BWW213" s="3"/>
      <c r="BWX213" s="3"/>
      <c r="BWY213" s="3"/>
      <c r="BWZ213" s="3"/>
      <c r="BXA213" s="3"/>
      <c r="BXB213" s="3"/>
      <c r="BXC213" s="3"/>
      <c r="BXD213" s="3"/>
      <c r="BXE213" s="3"/>
      <c r="BXF213" s="3"/>
      <c r="BXG213" s="3"/>
      <c r="BXH213" s="3"/>
      <c r="BXI213" s="3"/>
      <c r="BXJ213" s="3"/>
      <c r="BXK213" s="3"/>
      <c r="BXL213" s="3"/>
      <c r="BXM213" s="3"/>
      <c r="BXN213" s="3"/>
      <c r="BXO213" s="3"/>
      <c r="BXP213" s="3"/>
      <c r="BXQ213" s="3"/>
      <c r="BXR213" s="3"/>
      <c r="BXS213" s="3"/>
      <c r="BXT213" s="3"/>
      <c r="BXU213" s="3"/>
      <c r="BXV213" s="3"/>
      <c r="BXW213" s="3"/>
      <c r="BXX213" s="3"/>
      <c r="BXY213" s="3"/>
      <c r="BXZ213" s="3"/>
      <c r="BYA213" s="3"/>
      <c r="BYB213" s="3"/>
      <c r="BYC213" s="3"/>
      <c r="BYD213" s="3"/>
      <c r="BYE213" s="3"/>
      <c r="BYF213" s="3"/>
      <c r="BYG213" s="3"/>
      <c r="BYH213" s="3"/>
      <c r="BYI213" s="3"/>
      <c r="BYJ213" s="3"/>
      <c r="BYK213" s="3"/>
      <c r="BYL213" s="3"/>
      <c r="BYM213" s="3"/>
      <c r="BYN213" s="3"/>
      <c r="BYO213" s="3"/>
      <c r="BYP213" s="3"/>
      <c r="BYQ213" s="3"/>
      <c r="BYR213" s="3"/>
      <c r="BYS213" s="3"/>
      <c r="BYT213" s="3"/>
      <c r="BYU213" s="3"/>
      <c r="BYV213" s="3"/>
      <c r="BYW213" s="3"/>
      <c r="BYX213" s="3"/>
      <c r="BYY213" s="3"/>
      <c r="BYZ213" s="3"/>
      <c r="BZA213" s="3"/>
      <c r="BZB213" s="3"/>
      <c r="BZC213" s="3"/>
      <c r="BZD213" s="3"/>
      <c r="BZE213" s="3"/>
      <c r="BZF213" s="3"/>
      <c r="BZG213" s="3"/>
      <c r="BZH213" s="3"/>
      <c r="BZI213" s="3"/>
      <c r="BZJ213" s="3"/>
      <c r="BZK213" s="3"/>
      <c r="BZL213" s="3"/>
      <c r="BZM213" s="3"/>
      <c r="BZN213" s="3"/>
      <c r="BZO213" s="3"/>
      <c r="BZP213" s="3"/>
      <c r="BZQ213" s="3"/>
      <c r="BZR213" s="3"/>
      <c r="BZS213" s="3"/>
      <c r="BZT213" s="3"/>
      <c r="BZU213" s="3"/>
      <c r="BZV213" s="3"/>
      <c r="BZW213" s="3"/>
      <c r="BZX213" s="3"/>
      <c r="BZY213" s="3"/>
      <c r="BZZ213" s="3"/>
      <c r="CAA213" s="3"/>
      <c r="CAB213" s="3"/>
      <c r="CAC213" s="3"/>
      <c r="CAD213" s="3"/>
      <c r="CAE213" s="3"/>
      <c r="CAF213" s="3"/>
      <c r="CAG213" s="3"/>
      <c r="CAH213" s="3"/>
      <c r="CAI213" s="3"/>
      <c r="CAJ213" s="3"/>
      <c r="CAK213" s="3"/>
      <c r="CAL213" s="3"/>
      <c r="CAM213" s="3"/>
      <c r="CAN213" s="3"/>
      <c r="CAO213" s="3"/>
      <c r="CAP213" s="3"/>
      <c r="CAQ213" s="3"/>
      <c r="CAR213" s="3"/>
      <c r="CAS213" s="3"/>
      <c r="CAT213" s="3"/>
      <c r="CAU213" s="3"/>
      <c r="CAV213" s="3"/>
      <c r="CAW213" s="3"/>
      <c r="CAX213" s="3"/>
      <c r="CAY213" s="3"/>
      <c r="CAZ213" s="3"/>
      <c r="CBA213" s="3"/>
      <c r="CBB213" s="3"/>
      <c r="CBC213" s="3"/>
      <c r="CBD213" s="3"/>
      <c r="CBE213" s="3"/>
      <c r="CBF213" s="3"/>
      <c r="CBG213" s="3"/>
      <c r="CBH213" s="3"/>
      <c r="CBI213" s="3"/>
      <c r="CBJ213" s="3"/>
      <c r="CBK213" s="3"/>
      <c r="CBL213" s="3"/>
      <c r="CBM213" s="3"/>
      <c r="CBN213" s="3"/>
      <c r="CBO213" s="3"/>
      <c r="CBP213" s="3"/>
      <c r="CBQ213" s="3"/>
      <c r="CBR213" s="3"/>
      <c r="CBS213" s="3"/>
      <c r="CBT213" s="3"/>
      <c r="CBU213" s="3"/>
      <c r="CBV213" s="3"/>
      <c r="CBW213" s="3"/>
      <c r="CBX213" s="3"/>
      <c r="CBY213" s="3"/>
      <c r="CBZ213" s="3"/>
      <c r="CCA213" s="3"/>
      <c r="CCB213" s="3"/>
      <c r="CCC213" s="3"/>
      <c r="CCD213" s="3"/>
      <c r="CCE213" s="3"/>
      <c r="CCF213" s="3"/>
      <c r="CCG213" s="3"/>
      <c r="CCH213" s="3"/>
      <c r="CCI213" s="3"/>
      <c r="CCJ213" s="3"/>
      <c r="CCK213" s="3"/>
      <c r="CCL213" s="3"/>
      <c r="CCM213" s="3"/>
      <c r="CCN213" s="3"/>
      <c r="CCO213" s="3"/>
      <c r="CCP213" s="3"/>
      <c r="CCQ213" s="3"/>
      <c r="CCR213" s="3"/>
      <c r="CCS213" s="3"/>
      <c r="CCT213" s="3"/>
      <c r="CCU213" s="3"/>
      <c r="CCV213" s="3"/>
      <c r="CCW213" s="3"/>
      <c r="CCX213" s="3"/>
      <c r="CCY213" s="3"/>
      <c r="CCZ213" s="3"/>
      <c r="CDA213" s="3"/>
      <c r="CDB213" s="3"/>
      <c r="CDC213" s="3"/>
      <c r="CDD213" s="3"/>
      <c r="CDE213" s="3"/>
      <c r="CDF213" s="3"/>
      <c r="CDG213" s="3"/>
      <c r="CDH213" s="3"/>
      <c r="CDI213" s="3"/>
      <c r="CDJ213" s="3"/>
      <c r="CDK213" s="3"/>
      <c r="CDL213" s="3"/>
      <c r="CDM213" s="3"/>
      <c r="CDN213" s="3"/>
      <c r="CDO213" s="3"/>
      <c r="CDP213" s="3"/>
      <c r="CDQ213" s="3"/>
      <c r="CDR213" s="3"/>
      <c r="CDS213" s="3"/>
      <c r="CDT213" s="3"/>
      <c r="CDU213" s="3"/>
      <c r="CDV213" s="3"/>
      <c r="CDW213" s="3"/>
      <c r="CDX213" s="3"/>
      <c r="CDY213" s="3"/>
      <c r="CDZ213" s="3"/>
      <c r="CEA213" s="3"/>
      <c r="CEB213" s="3"/>
      <c r="CEC213" s="3"/>
      <c r="CED213" s="3"/>
      <c r="CEE213" s="3"/>
      <c r="CEF213" s="3"/>
      <c r="CEG213" s="3"/>
      <c r="CEH213" s="3"/>
      <c r="CEI213" s="3"/>
      <c r="CEJ213" s="3"/>
      <c r="CEK213" s="3"/>
      <c r="CEL213" s="3"/>
      <c r="CEM213" s="3"/>
      <c r="CEN213" s="3"/>
      <c r="CEO213" s="3"/>
      <c r="CEP213" s="3"/>
      <c r="CEQ213" s="3"/>
      <c r="CER213" s="3"/>
      <c r="CES213" s="3"/>
      <c r="CET213" s="3"/>
      <c r="CEU213" s="3"/>
      <c r="CEV213" s="3"/>
      <c r="CEW213" s="3"/>
      <c r="CEX213" s="3"/>
      <c r="CEY213" s="3"/>
      <c r="CEZ213" s="3"/>
      <c r="CFA213" s="3"/>
      <c r="CFB213" s="3"/>
      <c r="CFC213" s="3"/>
      <c r="CFD213" s="3"/>
      <c r="CFE213" s="3"/>
      <c r="CFF213" s="3"/>
      <c r="CFG213" s="3"/>
      <c r="CFH213" s="3"/>
      <c r="CFI213" s="3"/>
      <c r="CFJ213" s="3"/>
      <c r="CFK213" s="3"/>
      <c r="CFL213" s="3"/>
      <c r="CFM213" s="3"/>
      <c r="CFN213" s="3"/>
      <c r="CFO213" s="3"/>
      <c r="CFP213" s="3"/>
      <c r="CFQ213" s="3"/>
      <c r="CFR213" s="3"/>
      <c r="CFS213" s="3"/>
      <c r="CFT213" s="3"/>
      <c r="CFU213" s="3"/>
      <c r="CFV213" s="3"/>
      <c r="CFW213" s="3"/>
      <c r="CFX213" s="3"/>
      <c r="CFY213" s="3"/>
      <c r="CFZ213" s="3"/>
      <c r="CGA213" s="3"/>
      <c r="CGB213" s="3"/>
      <c r="CGC213" s="3"/>
      <c r="CGD213" s="3"/>
      <c r="CGE213" s="3"/>
      <c r="CGF213" s="3"/>
      <c r="CGG213" s="3"/>
      <c r="CGH213" s="3"/>
      <c r="CGI213" s="3"/>
      <c r="CGJ213" s="3"/>
      <c r="CGK213" s="3"/>
      <c r="CGL213" s="3"/>
      <c r="CGM213" s="3"/>
      <c r="CGN213" s="3"/>
      <c r="CGO213" s="3"/>
      <c r="CGP213" s="3"/>
      <c r="CGQ213" s="3"/>
      <c r="CGR213" s="3"/>
      <c r="CGS213" s="3"/>
      <c r="CGT213" s="3"/>
      <c r="CGU213" s="3"/>
      <c r="CGV213" s="3"/>
      <c r="CGW213" s="3"/>
      <c r="CGX213" s="3"/>
      <c r="CGY213" s="3"/>
      <c r="CGZ213" s="3"/>
      <c r="CHA213" s="3"/>
      <c r="CHB213" s="3"/>
      <c r="CHC213" s="3"/>
      <c r="CHD213" s="3"/>
      <c r="CHE213" s="3"/>
      <c r="CHF213" s="3"/>
      <c r="CHG213" s="3"/>
      <c r="CHH213" s="3"/>
      <c r="CHI213" s="3"/>
      <c r="CHJ213" s="3"/>
      <c r="CHK213" s="3"/>
      <c r="CHL213" s="3"/>
      <c r="CHM213" s="3"/>
      <c r="CHN213" s="3"/>
      <c r="CHO213" s="3"/>
      <c r="CHP213" s="3"/>
      <c r="CHQ213" s="3"/>
      <c r="CHR213" s="3"/>
      <c r="CHS213" s="3"/>
      <c r="CHT213" s="3"/>
      <c r="CHU213" s="3"/>
      <c r="CHV213" s="3"/>
      <c r="CHW213" s="3"/>
      <c r="CHX213" s="3"/>
      <c r="CHY213" s="3"/>
      <c r="CHZ213" s="3"/>
      <c r="CIA213" s="3"/>
      <c r="CIB213" s="3"/>
      <c r="CIC213" s="3"/>
      <c r="CID213" s="3"/>
      <c r="CIE213" s="3"/>
      <c r="CIF213" s="3"/>
      <c r="CIG213" s="3"/>
      <c r="CIH213" s="3"/>
      <c r="CII213" s="3"/>
      <c r="CIJ213" s="3"/>
      <c r="CIK213" s="3"/>
      <c r="CIL213" s="3"/>
      <c r="CIM213" s="3"/>
      <c r="CIN213" s="3"/>
      <c r="CIO213" s="3"/>
      <c r="CIP213" s="3"/>
      <c r="CIQ213" s="3"/>
      <c r="CIR213" s="3"/>
      <c r="CIS213" s="3"/>
      <c r="CIT213" s="3"/>
      <c r="CIU213" s="3"/>
      <c r="CIV213" s="3"/>
      <c r="CIW213" s="3"/>
      <c r="CIX213" s="3"/>
      <c r="CIY213" s="3"/>
      <c r="CIZ213" s="3"/>
      <c r="CJA213" s="3"/>
      <c r="CJB213" s="3"/>
      <c r="CJC213" s="3"/>
      <c r="CJD213" s="3"/>
      <c r="CJE213" s="3"/>
      <c r="CJF213" s="3"/>
      <c r="CJG213" s="3"/>
      <c r="CJH213" s="3"/>
      <c r="CJI213" s="3"/>
      <c r="CJJ213" s="3"/>
      <c r="CJK213" s="3"/>
      <c r="CJL213" s="3"/>
      <c r="CJM213" s="3"/>
      <c r="CJN213" s="3"/>
      <c r="CJO213" s="3"/>
      <c r="CJP213" s="3"/>
      <c r="CJQ213" s="3"/>
      <c r="CJR213" s="3"/>
      <c r="CJS213" s="3"/>
      <c r="CJT213" s="3"/>
      <c r="CJU213" s="3"/>
      <c r="CJV213" s="3"/>
      <c r="CJW213" s="3"/>
      <c r="CJX213" s="3"/>
      <c r="CJY213" s="3"/>
      <c r="CJZ213" s="3"/>
      <c r="CKA213" s="3"/>
      <c r="CKB213" s="3"/>
      <c r="CKC213" s="3"/>
      <c r="CKD213" s="3"/>
      <c r="CKE213" s="3"/>
      <c r="CKF213" s="3"/>
      <c r="CKG213" s="3"/>
      <c r="CKH213" s="3"/>
      <c r="CKI213" s="3"/>
      <c r="CKJ213" s="3"/>
      <c r="CKK213" s="3"/>
      <c r="CKL213" s="3"/>
      <c r="CKM213" s="3"/>
      <c r="CKN213" s="3"/>
      <c r="CKO213" s="3"/>
      <c r="CKP213" s="3"/>
      <c r="CKQ213" s="3"/>
      <c r="CKR213" s="3"/>
      <c r="CKS213" s="3"/>
      <c r="CKT213" s="3"/>
      <c r="CKU213" s="3"/>
      <c r="CKV213" s="3"/>
      <c r="CKW213" s="3"/>
      <c r="CKX213" s="3"/>
      <c r="CKY213" s="3"/>
      <c r="CKZ213" s="3"/>
      <c r="CLA213" s="3"/>
      <c r="CLB213" s="3"/>
      <c r="CLC213" s="3"/>
      <c r="CLD213" s="3"/>
      <c r="CLE213" s="3"/>
      <c r="CLF213" s="3"/>
      <c r="CLG213" s="3"/>
      <c r="CLH213" s="3"/>
      <c r="CLI213" s="3"/>
      <c r="CLJ213" s="3"/>
      <c r="CLK213" s="3"/>
      <c r="CLL213" s="3"/>
      <c r="CLM213" s="3"/>
      <c r="CLN213" s="3"/>
      <c r="CLO213" s="3"/>
      <c r="CLP213" s="3"/>
      <c r="CLQ213" s="3"/>
      <c r="CLR213" s="3"/>
      <c r="CLS213" s="3"/>
      <c r="CLT213" s="3"/>
      <c r="CLU213" s="3"/>
      <c r="CLV213" s="3"/>
      <c r="CLW213" s="3"/>
      <c r="CLX213" s="3"/>
      <c r="CLY213" s="3"/>
      <c r="CLZ213" s="3"/>
      <c r="CMA213" s="3"/>
      <c r="CMB213" s="3"/>
      <c r="CMC213" s="3"/>
      <c r="CMD213" s="3"/>
      <c r="CME213" s="3"/>
      <c r="CMF213" s="3"/>
      <c r="CMG213" s="3"/>
      <c r="CMH213" s="3"/>
      <c r="CMI213" s="3"/>
      <c r="CMJ213" s="3"/>
      <c r="CMK213" s="3"/>
      <c r="CML213" s="3"/>
      <c r="CMM213" s="3"/>
      <c r="CMN213" s="3"/>
      <c r="CMO213" s="3"/>
      <c r="CMP213" s="3"/>
      <c r="CMQ213" s="3"/>
      <c r="CMR213" s="3"/>
      <c r="CMS213" s="3"/>
      <c r="CMT213" s="3"/>
      <c r="CMU213" s="3"/>
      <c r="CMV213" s="3"/>
      <c r="CMW213" s="3"/>
      <c r="CMX213" s="3"/>
      <c r="CMY213" s="3"/>
      <c r="CMZ213" s="3"/>
      <c r="CNA213" s="3"/>
      <c r="CNB213" s="3"/>
      <c r="CNC213" s="3"/>
      <c r="CND213" s="3"/>
      <c r="CNE213" s="3"/>
      <c r="CNF213" s="3"/>
      <c r="CNG213" s="3"/>
      <c r="CNH213" s="3"/>
      <c r="CNI213" s="3"/>
      <c r="CNJ213" s="3"/>
      <c r="CNK213" s="3"/>
      <c r="CNL213" s="3"/>
      <c r="CNM213" s="3"/>
      <c r="CNN213" s="3"/>
      <c r="CNO213" s="3"/>
      <c r="CNP213" s="3"/>
      <c r="CNQ213" s="3"/>
      <c r="CNR213" s="3"/>
      <c r="CNS213" s="3"/>
      <c r="CNT213" s="3"/>
      <c r="CNU213" s="3"/>
      <c r="CNV213" s="3"/>
      <c r="CNW213" s="3"/>
      <c r="CNX213" s="3"/>
      <c r="CNY213" s="3"/>
      <c r="CNZ213" s="3"/>
      <c r="COA213" s="3"/>
      <c r="COB213" s="3"/>
      <c r="COC213" s="3"/>
      <c r="COD213" s="3"/>
      <c r="COE213" s="3"/>
      <c r="COF213" s="3"/>
      <c r="COG213" s="3"/>
      <c r="COH213" s="3"/>
      <c r="COI213" s="3"/>
      <c r="COJ213" s="3"/>
      <c r="COK213" s="3"/>
      <c r="COL213" s="3"/>
      <c r="COM213" s="3"/>
      <c r="CON213" s="3"/>
      <c r="COO213" s="3"/>
      <c r="COP213" s="3"/>
      <c r="COQ213" s="3"/>
      <c r="COR213" s="3"/>
      <c r="COS213" s="3"/>
      <c r="COT213" s="3"/>
      <c r="COU213" s="3"/>
      <c r="COV213" s="3"/>
      <c r="COW213" s="3"/>
      <c r="COX213" s="3"/>
      <c r="COY213" s="3"/>
      <c r="COZ213" s="3"/>
      <c r="CPA213" s="3"/>
      <c r="CPB213" s="3"/>
      <c r="CPC213" s="3"/>
      <c r="CPD213" s="3"/>
      <c r="CPE213" s="3"/>
      <c r="CPF213" s="3"/>
      <c r="CPG213" s="3"/>
      <c r="CPH213" s="3"/>
      <c r="CPI213" s="3"/>
      <c r="CPJ213" s="3"/>
      <c r="CPK213" s="3"/>
      <c r="CPL213" s="3"/>
      <c r="CPM213" s="3"/>
      <c r="CPN213" s="3"/>
      <c r="CPO213" s="3"/>
      <c r="CPP213" s="3"/>
      <c r="CPQ213" s="3"/>
      <c r="CPR213" s="3"/>
      <c r="CPS213" s="3"/>
      <c r="CPT213" s="3"/>
      <c r="CPU213" s="3"/>
      <c r="CPV213" s="3"/>
      <c r="CPW213" s="3"/>
      <c r="CPX213" s="3"/>
      <c r="CPY213" s="3"/>
      <c r="CPZ213" s="3"/>
      <c r="CQA213" s="3"/>
      <c r="CQB213" s="3"/>
      <c r="CQC213" s="3"/>
      <c r="CQD213" s="3"/>
      <c r="CQE213" s="3"/>
      <c r="CQF213" s="3"/>
      <c r="CQG213" s="3"/>
      <c r="CQH213" s="3"/>
      <c r="CQI213" s="3"/>
      <c r="CQJ213" s="3"/>
      <c r="CQK213" s="3"/>
      <c r="CQL213" s="3"/>
      <c r="CQM213" s="3"/>
      <c r="CQN213" s="3"/>
      <c r="CQO213" s="3"/>
      <c r="CQP213" s="3"/>
      <c r="CQQ213" s="3"/>
      <c r="CQR213" s="3"/>
      <c r="CQS213" s="3"/>
      <c r="CQT213" s="3"/>
      <c r="CQU213" s="3"/>
      <c r="CQV213" s="3"/>
      <c r="CQW213" s="3"/>
      <c r="CQX213" s="3"/>
      <c r="CQY213" s="3"/>
      <c r="CQZ213" s="3"/>
      <c r="CRA213" s="3"/>
      <c r="CRB213" s="3"/>
      <c r="CRC213" s="3"/>
      <c r="CRD213" s="3"/>
      <c r="CRE213" s="3"/>
      <c r="CRF213" s="3"/>
      <c r="CRG213" s="3"/>
      <c r="CRH213" s="3"/>
      <c r="CRI213" s="3"/>
      <c r="CRJ213" s="3"/>
      <c r="CRK213" s="3"/>
      <c r="CRL213" s="3"/>
      <c r="CRM213" s="3"/>
      <c r="CRN213" s="3"/>
      <c r="CRO213" s="3"/>
      <c r="CRP213" s="3"/>
      <c r="CRQ213" s="3"/>
      <c r="CRR213" s="3"/>
      <c r="CRS213" s="3"/>
      <c r="CRT213" s="3"/>
      <c r="CRU213" s="3"/>
      <c r="CRV213" s="3"/>
      <c r="CRW213" s="3"/>
      <c r="CRX213" s="3"/>
      <c r="CRY213" s="3"/>
      <c r="CRZ213" s="3"/>
      <c r="CSA213" s="3"/>
      <c r="CSB213" s="3"/>
      <c r="CSC213" s="3"/>
      <c r="CSD213" s="3"/>
      <c r="CSE213" s="3"/>
      <c r="CSF213" s="3"/>
      <c r="CSG213" s="3"/>
      <c r="CSH213" s="3"/>
      <c r="CSI213" s="3"/>
      <c r="CSJ213" s="3"/>
      <c r="CSK213" s="3"/>
      <c r="CSL213" s="3"/>
      <c r="CSM213" s="3"/>
      <c r="CSN213" s="3"/>
      <c r="CSO213" s="3"/>
      <c r="CSP213" s="3"/>
      <c r="CSQ213" s="3"/>
      <c r="CSR213" s="3"/>
      <c r="CSS213" s="3"/>
      <c r="CST213" s="3"/>
      <c r="CSU213" s="3"/>
      <c r="CSV213" s="3"/>
      <c r="CSW213" s="3"/>
      <c r="CSX213" s="3"/>
      <c r="CSY213" s="3"/>
      <c r="CSZ213" s="3"/>
      <c r="CTA213" s="3"/>
      <c r="CTB213" s="3"/>
      <c r="CTC213" s="3"/>
      <c r="CTD213" s="3"/>
      <c r="CTE213" s="3"/>
      <c r="CTF213" s="3"/>
      <c r="CTG213" s="3"/>
      <c r="CTH213" s="3"/>
      <c r="CTI213" s="3"/>
      <c r="CTJ213" s="3"/>
      <c r="CTK213" s="3"/>
      <c r="CTL213" s="3"/>
      <c r="CTM213" s="3"/>
      <c r="CTN213" s="3"/>
      <c r="CTO213" s="3"/>
      <c r="CTP213" s="3"/>
      <c r="CTQ213" s="3"/>
      <c r="CTR213" s="3"/>
      <c r="CTS213" s="3"/>
      <c r="CTT213" s="3"/>
      <c r="CTU213" s="3"/>
      <c r="CTV213" s="3"/>
      <c r="CTW213" s="3"/>
      <c r="CTX213" s="3"/>
      <c r="CTY213" s="3"/>
      <c r="CTZ213" s="3"/>
      <c r="CUA213" s="3"/>
      <c r="CUB213" s="3"/>
      <c r="CUC213" s="3"/>
      <c r="CUD213" s="3"/>
      <c r="CUE213" s="3"/>
      <c r="CUF213" s="3"/>
      <c r="CUG213" s="3"/>
      <c r="CUH213" s="3"/>
      <c r="CUI213" s="3"/>
      <c r="CUJ213" s="3"/>
      <c r="CUK213" s="3"/>
      <c r="CUL213" s="3"/>
      <c r="CUM213" s="3"/>
      <c r="CUN213" s="3"/>
      <c r="CUO213" s="3"/>
      <c r="CUP213" s="3"/>
      <c r="CUQ213" s="3"/>
      <c r="CUR213" s="3"/>
      <c r="CUS213" s="3"/>
      <c r="CUT213" s="3"/>
      <c r="CUU213" s="3"/>
      <c r="CUV213" s="3"/>
      <c r="CUW213" s="3"/>
      <c r="CUX213" s="3"/>
      <c r="CUY213" s="3"/>
      <c r="CUZ213" s="3"/>
      <c r="CVA213" s="3"/>
      <c r="CVB213" s="3"/>
      <c r="CVC213" s="3"/>
      <c r="CVD213" s="3"/>
      <c r="CVE213" s="3"/>
      <c r="CVF213" s="3"/>
      <c r="CVG213" s="3"/>
      <c r="CVH213" s="3"/>
      <c r="CVI213" s="3"/>
      <c r="CVJ213" s="3"/>
      <c r="CVK213" s="3"/>
      <c r="CVL213" s="3"/>
      <c r="CVM213" s="3"/>
      <c r="CVN213" s="3"/>
      <c r="CVO213" s="3"/>
      <c r="CVP213" s="3"/>
      <c r="CVQ213" s="3"/>
      <c r="CVR213" s="3"/>
      <c r="CVS213" s="3"/>
      <c r="CVT213" s="3"/>
      <c r="CVU213" s="3"/>
      <c r="CVV213" s="3"/>
      <c r="CVW213" s="3"/>
      <c r="CVX213" s="3"/>
      <c r="CVY213" s="3"/>
      <c r="CVZ213" s="3"/>
      <c r="CWA213" s="3"/>
      <c r="CWB213" s="3"/>
      <c r="CWC213" s="3"/>
      <c r="CWD213" s="3"/>
      <c r="CWE213" s="3"/>
      <c r="CWF213" s="3"/>
      <c r="CWG213" s="3"/>
      <c r="CWH213" s="3"/>
      <c r="CWI213" s="3"/>
      <c r="CWJ213" s="3"/>
      <c r="CWK213" s="3"/>
      <c r="CWL213" s="3"/>
      <c r="CWM213" s="3"/>
      <c r="CWN213" s="3"/>
      <c r="CWO213" s="3"/>
      <c r="CWP213" s="3"/>
      <c r="CWQ213" s="3"/>
      <c r="CWR213" s="3"/>
      <c r="CWS213" s="3"/>
      <c r="CWT213" s="3"/>
      <c r="CWU213" s="3"/>
      <c r="CWV213" s="3"/>
      <c r="CWW213" s="3"/>
      <c r="CWX213" s="3"/>
      <c r="CWY213" s="3"/>
      <c r="CWZ213" s="3"/>
      <c r="CXA213" s="3"/>
      <c r="CXB213" s="3"/>
      <c r="CXC213" s="3"/>
      <c r="CXD213" s="3"/>
      <c r="CXE213" s="3"/>
      <c r="CXF213" s="3"/>
      <c r="CXG213" s="3"/>
      <c r="CXH213" s="3"/>
      <c r="CXI213" s="3"/>
      <c r="CXJ213" s="3"/>
      <c r="CXK213" s="3"/>
      <c r="CXL213" s="3"/>
      <c r="CXM213" s="3"/>
      <c r="CXN213" s="3"/>
      <c r="CXO213" s="3"/>
      <c r="CXP213" s="3"/>
      <c r="CXQ213" s="3"/>
      <c r="CXR213" s="3"/>
      <c r="CXS213" s="3"/>
      <c r="CXT213" s="3"/>
      <c r="CXU213" s="3"/>
      <c r="CXV213" s="3"/>
      <c r="CXW213" s="3"/>
      <c r="CXX213" s="3"/>
      <c r="CXY213" s="3"/>
      <c r="CXZ213" s="3"/>
      <c r="CYA213" s="3"/>
      <c r="CYB213" s="3"/>
      <c r="CYC213" s="3"/>
      <c r="CYD213" s="3"/>
      <c r="CYE213" s="3"/>
      <c r="CYF213" s="3"/>
      <c r="CYG213" s="3"/>
      <c r="CYH213" s="3"/>
      <c r="CYI213" s="3"/>
      <c r="CYJ213" s="3"/>
      <c r="CYK213" s="3"/>
      <c r="CYL213" s="3"/>
      <c r="CYM213" s="3"/>
      <c r="CYN213" s="3"/>
      <c r="CYO213" s="3"/>
      <c r="CYP213" s="3"/>
      <c r="CYQ213" s="3"/>
      <c r="CYR213" s="3"/>
      <c r="CYS213" s="3"/>
      <c r="CYT213" s="3"/>
      <c r="CYU213" s="3"/>
      <c r="CYV213" s="3"/>
      <c r="CYW213" s="3"/>
      <c r="CYX213" s="3"/>
      <c r="CYY213" s="3"/>
      <c r="CYZ213" s="3"/>
      <c r="CZA213" s="3"/>
      <c r="CZB213" s="3"/>
      <c r="CZC213" s="3"/>
      <c r="CZD213" s="3"/>
      <c r="CZE213" s="3"/>
      <c r="CZF213" s="3"/>
      <c r="CZG213" s="3"/>
      <c r="CZH213" s="3"/>
      <c r="CZI213" s="3"/>
      <c r="CZJ213" s="3"/>
      <c r="CZK213" s="3"/>
      <c r="CZL213" s="3"/>
      <c r="CZM213" s="3"/>
      <c r="CZN213" s="3"/>
      <c r="CZO213" s="3"/>
      <c r="CZP213" s="3"/>
      <c r="CZQ213" s="3"/>
      <c r="CZR213" s="3"/>
      <c r="CZS213" s="3"/>
      <c r="CZT213" s="3"/>
      <c r="CZU213" s="3"/>
      <c r="CZV213" s="3"/>
      <c r="CZW213" s="3"/>
      <c r="CZX213" s="3"/>
      <c r="CZY213" s="3"/>
      <c r="CZZ213" s="3"/>
      <c r="DAA213" s="3"/>
      <c r="DAB213" s="3"/>
      <c r="DAC213" s="3"/>
      <c r="DAD213" s="3"/>
      <c r="DAE213" s="3"/>
      <c r="DAF213" s="3"/>
      <c r="DAG213" s="3"/>
      <c r="DAH213" s="3"/>
      <c r="DAI213" s="3"/>
      <c r="DAJ213" s="3"/>
      <c r="DAK213" s="3"/>
      <c r="DAL213" s="3"/>
      <c r="DAM213" s="3"/>
      <c r="DAN213" s="3"/>
      <c r="DAO213" s="3"/>
      <c r="DAP213" s="3"/>
      <c r="DAQ213" s="3"/>
      <c r="DAR213" s="3"/>
      <c r="DAS213" s="3"/>
      <c r="DAT213" s="3"/>
      <c r="DAU213" s="3"/>
      <c r="DAV213" s="3"/>
      <c r="DAW213" s="3"/>
      <c r="DAX213" s="3"/>
      <c r="DAY213" s="3"/>
      <c r="DAZ213" s="3"/>
      <c r="DBA213" s="3"/>
      <c r="DBB213" s="3"/>
      <c r="DBC213" s="3"/>
      <c r="DBD213" s="3"/>
      <c r="DBE213" s="3"/>
      <c r="DBF213" s="3"/>
      <c r="DBG213" s="3"/>
      <c r="DBH213" s="3"/>
      <c r="DBI213" s="3"/>
      <c r="DBJ213" s="3"/>
      <c r="DBK213" s="3"/>
      <c r="DBL213" s="3"/>
      <c r="DBM213" s="3"/>
      <c r="DBN213" s="3"/>
      <c r="DBO213" s="3"/>
      <c r="DBP213" s="3"/>
      <c r="DBQ213" s="3"/>
      <c r="DBR213" s="3"/>
      <c r="DBS213" s="3"/>
      <c r="DBT213" s="3"/>
      <c r="DBU213" s="3"/>
      <c r="DBV213" s="3"/>
      <c r="DBW213" s="3"/>
      <c r="DBX213" s="3"/>
      <c r="DBY213" s="3"/>
      <c r="DBZ213" s="3"/>
      <c r="DCA213" s="3"/>
      <c r="DCB213" s="3"/>
      <c r="DCC213" s="3"/>
      <c r="DCD213" s="3"/>
      <c r="DCE213" s="3"/>
      <c r="DCF213" s="3"/>
      <c r="DCG213" s="3"/>
      <c r="DCH213" s="3"/>
      <c r="DCI213" s="3"/>
      <c r="DCJ213" s="3"/>
      <c r="DCK213" s="3"/>
      <c r="DCL213" s="3"/>
      <c r="DCM213" s="3"/>
      <c r="DCN213" s="3"/>
      <c r="DCO213" s="3"/>
      <c r="DCP213" s="3"/>
      <c r="DCQ213" s="3"/>
      <c r="DCR213" s="3"/>
      <c r="DCS213" s="3"/>
      <c r="DCT213" s="3"/>
      <c r="DCU213" s="3"/>
      <c r="DCV213" s="3"/>
      <c r="DCW213" s="3"/>
      <c r="DCX213" s="3"/>
      <c r="DCY213" s="3"/>
      <c r="DCZ213" s="3"/>
      <c r="DDA213" s="3"/>
      <c r="DDB213" s="3"/>
      <c r="DDC213" s="3"/>
      <c r="DDD213" s="3"/>
      <c r="DDE213" s="3"/>
      <c r="DDF213" s="3"/>
      <c r="DDG213" s="3"/>
      <c r="DDH213" s="3"/>
      <c r="DDI213" s="3"/>
      <c r="DDJ213" s="3"/>
      <c r="DDK213" s="3"/>
      <c r="DDL213" s="3"/>
      <c r="DDM213" s="3"/>
      <c r="DDN213" s="3"/>
      <c r="DDO213" s="3"/>
      <c r="DDP213" s="3"/>
      <c r="DDQ213" s="3"/>
      <c r="DDR213" s="3"/>
      <c r="DDS213" s="3"/>
      <c r="DDT213" s="3"/>
      <c r="DDU213" s="3"/>
      <c r="DDV213" s="3"/>
      <c r="DDW213" s="3"/>
      <c r="DDX213" s="3"/>
      <c r="DDY213" s="3"/>
      <c r="DDZ213" s="3"/>
      <c r="DEA213" s="3"/>
      <c r="DEB213" s="3"/>
      <c r="DEC213" s="3"/>
      <c r="DED213" s="3"/>
      <c r="DEE213" s="3"/>
      <c r="DEF213" s="3"/>
      <c r="DEG213" s="3"/>
      <c r="DEH213" s="3"/>
      <c r="DEI213" s="3"/>
      <c r="DEJ213" s="3"/>
      <c r="DEK213" s="3"/>
      <c r="DEL213" s="3"/>
      <c r="DEM213" s="3"/>
      <c r="DEN213" s="3"/>
      <c r="DEO213" s="3"/>
      <c r="DEP213" s="3"/>
      <c r="DEQ213" s="3"/>
      <c r="DER213" s="3"/>
      <c r="DES213" s="3"/>
      <c r="DET213" s="3"/>
      <c r="DEU213" s="3"/>
      <c r="DEV213" s="3"/>
      <c r="DEW213" s="3"/>
      <c r="DEX213" s="3"/>
      <c r="DEY213" s="3"/>
      <c r="DEZ213" s="3"/>
      <c r="DFA213" s="3"/>
      <c r="DFB213" s="3"/>
      <c r="DFC213" s="3"/>
      <c r="DFD213" s="3"/>
      <c r="DFE213" s="3"/>
      <c r="DFF213" s="3"/>
      <c r="DFG213" s="3"/>
      <c r="DFH213" s="3"/>
      <c r="DFI213" s="3"/>
      <c r="DFJ213" s="3"/>
      <c r="DFK213" s="3"/>
      <c r="DFL213" s="3"/>
      <c r="DFM213" s="3"/>
      <c r="DFN213" s="3"/>
      <c r="DFO213" s="3"/>
      <c r="DFP213" s="3"/>
      <c r="DFQ213" s="3"/>
      <c r="DFR213" s="3"/>
      <c r="DFS213" s="3"/>
      <c r="DFT213" s="3"/>
      <c r="DFU213" s="3"/>
      <c r="DFV213" s="3"/>
      <c r="DFW213" s="3"/>
      <c r="DFX213" s="3"/>
      <c r="DFY213" s="3"/>
      <c r="DFZ213" s="3"/>
      <c r="DGA213" s="3"/>
      <c r="DGB213" s="3"/>
      <c r="DGC213" s="3"/>
      <c r="DGD213" s="3"/>
      <c r="DGE213" s="3"/>
      <c r="DGF213" s="3"/>
      <c r="DGG213" s="3"/>
      <c r="DGH213" s="3"/>
      <c r="DGI213" s="3"/>
      <c r="DGJ213" s="3"/>
      <c r="DGK213" s="3"/>
      <c r="DGL213" s="3"/>
      <c r="DGM213" s="3"/>
      <c r="DGN213" s="3"/>
      <c r="DGO213" s="3"/>
      <c r="DGP213" s="3"/>
      <c r="DGQ213" s="3"/>
      <c r="DGR213" s="3"/>
      <c r="DGS213" s="3"/>
      <c r="DGT213" s="3"/>
      <c r="DGU213" s="3"/>
      <c r="DGV213" s="3"/>
      <c r="DGW213" s="3"/>
      <c r="DGX213" s="3"/>
      <c r="DGY213" s="3"/>
      <c r="DGZ213" s="3"/>
      <c r="DHA213" s="3"/>
      <c r="DHB213" s="3"/>
      <c r="DHC213" s="3"/>
      <c r="DHD213" s="3"/>
      <c r="DHE213" s="3"/>
      <c r="DHF213" s="3"/>
      <c r="DHG213" s="3"/>
      <c r="DHH213" s="3"/>
      <c r="DHI213" s="3"/>
      <c r="DHJ213" s="3"/>
      <c r="DHK213" s="3"/>
      <c r="DHL213" s="3"/>
      <c r="DHM213" s="3"/>
      <c r="DHN213" s="3"/>
      <c r="DHO213" s="3"/>
      <c r="DHP213" s="3"/>
      <c r="DHQ213" s="3"/>
      <c r="DHR213" s="3"/>
      <c r="DHS213" s="3"/>
      <c r="DHT213" s="3"/>
      <c r="DHU213" s="3"/>
      <c r="DHV213" s="3"/>
      <c r="DHW213" s="3"/>
      <c r="DHX213" s="3"/>
      <c r="DHY213" s="3"/>
      <c r="DHZ213" s="3"/>
      <c r="DIA213" s="3"/>
      <c r="DIB213" s="3"/>
      <c r="DIC213" s="3"/>
      <c r="DID213" s="3"/>
      <c r="DIE213" s="3"/>
      <c r="DIF213" s="3"/>
      <c r="DIG213" s="3"/>
      <c r="DIH213" s="3"/>
      <c r="DII213" s="3"/>
      <c r="DIJ213" s="3"/>
      <c r="DIK213" s="3"/>
      <c r="DIL213" s="3"/>
      <c r="DIM213" s="3"/>
      <c r="DIN213" s="3"/>
      <c r="DIO213" s="3"/>
      <c r="DIP213" s="3"/>
      <c r="DIQ213" s="3"/>
      <c r="DIR213" s="3"/>
      <c r="DIS213" s="3"/>
      <c r="DIT213" s="3"/>
      <c r="DIU213" s="3"/>
      <c r="DIV213" s="3"/>
      <c r="DIW213" s="3"/>
      <c r="DIX213" s="3"/>
      <c r="DIY213" s="3"/>
      <c r="DIZ213" s="3"/>
      <c r="DJA213" s="3"/>
      <c r="DJB213" s="3"/>
      <c r="DJC213" s="3"/>
      <c r="DJD213" s="3"/>
      <c r="DJE213" s="3"/>
      <c r="DJF213" s="3"/>
      <c r="DJG213" s="3"/>
      <c r="DJH213" s="3"/>
      <c r="DJI213" s="3"/>
      <c r="DJJ213" s="3"/>
      <c r="DJK213" s="3"/>
      <c r="DJL213" s="3"/>
      <c r="DJM213" s="3"/>
      <c r="DJN213" s="3"/>
      <c r="DJO213" s="3"/>
      <c r="DJP213" s="3"/>
      <c r="DJQ213" s="3"/>
      <c r="DJR213" s="3"/>
      <c r="DJS213" s="3"/>
      <c r="DJT213" s="3"/>
      <c r="DJU213" s="3"/>
      <c r="DJV213" s="3"/>
      <c r="DJW213" s="3"/>
      <c r="DJX213" s="3"/>
      <c r="DJY213" s="3"/>
      <c r="DJZ213" s="3"/>
      <c r="DKA213" s="3"/>
      <c r="DKB213" s="3"/>
      <c r="DKC213" s="3"/>
      <c r="DKD213" s="3"/>
      <c r="DKE213" s="3"/>
      <c r="DKF213" s="3"/>
      <c r="DKG213" s="3"/>
      <c r="DKH213" s="3"/>
      <c r="DKI213" s="3"/>
      <c r="DKJ213" s="3"/>
      <c r="DKK213" s="3"/>
      <c r="DKL213" s="3"/>
      <c r="DKM213" s="3"/>
      <c r="DKN213" s="3"/>
      <c r="DKO213" s="3"/>
      <c r="DKP213" s="3"/>
      <c r="DKQ213" s="3"/>
      <c r="DKR213" s="3"/>
      <c r="DKS213" s="3"/>
      <c r="DKT213" s="3"/>
      <c r="DKU213" s="3"/>
      <c r="DKV213" s="3"/>
      <c r="DKW213" s="3"/>
      <c r="DKX213" s="3"/>
      <c r="DKY213" s="3"/>
      <c r="DKZ213" s="3"/>
      <c r="DLA213" s="3"/>
      <c r="DLB213" s="3"/>
      <c r="DLC213" s="3"/>
      <c r="DLD213" s="3"/>
      <c r="DLE213" s="3"/>
      <c r="DLF213" s="3"/>
      <c r="DLG213" s="3"/>
      <c r="DLH213" s="3"/>
      <c r="DLI213" s="3"/>
      <c r="DLJ213" s="3"/>
      <c r="DLK213" s="3"/>
      <c r="DLL213" s="3"/>
      <c r="DLM213" s="3"/>
      <c r="DLN213" s="3"/>
      <c r="DLO213" s="3"/>
      <c r="DLP213" s="3"/>
      <c r="DLQ213" s="3"/>
      <c r="DLR213" s="3"/>
      <c r="DLS213" s="3"/>
      <c r="DLT213" s="3"/>
      <c r="DLU213" s="3"/>
      <c r="DLV213" s="3"/>
      <c r="DLW213" s="3"/>
      <c r="DLX213" s="3"/>
      <c r="DLY213" s="3"/>
      <c r="DLZ213" s="3"/>
      <c r="DMA213" s="3"/>
      <c r="DMB213" s="3"/>
      <c r="DMC213" s="3"/>
      <c r="DMD213" s="3"/>
      <c r="DME213" s="3"/>
      <c r="DMF213" s="3"/>
      <c r="DMG213" s="3"/>
      <c r="DMH213" s="3"/>
      <c r="DMI213" s="3"/>
      <c r="DMJ213" s="3"/>
      <c r="DMK213" s="3"/>
      <c r="DML213" s="3"/>
      <c r="DMM213" s="3"/>
      <c r="DMN213" s="3"/>
      <c r="DMO213" s="3"/>
      <c r="DMP213" s="3"/>
      <c r="DMQ213" s="3"/>
      <c r="DMR213" s="3"/>
      <c r="DMS213" s="3"/>
      <c r="DMT213" s="3"/>
      <c r="DMU213" s="3"/>
      <c r="DMV213" s="3"/>
      <c r="DMW213" s="3"/>
      <c r="DMX213" s="3"/>
      <c r="DMY213" s="3"/>
      <c r="DMZ213" s="3"/>
      <c r="DNA213" s="3"/>
      <c r="DNB213" s="3"/>
      <c r="DNC213" s="3"/>
      <c r="DND213" s="3"/>
      <c r="DNE213" s="3"/>
      <c r="DNF213" s="3"/>
      <c r="DNG213" s="3"/>
      <c r="DNH213" s="3"/>
      <c r="DNI213" s="3"/>
      <c r="DNJ213" s="3"/>
      <c r="DNK213" s="3"/>
      <c r="DNL213" s="3"/>
      <c r="DNM213" s="3"/>
      <c r="DNN213" s="3"/>
      <c r="DNO213" s="3"/>
      <c r="DNP213" s="3"/>
      <c r="DNQ213" s="3"/>
      <c r="DNR213" s="3"/>
      <c r="DNS213" s="3"/>
      <c r="DNT213" s="3"/>
      <c r="DNU213" s="3"/>
      <c r="DNV213" s="3"/>
      <c r="DNW213" s="3"/>
      <c r="DNX213" s="3"/>
      <c r="DNY213" s="3"/>
      <c r="DNZ213" s="3"/>
      <c r="DOA213" s="3"/>
      <c r="DOB213" s="3"/>
      <c r="DOC213" s="3"/>
      <c r="DOD213" s="3"/>
      <c r="DOE213" s="3"/>
      <c r="DOF213" s="3"/>
      <c r="DOG213" s="3"/>
      <c r="DOH213" s="3"/>
      <c r="DOI213" s="3"/>
      <c r="DOJ213" s="3"/>
      <c r="DOK213" s="3"/>
      <c r="DOL213" s="3"/>
      <c r="DOM213" s="3"/>
      <c r="DON213" s="3"/>
      <c r="DOO213" s="3"/>
      <c r="DOP213" s="3"/>
      <c r="DOQ213" s="3"/>
      <c r="DOR213" s="3"/>
      <c r="DOS213" s="3"/>
      <c r="DOT213" s="3"/>
      <c r="DOU213" s="3"/>
      <c r="DOV213" s="3"/>
      <c r="DOW213" s="3"/>
      <c r="DOX213" s="3"/>
      <c r="DOY213" s="3"/>
      <c r="DOZ213" s="3"/>
      <c r="DPA213" s="3"/>
      <c r="DPB213" s="3"/>
      <c r="DPC213" s="3"/>
      <c r="DPD213" s="3"/>
      <c r="DPE213" s="3"/>
      <c r="DPF213" s="3"/>
      <c r="DPG213" s="3"/>
      <c r="DPH213" s="3"/>
      <c r="DPI213" s="3"/>
      <c r="DPJ213" s="3"/>
      <c r="DPK213" s="3"/>
      <c r="DPL213" s="3"/>
      <c r="DPM213" s="3"/>
      <c r="DPN213" s="3"/>
      <c r="DPO213" s="3"/>
      <c r="DPP213" s="3"/>
      <c r="DPQ213" s="3"/>
      <c r="DPR213" s="3"/>
      <c r="DPS213" s="3"/>
      <c r="DPT213" s="3"/>
      <c r="DPU213" s="3"/>
      <c r="DPV213" s="3"/>
      <c r="DPW213" s="3"/>
      <c r="DPX213" s="3"/>
      <c r="DPY213" s="3"/>
      <c r="DPZ213" s="3"/>
      <c r="DQA213" s="3"/>
      <c r="DQB213" s="3"/>
      <c r="DQC213" s="3"/>
      <c r="DQD213" s="3"/>
      <c r="DQE213" s="3"/>
      <c r="DQF213" s="3"/>
      <c r="DQG213" s="3"/>
      <c r="DQH213" s="3"/>
      <c r="DQI213" s="3"/>
      <c r="DQJ213" s="3"/>
      <c r="DQK213" s="3"/>
      <c r="DQL213" s="3"/>
      <c r="DQM213" s="3"/>
      <c r="DQN213" s="3"/>
      <c r="DQO213" s="3"/>
      <c r="DQP213" s="3"/>
      <c r="DQQ213" s="3"/>
      <c r="DQR213" s="3"/>
      <c r="DQS213" s="3"/>
      <c r="DQT213" s="3"/>
      <c r="DQU213" s="3"/>
      <c r="DQV213" s="3"/>
      <c r="DQW213" s="3"/>
      <c r="DQX213" s="3"/>
      <c r="DQY213" s="3"/>
      <c r="DQZ213" s="3"/>
      <c r="DRA213" s="3"/>
      <c r="DRB213" s="3"/>
      <c r="DRC213" s="3"/>
      <c r="DRD213" s="3"/>
      <c r="DRE213" s="3"/>
      <c r="DRF213" s="3"/>
      <c r="DRG213" s="3"/>
      <c r="DRH213" s="3"/>
      <c r="DRI213" s="3"/>
      <c r="DRJ213" s="3"/>
      <c r="DRK213" s="3"/>
      <c r="DRL213" s="3"/>
      <c r="DRM213" s="3"/>
      <c r="DRN213" s="3"/>
      <c r="DRO213" s="3"/>
      <c r="DRP213" s="3"/>
      <c r="DRQ213" s="3"/>
      <c r="DRR213" s="3"/>
      <c r="DRS213" s="3"/>
      <c r="DRT213" s="3"/>
      <c r="DRU213" s="3"/>
      <c r="DRV213" s="3"/>
      <c r="DRW213" s="3"/>
      <c r="DRX213" s="3"/>
      <c r="DRY213" s="3"/>
      <c r="DRZ213" s="3"/>
      <c r="DSA213" s="3"/>
      <c r="DSB213" s="3"/>
      <c r="DSC213" s="3"/>
      <c r="DSD213" s="3"/>
      <c r="DSE213" s="3"/>
      <c r="DSF213" s="3"/>
      <c r="DSG213" s="3"/>
      <c r="DSH213" s="3"/>
      <c r="DSI213" s="3"/>
      <c r="DSJ213" s="3"/>
      <c r="DSK213" s="3"/>
      <c r="DSL213" s="3"/>
      <c r="DSM213" s="3"/>
      <c r="DSN213" s="3"/>
      <c r="DSO213" s="3"/>
      <c r="DSP213" s="3"/>
      <c r="DSQ213" s="3"/>
      <c r="DSR213" s="3"/>
      <c r="DSS213" s="3"/>
      <c r="DST213" s="3"/>
      <c r="DSU213" s="3"/>
      <c r="DSV213" s="3"/>
      <c r="DSW213" s="3"/>
      <c r="DSX213" s="3"/>
      <c r="DSY213" s="3"/>
      <c r="DSZ213" s="3"/>
      <c r="DTA213" s="3"/>
      <c r="DTB213" s="3"/>
      <c r="DTC213" s="3"/>
      <c r="DTD213" s="3"/>
      <c r="DTE213" s="3"/>
      <c r="DTF213" s="3"/>
      <c r="DTG213" s="3"/>
      <c r="DTH213" s="3"/>
      <c r="DTI213" s="3"/>
      <c r="DTJ213" s="3"/>
      <c r="DTK213" s="3"/>
      <c r="DTL213" s="3"/>
      <c r="DTM213" s="3"/>
      <c r="DTN213" s="3"/>
      <c r="DTO213" s="3"/>
      <c r="DTP213" s="3"/>
      <c r="DTQ213" s="3"/>
      <c r="DTR213" s="3"/>
      <c r="DTS213" s="3"/>
      <c r="DTT213" s="3"/>
      <c r="DTU213" s="3"/>
      <c r="DTV213" s="3"/>
      <c r="DTW213" s="3"/>
      <c r="DTX213" s="3"/>
      <c r="DTY213" s="3"/>
      <c r="DTZ213" s="3"/>
      <c r="DUA213" s="3"/>
      <c r="DUB213" s="3"/>
      <c r="DUC213" s="3"/>
      <c r="DUD213" s="3"/>
      <c r="DUE213" s="3"/>
      <c r="DUF213" s="3"/>
      <c r="DUG213" s="3"/>
      <c r="DUH213" s="3"/>
      <c r="DUI213" s="3"/>
      <c r="DUJ213" s="3"/>
      <c r="DUK213" s="3"/>
      <c r="DUL213" s="3"/>
      <c r="DUM213" s="3"/>
      <c r="DUN213" s="3"/>
      <c r="DUO213" s="3"/>
      <c r="DUP213" s="3"/>
      <c r="DUQ213" s="3"/>
      <c r="DUR213" s="3"/>
      <c r="DUS213" s="3"/>
      <c r="DUT213" s="3"/>
      <c r="DUU213" s="3"/>
      <c r="DUV213" s="3"/>
      <c r="DUW213" s="3"/>
      <c r="DUX213" s="3"/>
      <c r="DUY213" s="3"/>
      <c r="DUZ213" s="3"/>
      <c r="DVA213" s="3"/>
      <c r="DVB213" s="3"/>
      <c r="DVC213" s="3"/>
      <c r="DVD213" s="3"/>
      <c r="DVE213" s="3"/>
      <c r="DVF213" s="3"/>
      <c r="DVG213" s="3"/>
      <c r="DVH213" s="3"/>
      <c r="DVI213" s="3"/>
      <c r="DVJ213" s="3"/>
      <c r="DVK213" s="3"/>
      <c r="DVL213" s="3"/>
      <c r="DVM213" s="3"/>
      <c r="DVN213" s="3"/>
      <c r="DVO213" s="3"/>
      <c r="DVP213" s="3"/>
      <c r="DVQ213" s="3"/>
      <c r="DVR213" s="3"/>
      <c r="DVS213" s="3"/>
      <c r="DVT213" s="3"/>
      <c r="DVU213" s="3"/>
      <c r="DVV213" s="3"/>
      <c r="DVW213" s="3"/>
      <c r="DVX213" s="3"/>
      <c r="DVY213" s="3"/>
      <c r="DVZ213" s="3"/>
      <c r="DWA213" s="3"/>
      <c r="DWB213" s="3"/>
      <c r="DWC213" s="3"/>
      <c r="DWD213" s="3"/>
      <c r="DWE213" s="3"/>
      <c r="DWF213" s="3"/>
      <c r="DWG213" s="3"/>
      <c r="DWH213" s="3"/>
      <c r="DWI213" s="3"/>
      <c r="DWJ213" s="3"/>
      <c r="DWK213" s="3"/>
      <c r="DWL213" s="3"/>
      <c r="DWM213" s="3"/>
      <c r="DWN213" s="3"/>
      <c r="DWO213" s="3"/>
      <c r="DWP213" s="3"/>
      <c r="DWQ213" s="3"/>
      <c r="DWR213" s="3"/>
      <c r="DWS213" s="3"/>
      <c r="DWT213" s="3"/>
      <c r="DWU213" s="3"/>
      <c r="DWV213" s="3"/>
      <c r="DWW213" s="3"/>
      <c r="DWX213" s="3"/>
      <c r="DWY213" s="3"/>
      <c r="DWZ213" s="3"/>
      <c r="DXA213" s="3"/>
      <c r="DXB213" s="3"/>
      <c r="DXC213" s="3"/>
      <c r="DXD213" s="3"/>
      <c r="DXE213" s="3"/>
      <c r="DXF213" s="3"/>
      <c r="DXG213" s="3"/>
      <c r="DXH213" s="3"/>
      <c r="DXI213" s="3"/>
      <c r="DXJ213" s="3"/>
      <c r="DXK213" s="3"/>
      <c r="DXL213" s="3"/>
      <c r="DXM213" s="3"/>
      <c r="DXN213" s="3"/>
      <c r="DXO213" s="3"/>
      <c r="DXP213" s="3"/>
      <c r="DXQ213" s="3"/>
      <c r="DXR213" s="3"/>
      <c r="DXS213" s="3"/>
      <c r="DXT213" s="3"/>
      <c r="DXU213" s="3"/>
      <c r="DXV213" s="3"/>
      <c r="DXW213" s="3"/>
      <c r="DXX213" s="3"/>
      <c r="DXY213" s="3"/>
      <c r="DXZ213" s="3"/>
      <c r="DYA213" s="3"/>
      <c r="DYB213" s="3"/>
      <c r="DYC213" s="3"/>
      <c r="DYD213" s="3"/>
      <c r="DYE213" s="3"/>
      <c r="DYF213" s="3"/>
      <c r="DYG213" s="3"/>
      <c r="DYH213" s="3"/>
      <c r="DYI213" s="3"/>
      <c r="DYJ213" s="3"/>
      <c r="DYK213" s="3"/>
      <c r="DYL213" s="3"/>
      <c r="DYM213" s="3"/>
      <c r="DYN213" s="3"/>
      <c r="DYO213" s="3"/>
      <c r="DYP213" s="3"/>
      <c r="DYQ213" s="3"/>
      <c r="DYR213" s="3"/>
      <c r="DYS213" s="3"/>
      <c r="DYT213" s="3"/>
      <c r="DYU213" s="3"/>
      <c r="DYV213" s="3"/>
      <c r="DYW213" s="3"/>
      <c r="DYX213" s="3"/>
      <c r="DYY213" s="3"/>
      <c r="DYZ213" s="3"/>
      <c r="DZA213" s="3"/>
      <c r="DZB213" s="3"/>
      <c r="DZC213" s="3"/>
      <c r="DZD213" s="3"/>
      <c r="DZE213" s="3"/>
      <c r="DZF213" s="3"/>
      <c r="DZG213" s="3"/>
      <c r="DZH213" s="3"/>
      <c r="DZI213" s="3"/>
      <c r="DZJ213" s="3"/>
      <c r="DZK213" s="3"/>
      <c r="DZL213" s="3"/>
      <c r="DZM213" s="3"/>
      <c r="DZN213" s="3"/>
      <c r="DZO213" s="3"/>
      <c r="DZP213" s="3"/>
      <c r="DZQ213" s="3"/>
      <c r="DZR213" s="3"/>
      <c r="DZS213" s="3"/>
      <c r="DZT213" s="3"/>
      <c r="DZU213" s="3"/>
      <c r="DZV213" s="3"/>
      <c r="DZW213" s="3"/>
      <c r="DZX213" s="3"/>
      <c r="DZY213" s="3"/>
      <c r="DZZ213" s="3"/>
      <c r="EAA213" s="3"/>
      <c r="EAB213" s="3"/>
      <c r="EAC213" s="3"/>
      <c r="EAD213" s="3"/>
      <c r="EAE213" s="3"/>
      <c r="EAF213" s="3"/>
      <c r="EAG213" s="3"/>
      <c r="EAH213" s="3"/>
      <c r="EAI213" s="3"/>
      <c r="EAJ213" s="3"/>
      <c r="EAK213" s="3"/>
      <c r="EAL213" s="3"/>
      <c r="EAM213" s="3"/>
      <c r="EAN213" s="3"/>
      <c r="EAO213" s="3"/>
      <c r="EAP213" s="3"/>
      <c r="EAQ213" s="3"/>
      <c r="EAR213" s="3"/>
      <c r="EAS213" s="3"/>
      <c r="EAT213" s="3"/>
      <c r="EAU213" s="3"/>
      <c r="EAV213" s="3"/>
      <c r="EAW213" s="3"/>
      <c r="EAX213" s="3"/>
      <c r="EAY213" s="3"/>
      <c r="EAZ213" s="3"/>
      <c r="EBA213" s="3"/>
      <c r="EBB213" s="3"/>
      <c r="EBC213" s="3"/>
      <c r="EBD213" s="3"/>
      <c r="EBE213" s="3"/>
      <c r="EBF213" s="3"/>
      <c r="EBG213" s="3"/>
      <c r="EBH213" s="3"/>
      <c r="EBI213" s="3"/>
      <c r="EBJ213" s="3"/>
      <c r="EBK213" s="3"/>
      <c r="EBL213" s="3"/>
      <c r="EBM213" s="3"/>
      <c r="EBN213" s="3"/>
      <c r="EBO213" s="3"/>
      <c r="EBP213" s="3"/>
      <c r="EBQ213" s="3"/>
      <c r="EBR213" s="3"/>
      <c r="EBS213" s="3"/>
      <c r="EBT213" s="3"/>
      <c r="EBU213" s="3"/>
      <c r="EBV213" s="3"/>
      <c r="EBW213" s="3"/>
      <c r="EBX213" s="3"/>
      <c r="EBY213" s="3"/>
      <c r="EBZ213" s="3"/>
      <c r="ECA213" s="3"/>
      <c r="ECB213" s="3"/>
      <c r="ECC213" s="3"/>
      <c r="ECD213" s="3"/>
      <c r="ECE213" s="3"/>
      <c r="ECF213" s="3"/>
      <c r="ECG213" s="3"/>
      <c r="ECH213" s="3"/>
      <c r="ECI213" s="3"/>
      <c r="ECJ213" s="3"/>
      <c r="ECK213" s="3"/>
      <c r="ECL213" s="3"/>
      <c r="ECM213" s="3"/>
      <c r="ECN213" s="3"/>
      <c r="ECO213" s="3"/>
      <c r="ECP213" s="3"/>
      <c r="ECQ213" s="3"/>
      <c r="ECR213" s="3"/>
      <c r="ECS213" s="3"/>
      <c r="ECT213" s="3"/>
      <c r="ECU213" s="3"/>
      <c r="ECV213" s="3"/>
      <c r="ECW213" s="3"/>
      <c r="ECX213" s="3"/>
      <c r="ECY213" s="3"/>
      <c r="ECZ213" s="3"/>
      <c r="EDA213" s="3"/>
      <c r="EDB213" s="3"/>
      <c r="EDC213" s="3"/>
      <c r="EDD213" s="3"/>
      <c r="EDE213" s="3"/>
      <c r="EDF213" s="3"/>
      <c r="EDG213" s="3"/>
      <c r="EDH213" s="3"/>
      <c r="EDI213" s="3"/>
      <c r="EDJ213" s="3"/>
      <c r="EDK213" s="3"/>
      <c r="EDL213" s="3"/>
      <c r="EDM213" s="3"/>
      <c r="EDN213" s="3"/>
      <c r="EDO213" s="3"/>
      <c r="EDP213" s="3"/>
      <c r="EDQ213" s="3"/>
      <c r="EDR213" s="3"/>
      <c r="EDS213" s="3"/>
      <c r="EDT213" s="3"/>
      <c r="EDU213" s="3"/>
      <c r="EDV213" s="3"/>
      <c r="EDW213" s="3"/>
      <c r="EDX213" s="3"/>
      <c r="EDY213" s="3"/>
      <c r="EDZ213" s="3"/>
      <c r="EEA213" s="3"/>
      <c r="EEB213" s="3"/>
      <c r="EEC213" s="3"/>
      <c r="EED213" s="3"/>
      <c r="EEE213" s="3"/>
      <c r="EEF213" s="3"/>
      <c r="EEG213" s="3"/>
      <c r="EEH213" s="3"/>
      <c r="EEI213" s="3"/>
      <c r="EEJ213" s="3"/>
      <c r="EEK213" s="3"/>
      <c r="EEL213" s="3"/>
      <c r="EEM213" s="3"/>
      <c r="EEN213" s="3"/>
      <c r="EEO213" s="3"/>
      <c r="EEP213" s="3"/>
      <c r="EEQ213" s="3"/>
      <c r="EER213" s="3"/>
      <c r="EES213" s="3"/>
      <c r="EET213" s="3"/>
      <c r="EEU213" s="3"/>
      <c r="EEV213" s="3"/>
      <c r="EEW213" s="3"/>
      <c r="EEX213" s="3"/>
      <c r="EEY213" s="3"/>
      <c r="EEZ213" s="3"/>
      <c r="EFA213" s="3"/>
      <c r="EFB213" s="3"/>
      <c r="EFC213" s="3"/>
      <c r="EFD213" s="3"/>
      <c r="EFE213" s="3"/>
      <c r="EFF213" s="3"/>
      <c r="EFG213" s="3"/>
      <c r="EFH213" s="3"/>
      <c r="EFI213" s="3"/>
      <c r="EFJ213" s="3"/>
      <c r="EFK213" s="3"/>
      <c r="EFL213" s="3"/>
      <c r="EFM213" s="3"/>
      <c r="EFN213" s="3"/>
      <c r="EFO213" s="3"/>
      <c r="EFP213" s="3"/>
      <c r="EFQ213" s="3"/>
      <c r="EFR213" s="3"/>
      <c r="EFS213" s="3"/>
      <c r="EFT213" s="3"/>
      <c r="EFU213" s="3"/>
      <c r="EFV213" s="3"/>
      <c r="EFW213" s="3"/>
      <c r="EFX213" s="3"/>
      <c r="EFY213" s="3"/>
      <c r="EFZ213" s="3"/>
      <c r="EGA213" s="3"/>
      <c r="EGB213" s="3"/>
      <c r="EGC213" s="3"/>
      <c r="EGD213" s="3"/>
      <c r="EGE213" s="3"/>
      <c r="EGF213" s="3"/>
      <c r="EGG213" s="3"/>
      <c r="EGH213" s="3"/>
      <c r="EGI213" s="3"/>
      <c r="EGJ213" s="3"/>
      <c r="EGK213" s="3"/>
      <c r="EGL213" s="3"/>
      <c r="EGM213" s="3"/>
      <c r="EGN213" s="3"/>
      <c r="EGO213" s="3"/>
      <c r="EGP213" s="3"/>
      <c r="EGQ213" s="3"/>
      <c r="EGR213" s="3"/>
      <c r="EGS213" s="3"/>
      <c r="EGT213" s="3"/>
      <c r="EGU213" s="3"/>
      <c r="EGV213" s="3"/>
      <c r="EGW213" s="3"/>
      <c r="EGX213" s="3"/>
      <c r="EGY213" s="3"/>
      <c r="EGZ213" s="3"/>
      <c r="EHA213" s="3"/>
      <c r="EHB213" s="3"/>
      <c r="EHC213" s="3"/>
      <c r="EHD213" s="3"/>
      <c r="EHE213" s="3"/>
      <c r="EHF213" s="3"/>
      <c r="EHG213" s="3"/>
      <c r="EHH213" s="3"/>
      <c r="EHI213" s="3"/>
      <c r="EHJ213" s="3"/>
      <c r="EHK213" s="3"/>
      <c r="EHL213" s="3"/>
      <c r="EHM213" s="3"/>
      <c r="EHN213" s="3"/>
      <c r="EHO213" s="3"/>
      <c r="EHP213" s="3"/>
      <c r="EHQ213" s="3"/>
      <c r="EHR213" s="3"/>
      <c r="EHS213" s="3"/>
      <c r="EHT213" s="3"/>
      <c r="EHU213" s="3"/>
      <c r="EHV213" s="3"/>
      <c r="EHW213" s="3"/>
      <c r="EHX213" s="3"/>
      <c r="EHY213" s="3"/>
      <c r="EHZ213" s="3"/>
      <c r="EIA213" s="3"/>
      <c r="EIB213" s="3"/>
      <c r="EIC213" s="3"/>
      <c r="EID213" s="3"/>
      <c r="EIE213" s="3"/>
      <c r="EIF213" s="3"/>
      <c r="EIG213" s="3"/>
      <c r="EIH213" s="3"/>
      <c r="EII213" s="3"/>
      <c r="EIJ213" s="3"/>
      <c r="EIK213" s="3"/>
      <c r="EIL213" s="3"/>
      <c r="EIM213" s="3"/>
      <c r="EIN213" s="3"/>
      <c r="EIO213" s="3"/>
      <c r="EIP213" s="3"/>
      <c r="EIQ213" s="3"/>
      <c r="EIR213" s="3"/>
      <c r="EIS213" s="3"/>
      <c r="EIT213" s="3"/>
      <c r="EIU213" s="3"/>
      <c r="EIV213" s="3"/>
      <c r="EIW213" s="3"/>
      <c r="EIX213" s="3"/>
      <c r="EIY213" s="3"/>
      <c r="EIZ213" s="3"/>
      <c r="EJA213" s="3"/>
      <c r="EJB213" s="3"/>
      <c r="EJC213" s="3"/>
      <c r="EJD213" s="3"/>
      <c r="EJE213" s="3"/>
      <c r="EJF213" s="3"/>
      <c r="EJG213" s="3"/>
      <c r="EJH213" s="3"/>
      <c r="EJI213" s="3"/>
      <c r="EJJ213" s="3"/>
      <c r="EJK213" s="3"/>
      <c r="EJL213" s="3"/>
      <c r="EJM213" s="3"/>
      <c r="EJN213" s="3"/>
      <c r="EJO213" s="3"/>
      <c r="EJP213" s="3"/>
      <c r="EJQ213" s="3"/>
      <c r="EJR213" s="3"/>
      <c r="EJS213" s="3"/>
      <c r="EJT213" s="3"/>
      <c r="EJU213" s="3"/>
      <c r="EJV213" s="3"/>
      <c r="EJW213" s="3"/>
      <c r="EJX213" s="3"/>
      <c r="EJY213" s="3"/>
      <c r="EJZ213" s="3"/>
      <c r="EKA213" s="3"/>
      <c r="EKB213" s="3"/>
      <c r="EKC213" s="3"/>
      <c r="EKD213" s="3"/>
      <c r="EKE213" s="3"/>
      <c r="EKF213" s="3"/>
      <c r="EKG213" s="3"/>
      <c r="EKH213" s="3"/>
      <c r="EKI213" s="3"/>
      <c r="EKJ213" s="3"/>
      <c r="EKK213" s="3"/>
      <c r="EKL213" s="3"/>
      <c r="EKM213" s="3"/>
      <c r="EKN213" s="3"/>
      <c r="EKO213" s="3"/>
      <c r="EKP213" s="3"/>
      <c r="EKQ213" s="3"/>
      <c r="EKR213" s="3"/>
      <c r="EKS213" s="3"/>
      <c r="EKT213" s="3"/>
      <c r="EKU213" s="3"/>
      <c r="EKV213" s="3"/>
      <c r="EKW213" s="3"/>
      <c r="EKX213" s="3"/>
      <c r="EKY213" s="3"/>
      <c r="EKZ213" s="3"/>
      <c r="ELA213" s="3"/>
      <c r="ELB213" s="3"/>
      <c r="ELC213" s="3"/>
      <c r="ELD213" s="3"/>
      <c r="ELE213" s="3"/>
      <c r="ELF213" s="3"/>
      <c r="ELG213" s="3"/>
      <c r="ELH213" s="3"/>
      <c r="ELI213" s="3"/>
      <c r="ELJ213" s="3"/>
      <c r="ELK213" s="3"/>
      <c r="ELL213" s="3"/>
      <c r="ELM213" s="3"/>
      <c r="ELN213" s="3"/>
      <c r="ELO213" s="3"/>
      <c r="ELP213" s="3"/>
      <c r="ELQ213" s="3"/>
      <c r="ELR213" s="3"/>
      <c r="ELS213" s="3"/>
      <c r="ELT213" s="3"/>
      <c r="ELU213" s="3"/>
      <c r="ELV213" s="3"/>
      <c r="ELW213" s="3"/>
      <c r="ELX213" s="3"/>
      <c r="ELY213" s="3"/>
      <c r="ELZ213" s="3"/>
      <c r="EMA213" s="3"/>
      <c r="EMB213" s="3"/>
      <c r="EMC213" s="3"/>
      <c r="EMD213" s="3"/>
      <c r="EME213" s="3"/>
      <c r="EMF213" s="3"/>
      <c r="EMG213" s="3"/>
      <c r="EMH213" s="3"/>
      <c r="EMI213" s="3"/>
      <c r="EMJ213" s="3"/>
      <c r="EMK213" s="3"/>
      <c r="EML213" s="3"/>
      <c r="EMM213" s="3"/>
      <c r="EMN213" s="3"/>
      <c r="EMO213" s="3"/>
      <c r="EMP213" s="3"/>
      <c r="EMQ213" s="3"/>
      <c r="EMR213" s="3"/>
      <c r="EMS213" s="3"/>
      <c r="EMT213" s="3"/>
      <c r="EMU213" s="3"/>
      <c r="EMV213" s="3"/>
      <c r="EMW213" s="3"/>
      <c r="EMX213" s="3"/>
      <c r="EMY213" s="3"/>
      <c r="EMZ213" s="3"/>
      <c r="ENA213" s="3"/>
      <c r="ENB213" s="3"/>
      <c r="ENC213" s="3"/>
      <c r="END213" s="3"/>
      <c r="ENE213" s="3"/>
      <c r="ENF213" s="3"/>
      <c r="ENG213" s="3"/>
      <c r="ENH213" s="3"/>
      <c r="ENI213" s="3"/>
      <c r="ENJ213" s="3"/>
      <c r="ENK213" s="3"/>
      <c r="ENL213" s="3"/>
      <c r="ENM213" s="3"/>
      <c r="ENN213" s="3"/>
      <c r="ENO213" s="3"/>
      <c r="ENP213" s="3"/>
      <c r="ENQ213" s="3"/>
      <c r="ENR213" s="3"/>
      <c r="ENS213" s="3"/>
      <c r="ENT213" s="3"/>
      <c r="ENU213" s="3"/>
      <c r="ENV213" s="3"/>
      <c r="ENW213" s="3"/>
      <c r="ENX213" s="3"/>
      <c r="ENY213" s="3"/>
      <c r="ENZ213" s="3"/>
      <c r="EOA213" s="3"/>
      <c r="EOB213" s="3"/>
      <c r="EOC213" s="3"/>
      <c r="EOD213" s="3"/>
      <c r="EOE213" s="3"/>
      <c r="EOF213" s="3"/>
      <c r="EOG213" s="3"/>
      <c r="EOH213" s="3"/>
      <c r="EOI213" s="3"/>
      <c r="EOJ213" s="3"/>
      <c r="EOK213" s="3"/>
      <c r="EOL213" s="3"/>
      <c r="EOM213" s="3"/>
      <c r="EON213" s="3"/>
      <c r="EOO213" s="3"/>
      <c r="EOP213" s="3"/>
      <c r="EOQ213" s="3"/>
      <c r="EOR213" s="3"/>
      <c r="EOS213" s="3"/>
      <c r="EOT213" s="3"/>
      <c r="EOU213" s="3"/>
      <c r="EOV213" s="3"/>
      <c r="EOW213" s="3"/>
      <c r="EOX213" s="3"/>
      <c r="EOY213" s="3"/>
      <c r="EOZ213" s="3"/>
      <c r="EPA213" s="3"/>
      <c r="EPB213" s="3"/>
      <c r="EPC213" s="3"/>
      <c r="EPD213" s="3"/>
      <c r="EPE213" s="3"/>
      <c r="EPF213" s="3"/>
      <c r="EPG213" s="3"/>
      <c r="EPH213" s="3"/>
      <c r="EPI213" s="3"/>
      <c r="EPJ213" s="3"/>
      <c r="EPK213" s="3"/>
      <c r="EPL213" s="3"/>
      <c r="EPM213" s="3"/>
      <c r="EPN213" s="3"/>
      <c r="EPO213" s="3"/>
      <c r="EPP213" s="3"/>
      <c r="EPQ213" s="3"/>
      <c r="EPR213" s="3"/>
      <c r="EPS213" s="3"/>
      <c r="EPT213" s="3"/>
      <c r="EPU213" s="3"/>
      <c r="EPV213" s="3"/>
      <c r="EPW213" s="3"/>
      <c r="EPX213" s="3"/>
      <c r="EPY213" s="3"/>
      <c r="EPZ213" s="3"/>
      <c r="EQA213" s="3"/>
      <c r="EQB213" s="3"/>
      <c r="EQC213" s="3"/>
      <c r="EQD213" s="3"/>
      <c r="EQE213" s="3"/>
      <c r="EQF213" s="3"/>
      <c r="EQG213" s="3"/>
      <c r="EQH213" s="3"/>
      <c r="EQI213" s="3"/>
      <c r="EQJ213" s="3"/>
      <c r="EQK213" s="3"/>
      <c r="EQL213" s="3"/>
      <c r="EQM213" s="3"/>
      <c r="EQN213" s="3"/>
      <c r="EQO213" s="3"/>
      <c r="EQP213" s="3"/>
      <c r="EQQ213" s="3"/>
      <c r="EQR213" s="3"/>
      <c r="EQS213" s="3"/>
      <c r="EQT213" s="3"/>
      <c r="EQU213" s="3"/>
      <c r="EQV213" s="3"/>
      <c r="EQW213" s="3"/>
      <c r="EQX213" s="3"/>
      <c r="EQY213" s="3"/>
      <c r="EQZ213" s="3"/>
      <c r="ERA213" s="3"/>
      <c r="ERB213" s="3"/>
      <c r="ERC213" s="3"/>
      <c r="ERD213" s="3"/>
      <c r="ERE213" s="3"/>
      <c r="ERF213" s="3"/>
      <c r="ERG213" s="3"/>
      <c r="ERH213" s="3"/>
      <c r="ERI213" s="3"/>
      <c r="ERJ213" s="3"/>
      <c r="ERK213" s="3"/>
      <c r="ERL213" s="3"/>
      <c r="ERM213" s="3"/>
      <c r="ERN213" s="3"/>
      <c r="ERO213" s="3"/>
      <c r="ERP213" s="3"/>
      <c r="ERQ213" s="3"/>
      <c r="ERR213" s="3"/>
      <c r="ERS213" s="3"/>
      <c r="ERT213" s="3"/>
      <c r="ERU213" s="3"/>
      <c r="ERV213" s="3"/>
      <c r="ERW213" s="3"/>
      <c r="ERX213" s="3"/>
      <c r="ERY213" s="3"/>
      <c r="ERZ213" s="3"/>
      <c r="ESA213" s="3"/>
      <c r="ESB213" s="3"/>
      <c r="ESC213" s="3"/>
      <c r="ESD213" s="3"/>
      <c r="ESE213" s="3"/>
      <c r="ESF213" s="3"/>
      <c r="ESG213" s="3"/>
      <c r="ESH213" s="3"/>
      <c r="ESI213" s="3"/>
      <c r="ESJ213" s="3"/>
      <c r="ESK213" s="3"/>
      <c r="ESL213" s="3"/>
      <c r="ESM213" s="3"/>
      <c r="ESN213" s="3"/>
      <c r="ESO213" s="3"/>
      <c r="ESP213" s="3"/>
      <c r="ESQ213" s="3"/>
      <c r="ESR213" s="3"/>
      <c r="ESS213" s="3"/>
      <c r="EST213" s="3"/>
      <c r="ESU213" s="3"/>
      <c r="ESV213" s="3"/>
      <c r="ESW213" s="3"/>
      <c r="ESX213" s="3"/>
      <c r="ESY213" s="3"/>
      <c r="ESZ213" s="3"/>
      <c r="ETA213" s="3"/>
      <c r="ETB213" s="3"/>
      <c r="ETC213" s="3"/>
      <c r="ETD213" s="3"/>
      <c r="ETE213" s="3"/>
      <c r="ETF213" s="3"/>
      <c r="ETG213" s="3"/>
      <c r="ETH213" s="3"/>
      <c r="ETI213" s="3"/>
      <c r="ETJ213" s="3"/>
      <c r="ETK213" s="3"/>
      <c r="ETL213" s="3"/>
      <c r="ETM213" s="3"/>
      <c r="ETN213" s="3"/>
      <c r="ETO213" s="3"/>
      <c r="ETP213" s="3"/>
      <c r="ETQ213" s="3"/>
      <c r="ETR213" s="3"/>
      <c r="ETS213" s="3"/>
      <c r="ETT213" s="3"/>
      <c r="ETU213" s="3"/>
      <c r="ETV213" s="3"/>
      <c r="ETW213" s="3"/>
      <c r="ETX213" s="3"/>
      <c r="ETY213" s="3"/>
      <c r="ETZ213" s="3"/>
      <c r="EUA213" s="3"/>
      <c r="EUB213" s="3"/>
      <c r="EUC213" s="3"/>
      <c r="EUD213" s="3"/>
      <c r="EUE213" s="3"/>
      <c r="EUF213" s="3"/>
      <c r="EUG213" s="3"/>
      <c r="EUH213" s="3"/>
      <c r="EUI213" s="3"/>
      <c r="EUJ213" s="3"/>
      <c r="EUK213" s="3"/>
      <c r="EUL213" s="3"/>
      <c r="EUM213" s="3"/>
      <c r="EUN213" s="3"/>
      <c r="EUO213" s="3"/>
      <c r="EUP213" s="3"/>
      <c r="EUQ213" s="3"/>
      <c r="EUR213" s="3"/>
      <c r="EUS213" s="3"/>
      <c r="EUT213" s="3"/>
      <c r="EUU213" s="3"/>
      <c r="EUV213" s="3"/>
      <c r="EUW213" s="3"/>
      <c r="EUX213" s="3"/>
      <c r="EUY213" s="3"/>
      <c r="EUZ213" s="3"/>
      <c r="EVA213" s="3"/>
      <c r="EVB213" s="3"/>
      <c r="EVC213" s="3"/>
      <c r="EVD213" s="3"/>
      <c r="EVE213" s="3"/>
      <c r="EVF213" s="3"/>
      <c r="EVG213" s="3"/>
      <c r="EVH213" s="3"/>
      <c r="EVI213" s="3"/>
      <c r="EVJ213" s="3"/>
      <c r="EVK213" s="3"/>
      <c r="EVL213" s="3"/>
      <c r="EVM213" s="3"/>
      <c r="EVN213" s="3"/>
      <c r="EVO213" s="3"/>
      <c r="EVP213" s="3"/>
      <c r="EVQ213" s="3"/>
      <c r="EVR213" s="3"/>
      <c r="EVS213" s="3"/>
      <c r="EVT213" s="3"/>
      <c r="EVU213" s="3"/>
      <c r="EVV213" s="3"/>
      <c r="EVW213" s="3"/>
      <c r="EVX213" s="3"/>
      <c r="EVY213" s="3"/>
      <c r="EVZ213" s="3"/>
      <c r="EWA213" s="3"/>
      <c r="EWB213" s="3"/>
      <c r="EWC213" s="3"/>
      <c r="EWD213" s="3"/>
      <c r="EWE213" s="3"/>
      <c r="EWF213" s="3"/>
      <c r="EWG213" s="3"/>
      <c r="EWH213" s="3"/>
      <c r="EWI213" s="3"/>
      <c r="EWJ213" s="3"/>
      <c r="EWK213" s="3"/>
      <c r="EWL213" s="3"/>
      <c r="EWM213" s="3"/>
      <c r="EWN213" s="3"/>
      <c r="EWO213" s="3"/>
      <c r="EWP213" s="3"/>
      <c r="EWQ213" s="3"/>
      <c r="EWR213" s="3"/>
      <c r="EWS213" s="3"/>
      <c r="EWT213" s="3"/>
      <c r="EWU213" s="3"/>
      <c r="EWV213" s="3"/>
      <c r="EWW213" s="3"/>
      <c r="EWX213" s="3"/>
      <c r="EWY213" s="3"/>
      <c r="EWZ213" s="3"/>
      <c r="EXA213" s="3"/>
      <c r="EXB213" s="3"/>
      <c r="EXC213" s="3"/>
      <c r="EXD213" s="3"/>
      <c r="EXE213" s="3"/>
      <c r="EXF213" s="3"/>
      <c r="EXG213" s="3"/>
      <c r="EXH213" s="3"/>
      <c r="EXI213" s="3"/>
      <c r="EXJ213" s="3"/>
      <c r="EXK213" s="3"/>
      <c r="EXL213" s="3"/>
      <c r="EXM213" s="3"/>
      <c r="EXN213" s="3"/>
      <c r="EXO213" s="3"/>
      <c r="EXP213" s="3"/>
      <c r="EXQ213" s="3"/>
      <c r="EXR213" s="3"/>
      <c r="EXS213" s="3"/>
      <c r="EXT213" s="3"/>
      <c r="EXU213" s="3"/>
      <c r="EXV213" s="3"/>
      <c r="EXW213" s="3"/>
      <c r="EXX213" s="3"/>
      <c r="EXY213" s="3"/>
      <c r="EXZ213" s="3"/>
      <c r="EYA213" s="3"/>
      <c r="EYB213" s="3"/>
      <c r="EYC213" s="3"/>
      <c r="EYD213" s="3"/>
      <c r="EYE213" s="3"/>
      <c r="EYF213" s="3"/>
      <c r="EYG213" s="3"/>
      <c r="EYH213" s="3"/>
      <c r="EYI213" s="3"/>
      <c r="EYJ213" s="3"/>
      <c r="EYK213" s="3"/>
      <c r="EYL213" s="3"/>
      <c r="EYM213" s="3"/>
      <c r="EYN213" s="3"/>
      <c r="EYO213" s="3"/>
      <c r="EYP213" s="3"/>
      <c r="EYQ213" s="3"/>
      <c r="EYR213" s="3"/>
      <c r="EYS213" s="3"/>
      <c r="EYT213" s="3"/>
      <c r="EYU213" s="3"/>
      <c r="EYV213" s="3"/>
      <c r="EYW213" s="3"/>
      <c r="EYX213" s="3"/>
      <c r="EYY213" s="3"/>
      <c r="EYZ213" s="3"/>
      <c r="EZA213" s="3"/>
      <c r="EZB213" s="3"/>
      <c r="EZC213" s="3"/>
      <c r="EZD213" s="3"/>
      <c r="EZE213" s="3"/>
      <c r="EZF213" s="3"/>
      <c r="EZG213" s="3"/>
      <c r="EZH213" s="3"/>
      <c r="EZI213" s="3"/>
      <c r="EZJ213" s="3"/>
      <c r="EZK213" s="3"/>
      <c r="EZL213" s="3"/>
      <c r="EZM213" s="3"/>
      <c r="EZN213" s="3"/>
      <c r="EZO213" s="3"/>
      <c r="EZP213" s="3"/>
      <c r="EZQ213" s="3"/>
      <c r="EZR213" s="3"/>
      <c r="EZS213" s="3"/>
      <c r="EZT213" s="3"/>
      <c r="EZU213" s="3"/>
      <c r="EZV213" s="3"/>
      <c r="EZW213" s="3"/>
      <c r="EZX213" s="3"/>
      <c r="EZY213" s="3"/>
      <c r="EZZ213" s="3"/>
      <c r="FAA213" s="3"/>
      <c r="FAB213" s="3"/>
      <c r="FAC213" s="3"/>
      <c r="FAD213" s="3"/>
      <c r="FAE213" s="3"/>
      <c r="FAF213" s="3"/>
      <c r="FAG213" s="3"/>
      <c r="FAH213" s="3"/>
      <c r="FAI213" s="3"/>
      <c r="FAJ213" s="3"/>
      <c r="FAK213" s="3"/>
      <c r="FAL213" s="3"/>
      <c r="FAM213" s="3"/>
      <c r="FAN213" s="3"/>
      <c r="FAO213" s="3"/>
      <c r="FAP213" s="3"/>
      <c r="FAQ213" s="3"/>
      <c r="FAR213" s="3"/>
      <c r="FAS213" s="3"/>
      <c r="FAT213" s="3"/>
      <c r="FAU213" s="3"/>
      <c r="FAV213" s="3"/>
      <c r="FAW213" s="3"/>
      <c r="FAX213" s="3"/>
      <c r="FAY213" s="3"/>
      <c r="FAZ213" s="3"/>
      <c r="FBA213" s="3"/>
      <c r="FBB213" s="3"/>
      <c r="FBC213" s="3"/>
      <c r="FBD213" s="3"/>
      <c r="FBE213" s="3"/>
      <c r="FBF213" s="3"/>
      <c r="FBG213" s="3"/>
      <c r="FBH213" s="3"/>
      <c r="FBI213" s="3"/>
      <c r="FBJ213" s="3"/>
      <c r="FBK213" s="3"/>
      <c r="FBL213" s="3"/>
      <c r="FBM213" s="3"/>
      <c r="FBN213" s="3"/>
      <c r="FBO213" s="3"/>
      <c r="FBP213" s="3"/>
      <c r="FBQ213" s="3"/>
      <c r="FBR213" s="3"/>
      <c r="FBS213" s="3"/>
      <c r="FBT213" s="3"/>
      <c r="FBU213" s="3"/>
      <c r="FBV213" s="3"/>
      <c r="FBW213" s="3"/>
      <c r="FBX213" s="3"/>
      <c r="FBY213" s="3"/>
      <c r="FBZ213" s="3"/>
      <c r="FCA213" s="3"/>
      <c r="FCB213" s="3"/>
      <c r="FCC213" s="3"/>
      <c r="FCD213" s="3"/>
      <c r="FCE213" s="3"/>
      <c r="FCF213" s="3"/>
      <c r="FCG213" s="3"/>
      <c r="FCH213" s="3"/>
      <c r="FCI213" s="3"/>
      <c r="FCJ213" s="3"/>
      <c r="FCK213" s="3"/>
      <c r="FCL213" s="3"/>
      <c r="FCM213" s="3"/>
      <c r="FCN213" s="3"/>
      <c r="FCO213" s="3"/>
      <c r="FCP213" s="3"/>
      <c r="FCQ213" s="3"/>
      <c r="FCR213" s="3"/>
      <c r="FCS213" s="3"/>
      <c r="FCT213" s="3"/>
      <c r="FCU213" s="3"/>
      <c r="FCV213" s="3"/>
      <c r="FCW213" s="3"/>
      <c r="FCX213" s="3"/>
      <c r="FCY213" s="3"/>
      <c r="FCZ213" s="3"/>
      <c r="FDA213" s="3"/>
      <c r="FDB213" s="3"/>
      <c r="FDC213" s="3"/>
      <c r="FDD213" s="3"/>
      <c r="FDE213" s="3"/>
      <c r="FDF213" s="3"/>
      <c r="FDG213" s="3"/>
      <c r="FDH213" s="3"/>
      <c r="FDI213" s="3"/>
      <c r="FDJ213" s="3"/>
      <c r="FDK213" s="3"/>
      <c r="FDL213" s="3"/>
      <c r="FDM213" s="3"/>
      <c r="FDN213" s="3"/>
      <c r="FDO213" s="3"/>
      <c r="FDP213" s="3"/>
      <c r="FDQ213" s="3"/>
      <c r="FDR213" s="3"/>
      <c r="FDS213" s="3"/>
      <c r="FDT213" s="3"/>
      <c r="FDU213" s="3"/>
      <c r="FDV213" s="3"/>
      <c r="FDW213" s="3"/>
      <c r="FDX213" s="3"/>
      <c r="FDY213" s="3"/>
      <c r="FDZ213" s="3"/>
      <c r="FEA213" s="3"/>
      <c r="FEB213" s="3"/>
      <c r="FEC213" s="3"/>
      <c r="FED213" s="3"/>
      <c r="FEE213" s="3"/>
      <c r="FEF213" s="3"/>
      <c r="FEG213" s="3"/>
      <c r="FEH213" s="3"/>
      <c r="FEI213" s="3"/>
      <c r="FEJ213" s="3"/>
      <c r="FEK213" s="3"/>
      <c r="FEL213" s="3"/>
      <c r="FEM213" s="3"/>
      <c r="FEN213" s="3"/>
      <c r="FEO213" s="3"/>
      <c r="FEP213" s="3"/>
      <c r="FEQ213" s="3"/>
      <c r="FER213" s="3"/>
      <c r="FES213" s="3"/>
      <c r="FET213" s="3"/>
      <c r="FEU213" s="3"/>
      <c r="FEV213" s="3"/>
      <c r="FEW213" s="3"/>
      <c r="FEX213" s="3"/>
      <c r="FEY213" s="3"/>
      <c r="FEZ213" s="3"/>
      <c r="FFA213" s="3"/>
      <c r="FFB213" s="3"/>
      <c r="FFC213" s="3"/>
      <c r="FFD213" s="3"/>
      <c r="FFE213" s="3"/>
      <c r="FFF213" s="3"/>
      <c r="FFG213" s="3"/>
      <c r="FFH213" s="3"/>
      <c r="FFI213" s="3"/>
      <c r="FFJ213" s="3"/>
      <c r="FFK213" s="3"/>
      <c r="FFL213" s="3"/>
      <c r="FFM213" s="3"/>
      <c r="FFN213" s="3"/>
      <c r="FFO213" s="3"/>
      <c r="FFP213" s="3"/>
      <c r="FFQ213" s="3"/>
      <c r="FFR213" s="3"/>
      <c r="FFS213" s="3"/>
      <c r="FFT213" s="3"/>
      <c r="FFU213" s="3"/>
      <c r="FFV213" s="3"/>
      <c r="FFW213" s="3"/>
      <c r="FFX213" s="3"/>
      <c r="FFY213" s="3"/>
      <c r="FFZ213" s="3"/>
      <c r="FGA213" s="3"/>
      <c r="FGB213" s="3"/>
      <c r="FGC213" s="3"/>
      <c r="FGD213" s="3"/>
      <c r="FGE213" s="3"/>
      <c r="FGF213" s="3"/>
      <c r="FGG213" s="3"/>
      <c r="FGH213" s="3"/>
      <c r="FGI213" s="3"/>
      <c r="FGJ213" s="3"/>
      <c r="FGK213" s="3"/>
      <c r="FGL213" s="3"/>
      <c r="FGM213" s="3"/>
      <c r="FGN213" s="3"/>
      <c r="FGO213" s="3"/>
      <c r="FGP213" s="3"/>
      <c r="FGQ213" s="3"/>
      <c r="FGR213" s="3"/>
      <c r="FGS213" s="3"/>
      <c r="FGT213" s="3"/>
      <c r="FGU213" s="3"/>
      <c r="FGV213" s="3"/>
      <c r="FGW213" s="3"/>
      <c r="FGX213" s="3"/>
      <c r="FGY213" s="3"/>
      <c r="FGZ213" s="3"/>
      <c r="FHA213" s="3"/>
      <c r="FHB213" s="3"/>
      <c r="FHC213" s="3"/>
      <c r="FHD213" s="3"/>
      <c r="FHE213" s="3"/>
      <c r="FHF213" s="3"/>
      <c r="FHG213" s="3"/>
      <c r="FHH213" s="3"/>
      <c r="FHI213" s="3"/>
      <c r="FHJ213" s="3"/>
      <c r="FHK213" s="3"/>
      <c r="FHL213" s="3"/>
      <c r="FHM213" s="3"/>
      <c r="FHN213" s="3"/>
      <c r="FHO213" s="3"/>
      <c r="FHP213" s="3"/>
      <c r="FHQ213" s="3"/>
      <c r="FHR213" s="3"/>
      <c r="FHS213" s="3"/>
      <c r="FHT213" s="3"/>
      <c r="FHU213" s="3"/>
      <c r="FHV213" s="3"/>
      <c r="FHW213" s="3"/>
      <c r="FHX213" s="3"/>
      <c r="FHY213" s="3"/>
      <c r="FHZ213" s="3"/>
      <c r="FIA213" s="3"/>
      <c r="FIB213" s="3"/>
      <c r="FIC213" s="3"/>
      <c r="FID213" s="3"/>
      <c r="FIE213" s="3"/>
      <c r="FIF213" s="3"/>
      <c r="FIG213" s="3"/>
      <c r="FIH213" s="3"/>
      <c r="FII213" s="3"/>
      <c r="FIJ213" s="3"/>
      <c r="FIK213" s="3"/>
      <c r="FIL213" s="3"/>
      <c r="FIM213" s="3"/>
      <c r="FIN213" s="3"/>
      <c r="FIO213" s="3"/>
      <c r="FIP213" s="3"/>
      <c r="FIQ213" s="3"/>
      <c r="FIR213" s="3"/>
      <c r="FIS213" s="3"/>
      <c r="FIT213" s="3"/>
      <c r="FIU213" s="3"/>
      <c r="FIV213" s="3"/>
      <c r="FIW213" s="3"/>
      <c r="FIX213" s="3"/>
      <c r="FIY213" s="3"/>
      <c r="FIZ213" s="3"/>
      <c r="FJA213" s="3"/>
      <c r="FJB213" s="3"/>
      <c r="FJC213" s="3"/>
      <c r="FJD213" s="3"/>
      <c r="FJE213" s="3"/>
      <c r="FJF213" s="3"/>
      <c r="FJG213" s="3"/>
      <c r="FJH213" s="3"/>
      <c r="FJI213" s="3"/>
      <c r="FJJ213" s="3"/>
      <c r="FJK213" s="3"/>
      <c r="FJL213" s="3"/>
      <c r="FJM213" s="3"/>
      <c r="FJN213" s="3"/>
      <c r="FJO213" s="3"/>
      <c r="FJP213" s="3"/>
      <c r="FJQ213" s="3"/>
      <c r="FJR213" s="3"/>
      <c r="FJS213" s="3"/>
      <c r="FJT213" s="3"/>
      <c r="FJU213" s="3"/>
      <c r="FJV213" s="3"/>
      <c r="FJW213" s="3"/>
      <c r="FJX213" s="3"/>
      <c r="FJY213" s="3"/>
      <c r="FJZ213" s="3"/>
      <c r="FKA213" s="3"/>
      <c r="FKB213" s="3"/>
      <c r="FKC213" s="3"/>
      <c r="FKD213" s="3"/>
      <c r="FKE213" s="3"/>
      <c r="FKF213" s="3"/>
      <c r="FKG213" s="3"/>
      <c r="FKH213" s="3"/>
      <c r="FKI213" s="3"/>
      <c r="FKJ213" s="3"/>
      <c r="FKK213" s="3"/>
      <c r="FKL213" s="3"/>
      <c r="FKM213" s="3"/>
      <c r="FKN213" s="3"/>
      <c r="FKO213" s="3"/>
      <c r="FKP213" s="3"/>
      <c r="FKQ213" s="3"/>
      <c r="FKR213" s="3"/>
      <c r="FKS213" s="3"/>
      <c r="FKT213" s="3"/>
      <c r="FKU213" s="3"/>
      <c r="FKV213" s="3"/>
      <c r="FKW213" s="3"/>
      <c r="FKX213" s="3"/>
      <c r="FKY213" s="3"/>
      <c r="FKZ213" s="3"/>
      <c r="FLA213" s="3"/>
      <c r="FLB213" s="3"/>
      <c r="FLC213" s="3"/>
      <c r="FLD213" s="3"/>
      <c r="FLE213" s="3"/>
      <c r="FLF213" s="3"/>
      <c r="FLG213" s="3"/>
      <c r="FLH213" s="3"/>
      <c r="FLI213" s="3"/>
      <c r="FLJ213" s="3"/>
      <c r="FLK213" s="3"/>
      <c r="FLL213" s="3"/>
      <c r="FLM213" s="3"/>
      <c r="FLN213" s="3"/>
      <c r="FLO213" s="3"/>
      <c r="FLP213" s="3"/>
      <c r="FLQ213" s="3"/>
      <c r="FLR213" s="3"/>
      <c r="FLS213" s="3"/>
      <c r="FLT213" s="3"/>
      <c r="FLU213" s="3"/>
      <c r="FLV213" s="3"/>
      <c r="FLW213" s="3"/>
      <c r="FLX213" s="3"/>
      <c r="FLY213" s="3"/>
      <c r="FLZ213" s="3"/>
      <c r="FMA213" s="3"/>
      <c r="FMB213" s="3"/>
      <c r="FMC213" s="3"/>
      <c r="FMD213" s="3"/>
      <c r="FME213" s="3"/>
      <c r="FMF213" s="3"/>
      <c r="FMG213" s="3"/>
      <c r="FMH213" s="3"/>
      <c r="FMI213" s="3"/>
      <c r="FMJ213" s="3"/>
      <c r="FMK213" s="3"/>
      <c r="FML213" s="3"/>
      <c r="FMM213" s="3"/>
      <c r="FMN213" s="3"/>
      <c r="FMO213" s="3"/>
      <c r="FMP213" s="3"/>
      <c r="FMQ213" s="3"/>
      <c r="FMR213" s="3"/>
      <c r="FMS213" s="3"/>
      <c r="FMT213" s="3"/>
      <c r="FMU213" s="3"/>
      <c r="FMV213" s="3"/>
      <c r="FMW213" s="3"/>
      <c r="FMX213" s="3"/>
      <c r="FMY213" s="3"/>
      <c r="FMZ213" s="3"/>
      <c r="FNA213" s="3"/>
      <c r="FNB213" s="3"/>
      <c r="FNC213" s="3"/>
      <c r="FND213" s="3"/>
      <c r="FNE213" s="3"/>
      <c r="FNF213" s="3"/>
      <c r="FNG213" s="3"/>
      <c r="FNH213" s="3"/>
      <c r="FNI213" s="3"/>
      <c r="FNJ213" s="3"/>
      <c r="FNK213" s="3"/>
      <c r="FNL213" s="3"/>
      <c r="FNM213" s="3"/>
      <c r="FNN213" s="3"/>
      <c r="FNO213" s="3"/>
      <c r="FNP213" s="3"/>
      <c r="FNQ213" s="3"/>
      <c r="FNR213" s="3"/>
      <c r="FNS213" s="3"/>
      <c r="FNT213" s="3"/>
      <c r="FNU213" s="3"/>
      <c r="FNV213" s="3"/>
      <c r="FNW213" s="3"/>
      <c r="FNX213" s="3"/>
      <c r="FNY213" s="3"/>
      <c r="FNZ213" s="3"/>
      <c r="FOA213" s="3"/>
      <c r="FOB213" s="3"/>
      <c r="FOC213" s="3"/>
      <c r="FOD213" s="3"/>
      <c r="FOE213" s="3"/>
      <c r="FOF213" s="3"/>
      <c r="FOG213" s="3"/>
      <c r="FOH213" s="3"/>
      <c r="FOI213" s="3"/>
      <c r="FOJ213" s="3"/>
      <c r="FOK213" s="3"/>
      <c r="FOL213" s="3"/>
      <c r="FOM213" s="3"/>
      <c r="FON213" s="3"/>
      <c r="FOO213" s="3"/>
      <c r="FOP213" s="3"/>
      <c r="FOQ213" s="3"/>
      <c r="FOR213" s="3"/>
      <c r="FOS213" s="3"/>
      <c r="FOT213" s="3"/>
      <c r="FOU213" s="3"/>
      <c r="FOV213" s="3"/>
      <c r="FOW213" s="3"/>
      <c r="FOX213" s="3"/>
      <c r="FOY213" s="3"/>
      <c r="FOZ213" s="3"/>
      <c r="FPA213" s="3"/>
      <c r="FPB213" s="3"/>
      <c r="FPC213" s="3"/>
      <c r="FPD213" s="3"/>
      <c r="FPE213" s="3"/>
      <c r="FPF213" s="3"/>
      <c r="FPG213" s="3"/>
      <c r="FPH213" s="3"/>
      <c r="FPI213" s="3"/>
      <c r="FPJ213" s="3"/>
      <c r="FPK213" s="3"/>
      <c r="FPL213" s="3"/>
      <c r="FPM213" s="3"/>
      <c r="FPN213" s="3"/>
      <c r="FPO213" s="3"/>
      <c r="FPP213" s="3"/>
      <c r="FPQ213" s="3"/>
      <c r="FPR213" s="3"/>
      <c r="FPS213" s="3"/>
      <c r="FPT213" s="3"/>
      <c r="FPU213" s="3"/>
      <c r="FPV213" s="3"/>
      <c r="FPW213" s="3"/>
      <c r="FPX213" s="3"/>
      <c r="FPY213" s="3"/>
      <c r="FPZ213" s="3"/>
      <c r="FQA213" s="3"/>
      <c r="FQB213" s="3"/>
      <c r="FQC213" s="3"/>
      <c r="FQD213" s="3"/>
      <c r="FQE213" s="3"/>
      <c r="FQF213" s="3"/>
      <c r="FQG213" s="3"/>
      <c r="FQH213" s="3"/>
      <c r="FQI213" s="3"/>
      <c r="FQJ213" s="3"/>
      <c r="FQK213" s="3"/>
      <c r="FQL213" s="3"/>
      <c r="FQM213" s="3"/>
      <c r="FQN213" s="3"/>
      <c r="FQO213" s="3"/>
      <c r="FQP213" s="3"/>
      <c r="FQQ213" s="3"/>
      <c r="FQR213" s="3"/>
      <c r="FQS213" s="3"/>
      <c r="FQT213" s="3"/>
      <c r="FQU213" s="3"/>
      <c r="FQV213" s="3"/>
      <c r="FQW213" s="3"/>
      <c r="FQX213" s="3"/>
      <c r="FQY213" s="3"/>
      <c r="FQZ213" s="3"/>
      <c r="FRA213" s="3"/>
      <c r="FRB213" s="3"/>
      <c r="FRC213" s="3"/>
      <c r="FRD213" s="3"/>
      <c r="FRE213" s="3"/>
      <c r="FRF213" s="3"/>
      <c r="FRG213" s="3"/>
      <c r="FRH213" s="3"/>
      <c r="FRI213" s="3"/>
      <c r="FRJ213" s="3"/>
      <c r="FRK213" s="3"/>
      <c r="FRL213" s="3"/>
      <c r="FRM213" s="3"/>
      <c r="FRN213" s="3"/>
      <c r="FRO213" s="3"/>
      <c r="FRP213" s="3"/>
      <c r="FRQ213" s="3"/>
      <c r="FRR213" s="3"/>
      <c r="FRS213" s="3"/>
      <c r="FRT213" s="3"/>
      <c r="FRU213" s="3"/>
      <c r="FRV213" s="3"/>
      <c r="FRW213" s="3"/>
      <c r="FRX213" s="3"/>
      <c r="FRY213" s="3"/>
      <c r="FRZ213" s="3"/>
      <c r="FSA213" s="3"/>
      <c r="FSB213" s="3"/>
      <c r="FSC213" s="3"/>
      <c r="FSD213" s="3"/>
      <c r="FSE213" s="3"/>
      <c r="FSF213" s="3"/>
      <c r="FSG213" s="3"/>
      <c r="FSH213" s="3"/>
      <c r="FSI213" s="3"/>
      <c r="FSJ213" s="3"/>
      <c r="FSK213" s="3"/>
      <c r="FSL213" s="3"/>
      <c r="FSM213" s="3"/>
      <c r="FSN213" s="3"/>
      <c r="FSO213" s="3"/>
      <c r="FSP213" s="3"/>
      <c r="FSQ213" s="3"/>
      <c r="FSR213" s="3"/>
      <c r="FSS213" s="3"/>
      <c r="FST213" s="3"/>
      <c r="FSU213" s="3"/>
      <c r="FSV213" s="3"/>
      <c r="FSW213" s="3"/>
      <c r="FSX213" s="3"/>
      <c r="FSY213" s="3"/>
      <c r="FSZ213" s="3"/>
      <c r="FTA213" s="3"/>
      <c r="FTB213" s="3"/>
      <c r="FTC213" s="3"/>
      <c r="FTD213" s="3"/>
      <c r="FTE213" s="3"/>
      <c r="FTF213" s="3"/>
      <c r="FTG213" s="3"/>
      <c r="FTH213" s="3"/>
      <c r="FTI213" s="3"/>
      <c r="FTJ213" s="3"/>
      <c r="FTK213" s="3"/>
      <c r="FTL213" s="3"/>
      <c r="FTM213" s="3"/>
      <c r="FTN213" s="3"/>
      <c r="FTO213" s="3"/>
      <c r="FTP213" s="3"/>
      <c r="FTQ213" s="3"/>
      <c r="FTR213" s="3"/>
      <c r="FTS213" s="3"/>
      <c r="FTT213" s="3"/>
      <c r="FTU213" s="3"/>
      <c r="FTV213" s="3"/>
      <c r="FTW213" s="3"/>
      <c r="FTX213" s="3"/>
      <c r="FTY213" s="3"/>
      <c r="FTZ213" s="3"/>
      <c r="FUA213" s="3"/>
      <c r="FUB213" s="3"/>
      <c r="FUC213" s="3"/>
      <c r="FUD213" s="3"/>
      <c r="FUE213" s="3"/>
      <c r="FUF213" s="3"/>
      <c r="FUG213" s="3"/>
      <c r="FUH213" s="3"/>
      <c r="FUI213" s="3"/>
      <c r="FUJ213" s="3"/>
      <c r="FUK213" s="3"/>
      <c r="FUL213" s="3"/>
      <c r="FUM213" s="3"/>
      <c r="FUN213" s="3"/>
      <c r="FUO213" s="3"/>
      <c r="FUP213" s="3"/>
      <c r="FUQ213" s="3"/>
      <c r="FUR213" s="3"/>
      <c r="FUS213" s="3"/>
      <c r="FUT213" s="3"/>
      <c r="FUU213" s="3"/>
      <c r="FUV213" s="3"/>
      <c r="FUW213" s="3"/>
      <c r="FUX213" s="3"/>
      <c r="FUY213" s="3"/>
      <c r="FUZ213" s="3"/>
      <c r="FVA213" s="3"/>
      <c r="FVB213" s="3"/>
      <c r="FVC213" s="3"/>
      <c r="FVD213" s="3"/>
      <c r="FVE213" s="3"/>
      <c r="FVF213" s="3"/>
      <c r="FVG213" s="3"/>
      <c r="FVH213" s="3"/>
      <c r="FVI213" s="3"/>
      <c r="FVJ213" s="3"/>
      <c r="FVK213" s="3"/>
      <c r="FVL213" s="3"/>
      <c r="FVM213" s="3"/>
      <c r="FVN213" s="3"/>
      <c r="FVO213" s="3"/>
      <c r="FVP213" s="3"/>
      <c r="FVQ213" s="3"/>
      <c r="FVR213" s="3"/>
      <c r="FVS213" s="3"/>
      <c r="FVT213" s="3"/>
      <c r="FVU213" s="3"/>
      <c r="FVV213" s="3"/>
      <c r="FVW213" s="3"/>
      <c r="FVX213" s="3"/>
      <c r="FVY213" s="3"/>
      <c r="FVZ213" s="3"/>
      <c r="FWA213" s="3"/>
      <c r="FWB213" s="3"/>
      <c r="FWC213" s="3"/>
      <c r="FWD213" s="3"/>
      <c r="FWE213" s="3"/>
      <c r="FWF213" s="3"/>
      <c r="FWG213" s="3"/>
      <c r="FWH213" s="3"/>
      <c r="FWI213" s="3"/>
      <c r="FWJ213" s="3"/>
      <c r="FWK213" s="3"/>
      <c r="FWL213" s="3"/>
      <c r="FWM213" s="3"/>
      <c r="FWN213" s="3"/>
      <c r="FWO213" s="3"/>
      <c r="FWP213" s="3"/>
      <c r="FWQ213" s="3"/>
      <c r="FWR213" s="3"/>
      <c r="FWS213" s="3"/>
      <c r="FWT213" s="3"/>
      <c r="FWU213" s="3"/>
      <c r="FWV213" s="3"/>
      <c r="FWW213" s="3"/>
      <c r="FWX213" s="3"/>
      <c r="FWY213" s="3"/>
      <c r="FWZ213" s="3"/>
      <c r="FXA213" s="3"/>
      <c r="FXB213" s="3"/>
      <c r="FXC213" s="3"/>
      <c r="FXD213" s="3"/>
      <c r="FXE213" s="3"/>
      <c r="FXF213" s="3"/>
      <c r="FXG213" s="3"/>
      <c r="FXH213" s="3"/>
      <c r="FXI213" s="3"/>
      <c r="FXJ213" s="3"/>
      <c r="FXK213" s="3"/>
      <c r="FXL213" s="3"/>
      <c r="FXM213" s="3"/>
      <c r="FXN213" s="3"/>
      <c r="FXO213" s="3"/>
      <c r="FXP213" s="3"/>
      <c r="FXQ213" s="3"/>
      <c r="FXR213" s="3"/>
      <c r="FXS213" s="3"/>
      <c r="FXT213" s="3"/>
      <c r="FXU213" s="3"/>
      <c r="FXV213" s="3"/>
      <c r="FXW213" s="3"/>
      <c r="FXX213" s="3"/>
      <c r="FXY213" s="3"/>
      <c r="FXZ213" s="3"/>
      <c r="FYA213" s="3"/>
      <c r="FYB213" s="3"/>
      <c r="FYC213" s="3"/>
      <c r="FYD213" s="3"/>
      <c r="FYE213" s="3"/>
      <c r="FYF213" s="3"/>
      <c r="FYG213" s="3"/>
      <c r="FYH213" s="3"/>
      <c r="FYI213" s="3"/>
      <c r="FYJ213" s="3"/>
      <c r="FYK213" s="3"/>
      <c r="FYL213" s="3"/>
      <c r="FYM213" s="3"/>
      <c r="FYN213" s="3"/>
      <c r="FYO213" s="3"/>
      <c r="FYP213" s="3"/>
      <c r="FYQ213" s="3"/>
      <c r="FYR213" s="3"/>
      <c r="FYS213" s="3"/>
      <c r="FYT213" s="3"/>
      <c r="FYU213" s="3"/>
      <c r="FYV213" s="3"/>
      <c r="FYW213" s="3"/>
      <c r="FYX213" s="3"/>
      <c r="FYY213" s="3"/>
      <c r="FYZ213" s="3"/>
      <c r="FZA213" s="3"/>
      <c r="FZB213" s="3"/>
      <c r="FZC213" s="3"/>
      <c r="FZD213" s="3"/>
      <c r="FZE213" s="3"/>
      <c r="FZF213" s="3"/>
      <c r="FZG213" s="3"/>
      <c r="FZH213" s="3"/>
      <c r="FZI213" s="3"/>
      <c r="FZJ213" s="3"/>
      <c r="FZK213" s="3"/>
      <c r="FZL213" s="3"/>
      <c r="FZM213" s="3"/>
      <c r="FZN213" s="3"/>
      <c r="FZO213" s="3"/>
      <c r="FZP213" s="3"/>
      <c r="FZQ213" s="3"/>
      <c r="FZR213" s="3"/>
      <c r="FZS213" s="3"/>
      <c r="FZT213" s="3"/>
      <c r="FZU213" s="3"/>
      <c r="FZV213" s="3"/>
      <c r="FZW213" s="3"/>
      <c r="FZX213" s="3"/>
      <c r="FZY213" s="3"/>
      <c r="FZZ213" s="3"/>
      <c r="GAA213" s="3"/>
      <c r="GAB213" s="3"/>
      <c r="GAC213" s="3"/>
      <c r="GAD213" s="3"/>
      <c r="GAE213" s="3"/>
      <c r="GAF213" s="3"/>
      <c r="GAG213" s="3"/>
      <c r="GAH213" s="3"/>
      <c r="GAI213" s="3"/>
      <c r="GAJ213" s="3"/>
      <c r="GAK213" s="3"/>
      <c r="GAL213" s="3"/>
      <c r="GAM213" s="3"/>
      <c r="GAN213" s="3"/>
      <c r="GAO213" s="3"/>
      <c r="GAP213" s="3"/>
      <c r="GAQ213" s="3"/>
      <c r="GAR213" s="3"/>
      <c r="GAS213" s="3"/>
      <c r="GAT213" s="3"/>
      <c r="GAU213" s="3"/>
      <c r="GAV213" s="3"/>
      <c r="GAW213" s="3"/>
      <c r="GAX213" s="3"/>
      <c r="GAY213" s="3"/>
      <c r="GAZ213" s="3"/>
      <c r="GBA213" s="3"/>
      <c r="GBB213" s="3"/>
      <c r="GBC213" s="3"/>
      <c r="GBD213" s="3"/>
      <c r="GBE213" s="3"/>
      <c r="GBF213" s="3"/>
      <c r="GBG213" s="3"/>
      <c r="GBH213" s="3"/>
      <c r="GBI213" s="3"/>
      <c r="GBJ213" s="3"/>
      <c r="GBK213" s="3"/>
      <c r="GBL213" s="3"/>
      <c r="GBM213" s="3"/>
      <c r="GBN213" s="3"/>
      <c r="GBO213" s="3"/>
      <c r="GBP213" s="3"/>
      <c r="GBQ213" s="3"/>
      <c r="GBR213" s="3"/>
      <c r="GBS213" s="3"/>
      <c r="GBT213" s="3"/>
      <c r="GBU213" s="3"/>
      <c r="GBV213" s="3"/>
      <c r="GBW213" s="3"/>
      <c r="GBX213" s="3"/>
      <c r="GBY213" s="3"/>
      <c r="GBZ213" s="3"/>
      <c r="GCA213" s="3"/>
      <c r="GCB213" s="3"/>
      <c r="GCC213" s="3"/>
      <c r="GCD213" s="3"/>
      <c r="GCE213" s="3"/>
      <c r="GCF213" s="3"/>
      <c r="GCG213" s="3"/>
      <c r="GCH213" s="3"/>
      <c r="GCI213" s="3"/>
      <c r="GCJ213" s="3"/>
      <c r="GCK213" s="3"/>
      <c r="GCL213" s="3"/>
      <c r="GCM213" s="3"/>
      <c r="GCN213" s="3"/>
      <c r="GCO213" s="3"/>
      <c r="GCP213" s="3"/>
      <c r="GCQ213" s="3"/>
      <c r="GCR213" s="3"/>
      <c r="GCS213" s="3"/>
      <c r="GCT213" s="3"/>
      <c r="GCU213" s="3"/>
      <c r="GCV213" s="3"/>
      <c r="GCW213" s="3"/>
      <c r="GCX213" s="3"/>
      <c r="GCY213" s="3"/>
      <c r="GCZ213" s="3"/>
      <c r="GDA213" s="3"/>
      <c r="GDB213" s="3"/>
      <c r="GDC213" s="3"/>
      <c r="GDD213" s="3"/>
      <c r="GDE213" s="3"/>
      <c r="GDF213" s="3"/>
      <c r="GDG213" s="3"/>
      <c r="GDH213" s="3"/>
      <c r="GDI213" s="3"/>
      <c r="GDJ213" s="3"/>
      <c r="GDK213" s="3"/>
      <c r="GDL213" s="3"/>
      <c r="GDM213" s="3"/>
      <c r="GDN213" s="3"/>
      <c r="GDO213" s="3"/>
      <c r="GDP213" s="3"/>
      <c r="GDQ213" s="3"/>
      <c r="GDR213" s="3"/>
      <c r="GDS213" s="3"/>
      <c r="GDT213" s="3"/>
      <c r="GDU213" s="3"/>
      <c r="GDV213" s="3"/>
      <c r="GDW213" s="3"/>
      <c r="GDX213" s="3"/>
      <c r="GDY213" s="3"/>
      <c r="GDZ213" s="3"/>
      <c r="GEA213" s="3"/>
      <c r="GEB213" s="3"/>
      <c r="GEC213" s="3"/>
      <c r="GED213" s="3"/>
      <c r="GEE213" s="3"/>
      <c r="GEF213" s="3"/>
      <c r="GEG213" s="3"/>
      <c r="GEH213" s="3"/>
      <c r="GEI213" s="3"/>
      <c r="GEJ213" s="3"/>
      <c r="GEK213" s="3"/>
      <c r="GEL213" s="3"/>
      <c r="GEM213" s="3"/>
      <c r="GEN213" s="3"/>
      <c r="GEO213" s="3"/>
      <c r="GEP213" s="3"/>
      <c r="GEQ213" s="3"/>
      <c r="GER213" s="3"/>
      <c r="GES213" s="3"/>
      <c r="GET213" s="3"/>
      <c r="GEU213" s="3"/>
      <c r="GEV213" s="3"/>
      <c r="GEW213" s="3"/>
      <c r="GEX213" s="3"/>
      <c r="GEY213" s="3"/>
      <c r="GEZ213" s="3"/>
      <c r="GFA213" s="3"/>
      <c r="GFB213" s="3"/>
      <c r="GFC213" s="3"/>
      <c r="GFD213" s="3"/>
      <c r="GFE213" s="3"/>
      <c r="GFF213" s="3"/>
      <c r="GFG213" s="3"/>
      <c r="GFH213" s="3"/>
      <c r="GFI213" s="3"/>
      <c r="GFJ213" s="3"/>
      <c r="GFK213" s="3"/>
      <c r="GFL213" s="3"/>
      <c r="GFM213" s="3"/>
      <c r="GFN213" s="3"/>
      <c r="GFO213" s="3"/>
      <c r="GFP213" s="3"/>
      <c r="GFQ213" s="3"/>
      <c r="GFR213" s="3"/>
      <c r="GFS213" s="3"/>
      <c r="GFT213" s="3"/>
      <c r="GFU213" s="3"/>
      <c r="GFV213" s="3"/>
      <c r="GFW213" s="3"/>
      <c r="GFX213" s="3"/>
      <c r="GFY213" s="3"/>
      <c r="GFZ213" s="3"/>
      <c r="GGA213" s="3"/>
      <c r="GGB213" s="3"/>
      <c r="GGC213" s="3"/>
      <c r="GGD213" s="3"/>
      <c r="GGE213" s="3"/>
      <c r="GGF213" s="3"/>
      <c r="GGG213" s="3"/>
      <c r="GGH213" s="3"/>
      <c r="GGI213" s="3"/>
      <c r="GGJ213" s="3"/>
      <c r="GGK213" s="3"/>
      <c r="GGL213" s="3"/>
      <c r="GGM213" s="3"/>
      <c r="GGN213" s="3"/>
      <c r="GGO213" s="3"/>
      <c r="GGP213" s="3"/>
      <c r="GGQ213" s="3"/>
      <c r="GGR213" s="3"/>
      <c r="GGS213" s="3"/>
      <c r="GGT213" s="3"/>
      <c r="GGU213" s="3"/>
      <c r="GGV213" s="3"/>
      <c r="GGW213" s="3"/>
      <c r="GGX213" s="3"/>
      <c r="GGY213" s="3"/>
      <c r="GGZ213" s="3"/>
      <c r="GHA213" s="3"/>
      <c r="GHB213" s="3"/>
      <c r="GHC213" s="3"/>
      <c r="GHD213" s="3"/>
      <c r="GHE213" s="3"/>
      <c r="GHF213" s="3"/>
      <c r="GHG213" s="3"/>
      <c r="GHH213" s="3"/>
      <c r="GHI213" s="3"/>
      <c r="GHJ213" s="3"/>
      <c r="GHK213" s="3"/>
      <c r="GHL213" s="3"/>
      <c r="GHM213" s="3"/>
      <c r="GHN213" s="3"/>
      <c r="GHO213" s="3"/>
      <c r="GHP213" s="3"/>
      <c r="GHQ213" s="3"/>
      <c r="GHR213" s="3"/>
      <c r="GHS213" s="3"/>
      <c r="GHT213" s="3"/>
      <c r="GHU213" s="3"/>
      <c r="GHV213" s="3"/>
      <c r="GHW213" s="3"/>
      <c r="GHX213" s="3"/>
      <c r="GHY213" s="3"/>
      <c r="GHZ213" s="3"/>
      <c r="GIA213" s="3"/>
      <c r="GIB213" s="3"/>
      <c r="GIC213" s="3"/>
      <c r="GID213" s="3"/>
      <c r="GIE213" s="3"/>
      <c r="GIF213" s="3"/>
      <c r="GIG213" s="3"/>
      <c r="GIH213" s="3"/>
      <c r="GII213" s="3"/>
      <c r="GIJ213" s="3"/>
      <c r="GIK213" s="3"/>
      <c r="GIL213" s="3"/>
      <c r="GIM213" s="3"/>
      <c r="GIN213" s="3"/>
      <c r="GIO213" s="3"/>
      <c r="GIP213" s="3"/>
      <c r="GIQ213" s="3"/>
      <c r="GIR213" s="3"/>
      <c r="GIS213" s="3"/>
      <c r="GIT213" s="3"/>
      <c r="GIU213" s="3"/>
      <c r="GIV213" s="3"/>
      <c r="GIW213" s="3"/>
      <c r="GIX213" s="3"/>
      <c r="GIY213" s="3"/>
      <c r="GIZ213" s="3"/>
      <c r="GJA213" s="3"/>
      <c r="GJB213" s="3"/>
      <c r="GJC213" s="3"/>
      <c r="GJD213" s="3"/>
      <c r="GJE213" s="3"/>
      <c r="GJF213" s="3"/>
      <c r="GJG213" s="3"/>
      <c r="GJH213" s="3"/>
      <c r="GJI213" s="3"/>
      <c r="GJJ213" s="3"/>
      <c r="GJK213" s="3"/>
      <c r="GJL213" s="3"/>
      <c r="GJM213" s="3"/>
      <c r="GJN213" s="3"/>
      <c r="GJO213" s="3"/>
      <c r="GJP213" s="3"/>
      <c r="GJQ213" s="3"/>
      <c r="GJR213" s="3"/>
      <c r="GJS213" s="3"/>
      <c r="GJT213" s="3"/>
      <c r="GJU213" s="3"/>
      <c r="GJV213" s="3"/>
      <c r="GJW213" s="3"/>
      <c r="GJX213" s="3"/>
      <c r="GJY213" s="3"/>
      <c r="GJZ213" s="3"/>
      <c r="GKA213" s="3"/>
      <c r="GKB213" s="3"/>
      <c r="GKC213" s="3"/>
      <c r="GKD213" s="3"/>
      <c r="GKE213" s="3"/>
      <c r="GKF213" s="3"/>
      <c r="GKG213" s="3"/>
      <c r="GKH213" s="3"/>
      <c r="GKI213" s="3"/>
      <c r="GKJ213" s="3"/>
      <c r="GKK213" s="3"/>
      <c r="GKL213" s="3"/>
      <c r="GKM213" s="3"/>
      <c r="GKN213" s="3"/>
      <c r="GKO213" s="3"/>
      <c r="GKP213" s="3"/>
      <c r="GKQ213" s="3"/>
      <c r="GKR213" s="3"/>
      <c r="GKS213" s="3"/>
      <c r="GKT213" s="3"/>
      <c r="GKU213" s="3"/>
      <c r="GKV213" s="3"/>
      <c r="GKW213" s="3"/>
      <c r="GKX213" s="3"/>
      <c r="GKY213" s="3"/>
      <c r="GKZ213" s="3"/>
      <c r="GLA213" s="3"/>
      <c r="GLB213" s="3"/>
      <c r="GLC213" s="3"/>
      <c r="GLD213" s="3"/>
      <c r="GLE213" s="3"/>
      <c r="GLF213" s="3"/>
      <c r="GLG213" s="3"/>
      <c r="GLH213" s="3"/>
      <c r="GLI213" s="3"/>
      <c r="GLJ213" s="3"/>
      <c r="GLK213" s="3"/>
      <c r="GLL213" s="3"/>
      <c r="GLM213" s="3"/>
      <c r="GLN213" s="3"/>
      <c r="GLO213" s="3"/>
      <c r="GLP213" s="3"/>
      <c r="GLQ213" s="3"/>
      <c r="GLR213" s="3"/>
      <c r="GLS213" s="3"/>
      <c r="GLT213" s="3"/>
      <c r="GLU213" s="3"/>
      <c r="GLV213" s="3"/>
      <c r="GLW213" s="3"/>
      <c r="GLX213" s="3"/>
      <c r="GLY213" s="3"/>
      <c r="GLZ213" s="3"/>
      <c r="GMA213" s="3"/>
      <c r="GMB213" s="3"/>
      <c r="GMC213" s="3"/>
      <c r="GMD213" s="3"/>
      <c r="GME213" s="3"/>
      <c r="GMF213" s="3"/>
      <c r="GMG213" s="3"/>
      <c r="GMH213" s="3"/>
      <c r="GMI213" s="3"/>
      <c r="GMJ213" s="3"/>
      <c r="GMK213" s="3"/>
      <c r="GML213" s="3"/>
      <c r="GMM213" s="3"/>
      <c r="GMN213" s="3"/>
      <c r="GMO213" s="3"/>
      <c r="GMP213" s="3"/>
      <c r="GMQ213" s="3"/>
      <c r="GMR213" s="3"/>
      <c r="GMS213" s="3"/>
      <c r="GMT213" s="3"/>
      <c r="GMU213" s="3"/>
      <c r="GMV213" s="3"/>
      <c r="GMW213" s="3"/>
      <c r="GMX213" s="3"/>
      <c r="GMY213" s="3"/>
      <c r="GMZ213" s="3"/>
      <c r="GNA213" s="3"/>
      <c r="GNB213" s="3"/>
      <c r="GNC213" s="3"/>
      <c r="GND213" s="3"/>
      <c r="GNE213" s="3"/>
      <c r="GNF213" s="3"/>
      <c r="GNG213" s="3"/>
      <c r="GNH213" s="3"/>
      <c r="GNI213" s="3"/>
      <c r="GNJ213" s="3"/>
      <c r="GNK213" s="3"/>
      <c r="GNL213" s="3"/>
      <c r="GNM213" s="3"/>
      <c r="GNN213" s="3"/>
      <c r="GNO213" s="3"/>
      <c r="GNP213" s="3"/>
      <c r="GNQ213" s="3"/>
      <c r="GNR213" s="3"/>
      <c r="GNS213" s="3"/>
      <c r="GNT213" s="3"/>
      <c r="GNU213" s="3"/>
      <c r="GNV213" s="3"/>
      <c r="GNW213" s="3"/>
      <c r="GNX213" s="3"/>
      <c r="GNY213" s="3"/>
      <c r="GNZ213" s="3"/>
      <c r="GOA213" s="3"/>
      <c r="GOB213" s="3"/>
      <c r="GOC213" s="3"/>
      <c r="GOD213" s="3"/>
      <c r="GOE213" s="3"/>
      <c r="GOF213" s="3"/>
      <c r="GOG213" s="3"/>
      <c r="GOH213" s="3"/>
      <c r="GOI213" s="3"/>
      <c r="GOJ213" s="3"/>
      <c r="GOK213" s="3"/>
      <c r="GOL213" s="3"/>
      <c r="GOM213" s="3"/>
      <c r="GON213" s="3"/>
      <c r="GOO213" s="3"/>
      <c r="GOP213" s="3"/>
      <c r="GOQ213" s="3"/>
      <c r="GOR213" s="3"/>
      <c r="GOS213" s="3"/>
      <c r="GOT213" s="3"/>
      <c r="GOU213" s="3"/>
      <c r="GOV213" s="3"/>
      <c r="GOW213" s="3"/>
      <c r="GOX213" s="3"/>
      <c r="GOY213" s="3"/>
      <c r="GOZ213" s="3"/>
      <c r="GPA213" s="3"/>
      <c r="GPB213" s="3"/>
      <c r="GPC213" s="3"/>
      <c r="GPD213" s="3"/>
      <c r="GPE213" s="3"/>
      <c r="GPF213" s="3"/>
      <c r="GPG213" s="3"/>
      <c r="GPH213" s="3"/>
      <c r="GPI213" s="3"/>
      <c r="GPJ213" s="3"/>
      <c r="GPK213" s="3"/>
      <c r="GPL213" s="3"/>
      <c r="GPM213" s="3"/>
      <c r="GPN213" s="3"/>
      <c r="GPO213" s="3"/>
      <c r="GPP213" s="3"/>
      <c r="GPQ213" s="3"/>
      <c r="GPR213" s="3"/>
      <c r="GPS213" s="3"/>
      <c r="GPT213" s="3"/>
      <c r="GPU213" s="3"/>
      <c r="GPV213" s="3"/>
      <c r="GPW213" s="3"/>
      <c r="GPX213" s="3"/>
      <c r="GPY213" s="3"/>
      <c r="GPZ213" s="3"/>
      <c r="GQA213" s="3"/>
      <c r="GQB213" s="3"/>
      <c r="GQC213" s="3"/>
      <c r="GQD213" s="3"/>
      <c r="GQE213" s="3"/>
      <c r="GQF213" s="3"/>
      <c r="GQG213" s="3"/>
      <c r="GQH213" s="3"/>
      <c r="GQI213" s="3"/>
      <c r="GQJ213" s="3"/>
      <c r="GQK213" s="3"/>
      <c r="GQL213" s="3"/>
      <c r="GQM213" s="3"/>
      <c r="GQN213" s="3"/>
      <c r="GQO213" s="3"/>
      <c r="GQP213" s="3"/>
      <c r="GQQ213" s="3"/>
      <c r="GQR213" s="3"/>
      <c r="GQS213" s="3"/>
      <c r="GQT213" s="3"/>
      <c r="GQU213" s="3"/>
      <c r="GQV213" s="3"/>
      <c r="GQW213" s="3"/>
      <c r="GQX213" s="3"/>
      <c r="GQY213" s="3"/>
      <c r="GQZ213" s="3"/>
      <c r="GRA213" s="3"/>
      <c r="GRB213" s="3"/>
      <c r="GRC213" s="3"/>
      <c r="GRD213" s="3"/>
      <c r="GRE213" s="3"/>
      <c r="GRF213" s="3"/>
      <c r="GRG213" s="3"/>
      <c r="GRH213" s="3"/>
      <c r="GRI213" s="3"/>
      <c r="GRJ213" s="3"/>
      <c r="GRK213" s="3"/>
      <c r="GRL213" s="3"/>
      <c r="GRM213" s="3"/>
      <c r="GRN213" s="3"/>
      <c r="GRO213" s="3"/>
      <c r="GRP213" s="3"/>
      <c r="GRQ213" s="3"/>
      <c r="GRR213" s="3"/>
      <c r="GRS213" s="3"/>
      <c r="GRT213" s="3"/>
      <c r="GRU213" s="3"/>
      <c r="GRV213" s="3"/>
      <c r="GRW213" s="3"/>
      <c r="GRX213" s="3"/>
      <c r="GRY213" s="3"/>
      <c r="GRZ213" s="3"/>
      <c r="GSA213" s="3"/>
      <c r="GSB213" s="3"/>
      <c r="GSC213" s="3"/>
      <c r="GSD213" s="3"/>
      <c r="GSE213" s="3"/>
      <c r="GSF213" s="3"/>
      <c r="GSG213" s="3"/>
      <c r="GSH213" s="3"/>
      <c r="GSI213" s="3"/>
      <c r="GSJ213" s="3"/>
      <c r="GSK213" s="3"/>
      <c r="GSL213" s="3"/>
      <c r="GSM213" s="3"/>
      <c r="GSN213" s="3"/>
      <c r="GSO213" s="3"/>
      <c r="GSP213" s="3"/>
      <c r="GSQ213" s="3"/>
      <c r="GSR213" s="3"/>
      <c r="GSS213" s="3"/>
      <c r="GST213" s="3"/>
      <c r="GSU213" s="3"/>
      <c r="GSV213" s="3"/>
      <c r="GSW213" s="3"/>
      <c r="GSX213" s="3"/>
      <c r="GSY213" s="3"/>
      <c r="GSZ213" s="3"/>
      <c r="GTA213" s="3"/>
      <c r="GTB213" s="3"/>
      <c r="GTC213" s="3"/>
      <c r="GTD213" s="3"/>
      <c r="GTE213" s="3"/>
      <c r="GTF213" s="3"/>
      <c r="GTG213" s="3"/>
      <c r="GTH213" s="3"/>
      <c r="GTI213" s="3"/>
      <c r="GTJ213" s="3"/>
      <c r="GTK213" s="3"/>
      <c r="GTL213" s="3"/>
      <c r="GTM213" s="3"/>
      <c r="GTN213" s="3"/>
      <c r="GTO213" s="3"/>
      <c r="GTP213" s="3"/>
      <c r="GTQ213" s="3"/>
      <c r="GTR213" s="3"/>
      <c r="GTS213" s="3"/>
      <c r="GTT213" s="3"/>
      <c r="GTU213" s="3"/>
      <c r="GTV213" s="3"/>
      <c r="GTW213" s="3"/>
      <c r="GTX213" s="3"/>
      <c r="GTY213" s="3"/>
      <c r="GTZ213" s="3"/>
      <c r="GUA213" s="3"/>
      <c r="GUB213" s="3"/>
      <c r="GUC213" s="3"/>
      <c r="GUD213" s="3"/>
      <c r="GUE213" s="3"/>
      <c r="GUF213" s="3"/>
      <c r="GUG213" s="3"/>
      <c r="GUH213" s="3"/>
      <c r="GUI213" s="3"/>
      <c r="GUJ213" s="3"/>
      <c r="GUK213" s="3"/>
      <c r="GUL213" s="3"/>
      <c r="GUM213" s="3"/>
      <c r="GUN213" s="3"/>
      <c r="GUO213" s="3"/>
      <c r="GUP213" s="3"/>
      <c r="GUQ213" s="3"/>
      <c r="GUR213" s="3"/>
      <c r="GUS213" s="3"/>
      <c r="GUT213" s="3"/>
      <c r="GUU213" s="3"/>
      <c r="GUV213" s="3"/>
      <c r="GUW213" s="3"/>
      <c r="GUX213" s="3"/>
      <c r="GUY213" s="3"/>
      <c r="GUZ213" s="3"/>
      <c r="GVA213" s="3"/>
      <c r="GVB213" s="3"/>
      <c r="GVC213" s="3"/>
      <c r="GVD213" s="3"/>
      <c r="GVE213" s="3"/>
      <c r="GVF213" s="3"/>
      <c r="GVG213" s="3"/>
      <c r="GVH213" s="3"/>
      <c r="GVI213" s="3"/>
      <c r="GVJ213" s="3"/>
      <c r="GVK213" s="3"/>
      <c r="GVL213" s="3"/>
      <c r="GVM213" s="3"/>
      <c r="GVN213" s="3"/>
      <c r="GVO213" s="3"/>
      <c r="GVP213" s="3"/>
      <c r="GVQ213" s="3"/>
      <c r="GVR213" s="3"/>
      <c r="GVS213" s="3"/>
      <c r="GVT213" s="3"/>
      <c r="GVU213" s="3"/>
      <c r="GVV213" s="3"/>
      <c r="GVW213" s="3"/>
      <c r="GVX213" s="3"/>
      <c r="GVY213" s="3"/>
      <c r="GVZ213" s="3"/>
      <c r="GWA213" s="3"/>
      <c r="GWB213" s="3"/>
      <c r="GWC213" s="3"/>
      <c r="GWD213" s="3"/>
      <c r="GWE213" s="3"/>
      <c r="GWF213" s="3"/>
      <c r="GWG213" s="3"/>
      <c r="GWH213" s="3"/>
      <c r="GWI213" s="3"/>
      <c r="GWJ213" s="3"/>
      <c r="GWK213" s="3"/>
      <c r="GWL213" s="3"/>
      <c r="GWM213" s="3"/>
      <c r="GWN213" s="3"/>
      <c r="GWO213" s="3"/>
      <c r="GWP213" s="3"/>
      <c r="GWQ213" s="3"/>
      <c r="GWR213" s="3"/>
      <c r="GWS213" s="3"/>
      <c r="GWT213" s="3"/>
      <c r="GWU213" s="3"/>
      <c r="GWV213" s="3"/>
      <c r="GWW213" s="3"/>
      <c r="GWX213" s="3"/>
      <c r="GWY213" s="3"/>
      <c r="GWZ213" s="3"/>
      <c r="GXA213" s="3"/>
      <c r="GXB213" s="3"/>
      <c r="GXC213" s="3"/>
      <c r="GXD213" s="3"/>
      <c r="GXE213" s="3"/>
      <c r="GXF213" s="3"/>
      <c r="GXG213" s="3"/>
      <c r="GXH213" s="3"/>
      <c r="GXI213" s="3"/>
      <c r="GXJ213" s="3"/>
      <c r="GXK213" s="3"/>
      <c r="GXL213" s="3"/>
      <c r="GXM213" s="3"/>
      <c r="GXN213" s="3"/>
      <c r="GXO213" s="3"/>
      <c r="GXP213" s="3"/>
      <c r="GXQ213" s="3"/>
      <c r="GXR213" s="3"/>
      <c r="GXS213" s="3"/>
      <c r="GXT213" s="3"/>
      <c r="GXU213" s="3"/>
      <c r="GXV213" s="3"/>
      <c r="GXW213" s="3"/>
      <c r="GXX213" s="3"/>
      <c r="GXY213" s="3"/>
      <c r="GXZ213" s="3"/>
      <c r="GYA213" s="3"/>
      <c r="GYB213" s="3"/>
      <c r="GYC213" s="3"/>
      <c r="GYD213" s="3"/>
      <c r="GYE213" s="3"/>
      <c r="GYF213" s="3"/>
      <c r="GYG213" s="3"/>
      <c r="GYH213" s="3"/>
      <c r="GYI213" s="3"/>
      <c r="GYJ213" s="3"/>
      <c r="GYK213" s="3"/>
      <c r="GYL213" s="3"/>
      <c r="GYM213" s="3"/>
      <c r="GYN213" s="3"/>
      <c r="GYO213" s="3"/>
      <c r="GYP213" s="3"/>
      <c r="GYQ213" s="3"/>
      <c r="GYR213" s="3"/>
      <c r="GYS213" s="3"/>
      <c r="GYT213" s="3"/>
      <c r="GYU213" s="3"/>
      <c r="GYV213" s="3"/>
      <c r="GYW213" s="3"/>
      <c r="GYX213" s="3"/>
      <c r="GYY213" s="3"/>
      <c r="GYZ213" s="3"/>
      <c r="GZA213" s="3"/>
      <c r="GZB213" s="3"/>
      <c r="GZC213" s="3"/>
      <c r="GZD213" s="3"/>
      <c r="GZE213" s="3"/>
      <c r="GZF213" s="3"/>
      <c r="GZG213" s="3"/>
      <c r="GZH213" s="3"/>
      <c r="GZI213" s="3"/>
      <c r="GZJ213" s="3"/>
      <c r="GZK213" s="3"/>
      <c r="GZL213" s="3"/>
      <c r="GZM213" s="3"/>
      <c r="GZN213" s="3"/>
      <c r="GZO213" s="3"/>
      <c r="GZP213" s="3"/>
      <c r="GZQ213" s="3"/>
      <c r="GZR213" s="3"/>
      <c r="GZS213" s="3"/>
      <c r="GZT213" s="3"/>
      <c r="GZU213" s="3"/>
      <c r="GZV213" s="3"/>
      <c r="GZW213" s="3"/>
      <c r="GZX213" s="3"/>
      <c r="GZY213" s="3"/>
      <c r="GZZ213" s="3"/>
      <c r="HAA213" s="3"/>
      <c r="HAB213" s="3"/>
      <c r="HAC213" s="3"/>
      <c r="HAD213" s="3"/>
      <c r="HAE213" s="3"/>
      <c r="HAF213" s="3"/>
      <c r="HAG213" s="3"/>
      <c r="HAH213" s="3"/>
      <c r="HAI213" s="3"/>
      <c r="HAJ213" s="3"/>
      <c r="HAK213" s="3"/>
      <c r="HAL213" s="3"/>
      <c r="HAM213" s="3"/>
      <c r="HAN213" s="3"/>
      <c r="HAO213" s="3"/>
      <c r="HAP213" s="3"/>
      <c r="HAQ213" s="3"/>
      <c r="HAR213" s="3"/>
      <c r="HAS213" s="3"/>
      <c r="HAT213" s="3"/>
      <c r="HAU213" s="3"/>
      <c r="HAV213" s="3"/>
      <c r="HAW213" s="3"/>
      <c r="HAX213" s="3"/>
      <c r="HAY213" s="3"/>
      <c r="HAZ213" s="3"/>
      <c r="HBA213" s="3"/>
      <c r="HBB213" s="3"/>
      <c r="HBC213" s="3"/>
      <c r="HBD213" s="3"/>
      <c r="HBE213" s="3"/>
      <c r="HBF213" s="3"/>
      <c r="HBG213" s="3"/>
      <c r="HBH213" s="3"/>
      <c r="HBI213" s="3"/>
      <c r="HBJ213" s="3"/>
      <c r="HBK213" s="3"/>
      <c r="HBL213" s="3"/>
      <c r="HBM213" s="3"/>
      <c r="HBN213" s="3"/>
      <c r="HBO213" s="3"/>
      <c r="HBP213" s="3"/>
      <c r="HBQ213" s="3"/>
      <c r="HBR213" s="3"/>
      <c r="HBS213" s="3"/>
      <c r="HBT213" s="3"/>
      <c r="HBU213" s="3"/>
      <c r="HBV213" s="3"/>
      <c r="HBW213" s="3"/>
      <c r="HBX213" s="3"/>
      <c r="HBY213" s="3"/>
      <c r="HBZ213" s="3"/>
      <c r="HCA213" s="3"/>
      <c r="HCB213" s="3"/>
      <c r="HCC213" s="3"/>
      <c r="HCD213" s="3"/>
      <c r="HCE213" s="3"/>
      <c r="HCF213" s="3"/>
      <c r="HCG213" s="3"/>
      <c r="HCH213" s="3"/>
      <c r="HCI213" s="3"/>
      <c r="HCJ213" s="3"/>
      <c r="HCK213" s="3"/>
      <c r="HCL213" s="3"/>
      <c r="HCM213" s="3"/>
      <c r="HCN213" s="3"/>
      <c r="HCO213" s="3"/>
      <c r="HCP213" s="3"/>
      <c r="HCQ213" s="3"/>
      <c r="HCR213" s="3"/>
      <c r="HCS213" s="3"/>
      <c r="HCT213" s="3"/>
      <c r="HCU213" s="3"/>
      <c r="HCV213" s="3"/>
      <c r="HCW213" s="3"/>
      <c r="HCX213" s="3"/>
      <c r="HCY213" s="3"/>
      <c r="HCZ213" s="3"/>
      <c r="HDA213" s="3"/>
      <c r="HDB213" s="3"/>
      <c r="HDC213" s="3"/>
      <c r="HDD213" s="3"/>
      <c r="HDE213" s="3"/>
      <c r="HDF213" s="3"/>
      <c r="HDG213" s="3"/>
      <c r="HDH213" s="3"/>
      <c r="HDI213" s="3"/>
      <c r="HDJ213" s="3"/>
      <c r="HDK213" s="3"/>
      <c r="HDL213" s="3"/>
      <c r="HDM213" s="3"/>
      <c r="HDN213" s="3"/>
      <c r="HDO213" s="3"/>
      <c r="HDP213" s="3"/>
      <c r="HDQ213" s="3"/>
      <c r="HDR213" s="3"/>
      <c r="HDS213" s="3"/>
      <c r="HDT213" s="3"/>
      <c r="HDU213" s="3"/>
      <c r="HDV213" s="3"/>
      <c r="HDW213" s="3"/>
      <c r="HDX213" s="3"/>
      <c r="HDY213" s="3"/>
      <c r="HDZ213" s="3"/>
      <c r="HEA213" s="3"/>
      <c r="HEB213" s="3"/>
      <c r="HEC213" s="3"/>
      <c r="HED213" s="3"/>
      <c r="HEE213" s="3"/>
      <c r="HEF213" s="3"/>
      <c r="HEG213" s="3"/>
      <c r="HEH213" s="3"/>
      <c r="HEI213" s="3"/>
      <c r="HEJ213" s="3"/>
      <c r="HEK213" s="3"/>
      <c r="HEL213" s="3"/>
      <c r="HEM213" s="3"/>
      <c r="HEN213" s="3"/>
      <c r="HEO213" s="3"/>
      <c r="HEP213" s="3"/>
      <c r="HEQ213" s="3"/>
      <c r="HER213" s="3"/>
      <c r="HES213" s="3"/>
      <c r="HET213" s="3"/>
      <c r="HEU213" s="3"/>
      <c r="HEV213" s="3"/>
      <c r="HEW213" s="3"/>
      <c r="HEX213" s="3"/>
      <c r="HEY213" s="3"/>
      <c r="HEZ213" s="3"/>
      <c r="HFA213" s="3"/>
      <c r="HFB213" s="3"/>
      <c r="HFC213" s="3"/>
      <c r="HFD213" s="3"/>
      <c r="HFE213" s="3"/>
      <c r="HFF213" s="3"/>
      <c r="HFG213" s="3"/>
      <c r="HFH213" s="3"/>
      <c r="HFI213" s="3"/>
      <c r="HFJ213" s="3"/>
      <c r="HFK213" s="3"/>
      <c r="HFL213" s="3"/>
      <c r="HFM213" s="3"/>
      <c r="HFN213" s="3"/>
      <c r="HFO213" s="3"/>
      <c r="HFP213" s="3"/>
      <c r="HFQ213" s="3"/>
      <c r="HFR213" s="3"/>
      <c r="HFS213" s="3"/>
      <c r="HFT213" s="3"/>
      <c r="HFU213" s="3"/>
      <c r="HFV213" s="3"/>
      <c r="HFW213" s="3"/>
      <c r="HFX213" s="3"/>
      <c r="HFY213" s="3"/>
      <c r="HFZ213" s="3"/>
      <c r="HGA213" s="3"/>
      <c r="HGB213" s="3"/>
      <c r="HGC213" s="3"/>
      <c r="HGD213" s="3"/>
      <c r="HGE213" s="3"/>
      <c r="HGF213" s="3"/>
      <c r="HGG213" s="3"/>
      <c r="HGH213" s="3"/>
      <c r="HGI213" s="3"/>
      <c r="HGJ213" s="3"/>
      <c r="HGK213" s="3"/>
      <c r="HGL213" s="3"/>
      <c r="HGM213" s="3"/>
      <c r="HGN213" s="3"/>
      <c r="HGO213" s="3"/>
      <c r="HGP213" s="3"/>
      <c r="HGQ213" s="3"/>
      <c r="HGR213" s="3"/>
      <c r="HGS213" s="3"/>
      <c r="HGT213" s="3"/>
      <c r="HGU213" s="3"/>
      <c r="HGV213" s="3"/>
      <c r="HGW213" s="3"/>
      <c r="HGX213" s="3"/>
      <c r="HGY213" s="3"/>
      <c r="HGZ213" s="3"/>
      <c r="HHA213" s="3"/>
      <c r="HHB213" s="3"/>
      <c r="HHC213" s="3"/>
      <c r="HHD213" s="3"/>
      <c r="HHE213" s="3"/>
      <c r="HHF213" s="3"/>
      <c r="HHG213" s="3"/>
      <c r="HHH213" s="3"/>
      <c r="HHI213" s="3"/>
      <c r="HHJ213" s="3"/>
      <c r="HHK213" s="3"/>
      <c r="HHL213" s="3"/>
      <c r="HHM213" s="3"/>
      <c r="HHN213" s="3"/>
      <c r="HHO213" s="3"/>
      <c r="HHP213" s="3"/>
      <c r="HHQ213" s="3"/>
      <c r="HHR213" s="3"/>
      <c r="HHS213" s="3"/>
      <c r="HHT213" s="3"/>
      <c r="HHU213" s="3"/>
      <c r="HHV213" s="3"/>
      <c r="HHW213" s="3"/>
      <c r="HHX213" s="3"/>
      <c r="HHY213" s="3"/>
      <c r="HHZ213" s="3"/>
      <c r="HIA213" s="3"/>
      <c r="HIB213" s="3"/>
      <c r="HIC213" s="3"/>
      <c r="HID213" s="3"/>
      <c r="HIE213" s="3"/>
      <c r="HIF213" s="3"/>
      <c r="HIG213" s="3"/>
      <c r="HIH213" s="3"/>
      <c r="HII213" s="3"/>
      <c r="HIJ213" s="3"/>
      <c r="HIK213" s="3"/>
      <c r="HIL213" s="3"/>
      <c r="HIM213" s="3"/>
      <c r="HIN213" s="3"/>
      <c r="HIO213" s="3"/>
      <c r="HIP213" s="3"/>
      <c r="HIQ213" s="3"/>
      <c r="HIR213" s="3"/>
      <c r="HIS213" s="3"/>
      <c r="HIT213" s="3"/>
      <c r="HIU213" s="3"/>
      <c r="HIV213" s="3"/>
      <c r="HIW213" s="3"/>
      <c r="HIX213" s="3"/>
      <c r="HIY213" s="3"/>
      <c r="HIZ213" s="3"/>
      <c r="HJA213" s="3"/>
      <c r="HJB213" s="3"/>
      <c r="HJC213" s="3"/>
      <c r="HJD213" s="3"/>
      <c r="HJE213" s="3"/>
      <c r="HJF213" s="3"/>
      <c r="HJG213" s="3"/>
      <c r="HJH213" s="3"/>
      <c r="HJI213" s="3"/>
      <c r="HJJ213" s="3"/>
      <c r="HJK213" s="3"/>
      <c r="HJL213" s="3"/>
      <c r="HJM213" s="3"/>
      <c r="HJN213" s="3"/>
      <c r="HJO213" s="3"/>
      <c r="HJP213" s="3"/>
      <c r="HJQ213" s="3"/>
      <c r="HJR213" s="3"/>
      <c r="HJS213" s="3"/>
      <c r="HJT213" s="3"/>
      <c r="HJU213" s="3"/>
      <c r="HJV213" s="3"/>
      <c r="HJW213" s="3"/>
      <c r="HJX213" s="3"/>
      <c r="HJY213" s="3"/>
      <c r="HJZ213" s="3"/>
      <c r="HKA213" s="3"/>
      <c r="HKB213" s="3"/>
      <c r="HKC213" s="3"/>
      <c r="HKD213" s="3"/>
      <c r="HKE213" s="3"/>
      <c r="HKF213" s="3"/>
      <c r="HKG213" s="3"/>
      <c r="HKH213" s="3"/>
      <c r="HKI213" s="3"/>
      <c r="HKJ213" s="3"/>
      <c r="HKK213" s="3"/>
      <c r="HKL213" s="3"/>
      <c r="HKM213" s="3"/>
      <c r="HKN213" s="3"/>
      <c r="HKO213" s="3"/>
      <c r="HKP213" s="3"/>
      <c r="HKQ213" s="3"/>
      <c r="HKR213" s="3"/>
      <c r="HKS213" s="3"/>
      <c r="HKT213" s="3"/>
      <c r="HKU213" s="3"/>
      <c r="HKV213" s="3"/>
      <c r="HKW213" s="3"/>
      <c r="HKX213" s="3"/>
      <c r="HKY213" s="3"/>
      <c r="HKZ213" s="3"/>
      <c r="HLA213" s="3"/>
      <c r="HLB213" s="3"/>
      <c r="HLC213" s="3"/>
      <c r="HLD213" s="3"/>
      <c r="HLE213" s="3"/>
      <c r="HLF213" s="3"/>
      <c r="HLG213" s="3"/>
      <c r="HLH213" s="3"/>
      <c r="HLI213" s="3"/>
      <c r="HLJ213" s="3"/>
      <c r="HLK213" s="3"/>
      <c r="HLL213" s="3"/>
      <c r="HLM213" s="3"/>
      <c r="HLN213" s="3"/>
      <c r="HLO213" s="3"/>
      <c r="HLP213" s="3"/>
      <c r="HLQ213" s="3"/>
      <c r="HLR213" s="3"/>
      <c r="HLS213" s="3"/>
      <c r="HLT213" s="3"/>
      <c r="HLU213" s="3"/>
      <c r="HLV213" s="3"/>
      <c r="HLW213" s="3"/>
      <c r="HLX213" s="3"/>
      <c r="HLY213" s="3"/>
      <c r="HLZ213" s="3"/>
      <c r="HMA213" s="3"/>
      <c r="HMB213" s="3"/>
      <c r="HMC213" s="3"/>
      <c r="HMD213" s="3"/>
      <c r="HME213" s="3"/>
      <c r="HMF213" s="3"/>
      <c r="HMG213" s="3"/>
      <c r="HMH213" s="3"/>
      <c r="HMI213" s="3"/>
      <c r="HMJ213" s="3"/>
      <c r="HMK213" s="3"/>
      <c r="HML213" s="3"/>
      <c r="HMM213" s="3"/>
      <c r="HMN213" s="3"/>
      <c r="HMO213" s="3"/>
      <c r="HMP213" s="3"/>
      <c r="HMQ213" s="3"/>
      <c r="HMR213" s="3"/>
      <c r="HMS213" s="3"/>
      <c r="HMT213" s="3"/>
      <c r="HMU213" s="3"/>
      <c r="HMV213" s="3"/>
      <c r="HMW213" s="3"/>
      <c r="HMX213" s="3"/>
      <c r="HMY213" s="3"/>
      <c r="HMZ213" s="3"/>
      <c r="HNA213" s="3"/>
      <c r="HNB213" s="3"/>
      <c r="HNC213" s="3"/>
      <c r="HND213" s="3"/>
      <c r="HNE213" s="3"/>
      <c r="HNF213" s="3"/>
      <c r="HNG213" s="3"/>
      <c r="HNH213" s="3"/>
      <c r="HNI213" s="3"/>
      <c r="HNJ213" s="3"/>
      <c r="HNK213" s="3"/>
      <c r="HNL213" s="3"/>
      <c r="HNM213" s="3"/>
      <c r="HNN213" s="3"/>
      <c r="HNO213" s="3"/>
      <c r="HNP213" s="3"/>
      <c r="HNQ213" s="3"/>
      <c r="HNR213" s="3"/>
      <c r="HNS213" s="3"/>
      <c r="HNT213" s="3"/>
      <c r="HNU213" s="3"/>
      <c r="HNV213" s="3"/>
      <c r="HNW213" s="3"/>
      <c r="HNX213" s="3"/>
      <c r="HNY213" s="3"/>
      <c r="HNZ213" s="3"/>
      <c r="HOA213" s="3"/>
      <c r="HOB213" s="3"/>
      <c r="HOC213" s="3"/>
      <c r="HOD213" s="3"/>
      <c r="HOE213" s="3"/>
      <c r="HOF213" s="3"/>
      <c r="HOG213" s="3"/>
      <c r="HOH213" s="3"/>
      <c r="HOI213" s="3"/>
      <c r="HOJ213" s="3"/>
      <c r="HOK213" s="3"/>
      <c r="HOL213" s="3"/>
      <c r="HOM213" s="3"/>
      <c r="HON213" s="3"/>
      <c r="HOO213" s="3"/>
      <c r="HOP213" s="3"/>
      <c r="HOQ213" s="3"/>
      <c r="HOR213" s="3"/>
      <c r="HOS213" s="3"/>
      <c r="HOT213" s="3"/>
      <c r="HOU213" s="3"/>
      <c r="HOV213" s="3"/>
      <c r="HOW213" s="3"/>
      <c r="HOX213" s="3"/>
      <c r="HOY213" s="3"/>
      <c r="HOZ213" s="3"/>
      <c r="HPA213" s="3"/>
      <c r="HPB213" s="3"/>
      <c r="HPC213" s="3"/>
      <c r="HPD213" s="3"/>
      <c r="HPE213" s="3"/>
      <c r="HPF213" s="3"/>
      <c r="HPG213" s="3"/>
      <c r="HPH213" s="3"/>
      <c r="HPI213" s="3"/>
      <c r="HPJ213" s="3"/>
      <c r="HPK213" s="3"/>
      <c r="HPL213" s="3"/>
      <c r="HPM213" s="3"/>
      <c r="HPN213" s="3"/>
      <c r="HPO213" s="3"/>
      <c r="HPP213" s="3"/>
      <c r="HPQ213" s="3"/>
      <c r="HPR213" s="3"/>
      <c r="HPS213" s="3"/>
      <c r="HPT213" s="3"/>
      <c r="HPU213" s="3"/>
      <c r="HPV213" s="3"/>
      <c r="HPW213" s="3"/>
      <c r="HPX213" s="3"/>
      <c r="HPY213" s="3"/>
      <c r="HPZ213" s="3"/>
      <c r="HQA213" s="3"/>
      <c r="HQB213" s="3"/>
      <c r="HQC213" s="3"/>
      <c r="HQD213" s="3"/>
      <c r="HQE213" s="3"/>
      <c r="HQF213" s="3"/>
      <c r="HQG213" s="3"/>
      <c r="HQH213" s="3"/>
      <c r="HQI213" s="3"/>
      <c r="HQJ213" s="3"/>
      <c r="HQK213" s="3"/>
      <c r="HQL213" s="3"/>
      <c r="HQM213" s="3"/>
      <c r="HQN213" s="3"/>
      <c r="HQO213" s="3"/>
      <c r="HQP213" s="3"/>
      <c r="HQQ213" s="3"/>
      <c r="HQR213" s="3"/>
      <c r="HQS213" s="3"/>
      <c r="HQT213" s="3"/>
      <c r="HQU213" s="3"/>
      <c r="HQV213" s="3"/>
      <c r="HQW213" s="3"/>
      <c r="HQX213" s="3"/>
      <c r="HQY213" s="3"/>
      <c r="HQZ213" s="3"/>
      <c r="HRA213" s="3"/>
      <c r="HRB213" s="3"/>
      <c r="HRC213" s="3"/>
      <c r="HRD213" s="3"/>
      <c r="HRE213" s="3"/>
      <c r="HRF213" s="3"/>
      <c r="HRG213" s="3"/>
      <c r="HRH213" s="3"/>
      <c r="HRI213" s="3"/>
      <c r="HRJ213" s="3"/>
      <c r="HRK213" s="3"/>
      <c r="HRL213" s="3"/>
      <c r="HRM213" s="3"/>
      <c r="HRN213" s="3"/>
      <c r="HRO213" s="3"/>
      <c r="HRP213" s="3"/>
      <c r="HRQ213" s="3"/>
      <c r="HRR213" s="3"/>
      <c r="HRS213" s="3"/>
      <c r="HRT213" s="3"/>
      <c r="HRU213" s="3"/>
      <c r="HRV213" s="3"/>
      <c r="HRW213" s="3"/>
      <c r="HRX213" s="3"/>
      <c r="HRY213" s="3"/>
      <c r="HRZ213" s="3"/>
      <c r="HSA213" s="3"/>
      <c r="HSB213" s="3"/>
      <c r="HSC213" s="3"/>
      <c r="HSD213" s="3"/>
      <c r="HSE213" s="3"/>
      <c r="HSF213" s="3"/>
      <c r="HSG213" s="3"/>
      <c r="HSH213" s="3"/>
      <c r="HSI213" s="3"/>
      <c r="HSJ213" s="3"/>
      <c r="HSK213" s="3"/>
      <c r="HSL213" s="3"/>
      <c r="HSM213" s="3"/>
      <c r="HSN213" s="3"/>
      <c r="HSO213" s="3"/>
      <c r="HSP213" s="3"/>
      <c r="HSQ213" s="3"/>
      <c r="HSR213" s="3"/>
      <c r="HSS213" s="3"/>
      <c r="HST213" s="3"/>
      <c r="HSU213" s="3"/>
      <c r="HSV213" s="3"/>
      <c r="HSW213" s="3"/>
      <c r="HSX213" s="3"/>
      <c r="HSY213" s="3"/>
      <c r="HSZ213" s="3"/>
      <c r="HTA213" s="3"/>
      <c r="HTB213" s="3"/>
      <c r="HTC213" s="3"/>
      <c r="HTD213" s="3"/>
      <c r="HTE213" s="3"/>
      <c r="HTF213" s="3"/>
      <c r="HTG213" s="3"/>
      <c r="HTH213" s="3"/>
      <c r="HTI213" s="3"/>
      <c r="HTJ213" s="3"/>
      <c r="HTK213" s="3"/>
      <c r="HTL213" s="3"/>
      <c r="HTM213" s="3"/>
      <c r="HTN213" s="3"/>
      <c r="HTO213" s="3"/>
      <c r="HTP213" s="3"/>
      <c r="HTQ213" s="3"/>
      <c r="HTR213" s="3"/>
      <c r="HTS213" s="3"/>
      <c r="HTT213" s="3"/>
      <c r="HTU213" s="3"/>
      <c r="HTV213" s="3"/>
      <c r="HTW213" s="3"/>
      <c r="HTX213" s="3"/>
      <c r="HTY213" s="3"/>
      <c r="HTZ213" s="3"/>
      <c r="HUA213" s="3"/>
      <c r="HUB213" s="3"/>
      <c r="HUC213" s="3"/>
      <c r="HUD213" s="3"/>
      <c r="HUE213" s="3"/>
      <c r="HUF213" s="3"/>
      <c r="HUG213" s="3"/>
      <c r="HUH213" s="3"/>
      <c r="HUI213" s="3"/>
      <c r="HUJ213" s="3"/>
      <c r="HUK213" s="3"/>
      <c r="HUL213" s="3"/>
      <c r="HUM213" s="3"/>
      <c r="HUN213" s="3"/>
      <c r="HUO213" s="3"/>
      <c r="HUP213" s="3"/>
      <c r="HUQ213" s="3"/>
      <c r="HUR213" s="3"/>
      <c r="HUS213" s="3"/>
      <c r="HUT213" s="3"/>
      <c r="HUU213" s="3"/>
      <c r="HUV213" s="3"/>
      <c r="HUW213" s="3"/>
      <c r="HUX213" s="3"/>
      <c r="HUY213" s="3"/>
      <c r="HUZ213" s="3"/>
      <c r="HVA213" s="3"/>
      <c r="HVB213" s="3"/>
      <c r="HVC213" s="3"/>
      <c r="HVD213" s="3"/>
      <c r="HVE213" s="3"/>
      <c r="HVF213" s="3"/>
      <c r="HVG213" s="3"/>
      <c r="HVH213" s="3"/>
      <c r="HVI213" s="3"/>
      <c r="HVJ213" s="3"/>
      <c r="HVK213" s="3"/>
      <c r="HVL213" s="3"/>
      <c r="HVM213" s="3"/>
      <c r="HVN213" s="3"/>
      <c r="HVO213" s="3"/>
      <c r="HVP213" s="3"/>
      <c r="HVQ213" s="3"/>
      <c r="HVR213" s="3"/>
      <c r="HVS213" s="3"/>
      <c r="HVT213" s="3"/>
      <c r="HVU213" s="3"/>
      <c r="HVV213" s="3"/>
      <c r="HVW213" s="3"/>
      <c r="HVX213" s="3"/>
      <c r="HVY213" s="3"/>
      <c r="HVZ213" s="3"/>
      <c r="HWA213" s="3"/>
      <c r="HWB213" s="3"/>
      <c r="HWC213" s="3"/>
      <c r="HWD213" s="3"/>
      <c r="HWE213" s="3"/>
      <c r="HWF213" s="3"/>
      <c r="HWG213" s="3"/>
      <c r="HWH213" s="3"/>
      <c r="HWI213" s="3"/>
      <c r="HWJ213" s="3"/>
      <c r="HWK213" s="3"/>
      <c r="HWL213" s="3"/>
      <c r="HWM213" s="3"/>
      <c r="HWN213" s="3"/>
      <c r="HWO213" s="3"/>
      <c r="HWP213" s="3"/>
      <c r="HWQ213" s="3"/>
      <c r="HWR213" s="3"/>
      <c r="HWS213" s="3"/>
      <c r="HWT213" s="3"/>
      <c r="HWU213" s="3"/>
      <c r="HWV213" s="3"/>
      <c r="HWW213" s="3"/>
      <c r="HWX213" s="3"/>
      <c r="HWY213" s="3"/>
      <c r="HWZ213" s="3"/>
      <c r="HXA213" s="3"/>
      <c r="HXB213" s="3"/>
      <c r="HXC213" s="3"/>
      <c r="HXD213" s="3"/>
      <c r="HXE213" s="3"/>
      <c r="HXF213" s="3"/>
      <c r="HXG213" s="3"/>
      <c r="HXH213" s="3"/>
      <c r="HXI213" s="3"/>
      <c r="HXJ213" s="3"/>
      <c r="HXK213" s="3"/>
      <c r="HXL213" s="3"/>
      <c r="HXM213" s="3"/>
      <c r="HXN213" s="3"/>
      <c r="HXO213" s="3"/>
      <c r="HXP213" s="3"/>
      <c r="HXQ213" s="3"/>
      <c r="HXR213" s="3"/>
      <c r="HXS213" s="3"/>
      <c r="HXT213" s="3"/>
      <c r="HXU213" s="3"/>
      <c r="HXV213" s="3"/>
      <c r="HXW213" s="3"/>
      <c r="HXX213" s="3"/>
      <c r="HXY213" s="3"/>
      <c r="HXZ213" s="3"/>
      <c r="HYA213" s="3"/>
      <c r="HYB213" s="3"/>
      <c r="HYC213" s="3"/>
      <c r="HYD213" s="3"/>
      <c r="HYE213" s="3"/>
      <c r="HYF213" s="3"/>
      <c r="HYG213" s="3"/>
      <c r="HYH213" s="3"/>
      <c r="HYI213" s="3"/>
      <c r="HYJ213" s="3"/>
      <c r="HYK213" s="3"/>
      <c r="HYL213" s="3"/>
      <c r="HYM213" s="3"/>
      <c r="HYN213" s="3"/>
      <c r="HYO213" s="3"/>
      <c r="HYP213" s="3"/>
      <c r="HYQ213" s="3"/>
      <c r="HYR213" s="3"/>
      <c r="HYS213" s="3"/>
      <c r="HYT213" s="3"/>
      <c r="HYU213" s="3"/>
      <c r="HYV213" s="3"/>
      <c r="HYW213" s="3"/>
      <c r="HYX213" s="3"/>
      <c r="HYY213" s="3"/>
      <c r="HYZ213" s="3"/>
      <c r="HZA213" s="3"/>
      <c r="HZB213" s="3"/>
      <c r="HZC213" s="3"/>
      <c r="HZD213" s="3"/>
      <c r="HZE213" s="3"/>
      <c r="HZF213" s="3"/>
      <c r="HZG213" s="3"/>
      <c r="HZH213" s="3"/>
      <c r="HZI213" s="3"/>
      <c r="HZJ213" s="3"/>
      <c r="HZK213" s="3"/>
      <c r="HZL213" s="3"/>
      <c r="HZM213" s="3"/>
      <c r="HZN213" s="3"/>
      <c r="HZO213" s="3"/>
      <c r="HZP213" s="3"/>
      <c r="HZQ213" s="3"/>
      <c r="HZR213" s="3"/>
      <c r="HZS213" s="3"/>
      <c r="HZT213" s="3"/>
      <c r="HZU213" s="3"/>
      <c r="HZV213" s="3"/>
      <c r="HZW213" s="3"/>
      <c r="HZX213" s="3"/>
      <c r="HZY213" s="3"/>
      <c r="HZZ213" s="3"/>
      <c r="IAA213" s="3"/>
      <c r="IAB213" s="3"/>
      <c r="IAC213" s="3"/>
      <c r="IAD213" s="3"/>
      <c r="IAE213" s="3"/>
      <c r="IAF213" s="3"/>
      <c r="IAG213" s="3"/>
      <c r="IAH213" s="3"/>
      <c r="IAI213" s="3"/>
      <c r="IAJ213" s="3"/>
      <c r="IAK213" s="3"/>
      <c r="IAL213" s="3"/>
      <c r="IAM213" s="3"/>
      <c r="IAN213" s="3"/>
      <c r="IAO213" s="3"/>
      <c r="IAP213" s="3"/>
      <c r="IAQ213" s="3"/>
      <c r="IAR213" s="3"/>
      <c r="IAS213" s="3"/>
      <c r="IAT213" s="3"/>
      <c r="IAU213" s="3"/>
      <c r="IAV213" s="3"/>
      <c r="IAW213" s="3"/>
      <c r="IAX213" s="3"/>
      <c r="IAY213" s="3"/>
      <c r="IAZ213" s="3"/>
      <c r="IBA213" s="3"/>
      <c r="IBB213" s="3"/>
      <c r="IBC213" s="3"/>
      <c r="IBD213" s="3"/>
      <c r="IBE213" s="3"/>
      <c r="IBF213" s="3"/>
      <c r="IBG213" s="3"/>
      <c r="IBH213" s="3"/>
      <c r="IBI213" s="3"/>
      <c r="IBJ213" s="3"/>
      <c r="IBK213" s="3"/>
      <c r="IBL213" s="3"/>
      <c r="IBM213" s="3"/>
      <c r="IBN213" s="3"/>
      <c r="IBO213" s="3"/>
      <c r="IBP213" s="3"/>
      <c r="IBQ213" s="3"/>
      <c r="IBR213" s="3"/>
      <c r="IBS213" s="3"/>
      <c r="IBT213" s="3"/>
      <c r="IBU213" s="3"/>
      <c r="IBV213" s="3"/>
      <c r="IBW213" s="3"/>
      <c r="IBX213" s="3"/>
      <c r="IBY213" s="3"/>
      <c r="IBZ213" s="3"/>
      <c r="ICA213" s="3"/>
      <c r="ICB213" s="3"/>
      <c r="ICC213" s="3"/>
      <c r="ICD213" s="3"/>
      <c r="ICE213" s="3"/>
      <c r="ICF213" s="3"/>
      <c r="ICG213" s="3"/>
      <c r="ICH213" s="3"/>
      <c r="ICI213" s="3"/>
      <c r="ICJ213" s="3"/>
      <c r="ICK213" s="3"/>
      <c r="ICL213" s="3"/>
      <c r="ICM213" s="3"/>
      <c r="ICN213" s="3"/>
      <c r="ICO213" s="3"/>
      <c r="ICP213" s="3"/>
      <c r="ICQ213" s="3"/>
      <c r="ICR213" s="3"/>
      <c r="ICS213" s="3"/>
      <c r="ICT213" s="3"/>
      <c r="ICU213" s="3"/>
      <c r="ICV213" s="3"/>
      <c r="ICW213" s="3"/>
      <c r="ICX213" s="3"/>
      <c r="ICY213" s="3"/>
      <c r="ICZ213" s="3"/>
      <c r="IDA213" s="3"/>
      <c r="IDB213" s="3"/>
      <c r="IDC213" s="3"/>
      <c r="IDD213" s="3"/>
      <c r="IDE213" s="3"/>
      <c r="IDF213" s="3"/>
      <c r="IDG213" s="3"/>
      <c r="IDH213" s="3"/>
      <c r="IDI213" s="3"/>
      <c r="IDJ213" s="3"/>
      <c r="IDK213" s="3"/>
      <c r="IDL213" s="3"/>
      <c r="IDM213" s="3"/>
      <c r="IDN213" s="3"/>
      <c r="IDO213" s="3"/>
      <c r="IDP213" s="3"/>
      <c r="IDQ213" s="3"/>
      <c r="IDR213" s="3"/>
      <c r="IDS213" s="3"/>
      <c r="IDT213" s="3"/>
      <c r="IDU213" s="3"/>
      <c r="IDV213" s="3"/>
      <c r="IDW213" s="3"/>
      <c r="IDX213" s="3"/>
      <c r="IDY213" s="3"/>
      <c r="IDZ213" s="3"/>
      <c r="IEA213" s="3"/>
      <c r="IEB213" s="3"/>
      <c r="IEC213" s="3"/>
      <c r="IED213" s="3"/>
      <c r="IEE213" s="3"/>
      <c r="IEF213" s="3"/>
      <c r="IEG213" s="3"/>
      <c r="IEH213" s="3"/>
      <c r="IEI213" s="3"/>
      <c r="IEJ213" s="3"/>
      <c r="IEK213" s="3"/>
      <c r="IEL213" s="3"/>
      <c r="IEM213" s="3"/>
      <c r="IEN213" s="3"/>
      <c r="IEO213" s="3"/>
      <c r="IEP213" s="3"/>
      <c r="IEQ213" s="3"/>
      <c r="IER213" s="3"/>
      <c r="IES213" s="3"/>
      <c r="IET213" s="3"/>
      <c r="IEU213" s="3"/>
      <c r="IEV213" s="3"/>
      <c r="IEW213" s="3"/>
      <c r="IEX213" s="3"/>
      <c r="IEY213" s="3"/>
      <c r="IEZ213" s="3"/>
      <c r="IFA213" s="3"/>
      <c r="IFB213" s="3"/>
      <c r="IFC213" s="3"/>
      <c r="IFD213" s="3"/>
      <c r="IFE213" s="3"/>
      <c r="IFF213" s="3"/>
      <c r="IFG213" s="3"/>
      <c r="IFH213" s="3"/>
      <c r="IFI213" s="3"/>
      <c r="IFJ213" s="3"/>
      <c r="IFK213" s="3"/>
      <c r="IFL213" s="3"/>
      <c r="IFM213" s="3"/>
      <c r="IFN213" s="3"/>
      <c r="IFO213" s="3"/>
      <c r="IFP213" s="3"/>
      <c r="IFQ213" s="3"/>
      <c r="IFR213" s="3"/>
      <c r="IFS213" s="3"/>
      <c r="IFT213" s="3"/>
      <c r="IFU213" s="3"/>
      <c r="IFV213" s="3"/>
      <c r="IFW213" s="3"/>
      <c r="IFX213" s="3"/>
      <c r="IFY213" s="3"/>
      <c r="IFZ213" s="3"/>
      <c r="IGA213" s="3"/>
      <c r="IGB213" s="3"/>
      <c r="IGC213" s="3"/>
      <c r="IGD213" s="3"/>
      <c r="IGE213" s="3"/>
      <c r="IGF213" s="3"/>
      <c r="IGG213" s="3"/>
      <c r="IGH213" s="3"/>
      <c r="IGI213" s="3"/>
      <c r="IGJ213" s="3"/>
      <c r="IGK213" s="3"/>
      <c r="IGL213" s="3"/>
      <c r="IGM213" s="3"/>
      <c r="IGN213" s="3"/>
      <c r="IGO213" s="3"/>
      <c r="IGP213" s="3"/>
      <c r="IGQ213" s="3"/>
      <c r="IGR213" s="3"/>
      <c r="IGS213" s="3"/>
      <c r="IGT213" s="3"/>
      <c r="IGU213" s="3"/>
      <c r="IGV213" s="3"/>
      <c r="IGW213" s="3"/>
      <c r="IGX213" s="3"/>
      <c r="IGY213" s="3"/>
      <c r="IGZ213" s="3"/>
      <c r="IHA213" s="3"/>
      <c r="IHB213" s="3"/>
      <c r="IHC213" s="3"/>
      <c r="IHD213" s="3"/>
      <c r="IHE213" s="3"/>
      <c r="IHF213" s="3"/>
      <c r="IHG213" s="3"/>
      <c r="IHH213" s="3"/>
      <c r="IHI213" s="3"/>
      <c r="IHJ213" s="3"/>
      <c r="IHK213" s="3"/>
      <c r="IHL213" s="3"/>
      <c r="IHM213" s="3"/>
      <c r="IHN213" s="3"/>
      <c r="IHO213" s="3"/>
      <c r="IHP213" s="3"/>
      <c r="IHQ213" s="3"/>
      <c r="IHR213" s="3"/>
      <c r="IHS213" s="3"/>
      <c r="IHT213" s="3"/>
      <c r="IHU213" s="3"/>
      <c r="IHV213" s="3"/>
      <c r="IHW213" s="3"/>
      <c r="IHX213" s="3"/>
      <c r="IHY213" s="3"/>
      <c r="IHZ213" s="3"/>
      <c r="IIA213" s="3"/>
      <c r="IIB213" s="3"/>
      <c r="IIC213" s="3"/>
      <c r="IID213" s="3"/>
      <c r="IIE213" s="3"/>
      <c r="IIF213" s="3"/>
      <c r="IIG213" s="3"/>
      <c r="IIH213" s="3"/>
      <c r="III213" s="3"/>
      <c r="IIJ213" s="3"/>
      <c r="IIK213" s="3"/>
      <c r="IIL213" s="3"/>
      <c r="IIM213" s="3"/>
      <c r="IIN213" s="3"/>
      <c r="IIO213" s="3"/>
      <c r="IIP213" s="3"/>
      <c r="IIQ213" s="3"/>
      <c r="IIR213" s="3"/>
      <c r="IIS213" s="3"/>
      <c r="IIT213" s="3"/>
      <c r="IIU213" s="3"/>
      <c r="IIV213" s="3"/>
      <c r="IIW213" s="3"/>
      <c r="IIX213" s="3"/>
      <c r="IIY213" s="3"/>
      <c r="IIZ213" s="3"/>
      <c r="IJA213" s="3"/>
      <c r="IJB213" s="3"/>
      <c r="IJC213" s="3"/>
      <c r="IJD213" s="3"/>
      <c r="IJE213" s="3"/>
      <c r="IJF213" s="3"/>
      <c r="IJG213" s="3"/>
      <c r="IJH213" s="3"/>
      <c r="IJI213" s="3"/>
      <c r="IJJ213" s="3"/>
      <c r="IJK213" s="3"/>
      <c r="IJL213" s="3"/>
      <c r="IJM213" s="3"/>
      <c r="IJN213" s="3"/>
      <c r="IJO213" s="3"/>
      <c r="IJP213" s="3"/>
      <c r="IJQ213" s="3"/>
      <c r="IJR213" s="3"/>
      <c r="IJS213" s="3"/>
      <c r="IJT213" s="3"/>
      <c r="IJU213" s="3"/>
      <c r="IJV213" s="3"/>
      <c r="IJW213" s="3"/>
      <c r="IJX213" s="3"/>
      <c r="IJY213" s="3"/>
      <c r="IJZ213" s="3"/>
      <c r="IKA213" s="3"/>
      <c r="IKB213" s="3"/>
      <c r="IKC213" s="3"/>
      <c r="IKD213" s="3"/>
      <c r="IKE213" s="3"/>
      <c r="IKF213" s="3"/>
      <c r="IKG213" s="3"/>
      <c r="IKH213" s="3"/>
      <c r="IKI213" s="3"/>
      <c r="IKJ213" s="3"/>
      <c r="IKK213" s="3"/>
      <c r="IKL213" s="3"/>
      <c r="IKM213" s="3"/>
      <c r="IKN213" s="3"/>
      <c r="IKO213" s="3"/>
      <c r="IKP213" s="3"/>
      <c r="IKQ213" s="3"/>
      <c r="IKR213" s="3"/>
      <c r="IKS213" s="3"/>
      <c r="IKT213" s="3"/>
      <c r="IKU213" s="3"/>
      <c r="IKV213" s="3"/>
      <c r="IKW213" s="3"/>
      <c r="IKX213" s="3"/>
      <c r="IKY213" s="3"/>
      <c r="IKZ213" s="3"/>
      <c r="ILA213" s="3"/>
      <c r="ILB213" s="3"/>
      <c r="ILC213" s="3"/>
      <c r="ILD213" s="3"/>
      <c r="ILE213" s="3"/>
      <c r="ILF213" s="3"/>
      <c r="ILG213" s="3"/>
      <c r="ILH213" s="3"/>
      <c r="ILI213" s="3"/>
      <c r="ILJ213" s="3"/>
      <c r="ILK213" s="3"/>
      <c r="ILL213" s="3"/>
      <c r="ILM213" s="3"/>
      <c r="ILN213" s="3"/>
      <c r="ILO213" s="3"/>
      <c r="ILP213" s="3"/>
      <c r="ILQ213" s="3"/>
      <c r="ILR213" s="3"/>
      <c r="ILS213" s="3"/>
      <c r="ILT213" s="3"/>
      <c r="ILU213" s="3"/>
      <c r="ILV213" s="3"/>
      <c r="ILW213" s="3"/>
      <c r="ILX213" s="3"/>
      <c r="ILY213" s="3"/>
      <c r="ILZ213" s="3"/>
      <c r="IMA213" s="3"/>
      <c r="IMB213" s="3"/>
      <c r="IMC213" s="3"/>
      <c r="IMD213" s="3"/>
      <c r="IME213" s="3"/>
      <c r="IMF213" s="3"/>
      <c r="IMG213" s="3"/>
      <c r="IMH213" s="3"/>
      <c r="IMI213" s="3"/>
      <c r="IMJ213" s="3"/>
      <c r="IMK213" s="3"/>
      <c r="IML213" s="3"/>
      <c r="IMM213" s="3"/>
      <c r="IMN213" s="3"/>
      <c r="IMO213" s="3"/>
      <c r="IMP213" s="3"/>
      <c r="IMQ213" s="3"/>
      <c r="IMR213" s="3"/>
      <c r="IMS213" s="3"/>
      <c r="IMT213" s="3"/>
      <c r="IMU213" s="3"/>
      <c r="IMV213" s="3"/>
      <c r="IMW213" s="3"/>
      <c r="IMX213" s="3"/>
      <c r="IMY213" s="3"/>
      <c r="IMZ213" s="3"/>
      <c r="INA213" s="3"/>
      <c r="INB213" s="3"/>
      <c r="INC213" s="3"/>
      <c r="IND213" s="3"/>
      <c r="INE213" s="3"/>
      <c r="INF213" s="3"/>
      <c r="ING213" s="3"/>
      <c r="INH213" s="3"/>
      <c r="INI213" s="3"/>
      <c r="INJ213" s="3"/>
      <c r="INK213" s="3"/>
      <c r="INL213" s="3"/>
      <c r="INM213" s="3"/>
      <c r="INN213" s="3"/>
      <c r="INO213" s="3"/>
      <c r="INP213" s="3"/>
      <c r="INQ213" s="3"/>
      <c r="INR213" s="3"/>
      <c r="INS213" s="3"/>
      <c r="INT213" s="3"/>
      <c r="INU213" s="3"/>
      <c r="INV213" s="3"/>
      <c r="INW213" s="3"/>
      <c r="INX213" s="3"/>
      <c r="INY213" s="3"/>
      <c r="INZ213" s="3"/>
      <c r="IOA213" s="3"/>
      <c r="IOB213" s="3"/>
      <c r="IOC213" s="3"/>
      <c r="IOD213" s="3"/>
      <c r="IOE213" s="3"/>
      <c r="IOF213" s="3"/>
      <c r="IOG213" s="3"/>
      <c r="IOH213" s="3"/>
      <c r="IOI213" s="3"/>
      <c r="IOJ213" s="3"/>
      <c r="IOK213" s="3"/>
      <c r="IOL213" s="3"/>
      <c r="IOM213" s="3"/>
      <c r="ION213" s="3"/>
      <c r="IOO213" s="3"/>
      <c r="IOP213" s="3"/>
      <c r="IOQ213" s="3"/>
      <c r="IOR213" s="3"/>
      <c r="IOS213" s="3"/>
      <c r="IOT213" s="3"/>
      <c r="IOU213" s="3"/>
      <c r="IOV213" s="3"/>
      <c r="IOW213" s="3"/>
      <c r="IOX213" s="3"/>
      <c r="IOY213" s="3"/>
      <c r="IOZ213" s="3"/>
      <c r="IPA213" s="3"/>
      <c r="IPB213" s="3"/>
      <c r="IPC213" s="3"/>
      <c r="IPD213" s="3"/>
      <c r="IPE213" s="3"/>
      <c r="IPF213" s="3"/>
      <c r="IPG213" s="3"/>
      <c r="IPH213" s="3"/>
      <c r="IPI213" s="3"/>
      <c r="IPJ213" s="3"/>
      <c r="IPK213" s="3"/>
      <c r="IPL213" s="3"/>
      <c r="IPM213" s="3"/>
      <c r="IPN213" s="3"/>
      <c r="IPO213" s="3"/>
      <c r="IPP213" s="3"/>
      <c r="IPQ213" s="3"/>
      <c r="IPR213" s="3"/>
      <c r="IPS213" s="3"/>
      <c r="IPT213" s="3"/>
      <c r="IPU213" s="3"/>
      <c r="IPV213" s="3"/>
      <c r="IPW213" s="3"/>
      <c r="IPX213" s="3"/>
      <c r="IPY213" s="3"/>
      <c r="IPZ213" s="3"/>
      <c r="IQA213" s="3"/>
      <c r="IQB213" s="3"/>
      <c r="IQC213" s="3"/>
      <c r="IQD213" s="3"/>
      <c r="IQE213" s="3"/>
      <c r="IQF213" s="3"/>
      <c r="IQG213" s="3"/>
      <c r="IQH213" s="3"/>
      <c r="IQI213" s="3"/>
      <c r="IQJ213" s="3"/>
      <c r="IQK213" s="3"/>
      <c r="IQL213" s="3"/>
      <c r="IQM213" s="3"/>
      <c r="IQN213" s="3"/>
      <c r="IQO213" s="3"/>
      <c r="IQP213" s="3"/>
      <c r="IQQ213" s="3"/>
      <c r="IQR213" s="3"/>
      <c r="IQS213" s="3"/>
      <c r="IQT213" s="3"/>
      <c r="IQU213" s="3"/>
      <c r="IQV213" s="3"/>
      <c r="IQW213" s="3"/>
      <c r="IQX213" s="3"/>
      <c r="IQY213" s="3"/>
      <c r="IQZ213" s="3"/>
      <c r="IRA213" s="3"/>
      <c r="IRB213" s="3"/>
      <c r="IRC213" s="3"/>
      <c r="IRD213" s="3"/>
      <c r="IRE213" s="3"/>
      <c r="IRF213" s="3"/>
      <c r="IRG213" s="3"/>
      <c r="IRH213" s="3"/>
      <c r="IRI213" s="3"/>
      <c r="IRJ213" s="3"/>
      <c r="IRK213" s="3"/>
      <c r="IRL213" s="3"/>
      <c r="IRM213" s="3"/>
      <c r="IRN213" s="3"/>
      <c r="IRO213" s="3"/>
      <c r="IRP213" s="3"/>
      <c r="IRQ213" s="3"/>
      <c r="IRR213" s="3"/>
      <c r="IRS213" s="3"/>
      <c r="IRT213" s="3"/>
      <c r="IRU213" s="3"/>
      <c r="IRV213" s="3"/>
      <c r="IRW213" s="3"/>
      <c r="IRX213" s="3"/>
      <c r="IRY213" s="3"/>
      <c r="IRZ213" s="3"/>
      <c r="ISA213" s="3"/>
      <c r="ISB213" s="3"/>
      <c r="ISC213" s="3"/>
      <c r="ISD213" s="3"/>
      <c r="ISE213" s="3"/>
      <c r="ISF213" s="3"/>
      <c r="ISG213" s="3"/>
      <c r="ISH213" s="3"/>
      <c r="ISI213" s="3"/>
      <c r="ISJ213" s="3"/>
      <c r="ISK213" s="3"/>
      <c r="ISL213" s="3"/>
      <c r="ISM213" s="3"/>
      <c r="ISN213" s="3"/>
      <c r="ISO213" s="3"/>
      <c r="ISP213" s="3"/>
      <c r="ISQ213" s="3"/>
      <c r="ISR213" s="3"/>
      <c r="ISS213" s="3"/>
      <c r="IST213" s="3"/>
      <c r="ISU213" s="3"/>
      <c r="ISV213" s="3"/>
      <c r="ISW213" s="3"/>
      <c r="ISX213" s="3"/>
      <c r="ISY213" s="3"/>
      <c r="ISZ213" s="3"/>
      <c r="ITA213" s="3"/>
      <c r="ITB213" s="3"/>
      <c r="ITC213" s="3"/>
      <c r="ITD213" s="3"/>
      <c r="ITE213" s="3"/>
      <c r="ITF213" s="3"/>
      <c r="ITG213" s="3"/>
      <c r="ITH213" s="3"/>
      <c r="ITI213" s="3"/>
      <c r="ITJ213" s="3"/>
      <c r="ITK213" s="3"/>
      <c r="ITL213" s="3"/>
      <c r="ITM213" s="3"/>
      <c r="ITN213" s="3"/>
      <c r="ITO213" s="3"/>
      <c r="ITP213" s="3"/>
      <c r="ITQ213" s="3"/>
      <c r="ITR213" s="3"/>
      <c r="ITS213" s="3"/>
      <c r="ITT213" s="3"/>
      <c r="ITU213" s="3"/>
      <c r="ITV213" s="3"/>
      <c r="ITW213" s="3"/>
      <c r="ITX213" s="3"/>
      <c r="ITY213" s="3"/>
      <c r="ITZ213" s="3"/>
      <c r="IUA213" s="3"/>
      <c r="IUB213" s="3"/>
      <c r="IUC213" s="3"/>
      <c r="IUD213" s="3"/>
      <c r="IUE213" s="3"/>
      <c r="IUF213" s="3"/>
      <c r="IUG213" s="3"/>
      <c r="IUH213" s="3"/>
      <c r="IUI213" s="3"/>
      <c r="IUJ213" s="3"/>
      <c r="IUK213" s="3"/>
      <c r="IUL213" s="3"/>
      <c r="IUM213" s="3"/>
      <c r="IUN213" s="3"/>
      <c r="IUO213" s="3"/>
      <c r="IUP213" s="3"/>
      <c r="IUQ213" s="3"/>
      <c r="IUR213" s="3"/>
      <c r="IUS213" s="3"/>
      <c r="IUT213" s="3"/>
      <c r="IUU213" s="3"/>
      <c r="IUV213" s="3"/>
      <c r="IUW213" s="3"/>
      <c r="IUX213" s="3"/>
      <c r="IUY213" s="3"/>
      <c r="IUZ213" s="3"/>
      <c r="IVA213" s="3"/>
      <c r="IVB213" s="3"/>
      <c r="IVC213" s="3"/>
      <c r="IVD213" s="3"/>
      <c r="IVE213" s="3"/>
      <c r="IVF213" s="3"/>
      <c r="IVG213" s="3"/>
      <c r="IVH213" s="3"/>
      <c r="IVI213" s="3"/>
      <c r="IVJ213" s="3"/>
      <c r="IVK213" s="3"/>
      <c r="IVL213" s="3"/>
      <c r="IVM213" s="3"/>
      <c r="IVN213" s="3"/>
      <c r="IVO213" s="3"/>
      <c r="IVP213" s="3"/>
      <c r="IVQ213" s="3"/>
      <c r="IVR213" s="3"/>
      <c r="IVS213" s="3"/>
      <c r="IVT213" s="3"/>
      <c r="IVU213" s="3"/>
      <c r="IVV213" s="3"/>
      <c r="IVW213" s="3"/>
      <c r="IVX213" s="3"/>
      <c r="IVY213" s="3"/>
      <c r="IVZ213" s="3"/>
      <c r="IWA213" s="3"/>
      <c r="IWB213" s="3"/>
      <c r="IWC213" s="3"/>
      <c r="IWD213" s="3"/>
      <c r="IWE213" s="3"/>
      <c r="IWF213" s="3"/>
      <c r="IWG213" s="3"/>
      <c r="IWH213" s="3"/>
      <c r="IWI213" s="3"/>
      <c r="IWJ213" s="3"/>
      <c r="IWK213" s="3"/>
      <c r="IWL213" s="3"/>
      <c r="IWM213" s="3"/>
      <c r="IWN213" s="3"/>
      <c r="IWO213" s="3"/>
      <c r="IWP213" s="3"/>
      <c r="IWQ213" s="3"/>
      <c r="IWR213" s="3"/>
      <c r="IWS213" s="3"/>
      <c r="IWT213" s="3"/>
      <c r="IWU213" s="3"/>
      <c r="IWV213" s="3"/>
      <c r="IWW213" s="3"/>
      <c r="IWX213" s="3"/>
      <c r="IWY213" s="3"/>
      <c r="IWZ213" s="3"/>
      <c r="IXA213" s="3"/>
      <c r="IXB213" s="3"/>
      <c r="IXC213" s="3"/>
      <c r="IXD213" s="3"/>
      <c r="IXE213" s="3"/>
      <c r="IXF213" s="3"/>
      <c r="IXG213" s="3"/>
      <c r="IXH213" s="3"/>
      <c r="IXI213" s="3"/>
      <c r="IXJ213" s="3"/>
      <c r="IXK213" s="3"/>
      <c r="IXL213" s="3"/>
      <c r="IXM213" s="3"/>
      <c r="IXN213" s="3"/>
      <c r="IXO213" s="3"/>
      <c r="IXP213" s="3"/>
      <c r="IXQ213" s="3"/>
      <c r="IXR213" s="3"/>
      <c r="IXS213" s="3"/>
      <c r="IXT213" s="3"/>
      <c r="IXU213" s="3"/>
      <c r="IXV213" s="3"/>
      <c r="IXW213" s="3"/>
      <c r="IXX213" s="3"/>
      <c r="IXY213" s="3"/>
      <c r="IXZ213" s="3"/>
      <c r="IYA213" s="3"/>
      <c r="IYB213" s="3"/>
      <c r="IYC213" s="3"/>
      <c r="IYD213" s="3"/>
      <c r="IYE213" s="3"/>
      <c r="IYF213" s="3"/>
      <c r="IYG213" s="3"/>
      <c r="IYH213" s="3"/>
      <c r="IYI213" s="3"/>
      <c r="IYJ213" s="3"/>
      <c r="IYK213" s="3"/>
      <c r="IYL213" s="3"/>
      <c r="IYM213" s="3"/>
      <c r="IYN213" s="3"/>
      <c r="IYO213" s="3"/>
      <c r="IYP213" s="3"/>
      <c r="IYQ213" s="3"/>
      <c r="IYR213" s="3"/>
      <c r="IYS213" s="3"/>
      <c r="IYT213" s="3"/>
      <c r="IYU213" s="3"/>
      <c r="IYV213" s="3"/>
      <c r="IYW213" s="3"/>
      <c r="IYX213" s="3"/>
      <c r="IYY213" s="3"/>
      <c r="IYZ213" s="3"/>
      <c r="IZA213" s="3"/>
      <c r="IZB213" s="3"/>
      <c r="IZC213" s="3"/>
      <c r="IZD213" s="3"/>
      <c r="IZE213" s="3"/>
      <c r="IZF213" s="3"/>
      <c r="IZG213" s="3"/>
      <c r="IZH213" s="3"/>
      <c r="IZI213" s="3"/>
      <c r="IZJ213" s="3"/>
      <c r="IZK213" s="3"/>
      <c r="IZL213" s="3"/>
      <c r="IZM213" s="3"/>
      <c r="IZN213" s="3"/>
      <c r="IZO213" s="3"/>
      <c r="IZP213" s="3"/>
      <c r="IZQ213" s="3"/>
      <c r="IZR213" s="3"/>
      <c r="IZS213" s="3"/>
      <c r="IZT213" s="3"/>
      <c r="IZU213" s="3"/>
      <c r="IZV213" s="3"/>
      <c r="IZW213" s="3"/>
      <c r="IZX213" s="3"/>
      <c r="IZY213" s="3"/>
      <c r="IZZ213" s="3"/>
      <c r="JAA213" s="3"/>
      <c r="JAB213" s="3"/>
      <c r="JAC213" s="3"/>
      <c r="JAD213" s="3"/>
      <c r="JAE213" s="3"/>
      <c r="JAF213" s="3"/>
      <c r="JAG213" s="3"/>
      <c r="JAH213" s="3"/>
      <c r="JAI213" s="3"/>
      <c r="JAJ213" s="3"/>
      <c r="JAK213" s="3"/>
      <c r="JAL213" s="3"/>
      <c r="JAM213" s="3"/>
      <c r="JAN213" s="3"/>
      <c r="JAO213" s="3"/>
      <c r="JAP213" s="3"/>
      <c r="JAQ213" s="3"/>
      <c r="JAR213" s="3"/>
      <c r="JAS213" s="3"/>
      <c r="JAT213" s="3"/>
      <c r="JAU213" s="3"/>
      <c r="JAV213" s="3"/>
      <c r="JAW213" s="3"/>
      <c r="JAX213" s="3"/>
      <c r="JAY213" s="3"/>
      <c r="JAZ213" s="3"/>
      <c r="JBA213" s="3"/>
      <c r="JBB213" s="3"/>
      <c r="JBC213" s="3"/>
      <c r="JBD213" s="3"/>
      <c r="JBE213" s="3"/>
      <c r="JBF213" s="3"/>
      <c r="JBG213" s="3"/>
      <c r="JBH213" s="3"/>
      <c r="JBI213" s="3"/>
      <c r="JBJ213" s="3"/>
      <c r="JBK213" s="3"/>
      <c r="JBL213" s="3"/>
      <c r="JBM213" s="3"/>
      <c r="JBN213" s="3"/>
      <c r="JBO213" s="3"/>
      <c r="JBP213" s="3"/>
      <c r="JBQ213" s="3"/>
      <c r="JBR213" s="3"/>
      <c r="JBS213" s="3"/>
      <c r="JBT213" s="3"/>
      <c r="JBU213" s="3"/>
      <c r="JBV213" s="3"/>
      <c r="JBW213" s="3"/>
      <c r="JBX213" s="3"/>
      <c r="JBY213" s="3"/>
      <c r="JBZ213" s="3"/>
      <c r="JCA213" s="3"/>
      <c r="JCB213" s="3"/>
      <c r="JCC213" s="3"/>
      <c r="JCD213" s="3"/>
      <c r="JCE213" s="3"/>
      <c r="JCF213" s="3"/>
      <c r="JCG213" s="3"/>
      <c r="JCH213" s="3"/>
      <c r="JCI213" s="3"/>
      <c r="JCJ213" s="3"/>
      <c r="JCK213" s="3"/>
      <c r="JCL213" s="3"/>
      <c r="JCM213" s="3"/>
      <c r="JCN213" s="3"/>
      <c r="JCO213" s="3"/>
      <c r="JCP213" s="3"/>
      <c r="JCQ213" s="3"/>
      <c r="JCR213" s="3"/>
      <c r="JCS213" s="3"/>
      <c r="JCT213" s="3"/>
      <c r="JCU213" s="3"/>
      <c r="JCV213" s="3"/>
      <c r="JCW213" s="3"/>
      <c r="JCX213" s="3"/>
      <c r="JCY213" s="3"/>
      <c r="JCZ213" s="3"/>
      <c r="JDA213" s="3"/>
      <c r="JDB213" s="3"/>
      <c r="JDC213" s="3"/>
      <c r="JDD213" s="3"/>
      <c r="JDE213" s="3"/>
      <c r="JDF213" s="3"/>
      <c r="JDG213" s="3"/>
      <c r="JDH213" s="3"/>
      <c r="JDI213" s="3"/>
      <c r="JDJ213" s="3"/>
      <c r="JDK213" s="3"/>
      <c r="JDL213" s="3"/>
      <c r="JDM213" s="3"/>
      <c r="JDN213" s="3"/>
      <c r="JDO213" s="3"/>
      <c r="JDP213" s="3"/>
      <c r="JDQ213" s="3"/>
      <c r="JDR213" s="3"/>
      <c r="JDS213" s="3"/>
      <c r="JDT213" s="3"/>
      <c r="JDU213" s="3"/>
      <c r="JDV213" s="3"/>
      <c r="JDW213" s="3"/>
      <c r="JDX213" s="3"/>
      <c r="JDY213" s="3"/>
      <c r="JDZ213" s="3"/>
      <c r="JEA213" s="3"/>
      <c r="JEB213" s="3"/>
      <c r="JEC213" s="3"/>
      <c r="JED213" s="3"/>
      <c r="JEE213" s="3"/>
      <c r="JEF213" s="3"/>
      <c r="JEG213" s="3"/>
      <c r="JEH213" s="3"/>
      <c r="JEI213" s="3"/>
      <c r="JEJ213" s="3"/>
      <c r="JEK213" s="3"/>
      <c r="JEL213" s="3"/>
      <c r="JEM213" s="3"/>
      <c r="JEN213" s="3"/>
      <c r="JEO213" s="3"/>
      <c r="JEP213" s="3"/>
      <c r="JEQ213" s="3"/>
      <c r="JER213" s="3"/>
      <c r="JES213" s="3"/>
      <c r="JET213" s="3"/>
      <c r="JEU213" s="3"/>
      <c r="JEV213" s="3"/>
      <c r="JEW213" s="3"/>
      <c r="JEX213" s="3"/>
      <c r="JEY213" s="3"/>
      <c r="JEZ213" s="3"/>
      <c r="JFA213" s="3"/>
      <c r="JFB213" s="3"/>
      <c r="JFC213" s="3"/>
      <c r="JFD213" s="3"/>
      <c r="JFE213" s="3"/>
      <c r="JFF213" s="3"/>
      <c r="JFG213" s="3"/>
      <c r="JFH213" s="3"/>
      <c r="JFI213" s="3"/>
      <c r="JFJ213" s="3"/>
      <c r="JFK213" s="3"/>
      <c r="JFL213" s="3"/>
      <c r="JFM213" s="3"/>
      <c r="JFN213" s="3"/>
      <c r="JFO213" s="3"/>
      <c r="JFP213" s="3"/>
      <c r="JFQ213" s="3"/>
      <c r="JFR213" s="3"/>
      <c r="JFS213" s="3"/>
      <c r="JFT213" s="3"/>
      <c r="JFU213" s="3"/>
      <c r="JFV213" s="3"/>
      <c r="JFW213" s="3"/>
      <c r="JFX213" s="3"/>
      <c r="JFY213" s="3"/>
      <c r="JFZ213" s="3"/>
      <c r="JGA213" s="3"/>
      <c r="JGB213" s="3"/>
      <c r="JGC213" s="3"/>
      <c r="JGD213" s="3"/>
      <c r="JGE213" s="3"/>
      <c r="JGF213" s="3"/>
      <c r="JGG213" s="3"/>
      <c r="JGH213" s="3"/>
      <c r="JGI213" s="3"/>
      <c r="JGJ213" s="3"/>
      <c r="JGK213" s="3"/>
      <c r="JGL213" s="3"/>
      <c r="JGM213" s="3"/>
      <c r="JGN213" s="3"/>
      <c r="JGO213" s="3"/>
      <c r="JGP213" s="3"/>
      <c r="JGQ213" s="3"/>
      <c r="JGR213" s="3"/>
      <c r="JGS213" s="3"/>
      <c r="JGT213" s="3"/>
      <c r="JGU213" s="3"/>
      <c r="JGV213" s="3"/>
      <c r="JGW213" s="3"/>
      <c r="JGX213" s="3"/>
      <c r="JGY213" s="3"/>
      <c r="JGZ213" s="3"/>
      <c r="JHA213" s="3"/>
      <c r="JHB213" s="3"/>
      <c r="JHC213" s="3"/>
      <c r="JHD213" s="3"/>
      <c r="JHE213" s="3"/>
      <c r="JHF213" s="3"/>
      <c r="JHG213" s="3"/>
      <c r="JHH213" s="3"/>
      <c r="JHI213" s="3"/>
      <c r="JHJ213" s="3"/>
      <c r="JHK213" s="3"/>
      <c r="JHL213" s="3"/>
      <c r="JHM213" s="3"/>
      <c r="JHN213" s="3"/>
      <c r="JHO213" s="3"/>
      <c r="JHP213" s="3"/>
      <c r="JHQ213" s="3"/>
      <c r="JHR213" s="3"/>
      <c r="JHS213" s="3"/>
      <c r="JHT213" s="3"/>
      <c r="JHU213" s="3"/>
      <c r="JHV213" s="3"/>
      <c r="JHW213" s="3"/>
      <c r="JHX213" s="3"/>
      <c r="JHY213" s="3"/>
      <c r="JHZ213" s="3"/>
      <c r="JIA213" s="3"/>
      <c r="JIB213" s="3"/>
      <c r="JIC213" s="3"/>
      <c r="JID213" s="3"/>
      <c r="JIE213" s="3"/>
      <c r="JIF213" s="3"/>
      <c r="JIG213" s="3"/>
      <c r="JIH213" s="3"/>
      <c r="JII213" s="3"/>
      <c r="JIJ213" s="3"/>
      <c r="JIK213" s="3"/>
      <c r="JIL213" s="3"/>
      <c r="JIM213" s="3"/>
      <c r="JIN213" s="3"/>
      <c r="JIO213" s="3"/>
      <c r="JIP213" s="3"/>
      <c r="JIQ213" s="3"/>
      <c r="JIR213" s="3"/>
      <c r="JIS213" s="3"/>
      <c r="JIT213" s="3"/>
      <c r="JIU213" s="3"/>
      <c r="JIV213" s="3"/>
      <c r="JIW213" s="3"/>
      <c r="JIX213" s="3"/>
      <c r="JIY213" s="3"/>
      <c r="JIZ213" s="3"/>
      <c r="JJA213" s="3"/>
      <c r="JJB213" s="3"/>
      <c r="JJC213" s="3"/>
      <c r="JJD213" s="3"/>
      <c r="JJE213" s="3"/>
      <c r="JJF213" s="3"/>
      <c r="JJG213" s="3"/>
      <c r="JJH213" s="3"/>
      <c r="JJI213" s="3"/>
      <c r="JJJ213" s="3"/>
      <c r="JJK213" s="3"/>
      <c r="JJL213" s="3"/>
      <c r="JJM213" s="3"/>
      <c r="JJN213" s="3"/>
      <c r="JJO213" s="3"/>
      <c r="JJP213" s="3"/>
      <c r="JJQ213" s="3"/>
      <c r="JJR213" s="3"/>
      <c r="JJS213" s="3"/>
      <c r="JJT213" s="3"/>
      <c r="JJU213" s="3"/>
      <c r="JJV213" s="3"/>
      <c r="JJW213" s="3"/>
      <c r="JJX213" s="3"/>
      <c r="JJY213" s="3"/>
      <c r="JJZ213" s="3"/>
      <c r="JKA213" s="3"/>
      <c r="JKB213" s="3"/>
      <c r="JKC213" s="3"/>
      <c r="JKD213" s="3"/>
      <c r="JKE213" s="3"/>
      <c r="JKF213" s="3"/>
      <c r="JKG213" s="3"/>
      <c r="JKH213" s="3"/>
      <c r="JKI213" s="3"/>
      <c r="JKJ213" s="3"/>
      <c r="JKK213" s="3"/>
      <c r="JKL213" s="3"/>
      <c r="JKM213" s="3"/>
      <c r="JKN213" s="3"/>
      <c r="JKO213" s="3"/>
      <c r="JKP213" s="3"/>
      <c r="JKQ213" s="3"/>
      <c r="JKR213" s="3"/>
      <c r="JKS213" s="3"/>
      <c r="JKT213" s="3"/>
      <c r="JKU213" s="3"/>
      <c r="JKV213" s="3"/>
      <c r="JKW213" s="3"/>
      <c r="JKX213" s="3"/>
      <c r="JKY213" s="3"/>
      <c r="JKZ213" s="3"/>
      <c r="JLA213" s="3"/>
      <c r="JLB213" s="3"/>
      <c r="JLC213" s="3"/>
      <c r="JLD213" s="3"/>
      <c r="JLE213" s="3"/>
      <c r="JLF213" s="3"/>
      <c r="JLG213" s="3"/>
      <c r="JLH213" s="3"/>
      <c r="JLI213" s="3"/>
      <c r="JLJ213" s="3"/>
      <c r="JLK213" s="3"/>
      <c r="JLL213" s="3"/>
      <c r="JLM213" s="3"/>
      <c r="JLN213" s="3"/>
      <c r="JLO213" s="3"/>
      <c r="JLP213" s="3"/>
      <c r="JLQ213" s="3"/>
      <c r="JLR213" s="3"/>
      <c r="JLS213" s="3"/>
      <c r="JLT213" s="3"/>
      <c r="JLU213" s="3"/>
      <c r="JLV213" s="3"/>
      <c r="JLW213" s="3"/>
      <c r="JLX213" s="3"/>
      <c r="JLY213" s="3"/>
      <c r="JLZ213" s="3"/>
      <c r="JMA213" s="3"/>
      <c r="JMB213" s="3"/>
      <c r="JMC213" s="3"/>
      <c r="JMD213" s="3"/>
      <c r="JME213" s="3"/>
      <c r="JMF213" s="3"/>
      <c r="JMG213" s="3"/>
      <c r="JMH213" s="3"/>
      <c r="JMI213" s="3"/>
      <c r="JMJ213" s="3"/>
      <c r="JMK213" s="3"/>
      <c r="JML213" s="3"/>
      <c r="JMM213" s="3"/>
      <c r="JMN213" s="3"/>
      <c r="JMO213" s="3"/>
      <c r="JMP213" s="3"/>
      <c r="JMQ213" s="3"/>
      <c r="JMR213" s="3"/>
      <c r="JMS213" s="3"/>
      <c r="JMT213" s="3"/>
      <c r="JMU213" s="3"/>
      <c r="JMV213" s="3"/>
      <c r="JMW213" s="3"/>
      <c r="JMX213" s="3"/>
      <c r="JMY213" s="3"/>
      <c r="JMZ213" s="3"/>
      <c r="JNA213" s="3"/>
      <c r="JNB213" s="3"/>
      <c r="JNC213" s="3"/>
      <c r="JND213" s="3"/>
      <c r="JNE213" s="3"/>
      <c r="JNF213" s="3"/>
      <c r="JNG213" s="3"/>
      <c r="JNH213" s="3"/>
      <c r="JNI213" s="3"/>
      <c r="JNJ213" s="3"/>
      <c r="JNK213" s="3"/>
      <c r="JNL213" s="3"/>
      <c r="JNM213" s="3"/>
      <c r="JNN213" s="3"/>
      <c r="JNO213" s="3"/>
      <c r="JNP213" s="3"/>
      <c r="JNQ213" s="3"/>
      <c r="JNR213" s="3"/>
      <c r="JNS213" s="3"/>
      <c r="JNT213" s="3"/>
      <c r="JNU213" s="3"/>
      <c r="JNV213" s="3"/>
      <c r="JNW213" s="3"/>
      <c r="JNX213" s="3"/>
      <c r="JNY213" s="3"/>
      <c r="JNZ213" s="3"/>
      <c r="JOA213" s="3"/>
      <c r="JOB213" s="3"/>
      <c r="JOC213" s="3"/>
      <c r="JOD213" s="3"/>
      <c r="JOE213" s="3"/>
      <c r="JOF213" s="3"/>
      <c r="JOG213" s="3"/>
      <c r="JOH213" s="3"/>
      <c r="JOI213" s="3"/>
      <c r="JOJ213" s="3"/>
      <c r="JOK213" s="3"/>
      <c r="JOL213" s="3"/>
      <c r="JOM213" s="3"/>
      <c r="JON213" s="3"/>
      <c r="JOO213" s="3"/>
      <c r="JOP213" s="3"/>
      <c r="JOQ213" s="3"/>
      <c r="JOR213" s="3"/>
      <c r="JOS213" s="3"/>
      <c r="JOT213" s="3"/>
      <c r="JOU213" s="3"/>
      <c r="JOV213" s="3"/>
      <c r="JOW213" s="3"/>
      <c r="JOX213" s="3"/>
      <c r="JOY213" s="3"/>
      <c r="JOZ213" s="3"/>
      <c r="JPA213" s="3"/>
      <c r="JPB213" s="3"/>
      <c r="JPC213" s="3"/>
      <c r="JPD213" s="3"/>
      <c r="JPE213" s="3"/>
      <c r="JPF213" s="3"/>
      <c r="JPG213" s="3"/>
      <c r="JPH213" s="3"/>
      <c r="JPI213" s="3"/>
      <c r="JPJ213" s="3"/>
      <c r="JPK213" s="3"/>
      <c r="JPL213" s="3"/>
      <c r="JPM213" s="3"/>
      <c r="JPN213" s="3"/>
      <c r="JPO213" s="3"/>
      <c r="JPP213" s="3"/>
      <c r="JPQ213" s="3"/>
      <c r="JPR213" s="3"/>
      <c r="JPS213" s="3"/>
      <c r="JPT213" s="3"/>
      <c r="JPU213" s="3"/>
      <c r="JPV213" s="3"/>
      <c r="JPW213" s="3"/>
      <c r="JPX213" s="3"/>
      <c r="JPY213" s="3"/>
      <c r="JPZ213" s="3"/>
      <c r="JQA213" s="3"/>
      <c r="JQB213" s="3"/>
      <c r="JQC213" s="3"/>
      <c r="JQD213" s="3"/>
      <c r="JQE213" s="3"/>
      <c r="JQF213" s="3"/>
      <c r="JQG213" s="3"/>
      <c r="JQH213" s="3"/>
      <c r="JQI213" s="3"/>
      <c r="JQJ213" s="3"/>
      <c r="JQK213" s="3"/>
      <c r="JQL213" s="3"/>
      <c r="JQM213" s="3"/>
      <c r="JQN213" s="3"/>
      <c r="JQO213" s="3"/>
      <c r="JQP213" s="3"/>
      <c r="JQQ213" s="3"/>
      <c r="JQR213" s="3"/>
      <c r="JQS213" s="3"/>
      <c r="JQT213" s="3"/>
      <c r="JQU213" s="3"/>
      <c r="JQV213" s="3"/>
      <c r="JQW213" s="3"/>
      <c r="JQX213" s="3"/>
      <c r="JQY213" s="3"/>
      <c r="JQZ213" s="3"/>
      <c r="JRA213" s="3"/>
      <c r="JRB213" s="3"/>
      <c r="JRC213" s="3"/>
      <c r="JRD213" s="3"/>
      <c r="JRE213" s="3"/>
      <c r="JRF213" s="3"/>
      <c r="JRG213" s="3"/>
      <c r="JRH213" s="3"/>
      <c r="JRI213" s="3"/>
      <c r="JRJ213" s="3"/>
      <c r="JRK213" s="3"/>
      <c r="JRL213" s="3"/>
      <c r="JRM213" s="3"/>
      <c r="JRN213" s="3"/>
      <c r="JRO213" s="3"/>
      <c r="JRP213" s="3"/>
      <c r="JRQ213" s="3"/>
      <c r="JRR213" s="3"/>
      <c r="JRS213" s="3"/>
      <c r="JRT213" s="3"/>
      <c r="JRU213" s="3"/>
      <c r="JRV213" s="3"/>
      <c r="JRW213" s="3"/>
      <c r="JRX213" s="3"/>
      <c r="JRY213" s="3"/>
      <c r="JRZ213" s="3"/>
      <c r="JSA213" s="3"/>
      <c r="JSB213" s="3"/>
      <c r="JSC213" s="3"/>
      <c r="JSD213" s="3"/>
      <c r="JSE213" s="3"/>
      <c r="JSF213" s="3"/>
      <c r="JSG213" s="3"/>
      <c r="JSH213" s="3"/>
      <c r="JSI213" s="3"/>
      <c r="JSJ213" s="3"/>
      <c r="JSK213" s="3"/>
      <c r="JSL213" s="3"/>
      <c r="JSM213" s="3"/>
      <c r="JSN213" s="3"/>
      <c r="JSO213" s="3"/>
      <c r="JSP213" s="3"/>
      <c r="JSQ213" s="3"/>
      <c r="JSR213" s="3"/>
      <c r="JSS213" s="3"/>
      <c r="JST213" s="3"/>
      <c r="JSU213" s="3"/>
      <c r="JSV213" s="3"/>
      <c r="JSW213" s="3"/>
      <c r="JSX213" s="3"/>
      <c r="JSY213" s="3"/>
      <c r="JSZ213" s="3"/>
      <c r="JTA213" s="3"/>
      <c r="JTB213" s="3"/>
      <c r="JTC213" s="3"/>
      <c r="JTD213" s="3"/>
      <c r="JTE213" s="3"/>
      <c r="JTF213" s="3"/>
      <c r="JTG213" s="3"/>
      <c r="JTH213" s="3"/>
      <c r="JTI213" s="3"/>
      <c r="JTJ213" s="3"/>
      <c r="JTK213" s="3"/>
      <c r="JTL213" s="3"/>
      <c r="JTM213" s="3"/>
      <c r="JTN213" s="3"/>
      <c r="JTO213" s="3"/>
      <c r="JTP213" s="3"/>
      <c r="JTQ213" s="3"/>
      <c r="JTR213" s="3"/>
      <c r="JTS213" s="3"/>
      <c r="JTT213" s="3"/>
      <c r="JTU213" s="3"/>
      <c r="JTV213" s="3"/>
      <c r="JTW213" s="3"/>
      <c r="JTX213" s="3"/>
      <c r="JTY213" s="3"/>
      <c r="JTZ213" s="3"/>
      <c r="JUA213" s="3"/>
      <c r="JUB213" s="3"/>
      <c r="JUC213" s="3"/>
      <c r="JUD213" s="3"/>
      <c r="JUE213" s="3"/>
      <c r="JUF213" s="3"/>
      <c r="JUG213" s="3"/>
      <c r="JUH213" s="3"/>
      <c r="JUI213" s="3"/>
      <c r="JUJ213" s="3"/>
      <c r="JUK213" s="3"/>
      <c r="JUL213" s="3"/>
      <c r="JUM213" s="3"/>
      <c r="JUN213" s="3"/>
      <c r="JUO213" s="3"/>
      <c r="JUP213" s="3"/>
      <c r="JUQ213" s="3"/>
      <c r="JUR213" s="3"/>
      <c r="JUS213" s="3"/>
      <c r="JUT213" s="3"/>
      <c r="JUU213" s="3"/>
      <c r="JUV213" s="3"/>
      <c r="JUW213" s="3"/>
      <c r="JUX213" s="3"/>
      <c r="JUY213" s="3"/>
      <c r="JUZ213" s="3"/>
      <c r="JVA213" s="3"/>
      <c r="JVB213" s="3"/>
      <c r="JVC213" s="3"/>
      <c r="JVD213" s="3"/>
      <c r="JVE213" s="3"/>
      <c r="JVF213" s="3"/>
      <c r="JVG213" s="3"/>
      <c r="JVH213" s="3"/>
      <c r="JVI213" s="3"/>
      <c r="JVJ213" s="3"/>
      <c r="JVK213" s="3"/>
      <c r="JVL213" s="3"/>
      <c r="JVM213" s="3"/>
      <c r="JVN213" s="3"/>
      <c r="JVO213" s="3"/>
      <c r="JVP213" s="3"/>
      <c r="JVQ213" s="3"/>
      <c r="JVR213" s="3"/>
      <c r="JVS213" s="3"/>
      <c r="JVT213" s="3"/>
      <c r="JVU213" s="3"/>
      <c r="JVV213" s="3"/>
      <c r="JVW213" s="3"/>
      <c r="JVX213" s="3"/>
      <c r="JVY213" s="3"/>
      <c r="JVZ213" s="3"/>
      <c r="JWA213" s="3"/>
      <c r="JWB213" s="3"/>
      <c r="JWC213" s="3"/>
      <c r="JWD213" s="3"/>
      <c r="JWE213" s="3"/>
      <c r="JWF213" s="3"/>
      <c r="JWG213" s="3"/>
      <c r="JWH213" s="3"/>
      <c r="JWI213" s="3"/>
      <c r="JWJ213" s="3"/>
      <c r="JWK213" s="3"/>
      <c r="JWL213" s="3"/>
      <c r="JWM213" s="3"/>
      <c r="JWN213" s="3"/>
      <c r="JWO213" s="3"/>
      <c r="JWP213" s="3"/>
      <c r="JWQ213" s="3"/>
      <c r="JWR213" s="3"/>
      <c r="JWS213" s="3"/>
      <c r="JWT213" s="3"/>
      <c r="JWU213" s="3"/>
      <c r="JWV213" s="3"/>
      <c r="JWW213" s="3"/>
      <c r="JWX213" s="3"/>
      <c r="JWY213" s="3"/>
      <c r="JWZ213" s="3"/>
      <c r="JXA213" s="3"/>
      <c r="JXB213" s="3"/>
      <c r="JXC213" s="3"/>
      <c r="JXD213" s="3"/>
      <c r="JXE213" s="3"/>
      <c r="JXF213" s="3"/>
      <c r="JXG213" s="3"/>
      <c r="JXH213" s="3"/>
      <c r="JXI213" s="3"/>
      <c r="JXJ213" s="3"/>
      <c r="JXK213" s="3"/>
      <c r="JXL213" s="3"/>
      <c r="JXM213" s="3"/>
      <c r="JXN213" s="3"/>
      <c r="JXO213" s="3"/>
      <c r="JXP213" s="3"/>
      <c r="JXQ213" s="3"/>
      <c r="JXR213" s="3"/>
      <c r="JXS213" s="3"/>
      <c r="JXT213" s="3"/>
      <c r="JXU213" s="3"/>
      <c r="JXV213" s="3"/>
      <c r="JXW213" s="3"/>
      <c r="JXX213" s="3"/>
      <c r="JXY213" s="3"/>
      <c r="JXZ213" s="3"/>
      <c r="JYA213" s="3"/>
      <c r="JYB213" s="3"/>
      <c r="JYC213" s="3"/>
      <c r="JYD213" s="3"/>
      <c r="JYE213" s="3"/>
      <c r="JYF213" s="3"/>
      <c r="JYG213" s="3"/>
      <c r="JYH213" s="3"/>
      <c r="JYI213" s="3"/>
      <c r="JYJ213" s="3"/>
      <c r="JYK213" s="3"/>
      <c r="JYL213" s="3"/>
      <c r="JYM213" s="3"/>
      <c r="JYN213" s="3"/>
      <c r="JYO213" s="3"/>
      <c r="JYP213" s="3"/>
      <c r="JYQ213" s="3"/>
      <c r="JYR213" s="3"/>
      <c r="JYS213" s="3"/>
      <c r="JYT213" s="3"/>
      <c r="JYU213" s="3"/>
      <c r="JYV213" s="3"/>
      <c r="JYW213" s="3"/>
      <c r="JYX213" s="3"/>
      <c r="JYY213" s="3"/>
      <c r="JYZ213" s="3"/>
      <c r="JZA213" s="3"/>
      <c r="JZB213" s="3"/>
      <c r="JZC213" s="3"/>
      <c r="JZD213" s="3"/>
      <c r="JZE213" s="3"/>
      <c r="JZF213" s="3"/>
      <c r="JZG213" s="3"/>
      <c r="JZH213" s="3"/>
      <c r="JZI213" s="3"/>
      <c r="JZJ213" s="3"/>
      <c r="JZK213" s="3"/>
      <c r="JZL213" s="3"/>
      <c r="JZM213" s="3"/>
      <c r="JZN213" s="3"/>
      <c r="JZO213" s="3"/>
      <c r="JZP213" s="3"/>
      <c r="JZQ213" s="3"/>
      <c r="JZR213" s="3"/>
      <c r="JZS213" s="3"/>
      <c r="JZT213" s="3"/>
      <c r="JZU213" s="3"/>
      <c r="JZV213" s="3"/>
      <c r="JZW213" s="3"/>
      <c r="JZX213" s="3"/>
      <c r="JZY213" s="3"/>
      <c r="JZZ213" s="3"/>
      <c r="KAA213" s="3"/>
      <c r="KAB213" s="3"/>
      <c r="KAC213" s="3"/>
      <c r="KAD213" s="3"/>
      <c r="KAE213" s="3"/>
      <c r="KAF213" s="3"/>
      <c r="KAG213" s="3"/>
      <c r="KAH213" s="3"/>
      <c r="KAI213" s="3"/>
      <c r="KAJ213" s="3"/>
      <c r="KAK213" s="3"/>
      <c r="KAL213" s="3"/>
      <c r="KAM213" s="3"/>
      <c r="KAN213" s="3"/>
      <c r="KAO213" s="3"/>
      <c r="KAP213" s="3"/>
      <c r="KAQ213" s="3"/>
      <c r="KAR213" s="3"/>
      <c r="KAS213" s="3"/>
      <c r="KAT213" s="3"/>
      <c r="KAU213" s="3"/>
      <c r="KAV213" s="3"/>
      <c r="KAW213" s="3"/>
      <c r="KAX213" s="3"/>
      <c r="KAY213" s="3"/>
      <c r="KAZ213" s="3"/>
      <c r="KBA213" s="3"/>
      <c r="KBB213" s="3"/>
      <c r="KBC213" s="3"/>
      <c r="KBD213" s="3"/>
      <c r="KBE213" s="3"/>
      <c r="KBF213" s="3"/>
      <c r="KBG213" s="3"/>
      <c r="KBH213" s="3"/>
      <c r="KBI213" s="3"/>
      <c r="KBJ213" s="3"/>
      <c r="KBK213" s="3"/>
      <c r="KBL213" s="3"/>
      <c r="KBM213" s="3"/>
      <c r="KBN213" s="3"/>
      <c r="KBO213" s="3"/>
      <c r="KBP213" s="3"/>
      <c r="KBQ213" s="3"/>
      <c r="KBR213" s="3"/>
      <c r="KBS213" s="3"/>
      <c r="KBT213" s="3"/>
      <c r="KBU213" s="3"/>
      <c r="KBV213" s="3"/>
      <c r="KBW213" s="3"/>
      <c r="KBX213" s="3"/>
      <c r="KBY213" s="3"/>
      <c r="KBZ213" s="3"/>
      <c r="KCA213" s="3"/>
      <c r="KCB213" s="3"/>
      <c r="KCC213" s="3"/>
      <c r="KCD213" s="3"/>
      <c r="KCE213" s="3"/>
      <c r="KCF213" s="3"/>
      <c r="KCG213" s="3"/>
      <c r="KCH213" s="3"/>
      <c r="KCI213" s="3"/>
      <c r="KCJ213" s="3"/>
      <c r="KCK213" s="3"/>
      <c r="KCL213" s="3"/>
      <c r="KCM213" s="3"/>
      <c r="KCN213" s="3"/>
      <c r="KCO213" s="3"/>
      <c r="KCP213" s="3"/>
      <c r="KCQ213" s="3"/>
      <c r="KCR213" s="3"/>
      <c r="KCS213" s="3"/>
      <c r="KCT213" s="3"/>
      <c r="KCU213" s="3"/>
      <c r="KCV213" s="3"/>
      <c r="KCW213" s="3"/>
      <c r="KCX213" s="3"/>
      <c r="KCY213" s="3"/>
      <c r="KCZ213" s="3"/>
      <c r="KDA213" s="3"/>
      <c r="KDB213" s="3"/>
      <c r="KDC213" s="3"/>
      <c r="KDD213" s="3"/>
      <c r="KDE213" s="3"/>
      <c r="KDF213" s="3"/>
      <c r="KDG213" s="3"/>
      <c r="KDH213" s="3"/>
      <c r="KDI213" s="3"/>
      <c r="KDJ213" s="3"/>
      <c r="KDK213" s="3"/>
      <c r="KDL213" s="3"/>
      <c r="KDM213" s="3"/>
      <c r="KDN213" s="3"/>
      <c r="KDO213" s="3"/>
      <c r="KDP213" s="3"/>
      <c r="KDQ213" s="3"/>
      <c r="KDR213" s="3"/>
      <c r="KDS213" s="3"/>
      <c r="KDT213" s="3"/>
      <c r="KDU213" s="3"/>
      <c r="KDV213" s="3"/>
      <c r="KDW213" s="3"/>
      <c r="KDX213" s="3"/>
      <c r="KDY213" s="3"/>
      <c r="KDZ213" s="3"/>
      <c r="KEA213" s="3"/>
      <c r="KEB213" s="3"/>
      <c r="KEC213" s="3"/>
      <c r="KED213" s="3"/>
      <c r="KEE213" s="3"/>
      <c r="KEF213" s="3"/>
      <c r="KEG213" s="3"/>
      <c r="KEH213" s="3"/>
      <c r="KEI213" s="3"/>
      <c r="KEJ213" s="3"/>
      <c r="KEK213" s="3"/>
      <c r="KEL213" s="3"/>
      <c r="KEM213" s="3"/>
      <c r="KEN213" s="3"/>
      <c r="KEO213" s="3"/>
      <c r="KEP213" s="3"/>
      <c r="KEQ213" s="3"/>
      <c r="KER213" s="3"/>
      <c r="KES213" s="3"/>
      <c r="KET213" s="3"/>
      <c r="KEU213" s="3"/>
      <c r="KEV213" s="3"/>
      <c r="KEW213" s="3"/>
      <c r="KEX213" s="3"/>
      <c r="KEY213" s="3"/>
      <c r="KEZ213" s="3"/>
      <c r="KFA213" s="3"/>
      <c r="KFB213" s="3"/>
      <c r="KFC213" s="3"/>
      <c r="KFD213" s="3"/>
      <c r="KFE213" s="3"/>
      <c r="KFF213" s="3"/>
      <c r="KFG213" s="3"/>
      <c r="KFH213" s="3"/>
      <c r="KFI213" s="3"/>
      <c r="KFJ213" s="3"/>
      <c r="KFK213" s="3"/>
      <c r="KFL213" s="3"/>
      <c r="KFM213" s="3"/>
      <c r="KFN213" s="3"/>
      <c r="KFO213" s="3"/>
      <c r="KFP213" s="3"/>
      <c r="KFQ213" s="3"/>
      <c r="KFR213" s="3"/>
      <c r="KFS213" s="3"/>
      <c r="KFT213" s="3"/>
      <c r="KFU213" s="3"/>
      <c r="KFV213" s="3"/>
      <c r="KFW213" s="3"/>
      <c r="KFX213" s="3"/>
      <c r="KFY213" s="3"/>
      <c r="KFZ213" s="3"/>
      <c r="KGA213" s="3"/>
      <c r="KGB213" s="3"/>
      <c r="KGC213" s="3"/>
      <c r="KGD213" s="3"/>
      <c r="KGE213" s="3"/>
      <c r="KGF213" s="3"/>
      <c r="KGG213" s="3"/>
      <c r="KGH213" s="3"/>
      <c r="KGI213" s="3"/>
      <c r="KGJ213" s="3"/>
      <c r="KGK213" s="3"/>
      <c r="KGL213" s="3"/>
      <c r="KGM213" s="3"/>
      <c r="KGN213" s="3"/>
      <c r="KGO213" s="3"/>
      <c r="KGP213" s="3"/>
      <c r="KGQ213" s="3"/>
      <c r="KGR213" s="3"/>
      <c r="KGS213" s="3"/>
      <c r="KGT213" s="3"/>
      <c r="KGU213" s="3"/>
      <c r="KGV213" s="3"/>
      <c r="KGW213" s="3"/>
      <c r="KGX213" s="3"/>
      <c r="KGY213" s="3"/>
      <c r="KGZ213" s="3"/>
      <c r="KHA213" s="3"/>
      <c r="KHB213" s="3"/>
      <c r="KHC213" s="3"/>
      <c r="KHD213" s="3"/>
      <c r="KHE213" s="3"/>
      <c r="KHF213" s="3"/>
      <c r="KHG213" s="3"/>
      <c r="KHH213" s="3"/>
      <c r="KHI213" s="3"/>
      <c r="KHJ213" s="3"/>
      <c r="KHK213" s="3"/>
      <c r="KHL213" s="3"/>
      <c r="KHM213" s="3"/>
      <c r="KHN213" s="3"/>
      <c r="KHO213" s="3"/>
      <c r="KHP213" s="3"/>
      <c r="KHQ213" s="3"/>
      <c r="KHR213" s="3"/>
      <c r="KHS213" s="3"/>
      <c r="KHT213" s="3"/>
      <c r="KHU213" s="3"/>
      <c r="KHV213" s="3"/>
      <c r="KHW213" s="3"/>
      <c r="KHX213" s="3"/>
      <c r="KHY213" s="3"/>
      <c r="KHZ213" s="3"/>
      <c r="KIA213" s="3"/>
      <c r="KIB213" s="3"/>
      <c r="KIC213" s="3"/>
      <c r="KID213" s="3"/>
      <c r="KIE213" s="3"/>
      <c r="KIF213" s="3"/>
      <c r="KIG213" s="3"/>
      <c r="KIH213" s="3"/>
      <c r="KII213" s="3"/>
      <c r="KIJ213" s="3"/>
      <c r="KIK213" s="3"/>
      <c r="KIL213" s="3"/>
      <c r="KIM213" s="3"/>
      <c r="KIN213" s="3"/>
      <c r="KIO213" s="3"/>
      <c r="KIP213" s="3"/>
      <c r="KIQ213" s="3"/>
      <c r="KIR213" s="3"/>
      <c r="KIS213" s="3"/>
      <c r="KIT213" s="3"/>
      <c r="KIU213" s="3"/>
      <c r="KIV213" s="3"/>
      <c r="KIW213" s="3"/>
      <c r="KIX213" s="3"/>
      <c r="KIY213" s="3"/>
      <c r="KIZ213" s="3"/>
      <c r="KJA213" s="3"/>
      <c r="KJB213" s="3"/>
      <c r="KJC213" s="3"/>
      <c r="KJD213" s="3"/>
      <c r="KJE213" s="3"/>
      <c r="KJF213" s="3"/>
      <c r="KJG213" s="3"/>
      <c r="KJH213" s="3"/>
      <c r="KJI213" s="3"/>
      <c r="KJJ213" s="3"/>
      <c r="KJK213" s="3"/>
      <c r="KJL213" s="3"/>
      <c r="KJM213" s="3"/>
      <c r="KJN213" s="3"/>
      <c r="KJO213" s="3"/>
      <c r="KJP213" s="3"/>
      <c r="KJQ213" s="3"/>
      <c r="KJR213" s="3"/>
      <c r="KJS213" s="3"/>
      <c r="KJT213" s="3"/>
      <c r="KJU213" s="3"/>
      <c r="KJV213" s="3"/>
      <c r="KJW213" s="3"/>
      <c r="KJX213" s="3"/>
      <c r="KJY213" s="3"/>
      <c r="KJZ213" s="3"/>
      <c r="KKA213" s="3"/>
      <c r="KKB213" s="3"/>
      <c r="KKC213" s="3"/>
      <c r="KKD213" s="3"/>
      <c r="KKE213" s="3"/>
      <c r="KKF213" s="3"/>
      <c r="KKG213" s="3"/>
      <c r="KKH213" s="3"/>
      <c r="KKI213" s="3"/>
      <c r="KKJ213" s="3"/>
      <c r="KKK213" s="3"/>
      <c r="KKL213" s="3"/>
      <c r="KKM213" s="3"/>
      <c r="KKN213" s="3"/>
      <c r="KKO213" s="3"/>
      <c r="KKP213" s="3"/>
      <c r="KKQ213" s="3"/>
      <c r="KKR213" s="3"/>
      <c r="KKS213" s="3"/>
      <c r="KKT213" s="3"/>
      <c r="KKU213" s="3"/>
      <c r="KKV213" s="3"/>
      <c r="KKW213" s="3"/>
      <c r="KKX213" s="3"/>
      <c r="KKY213" s="3"/>
      <c r="KKZ213" s="3"/>
      <c r="KLA213" s="3"/>
      <c r="KLB213" s="3"/>
      <c r="KLC213" s="3"/>
      <c r="KLD213" s="3"/>
      <c r="KLE213" s="3"/>
      <c r="KLF213" s="3"/>
      <c r="KLG213" s="3"/>
      <c r="KLH213" s="3"/>
      <c r="KLI213" s="3"/>
      <c r="KLJ213" s="3"/>
      <c r="KLK213" s="3"/>
      <c r="KLL213" s="3"/>
      <c r="KLM213" s="3"/>
      <c r="KLN213" s="3"/>
      <c r="KLO213" s="3"/>
      <c r="KLP213" s="3"/>
      <c r="KLQ213" s="3"/>
      <c r="KLR213" s="3"/>
      <c r="KLS213" s="3"/>
      <c r="KLT213" s="3"/>
      <c r="KLU213" s="3"/>
      <c r="KLV213" s="3"/>
      <c r="KLW213" s="3"/>
      <c r="KLX213" s="3"/>
      <c r="KLY213" s="3"/>
      <c r="KLZ213" s="3"/>
      <c r="KMA213" s="3"/>
      <c r="KMB213" s="3"/>
      <c r="KMC213" s="3"/>
      <c r="KMD213" s="3"/>
      <c r="KME213" s="3"/>
      <c r="KMF213" s="3"/>
      <c r="KMG213" s="3"/>
      <c r="KMH213" s="3"/>
      <c r="KMI213" s="3"/>
      <c r="KMJ213" s="3"/>
      <c r="KMK213" s="3"/>
      <c r="KML213" s="3"/>
      <c r="KMM213" s="3"/>
      <c r="KMN213" s="3"/>
      <c r="KMO213" s="3"/>
      <c r="KMP213" s="3"/>
      <c r="KMQ213" s="3"/>
      <c r="KMR213" s="3"/>
      <c r="KMS213" s="3"/>
      <c r="KMT213" s="3"/>
      <c r="KMU213" s="3"/>
      <c r="KMV213" s="3"/>
      <c r="KMW213" s="3"/>
      <c r="KMX213" s="3"/>
      <c r="KMY213" s="3"/>
      <c r="KMZ213" s="3"/>
      <c r="KNA213" s="3"/>
      <c r="KNB213" s="3"/>
      <c r="KNC213" s="3"/>
      <c r="KND213" s="3"/>
      <c r="KNE213" s="3"/>
      <c r="KNF213" s="3"/>
      <c r="KNG213" s="3"/>
      <c r="KNH213" s="3"/>
      <c r="KNI213" s="3"/>
      <c r="KNJ213" s="3"/>
      <c r="KNK213" s="3"/>
      <c r="KNL213" s="3"/>
      <c r="KNM213" s="3"/>
      <c r="KNN213" s="3"/>
      <c r="KNO213" s="3"/>
      <c r="KNP213" s="3"/>
      <c r="KNQ213" s="3"/>
      <c r="KNR213" s="3"/>
      <c r="KNS213" s="3"/>
      <c r="KNT213" s="3"/>
      <c r="KNU213" s="3"/>
      <c r="KNV213" s="3"/>
      <c r="KNW213" s="3"/>
      <c r="KNX213" s="3"/>
      <c r="KNY213" s="3"/>
      <c r="KNZ213" s="3"/>
      <c r="KOA213" s="3"/>
      <c r="KOB213" s="3"/>
      <c r="KOC213" s="3"/>
      <c r="KOD213" s="3"/>
      <c r="KOE213" s="3"/>
      <c r="KOF213" s="3"/>
      <c r="KOG213" s="3"/>
      <c r="KOH213" s="3"/>
      <c r="KOI213" s="3"/>
      <c r="KOJ213" s="3"/>
      <c r="KOK213" s="3"/>
      <c r="KOL213" s="3"/>
      <c r="KOM213" s="3"/>
      <c r="KON213" s="3"/>
      <c r="KOO213" s="3"/>
      <c r="KOP213" s="3"/>
      <c r="KOQ213" s="3"/>
      <c r="KOR213" s="3"/>
      <c r="KOS213" s="3"/>
      <c r="KOT213" s="3"/>
      <c r="KOU213" s="3"/>
      <c r="KOV213" s="3"/>
      <c r="KOW213" s="3"/>
      <c r="KOX213" s="3"/>
      <c r="KOY213" s="3"/>
      <c r="KOZ213" s="3"/>
      <c r="KPA213" s="3"/>
      <c r="KPB213" s="3"/>
      <c r="KPC213" s="3"/>
      <c r="KPD213" s="3"/>
      <c r="KPE213" s="3"/>
      <c r="KPF213" s="3"/>
      <c r="KPG213" s="3"/>
      <c r="KPH213" s="3"/>
      <c r="KPI213" s="3"/>
      <c r="KPJ213" s="3"/>
      <c r="KPK213" s="3"/>
      <c r="KPL213" s="3"/>
      <c r="KPM213" s="3"/>
      <c r="KPN213" s="3"/>
      <c r="KPO213" s="3"/>
      <c r="KPP213" s="3"/>
      <c r="KPQ213" s="3"/>
      <c r="KPR213" s="3"/>
      <c r="KPS213" s="3"/>
      <c r="KPT213" s="3"/>
      <c r="KPU213" s="3"/>
      <c r="KPV213" s="3"/>
      <c r="KPW213" s="3"/>
      <c r="KPX213" s="3"/>
      <c r="KPY213" s="3"/>
      <c r="KPZ213" s="3"/>
      <c r="KQA213" s="3"/>
      <c r="KQB213" s="3"/>
      <c r="KQC213" s="3"/>
      <c r="KQD213" s="3"/>
      <c r="KQE213" s="3"/>
      <c r="KQF213" s="3"/>
      <c r="KQG213" s="3"/>
      <c r="KQH213" s="3"/>
      <c r="KQI213" s="3"/>
      <c r="KQJ213" s="3"/>
      <c r="KQK213" s="3"/>
      <c r="KQL213" s="3"/>
      <c r="KQM213" s="3"/>
      <c r="KQN213" s="3"/>
      <c r="KQO213" s="3"/>
      <c r="KQP213" s="3"/>
      <c r="KQQ213" s="3"/>
      <c r="KQR213" s="3"/>
      <c r="KQS213" s="3"/>
      <c r="KQT213" s="3"/>
      <c r="KQU213" s="3"/>
      <c r="KQV213" s="3"/>
      <c r="KQW213" s="3"/>
      <c r="KQX213" s="3"/>
      <c r="KQY213" s="3"/>
      <c r="KQZ213" s="3"/>
      <c r="KRA213" s="3"/>
      <c r="KRB213" s="3"/>
      <c r="KRC213" s="3"/>
      <c r="KRD213" s="3"/>
      <c r="KRE213" s="3"/>
      <c r="KRF213" s="3"/>
      <c r="KRG213" s="3"/>
      <c r="KRH213" s="3"/>
      <c r="KRI213" s="3"/>
      <c r="KRJ213" s="3"/>
      <c r="KRK213" s="3"/>
      <c r="KRL213" s="3"/>
      <c r="KRM213" s="3"/>
      <c r="KRN213" s="3"/>
      <c r="KRO213" s="3"/>
      <c r="KRP213" s="3"/>
      <c r="KRQ213" s="3"/>
      <c r="KRR213" s="3"/>
      <c r="KRS213" s="3"/>
      <c r="KRT213" s="3"/>
      <c r="KRU213" s="3"/>
      <c r="KRV213" s="3"/>
      <c r="KRW213" s="3"/>
      <c r="KRX213" s="3"/>
      <c r="KRY213" s="3"/>
      <c r="KRZ213" s="3"/>
      <c r="KSA213" s="3"/>
      <c r="KSB213" s="3"/>
      <c r="KSC213" s="3"/>
      <c r="KSD213" s="3"/>
      <c r="KSE213" s="3"/>
      <c r="KSF213" s="3"/>
      <c r="KSG213" s="3"/>
      <c r="KSH213" s="3"/>
      <c r="KSI213" s="3"/>
      <c r="KSJ213" s="3"/>
      <c r="KSK213" s="3"/>
      <c r="KSL213" s="3"/>
      <c r="KSM213" s="3"/>
      <c r="KSN213" s="3"/>
      <c r="KSO213" s="3"/>
      <c r="KSP213" s="3"/>
      <c r="KSQ213" s="3"/>
      <c r="KSR213" s="3"/>
      <c r="KSS213" s="3"/>
      <c r="KST213" s="3"/>
      <c r="KSU213" s="3"/>
      <c r="KSV213" s="3"/>
      <c r="KSW213" s="3"/>
      <c r="KSX213" s="3"/>
      <c r="KSY213" s="3"/>
      <c r="KSZ213" s="3"/>
      <c r="KTA213" s="3"/>
      <c r="KTB213" s="3"/>
      <c r="KTC213" s="3"/>
      <c r="KTD213" s="3"/>
      <c r="KTE213" s="3"/>
      <c r="KTF213" s="3"/>
      <c r="KTG213" s="3"/>
      <c r="KTH213" s="3"/>
      <c r="KTI213" s="3"/>
      <c r="KTJ213" s="3"/>
      <c r="KTK213" s="3"/>
      <c r="KTL213" s="3"/>
      <c r="KTM213" s="3"/>
      <c r="KTN213" s="3"/>
      <c r="KTO213" s="3"/>
      <c r="KTP213" s="3"/>
      <c r="KTQ213" s="3"/>
      <c r="KTR213" s="3"/>
      <c r="KTS213" s="3"/>
      <c r="KTT213" s="3"/>
      <c r="KTU213" s="3"/>
      <c r="KTV213" s="3"/>
      <c r="KTW213" s="3"/>
      <c r="KTX213" s="3"/>
      <c r="KTY213" s="3"/>
      <c r="KTZ213" s="3"/>
      <c r="KUA213" s="3"/>
      <c r="KUB213" s="3"/>
      <c r="KUC213" s="3"/>
      <c r="KUD213" s="3"/>
      <c r="KUE213" s="3"/>
      <c r="KUF213" s="3"/>
      <c r="KUG213" s="3"/>
      <c r="KUH213" s="3"/>
      <c r="KUI213" s="3"/>
      <c r="KUJ213" s="3"/>
      <c r="KUK213" s="3"/>
      <c r="KUL213" s="3"/>
      <c r="KUM213" s="3"/>
      <c r="KUN213" s="3"/>
      <c r="KUO213" s="3"/>
      <c r="KUP213" s="3"/>
      <c r="KUQ213" s="3"/>
      <c r="KUR213" s="3"/>
      <c r="KUS213" s="3"/>
      <c r="KUT213" s="3"/>
      <c r="KUU213" s="3"/>
      <c r="KUV213" s="3"/>
      <c r="KUW213" s="3"/>
      <c r="KUX213" s="3"/>
      <c r="KUY213" s="3"/>
      <c r="KUZ213" s="3"/>
      <c r="KVA213" s="3"/>
      <c r="KVB213" s="3"/>
      <c r="KVC213" s="3"/>
      <c r="KVD213" s="3"/>
      <c r="KVE213" s="3"/>
      <c r="KVF213" s="3"/>
      <c r="KVG213" s="3"/>
      <c r="KVH213" s="3"/>
      <c r="KVI213" s="3"/>
      <c r="KVJ213" s="3"/>
      <c r="KVK213" s="3"/>
      <c r="KVL213" s="3"/>
      <c r="KVM213" s="3"/>
      <c r="KVN213" s="3"/>
      <c r="KVO213" s="3"/>
      <c r="KVP213" s="3"/>
      <c r="KVQ213" s="3"/>
      <c r="KVR213" s="3"/>
      <c r="KVS213" s="3"/>
      <c r="KVT213" s="3"/>
      <c r="KVU213" s="3"/>
      <c r="KVV213" s="3"/>
      <c r="KVW213" s="3"/>
      <c r="KVX213" s="3"/>
      <c r="KVY213" s="3"/>
      <c r="KVZ213" s="3"/>
      <c r="KWA213" s="3"/>
      <c r="KWB213" s="3"/>
      <c r="KWC213" s="3"/>
      <c r="KWD213" s="3"/>
      <c r="KWE213" s="3"/>
      <c r="KWF213" s="3"/>
      <c r="KWG213" s="3"/>
      <c r="KWH213" s="3"/>
      <c r="KWI213" s="3"/>
      <c r="KWJ213" s="3"/>
      <c r="KWK213" s="3"/>
      <c r="KWL213" s="3"/>
      <c r="KWM213" s="3"/>
      <c r="KWN213" s="3"/>
      <c r="KWO213" s="3"/>
      <c r="KWP213" s="3"/>
      <c r="KWQ213" s="3"/>
      <c r="KWR213" s="3"/>
      <c r="KWS213" s="3"/>
      <c r="KWT213" s="3"/>
      <c r="KWU213" s="3"/>
      <c r="KWV213" s="3"/>
      <c r="KWW213" s="3"/>
      <c r="KWX213" s="3"/>
      <c r="KWY213" s="3"/>
      <c r="KWZ213" s="3"/>
      <c r="KXA213" s="3"/>
      <c r="KXB213" s="3"/>
      <c r="KXC213" s="3"/>
      <c r="KXD213" s="3"/>
      <c r="KXE213" s="3"/>
      <c r="KXF213" s="3"/>
      <c r="KXG213" s="3"/>
      <c r="KXH213" s="3"/>
      <c r="KXI213" s="3"/>
      <c r="KXJ213" s="3"/>
      <c r="KXK213" s="3"/>
      <c r="KXL213" s="3"/>
      <c r="KXM213" s="3"/>
      <c r="KXN213" s="3"/>
      <c r="KXO213" s="3"/>
      <c r="KXP213" s="3"/>
      <c r="KXQ213" s="3"/>
      <c r="KXR213" s="3"/>
      <c r="KXS213" s="3"/>
      <c r="KXT213" s="3"/>
      <c r="KXU213" s="3"/>
      <c r="KXV213" s="3"/>
      <c r="KXW213" s="3"/>
      <c r="KXX213" s="3"/>
      <c r="KXY213" s="3"/>
      <c r="KXZ213" s="3"/>
      <c r="KYA213" s="3"/>
      <c r="KYB213" s="3"/>
      <c r="KYC213" s="3"/>
      <c r="KYD213" s="3"/>
      <c r="KYE213" s="3"/>
      <c r="KYF213" s="3"/>
      <c r="KYG213" s="3"/>
      <c r="KYH213" s="3"/>
      <c r="KYI213" s="3"/>
      <c r="KYJ213" s="3"/>
      <c r="KYK213" s="3"/>
      <c r="KYL213" s="3"/>
      <c r="KYM213" s="3"/>
      <c r="KYN213" s="3"/>
      <c r="KYO213" s="3"/>
      <c r="KYP213" s="3"/>
      <c r="KYQ213" s="3"/>
      <c r="KYR213" s="3"/>
      <c r="KYS213" s="3"/>
      <c r="KYT213" s="3"/>
      <c r="KYU213" s="3"/>
      <c r="KYV213" s="3"/>
      <c r="KYW213" s="3"/>
      <c r="KYX213" s="3"/>
      <c r="KYY213" s="3"/>
      <c r="KYZ213" s="3"/>
      <c r="KZA213" s="3"/>
      <c r="KZB213" s="3"/>
      <c r="KZC213" s="3"/>
      <c r="KZD213" s="3"/>
      <c r="KZE213" s="3"/>
      <c r="KZF213" s="3"/>
      <c r="KZG213" s="3"/>
      <c r="KZH213" s="3"/>
      <c r="KZI213" s="3"/>
      <c r="KZJ213" s="3"/>
      <c r="KZK213" s="3"/>
      <c r="KZL213" s="3"/>
      <c r="KZM213" s="3"/>
      <c r="KZN213" s="3"/>
      <c r="KZO213" s="3"/>
      <c r="KZP213" s="3"/>
      <c r="KZQ213" s="3"/>
      <c r="KZR213" s="3"/>
      <c r="KZS213" s="3"/>
      <c r="KZT213" s="3"/>
      <c r="KZU213" s="3"/>
      <c r="KZV213" s="3"/>
      <c r="KZW213" s="3"/>
      <c r="KZX213" s="3"/>
      <c r="KZY213" s="3"/>
      <c r="KZZ213" s="3"/>
      <c r="LAA213" s="3"/>
      <c r="LAB213" s="3"/>
      <c r="LAC213" s="3"/>
      <c r="LAD213" s="3"/>
      <c r="LAE213" s="3"/>
      <c r="LAF213" s="3"/>
      <c r="LAG213" s="3"/>
      <c r="LAH213" s="3"/>
      <c r="LAI213" s="3"/>
      <c r="LAJ213" s="3"/>
      <c r="LAK213" s="3"/>
      <c r="LAL213" s="3"/>
      <c r="LAM213" s="3"/>
      <c r="LAN213" s="3"/>
      <c r="LAO213" s="3"/>
      <c r="LAP213" s="3"/>
      <c r="LAQ213" s="3"/>
      <c r="LAR213" s="3"/>
      <c r="LAS213" s="3"/>
      <c r="LAT213" s="3"/>
      <c r="LAU213" s="3"/>
      <c r="LAV213" s="3"/>
      <c r="LAW213" s="3"/>
      <c r="LAX213" s="3"/>
      <c r="LAY213" s="3"/>
      <c r="LAZ213" s="3"/>
      <c r="LBA213" s="3"/>
      <c r="LBB213" s="3"/>
      <c r="LBC213" s="3"/>
      <c r="LBD213" s="3"/>
      <c r="LBE213" s="3"/>
      <c r="LBF213" s="3"/>
      <c r="LBG213" s="3"/>
      <c r="LBH213" s="3"/>
      <c r="LBI213" s="3"/>
      <c r="LBJ213" s="3"/>
      <c r="LBK213" s="3"/>
      <c r="LBL213" s="3"/>
      <c r="LBM213" s="3"/>
      <c r="LBN213" s="3"/>
      <c r="LBO213" s="3"/>
      <c r="LBP213" s="3"/>
      <c r="LBQ213" s="3"/>
      <c r="LBR213" s="3"/>
      <c r="LBS213" s="3"/>
      <c r="LBT213" s="3"/>
      <c r="LBU213" s="3"/>
      <c r="LBV213" s="3"/>
      <c r="LBW213" s="3"/>
      <c r="LBX213" s="3"/>
      <c r="LBY213" s="3"/>
      <c r="LBZ213" s="3"/>
      <c r="LCA213" s="3"/>
      <c r="LCB213" s="3"/>
      <c r="LCC213" s="3"/>
      <c r="LCD213" s="3"/>
      <c r="LCE213" s="3"/>
      <c r="LCF213" s="3"/>
      <c r="LCG213" s="3"/>
      <c r="LCH213" s="3"/>
      <c r="LCI213" s="3"/>
      <c r="LCJ213" s="3"/>
      <c r="LCK213" s="3"/>
      <c r="LCL213" s="3"/>
      <c r="LCM213" s="3"/>
      <c r="LCN213" s="3"/>
      <c r="LCO213" s="3"/>
      <c r="LCP213" s="3"/>
      <c r="LCQ213" s="3"/>
      <c r="LCR213" s="3"/>
      <c r="LCS213" s="3"/>
      <c r="LCT213" s="3"/>
      <c r="LCU213" s="3"/>
      <c r="LCV213" s="3"/>
      <c r="LCW213" s="3"/>
      <c r="LCX213" s="3"/>
      <c r="LCY213" s="3"/>
      <c r="LCZ213" s="3"/>
      <c r="LDA213" s="3"/>
      <c r="LDB213" s="3"/>
      <c r="LDC213" s="3"/>
      <c r="LDD213" s="3"/>
      <c r="LDE213" s="3"/>
      <c r="LDF213" s="3"/>
      <c r="LDG213" s="3"/>
      <c r="LDH213" s="3"/>
      <c r="LDI213" s="3"/>
      <c r="LDJ213" s="3"/>
      <c r="LDK213" s="3"/>
      <c r="LDL213" s="3"/>
      <c r="LDM213" s="3"/>
      <c r="LDN213" s="3"/>
      <c r="LDO213" s="3"/>
      <c r="LDP213" s="3"/>
      <c r="LDQ213" s="3"/>
      <c r="LDR213" s="3"/>
      <c r="LDS213" s="3"/>
      <c r="LDT213" s="3"/>
      <c r="LDU213" s="3"/>
      <c r="LDV213" s="3"/>
      <c r="LDW213" s="3"/>
      <c r="LDX213" s="3"/>
      <c r="LDY213" s="3"/>
      <c r="LDZ213" s="3"/>
      <c r="LEA213" s="3"/>
      <c r="LEB213" s="3"/>
      <c r="LEC213" s="3"/>
      <c r="LED213" s="3"/>
      <c r="LEE213" s="3"/>
      <c r="LEF213" s="3"/>
      <c r="LEG213" s="3"/>
      <c r="LEH213" s="3"/>
      <c r="LEI213" s="3"/>
      <c r="LEJ213" s="3"/>
      <c r="LEK213" s="3"/>
      <c r="LEL213" s="3"/>
      <c r="LEM213" s="3"/>
      <c r="LEN213" s="3"/>
      <c r="LEO213" s="3"/>
      <c r="LEP213" s="3"/>
      <c r="LEQ213" s="3"/>
      <c r="LER213" s="3"/>
      <c r="LES213" s="3"/>
      <c r="LET213" s="3"/>
      <c r="LEU213" s="3"/>
      <c r="LEV213" s="3"/>
      <c r="LEW213" s="3"/>
      <c r="LEX213" s="3"/>
      <c r="LEY213" s="3"/>
      <c r="LEZ213" s="3"/>
      <c r="LFA213" s="3"/>
      <c r="LFB213" s="3"/>
      <c r="LFC213" s="3"/>
      <c r="LFD213" s="3"/>
      <c r="LFE213" s="3"/>
      <c r="LFF213" s="3"/>
      <c r="LFG213" s="3"/>
      <c r="LFH213" s="3"/>
      <c r="LFI213" s="3"/>
      <c r="LFJ213" s="3"/>
      <c r="LFK213" s="3"/>
      <c r="LFL213" s="3"/>
      <c r="LFM213" s="3"/>
      <c r="LFN213" s="3"/>
      <c r="LFO213" s="3"/>
      <c r="LFP213" s="3"/>
      <c r="LFQ213" s="3"/>
      <c r="LFR213" s="3"/>
      <c r="LFS213" s="3"/>
      <c r="LFT213" s="3"/>
      <c r="LFU213" s="3"/>
      <c r="LFV213" s="3"/>
      <c r="LFW213" s="3"/>
      <c r="LFX213" s="3"/>
      <c r="LFY213" s="3"/>
      <c r="LFZ213" s="3"/>
      <c r="LGA213" s="3"/>
      <c r="LGB213" s="3"/>
      <c r="LGC213" s="3"/>
      <c r="LGD213" s="3"/>
      <c r="LGE213" s="3"/>
      <c r="LGF213" s="3"/>
      <c r="LGG213" s="3"/>
      <c r="LGH213" s="3"/>
      <c r="LGI213" s="3"/>
      <c r="LGJ213" s="3"/>
      <c r="LGK213" s="3"/>
      <c r="LGL213" s="3"/>
      <c r="LGM213" s="3"/>
      <c r="LGN213" s="3"/>
      <c r="LGO213" s="3"/>
      <c r="LGP213" s="3"/>
      <c r="LGQ213" s="3"/>
      <c r="LGR213" s="3"/>
      <c r="LGS213" s="3"/>
      <c r="LGT213" s="3"/>
      <c r="LGU213" s="3"/>
      <c r="LGV213" s="3"/>
      <c r="LGW213" s="3"/>
      <c r="LGX213" s="3"/>
      <c r="LGY213" s="3"/>
      <c r="LGZ213" s="3"/>
      <c r="LHA213" s="3"/>
      <c r="LHB213" s="3"/>
      <c r="LHC213" s="3"/>
      <c r="LHD213" s="3"/>
      <c r="LHE213" s="3"/>
      <c r="LHF213" s="3"/>
      <c r="LHG213" s="3"/>
      <c r="LHH213" s="3"/>
      <c r="LHI213" s="3"/>
      <c r="LHJ213" s="3"/>
      <c r="LHK213" s="3"/>
      <c r="LHL213" s="3"/>
      <c r="LHM213" s="3"/>
      <c r="LHN213" s="3"/>
      <c r="LHO213" s="3"/>
      <c r="LHP213" s="3"/>
      <c r="LHQ213" s="3"/>
      <c r="LHR213" s="3"/>
      <c r="LHS213" s="3"/>
      <c r="LHT213" s="3"/>
      <c r="LHU213" s="3"/>
      <c r="LHV213" s="3"/>
      <c r="LHW213" s="3"/>
      <c r="LHX213" s="3"/>
      <c r="LHY213" s="3"/>
      <c r="LHZ213" s="3"/>
      <c r="LIA213" s="3"/>
      <c r="LIB213" s="3"/>
      <c r="LIC213" s="3"/>
      <c r="LID213" s="3"/>
      <c r="LIE213" s="3"/>
      <c r="LIF213" s="3"/>
      <c r="LIG213" s="3"/>
      <c r="LIH213" s="3"/>
      <c r="LII213" s="3"/>
      <c r="LIJ213" s="3"/>
      <c r="LIK213" s="3"/>
      <c r="LIL213" s="3"/>
      <c r="LIM213" s="3"/>
      <c r="LIN213" s="3"/>
      <c r="LIO213" s="3"/>
      <c r="LIP213" s="3"/>
      <c r="LIQ213" s="3"/>
      <c r="LIR213" s="3"/>
      <c r="LIS213" s="3"/>
      <c r="LIT213" s="3"/>
      <c r="LIU213" s="3"/>
      <c r="LIV213" s="3"/>
      <c r="LIW213" s="3"/>
      <c r="LIX213" s="3"/>
      <c r="LIY213" s="3"/>
      <c r="LIZ213" s="3"/>
      <c r="LJA213" s="3"/>
      <c r="LJB213" s="3"/>
      <c r="LJC213" s="3"/>
      <c r="LJD213" s="3"/>
      <c r="LJE213" s="3"/>
      <c r="LJF213" s="3"/>
      <c r="LJG213" s="3"/>
      <c r="LJH213" s="3"/>
      <c r="LJI213" s="3"/>
      <c r="LJJ213" s="3"/>
      <c r="LJK213" s="3"/>
      <c r="LJL213" s="3"/>
      <c r="LJM213" s="3"/>
      <c r="LJN213" s="3"/>
      <c r="LJO213" s="3"/>
      <c r="LJP213" s="3"/>
      <c r="LJQ213" s="3"/>
      <c r="LJR213" s="3"/>
      <c r="LJS213" s="3"/>
      <c r="LJT213" s="3"/>
      <c r="LJU213" s="3"/>
      <c r="LJV213" s="3"/>
      <c r="LJW213" s="3"/>
      <c r="LJX213" s="3"/>
      <c r="LJY213" s="3"/>
      <c r="LJZ213" s="3"/>
      <c r="LKA213" s="3"/>
      <c r="LKB213" s="3"/>
      <c r="LKC213" s="3"/>
      <c r="LKD213" s="3"/>
      <c r="LKE213" s="3"/>
      <c r="LKF213" s="3"/>
      <c r="LKG213" s="3"/>
      <c r="LKH213" s="3"/>
      <c r="LKI213" s="3"/>
      <c r="LKJ213" s="3"/>
      <c r="LKK213" s="3"/>
      <c r="LKL213" s="3"/>
      <c r="LKM213" s="3"/>
      <c r="LKN213" s="3"/>
      <c r="LKO213" s="3"/>
      <c r="LKP213" s="3"/>
      <c r="LKQ213" s="3"/>
      <c r="LKR213" s="3"/>
      <c r="LKS213" s="3"/>
      <c r="LKT213" s="3"/>
      <c r="LKU213" s="3"/>
      <c r="LKV213" s="3"/>
      <c r="LKW213" s="3"/>
      <c r="LKX213" s="3"/>
      <c r="LKY213" s="3"/>
      <c r="LKZ213" s="3"/>
      <c r="LLA213" s="3"/>
      <c r="LLB213" s="3"/>
      <c r="LLC213" s="3"/>
      <c r="LLD213" s="3"/>
      <c r="LLE213" s="3"/>
      <c r="LLF213" s="3"/>
      <c r="LLG213" s="3"/>
      <c r="LLH213" s="3"/>
      <c r="LLI213" s="3"/>
      <c r="LLJ213" s="3"/>
      <c r="LLK213" s="3"/>
      <c r="LLL213" s="3"/>
      <c r="LLM213" s="3"/>
      <c r="LLN213" s="3"/>
      <c r="LLO213" s="3"/>
      <c r="LLP213" s="3"/>
      <c r="LLQ213" s="3"/>
      <c r="LLR213" s="3"/>
      <c r="LLS213" s="3"/>
      <c r="LLT213" s="3"/>
      <c r="LLU213" s="3"/>
      <c r="LLV213" s="3"/>
      <c r="LLW213" s="3"/>
      <c r="LLX213" s="3"/>
      <c r="LLY213" s="3"/>
      <c r="LLZ213" s="3"/>
      <c r="LMA213" s="3"/>
      <c r="LMB213" s="3"/>
      <c r="LMC213" s="3"/>
      <c r="LMD213" s="3"/>
      <c r="LME213" s="3"/>
      <c r="LMF213" s="3"/>
      <c r="LMG213" s="3"/>
      <c r="LMH213" s="3"/>
      <c r="LMI213" s="3"/>
      <c r="LMJ213" s="3"/>
      <c r="LMK213" s="3"/>
      <c r="LML213" s="3"/>
      <c r="LMM213" s="3"/>
      <c r="LMN213" s="3"/>
      <c r="LMO213" s="3"/>
      <c r="LMP213" s="3"/>
      <c r="LMQ213" s="3"/>
      <c r="LMR213" s="3"/>
      <c r="LMS213" s="3"/>
      <c r="LMT213" s="3"/>
      <c r="LMU213" s="3"/>
      <c r="LMV213" s="3"/>
      <c r="LMW213" s="3"/>
      <c r="LMX213" s="3"/>
      <c r="LMY213" s="3"/>
      <c r="LMZ213" s="3"/>
      <c r="LNA213" s="3"/>
      <c r="LNB213" s="3"/>
      <c r="LNC213" s="3"/>
      <c r="LND213" s="3"/>
      <c r="LNE213" s="3"/>
      <c r="LNF213" s="3"/>
      <c r="LNG213" s="3"/>
      <c r="LNH213" s="3"/>
      <c r="LNI213" s="3"/>
      <c r="LNJ213" s="3"/>
      <c r="LNK213" s="3"/>
      <c r="LNL213" s="3"/>
      <c r="LNM213" s="3"/>
      <c r="LNN213" s="3"/>
      <c r="LNO213" s="3"/>
      <c r="LNP213" s="3"/>
      <c r="LNQ213" s="3"/>
      <c r="LNR213" s="3"/>
      <c r="LNS213" s="3"/>
      <c r="LNT213" s="3"/>
      <c r="LNU213" s="3"/>
      <c r="LNV213" s="3"/>
      <c r="LNW213" s="3"/>
      <c r="LNX213" s="3"/>
      <c r="LNY213" s="3"/>
      <c r="LNZ213" s="3"/>
      <c r="LOA213" s="3"/>
      <c r="LOB213" s="3"/>
      <c r="LOC213" s="3"/>
      <c r="LOD213" s="3"/>
      <c r="LOE213" s="3"/>
      <c r="LOF213" s="3"/>
      <c r="LOG213" s="3"/>
      <c r="LOH213" s="3"/>
      <c r="LOI213" s="3"/>
      <c r="LOJ213" s="3"/>
      <c r="LOK213" s="3"/>
      <c r="LOL213" s="3"/>
      <c r="LOM213" s="3"/>
      <c r="LON213" s="3"/>
      <c r="LOO213" s="3"/>
      <c r="LOP213" s="3"/>
      <c r="LOQ213" s="3"/>
      <c r="LOR213" s="3"/>
      <c r="LOS213" s="3"/>
      <c r="LOT213" s="3"/>
      <c r="LOU213" s="3"/>
      <c r="LOV213" s="3"/>
      <c r="LOW213" s="3"/>
      <c r="LOX213" s="3"/>
      <c r="LOY213" s="3"/>
      <c r="LOZ213" s="3"/>
      <c r="LPA213" s="3"/>
      <c r="LPB213" s="3"/>
      <c r="LPC213" s="3"/>
      <c r="LPD213" s="3"/>
      <c r="LPE213" s="3"/>
      <c r="LPF213" s="3"/>
      <c r="LPG213" s="3"/>
      <c r="LPH213" s="3"/>
      <c r="LPI213" s="3"/>
      <c r="LPJ213" s="3"/>
      <c r="LPK213" s="3"/>
      <c r="LPL213" s="3"/>
      <c r="LPM213" s="3"/>
      <c r="LPN213" s="3"/>
      <c r="LPO213" s="3"/>
      <c r="LPP213" s="3"/>
      <c r="LPQ213" s="3"/>
      <c r="LPR213" s="3"/>
      <c r="LPS213" s="3"/>
      <c r="LPT213" s="3"/>
      <c r="LPU213" s="3"/>
      <c r="LPV213" s="3"/>
      <c r="LPW213" s="3"/>
      <c r="LPX213" s="3"/>
      <c r="LPY213" s="3"/>
      <c r="LPZ213" s="3"/>
      <c r="LQA213" s="3"/>
      <c r="LQB213" s="3"/>
      <c r="LQC213" s="3"/>
      <c r="LQD213" s="3"/>
      <c r="LQE213" s="3"/>
      <c r="LQF213" s="3"/>
      <c r="LQG213" s="3"/>
      <c r="LQH213" s="3"/>
      <c r="LQI213" s="3"/>
      <c r="LQJ213" s="3"/>
      <c r="LQK213" s="3"/>
      <c r="LQL213" s="3"/>
      <c r="LQM213" s="3"/>
      <c r="LQN213" s="3"/>
      <c r="LQO213" s="3"/>
      <c r="LQP213" s="3"/>
      <c r="LQQ213" s="3"/>
      <c r="LQR213" s="3"/>
      <c r="LQS213" s="3"/>
      <c r="LQT213" s="3"/>
      <c r="LQU213" s="3"/>
      <c r="LQV213" s="3"/>
      <c r="LQW213" s="3"/>
      <c r="LQX213" s="3"/>
      <c r="LQY213" s="3"/>
      <c r="LQZ213" s="3"/>
      <c r="LRA213" s="3"/>
      <c r="LRB213" s="3"/>
      <c r="LRC213" s="3"/>
      <c r="LRD213" s="3"/>
      <c r="LRE213" s="3"/>
      <c r="LRF213" s="3"/>
      <c r="LRG213" s="3"/>
      <c r="LRH213" s="3"/>
      <c r="LRI213" s="3"/>
      <c r="LRJ213" s="3"/>
      <c r="LRK213" s="3"/>
      <c r="LRL213" s="3"/>
      <c r="LRM213" s="3"/>
      <c r="LRN213" s="3"/>
      <c r="LRO213" s="3"/>
      <c r="LRP213" s="3"/>
      <c r="LRQ213" s="3"/>
      <c r="LRR213" s="3"/>
      <c r="LRS213" s="3"/>
      <c r="LRT213" s="3"/>
      <c r="LRU213" s="3"/>
      <c r="LRV213" s="3"/>
      <c r="LRW213" s="3"/>
      <c r="LRX213" s="3"/>
      <c r="LRY213" s="3"/>
      <c r="LRZ213" s="3"/>
      <c r="LSA213" s="3"/>
      <c r="LSB213" s="3"/>
      <c r="LSC213" s="3"/>
      <c r="LSD213" s="3"/>
      <c r="LSE213" s="3"/>
      <c r="LSF213" s="3"/>
      <c r="LSG213" s="3"/>
      <c r="LSH213" s="3"/>
      <c r="LSI213" s="3"/>
      <c r="LSJ213" s="3"/>
      <c r="LSK213" s="3"/>
      <c r="LSL213" s="3"/>
      <c r="LSM213" s="3"/>
      <c r="LSN213" s="3"/>
      <c r="LSO213" s="3"/>
      <c r="LSP213" s="3"/>
      <c r="LSQ213" s="3"/>
      <c r="LSR213" s="3"/>
      <c r="LSS213" s="3"/>
      <c r="LST213" s="3"/>
      <c r="LSU213" s="3"/>
      <c r="LSV213" s="3"/>
      <c r="LSW213" s="3"/>
      <c r="LSX213" s="3"/>
      <c r="LSY213" s="3"/>
      <c r="LSZ213" s="3"/>
      <c r="LTA213" s="3"/>
      <c r="LTB213" s="3"/>
      <c r="LTC213" s="3"/>
      <c r="LTD213" s="3"/>
      <c r="LTE213" s="3"/>
      <c r="LTF213" s="3"/>
      <c r="LTG213" s="3"/>
      <c r="LTH213" s="3"/>
      <c r="LTI213" s="3"/>
      <c r="LTJ213" s="3"/>
      <c r="LTK213" s="3"/>
      <c r="LTL213" s="3"/>
      <c r="LTM213" s="3"/>
      <c r="LTN213" s="3"/>
      <c r="LTO213" s="3"/>
      <c r="LTP213" s="3"/>
      <c r="LTQ213" s="3"/>
      <c r="LTR213" s="3"/>
      <c r="LTS213" s="3"/>
      <c r="LTT213" s="3"/>
      <c r="LTU213" s="3"/>
      <c r="LTV213" s="3"/>
      <c r="LTW213" s="3"/>
      <c r="LTX213" s="3"/>
      <c r="LTY213" s="3"/>
      <c r="LTZ213" s="3"/>
      <c r="LUA213" s="3"/>
      <c r="LUB213" s="3"/>
      <c r="LUC213" s="3"/>
      <c r="LUD213" s="3"/>
      <c r="LUE213" s="3"/>
      <c r="LUF213" s="3"/>
      <c r="LUG213" s="3"/>
      <c r="LUH213" s="3"/>
      <c r="LUI213" s="3"/>
      <c r="LUJ213" s="3"/>
      <c r="LUK213" s="3"/>
      <c r="LUL213" s="3"/>
      <c r="LUM213" s="3"/>
      <c r="LUN213" s="3"/>
      <c r="LUO213" s="3"/>
      <c r="LUP213" s="3"/>
      <c r="LUQ213" s="3"/>
      <c r="LUR213" s="3"/>
      <c r="LUS213" s="3"/>
      <c r="LUT213" s="3"/>
      <c r="LUU213" s="3"/>
      <c r="LUV213" s="3"/>
      <c r="LUW213" s="3"/>
      <c r="LUX213" s="3"/>
      <c r="LUY213" s="3"/>
      <c r="LUZ213" s="3"/>
      <c r="LVA213" s="3"/>
      <c r="LVB213" s="3"/>
      <c r="LVC213" s="3"/>
      <c r="LVD213" s="3"/>
      <c r="LVE213" s="3"/>
      <c r="LVF213" s="3"/>
      <c r="LVG213" s="3"/>
      <c r="LVH213" s="3"/>
      <c r="LVI213" s="3"/>
      <c r="LVJ213" s="3"/>
      <c r="LVK213" s="3"/>
      <c r="LVL213" s="3"/>
      <c r="LVM213" s="3"/>
      <c r="LVN213" s="3"/>
      <c r="LVO213" s="3"/>
      <c r="LVP213" s="3"/>
      <c r="LVQ213" s="3"/>
      <c r="LVR213" s="3"/>
      <c r="LVS213" s="3"/>
      <c r="LVT213" s="3"/>
      <c r="LVU213" s="3"/>
      <c r="LVV213" s="3"/>
      <c r="LVW213" s="3"/>
      <c r="LVX213" s="3"/>
      <c r="LVY213" s="3"/>
      <c r="LVZ213" s="3"/>
      <c r="LWA213" s="3"/>
      <c r="LWB213" s="3"/>
      <c r="LWC213" s="3"/>
      <c r="LWD213" s="3"/>
      <c r="LWE213" s="3"/>
      <c r="LWF213" s="3"/>
      <c r="LWG213" s="3"/>
      <c r="LWH213" s="3"/>
      <c r="LWI213" s="3"/>
      <c r="LWJ213" s="3"/>
      <c r="LWK213" s="3"/>
      <c r="LWL213" s="3"/>
      <c r="LWM213" s="3"/>
      <c r="LWN213" s="3"/>
      <c r="LWO213" s="3"/>
      <c r="LWP213" s="3"/>
      <c r="LWQ213" s="3"/>
      <c r="LWR213" s="3"/>
      <c r="LWS213" s="3"/>
      <c r="LWT213" s="3"/>
      <c r="LWU213" s="3"/>
      <c r="LWV213" s="3"/>
      <c r="LWW213" s="3"/>
      <c r="LWX213" s="3"/>
      <c r="LWY213" s="3"/>
      <c r="LWZ213" s="3"/>
      <c r="LXA213" s="3"/>
      <c r="LXB213" s="3"/>
      <c r="LXC213" s="3"/>
      <c r="LXD213" s="3"/>
      <c r="LXE213" s="3"/>
      <c r="LXF213" s="3"/>
      <c r="LXG213" s="3"/>
      <c r="LXH213" s="3"/>
      <c r="LXI213" s="3"/>
      <c r="LXJ213" s="3"/>
      <c r="LXK213" s="3"/>
      <c r="LXL213" s="3"/>
      <c r="LXM213" s="3"/>
      <c r="LXN213" s="3"/>
      <c r="LXO213" s="3"/>
      <c r="LXP213" s="3"/>
      <c r="LXQ213" s="3"/>
      <c r="LXR213" s="3"/>
      <c r="LXS213" s="3"/>
      <c r="LXT213" s="3"/>
      <c r="LXU213" s="3"/>
      <c r="LXV213" s="3"/>
      <c r="LXW213" s="3"/>
      <c r="LXX213" s="3"/>
      <c r="LXY213" s="3"/>
      <c r="LXZ213" s="3"/>
      <c r="LYA213" s="3"/>
      <c r="LYB213" s="3"/>
      <c r="LYC213" s="3"/>
      <c r="LYD213" s="3"/>
      <c r="LYE213" s="3"/>
      <c r="LYF213" s="3"/>
      <c r="LYG213" s="3"/>
      <c r="LYH213" s="3"/>
      <c r="LYI213" s="3"/>
      <c r="LYJ213" s="3"/>
      <c r="LYK213" s="3"/>
      <c r="LYL213" s="3"/>
      <c r="LYM213" s="3"/>
      <c r="LYN213" s="3"/>
      <c r="LYO213" s="3"/>
      <c r="LYP213" s="3"/>
      <c r="LYQ213" s="3"/>
      <c r="LYR213" s="3"/>
      <c r="LYS213" s="3"/>
      <c r="LYT213" s="3"/>
      <c r="LYU213" s="3"/>
      <c r="LYV213" s="3"/>
      <c r="LYW213" s="3"/>
      <c r="LYX213" s="3"/>
      <c r="LYY213" s="3"/>
      <c r="LYZ213" s="3"/>
      <c r="LZA213" s="3"/>
      <c r="LZB213" s="3"/>
      <c r="LZC213" s="3"/>
      <c r="LZD213" s="3"/>
      <c r="LZE213" s="3"/>
      <c r="LZF213" s="3"/>
      <c r="LZG213" s="3"/>
      <c r="LZH213" s="3"/>
      <c r="LZI213" s="3"/>
      <c r="LZJ213" s="3"/>
      <c r="LZK213" s="3"/>
      <c r="LZL213" s="3"/>
      <c r="LZM213" s="3"/>
      <c r="LZN213" s="3"/>
      <c r="LZO213" s="3"/>
      <c r="LZP213" s="3"/>
      <c r="LZQ213" s="3"/>
      <c r="LZR213" s="3"/>
      <c r="LZS213" s="3"/>
      <c r="LZT213" s="3"/>
      <c r="LZU213" s="3"/>
      <c r="LZV213" s="3"/>
      <c r="LZW213" s="3"/>
      <c r="LZX213" s="3"/>
      <c r="LZY213" s="3"/>
      <c r="LZZ213" s="3"/>
      <c r="MAA213" s="3"/>
      <c r="MAB213" s="3"/>
      <c r="MAC213" s="3"/>
      <c r="MAD213" s="3"/>
      <c r="MAE213" s="3"/>
      <c r="MAF213" s="3"/>
      <c r="MAG213" s="3"/>
      <c r="MAH213" s="3"/>
      <c r="MAI213" s="3"/>
      <c r="MAJ213" s="3"/>
      <c r="MAK213" s="3"/>
      <c r="MAL213" s="3"/>
      <c r="MAM213" s="3"/>
      <c r="MAN213" s="3"/>
      <c r="MAO213" s="3"/>
      <c r="MAP213" s="3"/>
      <c r="MAQ213" s="3"/>
      <c r="MAR213" s="3"/>
      <c r="MAS213" s="3"/>
      <c r="MAT213" s="3"/>
      <c r="MAU213" s="3"/>
      <c r="MAV213" s="3"/>
      <c r="MAW213" s="3"/>
      <c r="MAX213" s="3"/>
      <c r="MAY213" s="3"/>
      <c r="MAZ213" s="3"/>
      <c r="MBA213" s="3"/>
      <c r="MBB213" s="3"/>
      <c r="MBC213" s="3"/>
      <c r="MBD213" s="3"/>
      <c r="MBE213" s="3"/>
      <c r="MBF213" s="3"/>
      <c r="MBG213" s="3"/>
      <c r="MBH213" s="3"/>
      <c r="MBI213" s="3"/>
      <c r="MBJ213" s="3"/>
      <c r="MBK213" s="3"/>
      <c r="MBL213" s="3"/>
      <c r="MBM213" s="3"/>
      <c r="MBN213" s="3"/>
      <c r="MBO213" s="3"/>
      <c r="MBP213" s="3"/>
      <c r="MBQ213" s="3"/>
      <c r="MBR213" s="3"/>
      <c r="MBS213" s="3"/>
      <c r="MBT213" s="3"/>
      <c r="MBU213" s="3"/>
      <c r="MBV213" s="3"/>
      <c r="MBW213" s="3"/>
      <c r="MBX213" s="3"/>
      <c r="MBY213" s="3"/>
      <c r="MBZ213" s="3"/>
      <c r="MCA213" s="3"/>
      <c r="MCB213" s="3"/>
      <c r="MCC213" s="3"/>
      <c r="MCD213" s="3"/>
      <c r="MCE213" s="3"/>
      <c r="MCF213" s="3"/>
      <c r="MCG213" s="3"/>
      <c r="MCH213" s="3"/>
      <c r="MCI213" s="3"/>
      <c r="MCJ213" s="3"/>
      <c r="MCK213" s="3"/>
      <c r="MCL213" s="3"/>
      <c r="MCM213" s="3"/>
      <c r="MCN213" s="3"/>
      <c r="MCO213" s="3"/>
      <c r="MCP213" s="3"/>
      <c r="MCQ213" s="3"/>
      <c r="MCR213" s="3"/>
      <c r="MCS213" s="3"/>
      <c r="MCT213" s="3"/>
      <c r="MCU213" s="3"/>
      <c r="MCV213" s="3"/>
      <c r="MCW213" s="3"/>
      <c r="MCX213" s="3"/>
      <c r="MCY213" s="3"/>
      <c r="MCZ213" s="3"/>
      <c r="MDA213" s="3"/>
      <c r="MDB213" s="3"/>
      <c r="MDC213" s="3"/>
      <c r="MDD213" s="3"/>
      <c r="MDE213" s="3"/>
      <c r="MDF213" s="3"/>
      <c r="MDG213" s="3"/>
      <c r="MDH213" s="3"/>
      <c r="MDI213" s="3"/>
      <c r="MDJ213" s="3"/>
      <c r="MDK213" s="3"/>
      <c r="MDL213" s="3"/>
      <c r="MDM213" s="3"/>
      <c r="MDN213" s="3"/>
      <c r="MDO213" s="3"/>
      <c r="MDP213" s="3"/>
      <c r="MDQ213" s="3"/>
      <c r="MDR213" s="3"/>
      <c r="MDS213" s="3"/>
      <c r="MDT213" s="3"/>
      <c r="MDU213" s="3"/>
      <c r="MDV213" s="3"/>
      <c r="MDW213" s="3"/>
      <c r="MDX213" s="3"/>
      <c r="MDY213" s="3"/>
      <c r="MDZ213" s="3"/>
      <c r="MEA213" s="3"/>
      <c r="MEB213" s="3"/>
      <c r="MEC213" s="3"/>
      <c r="MED213" s="3"/>
      <c r="MEE213" s="3"/>
      <c r="MEF213" s="3"/>
      <c r="MEG213" s="3"/>
      <c r="MEH213" s="3"/>
      <c r="MEI213" s="3"/>
      <c r="MEJ213" s="3"/>
      <c r="MEK213" s="3"/>
      <c r="MEL213" s="3"/>
      <c r="MEM213" s="3"/>
      <c r="MEN213" s="3"/>
      <c r="MEO213" s="3"/>
      <c r="MEP213" s="3"/>
      <c r="MEQ213" s="3"/>
      <c r="MER213" s="3"/>
      <c r="MES213" s="3"/>
      <c r="MET213" s="3"/>
      <c r="MEU213" s="3"/>
      <c r="MEV213" s="3"/>
      <c r="MEW213" s="3"/>
      <c r="MEX213" s="3"/>
      <c r="MEY213" s="3"/>
      <c r="MEZ213" s="3"/>
      <c r="MFA213" s="3"/>
      <c r="MFB213" s="3"/>
      <c r="MFC213" s="3"/>
      <c r="MFD213" s="3"/>
      <c r="MFE213" s="3"/>
      <c r="MFF213" s="3"/>
      <c r="MFG213" s="3"/>
      <c r="MFH213" s="3"/>
      <c r="MFI213" s="3"/>
      <c r="MFJ213" s="3"/>
      <c r="MFK213" s="3"/>
      <c r="MFL213" s="3"/>
      <c r="MFM213" s="3"/>
      <c r="MFN213" s="3"/>
      <c r="MFO213" s="3"/>
      <c r="MFP213" s="3"/>
      <c r="MFQ213" s="3"/>
      <c r="MFR213" s="3"/>
      <c r="MFS213" s="3"/>
      <c r="MFT213" s="3"/>
      <c r="MFU213" s="3"/>
      <c r="MFV213" s="3"/>
      <c r="MFW213" s="3"/>
      <c r="MFX213" s="3"/>
      <c r="MFY213" s="3"/>
      <c r="MFZ213" s="3"/>
      <c r="MGA213" s="3"/>
      <c r="MGB213" s="3"/>
      <c r="MGC213" s="3"/>
      <c r="MGD213" s="3"/>
      <c r="MGE213" s="3"/>
      <c r="MGF213" s="3"/>
      <c r="MGG213" s="3"/>
      <c r="MGH213" s="3"/>
      <c r="MGI213" s="3"/>
      <c r="MGJ213" s="3"/>
      <c r="MGK213" s="3"/>
      <c r="MGL213" s="3"/>
      <c r="MGM213" s="3"/>
      <c r="MGN213" s="3"/>
      <c r="MGO213" s="3"/>
      <c r="MGP213" s="3"/>
      <c r="MGQ213" s="3"/>
      <c r="MGR213" s="3"/>
      <c r="MGS213" s="3"/>
      <c r="MGT213" s="3"/>
      <c r="MGU213" s="3"/>
      <c r="MGV213" s="3"/>
      <c r="MGW213" s="3"/>
      <c r="MGX213" s="3"/>
      <c r="MGY213" s="3"/>
      <c r="MGZ213" s="3"/>
      <c r="MHA213" s="3"/>
      <c r="MHB213" s="3"/>
      <c r="MHC213" s="3"/>
      <c r="MHD213" s="3"/>
      <c r="MHE213" s="3"/>
      <c r="MHF213" s="3"/>
      <c r="MHG213" s="3"/>
      <c r="MHH213" s="3"/>
      <c r="MHI213" s="3"/>
      <c r="MHJ213" s="3"/>
      <c r="MHK213" s="3"/>
      <c r="MHL213" s="3"/>
      <c r="MHM213" s="3"/>
      <c r="MHN213" s="3"/>
      <c r="MHO213" s="3"/>
      <c r="MHP213" s="3"/>
      <c r="MHQ213" s="3"/>
      <c r="MHR213" s="3"/>
      <c r="MHS213" s="3"/>
      <c r="MHT213" s="3"/>
      <c r="MHU213" s="3"/>
      <c r="MHV213" s="3"/>
      <c r="MHW213" s="3"/>
      <c r="MHX213" s="3"/>
      <c r="MHY213" s="3"/>
      <c r="MHZ213" s="3"/>
      <c r="MIA213" s="3"/>
      <c r="MIB213" s="3"/>
      <c r="MIC213" s="3"/>
      <c r="MID213" s="3"/>
      <c r="MIE213" s="3"/>
      <c r="MIF213" s="3"/>
      <c r="MIG213" s="3"/>
      <c r="MIH213" s="3"/>
      <c r="MII213" s="3"/>
      <c r="MIJ213" s="3"/>
      <c r="MIK213" s="3"/>
      <c r="MIL213" s="3"/>
      <c r="MIM213" s="3"/>
      <c r="MIN213" s="3"/>
      <c r="MIO213" s="3"/>
      <c r="MIP213" s="3"/>
      <c r="MIQ213" s="3"/>
      <c r="MIR213" s="3"/>
      <c r="MIS213" s="3"/>
      <c r="MIT213" s="3"/>
      <c r="MIU213" s="3"/>
      <c r="MIV213" s="3"/>
      <c r="MIW213" s="3"/>
      <c r="MIX213" s="3"/>
      <c r="MIY213" s="3"/>
      <c r="MIZ213" s="3"/>
      <c r="MJA213" s="3"/>
      <c r="MJB213" s="3"/>
      <c r="MJC213" s="3"/>
      <c r="MJD213" s="3"/>
      <c r="MJE213" s="3"/>
      <c r="MJF213" s="3"/>
      <c r="MJG213" s="3"/>
      <c r="MJH213" s="3"/>
      <c r="MJI213" s="3"/>
      <c r="MJJ213" s="3"/>
      <c r="MJK213" s="3"/>
      <c r="MJL213" s="3"/>
      <c r="MJM213" s="3"/>
      <c r="MJN213" s="3"/>
      <c r="MJO213" s="3"/>
      <c r="MJP213" s="3"/>
      <c r="MJQ213" s="3"/>
      <c r="MJR213" s="3"/>
      <c r="MJS213" s="3"/>
      <c r="MJT213" s="3"/>
      <c r="MJU213" s="3"/>
      <c r="MJV213" s="3"/>
      <c r="MJW213" s="3"/>
      <c r="MJX213" s="3"/>
      <c r="MJY213" s="3"/>
      <c r="MJZ213" s="3"/>
      <c r="MKA213" s="3"/>
      <c r="MKB213" s="3"/>
      <c r="MKC213" s="3"/>
      <c r="MKD213" s="3"/>
      <c r="MKE213" s="3"/>
      <c r="MKF213" s="3"/>
      <c r="MKG213" s="3"/>
      <c r="MKH213" s="3"/>
      <c r="MKI213" s="3"/>
      <c r="MKJ213" s="3"/>
      <c r="MKK213" s="3"/>
      <c r="MKL213" s="3"/>
      <c r="MKM213" s="3"/>
      <c r="MKN213" s="3"/>
      <c r="MKO213" s="3"/>
      <c r="MKP213" s="3"/>
      <c r="MKQ213" s="3"/>
      <c r="MKR213" s="3"/>
      <c r="MKS213" s="3"/>
      <c r="MKT213" s="3"/>
      <c r="MKU213" s="3"/>
      <c r="MKV213" s="3"/>
      <c r="MKW213" s="3"/>
      <c r="MKX213" s="3"/>
      <c r="MKY213" s="3"/>
      <c r="MKZ213" s="3"/>
      <c r="MLA213" s="3"/>
      <c r="MLB213" s="3"/>
      <c r="MLC213" s="3"/>
      <c r="MLD213" s="3"/>
      <c r="MLE213" s="3"/>
      <c r="MLF213" s="3"/>
      <c r="MLG213" s="3"/>
      <c r="MLH213" s="3"/>
      <c r="MLI213" s="3"/>
      <c r="MLJ213" s="3"/>
      <c r="MLK213" s="3"/>
      <c r="MLL213" s="3"/>
      <c r="MLM213" s="3"/>
      <c r="MLN213" s="3"/>
      <c r="MLO213" s="3"/>
      <c r="MLP213" s="3"/>
      <c r="MLQ213" s="3"/>
      <c r="MLR213" s="3"/>
      <c r="MLS213" s="3"/>
      <c r="MLT213" s="3"/>
      <c r="MLU213" s="3"/>
      <c r="MLV213" s="3"/>
      <c r="MLW213" s="3"/>
      <c r="MLX213" s="3"/>
      <c r="MLY213" s="3"/>
      <c r="MLZ213" s="3"/>
      <c r="MMA213" s="3"/>
      <c r="MMB213" s="3"/>
      <c r="MMC213" s="3"/>
      <c r="MMD213" s="3"/>
      <c r="MME213" s="3"/>
      <c r="MMF213" s="3"/>
      <c r="MMG213" s="3"/>
      <c r="MMH213" s="3"/>
      <c r="MMI213" s="3"/>
      <c r="MMJ213" s="3"/>
      <c r="MMK213" s="3"/>
      <c r="MML213" s="3"/>
      <c r="MMM213" s="3"/>
      <c r="MMN213" s="3"/>
      <c r="MMO213" s="3"/>
      <c r="MMP213" s="3"/>
      <c r="MMQ213" s="3"/>
      <c r="MMR213" s="3"/>
      <c r="MMS213" s="3"/>
      <c r="MMT213" s="3"/>
      <c r="MMU213" s="3"/>
      <c r="MMV213" s="3"/>
      <c r="MMW213" s="3"/>
      <c r="MMX213" s="3"/>
      <c r="MMY213" s="3"/>
      <c r="MMZ213" s="3"/>
      <c r="MNA213" s="3"/>
      <c r="MNB213" s="3"/>
      <c r="MNC213" s="3"/>
      <c r="MND213" s="3"/>
      <c r="MNE213" s="3"/>
      <c r="MNF213" s="3"/>
      <c r="MNG213" s="3"/>
      <c r="MNH213" s="3"/>
      <c r="MNI213" s="3"/>
      <c r="MNJ213" s="3"/>
      <c r="MNK213" s="3"/>
      <c r="MNL213" s="3"/>
      <c r="MNM213" s="3"/>
      <c r="MNN213" s="3"/>
      <c r="MNO213" s="3"/>
      <c r="MNP213" s="3"/>
      <c r="MNQ213" s="3"/>
      <c r="MNR213" s="3"/>
      <c r="MNS213" s="3"/>
      <c r="MNT213" s="3"/>
      <c r="MNU213" s="3"/>
      <c r="MNV213" s="3"/>
      <c r="MNW213" s="3"/>
      <c r="MNX213" s="3"/>
      <c r="MNY213" s="3"/>
      <c r="MNZ213" s="3"/>
      <c r="MOA213" s="3"/>
      <c r="MOB213" s="3"/>
      <c r="MOC213" s="3"/>
      <c r="MOD213" s="3"/>
      <c r="MOE213" s="3"/>
      <c r="MOF213" s="3"/>
      <c r="MOG213" s="3"/>
      <c r="MOH213" s="3"/>
      <c r="MOI213" s="3"/>
      <c r="MOJ213" s="3"/>
      <c r="MOK213" s="3"/>
      <c r="MOL213" s="3"/>
      <c r="MOM213" s="3"/>
      <c r="MON213" s="3"/>
      <c r="MOO213" s="3"/>
      <c r="MOP213" s="3"/>
      <c r="MOQ213" s="3"/>
      <c r="MOR213" s="3"/>
      <c r="MOS213" s="3"/>
      <c r="MOT213" s="3"/>
      <c r="MOU213" s="3"/>
      <c r="MOV213" s="3"/>
      <c r="MOW213" s="3"/>
      <c r="MOX213" s="3"/>
      <c r="MOY213" s="3"/>
      <c r="MOZ213" s="3"/>
      <c r="MPA213" s="3"/>
      <c r="MPB213" s="3"/>
      <c r="MPC213" s="3"/>
      <c r="MPD213" s="3"/>
      <c r="MPE213" s="3"/>
      <c r="MPF213" s="3"/>
      <c r="MPG213" s="3"/>
      <c r="MPH213" s="3"/>
      <c r="MPI213" s="3"/>
      <c r="MPJ213" s="3"/>
      <c r="MPK213" s="3"/>
      <c r="MPL213" s="3"/>
      <c r="MPM213" s="3"/>
      <c r="MPN213" s="3"/>
      <c r="MPO213" s="3"/>
      <c r="MPP213" s="3"/>
      <c r="MPQ213" s="3"/>
      <c r="MPR213" s="3"/>
      <c r="MPS213" s="3"/>
      <c r="MPT213" s="3"/>
      <c r="MPU213" s="3"/>
      <c r="MPV213" s="3"/>
      <c r="MPW213" s="3"/>
      <c r="MPX213" s="3"/>
      <c r="MPY213" s="3"/>
      <c r="MPZ213" s="3"/>
      <c r="MQA213" s="3"/>
      <c r="MQB213" s="3"/>
      <c r="MQC213" s="3"/>
      <c r="MQD213" s="3"/>
      <c r="MQE213" s="3"/>
      <c r="MQF213" s="3"/>
      <c r="MQG213" s="3"/>
      <c r="MQH213" s="3"/>
      <c r="MQI213" s="3"/>
      <c r="MQJ213" s="3"/>
      <c r="MQK213" s="3"/>
      <c r="MQL213" s="3"/>
      <c r="MQM213" s="3"/>
      <c r="MQN213" s="3"/>
      <c r="MQO213" s="3"/>
      <c r="MQP213" s="3"/>
      <c r="MQQ213" s="3"/>
      <c r="MQR213" s="3"/>
      <c r="MQS213" s="3"/>
      <c r="MQT213" s="3"/>
      <c r="MQU213" s="3"/>
      <c r="MQV213" s="3"/>
      <c r="MQW213" s="3"/>
      <c r="MQX213" s="3"/>
      <c r="MQY213" s="3"/>
      <c r="MQZ213" s="3"/>
      <c r="MRA213" s="3"/>
      <c r="MRB213" s="3"/>
      <c r="MRC213" s="3"/>
      <c r="MRD213" s="3"/>
      <c r="MRE213" s="3"/>
      <c r="MRF213" s="3"/>
      <c r="MRG213" s="3"/>
      <c r="MRH213" s="3"/>
      <c r="MRI213" s="3"/>
      <c r="MRJ213" s="3"/>
      <c r="MRK213" s="3"/>
      <c r="MRL213" s="3"/>
      <c r="MRM213" s="3"/>
      <c r="MRN213" s="3"/>
      <c r="MRO213" s="3"/>
      <c r="MRP213" s="3"/>
      <c r="MRQ213" s="3"/>
      <c r="MRR213" s="3"/>
      <c r="MRS213" s="3"/>
      <c r="MRT213" s="3"/>
      <c r="MRU213" s="3"/>
      <c r="MRV213" s="3"/>
      <c r="MRW213" s="3"/>
      <c r="MRX213" s="3"/>
      <c r="MRY213" s="3"/>
      <c r="MRZ213" s="3"/>
      <c r="MSA213" s="3"/>
      <c r="MSB213" s="3"/>
      <c r="MSC213" s="3"/>
      <c r="MSD213" s="3"/>
      <c r="MSE213" s="3"/>
      <c r="MSF213" s="3"/>
      <c r="MSG213" s="3"/>
      <c r="MSH213" s="3"/>
      <c r="MSI213" s="3"/>
      <c r="MSJ213" s="3"/>
      <c r="MSK213" s="3"/>
      <c r="MSL213" s="3"/>
      <c r="MSM213" s="3"/>
      <c r="MSN213" s="3"/>
      <c r="MSO213" s="3"/>
      <c r="MSP213" s="3"/>
      <c r="MSQ213" s="3"/>
      <c r="MSR213" s="3"/>
      <c r="MSS213" s="3"/>
      <c r="MST213" s="3"/>
      <c r="MSU213" s="3"/>
      <c r="MSV213" s="3"/>
      <c r="MSW213" s="3"/>
      <c r="MSX213" s="3"/>
      <c r="MSY213" s="3"/>
      <c r="MSZ213" s="3"/>
      <c r="MTA213" s="3"/>
      <c r="MTB213" s="3"/>
      <c r="MTC213" s="3"/>
      <c r="MTD213" s="3"/>
      <c r="MTE213" s="3"/>
      <c r="MTF213" s="3"/>
      <c r="MTG213" s="3"/>
      <c r="MTH213" s="3"/>
      <c r="MTI213" s="3"/>
      <c r="MTJ213" s="3"/>
      <c r="MTK213" s="3"/>
      <c r="MTL213" s="3"/>
      <c r="MTM213" s="3"/>
      <c r="MTN213" s="3"/>
      <c r="MTO213" s="3"/>
      <c r="MTP213" s="3"/>
      <c r="MTQ213" s="3"/>
      <c r="MTR213" s="3"/>
      <c r="MTS213" s="3"/>
      <c r="MTT213" s="3"/>
      <c r="MTU213" s="3"/>
      <c r="MTV213" s="3"/>
      <c r="MTW213" s="3"/>
      <c r="MTX213" s="3"/>
      <c r="MTY213" s="3"/>
      <c r="MTZ213" s="3"/>
      <c r="MUA213" s="3"/>
      <c r="MUB213" s="3"/>
      <c r="MUC213" s="3"/>
      <c r="MUD213" s="3"/>
      <c r="MUE213" s="3"/>
      <c r="MUF213" s="3"/>
      <c r="MUG213" s="3"/>
      <c r="MUH213" s="3"/>
      <c r="MUI213" s="3"/>
      <c r="MUJ213" s="3"/>
      <c r="MUK213" s="3"/>
      <c r="MUL213" s="3"/>
      <c r="MUM213" s="3"/>
      <c r="MUN213" s="3"/>
      <c r="MUO213" s="3"/>
      <c r="MUP213" s="3"/>
      <c r="MUQ213" s="3"/>
      <c r="MUR213" s="3"/>
      <c r="MUS213" s="3"/>
      <c r="MUT213" s="3"/>
      <c r="MUU213" s="3"/>
      <c r="MUV213" s="3"/>
      <c r="MUW213" s="3"/>
      <c r="MUX213" s="3"/>
      <c r="MUY213" s="3"/>
      <c r="MUZ213" s="3"/>
      <c r="MVA213" s="3"/>
      <c r="MVB213" s="3"/>
      <c r="MVC213" s="3"/>
      <c r="MVD213" s="3"/>
      <c r="MVE213" s="3"/>
      <c r="MVF213" s="3"/>
      <c r="MVG213" s="3"/>
      <c r="MVH213" s="3"/>
      <c r="MVI213" s="3"/>
      <c r="MVJ213" s="3"/>
      <c r="MVK213" s="3"/>
      <c r="MVL213" s="3"/>
      <c r="MVM213" s="3"/>
      <c r="MVN213" s="3"/>
      <c r="MVO213" s="3"/>
      <c r="MVP213" s="3"/>
      <c r="MVQ213" s="3"/>
      <c r="MVR213" s="3"/>
      <c r="MVS213" s="3"/>
      <c r="MVT213" s="3"/>
      <c r="MVU213" s="3"/>
      <c r="MVV213" s="3"/>
      <c r="MVW213" s="3"/>
      <c r="MVX213" s="3"/>
      <c r="MVY213" s="3"/>
      <c r="MVZ213" s="3"/>
      <c r="MWA213" s="3"/>
      <c r="MWB213" s="3"/>
      <c r="MWC213" s="3"/>
      <c r="MWD213" s="3"/>
      <c r="MWE213" s="3"/>
      <c r="MWF213" s="3"/>
      <c r="MWG213" s="3"/>
      <c r="MWH213" s="3"/>
      <c r="MWI213" s="3"/>
      <c r="MWJ213" s="3"/>
      <c r="MWK213" s="3"/>
      <c r="MWL213" s="3"/>
      <c r="MWM213" s="3"/>
      <c r="MWN213" s="3"/>
      <c r="MWO213" s="3"/>
      <c r="MWP213" s="3"/>
      <c r="MWQ213" s="3"/>
      <c r="MWR213" s="3"/>
      <c r="MWS213" s="3"/>
      <c r="MWT213" s="3"/>
      <c r="MWU213" s="3"/>
      <c r="MWV213" s="3"/>
      <c r="MWW213" s="3"/>
      <c r="MWX213" s="3"/>
      <c r="MWY213" s="3"/>
      <c r="MWZ213" s="3"/>
      <c r="MXA213" s="3"/>
      <c r="MXB213" s="3"/>
      <c r="MXC213" s="3"/>
      <c r="MXD213" s="3"/>
      <c r="MXE213" s="3"/>
      <c r="MXF213" s="3"/>
      <c r="MXG213" s="3"/>
      <c r="MXH213" s="3"/>
      <c r="MXI213" s="3"/>
      <c r="MXJ213" s="3"/>
      <c r="MXK213" s="3"/>
      <c r="MXL213" s="3"/>
      <c r="MXM213" s="3"/>
      <c r="MXN213" s="3"/>
      <c r="MXO213" s="3"/>
      <c r="MXP213" s="3"/>
      <c r="MXQ213" s="3"/>
      <c r="MXR213" s="3"/>
      <c r="MXS213" s="3"/>
      <c r="MXT213" s="3"/>
      <c r="MXU213" s="3"/>
      <c r="MXV213" s="3"/>
      <c r="MXW213" s="3"/>
      <c r="MXX213" s="3"/>
      <c r="MXY213" s="3"/>
      <c r="MXZ213" s="3"/>
      <c r="MYA213" s="3"/>
      <c r="MYB213" s="3"/>
      <c r="MYC213" s="3"/>
      <c r="MYD213" s="3"/>
      <c r="MYE213" s="3"/>
      <c r="MYF213" s="3"/>
      <c r="MYG213" s="3"/>
      <c r="MYH213" s="3"/>
      <c r="MYI213" s="3"/>
      <c r="MYJ213" s="3"/>
      <c r="MYK213" s="3"/>
      <c r="MYL213" s="3"/>
      <c r="MYM213" s="3"/>
      <c r="MYN213" s="3"/>
      <c r="MYO213" s="3"/>
      <c r="MYP213" s="3"/>
      <c r="MYQ213" s="3"/>
      <c r="MYR213" s="3"/>
      <c r="MYS213" s="3"/>
      <c r="MYT213" s="3"/>
      <c r="MYU213" s="3"/>
      <c r="MYV213" s="3"/>
      <c r="MYW213" s="3"/>
      <c r="MYX213" s="3"/>
      <c r="MYY213" s="3"/>
      <c r="MYZ213" s="3"/>
      <c r="MZA213" s="3"/>
      <c r="MZB213" s="3"/>
      <c r="MZC213" s="3"/>
      <c r="MZD213" s="3"/>
      <c r="MZE213" s="3"/>
      <c r="MZF213" s="3"/>
      <c r="MZG213" s="3"/>
      <c r="MZH213" s="3"/>
      <c r="MZI213" s="3"/>
      <c r="MZJ213" s="3"/>
      <c r="MZK213" s="3"/>
      <c r="MZL213" s="3"/>
      <c r="MZM213" s="3"/>
      <c r="MZN213" s="3"/>
      <c r="MZO213" s="3"/>
      <c r="MZP213" s="3"/>
      <c r="MZQ213" s="3"/>
      <c r="MZR213" s="3"/>
      <c r="MZS213" s="3"/>
      <c r="MZT213" s="3"/>
      <c r="MZU213" s="3"/>
      <c r="MZV213" s="3"/>
      <c r="MZW213" s="3"/>
      <c r="MZX213" s="3"/>
      <c r="MZY213" s="3"/>
      <c r="MZZ213" s="3"/>
      <c r="NAA213" s="3"/>
      <c r="NAB213" s="3"/>
      <c r="NAC213" s="3"/>
      <c r="NAD213" s="3"/>
      <c r="NAE213" s="3"/>
      <c r="NAF213" s="3"/>
      <c r="NAG213" s="3"/>
      <c r="NAH213" s="3"/>
      <c r="NAI213" s="3"/>
      <c r="NAJ213" s="3"/>
      <c r="NAK213" s="3"/>
      <c r="NAL213" s="3"/>
      <c r="NAM213" s="3"/>
      <c r="NAN213" s="3"/>
      <c r="NAO213" s="3"/>
      <c r="NAP213" s="3"/>
      <c r="NAQ213" s="3"/>
      <c r="NAR213" s="3"/>
      <c r="NAS213" s="3"/>
      <c r="NAT213" s="3"/>
      <c r="NAU213" s="3"/>
      <c r="NAV213" s="3"/>
      <c r="NAW213" s="3"/>
      <c r="NAX213" s="3"/>
      <c r="NAY213" s="3"/>
      <c r="NAZ213" s="3"/>
      <c r="NBA213" s="3"/>
      <c r="NBB213" s="3"/>
      <c r="NBC213" s="3"/>
      <c r="NBD213" s="3"/>
      <c r="NBE213" s="3"/>
      <c r="NBF213" s="3"/>
      <c r="NBG213" s="3"/>
      <c r="NBH213" s="3"/>
      <c r="NBI213" s="3"/>
      <c r="NBJ213" s="3"/>
      <c r="NBK213" s="3"/>
      <c r="NBL213" s="3"/>
      <c r="NBM213" s="3"/>
      <c r="NBN213" s="3"/>
      <c r="NBO213" s="3"/>
      <c r="NBP213" s="3"/>
      <c r="NBQ213" s="3"/>
      <c r="NBR213" s="3"/>
      <c r="NBS213" s="3"/>
      <c r="NBT213" s="3"/>
      <c r="NBU213" s="3"/>
      <c r="NBV213" s="3"/>
      <c r="NBW213" s="3"/>
      <c r="NBX213" s="3"/>
      <c r="NBY213" s="3"/>
      <c r="NBZ213" s="3"/>
      <c r="NCA213" s="3"/>
      <c r="NCB213" s="3"/>
      <c r="NCC213" s="3"/>
      <c r="NCD213" s="3"/>
      <c r="NCE213" s="3"/>
      <c r="NCF213" s="3"/>
      <c r="NCG213" s="3"/>
      <c r="NCH213" s="3"/>
      <c r="NCI213" s="3"/>
      <c r="NCJ213" s="3"/>
      <c r="NCK213" s="3"/>
      <c r="NCL213" s="3"/>
      <c r="NCM213" s="3"/>
      <c r="NCN213" s="3"/>
      <c r="NCO213" s="3"/>
      <c r="NCP213" s="3"/>
      <c r="NCQ213" s="3"/>
      <c r="NCR213" s="3"/>
      <c r="NCS213" s="3"/>
      <c r="NCT213" s="3"/>
      <c r="NCU213" s="3"/>
      <c r="NCV213" s="3"/>
      <c r="NCW213" s="3"/>
      <c r="NCX213" s="3"/>
      <c r="NCY213" s="3"/>
      <c r="NCZ213" s="3"/>
      <c r="NDA213" s="3"/>
      <c r="NDB213" s="3"/>
      <c r="NDC213" s="3"/>
      <c r="NDD213" s="3"/>
      <c r="NDE213" s="3"/>
      <c r="NDF213" s="3"/>
      <c r="NDG213" s="3"/>
      <c r="NDH213" s="3"/>
      <c r="NDI213" s="3"/>
      <c r="NDJ213" s="3"/>
      <c r="NDK213" s="3"/>
      <c r="NDL213" s="3"/>
      <c r="NDM213" s="3"/>
      <c r="NDN213" s="3"/>
      <c r="NDO213" s="3"/>
      <c r="NDP213" s="3"/>
      <c r="NDQ213" s="3"/>
      <c r="NDR213" s="3"/>
      <c r="NDS213" s="3"/>
      <c r="NDT213" s="3"/>
      <c r="NDU213" s="3"/>
      <c r="NDV213" s="3"/>
      <c r="NDW213" s="3"/>
      <c r="NDX213" s="3"/>
      <c r="NDY213" s="3"/>
      <c r="NDZ213" s="3"/>
      <c r="NEA213" s="3"/>
      <c r="NEB213" s="3"/>
      <c r="NEC213" s="3"/>
      <c r="NED213" s="3"/>
      <c r="NEE213" s="3"/>
      <c r="NEF213" s="3"/>
      <c r="NEG213" s="3"/>
      <c r="NEH213" s="3"/>
      <c r="NEI213" s="3"/>
      <c r="NEJ213" s="3"/>
      <c r="NEK213" s="3"/>
      <c r="NEL213" s="3"/>
      <c r="NEM213" s="3"/>
      <c r="NEN213" s="3"/>
      <c r="NEO213" s="3"/>
      <c r="NEP213" s="3"/>
      <c r="NEQ213" s="3"/>
      <c r="NER213" s="3"/>
      <c r="NES213" s="3"/>
      <c r="NET213" s="3"/>
      <c r="NEU213" s="3"/>
      <c r="NEV213" s="3"/>
      <c r="NEW213" s="3"/>
      <c r="NEX213" s="3"/>
      <c r="NEY213" s="3"/>
      <c r="NEZ213" s="3"/>
      <c r="NFA213" s="3"/>
      <c r="NFB213" s="3"/>
      <c r="NFC213" s="3"/>
      <c r="NFD213" s="3"/>
      <c r="NFE213" s="3"/>
      <c r="NFF213" s="3"/>
      <c r="NFG213" s="3"/>
      <c r="NFH213" s="3"/>
      <c r="NFI213" s="3"/>
      <c r="NFJ213" s="3"/>
      <c r="NFK213" s="3"/>
      <c r="NFL213" s="3"/>
      <c r="NFM213" s="3"/>
      <c r="NFN213" s="3"/>
      <c r="NFO213" s="3"/>
      <c r="NFP213" s="3"/>
      <c r="NFQ213" s="3"/>
      <c r="NFR213" s="3"/>
      <c r="NFS213" s="3"/>
      <c r="NFT213" s="3"/>
      <c r="NFU213" s="3"/>
      <c r="NFV213" s="3"/>
      <c r="NFW213" s="3"/>
      <c r="NFX213" s="3"/>
      <c r="NFY213" s="3"/>
      <c r="NFZ213" s="3"/>
      <c r="NGA213" s="3"/>
      <c r="NGB213" s="3"/>
      <c r="NGC213" s="3"/>
      <c r="NGD213" s="3"/>
      <c r="NGE213" s="3"/>
      <c r="NGF213" s="3"/>
      <c r="NGG213" s="3"/>
      <c r="NGH213" s="3"/>
      <c r="NGI213" s="3"/>
      <c r="NGJ213" s="3"/>
      <c r="NGK213" s="3"/>
      <c r="NGL213" s="3"/>
      <c r="NGM213" s="3"/>
      <c r="NGN213" s="3"/>
      <c r="NGO213" s="3"/>
      <c r="NGP213" s="3"/>
      <c r="NGQ213" s="3"/>
      <c r="NGR213" s="3"/>
      <c r="NGS213" s="3"/>
      <c r="NGT213" s="3"/>
      <c r="NGU213" s="3"/>
      <c r="NGV213" s="3"/>
      <c r="NGW213" s="3"/>
      <c r="NGX213" s="3"/>
      <c r="NGY213" s="3"/>
      <c r="NGZ213" s="3"/>
      <c r="NHA213" s="3"/>
      <c r="NHB213" s="3"/>
      <c r="NHC213" s="3"/>
      <c r="NHD213" s="3"/>
      <c r="NHE213" s="3"/>
      <c r="NHF213" s="3"/>
      <c r="NHG213" s="3"/>
      <c r="NHH213" s="3"/>
      <c r="NHI213" s="3"/>
      <c r="NHJ213" s="3"/>
      <c r="NHK213" s="3"/>
      <c r="NHL213" s="3"/>
      <c r="NHM213" s="3"/>
      <c r="NHN213" s="3"/>
      <c r="NHO213" s="3"/>
      <c r="NHP213" s="3"/>
      <c r="NHQ213" s="3"/>
      <c r="NHR213" s="3"/>
      <c r="NHS213" s="3"/>
      <c r="NHT213" s="3"/>
      <c r="NHU213" s="3"/>
      <c r="NHV213" s="3"/>
      <c r="NHW213" s="3"/>
      <c r="NHX213" s="3"/>
      <c r="NHY213" s="3"/>
      <c r="NHZ213" s="3"/>
      <c r="NIA213" s="3"/>
      <c r="NIB213" s="3"/>
      <c r="NIC213" s="3"/>
      <c r="NID213" s="3"/>
      <c r="NIE213" s="3"/>
      <c r="NIF213" s="3"/>
      <c r="NIG213" s="3"/>
      <c r="NIH213" s="3"/>
      <c r="NII213" s="3"/>
      <c r="NIJ213" s="3"/>
      <c r="NIK213" s="3"/>
      <c r="NIL213" s="3"/>
      <c r="NIM213" s="3"/>
      <c r="NIN213" s="3"/>
      <c r="NIO213" s="3"/>
      <c r="NIP213" s="3"/>
      <c r="NIQ213" s="3"/>
      <c r="NIR213" s="3"/>
      <c r="NIS213" s="3"/>
      <c r="NIT213" s="3"/>
      <c r="NIU213" s="3"/>
      <c r="NIV213" s="3"/>
      <c r="NIW213" s="3"/>
      <c r="NIX213" s="3"/>
      <c r="NIY213" s="3"/>
      <c r="NIZ213" s="3"/>
      <c r="NJA213" s="3"/>
      <c r="NJB213" s="3"/>
      <c r="NJC213" s="3"/>
      <c r="NJD213" s="3"/>
      <c r="NJE213" s="3"/>
      <c r="NJF213" s="3"/>
      <c r="NJG213" s="3"/>
      <c r="NJH213" s="3"/>
      <c r="NJI213" s="3"/>
      <c r="NJJ213" s="3"/>
      <c r="NJK213" s="3"/>
      <c r="NJL213" s="3"/>
      <c r="NJM213" s="3"/>
      <c r="NJN213" s="3"/>
      <c r="NJO213" s="3"/>
      <c r="NJP213" s="3"/>
      <c r="NJQ213" s="3"/>
      <c r="NJR213" s="3"/>
      <c r="NJS213" s="3"/>
      <c r="NJT213" s="3"/>
      <c r="NJU213" s="3"/>
      <c r="NJV213" s="3"/>
      <c r="NJW213" s="3"/>
      <c r="NJX213" s="3"/>
      <c r="NJY213" s="3"/>
      <c r="NJZ213" s="3"/>
      <c r="NKA213" s="3"/>
      <c r="NKB213" s="3"/>
      <c r="NKC213" s="3"/>
      <c r="NKD213" s="3"/>
      <c r="NKE213" s="3"/>
      <c r="NKF213" s="3"/>
      <c r="NKG213" s="3"/>
      <c r="NKH213" s="3"/>
      <c r="NKI213" s="3"/>
      <c r="NKJ213" s="3"/>
      <c r="NKK213" s="3"/>
      <c r="NKL213" s="3"/>
      <c r="NKM213" s="3"/>
      <c r="NKN213" s="3"/>
      <c r="NKO213" s="3"/>
      <c r="NKP213" s="3"/>
      <c r="NKQ213" s="3"/>
      <c r="NKR213" s="3"/>
      <c r="NKS213" s="3"/>
      <c r="NKT213" s="3"/>
      <c r="NKU213" s="3"/>
      <c r="NKV213" s="3"/>
      <c r="NKW213" s="3"/>
      <c r="NKX213" s="3"/>
      <c r="NKY213" s="3"/>
      <c r="NKZ213" s="3"/>
      <c r="NLA213" s="3"/>
      <c r="NLB213" s="3"/>
      <c r="NLC213" s="3"/>
      <c r="NLD213" s="3"/>
      <c r="NLE213" s="3"/>
      <c r="NLF213" s="3"/>
      <c r="NLG213" s="3"/>
      <c r="NLH213" s="3"/>
      <c r="NLI213" s="3"/>
      <c r="NLJ213" s="3"/>
      <c r="NLK213" s="3"/>
      <c r="NLL213" s="3"/>
      <c r="NLM213" s="3"/>
      <c r="NLN213" s="3"/>
      <c r="NLO213" s="3"/>
      <c r="NLP213" s="3"/>
      <c r="NLQ213" s="3"/>
      <c r="NLR213" s="3"/>
      <c r="NLS213" s="3"/>
      <c r="NLT213" s="3"/>
      <c r="NLU213" s="3"/>
      <c r="NLV213" s="3"/>
      <c r="NLW213" s="3"/>
      <c r="NLX213" s="3"/>
      <c r="NLY213" s="3"/>
      <c r="NLZ213" s="3"/>
      <c r="NMA213" s="3"/>
      <c r="NMB213" s="3"/>
      <c r="NMC213" s="3"/>
      <c r="NMD213" s="3"/>
      <c r="NME213" s="3"/>
      <c r="NMF213" s="3"/>
      <c r="NMG213" s="3"/>
      <c r="NMH213" s="3"/>
      <c r="NMI213" s="3"/>
      <c r="NMJ213" s="3"/>
      <c r="NMK213" s="3"/>
      <c r="NML213" s="3"/>
      <c r="NMM213" s="3"/>
      <c r="NMN213" s="3"/>
      <c r="NMO213" s="3"/>
      <c r="NMP213" s="3"/>
      <c r="NMQ213" s="3"/>
      <c r="NMR213" s="3"/>
      <c r="NMS213" s="3"/>
      <c r="NMT213" s="3"/>
      <c r="NMU213" s="3"/>
      <c r="NMV213" s="3"/>
      <c r="NMW213" s="3"/>
      <c r="NMX213" s="3"/>
      <c r="NMY213" s="3"/>
      <c r="NMZ213" s="3"/>
      <c r="NNA213" s="3"/>
      <c r="NNB213" s="3"/>
      <c r="NNC213" s="3"/>
      <c r="NND213" s="3"/>
      <c r="NNE213" s="3"/>
      <c r="NNF213" s="3"/>
      <c r="NNG213" s="3"/>
      <c r="NNH213" s="3"/>
      <c r="NNI213" s="3"/>
      <c r="NNJ213" s="3"/>
      <c r="NNK213" s="3"/>
      <c r="NNL213" s="3"/>
      <c r="NNM213" s="3"/>
      <c r="NNN213" s="3"/>
      <c r="NNO213" s="3"/>
      <c r="NNP213" s="3"/>
      <c r="NNQ213" s="3"/>
      <c r="NNR213" s="3"/>
      <c r="NNS213" s="3"/>
      <c r="NNT213" s="3"/>
      <c r="NNU213" s="3"/>
      <c r="NNV213" s="3"/>
      <c r="NNW213" s="3"/>
      <c r="NNX213" s="3"/>
      <c r="NNY213" s="3"/>
      <c r="NNZ213" s="3"/>
      <c r="NOA213" s="3"/>
      <c r="NOB213" s="3"/>
      <c r="NOC213" s="3"/>
      <c r="NOD213" s="3"/>
      <c r="NOE213" s="3"/>
      <c r="NOF213" s="3"/>
      <c r="NOG213" s="3"/>
      <c r="NOH213" s="3"/>
      <c r="NOI213" s="3"/>
      <c r="NOJ213" s="3"/>
      <c r="NOK213" s="3"/>
      <c r="NOL213" s="3"/>
      <c r="NOM213" s="3"/>
      <c r="NON213" s="3"/>
      <c r="NOO213" s="3"/>
      <c r="NOP213" s="3"/>
      <c r="NOQ213" s="3"/>
      <c r="NOR213" s="3"/>
      <c r="NOS213" s="3"/>
      <c r="NOT213" s="3"/>
      <c r="NOU213" s="3"/>
      <c r="NOV213" s="3"/>
      <c r="NOW213" s="3"/>
      <c r="NOX213" s="3"/>
      <c r="NOY213" s="3"/>
      <c r="NOZ213" s="3"/>
      <c r="NPA213" s="3"/>
      <c r="NPB213" s="3"/>
      <c r="NPC213" s="3"/>
      <c r="NPD213" s="3"/>
      <c r="NPE213" s="3"/>
      <c r="NPF213" s="3"/>
      <c r="NPG213" s="3"/>
      <c r="NPH213" s="3"/>
      <c r="NPI213" s="3"/>
      <c r="NPJ213" s="3"/>
      <c r="NPK213" s="3"/>
      <c r="NPL213" s="3"/>
      <c r="NPM213" s="3"/>
      <c r="NPN213" s="3"/>
      <c r="NPO213" s="3"/>
      <c r="NPP213" s="3"/>
      <c r="NPQ213" s="3"/>
      <c r="NPR213" s="3"/>
      <c r="NPS213" s="3"/>
      <c r="NPT213" s="3"/>
      <c r="NPU213" s="3"/>
      <c r="NPV213" s="3"/>
      <c r="NPW213" s="3"/>
      <c r="NPX213" s="3"/>
      <c r="NPY213" s="3"/>
      <c r="NPZ213" s="3"/>
      <c r="NQA213" s="3"/>
      <c r="NQB213" s="3"/>
      <c r="NQC213" s="3"/>
      <c r="NQD213" s="3"/>
      <c r="NQE213" s="3"/>
      <c r="NQF213" s="3"/>
      <c r="NQG213" s="3"/>
      <c r="NQH213" s="3"/>
      <c r="NQI213" s="3"/>
      <c r="NQJ213" s="3"/>
      <c r="NQK213" s="3"/>
      <c r="NQL213" s="3"/>
      <c r="NQM213" s="3"/>
      <c r="NQN213" s="3"/>
      <c r="NQO213" s="3"/>
      <c r="NQP213" s="3"/>
      <c r="NQQ213" s="3"/>
      <c r="NQR213" s="3"/>
      <c r="NQS213" s="3"/>
      <c r="NQT213" s="3"/>
      <c r="NQU213" s="3"/>
      <c r="NQV213" s="3"/>
      <c r="NQW213" s="3"/>
      <c r="NQX213" s="3"/>
      <c r="NQY213" s="3"/>
      <c r="NQZ213" s="3"/>
      <c r="NRA213" s="3"/>
      <c r="NRB213" s="3"/>
      <c r="NRC213" s="3"/>
      <c r="NRD213" s="3"/>
      <c r="NRE213" s="3"/>
      <c r="NRF213" s="3"/>
      <c r="NRG213" s="3"/>
      <c r="NRH213" s="3"/>
      <c r="NRI213" s="3"/>
      <c r="NRJ213" s="3"/>
      <c r="NRK213" s="3"/>
      <c r="NRL213" s="3"/>
      <c r="NRM213" s="3"/>
      <c r="NRN213" s="3"/>
      <c r="NRO213" s="3"/>
      <c r="NRP213" s="3"/>
      <c r="NRQ213" s="3"/>
      <c r="NRR213" s="3"/>
      <c r="NRS213" s="3"/>
      <c r="NRT213" s="3"/>
      <c r="NRU213" s="3"/>
      <c r="NRV213" s="3"/>
      <c r="NRW213" s="3"/>
      <c r="NRX213" s="3"/>
      <c r="NRY213" s="3"/>
      <c r="NRZ213" s="3"/>
      <c r="NSA213" s="3"/>
      <c r="NSB213" s="3"/>
      <c r="NSC213" s="3"/>
      <c r="NSD213" s="3"/>
      <c r="NSE213" s="3"/>
      <c r="NSF213" s="3"/>
      <c r="NSG213" s="3"/>
      <c r="NSH213" s="3"/>
      <c r="NSI213" s="3"/>
      <c r="NSJ213" s="3"/>
      <c r="NSK213" s="3"/>
      <c r="NSL213" s="3"/>
      <c r="NSM213" s="3"/>
      <c r="NSN213" s="3"/>
      <c r="NSO213" s="3"/>
      <c r="NSP213" s="3"/>
      <c r="NSQ213" s="3"/>
      <c r="NSR213" s="3"/>
      <c r="NSS213" s="3"/>
      <c r="NST213" s="3"/>
      <c r="NSU213" s="3"/>
      <c r="NSV213" s="3"/>
      <c r="NSW213" s="3"/>
      <c r="NSX213" s="3"/>
      <c r="NSY213" s="3"/>
      <c r="NSZ213" s="3"/>
      <c r="NTA213" s="3"/>
      <c r="NTB213" s="3"/>
      <c r="NTC213" s="3"/>
      <c r="NTD213" s="3"/>
      <c r="NTE213" s="3"/>
      <c r="NTF213" s="3"/>
      <c r="NTG213" s="3"/>
      <c r="NTH213" s="3"/>
      <c r="NTI213" s="3"/>
      <c r="NTJ213" s="3"/>
      <c r="NTK213" s="3"/>
      <c r="NTL213" s="3"/>
      <c r="NTM213" s="3"/>
      <c r="NTN213" s="3"/>
      <c r="NTO213" s="3"/>
      <c r="NTP213" s="3"/>
      <c r="NTQ213" s="3"/>
      <c r="NTR213" s="3"/>
      <c r="NTS213" s="3"/>
      <c r="NTT213" s="3"/>
      <c r="NTU213" s="3"/>
      <c r="NTV213" s="3"/>
      <c r="NTW213" s="3"/>
      <c r="NTX213" s="3"/>
      <c r="NTY213" s="3"/>
      <c r="NTZ213" s="3"/>
      <c r="NUA213" s="3"/>
      <c r="NUB213" s="3"/>
      <c r="NUC213" s="3"/>
      <c r="NUD213" s="3"/>
      <c r="NUE213" s="3"/>
      <c r="NUF213" s="3"/>
      <c r="NUG213" s="3"/>
      <c r="NUH213" s="3"/>
      <c r="NUI213" s="3"/>
      <c r="NUJ213" s="3"/>
      <c r="NUK213" s="3"/>
      <c r="NUL213" s="3"/>
      <c r="NUM213" s="3"/>
      <c r="NUN213" s="3"/>
      <c r="NUO213" s="3"/>
      <c r="NUP213" s="3"/>
      <c r="NUQ213" s="3"/>
      <c r="NUR213" s="3"/>
      <c r="NUS213" s="3"/>
      <c r="NUT213" s="3"/>
      <c r="NUU213" s="3"/>
      <c r="NUV213" s="3"/>
      <c r="NUW213" s="3"/>
      <c r="NUX213" s="3"/>
      <c r="NUY213" s="3"/>
      <c r="NUZ213" s="3"/>
      <c r="NVA213" s="3"/>
      <c r="NVB213" s="3"/>
      <c r="NVC213" s="3"/>
      <c r="NVD213" s="3"/>
      <c r="NVE213" s="3"/>
      <c r="NVF213" s="3"/>
      <c r="NVG213" s="3"/>
      <c r="NVH213" s="3"/>
      <c r="NVI213" s="3"/>
      <c r="NVJ213" s="3"/>
      <c r="NVK213" s="3"/>
      <c r="NVL213" s="3"/>
      <c r="NVM213" s="3"/>
      <c r="NVN213" s="3"/>
      <c r="NVO213" s="3"/>
      <c r="NVP213" s="3"/>
      <c r="NVQ213" s="3"/>
      <c r="NVR213" s="3"/>
      <c r="NVS213" s="3"/>
      <c r="NVT213" s="3"/>
      <c r="NVU213" s="3"/>
      <c r="NVV213" s="3"/>
      <c r="NVW213" s="3"/>
      <c r="NVX213" s="3"/>
      <c r="NVY213" s="3"/>
      <c r="NVZ213" s="3"/>
      <c r="NWA213" s="3"/>
      <c r="NWB213" s="3"/>
      <c r="NWC213" s="3"/>
      <c r="NWD213" s="3"/>
      <c r="NWE213" s="3"/>
      <c r="NWF213" s="3"/>
      <c r="NWG213" s="3"/>
      <c r="NWH213" s="3"/>
      <c r="NWI213" s="3"/>
      <c r="NWJ213" s="3"/>
      <c r="NWK213" s="3"/>
      <c r="NWL213" s="3"/>
      <c r="NWM213" s="3"/>
      <c r="NWN213" s="3"/>
      <c r="NWO213" s="3"/>
      <c r="NWP213" s="3"/>
      <c r="NWQ213" s="3"/>
      <c r="NWR213" s="3"/>
      <c r="NWS213" s="3"/>
      <c r="NWT213" s="3"/>
      <c r="NWU213" s="3"/>
      <c r="NWV213" s="3"/>
      <c r="NWW213" s="3"/>
      <c r="NWX213" s="3"/>
      <c r="NWY213" s="3"/>
      <c r="NWZ213" s="3"/>
      <c r="NXA213" s="3"/>
      <c r="NXB213" s="3"/>
      <c r="NXC213" s="3"/>
      <c r="NXD213" s="3"/>
      <c r="NXE213" s="3"/>
      <c r="NXF213" s="3"/>
      <c r="NXG213" s="3"/>
      <c r="NXH213" s="3"/>
      <c r="NXI213" s="3"/>
      <c r="NXJ213" s="3"/>
      <c r="NXK213" s="3"/>
      <c r="NXL213" s="3"/>
      <c r="NXM213" s="3"/>
      <c r="NXN213" s="3"/>
      <c r="NXO213" s="3"/>
      <c r="NXP213" s="3"/>
      <c r="NXQ213" s="3"/>
      <c r="NXR213" s="3"/>
      <c r="NXS213" s="3"/>
      <c r="NXT213" s="3"/>
      <c r="NXU213" s="3"/>
      <c r="NXV213" s="3"/>
      <c r="NXW213" s="3"/>
      <c r="NXX213" s="3"/>
      <c r="NXY213" s="3"/>
      <c r="NXZ213" s="3"/>
      <c r="NYA213" s="3"/>
      <c r="NYB213" s="3"/>
      <c r="NYC213" s="3"/>
      <c r="NYD213" s="3"/>
      <c r="NYE213" s="3"/>
      <c r="NYF213" s="3"/>
      <c r="NYG213" s="3"/>
      <c r="NYH213" s="3"/>
      <c r="NYI213" s="3"/>
      <c r="NYJ213" s="3"/>
      <c r="NYK213" s="3"/>
      <c r="NYL213" s="3"/>
      <c r="NYM213" s="3"/>
      <c r="NYN213" s="3"/>
      <c r="NYO213" s="3"/>
      <c r="NYP213" s="3"/>
      <c r="NYQ213" s="3"/>
      <c r="NYR213" s="3"/>
      <c r="NYS213" s="3"/>
      <c r="NYT213" s="3"/>
      <c r="NYU213" s="3"/>
      <c r="NYV213" s="3"/>
      <c r="NYW213" s="3"/>
      <c r="NYX213" s="3"/>
      <c r="NYY213" s="3"/>
      <c r="NYZ213" s="3"/>
      <c r="NZA213" s="3"/>
      <c r="NZB213" s="3"/>
      <c r="NZC213" s="3"/>
      <c r="NZD213" s="3"/>
      <c r="NZE213" s="3"/>
      <c r="NZF213" s="3"/>
      <c r="NZG213" s="3"/>
      <c r="NZH213" s="3"/>
      <c r="NZI213" s="3"/>
      <c r="NZJ213" s="3"/>
      <c r="NZK213" s="3"/>
      <c r="NZL213" s="3"/>
      <c r="NZM213" s="3"/>
      <c r="NZN213" s="3"/>
      <c r="NZO213" s="3"/>
      <c r="NZP213" s="3"/>
      <c r="NZQ213" s="3"/>
      <c r="NZR213" s="3"/>
      <c r="NZS213" s="3"/>
      <c r="NZT213" s="3"/>
      <c r="NZU213" s="3"/>
      <c r="NZV213" s="3"/>
      <c r="NZW213" s="3"/>
      <c r="NZX213" s="3"/>
      <c r="NZY213" s="3"/>
      <c r="NZZ213" s="3"/>
      <c r="OAA213" s="3"/>
      <c r="OAB213" s="3"/>
      <c r="OAC213" s="3"/>
      <c r="OAD213" s="3"/>
      <c r="OAE213" s="3"/>
      <c r="OAF213" s="3"/>
      <c r="OAG213" s="3"/>
      <c r="OAH213" s="3"/>
      <c r="OAI213" s="3"/>
      <c r="OAJ213" s="3"/>
      <c r="OAK213" s="3"/>
      <c r="OAL213" s="3"/>
      <c r="OAM213" s="3"/>
      <c r="OAN213" s="3"/>
      <c r="OAO213" s="3"/>
      <c r="OAP213" s="3"/>
      <c r="OAQ213" s="3"/>
      <c r="OAR213" s="3"/>
      <c r="OAS213" s="3"/>
      <c r="OAT213" s="3"/>
      <c r="OAU213" s="3"/>
      <c r="OAV213" s="3"/>
      <c r="OAW213" s="3"/>
      <c r="OAX213" s="3"/>
      <c r="OAY213" s="3"/>
      <c r="OAZ213" s="3"/>
      <c r="OBA213" s="3"/>
      <c r="OBB213" s="3"/>
      <c r="OBC213" s="3"/>
      <c r="OBD213" s="3"/>
      <c r="OBE213" s="3"/>
      <c r="OBF213" s="3"/>
      <c r="OBG213" s="3"/>
      <c r="OBH213" s="3"/>
      <c r="OBI213" s="3"/>
      <c r="OBJ213" s="3"/>
      <c r="OBK213" s="3"/>
      <c r="OBL213" s="3"/>
      <c r="OBM213" s="3"/>
      <c r="OBN213" s="3"/>
      <c r="OBO213" s="3"/>
      <c r="OBP213" s="3"/>
      <c r="OBQ213" s="3"/>
      <c r="OBR213" s="3"/>
      <c r="OBS213" s="3"/>
      <c r="OBT213" s="3"/>
      <c r="OBU213" s="3"/>
      <c r="OBV213" s="3"/>
      <c r="OBW213" s="3"/>
      <c r="OBX213" s="3"/>
      <c r="OBY213" s="3"/>
      <c r="OBZ213" s="3"/>
      <c r="OCA213" s="3"/>
      <c r="OCB213" s="3"/>
      <c r="OCC213" s="3"/>
      <c r="OCD213" s="3"/>
      <c r="OCE213" s="3"/>
      <c r="OCF213" s="3"/>
      <c r="OCG213" s="3"/>
      <c r="OCH213" s="3"/>
      <c r="OCI213" s="3"/>
      <c r="OCJ213" s="3"/>
      <c r="OCK213" s="3"/>
      <c r="OCL213" s="3"/>
      <c r="OCM213" s="3"/>
      <c r="OCN213" s="3"/>
      <c r="OCO213" s="3"/>
      <c r="OCP213" s="3"/>
      <c r="OCQ213" s="3"/>
      <c r="OCR213" s="3"/>
      <c r="OCS213" s="3"/>
      <c r="OCT213" s="3"/>
      <c r="OCU213" s="3"/>
      <c r="OCV213" s="3"/>
      <c r="OCW213" s="3"/>
      <c r="OCX213" s="3"/>
      <c r="OCY213" s="3"/>
      <c r="OCZ213" s="3"/>
      <c r="ODA213" s="3"/>
      <c r="ODB213" s="3"/>
      <c r="ODC213" s="3"/>
      <c r="ODD213" s="3"/>
      <c r="ODE213" s="3"/>
      <c r="ODF213" s="3"/>
      <c r="ODG213" s="3"/>
      <c r="ODH213" s="3"/>
      <c r="ODI213" s="3"/>
      <c r="ODJ213" s="3"/>
      <c r="ODK213" s="3"/>
      <c r="ODL213" s="3"/>
      <c r="ODM213" s="3"/>
      <c r="ODN213" s="3"/>
      <c r="ODO213" s="3"/>
      <c r="ODP213" s="3"/>
      <c r="ODQ213" s="3"/>
      <c r="ODR213" s="3"/>
      <c r="ODS213" s="3"/>
      <c r="ODT213" s="3"/>
      <c r="ODU213" s="3"/>
      <c r="ODV213" s="3"/>
      <c r="ODW213" s="3"/>
      <c r="ODX213" s="3"/>
      <c r="ODY213" s="3"/>
      <c r="ODZ213" s="3"/>
      <c r="OEA213" s="3"/>
      <c r="OEB213" s="3"/>
      <c r="OEC213" s="3"/>
      <c r="OED213" s="3"/>
      <c r="OEE213" s="3"/>
      <c r="OEF213" s="3"/>
      <c r="OEG213" s="3"/>
      <c r="OEH213" s="3"/>
      <c r="OEI213" s="3"/>
      <c r="OEJ213" s="3"/>
      <c r="OEK213" s="3"/>
      <c r="OEL213" s="3"/>
      <c r="OEM213" s="3"/>
      <c r="OEN213" s="3"/>
      <c r="OEO213" s="3"/>
      <c r="OEP213" s="3"/>
      <c r="OEQ213" s="3"/>
      <c r="OER213" s="3"/>
      <c r="OES213" s="3"/>
      <c r="OET213" s="3"/>
      <c r="OEU213" s="3"/>
      <c r="OEV213" s="3"/>
      <c r="OEW213" s="3"/>
      <c r="OEX213" s="3"/>
      <c r="OEY213" s="3"/>
      <c r="OEZ213" s="3"/>
      <c r="OFA213" s="3"/>
      <c r="OFB213" s="3"/>
      <c r="OFC213" s="3"/>
      <c r="OFD213" s="3"/>
      <c r="OFE213" s="3"/>
      <c r="OFF213" s="3"/>
      <c r="OFG213" s="3"/>
      <c r="OFH213" s="3"/>
      <c r="OFI213" s="3"/>
      <c r="OFJ213" s="3"/>
      <c r="OFK213" s="3"/>
      <c r="OFL213" s="3"/>
      <c r="OFM213" s="3"/>
      <c r="OFN213" s="3"/>
      <c r="OFO213" s="3"/>
      <c r="OFP213" s="3"/>
      <c r="OFQ213" s="3"/>
      <c r="OFR213" s="3"/>
      <c r="OFS213" s="3"/>
      <c r="OFT213" s="3"/>
      <c r="OFU213" s="3"/>
      <c r="OFV213" s="3"/>
      <c r="OFW213" s="3"/>
      <c r="OFX213" s="3"/>
      <c r="OFY213" s="3"/>
      <c r="OFZ213" s="3"/>
      <c r="OGA213" s="3"/>
      <c r="OGB213" s="3"/>
      <c r="OGC213" s="3"/>
      <c r="OGD213" s="3"/>
      <c r="OGE213" s="3"/>
      <c r="OGF213" s="3"/>
      <c r="OGG213" s="3"/>
      <c r="OGH213" s="3"/>
      <c r="OGI213" s="3"/>
      <c r="OGJ213" s="3"/>
      <c r="OGK213" s="3"/>
      <c r="OGL213" s="3"/>
      <c r="OGM213" s="3"/>
      <c r="OGN213" s="3"/>
      <c r="OGO213" s="3"/>
      <c r="OGP213" s="3"/>
      <c r="OGQ213" s="3"/>
      <c r="OGR213" s="3"/>
      <c r="OGS213" s="3"/>
      <c r="OGT213" s="3"/>
      <c r="OGU213" s="3"/>
      <c r="OGV213" s="3"/>
      <c r="OGW213" s="3"/>
      <c r="OGX213" s="3"/>
      <c r="OGY213" s="3"/>
      <c r="OGZ213" s="3"/>
      <c r="OHA213" s="3"/>
      <c r="OHB213" s="3"/>
      <c r="OHC213" s="3"/>
      <c r="OHD213" s="3"/>
      <c r="OHE213" s="3"/>
      <c r="OHF213" s="3"/>
      <c r="OHG213" s="3"/>
      <c r="OHH213" s="3"/>
      <c r="OHI213" s="3"/>
      <c r="OHJ213" s="3"/>
      <c r="OHK213" s="3"/>
      <c r="OHL213" s="3"/>
      <c r="OHM213" s="3"/>
      <c r="OHN213" s="3"/>
      <c r="OHO213" s="3"/>
      <c r="OHP213" s="3"/>
      <c r="OHQ213" s="3"/>
      <c r="OHR213" s="3"/>
      <c r="OHS213" s="3"/>
      <c r="OHT213" s="3"/>
      <c r="OHU213" s="3"/>
      <c r="OHV213" s="3"/>
      <c r="OHW213" s="3"/>
      <c r="OHX213" s="3"/>
      <c r="OHY213" s="3"/>
      <c r="OHZ213" s="3"/>
      <c r="OIA213" s="3"/>
      <c r="OIB213" s="3"/>
      <c r="OIC213" s="3"/>
      <c r="OID213" s="3"/>
      <c r="OIE213" s="3"/>
      <c r="OIF213" s="3"/>
      <c r="OIG213" s="3"/>
      <c r="OIH213" s="3"/>
      <c r="OII213" s="3"/>
      <c r="OIJ213" s="3"/>
      <c r="OIK213" s="3"/>
      <c r="OIL213" s="3"/>
      <c r="OIM213" s="3"/>
      <c r="OIN213" s="3"/>
      <c r="OIO213" s="3"/>
      <c r="OIP213" s="3"/>
      <c r="OIQ213" s="3"/>
      <c r="OIR213" s="3"/>
      <c r="OIS213" s="3"/>
      <c r="OIT213" s="3"/>
      <c r="OIU213" s="3"/>
      <c r="OIV213" s="3"/>
      <c r="OIW213" s="3"/>
      <c r="OIX213" s="3"/>
      <c r="OIY213" s="3"/>
      <c r="OIZ213" s="3"/>
      <c r="OJA213" s="3"/>
      <c r="OJB213" s="3"/>
      <c r="OJC213" s="3"/>
      <c r="OJD213" s="3"/>
      <c r="OJE213" s="3"/>
      <c r="OJF213" s="3"/>
      <c r="OJG213" s="3"/>
      <c r="OJH213" s="3"/>
      <c r="OJI213" s="3"/>
      <c r="OJJ213" s="3"/>
      <c r="OJK213" s="3"/>
      <c r="OJL213" s="3"/>
      <c r="OJM213" s="3"/>
      <c r="OJN213" s="3"/>
      <c r="OJO213" s="3"/>
      <c r="OJP213" s="3"/>
      <c r="OJQ213" s="3"/>
      <c r="OJR213" s="3"/>
      <c r="OJS213" s="3"/>
      <c r="OJT213" s="3"/>
      <c r="OJU213" s="3"/>
      <c r="OJV213" s="3"/>
      <c r="OJW213" s="3"/>
      <c r="OJX213" s="3"/>
      <c r="OJY213" s="3"/>
      <c r="OJZ213" s="3"/>
      <c r="OKA213" s="3"/>
      <c r="OKB213" s="3"/>
      <c r="OKC213" s="3"/>
      <c r="OKD213" s="3"/>
      <c r="OKE213" s="3"/>
      <c r="OKF213" s="3"/>
      <c r="OKG213" s="3"/>
      <c r="OKH213" s="3"/>
      <c r="OKI213" s="3"/>
      <c r="OKJ213" s="3"/>
      <c r="OKK213" s="3"/>
      <c r="OKL213" s="3"/>
      <c r="OKM213" s="3"/>
      <c r="OKN213" s="3"/>
      <c r="OKO213" s="3"/>
      <c r="OKP213" s="3"/>
      <c r="OKQ213" s="3"/>
      <c r="OKR213" s="3"/>
      <c r="OKS213" s="3"/>
      <c r="OKT213" s="3"/>
      <c r="OKU213" s="3"/>
      <c r="OKV213" s="3"/>
      <c r="OKW213" s="3"/>
      <c r="OKX213" s="3"/>
      <c r="OKY213" s="3"/>
      <c r="OKZ213" s="3"/>
      <c r="OLA213" s="3"/>
      <c r="OLB213" s="3"/>
      <c r="OLC213" s="3"/>
      <c r="OLD213" s="3"/>
      <c r="OLE213" s="3"/>
      <c r="OLF213" s="3"/>
      <c r="OLG213" s="3"/>
      <c r="OLH213" s="3"/>
      <c r="OLI213" s="3"/>
      <c r="OLJ213" s="3"/>
      <c r="OLK213" s="3"/>
      <c r="OLL213" s="3"/>
      <c r="OLM213" s="3"/>
      <c r="OLN213" s="3"/>
      <c r="OLO213" s="3"/>
      <c r="OLP213" s="3"/>
      <c r="OLQ213" s="3"/>
      <c r="OLR213" s="3"/>
      <c r="OLS213" s="3"/>
      <c r="OLT213" s="3"/>
      <c r="OLU213" s="3"/>
      <c r="OLV213" s="3"/>
      <c r="OLW213" s="3"/>
      <c r="OLX213" s="3"/>
      <c r="OLY213" s="3"/>
      <c r="OLZ213" s="3"/>
      <c r="OMA213" s="3"/>
      <c r="OMB213" s="3"/>
      <c r="OMC213" s="3"/>
      <c r="OMD213" s="3"/>
      <c r="OME213" s="3"/>
      <c r="OMF213" s="3"/>
      <c r="OMG213" s="3"/>
      <c r="OMH213" s="3"/>
      <c r="OMI213" s="3"/>
      <c r="OMJ213" s="3"/>
      <c r="OMK213" s="3"/>
      <c r="OML213" s="3"/>
      <c r="OMM213" s="3"/>
      <c r="OMN213" s="3"/>
      <c r="OMO213" s="3"/>
      <c r="OMP213" s="3"/>
      <c r="OMQ213" s="3"/>
      <c r="OMR213" s="3"/>
      <c r="OMS213" s="3"/>
      <c r="OMT213" s="3"/>
      <c r="OMU213" s="3"/>
      <c r="OMV213" s="3"/>
      <c r="OMW213" s="3"/>
      <c r="OMX213" s="3"/>
      <c r="OMY213" s="3"/>
      <c r="OMZ213" s="3"/>
      <c r="ONA213" s="3"/>
      <c r="ONB213" s="3"/>
      <c r="ONC213" s="3"/>
      <c r="OND213" s="3"/>
      <c r="ONE213" s="3"/>
      <c r="ONF213" s="3"/>
      <c r="ONG213" s="3"/>
      <c r="ONH213" s="3"/>
      <c r="ONI213" s="3"/>
      <c r="ONJ213" s="3"/>
      <c r="ONK213" s="3"/>
      <c r="ONL213" s="3"/>
      <c r="ONM213" s="3"/>
      <c r="ONN213" s="3"/>
      <c r="ONO213" s="3"/>
      <c r="ONP213" s="3"/>
      <c r="ONQ213" s="3"/>
      <c r="ONR213" s="3"/>
      <c r="ONS213" s="3"/>
      <c r="ONT213" s="3"/>
      <c r="ONU213" s="3"/>
      <c r="ONV213" s="3"/>
      <c r="ONW213" s="3"/>
      <c r="ONX213" s="3"/>
      <c r="ONY213" s="3"/>
      <c r="ONZ213" s="3"/>
      <c r="OOA213" s="3"/>
      <c r="OOB213" s="3"/>
      <c r="OOC213" s="3"/>
      <c r="OOD213" s="3"/>
      <c r="OOE213" s="3"/>
      <c r="OOF213" s="3"/>
      <c r="OOG213" s="3"/>
      <c r="OOH213" s="3"/>
      <c r="OOI213" s="3"/>
      <c r="OOJ213" s="3"/>
      <c r="OOK213" s="3"/>
      <c r="OOL213" s="3"/>
      <c r="OOM213" s="3"/>
      <c r="OON213" s="3"/>
      <c r="OOO213" s="3"/>
      <c r="OOP213" s="3"/>
      <c r="OOQ213" s="3"/>
      <c r="OOR213" s="3"/>
      <c r="OOS213" s="3"/>
      <c r="OOT213" s="3"/>
      <c r="OOU213" s="3"/>
      <c r="OOV213" s="3"/>
      <c r="OOW213" s="3"/>
      <c r="OOX213" s="3"/>
      <c r="OOY213" s="3"/>
      <c r="OOZ213" s="3"/>
      <c r="OPA213" s="3"/>
      <c r="OPB213" s="3"/>
      <c r="OPC213" s="3"/>
      <c r="OPD213" s="3"/>
      <c r="OPE213" s="3"/>
      <c r="OPF213" s="3"/>
      <c r="OPG213" s="3"/>
      <c r="OPH213" s="3"/>
      <c r="OPI213" s="3"/>
      <c r="OPJ213" s="3"/>
      <c r="OPK213" s="3"/>
      <c r="OPL213" s="3"/>
      <c r="OPM213" s="3"/>
      <c r="OPN213" s="3"/>
      <c r="OPO213" s="3"/>
      <c r="OPP213" s="3"/>
      <c r="OPQ213" s="3"/>
      <c r="OPR213" s="3"/>
      <c r="OPS213" s="3"/>
      <c r="OPT213" s="3"/>
      <c r="OPU213" s="3"/>
      <c r="OPV213" s="3"/>
      <c r="OPW213" s="3"/>
      <c r="OPX213" s="3"/>
      <c r="OPY213" s="3"/>
      <c r="OPZ213" s="3"/>
      <c r="OQA213" s="3"/>
      <c r="OQB213" s="3"/>
      <c r="OQC213" s="3"/>
      <c r="OQD213" s="3"/>
      <c r="OQE213" s="3"/>
      <c r="OQF213" s="3"/>
      <c r="OQG213" s="3"/>
      <c r="OQH213" s="3"/>
      <c r="OQI213" s="3"/>
      <c r="OQJ213" s="3"/>
      <c r="OQK213" s="3"/>
      <c r="OQL213" s="3"/>
      <c r="OQM213" s="3"/>
      <c r="OQN213" s="3"/>
      <c r="OQO213" s="3"/>
      <c r="OQP213" s="3"/>
      <c r="OQQ213" s="3"/>
      <c r="OQR213" s="3"/>
      <c r="OQS213" s="3"/>
      <c r="OQT213" s="3"/>
      <c r="OQU213" s="3"/>
      <c r="OQV213" s="3"/>
      <c r="OQW213" s="3"/>
      <c r="OQX213" s="3"/>
      <c r="OQY213" s="3"/>
      <c r="OQZ213" s="3"/>
      <c r="ORA213" s="3"/>
      <c r="ORB213" s="3"/>
      <c r="ORC213" s="3"/>
      <c r="ORD213" s="3"/>
      <c r="ORE213" s="3"/>
      <c r="ORF213" s="3"/>
      <c r="ORG213" s="3"/>
      <c r="ORH213" s="3"/>
      <c r="ORI213" s="3"/>
      <c r="ORJ213" s="3"/>
      <c r="ORK213" s="3"/>
      <c r="ORL213" s="3"/>
      <c r="ORM213" s="3"/>
      <c r="ORN213" s="3"/>
      <c r="ORO213" s="3"/>
      <c r="ORP213" s="3"/>
      <c r="ORQ213" s="3"/>
      <c r="ORR213" s="3"/>
      <c r="ORS213" s="3"/>
      <c r="ORT213" s="3"/>
      <c r="ORU213" s="3"/>
      <c r="ORV213" s="3"/>
      <c r="ORW213" s="3"/>
      <c r="ORX213" s="3"/>
      <c r="ORY213" s="3"/>
      <c r="ORZ213" s="3"/>
      <c r="OSA213" s="3"/>
      <c r="OSB213" s="3"/>
      <c r="OSC213" s="3"/>
      <c r="OSD213" s="3"/>
      <c r="OSE213" s="3"/>
      <c r="OSF213" s="3"/>
      <c r="OSG213" s="3"/>
      <c r="OSH213" s="3"/>
      <c r="OSI213" s="3"/>
      <c r="OSJ213" s="3"/>
      <c r="OSK213" s="3"/>
      <c r="OSL213" s="3"/>
      <c r="OSM213" s="3"/>
      <c r="OSN213" s="3"/>
      <c r="OSO213" s="3"/>
      <c r="OSP213" s="3"/>
      <c r="OSQ213" s="3"/>
      <c r="OSR213" s="3"/>
      <c r="OSS213" s="3"/>
      <c r="OST213" s="3"/>
      <c r="OSU213" s="3"/>
      <c r="OSV213" s="3"/>
      <c r="OSW213" s="3"/>
      <c r="OSX213" s="3"/>
      <c r="OSY213" s="3"/>
      <c r="OSZ213" s="3"/>
      <c r="OTA213" s="3"/>
      <c r="OTB213" s="3"/>
      <c r="OTC213" s="3"/>
      <c r="OTD213" s="3"/>
      <c r="OTE213" s="3"/>
      <c r="OTF213" s="3"/>
      <c r="OTG213" s="3"/>
      <c r="OTH213" s="3"/>
      <c r="OTI213" s="3"/>
      <c r="OTJ213" s="3"/>
      <c r="OTK213" s="3"/>
      <c r="OTL213" s="3"/>
      <c r="OTM213" s="3"/>
      <c r="OTN213" s="3"/>
      <c r="OTO213" s="3"/>
      <c r="OTP213" s="3"/>
      <c r="OTQ213" s="3"/>
      <c r="OTR213" s="3"/>
      <c r="OTS213" s="3"/>
      <c r="OTT213" s="3"/>
      <c r="OTU213" s="3"/>
      <c r="OTV213" s="3"/>
      <c r="OTW213" s="3"/>
      <c r="OTX213" s="3"/>
      <c r="OTY213" s="3"/>
      <c r="OTZ213" s="3"/>
      <c r="OUA213" s="3"/>
      <c r="OUB213" s="3"/>
      <c r="OUC213" s="3"/>
      <c r="OUD213" s="3"/>
      <c r="OUE213" s="3"/>
      <c r="OUF213" s="3"/>
      <c r="OUG213" s="3"/>
      <c r="OUH213" s="3"/>
      <c r="OUI213" s="3"/>
      <c r="OUJ213" s="3"/>
      <c r="OUK213" s="3"/>
      <c r="OUL213" s="3"/>
      <c r="OUM213" s="3"/>
      <c r="OUN213" s="3"/>
      <c r="OUO213" s="3"/>
      <c r="OUP213" s="3"/>
      <c r="OUQ213" s="3"/>
      <c r="OUR213" s="3"/>
      <c r="OUS213" s="3"/>
      <c r="OUT213" s="3"/>
      <c r="OUU213" s="3"/>
      <c r="OUV213" s="3"/>
      <c r="OUW213" s="3"/>
      <c r="OUX213" s="3"/>
      <c r="OUY213" s="3"/>
      <c r="OUZ213" s="3"/>
      <c r="OVA213" s="3"/>
      <c r="OVB213" s="3"/>
      <c r="OVC213" s="3"/>
      <c r="OVD213" s="3"/>
      <c r="OVE213" s="3"/>
      <c r="OVF213" s="3"/>
      <c r="OVG213" s="3"/>
      <c r="OVH213" s="3"/>
      <c r="OVI213" s="3"/>
      <c r="OVJ213" s="3"/>
      <c r="OVK213" s="3"/>
      <c r="OVL213" s="3"/>
      <c r="OVM213" s="3"/>
      <c r="OVN213" s="3"/>
      <c r="OVO213" s="3"/>
      <c r="OVP213" s="3"/>
      <c r="OVQ213" s="3"/>
      <c r="OVR213" s="3"/>
      <c r="OVS213" s="3"/>
      <c r="OVT213" s="3"/>
      <c r="OVU213" s="3"/>
      <c r="OVV213" s="3"/>
      <c r="OVW213" s="3"/>
      <c r="OVX213" s="3"/>
      <c r="OVY213" s="3"/>
      <c r="OVZ213" s="3"/>
      <c r="OWA213" s="3"/>
      <c r="OWB213" s="3"/>
      <c r="OWC213" s="3"/>
      <c r="OWD213" s="3"/>
      <c r="OWE213" s="3"/>
      <c r="OWF213" s="3"/>
      <c r="OWG213" s="3"/>
      <c r="OWH213" s="3"/>
      <c r="OWI213" s="3"/>
      <c r="OWJ213" s="3"/>
      <c r="OWK213" s="3"/>
      <c r="OWL213" s="3"/>
      <c r="OWM213" s="3"/>
      <c r="OWN213" s="3"/>
      <c r="OWO213" s="3"/>
      <c r="OWP213" s="3"/>
      <c r="OWQ213" s="3"/>
      <c r="OWR213" s="3"/>
      <c r="OWS213" s="3"/>
      <c r="OWT213" s="3"/>
      <c r="OWU213" s="3"/>
      <c r="OWV213" s="3"/>
      <c r="OWW213" s="3"/>
      <c r="OWX213" s="3"/>
      <c r="OWY213" s="3"/>
      <c r="OWZ213" s="3"/>
      <c r="OXA213" s="3"/>
      <c r="OXB213" s="3"/>
      <c r="OXC213" s="3"/>
      <c r="OXD213" s="3"/>
      <c r="OXE213" s="3"/>
      <c r="OXF213" s="3"/>
      <c r="OXG213" s="3"/>
      <c r="OXH213" s="3"/>
      <c r="OXI213" s="3"/>
      <c r="OXJ213" s="3"/>
      <c r="OXK213" s="3"/>
      <c r="OXL213" s="3"/>
      <c r="OXM213" s="3"/>
      <c r="OXN213" s="3"/>
      <c r="OXO213" s="3"/>
      <c r="OXP213" s="3"/>
      <c r="OXQ213" s="3"/>
      <c r="OXR213" s="3"/>
      <c r="OXS213" s="3"/>
      <c r="OXT213" s="3"/>
      <c r="OXU213" s="3"/>
      <c r="OXV213" s="3"/>
      <c r="OXW213" s="3"/>
      <c r="OXX213" s="3"/>
      <c r="OXY213" s="3"/>
      <c r="OXZ213" s="3"/>
      <c r="OYA213" s="3"/>
      <c r="OYB213" s="3"/>
      <c r="OYC213" s="3"/>
      <c r="OYD213" s="3"/>
      <c r="OYE213" s="3"/>
      <c r="OYF213" s="3"/>
      <c r="OYG213" s="3"/>
      <c r="OYH213" s="3"/>
      <c r="OYI213" s="3"/>
      <c r="OYJ213" s="3"/>
      <c r="OYK213" s="3"/>
      <c r="OYL213" s="3"/>
      <c r="OYM213" s="3"/>
      <c r="OYN213" s="3"/>
      <c r="OYO213" s="3"/>
      <c r="OYP213" s="3"/>
      <c r="OYQ213" s="3"/>
      <c r="OYR213" s="3"/>
      <c r="OYS213" s="3"/>
      <c r="OYT213" s="3"/>
      <c r="OYU213" s="3"/>
      <c r="OYV213" s="3"/>
      <c r="OYW213" s="3"/>
      <c r="OYX213" s="3"/>
      <c r="OYY213" s="3"/>
      <c r="OYZ213" s="3"/>
      <c r="OZA213" s="3"/>
      <c r="OZB213" s="3"/>
      <c r="OZC213" s="3"/>
      <c r="OZD213" s="3"/>
      <c r="OZE213" s="3"/>
      <c r="OZF213" s="3"/>
      <c r="OZG213" s="3"/>
      <c r="OZH213" s="3"/>
      <c r="OZI213" s="3"/>
      <c r="OZJ213" s="3"/>
      <c r="OZK213" s="3"/>
      <c r="OZL213" s="3"/>
      <c r="OZM213" s="3"/>
      <c r="OZN213" s="3"/>
      <c r="OZO213" s="3"/>
      <c r="OZP213" s="3"/>
      <c r="OZQ213" s="3"/>
      <c r="OZR213" s="3"/>
      <c r="OZS213" s="3"/>
      <c r="OZT213" s="3"/>
      <c r="OZU213" s="3"/>
      <c r="OZV213" s="3"/>
      <c r="OZW213" s="3"/>
      <c r="OZX213" s="3"/>
      <c r="OZY213" s="3"/>
      <c r="OZZ213" s="3"/>
      <c r="PAA213" s="3"/>
      <c r="PAB213" s="3"/>
      <c r="PAC213" s="3"/>
      <c r="PAD213" s="3"/>
      <c r="PAE213" s="3"/>
      <c r="PAF213" s="3"/>
      <c r="PAG213" s="3"/>
      <c r="PAH213" s="3"/>
      <c r="PAI213" s="3"/>
      <c r="PAJ213" s="3"/>
      <c r="PAK213" s="3"/>
      <c r="PAL213" s="3"/>
      <c r="PAM213" s="3"/>
      <c r="PAN213" s="3"/>
      <c r="PAO213" s="3"/>
      <c r="PAP213" s="3"/>
      <c r="PAQ213" s="3"/>
      <c r="PAR213" s="3"/>
      <c r="PAS213" s="3"/>
      <c r="PAT213" s="3"/>
      <c r="PAU213" s="3"/>
      <c r="PAV213" s="3"/>
      <c r="PAW213" s="3"/>
      <c r="PAX213" s="3"/>
      <c r="PAY213" s="3"/>
      <c r="PAZ213" s="3"/>
      <c r="PBA213" s="3"/>
      <c r="PBB213" s="3"/>
      <c r="PBC213" s="3"/>
      <c r="PBD213" s="3"/>
      <c r="PBE213" s="3"/>
      <c r="PBF213" s="3"/>
      <c r="PBG213" s="3"/>
      <c r="PBH213" s="3"/>
      <c r="PBI213" s="3"/>
      <c r="PBJ213" s="3"/>
      <c r="PBK213" s="3"/>
      <c r="PBL213" s="3"/>
      <c r="PBM213" s="3"/>
      <c r="PBN213" s="3"/>
      <c r="PBO213" s="3"/>
      <c r="PBP213" s="3"/>
      <c r="PBQ213" s="3"/>
      <c r="PBR213" s="3"/>
      <c r="PBS213" s="3"/>
      <c r="PBT213" s="3"/>
      <c r="PBU213" s="3"/>
      <c r="PBV213" s="3"/>
      <c r="PBW213" s="3"/>
      <c r="PBX213" s="3"/>
      <c r="PBY213" s="3"/>
      <c r="PBZ213" s="3"/>
      <c r="PCA213" s="3"/>
      <c r="PCB213" s="3"/>
      <c r="PCC213" s="3"/>
      <c r="PCD213" s="3"/>
      <c r="PCE213" s="3"/>
      <c r="PCF213" s="3"/>
      <c r="PCG213" s="3"/>
      <c r="PCH213" s="3"/>
      <c r="PCI213" s="3"/>
      <c r="PCJ213" s="3"/>
      <c r="PCK213" s="3"/>
      <c r="PCL213" s="3"/>
      <c r="PCM213" s="3"/>
      <c r="PCN213" s="3"/>
      <c r="PCO213" s="3"/>
      <c r="PCP213" s="3"/>
      <c r="PCQ213" s="3"/>
      <c r="PCR213" s="3"/>
      <c r="PCS213" s="3"/>
      <c r="PCT213" s="3"/>
      <c r="PCU213" s="3"/>
      <c r="PCV213" s="3"/>
      <c r="PCW213" s="3"/>
      <c r="PCX213" s="3"/>
      <c r="PCY213" s="3"/>
      <c r="PCZ213" s="3"/>
      <c r="PDA213" s="3"/>
      <c r="PDB213" s="3"/>
      <c r="PDC213" s="3"/>
      <c r="PDD213" s="3"/>
      <c r="PDE213" s="3"/>
      <c r="PDF213" s="3"/>
      <c r="PDG213" s="3"/>
      <c r="PDH213" s="3"/>
      <c r="PDI213" s="3"/>
      <c r="PDJ213" s="3"/>
      <c r="PDK213" s="3"/>
      <c r="PDL213" s="3"/>
      <c r="PDM213" s="3"/>
      <c r="PDN213" s="3"/>
      <c r="PDO213" s="3"/>
      <c r="PDP213" s="3"/>
      <c r="PDQ213" s="3"/>
      <c r="PDR213" s="3"/>
      <c r="PDS213" s="3"/>
      <c r="PDT213" s="3"/>
      <c r="PDU213" s="3"/>
      <c r="PDV213" s="3"/>
      <c r="PDW213" s="3"/>
      <c r="PDX213" s="3"/>
      <c r="PDY213" s="3"/>
      <c r="PDZ213" s="3"/>
      <c r="PEA213" s="3"/>
      <c r="PEB213" s="3"/>
      <c r="PEC213" s="3"/>
      <c r="PED213" s="3"/>
      <c r="PEE213" s="3"/>
      <c r="PEF213" s="3"/>
      <c r="PEG213" s="3"/>
      <c r="PEH213" s="3"/>
      <c r="PEI213" s="3"/>
      <c r="PEJ213" s="3"/>
      <c r="PEK213" s="3"/>
      <c r="PEL213" s="3"/>
      <c r="PEM213" s="3"/>
      <c r="PEN213" s="3"/>
      <c r="PEO213" s="3"/>
      <c r="PEP213" s="3"/>
      <c r="PEQ213" s="3"/>
      <c r="PER213" s="3"/>
      <c r="PES213" s="3"/>
      <c r="PET213" s="3"/>
      <c r="PEU213" s="3"/>
      <c r="PEV213" s="3"/>
      <c r="PEW213" s="3"/>
      <c r="PEX213" s="3"/>
      <c r="PEY213" s="3"/>
      <c r="PEZ213" s="3"/>
      <c r="PFA213" s="3"/>
      <c r="PFB213" s="3"/>
      <c r="PFC213" s="3"/>
      <c r="PFD213" s="3"/>
      <c r="PFE213" s="3"/>
      <c r="PFF213" s="3"/>
      <c r="PFG213" s="3"/>
      <c r="PFH213" s="3"/>
      <c r="PFI213" s="3"/>
      <c r="PFJ213" s="3"/>
      <c r="PFK213" s="3"/>
      <c r="PFL213" s="3"/>
      <c r="PFM213" s="3"/>
      <c r="PFN213" s="3"/>
      <c r="PFO213" s="3"/>
      <c r="PFP213" s="3"/>
      <c r="PFQ213" s="3"/>
      <c r="PFR213" s="3"/>
      <c r="PFS213" s="3"/>
      <c r="PFT213" s="3"/>
      <c r="PFU213" s="3"/>
      <c r="PFV213" s="3"/>
      <c r="PFW213" s="3"/>
      <c r="PFX213" s="3"/>
      <c r="PFY213" s="3"/>
      <c r="PFZ213" s="3"/>
      <c r="PGA213" s="3"/>
      <c r="PGB213" s="3"/>
      <c r="PGC213" s="3"/>
      <c r="PGD213" s="3"/>
      <c r="PGE213" s="3"/>
      <c r="PGF213" s="3"/>
      <c r="PGG213" s="3"/>
      <c r="PGH213" s="3"/>
      <c r="PGI213" s="3"/>
      <c r="PGJ213" s="3"/>
      <c r="PGK213" s="3"/>
      <c r="PGL213" s="3"/>
      <c r="PGM213" s="3"/>
      <c r="PGN213" s="3"/>
      <c r="PGO213" s="3"/>
      <c r="PGP213" s="3"/>
      <c r="PGQ213" s="3"/>
      <c r="PGR213" s="3"/>
      <c r="PGS213" s="3"/>
      <c r="PGT213" s="3"/>
      <c r="PGU213" s="3"/>
      <c r="PGV213" s="3"/>
      <c r="PGW213" s="3"/>
      <c r="PGX213" s="3"/>
      <c r="PGY213" s="3"/>
      <c r="PGZ213" s="3"/>
      <c r="PHA213" s="3"/>
      <c r="PHB213" s="3"/>
      <c r="PHC213" s="3"/>
      <c r="PHD213" s="3"/>
      <c r="PHE213" s="3"/>
      <c r="PHF213" s="3"/>
      <c r="PHG213" s="3"/>
      <c r="PHH213" s="3"/>
      <c r="PHI213" s="3"/>
      <c r="PHJ213" s="3"/>
      <c r="PHK213" s="3"/>
      <c r="PHL213" s="3"/>
      <c r="PHM213" s="3"/>
      <c r="PHN213" s="3"/>
      <c r="PHO213" s="3"/>
      <c r="PHP213" s="3"/>
      <c r="PHQ213" s="3"/>
      <c r="PHR213" s="3"/>
      <c r="PHS213" s="3"/>
      <c r="PHT213" s="3"/>
      <c r="PHU213" s="3"/>
      <c r="PHV213" s="3"/>
      <c r="PHW213" s="3"/>
      <c r="PHX213" s="3"/>
      <c r="PHY213" s="3"/>
      <c r="PHZ213" s="3"/>
      <c r="PIA213" s="3"/>
      <c r="PIB213" s="3"/>
      <c r="PIC213" s="3"/>
      <c r="PID213" s="3"/>
      <c r="PIE213" s="3"/>
      <c r="PIF213" s="3"/>
      <c r="PIG213" s="3"/>
      <c r="PIH213" s="3"/>
      <c r="PII213" s="3"/>
      <c r="PIJ213" s="3"/>
      <c r="PIK213" s="3"/>
      <c r="PIL213" s="3"/>
      <c r="PIM213" s="3"/>
      <c r="PIN213" s="3"/>
      <c r="PIO213" s="3"/>
      <c r="PIP213" s="3"/>
      <c r="PIQ213" s="3"/>
      <c r="PIR213" s="3"/>
      <c r="PIS213" s="3"/>
      <c r="PIT213" s="3"/>
      <c r="PIU213" s="3"/>
      <c r="PIV213" s="3"/>
      <c r="PIW213" s="3"/>
      <c r="PIX213" s="3"/>
      <c r="PIY213" s="3"/>
      <c r="PIZ213" s="3"/>
      <c r="PJA213" s="3"/>
      <c r="PJB213" s="3"/>
      <c r="PJC213" s="3"/>
      <c r="PJD213" s="3"/>
      <c r="PJE213" s="3"/>
      <c r="PJF213" s="3"/>
      <c r="PJG213" s="3"/>
      <c r="PJH213" s="3"/>
      <c r="PJI213" s="3"/>
      <c r="PJJ213" s="3"/>
      <c r="PJK213" s="3"/>
      <c r="PJL213" s="3"/>
      <c r="PJM213" s="3"/>
      <c r="PJN213" s="3"/>
      <c r="PJO213" s="3"/>
      <c r="PJP213" s="3"/>
      <c r="PJQ213" s="3"/>
      <c r="PJR213" s="3"/>
      <c r="PJS213" s="3"/>
      <c r="PJT213" s="3"/>
      <c r="PJU213" s="3"/>
      <c r="PJV213" s="3"/>
      <c r="PJW213" s="3"/>
      <c r="PJX213" s="3"/>
      <c r="PJY213" s="3"/>
      <c r="PJZ213" s="3"/>
      <c r="PKA213" s="3"/>
      <c r="PKB213" s="3"/>
      <c r="PKC213" s="3"/>
      <c r="PKD213" s="3"/>
      <c r="PKE213" s="3"/>
      <c r="PKF213" s="3"/>
      <c r="PKG213" s="3"/>
      <c r="PKH213" s="3"/>
      <c r="PKI213" s="3"/>
      <c r="PKJ213" s="3"/>
      <c r="PKK213" s="3"/>
      <c r="PKL213" s="3"/>
      <c r="PKM213" s="3"/>
      <c r="PKN213" s="3"/>
      <c r="PKO213" s="3"/>
      <c r="PKP213" s="3"/>
      <c r="PKQ213" s="3"/>
      <c r="PKR213" s="3"/>
      <c r="PKS213" s="3"/>
      <c r="PKT213" s="3"/>
      <c r="PKU213" s="3"/>
      <c r="PKV213" s="3"/>
      <c r="PKW213" s="3"/>
      <c r="PKX213" s="3"/>
      <c r="PKY213" s="3"/>
      <c r="PKZ213" s="3"/>
      <c r="PLA213" s="3"/>
      <c r="PLB213" s="3"/>
      <c r="PLC213" s="3"/>
      <c r="PLD213" s="3"/>
      <c r="PLE213" s="3"/>
      <c r="PLF213" s="3"/>
      <c r="PLG213" s="3"/>
      <c r="PLH213" s="3"/>
      <c r="PLI213" s="3"/>
      <c r="PLJ213" s="3"/>
      <c r="PLK213" s="3"/>
      <c r="PLL213" s="3"/>
      <c r="PLM213" s="3"/>
      <c r="PLN213" s="3"/>
      <c r="PLO213" s="3"/>
      <c r="PLP213" s="3"/>
      <c r="PLQ213" s="3"/>
      <c r="PLR213" s="3"/>
      <c r="PLS213" s="3"/>
      <c r="PLT213" s="3"/>
      <c r="PLU213" s="3"/>
      <c r="PLV213" s="3"/>
      <c r="PLW213" s="3"/>
      <c r="PLX213" s="3"/>
      <c r="PLY213" s="3"/>
      <c r="PLZ213" s="3"/>
      <c r="PMA213" s="3"/>
      <c r="PMB213" s="3"/>
      <c r="PMC213" s="3"/>
      <c r="PMD213" s="3"/>
      <c r="PME213" s="3"/>
      <c r="PMF213" s="3"/>
      <c r="PMG213" s="3"/>
      <c r="PMH213" s="3"/>
      <c r="PMI213" s="3"/>
      <c r="PMJ213" s="3"/>
      <c r="PMK213" s="3"/>
      <c r="PML213" s="3"/>
      <c r="PMM213" s="3"/>
      <c r="PMN213" s="3"/>
      <c r="PMO213" s="3"/>
      <c r="PMP213" s="3"/>
      <c r="PMQ213" s="3"/>
      <c r="PMR213" s="3"/>
      <c r="PMS213" s="3"/>
      <c r="PMT213" s="3"/>
      <c r="PMU213" s="3"/>
      <c r="PMV213" s="3"/>
      <c r="PMW213" s="3"/>
      <c r="PMX213" s="3"/>
      <c r="PMY213" s="3"/>
      <c r="PMZ213" s="3"/>
      <c r="PNA213" s="3"/>
      <c r="PNB213" s="3"/>
      <c r="PNC213" s="3"/>
      <c r="PND213" s="3"/>
      <c r="PNE213" s="3"/>
      <c r="PNF213" s="3"/>
      <c r="PNG213" s="3"/>
      <c r="PNH213" s="3"/>
      <c r="PNI213" s="3"/>
      <c r="PNJ213" s="3"/>
      <c r="PNK213" s="3"/>
      <c r="PNL213" s="3"/>
      <c r="PNM213" s="3"/>
      <c r="PNN213" s="3"/>
      <c r="PNO213" s="3"/>
      <c r="PNP213" s="3"/>
      <c r="PNQ213" s="3"/>
      <c r="PNR213" s="3"/>
      <c r="PNS213" s="3"/>
      <c r="PNT213" s="3"/>
      <c r="PNU213" s="3"/>
      <c r="PNV213" s="3"/>
      <c r="PNW213" s="3"/>
      <c r="PNX213" s="3"/>
      <c r="PNY213" s="3"/>
      <c r="PNZ213" s="3"/>
      <c r="POA213" s="3"/>
      <c r="POB213" s="3"/>
      <c r="POC213" s="3"/>
      <c r="POD213" s="3"/>
      <c r="POE213" s="3"/>
      <c r="POF213" s="3"/>
      <c r="POG213" s="3"/>
      <c r="POH213" s="3"/>
      <c r="POI213" s="3"/>
      <c r="POJ213" s="3"/>
      <c r="POK213" s="3"/>
      <c r="POL213" s="3"/>
      <c r="POM213" s="3"/>
      <c r="PON213" s="3"/>
      <c r="POO213" s="3"/>
      <c r="POP213" s="3"/>
      <c r="POQ213" s="3"/>
      <c r="POR213" s="3"/>
      <c r="POS213" s="3"/>
      <c r="POT213" s="3"/>
      <c r="POU213" s="3"/>
      <c r="POV213" s="3"/>
      <c r="POW213" s="3"/>
      <c r="POX213" s="3"/>
      <c r="POY213" s="3"/>
      <c r="POZ213" s="3"/>
      <c r="PPA213" s="3"/>
      <c r="PPB213" s="3"/>
      <c r="PPC213" s="3"/>
      <c r="PPD213" s="3"/>
      <c r="PPE213" s="3"/>
      <c r="PPF213" s="3"/>
      <c r="PPG213" s="3"/>
      <c r="PPH213" s="3"/>
      <c r="PPI213" s="3"/>
      <c r="PPJ213" s="3"/>
      <c r="PPK213" s="3"/>
      <c r="PPL213" s="3"/>
      <c r="PPM213" s="3"/>
      <c r="PPN213" s="3"/>
      <c r="PPO213" s="3"/>
      <c r="PPP213" s="3"/>
      <c r="PPQ213" s="3"/>
      <c r="PPR213" s="3"/>
      <c r="PPS213" s="3"/>
      <c r="PPT213" s="3"/>
      <c r="PPU213" s="3"/>
      <c r="PPV213" s="3"/>
      <c r="PPW213" s="3"/>
      <c r="PPX213" s="3"/>
      <c r="PPY213" s="3"/>
      <c r="PPZ213" s="3"/>
      <c r="PQA213" s="3"/>
      <c r="PQB213" s="3"/>
      <c r="PQC213" s="3"/>
      <c r="PQD213" s="3"/>
      <c r="PQE213" s="3"/>
      <c r="PQF213" s="3"/>
      <c r="PQG213" s="3"/>
      <c r="PQH213" s="3"/>
      <c r="PQI213" s="3"/>
      <c r="PQJ213" s="3"/>
      <c r="PQK213" s="3"/>
      <c r="PQL213" s="3"/>
      <c r="PQM213" s="3"/>
      <c r="PQN213" s="3"/>
      <c r="PQO213" s="3"/>
      <c r="PQP213" s="3"/>
      <c r="PQQ213" s="3"/>
      <c r="PQR213" s="3"/>
      <c r="PQS213" s="3"/>
      <c r="PQT213" s="3"/>
      <c r="PQU213" s="3"/>
      <c r="PQV213" s="3"/>
      <c r="PQW213" s="3"/>
      <c r="PQX213" s="3"/>
      <c r="PQY213" s="3"/>
      <c r="PQZ213" s="3"/>
      <c r="PRA213" s="3"/>
      <c r="PRB213" s="3"/>
      <c r="PRC213" s="3"/>
      <c r="PRD213" s="3"/>
      <c r="PRE213" s="3"/>
      <c r="PRF213" s="3"/>
      <c r="PRG213" s="3"/>
      <c r="PRH213" s="3"/>
      <c r="PRI213" s="3"/>
      <c r="PRJ213" s="3"/>
      <c r="PRK213" s="3"/>
      <c r="PRL213" s="3"/>
      <c r="PRM213" s="3"/>
      <c r="PRN213" s="3"/>
      <c r="PRO213" s="3"/>
      <c r="PRP213" s="3"/>
      <c r="PRQ213" s="3"/>
      <c r="PRR213" s="3"/>
      <c r="PRS213" s="3"/>
      <c r="PRT213" s="3"/>
      <c r="PRU213" s="3"/>
      <c r="PRV213" s="3"/>
      <c r="PRW213" s="3"/>
      <c r="PRX213" s="3"/>
      <c r="PRY213" s="3"/>
      <c r="PRZ213" s="3"/>
      <c r="PSA213" s="3"/>
      <c r="PSB213" s="3"/>
      <c r="PSC213" s="3"/>
      <c r="PSD213" s="3"/>
      <c r="PSE213" s="3"/>
      <c r="PSF213" s="3"/>
      <c r="PSG213" s="3"/>
      <c r="PSH213" s="3"/>
      <c r="PSI213" s="3"/>
      <c r="PSJ213" s="3"/>
      <c r="PSK213" s="3"/>
      <c r="PSL213" s="3"/>
      <c r="PSM213" s="3"/>
      <c r="PSN213" s="3"/>
      <c r="PSO213" s="3"/>
      <c r="PSP213" s="3"/>
      <c r="PSQ213" s="3"/>
      <c r="PSR213" s="3"/>
      <c r="PSS213" s="3"/>
      <c r="PST213" s="3"/>
      <c r="PSU213" s="3"/>
      <c r="PSV213" s="3"/>
      <c r="PSW213" s="3"/>
      <c r="PSX213" s="3"/>
      <c r="PSY213" s="3"/>
      <c r="PSZ213" s="3"/>
      <c r="PTA213" s="3"/>
      <c r="PTB213" s="3"/>
      <c r="PTC213" s="3"/>
      <c r="PTD213" s="3"/>
      <c r="PTE213" s="3"/>
      <c r="PTF213" s="3"/>
      <c r="PTG213" s="3"/>
      <c r="PTH213" s="3"/>
      <c r="PTI213" s="3"/>
      <c r="PTJ213" s="3"/>
      <c r="PTK213" s="3"/>
      <c r="PTL213" s="3"/>
      <c r="PTM213" s="3"/>
      <c r="PTN213" s="3"/>
      <c r="PTO213" s="3"/>
      <c r="PTP213" s="3"/>
      <c r="PTQ213" s="3"/>
      <c r="PTR213" s="3"/>
      <c r="PTS213" s="3"/>
      <c r="PTT213" s="3"/>
      <c r="PTU213" s="3"/>
      <c r="PTV213" s="3"/>
      <c r="PTW213" s="3"/>
      <c r="PTX213" s="3"/>
      <c r="PTY213" s="3"/>
      <c r="PTZ213" s="3"/>
      <c r="PUA213" s="3"/>
      <c r="PUB213" s="3"/>
      <c r="PUC213" s="3"/>
      <c r="PUD213" s="3"/>
      <c r="PUE213" s="3"/>
      <c r="PUF213" s="3"/>
      <c r="PUG213" s="3"/>
      <c r="PUH213" s="3"/>
      <c r="PUI213" s="3"/>
      <c r="PUJ213" s="3"/>
      <c r="PUK213" s="3"/>
      <c r="PUL213" s="3"/>
      <c r="PUM213" s="3"/>
      <c r="PUN213" s="3"/>
      <c r="PUO213" s="3"/>
      <c r="PUP213" s="3"/>
      <c r="PUQ213" s="3"/>
      <c r="PUR213" s="3"/>
      <c r="PUS213" s="3"/>
      <c r="PUT213" s="3"/>
      <c r="PUU213" s="3"/>
      <c r="PUV213" s="3"/>
      <c r="PUW213" s="3"/>
      <c r="PUX213" s="3"/>
      <c r="PUY213" s="3"/>
      <c r="PUZ213" s="3"/>
      <c r="PVA213" s="3"/>
      <c r="PVB213" s="3"/>
      <c r="PVC213" s="3"/>
      <c r="PVD213" s="3"/>
      <c r="PVE213" s="3"/>
      <c r="PVF213" s="3"/>
      <c r="PVG213" s="3"/>
      <c r="PVH213" s="3"/>
      <c r="PVI213" s="3"/>
      <c r="PVJ213" s="3"/>
      <c r="PVK213" s="3"/>
      <c r="PVL213" s="3"/>
      <c r="PVM213" s="3"/>
      <c r="PVN213" s="3"/>
      <c r="PVO213" s="3"/>
      <c r="PVP213" s="3"/>
      <c r="PVQ213" s="3"/>
      <c r="PVR213" s="3"/>
      <c r="PVS213" s="3"/>
      <c r="PVT213" s="3"/>
      <c r="PVU213" s="3"/>
      <c r="PVV213" s="3"/>
      <c r="PVW213" s="3"/>
      <c r="PVX213" s="3"/>
      <c r="PVY213" s="3"/>
      <c r="PVZ213" s="3"/>
      <c r="PWA213" s="3"/>
      <c r="PWB213" s="3"/>
      <c r="PWC213" s="3"/>
      <c r="PWD213" s="3"/>
      <c r="PWE213" s="3"/>
      <c r="PWF213" s="3"/>
      <c r="PWG213" s="3"/>
      <c r="PWH213" s="3"/>
      <c r="PWI213" s="3"/>
      <c r="PWJ213" s="3"/>
      <c r="PWK213" s="3"/>
      <c r="PWL213" s="3"/>
      <c r="PWM213" s="3"/>
      <c r="PWN213" s="3"/>
      <c r="PWO213" s="3"/>
      <c r="PWP213" s="3"/>
      <c r="PWQ213" s="3"/>
      <c r="PWR213" s="3"/>
      <c r="PWS213" s="3"/>
      <c r="PWT213" s="3"/>
      <c r="PWU213" s="3"/>
      <c r="PWV213" s="3"/>
      <c r="PWW213" s="3"/>
      <c r="PWX213" s="3"/>
      <c r="PWY213" s="3"/>
      <c r="PWZ213" s="3"/>
      <c r="PXA213" s="3"/>
      <c r="PXB213" s="3"/>
      <c r="PXC213" s="3"/>
      <c r="PXD213" s="3"/>
      <c r="PXE213" s="3"/>
      <c r="PXF213" s="3"/>
      <c r="PXG213" s="3"/>
      <c r="PXH213" s="3"/>
      <c r="PXI213" s="3"/>
      <c r="PXJ213" s="3"/>
      <c r="PXK213" s="3"/>
      <c r="PXL213" s="3"/>
      <c r="PXM213" s="3"/>
      <c r="PXN213" s="3"/>
      <c r="PXO213" s="3"/>
      <c r="PXP213" s="3"/>
      <c r="PXQ213" s="3"/>
      <c r="PXR213" s="3"/>
      <c r="PXS213" s="3"/>
      <c r="PXT213" s="3"/>
      <c r="PXU213" s="3"/>
      <c r="PXV213" s="3"/>
      <c r="PXW213" s="3"/>
      <c r="PXX213" s="3"/>
      <c r="PXY213" s="3"/>
      <c r="PXZ213" s="3"/>
      <c r="PYA213" s="3"/>
      <c r="PYB213" s="3"/>
      <c r="PYC213" s="3"/>
      <c r="PYD213" s="3"/>
      <c r="PYE213" s="3"/>
      <c r="PYF213" s="3"/>
      <c r="PYG213" s="3"/>
      <c r="PYH213" s="3"/>
      <c r="PYI213" s="3"/>
      <c r="PYJ213" s="3"/>
      <c r="PYK213" s="3"/>
      <c r="PYL213" s="3"/>
      <c r="PYM213" s="3"/>
      <c r="PYN213" s="3"/>
      <c r="PYO213" s="3"/>
      <c r="PYP213" s="3"/>
      <c r="PYQ213" s="3"/>
      <c r="PYR213" s="3"/>
      <c r="PYS213" s="3"/>
      <c r="PYT213" s="3"/>
      <c r="PYU213" s="3"/>
      <c r="PYV213" s="3"/>
      <c r="PYW213" s="3"/>
      <c r="PYX213" s="3"/>
      <c r="PYY213" s="3"/>
      <c r="PYZ213" s="3"/>
      <c r="PZA213" s="3"/>
      <c r="PZB213" s="3"/>
      <c r="PZC213" s="3"/>
      <c r="PZD213" s="3"/>
      <c r="PZE213" s="3"/>
      <c r="PZF213" s="3"/>
      <c r="PZG213" s="3"/>
      <c r="PZH213" s="3"/>
      <c r="PZI213" s="3"/>
      <c r="PZJ213" s="3"/>
      <c r="PZK213" s="3"/>
      <c r="PZL213" s="3"/>
      <c r="PZM213" s="3"/>
      <c r="PZN213" s="3"/>
      <c r="PZO213" s="3"/>
      <c r="PZP213" s="3"/>
      <c r="PZQ213" s="3"/>
      <c r="PZR213" s="3"/>
      <c r="PZS213" s="3"/>
      <c r="PZT213" s="3"/>
      <c r="PZU213" s="3"/>
      <c r="PZV213" s="3"/>
      <c r="PZW213" s="3"/>
      <c r="PZX213" s="3"/>
      <c r="PZY213" s="3"/>
      <c r="PZZ213" s="3"/>
      <c r="QAA213" s="3"/>
      <c r="QAB213" s="3"/>
      <c r="QAC213" s="3"/>
      <c r="QAD213" s="3"/>
      <c r="QAE213" s="3"/>
      <c r="QAF213" s="3"/>
      <c r="QAG213" s="3"/>
      <c r="QAH213" s="3"/>
      <c r="QAI213" s="3"/>
      <c r="QAJ213" s="3"/>
      <c r="QAK213" s="3"/>
      <c r="QAL213" s="3"/>
      <c r="QAM213" s="3"/>
      <c r="QAN213" s="3"/>
      <c r="QAO213" s="3"/>
      <c r="QAP213" s="3"/>
      <c r="QAQ213" s="3"/>
      <c r="QAR213" s="3"/>
      <c r="QAS213" s="3"/>
      <c r="QAT213" s="3"/>
      <c r="QAU213" s="3"/>
      <c r="QAV213" s="3"/>
      <c r="QAW213" s="3"/>
      <c r="QAX213" s="3"/>
      <c r="QAY213" s="3"/>
      <c r="QAZ213" s="3"/>
      <c r="QBA213" s="3"/>
      <c r="QBB213" s="3"/>
      <c r="QBC213" s="3"/>
      <c r="QBD213" s="3"/>
      <c r="QBE213" s="3"/>
      <c r="QBF213" s="3"/>
      <c r="QBG213" s="3"/>
      <c r="QBH213" s="3"/>
      <c r="QBI213" s="3"/>
      <c r="QBJ213" s="3"/>
      <c r="QBK213" s="3"/>
      <c r="QBL213" s="3"/>
      <c r="QBM213" s="3"/>
      <c r="QBN213" s="3"/>
      <c r="QBO213" s="3"/>
      <c r="QBP213" s="3"/>
      <c r="QBQ213" s="3"/>
      <c r="QBR213" s="3"/>
      <c r="QBS213" s="3"/>
      <c r="QBT213" s="3"/>
      <c r="QBU213" s="3"/>
      <c r="QBV213" s="3"/>
      <c r="QBW213" s="3"/>
      <c r="QBX213" s="3"/>
      <c r="QBY213" s="3"/>
      <c r="QBZ213" s="3"/>
      <c r="QCA213" s="3"/>
      <c r="QCB213" s="3"/>
      <c r="QCC213" s="3"/>
      <c r="QCD213" s="3"/>
      <c r="QCE213" s="3"/>
      <c r="QCF213" s="3"/>
      <c r="QCG213" s="3"/>
      <c r="QCH213" s="3"/>
      <c r="QCI213" s="3"/>
      <c r="QCJ213" s="3"/>
      <c r="QCK213" s="3"/>
      <c r="QCL213" s="3"/>
      <c r="QCM213" s="3"/>
      <c r="QCN213" s="3"/>
      <c r="QCO213" s="3"/>
      <c r="QCP213" s="3"/>
      <c r="QCQ213" s="3"/>
      <c r="QCR213" s="3"/>
      <c r="QCS213" s="3"/>
      <c r="QCT213" s="3"/>
      <c r="QCU213" s="3"/>
      <c r="QCV213" s="3"/>
      <c r="QCW213" s="3"/>
      <c r="QCX213" s="3"/>
      <c r="QCY213" s="3"/>
      <c r="QCZ213" s="3"/>
      <c r="QDA213" s="3"/>
      <c r="QDB213" s="3"/>
      <c r="QDC213" s="3"/>
      <c r="QDD213" s="3"/>
      <c r="QDE213" s="3"/>
      <c r="QDF213" s="3"/>
      <c r="QDG213" s="3"/>
      <c r="QDH213" s="3"/>
      <c r="QDI213" s="3"/>
      <c r="QDJ213" s="3"/>
      <c r="QDK213" s="3"/>
      <c r="QDL213" s="3"/>
      <c r="QDM213" s="3"/>
      <c r="QDN213" s="3"/>
      <c r="QDO213" s="3"/>
      <c r="QDP213" s="3"/>
      <c r="QDQ213" s="3"/>
      <c r="QDR213" s="3"/>
      <c r="QDS213" s="3"/>
      <c r="QDT213" s="3"/>
      <c r="QDU213" s="3"/>
      <c r="QDV213" s="3"/>
      <c r="QDW213" s="3"/>
      <c r="QDX213" s="3"/>
      <c r="QDY213" s="3"/>
      <c r="QDZ213" s="3"/>
      <c r="QEA213" s="3"/>
      <c r="QEB213" s="3"/>
      <c r="QEC213" s="3"/>
      <c r="QED213" s="3"/>
      <c r="QEE213" s="3"/>
      <c r="QEF213" s="3"/>
      <c r="QEG213" s="3"/>
      <c r="QEH213" s="3"/>
      <c r="QEI213" s="3"/>
      <c r="QEJ213" s="3"/>
      <c r="QEK213" s="3"/>
      <c r="QEL213" s="3"/>
      <c r="QEM213" s="3"/>
      <c r="QEN213" s="3"/>
      <c r="QEO213" s="3"/>
      <c r="QEP213" s="3"/>
      <c r="QEQ213" s="3"/>
      <c r="QER213" s="3"/>
      <c r="QES213" s="3"/>
      <c r="QET213" s="3"/>
      <c r="QEU213" s="3"/>
      <c r="QEV213" s="3"/>
      <c r="QEW213" s="3"/>
      <c r="QEX213" s="3"/>
      <c r="QEY213" s="3"/>
      <c r="QEZ213" s="3"/>
      <c r="QFA213" s="3"/>
      <c r="QFB213" s="3"/>
      <c r="QFC213" s="3"/>
      <c r="QFD213" s="3"/>
      <c r="QFE213" s="3"/>
      <c r="QFF213" s="3"/>
      <c r="QFG213" s="3"/>
      <c r="QFH213" s="3"/>
      <c r="QFI213" s="3"/>
      <c r="QFJ213" s="3"/>
      <c r="QFK213" s="3"/>
      <c r="QFL213" s="3"/>
      <c r="QFM213" s="3"/>
      <c r="QFN213" s="3"/>
      <c r="QFO213" s="3"/>
      <c r="QFP213" s="3"/>
      <c r="QFQ213" s="3"/>
      <c r="QFR213" s="3"/>
      <c r="QFS213" s="3"/>
      <c r="QFT213" s="3"/>
      <c r="QFU213" s="3"/>
      <c r="QFV213" s="3"/>
      <c r="QFW213" s="3"/>
      <c r="QFX213" s="3"/>
      <c r="QFY213" s="3"/>
      <c r="QFZ213" s="3"/>
      <c r="QGA213" s="3"/>
      <c r="QGB213" s="3"/>
      <c r="QGC213" s="3"/>
      <c r="QGD213" s="3"/>
      <c r="QGE213" s="3"/>
      <c r="QGF213" s="3"/>
      <c r="QGG213" s="3"/>
      <c r="QGH213" s="3"/>
      <c r="QGI213" s="3"/>
      <c r="QGJ213" s="3"/>
      <c r="QGK213" s="3"/>
      <c r="QGL213" s="3"/>
      <c r="QGM213" s="3"/>
      <c r="QGN213" s="3"/>
      <c r="QGO213" s="3"/>
      <c r="QGP213" s="3"/>
      <c r="QGQ213" s="3"/>
      <c r="QGR213" s="3"/>
      <c r="QGS213" s="3"/>
      <c r="QGT213" s="3"/>
      <c r="QGU213" s="3"/>
      <c r="QGV213" s="3"/>
      <c r="QGW213" s="3"/>
      <c r="QGX213" s="3"/>
      <c r="QGY213" s="3"/>
      <c r="QGZ213" s="3"/>
      <c r="QHA213" s="3"/>
      <c r="QHB213" s="3"/>
      <c r="QHC213" s="3"/>
      <c r="QHD213" s="3"/>
      <c r="QHE213" s="3"/>
      <c r="QHF213" s="3"/>
      <c r="QHG213" s="3"/>
      <c r="QHH213" s="3"/>
      <c r="QHI213" s="3"/>
      <c r="QHJ213" s="3"/>
      <c r="QHK213" s="3"/>
      <c r="QHL213" s="3"/>
      <c r="QHM213" s="3"/>
      <c r="QHN213" s="3"/>
      <c r="QHO213" s="3"/>
      <c r="QHP213" s="3"/>
      <c r="QHQ213" s="3"/>
      <c r="QHR213" s="3"/>
      <c r="QHS213" s="3"/>
      <c r="QHT213" s="3"/>
      <c r="QHU213" s="3"/>
      <c r="QHV213" s="3"/>
      <c r="QHW213" s="3"/>
      <c r="QHX213" s="3"/>
      <c r="QHY213" s="3"/>
      <c r="QHZ213" s="3"/>
      <c r="QIA213" s="3"/>
      <c r="QIB213" s="3"/>
      <c r="QIC213" s="3"/>
      <c r="QID213" s="3"/>
      <c r="QIE213" s="3"/>
      <c r="QIF213" s="3"/>
      <c r="QIG213" s="3"/>
      <c r="QIH213" s="3"/>
      <c r="QII213" s="3"/>
      <c r="QIJ213" s="3"/>
      <c r="QIK213" s="3"/>
      <c r="QIL213" s="3"/>
      <c r="QIM213" s="3"/>
      <c r="QIN213" s="3"/>
      <c r="QIO213" s="3"/>
      <c r="QIP213" s="3"/>
      <c r="QIQ213" s="3"/>
      <c r="QIR213" s="3"/>
      <c r="QIS213" s="3"/>
      <c r="QIT213" s="3"/>
      <c r="QIU213" s="3"/>
      <c r="QIV213" s="3"/>
      <c r="QIW213" s="3"/>
      <c r="QIX213" s="3"/>
      <c r="QIY213" s="3"/>
      <c r="QIZ213" s="3"/>
      <c r="QJA213" s="3"/>
      <c r="QJB213" s="3"/>
      <c r="QJC213" s="3"/>
      <c r="QJD213" s="3"/>
      <c r="QJE213" s="3"/>
      <c r="QJF213" s="3"/>
      <c r="QJG213" s="3"/>
      <c r="QJH213" s="3"/>
      <c r="QJI213" s="3"/>
      <c r="QJJ213" s="3"/>
      <c r="QJK213" s="3"/>
      <c r="QJL213" s="3"/>
      <c r="QJM213" s="3"/>
      <c r="QJN213" s="3"/>
      <c r="QJO213" s="3"/>
      <c r="QJP213" s="3"/>
      <c r="QJQ213" s="3"/>
      <c r="QJR213" s="3"/>
      <c r="QJS213" s="3"/>
      <c r="QJT213" s="3"/>
      <c r="QJU213" s="3"/>
      <c r="QJV213" s="3"/>
      <c r="QJW213" s="3"/>
      <c r="QJX213" s="3"/>
      <c r="QJY213" s="3"/>
      <c r="QJZ213" s="3"/>
      <c r="QKA213" s="3"/>
      <c r="QKB213" s="3"/>
      <c r="QKC213" s="3"/>
      <c r="QKD213" s="3"/>
      <c r="QKE213" s="3"/>
      <c r="QKF213" s="3"/>
      <c r="QKG213" s="3"/>
      <c r="QKH213" s="3"/>
      <c r="QKI213" s="3"/>
      <c r="QKJ213" s="3"/>
      <c r="QKK213" s="3"/>
      <c r="QKL213" s="3"/>
      <c r="QKM213" s="3"/>
      <c r="QKN213" s="3"/>
      <c r="QKO213" s="3"/>
      <c r="QKP213" s="3"/>
      <c r="QKQ213" s="3"/>
      <c r="QKR213" s="3"/>
      <c r="QKS213" s="3"/>
      <c r="QKT213" s="3"/>
      <c r="QKU213" s="3"/>
      <c r="QKV213" s="3"/>
      <c r="QKW213" s="3"/>
      <c r="QKX213" s="3"/>
      <c r="QKY213" s="3"/>
      <c r="QKZ213" s="3"/>
      <c r="QLA213" s="3"/>
      <c r="QLB213" s="3"/>
      <c r="QLC213" s="3"/>
      <c r="QLD213" s="3"/>
      <c r="QLE213" s="3"/>
      <c r="QLF213" s="3"/>
      <c r="QLG213" s="3"/>
      <c r="QLH213" s="3"/>
      <c r="QLI213" s="3"/>
      <c r="QLJ213" s="3"/>
      <c r="QLK213" s="3"/>
      <c r="QLL213" s="3"/>
      <c r="QLM213" s="3"/>
      <c r="QLN213" s="3"/>
      <c r="QLO213" s="3"/>
      <c r="QLP213" s="3"/>
      <c r="QLQ213" s="3"/>
      <c r="QLR213" s="3"/>
      <c r="QLS213" s="3"/>
      <c r="QLT213" s="3"/>
      <c r="QLU213" s="3"/>
      <c r="QLV213" s="3"/>
      <c r="QLW213" s="3"/>
      <c r="QLX213" s="3"/>
      <c r="QLY213" s="3"/>
      <c r="QLZ213" s="3"/>
      <c r="QMA213" s="3"/>
      <c r="QMB213" s="3"/>
      <c r="QMC213" s="3"/>
      <c r="QMD213" s="3"/>
      <c r="QME213" s="3"/>
      <c r="QMF213" s="3"/>
      <c r="QMG213" s="3"/>
      <c r="QMH213" s="3"/>
      <c r="QMI213" s="3"/>
      <c r="QMJ213" s="3"/>
      <c r="QMK213" s="3"/>
      <c r="QML213" s="3"/>
      <c r="QMM213" s="3"/>
      <c r="QMN213" s="3"/>
      <c r="QMO213" s="3"/>
      <c r="QMP213" s="3"/>
      <c r="QMQ213" s="3"/>
      <c r="QMR213" s="3"/>
      <c r="QMS213" s="3"/>
      <c r="QMT213" s="3"/>
      <c r="QMU213" s="3"/>
      <c r="QMV213" s="3"/>
      <c r="QMW213" s="3"/>
      <c r="QMX213" s="3"/>
      <c r="QMY213" s="3"/>
      <c r="QMZ213" s="3"/>
      <c r="QNA213" s="3"/>
      <c r="QNB213" s="3"/>
      <c r="QNC213" s="3"/>
      <c r="QND213" s="3"/>
      <c r="QNE213" s="3"/>
      <c r="QNF213" s="3"/>
      <c r="QNG213" s="3"/>
      <c r="QNH213" s="3"/>
      <c r="QNI213" s="3"/>
      <c r="QNJ213" s="3"/>
      <c r="QNK213" s="3"/>
      <c r="QNL213" s="3"/>
      <c r="QNM213" s="3"/>
      <c r="QNN213" s="3"/>
      <c r="QNO213" s="3"/>
      <c r="QNP213" s="3"/>
      <c r="QNQ213" s="3"/>
      <c r="QNR213" s="3"/>
      <c r="QNS213" s="3"/>
      <c r="QNT213" s="3"/>
      <c r="QNU213" s="3"/>
      <c r="QNV213" s="3"/>
      <c r="QNW213" s="3"/>
      <c r="QNX213" s="3"/>
      <c r="QNY213" s="3"/>
      <c r="QNZ213" s="3"/>
      <c r="QOA213" s="3"/>
      <c r="QOB213" s="3"/>
      <c r="QOC213" s="3"/>
      <c r="QOD213" s="3"/>
      <c r="QOE213" s="3"/>
      <c r="QOF213" s="3"/>
      <c r="QOG213" s="3"/>
      <c r="QOH213" s="3"/>
      <c r="QOI213" s="3"/>
      <c r="QOJ213" s="3"/>
      <c r="QOK213" s="3"/>
      <c r="QOL213" s="3"/>
      <c r="QOM213" s="3"/>
      <c r="QON213" s="3"/>
      <c r="QOO213" s="3"/>
      <c r="QOP213" s="3"/>
      <c r="QOQ213" s="3"/>
      <c r="QOR213" s="3"/>
      <c r="QOS213" s="3"/>
      <c r="QOT213" s="3"/>
      <c r="QOU213" s="3"/>
      <c r="QOV213" s="3"/>
      <c r="QOW213" s="3"/>
      <c r="QOX213" s="3"/>
      <c r="QOY213" s="3"/>
      <c r="QOZ213" s="3"/>
      <c r="QPA213" s="3"/>
      <c r="QPB213" s="3"/>
      <c r="QPC213" s="3"/>
      <c r="QPD213" s="3"/>
      <c r="QPE213" s="3"/>
      <c r="QPF213" s="3"/>
      <c r="QPG213" s="3"/>
      <c r="QPH213" s="3"/>
      <c r="QPI213" s="3"/>
      <c r="QPJ213" s="3"/>
      <c r="QPK213" s="3"/>
      <c r="QPL213" s="3"/>
      <c r="QPM213" s="3"/>
      <c r="QPN213" s="3"/>
      <c r="QPO213" s="3"/>
      <c r="QPP213" s="3"/>
      <c r="QPQ213" s="3"/>
      <c r="QPR213" s="3"/>
      <c r="QPS213" s="3"/>
      <c r="QPT213" s="3"/>
      <c r="QPU213" s="3"/>
      <c r="QPV213" s="3"/>
      <c r="QPW213" s="3"/>
      <c r="QPX213" s="3"/>
      <c r="QPY213" s="3"/>
      <c r="QPZ213" s="3"/>
      <c r="QQA213" s="3"/>
      <c r="QQB213" s="3"/>
      <c r="QQC213" s="3"/>
      <c r="QQD213" s="3"/>
      <c r="QQE213" s="3"/>
      <c r="QQF213" s="3"/>
      <c r="QQG213" s="3"/>
      <c r="QQH213" s="3"/>
      <c r="QQI213" s="3"/>
      <c r="QQJ213" s="3"/>
      <c r="QQK213" s="3"/>
      <c r="QQL213" s="3"/>
      <c r="QQM213" s="3"/>
      <c r="QQN213" s="3"/>
      <c r="QQO213" s="3"/>
      <c r="QQP213" s="3"/>
      <c r="QQQ213" s="3"/>
      <c r="QQR213" s="3"/>
      <c r="QQS213" s="3"/>
      <c r="QQT213" s="3"/>
      <c r="QQU213" s="3"/>
      <c r="QQV213" s="3"/>
      <c r="QQW213" s="3"/>
      <c r="QQX213" s="3"/>
      <c r="QQY213" s="3"/>
      <c r="QQZ213" s="3"/>
      <c r="QRA213" s="3"/>
      <c r="QRB213" s="3"/>
      <c r="QRC213" s="3"/>
      <c r="QRD213" s="3"/>
      <c r="QRE213" s="3"/>
      <c r="QRF213" s="3"/>
      <c r="QRG213" s="3"/>
      <c r="QRH213" s="3"/>
      <c r="QRI213" s="3"/>
      <c r="QRJ213" s="3"/>
      <c r="QRK213" s="3"/>
      <c r="QRL213" s="3"/>
      <c r="QRM213" s="3"/>
      <c r="QRN213" s="3"/>
      <c r="QRO213" s="3"/>
      <c r="QRP213" s="3"/>
      <c r="QRQ213" s="3"/>
      <c r="QRR213" s="3"/>
      <c r="QRS213" s="3"/>
      <c r="QRT213" s="3"/>
      <c r="QRU213" s="3"/>
      <c r="QRV213" s="3"/>
      <c r="QRW213" s="3"/>
      <c r="QRX213" s="3"/>
      <c r="QRY213" s="3"/>
      <c r="QRZ213" s="3"/>
      <c r="QSA213" s="3"/>
      <c r="QSB213" s="3"/>
      <c r="QSC213" s="3"/>
      <c r="QSD213" s="3"/>
      <c r="QSE213" s="3"/>
      <c r="QSF213" s="3"/>
      <c r="QSG213" s="3"/>
      <c r="QSH213" s="3"/>
      <c r="QSI213" s="3"/>
      <c r="QSJ213" s="3"/>
      <c r="QSK213" s="3"/>
      <c r="QSL213" s="3"/>
      <c r="QSM213" s="3"/>
      <c r="QSN213" s="3"/>
      <c r="QSO213" s="3"/>
      <c r="QSP213" s="3"/>
      <c r="QSQ213" s="3"/>
      <c r="QSR213" s="3"/>
      <c r="QSS213" s="3"/>
      <c r="QST213" s="3"/>
      <c r="QSU213" s="3"/>
      <c r="QSV213" s="3"/>
      <c r="QSW213" s="3"/>
      <c r="QSX213" s="3"/>
      <c r="QSY213" s="3"/>
      <c r="QSZ213" s="3"/>
      <c r="QTA213" s="3"/>
      <c r="QTB213" s="3"/>
      <c r="QTC213" s="3"/>
      <c r="QTD213" s="3"/>
      <c r="QTE213" s="3"/>
      <c r="QTF213" s="3"/>
      <c r="QTG213" s="3"/>
      <c r="QTH213" s="3"/>
      <c r="QTI213" s="3"/>
      <c r="QTJ213" s="3"/>
      <c r="QTK213" s="3"/>
      <c r="QTL213" s="3"/>
      <c r="QTM213" s="3"/>
      <c r="QTN213" s="3"/>
      <c r="QTO213" s="3"/>
      <c r="QTP213" s="3"/>
      <c r="QTQ213" s="3"/>
      <c r="QTR213" s="3"/>
      <c r="QTS213" s="3"/>
      <c r="QTT213" s="3"/>
      <c r="QTU213" s="3"/>
      <c r="QTV213" s="3"/>
      <c r="QTW213" s="3"/>
      <c r="QTX213" s="3"/>
      <c r="QTY213" s="3"/>
      <c r="QTZ213" s="3"/>
      <c r="QUA213" s="3"/>
      <c r="QUB213" s="3"/>
      <c r="QUC213" s="3"/>
      <c r="QUD213" s="3"/>
      <c r="QUE213" s="3"/>
      <c r="QUF213" s="3"/>
      <c r="QUG213" s="3"/>
      <c r="QUH213" s="3"/>
      <c r="QUI213" s="3"/>
      <c r="QUJ213" s="3"/>
      <c r="QUK213" s="3"/>
      <c r="QUL213" s="3"/>
      <c r="QUM213" s="3"/>
      <c r="QUN213" s="3"/>
      <c r="QUO213" s="3"/>
      <c r="QUP213" s="3"/>
      <c r="QUQ213" s="3"/>
      <c r="QUR213" s="3"/>
      <c r="QUS213" s="3"/>
      <c r="QUT213" s="3"/>
      <c r="QUU213" s="3"/>
      <c r="QUV213" s="3"/>
      <c r="QUW213" s="3"/>
      <c r="QUX213" s="3"/>
      <c r="QUY213" s="3"/>
      <c r="QUZ213" s="3"/>
      <c r="QVA213" s="3"/>
      <c r="QVB213" s="3"/>
      <c r="QVC213" s="3"/>
      <c r="QVD213" s="3"/>
      <c r="QVE213" s="3"/>
      <c r="QVF213" s="3"/>
      <c r="QVG213" s="3"/>
      <c r="QVH213" s="3"/>
      <c r="QVI213" s="3"/>
      <c r="QVJ213" s="3"/>
      <c r="QVK213" s="3"/>
      <c r="QVL213" s="3"/>
      <c r="QVM213" s="3"/>
      <c r="QVN213" s="3"/>
      <c r="QVO213" s="3"/>
      <c r="QVP213" s="3"/>
      <c r="QVQ213" s="3"/>
      <c r="QVR213" s="3"/>
      <c r="QVS213" s="3"/>
      <c r="QVT213" s="3"/>
      <c r="QVU213" s="3"/>
      <c r="QVV213" s="3"/>
      <c r="QVW213" s="3"/>
      <c r="QVX213" s="3"/>
      <c r="QVY213" s="3"/>
      <c r="QVZ213" s="3"/>
      <c r="QWA213" s="3"/>
      <c r="QWB213" s="3"/>
      <c r="QWC213" s="3"/>
      <c r="QWD213" s="3"/>
      <c r="QWE213" s="3"/>
      <c r="QWF213" s="3"/>
      <c r="QWG213" s="3"/>
      <c r="QWH213" s="3"/>
      <c r="QWI213" s="3"/>
      <c r="QWJ213" s="3"/>
      <c r="QWK213" s="3"/>
      <c r="QWL213" s="3"/>
      <c r="QWM213" s="3"/>
      <c r="QWN213" s="3"/>
      <c r="QWO213" s="3"/>
      <c r="QWP213" s="3"/>
      <c r="QWQ213" s="3"/>
      <c r="QWR213" s="3"/>
      <c r="QWS213" s="3"/>
      <c r="QWT213" s="3"/>
      <c r="QWU213" s="3"/>
      <c r="QWV213" s="3"/>
      <c r="QWW213" s="3"/>
      <c r="QWX213" s="3"/>
      <c r="QWY213" s="3"/>
      <c r="QWZ213" s="3"/>
      <c r="QXA213" s="3"/>
      <c r="QXB213" s="3"/>
      <c r="QXC213" s="3"/>
      <c r="QXD213" s="3"/>
      <c r="QXE213" s="3"/>
      <c r="QXF213" s="3"/>
      <c r="QXG213" s="3"/>
      <c r="QXH213" s="3"/>
      <c r="QXI213" s="3"/>
      <c r="QXJ213" s="3"/>
      <c r="QXK213" s="3"/>
      <c r="QXL213" s="3"/>
      <c r="QXM213" s="3"/>
      <c r="QXN213" s="3"/>
      <c r="QXO213" s="3"/>
      <c r="QXP213" s="3"/>
      <c r="QXQ213" s="3"/>
      <c r="QXR213" s="3"/>
      <c r="QXS213" s="3"/>
      <c r="QXT213" s="3"/>
      <c r="QXU213" s="3"/>
      <c r="QXV213" s="3"/>
      <c r="QXW213" s="3"/>
      <c r="QXX213" s="3"/>
      <c r="QXY213" s="3"/>
      <c r="QXZ213" s="3"/>
      <c r="QYA213" s="3"/>
      <c r="QYB213" s="3"/>
      <c r="QYC213" s="3"/>
      <c r="QYD213" s="3"/>
      <c r="QYE213" s="3"/>
      <c r="QYF213" s="3"/>
      <c r="QYG213" s="3"/>
      <c r="QYH213" s="3"/>
      <c r="QYI213" s="3"/>
      <c r="QYJ213" s="3"/>
      <c r="QYK213" s="3"/>
      <c r="QYL213" s="3"/>
      <c r="QYM213" s="3"/>
      <c r="QYN213" s="3"/>
      <c r="QYO213" s="3"/>
      <c r="QYP213" s="3"/>
      <c r="QYQ213" s="3"/>
      <c r="QYR213" s="3"/>
      <c r="QYS213" s="3"/>
      <c r="QYT213" s="3"/>
      <c r="QYU213" s="3"/>
      <c r="QYV213" s="3"/>
      <c r="QYW213" s="3"/>
      <c r="QYX213" s="3"/>
      <c r="QYY213" s="3"/>
      <c r="QYZ213" s="3"/>
      <c r="QZA213" s="3"/>
      <c r="QZB213" s="3"/>
      <c r="QZC213" s="3"/>
      <c r="QZD213" s="3"/>
      <c r="QZE213" s="3"/>
      <c r="QZF213" s="3"/>
      <c r="QZG213" s="3"/>
      <c r="QZH213" s="3"/>
      <c r="QZI213" s="3"/>
      <c r="QZJ213" s="3"/>
      <c r="QZK213" s="3"/>
      <c r="QZL213" s="3"/>
      <c r="QZM213" s="3"/>
      <c r="QZN213" s="3"/>
      <c r="QZO213" s="3"/>
      <c r="QZP213" s="3"/>
      <c r="QZQ213" s="3"/>
      <c r="QZR213" s="3"/>
      <c r="QZS213" s="3"/>
      <c r="QZT213" s="3"/>
      <c r="QZU213" s="3"/>
      <c r="QZV213" s="3"/>
      <c r="QZW213" s="3"/>
      <c r="QZX213" s="3"/>
      <c r="QZY213" s="3"/>
      <c r="QZZ213" s="3"/>
      <c r="RAA213" s="3"/>
      <c r="RAB213" s="3"/>
      <c r="RAC213" s="3"/>
      <c r="RAD213" s="3"/>
      <c r="RAE213" s="3"/>
      <c r="RAF213" s="3"/>
      <c r="RAG213" s="3"/>
      <c r="RAH213" s="3"/>
      <c r="RAI213" s="3"/>
      <c r="RAJ213" s="3"/>
      <c r="RAK213" s="3"/>
      <c r="RAL213" s="3"/>
      <c r="RAM213" s="3"/>
      <c r="RAN213" s="3"/>
      <c r="RAO213" s="3"/>
      <c r="RAP213" s="3"/>
      <c r="RAQ213" s="3"/>
      <c r="RAR213" s="3"/>
      <c r="RAS213" s="3"/>
      <c r="RAT213" s="3"/>
      <c r="RAU213" s="3"/>
      <c r="RAV213" s="3"/>
      <c r="RAW213" s="3"/>
      <c r="RAX213" s="3"/>
      <c r="RAY213" s="3"/>
      <c r="RAZ213" s="3"/>
      <c r="RBA213" s="3"/>
      <c r="RBB213" s="3"/>
      <c r="RBC213" s="3"/>
      <c r="RBD213" s="3"/>
      <c r="RBE213" s="3"/>
      <c r="RBF213" s="3"/>
      <c r="RBG213" s="3"/>
      <c r="RBH213" s="3"/>
      <c r="RBI213" s="3"/>
      <c r="RBJ213" s="3"/>
      <c r="RBK213" s="3"/>
      <c r="RBL213" s="3"/>
      <c r="RBM213" s="3"/>
      <c r="RBN213" s="3"/>
      <c r="RBO213" s="3"/>
      <c r="RBP213" s="3"/>
      <c r="RBQ213" s="3"/>
      <c r="RBR213" s="3"/>
      <c r="RBS213" s="3"/>
      <c r="RBT213" s="3"/>
      <c r="RBU213" s="3"/>
      <c r="RBV213" s="3"/>
      <c r="RBW213" s="3"/>
      <c r="RBX213" s="3"/>
      <c r="RBY213" s="3"/>
      <c r="RBZ213" s="3"/>
      <c r="RCA213" s="3"/>
      <c r="RCB213" s="3"/>
      <c r="RCC213" s="3"/>
      <c r="RCD213" s="3"/>
      <c r="RCE213" s="3"/>
      <c r="RCF213" s="3"/>
      <c r="RCG213" s="3"/>
      <c r="RCH213" s="3"/>
      <c r="RCI213" s="3"/>
      <c r="RCJ213" s="3"/>
      <c r="RCK213" s="3"/>
      <c r="RCL213" s="3"/>
      <c r="RCM213" s="3"/>
      <c r="RCN213" s="3"/>
      <c r="RCO213" s="3"/>
      <c r="RCP213" s="3"/>
      <c r="RCQ213" s="3"/>
      <c r="RCR213" s="3"/>
      <c r="RCS213" s="3"/>
      <c r="RCT213" s="3"/>
      <c r="RCU213" s="3"/>
      <c r="RCV213" s="3"/>
      <c r="RCW213" s="3"/>
      <c r="RCX213" s="3"/>
      <c r="RCY213" s="3"/>
      <c r="RCZ213" s="3"/>
      <c r="RDA213" s="3"/>
      <c r="RDB213" s="3"/>
      <c r="RDC213" s="3"/>
      <c r="RDD213" s="3"/>
      <c r="RDE213" s="3"/>
      <c r="RDF213" s="3"/>
      <c r="RDG213" s="3"/>
      <c r="RDH213" s="3"/>
      <c r="RDI213" s="3"/>
      <c r="RDJ213" s="3"/>
      <c r="RDK213" s="3"/>
      <c r="RDL213" s="3"/>
      <c r="RDM213" s="3"/>
      <c r="RDN213" s="3"/>
      <c r="RDO213" s="3"/>
      <c r="RDP213" s="3"/>
      <c r="RDQ213" s="3"/>
      <c r="RDR213" s="3"/>
      <c r="RDS213" s="3"/>
      <c r="RDT213" s="3"/>
      <c r="RDU213" s="3"/>
      <c r="RDV213" s="3"/>
      <c r="RDW213" s="3"/>
      <c r="RDX213" s="3"/>
      <c r="RDY213" s="3"/>
      <c r="RDZ213" s="3"/>
      <c r="REA213" s="3"/>
      <c r="REB213" s="3"/>
      <c r="REC213" s="3"/>
      <c r="RED213" s="3"/>
      <c r="REE213" s="3"/>
      <c r="REF213" s="3"/>
      <c r="REG213" s="3"/>
      <c r="REH213" s="3"/>
      <c r="REI213" s="3"/>
      <c r="REJ213" s="3"/>
      <c r="REK213" s="3"/>
      <c r="REL213" s="3"/>
      <c r="REM213" s="3"/>
      <c r="REN213" s="3"/>
      <c r="REO213" s="3"/>
      <c r="REP213" s="3"/>
      <c r="REQ213" s="3"/>
      <c r="RER213" s="3"/>
      <c r="RES213" s="3"/>
      <c r="RET213" s="3"/>
      <c r="REU213" s="3"/>
      <c r="REV213" s="3"/>
      <c r="REW213" s="3"/>
      <c r="REX213" s="3"/>
      <c r="REY213" s="3"/>
      <c r="REZ213" s="3"/>
      <c r="RFA213" s="3"/>
      <c r="RFB213" s="3"/>
      <c r="RFC213" s="3"/>
      <c r="RFD213" s="3"/>
      <c r="RFE213" s="3"/>
      <c r="RFF213" s="3"/>
      <c r="RFG213" s="3"/>
      <c r="RFH213" s="3"/>
      <c r="RFI213" s="3"/>
      <c r="RFJ213" s="3"/>
      <c r="RFK213" s="3"/>
      <c r="RFL213" s="3"/>
      <c r="RFM213" s="3"/>
      <c r="RFN213" s="3"/>
      <c r="RFO213" s="3"/>
      <c r="RFP213" s="3"/>
      <c r="RFQ213" s="3"/>
      <c r="RFR213" s="3"/>
      <c r="RFS213" s="3"/>
      <c r="RFT213" s="3"/>
      <c r="RFU213" s="3"/>
      <c r="RFV213" s="3"/>
      <c r="RFW213" s="3"/>
      <c r="RFX213" s="3"/>
      <c r="RFY213" s="3"/>
      <c r="RFZ213" s="3"/>
      <c r="RGA213" s="3"/>
      <c r="RGB213" s="3"/>
      <c r="RGC213" s="3"/>
      <c r="RGD213" s="3"/>
      <c r="RGE213" s="3"/>
      <c r="RGF213" s="3"/>
      <c r="RGG213" s="3"/>
      <c r="RGH213" s="3"/>
      <c r="RGI213" s="3"/>
      <c r="RGJ213" s="3"/>
      <c r="RGK213" s="3"/>
      <c r="RGL213" s="3"/>
      <c r="RGM213" s="3"/>
      <c r="RGN213" s="3"/>
      <c r="RGO213" s="3"/>
      <c r="RGP213" s="3"/>
      <c r="RGQ213" s="3"/>
      <c r="RGR213" s="3"/>
      <c r="RGS213" s="3"/>
      <c r="RGT213" s="3"/>
      <c r="RGU213" s="3"/>
      <c r="RGV213" s="3"/>
      <c r="RGW213" s="3"/>
      <c r="RGX213" s="3"/>
      <c r="RGY213" s="3"/>
      <c r="RGZ213" s="3"/>
      <c r="RHA213" s="3"/>
      <c r="RHB213" s="3"/>
      <c r="RHC213" s="3"/>
      <c r="RHD213" s="3"/>
      <c r="RHE213" s="3"/>
      <c r="RHF213" s="3"/>
      <c r="RHG213" s="3"/>
      <c r="RHH213" s="3"/>
      <c r="RHI213" s="3"/>
      <c r="RHJ213" s="3"/>
      <c r="RHK213" s="3"/>
      <c r="RHL213" s="3"/>
      <c r="RHM213" s="3"/>
      <c r="RHN213" s="3"/>
      <c r="RHO213" s="3"/>
      <c r="RHP213" s="3"/>
      <c r="RHQ213" s="3"/>
      <c r="RHR213" s="3"/>
      <c r="RHS213" s="3"/>
      <c r="RHT213" s="3"/>
      <c r="RHU213" s="3"/>
      <c r="RHV213" s="3"/>
      <c r="RHW213" s="3"/>
      <c r="RHX213" s="3"/>
      <c r="RHY213" s="3"/>
      <c r="RHZ213" s="3"/>
      <c r="RIA213" s="3"/>
      <c r="RIB213" s="3"/>
      <c r="RIC213" s="3"/>
      <c r="RID213" s="3"/>
      <c r="RIE213" s="3"/>
      <c r="RIF213" s="3"/>
      <c r="RIG213" s="3"/>
      <c r="RIH213" s="3"/>
      <c r="RII213" s="3"/>
      <c r="RIJ213" s="3"/>
      <c r="RIK213" s="3"/>
      <c r="RIL213" s="3"/>
      <c r="RIM213" s="3"/>
      <c r="RIN213" s="3"/>
      <c r="RIO213" s="3"/>
      <c r="RIP213" s="3"/>
      <c r="RIQ213" s="3"/>
      <c r="RIR213" s="3"/>
      <c r="RIS213" s="3"/>
      <c r="RIT213" s="3"/>
      <c r="RIU213" s="3"/>
      <c r="RIV213" s="3"/>
      <c r="RIW213" s="3"/>
      <c r="RIX213" s="3"/>
      <c r="RIY213" s="3"/>
      <c r="RIZ213" s="3"/>
      <c r="RJA213" s="3"/>
      <c r="RJB213" s="3"/>
      <c r="RJC213" s="3"/>
      <c r="RJD213" s="3"/>
      <c r="RJE213" s="3"/>
      <c r="RJF213" s="3"/>
      <c r="RJG213" s="3"/>
      <c r="RJH213" s="3"/>
      <c r="RJI213" s="3"/>
      <c r="RJJ213" s="3"/>
      <c r="RJK213" s="3"/>
      <c r="RJL213" s="3"/>
      <c r="RJM213" s="3"/>
      <c r="RJN213" s="3"/>
      <c r="RJO213" s="3"/>
      <c r="RJP213" s="3"/>
      <c r="RJQ213" s="3"/>
      <c r="RJR213" s="3"/>
      <c r="RJS213" s="3"/>
      <c r="RJT213" s="3"/>
      <c r="RJU213" s="3"/>
      <c r="RJV213" s="3"/>
      <c r="RJW213" s="3"/>
      <c r="RJX213" s="3"/>
      <c r="RJY213" s="3"/>
      <c r="RJZ213" s="3"/>
      <c r="RKA213" s="3"/>
      <c r="RKB213" s="3"/>
      <c r="RKC213" s="3"/>
      <c r="RKD213" s="3"/>
      <c r="RKE213" s="3"/>
      <c r="RKF213" s="3"/>
      <c r="RKG213" s="3"/>
      <c r="RKH213" s="3"/>
      <c r="RKI213" s="3"/>
      <c r="RKJ213" s="3"/>
      <c r="RKK213" s="3"/>
      <c r="RKL213" s="3"/>
      <c r="RKM213" s="3"/>
      <c r="RKN213" s="3"/>
      <c r="RKO213" s="3"/>
      <c r="RKP213" s="3"/>
      <c r="RKQ213" s="3"/>
      <c r="RKR213" s="3"/>
      <c r="RKS213" s="3"/>
      <c r="RKT213" s="3"/>
      <c r="RKU213" s="3"/>
      <c r="RKV213" s="3"/>
      <c r="RKW213" s="3"/>
      <c r="RKX213" s="3"/>
      <c r="RKY213" s="3"/>
      <c r="RKZ213" s="3"/>
      <c r="RLA213" s="3"/>
      <c r="RLB213" s="3"/>
      <c r="RLC213" s="3"/>
      <c r="RLD213" s="3"/>
      <c r="RLE213" s="3"/>
      <c r="RLF213" s="3"/>
      <c r="RLG213" s="3"/>
      <c r="RLH213" s="3"/>
      <c r="RLI213" s="3"/>
      <c r="RLJ213" s="3"/>
      <c r="RLK213" s="3"/>
      <c r="RLL213" s="3"/>
      <c r="RLM213" s="3"/>
      <c r="RLN213" s="3"/>
      <c r="RLO213" s="3"/>
      <c r="RLP213" s="3"/>
      <c r="RLQ213" s="3"/>
      <c r="RLR213" s="3"/>
      <c r="RLS213" s="3"/>
      <c r="RLT213" s="3"/>
      <c r="RLU213" s="3"/>
      <c r="RLV213" s="3"/>
      <c r="RLW213" s="3"/>
      <c r="RLX213" s="3"/>
      <c r="RLY213" s="3"/>
      <c r="RLZ213" s="3"/>
      <c r="RMA213" s="3"/>
      <c r="RMB213" s="3"/>
      <c r="RMC213" s="3"/>
      <c r="RMD213" s="3"/>
      <c r="RME213" s="3"/>
      <c r="RMF213" s="3"/>
      <c r="RMG213" s="3"/>
      <c r="RMH213" s="3"/>
      <c r="RMI213" s="3"/>
      <c r="RMJ213" s="3"/>
      <c r="RMK213" s="3"/>
      <c r="RML213" s="3"/>
      <c r="RMM213" s="3"/>
      <c r="RMN213" s="3"/>
      <c r="RMO213" s="3"/>
      <c r="RMP213" s="3"/>
      <c r="RMQ213" s="3"/>
      <c r="RMR213" s="3"/>
      <c r="RMS213" s="3"/>
      <c r="RMT213" s="3"/>
      <c r="RMU213" s="3"/>
      <c r="RMV213" s="3"/>
      <c r="RMW213" s="3"/>
      <c r="RMX213" s="3"/>
      <c r="RMY213" s="3"/>
      <c r="RMZ213" s="3"/>
      <c r="RNA213" s="3"/>
      <c r="RNB213" s="3"/>
      <c r="RNC213" s="3"/>
      <c r="RND213" s="3"/>
      <c r="RNE213" s="3"/>
      <c r="RNF213" s="3"/>
      <c r="RNG213" s="3"/>
      <c r="RNH213" s="3"/>
      <c r="RNI213" s="3"/>
      <c r="RNJ213" s="3"/>
      <c r="RNK213" s="3"/>
      <c r="RNL213" s="3"/>
      <c r="RNM213" s="3"/>
      <c r="RNN213" s="3"/>
      <c r="RNO213" s="3"/>
      <c r="RNP213" s="3"/>
      <c r="RNQ213" s="3"/>
      <c r="RNR213" s="3"/>
      <c r="RNS213" s="3"/>
      <c r="RNT213" s="3"/>
      <c r="RNU213" s="3"/>
      <c r="RNV213" s="3"/>
      <c r="RNW213" s="3"/>
      <c r="RNX213" s="3"/>
      <c r="RNY213" s="3"/>
      <c r="RNZ213" s="3"/>
      <c r="ROA213" s="3"/>
      <c r="ROB213" s="3"/>
      <c r="ROC213" s="3"/>
      <c r="ROD213" s="3"/>
      <c r="ROE213" s="3"/>
      <c r="ROF213" s="3"/>
      <c r="ROG213" s="3"/>
      <c r="ROH213" s="3"/>
      <c r="ROI213" s="3"/>
      <c r="ROJ213" s="3"/>
      <c r="ROK213" s="3"/>
      <c r="ROL213" s="3"/>
      <c r="ROM213" s="3"/>
      <c r="RON213" s="3"/>
      <c r="ROO213" s="3"/>
      <c r="ROP213" s="3"/>
      <c r="ROQ213" s="3"/>
      <c r="ROR213" s="3"/>
      <c r="ROS213" s="3"/>
      <c r="ROT213" s="3"/>
      <c r="ROU213" s="3"/>
      <c r="ROV213" s="3"/>
      <c r="ROW213" s="3"/>
      <c r="ROX213" s="3"/>
      <c r="ROY213" s="3"/>
      <c r="ROZ213" s="3"/>
      <c r="RPA213" s="3"/>
      <c r="RPB213" s="3"/>
      <c r="RPC213" s="3"/>
      <c r="RPD213" s="3"/>
      <c r="RPE213" s="3"/>
      <c r="RPF213" s="3"/>
      <c r="RPG213" s="3"/>
      <c r="RPH213" s="3"/>
      <c r="RPI213" s="3"/>
      <c r="RPJ213" s="3"/>
      <c r="RPK213" s="3"/>
      <c r="RPL213" s="3"/>
      <c r="RPM213" s="3"/>
      <c r="RPN213" s="3"/>
      <c r="RPO213" s="3"/>
      <c r="RPP213" s="3"/>
      <c r="RPQ213" s="3"/>
      <c r="RPR213" s="3"/>
      <c r="RPS213" s="3"/>
      <c r="RPT213" s="3"/>
      <c r="RPU213" s="3"/>
      <c r="RPV213" s="3"/>
      <c r="RPW213" s="3"/>
      <c r="RPX213" s="3"/>
      <c r="RPY213" s="3"/>
      <c r="RPZ213" s="3"/>
      <c r="RQA213" s="3"/>
      <c r="RQB213" s="3"/>
      <c r="RQC213" s="3"/>
      <c r="RQD213" s="3"/>
      <c r="RQE213" s="3"/>
      <c r="RQF213" s="3"/>
      <c r="RQG213" s="3"/>
      <c r="RQH213" s="3"/>
      <c r="RQI213" s="3"/>
      <c r="RQJ213" s="3"/>
      <c r="RQK213" s="3"/>
      <c r="RQL213" s="3"/>
      <c r="RQM213" s="3"/>
      <c r="RQN213" s="3"/>
      <c r="RQO213" s="3"/>
      <c r="RQP213" s="3"/>
      <c r="RQQ213" s="3"/>
      <c r="RQR213" s="3"/>
      <c r="RQS213" s="3"/>
      <c r="RQT213" s="3"/>
      <c r="RQU213" s="3"/>
      <c r="RQV213" s="3"/>
      <c r="RQW213" s="3"/>
      <c r="RQX213" s="3"/>
      <c r="RQY213" s="3"/>
      <c r="RQZ213" s="3"/>
      <c r="RRA213" s="3"/>
      <c r="RRB213" s="3"/>
      <c r="RRC213" s="3"/>
      <c r="RRD213" s="3"/>
      <c r="RRE213" s="3"/>
      <c r="RRF213" s="3"/>
      <c r="RRG213" s="3"/>
      <c r="RRH213" s="3"/>
      <c r="RRI213" s="3"/>
      <c r="RRJ213" s="3"/>
      <c r="RRK213" s="3"/>
      <c r="RRL213" s="3"/>
      <c r="RRM213" s="3"/>
      <c r="RRN213" s="3"/>
      <c r="RRO213" s="3"/>
      <c r="RRP213" s="3"/>
      <c r="RRQ213" s="3"/>
      <c r="RRR213" s="3"/>
      <c r="RRS213" s="3"/>
      <c r="RRT213" s="3"/>
      <c r="RRU213" s="3"/>
      <c r="RRV213" s="3"/>
      <c r="RRW213" s="3"/>
      <c r="RRX213" s="3"/>
      <c r="RRY213" s="3"/>
      <c r="RRZ213" s="3"/>
      <c r="RSA213" s="3"/>
      <c r="RSB213" s="3"/>
      <c r="RSC213" s="3"/>
      <c r="RSD213" s="3"/>
      <c r="RSE213" s="3"/>
      <c r="RSF213" s="3"/>
      <c r="RSG213" s="3"/>
      <c r="RSH213" s="3"/>
      <c r="RSI213" s="3"/>
      <c r="RSJ213" s="3"/>
      <c r="RSK213" s="3"/>
      <c r="RSL213" s="3"/>
      <c r="RSM213" s="3"/>
      <c r="RSN213" s="3"/>
      <c r="RSO213" s="3"/>
      <c r="RSP213" s="3"/>
      <c r="RSQ213" s="3"/>
      <c r="RSR213" s="3"/>
      <c r="RSS213" s="3"/>
      <c r="RST213" s="3"/>
      <c r="RSU213" s="3"/>
      <c r="RSV213" s="3"/>
      <c r="RSW213" s="3"/>
      <c r="RSX213" s="3"/>
      <c r="RSY213" s="3"/>
      <c r="RSZ213" s="3"/>
      <c r="RTA213" s="3"/>
      <c r="RTB213" s="3"/>
      <c r="RTC213" s="3"/>
      <c r="RTD213" s="3"/>
      <c r="RTE213" s="3"/>
      <c r="RTF213" s="3"/>
      <c r="RTG213" s="3"/>
      <c r="RTH213" s="3"/>
      <c r="RTI213" s="3"/>
      <c r="RTJ213" s="3"/>
      <c r="RTK213" s="3"/>
      <c r="RTL213" s="3"/>
      <c r="RTM213" s="3"/>
      <c r="RTN213" s="3"/>
      <c r="RTO213" s="3"/>
      <c r="RTP213" s="3"/>
      <c r="RTQ213" s="3"/>
      <c r="RTR213" s="3"/>
      <c r="RTS213" s="3"/>
      <c r="RTT213" s="3"/>
      <c r="RTU213" s="3"/>
      <c r="RTV213" s="3"/>
      <c r="RTW213" s="3"/>
      <c r="RTX213" s="3"/>
      <c r="RTY213" s="3"/>
      <c r="RTZ213" s="3"/>
      <c r="RUA213" s="3"/>
      <c r="RUB213" s="3"/>
      <c r="RUC213" s="3"/>
      <c r="RUD213" s="3"/>
      <c r="RUE213" s="3"/>
      <c r="RUF213" s="3"/>
      <c r="RUG213" s="3"/>
      <c r="RUH213" s="3"/>
      <c r="RUI213" s="3"/>
      <c r="RUJ213" s="3"/>
      <c r="RUK213" s="3"/>
      <c r="RUL213" s="3"/>
      <c r="RUM213" s="3"/>
      <c r="RUN213" s="3"/>
      <c r="RUO213" s="3"/>
      <c r="RUP213" s="3"/>
      <c r="RUQ213" s="3"/>
      <c r="RUR213" s="3"/>
      <c r="RUS213" s="3"/>
      <c r="RUT213" s="3"/>
      <c r="RUU213" s="3"/>
      <c r="RUV213" s="3"/>
      <c r="RUW213" s="3"/>
      <c r="RUX213" s="3"/>
      <c r="RUY213" s="3"/>
      <c r="RUZ213" s="3"/>
      <c r="RVA213" s="3"/>
      <c r="RVB213" s="3"/>
      <c r="RVC213" s="3"/>
      <c r="RVD213" s="3"/>
      <c r="RVE213" s="3"/>
      <c r="RVF213" s="3"/>
      <c r="RVG213" s="3"/>
      <c r="RVH213" s="3"/>
      <c r="RVI213" s="3"/>
      <c r="RVJ213" s="3"/>
      <c r="RVK213" s="3"/>
      <c r="RVL213" s="3"/>
      <c r="RVM213" s="3"/>
      <c r="RVN213" s="3"/>
      <c r="RVO213" s="3"/>
      <c r="RVP213" s="3"/>
      <c r="RVQ213" s="3"/>
      <c r="RVR213" s="3"/>
      <c r="RVS213" s="3"/>
      <c r="RVT213" s="3"/>
      <c r="RVU213" s="3"/>
      <c r="RVV213" s="3"/>
      <c r="RVW213" s="3"/>
      <c r="RVX213" s="3"/>
      <c r="RVY213" s="3"/>
      <c r="RVZ213" s="3"/>
      <c r="RWA213" s="3"/>
      <c r="RWB213" s="3"/>
      <c r="RWC213" s="3"/>
      <c r="RWD213" s="3"/>
      <c r="RWE213" s="3"/>
      <c r="RWF213" s="3"/>
      <c r="RWG213" s="3"/>
      <c r="RWH213" s="3"/>
      <c r="RWI213" s="3"/>
      <c r="RWJ213" s="3"/>
      <c r="RWK213" s="3"/>
      <c r="RWL213" s="3"/>
      <c r="RWM213" s="3"/>
      <c r="RWN213" s="3"/>
      <c r="RWO213" s="3"/>
      <c r="RWP213" s="3"/>
      <c r="RWQ213" s="3"/>
      <c r="RWR213" s="3"/>
      <c r="RWS213" s="3"/>
      <c r="RWT213" s="3"/>
      <c r="RWU213" s="3"/>
      <c r="RWV213" s="3"/>
      <c r="RWW213" s="3"/>
      <c r="RWX213" s="3"/>
      <c r="RWY213" s="3"/>
      <c r="RWZ213" s="3"/>
      <c r="RXA213" s="3"/>
      <c r="RXB213" s="3"/>
      <c r="RXC213" s="3"/>
      <c r="RXD213" s="3"/>
      <c r="RXE213" s="3"/>
      <c r="RXF213" s="3"/>
      <c r="RXG213" s="3"/>
      <c r="RXH213" s="3"/>
      <c r="RXI213" s="3"/>
      <c r="RXJ213" s="3"/>
      <c r="RXK213" s="3"/>
      <c r="RXL213" s="3"/>
      <c r="RXM213" s="3"/>
      <c r="RXN213" s="3"/>
      <c r="RXO213" s="3"/>
      <c r="RXP213" s="3"/>
      <c r="RXQ213" s="3"/>
      <c r="RXR213" s="3"/>
      <c r="RXS213" s="3"/>
      <c r="RXT213" s="3"/>
      <c r="RXU213" s="3"/>
      <c r="RXV213" s="3"/>
      <c r="RXW213" s="3"/>
      <c r="RXX213" s="3"/>
      <c r="RXY213" s="3"/>
      <c r="RXZ213" s="3"/>
      <c r="RYA213" s="3"/>
      <c r="RYB213" s="3"/>
      <c r="RYC213" s="3"/>
      <c r="RYD213" s="3"/>
      <c r="RYE213" s="3"/>
      <c r="RYF213" s="3"/>
      <c r="RYG213" s="3"/>
      <c r="RYH213" s="3"/>
      <c r="RYI213" s="3"/>
      <c r="RYJ213" s="3"/>
      <c r="RYK213" s="3"/>
      <c r="RYL213" s="3"/>
      <c r="RYM213" s="3"/>
      <c r="RYN213" s="3"/>
      <c r="RYO213" s="3"/>
      <c r="RYP213" s="3"/>
      <c r="RYQ213" s="3"/>
      <c r="RYR213" s="3"/>
      <c r="RYS213" s="3"/>
      <c r="RYT213" s="3"/>
      <c r="RYU213" s="3"/>
      <c r="RYV213" s="3"/>
      <c r="RYW213" s="3"/>
      <c r="RYX213" s="3"/>
      <c r="RYY213" s="3"/>
      <c r="RYZ213" s="3"/>
      <c r="RZA213" s="3"/>
      <c r="RZB213" s="3"/>
      <c r="RZC213" s="3"/>
      <c r="RZD213" s="3"/>
      <c r="RZE213" s="3"/>
      <c r="RZF213" s="3"/>
      <c r="RZG213" s="3"/>
      <c r="RZH213" s="3"/>
      <c r="RZI213" s="3"/>
      <c r="RZJ213" s="3"/>
      <c r="RZK213" s="3"/>
      <c r="RZL213" s="3"/>
      <c r="RZM213" s="3"/>
      <c r="RZN213" s="3"/>
      <c r="RZO213" s="3"/>
      <c r="RZP213" s="3"/>
      <c r="RZQ213" s="3"/>
      <c r="RZR213" s="3"/>
      <c r="RZS213" s="3"/>
      <c r="RZT213" s="3"/>
      <c r="RZU213" s="3"/>
      <c r="RZV213" s="3"/>
      <c r="RZW213" s="3"/>
      <c r="RZX213" s="3"/>
      <c r="RZY213" s="3"/>
      <c r="RZZ213" s="3"/>
      <c r="SAA213" s="3"/>
      <c r="SAB213" s="3"/>
      <c r="SAC213" s="3"/>
      <c r="SAD213" s="3"/>
      <c r="SAE213" s="3"/>
      <c r="SAF213" s="3"/>
      <c r="SAG213" s="3"/>
      <c r="SAH213" s="3"/>
      <c r="SAI213" s="3"/>
      <c r="SAJ213" s="3"/>
      <c r="SAK213" s="3"/>
      <c r="SAL213" s="3"/>
      <c r="SAM213" s="3"/>
      <c r="SAN213" s="3"/>
      <c r="SAO213" s="3"/>
      <c r="SAP213" s="3"/>
      <c r="SAQ213" s="3"/>
      <c r="SAR213" s="3"/>
      <c r="SAS213" s="3"/>
      <c r="SAT213" s="3"/>
      <c r="SAU213" s="3"/>
      <c r="SAV213" s="3"/>
      <c r="SAW213" s="3"/>
      <c r="SAX213" s="3"/>
      <c r="SAY213" s="3"/>
      <c r="SAZ213" s="3"/>
      <c r="SBA213" s="3"/>
      <c r="SBB213" s="3"/>
      <c r="SBC213" s="3"/>
      <c r="SBD213" s="3"/>
      <c r="SBE213" s="3"/>
      <c r="SBF213" s="3"/>
      <c r="SBG213" s="3"/>
      <c r="SBH213" s="3"/>
      <c r="SBI213" s="3"/>
      <c r="SBJ213" s="3"/>
      <c r="SBK213" s="3"/>
      <c r="SBL213" s="3"/>
      <c r="SBM213" s="3"/>
      <c r="SBN213" s="3"/>
      <c r="SBO213" s="3"/>
      <c r="SBP213" s="3"/>
      <c r="SBQ213" s="3"/>
      <c r="SBR213" s="3"/>
      <c r="SBS213" s="3"/>
      <c r="SBT213" s="3"/>
      <c r="SBU213" s="3"/>
      <c r="SBV213" s="3"/>
      <c r="SBW213" s="3"/>
      <c r="SBX213" s="3"/>
      <c r="SBY213" s="3"/>
      <c r="SBZ213" s="3"/>
      <c r="SCA213" s="3"/>
      <c r="SCB213" s="3"/>
      <c r="SCC213" s="3"/>
      <c r="SCD213" s="3"/>
      <c r="SCE213" s="3"/>
      <c r="SCF213" s="3"/>
      <c r="SCG213" s="3"/>
      <c r="SCH213" s="3"/>
      <c r="SCI213" s="3"/>
      <c r="SCJ213" s="3"/>
      <c r="SCK213" s="3"/>
      <c r="SCL213" s="3"/>
      <c r="SCM213" s="3"/>
      <c r="SCN213" s="3"/>
      <c r="SCO213" s="3"/>
      <c r="SCP213" s="3"/>
      <c r="SCQ213" s="3"/>
      <c r="SCR213" s="3"/>
      <c r="SCS213" s="3"/>
      <c r="SCT213" s="3"/>
      <c r="SCU213" s="3"/>
      <c r="SCV213" s="3"/>
      <c r="SCW213" s="3"/>
      <c r="SCX213" s="3"/>
      <c r="SCY213" s="3"/>
      <c r="SCZ213" s="3"/>
      <c r="SDA213" s="3"/>
      <c r="SDB213" s="3"/>
      <c r="SDC213" s="3"/>
      <c r="SDD213" s="3"/>
      <c r="SDE213" s="3"/>
      <c r="SDF213" s="3"/>
      <c r="SDG213" s="3"/>
      <c r="SDH213" s="3"/>
      <c r="SDI213" s="3"/>
      <c r="SDJ213" s="3"/>
      <c r="SDK213" s="3"/>
      <c r="SDL213" s="3"/>
      <c r="SDM213" s="3"/>
      <c r="SDN213" s="3"/>
      <c r="SDO213" s="3"/>
      <c r="SDP213" s="3"/>
      <c r="SDQ213" s="3"/>
      <c r="SDR213" s="3"/>
      <c r="SDS213" s="3"/>
      <c r="SDT213" s="3"/>
      <c r="SDU213" s="3"/>
      <c r="SDV213" s="3"/>
      <c r="SDW213" s="3"/>
      <c r="SDX213" s="3"/>
      <c r="SDY213" s="3"/>
      <c r="SDZ213" s="3"/>
      <c r="SEA213" s="3"/>
      <c r="SEB213" s="3"/>
      <c r="SEC213" s="3"/>
      <c r="SED213" s="3"/>
      <c r="SEE213" s="3"/>
      <c r="SEF213" s="3"/>
      <c r="SEG213" s="3"/>
      <c r="SEH213" s="3"/>
      <c r="SEI213" s="3"/>
      <c r="SEJ213" s="3"/>
      <c r="SEK213" s="3"/>
      <c r="SEL213" s="3"/>
      <c r="SEM213" s="3"/>
      <c r="SEN213" s="3"/>
      <c r="SEO213" s="3"/>
      <c r="SEP213" s="3"/>
      <c r="SEQ213" s="3"/>
      <c r="SER213" s="3"/>
      <c r="SES213" s="3"/>
      <c r="SET213" s="3"/>
      <c r="SEU213" s="3"/>
      <c r="SEV213" s="3"/>
      <c r="SEW213" s="3"/>
      <c r="SEX213" s="3"/>
      <c r="SEY213" s="3"/>
      <c r="SEZ213" s="3"/>
      <c r="SFA213" s="3"/>
      <c r="SFB213" s="3"/>
      <c r="SFC213" s="3"/>
      <c r="SFD213" s="3"/>
      <c r="SFE213" s="3"/>
      <c r="SFF213" s="3"/>
      <c r="SFG213" s="3"/>
      <c r="SFH213" s="3"/>
      <c r="SFI213" s="3"/>
      <c r="SFJ213" s="3"/>
      <c r="SFK213" s="3"/>
      <c r="SFL213" s="3"/>
      <c r="SFM213" s="3"/>
      <c r="SFN213" s="3"/>
      <c r="SFO213" s="3"/>
      <c r="SFP213" s="3"/>
      <c r="SFQ213" s="3"/>
      <c r="SFR213" s="3"/>
      <c r="SFS213" s="3"/>
      <c r="SFT213" s="3"/>
      <c r="SFU213" s="3"/>
      <c r="SFV213" s="3"/>
      <c r="SFW213" s="3"/>
      <c r="SFX213" s="3"/>
      <c r="SFY213" s="3"/>
      <c r="SFZ213" s="3"/>
      <c r="SGA213" s="3"/>
      <c r="SGB213" s="3"/>
      <c r="SGC213" s="3"/>
      <c r="SGD213" s="3"/>
      <c r="SGE213" s="3"/>
      <c r="SGF213" s="3"/>
      <c r="SGG213" s="3"/>
      <c r="SGH213" s="3"/>
      <c r="SGI213" s="3"/>
      <c r="SGJ213" s="3"/>
      <c r="SGK213" s="3"/>
      <c r="SGL213" s="3"/>
      <c r="SGM213" s="3"/>
      <c r="SGN213" s="3"/>
      <c r="SGO213" s="3"/>
      <c r="SGP213" s="3"/>
      <c r="SGQ213" s="3"/>
      <c r="SGR213" s="3"/>
      <c r="SGS213" s="3"/>
      <c r="SGT213" s="3"/>
      <c r="SGU213" s="3"/>
      <c r="SGV213" s="3"/>
      <c r="SGW213" s="3"/>
      <c r="SGX213" s="3"/>
      <c r="SGY213" s="3"/>
      <c r="SGZ213" s="3"/>
      <c r="SHA213" s="3"/>
      <c r="SHB213" s="3"/>
      <c r="SHC213" s="3"/>
      <c r="SHD213" s="3"/>
      <c r="SHE213" s="3"/>
      <c r="SHF213" s="3"/>
      <c r="SHG213" s="3"/>
      <c r="SHH213" s="3"/>
      <c r="SHI213" s="3"/>
      <c r="SHJ213" s="3"/>
      <c r="SHK213" s="3"/>
      <c r="SHL213" s="3"/>
      <c r="SHM213" s="3"/>
      <c r="SHN213" s="3"/>
      <c r="SHO213" s="3"/>
      <c r="SHP213" s="3"/>
      <c r="SHQ213" s="3"/>
      <c r="SHR213" s="3"/>
      <c r="SHS213" s="3"/>
      <c r="SHT213" s="3"/>
      <c r="SHU213" s="3"/>
      <c r="SHV213" s="3"/>
      <c r="SHW213" s="3"/>
      <c r="SHX213" s="3"/>
      <c r="SHY213" s="3"/>
      <c r="SHZ213" s="3"/>
      <c r="SIA213" s="3"/>
      <c r="SIB213" s="3"/>
      <c r="SIC213" s="3"/>
      <c r="SID213" s="3"/>
      <c r="SIE213" s="3"/>
      <c r="SIF213" s="3"/>
      <c r="SIG213" s="3"/>
      <c r="SIH213" s="3"/>
      <c r="SII213" s="3"/>
      <c r="SIJ213" s="3"/>
      <c r="SIK213" s="3"/>
      <c r="SIL213" s="3"/>
      <c r="SIM213" s="3"/>
      <c r="SIN213" s="3"/>
      <c r="SIO213" s="3"/>
      <c r="SIP213" s="3"/>
      <c r="SIQ213" s="3"/>
      <c r="SIR213" s="3"/>
      <c r="SIS213" s="3"/>
      <c r="SIT213" s="3"/>
      <c r="SIU213" s="3"/>
      <c r="SIV213" s="3"/>
      <c r="SIW213" s="3"/>
      <c r="SIX213" s="3"/>
      <c r="SIY213" s="3"/>
      <c r="SIZ213" s="3"/>
      <c r="SJA213" s="3"/>
      <c r="SJB213" s="3"/>
      <c r="SJC213" s="3"/>
      <c r="SJD213" s="3"/>
      <c r="SJE213" s="3"/>
      <c r="SJF213" s="3"/>
      <c r="SJG213" s="3"/>
      <c r="SJH213" s="3"/>
      <c r="SJI213" s="3"/>
      <c r="SJJ213" s="3"/>
      <c r="SJK213" s="3"/>
      <c r="SJL213" s="3"/>
      <c r="SJM213" s="3"/>
      <c r="SJN213" s="3"/>
      <c r="SJO213" s="3"/>
      <c r="SJP213" s="3"/>
      <c r="SJQ213" s="3"/>
      <c r="SJR213" s="3"/>
      <c r="SJS213" s="3"/>
      <c r="SJT213" s="3"/>
      <c r="SJU213" s="3"/>
      <c r="SJV213" s="3"/>
      <c r="SJW213" s="3"/>
      <c r="SJX213" s="3"/>
      <c r="SJY213" s="3"/>
      <c r="SJZ213" s="3"/>
      <c r="SKA213" s="3"/>
      <c r="SKB213" s="3"/>
      <c r="SKC213" s="3"/>
      <c r="SKD213" s="3"/>
      <c r="SKE213" s="3"/>
      <c r="SKF213" s="3"/>
      <c r="SKG213" s="3"/>
      <c r="SKH213" s="3"/>
      <c r="SKI213" s="3"/>
      <c r="SKJ213" s="3"/>
      <c r="SKK213" s="3"/>
      <c r="SKL213" s="3"/>
      <c r="SKM213" s="3"/>
      <c r="SKN213" s="3"/>
      <c r="SKO213" s="3"/>
      <c r="SKP213" s="3"/>
      <c r="SKQ213" s="3"/>
      <c r="SKR213" s="3"/>
      <c r="SKS213" s="3"/>
      <c r="SKT213" s="3"/>
      <c r="SKU213" s="3"/>
      <c r="SKV213" s="3"/>
      <c r="SKW213" s="3"/>
      <c r="SKX213" s="3"/>
      <c r="SKY213" s="3"/>
      <c r="SKZ213" s="3"/>
      <c r="SLA213" s="3"/>
      <c r="SLB213" s="3"/>
      <c r="SLC213" s="3"/>
      <c r="SLD213" s="3"/>
      <c r="SLE213" s="3"/>
      <c r="SLF213" s="3"/>
      <c r="SLG213" s="3"/>
      <c r="SLH213" s="3"/>
      <c r="SLI213" s="3"/>
      <c r="SLJ213" s="3"/>
      <c r="SLK213" s="3"/>
      <c r="SLL213" s="3"/>
      <c r="SLM213" s="3"/>
      <c r="SLN213" s="3"/>
      <c r="SLO213" s="3"/>
      <c r="SLP213" s="3"/>
      <c r="SLQ213" s="3"/>
      <c r="SLR213" s="3"/>
      <c r="SLS213" s="3"/>
      <c r="SLT213" s="3"/>
      <c r="SLU213" s="3"/>
      <c r="SLV213" s="3"/>
      <c r="SLW213" s="3"/>
      <c r="SLX213" s="3"/>
      <c r="SLY213" s="3"/>
      <c r="SLZ213" s="3"/>
      <c r="SMA213" s="3"/>
      <c r="SMB213" s="3"/>
      <c r="SMC213" s="3"/>
      <c r="SMD213" s="3"/>
      <c r="SME213" s="3"/>
      <c r="SMF213" s="3"/>
      <c r="SMG213" s="3"/>
      <c r="SMH213" s="3"/>
      <c r="SMI213" s="3"/>
      <c r="SMJ213" s="3"/>
      <c r="SMK213" s="3"/>
      <c r="SML213" s="3"/>
      <c r="SMM213" s="3"/>
      <c r="SMN213" s="3"/>
      <c r="SMO213" s="3"/>
      <c r="SMP213" s="3"/>
      <c r="SMQ213" s="3"/>
      <c r="SMR213" s="3"/>
      <c r="SMS213" s="3"/>
      <c r="SMT213" s="3"/>
      <c r="SMU213" s="3"/>
      <c r="SMV213" s="3"/>
      <c r="SMW213" s="3"/>
      <c r="SMX213" s="3"/>
      <c r="SMY213" s="3"/>
      <c r="SMZ213" s="3"/>
      <c r="SNA213" s="3"/>
      <c r="SNB213" s="3"/>
      <c r="SNC213" s="3"/>
      <c r="SND213" s="3"/>
      <c r="SNE213" s="3"/>
      <c r="SNF213" s="3"/>
      <c r="SNG213" s="3"/>
      <c r="SNH213" s="3"/>
      <c r="SNI213" s="3"/>
      <c r="SNJ213" s="3"/>
      <c r="SNK213" s="3"/>
      <c r="SNL213" s="3"/>
      <c r="SNM213" s="3"/>
      <c r="SNN213" s="3"/>
      <c r="SNO213" s="3"/>
      <c r="SNP213" s="3"/>
      <c r="SNQ213" s="3"/>
      <c r="SNR213" s="3"/>
      <c r="SNS213" s="3"/>
      <c r="SNT213" s="3"/>
      <c r="SNU213" s="3"/>
      <c r="SNV213" s="3"/>
      <c r="SNW213" s="3"/>
      <c r="SNX213" s="3"/>
      <c r="SNY213" s="3"/>
      <c r="SNZ213" s="3"/>
      <c r="SOA213" s="3"/>
      <c r="SOB213" s="3"/>
      <c r="SOC213" s="3"/>
      <c r="SOD213" s="3"/>
      <c r="SOE213" s="3"/>
      <c r="SOF213" s="3"/>
      <c r="SOG213" s="3"/>
      <c r="SOH213" s="3"/>
      <c r="SOI213" s="3"/>
      <c r="SOJ213" s="3"/>
      <c r="SOK213" s="3"/>
      <c r="SOL213" s="3"/>
      <c r="SOM213" s="3"/>
      <c r="SON213" s="3"/>
      <c r="SOO213" s="3"/>
      <c r="SOP213" s="3"/>
      <c r="SOQ213" s="3"/>
      <c r="SOR213" s="3"/>
      <c r="SOS213" s="3"/>
      <c r="SOT213" s="3"/>
      <c r="SOU213" s="3"/>
      <c r="SOV213" s="3"/>
      <c r="SOW213" s="3"/>
      <c r="SOX213" s="3"/>
      <c r="SOY213" s="3"/>
      <c r="SOZ213" s="3"/>
      <c r="SPA213" s="3"/>
      <c r="SPB213" s="3"/>
      <c r="SPC213" s="3"/>
      <c r="SPD213" s="3"/>
      <c r="SPE213" s="3"/>
      <c r="SPF213" s="3"/>
      <c r="SPG213" s="3"/>
      <c r="SPH213" s="3"/>
      <c r="SPI213" s="3"/>
      <c r="SPJ213" s="3"/>
      <c r="SPK213" s="3"/>
      <c r="SPL213" s="3"/>
      <c r="SPM213" s="3"/>
      <c r="SPN213" s="3"/>
      <c r="SPO213" s="3"/>
      <c r="SPP213" s="3"/>
      <c r="SPQ213" s="3"/>
      <c r="SPR213" s="3"/>
      <c r="SPS213" s="3"/>
      <c r="SPT213" s="3"/>
      <c r="SPU213" s="3"/>
      <c r="SPV213" s="3"/>
      <c r="SPW213" s="3"/>
      <c r="SPX213" s="3"/>
      <c r="SPY213" s="3"/>
      <c r="SPZ213" s="3"/>
      <c r="SQA213" s="3"/>
      <c r="SQB213" s="3"/>
      <c r="SQC213" s="3"/>
      <c r="SQD213" s="3"/>
      <c r="SQE213" s="3"/>
      <c r="SQF213" s="3"/>
      <c r="SQG213" s="3"/>
      <c r="SQH213" s="3"/>
      <c r="SQI213" s="3"/>
      <c r="SQJ213" s="3"/>
      <c r="SQK213" s="3"/>
      <c r="SQL213" s="3"/>
      <c r="SQM213" s="3"/>
      <c r="SQN213" s="3"/>
      <c r="SQO213" s="3"/>
      <c r="SQP213" s="3"/>
      <c r="SQQ213" s="3"/>
      <c r="SQR213" s="3"/>
      <c r="SQS213" s="3"/>
      <c r="SQT213" s="3"/>
      <c r="SQU213" s="3"/>
      <c r="SQV213" s="3"/>
      <c r="SQW213" s="3"/>
      <c r="SQX213" s="3"/>
      <c r="SQY213" s="3"/>
      <c r="SQZ213" s="3"/>
      <c r="SRA213" s="3"/>
      <c r="SRB213" s="3"/>
      <c r="SRC213" s="3"/>
      <c r="SRD213" s="3"/>
      <c r="SRE213" s="3"/>
      <c r="SRF213" s="3"/>
      <c r="SRG213" s="3"/>
      <c r="SRH213" s="3"/>
      <c r="SRI213" s="3"/>
      <c r="SRJ213" s="3"/>
      <c r="SRK213" s="3"/>
      <c r="SRL213" s="3"/>
      <c r="SRM213" s="3"/>
      <c r="SRN213" s="3"/>
      <c r="SRO213" s="3"/>
      <c r="SRP213" s="3"/>
      <c r="SRQ213" s="3"/>
      <c r="SRR213" s="3"/>
      <c r="SRS213" s="3"/>
      <c r="SRT213" s="3"/>
      <c r="SRU213" s="3"/>
      <c r="SRV213" s="3"/>
      <c r="SRW213" s="3"/>
      <c r="SRX213" s="3"/>
      <c r="SRY213" s="3"/>
      <c r="SRZ213" s="3"/>
      <c r="SSA213" s="3"/>
      <c r="SSB213" s="3"/>
      <c r="SSC213" s="3"/>
      <c r="SSD213" s="3"/>
      <c r="SSE213" s="3"/>
      <c r="SSF213" s="3"/>
      <c r="SSG213" s="3"/>
      <c r="SSH213" s="3"/>
      <c r="SSI213" s="3"/>
      <c r="SSJ213" s="3"/>
      <c r="SSK213" s="3"/>
      <c r="SSL213" s="3"/>
      <c r="SSM213" s="3"/>
      <c r="SSN213" s="3"/>
      <c r="SSO213" s="3"/>
      <c r="SSP213" s="3"/>
      <c r="SSQ213" s="3"/>
      <c r="SSR213" s="3"/>
      <c r="SSS213" s="3"/>
      <c r="SST213" s="3"/>
      <c r="SSU213" s="3"/>
      <c r="SSV213" s="3"/>
      <c r="SSW213" s="3"/>
      <c r="SSX213" s="3"/>
      <c r="SSY213" s="3"/>
      <c r="SSZ213" s="3"/>
      <c r="STA213" s="3"/>
      <c r="STB213" s="3"/>
      <c r="STC213" s="3"/>
      <c r="STD213" s="3"/>
      <c r="STE213" s="3"/>
      <c r="STF213" s="3"/>
      <c r="STG213" s="3"/>
      <c r="STH213" s="3"/>
      <c r="STI213" s="3"/>
      <c r="STJ213" s="3"/>
      <c r="STK213" s="3"/>
      <c r="STL213" s="3"/>
      <c r="STM213" s="3"/>
      <c r="STN213" s="3"/>
      <c r="STO213" s="3"/>
      <c r="STP213" s="3"/>
      <c r="STQ213" s="3"/>
      <c r="STR213" s="3"/>
      <c r="STS213" s="3"/>
      <c r="STT213" s="3"/>
      <c r="STU213" s="3"/>
      <c r="STV213" s="3"/>
      <c r="STW213" s="3"/>
      <c r="STX213" s="3"/>
      <c r="STY213" s="3"/>
      <c r="STZ213" s="3"/>
      <c r="SUA213" s="3"/>
      <c r="SUB213" s="3"/>
      <c r="SUC213" s="3"/>
      <c r="SUD213" s="3"/>
      <c r="SUE213" s="3"/>
      <c r="SUF213" s="3"/>
      <c r="SUG213" s="3"/>
      <c r="SUH213" s="3"/>
      <c r="SUI213" s="3"/>
      <c r="SUJ213" s="3"/>
      <c r="SUK213" s="3"/>
      <c r="SUL213" s="3"/>
      <c r="SUM213" s="3"/>
      <c r="SUN213" s="3"/>
      <c r="SUO213" s="3"/>
      <c r="SUP213" s="3"/>
      <c r="SUQ213" s="3"/>
      <c r="SUR213" s="3"/>
      <c r="SUS213" s="3"/>
      <c r="SUT213" s="3"/>
      <c r="SUU213" s="3"/>
      <c r="SUV213" s="3"/>
      <c r="SUW213" s="3"/>
      <c r="SUX213" s="3"/>
      <c r="SUY213" s="3"/>
      <c r="SUZ213" s="3"/>
      <c r="SVA213" s="3"/>
      <c r="SVB213" s="3"/>
      <c r="SVC213" s="3"/>
      <c r="SVD213" s="3"/>
      <c r="SVE213" s="3"/>
      <c r="SVF213" s="3"/>
      <c r="SVG213" s="3"/>
      <c r="SVH213" s="3"/>
      <c r="SVI213" s="3"/>
      <c r="SVJ213" s="3"/>
      <c r="SVK213" s="3"/>
      <c r="SVL213" s="3"/>
      <c r="SVM213" s="3"/>
      <c r="SVN213" s="3"/>
      <c r="SVO213" s="3"/>
      <c r="SVP213" s="3"/>
      <c r="SVQ213" s="3"/>
      <c r="SVR213" s="3"/>
      <c r="SVS213" s="3"/>
      <c r="SVT213" s="3"/>
      <c r="SVU213" s="3"/>
      <c r="SVV213" s="3"/>
      <c r="SVW213" s="3"/>
      <c r="SVX213" s="3"/>
      <c r="SVY213" s="3"/>
      <c r="SVZ213" s="3"/>
      <c r="SWA213" s="3"/>
      <c r="SWB213" s="3"/>
      <c r="SWC213" s="3"/>
      <c r="SWD213" s="3"/>
      <c r="SWE213" s="3"/>
      <c r="SWF213" s="3"/>
      <c r="SWG213" s="3"/>
      <c r="SWH213" s="3"/>
      <c r="SWI213" s="3"/>
      <c r="SWJ213" s="3"/>
      <c r="SWK213" s="3"/>
      <c r="SWL213" s="3"/>
      <c r="SWM213" s="3"/>
      <c r="SWN213" s="3"/>
      <c r="SWO213" s="3"/>
      <c r="SWP213" s="3"/>
      <c r="SWQ213" s="3"/>
      <c r="SWR213" s="3"/>
      <c r="SWS213" s="3"/>
      <c r="SWT213" s="3"/>
      <c r="SWU213" s="3"/>
      <c r="SWV213" s="3"/>
      <c r="SWW213" s="3"/>
      <c r="SWX213" s="3"/>
      <c r="SWY213" s="3"/>
      <c r="SWZ213" s="3"/>
      <c r="SXA213" s="3"/>
      <c r="SXB213" s="3"/>
      <c r="SXC213" s="3"/>
      <c r="SXD213" s="3"/>
      <c r="SXE213" s="3"/>
      <c r="SXF213" s="3"/>
      <c r="SXG213" s="3"/>
      <c r="SXH213" s="3"/>
      <c r="SXI213" s="3"/>
      <c r="SXJ213" s="3"/>
      <c r="SXK213" s="3"/>
      <c r="SXL213" s="3"/>
      <c r="SXM213" s="3"/>
      <c r="SXN213" s="3"/>
      <c r="SXO213" s="3"/>
      <c r="SXP213" s="3"/>
      <c r="SXQ213" s="3"/>
      <c r="SXR213" s="3"/>
      <c r="SXS213" s="3"/>
      <c r="SXT213" s="3"/>
      <c r="SXU213" s="3"/>
      <c r="SXV213" s="3"/>
      <c r="SXW213" s="3"/>
      <c r="SXX213" s="3"/>
      <c r="SXY213" s="3"/>
      <c r="SXZ213" s="3"/>
      <c r="SYA213" s="3"/>
      <c r="SYB213" s="3"/>
      <c r="SYC213" s="3"/>
      <c r="SYD213" s="3"/>
      <c r="SYE213" s="3"/>
      <c r="SYF213" s="3"/>
      <c r="SYG213" s="3"/>
      <c r="SYH213" s="3"/>
      <c r="SYI213" s="3"/>
      <c r="SYJ213" s="3"/>
      <c r="SYK213" s="3"/>
      <c r="SYL213" s="3"/>
      <c r="SYM213" s="3"/>
      <c r="SYN213" s="3"/>
      <c r="SYO213" s="3"/>
      <c r="SYP213" s="3"/>
      <c r="SYQ213" s="3"/>
      <c r="SYR213" s="3"/>
      <c r="SYS213" s="3"/>
      <c r="SYT213" s="3"/>
      <c r="SYU213" s="3"/>
      <c r="SYV213" s="3"/>
      <c r="SYW213" s="3"/>
      <c r="SYX213" s="3"/>
      <c r="SYY213" s="3"/>
      <c r="SYZ213" s="3"/>
      <c r="SZA213" s="3"/>
      <c r="SZB213" s="3"/>
      <c r="SZC213" s="3"/>
      <c r="SZD213" s="3"/>
      <c r="SZE213" s="3"/>
      <c r="SZF213" s="3"/>
      <c r="SZG213" s="3"/>
      <c r="SZH213" s="3"/>
      <c r="SZI213" s="3"/>
      <c r="SZJ213" s="3"/>
      <c r="SZK213" s="3"/>
      <c r="SZL213" s="3"/>
      <c r="SZM213" s="3"/>
      <c r="SZN213" s="3"/>
      <c r="SZO213" s="3"/>
      <c r="SZP213" s="3"/>
      <c r="SZQ213" s="3"/>
      <c r="SZR213" s="3"/>
      <c r="SZS213" s="3"/>
      <c r="SZT213" s="3"/>
      <c r="SZU213" s="3"/>
      <c r="SZV213" s="3"/>
      <c r="SZW213" s="3"/>
      <c r="SZX213" s="3"/>
      <c r="SZY213" s="3"/>
      <c r="SZZ213" s="3"/>
      <c r="TAA213" s="3"/>
      <c r="TAB213" s="3"/>
      <c r="TAC213" s="3"/>
      <c r="TAD213" s="3"/>
      <c r="TAE213" s="3"/>
      <c r="TAF213" s="3"/>
      <c r="TAG213" s="3"/>
      <c r="TAH213" s="3"/>
      <c r="TAI213" s="3"/>
      <c r="TAJ213" s="3"/>
      <c r="TAK213" s="3"/>
      <c r="TAL213" s="3"/>
      <c r="TAM213" s="3"/>
      <c r="TAN213" s="3"/>
      <c r="TAO213" s="3"/>
      <c r="TAP213" s="3"/>
      <c r="TAQ213" s="3"/>
      <c r="TAR213" s="3"/>
      <c r="TAS213" s="3"/>
      <c r="TAT213" s="3"/>
      <c r="TAU213" s="3"/>
      <c r="TAV213" s="3"/>
      <c r="TAW213" s="3"/>
      <c r="TAX213" s="3"/>
      <c r="TAY213" s="3"/>
      <c r="TAZ213" s="3"/>
      <c r="TBA213" s="3"/>
      <c r="TBB213" s="3"/>
      <c r="TBC213" s="3"/>
      <c r="TBD213" s="3"/>
      <c r="TBE213" s="3"/>
      <c r="TBF213" s="3"/>
      <c r="TBG213" s="3"/>
      <c r="TBH213" s="3"/>
      <c r="TBI213" s="3"/>
      <c r="TBJ213" s="3"/>
      <c r="TBK213" s="3"/>
      <c r="TBL213" s="3"/>
      <c r="TBM213" s="3"/>
      <c r="TBN213" s="3"/>
      <c r="TBO213" s="3"/>
      <c r="TBP213" s="3"/>
      <c r="TBQ213" s="3"/>
      <c r="TBR213" s="3"/>
      <c r="TBS213" s="3"/>
      <c r="TBT213" s="3"/>
      <c r="TBU213" s="3"/>
      <c r="TBV213" s="3"/>
      <c r="TBW213" s="3"/>
      <c r="TBX213" s="3"/>
      <c r="TBY213" s="3"/>
      <c r="TBZ213" s="3"/>
      <c r="TCA213" s="3"/>
      <c r="TCB213" s="3"/>
      <c r="TCC213" s="3"/>
      <c r="TCD213" s="3"/>
      <c r="TCE213" s="3"/>
      <c r="TCF213" s="3"/>
      <c r="TCG213" s="3"/>
      <c r="TCH213" s="3"/>
      <c r="TCI213" s="3"/>
      <c r="TCJ213" s="3"/>
      <c r="TCK213" s="3"/>
      <c r="TCL213" s="3"/>
      <c r="TCM213" s="3"/>
      <c r="TCN213" s="3"/>
      <c r="TCO213" s="3"/>
      <c r="TCP213" s="3"/>
      <c r="TCQ213" s="3"/>
      <c r="TCR213" s="3"/>
      <c r="TCS213" s="3"/>
      <c r="TCT213" s="3"/>
      <c r="TCU213" s="3"/>
      <c r="TCV213" s="3"/>
      <c r="TCW213" s="3"/>
      <c r="TCX213" s="3"/>
      <c r="TCY213" s="3"/>
      <c r="TCZ213" s="3"/>
      <c r="TDA213" s="3"/>
      <c r="TDB213" s="3"/>
      <c r="TDC213" s="3"/>
      <c r="TDD213" s="3"/>
      <c r="TDE213" s="3"/>
      <c r="TDF213" s="3"/>
      <c r="TDG213" s="3"/>
      <c r="TDH213" s="3"/>
      <c r="TDI213" s="3"/>
      <c r="TDJ213" s="3"/>
      <c r="TDK213" s="3"/>
      <c r="TDL213" s="3"/>
      <c r="TDM213" s="3"/>
      <c r="TDN213" s="3"/>
      <c r="TDO213" s="3"/>
      <c r="TDP213" s="3"/>
      <c r="TDQ213" s="3"/>
      <c r="TDR213" s="3"/>
      <c r="TDS213" s="3"/>
      <c r="TDT213" s="3"/>
      <c r="TDU213" s="3"/>
      <c r="TDV213" s="3"/>
      <c r="TDW213" s="3"/>
      <c r="TDX213" s="3"/>
      <c r="TDY213" s="3"/>
      <c r="TDZ213" s="3"/>
      <c r="TEA213" s="3"/>
      <c r="TEB213" s="3"/>
      <c r="TEC213" s="3"/>
      <c r="TED213" s="3"/>
      <c r="TEE213" s="3"/>
      <c r="TEF213" s="3"/>
      <c r="TEG213" s="3"/>
      <c r="TEH213" s="3"/>
      <c r="TEI213" s="3"/>
      <c r="TEJ213" s="3"/>
      <c r="TEK213" s="3"/>
      <c r="TEL213" s="3"/>
      <c r="TEM213" s="3"/>
      <c r="TEN213" s="3"/>
      <c r="TEO213" s="3"/>
      <c r="TEP213" s="3"/>
      <c r="TEQ213" s="3"/>
      <c r="TER213" s="3"/>
      <c r="TES213" s="3"/>
      <c r="TET213" s="3"/>
      <c r="TEU213" s="3"/>
      <c r="TEV213" s="3"/>
      <c r="TEW213" s="3"/>
      <c r="TEX213" s="3"/>
      <c r="TEY213" s="3"/>
      <c r="TEZ213" s="3"/>
      <c r="TFA213" s="3"/>
      <c r="TFB213" s="3"/>
      <c r="TFC213" s="3"/>
      <c r="TFD213" s="3"/>
      <c r="TFE213" s="3"/>
      <c r="TFF213" s="3"/>
      <c r="TFG213" s="3"/>
      <c r="TFH213" s="3"/>
      <c r="TFI213" s="3"/>
      <c r="TFJ213" s="3"/>
      <c r="TFK213" s="3"/>
      <c r="TFL213" s="3"/>
      <c r="TFM213" s="3"/>
      <c r="TFN213" s="3"/>
      <c r="TFO213" s="3"/>
      <c r="TFP213" s="3"/>
      <c r="TFQ213" s="3"/>
      <c r="TFR213" s="3"/>
      <c r="TFS213" s="3"/>
      <c r="TFT213" s="3"/>
      <c r="TFU213" s="3"/>
      <c r="TFV213" s="3"/>
      <c r="TFW213" s="3"/>
      <c r="TFX213" s="3"/>
      <c r="TFY213" s="3"/>
      <c r="TFZ213" s="3"/>
      <c r="TGA213" s="3"/>
      <c r="TGB213" s="3"/>
      <c r="TGC213" s="3"/>
      <c r="TGD213" s="3"/>
      <c r="TGE213" s="3"/>
      <c r="TGF213" s="3"/>
      <c r="TGG213" s="3"/>
      <c r="TGH213" s="3"/>
      <c r="TGI213" s="3"/>
      <c r="TGJ213" s="3"/>
      <c r="TGK213" s="3"/>
      <c r="TGL213" s="3"/>
      <c r="TGM213" s="3"/>
      <c r="TGN213" s="3"/>
      <c r="TGO213" s="3"/>
      <c r="TGP213" s="3"/>
      <c r="TGQ213" s="3"/>
      <c r="TGR213" s="3"/>
      <c r="TGS213" s="3"/>
      <c r="TGT213" s="3"/>
      <c r="TGU213" s="3"/>
      <c r="TGV213" s="3"/>
      <c r="TGW213" s="3"/>
      <c r="TGX213" s="3"/>
      <c r="TGY213" s="3"/>
      <c r="TGZ213" s="3"/>
      <c r="THA213" s="3"/>
      <c r="THB213" s="3"/>
      <c r="THC213" s="3"/>
      <c r="THD213" s="3"/>
      <c r="THE213" s="3"/>
      <c r="THF213" s="3"/>
      <c r="THG213" s="3"/>
      <c r="THH213" s="3"/>
      <c r="THI213" s="3"/>
      <c r="THJ213" s="3"/>
      <c r="THK213" s="3"/>
      <c r="THL213" s="3"/>
      <c r="THM213" s="3"/>
      <c r="THN213" s="3"/>
      <c r="THO213" s="3"/>
      <c r="THP213" s="3"/>
      <c r="THQ213" s="3"/>
      <c r="THR213" s="3"/>
      <c r="THS213" s="3"/>
      <c r="THT213" s="3"/>
      <c r="THU213" s="3"/>
      <c r="THV213" s="3"/>
      <c r="THW213" s="3"/>
      <c r="THX213" s="3"/>
      <c r="THY213" s="3"/>
      <c r="THZ213" s="3"/>
      <c r="TIA213" s="3"/>
      <c r="TIB213" s="3"/>
      <c r="TIC213" s="3"/>
      <c r="TID213" s="3"/>
      <c r="TIE213" s="3"/>
      <c r="TIF213" s="3"/>
      <c r="TIG213" s="3"/>
      <c r="TIH213" s="3"/>
      <c r="TII213" s="3"/>
      <c r="TIJ213" s="3"/>
      <c r="TIK213" s="3"/>
      <c r="TIL213" s="3"/>
      <c r="TIM213" s="3"/>
      <c r="TIN213" s="3"/>
      <c r="TIO213" s="3"/>
      <c r="TIP213" s="3"/>
      <c r="TIQ213" s="3"/>
      <c r="TIR213" s="3"/>
      <c r="TIS213" s="3"/>
      <c r="TIT213" s="3"/>
      <c r="TIU213" s="3"/>
      <c r="TIV213" s="3"/>
      <c r="TIW213" s="3"/>
      <c r="TIX213" s="3"/>
      <c r="TIY213" s="3"/>
      <c r="TIZ213" s="3"/>
      <c r="TJA213" s="3"/>
      <c r="TJB213" s="3"/>
      <c r="TJC213" s="3"/>
      <c r="TJD213" s="3"/>
      <c r="TJE213" s="3"/>
      <c r="TJF213" s="3"/>
      <c r="TJG213" s="3"/>
      <c r="TJH213" s="3"/>
      <c r="TJI213" s="3"/>
      <c r="TJJ213" s="3"/>
      <c r="TJK213" s="3"/>
      <c r="TJL213" s="3"/>
      <c r="TJM213" s="3"/>
      <c r="TJN213" s="3"/>
      <c r="TJO213" s="3"/>
      <c r="TJP213" s="3"/>
      <c r="TJQ213" s="3"/>
      <c r="TJR213" s="3"/>
      <c r="TJS213" s="3"/>
      <c r="TJT213" s="3"/>
      <c r="TJU213" s="3"/>
      <c r="TJV213" s="3"/>
      <c r="TJW213" s="3"/>
      <c r="TJX213" s="3"/>
      <c r="TJY213" s="3"/>
      <c r="TJZ213" s="3"/>
      <c r="TKA213" s="3"/>
      <c r="TKB213" s="3"/>
      <c r="TKC213" s="3"/>
      <c r="TKD213" s="3"/>
      <c r="TKE213" s="3"/>
      <c r="TKF213" s="3"/>
      <c r="TKG213" s="3"/>
      <c r="TKH213" s="3"/>
      <c r="TKI213" s="3"/>
      <c r="TKJ213" s="3"/>
      <c r="TKK213" s="3"/>
      <c r="TKL213" s="3"/>
      <c r="TKM213" s="3"/>
      <c r="TKN213" s="3"/>
      <c r="TKO213" s="3"/>
      <c r="TKP213" s="3"/>
      <c r="TKQ213" s="3"/>
      <c r="TKR213" s="3"/>
      <c r="TKS213" s="3"/>
      <c r="TKT213" s="3"/>
      <c r="TKU213" s="3"/>
      <c r="TKV213" s="3"/>
      <c r="TKW213" s="3"/>
      <c r="TKX213" s="3"/>
      <c r="TKY213" s="3"/>
      <c r="TKZ213" s="3"/>
      <c r="TLA213" s="3"/>
      <c r="TLB213" s="3"/>
      <c r="TLC213" s="3"/>
      <c r="TLD213" s="3"/>
      <c r="TLE213" s="3"/>
      <c r="TLF213" s="3"/>
      <c r="TLG213" s="3"/>
      <c r="TLH213" s="3"/>
      <c r="TLI213" s="3"/>
      <c r="TLJ213" s="3"/>
      <c r="TLK213" s="3"/>
      <c r="TLL213" s="3"/>
      <c r="TLM213" s="3"/>
      <c r="TLN213" s="3"/>
      <c r="TLO213" s="3"/>
      <c r="TLP213" s="3"/>
      <c r="TLQ213" s="3"/>
      <c r="TLR213" s="3"/>
      <c r="TLS213" s="3"/>
      <c r="TLT213" s="3"/>
      <c r="TLU213" s="3"/>
      <c r="TLV213" s="3"/>
      <c r="TLW213" s="3"/>
      <c r="TLX213" s="3"/>
      <c r="TLY213" s="3"/>
      <c r="TLZ213" s="3"/>
      <c r="TMA213" s="3"/>
      <c r="TMB213" s="3"/>
      <c r="TMC213" s="3"/>
      <c r="TMD213" s="3"/>
      <c r="TME213" s="3"/>
      <c r="TMF213" s="3"/>
      <c r="TMG213" s="3"/>
      <c r="TMH213" s="3"/>
      <c r="TMI213" s="3"/>
      <c r="TMJ213" s="3"/>
      <c r="TMK213" s="3"/>
      <c r="TML213" s="3"/>
      <c r="TMM213" s="3"/>
      <c r="TMN213" s="3"/>
      <c r="TMO213" s="3"/>
      <c r="TMP213" s="3"/>
      <c r="TMQ213" s="3"/>
      <c r="TMR213" s="3"/>
      <c r="TMS213" s="3"/>
      <c r="TMT213" s="3"/>
      <c r="TMU213" s="3"/>
      <c r="TMV213" s="3"/>
      <c r="TMW213" s="3"/>
      <c r="TMX213" s="3"/>
      <c r="TMY213" s="3"/>
      <c r="TMZ213" s="3"/>
      <c r="TNA213" s="3"/>
      <c r="TNB213" s="3"/>
      <c r="TNC213" s="3"/>
      <c r="TND213" s="3"/>
      <c r="TNE213" s="3"/>
      <c r="TNF213" s="3"/>
      <c r="TNG213" s="3"/>
      <c r="TNH213" s="3"/>
      <c r="TNI213" s="3"/>
      <c r="TNJ213" s="3"/>
      <c r="TNK213" s="3"/>
      <c r="TNL213" s="3"/>
      <c r="TNM213" s="3"/>
      <c r="TNN213" s="3"/>
      <c r="TNO213" s="3"/>
      <c r="TNP213" s="3"/>
      <c r="TNQ213" s="3"/>
      <c r="TNR213" s="3"/>
      <c r="TNS213" s="3"/>
      <c r="TNT213" s="3"/>
      <c r="TNU213" s="3"/>
      <c r="TNV213" s="3"/>
      <c r="TNW213" s="3"/>
      <c r="TNX213" s="3"/>
      <c r="TNY213" s="3"/>
      <c r="TNZ213" s="3"/>
      <c r="TOA213" s="3"/>
      <c r="TOB213" s="3"/>
      <c r="TOC213" s="3"/>
      <c r="TOD213" s="3"/>
      <c r="TOE213" s="3"/>
      <c r="TOF213" s="3"/>
      <c r="TOG213" s="3"/>
      <c r="TOH213" s="3"/>
      <c r="TOI213" s="3"/>
      <c r="TOJ213" s="3"/>
      <c r="TOK213" s="3"/>
      <c r="TOL213" s="3"/>
      <c r="TOM213" s="3"/>
      <c r="TON213" s="3"/>
      <c r="TOO213" s="3"/>
      <c r="TOP213" s="3"/>
      <c r="TOQ213" s="3"/>
      <c r="TOR213" s="3"/>
      <c r="TOS213" s="3"/>
      <c r="TOT213" s="3"/>
      <c r="TOU213" s="3"/>
      <c r="TOV213" s="3"/>
      <c r="TOW213" s="3"/>
      <c r="TOX213" s="3"/>
      <c r="TOY213" s="3"/>
      <c r="TOZ213" s="3"/>
      <c r="TPA213" s="3"/>
      <c r="TPB213" s="3"/>
      <c r="TPC213" s="3"/>
      <c r="TPD213" s="3"/>
      <c r="TPE213" s="3"/>
      <c r="TPF213" s="3"/>
      <c r="TPG213" s="3"/>
      <c r="TPH213" s="3"/>
      <c r="TPI213" s="3"/>
      <c r="TPJ213" s="3"/>
      <c r="TPK213" s="3"/>
      <c r="TPL213" s="3"/>
      <c r="TPM213" s="3"/>
      <c r="TPN213" s="3"/>
      <c r="TPO213" s="3"/>
      <c r="TPP213" s="3"/>
      <c r="TPQ213" s="3"/>
      <c r="TPR213" s="3"/>
      <c r="TPS213" s="3"/>
      <c r="TPT213" s="3"/>
      <c r="TPU213" s="3"/>
      <c r="TPV213" s="3"/>
      <c r="TPW213" s="3"/>
      <c r="TPX213" s="3"/>
      <c r="TPY213" s="3"/>
      <c r="TPZ213" s="3"/>
      <c r="TQA213" s="3"/>
      <c r="TQB213" s="3"/>
      <c r="TQC213" s="3"/>
      <c r="TQD213" s="3"/>
      <c r="TQE213" s="3"/>
      <c r="TQF213" s="3"/>
      <c r="TQG213" s="3"/>
      <c r="TQH213" s="3"/>
      <c r="TQI213" s="3"/>
      <c r="TQJ213" s="3"/>
      <c r="TQK213" s="3"/>
      <c r="TQL213" s="3"/>
      <c r="TQM213" s="3"/>
      <c r="TQN213" s="3"/>
      <c r="TQO213" s="3"/>
      <c r="TQP213" s="3"/>
      <c r="TQQ213" s="3"/>
      <c r="TQR213" s="3"/>
      <c r="TQS213" s="3"/>
      <c r="TQT213" s="3"/>
      <c r="TQU213" s="3"/>
      <c r="TQV213" s="3"/>
      <c r="TQW213" s="3"/>
      <c r="TQX213" s="3"/>
      <c r="TQY213" s="3"/>
      <c r="TQZ213" s="3"/>
      <c r="TRA213" s="3"/>
      <c r="TRB213" s="3"/>
      <c r="TRC213" s="3"/>
      <c r="TRD213" s="3"/>
      <c r="TRE213" s="3"/>
      <c r="TRF213" s="3"/>
      <c r="TRG213" s="3"/>
      <c r="TRH213" s="3"/>
      <c r="TRI213" s="3"/>
      <c r="TRJ213" s="3"/>
      <c r="TRK213" s="3"/>
      <c r="TRL213" s="3"/>
      <c r="TRM213" s="3"/>
      <c r="TRN213" s="3"/>
      <c r="TRO213" s="3"/>
      <c r="TRP213" s="3"/>
      <c r="TRQ213" s="3"/>
      <c r="TRR213" s="3"/>
      <c r="TRS213" s="3"/>
      <c r="TRT213" s="3"/>
      <c r="TRU213" s="3"/>
      <c r="TRV213" s="3"/>
      <c r="TRW213" s="3"/>
      <c r="TRX213" s="3"/>
      <c r="TRY213" s="3"/>
      <c r="TRZ213" s="3"/>
      <c r="TSA213" s="3"/>
      <c r="TSB213" s="3"/>
      <c r="TSC213" s="3"/>
      <c r="TSD213" s="3"/>
      <c r="TSE213" s="3"/>
      <c r="TSF213" s="3"/>
      <c r="TSG213" s="3"/>
      <c r="TSH213" s="3"/>
      <c r="TSI213" s="3"/>
      <c r="TSJ213" s="3"/>
      <c r="TSK213" s="3"/>
      <c r="TSL213" s="3"/>
      <c r="TSM213" s="3"/>
      <c r="TSN213" s="3"/>
      <c r="TSO213" s="3"/>
      <c r="TSP213" s="3"/>
      <c r="TSQ213" s="3"/>
      <c r="TSR213" s="3"/>
      <c r="TSS213" s="3"/>
      <c r="TST213" s="3"/>
      <c r="TSU213" s="3"/>
      <c r="TSV213" s="3"/>
      <c r="TSW213" s="3"/>
      <c r="TSX213" s="3"/>
      <c r="TSY213" s="3"/>
      <c r="TSZ213" s="3"/>
      <c r="TTA213" s="3"/>
      <c r="TTB213" s="3"/>
      <c r="TTC213" s="3"/>
      <c r="TTD213" s="3"/>
      <c r="TTE213" s="3"/>
      <c r="TTF213" s="3"/>
      <c r="TTG213" s="3"/>
      <c r="TTH213" s="3"/>
      <c r="TTI213" s="3"/>
      <c r="TTJ213" s="3"/>
      <c r="TTK213" s="3"/>
      <c r="TTL213" s="3"/>
      <c r="TTM213" s="3"/>
      <c r="TTN213" s="3"/>
      <c r="TTO213" s="3"/>
      <c r="TTP213" s="3"/>
      <c r="TTQ213" s="3"/>
      <c r="TTR213" s="3"/>
      <c r="TTS213" s="3"/>
      <c r="TTT213" s="3"/>
      <c r="TTU213" s="3"/>
      <c r="TTV213" s="3"/>
      <c r="TTW213" s="3"/>
      <c r="TTX213" s="3"/>
      <c r="TTY213" s="3"/>
      <c r="TTZ213" s="3"/>
      <c r="TUA213" s="3"/>
      <c r="TUB213" s="3"/>
      <c r="TUC213" s="3"/>
      <c r="TUD213" s="3"/>
      <c r="TUE213" s="3"/>
      <c r="TUF213" s="3"/>
      <c r="TUG213" s="3"/>
      <c r="TUH213" s="3"/>
      <c r="TUI213" s="3"/>
      <c r="TUJ213" s="3"/>
      <c r="TUK213" s="3"/>
      <c r="TUL213" s="3"/>
      <c r="TUM213" s="3"/>
      <c r="TUN213" s="3"/>
      <c r="TUO213" s="3"/>
      <c r="TUP213" s="3"/>
      <c r="TUQ213" s="3"/>
      <c r="TUR213" s="3"/>
      <c r="TUS213" s="3"/>
      <c r="TUT213" s="3"/>
      <c r="TUU213" s="3"/>
      <c r="TUV213" s="3"/>
      <c r="TUW213" s="3"/>
      <c r="TUX213" s="3"/>
      <c r="TUY213" s="3"/>
      <c r="TUZ213" s="3"/>
      <c r="TVA213" s="3"/>
      <c r="TVB213" s="3"/>
      <c r="TVC213" s="3"/>
      <c r="TVD213" s="3"/>
      <c r="TVE213" s="3"/>
      <c r="TVF213" s="3"/>
      <c r="TVG213" s="3"/>
      <c r="TVH213" s="3"/>
      <c r="TVI213" s="3"/>
      <c r="TVJ213" s="3"/>
      <c r="TVK213" s="3"/>
      <c r="TVL213" s="3"/>
      <c r="TVM213" s="3"/>
      <c r="TVN213" s="3"/>
      <c r="TVO213" s="3"/>
      <c r="TVP213" s="3"/>
      <c r="TVQ213" s="3"/>
      <c r="TVR213" s="3"/>
      <c r="TVS213" s="3"/>
      <c r="TVT213" s="3"/>
      <c r="TVU213" s="3"/>
      <c r="TVV213" s="3"/>
      <c r="TVW213" s="3"/>
      <c r="TVX213" s="3"/>
      <c r="TVY213" s="3"/>
      <c r="TVZ213" s="3"/>
      <c r="TWA213" s="3"/>
      <c r="TWB213" s="3"/>
      <c r="TWC213" s="3"/>
      <c r="TWD213" s="3"/>
      <c r="TWE213" s="3"/>
      <c r="TWF213" s="3"/>
      <c r="TWG213" s="3"/>
      <c r="TWH213" s="3"/>
      <c r="TWI213" s="3"/>
      <c r="TWJ213" s="3"/>
      <c r="TWK213" s="3"/>
      <c r="TWL213" s="3"/>
      <c r="TWM213" s="3"/>
      <c r="TWN213" s="3"/>
      <c r="TWO213" s="3"/>
      <c r="TWP213" s="3"/>
      <c r="TWQ213" s="3"/>
      <c r="TWR213" s="3"/>
      <c r="TWS213" s="3"/>
      <c r="TWT213" s="3"/>
      <c r="TWU213" s="3"/>
      <c r="TWV213" s="3"/>
      <c r="TWW213" s="3"/>
      <c r="TWX213" s="3"/>
      <c r="TWY213" s="3"/>
      <c r="TWZ213" s="3"/>
      <c r="TXA213" s="3"/>
      <c r="TXB213" s="3"/>
      <c r="TXC213" s="3"/>
      <c r="TXD213" s="3"/>
      <c r="TXE213" s="3"/>
      <c r="TXF213" s="3"/>
      <c r="TXG213" s="3"/>
      <c r="TXH213" s="3"/>
      <c r="TXI213" s="3"/>
      <c r="TXJ213" s="3"/>
      <c r="TXK213" s="3"/>
      <c r="TXL213" s="3"/>
      <c r="TXM213" s="3"/>
      <c r="TXN213" s="3"/>
      <c r="TXO213" s="3"/>
      <c r="TXP213" s="3"/>
      <c r="TXQ213" s="3"/>
      <c r="TXR213" s="3"/>
      <c r="TXS213" s="3"/>
      <c r="TXT213" s="3"/>
      <c r="TXU213" s="3"/>
      <c r="TXV213" s="3"/>
      <c r="TXW213" s="3"/>
      <c r="TXX213" s="3"/>
      <c r="TXY213" s="3"/>
      <c r="TXZ213" s="3"/>
      <c r="TYA213" s="3"/>
      <c r="TYB213" s="3"/>
      <c r="TYC213" s="3"/>
      <c r="TYD213" s="3"/>
      <c r="TYE213" s="3"/>
      <c r="TYF213" s="3"/>
      <c r="TYG213" s="3"/>
      <c r="TYH213" s="3"/>
      <c r="TYI213" s="3"/>
      <c r="TYJ213" s="3"/>
      <c r="TYK213" s="3"/>
      <c r="TYL213" s="3"/>
      <c r="TYM213" s="3"/>
      <c r="TYN213" s="3"/>
      <c r="TYO213" s="3"/>
      <c r="TYP213" s="3"/>
      <c r="TYQ213" s="3"/>
      <c r="TYR213" s="3"/>
      <c r="TYS213" s="3"/>
      <c r="TYT213" s="3"/>
      <c r="TYU213" s="3"/>
      <c r="TYV213" s="3"/>
      <c r="TYW213" s="3"/>
      <c r="TYX213" s="3"/>
      <c r="TYY213" s="3"/>
      <c r="TYZ213" s="3"/>
      <c r="TZA213" s="3"/>
      <c r="TZB213" s="3"/>
      <c r="TZC213" s="3"/>
      <c r="TZD213" s="3"/>
      <c r="TZE213" s="3"/>
      <c r="TZF213" s="3"/>
      <c r="TZG213" s="3"/>
      <c r="TZH213" s="3"/>
      <c r="TZI213" s="3"/>
      <c r="TZJ213" s="3"/>
      <c r="TZK213" s="3"/>
      <c r="TZL213" s="3"/>
      <c r="TZM213" s="3"/>
      <c r="TZN213" s="3"/>
      <c r="TZO213" s="3"/>
      <c r="TZP213" s="3"/>
      <c r="TZQ213" s="3"/>
      <c r="TZR213" s="3"/>
      <c r="TZS213" s="3"/>
      <c r="TZT213" s="3"/>
      <c r="TZU213" s="3"/>
      <c r="TZV213" s="3"/>
      <c r="TZW213" s="3"/>
      <c r="TZX213" s="3"/>
      <c r="TZY213" s="3"/>
      <c r="TZZ213" s="3"/>
      <c r="UAA213" s="3"/>
      <c r="UAB213" s="3"/>
      <c r="UAC213" s="3"/>
      <c r="UAD213" s="3"/>
      <c r="UAE213" s="3"/>
      <c r="UAF213" s="3"/>
      <c r="UAG213" s="3"/>
      <c r="UAH213" s="3"/>
      <c r="UAI213" s="3"/>
      <c r="UAJ213" s="3"/>
      <c r="UAK213" s="3"/>
      <c r="UAL213" s="3"/>
      <c r="UAM213" s="3"/>
      <c r="UAN213" s="3"/>
      <c r="UAO213" s="3"/>
      <c r="UAP213" s="3"/>
      <c r="UAQ213" s="3"/>
      <c r="UAR213" s="3"/>
      <c r="UAS213" s="3"/>
      <c r="UAT213" s="3"/>
      <c r="UAU213" s="3"/>
      <c r="UAV213" s="3"/>
      <c r="UAW213" s="3"/>
      <c r="UAX213" s="3"/>
      <c r="UAY213" s="3"/>
      <c r="UAZ213" s="3"/>
      <c r="UBA213" s="3"/>
      <c r="UBB213" s="3"/>
      <c r="UBC213" s="3"/>
      <c r="UBD213" s="3"/>
      <c r="UBE213" s="3"/>
      <c r="UBF213" s="3"/>
      <c r="UBG213" s="3"/>
      <c r="UBH213" s="3"/>
      <c r="UBI213" s="3"/>
      <c r="UBJ213" s="3"/>
      <c r="UBK213" s="3"/>
      <c r="UBL213" s="3"/>
      <c r="UBM213" s="3"/>
      <c r="UBN213" s="3"/>
      <c r="UBO213" s="3"/>
      <c r="UBP213" s="3"/>
      <c r="UBQ213" s="3"/>
      <c r="UBR213" s="3"/>
      <c r="UBS213" s="3"/>
      <c r="UBT213" s="3"/>
      <c r="UBU213" s="3"/>
      <c r="UBV213" s="3"/>
      <c r="UBW213" s="3"/>
      <c r="UBX213" s="3"/>
      <c r="UBY213" s="3"/>
      <c r="UBZ213" s="3"/>
      <c r="UCA213" s="3"/>
      <c r="UCB213" s="3"/>
      <c r="UCC213" s="3"/>
      <c r="UCD213" s="3"/>
      <c r="UCE213" s="3"/>
      <c r="UCF213" s="3"/>
      <c r="UCG213" s="3"/>
      <c r="UCH213" s="3"/>
      <c r="UCI213" s="3"/>
      <c r="UCJ213" s="3"/>
      <c r="UCK213" s="3"/>
      <c r="UCL213" s="3"/>
      <c r="UCM213" s="3"/>
      <c r="UCN213" s="3"/>
      <c r="UCO213" s="3"/>
      <c r="UCP213" s="3"/>
      <c r="UCQ213" s="3"/>
      <c r="UCR213" s="3"/>
      <c r="UCS213" s="3"/>
      <c r="UCT213" s="3"/>
      <c r="UCU213" s="3"/>
      <c r="UCV213" s="3"/>
      <c r="UCW213" s="3"/>
      <c r="UCX213" s="3"/>
      <c r="UCY213" s="3"/>
      <c r="UCZ213" s="3"/>
      <c r="UDA213" s="3"/>
      <c r="UDB213" s="3"/>
      <c r="UDC213" s="3"/>
      <c r="UDD213" s="3"/>
      <c r="UDE213" s="3"/>
      <c r="UDF213" s="3"/>
      <c r="UDG213" s="3"/>
      <c r="UDH213" s="3"/>
      <c r="UDI213" s="3"/>
      <c r="UDJ213" s="3"/>
      <c r="UDK213" s="3"/>
      <c r="UDL213" s="3"/>
      <c r="UDM213" s="3"/>
      <c r="UDN213" s="3"/>
      <c r="UDO213" s="3"/>
      <c r="UDP213" s="3"/>
      <c r="UDQ213" s="3"/>
      <c r="UDR213" s="3"/>
      <c r="UDS213" s="3"/>
      <c r="UDT213" s="3"/>
      <c r="UDU213" s="3"/>
      <c r="UDV213" s="3"/>
      <c r="UDW213" s="3"/>
      <c r="UDX213" s="3"/>
      <c r="UDY213" s="3"/>
      <c r="UDZ213" s="3"/>
      <c r="UEA213" s="3"/>
      <c r="UEB213" s="3"/>
      <c r="UEC213" s="3"/>
      <c r="UED213" s="3"/>
      <c r="UEE213" s="3"/>
      <c r="UEF213" s="3"/>
      <c r="UEG213" s="3"/>
      <c r="UEH213" s="3"/>
      <c r="UEI213" s="3"/>
      <c r="UEJ213" s="3"/>
      <c r="UEK213" s="3"/>
      <c r="UEL213" s="3"/>
      <c r="UEM213" s="3"/>
      <c r="UEN213" s="3"/>
      <c r="UEO213" s="3"/>
      <c r="UEP213" s="3"/>
      <c r="UEQ213" s="3"/>
      <c r="UER213" s="3"/>
      <c r="UES213" s="3"/>
      <c r="UET213" s="3"/>
      <c r="UEU213" s="3"/>
      <c r="UEV213" s="3"/>
      <c r="UEW213" s="3"/>
      <c r="UEX213" s="3"/>
      <c r="UEY213" s="3"/>
      <c r="UEZ213" s="3"/>
      <c r="UFA213" s="3"/>
      <c r="UFB213" s="3"/>
      <c r="UFC213" s="3"/>
      <c r="UFD213" s="3"/>
      <c r="UFE213" s="3"/>
      <c r="UFF213" s="3"/>
      <c r="UFG213" s="3"/>
      <c r="UFH213" s="3"/>
      <c r="UFI213" s="3"/>
      <c r="UFJ213" s="3"/>
      <c r="UFK213" s="3"/>
      <c r="UFL213" s="3"/>
      <c r="UFM213" s="3"/>
      <c r="UFN213" s="3"/>
      <c r="UFO213" s="3"/>
      <c r="UFP213" s="3"/>
      <c r="UFQ213" s="3"/>
      <c r="UFR213" s="3"/>
      <c r="UFS213" s="3"/>
      <c r="UFT213" s="3"/>
      <c r="UFU213" s="3"/>
      <c r="UFV213" s="3"/>
      <c r="UFW213" s="3"/>
      <c r="UFX213" s="3"/>
      <c r="UFY213" s="3"/>
      <c r="UFZ213" s="3"/>
      <c r="UGA213" s="3"/>
      <c r="UGB213" s="3"/>
      <c r="UGC213" s="3"/>
      <c r="UGD213" s="3"/>
      <c r="UGE213" s="3"/>
      <c r="UGF213" s="3"/>
      <c r="UGG213" s="3"/>
      <c r="UGH213" s="3"/>
      <c r="UGI213" s="3"/>
      <c r="UGJ213" s="3"/>
      <c r="UGK213" s="3"/>
      <c r="UGL213" s="3"/>
      <c r="UGM213" s="3"/>
      <c r="UGN213" s="3"/>
      <c r="UGO213" s="3"/>
      <c r="UGP213" s="3"/>
      <c r="UGQ213" s="3"/>
      <c r="UGR213" s="3"/>
      <c r="UGS213" s="3"/>
      <c r="UGT213" s="3"/>
      <c r="UGU213" s="3"/>
      <c r="UGV213" s="3"/>
      <c r="UGW213" s="3"/>
      <c r="UGX213" s="3"/>
      <c r="UGY213" s="3"/>
      <c r="UGZ213" s="3"/>
      <c r="UHA213" s="3"/>
      <c r="UHB213" s="3"/>
      <c r="UHC213" s="3"/>
      <c r="UHD213" s="3"/>
      <c r="UHE213" s="3"/>
      <c r="UHF213" s="3"/>
      <c r="UHG213" s="3"/>
      <c r="UHH213" s="3"/>
      <c r="UHI213" s="3"/>
      <c r="UHJ213" s="3"/>
      <c r="UHK213" s="3"/>
      <c r="UHL213" s="3"/>
      <c r="UHM213" s="3"/>
      <c r="UHN213" s="3"/>
      <c r="UHO213" s="3"/>
      <c r="UHP213" s="3"/>
      <c r="UHQ213" s="3"/>
      <c r="UHR213" s="3"/>
      <c r="UHS213" s="3"/>
      <c r="UHT213" s="3"/>
      <c r="UHU213" s="3"/>
      <c r="UHV213" s="3"/>
      <c r="UHW213" s="3"/>
      <c r="UHX213" s="3"/>
      <c r="UHY213" s="3"/>
      <c r="UHZ213" s="3"/>
      <c r="UIA213" s="3"/>
      <c r="UIB213" s="3"/>
      <c r="UIC213" s="3"/>
      <c r="UID213" s="3"/>
      <c r="UIE213" s="3"/>
      <c r="UIF213" s="3"/>
      <c r="UIG213" s="3"/>
      <c r="UIH213" s="3"/>
      <c r="UII213" s="3"/>
      <c r="UIJ213" s="3"/>
      <c r="UIK213" s="3"/>
      <c r="UIL213" s="3"/>
      <c r="UIM213" s="3"/>
      <c r="UIN213" s="3"/>
      <c r="UIO213" s="3"/>
      <c r="UIP213" s="3"/>
      <c r="UIQ213" s="3"/>
      <c r="UIR213" s="3"/>
      <c r="UIS213" s="3"/>
      <c r="UIT213" s="3"/>
      <c r="UIU213" s="3"/>
      <c r="UIV213" s="3"/>
      <c r="UIW213" s="3"/>
      <c r="UIX213" s="3"/>
      <c r="UIY213" s="3"/>
      <c r="UIZ213" s="3"/>
      <c r="UJA213" s="3"/>
      <c r="UJB213" s="3"/>
      <c r="UJC213" s="3"/>
      <c r="UJD213" s="3"/>
      <c r="UJE213" s="3"/>
      <c r="UJF213" s="3"/>
      <c r="UJG213" s="3"/>
      <c r="UJH213" s="3"/>
      <c r="UJI213" s="3"/>
      <c r="UJJ213" s="3"/>
      <c r="UJK213" s="3"/>
      <c r="UJL213" s="3"/>
      <c r="UJM213" s="3"/>
      <c r="UJN213" s="3"/>
      <c r="UJO213" s="3"/>
      <c r="UJP213" s="3"/>
      <c r="UJQ213" s="3"/>
      <c r="UJR213" s="3"/>
      <c r="UJS213" s="3"/>
      <c r="UJT213" s="3"/>
      <c r="UJU213" s="3"/>
      <c r="UJV213" s="3"/>
      <c r="UJW213" s="3"/>
      <c r="UJX213" s="3"/>
      <c r="UJY213" s="3"/>
      <c r="UJZ213" s="3"/>
      <c r="UKA213" s="3"/>
      <c r="UKB213" s="3"/>
      <c r="UKC213" s="3"/>
      <c r="UKD213" s="3"/>
      <c r="UKE213" s="3"/>
      <c r="UKF213" s="3"/>
      <c r="UKG213" s="3"/>
      <c r="UKH213" s="3"/>
      <c r="UKI213" s="3"/>
      <c r="UKJ213" s="3"/>
      <c r="UKK213" s="3"/>
      <c r="UKL213" s="3"/>
      <c r="UKM213" s="3"/>
      <c r="UKN213" s="3"/>
      <c r="UKO213" s="3"/>
      <c r="UKP213" s="3"/>
      <c r="UKQ213" s="3"/>
      <c r="UKR213" s="3"/>
      <c r="UKS213" s="3"/>
      <c r="UKT213" s="3"/>
      <c r="UKU213" s="3"/>
      <c r="UKV213" s="3"/>
      <c r="UKW213" s="3"/>
      <c r="UKX213" s="3"/>
      <c r="UKY213" s="3"/>
      <c r="UKZ213" s="3"/>
      <c r="ULA213" s="3"/>
      <c r="ULB213" s="3"/>
      <c r="ULC213" s="3"/>
      <c r="ULD213" s="3"/>
      <c r="ULE213" s="3"/>
      <c r="ULF213" s="3"/>
      <c r="ULG213" s="3"/>
      <c r="ULH213" s="3"/>
      <c r="ULI213" s="3"/>
      <c r="ULJ213" s="3"/>
      <c r="ULK213" s="3"/>
      <c r="ULL213" s="3"/>
      <c r="ULM213" s="3"/>
      <c r="ULN213" s="3"/>
      <c r="ULO213" s="3"/>
      <c r="ULP213" s="3"/>
      <c r="ULQ213" s="3"/>
      <c r="ULR213" s="3"/>
      <c r="ULS213" s="3"/>
      <c r="ULT213" s="3"/>
      <c r="ULU213" s="3"/>
      <c r="ULV213" s="3"/>
      <c r="ULW213" s="3"/>
      <c r="ULX213" s="3"/>
      <c r="ULY213" s="3"/>
      <c r="ULZ213" s="3"/>
      <c r="UMA213" s="3"/>
      <c r="UMB213" s="3"/>
      <c r="UMC213" s="3"/>
      <c r="UMD213" s="3"/>
      <c r="UME213" s="3"/>
      <c r="UMF213" s="3"/>
      <c r="UMG213" s="3"/>
      <c r="UMH213" s="3"/>
      <c r="UMI213" s="3"/>
      <c r="UMJ213" s="3"/>
      <c r="UMK213" s="3"/>
      <c r="UML213" s="3"/>
      <c r="UMM213" s="3"/>
      <c r="UMN213" s="3"/>
      <c r="UMO213" s="3"/>
      <c r="UMP213" s="3"/>
      <c r="UMQ213" s="3"/>
      <c r="UMR213" s="3"/>
      <c r="UMS213" s="3"/>
      <c r="UMT213" s="3"/>
      <c r="UMU213" s="3"/>
      <c r="UMV213" s="3"/>
      <c r="UMW213" s="3"/>
      <c r="UMX213" s="3"/>
      <c r="UMY213" s="3"/>
      <c r="UMZ213" s="3"/>
      <c r="UNA213" s="3"/>
      <c r="UNB213" s="3"/>
      <c r="UNC213" s="3"/>
      <c r="UND213" s="3"/>
      <c r="UNE213" s="3"/>
      <c r="UNF213" s="3"/>
      <c r="UNG213" s="3"/>
      <c r="UNH213" s="3"/>
      <c r="UNI213" s="3"/>
      <c r="UNJ213" s="3"/>
      <c r="UNK213" s="3"/>
      <c r="UNL213" s="3"/>
      <c r="UNM213" s="3"/>
      <c r="UNN213" s="3"/>
      <c r="UNO213" s="3"/>
      <c r="UNP213" s="3"/>
      <c r="UNQ213" s="3"/>
      <c r="UNR213" s="3"/>
      <c r="UNS213" s="3"/>
      <c r="UNT213" s="3"/>
      <c r="UNU213" s="3"/>
      <c r="UNV213" s="3"/>
      <c r="UNW213" s="3"/>
      <c r="UNX213" s="3"/>
      <c r="UNY213" s="3"/>
      <c r="UNZ213" s="3"/>
      <c r="UOA213" s="3"/>
      <c r="UOB213" s="3"/>
      <c r="UOC213" s="3"/>
      <c r="UOD213" s="3"/>
      <c r="UOE213" s="3"/>
      <c r="UOF213" s="3"/>
      <c r="UOG213" s="3"/>
      <c r="UOH213" s="3"/>
      <c r="UOI213" s="3"/>
      <c r="UOJ213" s="3"/>
      <c r="UOK213" s="3"/>
      <c r="UOL213" s="3"/>
      <c r="UOM213" s="3"/>
      <c r="UON213" s="3"/>
      <c r="UOO213" s="3"/>
      <c r="UOP213" s="3"/>
      <c r="UOQ213" s="3"/>
      <c r="UOR213" s="3"/>
      <c r="UOS213" s="3"/>
      <c r="UOT213" s="3"/>
      <c r="UOU213" s="3"/>
      <c r="UOV213" s="3"/>
      <c r="UOW213" s="3"/>
      <c r="UOX213" s="3"/>
      <c r="UOY213" s="3"/>
      <c r="UOZ213" s="3"/>
      <c r="UPA213" s="3"/>
      <c r="UPB213" s="3"/>
      <c r="UPC213" s="3"/>
      <c r="UPD213" s="3"/>
      <c r="UPE213" s="3"/>
      <c r="UPF213" s="3"/>
      <c r="UPG213" s="3"/>
      <c r="UPH213" s="3"/>
      <c r="UPI213" s="3"/>
      <c r="UPJ213" s="3"/>
      <c r="UPK213" s="3"/>
      <c r="UPL213" s="3"/>
      <c r="UPM213" s="3"/>
      <c r="UPN213" s="3"/>
      <c r="UPO213" s="3"/>
      <c r="UPP213" s="3"/>
      <c r="UPQ213" s="3"/>
      <c r="UPR213" s="3"/>
      <c r="UPS213" s="3"/>
      <c r="UPT213" s="3"/>
      <c r="UPU213" s="3"/>
      <c r="UPV213" s="3"/>
      <c r="UPW213" s="3"/>
      <c r="UPX213" s="3"/>
      <c r="UPY213" s="3"/>
      <c r="UPZ213" s="3"/>
      <c r="UQA213" s="3"/>
      <c r="UQB213" s="3"/>
      <c r="UQC213" s="3"/>
      <c r="UQD213" s="3"/>
      <c r="UQE213" s="3"/>
      <c r="UQF213" s="3"/>
      <c r="UQG213" s="3"/>
      <c r="UQH213" s="3"/>
      <c r="UQI213" s="3"/>
      <c r="UQJ213" s="3"/>
      <c r="UQK213" s="3"/>
      <c r="UQL213" s="3"/>
      <c r="UQM213" s="3"/>
      <c r="UQN213" s="3"/>
      <c r="UQO213" s="3"/>
      <c r="UQP213" s="3"/>
      <c r="UQQ213" s="3"/>
      <c r="UQR213" s="3"/>
      <c r="UQS213" s="3"/>
      <c r="UQT213" s="3"/>
      <c r="UQU213" s="3"/>
      <c r="UQV213" s="3"/>
      <c r="UQW213" s="3"/>
      <c r="UQX213" s="3"/>
      <c r="UQY213" s="3"/>
      <c r="UQZ213" s="3"/>
      <c r="URA213" s="3"/>
      <c r="URB213" s="3"/>
      <c r="URC213" s="3"/>
      <c r="URD213" s="3"/>
      <c r="URE213" s="3"/>
      <c r="URF213" s="3"/>
      <c r="URG213" s="3"/>
      <c r="URH213" s="3"/>
      <c r="URI213" s="3"/>
      <c r="URJ213" s="3"/>
      <c r="URK213" s="3"/>
      <c r="URL213" s="3"/>
      <c r="URM213" s="3"/>
      <c r="URN213" s="3"/>
      <c r="URO213" s="3"/>
      <c r="URP213" s="3"/>
      <c r="URQ213" s="3"/>
      <c r="URR213" s="3"/>
      <c r="URS213" s="3"/>
      <c r="URT213" s="3"/>
      <c r="URU213" s="3"/>
      <c r="URV213" s="3"/>
      <c r="URW213" s="3"/>
      <c r="URX213" s="3"/>
      <c r="URY213" s="3"/>
      <c r="URZ213" s="3"/>
      <c r="USA213" s="3"/>
      <c r="USB213" s="3"/>
      <c r="USC213" s="3"/>
      <c r="USD213" s="3"/>
      <c r="USE213" s="3"/>
      <c r="USF213" s="3"/>
      <c r="USG213" s="3"/>
      <c r="USH213" s="3"/>
      <c r="USI213" s="3"/>
      <c r="USJ213" s="3"/>
      <c r="USK213" s="3"/>
      <c r="USL213" s="3"/>
      <c r="USM213" s="3"/>
      <c r="USN213" s="3"/>
      <c r="USO213" s="3"/>
      <c r="USP213" s="3"/>
      <c r="USQ213" s="3"/>
      <c r="USR213" s="3"/>
      <c r="USS213" s="3"/>
      <c r="UST213" s="3"/>
      <c r="USU213" s="3"/>
      <c r="USV213" s="3"/>
      <c r="USW213" s="3"/>
      <c r="USX213" s="3"/>
      <c r="USY213" s="3"/>
      <c r="USZ213" s="3"/>
      <c r="UTA213" s="3"/>
      <c r="UTB213" s="3"/>
      <c r="UTC213" s="3"/>
      <c r="UTD213" s="3"/>
      <c r="UTE213" s="3"/>
      <c r="UTF213" s="3"/>
      <c r="UTG213" s="3"/>
      <c r="UTH213" s="3"/>
      <c r="UTI213" s="3"/>
      <c r="UTJ213" s="3"/>
      <c r="UTK213" s="3"/>
      <c r="UTL213" s="3"/>
      <c r="UTM213" s="3"/>
      <c r="UTN213" s="3"/>
      <c r="UTO213" s="3"/>
      <c r="UTP213" s="3"/>
      <c r="UTQ213" s="3"/>
      <c r="UTR213" s="3"/>
      <c r="UTS213" s="3"/>
      <c r="UTT213" s="3"/>
      <c r="UTU213" s="3"/>
      <c r="UTV213" s="3"/>
      <c r="UTW213" s="3"/>
      <c r="UTX213" s="3"/>
      <c r="UTY213" s="3"/>
      <c r="UTZ213" s="3"/>
      <c r="UUA213" s="3"/>
      <c r="UUB213" s="3"/>
      <c r="UUC213" s="3"/>
      <c r="UUD213" s="3"/>
      <c r="UUE213" s="3"/>
      <c r="UUF213" s="3"/>
      <c r="UUG213" s="3"/>
      <c r="UUH213" s="3"/>
      <c r="UUI213" s="3"/>
      <c r="UUJ213" s="3"/>
      <c r="UUK213" s="3"/>
      <c r="UUL213" s="3"/>
      <c r="UUM213" s="3"/>
      <c r="UUN213" s="3"/>
      <c r="UUO213" s="3"/>
      <c r="UUP213" s="3"/>
      <c r="UUQ213" s="3"/>
      <c r="UUR213" s="3"/>
      <c r="UUS213" s="3"/>
      <c r="UUT213" s="3"/>
      <c r="UUU213" s="3"/>
      <c r="UUV213" s="3"/>
      <c r="UUW213" s="3"/>
      <c r="UUX213" s="3"/>
      <c r="UUY213" s="3"/>
      <c r="UUZ213" s="3"/>
      <c r="UVA213" s="3"/>
      <c r="UVB213" s="3"/>
      <c r="UVC213" s="3"/>
      <c r="UVD213" s="3"/>
      <c r="UVE213" s="3"/>
      <c r="UVF213" s="3"/>
      <c r="UVG213" s="3"/>
      <c r="UVH213" s="3"/>
      <c r="UVI213" s="3"/>
      <c r="UVJ213" s="3"/>
      <c r="UVK213" s="3"/>
      <c r="UVL213" s="3"/>
      <c r="UVM213" s="3"/>
      <c r="UVN213" s="3"/>
      <c r="UVO213" s="3"/>
      <c r="UVP213" s="3"/>
      <c r="UVQ213" s="3"/>
      <c r="UVR213" s="3"/>
      <c r="UVS213" s="3"/>
      <c r="UVT213" s="3"/>
      <c r="UVU213" s="3"/>
      <c r="UVV213" s="3"/>
      <c r="UVW213" s="3"/>
      <c r="UVX213" s="3"/>
      <c r="UVY213" s="3"/>
      <c r="UVZ213" s="3"/>
      <c r="UWA213" s="3"/>
      <c r="UWB213" s="3"/>
      <c r="UWC213" s="3"/>
      <c r="UWD213" s="3"/>
      <c r="UWE213" s="3"/>
      <c r="UWF213" s="3"/>
      <c r="UWG213" s="3"/>
      <c r="UWH213" s="3"/>
      <c r="UWI213" s="3"/>
      <c r="UWJ213" s="3"/>
      <c r="UWK213" s="3"/>
      <c r="UWL213" s="3"/>
      <c r="UWM213" s="3"/>
      <c r="UWN213" s="3"/>
      <c r="UWO213" s="3"/>
      <c r="UWP213" s="3"/>
      <c r="UWQ213" s="3"/>
      <c r="UWR213" s="3"/>
      <c r="UWS213" s="3"/>
      <c r="UWT213" s="3"/>
      <c r="UWU213" s="3"/>
      <c r="UWV213" s="3"/>
      <c r="UWW213" s="3"/>
      <c r="UWX213" s="3"/>
      <c r="UWY213" s="3"/>
      <c r="UWZ213" s="3"/>
      <c r="UXA213" s="3"/>
      <c r="UXB213" s="3"/>
      <c r="UXC213" s="3"/>
      <c r="UXD213" s="3"/>
      <c r="UXE213" s="3"/>
      <c r="UXF213" s="3"/>
      <c r="UXG213" s="3"/>
      <c r="UXH213" s="3"/>
      <c r="UXI213" s="3"/>
      <c r="UXJ213" s="3"/>
      <c r="UXK213" s="3"/>
      <c r="UXL213" s="3"/>
      <c r="UXM213" s="3"/>
      <c r="UXN213" s="3"/>
      <c r="UXO213" s="3"/>
      <c r="UXP213" s="3"/>
      <c r="UXQ213" s="3"/>
      <c r="UXR213" s="3"/>
      <c r="UXS213" s="3"/>
      <c r="UXT213" s="3"/>
      <c r="UXU213" s="3"/>
      <c r="UXV213" s="3"/>
      <c r="UXW213" s="3"/>
      <c r="UXX213" s="3"/>
      <c r="UXY213" s="3"/>
      <c r="UXZ213" s="3"/>
      <c r="UYA213" s="3"/>
      <c r="UYB213" s="3"/>
      <c r="UYC213" s="3"/>
      <c r="UYD213" s="3"/>
      <c r="UYE213" s="3"/>
      <c r="UYF213" s="3"/>
      <c r="UYG213" s="3"/>
      <c r="UYH213" s="3"/>
      <c r="UYI213" s="3"/>
      <c r="UYJ213" s="3"/>
      <c r="UYK213" s="3"/>
      <c r="UYL213" s="3"/>
      <c r="UYM213" s="3"/>
      <c r="UYN213" s="3"/>
      <c r="UYO213" s="3"/>
      <c r="UYP213" s="3"/>
      <c r="UYQ213" s="3"/>
      <c r="UYR213" s="3"/>
      <c r="UYS213" s="3"/>
      <c r="UYT213" s="3"/>
      <c r="UYU213" s="3"/>
      <c r="UYV213" s="3"/>
      <c r="UYW213" s="3"/>
      <c r="UYX213" s="3"/>
      <c r="UYY213" s="3"/>
      <c r="UYZ213" s="3"/>
      <c r="UZA213" s="3"/>
      <c r="UZB213" s="3"/>
      <c r="UZC213" s="3"/>
      <c r="UZD213" s="3"/>
      <c r="UZE213" s="3"/>
      <c r="UZF213" s="3"/>
      <c r="UZG213" s="3"/>
      <c r="UZH213" s="3"/>
      <c r="UZI213" s="3"/>
      <c r="UZJ213" s="3"/>
      <c r="UZK213" s="3"/>
      <c r="UZL213" s="3"/>
      <c r="UZM213" s="3"/>
      <c r="UZN213" s="3"/>
      <c r="UZO213" s="3"/>
      <c r="UZP213" s="3"/>
      <c r="UZQ213" s="3"/>
      <c r="UZR213" s="3"/>
      <c r="UZS213" s="3"/>
      <c r="UZT213" s="3"/>
      <c r="UZU213" s="3"/>
      <c r="UZV213" s="3"/>
      <c r="UZW213" s="3"/>
      <c r="UZX213" s="3"/>
      <c r="UZY213" s="3"/>
      <c r="UZZ213" s="3"/>
      <c r="VAA213" s="3"/>
      <c r="VAB213" s="3"/>
      <c r="VAC213" s="3"/>
      <c r="VAD213" s="3"/>
      <c r="VAE213" s="3"/>
      <c r="VAF213" s="3"/>
      <c r="VAG213" s="3"/>
      <c r="VAH213" s="3"/>
      <c r="VAI213" s="3"/>
      <c r="VAJ213" s="3"/>
      <c r="VAK213" s="3"/>
      <c r="VAL213" s="3"/>
      <c r="VAM213" s="3"/>
      <c r="VAN213" s="3"/>
      <c r="VAO213" s="3"/>
      <c r="VAP213" s="3"/>
      <c r="VAQ213" s="3"/>
      <c r="VAR213" s="3"/>
      <c r="VAS213" s="3"/>
      <c r="VAT213" s="3"/>
      <c r="VAU213" s="3"/>
      <c r="VAV213" s="3"/>
      <c r="VAW213" s="3"/>
      <c r="VAX213" s="3"/>
      <c r="VAY213" s="3"/>
      <c r="VAZ213" s="3"/>
      <c r="VBA213" s="3"/>
      <c r="VBB213" s="3"/>
      <c r="VBC213" s="3"/>
      <c r="VBD213" s="3"/>
      <c r="VBE213" s="3"/>
      <c r="VBF213" s="3"/>
      <c r="VBG213" s="3"/>
      <c r="VBH213" s="3"/>
      <c r="VBI213" s="3"/>
      <c r="VBJ213" s="3"/>
      <c r="VBK213" s="3"/>
      <c r="VBL213" s="3"/>
      <c r="VBM213" s="3"/>
      <c r="VBN213" s="3"/>
      <c r="VBO213" s="3"/>
      <c r="VBP213" s="3"/>
      <c r="VBQ213" s="3"/>
      <c r="VBR213" s="3"/>
      <c r="VBS213" s="3"/>
      <c r="VBT213" s="3"/>
      <c r="VBU213" s="3"/>
      <c r="VBV213" s="3"/>
      <c r="VBW213" s="3"/>
      <c r="VBX213" s="3"/>
      <c r="VBY213" s="3"/>
      <c r="VBZ213" s="3"/>
      <c r="VCA213" s="3"/>
      <c r="VCB213" s="3"/>
      <c r="VCC213" s="3"/>
      <c r="VCD213" s="3"/>
      <c r="VCE213" s="3"/>
      <c r="VCF213" s="3"/>
      <c r="VCG213" s="3"/>
      <c r="VCH213" s="3"/>
      <c r="VCI213" s="3"/>
      <c r="VCJ213" s="3"/>
      <c r="VCK213" s="3"/>
      <c r="VCL213" s="3"/>
      <c r="VCM213" s="3"/>
      <c r="VCN213" s="3"/>
      <c r="VCO213" s="3"/>
      <c r="VCP213" s="3"/>
      <c r="VCQ213" s="3"/>
      <c r="VCR213" s="3"/>
      <c r="VCS213" s="3"/>
      <c r="VCT213" s="3"/>
      <c r="VCU213" s="3"/>
      <c r="VCV213" s="3"/>
      <c r="VCW213" s="3"/>
      <c r="VCX213" s="3"/>
      <c r="VCY213" s="3"/>
      <c r="VCZ213" s="3"/>
      <c r="VDA213" s="3"/>
      <c r="VDB213" s="3"/>
      <c r="VDC213" s="3"/>
      <c r="VDD213" s="3"/>
      <c r="VDE213" s="3"/>
      <c r="VDF213" s="3"/>
      <c r="VDG213" s="3"/>
      <c r="VDH213" s="3"/>
      <c r="VDI213" s="3"/>
      <c r="VDJ213" s="3"/>
      <c r="VDK213" s="3"/>
      <c r="VDL213" s="3"/>
      <c r="VDM213" s="3"/>
      <c r="VDN213" s="3"/>
      <c r="VDO213" s="3"/>
      <c r="VDP213" s="3"/>
      <c r="VDQ213" s="3"/>
      <c r="VDR213" s="3"/>
      <c r="VDS213" s="3"/>
      <c r="VDT213" s="3"/>
      <c r="VDU213" s="3"/>
      <c r="VDV213" s="3"/>
      <c r="VDW213" s="3"/>
      <c r="VDX213" s="3"/>
      <c r="VDY213" s="3"/>
      <c r="VDZ213" s="3"/>
      <c r="VEA213" s="3"/>
      <c r="VEB213" s="3"/>
      <c r="VEC213" s="3"/>
      <c r="VED213" s="3"/>
      <c r="VEE213" s="3"/>
      <c r="VEF213" s="3"/>
      <c r="VEG213" s="3"/>
      <c r="VEH213" s="3"/>
      <c r="VEI213" s="3"/>
      <c r="VEJ213" s="3"/>
      <c r="VEK213" s="3"/>
      <c r="VEL213" s="3"/>
      <c r="VEM213" s="3"/>
      <c r="VEN213" s="3"/>
      <c r="VEO213" s="3"/>
      <c r="VEP213" s="3"/>
      <c r="VEQ213" s="3"/>
      <c r="VER213" s="3"/>
      <c r="VES213" s="3"/>
      <c r="VET213" s="3"/>
      <c r="VEU213" s="3"/>
      <c r="VEV213" s="3"/>
      <c r="VEW213" s="3"/>
      <c r="VEX213" s="3"/>
      <c r="VEY213" s="3"/>
      <c r="VEZ213" s="3"/>
      <c r="VFA213" s="3"/>
      <c r="VFB213" s="3"/>
      <c r="VFC213" s="3"/>
      <c r="VFD213" s="3"/>
      <c r="VFE213" s="3"/>
      <c r="VFF213" s="3"/>
      <c r="VFG213" s="3"/>
      <c r="VFH213" s="3"/>
      <c r="VFI213" s="3"/>
      <c r="VFJ213" s="3"/>
      <c r="VFK213" s="3"/>
      <c r="VFL213" s="3"/>
      <c r="VFM213" s="3"/>
      <c r="VFN213" s="3"/>
      <c r="VFO213" s="3"/>
      <c r="VFP213" s="3"/>
      <c r="VFQ213" s="3"/>
      <c r="VFR213" s="3"/>
      <c r="VFS213" s="3"/>
      <c r="VFT213" s="3"/>
      <c r="VFU213" s="3"/>
      <c r="VFV213" s="3"/>
      <c r="VFW213" s="3"/>
      <c r="VFX213" s="3"/>
      <c r="VFY213" s="3"/>
      <c r="VFZ213" s="3"/>
      <c r="VGA213" s="3"/>
      <c r="VGB213" s="3"/>
      <c r="VGC213" s="3"/>
      <c r="VGD213" s="3"/>
      <c r="VGE213" s="3"/>
      <c r="VGF213" s="3"/>
      <c r="VGG213" s="3"/>
      <c r="VGH213" s="3"/>
      <c r="VGI213" s="3"/>
      <c r="VGJ213" s="3"/>
      <c r="VGK213" s="3"/>
      <c r="VGL213" s="3"/>
      <c r="VGM213" s="3"/>
      <c r="VGN213" s="3"/>
      <c r="VGO213" s="3"/>
      <c r="VGP213" s="3"/>
      <c r="VGQ213" s="3"/>
      <c r="VGR213" s="3"/>
      <c r="VGS213" s="3"/>
      <c r="VGT213" s="3"/>
      <c r="VGU213" s="3"/>
      <c r="VGV213" s="3"/>
      <c r="VGW213" s="3"/>
      <c r="VGX213" s="3"/>
      <c r="VGY213" s="3"/>
      <c r="VGZ213" s="3"/>
      <c r="VHA213" s="3"/>
      <c r="VHB213" s="3"/>
      <c r="VHC213" s="3"/>
      <c r="VHD213" s="3"/>
      <c r="VHE213" s="3"/>
      <c r="VHF213" s="3"/>
      <c r="VHG213" s="3"/>
      <c r="VHH213" s="3"/>
      <c r="VHI213" s="3"/>
      <c r="VHJ213" s="3"/>
      <c r="VHK213" s="3"/>
      <c r="VHL213" s="3"/>
      <c r="VHM213" s="3"/>
      <c r="VHN213" s="3"/>
      <c r="VHO213" s="3"/>
      <c r="VHP213" s="3"/>
      <c r="VHQ213" s="3"/>
      <c r="VHR213" s="3"/>
      <c r="VHS213" s="3"/>
      <c r="VHT213" s="3"/>
      <c r="VHU213" s="3"/>
      <c r="VHV213" s="3"/>
      <c r="VHW213" s="3"/>
      <c r="VHX213" s="3"/>
      <c r="VHY213" s="3"/>
      <c r="VHZ213" s="3"/>
      <c r="VIA213" s="3"/>
      <c r="VIB213" s="3"/>
      <c r="VIC213" s="3"/>
      <c r="VID213" s="3"/>
      <c r="VIE213" s="3"/>
      <c r="VIF213" s="3"/>
      <c r="VIG213" s="3"/>
      <c r="VIH213" s="3"/>
      <c r="VII213" s="3"/>
      <c r="VIJ213" s="3"/>
      <c r="VIK213" s="3"/>
      <c r="VIL213" s="3"/>
      <c r="VIM213" s="3"/>
      <c r="VIN213" s="3"/>
      <c r="VIO213" s="3"/>
      <c r="VIP213" s="3"/>
      <c r="VIQ213" s="3"/>
      <c r="VIR213" s="3"/>
      <c r="VIS213" s="3"/>
      <c r="VIT213" s="3"/>
      <c r="VIU213" s="3"/>
      <c r="VIV213" s="3"/>
      <c r="VIW213" s="3"/>
      <c r="VIX213" s="3"/>
      <c r="VIY213" s="3"/>
      <c r="VIZ213" s="3"/>
      <c r="VJA213" s="3"/>
      <c r="VJB213" s="3"/>
      <c r="VJC213" s="3"/>
      <c r="VJD213" s="3"/>
      <c r="VJE213" s="3"/>
      <c r="VJF213" s="3"/>
      <c r="VJG213" s="3"/>
      <c r="VJH213" s="3"/>
      <c r="VJI213" s="3"/>
      <c r="VJJ213" s="3"/>
      <c r="VJK213" s="3"/>
      <c r="VJL213" s="3"/>
      <c r="VJM213" s="3"/>
      <c r="VJN213" s="3"/>
      <c r="VJO213" s="3"/>
      <c r="VJP213" s="3"/>
      <c r="VJQ213" s="3"/>
      <c r="VJR213" s="3"/>
      <c r="VJS213" s="3"/>
      <c r="VJT213" s="3"/>
      <c r="VJU213" s="3"/>
      <c r="VJV213" s="3"/>
      <c r="VJW213" s="3"/>
      <c r="VJX213" s="3"/>
      <c r="VJY213" s="3"/>
      <c r="VJZ213" s="3"/>
      <c r="VKA213" s="3"/>
      <c r="VKB213" s="3"/>
      <c r="VKC213" s="3"/>
      <c r="VKD213" s="3"/>
      <c r="VKE213" s="3"/>
      <c r="VKF213" s="3"/>
      <c r="VKG213" s="3"/>
      <c r="VKH213" s="3"/>
      <c r="VKI213" s="3"/>
      <c r="VKJ213" s="3"/>
      <c r="VKK213" s="3"/>
      <c r="VKL213" s="3"/>
      <c r="VKM213" s="3"/>
      <c r="VKN213" s="3"/>
      <c r="VKO213" s="3"/>
      <c r="VKP213" s="3"/>
      <c r="VKQ213" s="3"/>
      <c r="VKR213" s="3"/>
      <c r="VKS213" s="3"/>
      <c r="VKT213" s="3"/>
      <c r="VKU213" s="3"/>
      <c r="VKV213" s="3"/>
      <c r="VKW213" s="3"/>
      <c r="VKX213" s="3"/>
      <c r="VKY213" s="3"/>
      <c r="VKZ213" s="3"/>
      <c r="VLA213" s="3"/>
      <c r="VLB213" s="3"/>
      <c r="VLC213" s="3"/>
      <c r="VLD213" s="3"/>
      <c r="VLE213" s="3"/>
      <c r="VLF213" s="3"/>
      <c r="VLG213" s="3"/>
      <c r="VLH213" s="3"/>
      <c r="VLI213" s="3"/>
      <c r="VLJ213" s="3"/>
      <c r="VLK213" s="3"/>
      <c r="VLL213" s="3"/>
      <c r="VLM213" s="3"/>
      <c r="VLN213" s="3"/>
      <c r="VLO213" s="3"/>
      <c r="VLP213" s="3"/>
      <c r="VLQ213" s="3"/>
      <c r="VLR213" s="3"/>
      <c r="VLS213" s="3"/>
      <c r="VLT213" s="3"/>
      <c r="VLU213" s="3"/>
      <c r="VLV213" s="3"/>
      <c r="VLW213" s="3"/>
      <c r="VLX213" s="3"/>
      <c r="VLY213" s="3"/>
      <c r="VLZ213" s="3"/>
      <c r="VMA213" s="3"/>
      <c r="VMB213" s="3"/>
      <c r="VMC213" s="3"/>
      <c r="VMD213" s="3"/>
      <c r="VME213" s="3"/>
      <c r="VMF213" s="3"/>
      <c r="VMG213" s="3"/>
      <c r="VMH213" s="3"/>
      <c r="VMI213" s="3"/>
      <c r="VMJ213" s="3"/>
      <c r="VMK213" s="3"/>
      <c r="VML213" s="3"/>
      <c r="VMM213" s="3"/>
      <c r="VMN213" s="3"/>
      <c r="VMO213" s="3"/>
      <c r="VMP213" s="3"/>
      <c r="VMQ213" s="3"/>
      <c r="VMR213" s="3"/>
      <c r="VMS213" s="3"/>
      <c r="VMT213" s="3"/>
      <c r="VMU213" s="3"/>
      <c r="VMV213" s="3"/>
      <c r="VMW213" s="3"/>
      <c r="VMX213" s="3"/>
      <c r="VMY213" s="3"/>
      <c r="VMZ213" s="3"/>
      <c r="VNA213" s="3"/>
      <c r="VNB213" s="3"/>
      <c r="VNC213" s="3"/>
      <c r="VND213" s="3"/>
      <c r="VNE213" s="3"/>
      <c r="VNF213" s="3"/>
      <c r="VNG213" s="3"/>
      <c r="VNH213" s="3"/>
      <c r="VNI213" s="3"/>
      <c r="VNJ213" s="3"/>
      <c r="VNK213" s="3"/>
      <c r="VNL213" s="3"/>
      <c r="VNM213" s="3"/>
      <c r="VNN213" s="3"/>
      <c r="VNO213" s="3"/>
      <c r="VNP213" s="3"/>
      <c r="VNQ213" s="3"/>
      <c r="VNR213" s="3"/>
      <c r="VNS213" s="3"/>
      <c r="VNT213" s="3"/>
      <c r="VNU213" s="3"/>
      <c r="VNV213" s="3"/>
      <c r="VNW213" s="3"/>
      <c r="VNX213" s="3"/>
      <c r="VNY213" s="3"/>
      <c r="VNZ213" s="3"/>
      <c r="VOA213" s="3"/>
      <c r="VOB213" s="3"/>
      <c r="VOC213" s="3"/>
      <c r="VOD213" s="3"/>
      <c r="VOE213" s="3"/>
      <c r="VOF213" s="3"/>
      <c r="VOG213" s="3"/>
      <c r="VOH213" s="3"/>
      <c r="VOI213" s="3"/>
      <c r="VOJ213" s="3"/>
      <c r="VOK213" s="3"/>
      <c r="VOL213" s="3"/>
      <c r="VOM213" s="3"/>
      <c r="VON213" s="3"/>
      <c r="VOO213" s="3"/>
      <c r="VOP213" s="3"/>
      <c r="VOQ213" s="3"/>
      <c r="VOR213" s="3"/>
      <c r="VOS213" s="3"/>
      <c r="VOT213" s="3"/>
      <c r="VOU213" s="3"/>
      <c r="VOV213" s="3"/>
      <c r="VOW213" s="3"/>
      <c r="VOX213" s="3"/>
      <c r="VOY213" s="3"/>
      <c r="VOZ213" s="3"/>
      <c r="VPA213" s="3"/>
      <c r="VPB213" s="3"/>
      <c r="VPC213" s="3"/>
      <c r="VPD213" s="3"/>
      <c r="VPE213" s="3"/>
      <c r="VPF213" s="3"/>
      <c r="VPG213" s="3"/>
      <c r="VPH213" s="3"/>
      <c r="VPI213" s="3"/>
      <c r="VPJ213" s="3"/>
      <c r="VPK213" s="3"/>
      <c r="VPL213" s="3"/>
      <c r="VPM213" s="3"/>
      <c r="VPN213" s="3"/>
      <c r="VPO213" s="3"/>
      <c r="VPP213" s="3"/>
      <c r="VPQ213" s="3"/>
      <c r="VPR213" s="3"/>
      <c r="VPS213" s="3"/>
      <c r="VPT213" s="3"/>
      <c r="VPU213" s="3"/>
      <c r="VPV213" s="3"/>
      <c r="VPW213" s="3"/>
      <c r="VPX213" s="3"/>
      <c r="VPY213" s="3"/>
      <c r="VPZ213" s="3"/>
      <c r="VQA213" s="3"/>
      <c r="VQB213" s="3"/>
      <c r="VQC213" s="3"/>
      <c r="VQD213" s="3"/>
      <c r="VQE213" s="3"/>
      <c r="VQF213" s="3"/>
      <c r="VQG213" s="3"/>
      <c r="VQH213" s="3"/>
      <c r="VQI213" s="3"/>
      <c r="VQJ213" s="3"/>
      <c r="VQK213" s="3"/>
      <c r="VQL213" s="3"/>
      <c r="VQM213" s="3"/>
      <c r="VQN213" s="3"/>
      <c r="VQO213" s="3"/>
      <c r="VQP213" s="3"/>
      <c r="VQQ213" s="3"/>
      <c r="VQR213" s="3"/>
      <c r="VQS213" s="3"/>
      <c r="VQT213" s="3"/>
      <c r="VQU213" s="3"/>
      <c r="VQV213" s="3"/>
      <c r="VQW213" s="3"/>
      <c r="VQX213" s="3"/>
      <c r="VQY213" s="3"/>
      <c r="VQZ213" s="3"/>
      <c r="VRA213" s="3"/>
      <c r="VRB213" s="3"/>
      <c r="VRC213" s="3"/>
      <c r="VRD213" s="3"/>
      <c r="VRE213" s="3"/>
      <c r="VRF213" s="3"/>
      <c r="VRG213" s="3"/>
      <c r="VRH213" s="3"/>
      <c r="VRI213" s="3"/>
      <c r="VRJ213" s="3"/>
      <c r="VRK213" s="3"/>
      <c r="VRL213" s="3"/>
      <c r="VRM213" s="3"/>
      <c r="VRN213" s="3"/>
      <c r="VRO213" s="3"/>
      <c r="VRP213" s="3"/>
      <c r="VRQ213" s="3"/>
      <c r="VRR213" s="3"/>
      <c r="VRS213" s="3"/>
      <c r="VRT213" s="3"/>
      <c r="VRU213" s="3"/>
      <c r="VRV213" s="3"/>
      <c r="VRW213" s="3"/>
      <c r="VRX213" s="3"/>
      <c r="VRY213" s="3"/>
      <c r="VRZ213" s="3"/>
      <c r="VSA213" s="3"/>
      <c r="VSB213" s="3"/>
      <c r="VSC213" s="3"/>
      <c r="VSD213" s="3"/>
      <c r="VSE213" s="3"/>
      <c r="VSF213" s="3"/>
      <c r="VSG213" s="3"/>
      <c r="VSH213" s="3"/>
      <c r="VSI213" s="3"/>
      <c r="VSJ213" s="3"/>
      <c r="VSK213" s="3"/>
      <c r="VSL213" s="3"/>
      <c r="VSM213" s="3"/>
      <c r="VSN213" s="3"/>
      <c r="VSO213" s="3"/>
      <c r="VSP213" s="3"/>
      <c r="VSQ213" s="3"/>
      <c r="VSR213" s="3"/>
      <c r="VSS213" s="3"/>
      <c r="VST213" s="3"/>
      <c r="VSU213" s="3"/>
      <c r="VSV213" s="3"/>
      <c r="VSW213" s="3"/>
      <c r="VSX213" s="3"/>
      <c r="VSY213" s="3"/>
      <c r="VSZ213" s="3"/>
      <c r="VTA213" s="3"/>
      <c r="VTB213" s="3"/>
      <c r="VTC213" s="3"/>
      <c r="VTD213" s="3"/>
      <c r="VTE213" s="3"/>
      <c r="VTF213" s="3"/>
      <c r="VTG213" s="3"/>
      <c r="VTH213" s="3"/>
      <c r="VTI213" s="3"/>
      <c r="VTJ213" s="3"/>
      <c r="VTK213" s="3"/>
      <c r="VTL213" s="3"/>
      <c r="VTM213" s="3"/>
      <c r="VTN213" s="3"/>
      <c r="VTO213" s="3"/>
      <c r="VTP213" s="3"/>
      <c r="VTQ213" s="3"/>
      <c r="VTR213" s="3"/>
      <c r="VTS213" s="3"/>
      <c r="VTT213" s="3"/>
      <c r="VTU213" s="3"/>
      <c r="VTV213" s="3"/>
      <c r="VTW213" s="3"/>
      <c r="VTX213" s="3"/>
      <c r="VTY213" s="3"/>
      <c r="VTZ213" s="3"/>
      <c r="VUA213" s="3"/>
      <c r="VUB213" s="3"/>
      <c r="VUC213" s="3"/>
      <c r="VUD213" s="3"/>
      <c r="VUE213" s="3"/>
      <c r="VUF213" s="3"/>
      <c r="VUG213" s="3"/>
      <c r="VUH213" s="3"/>
      <c r="VUI213" s="3"/>
      <c r="VUJ213" s="3"/>
      <c r="VUK213" s="3"/>
      <c r="VUL213" s="3"/>
      <c r="VUM213" s="3"/>
      <c r="VUN213" s="3"/>
      <c r="VUO213" s="3"/>
      <c r="VUP213" s="3"/>
      <c r="VUQ213" s="3"/>
      <c r="VUR213" s="3"/>
      <c r="VUS213" s="3"/>
      <c r="VUT213" s="3"/>
      <c r="VUU213" s="3"/>
      <c r="VUV213" s="3"/>
      <c r="VUW213" s="3"/>
      <c r="VUX213" s="3"/>
      <c r="VUY213" s="3"/>
      <c r="VUZ213" s="3"/>
      <c r="VVA213" s="3"/>
      <c r="VVB213" s="3"/>
      <c r="VVC213" s="3"/>
      <c r="VVD213" s="3"/>
      <c r="VVE213" s="3"/>
      <c r="VVF213" s="3"/>
      <c r="VVG213" s="3"/>
      <c r="VVH213" s="3"/>
      <c r="VVI213" s="3"/>
      <c r="VVJ213" s="3"/>
      <c r="VVK213" s="3"/>
      <c r="VVL213" s="3"/>
      <c r="VVM213" s="3"/>
      <c r="VVN213" s="3"/>
      <c r="VVO213" s="3"/>
      <c r="VVP213" s="3"/>
      <c r="VVQ213" s="3"/>
      <c r="VVR213" s="3"/>
      <c r="VVS213" s="3"/>
      <c r="VVT213" s="3"/>
      <c r="VVU213" s="3"/>
      <c r="VVV213" s="3"/>
      <c r="VVW213" s="3"/>
      <c r="VVX213" s="3"/>
      <c r="VVY213" s="3"/>
      <c r="VVZ213" s="3"/>
      <c r="VWA213" s="3"/>
      <c r="VWB213" s="3"/>
      <c r="VWC213" s="3"/>
      <c r="VWD213" s="3"/>
      <c r="VWE213" s="3"/>
      <c r="VWF213" s="3"/>
      <c r="VWG213" s="3"/>
      <c r="VWH213" s="3"/>
      <c r="VWI213" s="3"/>
      <c r="VWJ213" s="3"/>
      <c r="VWK213" s="3"/>
      <c r="VWL213" s="3"/>
      <c r="VWM213" s="3"/>
      <c r="VWN213" s="3"/>
      <c r="VWO213" s="3"/>
      <c r="VWP213" s="3"/>
      <c r="VWQ213" s="3"/>
      <c r="VWR213" s="3"/>
      <c r="VWS213" s="3"/>
      <c r="VWT213" s="3"/>
      <c r="VWU213" s="3"/>
      <c r="VWV213" s="3"/>
      <c r="VWW213" s="3"/>
      <c r="VWX213" s="3"/>
      <c r="VWY213" s="3"/>
      <c r="VWZ213" s="3"/>
      <c r="VXA213" s="3"/>
      <c r="VXB213" s="3"/>
      <c r="VXC213" s="3"/>
      <c r="VXD213" s="3"/>
      <c r="VXE213" s="3"/>
      <c r="VXF213" s="3"/>
      <c r="VXG213" s="3"/>
      <c r="VXH213" s="3"/>
      <c r="VXI213" s="3"/>
      <c r="VXJ213" s="3"/>
      <c r="VXK213" s="3"/>
      <c r="VXL213" s="3"/>
      <c r="VXM213" s="3"/>
      <c r="VXN213" s="3"/>
      <c r="VXO213" s="3"/>
      <c r="VXP213" s="3"/>
      <c r="VXQ213" s="3"/>
      <c r="VXR213" s="3"/>
      <c r="VXS213" s="3"/>
      <c r="VXT213" s="3"/>
      <c r="VXU213" s="3"/>
      <c r="VXV213" s="3"/>
      <c r="VXW213" s="3"/>
      <c r="VXX213" s="3"/>
      <c r="VXY213" s="3"/>
      <c r="VXZ213" s="3"/>
      <c r="VYA213" s="3"/>
      <c r="VYB213" s="3"/>
      <c r="VYC213" s="3"/>
      <c r="VYD213" s="3"/>
      <c r="VYE213" s="3"/>
      <c r="VYF213" s="3"/>
      <c r="VYG213" s="3"/>
      <c r="VYH213" s="3"/>
      <c r="VYI213" s="3"/>
      <c r="VYJ213" s="3"/>
      <c r="VYK213" s="3"/>
      <c r="VYL213" s="3"/>
      <c r="VYM213" s="3"/>
      <c r="VYN213" s="3"/>
      <c r="VYO213" s="3"/>
      <c r="VYP213" s="3"/>
      <c r="VYQ213" s="3"/>
      <c r="VYR213" s="3"/>
      <c r="VYS213" s="3"/>
      <c r="VYT213" s="3"/>
      <c r="VYU213" s="3"/>
      <c r="VYV213" s="3"/>
      <c r="VYW213" s="3"/>
      <c r="VYX213" s="3"/>
      <c r="VYY213" s="3"/>
      <c r="VYZ213" s="3"/>
      <c r="VZA213" s="3"/>
      <c r="VZB213" s="3"/>
      <c r="VZC213" s="3"/>
      <c r="VZD213" s="3"/>
      <c r="VZE213" s="3"/>
      <c r="VZF213" s="3"/>
      <c r="VZG213" s="3"/>
      <c r="VZH213" s="3"/>
      <c r="VZI213" s="3"/>
      <c r="VZJ213" s="3"/>
      <c r="VZK213" s="3"/>
      <c r="VZL213" s="3"/>
      <c r="VZM213" s="3"/>
      <c r="VZN213" s="3"/>
      <c r="VZO213" s="3"/>
      <c r="VZP213" s="3"/>
      <c r="VZQ213" s="3"/>
      <c r="VZR213" s="3"/>
      <c r="VZS213" s="3"/>
      <c r="VZT213" s="3"/>
      <c r="VZU213" s="3"/>
      <c r="VZV213" s="3"/>
      <c r="VZW213" s="3"/>
      <c r="VZX213" s="3"/>
      <c r="VZY213" s="3"/>
      <c r="VZZ213" s="3"/>
      <c r="WAA213" s="3"/>
      <c r="WAB213" s="3"/>
      <c r="WAC213" s="3"/>
      <c r="WAD213" s="3"/>
      <c r="WAE213" s="3"/>
      <c r="WAF213" s="3"/>
      <c r="WAG213" s="3"/>
      <c r="WAH213" s="3"/>
      <c r="WAI213" s="3"/>
      <c r="WAJ213" s="3"/>
      <c r="WAK213" s="3"/>
      <c r="WAL213" s="3"/>
      <c r="WAM213" s="3"/>
      <c r="WAN213" s="3"/>
      <c r="WAO213" s="3"/>
      <c r="WAP213" s="3"/>
      <c r="WAQ213" s="3"/>
      <c r="WAR213" s="3"/>
      <c r="WAS213" s="3"/>
      <c r="WAT213" s="3"/>
      <c r="WAU213" s="3"/>
      <c r="WAV213" s="3"/>
      <c r="WAW213" s="3"/>
      <c r="WAX213" s="3"/>
      <c r="WAY213" s="3"/>
      <c r="WAZ213" s="3"/>
      <c r="WBA213" s="3"/>
      <c r="WBB213" s="3"/>
      <c r="WBC213" s="3"/>
      <c r="WBD213" s="3"/>
      <c r="WBE213" s="3"/>
      <c r="WBF213" s="3"/>
      <c r="WBG213" s="3"/>
      <c r="WBH213" s="3"/>
      <c r="WBI213" s="3"/>
      <c r="WBJ213" s="3"/>
      <c r="WBK213" s="3"/>
      <c r="WBL213" s="3"/>
      <c r="WBM213" s="3"/>
      <c r="WBN213" s="3"/>
      <c r="WBO213" s="3"/>
      <c r="WBP213" s="3"/>
      <c r="WBQ213" s="3"/>
      <c r="WBR213" s="3"/>
      <c r="WBS213" s="3"/>
      <c r="WBT213" s="3"/>
      <c r="WBU213" s="3"/>
      <c r="WBV213" s="3"/>
      <c r="WBW213" s="3"/>
      <c r="WBX213" s="3"/>
      <c r="WBY213" s="3"/>
      <c r="WBZ213" s="3"/>
      <c r="WCA213" s="3"/>
      <c r="WCB213" s="3"/>
      <c r="WCC213" s="3"/>
      <c r="WCD213" s="3"/>
      <c r="WCE213" s="3"/>
      <c r="WCF213" s="3"/>
      <c r="WCG213" s="3"/>
      <c r="WCH213" s="3"/>
      <c r="WCI213" s="3"/>
      <c r="WCJ213" s="3"/>
      <c r="WCK213" s="3"/>
      <c r="WCL213" s="3"/>
      <c r="WCM213" s="3"/>
      <c r="WCN213" s="3"/>
      <c r="WCO213" s="3"/>
      <c r="WCP213" s="3"/>
      <c r="WCQ213" s="3"/>
      <c r="WCR213" s="3"/>
      <c r="WCS213" s="3"/>
      <c r="WCT213" s="3"/>
      <c r="WCU213" s="3"/>
      <c r="WCV213" s="3"/>
      <c r="WCW213" s="3"/>
      <c r="WCX213" s="3"/>
      <c r="WCY213" s="3"/>
      <c r="WCZ213" s="3"/>
      <c r="WDA213" s="3"/>
      <c r="WDB213" s="3"/>
      <c r="WDC213" s="3"/>
      <c r="WDD213" s="3"/>
      <c r="WDE213" s="3"/>
      <c r="WDF213" s="3"/>
      <c r="WDG213" s="3"/>
      <c r="WDH213" s="3"/>
      <c r="WDI213" s="3"/>
      <c r="WDJ213" s="3"/>
      <c r="WDK213" s="3"/>
      <c r="WDL213" s="3"/>
      <c r="WDM213" s="3"/>
      <c r="WDN213" s="3"/>
      <c r="WDO213" s="3"/>
      <c r="WDP213" s="3"/>
      <c r="WDQ213" s="3"/>
      <c r="WDR213" s="3"/>
      <c r="WDS213" s="3"/>
      <c r="WDT213" s="3"/>
      <c r="WDU213" s="3"/>
      <c r="WDV213" s="3"/>
      <c r="WDW213" s="3"/>
      <c r="WDX213" s="3"/>
      <c r="WDY213" s="3"/>
      <c r="WDZ213" s="3"/>
      <c r="WEA213" s="3"/>
      <c r="WEB213" s="3"/>
      <c r="WEC213" s="3"/>
      <c r="WED213" s="3"/>
      <c r="WEE213" s="3"/>
      <c r="WEF213" s="3"/>
      <c r="WEG213" s="3"/>
      <c r="WEH213" s="3"/>
      <c r="WEI213" s="3"/>
      <c r="WEJ213" s="3"/>
      <c r="WEK213" s="3"/>
      <c r="WEL213" s="3"/>
      <c r="WEM213" s="3"/>
      <c r="WEN213" s="3"/>
      <c r="WEO213" s="3"/>
      <c r="WEP213" s="3"/>
      <c r="WEQ213" s="3"/>
      <c r="WER213" s="3"/>
      <c r="WES213" s="3"/>
      <c r="WET213" s="3"/>
      <c r="WEU213" s="3"/>
      <c r="WEV213" s="3"/>
      <c r="WEW213" s="3"/>
      <c r="WEX213" s="3"/>
      <c r="WEY213" s="3"/>
      <c r="WEZ213" s="3"/>
      <c r="WFA213" s="3"/>
      <c r="WFB213" s="3"/>
      <c r="WFC213" s="3"/>
      <c r="WFD213" s="3"/>
      <c r="WFE213" s="3"/>
      <c r="WFF213" s="3"/>
      <c r="WFG213" s="3"/>
      <c r="WFH213" s="3"/>
      <c r="WFI213" s="3"/>
      <c r="WFJ213" s="3"/>
      <c r="WFK213" s="3"/>
      <c r="WFL213" s="3"/>
      <c r="WFM213" s="3"/>
      <c r="WFN213" s="3"/>
      <c r="WFO213" s="3"/>
      <c r="WFP213" s="3"/>
      <c r="WFQ213" s="3"/>
      <c r="WFR213" s="3"/>
      <c r="WFS213" s="3"/>
      <c r="WFT213" s="3"/>
      <c r="WFU213" s="3"/>
      <c r="WFV213" s="3"/>
      <c r="WFW213" s="3"/>
      <c r="WFX213" s="3"/>
      <c r="WFY213" s="3"/>
      <c r="WFZ213" s="3"/>
      <c r="WGA213" s="3"/>
      <c r="WGB213" s="3"/>
      <c r="WGC213" s="3"/>
      <c r="WGD213" s="3"/>
      <c r="WGE213" s="3"/>
      <c r="WGF213" s="3"/>
      <c r="WGG213" s="3"/>
      <c r="WGH213" s="3"/>
      <c r="WGI213" s="3"/>
      <c r="WGJ213" s="3"/>
      <c r="WGK213" s="3"/>
      <c r="WGL213" s="3"/>
      <c r="WGM213" s="3"/>
      <c r="WGN213" s="3"/>
      <c r="WGO213" s="3"/>
      <c r="WGP213" s="3"/>
      <c r="WGQ213" s="3"/>
      <c r="WGR213" s="3"/>
      <c r="WGS213" s="3"/>
      <c r="WGT213" s="3"/>
      <c r="WGU213" s="3"/>
      <c r="WGV213" s="3"/>
      <c r="WGW213" s="3"/>
      <c r="WGX213" s="3"/>
      <c r="WGY213" s="3"/>
      <c r="WGZ213" s="3"/>
      <c r="WHA213" s="3"/>
      <c r="WHB213" s="3"/>
      <c r="WHC213" s="3"/>
      <c r="WHD213" s="3"/>
      <c r="WHE213" s="3"/>
      <c r="WHF213" s="3"/>
      <c r="WHG213" s="3"/>
      <c r="WHH213" s="3"/>
      <c r="WHI213" s="3"/>
      <c r="WHJ213" s="3"/>
      <c r="WHK213" s="3"/>
      <c r="WHL213" s="3"/>
      <c r="WHM213" s="3"/>
      <c r="WHN213" s="3"/>
      <c r="WHO213" s="3"/>
      <c r="WHP213" s="3"/>
      <c r="WHQ213" s="3"/>
      <c r="WHR213" s="3"/>
      <c r="WHS213" s="3"/>
      <c r="WHT213" s="3"/>
      <c r="WHU213" s="3"/>
      <c r="WHV213" s="3"/>
      <c r="WHW213" s="3"/>
      <c r="WHX213" s="3"/>
      <c r="WHY213" s="3"/>
      <c r="WHZ213" s="3"/>
      <c r="WIA213" s="3"/>
      <c r="WIB213" s="3"/>
      <c r="WIC213" s="3"/>
      <c r="WID213" s="3"/>
      <c r="WIE213" s="3"/>
      <c r="WIF213" s="3"/>
      <c r="WIG213" s="3"/>
      <c r="WIH213" s="3"/>
      <c r="WII213" s="3"/>
      <c r="WIJ213" s="3"/>
      <c r="WIK213" s="3"/>
      <c r="WIL213" s="3"/>
      <c r="WIM213" s="3"/>
      <c r="WIN213" s="3"/>
      <c r="WIO213" s="3"/>
      <c r="WIP213" s="3"/>
      <c r="WIQ213" s="3"/>
      <c r="WIR213" s="3"/>
      <c r="WIS213" s="3"/>
      <c r="WIT213" s="3"/>
      <c r="WIU213" s="3"/>
      <c r="WIV213" s="3"/>
      <c r="WIW213" s="3"/>
      <c r="WIX213" s="3"/>
      <c r="WIY213" s="3"/>
      <c r="WIZ213" s="3"/>
      <c r="WJA213" s="3"/>
      <c r="WJB213" s="3"/>
      <c r="WJC213" s="3"/>
      <c r="WJD213" s="3"/>
      <c r="WJE213" s="3"/>
      <c r="WJF213" s="3"/>
      <c r="WJG213" s="3"/>
      <c r="WJH213" s="3"/>
      <c r="WJI213" s="3"/>
      <c r="WJJ213" s="3"/>
      <c r="WJK213" s="3"/>
      <c r="WJL213" s="3"/>
      <c r="WJM213" s="3"/>
      <c r="WJN213" s="3"/>
      <c r="WJO213" s="3"/>
      <c r="WJP213" s="3"/>
      <c r="WJQ213" s="3"/>
      <c r="WJR213" s="3"/>
      <c r="WJS213" s="3"/>
      <c r="WJT213" s="3"/>
      <c r="WJU213" s="3"/>
      <c r="WJV213" s="3"/>
      <c r="WJW213" s="3"/>
      <c r="WJX213" s="3"/>
      <c r="WJY213" s="3"/>
      <c r="WJZ213" s="3"/>
      <c r="WKA213" s="3"/>
      <c r="WKB213" s="3"/>
      <c r="WKC213" s="3"/>
      <c r="WKD213" s="3"/>
      <c r="WKE213" s="3"/>
      <c r="WKF213" s="3"/>
      <c r="WKG213" s="3"/>
      <c r="WKH213" s="3"/>
      <c r="WKI213" s="3"/>
      <c r="WKJ213" s="3"/>
      <c r="WKK213" s="3"/>
      <c r="WKL213" s="3"/>
      <c r="WKM213" s="3"/>
      <c r="WKN213" s="3"/>
      <c r="WKO213" s="3"/>
      <c r="WKP213" s="3"/>
      <c r="WKQ213" s="3"/>
      <c r="WKR213" s="3"/>
      <c r="WKS213" s="3"/>
      <c r="WKT213" s="3"/>
      <c r="WKU213" s="3"/>
      <c r="WKV213" s="3"/>
      <c r="WKW213" s="3"/>
      <c r="WKX213" s="3"/>
      <c r="WKY213" s="3"/>
      <c r="WKZ213" s="3"/>
      <c r="WLA213" s="3"/>
      <c r="WLB213" s="3"/>
      <c r="WLC213" s="3"/>
      <c r="WLD213" s="3"/>
      <c r="WLE213" s="3"/>
      <c r="WLF213" s="3"/>
      <c r="WLG213" s="3"/>
      <c r="WLH213" s="3"/>
      <c r="WLI213" s="3"/>
      <c r="WLJ213" s="3"/>
      <c r="WLK213" s="3"/>
      <c r="WLL213" s="3"/>
      <c r="WLM213" s="3"/>
      <c r="WLN213" s="3"/>
      <c r="WLO213" s="3"/>
      <c r="WLP213" s="3"/>
      <c r="WLQ213" s="3"/>
      <c r="WLR213" s="3"/>
      <c r="WLS213" s="3"/>
      <c r="WLT213" s="3"/>
      <c r="WLU213" s="3"/>
      <c r="WLV213" s="3"/>
      <c r="WLW213" s="3"/>
      <c r="WLX213" s="3"/>
      <c r="WLY213" s="3"/>
      <c r="WLZ213" s="3"/>
      <c r="WMA213" s="3"/>
      <c r="WMB213" s="3"/>
      <c r="WMC213" s="3"/>
      <c r="WMD213" s="3"/>
      <c r="WME213" s="3"/>
      <c r="WMF213" s="3"/>
      <c r="WMG213" s="3"/>
      <c r="WMH213" s="3"/>
      <c r="WMI213" s="3"/>
      <c r="WMJ213" s="3"/>
      <c r="WMK213" s="3"/>
      <c r="WML213" s="3"/>
      <c r="WMM213" s="3"/>
      <c r="WMN213" s="3"/>
      <c r="WMO213" s="3"/>
      <c r="WMP213" s="3"/>
      <c r="WMQ213" s="3"/>
      <c r="WMR213" s="3"/>
      <c r="WMS213" s="3"/>
      <c r="WMT213" s="3"/>
      <c r="WMU213" s="3"/>
      <c r="WMV213" s="3"/>
      <c r="WMW213" s="3"/>
      <c r="WMX213" s="3"/>
      <c r="WMY213" s="3"/>
      <c r="WMZ213" s="3"/>
      <c r="WNA213" s="3"/>
      <c r="WNB213" s="3"/>
      <c r="WNC213" s="3"/>
      <c r="WND213" s="3"/>
      <c r="WNE213" s="3"/>
      <c r="WNF213" s="3"/>
      <c r="WNG213" s="3"/>
      <c r="WNH213" s="3"/>
      <c r="WNI213" s="3"/>
      <c r="WNJ213" s="3"/>
      <c r="WNK213" s="3"/>
      <c r="WNL213" s="3"/>
      <c r="WNM213" s="3"/>
      <c r="WNN213" s="3"/>
      <c r="WNO213" s="3"/>
      <c r="WNP213" s="3"/>
      <c r="WNQ213" s="3"/>
      <c r="WNR213" s="3"/>
      <c r="WNS213" s="3"/>
      <c r="WNT213" s="3"/>
      <c r="WNU213" s="3"/>
      <c r="WNV213" s="3"/>
      <c r="WNW213" s="3"/>
      <c r="WNX213" s="3"/>
      <c r="WNY213" s="3"/>
      <c r="WNZ213" s="3"/>
      <c r="WOA213" s="3"/>
      <c r="WOB213" s="3"/>
      <c r="WOC213" s="3"/>
      <c r="WOD213" s="3"/>
      <c r="WOE213" s="3"/>
      <c r="WOF213" s="3"/>
      <c r="WOG213" s="3"/>
      <c r="WOH213" s="3"/>
      <c r="WOI213" s="3"/>
      <c r="WOJ213" s="3"/>
      <c r="WOK213" s="3"/>
      <c r="WOL213" s="3"/>
      <c r="WOM213" s="3"/>
      <c r="WON213" s="3"/>
      <c r="WOO213" s="3"/>
      <c r="WOP213" s="3"/>
      <c r="WOQ213" s="3"/>
      <c r="WOR213" s="3"/>
      <c r="WOS213" s="3"/>
      <c r="WOT213" s="3"/>
      <c r="WOU213" s="3"/>
      <c r="WOV213" s="3"/>
      <c r="WOW213" s="3"/>
      <c r="WOX213" s="3"/>
      <c r="WOY213" s="3"/>
      <c r="WOZ213" s="3"/>
      <c r="WPA213" s="3"/>
      <c r="WPB213" s="3"/>
      <c r="WPC213" s="3"/>
      <c r="WPD213" s="3"/>
      <c r="WPE213" s="3"/>
      <c r="WPF213" s="3"/>
      <c r="WPG213" s="3"/>
      <c r="WPH213" s="3"/>
      <c r="WPI213" s="3"/>
      <c r="WPJ213" s="3"/>
      <c r="WPK213" s="3"/>
      <c r="WPL213" s="3"/>
      <c r="WPM213" s="3"/>
      <c r="WPN213" s="3"/>
      <c r="WPO213" s="3"/>
      <c r="WPP213" s="3"/>
      <c r="WPQ213" s="3"/>
      <c r="WPR213" s="3"/>
      <c r="WPS213" s="3"/>
      <c r="WPT213" s="3"/>
      <c r="WPU213" s="3"/>
      <c r="WPV213" s="3"/>
      <c r="WPW213" s="3"/>
      <c r="WPX213" s="3"/>
      <c r="WPY213" s="3"/>
      <c r="WPZ213" s="3"/>
      <c r="WQA213" s="3"/>
      <c r="WQB213" s="3"/>
      <c r="WQC213" s="3"/>
      <c r="WQD213" s="3"/>
      <c r="WQE213" s="3"/>
      <c r="WQF213" s="3"/>
      <c r="WQG213" s="3"/>
      <c r="WQH213" s="3"/>
      <c r="WQI213" s="3"/>
      <c r="WQJ213" s="3"/>
      <c r="WQK213" s="3"/>
      <c r="WQL213" s="3"/>
      <c r="WQM213" s="3"/>
      <c r="WQN213" s="3"/>
      <c r="WQO213" s="3"/>
      <c r="WQP213" s="3"/>
      <c r="WQQ213" s="3"/>
      <c r="WQR213" s="3"/>
      <c r="WQS213" s="3"/>
      <c r="WQT213" s="3"/>
      <c r="WQU213" s="3"/>
      <c r="WQV213" s="3"/>
      <c r="WQW213" s="3"/>
      <c r="WQX213" s="3"/>
      <c r="WQY213" s="3"/>
      <c r="WQZ213" s="3"/>
      <c r="WRA213" s="3"/>
      <c r="WRB213" s="3"/>
      <c r="WRC213" s="3"/>
      <c r="WRD213" s="3"/>
      <c r="WRE213" s="3"/>
      <c r="WRF213" s="3"/>
      <c r="WRG213" s="3"/>
      <c r="WRH213" s="3"/>
      <c r="WRI213" s="3"/>
      <c r="WRJ213" s="3"/>
      <c r="WRK213" s="3"/>
      <c r="WRL213" s="3"/>
      <c r="WRM213" s="3"/>
      <c r="WRN213" s="3"/>
      <c r="WRO213" s="3"/>
      <c r="WRP213" s="3"/>
      <c r="WRQ213" s="3"/>
      <c r="WRR213" s="3"/>
      <c r="WRS213" s="3"/>
      <c r="WRT213" s="3"/>
      <c r="WRU213" s="3"/>
      <c r="WRV213" s="3"/>
      <c r="WRW213" s="3"/>
      <c r="WRX213" s="3"/>
      <c r="WRY213" s="3"/>
      <c r="WRZ213" s="3"/>
      <c r="WSA213" s="3"/>
      <c r="WSB213" s="3"/>
      <c r="WSC213" s="3"/>
      <c r="WSD213" s="3"/>
      <c r="WSE213" s="3"/>
      <c r="WSF213" s="3"/>
      <c r="WSG213" s="3"/>
      <c r="WSH213" s="3"/>
      <c r="WSI213" s="3"/>
      <c r="WSJ213" s="3"/>
      <c r="WSK213" s="3"/>
      <c r="WSL213" s="3"/>
      <c r="WSM213" s="3"/>
      <c r="WSN213" s="3"/>
      <c r="WSO213" s="3"/>
      <c r="WSP213" s="3"/>
      <c r="WSQ213" s="3"/>
      <c r="WSR213" s="3"/>
      <c r="WSS213" s="3"/>
      <c r="WST213" s="3"/>
      <c r="WSU213" s="3"/>
      <c r="WSV213" s="3"/>
      <c r="WSW213" s="3"/>
      <c r="WSX213" s="3"/>
      <c r="WSY213" s="3"/>
      <c r="WSZ213" s="3"/>
      <c r="WTA213" s="3"/>
      <c r="WTB213" s="3"/>
      <c r="WTC213" s="3"/>
      <c r="WTD213" s="3"/>
      <c r="WTE213" s="3"/>
      <c r="WTF213" s="3"/>
      <c r="WTG213" s="3"/>
      <c r="WTH213" s="3"/>
      <c r="WTI213" s="3"/>
      <c r="WTJ213" s="3"/>
      <c r="WTK213" s="3"/>
      <c r="WTL213" s="3"/>
      <c r="WTM213" s="3"/>
      <c r="WTN213" s="3"/>
      <c r="WTO213" s="3"/>
      <c r="WTP213" s="3"/>
      <c r="WTQ213" s="3"/>
      <c r="WTR213" s="3"/>
      <c r="WTS213" s="3"/>
      <c r="WTT213" s="3"/>
      <c r="WTU213" s="3"/>
      <c r="WTV213" s="3"/>
      <c r="WTW213" s="3"/>
      <c r="WTX213" s="3"/>
      <c r="WTY213" s="3"/>
      <c r="WTZ213" s="3"/>
      <c r="WUA213" s="3"/>
      <c r="WUB213" s="3"/>
      <c r="WUC213" s="3"/>
      <c r="WUD213" s="3"/>
      <c r="WUE213" s="3"/>
      <c r="WUF213" s="3"/>
      <c r="WUG213" s="3"/>
      <c r="WUH213" s="3"/>
      <c r="WUI213" s="3"/>
      <c r="WUJ213" s="3"/>
      <c r="WUK213" s="3"/>
      <c r="WUL213" s="3"/>
      <c r="WUM213" s="3"/>
      <c r="WUN213" s="3"/>
      <c r="WUO213" s="3"/>
      <c r="WUP213" s="3"/>
      <c r="WUQ213" s="3"/>
      <c r="WUR213" s="3"/>
      <c r="WUS213" s="3"/>
      <c r="WUT213" s="3"/>
      <c r="WUU213" s="3"/>
      <c r="WUV213" s="3"/>
      <c r="WUW213" s="3"/>
      <c r="WUX213" s="3"/>
      <c r="WUY213" s="3"/>
      <c r="WUZ213" s="3"/>
      <c r="WVA213" s="3"/>
      <c r="WVB213" s="3"/>
      <c r="WVC213" s="3"/>
      <c r="WVD213" s="3"/>
      <c r="WVE213" s="3"/>
      <c r="WVF213" s="3"/>
      <c r="WVG213" s="3"/>
      <c r="WVH213" s="3"/>
      <c r="WVI213" s="3"/>
      <c r="WVJ213" s="3"/>
      <c r="WVK213" s="3"/>
      <c r="WVL213" s="3"/>
      <c r="WVM213" s="3"/>
      <c r="WVN213" s="3"/>
      <c r="WVO213" s="3"/>
      <c r="WVP213" s="3"/>
      <c r="WVQ213" s="3"/>
      <c r="WVR213" s="3"/>
      <c r="WVS213" s="3"/>
      <c r="WVT213" s="3"/>
      <c r="WVU213" s="3"/>
      <c r="WVV213" s="3"/>
      <c r="WVW213" s="3"/>
      <c r="WVX213" s="3"/>
      <c r="WVY213" s="3"/>
      <c r="WVZ213" s="3"/>
      <c r="WWA213" s="3"/>
      <c r="WWB213" s="3"/>
      <c r="WWC213" s="3"/>
      <c r="WWD213" s="3"/>
      <c r="WWE213" s="3"/>
      <c r="WWF213" s="3"/>
      <c r="WWG213" s="3"/>
      <c r="WWH213" s="3"/>
      <c r="WWI213" s="3"/>
      <c r="WWJ213" s="3"/>
      <c r="WWK213" s="3"/>
      <c r="WWL213" s="3"/>
      <c r="WWM213" s="3"/>
      <c r="WWN213" s="3"/>
      <c r="WWO213" s="3"/>
      <c r="WWP213" s="3"/>
      <c r="WWQ213" s="3"/>
      <c r="WWR213" s="3"/>
      <c r="WWS213" s="3"/>
      <c r="WWT213" s="3"/>
      <c r="WWU213" s="3"/>
      <c r="WWV213" s="3"/>
      <c r="WWW213" s="3"/>
      <c r="WWX213" s="3"/>
      <c r="WWY213" s="3"/>
      <c r="WWZ213" s="3"/>
      <c r="WXA213" s="3"/>
      <c r="WXB213" s="3"/>
      <c r="WXC213" s="3"/>
      <c r="WXD213" s="3"/>
      <c r="WXE213" s="3"/>
      <c r="WXF213" s="3"/>
      <c r="WXG213" s="3"/>
      <c r="WXH213" s="3"/>
      <c r="WXI213" s="3"/>
      <c r="WXJ213" s="3"/>
      <c r="WXK213" s="3"/>
      <c r="WXL213" s="3"/>
      <c r="WXM213" s="3"/>
      <c r="WXN213" s="3"/>
      <c r="WXO213" s="3"/>
      <c r="WXP213" s="3"/>
      <c r="WXQ213" s="3"/>
      <c r="WXR213" s="3"/>
      <c r="WXS213" s="3"/>
      <c r="WXT213" s="3"/>
      <c r="WXU213" s="3"/>
      <c r="WXV213" s="3"/>
      <c r="WXW213" s="3"/>
      <c r="WXX213" s="3"/>
      <c r="WXY213" s="3"/>
      <c r="WXZ213" s="3"/>
      <c r="WYA213" s="3"/>
      <c r="WYB213" s="3"/>
      <c r="WYC213" s="3"/>
      <c r="WYD213" s="3"/>
      <c r="WYE213" s="3"/>
      <c r="WYF213" s="3"/>
      <c r="WYG213" s="3"/>
      <c r="WYH213" s="3"/>
      <c r="WYI213" s="3"/>
      <c r="WYJ213" s="3"/>
      <c r="WYK213" s="3"/>
      <c r="WYL213" s="3"/>
      <c r="WYM213" s="3"/>
      <c r="WYN213" s="3"/>
      <c r="WYO213" s="3"/>
      <c r="WYP213" s="3"/>
      <c r="WYQ213" s="3"/>
      <c r="WYR213" s="3"/>
      <c r="WYS213" s="3"/>
      <c r="WYT213" s="3"/>
      <c r="WYU213" s="3"/>
      <c r="WYV213" s="3"/>
      <c r="WYW213" s="3"/>
      <c r="WYX213" s="3"/>
      <c r="WYY213" s="3"/>
      <c r="WYZ213" s="3"/>
      <c r="WZA213" s="3"/>
      <c r="WZB213" s="3"/>
      <c r="WZC213" s="3"/>
      <c r="WZD213" s="3"/>
      <c r="WZE213" s="3"/>
      <c r="WZF213" s="3"/>
      <c r="WZG213" s="3"/>
      <c r="WZH213" s="3"/>
      <c r="WZI213" s="3"/>
      <c r="WZJ213" s="3"/>
      <c r="WZK213" s="3"/>
      <c r="WZL213" s="3"/>
      <c r="WZM213" s="3"/>
      <c r="WZN213" s="3"/>
      <c r="WZO213" s="3"/>
      <c r="WZP213" s="3"/>
      <c r="WZQ213" s="3"/>
      <c r="WZR213" s="3"/>
      <c r="WZS213" s="3"/>
      <c r="WZT213" s="3"/>
      <c r="WZU213" s="3"/>
      <c r="WZV213" s="3"/>
      <c r="WZW213" s="3"/>
      <c r="WZX213" s="3"/>
      <c r="WZY213" s="3"/>
      <c r="WZZ213" s="3"/>
      <c r="XAA213" s="3"/>
      <c r="XAB213" s="3"/>
      <c r="XAC213" s="3"/>
      <c r="XAD213" s="3"/>
      <c r="XAE213" s="3"/>
      <c r="XAF213" s="3"/>
      <c r="XAG213" s="3"/>
      <c r="XAH213" s="3"/>
      <c r="XAI213" s="3"/>
      <c r="XAJ213" s="3"/>
      <c r="XAK213" s="3"/>
      <c r="XAL213" s="3"/>
      <c r="XAM213" s="3"/>
      <c r="XAN213" s="3"/>
      <c r="XAO213" s="3"/>
      <c r="XAP213" s="3"/>
      <c r="XAQ213" s="3"/>
      <c r="XAR213" s="3"/>
      <c r="XAS213" s="3"/>
      <c r="XAT213" s="3"/>
      <c r="XAU213" s="3"/>
      <c r="XAV213" s="3"/>
      <c r="XAW213" s="3"/>
      <c r="XAX213" s="3"/>
      <c r="XAY213" s="3"/>
      <c r="XAZ213" s="3"/>
      <c r="XBA213" s="3"/>
      <c r="XBB213" s="3"/>
      <c r="XBC213" s="3"/>
      <c r="XBD213" s="3"/>
      <c r="XBE213" s="3"/>
      <c r="XBF213" s="3"/>
      <c r="XBG213" s="3"/>
      <c r="XBH213" s="3"/>
      <c r="XBI213" s="3"/>
      <c r="XBJ213" s="3"/>
      <c r="XBK213" s="3"/>
      <c r="XBL213" s="3"/>
      <c r="XBM213" s="3"/>
      <c r="XBN213" s="3"/>
      <c r="XBO213" s="3"/>
      <c r="XBP213" s="3"/>
      <c r="XBQ213" s="3"/>
      <c r="XBR213" s="3"/>
      <c r="XBS213" s="3"/>
      <c r="XBT213" s="3"/>
      <c r="XBU213" s="3"/>
      <c r="XBV213" s="3"/>
      <c r="XBW213" s="3"/>
      <c r="XBX213" s="3"/>
      <c r="XBY213" s="3"/>
      <c r="XBZ213" s="3"/>
      <c r="XCA213" s="3"/>
      <c r="XCB213" s="3"/>
      <c r="XCC213" s="3"/>
      <c r="XCD213" s="3"/>
      <c r="XCE213" s="3"/>
      <c r="XCF213" s="3"/>
      <c r="XCG213" s="3"/>
      <c r="XCH213" s="3"/>
      <c r="XCI213" s="3"/>
      <c r="XCJ213" s="3"/>
      <c r="XCK213" s="3"/>
      <c r="XCL213" s="3"/>
      <c r="XCM213" s="3"/>
      <c r="XCN213" s="3"/>
      <c r="XCO213" s="3"/>
      <c r="XCP213" s="3"/>
      <c r="XCQ213" s="3"/>
      <c r="XCR213" s="3"/>
      <c r="XCS213" s="3"/>
      <c r="XCT213" s="3"/>
      <c r="XCU213" s="3"/>
      <c r="XCV213" s="3"/>
      <c r="XCW213" s="3"/>
      <c r="XCX213" s="3"/>
      <c r="XCY213" s="3"/>
      <c r="XCZ213" s="3"/>
      <c r="XDA213" s="3"/>
      <c r="XDB213" s="3"/>
      <c r="XDC213" s="3"/>
      <c r="XDD213" s="3"/>
      <c r="XDE213" s="3"/>
      <c r="XDF213" s="3"/>
      <c r="XDG213" s="3"/>
      <c r="XDH213" s="3"/>
      <c r="XDI213" s="3"/>
      <c r="XDJ213" s="3"/>
      <c r="XDK213" s="3"/>
      <c r="XDL213" s="3"/>
      <c r="XDM213" s="3"/>
      <c r="XDN213" s="3"/>
      <c r="XDO213" s="3"/>
      <c r="XDP213" s="3"/>
      <c r="XDQ213" s="3"/>
      <c r="XDR213" s="3"/>
      <c r="XDS213" s="3"/>
      <c r="XDT213" s="3"/>
      <c r="XDU213" s="3"/>
      <c r="XDV213" s="3"/>
      <c r="XDW213" s="3"/>
      <c r="XDX213" s="3"/>
      <c r="XDY213" s="3"/>
      <c r="XDZ213" s="3"/>
      <c r="XEA213" s="3"/>
      <c r="XEB213" s="3"/>
      <c r="XEC213" s="3"/>
      <c r="XED213" s="3"/>
      <c r="XEE213" s="3"/>
      <c r="XEF213" s="3"/>
      <c r="XEG213" s="3"/>
      <c r="XEH213" s="3"/>
      <c r="XEI213" s="3"/>
      <c r="XEJ213" s="3"/>
      <c r="XEK213" s="3"/>
      <c r="XEL213" s="3"/>
      <c r="XEM213" s="3"/>
      <c r="XEN213" s="3"/>
      <c r="XEO213" s="3"/>
      <c r="XEP213" s="3"/>
      <c r="XEQ213" s="3"/>
      <c r="XER213" s="3"/>
      <c r="XES213" s="3"/>
      <c r="XET213" s="3"/>
      <c r="XEU213" s="3"/>
      <c r="XEV213" s="3"/>
    </row>
    <row r="214" spans="1:16376">
      <c r="A214" s="8">
        <v>6445</v>
      </c>
      <c r="B214" t="s">
        <v>219</v>
      </c>
      <c r="C214" s="19">
        <v>4339913.54</v>
      </c>
      <c r="D214" s="20">
        <v>6879369.5500000007</v>
      </c>
      <c r="E214" s="18">
        <v>651054.61</v>
      </c>
      <c r="F214" s="23">
        <v>231600.13999999998</v>
      </c>
      <c r="G214" t="s">
        <v>307</v>
      </c>
      <c r="H214" t="s">
        <v>309</v>
      </c>
      <c r="K214" t="str">
        <f>"Pike County School Corp           "</f>
        <v xml:space="preserve">Pike County School Corp           </v>
      </c>
      <c r="L214" t="str">
        <f>"6445"</f>
        <v>6445</v>
      </c>
      <c r="M214">
        <v>46</v>
      </c>
      <c r="N214">
        <v>2106</v>
      </c>
      <c r="O214">
        <f t="shared" si="4"/>
        <v>2060</v>
      </c>
    </row>
    <row r="215" spans="1:16376">
      <c r="A215" s="8">
        <v>6460</v>
      </c>
      <c r="B215" t="s">
        <v>220</v>
      </c>
      <c r="C215" s="19">
        <v>2301291.7200000002</v>
      </c>
      <c r="D215" s="20">
        <v>4621906.82</v>
      </c>
      <c r="E215" s="18">
        <v>149521.44</v>
      </c>
      <c r="F215" s="23">
        <v>956909.16999999993</v>
      </c>
      <c r="G215" t="s">
        <v>307</v>
      </c>
      <c r="H215" t="s">
        <v>309</v>
      </c>
      <c r="K215" t="str">
        <f>"M S D Boone Township              "</f>
        <v xml:space="preserve">M S D Boone Township              </v>
      </c>
      <c r="L215" t="str">
        <f>"6460"</f>
        <v>6460</v>
      </c>
      <c r="M215">
        <v>0</v>
      </c>
      <c r="N215">
        <v>1129</v>
      </c>
      <c r="O215">
        <f t="shared" si="4"/>
        <v>1129</v>
      </c>
    </row>
    <row r="216" spans="1:16376">
      <c r="A216" s="9">
        <v>6470</v>
      </c>
      <c r="B216" s="3" t="s">
        <v>221</v>
      </c>
      <c r="C216" s="19">
        <v>20728024.27</v>
      </c>
      <c r="D216" s="20">
        <v>13050268.539999999</v>
      </c>
      <c r="E216" s="18">
        <v>1219620.3500000001</v>
      </c>
      <c r="F216" s="23">
        <v>5737053.2799999993</v>
      </c>
      <c r="G216" t="s">
        <v>307</v>
      </c>
      <c r="H216" t="s">
        <v>309</v>
      </c>
      <c r="K216" t="str">
        <f>"Duneland School Corporation       "</f>
        <v xml:space="preserve">Duneland School Corporation       </v>
      </c>
      <c r="L216" t="str">
        <f>"6470"</f>
        <v>6470</v>
      </c>
      <c r="M216">
        <v>0</v>
      </c>
      <c r="N216">
        <v>5815</v>
      </c>
      <c r="O216">
        <f t="shared" si="4"/>
        <v>5815</v>
      </c>
    </row>
    <row r="217" spans="1:16376">
      <c r="A217" s="8">
        <v>6510</v>
      </c>
      <c r="B217" t="s">
        <v>222</v>
      </c>
      <c r="C217" s="19">
        <v>7643259.2200000007</v>
      </c>
      <c r="D217" s="20">
        <v>6264945.5099999998</v>
      </c>
      <c r="E217" s="18">
        <v>300218.61</v>
      </c>
      <c r="F217" s="23">
        <v>4489.03</v>
      </c>
      <c r="G217" t="s">
        <v>307</v>
      </c>
      <c r="H217" t="s">
        <v>309</v>
      </c>
      <c r="K217" t="str">
        <f>"East Porter County School Corp    "</f>
        <v xml:space="preserve">East Porter County School Corp    </v>
      </c>
      <c r="L217" t="str">
        <f>"6510"</f>
        <v>6510</v>
      </c>
      <c r="M217">
        <v>0</v>
      </c>
      <c r="N217">
        <v>2227</v>
      </c>
      <c r="O217">
        <f t="shared" si="4"/>
        <v>2227</v>
      </c>
    </row>
    <row r="218" spans="1:16376">
      <c r="A218" s="8">
        <v>6520</v>
      </c>
      <c r="B218" t="s">
        <v>223</v>
      </c>
      <c r="C218" s="19">
        <v>3907531.6</v>
      </c>
      <c r="D218" s="20">
        <v>5387993.4199999999</v>
      </c>
      <c r="E218" s="18">
        <v>176018.16</v>
      </c>
      <c r="F218" s="23">
        <v>829417.49</v>
      </c>
      <c r="G218" t="s">
        <v>307</v>
      </c>
      <c r="H218" t="s">
        <v>309</v>
      </c>
      <c r="K218" t="str">
        <f>"Porter Township School Corp       "</f>
        <v xml:space="preserve">Porter Township School Corp       </v>
      </c>
      <c r="L218" t="str">
        <f>"6520"</f>
        <v>6520</v>
      </c>
      <c r="M218">
        <v>0</v>
      </c>
      <c r="N218">
        <v>1643</v>
      </c>
      <c r="O218">
        <f t="shared" si="4"/>
        <v>1643</v>
      </c>
    </row>
    <row r="219" spans="1:16376">
      <c r="A219" s="8">
        <v>6530</v>
      </c>
      <c r="B219" t="s">
        <v>224</v>
      </c>
      <c r="C219" s="19">
        <v>4897104.9800000004</v>
      </c>
      <c r="D219" s="20">
        <v>5344030.0199999996</v>
      </c>
      <c r="E219" s="18">
        <v>193571.86</v>
      </c>
      <c r="F219" s="23">
        <v>27831.040000000001</v>
      </c>
      <c r="G219" t="s">
        <v>307</v>
      </c>
      <c r="H219" t="s">
        <v>309</v>
      </c>
      <c r="K219" t="str">
        <f>"Union Township School Corp        "</f>
        <v xml:space="preserve">Union Township School Corp        </v>
      </c>
      <c r="L219" t="str">
        <f>"6530"</f>
        <v>6530</v>
      </c>
      <c r="M219">
        <v>0</v>
      </c>
      <c r="N219">
        <v>1693</v>
      </c>
      <c r="O219">
        <f t="shared" si="4"/>
        <v>1693</v>
      </c>
    </row>
    <row r="220" spans="1:16376">
      <c r="A220" s="8">
        <v>6550</v>
      </c>
      <c r="B220" t="s">
        <v>225</v>
      </c>
      <c r="C220" s="19">
        <v>15923311.41</v>
      </c>
      <c r="D220" s="20">
        <v>32877531</v>
      </c>
      <c r="E220" s="18">
        <v>3217948.52</v>
      </c>
      <c r="F220" s="23">
        <v>4326971.01</v>
      </c>
      <c r="G220" t="s">
        <v>307</v>
      </c>
      <c r="H220" t="s">
        <v>309</v>
      </c>
      <c r="K220" t="str">
        <f>"Portage Township Schools          "</f>
        <v xml:space="preserve">Portage Township Schools          </v>
      </c>
      <c r="L220" t="str">
        <f>"6550"</f>
        <v>6550</v>
      </c>
      <c r="M220">
        <v>0</v>
      </c>
      <c r="N220">
        <v>8404</v>
      </c>
      <c r="O220">
        <f t="shared" si="4"/>
        <v>8404</v>
      </c>
    </row>
    <row r="221" spans="1:16376">
      <c r="A221" s="8">
        <v>6560</v>
      </c>
      <c r="B221" t="s">
        <v>226</v>
      </c>
      <c r="C221" s="19">
        <v>17701318.640000001</v>
      </c>
      <c r="D221" s="20">
        <v>19571710.810000002</v>
      </c>
      <c r="E221" s="18">
        <v>1334585.5900000001</v>
      </c>
      <c r="F221" s="23">
        <v>6536269.21</v>
      </c>
      <c r="G221" t="s">
        <v>307</v>
      </c>
      <c r="H221" t="s">
        <v>309</v>
      </c>
      <c r="K221" t="str">
        <f>"Valparaiso Community Schools      "</f>
        <v xml:space="preserve">Valparaiso Community Schools      </v>
      </c>
      <c r="L221" t="str">
        <f>"6560"</f>
        <v>6560</v>
      </c>
      <c r="M221">
        <v>0</v>
      </c>
      <c r="N221">
        <v>6248</v>
      </c>
      <c r="O221">
        <f t="shared" si="4"/>
        <v>6248</v>
      </c>
    </row>
    <row r="222" spans="1:16376">
      <c r="A222" s="9">
        <v>6590</v>
      </c>
      <c r="B222" s="3" t="s">
        <v>227</v>
      </c>
      <c r="C222" s="19">
        <v>12010942.67</v>
      </c>
      <c r="D222" s="20">
        <v>4484212.9700000007</v>
      </c>
      <c r="E222" s="18">
        <v>1959238.47</v>
      </c>
      <c r="F222" s="23">
        <v>184835.1</v>
      </c>
      <c r="G222" t="s">
        <v>307</v>
      </c>
      <c r="H222" t="s">
        <v>309</v>
      </c>
      <c r="K222" t="str">
        <f>"M S D Mount Vernon                "</f>
        <v xml:space="preserve">M S D Mount Vernon                </v>
      </c>
      <c r="L222" t="str">
        <f>"6590"</f>
        <v>6590</v>
      </c>
      <c r="M222">
        <v>22</v>
      </c>
      <c r="N222">
        <v>2546</v>
      </c>
      <c r="O222">
        <f t="shared" si="4"/>
        <v>2524</v>
      </c>
    </row>
    <row r="223" spans="1:16376">
      <c r="A223" s="8">
        <v>6600</v>
      </c>
      <c r="B223" t="s">
        <v>228</v>
      </c>
      <c r="C223" s="19">
        <v>2626474.3000000003</v>
      </c>
      <c r="D223" s="20">
        <v>6083737.8799999999</v>
      </c>
      <c r="E223" s="18">
        <v>572508.36</v>
      </c>
      <c r="F223" s="23">
        <v>195029.08000000002</v>
      </c>
      <c r="G223" t="s">
        <v>307</v>
      </c>
      <c r="H223" t="s">
        <v>309</v>
      </c>
      <c r="K223" t="str">
        <f>"M S D North Posey Co Schools      "</f>
        <v xml:space="preserve">M S D North Posey Co Schools      </v>
      </c>
      <c r="L223" t="str">
        <f>"6600"</f>
        <v>6600</v>
      </c>
      <c r="M223">
        <v>5</v>
      </c>
      <c r="N223">
        <v>1465</v>
      </c>
      <c r="O223">
        <f t="shared" si="4"/>
        <v>1460</v>
      </c>
    </row>
    <row r="224" spans="1:16376">
      <c r="A224" s="9">
        <v>6610</v>
      </c>
      <c r="B224" s="3" t="s">
        <v>229</v>
      </c>
      <c r="C224" s="19">
        <v>793040.49</v>
      </c>
      <c r="D224" s="20">
        <v>653985.92999999993</v>
      </c>
      <c r="E224" s="18">
        <v>149240.4</v>
      </c>
      <c r="F224" s="23">
        <v>0</v>
      </c>
      <c r="G224" t="s">
        <v>307</v>
      </c>
      <c r="H224" t="s">
        <v>309</v>
      </c>
      <c r="K224" t="str">
        <f>"New Harmony Town &amp; Twp Con Sch    "</f>
        <v xml:space="preserve">New Harmony Town &amp; Twp Con Sch    </v>
      </c>
      <c r="L224" t="str">
        <f>"6610"</f>
        <v>6610</v>
      </c>
      <c r="M224">
        <v>10</v>
      </c>
      <c r="N224">
        <v>206</v>
      </c>
      <c r="O224">
        <f t="shared" si="4"/>
        <v>196</v>
      </c>
    </row>
    <row r="225" spans="1:16376">
      <c r="A225" s="8">
        <v>6620</v>
      </c>
      <c r="B225" t="s">
        <v>230</v>
      </c>
      <c r="C225" s="19">
        <v>2611990.9499999997</v>
      </c>
      <c r="D225" s="20">
        <v>5286022.8599999994</v>
      </c>
      <c r="E225" s="18">
        <v>567281.06000000006</v>
      </c>
      <c r="F225" s="23">
        <v>139598.38999999998</v>
      </c>
      <c r="G225" t="s">
        <v>307</v>
      </c>
      <c r="H225" t="s">
        <v>309</v>
      </c>
      <c r="K225" t="str">
        <f>"Eastern Pulaski Com Sch Corp      "</f>
        <v xml:space="preserve">Eastern Pulaski Com Sch Corp      </v>
      </c>
      <c r="L225" t="str">
        <f>"6620"</f>
        <v>6620</v>
      </c>
      <c r="M225">
        <v>5</v>
      </c>
      <c r="N225">
        <v>1360</v>
      </c>
      <c r="O225">
        <f t="shared" si="4"/>
        <v>1355</v>
      </c>
    </row>
    <row r="226" spans="1:16376">
      <c r="A226" s="9">
        <v>6630</v>
      </c>
      <c r="B226" s="3" t="s">
        <v>231</v>
      </c>
      <c r="C226" s="19">
        <v>1786496.52</v>
      </c>
      <c r="D226" s="20">
        <v>3909677.93</v>
      </c>
      <c r="E226" s="18">
        <v>3279640.15</v>
      </c>
      <c r="F226" s="23">
        <v>1159686.81</v>
      </c>
      <c r="G226" t="s">
        <v>307</v>
      </c>
      <c r="H226" t="s">
        <v>309</v>
      </c>
      <c r="I226" s="3"/>
      <c r="K226" t="str">
        <f>"West Central School Corp          "</f>
        <v xml:space="preserve">West Central School Corp          </v>
      </c>
      <c r="L226" t="str">
        <f>"6630"</f>
        <v>6630</v>
      </c>
      <c r="M226">
        <v>0</v>
      </c>
      <c r="N226">
        <v>939</v>
      </c>
      <c r="O226">
        <f t="shared" si="4"/>
        <v>939</v>
      </c>
    </row>
    <row r="227" spans="1:16376">
      <c r="A227" s="8">
        <v>6705</v>
      </c>
      <c r="B227" t="s">
        <v>232</v>
      </c>
      <c r="C227" s="19">
        <v>6210383.8200000003</v>
      </c>
      <c r="D227" s="20">
        <v>5944694.5599999996</v>
      </c>
      <c r="E227" s="18">
        <v>260926.41</v>
      </c>
      <c r="F227" s="23">
        <v>496681.81</v>
      </c>
      <c r="G227" t="s">
        <v>307</v>
      </c>
      <c r="H227" t="s">
        <v>309</v>
      </c>
      <c r="J227" s="3"/>
      <c r="K227" t="str">
        <f>"South Putnam Community Schools    "</f>
        <v xml:space="preserve">South Putnam Community Schools    </v>
      </c>
      <c r="L227" t="str">
        <f>"6705"</f>
        <v>6705</v>
      </c>
      <c r="M227">
        <v>8</v>
      </c>
      <c r="N227">
        <v>1382</v>
      </c>
      <c r="O227">
        <f t="shared" si="4"/>
        <v>1374</v>
      </c>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c r="GE227" s="3"/>
      <c r="GF227" s="3"/>
      <c r="GG227" s="3"/>
      <c r="GH227" s="3"/>
      <c r="GI227" s="3"/>
      <c r="GJ227" s="3"/>
      <c r="GK227" s="3"/>
      <c r="GL227" s="3"/>
      <c r="GM227" s="3"/>
      <c r="GN227" s="3"/>
      <c r="GO227" s="3"/>
      <c r="GP227" s="3"/>
      <c r="GQ227" s="3"/>
      <c r="GR227" s="3"/>
      <c r="GS227" s="3"/>
      <c r="GT227" s="3"/>
      <c r="GU227" s="3"/>
      <c r="GV227" s="3"/>
      <c r="GW227" s="3"/>
      <c r="GX227" s="3"/>
      <c r="GY227" s="3"/>
      <c r="GZ227" s="3"/>
      <c r="HA227" s="3"/>
      <c r="HB227" s="3"/>
      <c r="HC227" s="3"/>
      <c r="HD227" s="3"/>
      <c r="HE227" s="3"/>
      <c r="HF227" s="3"/>
      <c r="HG227" s="3"/>
      <c r="HH227" s="3"/>
      <c r="HI227" s="3"/>
      <c r="HJ227" s="3"/>
      <c r="HK227" s="3"/>
      <c r="HL227" s="3"/>
      <c r="HM227" s="3"/>
      <c r="HN227" s="3"/>
      <c r="HO227" s="3"/>
      <c r="HP227" s="3"/>
      <c r="HQ227" s="3"/>
      <c r="HR227" s="3"/>
      <c r="HS227" s="3"/>
      <c r="HT227" s="3"/>
      <c r="HU227" s="3"/>
      <c r="HV227" s="3"/>
      <c r="HW227" s="3"/>
      <c r="HX227" s="3"/>
      <c r="HY227" s="3"/>
      <c r="HZ227" s="3"/>
      <c r="IA227" s="3"/>
      <c r="IB227" s="3"/>
      <c r="IC227" s="3"/>
      <c r="ID227" s="3"/>
      <c r="IE227" s="3"/>
      <c r="IF227" s="3"/>
      <c r="IG227" s="3"/>
      <c r="IH227" s="3"/>
      <c r="II227" s="3"/>
      <c r="IJ227" s="3"/>
      <c r="IK227" s="3"/>
      <c r="IL227" s="3"/>
      <c r="IM227" s="3"/>
      <c r="IN227" s="3"/>
      <c r="IO227" s="3"/>
      <c r="IP227" s="3"/>
      <c r="IQ227" s="3"/>
      <c r="IR227" s="3"/>
      <c r="IS227" s="3"/>
      <c r="IT227" s="3"/>
      <c r="IU227" s="3"/>
      <c r="IV227" s="3"/>
      <c r="IW227" s="3"/>
      <c r="IX227" s="3"/>
      <c r="IY227" s="3"/>
      <c r="IZ227" s="3"/>
      <c r="JA227" s="3"/>
      <c r="JB227" s="3"/>
      <c r="JC227" s="3"/>
      <c r="JD227" s="3"/>
      <c r="JE227" s="3"/>
      <c r="JF227" s="3"/>
      <c r="JG227" s="3"/>
      <c r="JH227" s="3"/>
      <c r="JI227" s="3"/>
      <c r="JJ227" s="3"/>
      <c r="JK227" s="3"/>
      <c r="JL227" s="3"/>
      <c r="JM227" s="3"/>
      <c r="JN227" s="3"/>
      <c r="JO227" s="3"/>
      <c r="JP227" s="3"/>
      <c r="JQ227" s="3"/>
      <c r="JR227" s="3"/>
      <c r="JS227" s="3"/>
      <c r="JT227" s="3"/>
      <c r="JU227" s="3"/>
      <c r="JV227" s="3"/>
      <c r="JW227" s="3"/>
      <c r="JX227" s="3"/>
      <c r="JY227" s="3"/>
      <c r="JZ227" s="3"/>
      <c r="KA227" s="3"/>
      <c r="KB227" s="3"/>
      <c r="KC227" s="3"/>
      <c r="KD227" s="3"/>
      <c r="KE227" s="3"/>
      <c r="KF227" s="3"/>
      <c r="KG227" s="3"/>
      <c r="KH227" s="3"/>
      <c r="KI227" s="3"/>
      <c r="KJ227" s="3"/>
      <c r="KK227" s="3"/>
      <c r="KL227" s="3"/>
      <c r="KM227" s="3"/>
      <c r="KN227" s="3"/>
      <c r="KO227" s="3"/>
      <c r="KP227" s="3"/>
      <c r="KQ227" s="3"/>
      <c r="KR227" s="3"/>
      <c r="KS227" s="3"/>
      <c r="KT227" s="3"/>
      <c r="KU227" s="3"/>
      <c r="KV227" s="3"/>
      <c r="KW227" s="3"/>
      <c r="KX227" s="3"/>
      <c r="KY227" s="3"/>
      <c r="KZ227" s="3"/>
      <c r="LA227" s="3"/>
      <c r="LB227" s="3"/>
      <c r="LC227" s="3"/>
      <c r="LD227" s="3"/>
      <c r="LE227" s="3"/>
      <c r="LF227" s="3"/>
      <c r="LG227" s="3"/>
      <c r="LH227" s="3"/>
      <c r="LI227" s="3"/>
      <c r="LJ227" s="3"/>
      <c r="LK227" s="3"/>
      <c r="LL227" s="3"/>
      <c r="LM227" s="3"/>
      <c r="LN227" s="3"/>
      <c r="LO227" s="3"/>
      <c r="LP227" s="3"/>
      <c r="LQ227" s="3"/>
      <c r="LR227" s="3"/>
      <c r="LS227" s="3"/>
      <c r="LT227" s="3"/>
      <c r="LU227" s="3"/>
      <c r="LV227" s="3"/>
      <c r="LW227" s="3"/>
      <c r="LX227" s="3"/>
      <c r="LY227" s="3"/>
      <c r="LZ227" s="3"/>
      <c r="MA227" s="3"/>
      <c r="MB227" s="3"/>
      <c r="MC227" s="3"/>
      <c r="MD227" s="3"/>
      <c r="ME227" s="3"/>
      <c r="MF227" s="3"/>
      <c r="MG227" s="3"/>
      <c r="MH227" s="3"/>
      <c r="MI227" s="3"/>
      <c r="MJ227" s="3"/>
      <c r="MK227" s="3"/>
      <c r="ML227" s="3"/>
      <c r="MM227" s="3"/>
      <c r="MN227" s="3"/>
      <c r="MO227" s="3"/>
      <c r="MP227" s="3"/>
      <c r="MQ227" s="3"/>
      <c r="MR227" s="3"/>
      <c r="MS227" s="3"/>
      <c r="MT227" s="3"/>
      <c r="MU227" s="3"/>
      <c r="MV227" s="3"/>
      <c r="MW227" s="3"/>
      <c r="MX227" s="3"/>
      <c r="MY227" s="3"/>
      <c r="MZ227" s="3"/>
      <c r="NA227" s="3"/>
      <c r="NB227" s="3"/>
      <c r="NC227" s="3"/>
      <c r="ND227" s="3"/>
      <c r="NE227" s="3"/>
      <c r="NF227" s="3"/>
      <c r="NG227" s="3"/>
      <c r="NH227" s="3"/>
      <c r="NI227" s="3"/>
      <c r="NJ227" s="3"/>
      <c r="NK227" s="3"/>
      <c r="NL227" s="3"/>
      <c r="NM227" s="3"/>
      <c r="NN227" s="3"/>
      <c r="NO227" s="3"/>
      <c r="NP227" s="3"/>
      <c r="NQ227" s="3"/>
      <c r="NR227" s="3"/>
      <c r="NS227" s="3"/>
      <c r="NT227" s="3"/>
      <c r="NU227" s="3"/>
      <c r="NV227" s="3"/>
      <c r="NW227" s="3"/>
      <c r="NX227" s="3"/>
      <c r="NY227" s="3"/>
      <c r="NZ227" s="3"/>
      <c r="OA227" s="3"/>
      <c r="OB227" s="3"/>
      <c r="OC227" s="3"/>
      <c r="OD227" s="3"/>
      <c r="OE227" s="3"/>
      <c r="OF227" s="3"/>
      <c r="OG227" s="3"/>
      <c r="OH227" s="3"/>
      <c r="OI227" s="3"/>
      <c r="OJ227" s="3"/>
      <c r="OK227" s="3"/>
      <c r="OL227" s="3"/>
      <c r="OM227" s="3"/>
      <c r="ON227" s="3"/>
      <c r="OO227" s="3"/>
      <c r="OP227" s="3"/>
      <c r="OQ227" s="3"/>
      <c r="OR227" s="3"/>
      <c r="OS227" s="3"/>
      <c r="OT227" s="3"/>
      <c r="OU227" s="3"/>
      <c r="OV227" s="3"/>
      <c r="OW227" s="3"/>
      <c r="OX227" s="3"/>
      <c r="OY227" s="3"/>
      <c r="OZ227" s="3"/>
      <c r="PA227" s="3"/>
      <c r="PB227" s="3"/>
      <c r="PC227" s="3"/>
      <c r="PD227" s="3"/>
      <c r="PE227" s="3"/>
      <c r="PF227" s="3"/>
      <c r="PG227" s="3"/>
      <c r="PH227" s="3"/>
      <c r="PI227" s="3"/>
      <c r="PJ227" s="3"/>
      <c r="PK227" s="3"/>
      <c r="PL227" s="3"/>
      <c r="PM227" s="3"/>
      <c r="PN227" s="3"/>
      <c r="PO227" s="3"/>
      <c r="PP227" s="3"/>
      <c r="PQ227" s="3"/>
      <c r="PR227" s="3"/>
      <c r="PS227" s="3"/>
      <c r="PT227" s="3"/>
      <c r="PU227" s="3"/>
      <c r="PV227" s="3"/>
      <c r="PW227" s="3"/>
      <c r="PX227" s="3"/>
      <c r="PY227" s="3"/>
      <c r="PZ227" s="3"/>
      <c r="QA227" s="3"/>
      <c r="QB227" s="3"/>
      <c r="QC227" s="3"/>
      <c r="QD227" s="3"/>
      <c r="QE227" s="3"/>
      <c r="QF227" s="3"/>
      <c r="QG227" s="3"/>
      <c r="QH227" s="3"/>
      <c r="QI227" s="3"/>
      <c r="QJ227" s="3"/>
      <c r="QK227" s="3"/>
      <c r="QL227" s="3"/>
      <c r="QM227" s="3"/>
      <c r="QN227" s="3"/>
      <c r="QO227" s="3"/>
      <c r="QP227" s="3"/>
      <c r="QQ227" s="3"/>
      <c r="QR227" s="3"/>
      <c r="QS227" s="3"/>
      <c r="QT227" s="3"/>
      <c r="QU227" s="3"/>
      <c r="QV227" s="3"/>
      <c r="QW227" s="3"/>
      <c r="QX227" s="3"/>
      <c r="QY227" s="3"/>
      <c r="QZ227" s="3"/>
      <c r="RA227" s="3"/>
      <c r="RB227" s="3"/>
      <c r="RC227" s="3"/>
      <c r="RD227" s="3"/>
      <c r="RE227" s="3"/>
      <c r="RF227" s="3"/>
      <c r="RG227" s="3"/>
      <c r="RH227" s="3"/>
      <c r="RI227" s="3"/>
      <c r="RJ227" s="3"/>
      <c r="RK227" s="3"/>
      <c r="RL227" s="3"/>
      <c r="RM227" s="3"/>
      <c r="RN227" s="3"/>
      <c r="RO227" s="3"/>
      <c r="RP227" s="3"/>
      <c r="RQ227" s="3"/>
      <c r="RR227" s="3"/>
      <c r="RS227" s="3"/>
      <c r="RT227" s="3"/>
      <c r="RU227" s="3"/>
      <c r="RV227" s="3"/>
      <c r="RW227" s="3"/>
      <c r="RX227" s="3"/>
      <c r="RY227" s="3"/>
      <c r="RZ227" s="3"/>
      <c r="SA227" s="3"/>
      <c r="SB227" s="3"/>
      <c r="SC227" s="3"/>
      <c r="SD227" s="3"/>
      <c r="SE227" s="3"/>
      <c r="SF227" s="3"/>
      <c r="SG227" s="3"/>
      <c r="SH227" s="3"/>
      <c r="SI227" s="3"/>
      <c r="SJ227" s="3"/>
      <c r="SK227" s="3"/>
      <c r="SL227" s="3"/>
      <c r="SM227" s="3"/>
      <c r="SN227" s="3"/>
      <c r="SO227" s="3"/>
      <c r="SP227" s="3"/>
      <c r="SQ227" s="3"/>
      <c r="SR227" s="3"/>
      <c r="SS227" s="3"/>
      <c r="ST227" s="3"/>
      <c r="SU227" s="3"/>
      <c r="SV227" s="3"/>
      <c r="SW227" s="3"/>
      <c r="SX227" s="3"/>
      <c r="SY227" s="3"/>
      <c r="SZ227" s="3"/>
      <c r="TA227" s="3"/>
      <c r="TB227" s="3"/>
      <c r="TC227" s="3"/>
      <c r="TD227" s="3"/>
      <c r="TE227" s="3"/>
      <c r="TF227" s="3"/>
      <c r="TG227" s="3"/>
      <c r="TH227" s="3"/>
      <c r="TI227" s="3"/>
      <c r="TJ227" s="3"/>
      <c r="TK227" s="3"/>
      <c r="TL227" s="3"/>
      <c r="TM227" s="3"/>
      <c r="TN227" s="3"/>
      <c r="TO227" s="3"/>
      <c r="TP227" s="3"/>
      <c r="TQ227" s="3"/>
      <c r="TR227" s="3"/>
      <c r="TS227" s="3"/>
      <c r="TT227" s="3"/>
      <c r="TU227" s="3"/>
      <c r="TV227" s="3"/>
      <c r="TW227" s="3"/>
      <c r="TX227" s="3"/>
      <c r="TY227" s="3"/>
      <c r="TZ227" s="3"/>
      <c r="UA227" s="3"/>
      <c r="UB227" s="3"/>
      <c r="UC227" s="3"/>
      <c r="UD227" s="3"/>
      <c r="UE227" s="3"/>
      <c r="UF227" s="3"/>
      <c r="UG227" s="3"/>
      <c r="UH227" s="3"/>
      <c r="UI227" s="3"/>
      <c r="UJ227" s="3"/>
      <c r="UK227" s="3"/>
      <c r="UL227" s="3"/>
      <c r="UM227" s="3"/>
      <c r="UN227" s="3"/>
      <c r="UO227" s="3"/>
      <c r="UP227" s="3"/>
      <c r="UQ227" s="3"/>
      <c r="UR227" s="3"/>
      <c r="US227" s="3"/>
      <c r="UT227" s="3"/>
      <c r="UU227" s="3"/>
      <c r="UV227" s="3"/>
      <c r="UW227" s="3"/>
      <c r="UX227" s="3"/>
      <c r="UY227" s="3"/>
      <c r="UZ227" s="3"/>
      <c r="VA227" s="3"/>
      <c r="VB227" s="3"/>
      <c r="VC227" s="3"/>
      <c r="VD227" s="3"/>
      <c r="VE227" s="3"/>
      <c r="VF227" s="3"/>
      <c r="VG227" s="3"/>
      <c r="VH227" s="3"/>
      <c r="VI227" s="3"/>
      <c r="VJ227" s="3"/>
      <c r="VK227" s="3"/>
      <c r="VL227" s="3"/>
      <c r="VM227" s="3"/>
      <c r="VN227" s="3"/>
      <c r="VO227" s="3"/>
      <c r="VP227" s="3"/>
      <c r="VQ227" s="3"/>
      <c r="VR227" s="3"/>
      <c r="VS227" s="3"/>
      <c r="VT227" s="3"/>
      <c r="VU227" s="3"/>
      <c r="VV227" s="3"/>
      <c r="VW227" s="3"/>
      <c r="VX227" s="3"/>
      <c r="VY227" s="3"/>
      <c r="VZ227" s="3"/>
      <c r="WA227" s="3"/>
      <c r="WB227" s="3"/>
      <c r="WC227" s="3"/>
      <c r="WD227" s="3"/>
      <c r="WE227" s="3"/>
      <c r="WF227" s="3"/>
      <c r="WG227" s="3"/>
      <c r="WH227" s="3"/>
      <c r="WI227" s="3"/>
      <c r="WJ227" s="3"/>
      <c r="WK227" s="3"/>
      <c r="WL227" s="3"/>
      <c r="WM227" s="3"/>
      <c r="WN227" s="3"/>
      <c r="WO227" s="3"/>
      <c r="WP227" s="3"/>
      <c r="WQ227" s="3"/>
      <c r="WR227" s="3"/>
      <c r="WS227" s="3"/>
      <c r="WT227" s="3"/>
      <c r="WU227" s="3"/>
      <c r="WV227" s="3"/>
      <c r="WW227" s="3"/>
      <c r="WX227" s="3"/>
      <c r="WY227" s="3"/>
      <c r="WZ227" s="3"/>
      <c r="XA227" s="3"/>
      <c r="XB227" s="3"/>
      <c r="XC227" s="3"/>
      <c r="XD227" s="3"/>
      <c r="XE227" s="3"/>
      <c r="XF227" s="3"/>
      <c r="XG227" s="3"/>
      <c r="XH227" s="3"/>
      <c r="XI227" s="3"/>
      <c r="XJ227" s="3"/>
      <c r="XK227" s="3"/>
      <c r="XL227" s="3"/>
      <c r="XM227" s="3"/>
      <c r="XN227" s="3"/>
      <c r="XO227" s="3"/>
      <c r="XP227" s="3"/>
      <c r="XQ227" s="3"/>
      <c r="XR227" s="3"/>
      <c r="XS227" s="3"/>
      <c r="XT227" s="3"/>
      <c r="XU227" s="3"/>
      <c r="XV227" s="3"/>
      <c r="XW227" s="3"/>
      <c r="XX227" s="3"/>
      <c r="XY227" s="3"/>
      <c r="XZ227" s="3"/>
      <c r="YA227" s="3"/>
      <c r="YB227" s="3"/>
      <c r="YC227" s="3"/>
      <c r="YD227" s="3"/>
      <c r="YE227" s="3"/>
      <c r="YF227" s="3"/>
      <c r="YG227" s="3"/>
      <c r="YH227" s="3"/>
      <c r="YI227" s="3"/>
      <c r="YJ227" s="3"/>
      <c r="YK227" s="3"/>
      <c r="YL227" s="3"/>
      <c r="YM227" s="3"/>
      <c r="YN227" s="3"/>
      <c r="YO227" s="3"/>
      <c r="YP227" s="3"/>
      <c r="YQ227" s="3"/>
      <c r="YR227" s="3"/>
      <c r="YS227" s="3"/>
      <c r="YT227" s="3"/>
      <c r="YU227" s="3"/>
      <c r="YV227" s="3"/>
      <c r="YW227" s="3"/>
      <c r="YX227" s="3"/>
      <c r="YY227" s="3"/>
      <c r="YZ227" s="3"/>
      <c r="ZA227" s="3"/>
      <c r="ZB227" s="3"/>
      <c r="ZC227" s="3"/>
      <c r="ZD227" s="3"/>
      <c r="ZE227" s="3"/>
      <c r="ZF227" s="3"/>
      <c r="ZG227" s="3"/>
      <c r="ZH227" s="3"/>
      <c r="ZI227" s="3"/>
      <c r="ZJ227" s="3"/>
      <c r="ZK227" s="3"/>
      <c r="ZL227" s="3"/>
      <c r="ZM227" s="3"/>
      <c r="ZN227" s="3"/>
      <c r="ZO227" s="3"/>
      <c r="ZP227" s="3"/>
      <c r="ZQ227" s="3"/>
      <c r="ZR227" s="3"/>
      <c r="ZS227" s="3"/>
      <c r="ZT227" s="3"/>
      <c r="ZU227" s="3"/>
      <c r="ZV227" s="3"/>
      <c r="ZW227" s="3"/>
      <c r="ZX227" s="3"/>
      <c r="ZY227" s="3"/>
      <c r="ZZ227" s="3"/>
      <c r="AAA227" s="3"/>
      <c r="AAB227" s="3"/>
      <c r="AAC227" s="3"/>
      <c r="AAD227" s="3"/>
      <c r="AAE227" s="3"/>
      <c r="AAF227" s="3"/>
      <c r="AAG227" s="3"/>
      <c r="AAH227" s="3"/>
      <c r="AAI227" s="3"/>
      <c r="AAJ227" s="3"/>
      <c r="AAK227" s="3"/>
      <c r="AAL227" s="3"/>
      <c r="AAM227" s="3"/>
      <c r="AAN227" s="3"/>
      <c r="AAO227" s="3"/>
      <c r="AAP227" s="3"/>
      <c r="AAQ227" s="3"/>
      <c r="AAR227" s="3"/>
      <c r="AAS227" s="3"/>
      <c r="AAT227" s="3"/>
      <c r="AAU227" s="3"/>
      <c r="AAV227" s="3"/>
      <c r="AAW227" s="3"/>
      <c r="AAX227" s="3"/>
      <c r="AAY227" s="3"/>
      <c r="AAZ227" s="3"/>
      <c r="ABA227" s="3"/>
      <c r="ABB227" s="3"/>
      <c r="ABC227" s="3"/>
      <c r="ABD227" s="3"/>
      <c r="ABE227" s="3"/>
      <c r="ABF227" s="3"/>
      <c r="ABG227" s="3"/>
      <c r="ABH227" s="3"/>
      <c r="ABI227" s="3"/>
      <c r="ABJ227" s="3"/>
      <c r="ABK227" s="3"/>
      <c r="ABL227" s="3"/>
      <c r="ABM227" s="3"/>
      <c r="ABN227" s="3"/>
      <c r="ABO227" s="3"/>
      <c r="ABP227" s="3"/>
      <c r="ABQ227" s="3"/>
      <c r="ABR227" s="3"/>
      <c r="ABS227" s="3"/>
      <c r="ABT227" s="3"/>
      <c r="ABU227" s="3"/>
      <c r="ABV227" s="3"/>
      <c r="ABW227" s="3"/>
      <c r="ABX227" s="3"/>
      <c r="ABY227" s="3"/>
      <c r="ABZ227" s="3"/>
      <c r="ACA227" s="3"/>
      <c r="ACB227" s="3"/>
      <c r="ACC227" s="3"/>
      <c r="ACD227" s="3"/>
      <c r="ACE227" s="3"/>
      <c r="ACF227" s="3"/>
      <c r="ACG227" s="3"/>
      <c r="ACH227" s="3"/>
      <c r="ACI227" s="3"/>
      <c r="ACJ227" s="3"/>
      <c r="ACK227" s="3"/>
      <c r="ACL227" s="3"/>
      <c r="ACM227" s="3"/>
      <c r="ACN227" s="3"/>
      <c r="ACO227" s="3"/>
      <c r="ACP227" s="3"/>
      <c r="ACQ227" s="3"/>
      <c r="ACR227" s="3"/>
      <c r="ACS227" s="3"/>
      <c r="ACT227" s="3"/>
      <c r="ACU227" s="3"/>
      <c r="ACV227" s="3"/>
      <c r="ACW227" s="3"/>
      <c r="ACX227" s="3"/>
      <c r="ACY227" s="3"/>
      <c r="ACZ227" s="3"/>
      <c r="ADA227" s="3"/>
      <c r="ADB227" s="3"/>
      <c r="ADC227" s="3"/>
      <c r="ADD227" s="3"/>
      <c r="ADE227" s="3"/>
      <c r="ADF227" s="3"/>
      <c r="ADG227" s="3"/>
      <c r="ADH227" s="3"/>
      <c r="ADI227" s="3"/>
      <c r="ADJ227" s="3"/>
      <c r="ADK227" s="3"/>
      <c r="ADL227" s="3"/>
      <c r="ADM227" s="3"/>
      <c r="ADN227" s="3"/>
      <c r="ADO227" s="3"/>
      <c r="ADP227" s="3"/>
      <c r="ADQ227" s="3"/>
      <c r="ADR227" s="3"/>
      <c r="ADS227" s="3"/>
      <c r="ADT227" s="3"/>
      <c r="ADU227" s="3"/>
      <c r="ADV227" s="3"/>
      <c r="ADW227" s="3"/>
      <c r="ADX227" s="3"/>
      <c r="ADY227" s="3"/>
      <c r="ADZ227" s="3"/>
      <c r="AEA227" s="3"/>
      <c r="AEB227" s="3"/>
      <c r="AEC227" s="3"/>
      <c r="AED227" s="3"/>
      <c r="AEE227" s="3"/>
      <c r="AEF227" s="3"/>
      <c r="AEG227" s="3"/>
      <c r="AEH227" s="3"/>
      <c r="AEI227" s="3"/>
      <c r="AEJ227" s="3"/>
      <c r="AEK227" s="3"/>
      <c r="AEL227" s="3"/>
      <c r="AEM227" s="3"/>
      <c r="AEN227" s="3"/>
      <c r="AEO227" s="3"/>
      <c r="AEP227" s="3"/>
      <c r="AEQ227" s="3"/>
      <c r="AER227" s="3"/>
      <c r="AES227" s="3"/>
      <c r="AET227" s="3"/>
      <c r="AEU227" s="3"/>
      <c r="AEV227" s="3"/>
      <c r="AEW227" s="3"/>
      <c r="AEX227" s="3"/>
      <c r="AEY227" s="3"/>
      <c r="AEZ227" s="3"/>
      <c r="AFA227" s="3"/>
      <c r="AFB227" s="3"/>
      <c r="AFC227" s="3"/>
      <c r="AFD227" s="3"/>
      <c r="AFE227" s="3"/>
      <c r="AFF227" s="3"/>
      <c r="AFG227" s="3"/>
      <c r="AFH227" s="3"/>
      <c r="AFI227" s="3"/>
      <c r="AFJ227" s="3"/>
      <c r="AFK227" s="3"/>
      <c r="AFL227" s="3"/>
      <c r="AFM227" s="3"/>
      <c r="AFN227" s="3"/>
      <c r="AFO227" s="3"/>
      <c r="AFP227" s="3"/>
      <c r="AFQ227" s="3"/>
      <c r="AFR227" s="3"/>
      <c r="AFS227" s="3"/>
      <c r="AFT227" s="3"/>
      <c r="AFU227" s="3"/>
      <c r="AFV227" s="3"/>
      <c r="AFW227" s="3"/>
      <c r="AFX227" s="3"/>
      <c r="AFY227" s="3"/>
      <c r="AFZ227" s="3"/>
      <c r="AGA227" s="3"/>
      <c r="AGB227" s="3"/>
      <c r="AGC227" s="3"/>
      <c r="AGD227" s="3"/>
      <c r="AGE227" s="3"/>
      <c r="AGF227" s="3"/>
      <c r="AGG227" s="3"/>
      <c r="AGH227" s="3"/>
      <c r="AGI227" s="3"/>
      <c r="AGJ227" s="3"/>
      <c r="AGK227" s="3"/>
      <c r="AGL227" s="3"/>
      <c r="AGM227" s="3"/>
      <c r="AGN227" s="3"/>
      <c r="AGO227" s="3"/>
      <c r="AGP227" s="3"/>
      <c r="AGQ227" s="3"/>
      <c r="AGR227" s="3"/>
      <c r="AGS227" s="3"/>
      <c r="AGT227" s="3"/>
      <c r="AGU227" s="3"/>
      <c r="AGV227" s="3"/>
      <c r="AGW227" s="3"/>
      <c r="AGX227" s="3"/>
      <c r="AGY227" s="3"/>
      <c r="AGZ227" s="3"/>
      <c r="AHA227" s="3"/>
      <c r="AHB227" s="3"/>
      <c r="AHC227" s="3"/>
      <c r="AHD227" s="3"/>
      <c r="AHE227" s="3"/>
      <c r="AHF227" s="3"/>
      <c r="AHG227" s="3"/>
      <c r="AHH227" s="3"/>
      <c r="AHI227" s="3"/>
      <c r="AHJ227" s="3"/>
      <c r="AHK227" s="3"/>
      <c r="AHL227" s="3"/>
      <c r="AHM227" s="3"/>
      <c r="AHN227" s="3"/>
      <c r="AHO227" s="3"/>
      <c r="AHP227" s="3"/>
      <c r="AHQ227" s="3"/>
      <c r="AHR227" s="3"/>
      <c r="AHS227" s="3"/>
      <c r="AHT227" s="3"/>
      <c r="AHU227" s="3"/>
      <c r="AHV227" s="3"/>
      <c r="AHW227" s="3"/>
      <c r="AHX227" s="3"/>
      <c r="AHY227" s="3"/>
      <c r="AHZ227" s="3"/>
      <c r="AIA227" s="3"/>
      <c r="AIB227" s="3"/>
      <c r="AIC227" s="3"/>
      <c r="AID227" s="3"/>
      <c r="AIE227" s="3"/>
      <c r="AIF227" s="3"/>
      <c r="AIG227" s="3"/>
      <c r="AIH227" s="3"/>
      <c r="AII227" s="3"/>
      <c r="AIJ227" s="3"/>
      <c r="AIK227" s="3"/>
      <c r="AIL227" s="3"/>
      <c r="AIM227" s="3"/>
      <c r="AIN227" s="3"/>
      <c r="AIO227" s="3"/>
      <c r="AIP227" s="3"/>
      <c r="AIQ227" s="3"/>
      <c r="AIR227" s="3"/>
      <c r="AIS227" s="3"/>
      <c r="AIT227" s="3"/>
      <c r="AIU227" s="3"/>
      <c r="AIV227" s="3"/>
      <c r="AIW227" s="3"/>
      <c r="AIX227" s="3"/>
      <c r="AIY227" s="3"/>
      <c r="AIZ227" s="3"/>
      <c r="AJA227" s="3"/>
      <c r="AJB227" s="3"/>
      <c r="AJC227" s="3"/>
      <c r="AJD227" s="3"/>
      <c r="AJE227" s="3"/>
      <c r="AJF227" s="3"/>
      <c r="AJG227" s="3"/>
      <c r="AJH227" s="3"/>
      <c r="AJI227" s="3"/>
      <c r="AJJ227" s="3"/>
      <c r="AJK227" s="3"/>
      <c r="AJL227" s="3"/>
      <c r="AJM227" s="3"/>
      <c r="AJN227" s="3"/>
      <c r="AJO227" s="3"/>
      <c r="AJP227" s="3"/>
      <c r="AJQ227" s="3"/>
      <c r="AJR227" s="3"/>
      <c r="AJS227" s="3"/>
      <c r="AJT227" s="3"/>
      <c r="AJU227" s="3"/>
      <c r="AJV227" s="3"/>
      <c r="AJW227" s="3"/>
      <c r="AJX227" s="3"/>
      <c r="AJY227" s="3"/>
      <c r="AJZ227" s="3"/>
      <c r="AKA227" s="3"/>
      <c r="AKB227" s="3"/>
      <c r="AKC227" s="3"/>
      <c r="AKD227" s="3"/>
      <c r="AKE227" s="3"/>
      <c r="AKF227" s="3"/>
      <c r="AKG227" s="3"/>
      <c r="AKH227" s="3"/>
      <c r="AKI227" s="3"/>
      <c r="AKJ227" s="3"/>
      <c r="AKK227" s="3"/>
      <c r="AKL227" s="3"/>
      <c r="AKM227" s="3"/>
      <c r="AKN227" s="3"/>
      <c r="AKO227" s="3"/>
      <c r="AKP227" s="3"/>
      <c r="AKQ227" s="3"/>
      <c r="AKR227" s="3"/>
      <c r="AKS227" s="3"/>
      <c r="AKT227" s="3"/>
      <c r="AKU227" s="3"/>
      <c r="AKV227" s="3"/>
      <c r="AKW227" s="3"/>
      <c r="AKX227" s="3"/>
      <c r="AKY227" s="3"/>
      <c r="AKZ227" s="3"/>
      <c r="ALA227" s="3"/>
      <c r="ALB227" s="3"/>
      <c r="ALC227" s="3"/>
      <c r="ALD227" s="3"/>
      <c r="ALE227" s="3"/>
      <c r="ALF227" s="3"/>
      <c r="ALG227" s="3"/>
      <c r="ALH227" s="3"/>
      <c r="ALI227" s="3"/>
      <c r="ALJ227" s="3"/>
      <c r="ALK227" s="3"/>
      <c r="ALL227" s="3"/>
      <c r="ALM227" s="3"/>
      <c r="ALN227" s="3"/>
      <c r="ALO227" s="3"/>
      <c r="ALP227" s="3"/>
      <c r="ALQ227" s="3"/>
      <c r="ALR227" s="3"/>
      <c r="ALS227" s="3"/>
      <c r="ALT227" s="3"/>
      <c r="ALU227" s="3"/>
      <c r="ALV227" s="3"/>
      <c r="ALW227" s="3"/>
      <c r="ALX227" s="3"/>
      <c r="ALY227" s="3"/>
      <c r="ALZ227" s="3"/>
      <c r="AMA227" s="3"/>
      <c r="AMB227" s="3"/>
      <c r="AMC227" s="3"/>
      <c r="AMD227" s="3"/>
      <c r="AME227" s="3"/>
      <c r="AMF227" s="3"/>
      <c r="AMG227" s="3"/>
      <c r="AMH227" s="3"/>
      <c r="AMI227" s="3"/>
      <c r="AMJ227" s="3"/>
      <c r="AMK227" s="3"/>
      <c r="AML227" s="3"/>
      <c r="AMM227" s="3"/>
      <c r="AMN227" s="3"/>
      <c r="AMO227" s="3"/>
      <c r="AMP227" s="3"/>
      <c r="AMQ227" s="3"/>
      <c r="AMR227" s="3"/>
      <c r="AMS227" s="3"/>
      <c r="AMT227" s="3"/>
      <c r="AMU227" s="3"/>
      <c r="AMV227" s="3"/>
      <c r="AMW227" s="3"/>
      <c r="AMX227" s="3"/>
      <c r="AMY227" s="3"/>
      <c r="AMZ227" s="3"/>
      <c r="ANA227" s="3"/>
      <c r="ANB227" s="3"/>
      <c r="ANC227" s="3"/>
      <c r="AND227" s="3"/>
      <c r="ANE227" s="3"/>
      <c r="ANF227" s="3"/>
      <c r="ANG227" s="3"/>
      <c r="ANH227" s="3"/>
      <c r="ANI227" s="3"/>
      <c r="ANJ227" s="3"/>
      <c r="ANK227" s="3"/>
      <c r="ANL227" s="3"/>
      <c r="ANM227" s="3"/>
      <c r="ANN227" s="3"/>
      <c r="ANO227" s="3"/>
      <c r="ANP227" s="3"/>
      <c r="ANQ227" s="3"/>
      <c r="ANR227" s="3"/>
      <c r="ANS227" s="3"/>
      <c r="ANT227" s="3"/>
      <c r="ANU227" s="3"/>
      <c r="ANV227" s="3"/>
      <c r="ANW227" s="3"/>
      <c r="ANX227" s="3"/>
      <c r="ANY227" s="3"/>
      <c r="ANZ227" s="3"/>
      <c r="AOA227" s="3"/>
      <c r="AOB227" s="3"/>
      <c r="AOC227" s="3"/>
      <c r="AOD227" s="3"/>
      <c r="AOE227" s="3"/>
      <c r="AOF227" s="3"/>
      <c r="AOG227" s="3"/>
      <c r="AOH227" s="3"/>
      <c r="AOI227" s="3"/>
      <c r="AOJ227" s="3"/>
      <c r="AOK227" s="3"/>
      <c r="AOL227" s="3"/>
      <c r="AOM227" s="3"/>
      <c r="AON227" s="3"/>
      <c r="AOO227" s="3"/>
      <c r="AOP227" s="3"/>
      <c r="AOQ227" s="3"/>
      <c r="AOR227" s="3"/>
      <c r="AOS227" s="3"/>
      <c r="AOT227" s="3"/>
      <c r="AOU227" s="3"/>
      <c r="AOV227" s="3"/>
      <c r="AOW227" s="3"/>
      <c r="AOX227" s="3"/>
      <c r="AOY227" s="3"/>
      <c r="AOZ227" s="3"/>
      <c r="APA227" s="3"/>
      <c r="APB227" s="3"/>
      <c r="APC227" s="3"/>
      <c r="APD227" s="3"/>
      <c r="APE227" s="3"/>
      <c r="APF227" s="3"/>
      <c r="APG227" s="3"/>
      <c r="APH227" s="3"/>
      <c r="API227" s="3"/>
      <c r="APJ227" s="3"/>
      <c r="APK227" s="3"/>
      <c r="APL227" s="3"/>
      <c r="APM227" s="3"/>
      <c r="APN227" s="3"/>
      <c r="APO227" s="3"/>
      <c r="APP227" s="3"/>
      <c r="APQ227" s="3"/>
      <c r="APR227" s="3"/>
      <c r="APS227" s="3"/>
      <c r="APT227" s="3"/>
      <c r="APU227" s="3"/>
      <c r="APV227" s="3"/>
      <c r="APW227" s="3"/>
      <c r="APX227" s="3"/>
      <c r="APY227" s="3"/>
      <c r="APZ227" s="3"/>
      <c r="AQA227" s="3"/>
      <c r="AQB227" s="3"/>
      <c r="AQC227" s="3"/>
      <c r="AQD227" s="3"/>
      <c r="AQE227" s="3"/>
      <c r="AQF227" s="3"/>
      <c r="AQG227" s="3"/>
      <c r="AQH227" s="3"/>
      <c r="AQI227" s="3"/>
      <c r="AQJ227" s="3"/>
      <c r="AQK227" s="3"/>
      <c r="AQL227" s="3"/>
      <c r="AQM227" s="3"/>
      <c r="AQN227" s="3"/>
      <c r="AQO227" s="3"/>
      <c r="AQP227" s="3"/>
      <c r="AQQ227" s="3"/>
      <c r="AQR227" s="3"/>
      <c r="AQS227" s="3"/>
      <c r="AQT227" s="3"/>
      <c r="AQU227" s="3"/>
      <c r="AQV227" s="3"/>
      <c r="AQW227" s="3"/>
      <c r="AQX227" s="3"/>
      <c r="AQY227" s="3"/>
      <c r="AQZ227" s="3"/>
      <c r="ARA227" s="3"/>
      <c r="ARB227" s="3"/>
      <c r="ARC227" s="3"/>
      <c r="ARD227" s="3"/>
      <c r="ARE227" s="3"/>
      <c r="ARF227" s="3"/>
      <c r="ARG227" s="3"/>
      <c r="ARH227" s="3"/>
      <c r="ARI227" s="3"/>
      <c r="ARJ227" s="3"/>
      <c r="ARK227" s="3"/>
      <c r="ARL227" s="3"/>
      <c r="ARM227" s="3"/>
      <c r="ARN227" s="3"/>
      <c r="ARO227" s="3"/>
      <c r="ARP227" s="3"/>
      <c r="ARQ227" s="3"/>
      <c r="ARR227" s="3"/>
      <c r="ARS227" s="3"/>
      <c r="ART227" s="3"/>
      <c r="ARU227" s="3"/>
      <c r="ARV227" s="3"/>
      <c r="ARW227" s="3"/>
      <c r="ARX227" s="3"/>
      <c r="ARY227" s="3"/>
      <c r="ARZ227" s="3"/>
      <c r="ASA227" s="3"/>
      <c r="ASB227" s="3"/>
      <c r="ASC227" s="3"/>
      <c r="ASD227" s="3"/>
      <c r="ASE227" s="3"/>
      <c r="ASF227" s="3"/>
      <c r="ASG227" s="3"/>
      <c r="ASH227" s="3"/>
      <c r="ASI227" s="3"/>
      <c r="ASJ227" s="3"/>
      <c r="ASK227" s="3"/>
      <c r="ASL227" s="3"/>
      <c r="ASM227" s="3"/>
      <c r="ASN227" s="3"/>
      <c r="ASO227" s="3"/>
      <c r="ASP227" s="3"/>
      <c r="ASQ227" s="3"/>
      <c r="ASR227" s="3"/>
      <c r="ASS227" s="3"/>
      <c r="AST227" s="3"/>
      <c r="ASU227" s="3"/>
      <c r="ASV227" s="3"/>
      <c r="ASW227" s="3"/>
      <c r="ASX227" s="3"/>
      <c r="ASY227" s="3"/>
      <c r="ASZ227" s="3"/>
      <c r="ATA227" s="3"/>
      <c r="ATB227" s="3"/>
      <c r="ATC227" s="3"/>
      <c r="ATD227" s="3"/>
      <c r="ATE227" s="3"/>
      <c r="ATF227" s="3"/>
      <c r="ATG227" s="3"/>
      <c r="ATH227" s="3"/>
      <c r="ATI227" s="3"/>
      <c r="ATJ227" s="3"/>
      <c r="ATK227" s="3"/>
      <c r="ATL227" s="3"/>
      <c r="ATM227" s="3"/>
      <c r="ATN227" s="3"/>
      <c r="ATO227" s="3"/>
      <c r="ATP227" s="3"/>
      <c r="ATQ227" s="3"/>
      <c r="ATR227" s="3"/>
      <c r="ATS227" s="3"/>
      <c r="ATT227" s="3"/>
      <c r="ATU227" s="3"/>
      <c r="ATV227" s="3"/>
      <c r="ATW227" s="3"/>
      <c r="ATX227" s="3"/>
      <c r="ATY227" s="3"/>
      <c r="ATZ227" s="3"/>
      <c r="AUA227" s="3"/>
      <c r="AUB227" s="3"/>
      <c r="AUC227" s="3"/>
      <c r="AUD227" s="3"/>
      <c r="AUE227" s="3"/>
      <c r="AUF227" s="3"/>
      <c r="AUG227" s="3"/>
      <c r="AUH227" s="3"/>
      <c r="AUI227" s="3"/>
      <c r="AUJ227" s="3"/>
      <c r="AUK227" s="3"/>
      <c r="AUL227" s="3"/>
      <c r="AUM227" s="3"/>
      <c r="AUN227" s="3"/>
      <c r="AUO227" s="3"/>
      <c r="AUP227" s="3"/>
      <c r="AUQ227" s="3"/>
      <c r="AUR227" s="3"/>
      <c r="AUS227" s="3"/>
      <c r="AUT227" s="3"/>
      <c r="AUU227" s="3"/>
      <c r="AUV227" s="3"/>
      <c r="AUW227" s="3"/>
      <c r="AUX227" s="3"/>
      <c r="AUY227" s="3"/>
      <c r="AUZ227" s="3"/>
      <c r="AVA227" s="3"/>
      <c r="AVB227" s="3"/>
      <c r="AVC227" s="3"/>
      <c r="AVD227" s="3"/>
      <c r="AVE227" s="3"/>
      <c r="AVF227" s="3"/>
      <c r="AVG227" s="3"/>
      <c r="AVH227" s="3"/>
      <c r="AVI227" s="3"/>
      <c r="AVJ227" s="3"/>
      <c r="AVK227" s="3"/>
      <c r="AVL227" s="3"/>
      <c r="AVM227" s="3"/>
      <c r="AVN227" s="3"/>
      <c r="AVO227" s="3"/>
      <c r="AVP227" s="3"/>
      <c r="AVQ227" s="3"/>
      <c r="AVR227" s="3"/>
      <c r="AVS227" s="3"/>
      <c r="AVT227" s="3"/>
      <c r="AVU227" s="3"/>
      <c r="AVV227" s="3"/>
      <c r="AVW227" s="3"/>
      <c r="AVX227" s="3"/>
      <c r="AVY227" s="3"/>
      <c r="AVZ227" s="3"/>
      <c r="AWA227" s="3"/>
      <c r="AWB227" s="3"/>
      <c r="AWC227" s="3"/>
      <c r="AWD227" s="3"/>
      <c r="AWE227" s="3"/>
      <c r="AWF227" s="3"/>
      <c r="AWG227" s="3"/>
      <c r="AWH227" s="3"/>
      <c r="AWI227" s="3"/>
      <c r="AWJ227" s="3"/>
      <c r="AWK227" s="3"/>
      <c r="AWL227" s="3"/>
      <c r="AWM227" s="3"/>
      <c r="AWN227" s="3"/>
      <c r="AWO227" s="3"/>
      <c r="AWP227" s="3"/>
      <c r="AWQ227" s="3"/>
      <c r="AWR227" s="3"/>
      <c r="AWS227" s="3"/>
      <c r="AWT227" s="3"/>
      <c r="AWU227" s="3"/>
      <c r="AWV227" s="3"/>
      <c r="AWW227" s="3"/>
      <c r="AWX227" s="3"/>
      <c r="AWY227" s="3"/>
      <c r="AWZ227" s="3"/>
      <c r="AXA227" s="3"/>
      <c r="AXB227" s="3"/>
      <c r="AXC227" s="3"/>
      <c r="AXD227" s="3"/>
      <c r="AXE227" s="3"/>
      <c r="AXF227" s="3"/>
      <c r="AXG227" s="3"/>
      <c r="AXH227" s="3"/>
      <c r="AXI227" s="3"/>
      <c r="AXJ227" s="3"/>
      <c r="AXK227" s="3"/>
      <c r="AXL227" s="3"/>
      <c r="AXM227" s="3"/>
      <c r="AXN227" s="3"/>
      <c r="AXO227" s="3"/>
      <c r="AXP227" s="3"/>
      <c r="AXQ227" s="3"/>
      <c r="AXR227" s="3"/>
      <c r="AXS227" s="3"/>
      <c r="AXT227" s="3"/>
      <c r="AXU227" s="3"/>
      <c r="AXV227" s="3"/>
      <c r="AXW227" s="3"/>
      <c r="AXX227" s="3"/>
      <c r="AXY227" s="3"/>
      <c r="AXZ227" s="3"/>
      <c r="AYA227" s="3"/>
      <c r="AYB227" s="3"/>
      <c r="AYC227" s="3"/>
      <c r="AYD227" s="3"/>
      <c r="AYE227" s="3"/>
      <c r="AYF227" s="3"/>
      <c r="AYG227" s="3"/>
      <c r="AYH227" s="3"/>
      <c r="AYI227" s="3"/>
      <c r="AYJ227" s="3"/>
      <c r="AYK227" s="3"/>
      <c r="AYL227" s="3"/>
      <c r="AYM227" s="3"/>
      <c r="AYN227" s="3"/>
      <c r="AYO227" s="3"/>
      <c r="AYP227" s="3"/>
      <c r="AYQ227" s="3"/>
      <c r="AYR227" s="3"/>
      <c r="AYS227" s="3"/>
      <c r="AYT227" s="3"/>
      <c r="AYU227" s="3"/>
      <c r="AYV227" s="3"/>
      <c r="AYW227" s="3"/>
      <c r="AYX227" s="3"/>
      <c r="AYY227" s="3"/>
      <c r="AYZ227" s="3"/>
      <c r="AZA227" s="3"/>
      <c r="AZB227" s="3"/>
      <c r="AZC227" s="3"/>
      <c r="AZD227" s="3"/>
      <c r="AZE227" s="3"/>
      <c r="AZF227" s="3"/>
      <c r="AZG227" s="3"/>
      <c r="AZH227" s="3"/>
      <c r="AZI227" s="3"/>
      <c r="AZJ227" s="3"/>
      <c r="AZK227" s="3"/>
      <c r="AZL227" s="3"/>
      <c r="AZM227" s="3"/>
      <c r="AZN227" s="3"/>
      <c r="AZO227" s="3"/>
      <c r="AZP227" s="3"/>
      <c r="AZQ227" s="3"/>
      <c r="AZR227" s="3"/>
      <c r="AZS227" s="3"/>
      <c r="AZT227" s="3"/>
      <c r="AZU227" s="3"/>
      <c r="AZV227" s="3"/>
      <c r="AZW227" s="3"/>
      <c r="AZX227" s="3"/>
      <c r="AZY227" s="3"/>
      <c r="AZZ227" s="3"/>
      <c r="BAA227" s="3"/>
      <c r="BAB227" s="3"/>
      <c r="BAC227" s="3"/>
      <c r="BAD227" s="3"/>
      <c r="BAE227" s="3"/>
      <c r="BAF227" s="3"/>
      <c r="BAG227" s="3"/>
      <c r="BAH227" s="3"/>
      <c r="BAI227" s="3"/>
      <c r="BAJ227" s="3"/>
      <c r="BAK227" s="3"/>
      <c r="BAL227" s="3"/>
      <c r="BAM227" s="3"/>
      <c r="BAN227" s="3"/>
      <c r="BAO227" s="3"/>
      <c r="BAP227" s="3"/>
      <c r="BAQ227" s="3"/>
      <c r="BAR227" s="3"/>
      <c r="BAS227" s="3"/>
      <c r="BAT227" s="3"/>
      <c r="BAU227" s="3"/>
      <c r="BAV227" s="3"/>
      <c r="BAW227" s="3"/>
      <c r="BAX227" s="3"/>
      <c r="BAY227" s="3"/>
      <c r="BAZ227" s="3"/>
      <c r="BBA227" s="3"/>
      <c r="BBB227" s="3"/>
      <c r="BBC227" s="3"/>
      <c r="BBD227" s="3"/>
      <c r="BBE227" s="3"/>
      <c r="BBF227" s="3"/>
      <c r="BBG227" s="3"/>
      <c r="BBH227" s="3"/>
      <c r="BBI227" s="3"/>
      <c r="BBJ227" s="3"/>
      <c r="BBK227" s="3"/>
      <c r="BBL227" s="3"/>
      <c r="BBM227" s="3"/>
      <c r="BBN227" s="3"/>
      <c r="BBO227" s="3"/>
      <c r="BBP227" s="3"/>
      <c r="BBQ227" s="3"/>
      <c r="BBR227" s="3"/>
      <c r="BBS227" s="3"/>
      <c r="BBT227" s="3"/>
      <c r="BBU227" s="3"/>
      <c r="BBV227" s="3"/>
      <c r="BBW227" s="3"/>
      <c r="BBX227" s="3"/>
      <c r="BBY227" s="3"/>
      <c r="BBZ227" s="3"/>
      <c r="BCA227" s="3"/>
      <c r="BCB227" s="3"/>
      <c r="BCC227" s="3"/>
      <c r="BCD227" s="3"/>
      <c r="BCE227" s="3"/>
      <c r="BCF227" s="3"/>
      <c r="BCG227" s="3"/>
      <c r="BCH227" s="3"/>
      <c r="BCI227" s="3"/>
      <c r="BCJ227" s="3"/>
      <c r="BCK227" s="3"/>
      <c r="BCL227" s="3"/>
      <c r="BCM227" s="3"/>
      <c r="BCN227" s="3"/>
      <c r="BCO227" s="3"/>
      <c r="BCP227" s="3"/>
      <c r="BCQ227" s="3"/>
      <c r="BCR227" s="3"/>
      <c r="BCS227" s="3"/>
      <c r="BCT227" s="3"/>
      <c r="BCU227" s="3"/>
      <c r="BCV227" s="3"/>
      <c r="BCW227" s="3"/>
      <c r="BCX227" s="3"/>
      <c r="BCY227" s="3"/>
      <c r="BCZ227" s="3"/>
      <c r="BDA227" s="3"/>
      <c r="BDB227" s="3"/>
      <c r="BDC227" s="3"/>
      <c r="BDD227" s="3"/>
      <c r="BDE227" s="3"/>
      <c r="BDF227" s="3"/>
      <c r="BDG227" s="3"/>
      <c r="BDH227" s="3"/>
      <c r="BDI227" s="3"/>
      <c r="BDJ227" s="3"/>
      <c r="BDK227" s="3"/>
      <c r="BDL227" s="3"/>
      <c r="BDM227" s="3"/>
      <c r="BDN227" s="3"/>
      <c r="BDO227" s="3"/>
      <c r="BDP227" s="3"/>
      <c r="BDQ227" s="3"/>
      <c r="BDR227" s="3"/>
      <c r="BDS227" s="3"/>
      <c r="BDT227" s="3"/>
      <c r="BDU227" s="3"/>
      <c r="BDV227" s="3"/>
      <c r="BDW227" s="3"/>
      <c r="BDX227" s="3"/>
      <c r="BDY227" s="3"/>
      <c r="BDZ227" s="3"/>
      <c r="BEA227" s="3"/>
      <c r="BEB227" s="3"/>
      <c r="BEC227" s="3"/>
      <c r="BED227" s="3"/>
      <c r="BEE227" s="3"/>
      <c r="BEF227" s="3"/>
      <c r="BEG227" s="3"/>
      <c r="BEH227" s="3"/>
      <c r="BEI227" s="3"/>
      <c r="BEJ227" s="3"/>
      <c r="BEK227" s="3"/>
      <c r="BEL227" s="3"/>
      <c r="BEM227" s="3"/>
      <c r="BEN227" s="3"/>
      <c r="BEO227" s="3"/>
      <c r="BEP227" s="3"/>
      <c r="BEQ227" s="3"/>
      <c r="BER227" s="3"/>
      <c r="BES227" s="3"/>
      <c r="BET227" s="3"/>
      <c r="BEU227" s="3"/>
      <c r="BEV227" s="3"/>
      <c r="BEW227" s="3"/>
      <c r="BEX227" s="3"/>
      <c r="BEY227" s="3"/>
      <c r="BEZ227" s="3"/>
      <c r="BFA227" s="3"/>
      <c r="BFB227" s="3"/>
      <c r="BFC227" s="3"/>
      <c r="BFD227" s="3"/>
      <c r="BFE227" s="3"/>
      <c r="BFF227" s="3"/>
      <c r="BFG227" s="3"/>
      <c r="BFH227" s="3"/>
      <c r="BFI227" s="3"/>
      <c r="BFJ227" s="3"/>
      <c r="BFK227" s="3"/>
      <c r="BFL227" s="3"/>
      <c r="BFM227" s="3"/>
      <c r="BFN227" s="3"/>
      <c r="BFO227" s="3"/>
      <c r="BFP227" s="3"/>
      <c r="BFQ227" s="3"/>
      <c r="BFR227" s="3"/>
      <c r="BFS227" s="3"/>
      <c r="BFT227" s="3"/>
      <c r="BFU227" s="3"/>
      <c r="BFV227" s="3"/>
      <c r="BFW227" s="3"/>
      <c r="BFX227" s="3"/>
      <c r="BFY227" s="3"/>
      <c r="BFZ227" s="3"/>
      <c r="BGA227" s="3"/>
      <c r="BGB227" s="3"/>
      <c r="BGC227" s="3"/>
      <c r="BGD227" s="3"/>
      <c r="BGE227" s="3"/>
      <c r="BGF227" s="3"/>
      <c r="BGG227" s="3"/>
      <c r="BGH227" s="3"/>
      <c r="BGI227" s="3"/>
      <c r="BGJ227" s="3"/>
      <c r="BGK227" s="3"/>
      <c r="BGL227" s="3"/>
      <c r="BGM227" s="3"/>
      <c r="BGN227" s="3"/>
      <c r="BGO227" s="3"/>
      <c r="BGP227" s="3"/>
      <c r="BGQ227" s="3"/>
      <c r="BGR227" s="3"/>
      <c r="BGS227" s="3"/>
      <c r="BGT227" s="3"/>
      <c r="BGU227" s="3"/>
      <c r="BGV227" s="3"/>
      <c r="BGW227" s="3"/>
      <c r="BGX227" s="3"/>
      <c r="BGY227" s="3"/>
      <c r="BGZ227" s="3"/>
      <c r="BHA227" s="3"/>
      <c r="BHB227" s="3"/>
      <c r="BHC227" s="3"/>
      <c r="BHD227" s="3"/>
      <c r="BHE227" s="3"/>
      <c r="BHF227" s="3"/>
      <c r="BHG227" s="3"/>
      <c r="BHH227" s="3"/>
      <c r="BHI227" s="3"/>
      <c r="BHJ227" s="3"/>
      <c r="BHK227" s="3"/>
      <c r="BHL227" s="3"/>
      <c r="BHM227" s="3"/>
      <c r="BHN227" s="3"/>
      <c r="BHO227" s="3"/>
      <c r="BHP227" s="3"/>
      <c r="BHQ227" s="3"/>
      <c r="BHR227" s="3"/>
      <c r="BHS227" s="3"/>
      <c r="BHT227" s="3"/>
      <c r="BHU227" s="3"/>
      <c r="BHV227" s="3"/>
      <c r="BHW227" s="3"/>
      <c r="BHX227" s="3"/>
      <c r="BHY227" s="3"/>
      <c r="BHZ227" s="3"/>
      <c r="BIA227" s="3"/>
      <c r="BIB227" s="3"/>
      <c r="BIC227" s="3"/>
      <c r="BID227" s="3"/>
      <c r="BIE227" s="3"/>
      <c r="BIF227" s="3"/>
      <c r="BIG227" s="3"/>
      <c r="BIH227" s="3"/>
      <c r="BII227" s="3"/>
      <c r="BIJ227" s="3"/>
      <c r="BIK227" s="3"/>
      <c r="BIL227" s="3"/>
      <c r="BIM227" s="3"/>
      <c r="BIN227" s="3"/>
      <c r="BIO227" s="3"/>
      <c r="BIP227" s="3"/>
      <c r="BIQ227" s="3"/>
      <c r="BIR227" s="3"/>
      <c r="BIS227" s="3"/>
      <c r="BIT227" s="3"/>
      <c r="BIU227" s="3"/>
      <c r="BIV227" s="3"/>
      <c r="BIW227" s="3"/>
      <c r="BIX227" s="3"/>
      <c r="BIY227" s="3"/>
      <c r="BIZ227" s="3"/>
      <c r="BJA227" s="3"/>
      <c r="BJB227" s="3"/>
      <c r="BJC227" s="3"/>
      <c r="BJD227" s="3"/>
      <c r="BJE227" s="3"/>
      <c r="BJF227" s="3"/>
      <c r="BJG227" s="3"/>
      <c r="BJH227" s="3"/>
      <c r="BJI227" s="3"/>
      <c r="BJJ227" s="3"/>
      <c r="BJK227" s="3"/>
      <c r="BJL227" s="3"/>
      <c r="BJM227" s="3"/>
      <c r="BJN227" s="3"/>
      <c r="BJO227" s="3"/>
      <c r="BJP227" s="3"/>
      <c r="BJQ227" s="3"/>
      <c r="BJR227" s="3"/>
      <c r="BJS227" s="3"/>
      <c r="BJT227" s="3"/>
      <c r="BJU227" s="3"/>
      <c r="BJV227" s="3"/>
      <c r="BJW227" s="3"/>
      <c r="BJX227" s="3"/>
      <c r="BJY227" s="3"/>
      <c r="BJZ227" s="3"/>
      <c r="BKA227" s="3"/>
      <c r="BKB227" s="3"/>
      <c r="BKC227" s="3"/>
      <c r="BKD227" s="3"/>
      <c r="BKE227" s="3"/>
      <c r="BKF227" s="3"/>
      <c r="BKG227" s="3"/>
      <c r="BKH227" s="3"/>
      <c r="BKI227" s="3"/>
      <c r="BKJ227" s="3"/>
      <c r="BKK227" s="3"/>
      <c r="BKL227" s="3"/>
      <c r="BKM227" s="3"/>
      <c r="BKN227" s="3"/>
      <c r="BKO227" s="3"/>
      <c r="BKP227" s="3"/>
      <c r="BKQ227" s="3"/>
      <c r="BKR227" s="3"/>
      <c r="BKS227" s="3"/>
      <c r="BKT227" s="3"/>
      <c r="BKU227" s="3"/>
      <c r="BKV227" s="3"/>
      <c r="BKW227" s="3"/>
      <c r="BKX227" s="3"/>
      <c r="BKY227" s="3"/>
      <c r="BKZ227" s="3"/>
      <c r="BLA227" s="3"/>
      <c r="BLB227" s="3"/>
      <c r="BLC227" s="3"/>
      <c r="BLD227" s="3"/>
      <c r="BLE227" s="3"/>
      <c r="BLF227" s="3"/>
      <c r="BLG227" s="3"/>
      <c r="BLH227" s="3"/>
      <c r="BLI227" s="3"/>
      <c r="BLJ227" s="3"/>
      <c r="BLK227" s="3"/>
      <c r="BLL227" s="3"/>
      <c r="BLM227" s="3"/>
      <c r="BLN227" s="3"/>
      <c r="BLO227" s="3"/>
      <c r="BLP227" s="3"/>
      <c r="BLQ227" s="3"/>
      <c r="BLR227" s="3"/>
      <c r="BLS227" s="3"/>
      <c r="BLT227" s="3"/>
      <c r="BLU227" s="3"/>
      <c r="BLV227" s="3"/>
      <c r="BLW227" s="3"/>
      <c r="BLX227" s="3"/>
      <c r="BLY227" s="3"/>
      <c r="BLZ227" s="3"/>
      <c r="BMA227" s="3"/>
      <c r="BMB227" s="3"/>
      <c r="BMC227" s="3"/>
      <c r="BMD227" s="3"/>
      <c r="BME227" s="3"/>
      <c r="BMF227" s="3"/>
      <c r="BMG227" s="3"/>
      <c r="BMH227" s="3"/>
      <c r="BMI227" s="3"/>
      <c r="BMJ227" s="3"/>
      <c r="BMK227" s="3"/>
      <c r="BML227" s="3"/>
      <c r="BMM227" s="3"/>
      <c r="BMN227" s="3"/>
      <c r="BMO227" s="3"/>
      <c r="BMP227" s="3"/>
      <c r="BMQ227" s="3"/>
      <c r="BMR227" s="3"/>
      <c r="BMS227" s="3"/>
      <c r="BMT227" s="3"/>
      <c r="BMU227" s="3"/>
      <c r="BMV227" s="3"/>
      <c r="BMW227" s="3"/>
      <c r="BMX227" s="3"/>
      <c r="BMY227" s="3"/>
      <c r="BMZ227" s="3"/>
      <c r="BNA227" s="3"/>
      <c r="BNB227" s="3"/>
      <c r="BNC227" s="3"/>
      <c r="BND227" s="3"/>
      <c r="BNE227" s="3"/>
      <c r="BNF227" s="3"/>
      <c r="BNG227" s="3"/>
      <c r="BNH227" s="3"/>
      <c r="BNI227" s="3"/>
      <c r="BNJ227" s="3"/>
      <c r="BNK227" s="3"/>
      <c r="BNL227" s="3"/>
      <c r="BNM227" s="3"/>
      <c r="BNN227" s="3"/>
      <c r="BNO227" s="3"/>
      <c r="BNP227" s="3"/>
      <c r="BNQ227" s="3"/>
      <c r="BNR227" s="3"/>
      <c r="BNS227" s="3"/>
      <c r="BNT227" s="3"/>
      <c r="BNU227" s="3"/>
      <c r="BNV227" s="3"/>
      <c r="BNW227" s="3"/>
      <c r="BNX227" s="3"/>
      <c r="BNY227" s="3"/>
      <c r="BNZ227" s="3"/>
      <c r="BOA227" s="3"/>
      <c r="BOB227" s="3"/>
      <c r="BOC227" s="3"/>
      <c r="BOD227" s="3"/>
      <c r="BOE227" s="3"/>
      <c r="BOF227" s="3"/>
      <c r="BOG227" s="3"/>
      <c r="BOH227" s="3"/>
      <c r="BOI227" s="3"/>
      <c r="BOJ227" s="3"/>
      <c r="BOK227" s="3"/>
      <c r="BOL227" s="3"/>
      <c r="BOM227" s="3"/>
      <c r="BON227" s="3"/>
      <c r="BOO227" s="3"/>
      <c r="BOP227" s="3"/>
      <c r="BOQ227" s="3"/>
      <c r="BOR227" s="3"/>
      <c r="BOS227" s="3"/>
      <c r="BOT227" s="3"/>
      <c r="BOU227" s="3"/>
      <c r="BOV227" s="3"/>
      <c r="BOW227" s="3"/>
      <c r="BOX227" s="3"/>
      <c r="BOY227" s="3"/>
      <c r="BOZ227" s="3"/>
      <c r="BPA227" s="3"/>
      <c r="BPB227" s="3"/>
      <c r="BPC227" s="3"/>
      <c r="BPD227" s="3"/>
      <c r="BPE227" s="3"/>
      <c r="BPF227" s="3"/>
      <c r="BPG227" s="3"/>
      <c r="BPH227" s="3"/>
      <c r="BPI227" s="3"/>
      <c r="BPJ227" s="3"/>
      <c r="BPK227" s="3"/>
      <c r="BPL227" s="3"/>
      <c r="BPM227" s="3"/>
      <c r="BPN227" s="3"/>
      <c r="BPO227" s="3"/>
      <c r="BPP227" s="3"/>
      <c r="BPQ227" s="3"/>
      <c r="BPR227" s="3"/>
      <c r="BPS227" s="3"/>
      <c r="BPT227" s="3"/>
      <c r="BPU227" s="3"/>
      <c r="BPV227" s="3"/>
      <c r="BPW227" s="3"/>
      <c r="BPX227" s="3"/>
      <c r="BPY227" s="3"/>
      <c r="BPZ227" s="3"/>
      <c r="BQA227" s="3"/>
      <c r="BQB227" s="3"/>
      <c r="BQC227" s="3"/>
      <c r="BQD227" s="3"/>
      <c r="BQE227" s="3"/>
      <c r="BQF227" s="3"/>
      <c r="BQG227" s="3"/>
      <c r="BQH227" s="3"/>
      <c r="BQI227" s="3"/>
      <c r="BQJ227" s="3"/>
      <c r="BQK227" s="3"/>
      <c r="BQL227" s="3"/>
      <c r="BQM227" s="3"/>
      <c r="BQN227" s="3"/>
      <c r="BQO227" s="3"/>
      <c r="BQP227" s="3"/>
      <c r="BQQ227" s="3"/>
      <c r="BQR227" s="3"/>
      <c r="BQS227" s="3"/>
      <c r="BQT227" s="3"/>
      <c r="BQU227" s="3"/>
      <c r="BQV227" s="3"/>
      <c r="BQW227" s="3"/>
      <c r="BQX227" s="3"/>
      <c r="BQY227" s="3"/>
      <c r="BQZ227" s="3"/>
      <c r="BRA227" s="3"/>
      <c r="BRB227" s="3"/>
      <c r="BRC227" s="3"/>
      <c r="BRD227" s="3"/>
      <c r="BRE227" s="3"/>
      <c r="BRF227" s="3"/>
      <c r="BRG227" s="3"/>
      <c r="BRH227" s="3"/>
      <c r="BRI227" s="3"/>
      <c r="BRJ227" s="3"/>
      <c r="BRK227" s="3"/>
      <c r="BRL227" s="3"/>
      <c r="BRM227" s="3"/>
      <c r="BRN227" s="3"/>
      <c r="BRO227" s="3"/>
      <c r="BRP227" s="3"/>
      <c r="BRQ227" s="3"/>
      <c r="BRR227" s="3"/>
      <c r="BRS227" s="3"/>
      <c r="BRT227" s="3"/>
      <c r="BRU227" s="3"/>
      <c r="BRV227" s="3"/>
      <c r="BRW227" s="3"/>
      <c r="BRX227" s="3"/>
      <c r="BRY227" s="3"/>
      <c r="BRZ227" s="3"/>
      <c r="BSA227" s="3"/>
      <c r="BSB227" s="3"/>
      <c r="BSC227" s="3"/>
      <c r="BSD227" s="3"/>
      <c r="BSE227" s="3"/>
      <c r="BSF227" s="3"/>
      <c r="BSG227" s="3"/>
      <c r="BSH227" s="3"/>
      <c r="BSI227" s="3"/>
      <c r="BSJ227" s="3"/>
      <c r="BSK227" s="3"/>
      <c r="BSL227" s="3"/>
      <c r="BSM227" s="3"/>
      <c r="BSN227" s="3"/>
      <c r="BSO227" s="3"/>
      <c r="BSP227" s="3"/>
      <c r="BSQ227" s="3"/>
      <c r="BSR227" s="3"/>
      <c r="BSS227" s="3"/>
      <c r="BST227" s="3"/>
      <c r="BSU227" s="3"/>
      <c r="BSV227" s="3"/>
      <c r="BSW227" s="3"/>
      <c r="BSX227" s="3"/>
      <c r="BSY227" s="3"/>
      <c r="BSZ227" s="3"/>
      <c r="BTA227" s="3"/>
      <c r="BTB227" s="3"/>
      <c r="BTC227" s="3"/>
      <c r="BTD227" s="3"/>
      <c r="BTE227" s="3"/>
      <c r="BTF227" s="3"/>
      <c r="BTG227" s="3"/>
      <c r="BTH227" s="3"/>
      <c r="BTI227" s="3"/>
      <c r="BTJ227" s="3"/>
      <c r="BTK227" s="3"/>
      <c r="BTL227" s="3"/>
      <c r="BTM227" s="3"/>
      <c r="BTN227" s="3"/>
      <c r="BTO227" s="3"/>
      <c r="BTP227" s="3"/>
      <c r="BTQ227" s="3"/>
      <c r="BTR227" s="3"/>
      <c r="BTS227" s="3"/>
      <c r="BTT227" s="3"/>
      <c r="BTU227" s="3"/>
      <c r="BTV227" s="3"/>
      <c r="BTW227" s="3"/>
      <c r="BTX227" s="3"/>
      <c r="BTY227" s="3"/>
      <c r="BTZ227" s="3"/>
      <c r="BUA227" s="3"/>
      <c r="BUB227" s="3"/>
      <c r="BUC227" s="3"/>
      <c r="BUD227" s="3"/>
      <c r="BUE227" s="3"/>
      <c r="BUF227" s="3"/>
      <c r="BUG227" s="3"/>
      <c r="BUH227" s="3"/>
      <c r="BUI227" s="3"/>
      <c r="BUJ227" s="3"/>
      <c r="BUK227" s="3"/>
      <c r="BUL227" s="3"/>
      <c r="BUM227" s="3"/>
      <c r="BUN227" s="3"/>
      <c r="BUO227" s="3"/>
      <c r="BUP227" s="3"/>
      <c r="BUQ227" s="3"/>
      <c r="BUR227" s="3"/>
      <c r="BUS227" s="3"/>
      <c r="BUT227" s="3"/>
      <c r="BUU227" s="3"/>
      <c r="BUV227" s="3"/>
      <c r="BUW227" s="3"/>
      <c r="BUX227" s="3"/>
      <c r="BUY227" s="3"/>
      <c r="BUZ227" s="3"/>
      <c r="BVA227" s="3"/>
      <c r="BVB227" s="3"/>
      <c r="BVC227" s="3"/>
      <c r="BVD227" s="3"/>
      <c r="BVE227" s="3"/>
      <c r="BVF227" s="3"/>
      <c r="BVG227" s="3"/>
      <c r="BVH227" s="3"/>
      <c r="BVI227" s="3"/>
      <c r="BVJ227" s="3"/>
      <c r="BVK227" s="3"/>
      <c r="BVL227" s="3"/>
      <c r="BVM227" s="3"/>
      <c r="BVN227" s="3"/>
      <c r="BVO227" s="3"/>
      <c r="BVP227" s="3"/>
      <c r="BVQ227" s="3"/>
      <c r="BVR227" s="3"/>
      <c r="BVS227" s="3"/>
      <c r="BVT227" s="3"/>
      <c r="BVU227" s="3"/>
      <c r="BVV227" s="3"/>
      <c r="BVW227" s="3"/>
      <c r="BVX227" s="3"/>
      <c r="BVY227" s="3"/>
      <c r="BVZ227" s="3"/>
      <c r="BWA227" s="3"/>
      <c r="BWB227" s="3"/>
      <c r="BWC227" s="3"/>
      <c r="BWD227" s="3"/>
      <c r="BWE227" s="3"/>
      <c r="BWF227" s="3"/>
      <c r="BWG227" s="3"/>
      <c r="BWH227" s="3"/>
      <c r="BWI227" s="3"/>
      <c r="BWJ227" s="3"/>
      <c r="BWK227" s="3"/>
      <c r="BWL227" s="3"/>
      <c r="BWM227" s="3"/>
      <c r="BWN227" s="3"/>
      <c r="BWO227" s="3"/>
      <c r="BWP227" s="3"/>
      <c r="BWQ227" s="3"/>
      <c r="BWR227" s="3"/>
      <c r="BWS227" s="3"/>
      <c r="BWT227" s="3"/>
      <c r="BWU227" s="3"/>
      <c r="BWV227" s="3"/>
      <c r="BWW227" s="3"/>
      <c r="BWX227" s="3"/>
      <c r="BWY227" s="3"/>
      <c r="BWZ227" s="3"/>
      <c r="BXA227" s="3"/>
      <c r="BXB227" s="3"/>
      <c r="BXC227" s="3"/>
      <c r="BXD227" s="3"/>
      <c r="BXE227" s="3"/>
      <c r="BXF227" s="3"/>
      <c r="BXG227" s="3"/>
      <c r="BXH227" s="3"/>
      <c r="BXI227" s="3"/>
      <c r="BXJ227" s="3"/>
      <c r="BXK227" s="3"/>
      <c r="BXL227" s="3"/>
      <c r="BXM227" s="3"/>
      <c r="BXN227" s="3"/>
      <c r="BXO227" s="3"/>
      <c r="BXP227" s="3"/>
      <c r="BXQ227" s="3"/>
      <c r="BXR227" s="3"/>
      <c r="BXS227" s="3"/>
      <c r="BXT227" s="3"/>
      <c r="BXU227" s="3"/>
      <c r="BXV227" s="3"/>
      <c r="BXW227" s="3"/>
      <c r="BXX227" s="3"/>
      <c r="BXY227" s="3"/>
      <c r="BXZ227" s="3"/>
      <c r="BYA227" s="3"/>
      <c r="BYB227" s="3"/>
      <c r="BYC227" s="3"/>
      <c r="BYD227" s="3"/>
      <c r="BYE227" s="3"/>
      <c r="BYF227" s="3"/>
      <c r="BYG227" s="3"/>
      <c r="BYH227" s="3"/>
      <c r="BYI227" s="3"/>
      <c r="BYJ227" s="3"/>
      <c r="BYK227" s="3"/>
      <c r="BYL227" s="3"/>
      <c r="BYM227" s="3"/>
      <c r="BYN227" s="3"/>
      <c r="BYO227" s="3"/>
      <c r="BYP227" s="3"/>
      <c r="BYQ227" s="3"/>
      <c r="BYR227" s="3"/>
      <c r="BYS227" s="3"/>
      <c r="BYT227" s="3"/>
      <c r="BYU227" s="3"/>
      <c r="BYV227" s="3"/>
      <c r="BYW227" s="3"/>
      <c r="BYX227" s="3"/>
      <c r="BYY227" s="3"/>
      <c r="BYZ227" s="3"/>
      <c r="BZA227" s="3"/>
      <c r="BZB227" s="3"/>
      <c r="BZC227" s="3"/>
      <c r="BZD227" s="3"/>
      <c r="BZE227" s="3"/>
      <c r="BZF227" s="3"/>
      <c r="BZG227" s="3"/>
      <c r="BZH227" s="3"/>
      <c r="BZI227" s="3"/>
      <c r="BZJ227" s="3"/>
      <c r="BZK227" s="3"/>
      <c r="BZL227" s="3"/>
      <c r="BZM227" s="3"/>
      <c r="BZN227" s="3"/>
      <c r="BZO227" s="3"/>
      <c r="BZP227" s="3"/>
      <c r="BZQ227" s="3"/>
      <c r="BZR227" s="3"/>
      <c r="BZS227" s="3"/>
      <c r="BZT227" s="3"/>
      <c r="BZU227" s="3"/>
      <c r="BZV227" s="3"/>
      <c r="BZW227" s="3"/>
      <c r="BZX227" s="3"/>
      <c r="BZY227" s="3"/>
      <c r="BZZ227" s="3"/>
      <c r="CAA227" s="3"/>
      <c r="CAB227" s="3"/>
      <c r="CAC227" s="3"/>
      <c r="CAD227" s="3"/>
      <c r="CAE227" s="3"/>
      <c r="CAF227" s="3"/>
      <c r="CAG227" s="3"/>
      <c r="CAH227" s="3"/>
      <c r="CAI227" s="3"/>
      <c r="CAJ227" s="3"/>
      <c r="CAK227" s="3"/>
      <c r="CAL227" s="3"/>
      <c r="CAM227" s="3"/>
      <c r="CAN227" s="3"/>
      <c r="CAO227" s="3"/>
      <c r="CAP227" s="3"/>
      <c r="CAQ227" s="3"/>
      <c r="CAR227" s="3"/>
      <c r="CAS227" s="3"/>
      <c r="CAT227" s="3"/>
      <c r="CAU227" s="3"/>
      <c r="CAV227" s="3"/>
      <c r="CAW227" s="3"/>
      <c r="CAX227" s="3"/>
      <c r="CAY227" s="3"/>
      <c r="CAZ227" s="3"/>
      <c r="CBA227" s="3"/>
      <c r="CBB227" s="3"/>
      <c r="CBC227" s="3"/>
      <c r="CBD227" s="3"/>
      <c r="CBE227" s="3"/>
      <c r="CBF227" s="3"/>
      <c r="CBG227" s="3"/>
      <c r="CBH227" s="3"/>
      <c r="CBI227" s="3"/>
      <c r="CBJ227" s="3"/>
      <c r="CBK227" s="3"/>
      <c r="CBL227" s="3"/>
      <c r="CBM227" s="3"/>
      <c r="CBN227" s="3"/>
      <c r="CBO227" s="3"/>
      <c r="CBP227" s="3"/>
      <c r="CBQ227" s="3"/>
      <c r="CBR227" s="3"/>
      <c r="CBS227" s="3"/>
      <c r="CBT227" s="3"/>
      <c r="CBU227" s="3"/>
      <c r="CBV227" s="3"/>
      <c r="CBW227" s="3"/>
      <c r="CBX227" s="3"/>
      <c r="CBY227" s="3"/>
      <c r="CBZ227" s="3"/>
      <c r="CCA227" s="3"/>
      <c r="CCB227" s="3"/>
      <c r="CCC227" s="3"/>
      <c r="CCD227" s="3"/>
      <c r="CCE227" s="3"/>
      <c r="CCF227" s="3"/>
      <c r="CCG227" s="3"/>
      <c r="CCH227" s="3"/>
      <c r="CCI227" s="3"/>
      <c r="CCJ227" s="3"/>
      <c r="CCK227" s="3"/>
      <c r="CCL227" s="3"/>
      <c r="CCM227" s="3"/>
      <c r="CCN227" s="3"/>
      <c r="CCO227" s="3"/>
      <c r="CCP227" s="3"/>
      <c r="CCQ227" s="3"/>
      <c r="CCR227" s="3"/>
      <c r="CCS227" s="3"/>
      <c r="CCT227" s="3"/>
      <c r="CCU227" s="3"/>
      <c r="CCV227" s="3"/>
      <c r="CCW227" s="3"/>
      <c r="CCX227" s="3"/>
      <c r="CCY227" s="3"/>
      <c r="CCZ227" s="3"/>
      <c r="CDA227" s="3"/>
      <c r="CDB227" s="3"/>
      <c r="CDC227" s="3"/>
      <c r="CDD227" s="3"/>
      <c r="CDE227" s="3"/>
      <c r="CDF227" s="3"/>
      <c r="CDG227" s="3"/>
      <c r="CDH227" s="3"/>
      <c r="CDI227" s="3"/>
      <c r="CDJ227" s="3"/>
      <c r="CDK227" s="3"/>
      <c r="CDL227" s="3"/>
      <c r="CDM227" s="3"/>
      <c r="CDN227" s="3"/>
      <c r="CDO227" s="3"/>
      <c r="CDP227" s="3"/>
      <c r="CDQ227" s="3"/>
      <c r="CDR227" s="3"/>
      <c r="CDS227" s="3"/>
      <c r="CDT227" s="3"/>
      <c r="CDU227" s="3"/>
      <c r="CDV227" s="3"/>
      <c r="CDW227" s="3"/>
      <c r="CDX227" s="3"/>
      <c r="CDY227" s="3"/>
      <c r="CDZ227" s="3"/>
      <c r="CEA227" s="3"/>
      <c r="CEB227" s="3"/>
      <c r="CEC227" s="3"/>
      <c r="CED227" s="3"/>
      <c r="CEE227" s="3"/>
      <c r="CEF227" s="3"/>
      <c r="CEG227" s="3"/>
      <c r="CEH227" s="3"/>
      <c r="CEI227" s="3"/>
      <c r="CEJ227" s="3"/>
      <c r="CEK227" s="3"/>
      <c r="CEL227" s="3"/>
      <c r="CEM227" s="3"/>
      <c r="CEN227" s="3"/>
      <c r="CEO227" s="3"/>
      <c r="CEP227" s="3"/>
      <c r="CEQ227" s="3"/>
      <c r="CER227" s="3"/>
      <c r="CES227" s="3"/>
      <c r="CET227" s="3"/>
      <c r="CEU227" s="3"/>
      <c r="CEV227" s="3"/>
      <c r="CEW227" s="3"/>
      <c r="CEX227" s="3"/>
      <c r="CEY227" s="3"/>
      <c r="CEZ227" s="3"/>
      <c r="CFA227" s="3"/>
      <c r="CFB227" s="3"/>
      <c r="CFC227" s="3"/>
      <c r="CFD227" s="3"/>
      <c r="CFE227" s="3"/>
      <c r="CFF227" s="3"/>
      <c r="CFG227" s="3"/>
      <c r="CFH227" s="3"/>
      <c r="CFI227" s="3"/>
      <c r="CFJ227" s="3"/>
      <c r="CFK227" s="3"/>
      <c r="CFL227" s="3"/>
      <c r="CFM227" s="3"/>
      <c r="CFN227" s="3"/>
      <c r="CFO227" s="3"/>
      <c r="CFP227" s="3"/>
      <c r="CFQ227" s="3"/>
      <c r="CFR227" s="3"/>
      <c r="CFS227" s="3"/>
      <c r="CFT227" s="3"/>
      <c r="CFU227" s="3"/>
      <c r="CFV227" s="3"/>
      <c r="CFW227" s="3"/>
      <c r="CFX227" s="3"/>
      <c r="CFY227" s="3"/>
      <c r="CFZ227" s="3"/>
      <c r="CGA227" s="3"/>
      <c r="CGB227" s="3"/>
      <c r="CGC227" s="3"/>
      <c r="CGD227" s="3"/>
      <c r="CGE227" s="3"/>
      <c r="CGF227" s="3"/>
      <c r="CGG227" s="3"/>
      <c r="CGH227" s="3"/>
      <c r="CGI227" s="3"/>
      <c r="CGJ227" s="3"/>
      <c r="CGK227" s="3"/>
      <c r="CGL227" s="3"/>
      <c r="CGM227" s="3"/>
      <c r="CGN227" s="3"/>
      <c r="CGO227" s="3"/>
      <c r="CGP227" s="3"/>
      <c r="CGQ227" s="3"/>
      <c r="CGR227" s="3"/>
      <c r="CGS227" s="3"/>
      <c r="CGT227" s="3"/>
      <c r="CGU227" s="3"/>
      <c r="CGV227" s="3"/>
      <c r="CGW227" s="3"/>
      <c r="CGX227" s="3"/>
      <c r="CGY227" s="3"/>
      <c r="CGZ227" s="3"/>
      <c r="CHA227" s="3"/>
      <c r="CHB227" s="3"/>
      <c r="CHC227" s="3"/>
      <c r="CHD227" s="3"/>
      <c r="CHE227" s="3"/>
      <c r="CHF227" s="3"/>
      <c r="CHG227" s="3"/>
      <c r="CHH227" s="3"/>
      <c r="CHI227" s="3"/>
      <c r="CHJ227" s="3"/>
      <c r="CHK227" s="3"/>
      <c r="CHL227" s="3"/>
      <c r="CHM227" s="3"/>
      <c r="CHN227" s="3"/>
      <c r="CHO227" s="3"/>
      <c r="CHP227" s="3"/>
      <c r="CHQ227" s="3"/>
      <c r="CHR227" s="3"/>
      <c r="CHS227" s="3"/>
      <c r="CHT227" s="3"/>
      <c r="CHU227" s="3"/>
      <c r="CHV227" s="3"/>
      <c r="CHW227" s="3"/>
      <c r="CHX227" s="3"/>
      <c r="CHY227" s="3"/>
      <c r="CHZ227" s="3"/>
      <c r="CIA227" s="3"/>
      <c r="CIB227" s="3"/>
      <c r="CIC227" s="3"/>
      <c r="CID227" s="3"/>
      <c r="CIE227" s="3"/>
      <c r="CIF227" s="3"/>
      <c r="CIG227" s="3"/>
      <c r="CIH227" s="3"/>
      <c r="CII227" s="3"/>
      <c r="CIJ227" s="3"/>
      <c r="CIK227" s="3"/>
      <c r="CIL227" s="3"/>
      <c r="CIM227" s="3"/>
      <c r="CIN227" s="3"/>
      <c r="CIO227" s="3"/>
      <c r="CIP227" s="3"/>
      <c r="CIQ227" s="3"/>
      <c r="CIR227" s="3"/>
      <c r="CIS227" s="3"/>
      <c r="CIT227" s="3"/>
      <c r="CIU227" s="3"/>
      <c r="CIV227" s="3"/>
      <c r="CIW227" s="3"/>
      <c r="CIX227" s="3"/>
      <c r="CIY227" s="3"/>
      <c r="CIZ227" s="3"/>
      <c r="CJA227" s="3"/>
      <c r="CJB227" s="3"/>
      <c r="CJC227" s="3"/>
      <c r="CJD227" s="3"/>
      <c r="CJE227" s="3"/>
      <c r="CJF227" s="3"/>
      <c r="CJG227" s="3"/>
      <c r="CJH227" s="3"/>
      <c r="CJI227" s="3"/>
      <c r="CJJ227" s="3"/>
      <c r="CJK227" s="3"/>
      <c r="CJL227" s="3"/>
      <c r="CJM227" s="3"/>
      <c r="CJN227" s="3"/>
      <c r="CJO227" s="3"/>
      <c r="CJP227" s="3"/>
      <c r="CJQ227" s="3"/>
      <c r="CJR227" s="3"/>
      <c r="CJS227" s="3"/>
      <c r="CJT227" s="3"/>
      <c r="CJU227" s="3"/>
      <c r="CJV227" s="3"/>
      <c r="CJW227" s="3"/>
      <c r="CJX227" s="3"/>
      <c r="CJY227" s="3"/>
      <c r="CJZ227" s="3"/>
      <c r="CKA227" s="3"/>
      <c r="CKB227" s="3"/>
      <c r="CKC227" s="3"/>
      <c r="CKD227" s="3"/>
      <c r="CKE227" s="3"/>
      <c r="CKF227" s="3"/>
      <c r="CKG227" s="3"/>
      <c r="CKH227" s="3"/>
      <c r="CKI227" s="3"/>
      <c r="CKJ227" s="3"/>
      <c r="CKK227" s="3"/>
      <c r="CKL227" s="3"/>
      <c r="CKM227" s="3"/>
      <c r="CKN227" s="3"/>
      <c r="CKO227" s="3"/>
      <c r="CKP227" s="3"/>
      <c r="CKQ227" s="3"/>
      <c r="CKR227" s="3"/>
      <c r="CKS227" s="3"/>
      <c r="CKT227" s="3"/>
      <c r="CKU227" s="3"/>
      <c r="CKV227" s="3"/>
      <c r="CKW227" s="3"/>
      <c r="CKX227" s="3"/>
      <c r="CKY227" s="3"/>
      <c r="CKZ227" s="3"/>
      <c r="CLA227" s="3"/>
      <c r="CLB227" s="3"/>
      <c r="CLC227" s="3"/>
      <c r="CLD227" s="3"/>
      <c r="CLE227" s="3"/>
      <c r="CLF227" s="3"/>
      <c r="CLG227" s="3"/>
      <c r="CLH227" s="3"/>
      <c r="CLI227" s="3"/>
      <c r="CLJ227" s="3"/>
      <c r="CLK227" s="3"/>
      <c r="CLL227" s="3"/>
      <c r="CLM227" s="3"/>
      <c r="CLN227" s="3"/>
      <c r="CLO227" s="3"/>
      <c r="CLP227" s="3"/>
      <c r="CLQ227" s="3"/>
      <c r="CLR227" s="3"/>
      <c r="CLS227" s="3"/>
      <c r="CLT227" s="3"/>
      <c r="CLU227" s="3"/>
      <c r="CLV227" s="3"/>
      <c r="CLW227" s="3"/>
      <c r="CLX227" s="3"/>
      <c r="CLY227" s="3"/>
      <c r="CLZ227" s="3"/>
      <c r="CMA227" s="3"/>
      <c r="CMB227" s="3"/>
      <c r="CMC227" s="3"/>
      <c r="CMD227" s="3"/>
      <c r="CME227" s="3"/>
      <c r="CMF227" s="3"/>
      <c r="CMG227" s="3"/>
      <c r="CMH227" s="3"/>
      <c r="CMI227" s="3"/>
      <c r="CMJ227" s="3"/>
      <c r="CMK227" s="3"/>
      <c r="CML227" s="3"/>
      <c r="CMM227" s="3"/>
      <c r="CMN227" s="3"/>
      <c r="CMO227" s="3"/>
      <c r="CMP227" s="3"/>
      <c r="CMQ227" s="3"/>
      <c r="CMR227" s="3"/>
      <c r="CMS227" s="3"/>
      <c r="CMT227" s="3"/>
      <c r="CMU227" s="3"/>
      <c r="CMV227" s="3"/>
      <c r="CMW227" s="3"/>
      <c r="CMX227" s="3"/>
      <c r="CMY227" s="3"/>
      <c r="CMZ227" s="3"/>
      <c r="CNA227" s="3"/>
      <c r="CNB227" s="3"/>
      <c r="CNC227" s="3"/>
      <c r="CND227" s="3"/>
      <c r="CNE227" s="3"/>
      <c r="CNF227" s="3"/>
      <c r="CNG227" s="3"/>
      <c r="CNH227" s="3"/>
      <c r="CNI227" s="3"/>
      <c r="CNJ227" s="3"/>
      <c r="CNK227" s="3"/>
      <c r="CNL227" s="3"/>
      <c r="CNM227" s="3"/>
      <c r="CNN227" s="3"/>
      <c r="CNO227" s="3"/>
      <c r="CNP227" s="3"/>
      <c r="CNQ227" s="3"/>
      <c r="CNR227" s="3"/>
      <c r="CNS227" s="3"/>
      <c r="CNT227" s="3"/>
      <c r="CNU227" s="3"/>
      <c r="CNV227" s="3"/>
      <c r="CNW227" s="3"/>
      <c r="CNX227" s="3"/>
      <c r="CNY227" s="3"/>
      <c r="CNZ227" s="3"/>
      <c r="COA227" s="3"/>
      <c r="COB227" s="3"/>
      <c r="COC227" s="3"/>
      <c r="COD227" s="3"/>
      <c r="COE227" s="3"/>
      <c r="COF227" s="3"/>
      <c r="COG227" s="3"/>
      <c r="COH227" s="3"/>
      <c r="COI227" s="3"/>
      <c r="COJ227" s="3"/>
      <c r="COK227" s="3"/>
      <c r="COL227" s="3"/>
      <c r="COM227" s="3"/>
      <c r="CON227" s="3"/>
      <c r="COO227" s="3"/>
      <c r="COP227" s="3"/>
      <c r="COQ227" s="3"/>
      <c r="COR227" s="3"/>
      <c r="COS227" s="3"/>
      <c r="COT227" s="3"/>
      <c r="COU227" s="3"/>
      <c r="COV227" s="3"/>
      <c r="COW227" s="3"/>
      <c r="COX227" s="3"/>
      <c r="COY227" s="3"/>
      <c r="COZ227" s="3"/>
      <c r="CPA227" s="3"/>
      <c r="CPB227" s="3"/>
      <c r="CPC227" s="3"/>
      <c r="CPD227" s="3"/>
      <c r="CPE227" s="3"/>
      <c r="CPF227" s="3"/>
      <c r="CPG227" s="3"/>
      <c r="CPH227" s="3"/>
      <c r="CPI227" s="3"/>
      <c r="CPJ227" s="3"/>
      <c r="CPK227" s="3"/>
      <c r="CPL227" s="3"/>
      <c r="CPM227" s="3"/>
      <c r="CPN227" s="3"/>
      <c r="CPO227" s="3"/>
      <c r="CPP227" s="3"/>
      <c r="CPQ227" s="3"/>
      <c r="CPR227" s="3"/>
      <c r="CPS227" s="3"/>
      <c r="CPT227" s="3"/>
      <c r="CPU227" s="3"/>
      <c r="CPV227" s="3"/>
      <c r="CPW227" s="3"/>
      <c r="CPX227" s="3"/>
      <c r="CPY227" s="3"/>
      <c r="CPZ227" s="3"/>
      <c r="CQA227" s="3"/>
      <c r="CQB227" s="3"/>
      <c r="CQC227" s="3"/>
      <c r="CQD227" s="3"/>
      <c r="CQE227" s="3"/>
      <c r="CQF227" s="3"/>
      <c r="CQG227" s="3"/>
      <c r="CQH227" s="3"/>
      <c r="CQI227" s="3"/>
      <c r="CQJ227" s="3"/>
      <c r="CQK227" s="3"/>
      <c r="CQL227" s="3"/>
      <c r="CQM227" s="3"/>
      <c r="CQN227" s="3"/>
      <c r="CQO227" s="3"/>
      <c r="CQP227" s="3"/>
      <c r="CQQ227" s="3"/>
      <c r="CQR227" s="3"/>
      <c r="CQS227" s="3"/>
      <c r="CQT227" s="3"/>
      <c r="CQU227" s="3"/>
      <c r="CQV227" s="3"/>
      <c r="CQW227" s="3"/>
      <c r="CQX227" s="3"/>
      <c r="CQY227" s="3"/>
      <c r="CQZ227" s="3"/>
      <c r="CRA227" s="3"/>
      <c r="CRB227" s="3"/>
      <c r="CRC227" s="3"/>
      <c r="CRD227" s="3"/>
      <c r="CRE227" s="3"/>
      <c r="CRF227" s="3"/>
      <c r="CRG227" s="3"/>
      <c r="CRH227" s="3"/>
      <c r="CRI227" s="3"/>
      <c r="CRJ227" s="3"/>
      <c r="CRK227" s="3"/>
      <c r="CRL227" s="3"/>
      <c r="CRM227" s="3"/>
      <c r="CRN227" s="3"/>
      <c r="CRO227" s="3"/>
      <c r="CRP227" s="3"/>
      <c r="CRQ227" s="3"/>
      <c r="CRR227" s="3"/>
      <c r="CRS227" s="3"/>
      <c r="CRT227" s="3"/>
      <c r="CRU227" s="3"/>
      <c r="CRV227" s="3"/>
      <c r="CRW227" s="3"/>
      <c r="CRX227" s="3"/>
      <c r="CRY227" s="3"/>
      <c r="CRZ227" s="3"/>
      <c r="CSA227" s="3"/>
      <c r="CSB227" s="3"/>
      <c r="CSC227" s="3"/>
      <c r="CSD227" s="3"/>
      <c r="CSE227" s="3"/>
      <c r="CSF227" s="3"/>
      <c r="CSG227" s="3"/>
      <c r="CSH227" s="3"/>
      <c r="CSI227" s="3"/>
      <c r="CSJ227" s="3"/>
      <c r="CSK227" s="3"/>
      <c r="CSL227" s="3"/>
      <c r="CSM227" s="3"/>
      <c r="CSN227" s="3"/>
      <c r="CSO227" s="3"/>
      <c r="CSP227" s="3"/>
      <c r="CSQ227" s="3"/>
      <c r="CSR227" s="3"/>
      <c r="CSS227" s="3"/>
      <c r="CST227" s="3"/>
      <c r="CSU227" s="3"/>
      <c r="CSV227" s="3"/>
      <c r="CSW227" s="3"/>
      <c r="CSX227" s="3"/>
      <c r="CSY227" s="3"/>
      <c r="CSZ227" s="3"/>
      <c r="CTA227" s="3"/>
      <c r="CTB227" s="3"/>
      <c r="CTC227" s="3"/>
      <c r="CTD227" s="3"/>
      <c r="CTE227" s="3"/>
      <c r="CTF227" s="3"/>
      <c r="CTG227" s="3"/>
      <c r="CTH227" s="3"/>
      <c r="CTI227" s="3"/>
      <c r="CTJ227" s="3"/>
      <c r="CTK227" s="3"/>
      <c r="CTL227" s="3"/>
      <c r="CTM227" s="3"/>
      <c r="CTN227" s="3"/>
      <c r="CTO227" s="3"/>
      <c r="CTP227" s="3"/>
      <c r="CTQ227" s="3"/>
      <c r="CTR227" s="3"/>
      <c r="CTS227" s="3"/>
      <c r="CTT227" s="3"/>
      <c r="CTU227" s="3"/>
      <c r="CTV227" s="3"/>
      <c r="CTW227" s="3"/>
      <c r="CTX227" s="3"/>
      <c r="CTY227" s="3"/>
      <c r="CTZ227" s="3"/>
      <c r="CUA227" s="3"/>
      <c r="CUB227" s="3"/>
      <c r="CUC227" s="3"/>
      <c r="CUD227" s="3"/>
      <c r="CUE227" s="3"/>
      <c r="CUF227" s="3"/>
      <c r="CUG227" s="3"/>
      <c r="CUH227" s="3"/>
      <c r="CUI227" s="3"/>
      <c r="CUJ227" s="3"/>
      <c r="CUK227" s="3"/>
      <c r="CUL227" s="3"/>
      <c r="CUM227" s="3"/>
      <c r="CUN227" s="3"/>
      <c r="CUO227" s="3"/>
      <c r="CUP227" s="3"/>
      <c r="CUQ227" s="3"/>
      <c r="CUR227" s="3"/>
      <c r="CUS227" s="3"/>
      <c r="CUT227" s="3"/>
      <c r="CUU227" s="3"/>
      <c r="CUV227" s="3"/>
      <c r="CUW227" s="3"/>
      <c r="CUX227" s="3"/>
      <c r="CUY227" s="3"/>
      <c r="CUZ227" s="3"/>
      <c r="CVA227" s="3"/>
      <c r="CVB227" s="3"/>
      <c r="CVC227" s="3"/>
      <c r="CVD227" s="3"/>
      <c r="CVE227" s="3"/>
      <c r="CVF227" s="3"/>
      <c r="CVG227" s="3"/>
      <c r="CVH227" s="3"/>
      <c r="CVI227" s="3"/>
      <c r="CVJ227" s="3"/>
      <c r="CVK227" s="3"/>
      <c r="CVL227" s="3"/>
      <c r="CVM227" s="3"/>
      <c r="CVN227" s="3"/>
      <c r="CVO227" s="3"/>
      <c r="CVP227" s="3"/>
      <c r="CVQ227" s="3"/>
      <c r="CVR227" s="3"/>
      <c r="CVS227" s="3"/>
      <c r="CVT227" s="3"/>
      <c r="CVU227" s="3"/>
      <c r="CVV227" s="3"/>
      <c r="CVW227" s="3"/>
      <c r="CVX227" s="3"/>
      <c r="CVY227" s="3"/>
      <c r="CVZ227" s="3"/>
      <c r="CWA227" s="3"/>
      <c r="CWB227" s="3"/>
      <c r="CWC227" s="3"/>
      <c r="CWD227" s="3"/>
      <c r="CWE227" s="3"/>
      <c r="CWF227" s="3"/>
      <c r="CWG227" s="3"/>
      <c r="CWH227" s="3"/>
      <c r="CWI227" s="3"/>
      <c r="CWJ227" s="3"/>
      <c r="CWK227" s="3"/>
      <c r="CWL227" s="3"/>
      <c r="CWM227" s="3"/>
      <c r="CWN227" s="3"/>
      <c r="CWO227" s="3"/>
      <c r="CWP227" s="3"/>
      <c r="CWQ227" s="3"/>
      <c r="CWR227" s="3"/>
      <c r="CWS227" s="3"/>
      <c r="CWT227" s="3"/>
      <c r="CWU227" s="3"/>
      <c r="CWV227" s="3"/>
      <c r="CWW227" s="3"/>
      <c r="CWX227" s="3"/>
      <c r="CWY227" s="3"/>
      <c r="CWZ227" s="3"/>
      <c r="CXA227" s="3"/>
      <c r="CXB227" s="3"/>
      <c r="CXC227" s="3"/>
      <c r="CXD227" s="3"/>
      <c r="CXE227" s="3"/>
      <c r="CXF227" s="3"/>
      <c r="CXG227" s="3"/>
      <c r="CXH227" s="3"/>
      <c r="CXI227" s="3"/>
      <c r="CXJ227" s="3"/>
      <c r="CXK227" s="3"/>
      <c r="CXL227" s="3"/>
      <c r="CXM227" s="3"/>
      <c r="CXN227" s="3"/>
      <c r="CXO227" s="3"/>
      <c r="CXP227" s="3"/>
      <c r="CXQ227" s="3"/>
      <c r="CXR227" s="3"/>
      <c r="CXS227" s="3"/>
      <c r="CXT227" s="3"/>
      <c r="CXU227" s="3"/>
      <c r="CXV227" s="3"/>
      <c r="CXW227" s="3"/>
      <c r="CXX227" s="3"/>
      <c r="CXY227" s="3"/>
      <c r="CXZ227" s="3"/>
      <c r="CYA227" s="3"/>
      <c r="CYB227" s="3"/>
      <c r="CYC227" s="3"/>
      <c r="CYD227" s="3"/>
      <c r="CYE227" s="3"/>
      <c r="CYF227" s="3"/>
      <c r="CYG227" s="3"/>
      <c r="CYH227" s="3"/>
      <c r="CYI227" s="3"/>
      <c r="CYJ227" s="3"/>
      <c r="CYK227" s="3"/>
      <c r="CYL227" s="3"/>
      <c r="CYM227" s="3"/>
      <c r="CYN227" s="3"/>
      <c r="CYO227" s="3"/>
      <c r="CYP227" s="3"/>
      <c r="CYQ227" s="3"/>
      <c r="CYR227" s="3"/>
      <c r="CYS227" s="3"/>
      <c r="CYT227" s="3"/>
      <c r="CYU227" s="3"/>
      <c r="CYV227" s="3"/>
      <c r="CYW227" s="3"/>
      <c r="CYX227" s="3"/>
      <c r="CYY227" s="3"/>
      <c r="CYZ227" s="3"/>
      <c r="CZA227" s="3"/>
      <c r="CZB227" s="3"/>
      <c r="CZC227" s="3"/>
      <c r="CZD227" s="3"/>
      <c r="CZE227" s="3"/>
      <c r="CZF227" s="3"/>
      <c r="CZG227" s="3"/>
      <c r="CZH227" s="3"/>
      <c r="CZI227" s="3"/>
      <c r="CZJ227" s="3"/>
      <c r="CZK227" s="3"/>
      <c r="CZL227" s="3"/>
      <c r="CZM227" s="3"/>
      <c r="CZN227" s="3"/>
      <c r="CZO227" s="3"/>
      <c r="CZP227" s="3"/>
      <c r="CZQ227" s="3"/>
      <c r="CZR227" s="3"/>
      <c r="CZS227" s="3"/>
      <c r="CZT227" s="3"/>
      <c r="CZU227" s="3"/>
      <c r="CZV227" s="3"/>
      <c r="CZW227" s="3"/>
      <c r="CZX227" s="3"/>
      <c r="CZY227" s="3"/>
      <c r="CZZ227" s="3"/>
      <c r="DAA227" s="3"/>
      <c r="DAB227" s="3"/>
      <c r="DAC227" s="3"/>
      <c r="DAD227" s="3"/>
      <c r="DAE227" s="3"/>
      <c r="DAF227" s="3"/>
      <c r="DAG227" s="3"/>
      <c r="DAH227" s="3"/>
      <c r="DAI227" s="3"/>
      <c r="DAJ227" s="3"/>
      <c r="DAK227" s="3"/>
      <c r="DAL227" s="3"/>
      <c r="DAM227" s="3"/>
      <c r="DAN227" s="3"/>
      <c r="DAO227" s="3"/>
      <c r="DAP227" s="3"/>
      <c r="DAQ227" s="3"/>
      <c r="DAR227" s="3"/>
      <c r="DAS227" s="3"/>
      <c r="DAT227" s="3"/>
      <c r="DAU227" s="3"/>
      <c r="DAV227" s="3"/>
      <c r="DAW227" s="3"/>
      <c r="DAX227" s="3"/>
      <c r="DAY227" s="3"/>
      <c r="DAZ227" s="3"/>
      <c r="DBA227" s="3"/>
      <c r="DBB227" s="3"/>
      <c r="DBC227" s="3"/>
      <c r="DBD227" s="3"/>
      <c r="DBE227" s="3"/>
      <c r="DBF227" s="3"/>
      <c r="DBG227" s="3"/>
      <c r="DBH227" s="3"/>
      <c r="DBI227" s="3"/>
      <c r="DBJ227" s="3"/>
      <c r="DBK227" s="3"/>
      <c r="DBL227" s="3"/>
      <c r="DBM227" s="3"/>
      <c r="DBN227" s="3"/>
      <c r="DBO227" s="3"/>
      <c r="DBP227" s="3"/>
      <c r="DBQ227" s="3"/>
      <c r="DBR227" s="3"/>
      <c r="DBS227" s="3"/>
      <c r="DBT227" s="3"/>
      <c r="DBU227" s="3"/>
      <c r="DBV227" s="3"/>
      <c r="DBW227" s="3"/>
      <c r="DBX227" s="3"/>
      <c r="DBY227" s="3"/>
      <c r="DBZ227" s="3"/>
      <c r="DCA227" s="3"/>
      <c r="DCB227" s="3"/>
      <c r="DCC227" s="3"/>
      <c r="DCD227" s="3"/>
      <c r="DCE227" s="3"/>
      <c r="DCF227" s="3"/>
      <c r="DCG227" s="3"/>
      <c r="DCH227" s="3"/>
      <c r="DCI227" s="3"/>
      <c r="DCJ227" s="3"/>
      <c r="DCK227" s="3"/>
      <c r="DCL227" s="3"/>
      <c r="DCM227" s="3"/>
      <c r="DCN227" s="3"/>
      <c r="DCO227" s="3"/>
      <c r="DCP227" s="3"/>
      <c r="DCQ227" s="3"/>
      <c r="DCR227" s="3"/>
      <c r="DCS227" s="3"/>
      <c r="DCT227" s="3"/>
      <c r="DCU227" s="3"/>
      <c r="DCV227" s="3"/>
      <c r="DCW227" s="3"/>
      <c r="DCX227" s="3"/>
      <c r="DCY227" s="3"/>
      <c r="DCZ227" s="3"/>
      <c r="DDA227" s="3"/>
      <c r="DDB227" s="3"/>
      <c r="DDC227" s="3"/>
      <c r="DDD227" s="3"/>
      <c r="DDE227" s="3"/>
      <c r="DDF227" s="3"/>
      <c r="DDG227" s="3"/>
      <c r="DDH227" s="3"/>
      <c r="DDI227" s="3"/>
      <c r="DDJ227" s="3"/>
      <c r="DDK227" s="3"/>
      <c r="DDL227" s="3"/>
      <c r="DDM227" s="3"/>
      <c r="DDN227" s="3"/>
      <c r="DDO227" s="3"/>
      <c r="DDP227" s="3"/>
      <c r="DDQ227" s="3"/>
      <c r="DDR227" s="3"/>
      <c r="DDS227" s="3"/>
      <c r="DDT227" s="3"/>
      <c r="DDU227" s="3"/>
      <c r="DDV227" s="3"/>
      <c r="DDW227" s="3"/>
      <c r="DDX227" s="3"/>
      <c r="DDY227" s="3"/>
      <c r="DDZ227" s="3"/>
      <c r="DEA227" s="3"/>
      <c r="DEB227" s="3"/>
      <c r="DEC227" s="3"/>
      <c r="DED227" s="3"/>
      <c r="DEE227" s="3"/>
      <c r="DEF227" s="3"/>
      <c r="DEG227" s="3"/>
      <c r="DEH227" s="3"/>
      <c r="DEI227" s="3"/>
      <c r="DEJ227" s="3"/>
      <c r="DEK227" s="3"/>
      <c r="DEL227" s="3"/>
      <c r="DEM227" s="3"/>
      <c r="DEN227" s="3"/>
      <c r="DEO227" s="3"/>
      <c r="DEP227" s="3"/>
      <c r="DEQ227" s="3"/>
      <c r="DER227" s="3"/>
      <c r="DES227" s="3"/>
      <c r="DET227" s="3"/>
      <c r="DEU227" s="3"/>
      <c r="DEV227" s="3"/>
      <c r="DEW227" s="3"/>
      <c r="DEX227" s="3"/>
      <c r="DEY227" s="3"/>
      <c r="DEZ227" s="3"/>
      <c r="DFA227" s="3"/>
      <c r="DFB227" s="3"/>
      <c r="DFC227" s="3"/>
      <c r="DFD227" s="3"/>
      <c r="DFE227" s="3"/>
      <c r="DFF227" s="3"/>
      <c r="DFG227" s="3"/>
      <c r="DFH227" s="3"/>
      <c r="DFI227" s="3"/>
      <c r="DFJ227" s="3"/>
      <c r="DFK227" s="3"/>
      <c r="DFL227" s="3"/>
      <c r="DFM227" s="3"/>
      <c r="DFN227" s="3"/>
      <c r="DFO227" s="3"/>
      <c r="DFP227" s="3"/>
      <c r="DFQ227" s="3"/>
      <c r="DFR227" s="3"/>
      <c r="DFS227" s="3"/>
      <c r="DFT227" s="3"/>
      <c r="DFU227" s="3"/>
      <c r="DFV227" s="3"/>
      <c r="DFW227" s="3"/>
      <c r="DFX227" s="3"/>
      <c r="DFY227" s="3"/>
      <c r="DFZ227" s="3"/>
      <c r="DGA227" s="3"/>
      <c r="DGB227" s="3"/>
      <c r="DGC227" s="3"/>
      <c r="DGD227" s="3"/>
      <c r="DGE227" s="3"/>
      <c r="DGF227" s="3"/>
      <c r="DGG227" s="3"/>
      <c r="DGH227" s="3"/>
      <c r="DGI227" s="3"/>
      <c r="DGJ227" s="3"/>
      <c r="DGK227" s="3"/>
      <c r="DGL227" s="3"/>
      <c r="DGM227" s="3"/>
      <c r="DGN227" s="3"/>
      <c r="DGO227" s="3"/>
      <c r="DGP227" s="3"/>
      <c r="DGQ227" s="3"/>
      <c r="DGR227" s="3"/>
      <c r="DGS227" s="3"/>
      <c r="DGT227" s="3"/>
      <c r="DGU227" s="3"/>
      <c r="DGV227" s="3"/>
      <c r="DGW227" s="3"/>
      <c r="DGX227" s="3"/>
      <c r="DGY227" s="3"/>
      <c r="DGZ227" s="3"/>
      <c r="DHA227" s="3"/>
      <c r="DHB227" s="3"/>
      <c r="DHC227" s="3"/>
      <c r="DHD227" s="3"/>
      <c r="DHE227" s="3"/>
      <c r="DHF227" s="3"/>
      <c r="DHG227" s="3"/>
      <c r="DHH227" s="3"/>
      <c r="DHI227" s="3"/>
      <c r="DHJ227" s="3"/>
      <c r="DHK227" s="3"/>
      <c r="DHL227" s="3"/>
      <c r="DHM227" s="3"/>
      <c r="DHN227" s="3"/>
      <c r="DHO227" s="3"/>
      <c r="DHP227" s="3"/>
      <c r="DHQ227" s="3"/>
      <c r="DHR227" s="3"/>
      <c r="DHS227" s="3"/>
      <c r="DHT227" s="3"/>
      <c r="DHU227" s="3"/>
      <c r="DHV227" s="3"/>
      <c r="DHW227" s="3"/>
      <c r="DHX227" s="3"/>
      <c r="DHY227" s="3"/>
      <c r="DHZ227" s="3"/>
      <c r="DIA227" s="3"/>
      <c r="DIB227" s="3"/>
      <c r="DIC227" s="3"/>
      <c r="DID227" s="3"/>
      <c r="DIE227" s="3"/>
      <c r="DIF227" s="3"/>
      <c r="DIG227" s="3"/>
      <c r="DIH227" s="3"/>
      <c r="DII227" s="3"/>
      <c r="DIJ227" s="3"/>
      <c r="DIK227" s="3"/>
      <c r="DIL227" s="3"/>
      <c r="DIM227" s="3"/>
      <c r="DIN227" s="3"/>
      <c r="DIO227" s="3"/>
      <c r="DIP227" s="3"/>
      <c r="DIQ227" s="3"/>
      <c r="DIR227" s="3"/>
      <c r="DIS227" s="3"/>
      <c r="DIT227" s="3"/>
      <c r="DIU227" s="3"/>
      <c r="DIV227" s="3"/>
      <c r="DIW227" s="3"/>
      <c r="DIX227" s="3"/>
      <c r="DIY227" s="3"/>
      <c r="DIZ227" s="3"/>
      <c r="DJA227" s="3"/>
      <c r="DJB227" s="3"/>
      <c r="DJC227" s="3"/>
      <c r="DJD227" s="3"/>
      <c r="DJE227" s="3"/>
      <c r="DJF227" s="3"/>
      <c r="DJG227" s="3"/>
      <c r="DJH227" s="3"/>
      <c r="DJI227" s="3"/>
      <c r="DJJ227" s="3"/>
      <c r="DJK227" s="3"/>
      <c r="DJL227" s="3"/>
      <c r="DJM227" s="3"/>
      <c r="DJN227" s="3"/>
      <c r="DJO227" s="3"/>
      <c r="DJP227" s="3"/>
      <c r="DJQ227" s="3"/>
      <c r="DJR227" s="3"/>
      <c r="DJS227" s="3"/>
      <c r="DJT227" s="3"/>
      <c r="DJU227" s="3"/>
      <c r="DJV227" s="3"/>
      <c r="DJW227" s="3"/>
      <c r="DJX227" s="3"/>
      <c r="DJY227" s="3"/>
      <c r="DJZ227" s="3"/>
      <c r="DKA227" s="3"/>
      <c r="DKB227" s="3"/>
      <c r="DKC227" s="3"/>
      <c r="DKD227" s="3"/>
      <c r="DKE227" s="3"/>
      <c r="DKF227" s="3"/>
      <c r="DKG227" s="3"/>
      <c r="DKH227" s="3"/>
      <c r="DKI227" s="3"/>
      <c r="DKJ227" s="3"/>
      <c r="DKK227" s="3"/>
      <c r="DKL227" s="3"/>
      <c r="DKM227" s="3"/>
      <c r="DKN227" s="3"/>
      <c r="DKO227" s="3"/>
      <c r="DKP227" s="3"/>
      <c r="DKQ227" s="3"/>
      <c r="DKR227" s="3"/>
      <c r="DKS227" s="3"/>
      <c r="DKT227" s="3"/>
      <c r="DKU227" s="3"/>
      <c r="DKV227" s="3"/>
      <c r="DKW227" s="3"/>
      <c r="DKX227" s="3"/>
      <c r="DKY227" s="3"/>
      <c r="DKZ227" s="3"/>
      <c r="DLA227" s="3"/>
      <c r="DLB227" s="3"/>
      <c r="DLC227" s="3"/>
      <c r="DLD227" s="3"/>
      <c r="DLE227" s="3"/>
      <c r="DLF227" s="3"/>
      <c r="DLG227" s="3"/>
      <c r="DLH227" s="3"/>
      <c r="DLI227" s="3"/>
      <c r="DLJ227" s="3"/>
      <c r="DLK227" s="3"/>
      <c r="DLL227" s="3"/>
      <c r="DLM227" s="3"/>
      <c r="DLN227" s="3"/>
      <c r="DLO227" s="3"/>
      <c r="DLP227" s="3"/>
      <c r="DLQ227" s="3"/>
      <c r="DLR227" s="3"/>
      <c r="DLS227" s="3"/>
      <c r="DLT227" s="3"/>
      <c r="DLU227" s="3"/>
      <c r="DLV227" s="3"/>
      <c r="DLW227" s="3"/>
      <c r="DLX227" s="3"/>
      <c r="DLY227" s="3"/>
      <c r="DLZ227" s="3"/>
      <c r="DMA227" s="3"/>
      <c r="DMB227" s="3"/>
      <c r="DMC227" s="3"/>
      <c r="DMD227" s="3"/>
      <c r="DME227" s="3"/>
      <c r="DMF227" s="3"/>
      <c r="DMG227" s="3"/>
      <c r="DMH227" s="3"/>
      <c r="DMI227" s="3"/>
      <c r="DMJ227" s="3"/>
      <c r="DMK227" s="3"/>
      <c r="DML227" s="3"/>
      <c r="DMM227" s="3"/>
      <c r="DMN227" s="3"/>
      <c r="DMO227" s="3"/>
      <c r="DMP227" s="3"/>
      <c r="DMQ227" s="3"/>
      <c r="DMR227" s="3"/>
      <c r="DMS227" s="3"/>
      <c r="DMT227" s="3"/>
      <c r="DMU227" s="3"/>
      <c r="DMV227" s="3"/>
      <c r="DMW227" s="3"/>
      <c r="DMX227" s="3"/>
      <c r="DMY227" s="3"/>
      <c r="DMZ227" s="3"/>
      <c r="DNA227" s="3"/>
      <c r="DNB227" s="3"/>
      <c r="DNC227" s="3"/>
      <c r="DND227" s="3"/>
      <c r="DNE227" s="3"/>
      <c r="DNF227" s="3"/>
      <c r="DNG227" s="3"/>
      <c r="DNH227" s="3"/>
      <c r="DNI227" s="3"/>
      <c r="DNJ227" s="3"/>
      <c r="DNK227" s="3"/>
      <c r="DNL227" s="3"/>
      <c r="DNM227" s="3"/>
      <c r="DNN227" s="3"/>
      <c r="DNO227" s="3"/>
      <c r="DNP227" s="3"/>
      <c r="DNQ227" s="3"/>
      <c r="DNR227" s="3"/>
      <c r="DNS227" s="3"/>
      <c r="DNT227" s="3"/>
      <c r="DNU227" s="3"/>
      <c r="DNV227" s="3"/>
      <c r="DNW227" s="3"/>
      <c r="DNX227" s="3"/>
      <c r="DNY227" s="3"/>
      <c r="DNZ227" s="3"/>
      <c r="DOA227" s="3"/>
      <c r="DOB227" s="3"/>
      <c r="DOC227" s="3"/>
      <c r="DOD227" s="3"/>
      <c r="DOE227" s="3"/>
      <c r="DOF227" s="3"/>
      <c r="DOG227" s="3"/>
      <c r="DOH227" s="3"/>
      <c r="DOI227" s="3"/>
      <c r="DOJ227" s="3"/>
      <c r="DOK227" s="3"/>
      <c r="DOL227" s="3"/>
      <c r="DOM227" s="3"/>
      <c r="DON227" s="3"/>
      <c r="DOO227" s="3"/>
      <c r="DOP227" s="3"/>
      <c r="DOQ227" s="3"/>
      <c r="DOR227" s="3"/>
      <c r="DOS227" s="3"/>
      <c r="DOT227" s="3"/>
      <c r="DOU227" s="3"/>
      <c r="DOV227" s="3"/>
      <c r="DOW227" s="3"/>
      <c r="DOX227" s="3"/>
      <c r="DOY227" s="3"/>
      <c r="DOZ227" s="3"/>
      <c r="DPA227" s="3"/>
      <c r="DPB227" s="3"/>
      <c r="DPC227" s="3"/>
      <c r="DPD227" s="3"/>
      <c r="DPE227" s="3"/>
      <c r="DPF227" s="3"/>
      <c r="DPG227" s="3"/>
      <c r="DPH227" s="3"/>
      <c r="DPI227" s="3"/>
      <c r="DPJ227" s="3"/>
      <c r="DPK227" s="3"/>
      <c r="DPL227" s="3"/>
      <c r="DPM227" s="3"/>
      <c r="DPN227" s="3"/>
      <c r="DPO227" s="3"/>
      <c r="DPP227" s="3"/>
      <c r="DPQ227" s="3"/>
      <c r="DPR227" s="3"/>
      <c r="DPS227" s="3"/>
      <c r="DPT227" s="3"/>
      <c r="DPU227" s="3"/>
      <c r="DPV227" s="3"/>
      <c r="DPW227" s="3"/>
      <c r="DPX227" s="3"/>
      <c r="DPY227" s="3"/>
      <c r="DPZ227" s="3"/>
      <c r="DQA227" s="3"/>
      <c r="DQB227" s="3"/>
      <c r="DQC227" s="3"/>
      <c r="DQD227" s="3"/>
      <c r="DQE227" s="3"/>
      <c r="DQF227" s="3"/>
      <c r="DQG227" s="3"/>
      <c r="DQH227" s="3"/>
      <c r="DQI227" s="3"/>
      <c r="DQJ227" s="3"/>
      <c r="DQK227" s="3"/>
      <c r="DQL227" s="3"/>
      <c r="DQM227" s="3"/>
      <c r="DQN227" s="3"/>
      <c r="DQO227" s="3"/>
      <c r="DQP227" s="3"/>
      <c r="DQQ227" s="3"/>
      <c r="DQR227" s="3"/>
      <c r="DQS227" s="3"/>
      <c r="DQT227" s="3"/>
      <c r="DQU227" s="3"/>
      <c r="DQV227" s="3"/>
      <c r="DQW227" s="3"/>
      <c r="DQX227" s="3"/>
      <c r="DQY227" s="3"/>
      <c r="DQZ227" s="3"/>
      <c r="DRA227" s="3"/>
      <c r="DRB227" s="3"/>
      <c r="DRC227" s="3"/>
      <c r="DRD227" s="3"/>
      <c r="DRE227" s="3"/>
      <c r="DRF227" s="3"/>
      <c r="DRG227" s="3"/>
      <c r="DRH227" s="3"/>
      <c r="DRI227" s="3"/>
      <c r="DRJ227" s="3"/>
      <c r="DRK227" s="3"/>
      <c r="DRL227" s="3"/>
      <c r="DRM227" s="3"/>
      <c r="DRN227" s="3"/>
      <c r="DRO227" s="3"/>
      <c r="DRP227" s="3"/>
      <c r="DRQ227" s="3"/>
      <c r="DRR227" s="3"/>
      <c r="DRS227" s="3"/>
      <c r="DRT227" s="3"/>
      <c r="DRU227" s="3"/>
      <c r="DRV227" s="3"/>
      <c r="DRW227" s="3"/>
      <c r="DRX227" s="3"/>
      <c r="DRY227" s="3"/>
      <c r="DRZ227" s="3"/>
      <c r="DSA227" s="3"/>
      <c r="DSB227" s="3"/>
      <c r="DSC227" s="3"/>
      <c r="DSD227" s="3"/>
      <c r="DSE227" s="3"/>
      <c r="DSF227" s="3"/>
      <c r="DSG227" s="3"/>
      <c r="DSH227" s="3"/>
      <c r="DSI227" s="3"/>
      <c r="DSJ227" s="3"/>
      <c r="DSK227" s="3"/>
      <c r="DSL227" s="3"/>
      <c r="DSM227" s="3"/>
      <c r="DSN227" s="3"/>
      <c r="DSO227" s="3"/>
      <c r="DSP227" s="3"/>
      <c r="DSQ227" s="3"/>
      <c r="DSR227" s="3"/>
      <c r="DSS227" s="3"/>
      <c r="DST227" s="3"/>
      <c r="DSU227" s="3"/>
      <c r="DSV227" s="3"/>
      <c r="DSW227" s="3"/>
      <c r="DSX227" s="3"/>
      <c r="DSY227" s="3"/>
      <c r="DSZ227" s="3"/>
      <c r="DTA227" s="3"/>
      <c r="DTB227" s="3"/>
      <c r="DTC227" s="3"/>
      <c r="DTD227" s="3"/>
      <c r="DTE227" s="3"/>
      <c r="DTF227" s="3"/>
      <c r="DTG227" s="3"/>
      <c r="DTH227" s="3"/>
      <c r="DTI227" s="3"/>
      <c r="DTJ227" s="3"/>
      <c r="DTK227" s="3"/>
      <c r="DTL227" s="3"/>
      <c r="DTM227" s="3"/>
      <c r="DTN227" s="3"/>
      <c r="DTO227" s="3"/>
      <c r="DTP227" s="3"/>
      <c r="DTQ227" s="3"/>
      <c r="DTR227" s="3"/>
      <c r="DTS227" s="3"/>
      <c r="DTT227" s="3"/>
      <c r="DTU227" s="3"/>
      <c r="DTV227" s="3"/>
      <c r="DTW227" s="3"/>
      <c r="DTX227" s="3"/>
      <c r="DTY227" s="3"/>
      <c r="DTZ227" s="3"/>
      <c r="DUA227" s="3"/>
      <c r="DUB227" s="3"/>
      <c r="DUC227" s="3"/>
      <c r="DUD227" s="3"/>
      <c r="DUE227" s="3"/>
      <c r="DUF227" s="3"/>
      <c r="DUG227" s="3"/>
      <c r="DUH227" s="3"/>
      <c r="DUI227" s="3"/>
      <c r="DUJ227" s="3"/>
      <c r="DUK227" s="3"/>
      <c r="DUL227" s="3"/>
      <c r="DUM227" s="3"/>
      <c r="DUN227" s="3"/>
      <c r="DUO227" s="3"/>
      <c r="DUP227" s="3"/>
      <c r="DUQ227" s="3"/>
      <c r="DUR227" s="3"/>
      <c r="DUS227" s="3"/>
      <c r="DUT227" s="3"/>
      <c r="DUU227" s="3"/>
      <c r="DUV227" s="3"/>
      <c r="DUW227" s="3"/>
      <c r="DUX227" s="3"/>
      <c r="DUY227" s="3"/>
      <c r="DUZ227" s="3"/>
      <c r="DVA227" s="3"/>
      <c r="DVB227" s="3"/>
      <c r="DVC227" s="3"/>
      <c r="DVD227" s="3"/>
      <c r="DVE227" s="3"/>
      <c r="DVF227" s="3"/>
      <c r="DVG227" s="3"/>
      <c r="DVH227" s="3"/>
      <c r="DVI227" s="3"/>
      <c r="DVJ227" s="3"/>
      <c r="DVK227" s="3"/>
      <c r="DVL227" s="3"/>
      <c r="DVM227" s="3"/>
      <c r="DVN227" s="3"/>
      <c r="DVO227" s="3"/>
      <c r="DVP227" s="3"/>
      <c r="DVQ227" s="3"/>
      <c r="DVR227" s="3"/>
      <c r="DVS227" s="3"/>
      <c r="DVT227" s="3"/>
      <c r="DVU227" s="3"/>
      <c r="DVV227" s="3"/>
      <c r="DVW227" s="3"/>
      <c r="DVX227" s="3"/>
      <c r="DVY227" s="3"/>
      <c r="DVZ227" s="3"/>
      <c r="DWA227" s="3"/>
      <c r="DWB227" s="3"/>
      <c r="DWC227" s="3"/>
      <c r="DWD227" s="3"/>
      <c r="DWE227" s="3"/>
      <c r="DWF227" s="3"/>
      <c r="DWG227" s="3"/>
      <c r="DWH227" s="3"/>
      <c r="DWI227" s="3"/>
      <c r="DWJ227" s="3"/>
      <c r="DWK227" s="3"/>
      <c r="DWL227" s="3"/>
      <c r="DWM227" s="3"/>
      <c r="DWN227" s="3"/>
      <c r="DWO227" s="3"/>
      <c r="DWP227" s="3"/>
      <c r="DWQ227" s="3"/>
      <c r="DWR227" s="3"/>
      <c r="DWS227" s="3"/>
      <c r="DWT227" s="3"/>
      <c r="DWU227" s="3"/>
      <c r="DWV227" s="3"/>
      <c r="DWW227" s="3"/>
      <c r="DWX227" s="3"/>
      <c r="DWY227" s="3"/>
      <c r="DWZ227" s="3"/>
      <c r="DXA227" s="3"/>
      <c r="DXB227" s="3"/>
      <c r="DXC227" s="3"/>
      <c r="DXD227" s="3"/>
      <c r="DXE227" s="3"/>
      <c r="DXF227" s="3"/>
      <c r="DXG227" s="3"/>
      <c r="DXH227" s="3"/>
      <c r="DXI227" s="3"/>
      <c r="DXJ227" s="3"/>
      <c r="DXK227" s="3"/>
      <c r="DXL227" s="3"/>
      <c r="DXM227" s="3"/>
      <c r="DXN227" s="3"/>
      <c r="DXO227" s="3"/>
      <c r="DXP227" s="3"/>
      <c r="DXQ227" s="3"/>
      <c r="DXR227" s="3"/>
      <c r="DXS227" s="3"/>
      <c r="DXT227" s="3"/>
      <c r="DXU227" s="3"/>
      <c r="DXV227" s="3"/>
      <c r="DXW227" s="3"/>
      <c r="DXX227" s="3"/>
      <c r="DXY227" s="3"/>
      <c r="DXZ227" s="3"/>
      <c r="DYA227" s="3"/>
      <c r="DYB227" s="3"/>
      <c r="DYC227" s="3"/>
      <c r="DYD227" s="3"/>
      <c r="DYE227" s="3"/>
      <c r="DYF227" s="3"/>
      <c r="DYG227" s="3"/>
      <c r="DYH227" s="3"/>
      <c r="DYI227" s="3"/>
      <c r="DYJ227" s="3"/>
      <c r="DYK227" s="3"/>
      <c r="DYL227" s="3"/>
      <c r="DYM227" s="3"/>
      <c r="DYN227" s="3"/>
      <c r="DYO227" s="3"/>
      <c r="DYP227" s="3"/>
      <c r="DYQ227" s="3"/>
      <c r="DYR227" s="3"/>
      <c r="DYS227" s="3"/>
      <c r="DYT227" s="3"/>
      <c r="DYU227" s="3"/>
      <c r="DYV227" s="3"/>
      <c r="DYW227" s="3"/>
      <c r="DYX227" s="3"/>
      <c r="DYY227" s="3"/>
      <c r="DYZ227" s="3"/>
      <c r="DZA227" s="3"/>
      <c r="DZB227" s="3"/>
      <c r="DZC227" s="3"/>
      <c r="DZD227" s="3"/>
      <c r="DZE227" s="3"/>
      <c r="DZF227" s="3"/>
      <c r="DZG227" s="3"/>
      <c r="DZH227" s="3"/>
      <c r="DZI227" s="3"/>
      <c r="DZJ227" s="3"/>
      <c r="DZK227" s="3"/>
      <c r="DZL227" s="3"/>
      <c r="DZM227" s="3"/>
      <c r="DZN227" s="3"/>
      <c r="DZO227" s="3"/>
      <c r="DZP227" s="3"/>
      <c r="DZQ227" s="3"/>
      <c r="DZR227" s="3"/>
      <c r="DZS227" s="3"/>
      <c r="DZT227" s="3"/>
      <c r="DZU227" s="3"/>
      <c r="DZV227" s="3"/>
      <c r="DZW227" s="3"/>
      <c r="DZX227" s="3"/>
      <c r="DZY227" s="3"/>
      <c r="DZZ227" s="3"/>
      <c r="EAA227" s="3"/>
      <c r="EAB227" s="3"/>
      <c r="EAC227" s="3"/>
      <c r="EAD227" s="3"/>
      <c r="EAE227" s="3"/>
      <c r="EAF227" s="3"/>
      <c r="EAG227" s="3"/>
      <c r="EAH227" s="3"/>
      <c r="EAI227" s="3"/>
      <c r="EAJ227" s="3"/>
      <c r="EAK227" s="3"/>
      <c r="EAL227" s="3"/>
      <c r="EAM227" s="3"/>
      <c r="EAN227" s="3"/>
      <c r="EAO227" s="3"/>
      <c r="EAP227" s="3"/>
      <c r="EAQ227" s="3"/>
      <c r="EAR227" s="3"/>
      <c r="EAS227" s="3"/>
      <c r="EAT227" s="3"/>
      <c r="EAU227" s="3"/>
      <c r="EAV227" s="3"/>
      <c r="EAW227" s="3"/>
      <c r="EAX227" s="3"/>
      <c r="EAY227" s="3"/>
      <c r="EAZ227" s="3"/>
      <c r="EBA227" s="3"/>
      <c r="EBB227" s="3"/>
      <c r="EBC227" s="3"/>
      <c r="EBD227" s="3"/>
      <c r="EBE227" s="3"/>
      <c r="EBF227" s="3"/>
      <c r="EBG227" s="3"/>
      <c r="EBH227" s="3"/>
      <c r="EBI227" s="3"/>
      <c r="EBJ227" s="3"/>
      <c r="EBK227" s="3"/>
      <c r="EBL227" s="3"/>
      <c r="EBM227" s="3"/>
      <c r="EBN227" s="3"/>
      <c r="EBO227" s="3"/>
      <c r="EBP227" s="3"/>
      <c r="EBQ227" s="3"/>
      <c r="EBR227" s="3"/>
      <c r="EBS227" s="3"/>
      <c r="EBT227" s="3"/>
      <c r="EBU227" s="3"/>
      <c r="EBV227" s="3"/>
      <c r="EBW227" s="3"/>
      <c r="EBX227" s="3"/>
      <c r="EBY227" s="3"/>
      <c r="EBZ227" s="3"/>
      <c r="ECA227" s="3"/>
      <c r="ECB227" s="3"/>
      <c r="ECC227" s="3"/>
      <c r="ECD227" s="3"/>
      <c r="ECE227" s="3"/>
      <c r="ECF227" s="3"/>
      <c r="ECG227" s="3"/>
      <c r="ECH227" s="3"/>
      <c r="ECI227" s="3"/>
      <c r="ECJ227" s="3"/>
      <c r="ECK227" s="3"/>
      <c r="ECL227" s="3"/>
      <c r="ECM227" s="3"/>
      <c r="ECN227" s="3"/>
      <c r="ECO227" s="3"/>
      <c r="ECP227" s="3"/>
      <c r="ECQ227" s="3"/>
      <c r="ECR227" s="3"/>
      <c r="ECS227" s="3"/>
      <c r="ECT227" s="3"/>
      <c r="ECU227" s="3"/>
      <c r="ECV227" s="3"/>
      <c r="ECW227" s="3"/>
      <c r="ECX227" s="3"/>
      <c r="ECY227" s="3"/>
      <c r="ECZ227" s="3"/>
      <c r="EDA227" s="3"/>
      <c r="EDB227" s="3"/>
      <c r="EDC227" s="3"/>
      <c r="EDD227" s="3"/>
      <c r="EDE227" s="3"/>
      <c r="EDF227" s="3"/>
      <c r="EDG227" s="3"/>
      <c r="EDH227" s="3"/>
      <c r="EDI227" s="3"/>
      <c r="EDJ227" s="3"/>
      <c r="EDK227" s="3"/>
      <c r="EDL227" s="3"/>
      <c r="EDM227" s="3"/>
      <c r="EDN227" s="3"/>
      <c r="EDO227" s="3"/>
      <c r="EDP227" s="3"/>
      <c r="EDQ227" s="3"/>
      <c r="EDR227" s="3"/>
      <c r="EDS227" s="3"/>
      <c r="EDT227" s="3"/>
      <c r="EDU227" s="3"/>
      <c r="EDV227" s="3"/>
      <c r="EDW227" s="3"/>
      <c r="EDX227" s="3"/>
      <c r="EDY227" s="3"/>
      <c r="EDZ227" s="3"/>
      <c r="EEA227" s="3"/>
      <c r="EEB227" s="3"/>
      <c r="EEC227" s="3"/>
      <c r="EED227" s="3"/>
      <c r="EEE227" s="3"/>
      <c r="EEF227" s="3"/>
      <c r="EEG227" s="3"/>
      <c r="EEH227" s="3"/>
      <c r="EEI227" s="3"/>
      <c r="EEJ227" s="3"/>
      <c r="EEK227" s="3"/>
      <c r="EEL227" s="3"/>
      <c r="EEM227" s="3"/>
      <c r="EEN227" s="3"/>
      <c r="EEO227" s="3"/>
      <c r="EEP227" s="3"/>
      <c r="EEQ227" s="3"/>
      <c r="EER227" s="3"/>
      <c r="EES227" s="3"/>
      <c r="EET227" s="3"/>
      <c r="EEU227" s="3"/>
      <c r="EEV227" s="3"/>
      <c r="EEW227" s="3"/>
      <c r="EEX227" s="3"/>
      <c r="EEY227" s="3"/>
      <c r="EEZ227" s="3"/>
      <c r="EFA227" s="3"/>
      <c r="EFB227" s="3"/>
      <c r="EFC227" s="3"/>
      <c r="EFD227" s="3"/>
      <c r="EFE227" s="3"/>
      <c r="EFF227" s="3"/>
      <c r="EFG227" s="3"/>
      <c r="EFH227" s="3"/>
      <c r="EFI227" s="3"/>
      <c r="EFJ227" s="3"/>
      <c r="EFK227" s="3"/>
      <c r="EFL227" s="3"/>
      <c r="EFM227" s="3"/>
      <c r="EFN227" s="3"/>
      <c r="EFO227" s="3"/>
      <c r="EFP227" s="3"/>
      <c r="EFQ227" s="3"/>
      <c r="EFR227" s="3"/>
      <c r="EFS227" s="3"/>
      <c r="EFT227" s="3"/>
      <c r="EFU227" s="3"/>
      <c r="EFV227" s="3"/>
      <c r="EFW227" s="3"/>
      <c r="EFX227" s="3"/>
      <c r="EFY227" s="3"/>
      <c r="EFZ227" s="3"/>
      <c r="EGA227" s="3"/>
      <c r="EGB227" s="3"/>
      <c r="EGC227" s="3"/>
      <c r="EGD227" s="3"/>
      <c r="EGE227" s="3"/>
      <c r="EGF227" s="3"/>
      <c r="EGG227" s="3"/>
      <c r="EGH227" s="3"/>
      <c r="EGI227" s="3"/>
      <c r="EGJ227" s="3"/>
      <c r="EGK227" s="3"/>
      <c r="EGL227" s="3"/>
      <c r="EGM227" s="3"/>
      <c r="EGN227" s="3"/>
      <c r="EGO227" s="3"/>
      <c r="EGP227" s="3"/>
      <c r="EGQ227" s="3"/>
      <c r="EGR227" s="3"/>
      <c r="EGS227" s="3"/>
      <c r="EGT227" s="3"/>
      <c r="EGU227" s="3"/>
      <c r="EGV227" s="3"/>
      <c r="EGW227" s="3"/>
      <c r="EGX227" s="3"/>
      <c r="EGY227" s="3"/>
      <c r="EGZ227" s="3"/>
      <c r="EHA227" s="3"/>
      <c r="EHB227" s="3"/>
      <c r="EHC227" s="3"/>
      <c r="EHD227" s="3"/>
      <c r="EHE227" s="3"/>
      <c r="EHF227" s="3"/>
      <c r="EHG227" s="3"/>
      <c r="EHH227" s="3"/>
      <c r="EHI227" s="3"/>
      <c r="EHJ227" s="3"/>
      <c r="EHK227" s="3"/>
      <c r="EHL227" s="3"/>
      <c r="EHM227" s="3"/>
      <c r="EHN227" s="3"/>
      <c r="EHO227" s="3"/>
      <c r="EHP227" s="3"/>
      <c r="EHQ227" s="3"/>
      <c r="EHR227" s="3"/>
      <c r="EHS227" s="3"/>
      <c r="EHT227" s="3"/>
      <c r="EHU227" s="3"/>
      <c r="EHV227" s="3"/>
      <c r="EHW227" s="3"/>
      <c r="EHX227" s="3"/>
      <c r="EHY227" s="3"/>
      <c r="EHZ227" s="3"/>
      <c r="EIA227" s="3"/>
      <c r="EIB227" s="3"/>
      <c r="EIC227" s="3"/>
      <c r="EID227" s="3"/>
      <c r="EIE227" s="3"/>
      <c r="EIF227" s="3"/>
      <c r="EIG227" s="3"/>
      <c r="EIH227" s="3"/>
      <c r="EII227" s="3"/>
      <c r="EIJ227" s="3"/>
      <c r="EIK227" s="3"/>
      <c r="EIL227" s="3"/>
      <c r="EIM227" s="3"/>
      <c r="EIN227" s="3"/>
      <c r="EIO227" s="3"/>
      <c r="EIP227" s="3"/>
      <c r="EIQ227" s="3"/>
      <c r="EIR227" s="3"/>
      <c r="EIS227" s="3"/>
      <c r="EIT227" s="3"/>
      <c r="EIU227" s="3"/>
      <c r="EIV227" s="3"/>
      <c r="EIW227" s="3"/>
      <c r="EIX227" s="3"/>
      <c r="EIY227" s="3"/>
      <c r="EIZ227" s="3"/>
      <c r="EJA227" s="3"/>
      <c r="EJB227" s="3"/>
      <c r="EJC227" s="3"/>
      <c r="EJD227" s="3"/>
      <c r="EJE227" s="3"/>
      <c r="EJF227" s="3"/>
      <c r="EJG227" s="3"/>
      <c r="EJH227" s="3"/>
      <c r="EJI227" s="3"/>
      <c r="EJJ227" s="3"/>
      <c r="EJK227" s="3"/>
      <c r="EJL227" s="3"/>
      <c r="EJM227" s="3"/>
      <c r="EJN227" s="3"/>
      <c r="EJO227" s="3"/>
      <c r="EJP227" s="3"/>
      <c r="EJQ227" s="3"/>
      <c r="EJR227" s="3"/>
      <c r="EJS227" s="3"/>
      <c r="EJT227" s="3"/>
      <c r="EJU227" s="3"/>
      <c r="EJV227" s="3"/>
      <c r="EJW227" s="3"/>
      <c r="EJX227" s="3"/>
      <c r="EJY227" s="3"/>
      <c r="EJZ227" s="3"/>
      <c r="EKA227" s="3"/>
      <c r="EKB227" s="3"/>
      <c r="EKC227" s="3"/>
      <c r="EKD227" s="3"/>
      <c r="EKE227" s="3"/>
      <c r="EKF227" s="3"/>
      <c r="EKG227" s="3"/>
      <c r="EKH227" s="3"/>
      <c r="EKI227" s="3"/>
      <c r="EKJ227" s="3"/>
      <c r="EKK227" s="3"/>
      <c r="EKL227" s="3"/>
      <c r="EKM227" s="3"/>
      <c r="EKN227" s="3"/>
      <c r="EKO227" s="3"/>
      <c r="EKP227" s="3"/>
      <c r="EKQ227" s="3"/>
      <c r="EKR227" s="3"/>
      <c r="EKS227" s="3"/>
      <c r="EKT227" s="3"/>
      <c r="EKU227" s="3"/>
      <c r="EKV227" s="3"/>
      <c r="EKW227" s="3"/>
      <c r="EKX227" s="3"/>
      <c r="EKY227" s="3"/>
      <c r="EKZ227" s="3"/>
      <c r="ELA227" s="3"/>
      <c r="ELB227" s="3"/>
      <c r="ELC227" s="3"/>
      <c r="ELD227" s="3"/>
      <c r="ELE227" s="3"/>
      <c r="ELF227" s="3"/>
      <c r="ELG227" s="3"/>
      <c r="ELH227" s="3"/>
      <c r="ELI227" s="3"/>
      <c r="ELJ227" s="3"/>
      <c r="ELK227" s="3"/>
      <c r="ELL227" s="3"/>
      <c r="ELM227" s="3"/>
      <c r="ELN227" s="3"/>
      <c r="ELO227" s="3"/>
      <c r="ELP227" s="3"/>
      <c r="ELQ227" s="3"/>
      <c r="ELR227" s="3"/>
      <c r="ELS227" s="3"/>
      <c r="ELT227" s="3"/>
      <c r="ELU227" s="3"/>
      <c r="ELV227" s="3"/>
      <c r="ELW227" s="3"/>
      <c r="ELX227" s="3"/>
      <c r="ELY227" s="3"/>
      <c r="ELZ227" s="3"/>
      <c r="EMA227" s="3"/>
      <c r="EMB227" s="3"/>
      <c r="EMC227" s="3"/>
      <c r="EMD227" s="3"/>
      <c r="EME227" s="3"/>
      <c r="EMF227" s="3"/>
      <c r="EMG227" s="3"/>
      <c r="EMH227" s="3"/>
      <c r="EMI227" s="3"/>
      <c r="EMJ227" s="3"/>
      <c r="EMK227" s="3"/>
      <c r="EML227" s="3"/>
      <c r="EMM227" s="3"/>
      <c r="EMN227" s="3"/>
      <c r="EMO227" s="3"/>
      <c r="EMP227" s="3"/>
      <c r="EMQ227" s="3"/>
      <c r="EMR227" s="3"/>
      <c r="EMS227" s="3"/>
      <c r="EMT227" s="3"/>
      <c r="EMU227" s="3"/>
      <c r="EMV227" s="3"/>
      <c r="EMW227" s="3"/>
      <c r="EMX227" s="3"/>
      <c r="EMY227" s="3"/>
      <c r="EMZ227" s="3"/>
      <c r="ENA227" s="3"/>
      <c r="ENB227" s="3"/>
      <c r="ENC227" s="3"/>
      <c r="END227" s="3"/>
      <c r="ENE227" s="3"/>
      <c r="ENF227" s="3"/>
      <c r="ENG227" s="3"/>
      <c r="ENH227" s="3"/>
      <c r="ENI227" s="3"/>
      <c r="ENJ227" s="3"/>
      <c r="ENK227" s="3"/>
      <c r="ENL227" s="3"/>
      <c r="ENM227" s="3"/>
      <c r="ENN227" s="3"/>
      <c r="ENO227" s="3"/>
      <c r="ENP227" s="3"/>
      <c r="ENQ227" s="3"/>
      <c r="ENR227" s="3"/>
      <c r="ENS227" s="3"/>
      <c r="ENT227" s="3"/>
      <c r="ENU227" s="3"/>
      <c r="ENV227" s="3"/>
      <c r="ENW227" s="3"/>
      <c r="ENX227" s="3"/>
      <c r="ENY227" s="3"/>
      <c r="ENZ227" s="3"/>
      <c r="EOA227" s="3"/>
      <c r="EOB227" s="3"/>
      <c r="EOC227" s="3"/>
      <c r="EOD227" s="3"/>
      <c r="EOE227" s="3"/>
      <c r="EOF227" s="3"/>
      <c r="EOG227" s="3"/>
      <c r="EOH227" s="3"/>
      <c r="EOI227" s="3"/>
      <c r="EOJ227" s="3"/>
      <c r="EOK227" s="3"/>
      <c r="EOL227" s="3"/>
      <c r="EOM227" s="3"/>
      <c r="EON227" s="3"/>
      <c r="EOO227" s="3"/>
      <c r="EOP227" s="3"/>
      <c r="EOQ227" s="3"/>
      <c r="EOR227" s="3"/>
      <c r="EOS227" s="3"/>
      <c r="EOT227" s="3"/>
      <c r="EOU227" s="3"/>
      <c r="EOV227" s="3"/>
      <c r="EOW227" s="3"/>
      <c r="EOX227" s="3"/>
      <c r="EOY227" s="3"/>
      <c r="EOZ227" s="3"/>
      <c r="EPA227" s="3"/>
      <c r="EPB227" s="3"/>
      <c r="EPC227" s="3"/>
      <c r="EPD227" s="3"/>
      <c r="EPE227" s="3"/>
      <c r="EPF227" s="3"/>
      <c r="EPG227" s="3"/>
      <c r="EPH227" s="3"/>
      <c r="EPI227" s="3"/>
      <c r="EPJ227" s="3"/>
      <c r="EPK227" s="3"/>
      <c r="EPL227" s="3"/>
      <c r="EPM227" s="3"/>
      <c r="EPN227" s="3"/>
      <c r="EPO227" s="3"/>
      <c r="EPP227" s="3"/>
      <c r="EPQ227" s="3"/>
      <c r="EPR227" s="3"/>
      <c r="EPS227" s="3"/>
      <c r="EPT227" s="3"/>
      <c r="EPU227" s="3"/>
      <c r="EPV227" s="3"/>
      <c r="EPW227" s="3"/>
      <c r="EPX227" s="3"/>
      <c r="EPY227" s="3"/>
      <c r="EPZ227" s="3"/>
      <c r="EQA227" s="3"/>
      <c r="EQB227" s="3"/>
      <c r="EQC227" s="3"/>
      <c r="EQD227" s="3"/>
      <c r="EQE227" s="3"/>
      <c r="EQF227" s="3"/>
      <c r="EQG227" s="3"/>
      <c r="EQH227" s="3"/>
      <c r="EQI227" s="3"/>
      <c r="EQJ227" s="3"/>
      <c r="EQK227" s="3"/>
      <c r="EQL227" s="3"/>
      <c r="EQM227" s="3"/>
      <c r="EQN227" s="3"/>
      <c r="EQO227" s="3"/>
      <c r="EQP227" s="3"/>
      <c r="EQQ227" s="3"/>
      <c r="EQR227" s="3"/>
      <c r="EQS227" s="3"/>
      <c r="EQT227" s="3"/>
      <c r="EQU227" s="3"/>
      <c r="EQV227" s="3"/>
      <c r="EQW227" s="3"/>
      <c r="EQX227" s="3"/>
      <c r="EQY227" s="3"/>
      <c r="EQZ227" s="3"/>
      <c r="ERA227" s="3"/>
      <c r="ERB227" s="3"/>
      <c r="ERC227" s="3"/>
      <c r="ERD227" s="3"/>
      <c r="ERE227" s="3"/>
      <c r="ERF227" s="3"/>
      <c r="ERG227" s="3"/>
      <c r="ERH227" s="3"/>
      <c r="ERI227" s="3"/>
      <c r="ERJ227" s="3"/>
      <c r="ERK227" s="3"/>
      <c r="ERL227" s="3"/>
      <c r="ERM227" s="3"/>
      <c r="ERN227" s="3"/>
      <c r="ERO227" s="3"/>
      <c r="ERP227" s="3"/>
      <c r="ERQ227" s="3"/>
      <c r="ERR227" s="3"/>
      <c r="ERS227" s="3"/>
      <c r="ERT227" s="3"/>
      <c r="ERU227" s="3"/>
      <c r="ERV227" s="3"/>
      <c r="ERW227" s="3"/>
      <c r="ERX227" s="3"/>
      <c r="ERY227" s="3"/>
      <c r="ERZ227" s="3"/>
      <c r="ESA227" s="3"/>
      <c r="ESB227" s="3"/>
      <c r="ESC227" s="3"/>
      <c r="ESD227" s="3"/>
      <c r="ESE227" s="3"/>
      <c r="ESF227" s="3"/>
      <c r="ESG227" s="3"/>
      <c r="ESH227" s="3"/>
      <c r="ESI227" s="3"/>
      <c r="ESJ227" s="3"/>
      <c r="ESK227" s="3"/>
      <c r="ESL227" s="3"/>
      <c r="ESM227" s="3"/>
      <c r="ESN227" s="3"/>
      <c r="ESO227" s="3"/>
      <c r="ESP227" s="3"/>
      <c r="ESQ227" s="3"/>
      <c r="ESR227" s="3"/>
      <c r="ESS227" s="3"/>
      <c r="EST227" s="3"/>
      <c r="ESU227" s="3"/>
      <c r="ESV227" s="3"/>
      <c r="ESW227" s="3"/>
      <c r="ESX227" s="3"/>
      <c r="ESY227" s="3"/>
      <c r="ESZ227" s="3"/>
      <c r="ETA227" s="3"/>
      <c r="ETB227" s="3"/>
      <c r="ETC227" s="3"/>
      <c r="ETD227" s="3"/>
      <c r="ETE227" s="3"/>
      <c r="ETF227" s="3"/>
      <c r="ETG227" s="3"/>
      <c r="ETH227" s="3"/>
      <c r="ETI227" s="3"/>
      <c r="ETJ227" s="3"/>
      <c r="ETK227" s="3"/>
      <c r="ETL227" s="3"/>
      <c r="ETM227" s="3"/>
      <c r="ETN227" s="3"/>
      <c r="ETO227" s="3"/>
      <c r="ETP227" s="3"/>
      <c r="ETQ227" s="3"/>
      <c r="ETR227" s="3"/>
      <c r="ETS227" s="3"/>
      <c r="ETT227" s="3"/>
      <c r="ETU227" s="3"/>
      <c r="ETV227" s="3"/>
      <c r="ETW227" s="3"/>
      <c r="ETX227" s="3"/>
      <c r="ETY227" s="3"/>
      <c r="ETZ227" s="3"/>
      <c r="EUA227" s="3"/>
      <c r="EUB227" s="3"/>
      <c r="EUC227" s="3"/>
      <c r="EUD227" s="3"/>
      <c r="EUE227" s="3"/>
      <c r="EUF227" s="3"/>
      <c r="EUG227" s="3"/>
      <c r="EUH227" s="3"/>
      <c r="EUI227" s="3"/>
      <c r="EUJ227" s="3"/>
      <c r="EUK227" s="3"/>
      <c r="EUL227" s="3"/>
      <c r="EUM227" s="3"/>
      <c r="EUN227" s="3"/>
      <c r="EUO227" s="3"/>
      <c r="EUP227" s="3"/>
      <c r="EUQ227" s="3"/>
      <c r="EUR227" s="3"/>
      <c r="EUS227" s="3"/>
      <c r="EUT227" s="3"/>
      <c r="EUU227" s="3"/>
      <c r="EUV227" s="3"/>
      <c r="EUW227" s="3"/>
      <c r="EUX227" s="3"/>
      <c r="EUY227" s="3"/>
      <c r="EUZ227" s="3"/>
      <c r="EVA227" s="3"/>
      <c r="EVB227" s="3"/>
      <c r="EVC227" s="3"/>
      <c r="EVD227" s="3"/>
      <c r="EVE227" s="3"/>
      <c r="EVF227" s="3"/>
      <c r="EVG227" s="3"/>
      <c r="EVH227" s="3"/>
      <c r="EVI227" s="3"/>
      <c r="EVJ227" s="3"/>
      <c r="EVK227" s="3"/>
      <c r="EVL227" s="3"/>
      <c r="EVM227" s="3"/>
      <c r="EVN227" s="3"/>
      <c r="EVO227" s="3"/>
      <c r="EVP227" s="3"/>
      <c r="EVQ227" s="3"/>
      <c r="EVR227" s="3"/>
      <c r="EVS227" s="3"/>
      <c r="EVT227" s="3"/>
      <c r="EVU227" s="3"/>
      <c r="EVV227" s="3"/>
      <c r="EVW227" s="3"/>
      <c r="EVX227" s="3"/>
      <c r="EVY227" s="3"/>
      <c r="EVZ227" s="3"/>
      <c r="EWA227" s="3"/>
      <c r="EWB227" s="3"/>
      <c r="EWC227" s="3"/>
      <c r="EWD227" s="3"/>
      <c r="EWE227" s="3"/>
      <c r="EWF227" s="3"/>
      <c r="EWG227" s="3"/>
      <c r="EWH227" s="3"/>
      <c r="EWI227" s="3"/>
      <c r="EWJ227" s="3"/>
      <c r="EWK227" s="3"/>
      <c r="EWL227" s="3"/>
      <c r="EWM227" s="3"/>
      <c r="EWN227" s="3"/>
      <c r="EWO227" s="3"/>
      <c r="EWP227" s="3"/>
      <c r="EWQ227" s="3"/>
      <c r="EWR227" s="3"/>
      <c r="EWS227" s="3"/>
      <c r="EWT227" s="3"/>
      <c r="EWU227" s="3"/>
      <c r="EWV227" s="3"/>
      <c r="EWW227" s="3"/>
      <c r="EWX227" s="3"/>
      <c r="EWY227" s="3"/>
      <c r="EWZ227" s="3"/>
      <c r="EXA227" s="3"/>
      <c r="EXB227" s="3"/>
      <c r="EXC227" s="3"/>
      <c r="EXD227" s="3"/>
      <c r="EXE227" s="3"/>
      <c r="EXF227" s="3"/>
      <c r="EXG227" s="3"/>
      <c r="EXH227" s="3"/>
      <c r="EXI227" s="3"/>
      <c r="EXJ227" s="3"/>
      <c r="EXK227" s="3"/>
      <c r="EXL227" s="3"/>
      <c r="EXM227" s="3"/>
      <c r="EXN227" s="3"/>
      <c r="EXO227" s="3"/>
      <c r="EXP227" s="3"/>
      <c r="EXQ227" s="3"/>
      <c r="EXR227" s="3"/>
      <c r="EXS227" s="3"/>
      <c r="EXT227" s="3"/>
      <c r="EXU227" s="3"/>
      <c r="EXV227" s="3"/>
      <c r="EXW227" s="3"/>
      <c r="EXX227" s="3"/>
      <c r="EXY227" s="3"/>
      <c r="EXZ227" s="3"/>
      <c r="EYA227" s="3"/>
      <c r="EYB227" s="3"/>
      <c r="EYC227" s="3"/>
      <c r="EYD227" s="3"/>
      <c r="EYE227" s="3"/>
      <c r="EYF227" s="3"/>
      <c r="EYG227" s="3"/>
      <c r="EYH227" s="3"/>
      <c r="EYI227" s="3"/>
      <c r="EYJ227" s="3"/>
      <c r="EYK227" s="3"/>
      <c r="EYL227" s="3"/>
      <c r="EYM227" s="3"/>
      <c r="EYN227" s="3"/>
      <c r="EYO227" s="3"/>
      <c r="EYP227" s="3"/>
      <c r="EYQ227" s="3"/>
      <c r="EYR227" s="3"/>
      <c r="EYS227" s="3"/>
      <c r="EYT227" s="3"/>
      <c r="EYU227" s="3"/>
      <c r="EYV227" s="3"/>
      <c r="EYW227" s="3"/>
      <c r="EYX227" s="3"/>
      <c r="EYY227" s="3"/>
      <c r="EYZ227" s="3"/>
      <c r="EZA227" s="3"/>
      <c r="EZB227" s="3"/>
      <c r="EZC227" s="3"/>
      <c r="EZD227" s="3"/>
      <c r="EZE227" s="3"/>
      <c r="EZF227" s="3"/>
      <c r="EZG227" s="3"/>
      <c r="EZH227" s="3"/>
      <c r="EZI227" s="3"/>
      <c r="EZJ227" s="3"/>
      <c r="EZK227" s="3"/>
      <c r="EZL227" s="3"/>
      <c r="EZM227" s="3"/>
      <c r="EZN227" s="3"/>
      <c r="EZO227" s="3"/>
      <c r="EZP227" s="3"/>
      <c r="EZQ227" s="3"/>
      <c r="EZR227" s="3"/>
      <c r="EZS227" s="3"/>
      <c r="EZT227" s="3"/>
      <c r="EZU227" s="3"/>
      <c r="EZV227" s="3"/>
      <c r="EZW227" s="3"/>
      <c r="EZX227" s="3"/>
      <c r="EZY227" s="3"/>
      <c r="EZZ227" s="3"/>
      <c r="FAA227" s="3"/>
      <c r="FAB227" s="3"/>
      <c r="FAC227" s="3"/>
      <c r="FAD227" s="3"/>
      <c r="FAE227" s="3"/>
      <c r="FAF227" s="3"/>
      <c r="FAG227" s="3"/>
      <c r="FAH227" s="3"/>
      <c r="FAI227" s="3"/>
      <c r="FAJ227" s="3"/>
      <c r="FAK227" s="3"/>
      <c r="FAL227" s="3"/>
      <c r="FAM227" s="3"/>
      <c r="FAN227" s="3"/>
      <c r="FAO227" s="3"/>
      <c r="FAP227" s="3"/>
      <c r="FAQ227" s="3"/>
      <c r="FAR227" s="3"/>
      <c r="FAS227" s="3"/>
      <c r="FAT227" s="3"/>
      <c r="FAU227" s="3"/>
      <c r="FAV227" s="3"/>
      <c r="FAW227" s="3"/>
      <c r="FAX227" s="3"/>
      <c r="FAY227" s="3"/>
      <c r="FAZ227" s="3"/>
      <c r="FBA227" s="3"/>
      <c r="FBB227" s="3"/>
      <c r="FBC227" s="3"/>
      <c r="FBD227" s="3"/>
      <c r="FBE227" s="3"/>
      <c r="FBF227" s="3"/>
      <c r="FBG227" s="3"/>
      <c r="FBH227" s="3"/>
      <c r="FBI227" s="3"/>
      <c r="FBJ227" s="3"/>
      <c r="FBK227" s="3"/>
      <c r="FBL227" s="3"/>
      <c r="FBM227" s="3"/>
      <c r="FBN227" s="3"/>
      <c r="FBO227" s="3"/>
      <c r="FBP227" s="3"/>
      <c r="FBQ227" s="3"/>
      <c r="FBR227" s="3"/>
      <c r="FBS227" s="3"/>
      <c r="FBT227" s="3"/>
      <c r="FBU227" s="3"/>
      <c r="FBV227" s="3"/>
      <c r="FBW227" s="3"/>
      <c r="FBX227" s="3"/>
      <c r="FBY227" s="3"/>
      <c r="FBZ227" s="3"/>
      <c r="FCA227" s="3"/>
      <c r="FCB227" s="3"/>
      <c r="FCC227" s="3"/>
      <c r="FCD227" s="3"/>
      <c r="FCE227" s="3"/>
      <c r="FCF227" s="3"/>
      <c r="FCG227" s="3"/>
      <c r="FCH227" s="3"/>
      <c r="FCI227" s="3"/>
      <c r="FCJ227" s="3"/>
      <c r="FCK227" s="3"/>
      <c r="FCL227" s="3"/>
      <c r="FCM227" s="3"/>
      <c r="FCN227" s="3"/>
      <c r="FCO227" s="3"/>
      <c r="FCP227" s="3"/>
      <c r="FCQ227" s="3"/>
      <c r="FCR227" s="3"/>
      <c r="FCS227" s="3"/>
      <c r="FCT227" s="3"/>
      <c r="FCU227" s="3"/>
      <c r="FCV227" s="3"/>
      <c r="FCW227" s="3"/>
      <c r="FCX227" s="3"/>
      <c r="FCY227" s="3"/>
      <c r="FCZ227" s="3"/>
      <c r="FDA227" s="3"/>
      <c r="FDB227" s="3"/>
      <c r="FDC227" s="3"/>
      <c r="FDD227" s="3"/>
      <c r="FDE227" s="3"/>
      <c r="FDF227" s="3"/>
      <c r="FDG227" s="3"/>
      <c r="FDH227" s="3"/>
      <c r="FDI227" s="3"/>
      <c r="FDJ227" s="3"/>
      <c r="FDK227" s="3"/>
      <c r="FDL227" s="3"/>
      <c r="FDM227" s="3"/>
      <c r="FDN227" s="3"/>
      <c r="FDO227" s="3"/>
      <c r="FDP227" s="3"/>
      <c r="FDQ227" s="3"/>
      <c r="FDR227" s="3"/>
      <c r="FDS227" s="3"/>
      <c r="FDT227" s="3"/>
      <c r="FDU227" s="3"/>
      <c r="FDV227" s="3"/>
      <c r="FDW227" s="3"/>
      <c r="FDX227" s="3"/>
      <c r="FDY227" s="3"/>
      <c r="FDZ227" s="3"/>
      <c r="FEA227" s="3"/>
      <c r="FEB227" s="3"/>
      <c r="FEC227" s="3"/>
      <c r="FED227" s="3"/>
      <c r="FEE227" s="3"/>
      <c r="FEF227" s="3"/>
      <c r="FEG227" s="3"/>
      <c r="FEH227" s="3"/>
      <c r="FEI227" s="3"/>
      <c r="FEJ227" s="3"/>
      <c r="FEK227" s="3"/>
      <c r="FEL227" s="3"/>
      <c r="FEM227" s="3"/>
      <c r="FEN227" s="3"/>
      <c r="FEO227" s="3"/>
      <c r="FEP227" s="3"/>
      <c r="FEQ227" s="3"/>
      <c r="FER227" s="3"/>
      <c r="FES227" s="3"/>
      <c r="FET227" s="3"/>
      <c r="FEU227" s="3"/>
      <c r="FEV227" s="3"/>
      <c r="FEW227" s="3"/>
      <c r="FEX227" s="3"/>
      <c r="FEY227" s="3"/>
      <c r="FEZ227" s="3"/>
      <c r="FFA227" s="3"/>
      <c r="FFB227" s="3"/>
      <c r="FFC227" s="3"/>
      <c r="FFD227" s="3"/>
      <c r="FFE227" s="3"/>
      <c r="FFF227" s="3"/>
      <c r="FFG227" s="3"/>
      <c r="FFH227" s="3"/>
      <c r="FFI227" s="3"/>
      <c r="FFJ227" s="3"/>
      <c r="FFK227" s="3"/>
      <c r="FFL227" s="3"/>
      <c r="FFM227" s="3"/>
      <c r="FFN227" s="3"/>
      <c r="FFO227" s="3"/>
      <c r="FFP227" s="3"/>
      <c r="FFQ227" s="3"/>
      <c r="FFR227" s="3"/>
      <c r="FFS227" s="3"/>
      <c r="FFT227" s="3"/>
      <c r="FFU227" s="3"/>
      <c r="FFV227" s="3"/>
      <c r="FFW227" s="3"/>
      <c r="FFX227" s="3"/>
      <c r="FFY227" s="3"/>
      <c r="FFZ227" s="3"/>
      <c r="FGA227" s="3"/>
      <c r="FGB227" s="3"/>
      <c r="FGC227" s="3"/>
      <c r="FGD227" s="3"/>
      <c r="FGE227" s="3"/>
      <c r="FGF227" s="3"/>
      <c r="FGG227" s="3"/>
      <c r="FGH227" s="3"/>
      <c r="FGI227" s="3"/>
      <c r="FGJ227" s="3"/>
      <c r="FGK227" s="3"/>
      <c r="FGL227" s="3"/>
      <c r="FGM227" s="3"/>
      <c r="FGN227" s="3"/>
      <c r="FGO227" s="3"/>
      <c r="FGP227" s="3"/>
      <c r="FGQ227" s="3"/>
      <c r="FGR227" s="3"/>
      <c r="FGS227" s="3"/>
      <c r="FGT227" s="3"/>
      <c r="FGU227" s="3"/>
      <c r="FGV227" s="3"/>
      <c r="FGW227" s="3"/>
      <c r="FGX227" s="3"/>
      <c r="FGY227" s="3"/>
      <c r="FGZ227" s="3"/>
      <c r="FHA227" s="3"/>
      <c r="FHB227" s="3"/>
      <c r="FHC227" s="3"/>
      <c r="FHD227" s="3"/>
      <c r="FHE227" s="3"/>
      <c r="FHF227" s="3"/>
      <c r="FHG227" s="3"/>
      <c r="FHH227" s="3"/>
      <c r="FHI227" s="3"/>
      <c r="FHJ227" s="3"/>
      <c r="FHK227" s="3"/>
      <c r="FHL227" s="3"/>
      <c r="FHM227" s="3"/>
      <c r="FHN227" s="3"/>
      <c r="FHO227" s="3"/>
      <c r="FHP227" s="3"/>
      <c r="FHQ227" s="3"/>
      <c r="FHR227" s="3"/>
      <c r="FHS227" s="3"/>
      <c r="FHT227" s="3"/>
      <c r="FHU227" s="3"/>
      <c r="FHV227" s="3"/>
      <c r="FHW227" s="3"/>
      <c r="FHX227" s="3"/>
      <c r="FHY227" s="3"/>
      <c r="FHZ227" s="3"/>
      <c r="FIA227" s="3"/>
      <c r="FIB227" s="3"/>
      <c r="FIC227" s="3"/>
      <c r="FID227" s="3"/>
      <c r="FIE227" s="3"/>
      <c r="FIF227" s="3"/>
      <c r="FIG227" s="3"/>
      <c r="FIH227" s="3"/>
      <c r="FII227" s="3"/>
      <c r="FIJ227" s="3"/>
      <c r="FIK227" s="3"/>
      <c r="FIL227" s="3"/>
      <c r="FIM227" s="3"/>
      <c r="FIN227" s="3"/>
      <c r="FIO227" s="3"/>
      <c r="FIP227" s="3"/>
      <c r="FIQ227" s="3"/>
      <c r="FIR227" s="3"/>
      <c r="FIS227" s="3"/>
      <c r="FIT227" s="3"/>
      <c r="FIU227" s="3"/>
      <c r="FIV227" s="3"/>
      <c r="FIW227" s="3"/>
      <c r="FIX227" s="3"/>
      <c r="FIY227" s="3"/>
      <c r="FIZ227" s="3"/>
      <c r="FJA227" s="3"/>
      <c r="FJB227" s="3"/>
      <c r="FJC227" s="3"/>
      <c r="FJD227" s="3"/>
      <c r="FJE227" s="3"/>
      <c r="FJF227" s="3"/>
      <c r="FJG227" s="3"/>
      <c r="FJH227" s="3"/>
      <c r="FJI227" s="3"/>
      <c r="FJJ227" s="3"/>
      <c r="FJK227" s="3"/>
      <c r="FJL227" s="3"/>
      <c r="FJM227" s="3"/>
      <c r="FJN227" s="3"/>
      <c r="FJO227" s="3"/>
      <c r="FJP227" s="3"/>
      <c r="FJQ227" s="3"/>
      <c r="FJR227" s="3"/>
      <c r="FJS227" s="3"/>
      <c r="FJT227" s="3"/>
      <c r="FJU227" s="3"/>
      <c r="FJV227" s="3"/>
      <c r="FJW227" s="3"/>
      <c r="FJX227" s="3"/>
      <c r="FJY227" s="3"/>
      <c r="FJZ227" s="3"/>
      <c r="FKA227" s="3"/>
      <c r="FKB227" s="3"/>
      <c r="FKC227" s="3"/>
      <c r="FKD227" s="3"/>
      <c r="FKE227" s="3"/>
      <c r="FKF227" s="3"/>
      <c r="FKG227" s="3"/>
      <c r="FKH227" s="3"/>
      <c r="FKI227" s="3"/>
      <c r="FKJ227" s="3"/>
      <c r="FKK227" s="3"/>
      <c r="FKL227" s="3"/>
      <c r="FKM227" s="3"/>
      <c r="FKN227" s="3"/>
      <c r="FKO227" s="3"/>
      <c r="FKP227" s="3"/>
      <c r="FKQ227" s="3"/>
      <c r="FKR227" s="3"/>
      <c r="FKS227" s="3"/>
      <c r="FKT227" s="3"/>
      <c r="FKU227" s="3"/>
      <c r="FKV227" s="3"/>
      <c r="FKW227" s="3"/>
      <c r="FKX227" s="3"/>
      <c r="FKY227" s="3"/>
      <c r="FKZ227" s="3"/>
      <c r="FLA227" s="3"/>
      <c r="FLB227" s="3"/>
      <c r="FLC227" s="3"/>
      <c r="FLD227" s="3"/>
      <c r="FLE227" s="3"/>
      <c r="FLF227" s="3"/>
      <c r="FLG227" s="3"/>
      <c r="FLH227" s="3"/>
      <c r="FLI227" s="3"/>
      <c r="FLJ227" s="3"/>
      <c r="FLK227" s="3"/>
      <c r="FLL227" s="3"/>
      <c r="FLM227" s="3"/>
      <c r="FLN227" s="3"/>
      <c r="FLO227" s="3"/>
      <c r="FLP227" s="3"/>
      <c r="FLQ227" s="3"/>
      <c r="FLR227" s="3"/>
      <c r="FLS227" s="3"/>
      <c r="FLT227" s="3"/>
      <c r="FLU227" s="3"/>
      <c r="FLV227" s="3"/>
      <c r="FLW227" s="3"/>
      <c r="FLX227" s="3"/>
      <c r="FLY227" s="3"/>
      <c r="FLZ227" s="3"/>
      <c r="FMA227" s="3"/>
      <c r="FMB227" s="3"/>
      <c r="FMC227" s="3"/>
      <c r="FMD227" s="3"/>
      <c r="FME227" s="3"/>
      <c r="FMF227" s="3"/>
      <c r="FMG227" s="3"/>
      <c r="FMH227" s="3"/>
      <c r="FMI227" s="3"/>
      <c r="FMJ227" s="3"/>
      <c r="FMK227" s="3"/>
      <c r="FML227" s="3"/>
      <c r="FMM227" s="3"/>
      <c r="FMN227" s="3"/>
      <c r="FMO227" s="3"/>
      <c r="FMP227" s="3"/>
      <c r="FMQ227" s="3"/>
      <c r="FMR227" s="3"/>
      <c r="FMS227" s="3"/>
      <c r="FMT227" s="3"/>
      <c r="FMU227" s="3"/>
      <c r="FMV227" s="3"/>
      <c r="FMW227" s="3"/>
      <c r="FMX227" s="3"/>
      <c r="FMY227" s="3"/>
      <c r="FMZ227" s="3"/>
      <c r="FNA227" s="3"/>
      <c r="FNB227" s="3"/>
      <c r="FNC227" s="3"/>
      <c r="FND227" s="3"/>
      <c r="FNE227" s="3"/>
      <c r="FNF227" s="3"/>
      <c r="FNG227" s="3"/>
      <c r="FNH227" s="3"/>
      <c r="FNI227" s="3"/>
      <c r="FNJ227" s="3"/>
      <c r="FNK227" s="3"/>
      <c r="FNL227" s="3"/>
      <c r="FNM227" s="3"/>
      <c r="FNN227" s="3"/>
      <c r="FNO227" s="3"/>
      <c r="FNP227" s="3"/>
      <c r="FNQ227" s="3"/>
      <c r="FNR227" s="3"/>
      <c r="FNS227" s="3"/>
      <c r="FNT227" s="3"/>
      <c r="FNU227" s="3"/>
      <c r="FNV227" s="3"/>
      <c r="FNW227" s="3"/>
      <c r="FNX227" s="3"/>
      <c r="FNY227" s="3"/>
      <c r="FNZ227" s="3"/>
      <c r="FOA227" s="3"/>
      <c r="FOB227" s="3"/>
      <c r="FOC227" s="3"/>
      <c r="FOD227" s="3"/>
      <c r="FOE227" s="3"/>
      <c r="FOF227" s="3"/>
      <c r="FOG227" s="3"/>
      <c r="FOH227" s="3"/>
      <c r="FOI227" s="3"/>
      <c r="FOJ227" s="3"/>
      <c r="FOK227" s="3"/>
      <c r="FOL227" s="3"/>
      <c r="FOM227" s="3"/>
      <c r="FON227" s="3"/>
      <c r="FOO227" s="3"/>
      <c r="FOP227" s="3"/>
      <c r="FOQ227" s="3"/>
      <c r="FOR227" s="3"/>
      <c r="FOS227" s="3"/>
      <c r="FOT227" s="3"/>
      <c r="FOU227" s="3"/>
      <c r="FOV227" s="3"/>
      <c r="FOW227" s="3"/>
      <c r="FOX227" s="3"/>
      <c r="FOY227" s="3"/>
      <c r="FOZ227" s="3"/>
      <c r="FPA227" s="3"/>
      <c r="FPB227" s="3"/>
      <c r="FPC227" s="3"/>
      <c r="FPD227" s="3"/>
      <c r="FPE227" s="3"/>
      <c r="FPF227" s="3"/>
      <c r="FPG227" s="3"/>
      <c r="FPH227" s="3"/>
      <c r="FPI227" s="3"/>
      <c r="FPJ227" s="3"/>
      <c r="FPK227" s="3"/>
      <c r="FPL227" s="3"/>
      <c r="FPM227" s="3"/>
      <c r="FPN227" s="3"/>
      <c r="FPO227" s="3"/>
      <c r="FPP227" s="3"/>
      <c r="FPQ227" s="3"/>
      <c r="FPR227" s="3"/>
      <c r="FPS227" s="3"/>
      <c r="FPT227" s="3"/>
      <c r="FPU227" s="3"/>
      <c r="FPV227" s="3"/>
      <c r="FPW227" s="3"/>
      <c r="FPX227" s="3"/>
      <c r="FPY227" s="3"/>
      <c r="FPZ227" s="3"/>
      <c r="FQA227" s="3"/>
      <c r="FQB227" s="3"/>
      <c r="FQC227" s="3"/>
      <c r="FQD227" s="3"/>
      <c r="FQE227" s="3"/>
      <c r="FQF227" s="3"/>
      <c r="FQG227" s="3"/>
      <c r="FQH227" s="3"/>
      <c r="FQI227" s="3"/>
      <c r="FQJ227" s="3"/>
      <c r="FQK227" s="3"/>
      <c r="FQL227" s="3"/>
      <c r="FQM227" s="3"/>
      <c r="FQN227" s="3"/>
      <c r="FQO227" s="3"/>
      <c r="FQP227" s="3"/>
      <c r="FQQ227" s="3"/>
      <c r="FQR227" s="3"/>
      <c r="FQS227" s="3"/>
      <c r="FQT227" s="3"/>
      <c r="FQU227" s="3"/>
      <c r="FQV227" s="3"/>
      <c r="FQW227" s="3"/>
      <c r="FQX227" s="3"/>
      <c r="FQY227" s="3"/>
      <c r="FQZ227" s="3"/>
      <c r="FRA227" s="3"/>
      <c r="FRB227" s="3"/>
      <c r="FRC227" s="3"/>
      <c r="FRD227" s="3"/>
      <c r="FRE227" s="3"/>
      <c r="FRF227" s="3"/>
      <c r="FRG227" s="3"/>
      <c r="FRH227" s="3"/>
      <c r="FRI227" s="3"/>
      <c r="FRJ227" s="3"/>
      <c r="FRK227" s="3"/>
      <c r="FRL227" s="3"/>
      <c r="FRM227" s="3"/>
      <c r="FRN227" s="3"/>
      <c r="FRO227" s="3"/>
      <c r="FRP227" s="3"/>
      <c r="FRQ227" s="3"/>
      <c r="FRR227" s="3"/>
      <c r="FRS227" s="3"/>
      <c r="FRT227" s="3"/>
      <c r="FRU227" s="3"/>
      <c r="FRV227" s="3"/>
      <c r="FRW227" s="3"/>
      <c r="FRX227" s="3"/>
      <c r="FRY227" s="3"/>
      <c r="FRZ227" s="3"/>
      <c r="FSA227" s="3"/>
      <c r="FSB227" s="3"/>
      <c r="FSC227" s="3"/>
      <c r="FSD227" s="3"/>
      <c r="FSE227" s="3"/>
      <c r="FSF227" s="3"/>
      <c r="FSG227" s="3"/>
      <c r="FSH227" s="3"/>
      <c r="FSI227" s="3"/>
      <c r="FSJ227" s="3"/>
      <c r="FSK227" s="3"/>
      <c r="FSL227" s="3"/>
      <c r="FSM227" s="3"/>
      <c r="FSN227" s="3"/>
      <c r="FSO227" s="3"/>
      <c r="FSP227" s="3"/>
      <c r="FSQ227" s="3"/>
      <c r="FSR227" s="3"/>
      <c r="FSS227" s="3"/>
      <c r="FST227" s="3"/>
      <c r="FSU227" s="3"/>
      <c r="FSV227" s="3"/>
      <c r="FSW227" s="3"/>
      <c r="FSX227" s="3"/>
      <c r="FSY227" s="3"/>
      <c r="FSZ227" s="3"/>
      <c r="FTA227" s="3"/>
      <c r="FTB227" s="3"/>
      <c r="FTC227" s="3"/>
      <c r="FTD227" s="3"/>
      <c r="FTE227" s="3"/>
      <c r="FTF227" s="3"/>
      <c r="FTG227" s="3"/>
      <c r="FTH227" s="3"/>
      <c r="FTI227" s="3"/>
      <c r="FTJ227" s="3"/>
      <c r="FTK227" s="3"/>
      <c r="FTL227" s="3"/>
      <c r="FTM227" s="3"/>
      <c r="FTN227" s="3"/>
      <c r="FTO227" s="3"/>
      <c r="FTP227" s="3"/>
      <c r="FTQ227" s="3"/>
      <c r="FTR227" s="3"/>
      <c r="FTS227" s="3"/>
      <c r="FTT227" s="3"/>
      <c r="FTU227" s="3"/>
      <c r="FTV227" s="3"/>
      <c r="FTW227" s="3"/>
      <c r="FTX227" s="3"/>
      <c r="FTY227" s="3"/>
      <c r="FTZ227" s="3"/>
      <c r="FUA227" s="3"/>
      <c r="FUB227" s="3"/>
      <c r="FUC227" s="3"/>
      <c r="FUD227" s="3"/>
      <c r="FUE227" s="3"/>
      <c r="FUF227" s="3"/>
      <c r="FUG227" s="3"/>
      <c r="FUH227" s="3"/>
      <c r="FUI227" s="3"/>
      <c r="FUJ227" s="3"/>
      <c r="FUK227" s="3"/>
      <c r="FUL227" s="3"/>
      <c r="FUM227" s="3"/>
      <c r="FUN227" s="3"/>
      <c r="FUO227" s="3"/>
      <c r="FUP227" s="3"/>
      <c r="FUQ227" s="3"/>
      <c r="FUR227" s="3"/>
      <c r="FUS227" s="3"/>
      <c r="FUT227" s="3"/>
      <c r="FUU227" s="3"/>
      <c r="FUV227" s="3"/>
      <c r="FUW227" s="3"/>
      <c r="FUX227" s="3"/>
      <c r="FUY227" s="3"/>
      <c r="FUZ227" s="3"/>
      <c r="FVA227" s="3"/>
      <c r="FVB227" s="3"/>
      <c r="FVC227" s="3"/>
      <c r="FVD227" s="3"/>
      <c r="FVE227" s="3"/>
      <c r="FVF227" s="3"/>
      <c r="FVG227" s="3"/>
      <c r="FVH227" s="3"/>
      <c r="FVI227" s="3"/>
      <c r="FVJ227" s="3"/>
      <c r="FVK227" s="3"/>
      <c r="FVL227" s="3"/>
      <c r="FVM227" s="3"/>
      <c r="FVN227" s="3"/>
      <c r="FVO227" s="3"/>
      <c r="FVP227" s="3"/>
      <c r="FVQ227" s="3"/>
      <c r="FVR227" s="3"/>
      <c r="FVS227" s="3"/>
      <c r="FVT227" s="3"/>
      <c r="FVU227" s="3"/>
      <c r="FVV227" s="3"/>
      <c r="FVW227" s="3"/>
      <c r="FVX227" s="3"/>
      <c r="FVY227" s="3"/>
      <c r="FVZ227" s="3"/>
      <c r="FWA227" s="3"/>
      <c r="FWB227" s="3"/>
      <c r="FWC227" s="3"/>
      <c r="FWD227" s="3"/>
      <c r="FWE227" s="3"/>
      <c r="FWF227" s="3"/>
      <c r="FWG227" s="3"/>
      <c r="FWH227" s="3"/>
      <c r="FWI227" s="3"/>
      <c r="FWJ227" s="3"/>
      <c r="FWK227" s="3"/>
      <c r="FWL227" s="3"/>
      <c r="FWM227" s="3"/>
      <c r="FWN227" s="3"/>
      <c r="FWO227" s="3"/>
      <c r="FWP227" s="3"/>
      <c r="FWQ227" s="3"/>
      <c r="FWR227" s="3"/>
      <c r="FWS227" s="3"/>
      <c r="FWT227" s="3"/>
      <c r="FWU227" s="3"/>
      <c r="FWV227" s="3"/>
      <c r="FWW227" s="3"/>
      <c r="FWX227" s="3"/>
      <c r="FWY227" s="3"/>
      <c r="FWZ227" s="3"/>
      <c r="FXA227" s="3"/>
      <c r="FXB227" s="3"/>
      <c r="FXC227" s="3"/>
      <c r="FXD227" s="3"/>
      <c r="FXE227" s="3"/>
      <c r="FXF227" s="3"/>
      <c r="FXG227" s="3"/>
      <c r="FXH227" s="3"/>
      <c r="FXI227" s="3"/>
      <c r="FXJ227" s="3"/>
      <c r="FXK227" s="3"/>
      <c r="FXL227" s="3"/>
      <c r="FXM227" s="3"/>
      <c r="FXN227" s="3"/>
      <c r="FXO227" s="3"/>
      <c r="FXP227" s="3"/>
      <c r="FXQ227" s="3"/>
      <c r="FXR227" s="3"/>
      <c r="FXS227" s="3"/>
      <c r="FXT227" s="3"/>
      <c r="FXU227" s="3"/>
      <c r="FXV227" s="3"/>
      <c r="FXW227" s="3"/>
      <c r="FXX227" s="3"/>
      <c r="FXY227" s="3"/>
      <c r="FXZ227" s="3"/>
      <c r="FYA227" s="3"/>
      <c r="FYB227" s="3"/>
      <c r="FYC227" s="3"/>
      <c r="FYD227" s="3"/>
      <c r="FYE227" s="3"/>
      <c r="FYF227" s="3"/>
      <c r="FYG227" s="3"/>
      <c r="FYH227" s="3"/>
      <c r="FYI227" s="3"/>
      <c r="FYJ227" s="3"/>
      <c r="FYK227" s="3"/>
      <c r="FYL227" s="3"/>
      <c r="FYM227" s="3"/>
      <c r="FYN227" s="3"/>
      <c r="FYO227" s="3"/>
      <c r="FYP227" s="3"/>
      <c r="FYQ227" s="3"/>
      <c r="FYR227" s="3"/>
      <c r="FYS227" s="3"/>
      <c r="FYT227" s="3"/>
      <c r="FYU227" s="3"/>
      <c r="FYV227" s="3"/>
      <c r="FYW227" s="3"/>
      <c r="FYX227" s="3"/>
      <c r="FYY227" s="3"/>
      <c r="FYZ227" s="3"/>
      <c r="FZA227" s="3"/>
      <c r="FZB227" s="3"/>
      <c r="FZC227" s="3"/>
      <c r="FZD227" s="3"/>
      <c r="FZE227" s="3"/>
      <c r="FZF227" s="3"/>
      <c r="FZG227" s="3"/>
      <c r="FZH227" s="3"/>
      <c r="FZI227" s="3"/>
      <c r="FZJ227" s="3"/>
      <c r="FZK227" s="3"/>
      <c r="FZL227" s="3"/>
      <c r="FZM227" s="3"/>
      <c r="FZN227" s="3"/>
      <c r="FZO227" s="3"/>
      <c r="FZP227" s="3"/>
      <c r="FZQ227" s="3"/>
      <c r="FZR227" s="3"/>
      <c r="FZS227" s="3"/>
      <c r="FZT227" s="3"/>
      <c r="FZU227" s="3"/>
      <c r="FZV227" s="3"/>
      <c r="FZW227" s="3"/>
      <c r="FZX227" s="3"/>
      <c r="FZY227" s="3"/>
      <c r="FZZ227" s="3"/>
      <c r="GAA227" s="3"/>
      <c r="GAB227" s="3"/>
      <c r="GAC227" s="3"/>
      <c r="GAD227" s="3"/>
      <c r="GAE227" s="3"/>
      <c r="GAF227" s="3"/>
      <c r="GAG227" s="3"/>
      <c r="GAH227" s="3"/>
      <c r="GAI227" s="3"/>
      <c r="GAJ227" s="3"/>
      <c r="GAK227" s="3"/>
      <c r="GAL227" s="3"/>
      <c r="GAM227" s="3"/>
      <c r="GAN227" s="3"/>
      <c r="GAO227" s="3"/>
      <c r="GAP227" s="3"/>
      <c r="GAQ227" s="3"/>
      <c r="GAR227" s="3"/>
      <c r="GAS227" s="3"/>
      <c r="GAT227" s="3"/>
      <c r="GAU227" s="3"/>
      <c r="GAV227" s="3"/>
      <c r="GAW227" s="3"/>
      <c r="GAX227" s="3"/>
      <c r="GAY227" s="3"/>
      <c r="GAZ227" s="3"/>
      <c r="GBA227" s="3"/>
      <c r="GBB227" s="3"/>
      <c r="GBC227" s="3"/>
      <c r="GBD227" s="3"/>
      <c r="GBE227" s="3"/>
      <c r="GBF227" s="3"/>
      <c r="GBG227" s="3"/>
      <c r="GBH227" s="3"/>
      <c r="GBI227" s="3"/>
      <c r="GBJ227" s="3"/>
      <c r="GBK227" s="3"/>
      <c r="GBL227" s="3"/>
      <c r="GBM227" s="3"/>
      <c r="GBN227" s="3"/>
      <c r="GBO227" s="3"/>
      <c r="GBP227" s="3"/>
      <c r="GBQ227" s="3"/>
      <c r="GBR227" s="3"/>
      <c r="GBS227" s="3"/>
      <c r="GBT227" s="3"/>
      <c r="GBU227" s="3"/>
      <c r="GBV227" s="3"/>
      <c r="GBW227" s="3"/>
      <c r="GBX227" s="3"/>
      <c r="GBY227" s="3"/>
      <c r="GBZ227" s="3"/>
      <c r="GCA227" s="3"/>
      <c r="GCB227" s="3"/>
      <c r="GCC227" s="3"/>
      <c r="GCD227" s="3"/>
      <c r="GCE227" s="3"/>
      <c r="GCF227" s="3"/>
      <c r="GCG227" s="3"/>
      <c r="GCH227" s="3"/>
      <c r="GCI227" s="3"/>
      <c r="GCJ227" s="3"/>
      <c r="GCK227" s="3"/>
      <c r="GCL227" s="3"/>
      <c r="GCM227" s="3"/>
      <c r="GCN227" s="3"/>
      <c r="GCO227" s="3"/>
      <c r="GCP227" s="3"/>
      <c r="GCQ227" s="3"/>
      <c r="GCR227" s="3"/>
      <c r="GCS227" s="3"/>
      <c r="GCT227" s="3"/>
      <c r="GCU227" s="3"/>
      <c r="GCV227" s="3"/>
      <c r="GCW227" s="3"/>
      <c r="GCX227" s="3"/>
      <c r="GCY227" s="3"/>
      <c r="GCZ227" s="3"/>
      <c r="GDA227" s="3"/>
      <c r="GDB227" s="3"/>
      <c r="GDC227" s="3"/>
      <c r="GDD227" s="3"/>
      <c r="GDE227" s="3"/>
      <c r="GDF227" s="3"/>
      <c r="GDG227" s="3"/>
      <c r="GDH227" s="3"/>
      <c r="GDI227" s="3"/>
      <c r="GDJ227" s="3"/>
      <c r="GDK227" s="3"/>
      <c r="GDL227" s="3"/>
      <c r="GDM227" s="3"/>
      <c r="GDN227" s="3"/>
      <c r="GDO227" s="3"/>
      <c r="GDP227" s="3"/>
      <c r="GDQ227" s="3"/>
      <c r="GDR227" s="3"/>
      <c r="GDS227" s="3"/>
      <c r="GDT227" s="3"/>
      <c r="GDU227" s="3"/>
      <c r="GDV227" s="3"/>
      <c r="GDW227" s="3"/>
      <c r="GDX227" s="3"/>
      <c r="GDY227" s="3"/>
      <c r="GDZ227" s="3"/>
      <c r="GEA227" s="3"/>
      <c r="GEB227" s="3"/>
      <c r="GEC227" s="3"/>
      <c r="GED227" s="3"/>
      <c r="GEE227" s="3"/>
      <c r="GEF227" s="3"/>
      <c r="GEG227" s="3"/>
      <c r="GEH227" s="3"/>
      <c r="GEI227" s="3"/>
      <c r="GEJ227" s="3"/>
      <c r="GEK227" s="3"/>
      <c r="GEL227" s="3"/>
      <c r="GEM227" s="3"/>
      <c r="GEN227" s="3"/>
      <c r="GEO227" s="3"/>
      <c r="GEP227" s="3"/>
      <c r="GEQ227" s="3"/>
      <c r="GER227" s="3"/>
      <c r="GES227" s="3"/>
      <c r="GET227" s="3"/>
      <c r="GEU227" s="3"/>
      <c r="GEV227" s="3"/>
      <c r="GEW227" s="3"/>
      <c r="GEX227" s="3"/>
      <c r="GEY227" s="3"/>
      <c r="GEZ227" s="3"/>
      <c r="GFA227" s="3"/>
      <c r="GFB227" s="3"/>
      <c r="GFC227" s="3"/>
      <c r="GFD227" s="3"/>
      <c r="GFE227" s="3"/>
      <c r="GFF227" s="3"/>
      <c r="GFG227" s="3"/>
      <c r="GFH227" s="3"/>
      <c r="GFI227" s="3"/>
      <c r="GFJ227" s="3"/>
      <c r="GFK227" s="3"/>
      <c r="GFL227" s="3"/>
      <c r="GFM227" s="3"/>
      <c r="GFN227" s="3"/>
      <c r="GFO227" s="3"/>
      <c r="GFP227" s="3"/>
      <c r="GFQ227" s="3"/>
      <c r="GFR227" s="3"/>
      <c r="GFS227" s="3"/>
      <c r="GFT227" s="3"/>
      <c r="GFU227" s="3"/>
      <c r="GFV227" s="3"/>
      <c r="GFW227" s="3"/>
      <c r="GFX227" s="3"/>
      <c r="GFY227" s="3"/>
      <c r="GFZ227" s="3"/>
      <c r="GGA227" s="3"/>
      <c r="GGB227" s="3"/>
      <c r="GGC227" s="3"/>
      <c r="GGD227" s="3"/>
      <c r="GGE227" s="3"/>
      <c r="GGF227" s="3"/>
      <c r="GGG227" s="3"/>
      <c r="GGH227" s="3"/>
      <c r="GGI227" s="3"/>
      <c r="GGJ227" s="3"/>
      <c r="GGK227" s="3"/>
      <c r="GGL227" s="3"/>
      <c r="GGM227" s="3"/>
      <c r="GGN227" s="3"/>
      <c r="GGO227" s="3"/>
      <c r="GGP227" s="3"/>
      <c r="GGQ227" s="3"/>
      <c r="GGR227" s="3"/>
      <c r="GGS227" s="3"/>
      <c r="GGT227" s="3"/>
      <c r="GGU227" s="3"/>
      <c r="GGV227" s="3"/>
      <c r="GGW227" s="3"/>
      <c r="GGX227" s="3"/>
      <c r="GGY227" s="3"/>
      <c r="GGZ227" s="3"/>
      <c r="GHA227" s="3"/>
      <c r="GHB227" s="3"/>
      <c r="GHC227" s="3"/>
      <c r="GHD227" s="3"/>
      <c r="GHE227" s="3"/>
      <c r="GHF227" s="3"/>
      <c r="GHG227" s="3"/>
      <c r="GHH227" s="3"/>
      <c r="GHI227" s="3"/>
      <c r="GHJ227" s="3"/>
      <c r="GHK227" s="3"/>
      <c r="GHL227" s="3"/>
      <c r="GHM227" s="3"/>
      <c r="GHN227" s="3"/>
      <c r="GHO227" s="3"/>
      <c r="GHP227" s="3"/>
      <c r="GHQ227" s="3"/>
      <c r="GHR227" s="3"/>
      <c r="GHS227" s="3"/>
      <c r="GHT227" s="3"/>
      <c r="GHU227" s="3"/>
      <c r="GHV227" s="3"/>
      <c r="GHW227" s="3"/>
      <c r="GHX227" s="3"/>
      <c r="GHY227" s="3"/>
      <c r="GHZ227" s="3"/>
      <c r="GIA227" s="3"/>
      <c r="GIB227" s="3"/>
      <c r="GIC227" s="3"/>
      <c r="GID227" s="3"/>
      <c r="GIE227" s="3"/>
      <c r="GIF227" s="3"/>
      <c r="GIG227" s="3"/>
      <c r="GIH227" s="3"/>
      <c r="GII227" s="3"/>
      <c r="GIJ227" s="3"/>
      <c r="GIK227" s="3"/>
      <c r="GIL227" s="3"/>
      <c r="GIM227" s="3"/>
      <c r="GIN227" s="3"/>
      <c r="GIO227" s="3"/>
      <c r="GIP227" s="3"/>
      <c r="GIQ227" s="3"/>
      <c r="GIR227" s="3"/>
      <c r="GIS227" s="3"/>
      <c r="GIT227" s="3"/>
      <c r="GIU227" s="3"/>
      <c r="GIV227" s="3"/>
      <c r="GIW227" s="3"/>
      <c r="GIX227" s="3"/>
      <c r="GIY227" s="3"/>
      <c r="GIZ227" s="3"/>
      <c r="GJA227" s="3"/>
      <c r="GJB227" s="3"/>
      <c r="GJC227" s="3"/>
      <c r="GJD227" s="3"/>
      <c r="GJE227" s="3"/>
      <c r="GJF227" s="3"/>
      <c r="GJG227" s="3"/>
      <c r="GJH227" s="3"/>
      <c r="GJI227" s="3"/>
      <c r="GJJ227" s="3"/>
      <c r="GJK227" s="3"/>
      <c r="GJL227" s="3"/>
      <c r="GJM227" s="3"/>
      <c r="GJN227" s="3"/>
      <c r="GJO227" s="3"/>
      <c r="GJP227" s="3"/>
      <c r="GJQ227" s="3"/>
      <c r="GJR227" s="3"/>
      <c r="GJS227" s="3"/>
      <c r="GJT227" s="3"/>
      <c r="GJU227" s="3"/>
      <c r="GJV227" s="3"/>
      <c r="GJW227" s="3"/>
      <c r="GJX227" s="3"/>
      <c r="GJY227" s="3"/>
      <c r="GJZ227" s="3"/>
      <c r="GKA227" s="3"/>
      <c r="GKB227" s="3"/>
      <c r="GKC227" s="3"/>
      <c r="GKD227" s="3"/>
      <c r="GKE227" s="3"/>
      <c r="GKF227" s="3"/>
      <c r="GKG227" s="3"/>
      <c r="GKH227" s="3"/>
      <c r="GKI227" s="3"/>
      <c r="GKJ227" s="3"/>
      <c r="GKK227" s="3"/>
      <c r="GKL227" s="3"/>
      <c r="GKM227" s="3"/>
      <c r="GKN227" s="3"/>
      <c r="GKO227" s="3"/>
      <c r="GKP227" s="3"/>
      <c r="GKQ227" s="3"/>
      <c r="GKR227" s="3"/>
      <c r="GKS227" s="3"/>
      <c r="GKT227" s="3"/>
      <c r="GKU227" s="3"/>
      <c r="GKV227" s="3"/>
      <c r="GKW227" s="3"/>
      <c r="GKX227" s="3"/>
      <c r="GKY227" s="3"/>
      <c r="GKZ227" s="3"/>
      <c r="GLA227" s="3"/>
      <c r="GLB227" s="3"/>
      <c r="GLC227" s="3"/>
      <c r="GLD227" s="3"/>
      <c r="GLE227" s="3"/>
      <c r="GLF227" s="3"/>
      <c r="GLG227" s="3"/>
      <c r="GLH227" s="3"/>
      <c r="GLI227" s="3"/>
      <c r="GLJ227" s="3"/>
      <c r="GLK227" s="3"/>
      <c r="GLL227" s="3"/>
      <c r="GLM227" s="3"/>
      <c r="GLN227" s="3"/>
      <c r="GLO227" s="3"/>
      <c r="GLP227" s="3"/>
      <c r="GLQ227" s="3"/>
      <c r="GLR227" s="3"/>
      <c r="GLS227" s="3"/>
      <c r="GLT227" s="3"/>
      <c r="GLU227" s="3"/>
      <c r="GLV227" s="3"/>
      <c r="GLW227" s="3"/>
      <c r="GLX227" s="3"/>
      <c r="GLY227" s="3"/>
      <c r="GLZ227" s="3"/>
      <c r="GMA227" s="3"/>
      <c r="GMB227" s="3"/>
      <c r="GMC227" s="3"/>
      <c r="GMD227" s="3"/>
      <c r="GME227" s="3"/>
      <c r="GMF227" s="3"/>
      <c r="GMG227" s="3"/>
      <c r="GMH227" s="3"/>
      <c r="GMI227" s="3"/>
      <c r="GMJ227" s="3"/>
      <c r="GMK227" s="3"/>
      <c r="GML227" s="3"/>
      <c r="GMM227" s="3"/>
      <c r="GMN227" s="3"/>
      <c r="GMO227" s="3"/>
      <c r="GMP227" s="3"/>
      <c r="GMQ227" s="3"/>
      <c r="GMR227" s="3"/>
      <c r="GMS227" s="3"/>
      <c r="GMT227" s="3"/>
      <c r="GMU227" s="3"/>
      <c r="GMV227" s="3"/>
      <c r="GMW227" s="3"/>
      <c r="GMX227" s="3"/>
      <c r="GMY227" s="3"/>
      <c r="GMZ227" s="3"/>
      <c r="GNA227" s="3"/>
      <c r="GNB227" s="3"/>
      <c r="GNC227" s="3"/>
      <c r="GND227" s="3"/>
      <c r="GNE227" s="3"/>
      <c r="GNF227" s="3"/>
      <c r="GNG227" s="3"/>
      <c r="GNH227" s="3"/>
      <c r="GNI227" s="3"/>
      <c r="GNJ227" s="3"/>
      <c r="GNK227" s="3"/>
      <c r="GNL227" s="3"/>
      <c r="GNM227" s="3"/>
      <c r="GNN227" s="3"/>
      <c r="GNO227" s="3"/>
      <c r="GNP227" s="3"/>
      <c r="GNQ227" s="3"/>
      <c r="GNR227" s="3"/>
      <c r="GNS227" s="3"/>
      <c r="GNT227" s="3"/>
      <c r="GNU227" s="3"/>
      <c r="GNV227" s="3"/>
      <c r="GNW227" s="3"/>
      <c r="GNX227" s="3"/>
      <c r="GNY227" s="3"/>
      <c r="GNZ227" s="3"/>
      <c r="GOA227" s="3"/>
      <c r="GOB227" s="3"/>
      <c r="GOC227" s="3"/>
      <c r="GOD227" s="3"/>
      <c r="GOE227" s="3"/>
      <c r="GOF227" s="3"/>
      <c r="GOG227" s="3"/>
      <c r="GOH227" s="3"/>
      <c r="GOI227" s="3"/>
      <c r="GOJ227" s="3"/>
      <c r="GOK227" s="3"/>
      <c r="GOL227" s="3"/>
      <c r="GOM227" s="3"/>
      <c r="GON227" s="3"/>
      <c r="GOO227" s="3"/>
      <c r="GOP227" s="3"/>
      <c r="GOQ227" s="3"/>
      <c r="GOR227" s="3"/>
      <c r="GOS227" s="3"/>
      <c r="GOT227" s="3"/>
      <c r="GOU227" s="3"/>
      <c r="GOV227" s="3"/>
      <c r="GOW227" s="3"/>
      <c r="GOX227" s="3"/>
      <c r="GOY227" s="3"/>
      <c r="GOZ227" s="3"/>
      <c r="GPA227" s="3"/>
      <c r="GPB227" s="3"/>
      <c r="GPC227" s="3"/>
      <c r="GPD227" s="3"/>
      <c r="GPE227" s="3"/>
      <c r="GPF227" s="3"/>
      <c r="GPG227" s="3"/>
      <c r="GPH227" s="3"/>
      <c r="GPI227" s="3"/>
      <c r="GPJ227" s="3"/>
      <c r="GPK227" s="3"/>
      <c r="GPL227" s="3"/>
      <c r="GPM227" s="3"/>
      <c r="GPN227" s="3"/>
      <c r="GPO227" s="3"/>
      <c r="GPP227" s="3"/>
      <c r="GPQ227" s="3"/>
      <c r="GPR227" s="3"/>
      <c r="GPS227" s="3"/>
      <c r="GPT227" s="3"/>
      <c r="GPU227" s="3"/>
      <c r="GPV227" s="3"/>
      <c r="GPW227" s="3"/>
      <c r="GPX227" s="3"/>
      <c r="GPY227" s="3"/>
      <c r="GPZ227" s="3"/>
      <c r="GQA227" s="3"/>
      <c r="GQB227" s="3"/>
      <c r="GQC227" s="3"/>
      <c r="GQD227" s="3"/>
      <c r="GQE227" s="3"/>
      <c r="GQF227" s="3"/>
      <c r="GQG227" s="3"/>
      <c r="GQH227" s="3"/>
      <c r="GQI227" s="3"/>
      <c r="GQJ227" s="3"/>
      <c r="GQK227" s="3"/>
      <c r="GQL227" s="3"/>
      <c r="GQM227" s="3"/>
      <c r="GQN227" s="3"/>
      <c r="GQO227" s="3"/>
      <c r="GQP227" s="3"/>
      <c r="GQQ227" s="3"/>
      <c r="GQR227" s="3"/>
      <c r="GQS227" s="3"/>
      <c r="GQT227" s="3"/>
      <c r="GQU227" s="3"/>
      <c r="GQV227" s="3"/>
      <c r="GQW227" s="3"/>
      <c r="GQX227" s="3"/>
      <c r="GQY227" s="3"/>
      <c r="GQZ227" s="3"/>
      <c r="GRA227" s="3"/>
      <c r="GRB227" s="3"/>
      <c r="GRC227" s="3"/>
      <c r="GRD227" s="3"/>
      <c r="GRE227" s="3"/>
      <c r="GRF227" s="3"/>
      <c r="GRG227" s="3"/>
      <c r="GRH227" s="3"/>
      <c r="GRI227" s="3"/>
      <c r="GRJ227" s="3"/>
      <c r="GRK227" s="3"/>
      <c r="GRL227" s="3"/>
      <c r="GRM227" s="3"/>
      <c r="GRN227" s="3"/>
      <c r="GRO227" s="3"/>
      <c r="GRP227" s="3"/>
      <c r="GRQ227" s="3"/>
      <c r="GRR227" s="3"/>
      <c r="GRS227" s="3"/>
      <c r="GRT227" s="3"/>
      <c r="GRU227" s="3"/>
      <c r="GRV227" s="3"/>
      <c r="GRW227" s="3"/>
      <c r="GRX227" s="3"/>
      <c r="GRY227" s="3"/>
      <c r="GRZ227" s="3"/>
      <c r="GSA227" s="3"/>
      <c r="GSB227" s="3"/>
      <c r="GSC227" s="3"/>
      <c r="GSD227" s="3"/>
      <c r="GSE227" s="3"/>
      <c r="GSF227" s="3"/>
      <c r="GSG227" s="3"/>
      <c r="GSH227" s="3"/>
      <c r="GSI227" s="3"/>
      <c r="GSJ227" s="3"/>
      <c r="GSK227" s="3"/>
      <c r="GSL227" s="3"/>
      <c r="GSM227" s="3"/>
      <c r="GSN227" s="3"/>
      <c r="GSO227" s="3"/>
      <c r="GSP227" s="3"/>
      <c r="GSQ227" s="3"/>
      <c r="GSR227" s="3"/>
      <c r="GSS227" s="3"/>
      <c r="GST227" s="3"/>
      <c r="GSU227" s="3"/>
      <c r="GSV227" s="3"/>
      <c r="GSW227" s="3"/>
      <c r="GSX227" s="3"/>
      <c r="GSY227" s="3"/>
      <c r="GSZ227" s="3"/>
      <c r="GTA227" s="3"/>
      <c r="GTB227" s="3"/>
      <c r="GTC227" s="3"/>
      <c r="GTD227" s="3"/>
      <c r="GTE227" s="3"/>
      <c r="GTF227" s="3"/>
      <c r="GTG227" s="3"/>
      <c r="GTH227" s="3"/>
      <c r="GTI227" s="3"/>
      <c r="GTJ227" s="3"/>
      <c r="GTK227" s="3"/>
      <c r="GTL227" s="3"/>
      <c r="GTM227" s="3"/>
      <c r="GTN227" s="3"/>
      <c r="GTO227" s="3"/>
      <c r="GTP227" s="3"/>
      <c r="GTQ227" s="3"/>
      <c r="GTR227" s="3"/>
      <c r="GTS227" s="3"/>
      <c r="GTT227" s="3"/>
      <c r="GTU227" s="3"/>
      <c r="GTV227" s="3"/>
      <c r="GTW227" s="3"/>
      <c r="GTX227" s="3"/>
      <c r="GTY227" s="3"/>
      <c r="GTZ227" s="3"/>
      <c r="GUA227" s="3"/>
      <c r="GUB227" s="3"/>
      <c r="GUC227" s="3"/>
      <c r="GUD227" s="3"/>
      <c r="GUE227" s="3"/>
      <c r="GUF227" s="3"/>
      <c r="GUG227" s="3"/>
      <c r="GUH227" s="3"/>
      <c r="GUI227" s="3"/>
      <c r="GUJ227" s="3"/>
      <c r="GUK227" s="3"/>
      <c r="GUL227" s="3"/>
      <c r="GUM227" s="3"/>
      <c r="GUN227" s="3"/>
      <c r="GUO227" s="3"/>
      <c r="GUP227" s="3"/>
      <c r="GUQ227" s="3"/>
      <c r="GUR227" s="3"/>
      <c r="GUS227" s="3"/>
      <c r="GUT227" s="3"/>
      <c r="GUU227" s="3"/>
      <c r="GUV227" s="3"/>
      <c r="GUW227" s="3"/>
      <c r="GUX227" s="3"/>
      <c r="GUY227" s="3"/>
      <c r="GUZ227" s="3"/>
      <c r="GVA227" s="3"/>
      <c r="GVB227" s="3"/>
      <c r="GVC227" s="3"/>
      <c r="GVD227" s="3"/>
      <c r="GVE227" s="3"/>
      <c r="GVF227" s="3"/>
      <c r="GVG227" s="3"/>
      <c r="GVH227" s="3"/>
      <c r="GVI227" s="3"/>
      <c r="GVJ227" s="3"/>
      <c r="GVK227" s="3"/>
      <c r="GVL227" s="3"/>
      <c r="GVM227" s="3"/>
      <c r="GVN227" s="3"/>
      <c r="GVO227" s="3"/>
      <c r="GVP227" s="3"/>
      <c r="GVQ227" s="3"/>
      <c r="GVR227" s="3"/>
      <c r="GVS227" s="3"/>
      <c r="GVT227" s="3"/>
      <c r="GVU227" s="3"/>
      <c r="GVV227" s="3"/>
      <c r="GVW227" s="3"/>
      <c r="GVX227" s="3"/>
      <c r="GVY227" s="3"/>
      <c r="GVZ227" s="3"/>
      <c r="GWA227" s="3"/>
      <c r="GWB227" s="3"/>
      <c r="GWC227" s="3"/>
      <c r="GWD227" s="3"/>
      <c r="GWE227" s="3"/>
      <c r="GWF227" s="3"/>
      <c r="GWG227" s="3"/>
      <c r="GWH227" s="3"/>
      <c r="GWI227" s="3"/>
      <c r="GWJ227" s="3"/>
      <c r="GWK227" s="3"/>
      <c r="GWL227" s="3"/>
      <c r="GWM227" s="3"/>
      <c r="GWN227" s="3"/>
      <c r="GWO227" s="3"/>
      <c r="GWP227" s="3"/>
      <c r="GWQ227" s="3"/>
      <c r="GWR227" s="3"/>
      <c r="GWS227" s="3"/>
      <c r="GWT227" s="3"/>
      <c r="GWU227" s="3"/>
      <c r="GWV227" s="3"/>
      <c r="GWW227" s="3"/>
      <c r="GWX227" s="3"/>
      <c r="GWY227" s="3"/>
      <c r="GWZ227" s="3"/>
      <c r="GXA227" s="3"/>
      <c r="GXB227" s="3"/>
      <c r="GXC227" s="3"/>
      <c r="GXD227" s="3"/>
      <c r="GXE227" s="3"/>
      <c r="GXF227" s="3"/>
      <c r="GXG227" s="3"/>
      <c r="GXH227" s="3"/>
      <c r="GXI227" s="3"/>
      <c r="GXJ227" s="3"/>
      <c r="GXK227" s="3"/>
      <c r="GXL227" s="3"/>
      <c r="GXM227" s="3"/>
      <c r="GXN227" s="3"/>
      <c r="GXO227" s="3"/>
      <c r="GXP227" s="3"/>
      <c r="GXQ227" s="3"/>
      <c r="GXR227" s="3"/>
      <c r="GXS227" s="3"/>
      <c r="GXT227" s="3"/>
      <c r="GXU227" s="3"/>
      <c r="GXV227" s="3"/>
      <c r="GXW227" s="3"/>
      <c r="GXX227" s="3"/>
      <c r="GXY227" s="3"/>
      <c r="GXZ227" s="3"/>
      <c r="GYA227" s="3"/>
      <c r="GYB227" s="3"/>
      <c r="GYC227" s="3"/>
      <c r="GYD227" s="3"/>
      <c r="GYE227" s="3"/>
      <c r="GYF227" s="3"/>
      <c r="GYG227" s="3"/>
      <c r="GYH227" s="3"/>
      <c r="GYI227" s="3"/>
      <c r="GYJ227" s="3"/>
      <c r="GYK227" s="3"/>
      <c r="GYL227" s="3"/>
      <c r="GYM227" s="3"/>
      <c r="GYN227" s="3"/>
      <c r="GYO227" s="3"/>
      <c r="GYP227" s="3"/>
      <c r="GYQ227" s="3"/>
      <c r="GYR227" s="3"/>
      <c r="GYS227" s="3"/>
      <c r="GYT227" s="3"/>
      <c r="GYU227" s="3"/>
      <c r="GYV227" s="3"/>
      <c r="GYW227" s="3"/>
      <c r="GYX227" s="3"/>
      <c r="GYY227" s="3"/>
      <c r="GYZ227" s="3"/>
      <c r="GZA227" s="3"/>
      <c r="GZB227" s="3"/>
      <c r="GZC227" s="3"/>
      <c r="GZD227" s="3"/>
      <c r="GZE227" s="3"/>
      <c r="GZF227" s="3"/>
      <c r="GZG227" s="3"/>
      <c r="GZH227" s="3"/>
      <c r="GZI227" s="3"/>
      <c r="GZJ227" s="3"/>
      <c r="GZK227" s="3"/>
      <c r="GZL227" s="3"/>
      <c r="GZM227" s="3"/>
      <c r="GZN227" s="3"/>
      <c r="GZO227" s="3"/>
      <c r="GZP227" s="3"/>
      <c r="GZQ227" s="3"/>
      <c r="GZR227" s="3"/>
      <c r="GZS227" s="3"/>
      <c r="GZT227" s="3"/>
      <c r="GZU227" s="3"/>
      <c r="GZV227" s="3"/>
      <c r="GZW227" s="3"/>
      <c r="GZX227" s="3"/>
      <c r="GZY227" s="3"/>
      <c r="GZZ227" s="3"/>
      <c r="HAA227" s="3"/>
      <c r="HAB227" s="3"/>
      <c r="HAC227" s="3"/>
      <c r="HAD227" s="3"/>
      <c r="HAE227" s="3"/>
      <c r="HAF227" s="3"/>
      <c r="HAG227" s="3"/>
      <c r="HAH227" s="3"/>
      <c r="HAI227" s="3"/>
      <c r="HAJ227" s="3"/>
      <c r="HAK227" s="3"/>
      <c r="HAL227" s="3"/>
      <c r="HAM227" s="3"/>
      <c r="HAN227" s="3"/>
      <c r="HAO227" s="3"/>
      <c r="HAP227" s="3"/>
      <c r="HAQ227" s="3"/>
      <c r="HAR227" s="3"/>
      <c r="HAS227" s="3"/>
      <c r="HAT227" s="3"/>
      <c r="HAU227" s="3"/>
      <c r="HAV227" s="3"/>
      <c r="HAW227" s="3"/>
      <c r="HAX227" s="3"/>
      <c r="HAY227" s="3"/>
      <c r="HAZ227" s="3"/>
      <c r="HBA227" s="3"/>
      <c r="HBB227" s="3"/>
      <c r="HBC227" s="3"/>
      <c r="HBD227" s="3"/>
      <c r="HBE227" s="3"/>
      <c r="HBF227" s="3"/>
      <c r="HBG227" s="3"/>
      <c r="HBH227" s="3"/>
      <c r="HBI227" s="3"/>
      <c r="HBJ227" s="3"/>
      <c r="HBK227" s="3"/>
      <c r="HBL227" s="3"/>
      <c r="HBM227" s="3"/>
      <c r="HBN227" s="3"/>
      <c r="HBO227" s="3"/>
      <c r="HBP227" s="3"/>
      <c r="HBQ227" s="3"/>
      <c r="HBR227" s="3"/>
      <c r="HBS227" s="3"/>
      <c r="HBT227" s="3"/>
      <c r="HBU227" s="3"/>
      <c r="HBV227" s="3"/>
      <c r="HBW227" s="3"/>
      <c r="HBX227" s="3"/>
      <c r="HBY227" s="3"/>
      <c r="HBZ227" s="3"/>
      <c r="HCA227" s="3"/>
      <c r="HCB227" s="3"/>
      <c r="HCC227" s="3"/>
      <c r="HCD227" s="3"/>
      <c r="HCE227" s="3"/>
      <c r="HCF227" s="3"/>
      <c r="HCG227" s="3"/>
      <c r="HCH227" s="3"/>
      <c r="HCI227" s="3"/>
      <c r="HCJ227" s="3"/>
      <c r="HCK227" s="3"/>
      <c r="HCL227" s="3"/>
      <c r="HCM227" s="3"/>
      <c r="HCN227" s="3"/>
      <c r="HCO227" s="3"/>
      <c r="HCP227" s="3"/>
      <c r="HCQ227" s="3"/>
      <c r="HCR227" s="3"/>
      <c r="HCS227" s="3"/>
      <c r="HCT227" s="3"/>
      <c r="HCU227" s="3"/>
      <c r="HCV227" s="3"/>
      <c r="HCW227" s="3"/>
      <c r="HCX227" s="3"/>
      <c r="HCY227" s="3"/>
      <c r="HCZ227" s="3"/>
      <c r="HDA227" s="3"/>
      <c r="HDB227" s="3"/>
      <c r="HDC227" s="3"/>
      <c r="HDD227" s="3"/>
      <c r="HDE227" s="3"/>
      <c r="HDF227" s="3"/>
      <c r="HDG227" s="3"/>
      <c r="HDH227" s="3"/>
      <c r="HDI227" s="3"/>
      <c r="HDJ227" s="3"/>
      <c r="HDK227" s="3"/>
      <c r="HDL227" s="3"/>
      <c r="HDM227" s="3"/>
      <c r="HDN227" s="3"/>
      <c r="HDO227" s="3"/>
      <c r="HDP227" s="3"/>
      <c r="HDQ227" s="3"/>
      <c r="HDR227" s="3"/>
      <c r="HDS227" s="3"/>
      <c r="HDT227" s="3"/>
      <c r="HDU227" s="3"/>
      <c r="HDV227" s="3"/>
      <c r="HDW227" s="3"/>
      <c r="HDX227" s="3"/>
      <c r="HDY227" s="3"/>
      <c r="HDZ227" s="3"/>
      <c r="HEA227" s="3"/>
      <c r="HEB227" s="3"/>
      <c r="HEC227" s="3"/>
      <c r="HED227" s="3"/>
      <c r="HEE227" s="3"/>
      <c r="HEF227" s="3"/>
      <c r="HEG227" s="3"/>
      <c r="HEH227" s="3"/>
      <c r="HEI227" s="3"/>
      <c r="HEJ227" s="3"/>
      <c r="HEK227" s="3"/>
      <c r="HEL227" s="3"/>
      <c r="HEM227" s="3"/>
      <c r="HEN227" s="3"/>
      <c r="HEO227" s="3"/>
      <c r="HEP227" s="3"/>
      <c r="HEQ227" s="3"/>
      <c r="HER227" s="3"/>
      <c r="HES227" s="3"/>
      <c r="HET227" s="3"/>
      <c r="HEU227" s="3"/>
      <c r="HEV227" s="3"/>
      <c r="HEW227" s="3"/>
      <c r="HEX227" s="3"/>
      <c r="HEY227" s="3"/>
      <c r="HEZ227" s="3"/>
      <c r="HFA227" s="3"/>
      <c r="HFB227" s="3"/>
      <c r="HFC227" s="3"/>
      <c r="HFD227" s="3"/>
      <c r="HFE227" s="3"/>
      <c r="HFF227" s="3"/>
      <c r="HFG227" s="3"/>
      <c r="HFH227" s="3"/>
      <c r="HFI227" s="3"/>
      <c r="HFJ227" s="3"/>
      <c r="HFK227" s="3"/>
      <c r="HFL227" s="3"/>
      <c r="HFM227" s="3"/>
      <c r="HFN227" s="3"/>
      <c r="HFO227" s="3"/>
      <c r="HFP227" s="3"/>
      <c r="HFQ227" s="3"/>
      <c r="HFR227" s="3"/>
      <c r="HFS227" s="3"/>
      <c r="HFT227" s="3"/>
      <c r="HFU227" s="3"/>
      <c r="HFV227" s="3"/>
      <c r="HFW227" s="3"/>
      <c r="HFX227" s="3"/>
      <c r="HFY227" s="3"/>
      <c r="HFZ227" s="3"/>
      <c r="HGA227" s="3"/>
      <c r="HGB227" s="3"/>
      <c r="HGC227" s="3"/>
      <c r="HGD227" s="3"/>
      <c r="HGE227" s="3"/>
      <c r="HGF227" s="3"/>
      <c r="HGG227" s="3"/>
      <c r="HGH227" s="3"/>
      <c r="HGI227" s="3"/>
      <c r="HGJ227" s="3"/>
      <c r="HGK227" s="3"/>
      <c r="HGL227" s="3"/>
      <c r="HGM227" s="3"/>
      <c r="HGN227" s="3"/>
      <c r="HGO227" s="3"/>
      <c r="HGP227" s="3"/>
      <c r="HGQ227" s="3"/>
      <c r="HGR227" s="3"/>
      <c r="HGS227" s="3"/>
      <c r="HGT227" s="3"/>
      <c r="HGU227" s="3"/>
      <c r="HGV227" s="3"/>
      <c r="HGW227" s="3"/>
      <c r="HGX227" s="3"/>
      <c r="HGY227" s="3"/>
      <c r="HGZ227" s="3"/>
      <c r="HHA227" s="3"/>
      <c r="HHB227" s="3"/>
      <c r="HHC227" s="3"/>
      <c r="HHD227" s="3"/>
      <c r="HHE227" s="3"/>
      <c r="HHF227" s="3"/>
      <c r="HHG227" s="3"/>
      <c r="HHH227" s="3"/>
      <c r="HHI227" s="3"/>
      <c r="HHJ227" s="3"/>
      <c r="HHK227" s="3"/>
      <c r="HHL227" s="3"/>
      <c r="HHM227" s="3"/>
      <c r="HHN227" s="3"/>
      <c r="HHO227" s="3"/>
      <c r="HHP227" s="3"/>
      <c r="HHQ227" s="3"/>
      <c r="HHR227" s="3"/>
      <c r="HHS227" s="3"/>
      <c r="HHT227" s="3"/>
      <c r="HHU227" s="3"/>
      <c r="HHV227" s="3"/>
      <c r="HHW227" s="3"/>
      <c r="HHX227" s="3"/>
      <c r="HHY227" s="3"/>
      <c r="HHZ227" s="3"/>
      <c r="HIA227" s="3"/>
      <c r="HIB227" s="3"/>
      <c r="HIC227" s="3"/>
      <c r="HID227" s="3"/>
      <c r="HIE227" s="3"/>
      <c r="HIF227" s="3"/>
      <c r="HIG227" s="3"/>
      <c r="HIH227" s="3"/>
      <c r="HII227" s="3"/>
      <c r="HIJ227" s="3"/>
      <c r="HIK227" s="3"/>
      <c r="HIL227" s="3"/>
      <c r="HIM227" s="3"/>
      <c r="HIN227" s="3"/>
      <c r="HIO227" s="3"/>
      <c r="HIP227" s="3"/>
      <c r="HIQ227" s="3"/>
      <c r="HIR227" s="3"/>
      <c r="HIS227" s="3"/>
      <c r="HIT227" s="3"/>
      <c r="HIU227" s="3"/>
      <c r="HIV227" s="3"/>
      <c r="HIW227" s="3"/>
      <c r="HIX227" s="3"/>
      <c r="HIY227" s="3"/>
      <c r="HIZ227" s="3"/>
      <c r="HJA227" s="3"/>
      <c r="HJB227" s="3"/>
      <c r="HJC227" s="3"/>
      <c r="HJD227" s="3"/>
      <c r="HJE227" s="3"/>
      <c r="HJF227" s="3"/>
      <c r="HJG227" s="3"/>
      <c r="HJH227" s="3"/>
      <c r="HJI227" s="3"/>
      <c r="HJJ227" s="3"/>
      <c r="HJK227" s="3"/>
      <c r="HJL227" s="3"/>
      <c r="HJM227" s="3"/>
      <c r="HJN227" s="3"/>
      <c r="HJO227" s="3"/>
      <c r="HJP227" s="3"/>
      <c r="HJQ227" s="3"/>
      <c r="HJR227" s="3"/>
      <c r="HJS227" s="3"/>
      <c r="HJT227" s="3"/>
      <c r="HJU227" s="3"/>
      <c r="HJV227" s="3"/>
      <c r="HJW227" s="3"/>
      <c r="HJX227" s="3"/>
      <c r="HJY227" s="3"/>
      <c r="HJZ227" s="3"/>
      <c r="HKA227" s="3"/>
      <c r="HKB227" s="3"/>
      <c r="HKC227" s="3"/>
      <c r="HKD227" s="3"/>
      <c r="HKE227" s="3"/>
      <c r="HKF227" s="3"/>
      <c r="HKG227" s="3"/>
      <c r="HKH227" s="3"/>
      <c r="HKI227" s="3"/>
      <c r="HKJ227" s="3"/>
      <c r="HKK227" s="3"/>
      <c r="HKL227" s="3"/>
      <c r="HKM227" s="3"/>
      <c r="HKN227" s="3"/>
      <c r="HKO227" s="3"/>
      <c r="HKP227" s="3"/>
      <c r="HKQ227" s="3"/>
      <c r="HKR227" s="3"/>
      <c r="HKS227" s="3"/>
      <c r="HKT227" s="3"/>
      <c r="HKU227" s="3"/>
      <c r="HKV227" s="3"/>
      <c r="HKW227" s="3"/>
      <c r="HKX227" s="3"/>
      <c r="HKY227" s="3"/>
      <c r="HKZ227" s="3"/>
      <c r="HLA227" s="3"/>
      <c r="HLB227" s="3"/>
      <c r="HLC227" s="3"/>
      <c r="HLD227" s="3"/>
      <c r="HLE227" s="3"/>
      <c r="HLF227" s="3"/>
      <c r="HLG227" s="3"/>
      <c r="HLH227" s="3"/>
      <c r="HLI227" s="3"/>
      <c r="HLJ227" s="3"/>
      <c r="HLK227" s="3"/>
      <c r="HLL227" s="3"/>
      <c r="HLM227" s="3"/>
      <c r="HLN227" s="3"/>
      <c r="HLO227" s="3"/>
      <c r="HLP227" s="3"/>
      <c r="HLQ227" s="3"/>
      <c r="HLR227" s="3"/>
      <c r="HLS227" s="3"/>
      <c r="HLT227" s="3"/>
      <c r="HLU227" s="3"/>
      <c r="HLV227" s="3"/>
      <c r="HLW227" s="3"/>
      <c r="HLX227" s="3"/>
      <c r="HLY227" s="3"/>
      <c r="HLZ227" s="3"/>
      <c r="HMA227" s="3"/>
      <c r="HMB227" s="3"/>
      <c r="HMC227" s="3"/>
      <c r="HMD227" s="3"/>
      <c r="HME227" s="3"/>
      <c r="HMF227" s="3"/>
      <c r="HMG227" s="3"/>
      <c r="HMH227" s="3"/>
      <c r="HMI227" s="3"/>
      <c r="HMJ227" s="3"/>
      <c r="HMK227" s="3"/>
      <c r="HML227" s="3"/>
      <c r="HMM227" s="3"/>
      <c r="HMN227" s="3"/>
      <c r="HMO227" s="3"/>
      <c r="HMP227" s="3"/>
      <c r="HMQ227" s="3"/>
      <c r="HMR227" s="3"/>
      <c r="HMS227" s="3"/>
      <c r="HMT227" s="3"/>
      <c r="HMU227" s="3"/>
      <c r="HMV227" s="3"/>
      <c r="HMW227" s="3"/>
      <c r="HMX227" s="3"/>
      <c r="HMY227" s="3"/>
      <c r="HMZ227" s="3"/>
      <c r="HNA227" s="3"/>
      <c r="HNB227" s="3"/>
      <c r="HNC227" s="3"/>
      <c r="HND227" s="3"/>
      <c r="HNE227" s="3"/>
      <c r="HNF227" s="3"/>
      <c r="HNG227" s="3"/>
      <c r="HNH227" s="3"/>
      <c r="HNI227" s="3"/>
      <c r="HNJ227" s="3"/>
      <c r="HNK227" s="3"/>
      <c r="HNL227" s="3"/>
      <c r="HNM227" s="3"/>
      <c r="HNN227" s="3"/>
      <c r="HNO227" s="3"/>
      <c r="HNP227" s="3"/>
      <c r="HNQ227" s="3"/>
      <c r="HNR227" s="3"/>
      <c r="HNS227" s="3"/>
      <c r="HNT227" s="3"/>
      <c r="HNU227" s="3"/>
      <c r="HNV227" s="3"/>
      <c r="HNW227" s="3"/>
      <c r="HNX227" s="3"/>
      <c r="HNY227" s="3"/>
      <c r="HNZ227" s="3"/>
      <c r="HOA227" s="3"/>
      <c r="HOB227" s="3"/>
      <c r="HOC227" s="3"/>
      <c r="HOD227" s="3"/>
      <c r="HOE227" s="3"/>
      <c r="HOF227" s="3"/>
      <c r="HOG227" s="3"/>
      <c r="HOH227" s="3"/>
      <c r="HOI227" s="3"/>
      <c r="HOJ227" s="3"/>
      <c r="HOK227" s="3"/>
      <c r="HOL227" s="3"/>
      <c r="HOM227" s="3"/>
      <c r="HON227" s="3"/>
      <c r="HOO227" s="3"/>
      <c r="HOP227" s="3"/>
      <c r="HOQ227" s="3"/>
      <c r="HOR227" s="3"/>
      <c r="HOS227" s="3"/>
      <c r="HOT227" s="3"/>
      <c r="HOU227" s="3"/>
      <c r="HOV227" s="3"/>
      <c r="HOW227" s="3"/>
      <c r="HOX227" s="3"/>
      <c r="HOY227" s="3"/>
      <c r="HOZ227" s="3"/>
      <c r="HPA227" s="3"/>
      <c r="HPB227" s="3"/>
      <c r="HPC227" s="3"/>
      <c r="HPD227" s="3"/>
      <c r="HPE227" s="3"/>
      <c r="HPF227" s="3"/>
      <c r="HPG227" s="3"/>
      <c r="HPH227" s="3"/>
      <c r="HPI227" s="3"/>
      <c r="HPJ227" s="3"/>
      <c r="HPK227" s="3"/>
      <c r="HPL227" s="3"/>
      <c r="HPM227" s="3"/>
      <c r="HPN227" s="3"/>
      <c r="HPO227" s="3"/>
      <c r="HPP227" s="3"/>
      <c r="HPQ227" s="3"/>
      <c r="HPR227" s="3"/>
      <c r="HPS227" s="3"/>
      <c r="HPT227" s="3"/>
      <c r="HPU227" s="3"/>
      <c r="HPV227" s="3"/>
      <c r="HPW227" s="3"/>
      <c r="HPX227" s="3"/>
      <c r="HPY227" s="3"/>
      <c r="HPZ227" s="3"/>
      <c r="HQA227" s="3"/>
      <c r="HQB227" s="3"/>
      <c r="HQC227" s="3"/>
      <c r="HQD227" s="3"/>
      <c r="HQE227" s="3"/>
      <c r="HQF227" s="3"/>
      <c r="HQG227" s="3"/>
      <c r="HQH227" s="3"/>
      <c r="HQI227" s="3"/>
      <c r="HQJ227" s="3"/>
      <c r="HQK227" s="3"/>
      <c r="HQL227" s="3"/>
      <c r="HQM227" s="3"/>
      <c r="HQN227" s="3"/>
      <c r="HQO227" s="3"/>
      <c r="HQP227" s="3"/>
      <c r="HQQ227" s="3"/>
      <c r="HQR227" s="3"/>
      <c r="HQS227" s="3"/>
      <c r="HQT227" s="3"/>
      <c r="HQU227" s="3"/>
      <c r="HQV227" s="3"/>
      <c r="HQW227" s="3"/>
      <c r="HQX227" s="3"/>
      <c r="HQY227" s="3"/>
      <c r="HQZ227" s="3"/>
      <c r="HRA227" s="3"/>
      <c r="HRB227" s="3"/>
      <c r="HRC227" s="3"/>
      <c r="HRD227" s="3"/>
      <c r="HRE227" s="3"/>
      <c r="HRF227" s="3"/>
      <c r="HRG227" s="3"/>
      <c r="HRH227" s="3"/>
      <c r="HRI227" s="3"/>
      <c r="HRJ227" s="3"/>
      <c r="HRK227" s="3"/>
      <c r="HRL227" s="3"/>
      <c r="HRM227" s="3"/>
      <c r="HRN227" s="3"/>
      <c r="HRO227" s="3"/>
      <c r="HRP227" s="3"/>
      <c r="HRQ227" s="3"/>
      <c r="HRR227" s="3"/>
      <c r="HRS227" s="3"/>
      <c r="HRT227" s="3"/>
      <c r="HRU227" s="3"/>
      <c r="HRV227" s="3"/>
      <c r="HRW227" s="3"/>
      <c r="HRX227" s="3"/>
      <c r="HRY227" s="3"/>
      <c r="HRZ227" s="3"/>
      <c r="HSA227" s="3"/>
      <c r="HSB227" s="3"/>
      <c r="HSC227" s="3"/>
      <c r="HSD227" s="3"/>
      <c r="HSE227" s="3"/>
      <c r="HSF227" s="3"/>
      <c r="HSG227" s="3"/>
      <c r="HSH227" s="3"/>
      <c r="HSI227" s="3"/>
      <c r="HSJ227" s="3"/>
      <c r="HSK227" s="3"/>
      <c r="HSL227" s="3"/>
      <c r="HSM227" s="3"/>
      <c r="HSN227" s="3"/>
      <c r="HSO227" s="3"/>
      <c r="HSP227" s="3"/>
      <c r="HSQ227" s="3"/>
      <c r="HSR227" s="3"/>
      <c r="HSS227" s="3"/>
      <c r="HST227" s="3"/>
      <c r="HSU227" s="3"/>
      <c r="HSV227" s="3"/>
      <c r="HSW227" s="3"/>
      <c r="HSX227" s="3"/>
      <c r="HSY227" s="3"/>
      <c r="HSZ227" s="3"/>
      <c r="HTA227" s="3"/>
      <c r="HTB227" s="3"/>
      <c r="HTC227" s="3"/>
      <c r="HTD227" s="3"/>
      <c r="HTE227" s="3"/>
      <c r="HTF227" s="3"/>
      <c r="HTG227" s="3"/>
      <c r="HTH227" s="3"/>
      <c r="HTI227" s="3"/>
      <c r="HTJ227" s="3"/>
      <c r="HTK227" s="3"/>
      <c r="HTL227" s="3"/>
      <c r="HTM227" s="3"/>
      <c r="HTN227" s="3"/>
      <c r="HTO227" s="3"/>
      <c r="HTP227" s="3"/>
      <c r="HTQ227" s="3"/>
      <c r="HTR227" s="3"/>
      <c r="HTS227" s="3"/>
      <c r="HTT227" s="3"/>
      <c r="HTU227" s="3"/>
      <c r="HTV227" s="3"/>
      <c r="HTW227" s="3"/>
      <c r="HTX227" s="3"/>
      <c r="HTY227" s="3"/>
      <c r="HTZ227" s="3"/>
      <c r="HUA227" s="3"/>
      <c r="HUB227" s="3"/>
      <c r="HUC227" s="3"/>
      <c r="HUD227" s="3"/>
      <c r="HUE227" s="3"/>
      <c r="HUF227" s="3"/>
      <c r="HUG227" s="3"/>
      <c r="HUH227" s="3"/>
      <c r="HUI227" s="3"/>
      <c r="HUJ227" s="3"/>
      <c r="HUK227" s="3"/>
      <c r="HUL227" s="3"/>
      <c r="HUM227" s="3"/>
      <c r="HUN227" s="3"/>
      <c r="HUO227" s="3"/>
      <c r="HUP227" s="3"/>
      <c r="HUQ227" s="3"/>
      <c r="HUR227" s="3"/>
      <c r="HUS227" s="3"/>
      <c r="HUT227" s="3"/>
      <c r="HUU227" s="3"/>
      <c r="HUV227" s="3"/>
      <c r="HUW227" s="3"/>
      <c r="HUX227" s="3"/>
      <c r="HUY227" s="3"/>
      <c r="HUZ227" s="3"/>
      <c r="HVA227" s="3"/>
      <c r="HVB227" s="3"/>
      <c r="HVC227" s="3"/>
      <c r="HVD227" s="3"/>
      <c r="HVE227" s="3"/>
      <c r="HVF227" s="3"/>
      <c r="HVG227" s="3"/>
      <c r="HVH227" s="3"/>
      <c r="HVI227" s="3"/>
      <c r="HVJ227" s="3"/>
      <c r="HVK227" s="3"/>
      <c r="HVL227" s="3"/>
      <c r="HVM227" s="3"/>
      <c r="HVN227" s="3"/>
      <c r="HVO227" s="3"/>
      <c r="HVP227" s="3"/>
      <c r="HVQ227" s="3"/>
      <c r="HVR227" s="3"/>
      <c r="HVS227" s="3"/>
      <c r="HVT227" s="3"/>
      <c r="HVU227" s="3"/>
      <c r="HVV227" s="3"/>
      <c r="HVW227" s="3"/>
      <c r="HVX227" s="3"/>
      <c r="HVY227" s="3"/>
      <c r="HVZ227" s="3"/>
      <c r="HWA227" s="3"/>
      <c r="HWB227" s="3"/>
      <c r="HWC227" s="3"/>
      <c r="HWD227" s="3"/>
      <c r="HWE227" s="3"/>
      <c r="HWF227" s="3"/>
      <c r="HWG227" s="3"/>
      <c r="HWH227" s="3"/>
      <c r="HWI227" s="3"/>
      <c r="HWJ227" s="3"/>
      <c r="HWK227" s="3"/>
      <c r="HWL227" s="3"/>
      <c r="HWM227" s="3"/>
      <c r="HWN227" s="3"/>
      <c r="HWO227" s="3"/>
      <c r="HWP227" s="3"/>
      <c r="HWQ227" s="3"/>
      <c r="HWR227" s="3"/>
      <c r="HWS227" s="3"/>
      <c r="HWT227" s="3"/>
      <c r="HWU227" s="3"/>
      <c r="HWV227" s="3"/>
      <c r="HWW227" s="3"/>
      <c r="HWX227" s="3"/>
      <c r="HWY227" s="3"/>
      <c r="HWZ227" s="3"/>
      <c r="HXA227" s="3"/>
      <c r="HXB227" s="3"/>
      <c r="HXC227" s="3"/>
      <c r="HXD227" s="3"/>
      <c r="HXE227" s="3"/>
      <c r="HXF227" s="3"/>
      <c r="HXG227" s="3"/>
      <c r="HXH227" s="3"/>
      <c r="HXI227" s="3"/>
      <c r="HXJ227" s="3"/>
      <c r="HXK227" s="3"/>
      <c r="HXL227" s="3"/>
      <c r="HXM227" s="3"/>
      <c r="HXN227" s="3"/>
      <c r="HXO227" s="3"/>
      <c r="HXP227" s="3"/>
      <c r="HXQ227" s="3"/>
      <c r="HXR227" s="3"/>
      <c r="HXS227" s="3"/>
      <c r="HXT227" s="3"/>
      <c r="HXU227" s="3"/>
      <c r="HXV227" s="3"/>
      <c r="HXW227" s="3"/>
      <c r="HXX227" s="3"/>
      <c r="HXY227" s="3"/>
      <c r="HXZ227" s="3"/>
      <c r="HYA227" s="3"/>
      <c r="HYB227" s="3"/>
      <c r="HYC227" s="3"/>
      <c r="HYD227" s="3"/>
      <c r="HYE227" s="3"/>
      <c r="HYF227" s="3"/>
      <c r="HYG227" s="3"/>
      <c r="HYH227" s="3"/>
      <c r="HYI227" s="3"/>
      <c r="HYJ227" s="3"/>
      <c r="HYK227" s="3"/>
      <c r="HYL227" s="3"/>
      <c r="HYM227" s="3"/>
      <c r="HYN227" s="3"/>
      <c r="HYO227" s="3"/>
      <c r="HYP227" s="3"/>
      <c r="HYQ227" s="3"/>
      <c r="HYR227" s="3"/>
      <c r="HYS227" s="3"/>
      <c r="HYT227" s="3"/>
      <c r="HYU227" s="3"/>
      <c r="HYV227" s="3"/>
      <c r="HYW227" s="3"/>
      <c r="HYX227" s="3"/>
      <c r="HYY227" s="3"/>
      <c r="HYZ227" s="3"/>
      <c r="HZA227" s="3"/>
      <c r="HZB227" s="3"/>
      <c r="HZC227" s="3"/>
      <c r="HZD227" s="3"/>
      <c r="HZE227" s="3"/>
      <c r="HZF227" s="3"/>
      <c r="HZG227" s="3"/>
      <c r="HZH227" s="3"/>
      <c r="HZI227" s="3"/>
      <c r="HZJ227" s="3"/>
      <c r="HZK227" s="3"/>
      <c r="HZL227" s="3"/>
      <c r="HZM227" s="3"/>
      <c r="HZN227" s="3"/>
      <c r="HZO227" s="3"/>
      <c r="HZP227" s="3"/>
      <c r="HZQ227" s="3"/>
      <c r="HZR227" s="3"/>
      <c r="HZS227" s="3"/>
      <c r="HZT227" s="3"/>
      <c r="HZU227" s="3"/>
      <c r="HZV227" s="3"/>
      <c r="HZW227" s="3"/>
      <c r="HZX227" s="3"/>
      <c r="HZY227" s="3"/>
      <c r="HZZ227" s="3"/>
      <c r="IAA227" s="3"/>
      <c r="IAB227" s="3"/>
      <c r="IAC227" s="3"/>
      <c r="IAD227" s="3"/>
      <c r="IAE227" s="3"/>
      <c r="IAF227" s="3"/>
      <c r="IAG227" s="3"/>
      <c r="IAH227" s="3"/>
      <c r="IAI227" s="3"/>
      <c r="IAJ227" s="3"/>
      <c r="IAK227" s="3"/>
      <c r="IAL227" s="3"/>
      <c r="IAM227" s="3"/>
      <c r="IAN227" s="3"/>
      <c r="IAO227" s="3"/>
      <c r="IAP227" s="3"/>
      <c r="IAQ227" s="3"/>
      <c r="IAR227" s="3"/>
      <c r="IAS227" s="3"/>
      <c r="IAT227" s="3"/>
      <c r="IAU227" s="3"/>
      <c r="IAV227" s="3"/>
      <c r="IAW227" s="3"/>
      <c r="IAX227" s="3"/>
      <c r="IAY227" s="3"/>
      <c r="IAZ227" s="3"/>
      <c r="IBA227" s="3"/>
      <c r="IBB227" s="3"/>
      <c r="IBC227" s="3"/>
      <c r="IBD227" s="3"/>
      <c r="IBE227" s="3"/>
      <c r="IBF227" s="3"/>
      <c r="IBG227" s="3"/>
      <c r="IBH227" s="3"/>
      <c r="IBI227" s="3"/>
      <c r="IBJ227" s="3"/>
      <c r="IBK227" s="3"/>
      <c r="IBL227" s="3"/>
      <c r="IBM227" s="3"/>
      <c r="IBN227" s="3"/>
      <c r="IBO227" s="3"/>
      <c r="IBP227" s="3"/>
      <c r="IBQ227" s="3"/>
      <c r="IBR227" s="3"/>
      <c r="IBS227" s="3"/>
      <c r="IBT227" s="3"/>
      <c r="IBU227" s="3"/>
      <c r="IBV227" s="3"/>
      <c r="IBW227" s="3"/>
      <c r="IBX227" s="3"/>
      <c r="IBY227" s="3"/>
      <c r="IBZ227" s="3"/>
      <c r="ICA227" s="3"/>
      <c r="ICB227" s="3"/>
      <c r="ICC227" s="3"/>
      <c r="ICD227" s="3"/>
      <c r="ICE227" s="3"/>
      <c r="ICF227" s="3"/>
      <c r="ICG227" s="3"/>
      <c r="ICH227" s="3"/>
      <c r="ICI227" s="3"/>
      <c r="ICJ227" s="3"/>
      <c r="ICK227" s="3"/>
      <c r="ICL227" s="3"/>
      <c r="ICM227" s="3"/>
      <c r="ICN227" s="3"/>
      <c r="ICO227" s="3"/>
      <c r="ICP227" s="3"/>
      <c r="ICQ227" s="3"/>
      <c r="ICR227" s="3"/>
      <c r="ICS227" s="3"/>
      <c r="ICT227" s="3"/>
      <c r="ICU227" s="3"/>
      <c r="ICV227" s="3"/>
      <c r="ICW227" s="3"/>
      <c r="ICX227" s="3"/>
      <c r="ICY227" s="3"/>
      <c r="ICZ227" s="3"/>
      <c r="IDA227" s="3"/>
      <c r="IDB227" s="3"/>
      <c r="IDC227" s="3"/>
      <c r="IDD227" s="3"/>
      <c r="IDE227" s="3"/>
      <c r="IDF227" s="3"/>
      <c r="IDG227" s="3"/>
      <c r="IDH227" s="3"/>
      <c r="IDI227" s="3"/>
      <c r="IDJ227" s="3"/>
      <c r="IDK227" s="3"/>
      <c r="IDL227" s="3"/>
      <c r="IDM227" s="3"/>
      <c r="IDN227" s="3"/>
      <c r="IDO227" s="3"/>
      <c r="IDP227" s="3"/>
      <c r="IDQ227" s="3"/>
      <c r="IDR227" s="3"/>
      <c r="IDS227" s="3"/>
      <c r="IDT227" s="3"/>
      <c r="IDU227" s="3"/>
      <c r="IDV227" s="3"/>
      <c r="IDW227" s="3"/>
      <c r="IDX227" s="3"/>
      <c r="IDY227" s="3"/>
      <c r="IDZ227" s="3"/>
      <c r="IEA227" s="3"/>
      <c r="IEB227" s="3"/>
      <c r="IEC227" s="3"/>
      <c r="IED227" s="3"/>
      <c r="IEE227" s="3"/>
      <c r="IEF227" s="3"/>
      <c r="IEG227" s="3"/>
      <c r="IEH227" s="3"/>
      <c r="IEI227" s="3"/>
      <c r="IEJ227" s="3"/>
      <c r="IEK227" s="3"/>
      <c r="IEL227" s="3"/>
      <c r="IEM227" s="3"/>
      <c r="IEN227" s="3"/>
      <c r="IEO227" s="3"/>
      <c r="IEP227" s="3"/>
      <c r="IEQ227" s="3"/>
      <c r="IER227" s="3"/>
      <c r="IES227" s="3"/>
      <c r="IET227" s="3"/>
      <c r="IEU227" s="3"/>
      <c r="IEV227" s="3"/>
      <c r="IEW227" s="3"/>
      <c r="IEX227" s="3"/>
      <c r="IEY227" s="3"/>
      <c r="IEZ227" s="3"/>
      <c r="IFA227" s="3"/>
      <c r="IFB227" s="3"/>
      <c r="IFC227" s="3"/>
      <c r="IFD227" s="3"/>
      <c r="IFE227" s="3"/>
      <c r="IFF227" s="3"/>
      <c r="IFG227" s="3"/>
      <c r="IFH227" s="3"/>
      <c r="IFI227" s="3"/>
      <c r="IFJ227" s="3"/>
      <c r="IFK227" s="3"/>
      <c r="IFL227" s="3"/>
      <c r="IFM227" s="3"/>
      <c r="IFN227" s="3"/>
      <c r="IFO227" s="3"/>
      <c r="IFP227" s="3"/>
      <c r="IFQ227" s="3"/>
      <c r="IFR227" s="3"/>
      <c r="IFS227" s="3"/>
      <c r="IFT227" s="3"/>
      <c r="IFU227" s="3"/>
      <c r="IFV227" s="3"/>
      <c r="IFW227" s="3"/>
      <c r="IFX227" s="3"/>
      <c r="IFY227" s="3"/>
      <c r="IFZ227" s="3"/>
      <c r="IGA227" s="3"/>
      <c r="IGB227" s="3"/>
      <c r="IGC227" s="3"/>
      <c r="IGD227" s="3"/>
      <c r="IGE227" s="3"/>
      <c r="IGF227" s="3"/>
      <c r="IGG227" s="3"/>
      <c r="IGH227" s="3"/>
      <c r="IGI227" s="3"/>
      <c r="IGJ227" s="3"/>
      <c r="IGK227" s="3"/>
      <c r="IGL227" s="3"/>
      <c r="IGM227" s="3"/>
      <c r="IGN227" s="3"/>
      <c r="IGO227" s="3"/>
      <c r="IGP227" s="3"/>
      <c r="IGQ227" s="3"/>
      <c r="IGR227" s="3"/>
      <c r="IGS227" s="3"/>
      <c r="IGT227" s="3"/>
      <c r="IGU227" s="3"/>
      <c r="IGV227" s="3"/>
      <c r="IGW227" s="3"/>
      <c r="IGX227" s="3"/>
      <c r="IGY227" s="3"/>
      <c r="IGZ227" s="3"/>
      <c r="IHA227" s="3"/>
      <c r="IHB227" s="3"/>
      <c r="IHC227" s="3"/>
      <c r="IHD227" s="3"/>
      <c r="IHE227" s="3"/>
      <c r="IHF227" s="3"/>
      <c r="IHG227" s="3"/>
      <c r="IHH227" s="3"/>
      <c r="IHI227" s="3"/>
      <c r="IHJ227" s="3"/>
      <c r="IHK227" s="3"/>
      <c r="IHL227" s="3"/>
      <c r="IHM227" s="3"/>
      <c r="IHN227" s="3"/>
      <c r="IHO227" s="3"/>
      <c r="IHP227" s="3"/>
      <c r="IHQ227" s="3"/>
      <c r="IHR227" s="3"/>
      <c r="IHS227" s="3"/>
      <c r="IHT227" s="3"/>
      <c r="IHU227" s="3"/>
      <c r="IHV227" s="3"/>
      <c r="IHW227" s="3"/>
      <c r="IHX227" s="3"/>
      <c r="IHY227" s="3"/>
      <c r="IHZ227" s="3"/>
      <c r="IIA227" s="3"/>
      <c r="IIB227" s="3"/>
      <c r="IIC227" s="3"/>
      <c r="IID227" s="3"/>
      <c r="IIE227" s="3"/>
      <c r="IIF227" s="3"/>
      <c r="IIG227" s="3"/>
      <c r="IIH227" s="3"/>
      <c r="III227" s="3"/>
      <c r="IIJ227" s="3"/>
      <c r="IIK227" s="3"/>
      <c r="IIL227" s="3"/>
      <c r="IIM227" s="3"/>
      <c r="IIN227" s="3"/>
      <c r="IIO227" s="3"/>
      <c r="IIP227" s="3"/>
      <c r="IIQ227" s="3"/>
      <c r="IIR227" s="3"/>
      <c r="IIS227" s="3"/>
      <c r="IIT227" s="3"/>
      <c r="IIU227" s="3"/>
      <c r="IIV227" s="3"/>
      <c r="IIW227" s="3"/>
      <c r="IIX227" s="3"/>
      <c r="IIY227" s="3"/>
      <c r="IIZ227" s="3"/>
      <c r="IJA227" s="3"/>
      <c r="IJB227" s="3"/>
      <c r="IJC227" s="3"/>
      <c r="IJD227" s="3"/>
      <c r="IJE227" s="3"/>
      <c r="IJF227" s="3"/>
      <c r="IJG227" s="3"/>
      <c r="IJH227" s="3"/>
      <c r="IJI227" s="3"/>
      <c r="IJJ227" s="3"/>
      <c r="IJK227" s="3"/>
      <c r="IJL227" s="3"/>
      <c r="IJM227" s="3"/>
      <c r="IJN227" s="3"/>
      <c r="IJO227" s="3"/>
      <c r="IJP227" s="3"/>
      <c r="IJQ227" s="3"/>
      <c r="IJR227" s="3"/>
      <c r="IJS227" s="3"/>
      <c r="IJT227" s="3"/>
      <c r="IJU227" s="3"/>
      <c r="IJV227" s="3"/>
      <c r="IJW227" s="3"/>
      <c r="IJX227" s="3"/>
      <c r="IJY227" s="3"/>
      <c r="IJZ227" s="3"/>
      <c r="IKA227" s="3"/>
      <c r="IKB227" s="3"/>
      <c r="IKC227" s="3"/>
      <c r="IKD227" s="3"/>
      <c r="IKE227" s="3"/>
      <c r="IKF227" s="3"/>
      <c r="IKG227" s="3"/>
      <c r="IKH227" s="3"/>
      <c r="IKI227" s="3"/>
      <c r="IKJ227" s="3"/>
      <c r="IKK227" s="3"/>
      <c r="IKL227" s="3"/>
      <c r="IKM227" s="3"/>
      <c r="IKN227" s="3"/>
      <c r="IKO227" s="3"/>
      <c r="IKP227" s="3"/>
      <c r="IKQ227" s="3"/>
      <c r="IKR227" s="3"/>
      <c r="IKS227" s="3"/>
      <c r="IKT227" s="3"/>
      <c r="IKU227" s="3"/>
      <c r="IKV227" s="3"/>
      <c r="IKW227" s="3"/>
      <c r="IKX227" s="3"/>
      <c r="IKY227" s="3"/>
      <c r="IKZ227" s="3"/>
      <c r="ILA227" s="3"/>
      <c r="ILB227" s="3"/>
      <c r="ILC227" s="3"/>
      <c r="ILD227" s="3"/>
      <c r="ILE227" s="3"/>
      <c r="ILF227" s="3"/>
      <c r="ILG227" s="3"/>
      <c r="ILH227" s="3"/>
      <c r="ILI227" s="3"/>
      <c r="ILJ227" s="3"/>
      <c r="ILK227" s="3"/>
      <c r="ILL227" s="3"/>
      <c r="ILM227" s="3"/>
      <c r="ILN227" s="3"/>
      <c r="ILO227" s="3"/>
      <c r="ILP227" s="3"/>
      <c r="ILQ227" s="3"/>
      <c r="ILR227" s="3"/>
      <c r="ILS227" s="3"/>
      <c r="ILT227" s="3"/>
      <c r="ILU227" s="3"/>
      <c r="ILV227" s="3"/>
      <c r="ILW227" s="3"/>
      <c r="ILX227" s="3"/>
      <c r="ILY227" s="3"/>
      <c r="ILZ227" s="3"/>
      <c r="IMA227" s="3"/>
      <c r="IMB227" s="3"/>
      <c r="IMC227" s="3"/>
      <c r="IMD227" s="3"/>
      <c r="IME227" s="3"/>
      <c r="IMF227" s="3"/>
      <c r="IMG227" s="3"/>
      <c r="IMH227" s="3"/>
      <c r="IMI227" s="3"/>
      <c r="IMJ227" s="3"/>
      <c r="IMK227" s="3"/>
      <c r="IML227" s="3"/>
      <c r="IMM227" s="3"/>
      <c r="IMN227" s="3"/>
      <c r="IMO227" s="3"/>
      <c r="IMP227" s="3"/>
      <c r="IMQ227" s="3"/>
      <c r="IMR227" s="3"/>
      <c r="IMS227" s="3"/>
      <c r="IMT227" s="3"/>
      <c r="IMU227" s="3"/>
      <c r="IMV227" s="3"/>
      <c r="IMW227" s="3"/>
      <c r="IMX227" s="3"/>
      <c r="IMY227" s="3"/>
      <c r="IMZ227" s="3"/>
      <c r="INA227" s="3"/>
      <c r="INB227" s="3"/>
      <c r="INC227" s="3"/>
      <c r="IND227" s="3"/>
      <c r="INE227" s="3"/>
      <c r="INF227" s="3"/>
      <c r="ING227" s="3"/>
      <c r="INH227" s="3"/>
      <c r="INI227" s="3"/>
      <c r="INJ227" s="3"/>
      <c r="INK227" s="3"/>
      <c r="INL227" s="3"/>
      <c r="INM227" s="3"/>
      <c r="INN227" s="3"/>
      <c r="INO227" s="3"/>
      <c r="INP227" s="3"/>
      <c r="INQ227" s="3"/>
      <c r="INR227" s="3"/>
      <c r="INS227" s="3"/>
      <c r="INT227" s="3"/>
      <c r="INU227" s="3"/>
      <c r="INV227" s="3"/>
      <c r="INW227" s="3"/>
      <c r="INX227" s="3"/>
      <c r="INY227" s="3"/>
      <c r="INZ227" s="3"/>
      <c r="IOA227" s="3"/>
      <c r="IOB227" s="3"/>
      <c r="IOC227" s="3"/>
      <c r="IOD227" s="3"/>
      <c r="IOE227" s="3"/>
      <c r="IOF227" s="3"/>
      <c r="IOG227" s="3"/>
      <c r="IOH227" s="3"/>
      <c r="IOI227" s="3"/>
      <c r="IOJ227" s="3"/>
      <c r="IOK227" s="3"/>
      <c r="IOL227" s="3"/>
      <c r="IOM227" s="3"/>
      <c r="ION227" s="3"/>
      <c r="IOO227" s="3"/>
      <c r="IOP227" s="3"/>
      <c r="IOQ227" s="3"/>
      <c r="IOR227" s="3"/>
      <c r="IOS227" s="3"/>
      <c r="IOT227" s="3"/>
      <c r="IOU227" s="3"/>
      <c r="IOV227" s="3"/>
      <c r="IOW227" s="3"/>
      <c r="IOX227" s="3"/>
      <c r="IOY227" s="3"/>
      <c r="IOZ227" s="3"/>
      <c r="IPA227" s="3"/>
      <c r="IPB227" s="3"/>
      <c r="IPC227" s="3"/>
      <c r="IPD227" s="3"/>
      <c r="IPE227" s="3"/>
      <c r="IPF227" s="3"/>
      <c r="IPG227" s="3"/>
      <c r="IPH227" s="3"/>
      <c r="IPI227" s="3"/>
      <c r="IPJ227" s="3"/>
      <c r="IPK227" s="3"/>
      <c r="IPL227" s="3"/>
      <c r="IPM227" s="3"/>
      <c r="IPN227" s="3"/>
      <c r="IPO227" s="3"/>
      <c r="IPP227" s="3"/>
      <c r="IPQ227" s="3"/>
      <c r="IPR227" s="3"/>
      <c r="IPS227" s="3"/>
      <c r="IPT227" s="3"/>
      <c r="IPU227" s="3"/>
      <c r="IPV227" s="3"/>
      <c r="IPW227" s="3"/>
      <c r="IPX227" s="3"/>
      <c r="IPY227" s="3"/>
      <c r="IPZ227" s="3"/>
      <c r="IQA227" s="3"/>
      <c r="IQB227" s="3"/>
      <c r="IQC227" s="3"/>
      <c r="IQD227" s="3"/>
      <c r="IQE227" s="3"/>
      <c r="IQF227" s="3"/>
      <c r="IQG227" s="3"/>
      <c r="IQH227" s="3"/>
      <c r="IQI227" s="3"/>
      <c r="IQJ227" s="3"/>
      <c r="IQK227" s="3"/>
      <c r="IQL227" s="3"/>
      <c r="IQM227" s="3"/>
      <c r="IQN227" s="3"/>
      <c r="IQO227" s="3"/>
      <c r="IQP227" s="3"/>
      <c r="IQQ227" s="3"/>
      <c r="IQR227" s="3"/>
      <c r="IQS227" s="3"/>
      <c r="IQT227" s="3"/>
      <c r="IQU227" s="3"/>
      <c r="IQV227" s="3"/>
      <c r="IQW227" s="3"/>
      <c r="IQX227" s="3"/>
      <c r="IQY227" s="3"/>
      <c r="IQZ227" s="3"/>
      <c r="IRA227" s="3"/>
      <c r="IRB227" s="3"/>
      <c r="IRC227" s="3"/>
      <c r="IRD227" s="3"/>
      <c r="IRE227" s="3"/>
      <c r="IRF227" s="3"/>
      <c r="IRG227" s="3"/>
      <c r="IRH227" s="3"/>
      <c r="IRI227" s="3"/>
      <c r="IRJ227" s="3"/>
      <c r="IRK227" s="3"/>
      <c r="IRL227" s="3"/>
      <c r="IRM227" s="3"/>
      <c r="IRN227" s="3"/>
      <c r="IRO227" s="3"/>
      <c r="IRP227" s="3"/>
      <c r="IRQ227" s="3"/>
      <c r="IRR227" s="3"/>
      <c r="IRS227" s="3"/>
      <c r="IRT227" s="3"/>
      <c r="IRU227" s="3"/>
      <c r="IRV227" s="3"/>
      <c r="IRW227" s="3"/>
      <c r="IRX227" s="3"/>
      <c r="IRY227" s="3"/>
      <c r="IRZ227" s="3"/>
      <c r="ISA227" s="3"/>
      <c r="ISB227" s="3"/>
      <c r="ISC227" s="3"/>
      <c r="ISD227" s="3"/>
      <c r="ISE227" s="3"/>
      <c r="ISF227" s="3"/>
      <c r="ISG227" s="3"/>
      <c r="ISH227" s="3"/>
      <c r="ISI227" s="3"/>
      <c r="ISJ227" s="3"/>
      <c r="ISK227" s="3"/>
      <c r="ISL227" s="3"/>
      <c r="ISM227" s="3"/>
      <c r="ISN227" s="3"/>
      <c r="ISO227" s="3"/>
      <c r="ISP227" s="3"/>
      <c r="ISQ227" s="3"/>
      <c r="ISR227" s="3"/>
      <c r="ISS227" s="3"/>
      <c r="IST227" s="3"/>
      <c r="ISU227" s="3"/>
      <c r="ISV227" s="3"/>
      <c r="ISW227" s="3"/>
      <c r="ISX227" s="3"/>
      <c r="ISY227" s="3"/>
      <c r="ISZ227" s="3"/>
      <c r="ITA227" s="3"/>
      <c r="ITB227" s="3"/>
      <c r="ITC227" s="3"/>
      <c r="ITD227" s="3"/>
      <c r="ITE227" s="3"/>
      <c r="ITF227" s="3"/>
      <c r="ITG227" s="3"/>
      <c r="ITH227" s="3"/>
      <c r="ITI227" s="3"/>
      <c r="ITJ227" s="3"/>
      <c r="ITK227" s="3"/>
      <c r="ITL227" s="3"/>
      <c r="ITM227" s="3"/>
      <c r="ITN227" s="3"/>
      <c r="ITO227" s="3"/>
      <c r="ITP227" s="3"/>
      <c r="ITQ227" s="3"/>
      <c r="ITR227" s="3"/>
      <c r="ITS227" s="3"/>
      <c r="ITT227" s="3"/>
      <c r="ITU227" s="3"/>
      <c r="ITV227" s="3"/>
      <c r="ITW227" s="3"/>
      <c r="ITX227" s="3"/>
      <c r="ITY227" s="3"/>
      <c r="ITZ227" s="3"/>
      <c r="IUA227" s="3"/>
      <c r="IUB227" s="3"/>
      <c r="IUC227" s="3"/>
      <c r="IUD227" s="3"/>
      <c r="IUE227" s="3"/>
      <c r="IUF227" s="3"/>
      <c r="IUG227" s="3"/>
      <c r="IUH227" s="3"/>
      <c r="IUI227" s="3"/>
      <c r="IUJ227" s="3"/>
      <c r="IUK227" s="3"/>
      <c r="IUL227" s="3"/>
      <c r="IUM227" s="3"/>
      <c r="IUN227" s="3"/>
      <c r="IUO227" s="3"/>
      <c r="IUP227" s="3"/>
      <c r="IUQ227" s="3"/>
      <c r="IUR227" s="3"/>
      <c r="IUS227" s="3"/>
      <c r="IUT227" s="3"/>
      <c r="IUU227" s="3"/>
      <c r="IUV227" s="3"/>
      <c r="IUW227" s="3"/>
      <c r="IUX227" s="3"/>
      <c r="IUY227" s="3"/>
      <c r="IUZ227" s="3"/>
      <c r="IVA227" s="3"/>
      <c r="IVB227" s="3"/>
      <c r="IVC227" s="3"/>
      <c r="IVD227" s="3"/>
      <c r="IVE227" s="3"/>
      <c r="IVF227" s="3"/>
      <c r="IVG227" s="3"/>
      <c r="IVH227" s="3"/>
      <c r="IVI227" s="3"/>
      <c r="IVJ227" s="3"/>
      <c r="IVK227" s="3"/>
      <c r="IVL227" s="3"/>
      <c r="IVM227" s="3"/>
      <c r="IVN227" s="3"/>
      <c r="IVO227" s="3"/>
      <c r="IVP227" s="3"/>
      <c r="IVQ227" s="3"/>
      <c r="IVR227" s="3"/>
      <c r="IVS227" s="3"/>
      <c r="IVT227" s="3"/>
      <c r="IVU227" s="3"/>
      <c r="IVV227" s="3"/>
      <c r="IVW227" s="3"/>
      <c r="IVX227" s="3"/>
      <c r="IVY227" s="3"/>
      <c r="IVZ227" s="3"/>
      <c r="IWA227" s="3"/>
      <c r="IWB227" s="3"/>
      <c r="IWC227" s="3"/>
      <c r="IWD227" s="3"/>
      <c r="IWE227" s="3"/>
      <c r="IWF227" s="3"/>
      <c r="IWG227" s="3"/>
      <c r="IWH227" s="3"/>
      <c r="IWI227" s="3"/>
      <c r="IWJ227" s="3"/>
      <c r="IWK227" s="3"/>
      <c r="IWL227" s="3"/>
      <c r="IWM227" s="3"/>
      <c r="IWN227" s="3"/>
      <c r="IWO227" s="3"/>
      <c r="IWP227" s="3"/>
      <c r="IWQ227" s="3"/>
      <c r="IWR227" s="3"/>
      <c r="IWS227" s="3"/>
      <c r="IWT227" s="3"/>
      <c r="IWU227" s="3"/>
      <c r="IWV227" s="3"/>
      <c r="IWW227" s="3"/>
      <c r="IWX227" s="3"/>
      <c r="IWY227" s="3"/>
      <c r="IWZ227" s="3"/>
      <c r="IXA227" s="3"/>
      <c r="IXB227" s="3"/>
      <c r="IXC227" s="3"/>
      <c r="IXD227" s="3"/>
      <c r="IXE227" s="3"/>
      <c r="IXF227" s="3"/>
      <c r="IXG227" s="3"/>
      <c r="IXH227" s="3"/>
      <c r="IXI227" s="3"/>
      <c r="IXJ227" s="3"/>
      <c r="IXK227" s="3"/>
      <c r="IXL227" s="3"/>
      <c r="IXM227" s="3"/>
      <c r="IXN227" s="3"/>
      <c r="IXO227" s="3"/>
      <c r="IXP227" s="3"/>
      <c r="IXQ227" s="3"/>
      <c r="IXR227" s="3"/>
      <c r="IXS227" s="3"/>
      <c r="IXT227" s="3"/>
      <c r="IXU227" s="3"/>
      <c r="IXV227" s="3"/>
      <c r="IXW227" s="3"/>
      <c r="IXX227" s="3"/>
      <c r="IXY227" s="3"/>
      <c r="IXZ227" s="3"/>
      <c r="IYA227" s="3"/>
      <c r="IYB227" s="3"/>
      <c r="IYC227" s="3"/>
      <c r="IYD227" s="3"/>
      <c r="IYE227" s="3"/>
      <c r="IYF227" s="3"/>
      <c r="IYG227" s="3"/>
      <c r="IYH227" s="3"/>
      <c r="IYI227" s="3"/>
      <c r="IYJ227" s="3"/>
      <c r="IYK227" s="3"/>
      <c r="IYL227" s="3"/>
      <c r="IYM227" s="3"/>
      <c r="IYN227" s="3"/>
      <c r="IYO227" s="3"/>
      <c r="IYP227" s="3"/>
      <c r="IYQ227" s="3"/>
      <c r="IYR227" s="3"/>
      <c r="IYS227" s="3"/>
      <c r="IYT227" s="3"/>
      <c r="IYU227" s="3"/>
      <c r="IYV227" s="3"/>
      <c r="IYW227" s="3"/>
      <c r="IYX227" s="3"/>
      <c r="IYY227" s="3"/>
      <c r="IYZ227" s="3"/>
      <c r="IZA227" s="3"/>
      <c r="IZB227" s="3"/>
      <c r="IZC227" s="3"/>
      <c r="IZD227" s="3"/>
      <c r="IZE227" s="3"/>
      <c r="IZF227" s="3"/>
      <c r="IZG227" s="3"/>
      <c r="IZH227" s="3"/>
      <c r="IZI227" s="3"/>
      <c r="IZJ227" s="3"/>
      <c r="IZK227" s="3"/>
      <c r="IZL227" s="3"/>
      <c r="IZM227" s="3"/>
      <c r="IZN227" s="3"/>
      <c r="IZO227" s="3"/>
      <c r="IZP227" s="3"/>
      <c r="IZQ227" s="3"/>
      <c r="IZR227" s="3"/>
      <c r="IZS227" s="3"/>
      <c r="IZT227" s="3"/>
      <c r="IZU227" s="3"/>
      <c r="IZV227" s="3"/>
      <c r="IZW227" s="3"/>
      <c r="IZX227" s="3"/>
      <c r="IZY227" s="3"/>
      <c r="IZZ227" s="3"/>
      <c r="JAA227" s="3"/>
      <c r="JAB227" s="3"/>
      <c r="JAC227" s="3"/>
      <c r="JAD227" s="3"/>
      <c r="JAE227" s="3"/>
      <c r="JAF227" s="3"/>
      <c r="JAG227" s="3"/>
      <c r="JAH227" s="3"/>
      <c r="JAI227" s="3"/>
      <c r="JAJ227" s="3"/>
      <c r="JAK227" s="3"/>
      <c r="JAL227" s="3"/>
      <c r="JAM227" s="3"/>
      <c r="JAN227" s="3"/>
      <c r="JAO227" s="3"/>
      <c r="JAP227" s="3"/>
      <c r="JAQ227" s="3"/>
      <c r="JAR227" s="3"/>
      <c r="JAS227" s="3"/>
      <c r="JAT227" s="3"/>
      <c r="JAU227" s="3"/>
      <c r="JAV227" s="3"/>
      <c r="JAW227" s="3"/>
      <c r="JAX227" s="3"/>
      <c r="JAY227" s="3"/>
      <c r="JAZ227" s="3"/>
      <c r="JBA227" s="3"/>
      <c r="JBB227" s="3"/>
      <c r="JBC227" s="3"/>
      <c r="JBD227" s="3"/>
      <c r="JBE227" s="3"/>
      <c r="JBF227" s="3"/>
      <c r="JBG227" s="3"/>
      <c r="JBH227" s="3"/>
      <c r="JBI227" s="3"/>
      <c r="JBJ227" s="3"/>
      <c r="JBK227" s="3"/>
      <c r="JBL227" s="3"/>
      <c r="JBM227" s="3"/>
      <c r="JBN227" s="3"/>
      <c r="JBO227" s="3"/>
      <c r="JBP227" s="3"/>
      <c r="JBQ227" s="3"/>
      <c r="JBR227" s="3"/>
      <c r="JBS227" s="3"/>
      <c r="JBT227" s="3"/>
      <c r="JBU227" s="3"/>
      <c r="JBV227" s="3"/>
      <c r="JBW227" s="3"/>
      <c r="JBX227" s="3"/>
      <c r="JBY227" s="3"/>
      <c r="JBZ227" s="3"/>
      <c r="JCA227" s="3"/>
      <c r="JCB227" s="3"/>
      <c r="JCC227" s="3"/>
      <c r="JCD227" s="3"/>
      <c r="JCE227" s="3"/>
      <c r="JCF227" s="3"/>
      <c r="JCG227" s="3"/>
      <c r="JCH227" s="3"/>
      <c r="JCI227" s="3"/>
      <c r="JCJ227" s="3"/>
      <c r="JCK227" s="3"/>
      <c r="JCL227" s="3"/>
      <c r="JCM227" s="3"/>
      <c r="JCN227" s="3"/>
      <c r="JCO227" s="3"/>
      <c r="JCP227" s="3"/>
      <c r="JCQ227" s="3"/>
      <c r="JCR227" s="3"/>
      <c r="JCS227" s="3"/>
      <c r="JCT227" s="3"/>
      <c r="JCU227" s="3"/>
      <c r="JCV227" s="3"/>
      <c r="JCW227" s="3"/>
      <c r="JCX227" s="3"/>
      <c r="JCY227" s="3"/>
      <c r="JCZ227" s="3"/>
      <c r="JDA227" s="3"/>
      <c r="JDB227" s="3"/>
      <c r="JDC227" s="3"/>
      <c r="JDD227" s="3"/>
      <c r="JDE227" s="3"/>
      <c r="JDF227" s="3"/>
      <c r="JDG227" s="3"/>
      <c r="JDH227" s="3"/>
      <c r="JDI227" s="3"/>
      <c r="JDJ227" s="3"/>
      <c r="JDK227" s="3"/>
      <c r="JDL227" s="3"/>
      <c r="JDM227" s="3"/>
      <c r="JDN227" s="3"/>
      <c r="JDO227" s="3"/>
      <c r="JDP227" s="3"/>
      <c r="JDQ227" s="3"/>
      <c r="JDR227" s="3"/>
      <c r="JDS227" s="3"/>
      <c r="JDT227" s="3"/>
      <c r="JDU227" s="3"/>
      <c r="JDV227" s="3"/>
      <c r="JDW227" s="3"/>
      <c r="JDX227" s="3"/>
      <c r="JDY227" s="3"/>
      <c r="JDZ227" s="3"/>
      <c r="JEA227" s="3"/>
      <c r="JEB227" s="3"/>
      <c r="JEC227" s="3"/>
      <c r="JED227" s="3"/>
      <c r="JEE227" s="3"/>
      <c r="JEF227" s="3"/>
      <c r="JEG227" s="3"/>
      <c r="JEH227" s="3"/>
      <c r="JEI227" s="3"/>
      <c r="JEJ227" s="3"/>
      <c r="JEK227" s="3"/>
      <c r="JEL227" s="3"/>
      <c r="JEM227" s="3"/>
      <c r="JEN227" s="3"/>
      <c r="JEO227" s="3"/>
      <c r="JEP227" s="3"/>
      <c r="JEQ227" s="3"/>
      <c r="JER227" s="3"/>
      <c r="JES227" s="3"/>
      <c r="JET227" s="3"/>
      <c r="JEU227" s="3"/>
      <c r="JEV227" s="3"/>
      <c r="JEW227" s="3"/>
      <c r="JEX227" s="3"/>
      <c r="JEY227" s="3"/>
      <c r="JEZ227" s="3"/>
      <c r="JFA227" s="3"/>
      <c r="JFB227" s="3"/>
      <c r="JFC227" s="3"/>
      <c r="JFD227" s="3"/>
      <c r="JFE227" s="3"/>
      <c r="JFF227" s="3"/>
      <c r="JFG227" s="3"/>
      <c r="JFH227" s="3"/>
      <c r="JFI227" s="3"/>
      <c r="JFJ227" s="3"/>
      <c r="JFK227" s="3"/>
      <c r="JFL227" s="3"/>
      <c r="JFM227" s="3"/>
      <c r="JFN227" s="3"/>
      <c r="JFO227" s="3"/>
      <c r="JFP227" s="3"/>
      <c r="JFQ227" s="3"/>
      <c r="JFR227" s="3"/>
      <c r="JFS227" s="3"/>
      <c r="JFT227" s="3"/>
      <c r="JFU227" s="3"/>
      <c r="JFV227" s="3"/>
      <c r="JFW227" s="3"/>
      <c r="JFX227" s="3"/>
      <c r="JFY227" s="3"/>
      <c r="JFZ227" s="3"/>
      <c r="JGA227" s="3"/>
      <c r="JGB227" s="3"/>
      <c r="JGC227" s="3"/>
      <c r="JGD227" s="3"/>
      <c r="JGE227" s="3"/>
      <c r="JGF227" s="3"/>
      <c r="JGG227" s="3"/>
      <c r="JGH227" s="3"/>
      <c r="JGI227" s="3"/>
      <c r="JGJ227" s="3"/>
      <c r="JGK227" s="3"/>
      <c r="JGL227" s="3"/>
      <c r="JGM227" s="3"/>
      <c r="JGN227" s="3"/>
      <c r="JGO227" s="3"/>
      <c r="JGP227" s="3"/>
      <c r="JGQ227" s="3"/>
      <c r="JGR227" s="3"/>
      <c r="JGS227" s="3"/>
      <c r="JGT227" s="3"/>
      <c r="JGU227" s="3"/>
      <c r="JGV227" s="3"/>
      <c r="JGW227" s="3"/>
      <c r="JGX227" s="3"/>
      <c r="JGY227" s="3"/>
      <c r="JGZ227" s="3"/>
      <c r="JHA227" s="3"/>
      <c r="JHB227" s="3"/>
      <c r="JHC227" s="3"/>
      <c r="JHD227" s="3"/>
      <c r="JHE227" s="3"/>
      <c r="JHF227" s="3"/>
      <c r="JHG227" s="3"/>
      <c r="JHH227" s="3"/>
      <c r="JHI227" s="3"/>
      <c r="JHJ227" s="3"/>
      <c r="JHK227" s="3"/>
      <c r="JHL227" s="3"/>
      <c r="JHM227" s="3"/>
      <c r="JHN227" s="3"/>
      <c r="JHO227" s="3"/>
      <c r="JHP227" s="3"/>
      <c r="JHQ227" s="3"/>
      <c r="JHR227" s="3"/>
      <c r="JHS227" s="3"/>
      <c r="JHT227" s="3"/>
      <c r="JHU227" s="3"/>
      <c r="JHV227" s="3"/>
      <c r="JHW227" s="3"/>
      <c r="JHX227" s="3"/>
      <c r="JHY227" s="3"/>
      <c r="JHZ227" s="3"/>
      <c r="JIA227" s="3"/>
      <c r="JIB227" s="3"/>
      <c r="JIC227" s="3"/>
      <c r="JID227" s="3"/>
      <c r="JIE227" s="3"/>
      <c r="JIF227" s="3"/>
      <c r="JIG227" s="3"/>
      <c r="JIH227" s="3"/>
      <c r="JII227" s="3"/>
      <c r="JIJ227" s="3"/>
      <c r="JIK227" s="3"/>
      <c r="JIL227" s="3"/>
      <c r="JIM227" s="3"/>
      <c r="JIN227" s="3"/>
      <c r="JIO227" s="3"/>
      <c r="JIP227" s="3"/>
      <c r="JIQ227" s="3"/>
      <c r="JIR227" s="3"/>
      <c r="JIS227" s="3"/>
      <c r="JIT227" s="3"/>
      <c r="JIU227" s="3"/>
      <c r="JIV227" s="3"/>
      <c r="JIW227" s="3"/>
      <c r="JIX227" s="3"/>
      <c r="JIY227" s="3"/>
      <c r="JIZ227" s="3"/>
      <c r="JJA227" s="3"/>
      <c r="JJB227" s="3"/>
      <c r="JJC227" s="3"/>
      <c r="JJD227" s="3"/>
      <c r="JJE227" s="3"/>
      <c r="JJF227" s="3"/>
      <c r="JJG227" s="3"/>
      <c r="JJH227" s="3"/>
      <c r="JJI227" s="3"/>
      <c r="JJJ227" s="3"/>
      <c r="JJK227" s="3"/>
      <c r="JJL227" s="3"/>
      <c r="JJM227" s="3"/>
      <c r="JJN227" s="3"/>
      <c r="JJO227" s="3"/>
      <c r="JJP227" s="3"/>
      <c r="JJQ227" s="3"/>
      <c r="JJR227" s="3"/>
      <c r="JJS227" s="3"/>
      <c r="JJT227" s="3"/>
      <c r="JJU227" s="3"/>
      <c r="JJV227" s="3"/>
      <c r="JJW227" s="3"/>
      <c r="JJX227" s="3"/>
      <c r="JJY227" s="3"/>
      <c r="JJZ227" s="3"/>
      <c r="JKA227" s="3"/>
      <c r="JKB227" s="3"/>
      <c r="JKC227" s="3"/>
      <c r="JKD227" s="3"/>
      <c r="JKE227" s="3"/>
      <c r="JKF227" s="3"/>
      <c r="JKG227" s="3"/>
      <c r="JKH227" s="3"/>
      <c r="JKI227" s="3"/>
      <c r="JKJ227" s="3"/>
      <c r="JKK227" s="3"/>
      <c r="JKL227" s="3"/>
      <c r="JKM227" s="3"/>
      <c r="JKN227" s="3"/>
      <c r="JKO227" s="3"/>
      <c r="JKP227" s="3"/>
      <c r="JKQ227" s="3"/>
      <c r="JKR227" s="3"/>
      <c r="JKS227" s="3"/>
      <c r="JKT227" s="3"/>
      <c r="JKU227" s="3"/>
      <c r="JKV227" s="3"/>
      <c r="JKW227" s="3"/>
      <c r="JKX227" s="3"/>
      <c r="JKY227" s="3"/>
      <c r="JKZ227" s="3"/>
      <c r="JLA227" s="3"/>
      <c r="JLB227" s="3"/>
      <c r="JLC227" s="3"/>
      <c r="JLD227" s="3"/>
      <c r="JLE227" s="3"/>
      <c r="JLF227" s="3"/>
      <c r="JLG227" s="3"/>
      <c r="JLH227" s="3"/>
      <c r="JLI227" s="3"/>
      <c r="JLJ227" s="3"/>
      <c r="JLK227" s="3"/>
      <c r="JLL227" s="3"/>
      <c r="JLM227" s="3"/>
      <c r="JLN227" s="3"/>
      <c r="JLO227" s="3"/>
      <c r="JLP227" s="3"/>
      <c r="JLQ227" s="3"/>
      <c r="JLR227" s="3"/>
      <c r="JLS227" s="3"/>
      <c r="JLT227" s="3"/>
      <c r="JLU227" s="3"/>
      <c r="JLV227" s="3"/>
      <c r="JLW227" s="3"/>
      <c r="JLX227" s="3"/>
      <c r="JLY227" s="3"/>
      <c r="JLZ227" s="3"/>
      <c r="JMA227" s="3"/>
      <c r="JMB227" s="3"/>
      <c r="JMC227" s="3"/>
      <c r="JMD227" s="3"/>
      <c r="JME227" s="3"/>
      <c r="JMF227" s="3"/>
      <c r="JMG227" s="3"/>
      <c r="JMH227" s="3"/>
      <c r="JMI227" s="3"/>
      <c r="JMJ227" s="3"/>
      <c r="JMK227" s="3"/>
      <c r="JML227" s="3"/>
      <c r="JMM227" s="3"/>
      <c r="JMN227" s="3"/>
      <c r="JMO227" s="3"/>
      <c r="JMP227" s="3"/>
      <c r="JMQ227" s="3"/>
      <c r="JMR227" s="3"/>
      <c r="JMS227" s="3"/>
      <c r="JMT227" s="3"/>
      <c r="JMU227" s="3"/>
      <c r="JMV227" s="3"/>
      <c r="JMW227" s="3"/>
      <c r="JMX227" s="3"/>
      <c r="JMY227" s="3"/>
      <c r="JMZ227" s="3"/>
      <c r="JNA227" s="3"/>
      <c r="JNB227" s="3"/>
      <c r="JNC227" s="3"/>
      <c r="JND227" s="3"/>
      <c r="JNE227" s="3"/>
      <c r="JNF227" s="3"/>
      <c r="JNG227" s="3"/>
      <c r="JNH227" s="3"/>
      <c r="JNI227" s="3"/>
      <c r="JNJ227" s="3"/>
      <c r="JNK227" s="3"/>
      <c r="JNL227" s="3"/>
      <c r="JNM227" s="3"/>
      <c r="JNN227" s="3"/>
      <c r="JNO227" s="3"/>
      <c r="JNP227" s="3"/>
      <c r="JNQ227" s="3"/>
      <c r="JNR227" s="3"/>
      <c r="JNS227" s="3"/>
      <c r="JNT227" s="3"/>
      <c r="JNU227" s="3"/>
      <c r="JNV227" s="3"/>
      <c r="JNW227" s="3"/>
      <c r="JNX227" s="3"/>
      <c r="JNY227" s="3"/>
      <c r="JNZ227" s="3"/>
      <c r="JOA227" s="3"/>
      <c r="JOB227" s="3"/>
      <c r="JOC227" s="3"/>
      <c r="JOD227" s="3"/>
      <c r="JOE227" s="3"/>
      <c r="JOF227" s="3"/>
      <c r="JOG227" s="3"/>
      <c r="JOH227" s="3"/>
      <c r="JOI227" s="3"/>
      <c r="JOJ227" s="3"/>
      <c r="JOK227" s="3"/>
      <c r="JOL227" s="3"/>
      <c r="JOM227" s="3"/>
      <c r="JON227" s="3"/>
      <c r="JOO227" s="3"/>
      <c r="JOP227" s="3"/>
      <c r="JOQ227" s="3"/>
      <c r="JOR227" s="3"/>
      <c r="JOS227" s="3"/>
      <c r="JOT227" s="3"/>
      <c r="JOU227" s="3"/>
      <c r="JOV227" s="3"/>
      <c r="JOW227" s="3"/>
      <c r="JOX227" s="3"/>
      <c r="JOY227" s="3"/>
      <c r="JOZ227" s="3"/>
      <c r="JPA227" s="3"/>
      <c r="JPB227" s="3"/>
      <c r="JPC227" s="3"/>
      <c r="JPD227" s="3"/>
      <c r="JPE227" s="3"/>
      <c r="JPF227" s="3"/>
      <c r="JPG227" s="3"/>
      <c r="JPH227" s="3"/>
      <c r="JPI227" s="3"/>
      <c r="JPJ227" s="3"/>
      <c r="JPK227" s="3"/>
      <c r="JPL227" s="3"/>
      <c r="JPM227" s="3"/>
      <c r="JPN227" s="3"/>
      <c r="JPO227" s="3"/>
      <c r="JPP227" s="3"/>
      <c r="JPQ227" s="3"/>
      <c r="JPR227" s="3"/>
      <c r="JPS227" s="3"/>
      <c r="JPT227" s="3"/>
      <c r="JPU227" s="3"/>
      <c r="JPV227" s="3"/>
      <c r="JPW227" s="3"/>
      <c r="JPX227" s="3"/>
      <c r="JPY227" s="3"/>
      <c r="JPZ227" s="3"/>
      <c r="JQA227" s="3"/>
      <c r="JQB227" s="3"/>
      <c r="JQC227" s="3"/>
      <c r="JQD227" s="3"/>
      <c r="JQE227" s="3"/>
      <c r="JQF227" s="3"/>
      <c r="JQG227" s="3"/>
      <c r="JQH227" s="3"/>
      <c r="JQI227" s="3"/>
      <c r="JQJ227" s="3"/>
      <c r="JQK227" s="3"/>
      <c r="JQL227" s="3"/>
      <c r="JQM227" s="3"/>
      <c r="JQN227" s="3"/>
      <c r="JQO227" s="3"/>
      <c r="JQP227" s="3"/>
      <c r="JQQ227" s="3"/>
      <c r="JQR227" s="3"/>
      <c r="JQS227" s="3"/>
      <c r="JQT227" s="3"/>
      <c r="JQU227" s="3"/>
      <c r="JQV227" s="3"/>
      <c r="JQW227" s="3"/>
      <c r="JQX227" s="3"/>
      <c r="JQY227" s="3"/>
      <c r="JQZ227" s="3"/>
      <c r="JRA227" s="3"/>
      <c r="JRB227" s="3"/>
      <c r="JRC227" s="3"/>
      <c r="JRD227" s="3"/>
      <c r="JRE227" s="3"/>
      <c r="JRF227" s="3"/>
      <c r="JRG227" s="3"/>
      <c r="JRH227" s="3"/>
      <c r="JRI227" s="3"/>
      <c r="JRJ227" s="3"/>
      <c r="JRK227" s="3"/>
      <c r="JRL227" s="3"/>
      <c r="JRM227" s="3"/>
      <c r="JRN227" s="3"/>
      <c r="JRO227" s="3"/>
      <c r="JRP227" s="3"/>
      <c r="JRQ227" s="3"/>
      <c r="JRR227" s="3"/>
      <c r="JRS227" s="3"/>
      <c r="JRT227" s="3"/>
      <c r="JRU227" s="3"/>
      <c r="JRV227" s="3"/>
      <c r="JRW227" s="3"/>
      <c r="JRX227" s="3"/>
      <c r="JRY227" s="3"/>
      <c r="JRZ227" s="3"/>
      <c r="JSA227" s="3"/>
      <c r="JSB227" s="3"/>
      <c r="JSC227" s="3"/>
      <c r="JSD227" s="3"/>
      <c r="JSE227" s="3"/>
      <c r="JSF227" s="3"/>
      <c r="JSG227" s="3"/>
      <c r="JSH227" s="3"/>
      <c r="JSI227" s="3"/>
      <c r="JSJ227" s="3"/>
      <c r="JSK227" s="3"/>
      <c r="JSL227" s="3"/>
      <c r="JSM227" s="3"/>
      <c r="JSN227" s="3"/>
      <c r="JSO227" s="3"/>
      <c r="JSP227" s="3"/>
      <c r="JSQ227" s="3"/>
      <c r="JSR227" s="3"/>
      <c r="JSS227" s="3"/>
      <c r="JST227" s="3"/>
      <c r="JSU227" s="3"/>
      <c r="JSV227" s="3"/>
      <c r="JSW227" s="3"/>
      <c r="JSX227" s="3"/>
      <c r="JSY227" s="3"/>
      <c r="JSZ227" s="3"/>
      <c r="JTA227" s="3"/>
      <c r="JTB227" s="3"/>
      <c r="JTC227" s="3"/>
      <c r="JTD227" s="3"/>
      <c r="JTE227" s="3"/>
      <c r="JTF227" s="3"/>
      <c r="JTG227" s="3"/>
      <c r="JTH227" s="3"/>
      <c r="JTI227" s="3"/>
      <c r="JTJ227" s="3"/>
      <c r="JTK227" s="3"/>
      <c r="JTL227" s="3"/>
      <c r="JTM227" s="3"/>
      <c r="JTN227" s="3"/>
      <c r="JTO227" s="3"/>
      <c r="JTP227" s="3"/>
      <c r="JTQ227" s="3"/>
      <c r="JTR227" s="3"/>
      <c r="JTS227" s="3"/>
      <c r="JTT227" s="3"/>
      <c r="JTU227" s="3"/>
      <c r="JTV227" s="3"/>
      <c r="JTW227" s="3"/>
      <c r="JTX227" s="3"/>
      <c r="JTY227" s="3"/>
      <c r="JTZ227" s="3"/>
      <c r="JUA227" s="3"/>
      <c r="JUB227" s="3"/>
      <c r="JUC227" s="3"/>
      <c r="JUD227" s="3"/>
      <c r="JUE227" s="3"/>
      <c r="JUF227" s="3"/>
      <c r="JUG227" s="3"/>
      <c r="JUH227" s="3"/>
      <c r="JUI227" s="3"/>
      <c r="JUJ227" s="3"/>
      <c r="JUK227" s="3"/>
      <c r="JUL227" s="3"/>
      <c r="JUM227" s="3"/>
      <c r="JUN227" s="3"/>
      <c r="JUO227" s="3"/>
      <c r="JUP227" s="3"/>
      <c r="JUQ227" s="3"/>
      <c r="JUR227" s="3"/>
      <c r="JUS227" s="3"/>
      <c r="JUT227" s="3"/>
      <c r="JUU227" s="3"/>
      <c r="JUV227" s="3"/>
      <c r="JUW227" s="3"/>
      <c r="JUX227" s="3"/>
      <c r="JUY227" s="3"/>
      <c r="JUZ227" s="3"/>
      <c r="JVA227" s="3"/>
      <c r="JVB227" s="3"/>
      <c r="JVC227" s="3"/>
      <c r="JVD227" s="3"/>
      <c r="JVE227" s="3"/>
      <c r="JVF227" s="3"/>
      <c r="JVG227" s="3"/>
      <c r="JVH227" s="3"/>
      <c r="JVI227" s="3"/>
      <c r="JVJ227" s="3"/>
      <c r="JVK227" s="3"/>
      <c r="JVL227" s="3"/>
      <c r="JVM227" s="3"/>
      <c r="JVN227" s="3"/>
      <c r="JVO227" s="3"/>
      <c r="JVP227" s="3"/>
      <c r="JVQ227" s="3"/>
      <c r="JVR227" s="3"/>
      <c r="JVS227" s="3"/>
      <c r="JVT227" s="3"/>
      <c r="JVU227" s="3"/>
      <c r="JVV227" s="3"/>
      <c r="JVW227" s="3"/>
      <c r="JVX227" s="3"/>
      <c r="JVY227" s="3"/>
      <c r="JVZ227" s="3"/>
      <c r="JWA227" s="3"/>
      <c r="JWB227" s="3"/>
      <c r="JWC227" s="3"/>
      <c r="JWD227" s="3"/>
      <c r="JWE227" s="3"/>
      <c r="JWF227" s="3"/>
      <c r="JWG227" s="3"/>
      <c r="JWH227" s="3"/>
      <c r="JWI227" s="3"/>
      <c r="JWJ227" s="3"/>
      <c r="JWK227" s="3"/>
      <c r="JWL227" s="3"/>
      <c r="JWM227" s="3"/>
      <c r="JWN227" s="3"/>
      <c r="JWO227" s="3"/>
      <c r="JWP227" s="3"/>
      <c r="JWQ227" s="3"/>
      <c r="JWR227" s="3"/>
      <c r="JWS227" s="3"/>
      <c r="JWT227" s="3"/>
      <c r="JWU227" s="3"/>
      <c r="JWV227" s="3"/>
      <c r="JWW227" s="3"/>
      <c r="JWX227" s="3"/>
      <c r="JWY227" s="3"/>
      <c r="JWZ227" s="3"/>
      <c r="JXA227" s="3"/>
      <c r="JXB227" s="3"/>
      <c r="JXC227" s="3"/>
      <c r="JXD227" s="3"/>
      <c r="JXE227" s="3"/>
      <c r="JXF227" s="3"/>
      <c r="JXG227" s="3"/>
      <c r="JXH227" s="3"/>
      <c r="JXI227" s="3"/>
      <c r="JXJ227" s="3"/>
      <c r="JXK227" s="3"/>
      <c r="JXL227" s="3"/>
      <c r="JXM227" s="3"/>
      <c r="JXN227" s="3"/>
      <c r="JXO227" s="3"/>
      <c r="JXP227" s="3"/>
      <c r="JXQ227" s="3"/>
      <c r="JXR227" s="3"/>
      <c r="JXS227" s="3"/>
      <c r="JXT227" s="3"/>
      <c r="JXU227" s="3"/>
      <c r="JXV227" s="3"/>
      <c r="JXW227" s="3"/>
      <c r="JXX227" s="3"/>
      <c r="JXY227" s="3"/>
      <c r="JXZ227" s="3"/>
      <c r="JYA227" s="3"/>
      <c r="JYB227" s="3"/>
      <c r="JYC227" s="3"/>
      <c r="JYD227" s="3"/>
      <c r="JYE227" s="3"/>
      <c r="JYF227" s="3"/>
      <c r="JYG227" s="3"/>
      <c r="JYH227" s="3"/>
      <c r="JYI227" s="3"/>
      <c r="JYJ227" s="3"/>
      <c r="JYK227" s="3"/>
      <c r="JYL227" s="3"/>
      <c r="JYM227" s="3"/>
      <c r="JYN227" s="3"/>
      <c r="JYO227" s="3"/>
      <c r="JYP227" s="3"/>
      <c r="JYQ227" s="3"/>
      <c r="JYR227" s="3"/>
      <c r="JYS227" s="3"/>
      <c r="JYT227" s="3"/>
      <c r="JYU227" s="3"/>
      <c r="JYV227" s="3"/>
      <c r="JYW227" s="3"/>
      <c r="JYX227" s="3"/>
      <c r="JYY227" s="3"/>
      <c r="JYZ227" s="3"/>
      <c r="JZA227" s="3"/>
      <c r="JZB227" s="3"/>
      <c r="JZC227" s="3"/>
      <c r="JZD227" s="3"/>
      <c r="JZE227" s="3"/>
      <c r="JZF227" s="3"/>
      <c r="JZG227" s="3"/>
      <c r="JZH227" s="3"/>
      <c r="JZI227" s="3"/>
      <c r="JZJ227" s="3"/>
      <c r="JZK227" s="3"/>
      <c r="JZL227" s="3"/>
      <c r="JZM227" s="3"/>
      <c r="JZN227" s="3"/>
      <c r="JZO227" s="3"/>
      <c r="JZP227" s="3"/>
      <c r="JZQ227" s="3"/>
      <c r="JZR227" s="3"/>
      <c r="JZS227" s="3"/>
      <c r="JZT227" s="3"/>
      <c r="JZU227" s="3"/>
      <c r="JZV227" s="3"/>
      <c r="JZW227" s="3"/>
      <c r="JZX227" s="3"/>
      <c r="JZY227" s="3"/>
      <c r="JZZ227" s="3"/>
      <c r="KAA227" s="3"/>
      <c r="KAB227" s="3"/>
      <c r="KAC227" s="3"/>
      <c r="KAD227" s="3"/>
      <c r="KAE227" s="3"/>
      <c r="KAF227" s="3"/>
      <c r="KAG227" s="3"/>
      <c r="KAH227" s="3"/>
      <c r="KAI227" s="3"/>
      <c r="KAJ227" s="3"/>
      <c r="KAK227" s="3"/>
      <c r="KAL227" s="3"/>
      <c r="KAM227" s="3"/>
      <c r="KAN227" s="3"/>
      <c r="KAO227" s="3"/>
      <c r="KAP227" s="3"/>
      <c r="KAQ227" s="3"/>
      <c r="KAR227" s="3"/>
      <c r="KAS227" s="3"/>
      <c r="KAT227" s="3"/>
      <c r="KAU227" s="3"/>
      <c r="KAV227" s="3"/>
      <c r="KAW227" s="3"/>
      <c r="KAX227" s="3"/>
      <c r="KAY227" s="3"/>
      <c r="KAZ227" s="3"/>
      <c r="KBA227" s="3"/>
      <c r="KBB227" s="3"/>
      <c r="KBC227" s="3"/>
      <c r="KBD227" s="3"/>
      <c r="KBE227" s="3"/>
      <c r="KBF227" s="3"/>
      <c r="KBG227" s="3"/>
      <c r="KBH227" s="3"/>
      <c r="KBI227" s="3"/>
      <c r="KBJ227" s="3"/>
      <c r="KBK227" s="3"/>
      <c r="KBL227" s="3"/>
      <c r="KBM227" s="3"/>
      <c r="KBN227" s="3"/>
      <c r="KBO227" s="3"/>
      <c r="KBP227" s="3"/>
      <c r="KBQ227" s="3"/>
      <c r="KBR227" s="3"/>
      <c r="KBS227" s="3"/>
      <c r="KBT227" s="3"/>
      <c r="KBU227" s="3"/>
      <c r="KBV227" s="3"/>
      <c r="KBW227" s="3"/>
      <c r="KBX227" s="3"/>
      <c r="KBY227" s="3"/>
      <c r="KBZ227" s="3"/>
      <c r="KCA227" s="3"/>
      <c r="KCB227" s="3"/>
      <c r="KCC227" s="3"/>
      <c r="KCD227" s="3"/>
      <c r="KCE227" s="3"/>
      <c r="KCF227" s="3"/>
      <c r="KCG227" s="3"/>
      <c r="KCH227" s="3"/>
      <c r="KCI227" s="3"/>
      <c r="KCJ227" s="3"/>
      <c r="KCK227" s="3"/>
      <c r="KCL227" s="3"/>
      <c r="KCM227" s="3"/>
      <c r="KCN227" s="3"/>
      <c r="KCO227" s="3"/>
      <c r="KCP227" s="3"/>
      <c r="KCQ227" s="3"/>
      <c r="KCR227" s="3"/>
      <c r="KCS227" s="3"/>
      <c r="KCT227" s="3"/>
      <c r="KCU227" s="3"/>
      <c r="KCV227" s="3"/>
      <c r="KCW227" s="3"/>
      <c r="KCX227" s="3"/>
      <c r="KCY227" s="3"/>
      <c r="KCZ227" s="3"/>
      <c r="KDA227" s="3"/>
      <c r="KDB227" s="3"/>
      <c r="KDC227" s="3"/>
      <c r="KDD227" s="3"/>
      <c r="KDE227" s="3"/>
      <c r="KDF227" s="3"/>
      <c r="KDG227" s="3"/>
      <c r="KDH227" s="3"/>
      <c r="KDI227" s="3"/>
      <c r="KDJ227" s="3"/>
      <c r="KDK227" s="3"/>
      <c r="KDL227" s="3"/>
      <c r="KDM227" s="3"/>
      <c r="KDN227" s="3"/>
      <c r="KDO227" s="3"/>
      <c r="KDP227" s="3"/>
      <c r="KDQ227" s="3"/>
      <c r="KDR227" s="3"/>
      <c r="KDS227" s="3"/>
      <c r="KDT227" s="3"/>
      <c r="KDU227" s="3"/>
      <c r="KDV227" s="3"/>
      <c r="KDW227" s="3"/>
      <c r="KDX227" s="3"/>
      <c r="KDY227" s="3"/>
      <c r="KDZ227" s="3"/>
      <c r="KEA227" s="3"/>
      <c r="KEB227" s="3"/>
      <c r="KEC227" s="3"/>
      <c r="KED227" s="3"/>
      <c r="KEE227" s="3"/>
      <c r="KEF227" s="3"/>
      <c r="KEG227" s="3"/>
      <c r="KEH227" s="3"/>
      <c r="KEI227" s="3"/>
      <c r="KEJ227" s="3"/>
      <c r="KEK227" s="3"/>
      <c r="KEL227" s="3"/>
      <c r="KEM227" s="3"/>
      <c r="KEN227" s="3"/>
      <c r="KEO227" s="3"/>
      <c r="KEP227" s="3"/>
      <c r="KEQ227" s="3"/>
      <c r="KER227" s="3"/>
      <c r="KES227" s="3"/>
      <c r="KET227" s="3"/>
      <c r="KEU227" s="3"/>
      <c r="KEV227" s="3"/>
      <c r="KEW227" s="3"/>
      <c r="KEX227" s="3"/>
      <c r="KEY227" s="3"/>
      <c r="KEZ227" s="3"/>
      <c r="KFA227" s="3"/>
      <c r="KFB227" s="3"/>
      <c r="KFC227" s="3"/>
      <c r="KFD227" s="3"/>
      <c r="KFE227" s="3"/>
      <c r="KFF227" s="3"/>
      <c r="KFG227" s="3"/>
      <c r="KFH227" s="3"/>
      <c r="KFI227" s="3"/>
      <c r="KFJ227" s="3"/>
      <c r="KFK227" s="3"/>
      <c r="KFL227" s="3"/>
      <c r="KFM227" s="3"/>
      <c r="KFN227" s="3"/>
      <c r="KFO227" s="3"/>
      <c r="KFP227" s="3"/>
      <c r="KFQ227" s="3"/>
      <c r="KFR227" s="3"/>
      <c r="KFS227" s="3"/>
      <c r="KFT227" s="3"/>
      <c r="KFU227" s="3"/>
      <c r="KFV227" s="3"/>
      <c r="KFW227" s="3"/>
      <c r="KFX227" s="3"/>
      <c r="KFY227" s="3"/>
      <c r="KFZ227" s="3"/>
      <c r="KGA227" s="3"/>
      <c r="KGB227" s="3"/>
      <c r="KGC227" s="3"/>
      <c r="KGD227" s="3"/>
      <c r="KGE227" s="3"/>
      <c r="KGF227" s="3"/>
      <c r="KGG227" s="3"/>
      <c r="KGH227" s="3"/>
      <c r="KGI227" s="3"/>
      <c r="KGJ227" s="3"/>
      <c r="KGK227" s="3"/>
      <c r="KGL227" s="3"/>
      <c r="KGM227" s="3"/>
      <c r="KGN227" s="3"/>
      <c r="KGO227" s="3"/>
      <c r="KGP227" s="3"/>
      <c r="KGQ227" s="3"/>
      <c r="KGR227" s="3"/>
      <c r="KGS227" s="3"/>
      <c r="KGT227" s="3"/>
      <c r="KGU227" s="3"/>
      <c r="KGV227" s="3"/>
      <c r="KGW227" s="3"/>
      <c r="KGX227" s="3"/>
      <c r="KGY227" s="3"/>
      <c r="KGZ227" s="3"/>
      <c r="KHA227" s="3"/>
      <c r="KHB227" s="3"/>
      <c r="KHC227" s="3"/>
      <c r="KHD227" s="3"/>
      <c r="KHE227" s="3"/>
      <c r="KHF227" s="3"/>
      <c r="KHG227" s="3"/>
      <c r="KHH227" s="3"/>
      <c r="KHI227" s="3"/>
      <c r="KHJ227" s="3"/>
      <c r="KHK227" s="3"/>
      <c r="KHL227" s="3"/>
      <c r="KHM227" s="3"/>
      <c r="KHN227" s="3"/>
      <c r="KHO227" s="3"/>
      <c r="KHP227" s="3"/>
      <c r="KHQ227" s="3"/>
      <c r="KHR227" s="3"/>
      <c r="KHS227" s="3"/>
      <c r="KHT227" s="3"/>
      <c r="KHU227" s="3"/>
      <c r="KHV227" s="3"/>
      <c r="KHW227" s="3"/>
      <c r="KHX227" s="3"/>
      <c r="KHY227" s="3"/>
      <c r="KHZ227" s="3"/>
      <c r="KIA227" s="3"/>
      <c r="KIB227" s="3"/>
      <c r="KIC227" s="3"/>
      <c r="KID227" s="3"/>
      <c r="KIE227" s="3"/>
      <c r="KIF227" s="3"/>
      <c r="KIG227" s="3"/>
      <c r="KIH227" s="3"/>
      <c r="KII227" s="3"/>
      <c r="KIJ227" s="3"/>
      <c r="KIK227" s="3"/>
      <c r="KIL227" s="3"/>
      <c r="KIM227" s="3"/>
      <c r="KIN227" s="3"/>
      <c r="KIO227" s="3"/>
      <c r="KIP227" s="3"/>
      <c r="KIQ227" s="3"/>
      <c r="KIR227" s="3"/>
      <c r="KIS227" s="3"/>
      <c r="KIT227" s="3"/>
      <c r="KIU227" s="3"/>
      <c r="KIV227" s="3"/>
      <c r="KIW227" s="3"/>
      <c r="KIX227" s="3"/>
      <c r="KIY227" s="3"/>
      <c r="KIZ227" s="3"/>
      <c r="KJA227" s="3"/>
      <c r="KJB227" s="3"/>
      <c r="KJC227" s="3"/>
      <c r="KJD227" s="3"/>
      <c r="KJE227" s="3"/>
      <c r="KJF227" s="3"/>
      <c r="KJG227" s="3"/>
      <c r="KJH227" s="3"/>
      <c r="KJI227" s="3"/>
      <c r="KJJ227" s="3"/>
      <c r="KJK227" s="3"/>
      <c r="KJL227" s="3"/>
      <c r="KJM227" s="3"/>
      <c r="KJN227" s="3"/>
      <c r="KJO227" s="3"/>
      <c r="KJP227" s="3"/>
      <c r="KJQ227" s="3"/>
      <c r="KJR227" s="3"/>
      <c r="KJS227" s="3"/>
      <c r="KJT227" s="3"/>
      <c r="KJU227" s="3"/>
      <c r="KJV227" s="3"/>
      <c r="KJW227" s="3"/>
      <c r="KJX227" s="3"/>
      <c r="KJY227" s="3"/>
      <c r="KJZ227" s="3"/>
      <c r="KKA227" s="3"/>
      <c r="KKB227" s="3"/>
      <c r="KKC227" s="3"/>
      <c r="KKD227" s="3"/>
      <c r="KKE227" s="3"/>
      <c r="KKF227" s="3"/>
      <c r="KKG227" s="3"/>
      <c r="KKH227" s="3"/>
      <c r="KKI227" s="3"/>
      <c r="KKJ227" s="3"/>
      <c r="KKK227" s="3"/>
      <c r="KKL227" s="3"/>
      <c r="KKM227" s="3"/>
      <c r="KKN227" s="3"/>
      <c r="KKO227" s="3"/>
      <c r="KKP227" s="3"/>
      <c r="KKQ227" s="3"/>
      <c r="KKR227" s="3"/>
      <c r="KKS227" s="3"/>
      <c r="KKT227" s="3"/>
      <c r="KKU227" s="3"/>
      <c r="KKV227" s="3"/>
      <c r="KKW227" s="3"/>
      <c r="KKX227" s="3"/>
      <c r="KKY227" s="3"/>
      <c r="KKZ227" s="3"/>
      <c r="KLA227" s="3"/>
      <c r="KLB227" s="3"/>
      <c r="KLC227" s="3"/>
      <c r="KLD227" s="3"/>
      <c r="KLE227" s="3"/>
      <c r="KLF227" s="3"/>
      <c r="KLG227" s="3"/>
      <c r="KLH227" s="3"/>
      <c r="KLI227" s="3"/>
      <c r="KLJ227" s="3"/>
      <c r="KLK227" s="3"/>
      <c r="KLL227" s="3"/>
      <c r="KLM227" s="3"/>
      <c r="KLN227" s="3"/>
      <c r="KLO227" s="3"/>
      <c r="KLP227" s="3"/>
      <c r="KLQ227" s="3"/>
      <c r="KLR227" s="3"/>
      <c r="KLS227" s="3"/>
      <c r="KLT227" s="3"/>
      <c r="KLU227" s="3"/>
      <c r="KLV227" s="3"/>
      <c r="KLW227" s="3"/>
      <c r="KLX227" s="3"/>
      <c r="KLY227" s="3"/>
      <c r="KLZ227" s="3"/>
      <c r="KMA227" s="3"/>
      <c r="KMB227" s="3"/>
      <c r="KMC227" s="3"/>
      <c r="KMD227" s="3"/>
      <c r="KME227" s="3"/>
      <c r="KMF227" s="3"/>
      <c r="KMG227" s="3"/>
      <c r="KMH227" s="3"/>
      <c r="KMI227" s="3"/>
      <c r="KMJ227" s="3"/>
      <c r="KMK227" s="3"/>
      <c r="KML227" s="3"/>
      <c r="KMM227" s="3"/>
      <c r="KMN227" s="3"/>
      <c r="KMO227" s="3"/>
      <c r="KMP227" s="3"/>
      <c r="KMQ227" s="3"/>
      <c r="KMR227" s="3"/>
      <c r="KMS227" s="3"/>
      <c r="KMT227" s="3"/>
      <c r="KMU227" s="3"/>
      <c r="KMV227" s="3"/>
      <c r="KMW227" s="3"/>
      <c r="KMX227" s="3"/>
      <c r="KMY227" s="3"/>
      <c r="KMZ227" s="3"/>
      <c r="KNA227" s="3"/>
      <c r="KNB227" s="3"/>
      <c r="KNC227" s="3"/>
      <c r="KND227" s="3"/>
      <c r="KNE227" s="3"/>
      <c r="KNF227" s="3"/>
      <c r="KNG227" s="3"/>
      <c r="KNH227" s="3"/>
      <c r="KNI227" s="3"/>
      <c r="KNJ227" s="3"/>
      <c r="KNK227" s="3"/>
      <c r="KNL227" s="3"/>
      <c r="KNM227" s="3"/>
      <c r="KNN227" s="3"/>
      <c r="KNO227" s="3"/>
      <c r="KNP227" s="3"/>
      <c r="KNQ227" s="3"/>
      <c r="KNR227" s="3"/>
      <c r="KNS227" s="3"/>
      <c r="KNT227" s="3"/>
      <c r="KNU227" s="3"/>
      <c r="KNV227" s="3"/>
      <c r="KNW227" s="3"/>
      <c r="KNX227" s="3"/>
      <c r="KNY227" s="3"/>
      <c r="KNZ227" s="3"/>
      <c r="KOA227" s="3"/>
      <c r="KOB227" s="3"/>
      <c r="KOC227" s="3"/>
      <c r="KOD227" s="3"/>
      <c r="KOE227" s="3"/>
      <c r="KOF227" s="3"/>
      <c r="KOG227" s="3"/>
      <c r="KOH227" s="3"/>
      <c r="KOI227" s="3"/>
      <c r="KOJ227" s="3"/>
      <c r="KOK227" s="3"/>
      <c r="KOL227" s="3"/>
      <c r="KOM227" s="3"/>
      <c r="KON227" s="3"/>
      <c r="KOO227" s="3"/>
      <c r="KOP227" s="3"/>
      <c r="KOQ227" s="3"/>
      <c r="KOR227" s="3"/>
      <c r="KOS227" s="3"/>
      <c r="KOT227" s="3"/>
      <c r="KOU227" s="3"/>
      <c r="KOV227" s="3"/>
      <c r="KOW227" s="3"/>
      <c r="KOX227" s="3"/>
      <c r="KOY227" s="3"/>
      <c r="KOZ227" s="3"/>
      <c r="KPA227" s="3"/>
      <c r="KPB227" s="3"/>
      <c r="KPC227" s="3"/>
      <c r="KPD227" s="3"/>
      <c r="KPE227" s="3"/>
      <c r="KPF227" s="3"/>
      <c r="KPG227" s="3"/>
      <c r="KPH227" s="3"/>
      <c r="KPI227" s="3"/>
      <c r="KPJ227" s="3"/>
      <c r="KPK227" s="3"/>
      <c r="KPL227" s="3"/>
      <c r="KPM227" s="3"/>
      <c r="KPN227" s="3"/>
      <c r="KPO227" s="3"/>
      <c r="KPP227" s="3"/>
      <c r="KPQ227" s="3"/>
      <c r="KPR227" s="3"/>
      <c r="KPS227" s="3"/>
      <c r="KPT227" s="3"/>
      <c r="KPU227" s="3"/>
      <c r="KPV227" s="3"/>
      <c r="KPW227" s="3"/>
      <c r="KPX227" s="3"/>
      <c r="KPY227" s="3"/>
      <c r="KPZ227" s="3"/>
      <c r="KQA227" s="3"/>
      <c r="KQB227" s="3"/>
      <c r="KQC227" s="3"/>
      <c r="KQD227" s="3"/>
      <c r="KQE227" s="3"/>
      <c r="KQF227" s="3"/>
      <c r="KQG227" s="3"/>
      <c r="KQH227" s="3"/>
      <c r="KQI227" s="3"/>
      <c r="KQJ227" s="3"/>
      <c r="KQK227" s="3"/>
      <c r="KQL227" s="3"/>
      <c r="KQM227" s="3"/>
      <c r="KQN227" s="3"/>
      <c r="KQO227" s="3"/>
      <c r="KQP227" s="3"/>
      <c r="KQQ227" s="3"/>
      <c r="KQR227" s="3"/>
      <c r="KQS227" s="3"/>
      <c r="KQT227" s="3"/>
      <c r="KQU227" s="3"/>
      <c r="KQV227" s="3"/>
      <c r="KQW227" s="3"/>
      <c r="KQX227" s="3"/>
      <c r="KQY227" s="3"/>
      <c r="KQZ227" s="3"/>
      <c r="KRA227" s="3"/>
      <c r="KRB227" s="3"/>
      <c r="KRC227" s="3"/>
      <c r="KRD227" s="3"/>
      <c r="KRE227" s="3"/>
      <c r="KRF227" s="3"/>
      <c r="KRG227" s="3"/>
      <c r="KRH227" s="3"/>
      <c r="KRI227" s="3"/>
      <c r="KRJ227" s="3"/>
      <c r="KRK227" s="3"/>
      <c r="KRL227" s="3"/>
      <c r="KRM227" s="3"/>
      <c r="KRN227" s="3"/>
      <c r="KRO227" s="3"/>
      <c r="KRP227" s="3"/>
      <c r="KRQ227" s="3"/>
      <c r="KRR227" s="3"/>
      <c r="KRS227" s="3"/>
      <c r="KRT227" s="3"/>
      <c r="KRU227" s="3"/>
      <c r="KRV227" s="3"/>
      <c r="KRW227" s="3"/>
      <c r="KRX227" s="3"/>
      <c r="KRY227" s="3"/>
      <c r="KRZ227" s="3"/>
      <c r="KSA227" s="3"/>
      <c r="KSB227" s="3"/>
      <c r="KSC227" s="3"/>
      <c r="KSD227" s="3"/>
      <c r="KSE227" s="3"/>
      <c r="KSF227" s="3"/>
      <c r="KSG227" s="3"/>
      <c r="KSH227" s="3"/>
      <c r="KSI227" s="3"/>
      <c r="KSJ227" s="3"/>
      <c r="KSK227" s="3"/>
      <c r="KSL227" s="3"/>
      <c r="KSM227" s="3"/>
      <c r="KSN227" s="3"/>
      <c r="KSO227" s="3"/>
      <c r="KSP227" s="3"/>
      <c r="KSQ227" s="3"/>
      <c r="KSR227" s="3"/>
      <c r="KSS227" s="3"/>
      <c r="KST227" s="3"/>
      <c r="KSU227" s="3"/>
      <c r="KSV227" s="3"/>
      <c r="KSW227" s="3"/>
      <c r="KSX227" s="3"/>
      <c r="KSY227" s="3"/>
      <c r="KSZ227" s="3"/>
      <c r="KTA227" s="3"/>
      <c r="KTB227" s="3"/>
      <c r="KTC227" s="3"/>
      <c r="KTD227" s="3"/>
      <c r="KTE227" s="3"/>
      <c r="KTF227" s="3"/>
      <c r="KTG227" s="3"/>
      <c r="KTH227" s="3"/>
      <c r="KTI227" s="3"/>
      <c r="KTJ227" s="3"/>
      <c r="KTK227" s="3"/>
      <c r="KTL227" s="3"/>
      <c r="KTM227" s="3"/>
      <c r="KTN227" s="3"/>
      <c r="KTO227" s="3"/>
      <c r="KTP227" s="3"/>
      <c r="KTQ227" s="3"/>
      <c r="KTR227" s="3"/>
      <c r="KTS227" s="3"/>
      <c r="KTT227" s="3"/>
      <c r="KTU227" s="3"/>
      <c r="KTV227" s="3"/>
      <c r="KTW227" s="3"/>
      <c r="KTX227" s="3"/>
      <c r="KTY227" s="3"/>
      <c r="KTZ227" s="3"/>
      <c r="KUA227" s="3"/>
      <c r="KUB227" s="3"/>
      <c r="KUC227" s="3"/>
      <c r="KUD227" s="3"/>
      <c r="KUE227" s="3"/>
      <c r="KUF227" s="3"/>
      <c r="KUG227" s="3"/>
      <c r="KUH227" s="3"/>
      <c r="KUI227" s="3"/>
      <c r="KUJ227" s="3"/>
      <c r="KUK227" s="3"/>
      <c r="KUL227" s="3"/>
      <c r="KUM227" s="3"/>
      <c r="KUN227" s="3"/>
      <c r="KUO227" s="3"/>
      <c r="KUP227" s="3"/>
      <c r="KUQ227" s="3"/>
      <c r="KUR227" s="3"/>
      <c r="KUS227" s="3"/>
      <c r="KUT227" s="3"/>
      <c r="KUU227" s="3"/>
      <c r="KUV227" s="3"/>
      <c r="KUW227" s="3"/>
      <c r="KUX227" s="3"/>
      <c r="KUY227" s="3"/>
      <c r="KUZ227" s="3"/>
      <c r="KVA227" s="3"/>
      <c r="KVB227" s="3"/>
      <c r="KVC227" s="3"/>
      <c r="KVD227" s="3"/>
      <c r="KVE227" s="3"/>
      <c r="KVF227" s="3"/>
      <c r="KVG227" s="3"/>
      <c r="KVH227" s="3"/>
      <c r="KVI227" s="3"/>
      <c r="KVJ227" s="3"/>
      <c r="KVK227" s="3"/>
      <c r="KVL227" s="3"/>
      <c r="KVM227" s="3"/>
      <c r="KVN227" s="3"/>
      <c r="KVO227" s="3"/>
      <c r="KVP227" s="3"/>
      <c r="KVQ227" s="3"/>
      <c r="KVR227" s="3"/>
      <c r="KVS227" s="3"/>
      <c r="KVT227" s="3"/>
      <c r="KVU227" s="3"/>
      <c r="KVV227" s="3"/>
      <c r="KVW227" s="3"/>
      <c r="KVX227" s="3"/>
      <c r="KVY227" s="3"/>
      <c r="KVZ227" s="3"/>
      <c r="KWA227" s="3"/>
      <c r="KWB227" s="3"/>
      <c r="KWC227" s="3"/>
      <c r="KWD227" s="3"/>
      <c r="KWE227" s="3"/>
      <c r="KWF227" s="3"/>
      <c r="KWG227" s="3"/>
      <c r="KWH227" s="3"/>
      <c r="KWI227" s="3"/>
      <c r="KWJ227" s="3"/>
      <c r="KWK227" s="3"/>
      <c r="KWL227" s="3"/>
      <c r="KWM227" s="3"/>
      <c r="KWN227" s="3"/>
      <c r="KWO227" s="3"/>
      <c r="KWP227" s="3"/>
      <c r="KWQ227" s="3"/>
      <c r="KWR227" s="3"/>
      <c r="KWS227" s="3"/>
      <c r="KWT227" s="3"/>
      <c r="KWU227" s="3"/>
      <c r="KWV227" s="3"/>
      <c r="KWW227" s="3"/>
      <c r="KWX227" s="3"/>
      <c r="KWY227" s="3"/>
      <c r="KWZ227" s="3"/>
      <c r="KXA227" s="3"/>
      <c r="KXB227" s="3"/>
      <c r="KXC227" s="3"/>
      <c r="KXD227" s="3"/>
      <c r="KXE227" s="3"/>
      <c r="KXF227" s="3"/>
      <c r="KXG227" s="3"/>
      <c r="KXH227" s="3"/>
      <c r="KXI227" s="3"/>
      <c r="KXJ227" s="3"/>
      <c r="KXK227" s="3"/>
      <c r="KXL227" s="3"/>
      <c r="KXM227" s="3"/>
      <c r="KXN227" s="3"/>
      <c r="KXO227" s="3"/>
      <c r="KXP227" s="3"/>
      <c r="KXQ227" s="3"/>
      <c r="KXR227" s="3"/>
      <c r="KXS227" s="3"/>
      <c r="KXT227" s="3"/>
      <c r="KXU227" s="3"/>
      <c r="KXV227" s="3"/>
      <c r="KXW227" s="3"/>
      <c r="KXX227" s="3"/>
      <c r="KXY227" s="3"/>
      <c r="KXZ227" s="3"/>
      <c r="KYA227" s="3"/>
      <c r="KYB227" s="3"/>
      <c r="KYC227" s="3"/>
      <c r="KYD227" s="3"/>
      <c r="KYE227" s="3"/>
      <c r="KYF227" s="3"/>
      <c r="KYG227" s="3"/>
      <c r="KYH227" s="3"/>
      <c r="KYI227" s="3"/>
      <c r="KYJ227" s="3"/>
      <c r="KYK227" s="3"/>
      <c r="KYL227" s="3"/>
      <c r="KYM227" s="3"/>
      <c r="KYN227" s="3"/>
      <c r="KYO227" s="3"/>
      <c r="KYP227" s="3"/>
      <c r="KYQ227" s="3"/>
      <c r="KYR227" s="3"/>
      <c r="KYS227" s="3"/>
      <c r="KYT227" s="3"/>
      <c r="KYU227" s="3"/>
      <c r="KYV227" s="3"/>
      <c r="KYW227" s="3"/>
      <c r="KYX227" s="3"/>
      <c r="KYY227" s="3"/>
      <c r="KYZ227" s="3"/>
      <c r="KZA227" s="3"/>
      <c r="KZB227" s="3"/>
      <c r="KZC227" s="3"/>
      <c r="KZD227" s="3"/>
      <c r="KZE227" s="3"/>
      <c r="KZF227" s="3"/>
      <c r="KZG227" s="3"/>
      <c r="KZH227" s="3"/>
      <c r="KZI227" s="3"/>
      <c r="KZJ227" s="3"/>
      <c r="KZK227" s="3"/>
      <c r="KZL227" s="3"/>
      <c r="KZM227" s="3"/>
      <c r="KZN227" s="3"/>
      <c r="KZO227" s="3"/>
      <c r="KZP227" s="3"/>
      <c r="KZQ227" s="3"/>
      <c r="KZR227" s="3"/>
      <c r="KZS227" s="3"/>
      <c r="KZT227" s="3"/>
      <c r="KZU227" s="3"/>
      <c r="KZV227" s="3"/>
      <c r="KZW227" s="3"/>
      <c r="KZX227" s="3"/>
      <c r="KZY227" s="3"/>
      <c r="KZZ227" s="3"/>
      <c r="LAA227" s="3"/>
      <c r="LAB227" s="3"/>
      <c r="LAC227" s="3"/>
      <c r="LAD227" s="3"/>
      <c r="LAE227" s="3"/>
      <c r="LAF227" s="3"/>
      <c r="LAG227" s="3"/>
      <c r="LAH227" s="3"/>
      <c r="LAI227" s="3"/>
      <c r="LAJ227" s="3"/>
      <c r="LAK227" s="3"/>
      <c r="LAL227" s="3"/>
      <c r="LAM227" s="3"/>
      <c r="LAN227" s="3"/>
      <c r="LAO227" s="3"/>
      <c r="LAP227" s="3"/>
      <c r="LAQ227" s="3"/>
      <c r="LAR227" s="3"/>
      <c r="LAS227" s="3"/>
      <c r="LAT227" s="3"/>
      <c r="LAU227" s="3"/>
      <c r="LAV227" s="3"/>
      <c r="LAW227" s="3"/>
      <c r="LAX227" s="3"/>
      <c r="LAY227" s="3"/>
      <c r="LAZ227" s="3"/>
      <c r="LBA227" s="3"/>
      <c r="LBB227" s="3"/>
      <c r="LBC227" s="3"/>
      <c r="LBD227" s="3"/>
      <c r="LBE227" s="3"/>
      <c r="LBF227" s="3"/>
      <c r="LBG227" s="3"/>
      <c r="LBH227" s="3"/>
      <c r="LBI227" s="3"/>
      <c r="LBJ227" s="3"/>
      <c r="LBK227" s="3"/>
      <c r="LBL227" s="3"/>
      <c r="LBM227" s="3"/>
      <c r="LBN227" s="3"/>
      <c r="LBO227" s="3"/>
      <c r="LBP227" s="3"/>
      <c r="LBQ227" s="3"/>
      <c r="LBR227" s="3"/>
      <c r="LBS227" s="3"/>
      <c r="LBT227" s="3"/>
      <c r="LBU227" s="3"/>
      <c r="LBV227" s="3"/>
      <c r="LBW227" s="3"/>
      <c r="LBX227" s="3"/>
      <c r="LBY227" s="3"/>
      <c r="LBZ227" s="3"/>
      <c r="LCA227" s="3"/>
      <c r="LCB227" s="3"/>
      <c r="LCC227" s="3"/>
      <c r="LCD227" s="3"/>
      <c r="LCE227" s="3"/>
      <c r="LCF227" s="3"/>
      <c r="LCG227" s="3"/>
      <c r="LCH227" s="3"/>
      <c r="LCI227" s="3"/>
      <c r="LCJ227" s="3"/>
      <c r="LCK227" s="3"/>
      <c r="LCL227" s="3"/>
      <c r="LCM227" s="3"/>
      <c r="LCN227" s="3"/>
      <c r="LCO227" s="3"/>
      <c r="LCP227" s="3"/>
      <c r="LCQ227" s="3"/>
      <c r="LCR227" s="3"/>
      <c r="LCS227" s="3"/>
      <c r="LCT227" s="3"/>
      <c r="LCU227" s="3"/>
      <c r="LCV227" s="3"/>
      <c r="LCW227" s="3"/>
      <c r="LCX227" s="3"/>
      <c r="LCY227" s="3"/>
      <c r="LCZ227" s="3"/>
      <c r="LDA227" s="3"/>
      <c r="LDB227" s="3"/>
      <c r="LDC227" s="3"/>
      <c r="LDD227" s="3"/>
      <c r="LDE227" s="3"/>
      <c r="LDF227" s="3"/>
      <c r="LDG227" s="3"/>
      <c r="LDH227" s="3"/>
      <c r="LDI227" s="3"/>
      <c r="LDJ227" s="3"/>
      <c r="LDK227" s="3"/>
      <c r="LDL227" s="3"/>
      <c r="LDM227" s="3"/>
      <c r="LDN227" s="3"/>
      <c r="LDO227" s="3"/>
      <c r="LDP227" s="3"/>
      <c r="LDQ227" s="3"/>
      <c r="LDR227" s="3"/>
      <c r="LDS227" s="3"/>
      <c r="LDT227" s="3"/>
      <c r="LDU227" s="3"/>
      <c r="LDV227" s="3"/>
      <c r="LDW227" s="3"/>
      <c r="LDX227" s="3"/>
      <c r="LDY227" s="3"/>
      <c r="LDZ227" s="3"/>
      <c r="LEA227" s="3"/>
      <c r="LEB227" s="3"/>
      <c r="LEC227" s="3"/>
      <c r="LED227" s="3"/>
      <c r="LEE227" s="3"/>
      <c r="LEF227" s="3"/>
      <c r="LEG227" s="3"/>
      <c r="LEH227" s="3"/>
      <c r="LEI227" s="3"/>
      <c r="LEJ227" s="3"/>
      <c r="LEK227" s="3"/>
      <c r="LEL227" s="3"/>
      <c r="LEM227" s="3"/>
      <c r="LEN227" s="3"/>
      <c r="LEO227" s="3"/>
      <c r="LEP227" s="3"/>
      <c r="LEQ227" s="3"/>
      <c r="LER227" s="3"/>
      <c r="LES227" s="3"/>
      <c r="LET227" s="3"/>
      <c r="LEU227" s="3"/>
      <c r="LEV227" s="3"/>
      <c r="LEW227" s="3"/>
      <c r="LEX227" s="3"/>
      <c r="LEY227" s="3"/>
      <c r="LEZ227" s="3"/>
      <c r="LFA227" s="3"/>
      <c r="LFB227" s="3"/>
      <c r="LFC227" s="3"/>
      <c r="LFD227" s="3"/>
      <c r="LFE227" s="3"/>
      <c r="LFF227" s="3"/>
      <c r="LFG227" s="3"/>
      <c r="LFH227" s="3"/>
      <c r="LFI227" s="3"/>
      <c r="LFJ227" s="3"/>
      <c r="LFK227" s="3"/>
      <c r="LFL227" s="3"/>
      <c r="LFM227" s="3"/>
      <c r="LFN227" s="3"/>
      <c r="LFO227" s="3"/>
      <c r="LFP227" s="3"/>
      <c r="LFQ227" s="3"/>
      <c r="LFR227" s="3"/>
      <c r="LFS227" s="3"/>
      <c r="LFT227" s="3"/>
      <c r="LFU227" s="3"/>
      <c r="LFV227" s="3"/>
      <c r="LFW227" s="3"/>
      <c r="LFX227" s="3"/>
      <c r="LFY227" s="3"/>
      <c r="LFZ227" s="3"/>
      <c r="LGA227" s="3"/>
      <c r="LGB227" s="3"/>
      <c r="LGC227" s="3"/>
      <c r="LGD227" s="3"/>
      <c r="LGE227" s="3"/>
      <c r="LGF227" s="3"/>
      <c r="LGG227" s="3"/>
      <c r="LGH227" s="3"/>
      <c r="LGI227" s="3"/>
      <c r="LGJ227" s="3"/>
      <c r="LGK227" s="3"/>
      <c r="LGL227" s="3"/>
      <c r="LGM227" s="3"/>
      <c r="LGN227" s="3"/>
      <c r="LGO227" s="3"/>
      <c r="LGP227" s="3"/>
      <c r="LGQ227" s="3"/>
      <c r="LGR227" s="3"/>
      <c r="LGS227" s="3"/>
      <c r="LGT227" s="3"/>
      <c r="LGU227" s="3"/>
      <c r="LGV227" s="3"/>
      <c r="LGW227" s="3"/>
      <c r="LGX227" s="3"/>
      <c r="LGY227" s="3"/>
      <c r="LGZ227" s="3"/>
      <c r="LHA227" s="3"/>
      <c r="LHB227" s="3"/>
      <c r="LHC227" s="3"/>
      <c r="LHD227" s="3"/>
      <c r="LHE227" s="3"/>
      <c r="LHF227" s="3"/>
      <c r="LHG227" s="3"/>
      <c r="LHH227" s="3"/>
      <c r="LHI227" s="3"/>
      <c r="LHJ227" s="3"/>
      <c r="LHK227" s="3"/>
      <c r="LHL227" s="3"/>
      <c r="LHM227" s="3"/>
      <c r="LHN227" s="3"/>
      <c r="LHO227" s="3"/>
      <c r="LHP227" s="3"/>
      <c r="LHQ227" s="3"/>
      <c r="LHR227" s="3"/>
      <c r="LHS227" s="3"/>
      <c r="LHT227" s="3"/>
      <c r="LHU227" s="3"/>
      <c r="LHV227" s="3"/>
      <c r="LHW227" s="3"/>
      <c r="LHX227" s="3"/>
      <c r="LHY227" s="3"/>
      <c r="LHZ227" s="3"/>
      <c r="LIA227" s="3"/>
      <c r="LIB227" s="3"/>
      <c r="LIC227" s="3"/>
      <c r="LID227" s="3"/>
      <c r="LIE227" s="3"/>
      <c r="LIF227" s="3"/>
      <c r="LIG227" s="3"/>
      <c r="LIH227" s="3"/>
      <c r="LII227" s="3"/>
      <c r="LIJ227" s="3"/>
      <c r="LIK227" s="3"/>
      <c r="LIL227" s="3"/>
      <c r="LIM227" s="3"/>
      <c r="LIN227" s="3"/>
      <c r="LIO227" s="3"/>
      <c r="LIP227" s="3"/>
      <c r="LIQ227" s="3"/>
      <c r="LIR227" s="3"/>
      <c r="LIS227" s="3"/>
      <c r="LIT227" s="3"/>
      <c r="LIU227" s="3"/>
      <c r="LIV227" s="3"/>
      <c r="LIW227" s="3"/>
      <c r="LIX227" s="3"/>
      <c r="LIY227" s="3"/>
      <c r="LIZ227" s="3"/>
      <c r="LJA227" s="3"/>
      <c r="LJB227" s="3"/>
      <c r="LJC227" s="3"/>
      <c r="LJD227" s="3"/>
      <c r="LJE227" s="3"/>
      <c r="LJF227" s="3"/>
      <c r="LJG227" s="3"/>
      <c r="LJH227" s="3"/>
      <c r="LJI227" s="3"/>
      <c r="LJJ227" s="3"/>
      <c r="LJK227" s="3"/>
      <c r="LJL227" s="3"/>
      <c r="LJM227" s="3"/>
      <c r="LJN227" s="3"/>
      <c r="LJO227" s="3"/>
      <c r="LJP227" s="3"/>
      <c r="LJQ227" s="3"/>
      <c r="LJR227" s="3"/>
      <c r="LJS227" s="3"/>
      <c r="LJT227" s="3"/>
      <c r="LJU227" s="3"/>
      <c r="LJV227" s="3"/>
      <c r="LJW227" s="3"/>
      <c r="LJX227" s="3"/>
      <c r="LJY227" s="3"/>
      <c r="LJZ227" s="3"/>
      <c r="LKA227" s="3"/>
      <c r="LKB227" s="3"/>
      <c r="LKC227" s="3"/>
      <c r="LKD227" s="3"/>
      <c r="LKE227" s="3"/>
      <c r="LKF227" s="3"/>
      <c r="LKG227" s="3"/>
      <c r="LKH227" s="3"/>
      <c r="LKI227" s="3"/>
      <c r="LKJ227" s="3"/>
      <c r="LKK227" s="3"/>
      <c r="LKL227" s="3"/>
      <c r="LKM227" s="3"/>
      <c r="LKN227" s="3"/>
      <c r="LKO227" s="3"/>
      <c r="LKP227" s="3"/>
      <c r="LKQ227" s="3"/>
      <c r="LKR227" s="3"/>
      <c r="LKS227" s="3"/>
      <c r="LKT227" s="3"/>
      <c r="LKU227" s="3"/>
      <c r="LKV227" s="3"/>
      <c r="LKW227" s="3"/>
      <c r="LKX227" s="3"/>
      <c r="LKY227" s="3"/>
      <c r="LKZ227" s="3"/>
      <c r="LLA227" s="3"/>
      <c r="LLB227" s="3"/>
      <c r="LLC227" s="3"/>
      <c r="LLD227" s="3"/>
      <c r="LLE227" s="3"/>
      <c r="LLF227" s="3"/>
      <c r="LLG227" s="3"/>
      <c r="LLH227" s="3"/>
      <c r="LLI227" s="3"/>
      <c r="LLJ227" s="3"/>
      <c r="LLK227" s="3"/>
      <c r="LLL227" s="3"/>
      <c r="LLM227" s="3"/>
      <c r="LLN227" s="3"/>
      <c r="LLO227" s="3"/>
      <c r="LLP227" s="3"/>
      <c r="LLQ227" s="3"/>
      <c r="LLR227" s="3"/>
      <c r="LLS227" s="3"/>
      <c r="LLT227" s="3"/>
      <c r="LLU227" s="3"/>
      <c r="LLV227" s="3"/>
      <c r="LLW227" s="3"/>
      <c r="LLX227" s="3"/>
      <c r="LLY227" s="3"/>
      <c r="LLZ227" s="3"/>
      <c r="LMA227" s="3"/>
      <c r="LMB227" s="3"/>
      <c r="LMC227" s="3"/>
      <c r="LMD227" s="3"/>
      <c r="LME227" s="3"/>
      <c r="LMF227" s="3"/>
      <c r="LMG227" s="3"/>
      <c r="LMH227" s="3"/>
      <c r="LMI227" s="3"/>
      <c r="LMJ227" s="3"/>
      <c r="LMK227" s="3"/>
      <c r="LML227" s="3"/>
      <c r="LMM227" s="3"/>
      <c r="LMN227" s="3"/>
      <c r="LMO227" s="3"/>
      <c r="LMP227" s="3"/>
      <c r="LMQ227" s="3"/>
      <c r="LMR227" s="3"/>
      <c r="LMS227" s="3"/>
      <c r="LMT227" s="3"/>
      <c r="LMU227" s="3"/>
      <c r="LMV227" s="3"/>
      <c r="LMW227" s="3"/>
      <c r="LMX227" s="3"/>
      <c r="LMY227" s="3"/>
      <c r="LMZ227" s="3"/>
      <c r="LNA227" s="3"/>
      <c r="LNB227" s="3"/>
      <c r="LNC227" s="3"/>
      <c r="LND227" s="3"/>
      <c r="LNE227" s="3"/>
      <c r="LNF227" s="3"/>
      <c r="LNG227" s="3"/>
      <c r="LNH227" s="3"/>
      <c r="LNI227" s="3"/>
      <c r="LNJ227" s="3"/>
      <c r="LNK227" s="3"/>
      <c r="LNL227" s="3"/>
      <c r="LNM227" s="3"/>
      <c r="LNN227" s="3"/>
      <c r="LNO227" s="3"/>
      <c r="LNP227" s="3"/>
      <c r="LNQ227" s="3"/>
      <c r="LNR227" s="3"/>
      <c r="LNS227" s="3"/>
      <c r="LNT227" s="3"/>
      <c r="LNU227" s="3"/>
      <c r="LNV227" s="3"/>
      <c r="LNW227" s="3"/>
      <c r="LNX227" s="3"/>
      <c r="LNY227" s="3"/>
      <c r="LNZ227" s="3"/>
      <c r="LOA227" s="3"/>
      <c r="LOB227" s="3"/>
      <c r="LOC227" s="3"/>
      <c r="LOD227" s="3"/>
      <c r="LOE227" s="3"/>
      <c r="LOF227" s="3"/>
      <c r="LOG227" s="3"/>
      <c r="LOH227" s="3"/>
      <c r="LOI227" s="3"/>
      <c r="LOJ227" s="3"/>
      <c r="LOK227" s="3"/>
      <c r="LOL227" s="3"/>
      <c r="LOM227" s="3"/>
      <c r="LON227" s="3"/>
      <c r="LOO227" s="3"/>
      <c r="LOP227" s="3"/>
      <c r="LOQ227" s="3"/>
      <c r="LOR227" s="3"/>
      <c r="LOS227" s="3"/>
      <c r="LOT227" s="3"/>
      <c r="LOU227" s="3"/>
      <c r="LOV227" s="3"/>
      <c r="LOW227" s="3"/>
      <c r="LOX227" s="3"/>
      <c r="LOY227" s="3"/>
      <c r="LOZ227" s="3"/>
      <c r="LPA227" s="3"/>
      <c r="LPB227" s="3"/>
      <c r="LPC227" s="3"/>
      <c r="LPD227" s="3"/>
      <c r="LPE227" s="3"/>
      <c r="LPF227" s="3"/>
      <c r="LPG227" s="3"/>
      <c r="LPH227" s="3"/>
      <c r="LPI227" s="3"/>
      <c r="LPJ227" s="3"/>
      <c r="LPK227" s="3"/>
      <c r="LPL227" s="3"/>
      <c r="LPM227" s="3"/>
      <c r="LPN227" s="3"/>
      <c r="LPO227" s="3"/>
      <c r="LPP227" s="3"/>
      <c r="LPQ227" s="3"/>
      <c r="LPR227" s="3"/>
      <c r="LPS227" s="3"/>
      <c r="LPT227" s="3"/>
      <c r="LPU227" s="3"/>
      <c r="LPV227" s="3"/>
      <c r="LPW227" s="3"/>
      <c r="LPX227" s="3"/>
      <c r="LPY227" s="3"/>
      <c r="LPZ227" s="3"/>
      <c r="LQA227" s="3"/>
      <c r="LQB227" s="3"/>
      <c r="LQC227" s="3"/>
      <c r="LQD227" s="3"/>
      <c r="LQE227" s="3"/>
      <c r="LQF227" s="3"/>
      <c r="LQG227" s="3"/>
      <c r="LQH227" s="3"/>
      <c r="LQI227" s="3"/>
      <c r="LQJ227" s="3"/>
      <c r="LQK227" s="3"/>
      <c r="LQL227" s="3"/>
      <c r="LQM227" s="3"/>
      <c r="LQN227" s="3"/>
      <c r="LQO227" s="3"/>
      <c r="LQP227" s="3"/>
      <c r="LQQ227" s="3"/>
      <c r="LQR227" s="3"/>
      <c r="LQS227" s="3"/>
      <c r="LQT227" s="3"/>
      <c r="LQU227" s="3"/>
      <c r="LQV227" s="3"/>
      <c r="LQW227" s="3"/>
      <c r="LQX227" s="3"/>
      <c r="LQY227" s="3"/>
      <c r="LQZ227" s="3"/>
      <c r="LRA227" s="3"/>
      <c r="LRB227" s="3"/>
      <c r="LRC227" s="3"/>
      <c r="LRD227" s="3"/>
      <c r="LRE227" s="3"/>
      <c r="LRF227" s="3"/>
      <c r="LRG227" s="3"/>
      <c r="LRH227" s="3"/>
      <c r="LRI227" s="3"/>
      <c r="LRJ227" s="3"/>
      <c r="LRK227" s="3"/>
      <c r="LRL227" s="3"/>
      <c r="LRM227" s="3"/>
      <c r="LRN227" s="3"/>
      <c r="LRO227" s="3"/>
      <c r="LRP227" s="3"/>
      <c r="LRQ227" s="3"/>
      <c r="LRR227" s="3"/>
      <c r="LRS227" s="3"/>
      <c r="LRT227" s="3"/>
      <c r="LRU227" s="3"/>
      <c r="LRV227" s="3"/>
      <c r="LRW227" s="3"/>
      <c r="LRX227" s="3"/>
      <c r="LRY227" s="3"/>
      <c r="LRZ227" s="3"/>
      <c r="LSA227" s="3"/>
      <c r="LSB227" s="3"/>
      <c r="LSC227" s="3"/>
      <c r="LSD227" s="3"/>
      <c r="LSE227" s="3"/>
      <c r="LSF227" s="3"/>
      <c r="LSG227" s="3"/>
      <c r="LSH227" s="3"/>
      <c r="LSI227" s="3"/>
      <c r="LSJ227" s="3"/>
      <c r="LSK227" s="3"/>
      <c r="LSL227" s="3"/>
      <c r="LSM227" s="3"/>
      <c r="LSN227" s="3"/>
      <c r="LSO227" s="3"/>
      <c r="LSP227" s="3"/>
      <c r="LSQ227" s="3"/>
      <c r="LSR227" s="3"/>
      <c r="LSS227" s="3"/>
      <c r="LST227" s="3"/>
      <c r="LSU227" s="3"/>
      <c r="LSV227" s="3"/>
      <c r="LSW227" s="3"/>
      <c r="LSX227" s="3"/>
      <c r="LSY227" s="3"/>
      <c r="LSZ227" s="3"/>
      <c r="LTA227" s="3"/>
      <c r="LTB227" s="3"/>
      <c r="LTC227" s="3"/>
      <c r="LTD227" s="3"/>
      <c r="LTE227" s="3"/>
      <c r="LTF227" s="3"/>
      <c r="LTG227" s="3"/>
      <c r="LTH227" s="3"/>
      <c r="LTI227" s="3"/>
      <c r="LTJ227" s="3"/>
      <c r="LTK227" s="3"/>
      <c r="LTL227" s="3"/>
      <c r="LTM227" s="3"/>
      <c r="LTN227" s="3"/>
      <c r="LTO227" s="3"/>
      <c r="LTP227" s="3"/>
      <c r="LTQ227" s="3"/>
      <c r="LTR227" s="3"/>
      <c r="LTS227" s="3"/>
      <c r="LTT227" s="3"/>
      <c r="LTU227" s="3"/>
      <c r="LTV227" s="3"/>
      <c r="LTW227" s="3"/>
      <c r="LTX227" s="3"/>
      <c r="LTY227" s="3"/>
      <c r="LTZ227" s="3"/>
      <c r="LUA227" s="3"/>
      <c r="LUB227" s="3"/>
      <c r="LUC227" s="3"/>
      <c r="LUD227" s="3"/>
      <c r="LUE227" s="3"/>
      <c r="LUF227" s="3"/>
      <c r="LUG227" s="3"/>
      <c r="LUH227" s="3"/>
      <c r="LUI227" s="3"/>
      <c r="LUJ227" s="3"/>
      <c r="LUK227" s="3"/>
      <c r="LUL227" s="3"/>
      <c r="LUM227" s="3"/>
      <c r="LUN227" s="3"/>
      <c r="LUO227" s="3"/>
      <c r="LUP227" s="3"/>
      <c r="LUQ227" s="3"/>
      <c r="LUR227" s="3"/>
      <c r="LUS227" s="3"/>
      <c r="LUT227" s="3"/>
      <c r="LUU227" s="3"/>
      <c r="LUV227" s="3"/>
      <c r="LUW227" s="3"/>
      <c r="LUX227" s="3"/>
      <c r="LUY227" s="3"/>
      <c r="LUZ227" s="3"/>
      <c r="LVA227" s="3"/>
      <c r="LVB227" s="3"/>
      <c r="LVC227" s="3"/>
      <c r="LVD227" s="3"/>
      <c r="LVE227" s="3"/>
      <c r="LVF227" s="3"/>
      <c r="LVG227" s="3"/>
      <c r="LVH227" s="3"/>
      <c r="LVI227" s="3"/>
      <c r="LVJ227" s="3"/>
      <c r="LVK227" s="3"/>
      <c r="LVL227" s="3"/>
      <c r="LVM227" s="3"/>
      <c r="LVN227" s="3"/>
      <c r="LVO227" s="3"/>
      <c r="LVP227" s="3"/>
      <c r="LVQ227" s="3"/>
      <c r="LVR227" s="3"/>
      <c r="LVS227" s="3"/>
      <c r="LVT227" s="3"/>
      <c r="LVU227" s="3"/>
      <c r="LVV227" s="3"/>
      <c r="LVW227" s="3"/>
      <c r="LVX227" s="3"/>
      <c r="LVY227" s="3"/>
      <c r="LVZ227" s="3"/>
      <c r="LWA227" s="3"/>
      <c r="LWB227" s="3"/>
      <c r="LWC227" s="3"/>
      <c r="LWD227" s="3"/>
      <c r="LWE227" s="3"/>
      <c r="LWF227" s="3"/>
      <c r="LWG227" s="3"/>
      <c r="LWH227" s="3"/>
      <c r="LWI227" s="3"/>
      <c r="LWJ227" s="3"/>
      <c r="LWK227" s="3"/>
      <c r="LWL227" s="3"/>
      <c r="LWM227" s="3"/>
      <c r="LWN227" s="3"/>
      <c r="LWO227" s="3"/>
      <c r="LWP227" s="3"/>
      <c r="LWQ227" s="3"/>
      <c r="LWR227" s="3"/>
      <c r="LWS227" s="3"/>
      <c r="LWT227" s="3"/>
      <c r="LWU227" s="3"/>
      <c r="LWV227" s="3"/>
      <c r="LWW227" s="3"/>
      <c r="LWX227" s="3"/>
      <c r="LWY227" s="3"/>
      <c r="LWZ227" s="3"/>
      <c r="LXA227" s="3"/>
      <c r="LXB227" s="3"/>
      <c r="LXC227" s="3"/>
      <c r="LXD227" s="3"/>
      <c r="LXE227" s="3"/>
      <c r="LXF227" s="3"/>
      <c r="LXG227" s="3"/>
      <c r="LXH227" s="3"/>
      <c r="LXI227" s="3"/>
      <c r="LXJ227" s="3"/>
      <c r="LXK227" s="3"/>
      <c r="LXL227" s="3"/>
      <c r="LXM227" s="3"/>
      <c r="LXN227" s="3"/>
      <c r="LXO227" s="3"/>
      <c r="LXP227" s="3"/>
      <c r="LXQ227" s="3"/>
      <c r="LXR227" s="3"/>
      <c r="LXS227" s="3"/>
      <c r="LXT227" s="3"/>
      <c r="LXU227" s="3"/>
      <c r="LXV227" s="3"/>
      <c r="LXW227" s="3"/>
      <c r="LXX227" s="3"/>
      <c r="LXY227" s="3"/>
      <c r="LXZ227" s="3"/>
      <c r="LYA227" s="3"/>
      <c r="LYB227" s="3"/>
      <c r="LYC227" s="3"/>
      <c r="LYD227" s="3"/>
      <c r="LYE227" s="3"/>
      <c r="LYF227" s="3"/>
      <c r="LYG227" s="3"/>
      <c r="LYH227" s="3"/>
      <c r="LYI227" s="3"/>
      <c r="LYJ227" s="3"/>
      <c r="LYK227" s="3"/>
      <c r="LYL227" s="3"/>
      <c r="LYM227" s="3"/>
      <c r="LYN227" s="3"/>
      <c r="LYO227" s="3"/>
      <c r="LYP227" s="3"/>
      <c r="LYQ227" s="3"/>
      <c r="LYR227" s="3"/>
      <c r="LYS227" s="3"/>
      <c r="LYT227" s="3"/>
      <c r="LYU227" s="3"/>
      <c r="LYV227" s="3"/>
      <c r="LYW227" s="3"/>
      <c r="LYX227" s="3"/>
      <c r="LYY227" s="3"/>
      <c r="LYZ227" s="3"/>
      <c r="LZA227" s="3"/>
      <c r="LZB227" s="3"/>
      <c r="LZC227" s="3"/>
      <c r="LZD227" s="3"/>
      <c r="LZE227" s="3"/>
      <c r="LZF227" s="3"/>
      <c r="LZG227" s="3"/>
      <c r="LZH227" s="3"/>
      <c r="LZI227" s="3"/>
      <c r="LZJ227" s="3"/>
      <c r="LZK227" s="3"/>
      <c r="LZL227" s="3"/>
      <c r="LZM227" s="3"/>
      <c r="LZN227" s="3"/>
      <c r="LZO227" s="3"/>
      <c r="LZP227" s="3"/>
      <c r="LZQ227" s="3"/>
      <c r="LZR227" s="3"/>
      <c r="LZS227" s="3"/>
      <c r="LZT227" s="3"/>
      <c r="LZU227" s="3"/>
      <c r="LZV227" s="3"/>
      <c r="LZW227" s="3"/>
      <c r="LZX227" s="3"/>
      <c r="LZY227" s="3"/>
      <c r="LZZ227" s="3"/>
      <c r="MAA227" s="3"/>
      <c r="MAB227" s="3"/>
      <c r="MAC227" s="3"/>
      <c r="MAD227" s="3"/>
      <c r="MAE227" s="3"/>
      <c r="MAF227" s="3"/>
      <c r="MAG227" s="3"/>
      <c r="MAH227" s="3"/>
      <c r="MAI227" s="3"/>
      <c r="MAJ227" s="3"/>
      <c r="MAK227" s="3"/>
      <c r="MAL227" s="3"/>
      <c r="MAM227" s="3"/>
      <c r="MAN227" s="3"/>
      <c r="MAO227" s="3"/>
      <c r="MAP227" s="3"/>
      <c r="MAQ227" s="3"/>
      <c r="MAR227" s="3"/>
      <c r="MAS227" s="3"/>
      <c r="MAT227" s="3"/>
      <c r="MAU227" s="3"/>
      <c r="MAV227" s="3"/>
      <c r="MAW227" s="3"/>
      <c r="MAX227" s="3"/>
      <c r="MAY227" s="3"/>
      <c r="MAZ227" s="3"/>
      <c r="MBA227" s="3"/>
      <c r="MBB227" s="3"/>
      <c r="MBC227" s="3"/>
      <c r="MBD227" s="3"/>
      <c r="MBE227" s="3"/>
      <c r="MBF227" s="3"/>
      <c r="MBG227" s="3"/>
      <c r="MBH227" s="3"/>
      <c r="MBI227" s="3"/>
      <c r="MBJ227" s="3"/>
      <c r="MBK227" s="3"/>
      <c r="MBL227" s="3"/>
      <c r="MBM227" s="3"/>
      <c r="MBN227" s="3"/>
      <c r="MBO227" s="3"/>
      <c r="MBP227" s="3"/>
      <c r="MBQ227" s="3"/>
      <c r="MBR227" s="3"/>
      <c r="MBS227" s="3"/>
      <c r="MBT227" s="3"/>
      <c r="MBU227" s="3"/>
      <c r="MBV227" s="3"/>
      <c r="MBW227" s="3"/>
      <c r="MBX227" s="3"/>
      <c r="MBY227" s="3"/>
      <c r="MBZ227" s="3"/>
      <c r="MCA227" s="3"/>
      <c r="MCB227" s="3"/>
      <c r="MCC227" s="3"/>
      <c r="MCD227" s="3"/>
      <c r="MCE227" s="3"/>
      <c r="MCF227" s="3"/>
      <c r="MCG227" s="3"/>
      <c r="MCH227" s="3"/>
      <c r="MCI227" s="3"/>
      <c r="MCJ227" s="3"/>
      <c r="MCK227" s="3"/>
      <c r="MCL227" s="3"/>
      <c r="MCM227" s="3"/>
      <c r="MCN227" s="3"/>
      <c r="MCO227" s="3"/>
      <c r="MCP227" s="3"/>
      <c r="MCQ227" s="3"/>
      <c r="MCR227" s="3"/>
      <c r="MCS227" s="3"/>
      <c r="MCT227" s="3"/>
      <c r="MCU227" s="3"/>
      <c r="MCV227" s="3"/>
      <c r="MCW227" s="3"/>
      <c r="MCX227" s="3"/>
      <c r="MCY227" s="3"/>
      <c r="MCZ227" s="3"/>
      <c r="MDA227" s="3"/>
      <c r="MDB227" s="3"/>
      <c r="MDC227" s="3"/>
      <c r="MDD227" s="3"/>
      <c r="MDE227" s="3"/>
      <c r="MDF227" s="3"/>
      <c r="MDG227" s="3"/>
      <c r="MDH227" s="3"/>
      <c r="MDI227" s="3"/>
      <c r="MDJ227" s="3"/>
      <c r="MDK227" s="3"/>
      <c r="MDL227" s="3"/>
      <c r="MDM227" s="3"/>
      <c r="MDN227" s="3"/>
      <c r="MDO227" s="3"/>
      <c r="MDP227" s="3"/>
      <c r="MDQ227" s="3"/>
      <c r="MDR227" s="3"/>
      <c r="MDS227" s="3"/>
      <c r="MDT227" s="3"/>
      <c r="MDU227" s="3"/>
      <c r="MDV227" s="3"/>
      <c r="MDW227" s="3"/>
      <c r="MDX227" s="3"/>
      <c r="MDY227" s="3"/>
      <c r="MDZ227" s="3"/>
      <c r="MEA227" s="3"/>
      <c r="MEB227" s="3"/>
      <c r="MEC227" s="3"/>
      <c r="MED227" s="3"/>
      <c r="MEE227" s="3"/>
      <c r="MEF227" s="3"/>
      <c r="MEG227" s="3"/>
      <c r="MEH227" s="3"/>
      <c r="MEI227" s="3"/>
      <c r="MEJ227" s="3"/>
      <c r="MEK227" s="3"/>
      <c r="MEL227" s="3"/>
      <c r="MEM227" s="3"/>
      <c r="MEN227" s="3"/>
      <c r="MEO227" s="3"/>
      <c r="MEP227" s="3"/>
      <c r="MEQ227" s="3"/>
      <c r="MER227" s="3"/>
      <c r="MES227" s="3"/>
      <c r="MET227" s="3"/>
      <c r="MEU227" s="3"/>
      <c r="MEV227" s="3"/>
      <c r="MEW227" s="3"/>
      <c r="MEX227" s="3"/>
      <c r="MEY227" s="3"/>
      <c r="MEZ227" s="3"/>
      <c r="MFA227" s="3"/>
      <c r="MFB227" s="3"/>
      <c r="MFC227" s="3"/>
      <c r="MFD227" s="3"/>
      <c r="MFE227" s="3"/>
      <c r="MFF227" s="3"/>
      <c r="MFG227" s="3"/>
      <c r="MFH227" s="3"/>
      <c r="MFI227" s="3"/>
      <c r="MFJ227" s="3"/>
      <c r="MFK227" s="3"/>
      <c r="MFL227" s="3"/>
      <c r="MFM227" s="3"/>
      <c r="MFN227" s="3"/>
      <c r="MFO227" s="3"/>
      <c r="MFP227" s="3"/>
      <c r="MFQ227" s="3"/>
      <c r="MFR227" s="3"/>
      <c r="MFS227" s="3"/>
      <c r="MFT227" s="3"/>
      <c r="MFU227" s="3"/>
      <c r="MFV227" s="3"/>
      <c r="MFW227" s="3"/>
      <c r="MFX227" s="3"/>
      <c r="MFY227" s="3"/>
      <c r="MFZ227" s="3"/>
      <c r="MGA227" s="3"/>
      <c r="MGB227" s="3"/>
      <c r="MGC227" s="3"/>
      <c r="MGD227" s="3"/>
      <c r="MGE227" s="3"/>
      <c r="MGF227" s="3"/>
      <c r="MGG227" s="3"/>
      <c r="MGH227" s="3"/>
      <c r="MGI227" s="3"/>
      <c r="MGJ227" s="3"/>
      <c r="MGK227" s="3"/>
      <c r="MGL227" s="3"/>
      <c r="MGM227" s="3"/>
      <c r="MGN227" s="3"/>
      <c r="MGO227" s="3"/>
      <c r="MGP227" s="3"/>
      <c r="MGQ227" s="3"/>
      <c r="MGR227" s="3"/>
      <c r="MGS227" s="3"/>
      <c r="MGT227" s="3"/>
      <c r="MGU227" s="3"/>
      <c r="MGV227" s="3"/>
      <c r="MGW227" s="3"/>
      <c r="MGX227" s="3"/>
      <c r="MGY227" s="3"/>
      <c r="MGZ227" s="3"/>
      <c r="MHA227" s="3"/>
      <c r="MHB227" s="3"/>
      <c r="MHC227" s="3"/>
      <c r="MHD227" s="3"/>
      <c r="MHE227" s="3"/>
      <c r="MHF227" s="3"/>
      <c r="MHG227" s="3"/>
      <c r="MHH227" s="3"/>
      <c r="MHI227" s="3"/>
      <c r="MHJ227" s="3"/>
      <c r="MHK227" s="3"/>
      <c r="MHL227" s="3"/>
      <c r="MHM227" s="3"/>
      <c r="MHN227" s="3"/>
      <c r="MHO227" s="3"/>
      <c r="MHP227" s="3"/>
      <c r="MHQ227" s="3"/>
      <c r="MHR227" s="3"/>
      <c r="MHS227" s="3"/>
      <c r="MHT227" s="3"/>
      <c r="MHU227" s="3"/>
      <c r="MHV227" s="3"/>
      <c r="MHW227" s="3"/>
      <c r="MHX227" s="3"/>
      <c r="MHY227" s="3"/>
      <c r="MHZ227" s="3"/>
      <c r="MIA227" s="3"/>
      <c r="MIB227" s="3"/>
      <c r="MIC227" s="3"/>
      <c r="MID227" s="3"/>
      <c r="MIE227" s="3"/>
      <c r="MIF227" s="3"/>
      <c r="MIG227" s="3"/>
      <c r="MIH227" s="3"/>
      <c r="MII227" s="3"/>
      <c r="MIJ227" s="3"/>
      <c r="MIK227" s="3"/>
      <c r="MIL227" s="3"/>
      <c r="MIM227" s="3"/>
      <c r="MIN227" s="3"/>
      <c r="MIO227" s="3"/>
      <c r="MIP227" s="3"/>
      <c r="MIQ227" s="3"/>
      <c r="MIR227" s="3"/>
      <c r="MIS227" s="3"/>
      <c r="MIT227" s="3"/>
      <c r="MIU227" s="3"/>
      <c r="MIV227" s="3"/>
      <c r="MIW227" s="3"/>
      <c r="MIX227" s="3"/>
      <c r="MIY227" s="3"/>
      <c r="MIZ227" s="3"/>
      <c r="MJA227" s="3"/>
      <c r="MJB227" s="3"/>
      <c r="MJC227" s="3"/>
      <c r="MJD227" s="3"/>
      <c r="MJE227" s="3"/>
      <c r="MJF227" s="3"/>
      <c r="MJG227" s="3"/>
      <c r="MJH227" s="3"/>
      <c r="MJI227" s="3"/>
      <c r="MJJ227" s="3"/>
      <c r="MJK227" s="3"/>
      <c r="MJL227" s="3"/>
      <c r="MJM227" s="3"/>
      <c r="MJN227" s="3"/>
      <c r="MJO227" s="3"/>
      <c r="MJP227" s="3"/>
      <c r="MJQ227" s="3"/>
      <c r="MJR227" s="3"/>
      <c r="MJS227" s="3"/>
      <c r="MJT227" s="3"/>
      <c r="MJU227" s="3"/>
      <c r="MJV227" s="3"/>
      <c r="MJW227" s="3"/>
      <c r="MJX227" s="3"/>
      <c r="MJY227" s="3"/>
      <c r="MJZ227" s="3"/>
      <c r="MKA227" s="3"/>
      <c r="MKB227" s="3"/>
      <c r="MKC227" s="3"/>
      <c r="MKD227" s="3"/>
      <c r="MKE227" s="3"/>
      <c r="MKF227" s="3"/>
      <c r="MKG227" s="3"/>
      <c r="MKH227" s="3"/>
      <c r="MKI227" s="3"/>
      <c r="MKJ227" s="3"/>
      <c r="MKK227" s="3"/>
      <c r="MKL227" s="3"/>
      <c r="MKM227" s="3"/>
      <c r="MKN227" s="3"/>
      <c r="MKO227" s="3"/>
      <c r="MKP227" s="3"/>
      <c r="MKQ227" s="3"/>
      <c r="MKR227" s="3"/>
      <c r="MKS227" s="3"/>
      <c r="MKT227" s="3"/>
      <c r="MKU227" s="3"/>
      <c r="MKV227" s="3"/>
      <c r="MKW227" s="3"/>
      <c r="MKX227" s="3"/>
      <c r="MKY227" s="3"/>
      <c r="MKZ227" s="3"/>
      <c r="MLA227" s="3"/>
      <c r="MLB227" s="3"/>
      <c r="MLC227" s="3"/>
      <c r="MLD227" s="3"/>
      <c r="MLE227" s="3"/>
      <c r="MLF227" s="3"/>
      <c r="MLG227" s="3"/>
      <c r="MLH227" s="3"/>
      <c r="MLI227" s="3"/>
      <c r="MLJ227" s="3"/>
      <c r="MLK227" s="3"/>
      <c r="MLL227" s="3"/>
      <c r="MLM227" s="3"/>
      <c r="MLN227" s="3"/>
      <c r="MLO227" s="3"/>
      <c r="MLP227" s="3"/>
      <c r="MLQ227" s="3"/>
      <c r="MLR227" s="3"/>
      <c r="MLS227" s="3"/>
      <c r="MLT227" s="3"/>
      <c r="MLU227" s="3"/>
      <c r="MLV227" s="3"/>
      <c r="MLW227" s="3"/>
      <c r="MLX227" s="3"/>
      <c r="MLY227" s="3"/>
      <c r="MLZ227" s="3"/>
      <c r="MMA227" s="3"/>
      <c r="MMB227" s="3"/>
      <c r="MMC227" s="3"/>
      <c r="MMD227" s="3"/>
      <c r="MME227" s="3"/>
      <c r="MMF227" s="3"/>
      <c r="MMG227" s="3"/>
      <c r="MMH227" s="3"/>
      <c r="MMI227" s="3"/>
      <c r="MMJ227" s="3"/>
      <c r="MMK227" s="3"/>
      <c r="MML227" s="3"/>
      <c r="MMM227" s="3"/>
      <c r="MMN227" s="3"/>
      <c r="MMO227" s="3"/>
      <c r="MMP227" s="3"/>
      <c r="MMQ227" s="3"/>
      <c r="MMR227" s="3"/>
      <c r="MMS227" s="3"/>
      <c r="MMT227" s="3"/>
      <c r="MMU227" s="3"/>
      <c r="MMV227" s="3"/>
      <c r="MMW227" s="3"/>
      <c r="MMX227" s="3"/>
      <c r="MMY227" s="3"/>
      <c r="MMZ227" s="3"/>
      <c r="MNA227" s="3"/>
      <c r="MNB227" s="3"/>
      <c r="MNC227" s="3"/>
      <c r="MND227" s="3"/>
      <c r="MNE227" s="3"/>
      <c r="MNF227" s="3"/>
      <c r="MNG227" s="3"/>
      <c r="MNH227" s="3"/>
      <c r="MNI227" s="3"/>
      <c r="MNJ227" s="3"/>
      <c r="MNK227" s="3"/>
      <c r="MNL227" s="3"/>
      <c r="MNM227" s="3"/>
      <c r="MNN227" s="3"/>
      <c r="MNO227" s="3"/>
      <c r="MNP227" s="3"/>
      <c r="MNQ227" s="3"/>
      <c r="MNR227" s="3"/>
      <c r="MNS227" s="3"/>
      <c r="MNT227" s="3"/>
      <c r="MNU227" s="3"/>
      <c r="MNV227" s="3"/>
      <c r="MNW227" s="3"/>
      <c r="MNX227" s="3"/>
      <c r="MNY227" s="3"/>
      <c r="MNZ227" s="3"/>
      <c r="MOA227" s="3"/>
      <c r="MOB227" s="3"/>
      <c r="MOC227" s="3"/>
      <c r="MOD227" s="3"/>
      <c r="MOE227" s="3"/>
      <c r="MOF227" s="3"/>
      <c r="MOG227" s="3"/>
      <c r="MOH227" s="3"/>
      <c r="MOI227" s="3"/>
      <c r="MOJ227" s="3"/>
      <c r="MOK227" s="3"/>
      <c r="MOL227" s="3"/>
      <c r="MOM227" s="3"/>
      <c r="MON227" s="3"/>
      <c r="MOO227" s="3"/>
      <c r="MOP227" s="3"/>
      <c r="MOQ227" s="3"/>
      <c r="MOR227" s="3"/>
      <c r="MOS227" s="3"/>
      <c r="MOT227" s="3"/>
      <c r="MOU227" s="3"/>
      <c r="MOV227" s="3"/>
      <c r="MOW227" s="3"/>
      <c r="MOX227" s="3"/>
      <c r="MOY227" s="3"/>
      <c r="MOZ227" s="3"/>
      <c r="MPA227" s="3"/>
      <c r="MPB227" s="3"/>
      <c r="MPC227" s="3"/>
      <c r="MPD227" s="3"/>
      <c r="MPE227" s="3"/>
      <c r="MPF227" s="3"/>
      <c r="MPG227" s="3"/>
      <c r="MPH227" s="3"/>
      <c r="MPI227" s="3"/>
      <c r="MPJ227" s="3"/>
      <c r="MPK227" s="3"/>
      <c r="MPL227" s="3"/>
      <c r="MPM227" s="3"/>
      <c r="MPN227" s="3"/>
      <c r="MPO227" s="3"/>
      <c r="MPP227" s="3"/>
      <c r="MPQ227" s="3"/>
      <c r="MPR227" s="3"/>
      <c r="MPS227" s="3"/>
      <c r="MPT227" s="3"/>
      <c r="MPU227" s="3"/>
      <c r="MPV227" s="3"/>
      <c r="MPW227" s="3"/>
      <c r="MPX227" s="3"/>
      <c r="MPY227" s="3"/>
      <c r="MPZ227" s="3"/>
      <c r="MQA227" s="3"/>
      <c r="MQB227" s="3"/>
      <c r="MQC227" s="3"/>
      <c r="MQD227" s="3"/>
      <c r="MQE227" s="3"/>
      <c r="MQF227" s="3"/>
      <c r="MQG227" s="3"/>
      <c r="MQH227" s="3"/>
      <c r="MQI227" s="3"/>
      <c r="MQJ227" s="3"/>
      <c r="MQK227" s="3"/>
      <c r="MQL227" s="3"/>
      <c r="MQM227" s="3"/>
      <c r="MQN227" s="3"/>
      <c r="MQO227" s="3"/>
      <c r="MQP227" s="3"/>
      <c r="MQQ227" s="3"/>
      <c r="MQR227" s="3"/>
      <c r="MQS227" s="3"/>
      <c r="MQT227" s="3"/>
      <c r="MQU227" s="3"/>
      <c r="MQV227" s="3"/>
      <c r="MQW227" s="3"/>
      <c r="MQX227" s="3"/>
      <c r="MQY227" s="3"/>
      <c r="MQZ227" s="3"/>
      <c r="MRA227" s="3"/>
      <c r="MRB227" s="3"/>
      <c r="MRC227" s="3"/>
      <c r="MRD227" s="3"/>
      <c r="MRE227" s="3"/>
      <c r="MRF227" s="3"/>
      <c r="MRG227" s="3"/>
      <c r="MRH227" s="3"/>
      <c r="MRI227" s="3"/>
      <c r="MRJ227" s="3"/>
      <c r="MRK227" s="3"/>
      <c r="MRL227" s="3"/>
      <c r="MRM227" s="3"/>
      <c r="MRN227" s="3"/>
      <c r="MRO227" s="3"/>
      <c r="MRP227" s="3"/>
      <c r="MRQ227" s="3"/>
      <c r="MRR227" s="3"/>
      <c r="MRS227" s="3"/>
      <c r="MRT227" s="3"/>
      <c r="MRU227" s="3"/>
      <c r="MRV227" s="3"/>
      <c r="MRW227" s="3"/>
      <c r="MRX227" s="3"/>
      <c r="MRY227" s="3"/>
      <c r="MRZ227" s="3"/>
      <c r="MSA227" s="3"/>
      <c r="MSB227" s="3"/>
      <c r="MSC227" s="3"/>
      <c r="MSD227" s="3"/>
      <c r="MSE227" s="3"/>
      <c r="MSF227" s="3"/>
      <c r="MSG227" s="3"/>
      <c r="MSH227" s="3"/>
      <c r="MSI227" s="3"/>
      <c r="MSJ227" s="3"/>
      <c r="MSK227" s="3"/>
      <c r="MSL227" s="3"/>
      <c r="MSM227" s="3"/>
      <c r="MSN227" s="3"/>
      <c r="MSO227" s="3"/>
      <c r="MSP227" s="3"/>
      <c r="MSQ227" s="3"/>
      <c r="MSR227" s="3"/>
      <c r="MSS227" s="3"/>
      <c r="MST227" s="3"/>
      <c r="MSU227" s="3"/>
      <c r="MSV227" s="3"/>
      <c r="MSW227" s="3"/>
      <c r="MSX227" s="3"/>
      <c r="MSY227" s="3"/>
      <c r="MSZ227" s="3"/>
      <c r="MTA227" s="3"/>
      <c r="MTB227" s="3"/>
      <c r="MTC227" s="3"/>
      <c r="MTD227" s="3"/>
      <c r="MTE227" s="3"/>
      <c r="MTF227" s="3"/>
      <c r="MTG227" s="3"/>
      <c r="MTH227" s="3"/>
      <c r="MTI227" s="3"/>
      <c r="MTJ227" s="3"/>
      <c r="MTK227" s="3"/>
      <c r="MTL227" s="3"/>
      <c r="MTM227" s="3"/>
      <c r="MTN227" s="3"/>
      <c r="MTO227" s="3"/>
      <c r="MTP227" s="3"/>
      <c r="MTQ227" s="3"/>
      <c r="MTR227" s="3"/>
      <c r="MTS227" s="3"/>
      <c r="MTT227" s="3"/>
      <c r="MTU227" s="3"/>
      <c r="MTV227" s="3"/>
      <c r="MTW227" s="3"/>
      <c r="MTX227" s="3"/>
      <c r="MTY227" s="3"/>
      <c r="MTZ227" s="3"/>
      <c r="MUA227" s="3"/>
      <c r="MUB227" s="3"/>
      <c r="MUC227" s="3"/>
      <c r="MUD227" s="3"/>
      <c r="MUE227" s="3"/>
      <c r="MUF227" s="3"/>
      <c r="MUG227" s="3"/>
      <c r="MUH227" s="3"/>
      <c r="MUI227" s="3"/>
      <c r="MUJ227" s="3"/>
      <c r="MUK227" s="3"/>
      <c r="MUL227" s="3"/>
      <c r="MUM227" s="3"/>
      <c r="MUN227" s="3"/>
      <c r="MUO227" s="3"/>
      <c r="MUP227" s="3"/>
      <c r="MUQ227" s="3"/>
      <c r="MUR227" s="3"/>
      <c r="MUS227" s="3"/>
      <c r="MUT227" s="3"/>
      <c r="MUU227" s="3"/>
      <c r="MUV227" s="3"/>
      <c r="MUW227" s="3"/>
      <c r="MUX227" s="3"/>
      <c r="MUY227" s="3"/>
      <c r="MUZ227" s="3"/>
      <c r="MVA227" s="3"/>
      <c r="MVB227" s="3"/>
      <c r="MVC227" s="3"/>
      <c r="MVD227" s="3"/>
      <c r="MVE227" s="3"/>
      <c r="MVF227" s="3"/>
      <c r="MVG227" s="3"/>
      <c r="MVH227" s="3"/>
      <c r="MVI227" s="3"/>
      <c r="MVJ227" s="3"/>
      <c r="MVK227" s="3"/>
      <c r="MVL227" s="3"/>
      <c r="MVM227" s="3"/>
      <c r="MVN227" s="3"/>
      <c r="MVO227" s="3"/>
      <c r="MVP227" s="3"/>
      <c r="MVQ227" s="3"/>
      <c r="MVR227" s="3"/>
      <c r="MVS227" s="3"/>
      <c r="MVT227" s="3"/>
      <c r="MVU227" s="3"/>
      <c r="MVV227" s="3"/>
      <c r="MVW227" s="3"/>
      <c r="MVX227" s="3"/>
      <c r="MVY227" s="3"/>
      <c r="MVZ227" s="3"/>
      <c r="MWA227" s="3"/>
      <c r="MWB227" s="3"/>
      <c r="MWC227" s="3"/>
      <c r="MWD227" s="3"/>
      <c r="MWE227" s="3"/>
      <c r="MWF227" s="3"/>
      <c r="MWG227" s="3"/>
      <c r="MWH227" s="3"/>
      <c r="MWI227" s="3"/>
      <c r="MWJ227" s="3"/>
      <c r="MWK227" s="3"/>
      <c r="MWL227" s="3"/>
      <c r="MWM227" s="3"/>
      <c r="MWN227" s="3"/>
      <c r="MWO227" s="3"/>
      <c r="MWP227" s="3"/>
      <c r="MWQ227" s="3"/>
      <c r="MWR227" s="3"/>
      <c r="MWS227" s="3"/>
      <c r="MWT227" s="3"/>
      <c r="MWU227" s="3"/>
      <c r="MWV227" s="3"/>
      <c r="MWW227" s="3"/>
      <c r="MWX227" s="3"/>
      <c r="MWY227" s="3"/>
      <c r="MWZ227" s="3"/>
      <c r="MXA227" s="3"/>
      <c r="MXB227" s="3"/>
      <c r="MXC227" s="3"/>
      <c r="MXD227" s="3"/>
      <c r="MXE227" s="3"/>
      <c r="MXF227" s="3"/>
      <c r="MXG227" s="3"/>
      <c r="MXH227" s="3"/>
      <c r="MXI227" s="3"/>
      <c r="MXJ227" s="3"/>
      <c r="MXK227" s="3"/>
      <c r="MXL227" s="3"/>
      <c r="MXM227" s="3"/>
      <c r="MXN227" s="3"/>
      <c r="MXO227" s="3"/>
      <c r="MXP227" s="3"/>
      <c r="MXQ227" s="3"/>
      <c r="MXR227" s="3"/>
      <c r="MXS227" s="3"/>
      <c r="MXT227" s="3"/>
      <c r="MXU227" s="3"/>
      <c r="MXV227" s="3"/>
      <c r="MXW227" s="3"/>
      <c r="MXX227" s="3"/>
      <c r="MXY227" s="3"/>
      <c r="MXZ227" s="3"/>
      <c r="MYA227" s="3"/>
      <c r="MYB227" s="3"/>
      <c r="MYC227" s="3"/>
      <c r="MYD227" s="3"/>
      <c r="MYE227" s="3"/>
      <c r="MYF227" s="3"/>
      <c r="MYG227" s="3"/>
      <c r="MYH227" s="3"/>
      <c r="MYI227" s="3"/>
      <c r="MYJ227" s="3"/>
      <c r="MYK227" s="3"/>
      <c r="MYL227" s="3"/>
      <c r="MYM227" s="3"/>
      <c r="MYN227" s="3"/>
      <c r="MYO227" s="3"/>
      <c r="MYP227" s="3"/>
      <c r="MYQ227" s="3"/>
      <c r="MYR227" s="3"/>
      <c r="MYS227" s="3"/>
      <c r="MYT227" s="3"/>
      <c r="MYU227" s="3"/>
      <c r="MYV227" s="3"/>
      <c r="MYW227" s="3"/>
      <c r="MYX227" s="3"/>
      <c r="MYY227" s="3"/>
      <c r="MYZ227" s="3"/>
      <c r="MZA227" s="3"/>
      <c r="MZB227" s="3"/>
      <c r="MZC227" s="3"/>
      <c r="MZD227" s="3"/>
      <c r="MZE227" s="3"/>
      <c r="MZF227" s="3"/>
      <c r="MZG227" s="3"/>
      <c r="MZH227" s="3"/>
      <c r="MZI227" s="3"/>
      <c r="MZJ227" s="3"/>
      <c r="MZK227" s="3"/>
      <c r="MZL227" s="3"/>
      <c r="MZM227" s="3"/>
      <c r="MZN227" s="3"/>
      <c r="MZO227" s="3"/>
      <c r="MZP227" s="3"/>
      <c r="MZQ227" s="3"/>
      <c r="MZR227" s="3"/>
      <c r="MZS227" s="3"/>
      <c r="MZT227" s="3"/>
      <c r="MZU227" s="3"/>
      <c r="MZV227" s="3"/>
      <c r="MZW227" s="3"/>
      <c r="MZX227" s="3"/>
      <c r="MZY227" s="3"/>
      <c r="MZZ227" s="3"/>
      <c r="NAA227" s="3"/>
      <c r="NAB227" s="3"/>
      <c r="NAC227" s="3"/>
      <c r="NAD227" s="3"/>
      <c r="NAE227" s="3"/>
      <c r="NAF227" s="3"/>
      <c r="NAG227" s="3"/>
      <c r="NAH227" s="3"/>
      <c r="NAI227" s="3"/>
      <c r="NAJ227" s="3"/>
      <c r="NAK227" s="3"/>
      <c r="NAL227" s="3"/>
      <c r="NAM227" s="3"/>
      <c r="NAN227" s="3"/>
      <c r="NAO227" s="3"/>
      <c r="NAP227" s="3"/>
      <c r="NAQ227" s="3"/>
      <c r="NAR227" s="3"/>
      <c r="NAS227" s="3"/>
      <c r="NAT227" s="3"/>
      <c r="NAU227" s="3"/>
      <c r="NAV227" s="3"/>
      <c r="NAW227" s="3"/>
      <c r="NAX227" s="3"/>
      <c r="NAY227" s="3"/>
      <c r="NAZ227" s="3"/>
      <c r="NBA227" s="3"/>
      <c r="NBB227" s="3"/>
      <c r="NBC227" s="3"/>
      <c r="NBD227" s="3"/>
      <c r="NBE227" s="3"/>
      <c r="NBF227" s="3"/>
      <c r="NBG227" s="3"/>
      <c r="NBH227" s="3"/>
      <c r="NBI227" s="3"/>
      <c r="NBJ227" s="3"/>
      <c r="NBK227" s="3"/>
      <c r="NBL227" s="3"/>
      <c r="NBM227" s="3"/>
      <c r="NBN227" s="3"/>
      <c r="NBO227" s="3"/>
      <c r="NBP227" s="3"/>
      <c r="NBQ227" s="3"/>
      <c r="NBR227" s="3"/>
      <c r="NBS227" s="3"/>
      <c r="NBT227" s="3"/>
      <c r="NBU227" s="3"/>
      <c r="NBV227" s="3"/>
      <c r="NBW227" s="3"/>
      <c r="NBX227" s="3"/>
      <c r="NBY227" s="3"/>
      <c r="NBZ227" s="3"/>
      <c r="NCA227" s="3"/>
      <c r="NCB227" s="3"/>
      <c r="NCC227" s="3"/>
      <c r="NCD227" s="3"/>
      <c r="NCE227" s="3"/>
      <c r="NCF227" s="3"/>
      <c r="NCG227" s="3"/>
      <c r="NCH227" s="3"/>
      <c r="NCI227" s="3"/>
      <c r="NCJ227" s="3"/>
      <c r="NCK227" s="3"/>
      <c r="NCL227" s="3"/>
      <c r="NCM227" s="3"/>
      <c r="NCN227" s="3"/>
      <c r="NCO227" s="3"/>
      <c r="NCP227" s="3"/>
      <c r="NCQ227" s="3"/>
      <c r="NCR227" s="3"/>
      <c r="NCS227" s="3"/>
      <c r="NCT227" s="3"/>
      <c r="NCU227" s="3"/>
      <c r="NCV227" s="3"/>
      <c r="NCW227" s="3"/>
      <c r="NCX227" s="3"/>
      <c r="NCY227" s="3"/>
      <c r="NCZ227" s="3"/>
      <c r="NDA227" s="3"/>
      <c r="NDB227" s="3"/>
      <c r="NDC227" s="3"/>
      <c r="NDD227" s="3"/>
      <c r="NDE227" s="3"/>
      <c r="NDF227" s="3"/>
      <c r="NDG227" s="3"/>
      <c r="NDH227" s="3"/>
      <c r="NDI227" s="3"/>
      <c r="NDJ227" s="3"/>
      <c r="NDK227" s="3"/>
      <c r="NDL227" s="3"/>
      <c r="NDM227" s="3"/>
      <c r="NDN227" s="3"/>
      <c r="NDO227" s="3"/>
      <c r="NDP227" s="3"/>
      <c r="NDQ227" s="3"/>
      <c r="NDR227" s="3"/>
      <c r="NDS227" s="3"/>
      <c r="NDT227" s="3"/>
      <c r="NDU227" s="3"/>
      <c r="NDV227" s="3"/>
      <c r="NDW227" s="3"/>
      <c r="NDX227" s="3"/>
      <c r="NDY227" s="3"/>
      <c r="NDZ227" s="3"/>
      <c r="NEA227" s="3"/>
      <c r="NEB227" s="3"/>
      <c r="NEC227" s="3"/>
      <c r="NED227" s="3"/>
      <c r="NEE227" s="3"/>
      <c r="NEF227" s="3"/>
      <c r="NEG227" s="3"/>
      <c r="NEH227" s="3"/>
      <c r="NEI227" s="3"/>
      <c r="NEJ227" s="3"/>
      <c r="NEK227" s="3"/>
      <c r="NEL227" s="3"/>
      <c r="NEM227" s="3"/>
      <c r="NEN227" s="3"/>
      <c r="NEO227" s="3"/>
      <c r="NEP227" s="3"/>
      <c r="NEQ227" s="3"/>
      <c r="NER227" s="3"/>
      <c r="NES227" s="3"/>
      <c r="NET227" s="3"/>
      <c r="NEU227" s="3"/>
      <c r="NEV227" s="3"/>
      <c r="NEW227" s="3"/>
      <c r="NEX227" s="3"/>
      <c r="NEY227" s="3"/>
      <c r="NEZ227" s="3"/>
      <c r="NFA227" s="3"/>
      <c r="NFB227" s="3"/>
      <c r="NFC227" s="3"/>
      <c r="NFD227" s="3"/>
      <c r="NFE227" s="3"/>
      <c r="NFF227" s="3"/>
      <c r="NFG227" s="3"/>
      <c r="NFH227" s="3"/>
      <c r="NFI227" s="3"/>
      <c r="NFJ227" s="3"/>
      <c r="NFK227" s="3"/>
      <c r="NFL227" s="3"/>
      <c r="NFM227" s="3"/>
      <c r="NFN227" s="3"/>
      <c r="NFO227" s="3"/>
      <c r="NFP227" s="3"/>
      <c r="NFQ227" s="3"/>
      <c r="NFR227" s="3"/>
      <c r="NFS227" s="3"/>
      <c r="NFT227" s="3"/>
      <c r="NFU227" s="3"/>
      <c r="NFV227" s="3"/>
      <c r="NFW227" s="3"/>
      <c r="NFX227" s="3"/>
      <c r="NFY227" s="3"/>
      <c r="NFZ227" s="3"/>
      <c r="NGA227" s="3"/>
      <c r="NGB227" s="3"/>
      <c r="NGC227" s="3"/>
      <c r="NGD227" s="3"/>
      <c r="NGE227" s="3"/>
      <c r="NGF227" s="3"/>
      <c r="NGG227" s="3"/>
      <c r="NGH227" s="3"/>
      <c r="NGI227" s="3"/>
      <c r="NGJ227" s="3"/>
      <c r="NGK227" s="3"/>
      <c r="NGL227" s="3"/>
      <c r="NGM227" s="3"/>
      <c r="NGN227" s="3"/>
      <c r="NGO227" s="3"/>
      <c r="NGP227" s="3"/>
      <c r="NGQ227" s="3"/>
      <c r="NGR227" s="3"/>
      <c r="NGS227" s="3"/>
      <c r="NGT227" s="3"/>
      <c r="NGU227" s="3"/>
      <c r="NGV227" s="3"/>
      <c r="NGW227" s="3"/>
      <c r="NGX227" s="3"/>
      <c r="NGY227" s="3"/>
      <c r="NGZ227" s="3"/>
      <c r="NHA227" s="3"/>
      <c r="NHB227" s="3"/>
      <c r="NHC227" s="3"/>
      <c r="NHD227" s="3"/>
      <c r="NHE227" s="3"/>
      <c r="NHF227" s="3"/>
      <c r="NHG227" s="3"/>
      <c r="NHH227" s="3"/>
      <c r="NHI227" s="3"/>
      <c r="NHJ227" s="3"/>
      <c r="NHK227" s="3"/>
      <c r="NHL227" s="3"/>
      <c r="NHM227" s="3"/>
      <c r="NHN227" s="3"/>
      <c r="NHO227" s="3"/>
      <c r="NHP227" s="3"/>
      <c r="NHQ227" s="3"/>
      <c r="NHR227" s="3"/>
      <c r="NHS227" s="3"/>
      <c r="NHT227" s="3"/>
      <c r="NHU227" s="3"/>
      <c r="NHV227" s="3"/>
      <c r="NHW227" s="3"/>
      <c r="NHX227" s="3"/>
      <c r="NHY227" s="3"/>
      <c r="NHZ227" s="3"/>
      <c r="NIA227" s="3"/>
      <c r="NIB227" s="3"/>
      <c r="NIC227" s="3"/>
      <c r="NID227" s="3"/>
      <c r="NIE227" s="3"/>
      <c r="NIF227" s="3"/>
      <c r="NIG227" s="3"/>
      <c r="NIH227" s="3"/>
      <c r="NII227" s="3"/>
      <c r="NIJ227" s="3"/>
      <c r="NIK227" s="3"/>
      <c r="NIL227" s="3"/>
      <c r="NIM227" s="3"/>
      <c r="NIN227" s="3"/>
      <c r="NIO227" s="3"/>
      <c r="NIP227" s="3"/>
      <c r="NIQ227" s="3"/>
      <c r="NIR227" s="3"/>
      <c r="NIS227" s="3"/>
      <c r="NIT227" s="3"/>
      <c r="NIU227" s="3"/>
      <c r="NIV227" s="3"/>
      <c r="NIW227" s="3"/>
      <c r="NIX227" s="3"/>
      <c r="NIY227" s="3"/>
      <c r="NIZ227" s="3"/>
      <c r="NJA227" s="3"/>
      <c r="NJB227" s="3"/>
      <c r="NJC227" s="3"/>
      <c r="NJD227" s="3"/>
      <c r="NJE227" s="3"/>
      <c r="NJF227" s="3"/>
      <c r="NJG227" s="3"/>
      <c r="NJH227" s="3"/>
      <c r="NJI227" s="3"/>
      <c r="NJJ227" s="3"/>
      <c r="NJK227" s="3"/>
      <c r="NJL227" s="3"/>
      <c r="NJM227" s="3"/>
      <c r="NJN227" s="3"/>
      <c r="NJO227" s="3"/>
      <c r="NJP227" s="3"/>
      <c r="NJQ227" s="3"/>
      <c r="NJR227" s="3"/>
      <c r="NJS227" s="3"/>
      <c r="NJT227" s="3"/>
      <c r="NJU227" s="3"/>
      <c r="NJV227" s="3"/>
      <c r="NJW227" s="3"/>
      <c r="NJX227" s="3"/>
      <c r="NJY227" s="3"/>
      <c r="NJZ227" s="3"/>
      <c r="NKA227" s="3"/>
      <c r="NKB227" s="3"/>
      <c r="NKC227" s="3"/>
      <c r="NKD227" s="3"/>
      <c r="NKE227" s="3"/>
      <c r="NKF227" s="3"/>
      <c r="NKG227" s="3"/>
      <c r="NKH227" s="3"/>
      <c r="NKI227" s="3"/>
      <c r="NKJ227" s="3"/>
      <c r="NKK227" s="3"/>
      <c r="NKL227" s="3"/>
      <c r="NKM227" s="3"/>
      <c r="NKN227" s="3"/>
      <c r="NKO227" s="3"/>
      <c r="NKP227" s="3"/>
      <c r="NKQ227" s="3"/>
      <c r="NKR227" s="3"/>
      <c r="NKS227" s="3"/>
      <c r="NKT227" s="3"/>
      <c r="NKU227" s="3"/>
      <c r="NKV227" s="3"/>
      <c r="NKW227" s="3"/>
      <c r="NKX227" s="3"/>
      <c r="NKY227" s="3"/>
      <c r="NKZ227" s="3"/>
      <c r="NLA227" s="3"/>
      <c r="NLB227" s="3"/>
      <c r="NLC227" s="3"/>
      <c r="NLD227" s="3"/>
      <c r="NLE227" s="3"/>
      <c r="NLF227" s="3"/>
      <c r="NLG227" s="3"/>
      <c r="NLH227" s="3"/>
      <c r="NLI227" s="3"/>
      <c r="NLJ227" s="3"/>
      <c r="NLK227" s="3"/>
      <c r="NLL227" s="3"/>
      <c r="NLM227" s="3"/>
      <c r="NLN227" s="3"/>
      <c r="NLO227" s="3"/>
      <c r="NLP227" s="3"/>
      <c r="NLQ227" s="3"/>
      <c r="NLR227" s="3"/>
      <c r="NLS227" s="3"/>
      <c r="NLT227" s="3"/>
      <c r="NLU227" s="3"/>
      <c r="NLV227" s="3"/>
      <c r="NLW227" s="3"/>
      <c r="NLX227" s="3"/>
      <c r="NLY227" s="3"/>
      <c r="NLZ227" s="3"/>
      <c r="NMA227" s="3"/>
      <c r="NMB227" s="3"/>
      <c r="NMC227" s="3"/>
      <c r="NMD227" s="3"/>
      <c r="NME227" s="3"/>
      <c r="NMF227" s="3"/>
      <c r="NMG227" s="3"/>
      <c r="NMH227" s="3"/>
      <c r="NMI227" s="3"/>
      <c r="NMJ227" s="3"/>
      <c r="NMK227" s="3"/>
      <c r="NML227" s="3"/>
      <c r="NMM227" s="3"/>
      <c r="NMN227" s="3"/>
      <c r="NMO227" s="3"/>
      <c r="NMP227" s="3"/>
      <c r="NMQ227" s="3"/>
      <c r="NMR227" s="3"/>
      <c r="NMS227" s="3"/>
      <c r="NMT227" s="3"/>
      <c r="NMU227" s="3"/>
      <c r="NMV227" s="3"/>
      <c r="NMW227" s="3"/>
      <c r="NMX227" s="3"/>
      <c r="NMY227" s="3"/>
      <c r="NMZ227" s="3"/>
      <c r="NNA227" s="3"/>
      <c r="NNB227" s="3"/>
      <c r="NNC227" s="3"/>
      <c r="NND227" s="3"/>
      <c r="NNE227" s="3"/>
      <c r="NNF227" s="3"/>
      <c r="NNG227" s="3"/>
      <c r="NNH227" s="3"/>
      <c r="NNI227" s="3"/>
      <c r="NNJ227" s="3"/>
      <c r="NNK227" s="3"/>
      <c r="NNL227" s="3"/>
      <c r="NNM227" s="3"/>
      <c r="NNN227" s="3"/>
      <c r="NNO227" s="3"/>
      <c r="NNP227" s="3"/>
      <c r="NNQ227" s="3"/>
      <c r="NNR227" s="3"/>
      <c r="NNS227" s="3"/>
      <c r="NNT227" s="3"/>
      <c r="NNU227" s="3"/>
      <c r="NNV227" s="3"/>
      <c r="NNW227" s="3"/>
      <c r="NNX227" s="3"/>
      <c r="NNY227" s="3"/>
      <c r="NNZ227" s="3"/>
      <c r="NOA227" s="3"/>
      <c r="NOB227" s="3"/>
      <c r="NOC227" s="3"/>
      <c r="NOD227" s="3"/>
      <c r="NOE227" s="3"/>
      <c r="NOF227" s="3"/>
      <c r="NOG227" s="3"/>
      <c r="NOH227" s="3"/>
      <c r="NOI227" s="3"/>
      <c r="NOJ227" s="3"/>
      <c r="NOK227" s="3"/>
      <c r="NOL227" s="3"/>
      <c r="NOM227" s="3"/>
      <c r="NON227" s="3"/>
      <c r="NOO227" s="3"/>
      <c r="NOP227" s="3"/>
      <c r="NOQ227" s="3"/>
      <c r="NOR227" s="3"/>
      <c r="NOS227" s="3"/>
      <c r="NOT227" s="3"/>
      <c r="NOU227" s="3"/>
      <c r="NOV227" s="3"/>
      <c r="NOW227" s="3"/>
      <c r="NOX227" s="3"/>
      <c r="NOY227" s="3"/>
      <c r="NOZ227" s="3"/>
      <c r="NPA227" s="3"/>
      <c r="NPB227" s="3"/>
      <c r="NPC227" s="3"/>
      <c r="NPD227" s="3"/>
      <c r="NPE227" s="3"/>
      <c r="NPF227" s="3"/>
      <c r="NPG227" s="3"/>
      <c r="NPH227" s="3"/>
      <c r="NPI227" s="3"/>
      <c r="NPJ227" s="3"/>
      <c r="NPK227" s="3"/>
      <c r="NPL227" s="3"/>
      <c r="NPM227" s="3"/>
      <c r="NPN227" s="3"/>
      <c r="NPO227" s="3"/>
      <c r="NPP227" s="3"/>
      <c r="NPQ227" s="3"/>
      <c r="NPR227" s="3"/>
      <c r="NPS227" s="3"/>
      <c r="NPT227" s="3"/>
      <c r="NPU227" s="3"/>
      <c r="NPV227" s="3"/>
      <c r="NPW227" s="3"/>
      <c r="NPX227" s="3"/>
      <c r="NPY227" s="3"/>
      <c r="NPZ227" s="3"/>
      <c r="NQA227" s="3"/>
      <c r="NQB227" s="3"/>
      <c r="NQC227" s="3"/>
      <c r="NQD227" s="3"/>
      <c r="NQE227" s="3"/>
      <c r="NQF227" s="3"/>
      <c r="NQG227" s="3"/>
      <c r="NQH227" s="3"/>
      <c r="NQI227" s="3"/>
      <c r="NQJ227" s="3"/>
      <c r="NQK227" s="3"/>
      <c r="NQL227" s="3"/>
      <c r="NQM227" s="3"/>
      <c r="NQN227" s="3"/>
      <c r="NQO227" s="3"/>
      <c r="NQP227" s="3"/>
      <c r="NQQ227" s="3"/>
      <c r="NQR227" s="3"/>
      <c r="NQS227" s="3"/>
      <c r="NQT227" s="3"/>
      <c r="NQU227" s="3"/>
      <c r="NQV227" s="3"/>
      <c r="NQW227" s="3"/>
      <c r="NQX227" s="3"/>
      <c r="NQY227" s="3"/>
      <c r="NQZ227" s="3"/>
      <c r="NRA227" s="3"/>
      <c r="NRB227" s="3"/>
      <c r="NRC227" s="3"/>
      <c r="NRD227" s="3"/>
      <c r="NRE227" s="3"/>
      <c r="NRF227" s="3"/>
      <c r="NRG227" s="3"/>
      <c r="NRH227" s="3"/>
      <c r="NRI227" s="3"/>
      <c r="NRJ227" s="3"/>
      <c r="NRK227" s="3"/>
      <c r="NRL227" s="3"/>
      <c r="NRM227" s="3"/>
      <c r="NRN227" s="3"/>
      <c r="NRO227" s="3"/>
      <c r="NRP227" s="3"/>
      <c r="NRQ227" s="3"/>
      <c r="NRR227" s="3"/>
      <c r="NRS227" s="3"/>
      <c r="NRT227" s="3"/>
      <c r="NRU227" s="3"/>
      <c r="NRV227" s="3"/>
      <c r="NRW227" s="3"/>
      <c r="NRX227" s="3"/>
      <c r="NRY227" s="3"/>
      <c r="NRZ227" s="3"/>
      <c r="NSA227" s="3"/>
      <c r="NSB227" s="3"/>
      <c r="NSC227" s="3"/>
      <c r="NSD227" s="3"/>
      <c r="NSE227" s="3"/>
      <c r="NSF227" s="3"/>
      <c r="NSG227" s="3"/>
      <c r="NSH227" s="3"/>
      <c r="NSI227" s="3"/>
      <c r="NSJ227" s="3"/>
      <c r="NSK227" s="3"/>
      <c r="NSL227" s="3"/>
      <c r="NSM227" s="3"/>
      <c r="NSN227" s="3"/>
      <c r="NSO227" s="3"/>
      <c r="NSP227" s="3"/>
      <c r="NSQ227" s="3"/>
      <c r="NSR227" s="3"/>
      <c r="NSS227" s="3"/>
      <c r="NST227" s="3"/>
      <c r="NSU227" s="3"/>
      <c r="NSV227" s="3"/>
      <c r="NSW227" s="3"/>
      <c r="NSX227" s="3"/>
      <c r="NSY227" s="3"/>
      <c r="NSZ227" s="3"/>
      <c r="NTA227" s="3"/>
      <c r="NTB227" s="3"/>
      <c r="NTC227" s="3"/>
      <c r="NTD227" s="3"/>
      <c r="NTE227" s="3"/>
      <c r="NTF227" s="3"/>
      <c r="NTG227" s="3"/>
      <c r="NTH227" s="3"/>
      <c r="NTI227" s="3"/>
      <c r="NTJ227" s="3"/>
      <c r="NTK227" s="3"/>
      <c r="NTL227" s="3"/>
      <c r="NTM227" s="3"/>
      <c r="NTN227" s="3"/>
      <c r="NTO227" s="3"/>
      <c r="NTP227" s="3"/>
      <c r="NTQ227" s="3"/>
      <c r="NTR227" s="3"/>
      <c r="NTS227" s="3"/>
      <c r="NTT227" s="3"/>
      <c r="NTU227" s="3"/>
      <c r="NTV227" s="3"/>
      <c r="NTW227" s="3"/>
      <c r="NTX227" s="3"/>
      <c r="NTY227" s="3"/>
      <c r="NTZ227" s="3"/>
      <c r="NUA227" s="3"/>
      <c r="NUB227" s="3"/>
      <c r="NUC227" s="3"/>
      <c r="NUD227" s="3"/>
      <c r="NUE227" s="3"/>
      <c r="NUF227" s="3"/>
      <c r="NUG227" s="3"/>
      <c r="NUH227" s="3"/>
      <c r="NUI227" s="3"/>
      <c r="NUJ227" s="3"/>
      <c r="NUK227" s="3"/>
      <c r="NUL227" s="3"/>
      <c r="NUM227" s="3"/>
      <c r="NUN227" s="3"/>
      <c r="NUO227" s="3"/>
      <c r="NUP227" s="3"/>
      <c r="NUQ227" s="3"/>
      <c r="NUR227" s="3"/>
      <c r="NUS227" s="3"/>
      <c r="NUT227" s="3"/>
      <c r="NUU227" s="3"/>
      <c r="NUV227" s="3"/>
      <c r="NUW227" s="3"/>
      <c r="NUX227" s="3"/>
      <c r="NUY227" s="3"/>
      <c r="NUZ227" s="3"/>
      <c r="NVA227" s="3"/>
      <c r="NVB227" s="3"/>
      <c r="NVC227" s="3"/>
      <c r="NVD227" s="3"/>
      <c r="NVE227" s="3"/>
      <c r="NVF227" s="3"/>
      <c r="NVG227" s="3"/>
      <c r="NVH227" s="3"/>
      <c r="NVI227" s="3"/>
      <c r="NVJ227" s="3"/>
      <c r="NVK227" s="3"/>
      <c r="NVL227" s="3"/>
      <c r="NVM227" s="3"/>
      <c r="NVN227" s="3"/>
      <c r="NVO227" s="3"/>
      <c r="NVP227" s="3"/>
      <c r="NVQ227" s="3"/>
      <c r="NVR227" s="3"/>
      <c r="NVS227" s="3"/>
      <c r="NVT227" s="3"/>
      <c r="NVU227" s="3"/>
      <c r="NVV227" s="3"/>
      <c r="NVW227" s="3"/>
      <c r="NVX227" s="3"/>
      <c r="NVY227" s="3"/>
      <c r="NVZ227" s="3"/>
      <c r="NWA227" s="3"/>
      <c r="NWB227" s="3"/>
      <c r="NWC227" s="3"/>
      <c r="NWD227" s="3"/>
      <c r="NWE227" s="3"/>
      <c r="NWF227" s="3"/>
      <c r="NWG227" s="3"/>
      <c r="NWH227" s="3"/>
      <c r="NWI227" s="3"/>
      <c r="NWJ227" s="3"/>
      <c r="NWK227" s="3"/>
      <c r="NWL227" s="3"/>
      <c r="NWM227" s="3"/>
      <c r="NWN227" s="3"/>
      <c r="NWO227" s="3"/>
      <c r="NWP227" s="3"/>
      <c r="NWQ227" s="3"/>
      <c r="NWR227" s="3"/>
      <c r="NWS227" s="3"/>
      <c r="NWT227" s="3"/>
      <c r="NWU227" s="3"/>
      <c r="NWV227" s="3"/>
      <c r="NWW227" s="3"/>
      <c r="NWX227" s="3"/>
      <c r="NWY227" s="3"/>
      <c r="NWZ227" s="3"/>
      <c r="NXA227" s="3"/>
      <c r="NXB227" s="3"/>
      <c r="NXC227" s="3"/>
      <c r="NXD227" s="3"/>
      <c r="NXE227" s="3"/>
      <c r="NXF227" s="3"/>
      <c r="NXG227" s="3"/>
      <c r="NXH227" s="3"/>
      <c r="NXI227" s="3"/>
      <c r="NXJ227" s="3"/>
      <c r="NXK227" s="3"/>
      <c r="NXL227" s="3"/>
      <c r="NXM227" s="3"/>
      <c r="NXN227" s="3"/>
      <c r="NXO227" s="3"/>
      <c r="NXP227" s="3"/>
      <c r="NXQ227" s="3"/>
      <c r="NXR227" s="3"/>
      <c r="NXS227" s="3"/>
      <c r="NXT227" s="3"/>
      <c r="NXU227" s="3"/>
      <c r="NXV227" s="3"/>
      <c r="NXW227" s="3"/>
      <c r="NXX227" s="3"/>
      <c r="NXY227" s="3"/>
      <c r="NXZ227" s="3"/>
      <c r="NYA227" s="3"/>
      <c r="NYB227" s="3"/>
      <c r="NYC227" s="3"/>
      <c r="NYD227" s="3"/>
      <c r="NYE227" s="3"/>
      <c r="NYF227" s="3"/>
      <c r="NYG227" s="3"/>
      <c r="NYH227" s="3"/>
      <c r="NYI227" s="3"/>
      <c r="NYJ227" s="3"/>
      <c r="NYK227" s="3"/>
      <c r="NYL227" s="3"/>
      <c r="NYM227" s="3"/>
      <c r="NYN227" s="3"/>
      <c r="NYO227" s="3"/>
      <c r="NYP227" s="3"/>
      <c r="NYQ227" s="3"/>
      <c r="NYR227" s="3"/>
      <c r="NYS227" s="3"/>
      <c r="NYT227" s="3"/>
      <c r="NYU227" s="3"/>
      <c r="NYV227" s="3"/>
      <c r="NYW227" s="3"/>
      <c r="NYX227" s="3"/>
      <c r="NYY227" s="3"/>
      <c r="NYZ227" s="3"/>
      <c r="NZA227" s="3"/>
      <c r="NZB227" s="3"/>
      <c r="NZC227" s="3"/>
      <c r="NZD227" s="3"/>
      <c r="NZE227" s="3"/>
      <c r="NZF227" s="3"/>
      <c r="NZG227" s="3"/>
      <c r="NZH227" s="3"/>
      <c r="NZI227" s="3"/>
      <c r="NZJ227" s="3"/>
      <c r="NZK227" s="3"/>
      <c r="NZL227" s="3"/>
      <c r="NZM227" s="3"/>
      <c r="NZN227" s="3"/>
      <c r="NZO227" s="3"/>
      <c r="NZP227" s="3"/>
      <c r="NZQ227" s="3"/>
      <c r="NZR227" s="3"/>
      <c r="NZS227" s="3"/>
      <c r="NZT227" s="3"/>
      <c r="NZU227" s="3"/>
      <c r="NZV227" s="3"/>
      <c r="NZW227" s="3"/>
      <c r="NZX227" s="3"/>
      <c r="NZY227" s="3"/>
      <c r="NZZ227" s="3"/>
      <c r="OAA227" s="3"/>
      <c r="OAB227" s="3"/>
      <c r="OAC227" s="3"/>
      <c r="OAD227" s="3"/>
      <c r="OAE227" s="3"/>
      <c r="OAF227" s="3"/>
      <c r="OAG227" s="3"/>
      <c r="OAH227" s="3"/>
      <c r="OAI227" s="3"/>
      <c r="OAJ227" s="3"/>
      <c r="OAK227" s="3"/>
      <c r="OAL227" s="3"/>
      <c r="OAM227" s="3"/>
      <c r="OAN227" s="3"/>
      <c r="OAO227" s="3"/>
      <c r="OAP227" s="3"/>
      <c r="OAQ227" s="3"/>
      <c r="OAR227" s="3"/>
      <c r="OAS227" s="3"/>
      <c r="OAT227" s="3"/>
      <c r="OAU227" s="3"/>
      <c r="OAV227" s="3"/>
      <c r="OAW227" s="3"/>
      <c r="OAX227" s="3"/>
      <c r="OAY227" s="3"/>
      <c r="OAZ227" s="3"/>
      <c r="OBA227" s="3"/>
      <c r="OBB227" s="3"/>
      <c r="OBC227" s="3"/>
      <c r="OBD227" s="3"/>
      <c r="OBE227" s="3"/>
      <c r="OBF227" s="3"/>
      <c r="OBG227" s="3"/>
      <c r="OBH227" s="3"/>
      <c r="OBI227" s="3"/>
      <c r="OBJ227" s="3"/>
      <c r="OBK227" s="3"/>
      <c r="OBL227" s="3"/>
      <c r="OBM227" s="3"/>
      <c r="OBN227" s="3"/>
      <c r="OBO227" s="3"/>
      <c r="OBP227" s="3"/>
      <c r="OBQ227" s="3"/>
      <c r="OBR227" s="3"/>
      <c r="OBS227" s="3"/>
      <c r="OBT227" s="3"/>
      <c r="OBU227" s="3"/>
      <c r="OBV227" s="3"/>
      <c r="OBW227" s="3"/>
      <c r="OBX227" s="3"/>
      <c r="OBY227" s="3"/>
      <c r="OBZ227" s="3"/>
      <c r="OCA227" s="3"/>
      <c r="OCB227" s="3"/>
      <c r="OCC227" s="3"/>
      <c r="OCD227" s="3"/>
      <c r="OCE227" s="3"/>
      <c r="OCF227" s="3"/>
      <c r="OCG227" s="3"/>
      <c r="OCH227" s="3"/>
      <c r="OCI227" s="3"/>
      <c r="OCJ227" s="3"/>
      <c r="OCK227" s="3"/>
      <c r="OCL227" s="3"/>
      <c r="OCM227" s="3"/>
      <c r="OCN227" s="3"/>
      <c r="OCO227" s="3"/>
      <c r="OCP227" s="3"/>
      <c r="OCQ227" s="3"/>
      <c r="OCR227" s="3"/>
      <c r="OCS227" s="3"/>
      <c r="OCT227" s="3"/>
      <c r="OCU227" s="3"/>
      <c r="OCV227" s="3"/>
      <c r="OCW227" s="3"/>
      <c r="OCX227" s="3"/>
      <c r="OCY227" s="3"/>
      <c r="OCZ227" s="3"/>
      <c r="ODA227" s="3"/>
      <c r="ODB227" s="3"/>
      <c r="ODC227" s="3"/>
      <c r="ODD227" s="3"/>
      <c r="ODE227" s="3"/>
      <c r="ODF227" s="3"/>
      <c r="ODG227" s="3"/>
      <c r="ODH227" s="3"/>
      <c r="ODI227" s="3"/>
      <c r="ODJ227" s="3"/>
      <c r="ODK227" s="3"/>
      <c r="ODL227" s="3"/>
      <c r="ODM227" s="3"/>
      <c r="ODN227" s="3"/>
      <c r="ODO227" s="3"/>
      <c r="ODP227" s="3"/>
      <c r="ODQ227" s="3"/>
      <c r="ODR227" s="3"/>
      <c r="ODS227" s="3"/>
      <c r="ODT227" s="3"/>
      <c r="ODU227" s="3"/>
      <c r="ODV227" s="3"/>
      <c r="ODW227" s="3"/>
      <c r="ODX227" s="3"/>
      <c r="ODY227" s="3"/>
      <c r="ODZ227" s="3"/>
      <c r="OEA227" s="3"/>
      <c r="OEB227" s="3"/>
      <c r="OEC227" s="3"/>
      <c r="OED227" s="3"/>
      <c r="OEE227" s="3"/>
      <c r="OEF227" s="3"/>
      <c r="OEG227" s="3"/>
      <c r="OEH227" s="3"/>
      <c r="OEI227" s="3"/>
      <c r="OEJ227" s="3"/>
      <c r="OEK227" s="3"/>
      <c r="OEL227" s="3"/>
      <c r="OEM227" s="3"/>
      <c r="OEN227" s="3"/>
      <c r="OEO227" s="3"/>
      <c r="OEP227" s="3"/>
      <c r="OEQ227" s="3"/>
      <c r="OER227" s="3"/>
      <c r="OES227" s="3"/>
      <c r="OET227" s="3"/>
      <c r="OEU227" s="3"/>
      <c r="OEV227" s="3"/>
      <c r="OEW227" s="3"/>
      <c r="OEX227" s="3"/>
      <c r="OEY227" s="3"/>
      <c r="OEZ227" s="3"/>
      <c r="OFA227" s="3"/>
      <c r="OFB227" s="3"/>
      <c r="OFC227" s="3"/>
      <c r="OFD227" s="3"/>
      <c r="OFE227" s="3"/>
      <c r="OFF227" s="3"/>
      <c r="OFG227" s="3"/>
      <c r="OFH227" s="3"/>
      <c r="OFI227" s="3"/>
      <c r="OFJ227" s="3"/>
      <c r="OFK227" s="3"/>
      <c r="OFL227" s="3"/>
      <c r="OFM227" s="3"/>
      <c r="OFN227" s="3"/>
      <c r="OFO227" s="3"/>
      <c r="OFP227" s="3"/>
      <c r="OFQ227" s="3"/>
      <c r="OFR227" s="3"/>
      <c r="OFS227" s="3"/>
      <c r="OFT227" s="3"/>
      <c r="OFU227" s="3"/>
      <c r="OFV227" s="3"/>
      <c r="OFW227" s="3"/>
      <c r="OFX227" s="3"/>
      <c r="OFY227" s="3"/>
      <c r="OFZ227" s="3"/>
      <c r="OGA227" s="3"/>
      <c r="OGB227" s="3"/>
      <c r="OGC227" s="3"/>
      <c r="OGD227" s="3"/>
      <c r="OGE227" s="3"/>
      <c r="OGF227" s="3"/>
      <c r="OGG227" s="3"/>
      <c r="OGH227" s="3"/>
      <c r="OGI227" s="3"/>
      <c r="OGJ227" s="3"/>
      <c r="OGK227" s="3"/>
      <c r="OGL227" s="3"/>
      <c r="OGM227" s="3"/>
      <c r="OGN227" s="3"/>
      <c r="OGO227" s="3"/>
      <c r="OGP227" s="3"/>
      <c r="OGQ227" s="3"/>
      <c r="OGR227" s="3"/>
      <c r="OGS227" s="3"/>
      <c r="OGT227" s="3"/>
      <c r="OGU227" s="3"/>
      <c r="OGV227" s="3"/>
      <c r="OGW227" s="3"/>
      <c r="OGX227" s="3"/>
      <c r="OGY227" s="3"/>
      <c r="OGZ227" s="3"/>
      <c r="OHA227" s="3"/>
      <c r="OHB227" s="3"/>
      <c r="OHC227" s="3"/>
      <c r="OHD227" s="3"/>
      <c r="OHE227" s="3"/>
      <c r="OHF227" s="3"/>
      <c r="OHG227" s="3"/>
      <c r="OHH227" s="3"/>
      <c r="OHI227" s="3"/>
      <c r="OHJ227" s="3"/>
      <c r="OHK227" s="3"/>
      <c r="OHL227" s="3"/>
      <c r="OHM227" s="3"/>
      <c r="OHN227" s="3"/>
      <c r="OHO227" s="3"/>
      <c r="OHP227" s="3"/>
      <c r="OHQ227" s="3"/>
      <c r="OHR227" s="3"/>
      <c r="OHS227" s="3"/>
      <c r="OHT227" s="3"/>
      <c r="OHU227" s="3"/>
      <c r="OHV227" s="3"/>
      <c r="OHW227" s="3"/>
      <c r="OHX227" s="3"/>
      <c r="OHY227" s="3"/>
      <c r="OHZ227" s="3"/>
      <c r="OIA227" s="3"/>
      <c r="OIB227" s="3"/>
      <c r="OIC227" s="3"/>
      <c r="OID227" s="3"/>
      <c r="OIE227" s="3"/>
      <c r="OIF227" s="3"/>
      <c r="OIG227" s="3"/>
      <c r="OIH227" s="3"/>
      <c r="OII227" s="3"/>
      <c r="OIJ227" s="3"/>
      <c r="OIK227" s="3"/>
      <c r="OIL227" s="3"/>
      <c r="OIM227" s="3"/>
      <c r="OIN227" s="3"/>
      <c r="OIO227" s="3"/>
      <c r="OIP227" s="3"/>
      <c r="OIQ227" s="3"/>
      <c r="OIR227" s="3"/>
      <c r="OIS227" s="3"/>
      <c r="OIT227" s="3"/>
      <c r="OIU227" s="3"/>
      <c r="OIV227" s="3"/>
      <c r="OIW227" s="3"/>
      <c r="OIX227" s="3"/>
      <c r="OIY227" s="3"/>
      <c r="OIZ227" s="3"/>
      <c r="OJA227" s="3"/>
      <c r="OJB227" s="3"/>
      <c r="OJC227" s="3"/>
      <c r="OJD227" s="3"/>
      <c r="OJE227" s="3"/>
      <c r="OJF227" s="3"/>
      <c r="OJG227" s="3"/>
      <c r="OJH227" s="3"/>
      <c r="OJI227" s="3"/>
      <c r="OJJ227" s="3"/>
      <c r="OJK227" s="3"/>
      <c r="OJL227" s="3"/>
      <c r="OJM227" s="3"/>
      <c r="OJN227" s="3"/>
      <c r="OJO227" s="3"/>
      <c r="OJP227" s="3"/>
      <c r="OJQ227" s="3"/>
      <c r="OJR227" s="3"/>
      <c r="OJS227" s="3"/>
      <c r="OJT227" s="3"/>
      <c r="OJU227" s="3"/>
      <c r="OJV227" s="3"/>
      <c r="OJW227" s="3"/>
      <c r="OJX227" s="3"/>
      <c r="OJY227" s="3"/>
      <c r="OJZ227" s="3"/>
      <c r="OKA227" s="3"/>
      <c r="OKB227" s="3"/>
      <c r="OKC227" s="3"/>
      <c r="OKD227" s="3"/>
      <c r="OKE227" s="3"/>
      <c r="OKF227" s="3"/>
      <c r="OKG227" s="3"/>
      <c r="OKH227" s="3"/>
      <c r="OKI227" s="3"/>
      <c r="OKJ227" s="3"/>
      <c r="OKK227" s="3"/>
      <c r="OKL227" s="3"/>
      <c r="OKM227" s="3"/>
      <c r="OKN227" s="3"/>
      <c r="OKO227" s="3"/>
      <c r="OKP227" s="3"/>
      <c r="OKQ227" s="3"/>
      <c r="OKR227" s="3"/>
      <c r="OKS227" s="3"/>
      <c r="OKT227" s="3"/>
      <c r="OKU227" s="3"/>
      <c r="OKV227" s="3"/>
      <c r="OKW227" s="3"/>
      <c r="OKX227" s="3"/>
      <c r="OKY227" s="3"/>
      <c r="OKZ227" s="3"/>
      <c r="OLA227" s="3"/>
      <c r="OLB227" s="3"/>
      <c r="OLC227" s="3"/>
      <c r="OLD227" s="3"/>
      <c r="OLE227" s="3"/>
      <c r="OLF227" s="3"/>
      <c r="OLG227" s="3"/>
      <c r="OLH227" s="3"/>
      <c r="OLI227" s="3"/>
      <c r="OLJ227" s="3"/>
      <c r="OLK227" s="3"/>
      <c r="OLL227" s="3"/>
      <c r="OLM227" s="3"/>
      <c r="OLN227" s="3"/>
      <c r="OLO227" s="3"/>
      <c r="OLP227" s="3"/>
      <c r="OLQ227" s="3"/>
      <c r="OLR227" s="3"/>
      <c r="OLS227" s="3"/>
      <c r="OLT227" s="3"/>
      <c r="OLU227" s="3"/>
      <c r="OLV227" s="3"/>
      <c r="OLW227" s="3"/>
      <c r="OLX227" s="3"/>
      <c r="OLY227" s="3"/>
      <c r="OLZ227" s="3"/>
      <c r="OMA227" s="3"/>
      <c r="OMB227" s="3"/>
      <c r="OMC227" s="3"/>
      <c r="OMD227" s="3"/>
      <c r="OME227" s="3"/>
      <c r="OMF227" s="3"/>
      <c r="OMG227" s="3"/>
      <c r="OMH227" s="3"/>
      <c r="OMI227" s="3"/>
      <c r="OMJ227" s="3"/>
      <c r="OMK227" s="3"/>
      <c r="OML227" s="3"/>
      <c r="OMM227" s="3"/>
      <c r="OMN227" s="3"/>
      <c r="OMO227" s="3"/>
      <c r="OMP227" s="3"/>
      <c r="OMQ227" s="3"/>
      <c r="OMR227" s="3"/>
      <c r="OMS227" s="3"/>
      <c r="OMT227" s="3"/>
      <c r="OMU227" s="3"/>
      <c r="OMV227" s="3"/>
      <c r="OMW227" s="3"/>
      <c r="OMX227" s="3"/>
      <c r="OMY227" s="3"/>
      <c r="OMZ227" s="3"/>
      <c r="ONA227" s="3"/>
      <c r="ONB227" s="3"/>
      <c r="ONC227" s="3"/>
      <c r="OND227" s="3"/>
      <c r="ONE227" s="3"/>
      <c r="ONF227" s="3"/>
      <c r="ONG227" s="3"/>
      <c r="ONH227" s="3"/>
      <c r="ONI227" s="3"/>
      <c r="ONJ227" s="3"/>
      <c r="ONK227" s="3"/>
      <c r="ONL227" s="3"/>
      <c r="ONM227" s="3"/>
      <c r="ONN227" s="3"/>
      <c r="ONO227" s="3"/>
      <c r="ONP227" s="3"/>
      <c r="ONQ227" s="3"/>
      <c r="ONR227" s="3"/>
      <c r="ONS227" s="3"/>
      <c r="ONT227" s="3"/>
      <c r="ONU227" s="3"/>
      <c r="ONV227" s="3"/>
      <c r="ONW227" s="3"/>
      <c r="ONX227" s="3"/>
      <c r="ONY227" s="3"/>
      <c r="ONZ227" s="3"/>
      <c r="OOA227" s="3"/>
      <c r="OOB227" s="3"/>
      <c r="OOC227" s="3"/>
      <c r="OOD227" s="3"/>
      <c r="OOE227" s="3"/>
      <c r="OOF227" s="3"/>
      <c r="OOG227" s="3"/>
      <c r="OOH227" s="3"/>
      <c r="OOI227" s="3"/>
      <c r="OOJ227" s="3"/>
      <c r="OOK227" s="3"/>
      <c r="OOL227" s="3"/>
      <c r="OOM227" s="3"/>
      <c r="OON227" s="3"/>
      <c r="OOO227" s="3"/>
      <c r="OOP227" s="3"/>
      <c r="OOQ227" s="3"/>
      <c r="OOR227" s="3"/>
      <c r="OOS227" s="3"/>
      <c r="OOT227" s="3"/>
      <c r="OOU227" s="3"/>
      <c r="OOV227" s="3"/>
      <c r="OOW227" s="3"/>
      <c r="OOX227" s="3"/>
      <c r="OOY227" s="3"/>
      <c r="OOZ227" s="3"/>
      <c r="OPA227" s="3"/>
      <c r="OPB227" s="3"/>
      <c r="OPC227" s="3"/>
      <c r="OPD227" s="3"/>
      <c r="OPE227" s="3"/>
      <c r="OPF227" s="3"/>
      <c r="OPG227" s="3"/>
      <c r="OPH227" s="3"/>
      <c r="OPI227" s="3"/>
      <c r="OPJ227" s="3"/>
      <c r="OPK227" s="3"/>
      <c r="OPL227" s="3"/>
      <c r="OPM227" s="3"/>
      <c r="OPN227" s="3"/>
      <c r="OPO227" s="3"/>
      <c r="OPP227" s="3"/>
      <c r="OPQ227" s="3"/>
      <c r="OPR227" s="3"/>
      <c r="OPS227" s="3"/>
      <c r="OPT227" s="3"/>
      <c r="OPU227" s="3"/>
      <c r="OPV227" s="3"/>
      <c r="OPW227" s="3"/>
      <c r="OPX227" s="3"/>
      <c r="OPY227" s="3"/>
      <c r="OPZ227" s="3"/>
      <c r="OQA227" s="3"/>
      <c r="OQB227" s="3"/>
      <c r="OQC227" s="3"/>
      <c r="OQD227" s="3"/>
      <c r="OQE227" s="3"/>
      <c r="OQF227" s="3"/>
      <c r="OQG227" s="3"/>
      <c r="OQH227" s="3"/>
      <c r="OQI227" s="3"/>
      <c r="OQJ227" s="3"/>
      <c r="OQK227" s="3"/>
      <c r="OQL227" s="3"/>
      <c r="OQM227" s="3"/>
      <c r="OQN227" s="3"/>
      <c r="OQO227" s="3"/>
      <c r="OQP227" s="3"/>
      <c r="OQQ227" s="3"/>
      <c r="OQR227" s="3"/>
      <c r="OQS227" s="3"/>
      <c r="OQT227" s="3"/>
      <c r="OQU227" s="3"/>
      <c r="OQV227" s="3"/>
      <c r="OQW227" s="3"/>
      <c r="OQX227" s="3"/>
      <c r="OQY227" s="3"/>
      <c r="OQZ227" s="3"/>
      <c r="ORA227" s="3"/>
      <c r="ORB227" s="3"/>
      <c r="ORC227" s="3"/>
      <c r="ORD227" s="3"/>
      <c r="ORE227" s="3"/>
      <c r="ORF227" s="3"/>
      <c r="ORG227" s="3"/>
      <c r="ORH227" s="3"/>
      <c r="ORI227" s="3"/>
      <c r="ORJ227" s="3"/>
      <c r="ORK227" s="3"/>
      <c r="ORL227" s="3"/>
      <c r="ORM227" s="3"/>
      <c r="ORN227" s="3"/>
      <c r="ORO227" s="3"/>
      <c r="ORP227" s="3"/>
      <c r="ORQ227" s="3"/>
      <c r="ORR227" s="3"/>
      <c r="ORS227" s="3"/>
      <c r="ORT227" s="3"/>
      <c r="ORU227" s="3"/>
      <c r="ORV227" s="3"/>
      <c r="ORW227" s="3"/>
      <c r="ORX227" s="3"/>
      <c r="ORY227" s="3"/>
      <c r="ORZ227" s="3"/>
      <c r="OSA227" s="3"/>
      <c r="OSB227" s="3"/>
      <c r="OSC227" s="3"/>
      <c r="OSD227" s="3"/>
      <c r="OSE227" s="3"/>
      <c r="OSF227" s="3"/>
      <c r="OSG227" s="3"/>
      <c r="OSH227" s="3"/>
      <c r="OSI227" s="3"/>
      <c r="OSJ227" s="3"/>
      <c r="OSK227" s="3"/>
      <c r="OSL227" s="3"/>
      <c r="OSM227" s="3"/>
      <c r="OSN227" s="3"/>
      <c r="OSO227" s="3"/>
      <c r="OSP227" s="3"/>
      <c r="OSQ227" s="3"/>
      <c r="OSR227" s="3"/>
      <c r="OSS227" s="3"/>
      <c r="OST227" s="3"/>
      <c r="OSU227" s="3"/>
      <c r="OSV227" s="3"/>
      <c r="OSW227" s="3"/>
      <c r="OSX227" s="3"/>
      <c r="OSY227" s="3"/>
      <c r="OSZ227" s="3"/>
      <c r="OTA227" s="3"/>
      <c r="OTB227" s="3"/>
      <c r="OTC227" s="3"/>
      <c r="OTD227" s="3"/>
      <c r="OTE227" s="3"/>
      <c r="OTF227" s="3"/>
      <c r="OTG227" s="3"/>
      <c r="OTH227" s="3"/>
      <c r="OTI227" s="3"/>
      <c r="OTJ227" s="3"/>
      <c r="OTK227" s="3"/>
      <c r="OTL227" s="3"/>
      <c r="OTM227" s="3"/>
      <c r="OTN227" s="3"/>
      <c r="OTO227" s="3"/>
      <c r="OTP227" s="3"/>
      <c r="OTQ227" s="3"/>
      <c r="OTR227" s="3"/>
      <c r="OTS227" s="3"/>
      <c r="OTT227" s="3"/>
      <c r="OTU227" s="3"/>
      <c r="OTV227" s="3"/>
      <c r="OTW227" s="3"/>
      <c r="OTX227" s="3"/>
      <c r="OTY227" s="3"/>
      <c r="OTZ227" s="3"/>
      <c r="OUA227" s="3"/>
      <c r="OUB227" s="3"/>
      <c r="OUC227" s="3"/>
      <c r="OUD227" s="3"/>
      <c r="OUE227" s="3"/>
      <c r="OUF227" s="3"/>
      <c r="OUG227" s="3"/>
      <c r="OUH227" s="3"/>
      <c r="OUI227" s="3"/>
      <c r="OUJ227" s="3"/>
      <c r="OUK227" s="3"/>
      <c r="OUL227" s="3"/>
      <c r="OUM227" s="3"/>
      <c r="OUN227" s="3"/>
      <c r="OUO227" s="3"/>
      <c r="OUP227" s="3"/>
      <c r="OUQ227" s="3"/>
      <c r="OUR227" s="3"/>
      <c r="OUS227" s="3"/>
      <c r="OUT227" s="3"/>
      <c r="OUU227" s="3"/>
      <c r="OUV227" s="3"/>
      <c r="OUW227" s="3"/>
      <c r="OUX227" s="3"/>
      <c r="OUY227" s="3"/>
      <c r="OUZ227" s="3"/>
      <c r="OVA227" s="3"/>
      <c r="OVB227" s="3"/>
      <c r="OVC227" s="3"/>
      <c r="OVD227" s="3"/>
      <c r="OVE227" s="3"/>
      <c r="OVF227" s="3"/>
      <c r="OVG227" s="3"/>
      <c r="OVH227" s="3"/>
      <c r="OVI227" s="3"/>
      <c r="OVJ227" s="3"/>
      <c r="OVK227" s="3"/>
      <c r="OVL227" s="3"/>
      <c r="OVM227" s="3"/>
      <c r="OVN227" s="3"/>
      <c r="OVO227" s="3"/>
      <c r="OVP227" s="3"/>
      <c r="OVQ227" s="3"/>
      <c r="OVR227" s="3"/>
      <c r="OVS227" s="3"/>
      <c r="OVT227" s="3"/>
      <c r="OVU227" s="3"/>
      <c r="OVV227" s="3"/>
      <c r="OVW227" s="3"/>
      <c r="OVX227" s="3"/>
      <c r="OVY227" s="3"/>
      <c r="OVZ227" s="3"/>
      <c r="OWA227" s="3"/>
      <c r="OWB227" s="3"/>
      <c r="OWC227" s="3"/>
      <c r="OWD227" s="3"/>
      <c r="OWE227" s="3"/>
      <c r="OWF227" s="3"/>
      <c r="OWG227" s="3"/>
      <c r="OWH227" s="3"/>
      <c r="OWI227" s="3"/>
      <c r="OWJ227" s="3"/>
      <c r="OWK227" s="3"/>
      <c r="OWL227" s="3"/>
      <c r="OWM227" s="3"/>
      <c r="OWN227" s="3"/>
      <c r="OWO227" s="3"/>
      <c r="OWP227" s="3"/>
      <c r="OWQ227" s="3"/>
      <c r="OWR227" s="3"/>
      <c r="OWS227" s="3"/>
      <c r="OWT227" s="3"/>
      <c r="OWU227" s="3"/>
      <c r="OWV227" s="3"/>
      <c r="OWW227" s="3"/>
      <c r="OWX227" s="3"/>
      <c r="OWY227" s="3"/>
      <c r="OWZ227" s="3"/>
      <c r="OXA227" s="3"/>
      <c r="OXB227" s="3"/>
      <c r="OXC227" s="3"/>
      <c r="OXD227" s="3"/>
      <c r="OXE227" s="3"/>
      <c r="OXF227" s="3"/>
      <c r="OXG227" s="3"/>
      <c r="OXH227" s="3"/>
      <c r="OXI227" s="3"/>
      <c r="OXJ227" s="3"/>
      <c r="OXK227" s="3"/>
      <c r="OXL227" s="3"/>
      <c r="OXM227" s="3"/>
      <c r="OXN227" s="3"/>
      <c r="OXO227" s="3"/>
      <c r="OXP227" s="3"/>
      <c r="OXQ227" s="3"/>
      <c r="OXR227" s="3"/>
      <c r="OXS227" s="3"/>
      <c r="OXT227" s="3"/>
      <c r="OXU227" s="3"/>
      <c r="OXV227" s="3"/>
      <c r="OXW227" s="3"/>
      <c r="OXX227" s="3"/>
      <c r="OXY227" s="3"/>
      <c r="OXZ227" s="3"/>
      <c r="OYA227" s="3"/>
      <c r="OYB227" s="3"/>
      <c r="OYC227" s="3"/>
      <c r="OYD227" s="3"/>
      <c r="OYE227" s="3"/>
      <c r="OYF227" s="3"/>
      <c r="OYG227" s="3"/>
      <c r="OYH227" s="3"/>
      <c r="OYI227" s="3"/>
      <c r="OYJ227" s="3"/>
      <c r="OYK227" s="3"/>
      <c r="OYL227" s="3"/>
      <c r="OYM227" s="3"/>
      <c r="OYN227" s="3"/>
      <c r="OYO227" s="3"/>
      <c r="OYP227" s="3"/>
      <c r="OYQ227" s="3"/>
      <c r="OYR227" s="3"/>
      <c r="OYS227" s="3"/>
      <c r="OYT227" s="3"/>
      <c r="OYU227" s="3"/>
      <c r="OYV227" s="3"/>
      <c r="OYW227" s="3"/>
      <c r="OYX227" s="3"/>
      <c r="OYY227" s="3"/>
      <c r="OYZ227" s="3"/>
      <c r="OZA227" s="3"/>
      <c r="OZB227" s="3"/>
      <c r="OZC227" s="3"/>
      <c r="OZD227" s="3"/>
      <c r="OZE227" s="3"/>
      <c r="OZF227" s="3"/>
      <c r="OZG227" s="3"/>
      <c r="OZH227" s="3"/>
      <c r="OZI227" s="3"/>
      <c r="OZJ227" s="3"/>
      <c r="OZK227" s="3"/>
      <c r="OZL227" s="3"/>
      <c r="OZM227" s="3"/>
      <c r="OZN227" s="3"/>
      <c r="OZO227" s="3"/>
      <c r="OZP227" s="3"/>
      <c r="OZQ227" s="3"/>
      <c r="OZR227" s="3"/>
      <c r="OZS227" s="3"/>
      <c r="OZT227" s="3"/>
      <c r="OZU227" s="3"/>
      <c r="OZV227" s="3"/>
      <c r="OZW227" s="3"/>
      <c r="OZX227" s="3"/>
      <c r="OZY227" s="3"/>
      <c r="OZZ227" s="3"/>
      <c r="PAA227" s="3"/>
      <c r="PAB227" s="3"/>
      <c r="PAC227" s="3"/>
      <c r="PAD227" s="3"/>
      <c r="PAE227" s="3"/>
      <c r="PAF227" s="3"/>
      <c r="PAG227" s="3"/>
      <c r="PAH227" s="3"/>
      <c r="PAI227" s="3"/>
      <c r="PAJ227" s="3"/>
      <c r="PAK227" s="3"/>
      <c r="PAL227" s="3"/>
      <c r="PAM227" s="3"/>
      <c r="PAN227" s="3"/>
      <c r="PAO227" s="3"/>
      <c r="PAP227" s="3"/>
      <c r="PAQ227" s="3"/>
      <c r="PAR227" s="3"/>
      <c r="PAS227" s="3"/>
      <c r="PAT227" s="3"/>
      <c r="PAU227" s="3"/>
      <c r="PAV227" s="3"/>
      <c r="PAW227" s="3"/>
      <c r="PAX227" s="3"/>
      <c r="PAY227" s="3"/>
      <c r="PAZ227" s="3"/>
      <c r="PBA227" s="3"/>
      <c r="PBB227" s="3"/>
      <c r="PBC227" s="3"/>
      <c r="PBD227" s="3"/>
      <c r="PBE227" s="3"/>
      <c r="PBF227" s="3"/>
      <c r="PBG227" s="3"/>
      <c r="PBH227" s="3"/>
      <c r="PBI227" s="3"/>
      <c r="PBJ227" s="3"/>
      <c r="PBK227" s="3"/>
      <c r="PBL227" s="3"/>
      <c r="PBM227" s="3"/>
      <c r="PBN227" s="3"/>
      <c r="PBO227" s="3"/>
      <c r="PBP227" s="3"/>
      <c r="PBQ227" s="3"/>
      <c r="PBR227" s="3"/>
      <c r="PBS227" s="3"/>
      <c r="PBT227" s="3"/>
      <c r="PBU227" s="3"/>
      <c r="PBV227" s="3"/>
      <c r="PBW227" s="3"/>
      <c r="PBX227" s="3"/>
      <c r="PBY227" s="3"/>
      <c r="PBZ227" s="3"/>
      <c r="PCA227" s="3"/>
      <c r="PCB227" s="3"/>
      <c r="PCC227" s="3"/>
      <c r="PCD227" s="3"/>
      <c r="PCE227" s="3"/>
      <c r="PCF227" s="3"/>
      <c r="PCG227" s="3"/>
      <c r="PCH227" s="3"/>
      <c r="PCI227" s="3"/>
      <c r="PCJ227" s="3"/>
      <c r="PCK227" s="3"/>
      <c r="PCL227" s="3"/>
      <c r="PCM227" s="3"/>
      <c r="PCN227" s="3"/>
      <c r="PCO227" s="3"/>
      <c r="PCP227" s="3"/>
      <c r="PCQ227" s="3"/>
      <c r="PCR227" s="3"/>
      <c r="PCS227" s="3"/>
      <c r="PCT227" s="3"/>
      <c r="PCU227" s="3"/>
      <c r="PCV227" s="3"/>
      <c r="PCW227" s="3"/>
      <c r="PCX227" s="3"/>
      <c r="PCY227" s="3"/>
      <c r="PCZ227" s="3"/>
      <c r="PDA227" s="3"/>
      <c r="PDB227" s="3"/>
      <c r="PDC227" s="3"/>
      <c r="PDD227" s="3"/>
      <c r="PDE227" s="3"/>
      <c r="PDF227" s="3"/>
      <c r="PDG227" s="3"/>
      <c r="PDH227" s="3"/>
      <c r="PDI227" s="3"/>
      <c r="PDJ227" s="3"/>
      <c r="PDK227" s="3"/>
      <c r="PDL227" s="3"/>
      <c r="PDM227" s="3"/>
      <c r="PDN227" s="3"/>
      <c r="PDO227" s="3"/>
      <c r="PDP227" s="3"/>
      <c r="PDQ227" s="3"/>
      <c r="PDR227" s="3"/>
      <c r="PDS227" s="3"/>
      <c r="PDT227" s="3"/>
      <c r="PDU227" s="3"/>
      <c r="PDV227" s="3"/>
      <c r="PDW227" s="3"/>
      <c r="PDX227" s="3"/>
      <c r="PDY227" s="3"/>
      <c r="PDZ227" s="3"/>
      <c r="PEA227" s="3"/>
      <c r="PEB227" s="3"/>
      <c r="PEC227" s="3"/>
      <c r="PED227" s="3"/>
      <c r="PEE227" s="3"/>
      <c r="PEF227" s="3"/>
      <c r="PEG227" s="3"/>
      <c r="PEH227" s="3"/>
      <c r="PEI227" s="3"/>
      <c r="PEJ227" s="3"/>
      <c r="PEK227" s="3"/>
      <c r="PEL227" s="3"/>
      <c r="PEM227" s="3"/>
      <c r="PEN227" s="3"/>
      <c r="PEO227" s="3"/>
      <c r="PEP227" s="3"/>
      <c r="PEQ227" s="3"/>
      <c r="PER227" s="3"/>
      <c r="PES227" s="3"/>
      <c r="PET227" s="3"/>
      <c r="PEU227" s="3"/>
      <c r="PEV227" s="3"/>
      <c r="PEW227" s="3"/>
      <c r="PEX227" s="3"/>
      <c r="PEY227" s="3"/>
      <c r="PEZ227" s="3"/>
      <c r="PFA227" s="3"/>
      <c r="PFB227" s="3"/>
      <c r="PFC227" s="3"/>
      <c r="PFD227" s="3"/>
      <c r="PFE227" s="3"/>
      <c r="PFF227" s="3"/>
      <c r="PFG227" s="3"/>
      <c r="PFH227" s="3"/>
      <c r="PFI227" s="3"/>
      <c r="PFJ227" s="3"/>
      <c r="PFK227" s="3"/>
      <c r="PFL227" s="3"/>
      <c r="PFM227" s="3"/>
      <c r="PFN227" s="3"/>
      <c r="PFO227" s="3"/>
      <c r="PFP227" s="3"/>
      <c r="PFQ227" s="3"/>
      <c r="PFR227" s="3"/>
      <c r="PFS227" s="3"/>
      <c r="PFT227" s="3"/>
      <c r="PFU227" s="3"/>
      <c r="PFV227" s="3"/>
      <c r="PFW227" s="3"/>
      <c r="PFX227" s="3"/>
      <c r="PFY227" s="3"/>
      <c r="PFZ227" s="3"/>
      <c r="PGA227" s="3"/>
      <c r="PGB227" s="3"/>
      <c r="PGC227" s="3"/>
      <c r="PGD227" s="3"/>
      <c r="PGE227" s="3"/>
      <c r="PGF227" s="3"/>
      <c r="PGG227" s="3"/>
      <c r="PGH227" s="3"/>
      <c r="PGI227" s="3"/>
      <c r="PGJ227" s="3"/>
      <c r="PGK227" s="3"/>
      <c r="PGL227" s="3"/>
      <c r="PGM227" s="3"/>
      <c r="PGN227" s="3"/>
      <c r="PGO227" s="3"/>
      <c r="PGP227" s="3"/>
      <c r="PGQ227" s="3"/>
      <c r="PGR227" s="3"/>
      <c r="PGS227" s="3"/>
      <c r="PGT227" s="3"/>
      <c r="PGU227" s="3"/>
      <c r="PGV227" s="3"/>
      <c r="PGW227" s="3"/>
      <c r="PGX227" s="3"/>
      <c r="PGY227" s="3"/>
      <c r="PGZ227" s="3"/>
      <c r="PHA227" s="3"/>
      <c r="PHB227" s="3"/>
      <c r="PHC227" s="3"/>
      <c r="PHD227" s="3"/>
      <c r="PHE227" s="3"/>
      <c r="PHF227" s="3"/>
      <c r="PHG227" s="3"/>
      <c r="PHH227" s="3"/>
      <c r="PHI227" s="3"/>
      <c r="PHJ227" s="3"/>
      <c r="PHK227" s="3"/>
      <c r="PHL227" s="3"/>
      <c r="PHM227" s="3"/>
      <c r="PHN227" s="3"/>
      <c r="PHO227" s="3"/>
      <c r="PHP227" s="3"/>
      <c r="PHQ227" s="3"/>
      <c r="PHR227" s="3"/>
      <c r="PHS227" s="3"/>
      <c r="PHT227" s="3"/>
      <c r="PHU227" s="3"/>
      <c r="PHV227" s="3"/>
      <c r="PHW227" s="3"/>
      <c r="PHX227" s="3"/>
      <c r="PHY227" s="3"/>
      <c r="PHZ227" s="3"/>
      <c r="PIA227" s="3"/>
      <c r="PIB227" s="3"/>
      <c r="PIC227" s="3"/>
      <c r="PID227" s="3"/>
      <c r="PIE227" s="3"/>
      <c r="PIF227" s="3"/>
      <c r="PIG227" s="3"/>
      <c r="PIH227" s="3"/>
      <c r="PII227" s="3"/>
      <c r="PIJ227" s="3"/>
      <c r="PIK227" s="3"/>
      <c r="PIL227" s="3"/>
      <c r="PIM227" s="3"/>
      <c r="PIN227" s="3"/>
      <c r="PIO227" s="3"/>
      <c r="PIP227" s="3"/>
      <c r="PIQ227" s="3"/>
      <c r="PIR227" s="3"/>
      <c r="PIS227" s="3"/>
      <c r="PIT227" s="3"/>
      <c r="PIU227" s="3"/>
      <c r="PIV227" s="3"/>
      <c r="PIW227" s="3"/>
      <c r="PIX227" s="3"/>
      <c r="PIY227" s="3"/>
      <c r="PIZ227" s="3"/>
      <c r="PJA227" s="3"/>
      <c r="PJB227" s="3"/>
      <c r="PJC227" s="3"/>
      <c r="PJD227" s="3"/>
      <c r="PJE227" s="3"/>
      <c r="PJF227" s="3"/>
      <c r="PJG227" s="3"/>
      <c r="PJH227" s="3"/>
      <c r="PJI227" s="3"/>
      <c r="PJJ227" s="3"/>
      <c r="PJK227" s="3"/>
      <c r="PJL227" s="3"/>
      <c r="PJM227" s="3"/>
      <c r="PJN227" s="3"/>
      <c r="PJO227" s="3"/>
      <c r="PJP227" s="3"/>
      <c r="PJQ227" s="3"/>
      <c r="PJR227" s="3"/>
      <c r="PJS227" s="3"/>
      <c r="PJT227" s="3"/>
      <c r="PJU227" s="3"/>
      <c r="PJV227" s="3"/>
      <c r="PJW227" s="3"/>
      <c r="PJX227" s="3"/>
      <c r="PJY227" s="3"/>
      <c r="PJZ227" s="3"/>
      <c r="PKA227" s="3"/>
      <c r="PKB227" s="3"/>
      <c r="PKC227" s="3"/>
      <c r="PKD227" s="3"/>
      <c r="PKE227" s="3"/>
      <c r="PKF227" s="3"/>
      <c r="PKG227" s="3"/>
      <c r="PKH227" s="3"/>
      <c r="PKI227" s="3"/>
      <c r="PKJ227" s="3"/>
      <c r="PKK227" s="3"/>
      <c r="PKL227" s="3"/>
      <c r="PKM227" s="3"/>
      <c r="PKN227" s="3"/>
      <c r="PKO227" s="3"/>
      <c r="PKP227" s="3"/>
      <c r="PKQ227" s="3"/>
      <c r="PKR227" s="3"/>
      <c r="PKS227" s="3"/>
      <c r="PKT227" s="3"/>
      <c r="PKU227" s="3"/>
      <c r="PKV227" s="3"/>
      <c r="PKW227" s="3"/>
      <c r="PKX227" s="3"/>
      <c r="PKY227" s="3"/>
      <c r="PKZ227" s="3"/>
      <c r="PLA227" s="3"/>
      <c r="PLB227" s="3"/>
      <c r="PLC227" s="3"/>
      <c r="PLD227" s="3"/>
      <c r="PLE227" s="3"/>
      <c r="PLF227" s="3"/>
      <c r="PLG227" s="3"/>
      <c r="PLH227" s="3"/>
      <c r="PLI227" s="3"/>
      <c r="PLJ227" s="3"/>
      <c r="PLK227" s="3"/>
      <c r="PLL227" s="3"/>
      <c r="PLM227" s="3"/>
      <c r="PLN227" s="3"/>
      <c r="PLO227" s="3"/>
      <c r="PLP227" s="3"/>
      <c r="PLQ227" s="3"/>
      <c r="PLR227" s="3"/>
      <c r="PLS227" s="3"/>
      <c r="PLT227" s="3"/>
      <c r="PLU227" s="3"/>
      <c r="PLV227" s="3"/>
      <c r="PLW227" s="3"/>
      <c r="PLX227" s="3"/>
      <c r="PLY227" s="3"/>
      <c r="PLZ227" s="3"/>
      <c r="PMA227" s="3"/>
      <c r="PMB227" s="3"/>
      <c r="PMC227" s="3"/>
      <c r="PMD227" s="3"/>
      <c r="PME227" s="3"/>
      <c r="PMF227" s="3"/>
      <c r="PMG227" s="3"/>
      <c r="PMH227" s="3"/>
      <c r="PMI227" s="3"/>
      <c r="PMJ227" s="3"/>
      <c r="PMK227" s="3"/>
      <c r="PML227" s="3"/>
      <c r="PMM227" s="3"/>
      <c r="PMN227" s="3"/>
      <c r="PMO227" s="3"/>
      <c r="PMP227" s="3"/>
      <c r="PMQ227" s="3"/>
      <c r="PMR227" s="3"/>
      <c r="PMS227" s="3"/>
      <c r="PMT227" s="3"/>
      <c r="PMU227" s="3"/>
      <c r="PMV227" s="3"/>
      <c r="PMW227" s="3"/>
      <c r="PMX227" s="3"/>
      <c r="PMY227" s="3"/>
      <c r="PMZ227" s="3"/>
      <c r="PNA227" s="3"/>
      <c r="PNB227" s="3"/>
      <c r="PNC227" s="3"/>
      <c r="PND227" s="3"/>
      <c r="PNE227" s="3"/>
      <c r="PNF227" s="3"/>
      <c r="PNG227" s="3"/>
      <c r="PNH227" s="3"/>
      <c r="PNI227" s="3"/>
      <c r="PNJ227" s="3"/>
      <c r="PNK227" s="3"/>
      <c r="PNL227" s="3"/>
      <c r="PNM227" s="3"/>
      <c r="PNN227" s="3"/>
      <c r="PNO227" s="3"/>
      <c r="PNP227" s="3"/>
      <c r="PNQ227" s="3"/>
      <c r="PNR227" s="3"/>
      <c r="PNS227" s="3"/>
      <c r="PNT227" s="3"/>
      <c r="PNU227" s="3"/>
      <c r="PNV227" s="3"/>
      <c r="PNW227" s="3"/>
      <c r="PNX227" s="3"/>
      <c r="PNY227" s="3"/>
      <c r="PNZ227" s="3"/>
      <c r="POA227" s="3"/>
      <c r="POB227" s="3"/>
      <c r="POC227" s="3"/>
      <c r="POD227" s="3"/>
      <c r="POE227" s="3"/>
      <c r="POF227" s="3"/>
      <c r="POG227" s="3"/>
      <c r="POH227" s="3"/>
      <c r="POI227" s="3"/>
      <c r="POJ227" s="3"/>
      <c r="POK227" s="3"/>
      <c r="POL227" s="3"/>
      <c r="POM227" s="3"/>
      <c r="PON227" s="3"/>
      <c r="POO227" s="3"/>
      <c r="POP227" s="3"/>
      <c r="POQ227" s="3"/>
      <c r="POR227" s="3"/>
      <c r="POS227" s="3"/>
      <c r="POT227" s="3"/>
      <c r="POU227" s="3"/>
      <c r="POV227" s="3"/>
      <c r="POW227" s="3"/>
      <c r="POX227" s="3"/>
      <c r="POY227" s="3"/>
      <c r="POZ227" s="3"/>
      <c r="PPA227" s="3"/>
      <c r="PPB227" s="3"/>
      <c r="PPC227" s="3"/>
      <c r="PPD227" s="3"/>
      <c r="PPE227" s="3"/>
      <c r="PPF227" s="3"/>
      <c r="PPG227" s="3"/>
      <c r="PPH227" s="3"/>
      <c r="PPI227" s="3"/>
      <c r="PPJ227" s="3"/>
      <c r="PPK227" s="3"/>
      <c r="PPL227" s="3"/>
      <c r="PPM227" s="3"/>
      <c r="PPN227" s="3"/>
      <c r="PPO227" s="3"/>
      <c r="PPP227" s="3"/>
      <c r="PPQ227" s="3"/>
      <c r="PPR227" s="3"/>
      <c r="PPS227" s="3"/>
      <c r="PPT227" s="3"/>
      <c r="PPU227" s="3"/>
      <c r="PPV227" s="3"/>
      <c r="PPW227" s="3"/>
      <c r="PPX227" s="3"/>
      <c r="PPY227" s="3"/>
      <c r="PPZ227" s="3"/>
      <c r="PQA227" s="3"/>
      <c r="PQB227" s="3"/>
      <c r="PQC227" s="3"/>
      <c r="PQD227" s="3"/>
      <c r="PQE227" s="3"/>
      <c r="PQF227" s="3"/>
      <c r="PQG227" s="3"/>
      <c r="PQH227" s="3"/>
      <c r="PQI227" s="3"/>
      <c r="PQJ227" s="3"/>
      <c r="PQK227" s="3"/>
      <c r="PQL227" s="3"/>
      <c r="PQM227" s="3"/>
      <c r="PQN227" s="3"/>
      <c r="PQO227" s="3"/>
      <c r="PQP227" s="3"/>
      <c r="PQQ227" s="3"/>
      <c r="PQR227" s="3"/>
      <c r="PQS227" s="3"/>
      <c r="PQT227" s="3"/>
      <c r="PQU227" s="3"/>
      <c r="PQV227" s="3"/>
      <c r="PQW227" s="3"/>
      <c r="PQX227" s="3"/>
      <c r="PQY227" s="3"/>
      <c r="PQZ227" s="3"/>
      <c r="PRA227" s="3"/>
      <c r="PRB227" s="3"/>
      <c r="PRC227" s="3"/>
      <c r="PRD227" s="3"/>
      <c r="PRE227" s="3"/>
      <c r="PRF227" s="3"/>
      <c r="PRG227" s="3"/>
      <c r="PRH227" s="3"/>
      <c r="PRI227" s="3"/>
      <c r="PRJ227" s="3"/>
      <c r="PRK227" s="3"/>
      <c r="PRL227" s="3"/>
      <c r="PRM227" s="3"/>
      <c r="PRN227" s="3"/>
      <c r="PRO227" s="3"/>
      <c r="PRP227" s="3"/>
      <c r="PRQ227" s="3"/>
      <c r="PRR227" s="3"/>
      <c r="PRS227" s="3"/>
      <c r="PRT227" s="3"/>
      <c r="PRU227" s="3"/>
      <c r="PRV227" s="3"/>
      <c r="PRW227" s="3"/>
      <c r="PRX227" s="3"/>
      <c r="PRY227" s="3"/>
      <c r="PRZ227" s="3"/>
      <c r="PSA227" s="3"/>
      <c r="PSB227" s="3"/>
      <c r="PSC227" s="3"/>
      <c r="PSD227" s="3"/>
      <c r="PSE227" s="3"/>
      <c r="PSF227" s="3"/>
      <c r="PSG227" s="3"/>
      <c r="PSH227" s="3"/>
      <c r="PSI227" s="3"/>
      <c r="PSJ227" s="3"/>
      <c r="PSK227" s="3"/>
      <c r="PSL227" s="3"/>
      <c r="PSM227" s="3"/>
      <c r="PSN227" s="3"/>
      <c r="PSO227" s="3"/>
      <c r="PSP227" s="3"/>
      <c r="PSQ227" s="3"/>
      <c r="PSR227" s="3"/>
      <c r="PSS227" s="3"/>
      <c r="PST227" s="3"/>
      <c r="PSU227" s="3"/>
      <c r="PSV227" s="3"/>
      <c r="PSW227" s="3"/>
      <c r="PSX227" s="3"/>
      <c r="PSY227" s="3"/>
      <c r="PSZ227" s="3"/>
      <c r="PTA227" s="3"/>
      <c r="PTB227" s="3"/>
      <c r="PTC227" s="3"/>
      <c r="PTD227" s="3"/>
      <c r="PTE227" s="3"/>
      <c r="PTF227" s="3"/>
      <c r="PTG227" s="3"/>
      <c r="PTH227" s="3"/>
      <c r="PTI227" s="3"/>
      <c r="PTJ227" s="3"/>
      <c r="PTK227" s="3"/>
      <c r="PTL227" s="3"/>
      <c r="PTM227" s="3"/>
      <c r="PTN227" s="3"/>
      <c r="PTO227" s="3"/>
      <c r="PTP227" s="3"/>
      <c r="PTQ227" s="3"/>
      <c r="PTR227" s="3"/>
      <c r="PTS227" s="3"/>
      <c r="PTT227" s="3"/>
      <c r="PTU227" s="3"/>
      <c r="PTV227" s="3"/>
      <c r="PTW227" s="3"/>
      <c r="PTX227" s="3"/>
      <c r="PTY227" s="3"/>
      <c r="PTZ227" s="3"/>
      <c r="PUA227" s="3"/>
      <c r="PUB227" s="3"/>
      <c r="PUC227" s="3"/>
      <c r="PUD227" s="3"/>
      <c r="PUE227" s="3"/>
      <c r="PUF227" s="3"/>
      <c r="PUG227" s="3"/>
      <c r="PUH227" s="3"/>
      <c r="PUI227" s="3"/>
      <c r="PUJ227" s="3"/>
      <c r="PUK227" s="3"/>
      <c r="PUL227" s="3"/>
      <c r="PUM227" s="3"/>
      <c r="PUN227" s="3"/>
      <c r="PUO227" s="3"/>
      <c r="PUP227" s="3"/>
      <c r="PUQ227" s="3"/>
      <c r="PUR227" s="3"/>
      <c r="PUS227" s="3"/>
      <c r="PUT227" s="3"/>
      <c r="PUU227" s="3"/>
      <c r="PUV227" s="3"/>
      <c r="PUW227" s="3"/>
      <c r="PUX227" s="3"/>
      <c r="PUY227" s="3"/>
      <c r="PUZ227" s="3"/>
      <c r="PVA227" s="3"/>
      <c r="PVB227" s="3"/>
      <c r="PVC227" s="3"/>
      <c r="PVD227" s="3"/>
      <c r="PVE227" s="3"/>
      <c r="PVF227" s="3"/>
      <c r="PVG227" s="3"/>
      <c r="PVH227" s="3"/>
      <c r="PVI227" s="3"/>
      <c r="PVJ227" s="3"/>
      <c r="PVK227" s="3"/>
      <c r="PVL227" s="3"/>
      <c r="PVM227" s="3"/>
      <c r="PVN227" s="3"/>
      <c r="PVO227" s="3"/>
      <c r="PVP227" s="3"/>
      <c r="PVQ227" s="3"/>
      <c r="PVR227" s="3"/>
      <c r="PVS227" s="3"/>
      <c r="PVT227" s="3"/>
      <c r="PVU227" s="3"/>
      <c r="PVV227" s="3"/>
      <c r="PVW227" s="3"/>
      <c r="PVX227" s="3"/>
      <c r="PVY227" s="3"/>
      <c r="PVZ227" s="3"/>
      <c r="PWA227" s="3"/>
      <c r="PWB227" s="3"/>
      <c r="PWC227" s="3"/>
      <c r="PWD227" s="3"/>
      <c r="PWE227" s="3"/>
      <c r="PWF227" s="3"/>
      <c r="PWG227" s="3"/>
      <c r="PWH227" s="3"/>
      <c r="PWI227" s="3"/>
      <c r="PWJ227" s="3"/>
      <c r="PWK227" s="3"/>
      <c r="PWL227" s="3"/>
      <c r="PWM227" s="3"/>
      <c r="PWN227" s="3"/>
      <c r="PWO227" s="3"/>
      <c r="PWP227" s="3"/>
      <c r="PWQ227" s="3"/>
      <c r="PWR227" s="3"/>
      <c r="PWS227" s="3"/>
      <c r="PWT227" s="3"/>
      <c r="PWU227" s="3"/>
      <c r="PWV227" s="3"/>
      <c r="PWW227" s="3"/>
      <c r="PWX227" s="3"/>
      <c r="PWY227" s="3"/>
      <c r="PWZ227" s="3"/>
      <c r="PXA227" s="3"/>
      <c r="PXB227" s="3"/>
      <c r="PXC227" s="3"/>
      <c r="PXD227" s="3"/>
      <c r="PXE227" s="3"/>
      <c r="PXF227" s="3"/>
      <c r="PXG227" s="3"/>
      <c r="PXH227" s="3"/>
      <c r="PXI227" s="3"/>
      <c r="PXJ227" s="3"/>
      <c r="PXK227" s="3"/>
      <c r="PXL227" s="3"/>
      <c r="PXM227" s="3"/>
      <c r="PXN227" s="3"/>
      <c r="PXO227" s="3"/>
      <c r="PXP227" s="3"/>
      <c r="PXQ227" s="3"/>
      <c r="PXR227" s="3"/>
      <c r="PXS227" s="3"/>
      <c r="PXT227" s="3"/>
      <c r="PXU227" s="3"/>
      <c r="PXV227" s="3"/>
      <c r="PXW227" s="3"/>
      <c r="PXX227" s="3"/>
      <c r="PXY227" s="3"/>
      <c r="PXZ227" s="3"/>
      <c r="PYA227" s="3"/>
      <c r="PYB227" s="3"/>
      <c r="PYC227" s="3"/>
      <c r="PYD227" s="3"/>
      <c r="PYE227" s="3"/>
      <c r="PYF227" s="3"/>
      <c r="PYG227" s="3"/>
      <c r="PYH227" s="3"/>
      <c r="PYI227" s="3"/>
      <c r="PYJ227" s="3"/>
      <c r="PYK227" s="3"/>
      <c r="PYL227" s="3"/>
      <c r="PYM227" s="3"/>
      <c r="PYN227" s="3"/>
      <c r="PYO227" s="3"/>
      <c r="PYP227" s="3"/>
      <c r="PYQ227" s="3"/>
      <c r="PYR227" s="3"/>
      <c r="PYS227" s="3"/>
      <c r="PYT227" s="3"/>
      <c r="PYU227" s="3"/>
      <c r="PYV227" s="3"/>
      <c r="PYW227" s="3"/>
      <c r="PYX227" s="3"/>
      <c r="PYY227" s="3"/>
      <c r="PYZ227" s="3"/>
      <c r="PZA227" s="3"/>
      <c r="PZB227" s="3"/>
      <c r="PZC227" s="3"/>
      <c r="PZD227" s="3"/>
      <c r="PZE227" s="3"/>
      <c r="PZF227" s="3"/>
      <c r="PZG227" s="3"/>
      <c r="PZH227" s="3"/>
      <c r="PZI227" s="3"/>
      <c r="PZJ227" s="3"/>
      <c r="PZK227" s="3"/>
      <c r="PZL227" s="3"/>
      <c r="PZM227" s="3"/>
      <c r="PZN227" s="3"/>
      <c r="PZO227" s="3"/>
      <c r="PZP227" s="3"/>
      <c r="PZQ227" s="3"/>
      <c r="PZR227" s="3"/>
      <c r="PZS227" s="3"/>
      <c r="PZT227" s="3"/>
      <c r="PZU227" s="3"/>
      <c r="PZV227" s="3"/>
      <c r="PZW227" s="3"/>
      <c r="PZX227" s="3"/>
      <c r="PZY227" s="3"/>
      <c r="PZZ227" s="3"/>
      <c r="QAA227" s="3"/>
      <c r="QAB227" s="3"/>
      <c r="QAC227" s="3"/>
      <c r="QAD227" s="3"/>
      <c r="QAE227" s="3"/>
      <c r="QAF227" s="3"/>
      <c r="QAG227" s="3"/>
      <c r="QAH227" s="3"/>
      <c r="QAI227" s="3"/>
      <c r="QAJ227" s="3"/>
      <c r="QAK227" s="3"/>
      <c r="QAL227" s="3"/>
      <c r="QAM227" s="3"/>
      <c r="QAN227" s="3"/>
      <c r="QAO227" s="3"/>
      <c r="QAP227" s="3"/>
      <c r="QAQ227" s="3"/>
      <c r="QAR227" s="3"/>
      <c r="QAS227" s="3"/>
      <c r="QAT227" s="3"/>
      <c r="QAU227" s="3"/>
      <c r="QAV227" s="3"/>
      <c r="QAW227" s="3"/>
      <c r="QAX227" s="3"/>
      <c r="QAY227" s="3"/>
      <c r="QAZ227" s="3"/>
      <c r="QBA227" s="3"/>
      <c r="QBB227" s="3"/>
      <c r="QBC227" s="3"/>
      <c r="QBD227" s="3"/>
      <c r="QBE227" s="3"/>
      <c r="QBF227" s="3"/>
      <c r="QBG227" s="3"/>
      <c r="QBH227" s="3"/>
      <c r="QBI227" s="3"/>
      <c r="QBJ227" s="3"/>
      <c r="QBK227" s="3"/>
      <c r="QBL227" s="3"/>
      <c r="QBM227" s="3"/>
      <c r="QBN227" s="3"/>
      <c r="QBO227" s="3"/>
      <c r="QBP227" s="3"/>
      <c r="QBQ227" s="3"/>
      <c r="QBR227" s="3"/>
      <c r="QBS227" s="3"/>
      <c r="QBT227" s="3"/>
      <c r="QBU227" s="3"/>
      <c r="QBV227" s="3"/>
      <c r="QBW227" s="3"/>
      <c r="QBX227" s="3"/>
      <c r="QBY227" s="3"/>
      <c r="QBZ227" s="3"/>
      <c r="QCA227" s="3"/>
      <c r="QCB227" s="3"/>
      <c r="QCC227" s="3"/>
      <c r="QCD227" s="3"/>
      <c r="QCE227" s="3"/>
      <c r="QCF227" s="3"/>
      <c r="QCG227" s="3"/>
      <c r="QCH227" s="3"/>
      <c r="QCI227" s="3"/>
      <c r="QCJ227" s="3"/>
      <c r="QCK227" s="3"/>
      <c r="QCL227" s="3"/>
      <c r="QCM227" s="3"/>
      <c r="QCN227" s="3"/>
      <c r="QCO227" s="3"/>
      <c r="QCP227" s="3"/>
      <c r="QCQ227" s="3"/>
      <c r="QCR227" s="3"/>
      <c r="QCS227" s="3"/>
      <c r="QCT227" s="3"/>
      <c r="QCU227" s="3"/>
      <c r="QCV227" s="3"/>
      <c r="QCW227" s="3"/>
      <c r="QCX227" s="3"/>
      <c r="QCY227" s="3"/>
      <c r="QCZ227" s="3"/>
      <c r="QDA227" s="3"/>
      <c r="QDB227" s="3"/>
      <c r="QDC227" s="3"/>
      <c r="QDD227" s="3"/>
      <c r="QDE227" s="3"/>
      <c r="QDF227" s="3"/>
      <c r="QDG227" s="3"/>
      <c r="QDH227" s="3"/>
      <c r="QDI227" s="3"/>
      <c r="QDJ227" s="3"/>
      <c r="QDK227" s="3"/>
      <c r="QDL227" s="3"/>
      <c r="QDM227" s="3"/>
      <c r="QDN227" s="3"/>
      <c r="QDO227" s="3"/>
      <c r="QDP227" s="3"/>
      <c r="QDQ227" s="3"/>
      <c r="QDR227" s="3"/>
      <c r="QDS227" s="3"/>
      <c r="QDT227" s="3"/>
      <c r="QDU227" s="3"/>
      <c r="QDV227" s="3"/>
      <c r="QDW227" s="3"/>
      <c r="QDX227" s="3"/>
      <c r="QDY227" s="3"/>
      <c r="QDZ227" s="3"/>
      <c r="QEA227" s="3"/>
      <c r="QEB227" s="3"/>
      <c r="QEC227" s="3"/>
      <c r="QED227" s="3"/>
      <c r="QEE227" s="3"/>
      <c r="QEF227" s="3"/>
      <c r="QEG227" s="3"/>
      <c r="QEH227" s="3"/>
      <c r="QEI227" s="3"/>
      <c r="QEJ227" s="3"/>
      <c r="QEK227" s="3"/>
      <c r="QEL227" s="3"/>
      <c r="QEM227" s="3"/>
      <c r="QEN227" s="3"/>
      <c r="QEO227" s="3"/>
      <c r="QEP227" s="3"/>
      <c r="QEQ227" s="3"/>
      <c r="QER227" s="3"/>
      <c r="QES227" s="3"/>
      <c r="QET227" s="3"/>
      <c r="QEU227" s="3"/>
      <c r="QEV227" s="3"/>
      <c r="QEW227" s="3"/>
      <c r="QEX227" s="3"/>
      <c r="QEY227" s="3"/>
      <c r="QEZ227" s="3"/>
      <c r="QFA227" s="3"/>
      <c r="QFB227" s="3"/>
      <c r="QFC227" s="3"/>
      <c r="QFD227" s="3"/>
      <c r="QFE227" s="3"/>
      <c r="QFF227" s="3"/>
      <c r="QFG227" s="3"/>
      <c r="QFH227" s="3"/>
      <c r="QFI227" s="3"/>
      <c r="QFJ227" s="3"/>
      <c r="QFK227" s="3"/>
      <c r="QFL227" s="3"/>
      <c r="QFM227" s="3"/>
      <c r="QFN227" s="3"/>
      <c r="QFO227" s="3"/>
      <c r="QFP227" s="3"/>
      <c r="QFQ227" s="3"/>
      <c r="QFR227" s="3"/>
      <c r="QFS227" s="3"/>
      <c r="QFT227" s="3"/>
      <c r="QFU227" s="3"/>
      <c r="QFV227" s="3"/>
      <c r="QFW227" s="3"/>
      <c r="QFX227" s="3"/>
      <c r="QFY227" s="3"/>
      <c r="QFZ227" s="3"/>
      <c r="QGA227" s="3"/>
      <c r="QGB227" s="3"/>
      <c r="QGC227" s="3"/>
      <c r="QGD227" s="3"/>
      <c r="QGE227" s="3"/>
      <c r="QGF227" s="3"/>
      <c r="QGG227" s="3"/>
      <c r="QGH227" s="3"/>
      <c r="QGI227" s="3"/>
      <c r="QGJ227" s="3"/>
      <c r="QGK227" s="3"/>
      <c r="QGL227" s="3"/>
      <c r="QGM227" s="3"/>
      <c r="QGN227" s="3"/>
      <c r="QGO227" s="3"/>
      <c r="QGP227" s="3"/>
      <c r="QGQ227" s="3"/>
      <c r="QGR227" s="3"/>
      <c r="QGS227" s="3"/>
      <c r="QGT227" s="3"/>
      <c r="QGU227" s="3"/>
      <c r="QGV227" s="3"/>
      <c r="QGW227" s="3"/>
      <c r="QGX227" s="3"/>
      <c r="QGY227" s="3"/>
      <c r="QGZ227" s="3"/>
      <c r="QHA227" s="3"/>
      <c r="QHB227" s="3"/>
      <c r="QHC227" s="3"/>
      <c r="QHD227" s="3"/>
      <c r="QHE227" s="3"/>
      <c r="QHF227" s="3"/>
      <c r="QHG227" s="3"/>
      <c r="QHH227" s="3"/>
      <c r="QHI227" s="3"/>
      <c r="QHJ227" s="3"/>
      <c r="QHK227" s="3"/>
      <c r="QHL227" s="3"/>
      <c r="QHM227" s="3"/>
      <c r="QHN227" s="3"/>
      <c r="QHO227" s="3"/>
      <c r="QHP227" s="3"/>
      <c r="QHQ227" s="3"/>
      <c r="QHR227" s="3"/>
      <c r="QHS227" s="3"/>
      <c r="QHT227" s="3"/>
      <c r="QHU227" s="3"/>
      <c r="QHV227" s="3"/>
      <c r="QHW227" s="3"/>
      <c r="QHX227" s="3"/>
      <c r="QHY227" s="3"/>
      <c r="QHZ227" s="3"/>
      <c r="QIA227" s="3"/>
      <c r="QIB227" s="3"/>
      <c r="QIC227" s="3"/>
      <c r="QID227" s="3"/>
      <c r="QIE227" s="3"/>
      <c r="QIF227" s="3"/>
      <c r="QIG227" s="3"/>
      <c r="QIH227" s="3"/>
      <c r="QII227" s="3"/>
      <c r="QIJ227" s="3"/>
      <c r="QIK227" s="3"/>
      <c r="QIL227" s="3"/>
      <c r="QIM227" s="3"/>
      <c r="QIN227" s="3"/>
      <c r="QIO227" s="3"/>
      <c r="QIP227" s="3"/>
      <c r="QIQ227" s="3"/>
      <c r="QIR227" s="3"/>
      <c r="QIS227" s="3"/>
      <c r="QIT227" s="3"/>
      <c r="QIU227" s="3"/>
      <c r="QIV227" s="3"/>
      <c r="QIW227" s="3"/>
      <c r="QIX227" s="3"/>
      <c r="QIY227" s="3"/>
      <c r="QIZ227" s="3"/>
      <c r="QJA227" s="3"/>
      <c r="QJB227" s="3"/>
      <c r="QJC227" s="3"/>
      <c r="QJD227" s="3"/>
      <c r="QJE227" s="3"/>
      <c r="QJF227" s="3"/>
      <c r="QJG227" s="3"/>
      <c r="QJH227" s="3"/>
      <c r="QJI227" s="3"/>
      <c r="QJJ227" s="3"/>
      <c r="QJK227" s="3"/>
      <c r="QJL227" s="3"/>
      <c r="QJM227" s="3"/>
      <c r="QJN227" s="3"/>
      <c r="QJO227" s="3"/>
      <c r="QJP227" s="3"/>
      <c r="QJQ227" s="3"/>
      <c r="QJR227" s="3"/>
      <c r="QJS227" s="3"/>
      <c r="QJT227" s="3"/>
      <c r="QJU227" s="3"/>
      <c r="QJV227" s="3"/>
      <c r="QJW227" s="3"/>
      <c r="QJX227" s="3"/>
      <c r="QJY227" s="3"/>
      <c r="QJZ227" s="3"/>
      <c r="QKA227" s="3"/>
      <c r="QKB227" s="3"/>
      <c r="QKC227" s="3"/>
      <c r="QKD227" s="3"/>
      <c r="QKE227" s="3"/>
      <c r="QKF227" s="3"/>
      <c r="QKG227" s="3"/>
      <c r="QKH227" s="3"/>
      <c r="QKI227" s="3"/>
      <c r="QKJ227" s="3"/>
      <c r="QKK227" s="3"/>
      <c r="QKL227" s="3"/>
      <c r="QKM227" s="3"/>
      <c r="QKN227" s="3"/>
      <c r="QKO227" s="3"/>
      <c r="QKP227" s="3"/>
      <c r="QKQ227" s="3"/>
      <c r="QKR227" s="3"/>
      <c r="QKS227" s="3"/>
      <c r="QKT227" s="3"/>
      <c r="QKU227" s="3"/>
      <c r="QKV227" s="3"/>
      <c r="QKW227" s="3"/>
      <c r="QKX227" s="3"/>
      <c r="QKY227" s="3"/>
      <c r="QKZ227" s="3"/>
      <c r="QLA227" s="3"/>
      <c r="QLB227" s="3"/>
      <c r="QLC227" s="3"/>
      <c r="QLD227" s="3"/>
      <c r="QLE227" s="3"/>
      <c r="QLF227" s="3"/>
      <c r="QLG227" s="3"/>
      <c r="QLH227" s="3"/>
      <c r="QLI227" s="3"/>
      <c r="QLJ227" s="3"/>
      <c r="QLK227" s="3"/>
      <c r="QLL227" s="3"/>
      <c r="QLM227" s="3"/>
      <c r="QLN227" s="3"/>
      <c r="QLO227" s="3"/>
      <c r="QLP227" s="3"/>
      <c r="QLQ227" s="3"/>
      <c r="QLR227" s="3"/>
      <c r="QLS227" s="3"/>
      <c r="QLT227" s="3"/>
      <c r="QLU227" s="3"/>
      <c r="QLV227" s="3"/>
      <c r="QLW227" s="3"/>
      <c r="QLX227" s="3"/>
      <c r="QLY227" s="3"/>
      <c r="QLZ227" s="3"/>
      <c r="QMA227" s="3"/>
      <c r="QMB227" s="3"/>
      <c r="QMC227" s="3"/>
      <c r="QMD227" s="3"/>
      <c r="QME227" s="3"/>
      <c r="QMF227" s="3"/>
      <c r="QMG227" s="3"/>
      <c r="QMH227" s="3"/>
      <c r="QMI227" s="3"/>
      <c r="QMJ227" s="3"/>
      <c r="QMK227" s="3"/>
      <c r="QML227" s="3"/>
      <c r="QMM227" s="3"/>
      <c r="QMN227" s="3"/>
      <c r="QMO227" s="3"/>
      <c r="QMP227" s="3"/>
      <c r="QMQ227" s="3"/>
      <c r="QMR227" s="3"/>
      <c r="QMS227" s="3"/>
      <c r="QMT227" s="3"/>
      <c r="QMU227" s="3"/>
      <c r="QMV227" s="3"/>
      <c r="QMW227" s="3"/>
      <c r="QMX227" s="3"/>
      <c r="QMY227" s="3"/>
      <c r="QMZ227" s="3"/>
      <c r="QNA227" s="3"/>
      <c r="QNB227" s="3"/>
      <c r="QNC227" s="3"/>
      <c r="QND227" s="3"/>
      <c r="QNE227" s="3"/>
      <c r="QNF227" s="3"/>
      <c r="QNG227" s="3"/>
      <c r="QNH227" s="3"/>
      <c r="QNI227" s="3"/>
      <c r="QNJ227" s="3"/>
      <c r="QNK227" s="3"/>
      <c r="QNL227" s="3"/>
      <c r="QNM227" s="3"/>
      <c r="QNN227" s="3"/>
      <c r="QNO227" s="3"/>
      <c r="QNP227" s="3"/>
      <c r="QNQ227" s="3"/>
      <c r="QNR227" s="3"/>
      <c r="QNS227" s="3"/>
      <c r="QNT227" s="3"/>
      <c r="QNU227" s="3"/>
      <c r="QNV227" s="3"/>
      <c r="QNW227" s="3"/>
      <c r="QNX227" s="3"/>
      <c r="QNY227" s="3"/>
      <c r="QNZ227" s="3"/>
      <c r="QOA227" s="3"/>
      <c r="QOB227" s="3"/>
      <c r="QOC227" s="3"/>
      <c r="QOD227" s="3"/>
      <c r="QOE227" s="3"/>
      <c r="QOF227" s="3"/>
      <c r="QOG227" s="3"/>
      <c r="QOH227" s="3"/>
      <c r="QOI227" s="3"/>
      <c r="QOJ227" s="3"/>
      <c r="QOK227" s="3"/>
      <c r="QOL227" s="3"/>
      <c r="QOM227" s="3"/>
      <c r="QON227" s="3"/>
      <c r="QOO227" s="3"/>
      <c r="QOP227" s="3"/>
      <c r="QOQ227" s="3"/>
      <c r="QOR227" s="3"/>
      <c r="QOS227" s="3"/>
      <c r="QOT227" s="3"/>
      <c r="QOU227" s="3"/>
      <c r="QOV227" s="3"/>
      <c r="QOW227" s="3"/>
      <c r="QOX227" s="3"/>
      <c r="QOY227" s="3"/>
      <c r="QOZ227" s="3"/>
      <c r="QPA227" s="3"/>
      <c r="QPB227" s="3"/>
      <c r="QPC227" s="3"/>
      <c r="QPD227" s="3"/>
      <c r="QPE227" s="3"/>
      <c r="QPF227" s="3"/>
      <c r="QPG227" s="3"/>
      <c r="QPH227" s="3"/>
      <c r="QPI227" s="3"/>
      <c r="QPJ227" s="3"/>
      <c r="QPK227" s="3"/>
      <c r="QPL227" s="3"/>
      <c r="QPM227" s="3"/>
      <c r="QPN227" s="3"/>
      <c r="QPO227" s="3"/>
      <c r="QPP227" s="3"/>
      <c r="QPQ227" s="3"/>
      <c r="QPR227" s="3"/>
      <c r="QPS227" s="3"/>
      <c r="QPT227" s="3"/>
      <c r="QPU227" s="3"/>
      <c r="QPV227" s="3"/>
      <c r="QPW227" s="3"/>
      <c r="QPX227" s="3"/>
      <c r="QPY227" s="3"/>
      <c r="QPZ227" s="3"/>
      <c r="QQA227" s="3"/>
      <c r="QQB227" s="3"/>
      <c r="QQC227" s="3"/>
      <c r="QQD227" s="3"/>
      <c r="QQE227" s="3"/>
      <c r="QQF227" s="3"/>
      <c r="QQG227" s="3"/>
      <c r="QQH227" s="3"/>
      <c r="QQI227" s="3"/>
      <c r="QQJ227" s="3"/>
      <c r="QQK227" s="3"/>
      <c r="QQL227" s="3"/>
      <c r="QQM227" s="3"/>
      <c r="QQN227" s="3"/>
      <c r="QQO227" s="3"/>
      <c r="QQP227" s="3"/>
      <c r="QQQ227" s="3"/>
      <c r="QQR227" s="3"/>
      <c r="QQS227" s="3"/>
      <c r="QQT227" s="3"/>
      <c r="QQU227" s="3"/>
      <c r="QQV227" s="3"/>
      <c r="QQW227" s="3"/>
      <c r="QQX227" s="3"/>
      <c r="QQY227" s="3"/>
      <c r="QQZ227" s="3"/>
      <c r="QRA227" s="3"/>
      <c r="QRB227" s="3"/>
      <c r="QRC227" s="3"/>
      <c r="QRD227" s="3"/>
      <c r="QRE227" s="3"/>
      <c r="QRF227" s="3"/>
      <c r="QRG227" s="3"/>
      <c r="QRH227" s="3"/>
      <c r="QRI227" s="3"/>
      <c r="QRJ227" s="3"/>
      <c r="QRK227" s="3"/>
      <c r="QRL227" s="3"/>
      <c r="QRM227" s="3"/>
      <c r="QRN227" s="3"/>
      <c r="QRO227" s="3"/>
      <c r="QRP227" s="3"/>
      <c r="QRQ227" s="3"/>
      <c r="QRR227" s="3"/>
      <c r="QRS227" s="3"/>
      <c r="QRT227" s="3"/>
      <c r="QRU227" s="3"/>
      <c r="QRV227" s="3"/>
      <c r="QRW227" s="3"/>
      <c r="QRX227" s="3"/>
      <c r="QRY227" s="3"/>
      <c r="QRZ227" s="3"/>
      <c r="QSA227" s="3"/>
      <c r="QSB227" s="3"/>
      <c r="QSC227" s="3"/>
      <c r="QSD227" s="3"/>
      <c r="QSE227" s="3"/>
      <c r="QSF227" s="3"/>
      <c r="QSG227" s="3"/>
      <c r="QSH227" s="3"/>
      <c r="QSI227" s="3"/>
      <c r="QSJ227" s="3"/>
      <c r="QSK227" s="3"/>
      <c r="QSL227" s="3"/>
      <c r="QSM227" s="3"/>
      <c r="QSN227" s="3"/>
      <c r="QSO227" s="3"/>
      <c r="QSP227" s="3"/>
      <c r="QSQ227" s="3"/>
      <c r="QSR227" s="3"/>
      <c r="QSS227" s="3"/>
      <c r="QST227" s="3"/>
      <c r="QSU227" s="3"/>
      <c r="QSV227" s="3"/>
      <c r="QSW227" s="3"/>
      <c r="QSX227" s="3"/>
      <c r="QSY227" s="3"/>
      <c r="QSZ227" s="3"/>
      <c r="QTA227" s="3"/>
      <c r="QTB227" s="3"/>
      <c r="QTC227" s="3"/>
      <c r="QTD227" s="3"/>
      <c r="QTE227" s="3"/>
      <c r="QTF227" s="3"/>
      <c r="QTG227" s="3"/>
      <c r="QTH227" s="3"/>
      <c r="QTI227" s="3"/>
      <c r="QTJ227" s="3"/>
      <c r="QTK227" s="3"/>
      <c r="QTL227" s="3"/>
      <c r="QTM227" s="3"/>
      <c r="QTN227" s="3"/>
      <c r="QTO227" s="3"/>
      <c r="QTP227" s="3"/>
      <c r="QTQ227" s="3"/>
      <c r="QTR227" s="3"/>
      <c r="QTS227" s="3"/>
      <c r="QTT227" s="3"/>
      <c r="QTU227" s="3"/>
      <c r="QTV227" s="3"/>
      <c r="QTW227" s="3"/>
      <c r="QTX227" s="3"/>
      <c r="QTY227" s="3"/>
      <c r="QTZ227" s="3"/>
      <c r="QUA227" s="3"/>
      <c r="QUB227" s="3"/>
      <c r="QUC227" s="3"/>
      <c r="QUD227" s="3"/>
      <c r="QUE227" s="3"/>
      <c r="QUF227" s="3"/>
      <c r="QUG227" s="3"/>
      <c r="QUH227" s="3"/>
      <c r="QUI227" s="3"/>
      <c r="QUJ227" s="3"/>
      <c r="QUK227" s="3"/>
      <c r="QUL227" s="3"/>
      <c r="QUM227" s="3"/>
      <c r="QUN227" s="3"/>
      <c r="QUO227" s="3"/>
      <c r="QUP227" s="3"/>
      <c r="QUQ227" s="3"/>
      <c r="QUR227" s="3"/>
      <c r="QUS227" s="3"/>
      <c r="QUT227" s="3"/>
      <c r="QUU227" s="3"/>
      <c r="QUV227" s="3"/>
      <c r="QUW227" s="3"/>
      <c r="QUX227" s="3"/>
      <c r="QUY227" s="3"/>
      <c r="QUZ227" s="3"/>
      <c r="QVA227" s="3"/>
      <c r="QVB227" s="3"/>
      <c r="QVC227" s="3"/>
      <c r="QVD227" s="3"/>
      <c r="QVE227" s="3"/>
      <c r="QVF227" s="3"/>
      <c r="QVG227" s="3"/>
      <c r="QVH227" s="3"/>
      <c r="QVI227" s="3"/>
      <c r="QVJ227" s="3"/>
      <c r="QVK227" s="3"/>
      <c r="QVL227" s="3"/>
      <c r="QVM227" s="3"/>
      <c r="QVN227" s="3"/>
      <c r="QVO227" s="3"/>
      <c r="QVP227" s="3"/>
      <c r="QVQ227" s="3"/>
      <c r="QVR227" s="3"/>
      <c r="QVS227" s="3"/>
      <c r="QVT227" s="3"/>
      <c r="QVU227" s="3"/>
      <c r="QVV227" s="3"/>
      <c r="QVW227" s="3"/>
      <c r="QVX227" s="3"/>
      <c r="QVY227" s="3"/>
      <c r="QVZ227" s="3"/>
      <c r="QWA227" s="3"/>
      <c r="QWB227" s="3"/>
      <c r="QWC227" s="3"/>
      <c r="QWD227" s="3"/>
      <c r="QWE227" s="3"/>
      <c r="QWF227" s="3"/>
      <c r="QWG227" s="3"/>
      <c r="QWH227" s="3"/>
      <c r="QWI227" s="3"/>
      <c r="QWJ227" s="3"/>
      <c r="QWK227" s="3"/>
      <c r="QWL227" s="3"/>
      <c r="QWM227" s="3"/>
      <c r="QWN227" s="3"/>
      <c r="QWO227" s="3"/>
      <c r="QWP227" s="3"/>
      <c r="QWQ227" s="3"/>
      <c r="QWR227" s="3"/>
      <c r="QWS227" s="3"/>
      <c r="QWT227" s="3"/>
      <c r="QWU227" s="3"/>
      <c r="QWV227" s="3"/>
      <c r="QWW227" s="3"/>
      <c r="QWX227" s="3"/>
      <c r="QWY227" s="3"/>
      <c r="QWZ227" s="3"/>
      <c r="QXA227" s="3"/>
      <c r="QXB227" s="3"/>
      <c r="QXC227" s="3"/>
      <c r="QXD227" s="3"/>
      <c r="QXE227" s="3"/>
      <c r="QXF227" s="3"/>
      <c r="QXG227" s="3"/>
      <c r="QXH227" s="3"/>
      <c r="QXI227" s="3"/>
      <c r="QXJ227" s="3"/>
      <c r="QXK227" s="3"/>
      <c r="QXL227" s="3"/>
      <c r="QXM227" s="3"/>
      <c r="QXN227" s="3"/>
      <c r="QXO227" s="3"/>
      <c r="QXP227" s="3"/>
      <c r="QXQ227" s="3"/>
      <c r="QXR227" s="3"/>
      <c r="QXS227" s="3"/>
      <c r="QXT227" s="3"/>
      <c r="QXU227" s="3"/>
      <c r="QXV227" s="3"/>
      <c r="QXW227" s="3"/>
      <c r="QXX227" s="3"/>
      <c r="QXY227" s="3"/>
      <c r="QXZ227" s="3"/>
      <c r="QYA227" s="3"/>
      <c r="QYB227" s="3"/>
      <c r="QYC227" s="3"/>
      <c r="QYD227" s="3"/>
      <c r="QYE227" s="3"/>
      <c r="QYF227" s="3"/>
      <c r="QYG227" s="3"/>
      <c r="QYH227" s="3"/>
      <c r="QYI227" s="3"/>
      <c r="QYJ227" s="3"/>
      <c r="QYK227" s="3"/>
      <c r="QYL227" s="3"/>
      <c r="QYM227" s="3"/>
      <c r="QYN227" s="3"/>
      <c r="QYO227" s="3"/>
      <c r="QYP227" s="3"/>
      <c r="QYQ227" s="3"/>
      <c r="QYR227" s="3"/>
      <c r="QYS227" s="3"/>
      <c r="QYT227" s="3"/>
      <c r="QYU227" s="3"/>
      <c r="QYV227" s="3"/>
      <c r="QYW227" s="3"/>
      <c r="QYX227" s="3"/>
      <c r="QYY227" s="3"/>
      <c r="QYZ227" s="3"/>
      <c r="QZA227" s="3"/>
      <c r="QZB227" s="3"/>
      <c r="QZC227" s="3"/>
      <c r="QZD227" s="3"/>
      <c r="QZE227" s="3"/>
      <c r="QZF227" s="3"/>
      <c r="QZG227" s="3"/>
      <c r="QZH227" s="3"/>
      <c r="QZI227" s="3"/>
      <c r="QZJ227" s="3"/>
      <c r="QZK227" s="3"/>
      <c r="QZL227" s="3"/>
      <c r="QZM227" s="3"/>
      <c r="QZN227" s="3"/>
      <c r="QZO227" s="3"/>
      <c r="QZP227" s="3"/>
      <c r="QZQ227" s="3"/>
      <c r="QZR227" s="3"/>
      <c r="QZS227" s="3"/>
      <c r="QZT227" s="3"/>
      <c r="QZU227" s="3"/>
      <c r="QZV227" s="3"/>
      <c r="QZW227" s="3"/>
      <c r="QZX227" s="3"/>
      <c r="QZY227" s="3"/>
      <c r="QZZ227" s="3"/>
      <c r="RAA227" s="3"/>
      <c r="RAB227" s="3"/>
      <c r="RAC227" s="3"/>
      <c r="RAD227" s="3"/>
      <c r="RAE227" s="3"/>
      <c r="RAF227" s="3"/>
      <c r="RAG227" s="3"/>
      <c r="RAH227" s="3"/>
      <c r="RAI227" s="3"/>
      <c r="RAJ227" s="3"/>
      <c r="RAK227" s="3"/>
      <c r="RAL227" s="3"/>
      <c r="RAM227" s="3"/>
      <c r="RAN227" s="3"/>
      <c r="RAO227" s="3"/>
      <c r="RAP227" s="3"/>
      <c r="RAQ227" s="3"/>
      <c r="RAR227" s="3"/>
      <c r="RAS227" s="3"/>
      <c r="RAT227" s="3"/>
      <c r="RAU227" s="3"/>
      <c r="RAV227" s="3"/>
      <c r="RAW227" s="3"/>
      <c r="RAX227" s="3"/>
      <c r="RAY227" s="3"/>
      <c r="RAZ227" s="3"/>
      <c r="RBA227" s="3"/>
      <c r="RBB227" s="3"/>
      <c r="RBC227" s="3"/>
      <c r="RBD227" s="3"/>
      <c r="RBE227" s="3"/>
      <c r="RBF227" s="3"/>
      <c r="RBG227" s="3"/>
      <c r="RBH227" s="3"/>
      <c r="RBI227" s="3"/>
      <c r="RBJ227" s="3"/>
      <c r="RBK227" s="3"/>
      <c r="RBL227" s="3"/>
      <c r="RBM227" s="3"/>
      <c r="RBN227" s="3"/>
      <c r="RBO227" s="3"/>
      <c r="RBP227" s="3"/>
      <c r="RBQ227" s="3"/>
      <c r="RBR227" s="3"/>
      <c r="RBS227" s="3"/>
      <c r="RBT227" s="3"/>
      <c r="RBU227" s="3"/>
      <c r="RBV227" s="3"/>
      <c r="RBW227" s="3"/>
      <c r="RBX227" s="3"/>
      <c r="RBY227" s="3"/>
      <c r="RBZ227" s="3"/>
      <c r="RCA227" s="3"/>
      <c r="RCB227" s="3"/>
      <c r="RCC227" s="3"/>
      <c r="RCD227" s="3"/>
      <c r="RCE227" s="3"/>
      <c r="RCF227" s="3"/>
      <c r="RCG227" s="3"/>
      <c r="RCH227" s="3"/>
      <c r="RCI227" s="3"/>
      <c r="RCJ227" s="3"/>
      <c r="RCK227" s="3"/>
      <c r="RCL227" s="3"/>
      <c r="RCM227" s="3"/>
      <c r="RCN227" s="3"/>
      <c r="RCO227" s="3"/>
      <c r="RCP227" s="3"/>
      <c r="RCQ227" s="3"/>
      <c r="RCR227" s="3"/>
      <c r="RCS227" s="3"/>
      <c r="RCT227" s="3"/>
      <c r="RCU227" s="3"/>
      <c r="RCV227" s="3"/>
      <c r="RCW227" s="3"/>
      <c r="RCX227" s="3"/>
      <c r="RCY227" s="3"/>
      <c r="RCZ227" s="3"/>
      <c r="RDA227" s="3"/>
      <c r="RDB227" s="3"/>
      <c r="RDC227" s="3"/>
      <c r="RDD227" s="3"/>
      <c r="RDE227" s="3"/>
      <c r="RDF227" s="3"/>
      <c r="RDG227" s="3"/>
      <c r="RDH227" s="3"/>
      <c r="RDI227" s="3"/>
      <c r="RDJ227" s="3"/>
      <c r="RDK227" s="3"/>
      <c r="RDL227" s="3"/>
      <c r="RDM227" s="3"/>
      <c r="RDN227" s="3"/>
      <c r="RDO227" s="3"/>
      <c r="RDP227" s="3"/>
      <c r="RDQ227" s="3"/>
      <c r="RDR227" s="3"/>
      <c r="RDS227" s="3"/>
      <c r="RDT227" s="3"/>
      <c r="RDU227" s="3"/>
      <c r="RDV227" s="3"/>
      <c r="RDW227" s="3"/>
      <c r="RDX227" s="3"/>
      <c r="RDY227" s="3"/>
      <c r="RDZ227" s="3"/>
      <c r="REA227" s="3"/>
      <c r="REB227" s="3"/>
      <c r="REC227" s="3"/>
      <c r="RED227" s="3"/>
      <c r="REE227" s="3"/>
      <c r="REF227" s="3"/>
      <c r="REG227" s="3"/>
      <c r="REH227" s="3"/>
      <c r="REI227" s="3"/>
      <c r="REJ227" s="3"/>
      <c r="REK227" s="3"/>
      <c r="REL227" s="3"/>
      <c r="REM227" s="3"/>
      <c r="REN227" s="3"/>
      <c r="REO227" s="3"/>
      <c r="REP227" s="3"/>
      <c r="REQ227" s="3"/>
      <c r="RER227" s="3"/>
      <c r="RES227" s="3"/>
      <c r="RET227" s="3"/>
      <c r="REU227" s="3"/>
      <c r="REV227" s="3"/>
      <c r="REW227" s="3"/>
      <c r="REX227" s="3"/>
      <c r="REY227" s="3"/>
      <c r="REZ227" s="3"/>
      <c r="RFA227" s="3"/>
      <c r="RFB227" s="3"/>
      <c r="RFC227" s="3"/>
      <c r="RFD227" s="3"/>
      <c r="RFE227" s="3"/>
      <c r="RFF227" s="3"/>
      <c r="RFG227" s="3"/>
      <c r="RFH227" s="3"/>
      <c r="RFI227" s="3"/>
      <c r="RFJ227" s="3"/>
      <c r="RFK227" s="3"/>
      <c r="RFL227" s="3"/>
      <c r="RFM227" s="3"/>
      <c r="RFN227" s="3"/>
      <c r="RFO227" s="3"/>
      <c r="RFP227" s="3"/>
      <c r="RFQ227" s="3"/>
      <c r="RFR227" s="3"/>
      <c r="RFS227" s="3"/>
      <c r="RFT227" s="3"/>
      <c r="RFU227" s="3"/>
      <c r="RFV227" s="3"/>
      <c r="RFW227" s="3"/>
      <c r="RFX227" s="3"/>
      <c r="RFY227" s="3"/>
      <c r="RFZ227" s="3"/>
      <c r="RGA227" s="3"/>
      <c r="RGB227" s="3"/>
      <c r="RGC227" s="3"/>
      <c r="RGD227" s="3"/>
      <c r="RGE227" s="3"/>
      <c r="RGF227" s="3"/>
      <c r="RGG227" s="3"/>
      <c r="RGH227" s="3"/>
      <c r="RGI227" s="3"/>
      <c r="RGJ227" s="3"/>
      <c r="RGK227" s="3"/>
      <c r="RGL227" s="3"/>
      <c r="RGM227" s="3"/>
      <c r="RGN227" s="3"/>
      <c r="RGO227" s="3"/>
      <c r="RGP227" s="3"/>
      <c r="RGQ227" s="3"/>
      <c r="RGR227" s="3"/>
      <c r="RGS227" s="3"/>
      <c r="RGT227" s="3"/>
      <c r="RGU227" s="3"/>
      <c r="RGV227" s="3"/>
      <c r="RGW227" s="3"/>
      <c r="RGX227" s="3"/>
      <c r="RGY227" s="3"/>
      <c r="RGZ227" s="3"/>
      <c r="RHA227" s="3"/>
      <c r="RHB227" s="3"/>
      <c r="RHC227" s="3"/>
      <c r="RHD227" s="3"/>
      <c r="RHE227" s="3"/>
      <c r="RHF227" s="3"/>
      <c r="RHG227" s="3"/>
      <c r="RHH227" s="3"/>
      <c r="RHI227" s="3"/>
      <c r="RHJ227" s="3"/>
      <c r="RHK227" s="3"/>
      <c r="RHL227" s="3"/>
      <c r="RHM227" s="3"/>
      <c r="RHN227" s="3"/>
      <c r="RHO227" s="3"/>
      <c r="RHP227" s="3"/>
      <c r="RHQ227" s="3"/>
      <c r="RHR227" s="3"/>
      <c r="RHS227" s="3"/>
      <c r="RHT227" s="3"/>
      <c r="RHU227" s="3"/>
      <c r="RHV227" s="3"/>
      <c r="RHW227" s="3"/>
      <c r="RHX227" s="3"/>
      <c r="RHY227" s="3"/>
      <c r="RHZ227" s="3"/>
      <c r="RIA227" s="3"/>
      <c r="RIB227" s="3"/>
      <c r="RIC227" s="3"/>
      <c r="RID227" s="3"/>
      <c r="RIE227" s="3"/>
      <c r="RIF227" s="3"/>
      <c r="RIG227" s="3"/>
      <c r="RIH227" s="3"/>
      <c r="RII227" s="3"/>
      <c r="RIJ227" s="3"/>
      <c r="RIK227" s="3"/>
      <c r="RIL227" s="3"/>
      <c r="RIM227" s="3"/>
      <c r="RIN227" s="3"/>
      <c r="RIO227" s="3"/>
      <c r="RIP227" s="3"/>
      <c r="RIQ227" s="3"/>
      <c r="RIR227" s="3"/>
      <c r="RIS227" s="3"/>
      <c r="RIT227" s="3"/>
      <c r="RIU227" s="3"/>
      <c r="RIV227" s="3"/>
      <c r="RIW227" s="3"/>
      <c r="RIX227" s="3"/>
      <c r="RIY227" s="3"/>
      <c r="RIZ227" s="3"/>
      <c r="RJA227" s="3"/>
      <c r="RJB227" s="3"/>
      <c r="RJC227" s="3"/>
      <c r="RJD227" s="3"/>
      <c r="RJE227" s="3"/>
      <c r="RJF227" s="3"/>
      <c r="RJG227" s="3"/>
      <c r="RJH227" s="3"/>
      <c r="RJI227" s="3"/>
      <c r="RJJ227" s="3"/>
      <c r="RJK227" s="3"/>
      <c r="RJL227" s="3"/>
      <c r="RJM227" s="3"/>
      <c r="RJN227" s="3"/>
      <c r="RJO227" s="3"/>
      <c r="RJP227" s="3"/>
      <c r="RJQ227" s="3"/>
      <c r="RJR227" s="3"/>
      <c r="RJS227" s="3"/>
      <c r="RJT227" s="3"/>
      <c r="RJU227" s="3"/>
      <c r="RJV227" s="3"/>
      <c r="RJW227" s="3"/>
      <c r="RJX227" s="3"/>
      <c r="RJY227" s="3"/>
      <c r="RJZ227" s="3"/>
      <c r="RKA227" s="3"/>
      <c r="RKB227" s="3"/>
      <c r="RKC227" s="3"/>
      <c r="RKD227" s="3"/>
      <c r="RKE227" s="3"/>
      <c r="RKF227" s="3"/>
      <c r="RKG227" s="3"/>
      <c r="RKH227" s="3"/>
      <c r="RKI227" s="3"/>
      <c r="RKJ227" s="3"/>
      <c r="RKK227" s="3"/>
      <c r="RKL227" s="3"/>
      <c r="RKM227" s="3"/>
      <c r="RKN227" s="3"/>
      <c r="RKO227" s="3"/>
      <c r="RKP227" s="3"/>
      <c r="RKQ227" s="3"/>
      <c r="RKR227" s="3"/>
      <c r="RKS227" s="3"/>
      <c r="RKT227" s="3"/>
      <c r="RKU227" s="3"/>
      <c r="RKV227" s="3"/>
      <c r="RKW227" s="3"/>
      <c r="RKX227" s="3"/>
      <c r="RKY227" s="3"/>
      <c r="RKZ227" s="3"/>
      <c r="RLA227" s="3"/>
      <c r="RLB227" s="3"/>
      <c r="RLC227" s="3"/>
      <c r="RLD227" s="3"/>
      <c r="RLE227" s="3"/>
      <c r="RLF227" s="3"/>
      <c r="RLG227" s="3"/>
      <c r="RLH227" s="3"/>
      <c r="RLI227" s="3"/>
      <c r="RLJ227" s="3"/>
      <c r="RLK227" s="3"/>
      <c r="RLL227" s="3"/>
      <c r="RLM227" s="3"/>
      <c r="RLN227" s="3"/>
      <c r="RLO227" s="3"/>
      <c r="RLP227" s="3"/>
      <c r="RLQ227" s="3"/>
      <c r="RLR227" s="3"/>
      <c r="RLS227" s="3"/>
      <c r="RLT227" s="3"/>
      <c r="RLU227" s="3"/>
      <c r="RLV227" s="3"/>
      <c r="RLW227" s="3"/>
      <c r="RLX227" s="3"/>
      <c r="RLY227" s="3"/>
      <c r="RLZ227" s="3"/>
      <c r="RMA227" s="3"/>
      <c r="RMB227" s="3"/>
      <c r="RMC227" s="3"/>
      <c r="RMD227" s="3"/>
      <c r="RME227" s="3"/>
      <c r="RMF227" s="3"/>
      <c r="RMG227" s="3"/>
      <c r="RMH227" s="3"/>
      <c r="RMI227" s="3"/>
      <c r="RMJ227" s="3"/>
      <c r="RMK227" s="3"/>
      <c r="RML227" s="3"/>
      <c r="RMM227" s="3"/>
      <c r="RMN227" s="3"/>
      <c r="RMO227" s="3"/>
      <c r="RMP227" s="3"/>
      <c r="RMQ227" s="3"/>
      <c r="RMR227" s="3"/>
      <c r="RMS227" s="3"/>
      <c r="RMT227" s="3"/>
      <c r="RMU227" s="3"/>
      <c r="RMV227" s="3"/>
      <c r="RMW227" s="3"/>
      <c r="RMX227" s="3"/>
      <c r="RMY227" s="3"/>
      <c r="RMZ227" s="3"/>
      <c r="RNA227" s="3"/>
      <c r="RNB227" s="3"/>
      <c r="RNC227" s="3"/>
      <c r="RND227" s="3"/>
      <c r="RNE227" s="3"/>
      <c r="RNF227" s="3"/>
      <c r="RNG227" s="3"/>
      <c r="RNH227" s="3"/>
      <c r="RNI227" s="3"/>
      <c r="RNJ227" s="3"/>
      <c r="RNK227" s="3"/>
      <c r="RNL227" s="3"/>
      <c r="RNM227" s="3"/>
      <c r="RNN227" s="3"/>
      <c r="RNO227" s="3"/>
      <c r="RNP227" s="3"/>
      <c r="RNQ227" s="3"/>
      <c r="RNR227" s="3"/>
      <c r="RNS227" s="3"/>
      <c r="RNT227" s="3"/>
      <c r="RNU227" s="3"/>
      <c r="RNV227" s="3"/>
      <c r="RNW227" s="3"/>
      <c r="RNX227" s="3"/>
      <c r="RNY227" s="3"/>
      <c r="RNZ227" s="3"/>
      <c r="ROA227" s="3"/>
      <c r="ROB227" s="3"/>
      <c r="ROC227" s="3"/>
      <c r="ROD227" s="3"/>
      <c r="ROE227" s="3"/>
      <c r="ROF227" s="3"/>
      <c r="ROG227" s="3"/>
      <c r="ROH227" s="3"/>
      <c r="ROI227" s="3"/>
      <c r="ROJ227" s="3"/>
      <c r="ROK227" s="3"/>
      <c r="ROL227" s="3"/>
      <c r="ROM227" s="3"/>
      <c r="RON227" s="3"/>
      <c r="ROO227" s="3"/>
      <c r="ROP227" s="3"/>
      <c r="ROQ227" s="3"/>
      <c r="ROR227" s="3"/>
      <c r="ROS227" s="3"/>
      <c r="ROT227" s="3"/>
      <c r="ROU227" s="3"/>
      <c r="ROV227" s="3"/>
      <c r="ROW227" s="3"/>
      <c r="ROX227" s="3"/>
      <c r="ROY227" s="3"/>
      <c r="ROZ227" s="3"/>
      <c r="RPA227" s="3"/>
      <c r="RPB227" s="3"/>
      <c r="RPC227" s="3"/>
      <c r="RPD227" s="3"/>
      <c r="RPE227" s="3"/>
      <c r="RPF227" s="3"/>
      <c r="RPG227" s="3"/>
      <c r="RPH227" s="3"/>
      <c r="RPI227" s="3"/>
      <c r="RPJ227" s="3"/>
      <c r="RPK227" s="3"/>
      <c r="RPL227" s="3"/>
      <c r="RPM227" s="3"/>
      <c r="RPN227" s="3"/>
      <c r="RPO227" s="3"/>
      <c r="RPP227" s="3"/>
      <c r="RPQ227" s="3"/>
      <c r="RPR227" s="3"/>
      <c r="RPS227" s="3"/>
      <c r="RPT227" s="3"/>
      <c r="RPU227" s="3"/>
      <c r="RPV227" s="3"/>
      <c r="RPW227" s="3"/>
      <c r="RPX227" s="3"/>
      <c r="RPY227" s="3"/>
      <c r="RPZ227" s="3"/>
      <c r="RQA227" s="3"/>
      <c r="RQB227" s="3"/>
      <c r="RQC227" s="3"/>
      <c r="RQD227" s="3"/>
      <c r="RQE227" s="3"/>
      <c r="RQF227" s="3"/>
      <c r="RQG227" s="3"/>
      <c r="RQH227" s="3"/>
      <c r="RQI227" s="3"/>
      <c r="RQJ227" s="3"/>
      <c r="RQK227" s="3"/>
      <c r="RQL227" s="3"/>
      <c r="RQM227" s="3"/>
      <c r="RQN227" s="3"/>
      <c r="RQO227" s="3"/>
      <c r="RQP227" s="3"/>
      <c r="RQQ227" s="3"/>
      <c r="RQR227" s="3"/>
      <c r="RQS227" s="3"/>
      <c r="RQT227" s="3"/>
      <c r="RQU227" s="3"/>
      <c r="RQV227" s="3"/>
      <c r="RQW227" s="3"/>
      <c r="RQX227" s="3"/>
      <c r="RQY227" s="3"/>
      <c r="RQZ227" s="3"/>
      <c r="RRA227" s="3"/>
      <c r="RRB227" s="3"/>
      <c r="RRC227" s="3"/>
      <c r="RRD227" s="3"/>
      <c r="RRE227" s="3"/>
      <c r="RRF227" s="3"/>
      <c r="RRG227" s="3"/>
      <c r="RRH227" s="3"/>
      <c r="RRI227" s="3"/>
      <c r="RRJ227" s="3"/>
      <c r="RRK227" s="3"/>
      <c r="RRL227" s="3"/>
      <c r="RRM227" s="3"/>
      <c r="RRN227" s="3"/>
      <c r="RRO227" s="3"/>
      <c r="RRP227" s="3"/>
      <c r="RRQ227" s="3"/>
      <c r="RRR227" s="3"/>
      <c r="RRS227" s="3"/>
      <c r="RRT227" s="3"/>
      <c r="RRU227" s="3"/>
      <c r="RRV227" s="3"/>
      <c r="RRW227" s="3"/>
      <c r="RRX227" s="3"/>
      <c r="RRY227" s="3"/>
      <c r="RRZ227" s="3"/>
      <c r="RSA227" s="3"/>
      <c r="RSB227" s="3"/>
      <c r="RSC227" s="3"/>
      <c r="RSD227" s="3"/>
      <c r="RSE227" s="3"/>
      <c r="RSF227" s="3"/>
      <c r="RSG227" s="3"/>
      <c r="RSH227" s="3"/>
      <c r="RSI227" s="3"/>
      <c r="RSJ227" s="3"/>
      <c r="RSK227" s="3"/>
      <c r="RSL227" s="3"/>
      <c r="RSM227" s="3"/>
      <c r="RSN227" s="3"/>
      <c r="RSO227" s="3"/>
      <c r="RSP227" s="3"/>
      <c r="RSQ227" s="3"/>
      <c r="RSR227" s="3"/>
      <c r="RSS227" s="3"/>
      <c r="RST227" s="3"/>
      <c r="RSU227" s="3"/>
      <c r="RSV227" s="3"/>
      <c r="RSW227" s="3"/>
      <c r="RSX227" s="3"/>
      <c r="RSY227" s="3"/>
      <c r="RSZ227" s="3"/>
      <c r="RTA227" s="3"/>
      <c r="RTB227" s="3"/>
      <c r="RTC227" s="3"/>
      <c r="RTD227" s="3"/>
      <c r="RTE227" s="3"/>
      <c r="RTF227" s="3"/>
      <c r="RTG227" s="3"/>
      <c r="RTH227" s="3"/>
      <c r="RTI227" s="3"/>
      <c r="RTJ227" s="3"/>
      <c r="RTK227" s="3"/>
      <c r="RTL227" s="3"/>
      <c r="RTM227" s="3"/>
      <c r="RTN227" s="3"/>
      <c r="RTO227" s="3"/>
      <c r="RTP227" s="3"/>
      <c r="RTQ227" s="3"/>
      <c r="RTR227" s="3"/>
      <c r="RTS227" s="3"/>
      <c r="RTT227" s="3"/>
      <c r="RTU227" s="3"/>
      <c r="RTV227" s="3"/>
      <c r="RTW227" s="3"/>
      <c r="RTX227" s="3"/>
      <c r="RTY227" s="3"/>
      <c r="RTZ227" s="3"/>
      <c r="RUA227" s="3"/>
      <c r="RUB227" s="3"/>
      <c r="RUC227" s="3"/>
      <c r="RUD227" s="3"/>
      <c r="RUE227" s="3"/>
      <c r="RUF227" s="3"/>
      <c r="RUG227" s="3"/>
      <c r="RUH227" s="3"/>
      <c r="RUI227" s="3"/>
      <c r="RUJ227" s="3"/>
      <c r="RUK227" s="3"/>
      <c r="RUL227" s="3"/>
      <c r="RUM227" s="3"/>
      <c r="RUN227" s="3"/>
      <c r="RUO227" s="3"/>
      <c r="RUP227" s="3"/>
      <c r="RUQ227" s="3"/>
      <c r="RUR227" s="3"/>
      <c r="RUS227" s="3"/>
      <c r="RUT227" s="3"/>
      <c r="RUU227" s="3"/>
      <c r="RUV227" s="3"/>
      <c r="RUW227" s="3"/>
      <c r="RUX227" s="3"/>
      <c r="RUY227" s="3"/>
      <c r="RUZ227" s="3"/>
      <c r="RVA227" s="3"/>
      <c r="RVB227" s="3"/>
      <c r="RVC227" s="3"/>
      <c r="RVD227" s="3"/>
      <c r="RVE227" s="3"/>
      <c r="RVF227" s="3"/>
      <c r="RVG227" s="3"/>
      <c r="RVH227" s="3"/>
      <c r="RVI227" s="3"/>
      <c r="RVJ227" s="3"/>
      <c r="RVK227" s="3"/>
      <c r="RVL227" s="3"/>
      <c r="RVM227" s="3"/>
      <c r="RVN227" s="3"/>
      <c r="RVO227" s="3"/>
      <c r="RVP227" s="3"/>
      <c r="RVQ227" s="3"/>
      <c r="RVR227" s="3"/>
      <c r="RVS227" s="3"/>
      <c r="RVT227" s="3"/>
      <c r="RVU227" s="3"/>
      <c r="RVV227" s="3"/>
      <c r="RVW227" s="3"/>
      <c r="RVX227" s="3"/>
      <c r="RVY227" s="3"/>
      <c r="RVZ227" s="3"/>
      <c r="RWA227" s="3"/>
      <c r="RWB227" s="3"/>
      <c r="RWC227" s="3"/>
      <c r="RWD227" s="3"/>
      <c r="RWE227" s="3"/>
      <c r="RWF227" s="3"/>
      <c r="RWG227" s="3"/>
      <c r="RWH227" s="3"/>
      <c r="RWI227" s="3"/>
      <c r="RWJ227" s="3"/>
      <c r="RWK227" s="3"/>
      <c r="RWL227" s="3"/>
      <c r="RWM227" s="3"/>
      <c r="RWN227" s="3"/>
      <c r="RWO227" s="3"/>
      <c r="RWP227" s="3"/>
      <c r="RWQ227" s="3"/>
      <c r="RWR227" s="3"/>
      <c r="RWS227" s="3"/>
      <c r="RWT227" s="3"/>
      <c r="RWU227" s="3"/>
      <c r="RWV227" s="3"/>
      <c r="RWW227" s="3"/>
      <c r="RWX227" s="3"/>
      <c r="RWY227" s="3"/>
      <c r="RWZ227" s="3"/>
      <c r="RXA227" s="3"/>
      <c r="RXB227" s="3"/>
      <c r="RXC227" s="3"/>
      <c r="RXD227" s="3"/>
      <c r="RXE227" s="3"/>
      <c r="RXF227" s="3"/>
      <c r="RXG227" s="3"/>
      <c r="RXH227" s="3"/>
      <c r="RXI227" s="3"/>
      <c r="RXJ227" s="3"/>
      <c r="RXK227" s="3"/>
      <c r="RXL227" s="3"/>
      <c r="RXM227" s="3"/>
      <c r="RXN227" s="3"/>
      <c r="RXO227" s="3"/>
      <c r="RXP227" s="3"/>
      <c r="RXQ227" s="3"/>
      <c r="RXR227" s="3"/>
      <c r="RXS227" s="3"/>
      <c r="RXT227" s="3"/>
      <c r="RXU227" s="3"/>
      <c r="RXV227" s="3"/>
      <c r="RXW227" s="3"/>
      <c r="RXX227" s="3"/>
      <c r="RXY227" s="3"/>
      <c r="RXZ227" s="3"/>
      <c r="RYA227" s="3"/>
      <c r="RYB227" s="3"/>
      <c r="RYC227" s="3"/>
      <c r="RYD227" s="3"/>
      <c r="RYE227" s="3"/>
      <c r="RYF227" s="3"/>
      <c r="RYG227" s="3"/>
      <c r="RYH227" s="3"/>
      <c r="RYI227" s="3"/>
      <c r="RYJ227" s="3"/>
      <c r="RYK227" s="3"/>
      <c r="RYL227" s="3"/>
      <c r="RYM227" s="3"/>
      <c r="RYN227" s="3"/>
      <c r="RYO227" s="3"/>
      <c r="RYP227" s="3"/>
      <c r="RYQ227" s="3"/>
      <c r="RYR227" s="3"/>
      <c r="RYS227" s="3"/>
      <c r="RYT227" s="3"/>
      <c r="RYU227" s="3"/>
      <c r="RYV227" s="3"/>
      <c r="RYW227" s="3"/>
      <c r="RYX227" s="3"/>
      <c r="RYY227" s="3"/>
      <c r="RYZ227" s="3"/>
      <c r="RZA227" s="3"/>
      <c r="RZB227" s="3"/>
      <c r="RZC227" s="3"/>
      <c r="RZD227" s="3"/>
      <c r="RZE227" s="3"/>
      <c r="RZF227" s="3"/>
      <c r="RZG227" s="3"/>
      <c r="RZH227" s="3"/>
      <c r="RZI227" s="3"/>
      <c r="RZJ227" s="3"/>
      <c r="RZK227" s="3"/>
      <c r="RZL227" s="3"/>
      <c r="RZM227" s="3"/>
      <c r="RZN227" s="3"/>
      <c r="RZO227" s="3"/>
      <c r="RZP227" s="3"/>
      <c r="RZQ227" s="3"/>
      <c r="RZR227" s="3"/>
      <c r="RZS227" s="3"/>
      <c r="RZT227" s="3"/>
      <c r="RZU227" s="3"/>
      <c r="RZV227" s="3"/>
      <c r="RZW227" s="3"/>
      <c r="RZX227" s="3"/>
      <c r="RZY227" s="3"/>
      <c r="RZZ227" s="3"/>
      <c r="SAA227" s="3"/>
      <c r="SAB227" s="3"/>
      <c r="SAC227" s="3"/>
      <c r="SAD227" s="3"/>
      <c r="SAE227" s="3"/>
      <c r="SAF227" s="3"/>
      <c r="SAG227" s="3"/>
      <c r="SAH227" s="3"/>
      <c r="SAI227" s="3"/>
      <c r="SAJ227" s="3"/>
      <c r="SAK227" s="3"/>
      <c r="SAL227" s="3"/>
      <c r="SAM227" s="3"/>
      <c r="SAN227" s="3"/>
      <c r="SAO227" s="3"/>
      <c r="SAP227" s="3"/>
      <c r="SAQ227" s="3"/>
      <c r="SAR227" s="3"/>
      <c r="SAS227" s="3"/>
      <c r="SAT227" s="3"/>
      <c r="SAU227" s="3"/>
      <c r="SAV227" s="3"/>
      <c r="SAW227" s="3"/>
      <c r="SAX227" s="3"/>
      <c r="SAY227" s="3"/>
      <c r="SAZ227" s="3"/>
      <c r="SBA227" s="3"/>
      <c r="SBB227" s="3"/>
      <c r="SBC227" s="3"/>
      <c r="SBD227" s="3"/>
      <c r="SBE227" s="3"/>
      <c r="SBF227" s="3"/>
      <c r="SBG227" s="3"/>
      <c r="SBH227" s="3"/>
      <c r="SBI227" s="3"/>
      <c r="SBJ227" s="3"/>
      <c r="SBK227" s="3"/>
      <c r="SBL227" s="3"/>
      <c r="SBM227" s="3"/>
      <c r="SBN227" s="3"/>
      <c r="SBO227" s="3"/>
      <c r="SBP227" s="3"/>
      <c r="SBQ227" s="3"/>
      <c r="SBR227" s="3"/>
      <c r="SBS227" s="3"/>
      <c r="SBT227" s="3"/>
      <c r="SBU227" s="3"/>
      <c r="SBV227" s="3"/>
      <c r="SBW227" s="3"/>
      <c r="SBX227" s="3"/>
      <c r="SBY227" s="3"/>
      <c r="SBZ227" s="3"/>
      <c r="SCA227" s="3"/>
      <c r="SCB227" s="3"/>
      <c r="SCC227" s="3"/>
      <c r="SCD227" s="3"/>
      <c r="SCE227" s="3"/>
      <c r="SCF227" s="3"/>
      <c r="SCG227" s="3"/>
      <c r="SCH227" s="3"/>
      <c r="SCI227" s="3"/>
      <c r="SCJ227" s="3"/>
      <c r="SCK227" s="3"/>
      <c r="SCL227" s="3"/>
      <c r="SCM227" s="3"/>
      <c r="SCN227" s="3"/>
      <c r="SCO227" s="3"/>
      <c r="SCP227" s="3"/>
      <c r="SCQ227" s="3"/>
      <c r="SCR227" s="3"/>
      <c r="SCS227" s="3"/>
      <c r="SCT227" s="3"/>
      <c r="SCU227" s="3"/>
      <c r="SCV227" s="3"/>
      <c r="SCW227" s="3"/>
      <c r="SCX227" s="3"/>
      <c r="SCY227" s="3"/>
      <c r="SCZ227" s="3"/>
      <c r="SDA227" s="3"/>
      <c r="SDB227" s="3"/>
      <c r="SDC227" s="3"/>
      <c r="SDD227" s="3"/>
      <c r="SDE227" s="3"/>
      <c r="SDF227" s="3"/>
      <c r="SDG227" s="3"/>
      <c r="SDH227" s="3"/>
      <c r="SDI227" s="3"/>
      <c r="SDJ227" s="3"/>
      <c r="SDK227" s="3"/>
      <c r="SDL227" s="3"/>
      <c r="SDM227" s="3"/>
      <c r="SDN227" s="3"/>
      <c r="SDO227" s="3"/>
      <c r="SDP227" s="3"/>
      <c r="SDQ227" s="3"/>
      <c r="SDR227" s="3"/>
      <c r="SDS227" s="3"/>
      <c r="SDT227" s="3"/>
      <c r="SDU227" s="3"/>
      <c r="SDV227" s="3"/>
      <c r="SDW227" s="3"/>
      <c r="SDX227" s="3"/>
      <c r="SDY227" s="3"/>
      <c r="SDZ227" s="3"/>
      <c r="SEA227" s="3"/>
      <c r="SEB227" s="3"/>
      <c r="SEC227" s="3"/>
      <c r="SED227" s="3"/>
      <c r="SEE227" s="3"/>
      <c r="SEF227" s="3"/>
      <c r="SEG227" s="3"/>
      <c r="SEH227" s="3"/>
      <c r="SEI227" s="3"/>
      <c r="SEJ227" s="3"/>
      <c r="SEK227" s="3"/>
      <c r="SEL227" s="3"/>
      <c r="SEM227" s="3"/>
      <c r="SEN227" s="3"/>
      <c r="SEO227" s="3"/>
      <c r="SEP227" s="3"/>
      <c r="SEQ227" s="3"/>
      <c r="SER227" s="3"/>
      <c r="SES227" s="3"/>
      <c r="SET227" s="3"/>
      <c r="SEU227" s="3"/>
      <c r="SEV227" s="3"/>
      <c r="SEW227" s="3"/>
      <c r="SEX227" s="3"/>
      <c r="SEY227" s="3"/>
      <c r="SEZ227" s="3"/>
      <c r="SFA227" s="3"/>
      <c r="SFB227" s="3"/>
      <c r="SFC227" s="3"/>
      <c r="SFD227" s="3"/>
      <c r="SFE227" s="3"/>
      <c r="SFF227" s="3"/>
      <c r="SFG227" s="3"/>
      <c r="SFH227" s="3"/>
      <c r="SFI227" s="3"/>
      <c r="SFJ227" s="3"/>
      <c r="SFK227" s="3"/>
      <c r="SFL227" s="3"/>
      <c r="SFM227" s="3"/>
      <c r="SFN227" s="3"/>
      <c r="SFO227" s="3"/>
      <c r="SFP227" s="3"/>
      <c r="SFQ227" s="3"/>
      <c r="SFR227" s="3"/>
      <c r="SFS227" s="3"/>
      <c r="SFT227" s="3"/>
      <c r="SFU227" s="3"/>
      <c r="SFV227" s="3"/>
      <c r="SFW227" s="3"/>
      <c r="SFX227" s="3"/>
      <c r="SFY227" s="3"/>
      <c r="SFZ227" s="3"/>
      <c r="SGA227" s="3"/>
      <c r="SGB227" s="3"/>
      <c r="SGC227" s="3"/>
      <c r="SGD227" s="3"/>
      <c r="SGE227" s="3"/>
      <c r="SGF227" s="3"/>
      <c r="SGG227" s="3"/>
      <c r="SGH227" s="3"/>
      <c r="SGI227" s="3"/>
      <c r="SGJ227" s="3"/>
      <c r="SGK227" s="3"/>
      <c r="SGL227" s="3"/>
      <c r="SGM227" s="3"/>
      <c r="SGN227" s="3"/>
      <c r="SGO227" s="3"/>
      <c r="SGP227" s="3"/>
      <c r="SGQ227" s="3"/>
      <c r="SGR227" s="3"/>
      <c r="SGS227" s="3"/>
      <c r="SGT227" s="3"/>
      <c r="SGU227" s="3"/>
      <c r="SGV227" s="3"/>
      <c r="SGW227" s="3"/>
      <c r="SGX227" s="3"/>
      <c r="SGY227" s="3"/>
      <c r="SGZ227" s="3"/>
      <c r="SHA227" s="3"/>
      <c r="SHB227" s="3"/>
      <c r="SHC227" s="3"/>
      <c r="SHD227" s="3"/>
      <c r="SHE227" s="3"/>
      <c r="SHF227" s="3"/>
      <c r="SHG227" s="3"/>
      <c r="SHH227" s="3"/>
      <c r="SHI227" s="3"/>
      <c r="SHJ227" s="3"/>
      <c r="SHK227" s="3"/>
      <c r="SHL227" s="3"/>
      <c r="SHM227" s="3"/>
      <c r="SHN227" s="3"/>
      <c r="SHO227" s="3"/>
      <c r="SHP227" s="3"/>
      <c r="SHQ227" s="3"/>
      <c r="SHR227" s="3"/>
      <c r="SHS227" s="3"/>
      <c r="SHT227" s="3"/>
      <c r="SHU227" s="3"/>
      <c r="SHV227" s="3"/>
      <c r="SHW227" s="3"/>
      <c r="SHX227" s="3"/>
      <c r="SHY227" s="3"/>
      <c r="SHZ227" s="3"/>
      <c r="SIA227" s="3"/>
      <c r="SIB227" s="3"/>
      <c r="SIC227" s="3"/>
      <c r="SID227" s="3"/>
      <c r="SIE227" s="3"/>
      <c r="SIF227" s="3"/>
      <c r="SIG227" s="3"/>
      <c r="SIH227" s="3"/>
      <c r="SII227" s="3"/>
      <c r="SIJ227" s="3"/>
      <c r="SIK227" s="3"/>
      <c r="SIL227" s="3"/>
      <c r="SIM227" s="3"/>
      <c r="SIN227" s="3"/>
      <c r="SIO227" s="3"/>
      <c r="SIP227" s="3"/>
      <c r="SIQ227" s="3"/>
      <c r="SIR227" s="3"/>
      <c r="SIS227" s="3"/>
      <c r="SIT227" s="3"/>
      <c r="SIU227" s="3"/>
      <c r="SIV227" s="3"/>
      <c r="SIW227" s="3"/>
      <c r="SIX227" s="3"/>
      <c r="SIY227" s="3"/>
      <c r="SIZ227" s="3"/>
      <c r="SJA227" s="3"/>
      <c r="SJB227" s="3"/>
      <c r="SJC227" s="3"/>
      <c r="SJD227" s="3"/>
      <c r="SJE227" s="3"/>
      <c r="SJF227" s="3"/>
      <c r="SJG227" s="3"/>
      <c r="SJH227" s="3"/>
      <c r="SJI227" s="3"/>
      <c r="SJJ227" s="3"/>
      <c r="SJK227" s="3"/>
      <c r="SJL227" s="3"/>
      <c r="SJM227" s="3"/>
      <c r="SJN227" s="3"/>
      <c r="SJO227" s="3"/>
      <c r="SJP227" s="3"/>
      <c r="SJQ227" s="3"/>
      <c r="SJR227" s="3"/>
      <c r="SJS227" s="3"/>
      <c r="SJT227" s="3"/>
      <c r="SJU227" s="3"/>
      <c r="SJV227" s="3"/>
      <c r="SJW227" s="3"/>
      <c r="SJX227" s="3"/>
      <c r="SJY227" s="3"/>
      <c r="SJZ227" s="3"/>
      <c r="SKA227" s="3"/>
      <c r="SKB227" s="3"/>
      <c r="SKC227" s="3"/>
      <c r="SKD227" s="3"/>
      <c r="SKE227" s="3"/>
      <c r="SKF227" s="3"/>
      <c r="SKG227" s="3"/>
      <c r="SKH227" s="3"/>
      <c r="SKI227" s="3"/>
      <c r="SKJ227" s="3"/>
      <c r="SKK227" s="3"/>
      <c r="SKL227" s="3"/>
      <c r="SKM227" s="3"/>
      <c r="SKN227" s="3"/>
      <c r="SKO227" s="3"/>
      <c r="SKP227" s="3"/>
      <c r="SKQ227" s="3"/>
      <c r="SKR227" s="3"/>
      <c r="SKS227" s="3"/>
      <c r="SKT227" s="3"/>
      <c r="SKU227" s="3"/>
      <c r="SKV227" s="3"/>
      <c r="SKW227" s="3"/>
      <c r="SKX227" s="3"/>
      <c r="SKY227" s="3"/>
      <c r="SKZ227" s="3"/>
      <c r="SLA227" s="3"/>
      <c r="SLB227" s="3"/>
      <c r="SLC227" s="3"/>
      <c r="SLD227" s="3"/>
      <c r="SLE227" s="3"/>
      <c r="SLF227" s="3"/>
      <c r="SLG227" s="3"/>
      <c r="SLH227" s="3"/>
      <c r="SLI227" s="3"/>
      <c r="SLJ227" s="3"/>
      <c r="SLK227" s="3"/>
      <c r="SLL227" s="3"/>
      <c r="SLM227" s="3"/>
      <c r="SLN227" s="3"/>
      <c r="SLO227" s="3"/>
      <c r="SLP227" s="3"/>
      <c r="SLQ227" s="3"/>
      <c r="SLR227" s="3"/>
      <c r="SLS227" s="3"/>
      <c r="SLT227" s="3"/>
      <c r="SLU227" s="3"/>
      <c r="SLV227" s="3"/>
      <c r="SLW227" s="3"/>
      <c r="SLX227" s="3"/>
      <c r="SLY227" s="3"/>
      <c r="SLZ227" s="3"/>
      <c r="SMA227" s="3"/>
      <c r="SMB227" s="3"/>
      <c r="SMC227" s="3"/>
      <c r="SMD227" s="3"/>
      <c r="SME227" s="3"/>
      <c r="SMF227" s="3"/>
      <c r="SMG227" s="3"/>
      <c r="SMH227" s="3"/>
      <c r="SMI227" s="3"/>
      <c r="SMJ227" s="3"/>
      <c r="SMK227" s="3"/>
      <c r="SML227" s="3"/>
      <c r="SMM227" s="3"/>
      <c r="SMN227" s="3"/>
      <c r="SMO227" s="3"/>
      <c r="SMP227" s="3"/>
      <c r="SMQ227" s="3"/>
      <c r="SMR227" s="3"/>
      <c r="SMS227" s="3"/>
      <c r="SMT227" s="3"/>
      <c r="SMU227" s="3"/>
      <c r="SMV227" s="3"/>
      <c r="SMW227" s="3"/>
      <c r="SMX227" s="3"/>
      <c r="SMY227" s="3"/>
      <c r="SMZ227" s="3"/>
      <c r="SNA227" s="3"/>
      <c r="SNB227" s="3"/>
      <c r="SNC227" s="3"/>
      <c r="SND227" s="3"/>
      <c r="SNE227" s="3"/>
      <c r="SNF227" s="3"/>
      <c r="SNG227" s="3"/>
      <c r="SNH227" s="3"/>
      <c r="SNI227" s="3"/>
      <c r="SNJ227" s="3"/>
      <c r="SNK227" s="3"/>
      <c r="SNL227" s="3"/>
      <c r="SNM227" s="3"/>
      <c r="SNN227" s="3"/>
      <c r="SNO227" s="3"/>
      <c r="SNP227" s="3"/>
      <c r="SNQ227" s="3"/>
      <c r="SNR227" s="3"/>
      <c r="SNS227" s="3"/>
      <c r="SNT227" s="3"/>
      <c r="SNU227" s="3"/>
      <c r="SNV227" s="3"/>
      <c r="SNW227" s="3"/>
      <c r="SNX227" s="3"/>
      <c r="SNY227" s="3"/>
      <c r="SNZ227" s="3"/>
      <c r="SOA227" s="3"/>
      <c r="SOB227" s="3"/>
      <c r="SOC227" s="3"/>
      <c r="SOD227" s="3"/>
      <c r="SOE227" s="3"/>
      <c r="SOF227" s="3"/>
      <c r="SOG227" s="3"/>
      <c r="SOH227" s="3"/>
      <c r="SOI227" s="3"/>
      <c r="SOJ227" s="3"/>
      <c r="SOK227" s="3"/>
      <c r="SOL227" s="3"/>
      <c r="SOM227" s="3"/>
      <c r="SON227" s="3"/>
      <c r="SOO227" s="3"/>
      <c r="SOP227" s="3"/>
      <c r="SOQ227" s="3"/>
      <c r="SOR227" s="3"/>
      <c r="SOS227" s="3"/>
      <c r="SOT227" s="3"/>
      <c r="SOU227" s="3"/>
      <c r="SOV227" s="3"/>
      <c r="SOW227" s="3"/>
      <c r="SOX227" s="3"/>
      <c r="SOY227" s="3"/>
      <c r="SOZ227" s="3"/>
      <c r="SPA227" s="3"/>
      <c r="SPB227" s="3"/>
      <c r="SPC227" s="3"/>
      <c r="SPD227" s="3"/>
      <c r="SPE227" s="3"/>
      <c r="SPF227" s="3"/>
      <c r="SPG227" s="3"/>
      <c r="SPH227" s="3"/>
      <c r="SPI227" s="3"/>
      <c r="SPJ227" s="3"/>
      <c r="SPK227" s="3"/>
      <c r="SPL227" s="3"/>
      <c r="SPM227" s="3"/>
      <c r="SPN227" s="3"/>
      <c r="SPO227" s="3"/>
      <c r="SPP227" s="3"/>
      <c r="SPQ227" s="3"/>
      <c r="SPR227" s="3"/>
      <c r="SPS227" s="3"/>
      <c r="SPT227" s="3"/>
      <c r="SPU227" s="3"/>
      <c r="SPV227" s="3"/>
      <c r="SPW227" s="3"/>
      <c r="SPX227" s="3"/>
      <c r="SPY227" s="3"/>
      <c r="SPZ227" s="3"/>
      <c r="SQA227" s="3"/>
      <c r="SQB227" s="3"/>
      <c r="SQC227" s="3"/>
      <c r="SQD227" s="3"/>
      <c r="SQE227" s="3"/>
      <c r="SQF227" s="3"/>
      <c r="SQG227" s="3"/>
      <c r="SQH227" s="3"/>
      <c r="SQI227" s="3"/>
      <c r="SQJ227" s="3"/>
      <c r="SQK227" s="3"/>
      <c r="SQL227" s="3"/>
      <c r="SQM227" s="3"/>
      <c r="SQN227" s="3"/>
      <c r="SQO227" s="3"/>
      <c r="SQP227" s="3"/>
      <c r="SQQ227" s="3"/>
      <c r="SQR227" s="3"/>
      <c r="SQS227" s="3"/>
      <c r="SQT227" s="3"/>
      <c r="SQU227" s="3"/>
      <c r="SQV227" s="3"/>
      <c r="SQW227" s="3"/>
      <c r="SQX227" s="3"/>
      <c r="SQY227" s="3"/>
      <c r="SQZ227" s="3"/>
      <c r="SRA227" s="3"/>
      <c r="SRB227" s="3"/>
      <c r="SRC227" s="3"/>
      <c r="SRD227" s="3"/>
      <c r="SRE227" s="3"/>
      <c r="SRF227" s="3"/>
      <c r="SRG227" s="3"/>
      <c r="SRH227" s="3"/>
      <c r="SRI227" s="3"/>
      <c r="SRJ227" s="3"/>
      <c r="SRK227" s="3"/>
      <c r="SRL227" s="3"/>
      <c r="SRM227" s="3"/>
      <c r="SRN227" s="3"/>
      <c r="SRO227" s="3"/>
      <c r="SRP227" s="3"/>
      <c r="SRQ227" s="3"/>
      <c r="SRR227" s="3"/>
      <c r="SRS227" s="3"/>
      <c r="SRT227" s="3"/>
      <c r="SRU227" s="3"/>
      <c r="SRV227" s="3"/>
      <c r="SRW227" s="3"/>
      <c r="SRX227" s="3"/>
      <c r="SRY227" s="3"/>
      <c r="SRZ227" s="3"/>
      <c r="SSA227" s="3"/>
      <c r="SSB227" s="3"/>
      <c r="SSC227" s="3"/>
      <c r="SSD227" s="3"/>
      <c r="SSE227" s="3"/>
      <c r="SSF227" s="3"/>
      <c r="SSG227" s="3"/>
      <c r="SSH227" s="3"/>
      <c r="SSI227" s="3"/>
      <c r="SSJ227" s="3"/>
      <c r="SSK227" s="3"/>
      <c r="SSL227" s="3"/>
      <c r="SSM227" s="3"/>
      <c r="SSN227" s="3"/>
      <c r="SSO227" s="3"/>
      <c r="SSP227" s="3"/>
      <c r="SSQ227" s="3"/>
      <c r="SSR227" s="3"/>
      <c r="SSS227" s="3"/>
      <c r="SST227" s="3"/>
      <c r="SSU227" s="3"/>
      <c r="SSV227" s="3"/>
      <c r="SSW227" s="3"/>
      <c r="SSX227" s="3"/>
      <c r="SSY227" s="3"/>
      <c r="SSZ227" s="3"/>
      <c r="STA227" s="3"/>
      <c r="STB227" s="3"/>
      <c r="STC227" s="3"/>
      <c r="STD227" s="3"/>
      <c r="STE227" s="3"/>
      <c r="STF227" s="3"/>
      <c r="STG227" s="3"/>
      <c r="STH227" s="3"/>
      <c r="STI227" s="3"/>
      <c r="STJ227" s="3"/>
      <c r="STK227" s="3"/>
      <c r="STL227" s="3"/>
      <c r="STM227" s="3"/>
      <c r="STN227" s="3"/>
      <c r="STO227" s="3"/>
      <c r="STP227" s="3"/>
      <c r="STQ227" s="3"/>
      <c r="STR227" s="3"/>
      <c r="STS227" s="3"/>
      <c r="STT227" s="3"/>
      <c r="STU227" s="3"/>
      <c r="STV227" s="3"/>
      <c r="STW227" s="3"/>
      <c r="STX227" s="3"/>
      <c r="STY227" s="3"/>
      <c r="STZ227" s="3"/>
      <c r="SUA227" s="3"/>
      <c r="SUB227" s="3"/>
      <c r="SUC227" s="3"/>
      <c r="SUD227" s="3"/>
      <c r="SUE227" s="3"/>
      <c r="SUF227" s="3"/>
      <c r="SUG227" s="3"/>
      <c r="SUH227" s="3"/>
      <c r="SUI227" s="3"/>
      <c r="SUJ227" s="3"/>
      <c r="SUK227" s="3"/>
      <c r="SUL227" s="3"/>
      <c r="SUM227" s="3"/>
      <c r="SUN227" s="3"/>
      <c r="SUO227" s="3"/>
      <c r="SUP227" s="3"/>
      <c r="SUQ227" s="3"/>
      <c r="SUR227" s="3"/>
      <c r="SUS227" s="3"/>
      <c r="SUT227" s="3"/>
      <c r="SUU227" s="3"/>
      <c r="SUV227" s="3"/>
      <c r="SUW227" s="3"/>
      <c r="SUX227" s="3"/>
      <c r="SUY227" s="3"/>
      <c r="SUZ227" s="3"/>
      <c r="SVA227" s="3"/>
      <c r="SVB227" s="3"/>
      <c r="SVC227" s="3"/>
      <c r="SVD227" s="3"/>
      <c r="SVE227" s="3"/>
      <c r="SVF227" s="3"/>
      <c r="SVG227" s="3"/>
      <c r="SVH227" s="3"/>
      <c r="SVI227" s="3"/>
      <c r="SVJ227" s="3"/>
      <c r="SVK227" s="3"/>
      <c r="SVL227" s="3"/>
      <c r="SVM227" s="3"/>
      <c r="SVN227" s="3"/>
      <c r="SVO227" s="3"/>
      <c r="SVP227" s="3"/>
      <c r="SVQ227" s="3"/>
      <c r="SVR227" s="3"/>
      <c r="SVS227" s="3"/>
      <c r="SVT227" s="3"/>
      <c r="SVU227" s="3"/>
      <c r="SVV227" s="3"/>
      <c r="SVW227" s="3"/>
      <c r="SVX227" s="3"/>
      <c r="SVY227" s="3"/>
      <c r="SVZ227" s="3"/>
      <c r="SWA227" s="3"/>
      <c r="SWB227" s="3"/>
      <c r="SWC227" s="3"/>
      <c r="SWD227" s="3"/>
      <c r="SWE227" s="3"/>
      <c r="SWF227" s="3"/>
      <c r="SWG227" s="3"/>
      <c r="SWH227" s="3"/>
      <c r="SWI227" s="3"/>
      <c r="SWJ227" s="3"/>
      <c r="SWK227" s="3"/>
      <c r="SWL227" s="3"/>
      <c r="SWM227" s="3"/>
      <c r="SWN227" s="3"/>
      <c r="SWO227" s="3"/>
      <c r="SWP227" s="3"/>
      <c r="SWQ227" s="3"/>
      <c r="SWR227" s="3"/>
      <c r="SWS227" s="3"/>
      <c r="SWT227" s="3"/>
      <c r="SWU227" s="3"/>
      <c r="SWV227" s="3"/>
      <c r="SWW227" s="3"/>
      <c r="SWX227" s="3"/>
      <c r="SWY227" s="3"/>
      <c r="SWZ227" s="3"/>
      <c r="SXA227" s="3"/>
      <c r="SXB227" s="3"/>
      <c r="SXC227" s="3"/>
      <c r="SXD227" s="3"/>
      <c r="SXE227" s="3"/>
      <c r="SXF227" s="3"/>
      <c r="SXG227" s="3"/>
      <c r="SXH227" s="3"/>
      <c r="SXI227" s="3"/>
      <c r="SXJ227" s="3"/>
      <c r="SXK227" s="3"/>
      <c r="SXL227" s="3"/>
      <c r="SXM227" s="3"/>
      <c r="SXN227" s="3"/>
      <c r="SXO227" s="3"/>
      <c r="SXP227" s="3"/>
      <c r="SXQ227" s="3"/>
      <c r="SXR227" s="3"/>
      <c r="SXS227" s="3"/>
      <c r="SXT227" s="3"/>
      <c r="SXU227" s="3"/>
      <c r="SXV227" s="3"/>
      <c r="SXW227" s="3"/>
      <c r="SXX227" s="3"/>
      <c r="SXY227" s="3"/>
      <c r="SXZ227" s="3"/>
      <c r="SYA227" s="3"/>
      <c r="SYB227" s="3"/>
      <c r="SYC227" s="3"/>
      <c r="SYD227" s="3"/>
      <c r="SYE227" s="3"/>
      <c r="SYF227" s="3"/>
      <c r="SYG227" s="3"/>
      <c r="SYH227" s="3"/>
      <c r="SYI227" s="3"/>
      <c r="SYJ227" s="3"/>
      <c r="SYK227" s="3"/>
      <c r="SYL227" s="3"/>
      <c r="SYM227" s="3"/>
      <c r="SYN227" s="3"/>
      <c r="SYO227" s="3"/>
      <c r="SYP227" s="3"/>
      <c r="SYQ227" s="3"/>
      <c r="SYR227" s="3"/>
      <c r="SYS227" s="3"/>
      <c r="SYT227" s="3"/>
      <c r="SYU227" s="3"/>
      <c r="SYV227" s="3"/>
      <c r="SYW227" s="3"/>
      <c r="SYX227" s="3"/>
      <c r="SYY227" s="3"/>
      <c r="SYZ227" s="3"/>
      <c r="SZA227" s="3"/>
      <c r="SZB227" s="3"/>
      <c r="SZC227" s="3"/>
      <c r="SZD227" s="3"/>
      <c r="SZE227" s="3"/>
      <c r="SZF227" s="3"/>
      <c r="SZG227" s="3"/>
      <c r="SZH227" s="3"/>
      <c r="SZI227" s="3"/>
      <c r="SZJ227" s="3"/>
      <c r="SZK227" s="3"/>
      <c r="SZL227" s="3"/>
      <c r="SZM227" s="3"/>
      <c r="SZN227" s="3"/>
      <c r="SZO227" s="3"/>
      <c r="SZP227" s="3"/>
      <c r="SZQ227" s="3"/>
      <c r="SZR227" s="3"/>
      <c r="SZS227" s="3"/>
      <c r="SZT227" s="3"/>
      <c r="SZU227" s="3"/>
      <c r="SZV227" s="3"/>
      <c r="SZW227" s="3"/>
      <c r="SZX227" s="3"/>
      <c r="SZY227" s="3"/>
      <c r="SZZ227" s="3"/>
      <c r="TAA227" s="3"/>
      <c r="TAB227" s="3"/>
      <c r="TAC227" s="3"/>
      <c r="TAD227" s="3"/>
      <c r="TAE227" s="3"/>
      <c r="TAF227" s="3"/>
      <c r="TAG227" s="3"/>
      <c r="TAH227" s="3"/>
      <c r="TAI227" s="3"/>
      <c r="TAJ227" s="3"/>
      <c r="TAK227" s="3"/>
      <c r="TAL227" s="3"/>
      <c r="TAM227" s="3"/>
      <c r="TAN227" s="3"/>
      <c r="TAO227" s="3"/>
      <c r="TAP227" s="3"/>
      <c r="TAQ227" s="3"/>
      <c r="TAR227" s="3"/>
      <c r="TAS227" s="3"/>
      <c r="TAT227" s="3"/>
      <c r="TAU227" s="3"/>
      <c r="TAV227" s="3"/>
      <c r="TAW227" s="3"/>
      <c r="TAX227" s="3"/>
      <c r="TAY227" s="3"/>
      <c r="TAZ227" s="3"/>
      <c r="TBA227" s="3"/>
      <c r="TBB227" s="3"/>
      <c r="TBC227" s="3"/>
      <c r="TBD227" s="3"/>
      <c r="TBE227" s="3"/>
      <c r="TBF227" s="3"/>
      <c r="TBG227" s="3"/>
      <c r="TBH227" s="3"/>
      <c r="TBI227" s="3"/>
      <c r="TBJ227" s="3"/>
      <c r="TBK227" s="3"/>
      <c r="TBL227" s="3"/>
      <c r="TBM227" s="3"/>
      <c r="TBN227" s="3"/>
      <c r="TBO227" s="3"/>
      <c r="TBP227" s="3"/>
      <c r="TBQ227" s="3"/>
      <c r="TBR227" s="3"/>
      <c r="TBS227" s="3"/>
      <c r="TBT227" s="3"/>
      <c r="TBU227" s="3"/>
      <c r="TBV227" s="3"/>
      <c r="TBW227" s="3"/>
      <c r="TBX227" s="3"/>
      <c r="TBY227" s="3"/>
      <c r="TBZ227" s="3"/>
      <c r="TCA227" s="3"/>
      <c r="TCB227" s="3"/>
      <c r="TCC227" s="3"/>
      <c r="TCD227" s="3"/>
      <c r="TCE227" s="3"/>
      <c r="TCF227" s="3"/>
      <c r="TCG227" s="3"/>
      <c r="TCH227" s="3"/>
      <c r="TCI227" s="3"/>
      <c r="TCJ227" s="3"/>
      <c r="TCK227" s="3"/>
      <c r="TCL227" s="3"/>
      <c r="TCM227" s="3"/>
      <c r="TCN227" s="3"/>
      <c r="TCO227" s="3"/>
      <c r="TCP227" s="3"/>
      <c r="TCQ227" s="3"/>
      <c r="TCR227" s="3"/>
      <c r="TCS227" s="3"/>
      <c r="TCT227" s="3"/>
      <c r="TCU227" s="3"/>
      <c r="TCV227" s="3"/>
      <c r="TCW227" s="3"/>
      <c r="TCX227" s="3"/>
      <c r="TCY227" s="3"/>
      <c r="TCZ227" s="3"/>
      <c r="TDA227" s="3"/>
      <c r="TDB227" s="3"/>
      <c r="TDC227" s="3"/>
      <c r="TDD227" s="3"/>
      <c r="TDE227" s="3"/>
      <c r="TDF227" s="3"/>
      <c r="TDG227" s="3"/>
      <c r="TDH227" s="3"/>
      <c r="TDI227" s="3"/>
      <c r="TDJ227" s="3"/>
      <c r="TDK227" s="3"/>
      <c r="TDL227" s="3"/>
      <c r="TDM227" s="3"/>
      <c r="TDN227" s="3"/>
      <c r="TDO227" s="3"/>
      <c r="TDP227" s="3"/>
      <c r="TDQ227" s="3"/>
      <c r="TDR227" s="3"/>
      <c r="TDS227" s="3"/>
      <c r="TDT227" s="3"/>
      <c r="TDU227" s="3"/>
      <c r="TDV227" s="3"/>
      <c r="TDW227" s="3"/>
      <c r="TDX227" s="3"/>
      <c r="TDY227" s="3"/>
      <c r="TDZ227" s="3"/>
      <c r="TEA227" s="3"/>
      <c r="TEB227" s="3"/>
      <c r="TEC227" s="3"/>
      <c r="TED227" s="3"/>
      <c r="TEE227" s="3"/>
      <c r="TEF227" s="3"/>
      <c r="TEG227" s="3"/>
      <c r="TEH227" s="3"/>
      <c r="TEI227" s="3"/>
      <c r="TEJ227" s="3"/>
      <c r="TEK227" s="3"/>
      <c r="TEL227" s="3"/>
      <c r="TEM227" s="3"/>
      <c r="TEN227" s="3"/>
      <c r="TEO227" s="3"/>
      <c r="TEP227" s="3"/>
      <c r="TEQ227" s="3"/>
      <c r="TER227" s="3"/>
      <c r="TES227" s="3"/>
      <c r="TET227" s="3"/>
      <c r="TEU227" s="3"/>
      <c r="TEV227" s="3"/>
      <c r="TEW227" s="3"/>
      <c r="TEX227" s="3"/>
      <c r="TEY227" s="3"/>
      <c r="TEZ227" s="3"/>
      <c r="TFA227" s="3"/>
      <c r="TFB227" s="3"/>
      <c r="TFC227" s="3"/>
      <c r="TFD227" s="3"/>
      <c r="TFE227" s="3"/>
      <c r="TFF227" s="3"/>
      <c r="TFG227" s="3"/>
      <c r="TFH227" s="3"/>
      <c r="TFI227" s="3"/>
      <c r="TFJ227" s="3"/>
      <c r="TFK227" s="3"/>
      <c r="TFL227" s="3"/>
      <c r="TFM227" s="3"/>
      <c r="TFN227" s="3"/>
      <c r="TFO227" s="3"/>
      <c r="TFP227" s="3"/>
      <c r="TFQ227" s="3"/>
      <c r="TFR227" s="3"/>
      <c r="TFS227" s="3"/>
      <c r="TFT227" s="3"/>
      <c r="TFU227" s="3"/>
      <c r="TFV227" s="3"/>
      <c r="TFW227" s="3"/>
      <c r="TFX227" s="3"/>
      <c r="TFY227" s="3"/>
      <c r="TFZ227" s="3"/>
      <c r="TGA227" s="3"/>
      <c r="TGB227" s="3"/>
      <c r="TGC227" s="3"/>
      <c r="TGD227" s="3"/>
      <c r="TGE227" s="3"/>
      <c r="TGF227" s="3"/>
      <c r="TGG227" s="3"/>
      <c r="TGH227" s="3"/>
      <c r="TGI227" s="3"/>
      <c r="TGJ227" s="3"/>
      <c r="TGK227" s="3"/>
      <c r="TGL227" s="3"/>
      <c r="TGM227" s="3"/>
      <c r="TGN227" s="3"/>
      <c r="TGO227" s="3"/>
      <c r="TGP227" s="3"/>
      <c r="TGQ227" s="3"/>
      <c r="TGR227" s="3"/>
      <c r="TGS227" s="3"/>
      <c r="TGT227" s="3"/>
      <c r="TGU227" s="3"/>
      <c r="TGV227" s="3"/>
      <c r="TGW227" s="3"/>
      <c r="TGX227" s="3"/>
      <c r="TGY227" s="3"/>
      <c r="TGZ227" s="3"/>
      <c r="THA227" s="3"/>
      <c r="THB227" s="3"/>
      <c r="THC227" s="3"/>
      <c r="THD227" s="3"/>
      <c r="THE227" s="3"/>
      <c r="THF227" s="3"/>
      <c r="THG227" s="3"/>
      <c r="THH227" s="3"/>
      <c r="THI227" s="3"/>
      <c r="THJ227" s="3"/>
      <c r="THK227" s="3"/>
      <c r="THL227" s="3"/>
      <c r="THM227" s="3"/>
      <c r="THN227" s="3"/>
      <c r="THO227" s="3"/>
      <c r="THP227" s="3"/>
      <c r="THQ227" s="3"/>
      <c r="THR227" s="3"/>
      <c r="THS227" s="3"/>
      <c r="THT227" s="3"/>
      <c r="THU227" s="3"/>
      <c r="THV227" s="3"/>
      <c r="THW227" s="3"/>
      <c r="THX227" s="3"/>
      <c r="THY227" s="3"/>
      <c r="THZ227" s="3"/>
      <c r="TIA227" s="3"/>
      <c r="TIB227" s="3"/>
      <c r="TIC227" s="3"/>
      <c r="TID227" s="3"/>
      <c r="TIE227" s="3"/>
      <c r="TIF227" s="3"/>
      <c r="TIG227" s="3"/>
      <c r="TIH227" s="3"/>
      <c r="TII227" s="3"/>
      <c r="TIJ227" s="3"/>
      <c r="TIK227" s="3"/>
      <c r="TIL227" s="3"/>
      <c r="TIM227" s="3"/>
      <c r="TIN227" s="3"/>
      <c r="TIO227" s="3"/>
      <c r="TIP227" s="3"/>
      <c r="TIQ227" s="3"/>
      <c r="TIR227" s="3"/>
      <c r="TIS227" s="3"/>
      <c r="TIT227" s="3"/>
      <c r="TIU227" s="3"/>
      <c r="TIV227" s="3"/>
      <c r="TIW227" s="3"/>
      <c r="TIX227" s="3"/>
      <c r="TIY227" s="3"/>
      <c r="TIZ227" s="3"/>
      <c r="TJA227" s="3"/>
      <c r="TJB227" s="3"/>
      <c r="TJC227" s="3"/>
      <c r="TJD227" s="3"/>
      <c r="TJE227" s="3"/>
      <c r="TJF227" s="3"/>
      <c r="TJG227" s="3"/>
      <c r="TJH227" s="3"/>
      <c r="TJI227" s="3"/>
      <c r="TJJ227" s="3"/>
      <c r="TJK227" s="3"/>
      <c r="TJL227" s="3"/>
      <c r="TJM227" s="3"/>
      <c r="TJN227" s="3"/>
      <c r="TJO227" s="3"/>
      <c r="TJP227" s="3"/>
      <c r="TJQ227" s="3"/>
      <c r="TJR227" s="3"/>
      <c r="TJS227" s="3"/>
      <c r="TJT227" s="3"/>
      <c r="TJU227" s="3"/>
      <c r="TJV227" s="3"/>
      <c r="TJW227" s="3"/>
      <c r="TJX227" s="3"/>
      <c r="TJY227" s="3"/>
      <c r="TJZ227" s="3"/>
      <c r="TKA227" s="3"/>
      <c r="TKB227" s="3"/>
      <c r="TKC227" s="3"/>
      <c r="TKD227" s="3"/>
      <c r="TKE227" s="3"/>
      <c r="TKF227" s="3"/>
      <c r="TKG227" s="3"/>
      <c r="TKH227" s="3"/>
      <c r="TKI227" s="3"/>
      <c r="TKJ227" s="3"/>
      <c r="TKK227" s="3"/>
      <c r="TKL227" s="3"/>
      <c r="TKM227" s="3"/>
      <c r="TKN227" s="3"/>
      <c r="TKO227" s="3"/>
      <c r="TKP227" s="3"/>
      <c r="TKQ227" s="3"/>
      <c r="TKR227" s="3"/>
      <c r="TKS227" s="3"/>
      <c r="TKT227" s="3"/>
      <c r="TKU227" s="3"/>
      <c r="TKV227" s="3"/>
      <c r="TKW227" s="3"/>
      <c r="TKX227" s="3"/>
      <c r="TKY227" s="3"/>
      <c r="TKZ227" s="3"/>
      <c r="TLA227" s="3"/>
      <c r="TLB227" s="3"/>
      <c r="TLC227" s="3"/>
      <c r="TLD227" s="3"/>
      <c r="TLE227" s="3"/>
      <c r="TLF227" s="3"/>
      <c r="TLG227" s="3"/>
      <c r="TLH227" s="3"/>
      <c r="TLI227" s="3"/>
      <c r="TLJ227" s="3"/>
      <c r="TLK227" s="3"/>
      <c r="TLL227" s="3"/>
      <c r="TLM227" s="3"/>
      <c r="TLN227" s="3"/>
      <c r="TLO227" s="3"/>
      <c r="TLP227" s="3"/>
      <c r="TLQ227" s="3"/>
      <c r="TLR227" s="3"/>
      <c r="TLS227" s="3"/>
      <c r="TLT227" s="3"/>
      <c r="TLU227" s="3"/>
      <c r="TLV227" s="3"/>
      <c r="TLW227" s="3"/>
      <c r="TLX227" s="3"/>
      <c r="TLY227" s="3"/>
      <c r="TLZ227" s="3"/>
      <c r="TMA227" s="3"/>
      <c r="TMB227" s="3"/>
      <c r="TMC227" s="3"/>
      <c r="TMD227" s="3"/>
      <c r="TME227" s="3"/>
      <c r="TMF227" s="3"/>
      <c r="TMG227" s="3"/>
      <c r="TMH227" s="3"/>
      <c r="TMI227" s="3"/>
      <c r="TMJ227" s="3"/>
      <c r="TMK227" s="3"/>
      <c r="TML227" s="3"/>
      <c r="TMM227" s="3"/>
      <c r="TMN227" s="3"/>
      <c r="TMO227" s="3"/>
      <c r="TMP227" s="3"/>
      <c r="TMQ227" s="3"/>
      <c r="TMR227" s="3"/>
      <c r="TMS227" s="3"/>
      <c r="TMT227" s="3"/>
      <c r="TMU227" s="3"/>
      <c r="TMV227" s="3"/>
      <c r="TMW227" s="3"/>
      <c r="TMX227" s="3"/>
      <c r="TMY227" s="3"/>
      <c r="TMZ227" s="3"/>
      <c r="TNA227" s="3"/>
      <c r="TNB227" s="3"/>
      <c r="TNC227" s="3"/>
      <c r="TND227" s="3"/>
      <c r="TNE227" s="3"/>
      <c r="TNF227" s="3"/>
      <c r="TNG227" s="3"/>
      <c r="TNH227" s="3"/>
      <c r="TNI227" s="3"/>
      <c r="TNJ227" s="3"/>
      <c r="TNK227" s="3"/>
      <c r="TNL227" s="3"/>
      <c r="TNM227" s="3"/>
      <c r="TNN227" s="3"/>
      <c r="TNO227" s="3"/>
      <c r="TNP227" s="3"/>
      <c r="TNQ227" s="3"/>
      <c r="TNR227" s="3"/>
      <c r="TNS227" s="3"/>
      <c r="TNT227" s="3"/>
      <c r="TNU227" s="3"/>
      <c r="TNV227" s="3"/>
      <c r="TNW227" s="3"/>
      <c r="TNX227" s="3"/>
      <c r="TNY227" s="3"/>
      <c r="TNZ227" s="3"/>
      <c r="TOA227" s="3"/>
      <c r="TOB227" s="3"/>
      <c r="TOC227" s="3"/>
      <c r="TOD227" s="3"/>
      <c r="TOE227" s="3"/>
      <c r="TOF227" s="3"/>
      <c r="TOG227" s="3"/>
      <c r="TOH227" s="3"/>
      <c r="TOI227" s="3"/>
      <c r="TOJ227" s="3"/>
      <c r="TOK227" s="3"/>
      <c r="TOL227" s="3"/>
      <c r="TOM227" s="3"/>
      <c r="TON227" s="3"/>
      <c r="TOO227" s="3"/>
      <c r="TOP227" s="3"/>
      <c r="TOQ227" s="3"/>
      <c r="TOR227" s="3"/>
      <c r="TOS227" s="3"/>
      <c r="TOT227" s="3"/>
      <c r="TOU227" s="3"/>
      <c r="TOV227" s="3"/>
      <c r="TOW227" s="3"/>
      <c r="TOX227" s="3"/>
      <c r="TOY227" s="3"/>
      <c r="TOZ227" s="3"/>
      <c r="TPA227" s="3"/>
      <c r="TPB227" s="3"/>
      <c r="TPC227" s="3"/>
      <c r="TPD227" s="3"/>
      <c r="TPE227" s="3"/>
      <c r="TPF227" s="3"/>
      <c r="TPG227" s="3"/>
      <c r="TPH227" s="3"/>
      <c r="TPI227" s="3"/>
      <c r="TPJ227" s="3"/>
      <c r="TPK227" s="3"/>
      <c r="TPL227" s="3"/>
      <c r="TPM227" s="3"/>
      <c r="TPN227" s="3"/>
      <c r="TPO227" s="3"/>
      <c r="TPP227" s="3"/>
      <c r="TPQ227" s="3"/>
      <c r="TPR227" s="3"/>
      <c r="TPS227" s="3"/>
      <c r="TPT227" s="3"/>
      <c r="TPU227" s="3"/>
      <c r="TPV227" s="3"/>
      <c r="TPW227" s="3"/>
      <c r="TPX227" s="3"/>
      <c r="TPY227" s="3"/>
      <c r="TPZ227" s="3"/>
      <c r="TQA227" s="3"/>
      <c r="TQB227" s="3"/>
      <c r="TQC227" s="3"/>
      <c r="TQD227" s="3"/>
      <c r="TQE227" s="3"/>
      <c r="TQF227" s="3"/>
      <c r="TQG227" s="3"/>
      <c r="TQH227" s="3"/>
      <c r="TQI227" s="3"/>
      <c r="TQJ227" s="3"/>
      <c r="TQK227" s="3"/>
      <c r="TQL227" s="3"/>
      <c r="TQM227" s="3"/>
      <c r="TQN227" s="3"/>
      <c r="TQO227" s="3"/>
      <c r="TQP227" s="3"/>
      <c r="TQQ227" s="3"/>
      <c r="TQR227" s="3"/>
      <c r="TQS227" s="3"/>
      <c r="TQT227" s="3"/>
      <c r="TQU227" s="3"/>
      <c r="TQV227" s="3"/>
      <c r="TQW227" s="3"/>
      <c r="TQX227" s="3"/>
      <c r="TQY227" s="3"/>
      <c r="TQZ227" s="3"/>
      <c r="TRA227" s="3"/>
      <c r="TRB227" s="3"/>
      <c r="TRC227" s="3"/>
      <c r="TRD227" s="3"/>
      <c r="TRE227" s="3"/>
      <c r="TRF227" s="3"/>
      <c r="TRG227" s="3"/>
      <c r="TRH227" s="3"/>
      <c r="TRI227" s="3"/>
      <c r="TRJ227" s="3"/>
      <c r="TRK227" s="3"/>
      <c r="TRL227" s="3"/>
      <c r="TRM227" s="3"/>
      <c r="TRN227" s="3"/>
      <c r="TRO227" s="3"/>
      <c r="TRP227" s="3"/>
      <c r="TRQ227" s="3"/>
      <c r="TRR227" s="3"/>
      <c r="TRS227" s="3"/>
      <c r="TRT227" s="3"/>
      <c r="TRU227" s="3"/>
      <c r="TRV227" s="3"/>
      <c r="TRW227" s="3"/>
      <c r="TRX227" s="3"/>
      <c r="TRY227" s="3"/>
      <c r="TRZ227" s="3"/>
      <c r="TSA227" s="3"/>
      <c r="TSB227" s="3"/>
      <c r="TSC227" s="3"/>
      <c r="TSD227" s="3"/>
      <c r="TSE227" s="3"/>
      <c r="TSF227" s="3"/>
      <c r="TSG227" s="3"/>
      <c r="TSH227" s="3"/>
      <c r="TSI227" s="3"/>
      <c r="TSJ227" s="3"/>
      <c r="TSK227" s="3"/>
      <c r="TSL227" s="3"/>
      <c r="TSM227" s="3"/>
      <c r="TSN227" s="3"/>
      <c r="TSO227" s="3"/>
      <c r="TSP227" s="3"/>
      <c r="TSQ227" s="3"/>
      <c r="TSR227" s="3"/>
      <c r="TSS227" s="3"/>
      <c r="TST227" s="3"/>
      <c r="TSU227" s="3"/>
      <c r="TSV227" s="3"/>
      <c r="TSW227" s="3"/>
      <c r="TSX227" s="3"/>
      <c r="TSY227" s="3"/>
      <c r="TSZ227" s="3"/>
      <c r="TTA227" s="3"/>
      <c r="TTB227" s="3"/>
      <c r="TTC227" s="3"/>
      <c r="TTD227" s="3"/>
      <c r="TTE227" s="3"/>
      <c r="TTF227" s="3"/>
      <c r="TTG227" s="3"/>
      <c r="TTH227" s="3"/>
      <c r="TTI227" s="3"/>
      <c r="TTJ227" s="3"/>
      <c r="TTK227" s="3"/>
      <c r="TTL227" s="3"/>
      <c r="TTM227" s="3"/>
      <c r="TTN227" s="3"/>
      <c r="TTO227" s="3"/>
      <c r="TTP227" s="3"/>
      <c r="TTQ227" s="3"/>
      <c r="TTR227" s="3"/>
      <c r="TTS227" s="3"/>
      <c r="TTT227" s="3"/>
      <c r="TTU227" s="3"/>
      <c r="TTV227" s="3"/>
      <c r="TTW227" s="3"/>
      <c r="TTX227" s="3"/>
      <c r="TTY227" s="3"/>
      <c r="TTZ227" s="3"/>
      <c r="TUA227" s="3"/>
      <c r="TUB227" s="3"/>
      <c r="TUC227" s="3"/>
      <c r="TUD227" s="3"/>
      <c r="TUE227" s="3"/>
      <c r="TUF227" s="3"/>
      <c r="TUG227" s="3"/>
      <c r="TUH227" s="3"/>
      <c r="TUI227" s="3"/>
      <c r="TUJ227" s="3"/>
      <c r="TUK227" s="3"/>
      <c r="TUL227" s="3"/>
      <c r="TUM227" s="3"/>
      <c r="TUN227" s="3"/>
      <c r="TUO227" s="3"/>
      <c r="TUP227" s="3"/>
      <c r="TUQ227" s="3"/>
      <c r="TUR227" s="3"/>
      <c r="TUS227" s="3"/>
      <c r="TUT227" s="3"/>
      <c r="TUU227" s="3"/>
      <c r="TUV227" s="3"/>
      <c r="TUW227" s="3"/>
      <c r="TUX227" s="3"/>
      <c r="TUY227" s="3"/>
      <c r="TUZ227" s="3"/>
      <c r="TVA227" s="3"/>
      <c r="TVB227" s="3"/>
      <c r="TVC227" s="3"/>
      <c r="TVD227" s="3"/>
      <c r="TVE227" s="3"/>
      <c r="TVF227" s="3"/>
      <c r="TVG227" s="3"/>
      <c r="TVH227" s="3"/>
      <c r="TVI227" s="3"/>
      <c r="TVJ227" s="3"/>
      <c r="TVK227" s="3"/>
      <c r="TVL227" s="3"/>
      <c r="TVM227" s="3"/>
      <c r="TVN227" s="3"/>
      <c r="TVO227" s="3"/>
      <c r="TVP227" s="3"/>
      <c r="TVQ227" s="3"/>
      <c r="TVR227" s="3"/>
      <c r="TVS227" s="3"/>
      <c r="TVT227" s="3"/>
      <c r="TVU227" s="3"/>
      <c r="TVV227" s="3"/>
      <c r="TVW227" s="3"/>
      <c r="TVX227" s="3"/>
      <c r="TVY227" s="3"/>
      <c r="TVZ227" s="3"/>
      <c r="TWA227" s="3"/>
      <c r="TWB227" s="3"/>
      <c r="TWC227" s="3"/>
      <c r="TWD227" s="3"/>
      <c r="TWE227" s="3"/>
      <c r="TWF227" s="3"/>
      <c r="TWG227" s="3"/>
      <c r="TWH227" s="3"/>
      <c r="TWI227" s="3"/>
      <c r="TWJ227" s="3"/>
      <c r="TWK227" s="3"/>
      <c r="TWL227" s="3"/>
      <c r="TWM227" s="3"/>
      <c r="TWN227" s="3"/>
      <c r="TWO227" s="3"/>
      <c r="TWP227" s="3"/>
      <c r="TWQ227" s="3"/>
      <c r="TWR227" s="3"/>
      <c r="TWS227" s="3"/>
      <c r="TWT227" s="3"/>
      <c r="TWU227" s="3"/>
      <c r="TWV227" s="3"/>
      <c r="TWW227" s="3"/>
      <c r="TWX227" s="3"/>
      <c r="TWY227" s="3"/>
      <c r="TWZ227" s="3"/>
      <c r="TXA227" s="3"/>
      <c r="TXB227" s="3"/>
      <c r="TXC227" s="3"/>
      <c r="TXD227" s="3"/>
      <c r="TXE227" s="3"/>
      <c r="TXF227" s="3"/>
      <c r="TXG227" s="3"/>
      <c r="TXH227" s="3"/>
      <c r="TXI227" s="3"/>
      <c r="TXJ227" s="3"/>
      <c r="TXK227" s="3"/>
      <c r="TXL227" s="3"/>
      <c r="TXM227" s="3"/>
      <c r="TXN227" s="3"/>
      <c r="TXO227" s="3"/>
      <c r="TXP227" s="3"/>
      <c r="TXQ227" s="3"/>
      <c r="TXR227" s="3"/>
      <c r="TXS227" s="3"/>
      <c r="TXT227" s="3"/>
      <c r="TXU227" s="3"/>
      <c r="TXV227" s="3"/>
      <c r="TXW227" s="3"/>
      <c r="TXX227" s="3"/>
      <c r="TXY227" s="3"/>
      <c r="TXZ227" s="3"/>
      <c r="TYA227" s="3"/>
      <c r="TYB227" s="3"/>
      <c r="TYC227" s="3"/>
      <c r="TYD227" s="3"/>
      <c r="TYE227" s="3"/>
      <c r="TYF227" s="3"/>
      <c r="TYG227" s="3"/>
      <c r="TYH227" s="3"/>
      <c r="TYI227" s="3"/>
      <c r="TYJ227" s="3"/>
      <c r="TYK227" s="3"/>
      <c r="TYL227" s="3"/>
      <c r="TYM227" s="3"/>
      <c r="TYN227" s="3"/>
      <c r="TYO227" s="3"/>
      <c r="TYP227" s="3"/>
      <c r="TYQ227" s="3"/>
      <c r="TYR227" s="3"/>
      <c r="TYS227" s="3"/>
      <c r="TYT227" s="3"/>
      <c r="TYU227" s="3"/>
      <c r="TYV227" s="3"/>
      <c r="TYW227" s="3"/>
      <c r="TYX227" s="3"/>
      <c r="TYY227" s="3"/>
      <c r="TYZ227" s="3"/>
      <c r="TZA227" s="3"/>
      <c r="TZB227" s="3"/>
      <c r="TZC227" s="3"/>
      <c r="TZD227" s="3"/>
      <c r="TZE227" s="3"/>
      <c r="TZF227" s="3"/>
      <c r="TZG227" s="3"/>
      <c r="TZH227" s="3"/>
      <c r="TZI227" s="3"/>
      <c r="TZJ227" s="3"/>
      <c r="TZK227" s="3"/>
      <c r="TZL227" s="3"/>
      <c r="TZM227" s="3"/>
      <c r="TZN227" s="3"/>
      <c r="TZO227" s="3"/>
      <c r="TZP227" s="3"/>
      <c r="TZQ227" s="3"/>
      <c r="TZR227" s="3"/>
      <c r="TZS227" s="3"/>
      <c r="TZT227" s="3"/>
      <c r="TZU227" s="3"/>
      <c r="TZV227" s="3"/>
      <c r="TZW227" s="3"/>
      <c r="TZX227" s="3"/>
      <c r="TZY227" s="3"/>
      <c r="TZZ227" s="3"/>
      <c r="UAA227" s="3"/>
      <c r="UAB227" s="3"/>
      <c r="UAC227" s="3"/>
      <c r="UAD227" s="3"/>
      <c r="UAE227" s="3"/>
      <c r="UAF227" s="3"/>
      <c r="UAG227" s="3"/>
      <c r="UAH227" s="3"/>
      <c r="UAI227" s="3"/>
      <c r="UAJ227" s="3"/>
      <c r="UAK227" s="3"/>
      <c r="UAL227" s="3"/>
      <c r="UAM227" s="3"/>
      <c r="UAN227" s="3"/>
      <c r="UAO227" s="3"/>
      <c r="UAP227" s="3"/>
      <c r="UAQ227" s="3"/>
      <c r="UAR227" s="3"/>
      <c r="UAS227" s="3"/>
      <c r="UAT227" s="3"/>
      <c r="UAU227" s="3"/>
      <c r="UAV227" s="3"/>
      <c r="UAW227" s="3"/>
      <c r="UAX227" s="3"/>
      <c r="UAY227" s="3"/>
      <c r="UAZ227" s="3"/>
      <c r="UBA227" s="3"/>
      <c r="UBB227" s="3"/>
      <c r="UBC227" s="3"/>
      <c r="UBD227" s="3"/>
      <c r="UBE227" s="3"/>
      <c r="UBF227" s="3"/>
      <c r="UBG227" s="3"/>
      <c r="UBH227" s="3"/>
      <c r="UBI227" s="3"/>
      <c r="UBJ227" s="3"/>
      <c r="UBK227" s="3"/>
      <c r="UBL227" s="3"/>
      <c r="UBM227" s="3"/>
      <c r="UBN227" s="3"/>
      <c r="UBO227" s="3"/>
      <c r="UBP227" s="3"/>
      <c r="UBQ227" s="3"/>
      <c r="UBR227" s="3"/>
      <c r="UBS227" s="3"/>
      <c r="UBT227" s="3"/>
      <c r="UBU227" s="3"/>
      <c r="UBV227" s="3"/>
      <c r="UBW227" s="3"/>
      <c r="UBX227" s="3"/>
      <c r="UBY227" s="3"/>
      <c r="UBZ227" s="3"/>
      <c r="UCA227" s="3"/>
      <c r="UCB227" s="3"/>
      <c r="UCC227" s="3"/>
      <c r="UCD227" s="3"/>
      <c r="UCE227" s="3"/>
      <c r="UCF227" s="3"/>
      <c r="UCG227" s="3"/>
      <c r="UCH227" s="3"/>
      <c r="UCI227" s="3"/>
      <c r="UCJ227" s="3"/>
      <c r="UCK227" s="3"/>
      <c r="UCL227" s="3"/>
      <c r="UCM227" s="3"/>
      <c r="UCN227" s="3"/>
      <c r="UCO227" s="3"/>
      <c r="UCP227" s="3"/>
      <c r="UCQ227" s="3"/>
      <c r="UCR227" s="3"/>
      <c r="UCS227" s="3"/>
      <c r="UCT227" s="3"/>
      <c r="UCU227" s="3"/>
      <c r="UCV227" s="3"/>
      <c r="UCW227" s="3"/>
      <c r="UCX227" s="3"/>
      <c r="UCY227" s="3"/>
      <c r="UCZ227" s="3"/>
      <c r="UDA227" s="3"/>
      <c r="UDB227" s="3"/>
      <c r="UDC227" s="3"/>
      <c r="UDD227" s="3"/>
      <c r="UDE227" s="3"/>
      <c r="UDF227" s="3"/>
      <c r="UDG227" s="3"/>
      <c r="UDH227" s="3"/>
      <c r="UDI227" s="3"/>
      <c r="UDJ227" s="3"/>
      <c r="UDK227" s="3"/>
      <c r="UDL227" s="3"/>
      <c r="UDM227" s="3"/>
      <c r="UDN227" s="3"/>
      <c r="UDO227" s="3"/>
      <c r="UDP227" s="3"/>
      <c r="UDQ227" s="3"/>
      <c r="UDR227" s="3"/>
      <c r="UDS227" s="3"/>
      <c r="UDT227" s="3"/>
      <c r="UDU227" s="3"/>
      <c r="UDV227" s="3"/>
      <c r="UDW227" s="3"/>
      <c r="UDX227" s="3"/>
      <c r="UDY227" s="3"/>
      <c r="UDZ227" s="3"/>
      <c r="UEA227" s="3"/>
      <c r="UEB227" s="3"/>
      <c r="UEC227" s="3"/>
      <c r="UED227" s="3"/>
      <c r="UEE227" s="3"/>
      <c r="UEF227" s="3"/>
      <c r="UEG227" s="3"/>
      <c r="UEH227" s="3"/>
      <c r="UEI227" s="3"/>
      <c r="UEJ227" s="3"/>
      <c r="UEK227" s="3"/>
      <c r="UEL227" s="3"/>
      <c r="UEM227" s="3"/>
      <c r="UEN227" s="3"/>
      <c r="UEO227" s="3"/>
      <c r="UEP227" s="3"/>
      <c r="UEQ227" s="3"/>
      <c r="UER227" s="3"/>
      <c r="UES227" s="3"/>
      <c r="UET227" s="3"/>
      <c r="UEU227" s="3"/>
      <c r="UEV227" s="3"/>
      <c r="UEW227" s="3"/>
      <c r="UEX227" s="3"/>
      <c r="UEY227" s="3"/>
      <c r="UEZ227" s="3"/>
      <c r="UFA227" s="3"/>
      <c r="UFB227" s="3"/>
      <c r="UFC227" s="3"/>
      <c r="UFD227" s="3"/>
      <c r="UFE227" s="3"/>
      <c r="UFF227" s="3"/>
      <c r="UFG227" s="3"/>
      <c r="UFH227" s="3"/>
      <c r="UFI227" s="3"/>
      <c r="UFJ227" s="3"/>
      <c r="UFK227" s="3"/>
      <c r="UFL227" s="3"/>
      <c r="UFM227" s="3"/>
      <c r="UFN227" s="3"/>
      <c r="UFO227" s="3"/>
      <c r="UFP227" s="3"/>
      <c r="UFQ227" s="3"/>
      <c r="UFR227" s="3"/>
      <c r="UFS227" s="3"/>
      <c r="UFT227" s="3"/>
      <c r="UFU227" s="3"/>
      <c r="UFV227" s="3"/>
      <c r="UFW227" s="3"/>
      <c r="UFX227" s="3"/>
      <c r="UFY227" s="3"/>
      <c r="UFZ227" s="3"/>
      <c r="UGA227" s="3"/>
      <c r="UGB227" s="3"/>
      <c r="UGC227" s="3"/>
      <c r="UGD227" s="3"/>
      <c r="UGE227" s="3"/>
      <c r="UGF227" s="3"/>
      <c r="UGG227" s="3"/>
      <c r="UGH227" s="3"/>
      <c r="UGI227" s="3"/>
      <c r="UGJ227" s="3"/>
      <c r="UGK227" s="3"/>
      <c r="UGL227" s="3"/>
      <c r="UGM227" s="3"/>
      <c r="UGN227" s="3"/>
      <c r="UGO227" s="3"/>
      <c r="UGP227" s="3"/>
      <c r="UGQ227" s="3"/>
      <c r="UGR227" s="3"/>
      <c r="UGS227" s="3"/>
      <c r="UGT227" s="3"/>
      <c r="UGU227" s="3"/>
      <c r="UGV227" s="3"/>
      <c r="UGW227" s="3"/>
      <c r="UGX227" s="3"/>
      <c r="UGY227" s="3"/>
      <c r="UGZ227" s="3"/>
      <c r="UHA227" s="3"/>
      <c r="UHB227" s="3"/>
      <c r="UHC227" s="3"/>
      <c r="UHD227" s="3"/>
      <c r="UHE227" s="3"/>
      <c r="UHF227" s="3"/>
      <c r="UHG227" s="3"/>
      <c r="UHH227" s="3"/>
      <c r="UHI227" s="3"/>
      <c r="UHJ227" s="3"/>
      <c r="UHK227" s="3"/>
      <c r="UHL227" s="3"/>
      <c r="UHM227" s="3"/>
      <c r="UHN227" s="3"/>
      <c r="UHO227" s="3"/>
      <c r="UHP227" s="3"/>
      <c r="UHQ227" s="3"/>
      <c r="UHR227" s="3"/>
      <c r="UHS227" s="3"/>
      <c r="UHT227" s="3"/>
      <c r="UHU227" s="3"/>
      <c r="UHV227" s="3"/>
      <c r="UHW227" s="3"/>
      <c r="UHX227" s="3"/>
      <c r="UHY227" s="3"/>
      <c r="UHZ227" s="3"/>
      <c r="UIA227" s="3"/>
      <c r="UIB227" s="3"/>
      <c r="UIC227" s="3"/>
      <c r="UID227" s="3"/>
      <c r="UIE227" s="3"/>
      <c r="UIF227" s="3"/>
      <c r="UIG227" s="3"/>
      <c r="UIH227" s="3"/>
      <c r="UII227" s="3"/>
      <c r="UIJ227" s="3"/>
      <c r="UIK227" s="3"/>
      <c r="UIL227" s="3"/>
      <c r="UIM227" s="3"/>
      <c r="UIN227" s="3"/>
      <c r="UIO227" s="3"/>
      <c r="UIP227" s="3"/>
      <c r="UIQ227" s="3"/>
      <c r="UIR227" s="3"/>
      <c r="UIS227" s="3"/>
      <c r="UIT227" s="3"/>
      <c r="UIU227" s="3"/>
      <c r="UIV227" s="3"/>
      <c r="UIW227" s="3"/>
      <c r="UIX227" s="3"/>
      <c r="UIY227" s="3"/>
      <c r="UIZ227" s="3"/>
      <c r="UJA227" s="3"/>
      <c r="UJB227" s="3"/>
      <c r="UJC227" s="3"/>
      <c r="UJD227" s="3"/>
      <c r="UJE227" s="3"/>
      <c r="UJF227" s="3"/>
      <c r="UJG227" s="3"/>
      <c r="UJH227" s="3"/>
      <c r="UJI227" s="3"/>
      <c r="UJJ227" s="3"/>
      <c r="UJK227" s="3"/>
      <c r="UJL227" s="3"/>
      <c r="UJM227" s="3"/>
      <c r="UJN227" s="3"/>
      <c r="UJO227" s="3"/>
      <c r="UJP227" s="3"/>
      <c r="UJQ227" s="3"/>
      <c r="UJR227" s="3"/>
      <c r="UJS227" s="3"/>
      <c r="UJT227" s="3"/>
      <c r="UJU227" s="3"/>
      <c r="UJV227" s="3"/>
      <c r="UJW227" s="3"/>
      <c r="UJX227" s="3"/>
      <c r="UJY227" s="3"/>
      <c r="UJZ227" s="3"/>
      <c r="UKA227" s="3"/>
      <c r="UKB227" s="3"/>
      <c r="UKC227" s="3"/>
      <c r="UKD227" s="3"/>
      <c r="UKE227" s="3"/>
      <c r="UKF227" s="3"/>
      <c r="UKG227" s="3"/>
      <c r="UKH227" s="3"/>
      <c r="UKI227" s="3"/>
      <c r="UKJ227" s="3"/>
      <c r="UKK227" s="3"/>
      <c r="UKL227" s="3"/>
      <c r="UKM227" s="3"/>
      <c r="UKN227" s="3"/>
      <c r="UKO227" s="3"/>
      <c r="UKP227" s="3"/>
      <c r="UKQ227" s="3"/>
      <c r="UKR227" s="3"/>
      <c r="UKS227" s="3"/>
      <c r="UKT227" s="3"/>
      <c r="UKU227" s="3"/>
      <c r="UKV227" s="3"/>
      <c r="UKW227" s="3"/>
      <c r="UKX227" s="3"/>
      <c r="UKY227" s="3"/>
      <c r="UKZ227" s="3"/>
      <c r="ULA227" s="3"/>
      <c r="ULB227" s="3"/>
      <c r="ULC227" s="3"/>
      <c r="ULD227" s="3"/>
      <c r="ULE227" s="3"/>
      <c r="ULF227" s="3"/>
      <c r="ULG227" s="3"/>
      <c r="ULH227" s="3"/>
      <c r="ULI227" s="3"/>
      <c r="ULJ227" s="3"/>
      <c r="ULK227" s="3"/>
      <c r="ULL227" s="3"/>
      <c r="ULM227" s="3"/>
      <c r="ULN227" s="3"/>
      <c r="ULO227" s="3"/>
      <c r="ULP227" s="3"/>
      <c r="ULQ227" s="3"/>
      <c r="ULR227" s="3"/>
      <c r="ULS227" s="3"/>
      <c r="ULT227" s="3"/>
      <c r="ULU227" s="3"/>
      <c r="ULV227" s="3"/>
      <c r="ULW227" s="3"/>
      <c r="ULX227" s="3"/>
      <c r="ULY227" s="3"/>
      <c r="ULZ227" s="3"/>
      <c r="UMA227" s="3"/>
      <c r="UMB227" s="3"/>
      <c r="UMC227" s="3"/>
      <c r="UMD227" s="3"/>
      <c r="UME227" s="3"/>
      <c r="UMF227" s="3"/>
      <c r="UMG227" s="3"/>
      <c r="UMH227" s="3"/>
      <c r="UMI227" s="3"/>
      <c r="UMJ227" s="3"/>
      <c r="UMK227" s="3"/>
      <c r="UML227" s="3"/>
      <c r="UMM227" s="3"/>
      <c r="UMN227" s="3"/>
      <c r="UMO227" s="3"/>
      <c r="UMP227" s="3"/>
      <c r="UMQ227" s="3"/>
      <c r="UMR227" s="3"/>
      <c r="UMS227" s="3"/>
      <c r="UMT227" s="3"/>
      <c r="UMU227" s="3"/>
      <c r="UMV227" s="3"/>
      <c r="UMW227" s="3"/>
      <c r="UMX227" s="3"/>
      <c r="UMY227" s="3"/>
      <c r="UMZ227" s="3"/>
      <c r="UNA227" s="3"/>
      <c r="UNB227" s="3"/>
      <c r="UNC227" s="3"/>
      <c r="UND227" s="3"/>
      <c r="UNE227" s="3"/>
      <c r="UNF227" s="3"/>
      <c r="UNG227" s="3"/>
      <c r="UNH227" s="3"/>
      <c r="UNI227" s="3"/>
      <c r="UNJ227" s="3"/>
      <c r="UNK227" s="3"/>
      <c r="UNL227" s="3"/>
      <c r="UNM227" s="3"/>
      <c r="UNN227" s="3"/>
      <c r="UNO227" s="3"/>
      <c r="UNP227" s="3"/>
      <c r="UNQ227" s="3"/>
      <c r="UNR227" s="3"/>
      <c r="UNS227" s="3"/>
      <c r="UNT227" s="3"/>
      <c r="UNU227" s="3"/>
      <c r="UNV227" s="3"/>
      <c r="UNW227" s="3"/>
      <c r="UNX227" s="3"/>
      <c r="UNY227" s="3"/>
      <c r="UNZ227" s="3"/>
      <c r="UOA227" s="3"/>
      <c r="UOB227" s="3"/>
      <c r="UOC227" s="3"/>
      <c r="UOD227" s="3"/>
      <c r="UOE227" s="3"/>
      <c r="UOF227" s="3"/>
      <c r="UOG227" s="3"/>
      <c r="UOH227" s="3"/>
      <c r="UOI227" s="3"/>
      <c r="UOJ227" s="3"/>
      <c r="UOK227" s="3"/>
      <c r="UOL227" s="3"/>
      <c r="UOM227" s="3"/>
      <c r="UON227" s="3"/>
      <c r="UOO227" s="3"/>
      <c r="UOP227" s="3"/>
      <c r="UOQ227" s="3"/>
      <c r="UOR227" s="3"/>
      <c r="UOS227" s="3"/>
      <c r="UOT227" s="3"/>
      <c r="UOU227" s="3"/>
      <c r="UOV227" s="3"/>
      <c r="UOW227" s="3"/>
      <c r="UOX227" s="3"/>
      <c r="UOY227" s="3"/>
      <c r="UOZ227" s="3"/>
      <c r="UPA227" s="3"/>
      <c r="UPB227" s="3"/>
      <c r="UPC227" s="3"/>
      <c r="UPD227" s="3"/>
      <c r="UPE227" s="3"/>
      <c r="UPF227" s="3"/>
      <c r="UPG227" s="3"/>
      <c r="UPH227" s="3"/>
      <c r="UPI227" s="3"/>
      <c r="UPJ227" s="3"/>
      <c r="UPK227" s="3"/>
      <c r="UPL227" s="3"/>
      <c r="UPM227" s="3"/>
      <c r="UPN227" s="3"/>
      <c r="UPO227" s="3"/>
      <c r="UPP227" s="3"/>
      <c r="UPQ227" s="3"/>
      <c r="UPR227" s="3"/>
      <c r="UPS227" s="3"/>
      <c r="UPT227" s="3"/>
      <c r="UPU227" s="3"/>
      <c r="UPV227" s="3"/>
      <c r="UPW227" s="3"/>
      <c r="UPX227" s="3"/>
      <c r="UPY227" s="3"/>
      <c r="UPZ227" s="3"/>
      <c r="UQA227" s="3"/>
      <c r="UQB227" s="3"/>
      <c r="UQC227" s="3"/>
      <c r="UQD227" s="3"/>
      <c r="UQE227" s="3"/>
      <c r="UQF227" s="3"/>
      <c r="UQG227" s="3"/>
      <c r="UQH227" s="3"/>
      <c r="UQI227" s="3"/>
      <c r="UQJ227" s="3"/>
      <c r="UQK227" s="3"/>
      <c r="UQL227" s="3"/>
      <c r="UQM227" s="3"/>
      <c r="UQN227" s="3"/>
      <c r="UQO227" s="3"/>
      <c r="UQP227" s="3"/>
      <c r="UQQ227" s="3"/>
      <c r="UQR227" s="3"/>
      <c r="UQS227" s="3"/>
      <c r="UQT227" s="3"/>
      <c r="UQU227" s="3"/>
      <c r="UQV227" s="3"/>
      <c r="UQW227" s="3"/>
      <c r="UQX227" s="3"/>
      <c r="UQY227" s="3"/>
      <c r="UQZ227" s="3"/>
      <c r="URA227" s="3"/>
      <c r="URB227" s="3"/>
      <c r="URC227" s="3"/>
      <c r="URD227" s="3"/>
      <c r="URE227" s="3"/>
      <c r="URF227" s="3"/>
      <c r="URG227" s="3"/>
      <c r="URH227" s="3"/>
      <c r="URI227" s="3"/>
      <c r="URJ227" s="3"/>
      <c r="URK227" s="3"/>
      <c r="URL227" s="3"/>
      <c r="URM227" s="3"/>
      <c r="URN227" s="3"/>
      <c r="URO227" s="3"/>
      <c r="URP227" s="3"/>
      <c r="URQ227" s="3"/>
      <c r="URR227" s="3"/>
      <c r="URS227" s="3"/>
      <c r="URT227" s="3"/>
      <c r="URU227" s="3"/>
      <c r="URV227" s="3"/>
      <c r="URW227" s="3"/>
      <c r="URX227" s="3"/>
      <c r="URY227" s="3"/>
      <c r="URZ227" s="3"/>
      <c r="USA227" s="3"/>
      <c r="USB227" s="3"/>
      <c r="USC227" s="3"/>
      <c r="USD227" s="3"/>
      <c r="USE227" s="3"/>
      <c r="USF227" s="3"/>
      <c r="USG227" s="3"/>
      <c r="USH227" s="3"/>
      <c r="USI227" s="3"/>
      <c r="USJ227" s="3"/>
      <c r="USK227" s="3"/>
      <c r="USL227" s="3"/>
      <c r="USM227" s="3"/>
      <c r="USN227" s="3"/>
      <c r="USO227" s="3"/>
      <c r="USP227" s="3"/>
      <c r="USQ227" s="3"/>
      <c r="USR227" s="3"/>
      <c r="USS227" s="3"/>
      <c r="UST227" s="3"/>
      <c r="USU227" s="3"/>
      <c r="USV227" s="3"/>
      <c r="USW227" s="3"/>
      <c r="USX227" s="3"/>
      <c r="USY227" s="3"/>
      <c r="USZ227" s="3"/>
      <c r="UTA227" s="3"/>
      <c r="UTB227" s="3"/>
      <c r="UTC227" s="3"/>
      <c r="UTD227" s="3"/>
      <c r="UTE227" s="3"/>
      <c r="UTF227" s="3"/>
      <c r="UTG227" s="3"/>
      <c r="UTH227" s="3"/>
      <c r="UTI227" s="3"/>
      <c r="UTJ227" s="3"/>
      <c r="UTK227" s="3"/>
      <c r="UTL227" s="3"/>
      <c r="UTM227" s="3"/>
      <c r="UTN227" s="3"/>
      <c r="UTO227" s="3"/>
      <c r="UTP227" s="3"/>
      <c r="UTQ227" s="3"/>
      <c r="UTR227" s="3"/>
      <c r="UTS227" s="3"/>
      <c r="UTT227" s="3"/>
      <c r="UTU227" s="3"/>
      <c r="UTV227" s="3"/>
      <c r="UTW227" s="3"/>
      <c r="UTX227" s="3"/>
      <c r="UTY227" s="3"/>
      <c r="UTZ227" s="3"/>
      <c r="UUA227" s="3"/>
      <c r="UUB227" s="3"/>
      <c r="UUC227" s="3"/>
      <c r="UUD227" s="3"/>
      <c r="UUE227" s="3"/>
      <c r="UUF227" s="3"/>
      <c r="UUG227" s="3"/>
      <c r="UUH227" s="3"/>
      <c r="UUI227" s="3"/>
      <c r="UUJ227" s="3"/>
      <c r="UUK227" s="3"/>
      <c r="UUL227" s="3"/>
      <c r="UUM227" s="3"/>
      <c r="UUN227" s="3"/>
      <c r="UUO227" s="3"/>
      <c r="UUP227" s="3"/>
      <c r="UUQ227" s="3"/>
      <c r="UUR227" s="3"/>
      <c r="UUS227" s="3"/>
      <c r="UUT227" s="3"/>
      <c r="UUU227" s="3"/>
      <c r="UUV227" s="3"/>
      <c r="UUW227" s="3"/>
      <c r="UUX227" s="3"/>
      <c r="UUY227" s="3"/>
      <c r="UUZ227" s="3"/>
      <c r="UVA227" s="3"/>
      <c r="UVB227" s="3"/>
      <c r="UVC227" s="3"/>
      <c r="UVD227" s="3"/>
      <c r="UVE227" s="3"/>
      <c r="UVF227" s="3"/>
      <c r="UVG227" s="3"/>
      <c r="UVH227" s="3"/>
      <c r="UVI227" s="3"/>
      <c r="UVJ227" s="3"/>
      <c r="UVK227" s="3"/>
      <c r="UVL227" s="3"/>
      <c r="UVM227" s="3"/>
      <c r="UVN227" s="3"/>
      <c r="UVO227" s="3"/>
      <c r="UVP227" s="3"/>
      <c r="UVQ227" s="3"/>
      <c r="UVR227" s="3"/>
      <c r="UVS227" s="3"/>
      <c r="UVT227" s="3"/>
      <c r="UVU227" s="3"/>
      <c r="UVV227" s="3"/>
      <c r="UVW227" s="3"/>
      <c r="UVX227" s="3"/>
      <c r="UVY227" s="3"/>
      <c r="UVZ227" s="3"/>
      <c r="UWA227" s="3"/>
      <c r="UWB227" s="3"/>
      <c r="UWC227" s="3"/>
      <c r="UWD227" s="3"/>
      <c r="UWE227" s="3"/>
      <c r="UWF227" s="3"/>
      <c r="UWG227" s="3"/>
      <c r="UWH227" s="3"/>
      <c r="UWI227" s="3"/>
      <c r="UWJ227" s="3"/>
      <c r="UWK227" s="3"/>
      <c r="UWL227" s="3"/>
      <c r="UWM227" s="3"/>
      <c r="UWN227" s="3"/>
      <c r="UWO227" s="3"/>
      <c r="UWP227" s="3"/>
      <c r="UWQ227" s="3"/>
      <c r="UWR227" s="3"/>
      <c r="UWS227" s="3"/>
      <c r="UWT227" s="3"/>
      <c r="UWU227" s="3"/>
      <c r="UWV227" s="3"/>
      <c r="UWW227" s="3"/>
      <c r="UWX227" s="3"/>
      <c r="UWY227" s="3"/>
      <c r="UWZ227" s="3"/>
      <c r="UXA227" s="3"/>
      <c r="UXB227" s="3"/>
      <c r="UXC227" s="3"/>
      <c r="UXD227" s="3"/>
      <c r="UXE227" s="3"/>
      <c r="UXF227" s="3"/>
      <c r="UXG227" s="3"/>
      <c r="UXH227" s="3"/>
      <c r="UXI227" s="3"/>
      <c r="UXJ227" s="3"/>
      <c r="UXK227" s="3"/>
      <c r="UXL227" s="3"/>
      <c r="UXM227" s="3"/>
      <c r="UXN227" s="3"/>
      <c r="UXO227" s="3"/>
      <c r="UXP227" s="3"/>
      <c r="UXQ227" s="3"/>
      <c r="UXR227" s="3"/>
      <c r="UXS227" s="3"/>
      <c r="UXT227" s="3"/>
      <c r="UXU227" s="3"/>
      <c r="UXV227" s="3"/>
      <c r="UXW227" s="3"/>
      <c r="UXX227" s="3"/>
      <c r="UXY227" s="3"/>
      <c r="UXZ227" s="3"/>
      <c r="UYA227" s="3"/>
      <c r="UYB227" s="3"/>
      <c r="UYC227" s="3"/>
      <c r="UYD227" s="3"/>
      <c r="UYE227" s="3"/>
      <c r="UYF227" s="3"/>
      <c r="UYG227" s="3"/>
      <c r="UYH227" s="3"/>
      <c r="UYI227" s="3"/>
      <c r="UYJ227" s="3"/>
      <c r="UYK227" s="3"/>
      <c r="UYL227" s="3"/>
      <c r="UYM227" s="3"/>
      <c r="UYN227" s="3"/>
      <c r="UYO227" s="3"/>
      <c r="UYP227" s="3"/>
      <c r="UYQ227" s="3"/>
      <c r="UYR227" s="3"/>
      <c r="UYS227" s="3"/>
      <c r="UYT227" s="3"/>
      <c r="UYU227" s="3"/>
      <c r="UYV227" s="3"/>
      <c r="UYW227" s="3"/>
      <c r="UYX227" s="3"/>
      <c r="UYY227" s="3"/>
      <c r="UYZ227" s="3"/>
      <c r="UZA227" s="3"/>
      <c r="UZB227" s="3"/>
      <c r="UZC227" s="3"/>
      <c r="UZD227" s="3"/>
      <c r="UZE227" s="3"/>
      <c r="UZF227" s="3"/>
      <c r="UZG227" s="3"/>
      <c r="UZH227" s="3"/>
      <c r="UZI227" s="3"/>
      <c r="UZJ227" s="3"/>
      <c r="UZK227" s="3"/>
      <c r="UZL227" s="3"/>
      <c r="UZM227" s="3"/>
      <c r="UZN227" s="3"/>
      <c r="UZO227" s="3"/>
      <c r="UZP227" s="3"/>
      <c r="UZQ227" s="3"/>
      <c r="UZR227" s="3"/>
      <c r="UZS227" s="3"/>
      <c r="UZT227" s="3"/>
      <c r="UZU227" s="3"/>
      <c r="UZV227" s="3"/>
      <c r="UZW227" s="3"/>
      <c r="UZX227" s="3"/>
      <c r="UZY227" s="3"/>
      <c r="UZZ227" s="3"/>
      <c r="VAA227" s="3"/>
      <c r="VAB227" s="3"/>
      <c r="VAC227" s="3"/>
      <c r="VAD227" s="3"/>
      <c r="VAE227" s="3"/>
      <c r="VAF227" s="3"/>
      <c r="VAG227" s="3"/>
      <c r="VAH227" s="3"/>
      <c r="VAI227" s="3"/>
      <c r="VAJ227" s="3"/>
      <c r="VAK227" s="3"/>
      <c r="VAL227" s="3"/>
      <c r="VAM227" s="3"/>
      <c r="VAN227" s="3"/>
      <c r="VAO227" s="3"/>
      <c r="VAP227" s="3"/>
      <c r="VAQ227" s="3"/>
      <c r="VAR227" s="3"/>
      <c r="VAS227" s="3"/>
      <c r="VAT227" s="3"/>
      <c r="VAU227" s="3"/>
      <c r="VAV227" s="3"/>
      <c r="VAW227" s="3"/>
      <c r="VAX227" s="3"/>
      <c r="VAY227" s="3"/>
      <c r="VAZ227" s="3"/>
      <c r="VBA227" s="3"/>
      <c r="VBB227" s="3"/>
      <c r="VBC227" s="3"/>
      <c r="VBD227" s="3"/>
      <c r="VBE227" s="3"/>
      <c r="VBF227" s="3"/>
      <c r="VBG227" s="3"/>
      <c r="VBH227" s="3"/>
      <c r="VBI227" s="3"/>
      <c r="VBJ227" s="3"/>
      <c r="VBK227" s="3"/>
      <c r="VBL227" s="3"/>
      <c r="VBM227" s="3"/>
      <c r="VBN227" s="3"/>
      <c r="VBO227" s="3"/>
      <c r="VBP227" s="3"/>
      <c r="VBQ227" s="3"/>
      <c r="VBR227" s="3"/>
      <c r="VBS227" s="3"/>
      <c r="VBT227" s="3"/>
      <c r="VBU227" s="3"/>
      <c r="VBV227" s="3"/>
      <c r="VBW227" s="3"/>
      <c r="VBX227" s="3"/>
      <c r="VBY227" s="3"/>
      <c r="VBZ227" s="3"/>
      <c r="VCA227" s="3"/>
      <c r="VCB227" s="3"/>
      <c r="VCC227" s="3"/>
      <c r="VCD227" s="3"/>
      <c r="VCE227" s="3"/>
      <c r="VCF227" s="3"/>
      <c r="VCG227" s="3"/>
      <c r="VCH227" s="3"/>
      <c r="VCI227" s="3"/>
      <c r="VCJ227" s="3"/>
      <c r="VCK227" s="3"/>
      <c r="VCL227" s="3"/>
      <c r="VCM227" s="3"/>
      <c r="VCN227" s="3"/>
      <c r="VCO227" s="3"/>
      <c r="VCP227" s="3"/>
      <c r="VCQ227" s="3"/>
      <c r="VCR227" s="3"/>
      <c r="VCS227" s="3"/>
      <c r="VCT227" s="3"/>
      <c r="VCU227" s="3"/>
      <c r="VCV227" s="3"/>
      <c r="VCW227" s="3"/>
      <c r="VCX227" s="3"/>
      <c r="VCY227" s="3"/>
      <c r="VCZ227" s="3"/>
      <c r="VDA227" s="3"/>
      <c r="VDB227" s="3"/>
      <c r="VDC227" s="3"/>
      <c r="VDD227" s="3"/>
      <c r="VDE227" s="3"/>
      <c r="VDF227" s="3"/>
      <c r="VDG227" s="3"/>
      <c r="VDH227" s="3"/>
      <c r="VDI227" s="3"/>
      <c r="VDJ227" s="3"/>
      <c r="VDK227" s="3"/>
      <c r="VDL227" s="3"/>
      <c r="VDM227" s="3"/>
      <c r="VDN227" s="3"/>
      <c r="VDO227" s="3"/>
      <c r="VDP227" s="3"/>
      <c r="VDQ227" s="3"/>
      <c r="VDR227" s="3"/>
      <c r="VDS227" s="3"/>
      <c r="VDT227" s="3"/>
      <c r="VDU227" s="3"/>
      <c r="VDV227" s="3"/>
      <c r="VDW227" s="3"/>
      <c r="VDX227" s="3"/>
      <c r="VDY227" s="3"/>
      <c r="VDZ227" s="3"/>
      <c r="VEA227" s="3"/>
      <c r="VEB227" s="3"/>
      <c r="VEC227" s="3"/>
      <c r="VED227" s="3"/>
      <c r="VEE227" s="3"/>
      <c r="VEF227" s="3"/>
      <c r="VEG227" s="3"/>
      <c r="VEH227" s="3"/>
      <c r="VEI227" s="3"/>
      <c r="VEJ227" s="3"/>
      <c r="VEK227" s="3"/>
      <c r="VEL227" s="3"/>
      <c r="VEM227" s="3"/>
      <c r="VEN227" s="3"/>
      <c r="VEO227" s="3"/>
      <c r="VEP227" s="3"/>
      <c r="VEQ227" s="3"/>
      <c r="VER227" s="3"/>
      <c r="VES227" s="3"/>
      <c r="VET227" s="3"/>
      <c r="VEU227" s="3"/>
      <c r="VEV227" s="3"/>
      <c r="VEW227" s="3"/>
      <c r="VEX227" s="3"/>
      <c r="VEY227" s="3"/>
      <c r="VEZ227" s="3"/>
      <c r="VFA227" s="3"/>
      <c r="VFB227" s="3"/>
      <c r="VFC227" s="3"/>
      <c r="VFD227" s="3"/>
      <c r="VFE227" s="3"/>
      <c r="VFF227" s="3"/>
      <c r="VFG227" s="3"/>
      <c r="VFH227" s="3"/>
      <c r="VFI227" s="3"/>
      <c r="VFJ227" s="3"/>
      <c r="VFK227" s="3"/>
      <c r="VFL227" s="3"/>
      <c r="VFM227" s="3"/>
      <c r="VFN227" s="3"/>
      <c r="VFO227" s="3"/>
      <c r="VFP227" s="3"/>
      <c r="VFQ227" s="3"/>
      <c r="VFR227" s="3"/>
      <c r="VFS227" s="3"/>
      <c r="VFT227" s="3"/>
      <c r="VFU227" s="3"/>
      <c r="VFV227" s="3"/>
      <c r="VFW227" s="3"/>
      <c r="VFX227" s="3"/>
      <c r="VFY227" s="3"/>
      <c r="VFZ227" s="3"/>
      <c r="VGA227" s="3"/>
      <c r="VGB227" s="3"/>
      <c r="VGC227" s="3"/>
      <c r="VGD227" s="3"/>
      <c r="VGE227" s="3"/>
      <c r="VGF227" s="3"/>
      <c r="VGG227" s="3"/>
      <c r="VGH227" s="3"/>
      <c r="VGI227" s="3"/>
      <c r="VGJ227" s="3"/>
      <c r="VGK227" s="3"/>
      <c r="VGL227" s="3"/>
      <c r="VGM227" s="3"/>
      <c r="VGN227" s="3"/>
      <c r="VGO227" s="3"/>
      <c r="VGP227" s="3"/>
      <c r="VGQ227" s="3"/>
      <c r="VGR227" s="3"/>
      <c r="VGS227" s="3"/>
      <c r="VGT227" s="3"/>
      <c r="VGU227" s="3"/>
      <c r="VGV227" s="3"/>
      <c r="VGW227" s="3"/>
      <c r="VGX227" s="3"/>
      <c r="VGY227" s="3"/>
      <c r="VGZ227" s="3"/>
      <c r="VHA227" s="3"/>
      <c r="VHB227" s="3"/>
      <c r="VHC227" s="3"/>
      <c r="VHD227" s="3"/>
      <c r="VHE227" s="3"/>
      <c r="VHF227" s="3"/>
      <c r="VHG227" s="3"/>
      <c r="VHH227" s="3"/>
      <c r="VHI227" s="3"/>
      <c r="VHJ227" s="3"/>
      <c r="VHK227" s="3"/>
      <c r="VHL227" s="3"/>
      <c r="VHM227" s="3"/>
      <c r="VHN227" s="3"/>
      <c r="VHO227" s="3"/>
      <c r="VHP227" s="3"/>
      <c r="VHQ227" s="3"/>
      <c r="VHR227" s="3"/>
      <c r="VHS227" s="3"/>
      <c r="VHT227" s="3"/>
      <c r="VHU227" s="3"/>
      <c r="VHV227" s="3"/>
      <c r="VHW227" s="3"/>
      <c r="VHX227" s="3"/>
      <c r="VHY227" s="3"/>
      <c r="VHZ227" s="3"/>
      <c r="VIA227" s="3"/>
      <c r="VIB227" s="3"/>
      <c r="VIC227" s="3"/>
      <c r="VID227" s="3"/>
      <c r="VIE227" s="3"/>
      <c r="VIF227" s="3"/>
      <c r="VIG227" s="3"/>
      <c r="VIH227" s="3"/>
      <c r="VII227" s="3"/>
      <c r="VIJ227" s="3"/>
      <c r="VIK227" s="3"/>
      <c r="VIL227" s="3"/>
      <c r="VIM227" s="3"/>
      <c r="VIN227" s="3"/>
      <c r="VIO227" s="3"/>
      <c r="VIP227" s="3"/>
      <c r="VIQ227" s="3"/>
      <c r="VIR227" s="3"/>
      <c r="VIS227" s="3"/>
      <c r="VIT227" s="3"/>
      <c r="VIU227" s="3"/>
      <c r="VIV227" s="3"/>
      <c r="VIW227" s="3"/>
      <c r="VIX227" s="3"/>
      <c r="VIY227" s="3"/>
      <c r="VIZ227" s="3"/>
      <c r="VJA227" s="3"/>
      <c r="VJB227" s="3"/>
      <c r="VJC227" s="3"/>
      <c r="VJD227" s="3"/>
      <c r="VJE227" s="3"/>
      <c r="VJF227" s="3"/>
      <c r="VJG227" s="3"/>
      <c r="VJH227" s="3"/>
      <c r="VJI227" s="3"/>
      <c r="VJJ227" s="3"/>
      <c r="VJK227" s="3"/>
      <c r="VJL227" s="3"/>
      <c r="VJM227" s="3"/>
      <c r="VJN227" s="3"/>
      <c r="VJO227" s="3"/>
      <c r="VJP227" s="3"/>
      <c r="VJQ227" s="3"/>
      <c r="VJR227" s="3"/>
      <c r="VJS227" s="3"/>
      <c r="VJT227" s="3"/>
      <c r="VJU227" s="3"/>
      <c r="VJV227" s="3"/>
      <c r="VJW227" s="3"/>
      <c r="VJX227" s="3"/>
      <c r="VJY227" s="3"/>
      <c r="VJZ227" s="3"/>
      <c r="VKA227" s="3"/>
      <c r="VKB227" s="3"/>
      <c r="VKC227" s="3"/>
      <c r="VKD227" s="3"/>
      <c r="VKE227" s="3"/>
      <c r="VKF227" s="3"/>
      <c r="VKG227" s="3"/>
      <c r="VKH227" s="3"/>
      <c r="VKI227" s="3"/>
      <c r="VKJ227" s="3"/>
      <c r="VKK227" s="3"/>
      <c r="VKL227" s="3"/>
      <c r="VKM227" s="3"/>
      <c r="VKN227" s="3"/>
      <c r="VKO227" s="3"/>
      <c r="VKP227" s="3"/>
      <c r="VKQ227" s="3"/>
      <c r="VKR227" s="3"/>
      <c r="VKS227" s="3"/>
      <c r="VKT227" s="3"/>
      <c r="VKU227" s="3"/>
      <c r="VKV227" s="3"/>
      <c r="VKW227" s="3"/>
      <c r="VKX227" s="3"/>
      <c r="VKY227" s="3"/>
      <c r="VKZ227" s="3"/>
      <c r="VLA227" s="3"/>
      <c r="VLB227" s="3"/>
      <c r="VLC227" s="3"/>
      <c r="VLD227" s="3"/>
      <c r="VLE227" s="3"/>
      <c r="VLF227" s="3"/>
      <c r="VLG227" s="3"/>
      <c r="VLH227" s="3"/>
      <c r="VLI227" s="3"/>
      <c r="VLJ227" s="3"/>
      <c r="VLK227" s="3"/>
      <c r="VLL227" s="3"/>
      <c r="VLM227" s="3"/>
      <c r="VLN227" s="3"/>
      <c r="VLO227" s="3"/>
      <c r="VLP227" s="3"/>
      <c r="VLQ227" s="3"/>
      <c r="VLR227" s="3"/>
      <c r="VLS227" s="3"/>
      <c r="VLT227" s="3"/>
      <c r="VLU227" s="3"/>
      <c r="VLV227" s="3"/>
      <c r="VLW227" s="3"/>
      <c r="VLX227" s="3"/>
      <c r="VLY227" s="3"/>
      <c r="VLZ227" s="3"/>
      <c r="VMA227" s="3"/>
      <c r="VMB227" s="3"/>
      <c r="VMC227" s="3"/>
      <c r="VMD227" s="3"/>
      <c r="VME227" s="3"/>
      <c r="VMF227" s="3"/>
      <c r="VMG227" s="3"/>
      <c r="VMH227" s="3"/>
      <c r="VMI227" s="3"/>
      <c r="VMJ227" s="3"/>
      <c r="VMK227" s="3"/>
      <c r="VML227" s="3"/>
      <c r="VMM227" s="3"/>
      <c r="VMN227" s="3"/>
      <c r="VMO227" s="3"/>
      <c r="VMP227" s="3"/>
      <c r="VMQ227" s="3"/>
      <c r="VMR227" s="3"/>
      <c r="VMS227" s="3"/>
      <c r="VMT227" s="3"/>
      <c r="VMU227" s="3"/>
      <c r="VMV227" s="3"/>
      <c r="VMW227" s="3"/>
      <c r="VMX227" s="3"/>
      <c r="VMY227" s="3"/>
      <c r="VMZ227" s="3"/>
      <c r="VNA227" s="3"/>
      <c r="VNB227" s="3"/>
      <c r="VNC227" s="3"/>
      <c r="VND227" s="3"/>
      <c r="VNE227" s="3"/>
      <c r="VNF227" s="3"/>
      <c r="VNG227" s="3"/>
      <c r="VNH227" s="3"/>
      <c r="VNI227" s="3"/>
      <c r="VNJ227" s="3"/>
      <c r="VNK227" s="3"/>
      <c r="VNL227" s="3"/>
      <c r="VNM227" s="3"/>
      <c r="VNN227" s="3"/>
      <c r="VNO227" s="3"/>
      <c r="VNP227" s="3"/>
      <c r="VNQ227" s="3"/>
      <c r="VNR227" s="3"/>
      <c r="VNS227" s="3"/>
      <c r="VNT227" s="3"/>
      <c r="VNU227" s="3"/>
      <c r="VNV227" s="3"/>
      <c r="VNW227" s="3"/>
      <c r="VNX227" s="3"/>
      <c r="VNY227" s="3"/>
      <c r="VNZ227" s="3"/>
      <c r="VOA227" s="3"/>
      <c r="VOB227" s="3"/>
      <c r="VOC227" s="3"/>
      <c r="VOD227" s="3"/>
      <c r="VOE227" s="3"/>
      <c r="VOF227" s="3"/>
      <c r="VOG227" s="3"/>
      <c r="VOH227" s="3"/>
      <c r="VOI227" s="3"/>
      <c r="VOJ227" s="3"/>
      <c r="VOK227" s="3"/>
      <c r="VOL227" s="3"/>
      <c r="VOM227" s="3"/>
      <c r="VON227" s="3"/>
      <c r="VOO227" s="3"/>
      <c r="VOP227" s="3"/>
      <c r="VOQ227" s="3"/>
      <c r="VOR227" s="3"/>
      <c r="VOS227" s="3"/>
      <c r="VOT227" s="3"/>
      <c r="VOU227" s="3"/>
      <c r="VOV227" s="3"/>
      <c r="VOW227" s="3"/>
      <c r="VOX227" s="3"/>
      <c r="VOY227" s="3"/>
      <c r="VOZ227" s="3"/>
      <c r="VPA227" s="3"/>
      <c r="VPB227" s="3"/>
      <c r="VPC227" s="3"/>
      <c r="VPD227" s="3"/>
      <c r="VPE227" s="3"/>
      <c r="VPF227" s="3"/>
      <c r="VPG227" s="3"/>
      <c r="VPH227" s="3"/>
      <c r="VPI227" s="3"/>
      <c r="VPJ227" s="3"/>
      <c r="VPK227" s="3"/>
      <c r="VPL227" s="3"/>
      <c r="VPM227" s="3"/>
      <c r="VPN227" s="3"/>
      <c r="VPO227" s="3"/>
      <c r="VPP227" s="3"/>
      <c r="VPQ227" s="3"/>
      <c r="VPR227" s="3"/>
      <c r="VPS227" s="3"/>
      <c r="VPT227" s="3"/>
      <c r="VPU227" s="3"/>
      <c r="VPV227" s="3"/>
      <c r="VPW227" s="3"/>
      <c r="VPX227" s="3"/>
      <c r="VPY227" s="3"/>
      <c r="VPZ227" s="3"/>
      <c r="VQA227" s="3"/>
      <c r="VQB227" s="3"/>
      <c r="VQC227" s="3"/>
      <c r="VQD227" s="3"/>
      <c r="VQE227" s="3"/>
      <c r="VQF227" s="3"/>
      <c r="VQG227" s="3"/>
      <c r="VQH227" s="3"/>
      <c r="VQI227" s="3"/>
      <c r="VQJ227" s="3"/>
      <c r="VQK227" s="3"/>
      <c r="VQL227" s="3"/>
      <c r="VQM227" s="3"/>
      <c r="VQN227" s="3"/>
      <c r="VQO227" s="3"/>
      <c r="VQP227" s="3"/>
      <c r="VQQ227" s="3"/>
      <c r="VQR227" s="3"/>
      <c r="VQS227" s="3"/>
      <c r="VQT227" s="3"/>
      <c r="VQU227" s="3"/>
      <c r="VQV227" s="3"/>
      <c r="VQW227" s="3"/>
      <c r="VQX227" s="3"/>
      <c r="VQY227" s="3"/>
      <c r="VQZ227" s="3"/>
      <c r="VRA227" s="3"/>
      <c r="VRB227" s="3"/>
      <c r="VRC227" s="3"/>
      <c r="VRD227" s="3"/>
      <c r="VRE227" s="3"/>
      <c r="VRF227" s="3"/>
      <c r="VRG227" s="3"/>
      <c r="VRH227" s="3"/>
      <c r="VRI227" s="3"/>
      <c r="VRJ227" s="3"/>
      <c r="VRK227" s="3"/>
      <c r="VRL227" s="3"/>
      <c r="VRM227" s="3"/>
      <c r="VRN227" s="3"/>
      <c r="VRO227" s="3"/>
      <c r="VRP227" s="3"/>
      <c r="VRQ227" s="3"/>
      <c r="VRR227" s="3"/>
      <c r="VRS227" s="3"/>
      <c r="VRT227" s="3"/>
      <c r="VRU227" s="3"/>
      <c r="VRV227" s="3"/>
      <c r="VRW227" s="3"/>
      <c r="VRX227" s="3"/>
      <c r="VRY227" s="3"/>
      <c r="VRZ227" s="3"/>
      <c r="VSA227" s="3"/>
      <c r="VSB227" s="3"/>
      <c r="VSC227" s="3"/>
      <c r="VSD227" s="3"/>
      <c r="VSE227" s="3"/>
      <c r="VSF227" s="3"/>
      <c r="VSG227" s="3"/>
      <c r="VSH227" s="3"/>
      <c r="VSI227" s="3"/>
      <c r="VSJ227" s="3"/>
      <c r="VSK227" s="3"/>
      <c r="VSL227" s="3"/>
      <c r="VSM227" s="3"/>
      <c r="VSN227" s="3"/>
      <c r="VSO227" s="3"/>
      <c r="VSP227" s="3"/>
      <c r="VSQ227" s="3"/>
      <c r="VSR227" s="3"/>
      <c r="VSS227" s="3"/>
      <c r="VST227" s="3"/>
      <c r="VSU227" s="3"/>
      <c r="VSV227" s="3"/>
      <c r="VSW227" s="3"/>
      <c r="VSX227" s="3"/>
      <c r="VSY227" s="3"/>
      <c r="VSZ227" s="3"/>
      <c r="VTA227" s="3"/>
      <c r="VTB227" s="3"/>
      <c r="VTC227" s="3"/>
      <c r="VTD227" s="3"/>
      <c r="VTE227" s="3"/>
      <c r="VTF227" s="3"/>
      <c r="VTG227" s="3"/>
      <c r="VTH227" s="3"/>
      <c r="VTI227" s="3"/>
      <c r="VTJ227" s="3"/>
      <c r="VTK227" s="3"/>
      <c r="VTL227" s="3"/>
      <c r="VTM227" s="3"/>
      <c r="VTN227" s="3"/>
      <c r="VTO227" s="3"/>
      <c r="VTP227" s="3"/>
      <c r="VTQ227" s="3"/>
      <c r="VTR227" s="3"/>
      <c r="VTS227" s="3"/>
      <c r="VTT227" s="3"/>
      <c r="VTU227" s="3"/>
      <c r="VTV227" s="3"/>
      <c r="VTW227" s="3"/>
      <c r="VTX227" s="3"/>
      <c r="VTY227" s="3"/>
      <c r="VTZ227" s="3"/>
      <c r="VUA227" s="3"/>
      <c r="VUB227" s="3"/>
      <c r="VUC227" s="3"/>
      <c r="VUD227" s="3"/>
      <c r="VUE227" s="3"/>
      <c r="VUF227" s="3"/>
      <c r="VUG227" s="3"/>
      <c r="VUH227" s="3"/>
      <c r="VUI227" s="3"/>
      <c r="VUJ227" s="3"/>
      <c r="VUK227" s="3"/>
      <c r="VUL227" s="3"/>
      <c r="VUM227" s="3"/>
      <c r="VUN227" s="3"/>
      <c r="VUO227" s="3"/>
      <c r="VUP227" s="3"/>
      <c r="VUQ227" s="3"/>
      <c r="VUR227" s="3"/>
      <c r="VUS227" s="3"/>
      <c r="VUT227" s="3"/>
      <c r="VUU227" s="3"/>
      <c r="VUV227" s="3"/>
      <c r="VUW227" s="3"/>
      <c r="VUX227" s="3"/>
      <c r="VUY227" s="3"/>
      <c r="VUZ227" s="3"/>
      <c r="VVA227" s="3"/>
      <c r="VVB227" s="3"/>
      <c r="VVC227" s="3"/>
      <c r="VVD227" s="3"/>
      <c r="VVE227" s="3"/>
      <c r="VVF227" s="3"/>
      <c r="VVG227" s="3"/>
      <c r="VVH227" s="3"/>
      <c r="VVI227" s="3"/>
      <c r="VVJ227" s="3"/>
      <c r="VVK227" s="3"/>
      <c r="VVL227" s="3"/>
      <c r="VVM227" s="3"/>
      <c r="VVN227" s="3"/>
      <c r="VVO227" s="3"/>
      <c r="VVP227" s="3"/>
      <c r="VVQ227" s="3"/>
      <c r="VVR227" s="3"/>
      <c r="VVS227" s="3"/>
      <c r="VVT227" s="3"/>
      <c r="VVU227" s="3"/>
      <c r="VVV227" s="3"/>
      <c r="VVW227" s="3"/>
      <c r="VVX227" s="3"/>
      <c r="VVY227" s="3"/>
      <c r="VVZ227" s="3"/>
      <c r="VWA227" s="3"/>
      <c r="VWB227" s="3"/>
      <c r="VWC227" s="3"/>
      <c r="VWD227" s="3"/>
      <c r="VWE227" s="3"/>
      <c r="VWF227" s="3"/>
      <c r="VWG227" s="3"/>
      <c r="VWH227" s="3"/>
      <c r="VWI227" s="3"/>
      <c r="VWJ227" s="3"/>
      <c r="VWK227" s="3"/>
      <c r="VWL227" s="3"/>
      <c r="VWM227" s="3"/>
      <c r="VWN227" s="3"/>
      <c r="VWO227" s="3"/>
      <c r="VWP227" s="3"/>
      <c r="VWQ227" s="3"/>
      <c r="VWR227" s="3"/>
      <c r="VWS227" s="3"/>
      <c r="VWT227" s="3"/>
      <c r="VWU227" s="3"/>
      <c r="VWV227" s="3"/>
      <c r="VWW227" s="3"/>
      <c r="VWX227" s="3"/>
      <c r="VWY227" s="3"/>
      <c r="VWZ227" s="3"/>
      <c r="VXA227" s="3"/>
      <c r="VXB227" s="3"/>
      <c r="VXC227" s="3"/>
      <c r="VXD227" s="3"/>
      <c r="VXE227" s="3"/>
      <c r="VXF227" s="3"/>
      <c r="VXG227" s="3"/>
      <c r="VXH227" s="3"/>
      <c r="VXI227" s="3"/>
      <c r="VXJ227" s="3"/>
      <c r="VXK227" s="3"/>
      <c r="VXL227" s="3"/>
      <c r="VXM227" s="3"/>
      <c r="VXN227" s="3"/>
      <c r="VXO227" s="3"/>
      <c r="VXP227" s="3"/>
      <c r="VXQ227" s="3"/>
      <c r="VXR227" s="3"/>
      <c r="VXS227" s="3"/>
      <c r="VXT227" s="3"/>
      <c r="VXU227" s="3"/>
      <c r="VXV227" s="3"/>
      <c r="VXW227" s="3"/>
      <c r="VXX227" s="3"/>
      <c r="VXY227" s="3"/>
      <c r="VXZ227" s="3"/>
      <c r="VYA227" s="3"/>
      <c r="VYB227" s="3"/>
      <c r="VYC227" s="3"/>
      <c r="VYD227" s="3"/>
      <c r="VYE227" s="3"/>
      <c r="VYF227" s="3"/>
      <c r="VYG227" s="3"/>
      <c r="VYH227" s="3"/>
      <c r="VYI227" s="3"/>
      <c r="VYJ227" s="3"/>
      <c r="VYK227" s="3"/>
      <c r="VYL227" s="3"/>
      <c r="VYM227" s="3"/>
      <c r="VYN227" s="3"/>
      <c r="VYO227" s="3"/>
      <c r="VYP227" s="3"/>
      <c r="VYQ227" s="3"/>
      <c r="VYR227" s="3"/>
      <c r="VYS227" s="3"/>
      <c r="VYT227" s="3"/>
      <c r="VYU227" s="3"/>
      <c r="VYV227" s="3"/>
      <c r="VYW227" s="3"/>
      <c r="VYX227" s="3"/>
      <c r="VYY227" s="3"/>
      <c r="VYZ227" s="3"/>
      <c r="VZA227" s="3"/>
      <c r="VZB227" s="3"/>
      <c r="VZC227" s="3"/>
      <c r="VZD227" s="3"/>
      <c r="VZE227" s="3"/>
      <c r="VZF227" s="3"/>
      <c r="VZG227" s="3"/>
      <c r="VZH227" s="3"/>
      <c r="VZI227" s="3"/>
      <c r="VZJ227" s="3"/>
      <c r="VZK227" s="3"/>
      <c r="VZL227" s="3"/>
      <c r="VZM227" s="3"/>
      <c r="VZN227" s="3"/>
      <c r="VZO227" s="3"/>
      <c r="VZP227" s="3"/>
      <c r="VZQ227" s="3"/>
      <c r="VZR227" s="3"/>
      <c r="VZS227" s="3"/>
      <c r="VZT227" s="3"/>
      <c r="VZU227" s="3"/>
      <c r="VZV227" s="3"/>
      <c r="VZW227" s="3"/>
      <c r="VZX227" s="3"/>
      <c r="VZY227" s="3"/>
      <c r="VZZ227" s="3"/>
      <c r="WAA227" s="3"/>
      <c r="WAB227" s="3"/>
      <c r="WAC227" s="3"/>
      <c r="WAD227" s="3"/>
      <c r="WAE227" s="3"/>
      <c r="WAF227" s="3"/>
      <c r="WAG227" s="3"/>
      <c r="WAH227" s="3"/>
      <c r="WAI227" s="3"/>
      <c r="WAJ227" s="3"/>
      <c r="WAK227" s="3"/>
      <c r="WAL227" s="3"/>
      <c r="WAM227" s="3"/>
      <c r="WAN227" s="3"/>
      <c r="WAO227" s="3"/>
      <c r="WAP227" s="3"/>
      <c r="WAQ227" s="3"/>
      <c r="WAR227" s="3"/>
      <c r="WAS227" s="3"/>
      <c r="WAT227" s="3"/>
      <c r="WAU227" s="3"/>
      <c r="WAV227" s="3"/>
      <c r="WAW227" s="3"/>
      <c r="WAX227" s="3"/>
      <c r="WAY227" s="3"/>
      <c r="WAZ227" s="3"/>
      <c r="WBA227" s="3"/>
      <c r="WBB227" s="3"/>
      <c r="WBC227" s="3"/>
      <c r="WBD227" s="3"/>
      <c r="WBE227" s="3"/>
      <c r="WBF227" s="3"/>
      <c r="WBG227" s="3"/>
      <c r="WBH227" s="3"/>
      <c r="WBI227" s="3"/>
      <c r="WBJ227" s="3"/>
      <c r="WBK227" s="3"/>
      <c r="WBL227" s="3"/>
      <c r="WBM227" s="3"/>
      <c r="WBN227" s="3"/>
      <c r="WBO227" s="3"/>
      <c r="WBP227" s="3"/>
      <c r="WBQ227" s="3"/>
      <c r="WBR227" s="3"/>
      <c r="WBS227" s="3"/>
      <c r="WBT227" s="3"/>
      <c r="WBU227" s="3"/>
      <c r="WBV227" s="3"/>
      <c r="WBW227" s="3"/>
      <c r="WBX227" s="3"/>
      <c r="WBY227" s="3"/>
      <c r="WBZ227" s="3"/>
      <c r="WCA227" s="3"/>
      <c r="WCB227" s="3"/>
      <c r="WCC227" s="3"/>
      <c r="WCD227" s="3"/>
      <c r="WCE227" s="3"/>
      <c r="WCF227" s="3"/>
      <c r="WCG227" s="3"/>
      <c r="WCH227" s="3"/>
      <c r="WCI227" s="3"/>
      <c r="WCJ227" s="3"/>
      <c r="WCK227" s="3"/>
      <c r="WCL227" s="3"/>
      <c r="WCM227" s="3"/>
      <c r="WCN227" s="3"/>
      <c r="WCO227" s="3"/>
      <c r="WCP227" s="3"/>
      <c r="WCQ227" s="3"/>
      <c r="WCR227" s="3"/>
      <c r="WCS227" s="3"/>
      <c r="WCT227" s="3"/>
      <c r="WCU227" s="3"/>
      <c r="WCV227" s="3"/>
      <c r="WCW227" s="3"/>
      <c r="WCX227" s="3"/>
      <c r="WCY227" s="3"/>
      <c r="WCZ227" s="3"/>
      <c r="WDA227" s="3"/>
      <c r="WDB227" s="3"/>
      <c r="WDC227" s="3"/>
      <c r="WDD227" s="3"/>
      <c r="WDE227" s="3"/>
      <c r="WDF227" s="3"/>
      <c r="WDG227" s="3"/>
      <c r="WDH227" s="3"/>
      <c r="WDI227" s="3"/>
      <c r="WDJ227" s="3"/>
      <c r="WDK227" s="3"/>
      <c r="WDL227" s="3"/>
      <c r="WDM227" s="3"/>
      <c r="WDN227" s="3"/>
      <c r="WDO227" s="3"/>
      <c r="WDP227" s="3"/>
      <c r="WDQ227" s="3"/>
      <c r="WDR227" s="3"/>
      <c r="WDS227" s="3"/>
      <c r="WDT227" s="3"/>
      <c r="WDU227" s="3"/>
      <c r="WDV227" s="3"/>
      <c r="WDW227" s="3"/>
      <c r="WDX227" s="3"/>
      <c r="WDY227" s="3"/>
      <c r="WDZ227" s="3"/>
      <c r="WEA227" s="3"/>
      <c r="WEB227" s="3"/>
      <c r="WEC227" s="3"/>
      <c r="WED227" s="3"/>
      <c r="WEE227" s="3"/>
      <c r="WEF227" s="3"/>
      <c r="WEG227" s="3"/>
      <c r="WEH227" s="3"/>
      <c r="WEI227" s="3"/>
      <c r="WEJ227" s="3"/>
      <c r="WEK227" s="3"/>
      <c r="WEL227" s="3"/>
      <c r="WEM227" s="3"/>
      <c r="WEN227" s="3"/>
      <c r="WEO227" s="3"/>
      <c r="WEP227" s="3"/>
      <c r="WEQ227" s="3"/>
      <c r="WER227" s="3"/>
      <c r="WES227" s="3"/>
      <c r="WET227" s="3"/>
      <c r="WEU227" s="3"/>
      <c r="WEV227" s="3"/>
      <c r="WEW227" s="3"/>
      <c r="WEX227" s="3"/>
      <c r="WEY227" s="3"/>
      <c r="WEZ227" s="3"/>
      <c r="WFA227" s="3"/>
      <c r="WFB227" s="3"/>
      <c r="WFC227" s="3"/>
      <c r="WFD227" s="3"/>
      <c r="WFE227" s="3"/>
      <c r="WFF227" s="3"/>
      <c r="WFG227" s="3"/>
      <c r="WFH227" s="3"/>
      <c r="WFI227" s="3"/>
      <c r="WFJ227" s="3"/>
      <c r="WFK227" s="3"/>
      <c r="WFL227" s="3"/>
      <c r="WFM227" s="3"/>
      <c r="WFN227" s="3"/>
      <c r="WFO227" s="3"/>
      <c r="WFP227" s="3"/>
      <c r="WFQ227" s="3"/>
      <c r="WFR227" s="3"/>
      <c r="WFS227" s="3"/>
      <c r="WFT227" s="3"/>
      <c r="WFU227" s="3"/>
      <c r="WFV227" s="3"/>
      <c r="WFW227" s="3"/>
      <c r="WFX227" s="3"/>
      <c r="WFY227" s="3"/>
      <c r="WFZ227" s="3"/>
      <c r="WGA227" s="3"/>
      <c r="WGB227" s="3"/>
      <c r="WGC227" s="3"/>
      <c r="WGD227" s="3"/>
      <c r="WGE227" s="3"/>
      <c r="WGF227" s="3"/>
      <c r="WGG227" s="3"/>
      <c r="WGH227" s="3"/>
      <c r="WGI227" s="3"/>
      <c r="WGJ227" s="3"/>
      <c r="WGK227" s="3"/>
      <c r="WGL227" s="3"/>
      <c r="WGM227" s="3"/>
      <c r="WGN227" s="3"/>
      <c r="WGO227" s="3"/>
      <c r="WGP227" s="3"/>
      <c r="WGQ227" s="3"/>
      <c r="WGR227" s="3"/>
      <c r="WGS227" s="3"/>
      <c r="WGT227" s="3"/>
      <c r="WGU227" s="3"/>
      <c r="WGV227" s="3"/>
      <c r="WGW227" s="3"/>
      <c r="WGX227" s="3"/>
      <c r="WGY227" s="3"/>
      <c r="WGZ227" s="3"/>
      <c r="WHA227" s="3"/>
      <c r="WHB227" s="3"/>
      <c r="WHC227" s="3"/>
      <c r="WHD227" s="3"/>
      <c r="WHE227" s="3"/>
      <c r="WHF227" s="3"/>
      <c r="WHG227" s="3"/>
      <c r="WHH227" s="3"/>
      <c r="WHI227" s="3"/>
      <c r="WHJ227" s="3"/>
      <c r="WHK227" s="3"/>
      <c r="WHL227" s="3"/>
      <c r="WHM227" s="3"/>
      <c r="WHN227" s="3"/>
      <c r="WHO227" s="3"/>
      <c r="WHP227" s="3"/>
      <c r="WHQ227" s="3"/>
      <c r="WHR227" s="3"/>
      <c r="WHS227" s="3"/>
      <c r="WHT227" s="3"/>
      <c r="WHU227" s="3"/>
      <c r="WHV227" s="3"/>
      <c r="WHW227" s="3"/>
      <c r="WHX227" s="3"/>
      <c r="WHY227" s="3"/>
      <c r="WHZ227" s="3"/>
      <c r="WIA227" s="3"/>
      <c r="WIB227" s="3"/>
      <c r="WIC227" s="3"/>
      <c r="WID227" s="3"/>
      <c r="WIE227" s="3"/>
      <c r="WIF227" s="3"/>
      <c r="WIG227" s="3"/>
      <c r="WIH227" s="3"/>
      <c r="WII227" s="3"/>
      <c r="WIJ227" s="3"/>
      <c r="WIK227" s="3"/>
      <c r="WIL227" s="3"/>
      <c r="WIM227" s="3"/>
      <c r="WIN227" s="3"/>
      <c r="WIO227" s="3"/>
      <c r="WIP227" s="3"/>
      <c r="WIQ227" s="3"/>
      <c r="WIR227" s="3"/>
      <c r="WIS227" s="3"/>
      <c r="WIT227" s="3"/>
      <c r="WIU227" s="3"/>
      <c r="WIV227" s="3"/>
      <c r="WIW227" s="3"/>
      <c r="WIX227" s="3"/>
      <c r="WIY227" s="3"/>
      <c r="WIZ227" s="3"/>
      <c r="WJA227" s="3"/>
      <c r="WJB227" s="3"/>
      <c r="WJC227" s="3"/>
      <c r="WJD227" s="3"/>
      <c r="WJE227" s="3"/>
      <c r="WJF227" s="3"/>
      <c r="WJG227" s="3"/>
      <c r="WJH227" s="3"/>
      <c r="WJI227" s="3"/>
      <c r="WJJ227" s="3"/>
      <c r="WJK227" s="3"/>
      <c r="WJL227" s="3"/>
      <c r="WJM227" s="3"/>
      <c r="WJN227" s="3"/>
      <c r="WJO227" s="3"/>
      <c r="WJP227" s="3"/>
      <c r="WJQ227" s="3"/>
      <c r="WJR227" s="3"/>
      <c r="WJS227" s="3"/>
      <c r="WJT227" s="3"/>
      <c r="WJU227" s="3"/>
      <c r="WJV227" s="3"/>
      <c r="WJW227" s="3"/>
      <c r="WJX227" s="3"/>
      <c r="WJY227" s="3"/>
      <c r="WJZ227" s="3"/>
      <c r="WKA227" s="3"/>
      <c r="WKB227" s="3"/>
      <c r="WKC227" s="3"/>
      <c r="WKD227" s="3"/>
      <c r="WKE227" s="3"/>
      <c r="WKF227" s="3"/>
      <c r="WKG227" s="3"/>
      <c r="WKH227" s="3"/>
      <c r="WKI227" s="3"/>
      <c r="WKJ227" s="3"/>
      <c r="WKK227" s="3"/>
      <c r="WKL227" s="3"/>
      <c r="WKM227" s="3"/>
      <c r="WKN227" s="3"/>
      <c r="WKO227" s="3"/>
      <c r="WKP227" s="3"/>
      <c r="WKQ227" s="3"/>
      <c r="WKR227" s="3"/>
      <c r="WKS227" s="3"/>
      <c r="WKT227" s="3"/>
      <c r="WKU227" s="3"/>
      <c r="WKV227" s="3"/>
      <c r="WKW227" s="3"/>
      <c r="WKX227" s="3"/>
      <c r="WKY227" s="3"/>
      <c r="WKZ227" s="3"/>
      <c r="WLA227" s="3"/>
      <c r="WLB227" s="3"/>
      <c r="WLC227" s="3"/>
      <c r="WLD227" s="3"/>
      <c r="WLE227" s="3"/>
      <c r="WLF227" s="3"/>
      <c r="WLG227" s="3"/>
      <c r="WLH227" s="3"/>
      <c r="WLI227" s="3"/>
      <c r="WLJ227" s="3"/>
      <c r="WLK227" s="3"/>
      <c r="WLL227" s="3"/>
      <c r="WLM227" s="3"/>
      <c r="WLN227" s="3"/>
      <c r="WLO227" s="3"/>
      <c r="WLP227" s="3"/>
      <c r="WLQ227" s="3"/>
      <c r="WLR227" s="3"/>
      <c r="WLS227" s="3"/>
      <c r="WLT227" s="3"/>
      <c r="WLU227" s="3"/>
      <c r="WLV227" s="3"/>
      <c r="WLW227" s="3"/>
      <c r="WLX227" s="3"/>
      <c r="WLY227" s="3"/>
      <c r="WLZ227" s="3"/>
      <c r="WMA227" s="3"/>
      <c r="WMB227" s="3"/>
      <c r="WMC227" s="3"/>
      <c r="WMD227" s="3"/>
      <c r="WME227" s="3"/>
      <c r="WMF227" s="3"/>
      <c r="WMG227" s="3"/>
      <c r="WMH227" s="3"/>
      <c r="WMI227" s="3"/>
      <c r="WMJ227" s="3"/>
      <c r="WMK227" s="3"/>
      <c r="WML227" s="3"/>
      <c r="WMM227" s="3"/>
      <c r="WMN227" s="3"/>
      <c r="WMO227" s="3"/>
      <c r="WMP227" s="3"/>
      <c r="WMQ227" s="3"/>
      <c r="WMR227" s="3"/>
      <c r="WMS227" s="3"/>
      <c r="WMT227" s="3"/>
      <c r="WMU227" s="3"/>
      <c r="WMV227" s="3"/>
      <c r="WMW227" s="3"/>
      <c r="WMX227" s="3"/>
      <c r="WMY227" s="3"/>
      <c r="WMZ227" s="3"/>
      <c r="WNA227" s="3"/>
      <c r="WNB227" s="3"/>
      <c r="WNC227" s="3"/>
      <c r="WND227" s="3"/>
      <c r="WNE227" s="3"/>
      <c r="WNF227" s="3"/>
      <c r="WNG227" s="3"/>
      <c r="WNH227" s="3"/>
      <c r="WNI227" s="3"/>
      <c r="WNJ227" s="3"/>
      <c r="WNK227" s="3"/>
      <c r="WNL227" s="3"/>
      <c r="WNM227" s="3"/>
      <c r="WNN227" s="3"/>
      <c r="WNO227" s="3"/>
      <c r="WNP227" s="3"/>
      <c r="WNQ227" s="3"/>
      <c r="WNR227" s="3"/>
      <c r="WNS227" s="3"/>
      <c r="WNT227" s="3"/>
      <c r="WNU227" s="3"/>
      <c r="WNV227" s="3"/>
      <c r="WNW227" s="3"/>
      <c r="WNX227" s="3"/>
      <c r="WNY227" s="3"/>
      <c r="WNZ227" s="3"/>
      <c r="WOA227" s="3"/>
      <c r="WOB227" s="3"/>
      <c r="WOC227" s="3"/>
      <c r="WOD227" s="3"/>
      <c r="WOE227" s="3"/>
      <c r="WOF227" s="3"/>
      <c r="WOG227" s="3"/>
      <c r="WOH227" s="3"/>
      <c r="WOI227" s="3"/>
      <c r="WOJ227" s="3"/>
      <c r="WOK227" s="3"/>
      <c r="WOL227" s="3"/>
      <c r="WOM227" s="3"/>
      <c r="WON227" s="3"/>
      <c r="WOO227" s="3"/>
      <c r="WOP227" s="3"/>
      <c r="WOQ227" s="3"/>
      <c r="WOR227" s="3"/>
      <c r="WOS227" s="3"/>
      <c r="WOT227" s="3"/>
      <c r="WOU227" s="3"/>
      <c r="WOV227" s="3"/>
      <c r="WOW227" s="3"/>
      <c r="WOX227" s="3"/>
      <c r="WOY227" s="3"/>
      <c r="WOZ227" s="3"/>
      <c r="WPA227" s="3"/>
      <c r="WPB227" s="3"/>
      <c r="WPC227" s="3"/>
      <c r="WPD227" s="3"/>
      <c r="WPE227" s="3"/>
      <c r="WPF227" s="3"/>
      <c r="WPG227" s="3"/>
      <c r="WPH227" s="3"/>
      <c r="WPI227" s="3"/>
      <c r="WPJ227" s="3"/>
      <c r="WPK227" s="3"/>
      <c r="WPL227" s="3"/>
      <c r="WPM227" s="3"/>
      <c r="WPN227" s="3"/>
      <c r="WPO227" s="3"/>
      <c r="WPP227" s="3"/>
      <c r="WPQ227" s="3"/>
      <c r="WPR227" s="3"/>
      <c r="WPS227" s="3"/>
      <c r="WPT227" s="3"/>
      <c r="WPU227" s="3"/>
      <c r="WPV227" s="3"/>
      <c r="WPW227" s="3"/>
      <c r="WPX227" s="3"/>
      <c r="WPY227" s="3"/>
      <c r="WPZ227" s="3"/>
      <c r="WQA227" s="3"/>
      <c r="WQB227" s="3"/>
      <c r="WQC227" s="3"/>
      <c r="WQD227" s="3"/>
      <c r="WQE227" s="3"/>
      <c r="WQF227" s="3"/>
      <c r="WQG227" s="3"/>
      <c r="WQH227" s="3"/>
      <c r="WQI227" s="3"/>
      <c r="WQJ227" s="3"/>
      <c r="WQK227" s="3"/>
      <c r="WQL227" s="3"/>
      <c r="WQM227" s="3"/>
      <c r="WQN227" s="3"/>
      <c r="WQO227" s="3"/>
      <c r="WQP227" s="3"/>
      <c r="WQQ227" s="3"/>
      <c r="WQR227" s="3"/>
      <c r="WQS227" s="3"/>
      <c r="WQT227" s="3"/>
      <c r="WQU227" s="3"/>
      <c r="WQV227" s="3"/>
      <c r="WQW227" s="3"/>
      <c r="WQX227" s="3"/>
      <c r="WQY227" s="3"/>
      <c r="WQZ227" s="3"/>
      <c r="WRA227" s="3"/>
      <c r="WRB227" s="3"/>
      <c r="WRC227" s="3"/>
      <c r="WRD227" s="3"/>
      <c r="WRE227" s="3"/>
      <c r="WRF227" s="3"/>
      <c r="WRG227" s="3"/>
      <c r="WRH227" s="3"/>
      <c r="WRI227" s="3"/>
      <c r="WRJ227" s="3"/>
      <c r="WRK227" s="3"/>
      <c r="WRL227" s="3"/>
      <c r="WRM227" s="3"/>
      <c r="WRN227" s="3"/>
      <c r="WRO227" s="3"/>
      <c r="WRP227" s="3"/>
      <c r="WRQ227" s="3"/>
      <c r="WRR227" s="3"/>
      <c r="WRS227" s="3"/>
      <c r="WRT227" s="3"/>
      <c r="WRU227" s="3"/>
      <c r="WRV227" s="3"/>
      <c r="WRW227" s="3"/>
      <c r="WRX227" s="3"/>
      <c r="WRY227" s="3"/>
      <c r="WRZ227" s="3"/>
      <c r="WSA227" s="3"/>
      <c r="WSB227" s="3"/>
      <c r="WSC227" s="3"/>
      <c r="WSD227" s="3"/>
      <c r="WSE227" s="3"/>
      <c r="WSF227" s="3"/>
      <c r="WSG227" s="3"/>
      <c r="WSH227" s="3"/>
      <c r="WSI227" s="3"/>
      <c r="WSJ227" s="3"/>
      <c r="WSK227" s="3"/>
      <c r="WSL227" s="3"/>
      <c r="WSM227" s="3"/>
      <c r="WSN227" s="3"/>
      <c r="WSO227" s="3"/>
      <c r="WSP227" s="3"/>
      <c r="WSQ227" s="3"/>
      <c r="WSR227" s="3"/>
      <c r="WSS227" s="3"/>
      <c r="WST227" s="3"/>
      <c r="WSU227" s="3"/>
      <c r="WSV227" s="3"/>
      <c r="WSW227" s="3"/>
      <c r="WSX227" s="3"/>
      <c r="WSY227" s="3"/>
      <c r="WSZ227" s="3"/>
      <c r="WTA227" s="3"/>
      <c r="WTB227" s="3"/>
      <c r="WTC227" s="3"/>
      <c r="WTD227" s="3"/>
      <c r="WTE227" s="3"/>
      <c r="WTF227" s="3"/>
      <c r="WTG227" s="3"/>
      <c r="WTH227" s="3"/>
      <c r="WTI227" s="3"/>
      <c r="WTJ227" s="3"/>
      <c r="WTK227" s="3"/>
      <c r="WTL227" s="3"/>
      <c r="WTM227" s="3"/>
      <c r="WTN227" s="3"/>
      <c r="WTO227" s="3"/>
      <c r="WTP227" s="3"/>
      <c r="WTQ227" s="3"/>
      <c r="WTR227" s="3"/>
      <c r="WTS227" s="3"/>
      <c r="WTT227" s="3"/>
      <c r="WTU227" s="3"/>
      <c r="WTV227" s="3"/>
      <c r="WTW227" s="3"/>
      <c r="WTX227" s="3"/>
      <c r="WTY227" s="3"/>
      <c r="WTZ227" s="3"/>
      <c r="WUA227" s="3"/>
      <c r="WUB227" s="3"/>
      <c r="WUC227" s="3"/>
      <c r="WUD227" s="3"/>
      <c r="WUE227" s="3"/>
      <c r="WUF227" s="3"/>
      <c r="WUG227" s="3"/>
      <c r="WUH227" s="3"/>
      <c r="WUI227" s="3"/>
      <c r="WUJ227" s="3"/>
      <c r="WUK227" s="3"/>
      <c r="WUL227" s="3"/>
      <c r="WUM227" s="3"/>
      <c r="WUN227" s="3"/>
      <c r="WUO227" s="3"/>
      <c r="WUP227" s="3"/>
      <c r="WUQ227" s="3"/>
      <c r="WUR227" s="3"/>
      <c r="WUS227" s="3"/>
      <c r="WUT227" s="3"/>
      <c r="WUU227" s="3"/>
      <c r="WUV227" s="3"/>
      <c r="WUW227" s="3"/>
      <c r="WUX227" s="3"/>
      <c r="WUY227" s="3"/>
      <c r="WUZ227" s="3"/>
      <c r="WVA227" s="3"/>
      <c r="WVB227" s="3"/>
      <c r="WVC227" s="3"/>
      <c r="WVD227" s="3"/>
      <c r="WVE227" s="3"/>
      <c r="WVF227" s="3"/>
      <c r="WVG227" s="3"/>
      <c r="WVH227" s="3"/>
      <c r="WVI227" s="3"/>
      <c r="WVJ227" s="3"/>
      <c r="WVK227" s="3"/>
      <c r="WVL227" s="3"/>
      <c r="WVM227" s="3"/>
      <c r="WVN227" s="3"/>
      <c r="WVO227" s="3"/>
      <c r="WVP227" s="3"/>
      <c r="WVQ227" s="3"/>
      <c r="WVR227" s="3"/>
      <c r="WVS227" s="3"/>
      <c r="WVT227" s="3"/>
      <c r="WVU227" s="3"/>
      <c r="WVV227" s="3"/>
      <c r="WVW227" s="3"/>
      <c r="WVX227" s="3"/>
      <c r="WVY227" s="3"/>
      <c r="WVZ227" s="3"/>
      <c r="WWA227" s="3"/>
      <c r="WWB227" s="3"/>
      <c r="WWC227" s="3"/>
      <c r="WWD227" s="3"/>
      <c r="WWE227" s="3"/>
      <c r="WWF227" s="3"/>
      <c r="WWG227" s="3"/>
      <c r="WWH227" s="3"/>
      <c r="WWI227" s="3"/>
      <c r="WWJ227" s="3"/>
      <c r="WWK227" s="3"/>
      <c r="WWL227" s="3"/>
      <c r="WWM227" s="3"/>
      <c r="WWN227" s="3"/>
      <c r="WWO227" s="3"/>
      <c r="WWP227" s="3"/>
      <c r="WWQ227" s="3"/>
      <c r="WWR227" s="3"/>
      <c r="WWS227" s="3"/>
      <c r="WWT227" s="3"/>
      <c r="WWU227" s="3"/>
      <c r="WWV227" s="3"/>
      <c r="WWW227" s="3"/>
      <c r="WWX227" s="3"/>
      <c r="WWY227" s="3"/>
      <c r="WWZ227" s="3"/>
      <c r="WXA227" s="3"/>
      <c r="WXB227" s="3"/>
      <c r="WXC227" s="3"/>
      <c r="WXD227" s="3"/>
      <c r="WXE227" s="3"/>
      <c r="WXF227" s="3"/>
      <c r="WXG227" s="3"/>
      <c r="WXH227" s="3"/>
      <c r="WXI227" s="3"/>
      <c r="WXJ227" s="3"/>
      <c r="WXK227" s="3"/>
      <c r="WXL227" s="3"/>
      <c r="WXM227" s="3"/>
      <c r="WXN227" s="3"/>
      <c r="WXO227" s="3"/>
      <c r="WXP227" s="3"/>
      <c r="WXQ227" s="3"/>
      <c r="WXR227" s="3"/>
      <c r="WXS227" s="3"/>
      <c r="WXT227" s="3"/>
      <c r="WXU227" s="3"/>
      <c r="WXV227" s="3"/>
      <c r="WXW227" s="3"/>
      <c r="WXX227" s="3"/>
      <c r="WXY227" s="3"/>
      <c r="WXZ227" s="3"/>
      <c r="WYA227" s="3"/>
      <c r="WYB227" s="3"/>
      <c r="WYC227" s="3"/>
      <c r="WYD227" s="3"/>
      <c r="WYE227" s="3"/>
      <c r="WYF227" s="3"/>
      <c r="WYG227" s="3"/>
      <c r="WYH227" s="3"/>
      <c r="WYI227" s="3"/>
      <c r="WYJ227" s="3"/>
      <c r="WYK227" s="3"/>
      <c r="WYL227" s="3"/>
      <c r="WYM227" s="3"/>
      <c r="WYN227" s="3"/>
      <c r="WYO227" s="3"/>
      <c r="WYP227" s="3"/>
      <c r="WYQ227" s="3"/>
      <c r="WYR227" s="3"/>
      <c r="WYS227" s="3"/>
      <c r="WYT227" s="3"/>
      <c r="WYU227" s="3"/>
      <c r="WYV227" s="3"/>
      <c r="WYW227" s="3"/>
      <c r="WYX227" s="3"/>
      <c r="WYY227" s="3"/>
      <c r="WYZ227" s="3"/>
      <c r="WZA227" s="3"/>
      <c r="WZB227" s="3"/>
      <c r="WZC227" s="3"/>
      <c r="WZD227" s="3"/>
      <c r="WZE227" s="3"/>
      <c r="WZF227" s="3"/>
      <c r="WZG227" s="3"/>
      <c r="WZH227" s="3"/>
      <c r="WZI227" s="3"/>
      <c r="WZJ227" s="3"/>
      <c r="WZK227" s="3"/>
      <c r="WZL227" s="3"/>
      <c r="WZM227" s="3"/>
      <c r="WZN227" s="3"/>
      <c r="WZO227" s="3"/>
      <c r="WZP227" s="3"/>
      <c r="WZQ227" s="3"/>
      <c r="WZR227" s="3"/>
      <c r="WZS227" s="3"/>
      <c r="WZT227" s="3"/>
      <c r="WZU227" s="3"/>
      <c r="WZV227" s="3"/>
      <c r="WZW227" s="3"/>
      <c r="WZX227" s="3"/>
      <c r="WZY227" s="3"/>
      <c r="WZZ227" s="3"/>
      <c r="XAA227" s="3"/>
      <c r="XAB227" s="3"/>
      <c r="XAC227" s="3"/>
      <c r="XAD227" s="3"/>
      <c r="XAE227" s="3"/>
      <c r="XAF227" s="3"/>
      <c r="XAG227" s="3"/>
      <c r="XAH227" s="3"/>
      <c r="XAI227" s="3"/>
      <c r="XAJ227" s="3"/>
      <c r="XAK227" s="3"/>
      <c r="XAL227" s="3"/>
      <c r="XAM227" s="3"/>
      <c r="XAN227" s="3"/>
      <c r="XAO227" s="3"/>
      <c r="XAP227" s="3"/>
      <c r="XAQ227" s="3"/>
      <c r="XAR227" s="3"/>
      <c r="XAS227" s="3"/>
      <c r="XAT227" s="3"/>
      <c r="XAU227" s="3"/>
      <c r="XAV227" s="3"/>
      <c r="XAW227" s="3"/>
      <c r="XAX227" s="3"/>
      <c r="XAY227" s="3"/>
      <c r="XAZ227" s="3"/>
      <c r="XBA227" s="3"/>
      <c r="XBB227" s="3"/>
      <c r="XBC227" s="3"/>
      <c r="XBD227" s="3"/>
      <c r="XBE227" s="3"/>
      <c r="XBF227" s="3"/>
      <c r="XBG227" s="3"/>
      <c r="XBH227" s="3"/>
      <c r="XBI227" s="3"/>
      <c r="XBJ227" s="3"/>
      <c r="XBK227" s="3"/>
      <c r="XBL227" s="3"/>
      <c r="XBM227" s="3"/>
      <c r="XBN227" s="3"/>
      <c r="XBO227" s="3"/>
      <c r="XBP227" s="3"/>
      <c r="XBQ227" s="3"/>
      <c r="XBR227" s="3"/>
      <c r="XBS227" s="3"/>
      <c r="XBT227" s="3"/>
      <c r="XBU227" s="3"/>
      <c r="XBV227" s="3"/>
      <c r="XBW227" s="3"/>
      <c r="XBX227" s="3"/>
      <c r="XBY227" s="3"/>
      <c r="XBZ227" s="3"/>
      <c r="XCA227" s="3"/>
      <c r="XCB227" s="3"/>
      <c r="XCC227" s="3"/>
      <c r="XCD227" s="3"/>
      <c r="XCE227" s="3"/>
      <c r="XCF227" s="3"/>
      <c r="XCG227" s="3"/>
      <c r="XCH227" s="3"/>
      <c r="XCI227" s="3"/>
      <c r="XCJ227" s="3"/>
      <c r="XCK227" s="3"/>
      <c r="XCL227" s="3"/>
      <c r="XCM227" s="3"/>
      <c r="XCN227" s="3"/>
      <c r="XCO227" s="3"/>
      <c r="XCP227" s="3"/>
      <c r="XCQ227" s="3"/>
      <c r="XCR227" s="3"/>
      <c r="XCS227" s="3"/>
      <c r="XCT227" s="3"/>
      <c r="XCU227" s="3"/>
      <c r="XCV227" s="3"/>
      <c r="XCW227" s="3"/>
      <c r="XCX227" s="3"/>
      <c r="XCY227" s="3"/>
      <c r="XCZ227" s="3"/>
      <c r="XDA227" s="3"/>
      <c r="XDB227" s="3"/>
      <c r="XDC227" s="3"/>
      <c r="XDD227" s="3"/>
      <c r="XDE227" s="3"/>
      <c r="XDF227" s="3"/>
      <c r="XDG227" s="3"/>
      <c r="XDH227" s="3"/>
      <c r="XDI227" s="3"/>
      <c r="XDJ227" s="3"/>
      <c r="XDK227" s="3"/>
      <c r="XDL227" s="3"/>
      <c r="XDM227" s="3"/>
      <c r="XDN227" s="3"/>
      <c r="XDO227" s="3"/>
      <c r="XDP227" s="3"/>
      <c r="XDQ227" s="3"/>
      <c r="XDR227" s="3"/>
      <c r="XDS227" s="3"/>
      <c r="XDT227" s="3"/>
      <c r="XDU227" s="3"/>
      <c r="XDV227" s="3"/>
      <c r="XDW227" s="3"/>
      <c r="XDX227" s="3"/>
      <c r="XDY227" s="3"/>
      <c r="XDZ227" s="3"/>
      <c r="XEA227" s="3"/>
      <c r="XEB227" s="3"/>
      <c r="XEC227" s="3"/>
      <c r="XED227" s="3"/>
      <c r="XEE227" s="3"/>
      <c r="XEF227" s="3"/>
      <c r="XEG227" s="3"/>
      <c r="XEH227" s="3"/>
      <c r="XEI227" s="3"/>
      <c r="XEJ227" s="3"/>
      <c r="XEK227" s="3"/>
      <c r="XEL227" s="3"/>
      <c r="XEM227" s="3"/>
      <c r="XEN227" s="3"/>
      <c r="XEO227" s="3"/>
      <c r="XEP227" s="3"/>
      <c r="XEQ227" s="3"/>
      <c r="XER227" s="3"/>
      <c r="XES227" s="3"/>
      <c r="XET227" s="3"/>
      <c r="XEU227" s="3"/>
      <c r="XEV227" s="3"/>
    </row>
    <row r="228" spans="1:16376">
      <c r="A228" s="9">
        <v>6715</v>
      </c>
      <c r="B228" s="3" t="s">
        <v>233</v>
      </c>
      <c r="C228" s="19">
        <v>1944395.8</v>
      </c>
      <c r="D228" s="20">
        <v>7480762.2799999993</v>
      </c>
      <c r="E228" s="18">
        <v>2654111.91</v>
      </c>
      <c r="F228" s="23">
        <v>4072558.01</v>
      </c>
      <c r="G228" t="s">
        <v>307</v>
      </c>
      <c r="H228" t="s">
        <v>309</v>
      </c>
      <c r="K228" t="str">
        <f>"North Putnam Community Schools    "</f>
        <v xml:space="preserve">North Putnam Community Schools    </v>
      </c>
      <c r="L228" t="str">
        <f>"6715"</f>
        <v>6715</v>
      </c>
      <c r="M228">
        <v>40</v>
      </c>
      <c r="N228">
        <v>1927</v>
      </c>
      <c r="O228">
        <f t="shared" si="4"/>
        <v>1887</v>
      </c>
    </row>
    <row r="229" spans="1:16376">
      <c r="A229" s="8">
        <v>6750</v>
      </c>
      <c r="B229" t="s">
        <v>234</v>
      </c>
      <c r="C229" s="19">
        <v>1364754.74</v>
      </c>
      <c r="D229" s="20">
        <v>7719711.1100000003</v>
      </c>
      <c r="E229" s="18">
        <v>704515.86</v>
      </c>
      <c r="F229" s="23">
        <v>0</v>
      </c>
      <c r="G229" t="s">
        <v>307</v>
      </c>
      <c r="H229" t="s">
        <v>309</v>
      </c>
      <c r="K229" t="str">
        <f>"Cloverdale Community Schools      "</f>
        <v xml:space="preserve">Cloverdale Community Schools      </v>
      </c>
      <c r="L229" t="str">
        <f>"6750"</f>
        <v>6750</v>
      </c>
      <c r="M229">
        <v>42</v>
      </c>
      <c r="N229">
        <v>1460</v>
      </c>
      <c r="O229">
        <f t="shared" si="4"/>
        <v>1418</v>
      </c>
    </row>
    <row r="230" spans="1:16376">
      <c r="A230" s="8">
        <v>6755</v>
      </c>
      <c r="B230" t="s">
        <v>235</v>
      </c>
      <c r="C230" s="19">
        <v>2755606.77</v>
      </c>
      <c r="D230" s="20">
        <v>7096810.0499999998</v>
      </c>
      <c r="E230" s="18">
        <v>609738.41999999993</v>
      </c>
      <c r="F230" s="23">
        <v>862477.03</v>
      </c>
      <c r="G230" t="s">
        <v>307</v>
      </c>
      <c r="H230" t="s">
        <v>309</v>
      </c>
      <c r="K230" t="str">
        <f>"Greencastle Community Sch Corp    "</f>
        <v xml:space="preserve">Greencastle Community Sch Corp    </v>
      </c>
      <c r="L230" t="str">
        <f>"6755"</f>
        <v>6755</v>
      </c>
      <c r="M230">
        <v>0</v>
      </c>
      <c r="N230">
        <v>2019</v>
      </c>
      <c r="O230">
        <f t="shared" si="4"/>
        <v>2019</v>
      </c>
    </row>
    <row r="231" spans="1:16376">
      <c r="A231" s="8">
        <v>6795</v>
      </c>
      <c r="B231" t="s">
        <v>236</v>
      </c>
      <c r="C231" s="19">
        <v>595573.84</v>
      </c>
      <c r="D231" s="20">
        <v>2083342.7600000002</v>
      </c>
      <c r="E231" s="18">
        <v>193986.5</v>
      </c>
      <c r="F231" s="23">
        <v>7819.83</v>
      </c>
      <c r="G231" t="s">
        <v>307</v>
      </c>
      <c r="H231" t="s">
        <v>309</v>
      </c>
      <c r="K231" t="str">
        <f>"Union School Corporation          "</f>
        <v xml:space="preserve">Union School Corporation          </v>
      </c>
      <c r="L231" t="str">
        <f>"6795"</f>
        <v>6795</v>
      </c>
      <c r="M231">
        <v>0</v>
      </c>
      <c r="N231">
        <v>469</v>
      </c>
      <c r="O231">
        <f t="shared" si="4"/>
        <v>469</v>
      </c>
    </row>
    <row r="232" spans="1:16376">
      <c r="A232" s="8">
        <v>6805</v>
      </c>
      <c r="B232" t="s">
        <v>237</v>
      </c>
      <c r="C232" s="19">
        <v>824998.62</v>
      </c>
      <c r="D232" s="20">
        <v>2610489.0700000003</v>
      </c>
      <c r="E232" s="18">
        <v>370487.3</v>
      </c>
      <c r="F232" s="23">
        <v>33578.83</v>
      </c>
      <c r="G232" t="s">
        <v>307</v>
      </c>
      <c r="H232" t="s">
        <v>309</v>
      </c>
      <c r="K232" t="str">
        <f>"Randolph Southern School Corp     "</f>
        <v xml:space="preserve">Randolph Southern School Corp     </v>
      </c>
      <c r="L232" t="str">
        <f>"6805"</f>
        <v>6805</v>
      </c>
      <c r="M232">
        <v>0</v>
      </c>
      <c r="N232">
        <v>636</v>
      </c>
      <c r="O232">
        <f t="shared" si="4"/>
        <v>636</v>
      </c>
    </row>
    <row r="233" spans="1:16376">
      <c r="A233" s="8">
        <v>6820</v>
      </c>
      <c r="B233" t="s">
        <v>238</v>
      </c>
      <c r="C233" s="19">
        <v>1051575.5</v>
      </c>
      <c r="D233" s="20">
        <v>4509858.42</v>
      </c>
      <c r="E233" s="18">
        <v>575676.35000000009</v>
      </c>
      <c r="F233" s="23">
        <v>57733.05</v>
      </c>
      <c r="G233" t="s">
        <v>307</v>
      </c>
      <c r="H233" t="s">
        <v>309</v>
      </c>
      <c r="K233" t="str">
        <f>"Monroe Central School Corp        "</f>
        <v xml:space="preserve">Monroe Central School Corp        </v>
      </c>
      <c r="L233" t="str">
        <f>"6820"</f>
        <v>6820</v>
      </c>
      <c r="M233">
        <v>1</v>
      </c>
      <c r="N233">
        <v>983</v>
      </c>
      <c r="O233">
        <f t="shared" si="4"/>
        <v>982</v>
      </c>
    </row>
    <row r="234" spans="1:16376">
      <c r="A234" s="8">
        <v>6825</v>
      </c>
      <c r="B234" t="s">
        <v>239</v>
      </c>
      <c r="C234" s="19">
        <v>1924971.19</v>
      </c>
      <c r="D234" s="20">
        <v>7279269.8699999992</v>
      </c>
      <c r="E234" s="18">
        <v>1095734.8500000001</v>
      </c>
      <c r="F234" s="23">
        <v>50915.960000000006</v>
      </c>
      <c r="G234" t="s">
        <v>307</v>
      </c>
      <c r="H234" t="s">
        <v>309</v>
      </c>
      <c r="K234" t="str">
        <f>"Randolph Central School Corp      "</f>
        <v xml:space="preserve">Randolph Central School Corp      </v>
      </c>
      <c r="L234" t="str">
        <f>"6825"</f>
        <v>6825</v>
      </c>
      <c r="M234">
        <v>41</v>
      </c>
      <c r="N234">
        <v>1729</v>
      </c>
      <c r="O234">
        <f t="shared" si="4"/>
        <v>1688</v>
      </c>
    </row>
    <row r="235" spans="1:16376">
      <c r="A235" s="8">
        <v>6835</v>
      </c>
      <c r="B235" t="s">
        <v>240</v>
      </c>
      <c r="C235" s="19">
        <v>991940.65</v>
      </c>
      <c r="D235" s="20">
        <v>4632271.3</v>
      </c>
      <c r="E235" s="18">
        <v>531593.80000000005</v>
      </c>
      <c r="F235" s="23">
        <v>3544841.37</v>
      </c>
      <c r="G235" t="s">
        <v>307</v>
      </c>
      <c r="H235" t="s">
        <v>309</v>
      </c>
      <c r="K235" t="str">
        <f>"Randolph Eastern School Corp      "</f>
        <v xml:space="preserve">Randolph Eastern School Corp      </v>
      </c>
      <c r="L235" t="str">
        <f>"6835"</f>
        <v>6835</v>
      </c>
      <c r="M235">
        <v>0</v>
      </c>
      <c r="N235">
        <v>1018</v>
      </c>
      <c r="O235">
        <f t="shared" si="4"/>
        <v>1018</v>
      </c>
    </row>
    <row r="236" spans="1:16376">
      <c r="A236" s="8">
        <v>6865</v>
      </c>
      <c r="B236" t="s">
        <v>241</v>
      </c>
      <c r="C236" s="19">
        <v>1267890.42</v>
      </c>
      <c r="D236" s="20">
        <v>6129424.3900000006</v>
      </c>
      <c r="E236" s="18">
        <v>577424.33000000007</v>
      </c>
      <c r="F236" s="23">
        <v>406376.56</v>
      </c>
      <c r="G236" t="s">
        <v>307</v>
      </c>
      <c r="H236" t="s">
        <v>309</v>
      </c>
      <c r="K236" t="str">
        <f>"South Ripley Com Sch Corp         "</f>
        <v xml:space="preserve">South Ripley Com Sch Corp         </v>
      </c>
      <c r="L236" t="str">
        <f>"6865"</f>
        <v>6865</v>
      </c>
      <c r="M236">
        <v>0</v>
      </c>
      <c r="N236">
        <v>1308</v>
      </c>
      <c r="O236">
        <f t="shared" si="4"/>
        <v>1308</v>
      </c>
    </row>
    <row r="237" spans="1:16376">
      <c r="A237" s="8">
        <v>6895</v>
      </c>
      <c r="B237" t="s">
        <v>242</v>
      </c>
      <c r="C237" s="19">
        <v>4052386.46</v>
      </c>
      <c r="D237" s="20">
        <v>5719104.7699999996</v>
      </c>
      <c r="E237" s="18">
        <v>169819.57</v>
      </c>
      <c r="F237" s="23">
        <v>57293.53</v>
      </c>
      <c r="G237" t="s">
        <v>307</v>
      </c>
      <c r="H237" t="s">
        <v>309</v>
      </c>
      <c r="K237" t="str">
        <f>"Batesville Community Sch Corp     "</f>
        <v xml:space="preserve">Batesville Community Sch Corp     </v>
      </c>
      <c r="L237" t="str">
        <f>"6895"</f>
        <v>6895</v>
      </c>
      <c r="M237">
        <v>8</v>
      </c>
      <c r="N237">
        <v>1987</v>
      </c>
      <c r="O237">
        <f t="shared" si="4"/>
        <v>1979</v>
      </c>
    </row>
    <row r="238" spans="1:16376">
      <c r="A238" s="8">
        <v>6900</v>
      </c>
      <c r="B238" t="s">
        <v>243</v>
      </c>
      <c r="C238" s="19">
        <v>1340331.4100000001</v>
      </c>
      <c r="D238" s="20">
        <v>4164255.4299999997</v>
      </c>
      <c r="E238" s="18">
        <v>382858.22</v>
      </c>
      <c r="F238" s="23">
        <v>6840.82</v>
      </c>
      <c r="G238" t="s">
        <v>307</v>
      </c>
      <c r="H238" t="s">
        <v>309</v>
      </c>
      <c r="K238" t="str">
        <f>"Jac-Cen-Del Community Sch Corp    "</f>
        <v xml:space="preserve">Jac-Cen-Del Community Sch Corp    </v>
      </c>
      <c r="L238" t="str">
        <f>"6900"</f>
        <v>6900</v>
      </c>
      <c r="M238">
        <v>0</v>
      </c>
      <c r="N238">
        <v>988</v>
      </c>
      <c r="O238">
        <f t="shared" si="4"/>
        <v>988</v>
      </c>
    </row>
    <row r="239" spans="1:16376">
      <c r="A239" s="8">
        <v>6910</v>
      </c>
      <c r="B239" t="s">
        <v>244</v>
      </c>
      <c r="C239" s="19">
        <v>1400457.33</v>
      </c>
      <c r="D239" s="20">
        <v>6038416.9699999997</v>
      </c>
      <c r="E239" s="18">
        <v>389687.95999999996</v>
      </c>
      <c r="F239" s="23">
        <v>0</v>
      </c>
      <c r="G239" t="s">
        <v>307</v>
      </c>
      <c r="H239" t="s">
        <v>309</v>
      </c>
      <c r="K239" t="str">
        <f>"Milan Community Schools           "</f>
        <v xml:space="preserve">Milan Community Schools           </v>
      </c>
      <c r="L239" t="str">
        <f>"6910"</f>
        <v>6910</v>
      </c>
      <c r="M239">
        <v>0</v>
      </c>
      <c r="N239">
        <v>1290</v>
      </c>
      <c r="O239">
        <f t="shared" si="4"/>
        <v>1290</v>
      </c>
    </row>
    <row r="240" spans="1:16376">
      <c r="A240" s="8">
        <v>6995</v>
      </c>
      <c r="B240" t="s">
        <v>245</v>
      </c>
      <c r="C240" s="19">
        <v>3874152.7300000004</v>
      </c>
      <c r="D240" s="20">
        <v>9656685.6799999997</v>
      </c>
      <c r="E240" s="18">
        <v>1391052.47</v>
      </c>
      <c r="F240" s="23">
        <v>94905.75</v>
      </c>
      <c r="G240" t="s">
        <v>307</v>
      </c>
      <c r="H240" t="s">
        <v>309</v>
      </c>
      <c r="K240" t="str">
        <f>"Rush County Schools               "</f>
        <v xml:space="preserve">Rush County Schools               </v>
      </c>
      <c r="L240" t="str">
        <f>"6995"</f>
        <v>6995</v>
      </c>
      <c r="M240">
        <v>21</v>
      </c>
      <c r="N240">
        <v>2656</v>
      </c>
      <c r="O240">
        <f t="shared" si="4"/>
        <v>2635</v>
      </c>
    </row>
    <row r="241" spans="1:22">
      <c r="A241" s="8">
        <v>7150</v>
      </c>
      <c r="B241" t="s">
        <v>246</v>
      </c>
      <c r="C241" s="19">
        <v>2429644.42</v>
      </c>
      <c r="D241" s="20">
        <v>7392599.6199999992</v>
      </c>
      <c r="E241" s="18">
        <v>556358.84000000008</v>
      </c>
      <c r="F241" s="23">
        <v>937712.17</v>
      </c>
      <c r="G241" t="s">
        <v>307</v>
      </c>
      <c r="H241" t="s">
        <v>309</v>
      </c>
      <c r="K241" t="str">
        <f>"John Glenn School Corporation     "</f>
        <v xml:space="preserve">John Glenn School Corporation     </v>
      </c>
      <c r="L241" t="str">
        <f>"7150"</f>
        <v>7150</v>
      </c>
      <c r="M241">
        <v>0</v>
      </c>
      <c r="N241">
        <v>1818</v>
      </c>
      <c r="O241">
        <f t="shared" si="4"/>
        <v>1818</v>
      </c>
    </row>
    <row r="242" spans="1:22">
      <c r="A242" s="8">
        <v>7175</v>
      </c>
      <c r="B242" t="s">
        <v>247</v>
      </c>
      <c r="C242" s="19">
        <v>18984468.609999999</v>
      </c>
      <c r="D242" s="20">
        <v>37072039.399999999</v>
      </c>
      <c r="E242" s="18">
        <v>1232457.69</v>
      </c>
      <c r="F242" s="23">
        <v>11710177.32</v>
      </c>
      <c r="G242" t="s">
        <v>307</v>
      </c>
      <c r="H242" t="s">
        <v>309</v>
      </c>
      <c r="K242" t="str">
        <f>"Penn-Harris-Madison Sch Corp      "</f>
        <v xml:space="preserve">Penn-Harris-Madison Sch Corp      </v>
      </c>
      <c r="L242" t="str">
        <f>"7175"</f>
        <v>7175</v>
      </c>
      <c r="M242">
        <v>0</v>
      </c>
      <c r="N242">
        <v>10612</v>
      </c>
      <c r="O242">
        <f t="shared" si="4"/>
        <v>10612</v>
      </c>
    </row>
    <row r="243" spans="1:22">
      <c r="A243" s="9">
        <v>7200</v>
      </c>
      <c r="B243" s="3" t="s">
        <v>248</v>
      </c>
      <c r="C243" s="19">
        <v>5097020.2</v>
      </c>
      <c r="D243" s="20">
        <v>26742958.699999999</v>
      </c>
      <c r="E243" s="18">
        <v>6155562.0199999996</v>
      </c>
      <c r="F243" s="23">
        <v>19462787.600000001</v>
      </c>
      <c r="G243" t="s">
        <v>307</v>
      </c>
      <c r="H243" t="s">
        <v>309</v>
      </c>
      <c r="K243" t="str">
        <f>"School City of Mishawaka          "</f>
        <v xml:space="preserve">School City of Mishawaka          </v>
      </c>
      <c r="L243" t="str">
        <f>"7200"</f>
        <v>7200</v>
      </c>
      <c r="M243">
        <v>239</v>
      </c>
      <c r="N243">
        <v>5682</v>
      </c>
      <c r="O243">
        <f t="shared" si="4"/>
        <v>5443</v>
      </c>
    </row>
    <row r="244" spans="1:22">
      <c r="A244" s="8">
        <v>7205</v>
      </c>
      <c r="B244" t="s">
        <v>249</v>
      </c>
      <c r="C244" s="19">
        <v>30911343.189999998</v>
      </c>
      <c r="D244" s="20">
        <v>102642055.69999999</v>
      </c>
      <c r="E244" s="18">
        <v>34422822.600000001</v>
      </c>
      <c r="F244" s="23">
        <v>4229889.53</v>
      </c>
      <c r="G244" t="s">
        <v>307</v>
      </c>
      <c r="H244" t="s">
        <v>309</v>
      </c>
      <c r="K244" t="str">
        <f>"South Bend Community Sch Corp     "</f>
        <v xml:space="preserve">South Bend Community Sch Corp     </v>
      </c>
      <c r="L244" t="str">
        <f>"7205"</f>
        <v>7205</v>
      </c>
      <c r="M244">
        <v>693</v>
      </c>
      <c r="N244">
        <v>21824</v>
      </c>
      <c r="O244">
        <f t="shared" si="4"/>
        <v>21131</v>
      </c>
    </row>
    <row r="245" spans="1:22">
      <c r="A245" s="8">
        <v>7215</v>
      </c>
      <c r="B245" t="s">
        <v>250</v>
      </c>
      <c r="C245" s="19">
        <v>1832603.8199999998</v>
      </c>
      <c r="D245" s="20">
        <v>5216350.5600000005</v>
      </c>
      <c r="E245" s="18">
        <v>323485.99</v>
      </c>
      <c r="F245" s="23">
        <v>975601.85</v>
      </c>
      <c r="G245" t="s">
        <v>307</v>
      </c>
      <c r="H245" t="s">
        <v>309</v>
      </c>
      <c r="K245" t="str">
        <f>"Union-North United School Corp    "</f>
        <v xml:space="preserve">Union-North United School Corp    </v>
      </c>
      <c r="L245" t="str">
        <f>"7215"</f>
        <v>7215</v>
      </c>
      <c r="M245">
        <v>0</v>
      </c>
      <c r="N245">
        <v>1331</v>
      </c>
      <c r="O245">
        <f t="shared" si="4"/>
        <v>1331</v>
      </c>
    </row>
    <row r="246" spans="1:22">
      <c r="A246" s="8">
        <v>7230</v>
      </c>
      <c r="B246" t="s">
        <v>251</v>
      </c>
      <c r="C246" s="19">
        <v>2016536.32</v>
      </c>
      <c r="D246" s="20">
        <v>7823668.1699999999</v>
      </c>
      <c r="E246" s="18">
        <v>1247343.44</v>
      </c>
      <c r="F246" s="23">
        <v>147986.58000000002</v>
      </c>
      <c r="G246" t="s">
        <v>307</v>
      </c>
      <c r="H246" t="s">
        <v>309</v>
      </c>
      <c r="K246" t="str">
        <f>"Scott County School District 1    "</f>
        <v xml:space="preserve">Scott County School District 1    </v>
      </c>
      <c r="L246" t="str">
        <f>"7230"</f>
        <v>7230</v>
      </c>
      <c r="M246">
        <v>0</v>
      </c>
      <c r="N246">
        <v>1451</v>
      </c>
      <c r="O246">
        <f t="shared" si="4"/>
        <v>1451</v>
      </c>
    </row>
    <row r="247" spans="1:22">
      <c r="A247" s="8">
        <v>7255</v>
      </c>
      <c r="B247" t="s">
        <v>252</v>
      </c>
      <c r="C247" s="19">
        <v>2553386.7400000002</v>
      </c>
      <c r="D247" s="20">
        <v>13577689.6</v>
      </c>
      <c r="E247" s="18">
        <v>1120301.3500000001</v>
      </c>
      <c r="F247" s="23">
        <v>648614.52</v>
      </c>
      <c r="G247" t="s">
        <v>307</v>
      </c>
      <c r="H247" t="s">
        <v>309</v>
      </c>
      <c r="K247" t="str">
        <f>"Scott County School District 2    "</f>
        <v xml:space="preserve">Scott County School District 2    </v>
      </c>
      <c r="L247" t="str">
        <f>"7255"</f>
        <v>7255</v>
      </c>
      <c r="M247">
        <v>0</v>
      </c>
      <c r="N247">
        <v>2926</v>
      </c>
      <c r="O247">
        <f t="shared" si="4"/>
        <v>2926</v>
      </c>
    </row>
    <row r="248" spans="1:22">
      <c r="A248" s="8">
        <v>7285</v>
      </c>
      <c r="B248" t="s">
        <v>253</v>
      </c>
      <c r="C248" s="19">
        <v>2245625.9500000002</v>
      </c>
      <c r="D248" s="20">
        <v>5652353.6399999997</v>
      </c>
      <c r="E248" s="18">
        <v>315641.05</v>
      </c>
      <c r="F248" s="23">
        <v>31653.190000000002</v>
      </c>
      <c r="G248" t="s">
        <v>307</v>
      </c>
      <c r="H248" t="s">
        <v>309</v>
      </c>
      <c r="K248" t="str">
        <f>"Shelby Eastern Schools            "</f>
        <v xml:space="preserve">Shelby Eastern Schools            </v>
      </c>
      <c r="L248" t="str">
        <f>"7285"</f>
        <v>7285</v>
      </c>
      <c r="M248">
        <v>35</v>
      </c>
      <c r="N248">
        <v>1570</v>
      </c>
      <c r="O248">
        <f t="shared" si="4"/>
        <v>1535</v>
      </c>
    </row>
    <row r="249" spans="1:22">
      <c r="A249" s="8">
        <v>7350</v>
      </c>
      <c r="B249" t="s">
        <v>254</v>
      </c>
      <c r="C249" s="19">
        <v>2013477.97</v>
      </c>
      <c r="D249" s="20">
        <v>5443672.8599999994</v>
      </c>
      <c r="E249" s="18">
        <v>362047.69</v>
      </c>
      <c r="F249" s="23">
        <v>73695.28</v>
      </c>
      <c r="G249" t="s">
        <v>307</v>
      </c>
      <c r="H249" t="s">
        <v>309</v>
      </c>
      <c r="K249" t="str">
        <f>"Northwestern Con School Corp      "</f>
        <v xml:space="preserve">Northwestern Con School Corp      </v>
      </c>
      <c r="L249" t="str">
        <f>"7350"</f>
        <v>7350</v>
      </c>
      <c r="M249">
        <v>31</v>
      </c>
      <c r="N249">
        <v>1571</v>
      </c>
      <c r="O249">
        <f t="shared" si="4"/>
        <v>1540</v>
      </c>
    </row>
    <row r="250" spans="1:22">
      <c r="A250" s="8">
        <v>7360</v>
      </c>
      <c r="B250" t="s">
        <v>255</v>
      </c>
      <c r="C250" s="19">
        <v>1118690.6499999999</v>
      </c>
      <c r="D250" s="20">
        <v>2557815.7999999998</v>
      </c>
      <c r="E250" s="18">
        <v>278318.49</v>
      </c>
      <c r="F250" s="23">
        <v>39011.18</v>
      </c>
      <c r="G250" t="s">
        <v>307</v>
      </c>
      <c r="H250" t="s">
        <v>309</v>
      </c>
      <c r="K250" t="str">
        <f>"Southwestern Con Sch Shelby Co    "</f>
        <v xml:space="preserve">Southwestern Con Sch Shelby Co    </v>
      </c>
      <c r="L250" t="str">
        <f>"7360"</f>
        <v>7360</v>
      </c>
      <c r="M250">
        <v>8</v>
      </c>
      <c r="N250">
        <v>779</v>
      </c>
      <c r="O250">
        <f t="shared" si="4"/>
        <v>771</v>
      </c>
      <c r="R250" s="49" t="str">
        <f>"Blue River Special Ed Coop        "</f>
        <v xml:space="preserve">Blue River Special Ed Coop        </v>
      </c>
      <c r="S250" s="49" t="str">
        <f>"7355"</f>
        <v>7355</v>
      </c>
      <c r="T250" s="49">
        <v>5</v>
      </c>
      <c r="U250" s="49">
        <v>44</v>
      </c>
      <c r="V250" s="49">
        <f t="shared" ref="V250" si="5">U250-T250</f>
        <v>39</v>
      </c>
    </row>
    <row r="251" spans="1:22">
      <c r="A251" s="8">
        <v>7365</v>
      </c>
      <c r="B251" t="s">
        <v>256</v>
      </c>
      <c r="C251" s="19">
        <v>5003826.7300000004</v>
      </c>
      <c r="D251" s="20">
        <v>15003411.48</v>
      </c>
      <c r="E251" s="18">
        <v>1321438.92</v>
      </c>
      <c r="F251" s="23">
        <v>31429</v>
      </c>
      <c r="G251" t="s">
        <v>307</v>
      </c>
      <c r="H251" t="s">
        <v>309</v>
      </c>
      <c r="K251" t="str">
        <f>"Shelbyville Central Schools       "</f>
        <v xml:space="preserve">Shelbyville Central Schools       </v>
      </c>
      <c r="L251" t="str">
        <f>"7365"</f>
        <v>7365</v>
      </c>
      <c r="M251">
        <v>0</v>
      </c>
      <c r="N251">
        <v>3858</v>
      </c>
      <c r="O251">
        <f t="shared" si="4"/>
        <v>3858</v>
      </c>
    </row>
    <row r="252" spans="1:22">
      <c r="A252" s="8">
        <v>7385</v>
      </c>
      <c r="B252" t="s">
        <v>257</v>
      </c>
      <c r="C252" s="19">
        <v>4019699.75</v>
      </c>
      <c r="D252" s="20">
        <v>8029917.3599999994</v>
      </c>
      <c r="E252" s="18">
        <v>779321.4</v>
      </c>
      <c r="F252" s="23">
        <v>1360112.5499999998</v>
      </c>
      <c r="G252" t="s">
        <v>307</v>
      </c>
      <c r="H252" t="s">
        <v>309</v>
      </c>
      <c r="K252" t="str">
        <f>"North Spencer County Sch Corp     "</f>
        <v xml:space="preserve">North Spencer County Sch Corp     </v>
      </c>
      <c r="L252" t="str">
        <f>"7385"</f>
        <v>7385</v>
      </c>
      <c r="M252">
        <v>19</v>
      </c>
      <c r="N252">
        <v>2259</v>
      </c>
      <c r="O252">
        <f t="shared" si="4"/>
        <v>2240</v>
      </c>
    </row>
    <row r="253" spans="1:22">
      <c r="A253" s="8">
        <v>7445</v>
      </c>
      <c r="B253" t="s">
        <v>258</v>
      </c>
      <c r="C253" s="19">
        <v>5945380.5999999996</v>
      </c>
      <c r="D253" s="20">
        <v>2680400.6799999997</v>
      </c>
      <c r="E253" s="18">
        <v>464547.22000000003</v>
      </c>
      <c r="F253" s="23">
        <v>3470938.66</v>
      </c>
      <c r="G253" t="s">
        <v>307</v>
      </c>
      <c r="H253" t="s">
        <v>309</v>
      </c>
      <c r="K253" t="str">
        <f>"South Spencer County Sch Corp     "</f>
        <v xml:space="preserve">South Spencer County Sch Corp     </v>
      </c>
      <c r="L253" t="str">
        <f>"7445"</f>
        <v>7445</v>
      </c>
      <c r="M253">
        <v>36</v>
      </c>
      <c r="N253">
        <v>1473</v>
      </c>
      <c r="O253">
        <f t="shared" si="4"/>
        <v>1437</v>
      </c>
    </row>
    <row r="254" spans="1:22">
      <c r="A254" s="8">
        <v>7495</v>
      </c>
      <c r="B254" t="s">
        <v>259</v>
      </c>
      <c r="C254" s="19">
        <v>827317.3600000001</v>
      </c>
      <c r="D254" s="20">
        <v>3359953.0300000003</v>
      </c>
      <c r="E254" s="18">
        <v>263767.2</v>
      </c>
      <c r="F254" s="23">
        <v>57527.02</v>
      </c>
      <c r="G254" t="s">
        <v>307</v>
      </c>
      <c r="H254" t="s">
        <v>309</v>
      </c>
      <c r="K254" t="str">
        <f>"Oregon-Davis School Corp          "</f>
        <v xml:space="preserve">Oregon-Davis School Corp          </v>
      </c>
      <c r="L254" t="str">
        <f>"7495"</f>
        <v>7495</v>
      </c>
      <c r="M254">
        <v>0</v>
      </c>
      <c r="N254">
        <v>719</v>
      </c>
      <c r="O254">
        <f t="shared" si="4"/>
        <v>719</v>
      </c>
    </row>
    <row r="255" spans="1:22">
      <c r="A255" s="8">
        <v>7515</v>
      </c>
      <c r="B255" t="s">
        <v>260</v>
      </c>
      <c r="C255" s="19">
        <v>1716347.1099999999</v>
      </c>
      <c r="D255" s="20">
        <v>7504368.79</v>
      </c>
      <c r="E255" s="18">
        <v>573171.6</v>
      </c>
      <c r="F255" s="23">
        <v>99393.72</v>
      </c>
      <c r="G255" t="s">
        <v>307</v>
      </c>
      <c r="H255" t="s">
        <v>309</v>
      </c>
      <c r="K255" t="str">
        <f>"North Judson-San Pierre Sch Corp  "</f>
        <v xml:space="preserve">North Judson-San Pierre Sch Corp  </v>
      </c>
      <c r="L255" t="str">
        <f>"7515"</f>
        <v>7515</v>
      </c>
      <c r="M255">
        <v>0</v>
      </c>
      <c r="N255">
        <v>1461</v>
      </c>
      <c r="O255">
        <f t="shared" si="4"/>
        <v>1461</v>
      </c>
    </row>
    <row r="256" spans="1:22">
      <c r="A256" s="8">
        <v>7525</v>
      </c>
      <c r="B256" t="s">
        <v>261</v>
      </c>
      <c r="C256" s="19">
        <v>2734771.26</v>
      </c>
      <c r="D256" s="20">
        <v>9486063.4900000002</v>
      </c>
      <c r="E256" s="18">
        <v>1346066.04</v>
      </c>
      <c r="F256" s="23">
        <v>119376.42000000001</v>
      </c>
      <c r="G256" t="s">
        <v>307</v>
      </c>
      <c r="H256" t="s">
        <v>309</v>
      </c>
      <c r="K256" t="str">
        <f>"Knox Community School Corp        "</f>
        <v xml:space="preserve">Knox Community School Corp        </v>
      </c>
      <c r="L256" t="str">
        <f>"7525"</f>
        <v>7525</v>
      </c>
      <c r="M256">
        <v>0</v>
      </c>
      <c r="N256">
        <v>2039</v>
      </c>
      <c r="O256">
        <f t="shared" si="4"/>
        <v>2039</v>
      </c>
    </row>
    <row r="257" spans="1:15">
      <c r="A257" s="8">
        <v>7605</v>
      </c>
      <c r="B257" t="s">
        <v>262</v>
      </c>
      <c r="C257" s="19">
        <v>3074854.66</v>
      </c>
      <c r="D257" s="20">
        <v>1714654.5899999999</v>
      </c>
      <c r="E257" s="18">
        <v>1525527.8</v>
      </c>
      <c r="F257" s="23">
        <v>45428.539999999994</v>
      </c>
      <c r="G257" t="s">
        <v>307</v>
      </c>
      <c r="H257" t="s">
        <v>309</v>
      </c>
      <c r="K257" t="str">
        <f>"Fremont Community Schools         "</f>
        <v xml:space="preserve">Fremont Community Schools         </v>
      </c>
      <c r="L257" t="str">
        <f>"7605"</f>
        <v>7605</v>
      </c>
      <c r="M257">
        <v>0</v>
      </c>
      <c r="N257">
        <v>1199</v>
      </c>
      <c r="O257">
        <f t="shared" si="4"/>
        <v>1199</v>
      </c>
    </row>
    <row r="258" spans="1:15">
      <c r="A258" s="8">
        <v>7610</v>
      </c>
      <c r="B258" t="s">
        <v>263</v>
      </c>
      <c r="C258" s="19">
        <v>1733894.88</v>
      </c>
      <c r="D258" s="20">
        <v>2156500.2599999998</v>
      </c>
      <c r="E258" s="18">
        <v>439346.39</v>
      </c>
      <c r="F258" s="23">
        <v>8605.66</v>
      </c>
      <c r="G258" t="s">
        <v>307</v>
      </c>
      <c r="H258" t="s">
        <v>309</v>
      </c>
      <c r="K258" t="str">
        <f>"Hamilton Community Schools        "</f>
        <v xml:space="preserve">Hamilton Community Schools        </v>
      </c>
      <c r="L258" t="str">
        <f>"7610"</f>
        <v>7610</v>
      </c>
      <c r="M258">
        <v>0</v>
      </c>
      <c r="N258">
        <v>603</v>
      </c>
      <c r="O258">
        <f t="shared" ref="O258:O294" si="6">N258-M258</f>
        <v>603</v>
      </c>
    </row>
    <row r="259" spans="1:15">
      <c r="A259" s="8">
        <v>7615</v>
      </c>
      <c r="B259" t="s">
        <v>264</v>
      </c>
      <c r="C259" s="19">
        <v>5657538.3000000007</v>
      </c>
      <c r="D259" s="20">
        <v>9347772.0199999996</v>
      </c>
      <c r="E259" s="18">
        <v>898277.1</v>
      </c>
      <c r="F259" s="23">
        <v>131151.14000000001</v>
      </c>
      <c r="G259" t="s">
        <v>307</v>
      </c>
      <c r="H259" t="s">
        <v>309</v>
      </c>
      <c r="K259" t="str">
        <f>"M S D Steuben County              "</f>
        <v xml:space="preserve">M S D Steuben County              </v>
      </c>
      <c r="L259" t="str">
        <f>"7615"</f>
        <v>7615</v>
      </c>
      <c r="M259">
        <v>0</v>
      </c>
      <c r="N259">
        <v>3026</v>
      </c>
      <c r="O259">
        <f t="shared" si="6"/>
        <v>3026</v>
      </c>
    </row>
    <row r="260" spans="1:15">
      <c r="A260" s="8">
        <v>7645</v>
      </c>
      <c r="B260" t="s">
        <v>265</v>
      </c>
      <c r="C260" s="19">
        <v>1498731.37</v>
      </c>
      <c r="D260" s="20">
        <v>6843270.4800000004</v>
      </c>
      <c r="E260" s="18">
        <v>898131.61</v>
      </c>
      <c r="F260" s="23">
        <v>162776.26</v>
      </c>
      <c r="G260" t="s">
        <v>307</v>
      </c>
      <c r="H260" t="s">
        <v>309</v>
      </c>
      <c r="K260" t="str">
        <f>"Northeast School Corp             "</f>
        <v xml:space="preserve">Northeast School Corp             </v>
      </c>
      <c r="L260" t="str">
        <f>"7645"</f>
        <v>7645</v>
      </c>
      <c r="M260">
        <v>33</v>
      </c>
      <c r="N260">
        <v>1524</v>
      </c>
      <c r="O260">
        <f t="shared" si="6"/>
        <v>1491</v>
      </c>
    </row>
    <row r="261" spans="1:15">
      <c r="A261" s="8">
        <v>7715</v>
      </c>
      <c r="B261" t="s">
        <v>266</v>
      </c>
      <c r="C261" s="19">
        <v>2691130.01</v>
      </c>
      <c r="D261" s="20">
        <v>7053765.5700000003</v>
      </c>
      <c r="E261" s="18">
        <v>973313.61</v>
      </c>
      <c r="F261" s="23">
        <v>445412.82</v>
      </c>
      <c r="G261" t="s">
        <v>307</v>
      </c>
      <c r="H261" t="s">
        <v>309</v>
      </c>
      <c r="K261" t="str">
        <f>"Southwest School Corp             "</f>
        <v xml:space="preserve">Southwest School Corp             </v>
      </c>
      <c r="L261" t="str">
        <f>"7715"</f>
        <v>7715</v>
      </c>
      <c r="M261">
        <v>24</v>
      </c>
      <c r="N261">
        <v>1787</v>
      </c>
      <c r="O261">
        <f t="shared" si="6"/>
        <v>1763</v>
      </c>
    </row>
    <row r="262" spans="1:15">
      <c r="A262" s="8">
        <v>7775</v>
      </c>
      <c r="B262" t="s">
        <v>267</v>
      </c>
      <c r="C262" s="19">
        <v>3247102.26</v>
      </c>
      <c r="D262" s="20">
        <v>6760468.0600000005</v>
      </c>
      <c r="E262" s="18">
        <v>692953.84</v>
      </c>
      <c r="F262" s="23">
        <v>130071.8</v>
      </c>
      <c r="G262" t="s">
        <v>307</v>
      </c>
      <c r="H262" t="s">
        <v>309</v>
      </c>
      <c r="K262" t="str">
        <f>"Switzerland County School Corp    "</f>
        <v xml:space="preserve">Switzerland County School Corp    </v>
      </c>
      <c r="L262" t="str">
        <f>"7775"</f>
        <v>7775</v>
      </c>
      <c r="M262">
        <v>7</v>
      </c>
      <c r="N262">
        <v>1592</v>
      </c>
      <c r="O262">
        <f t="shared" si="6"/>
        <v>1585</v>
      </c>
    </row>
    <row r="263" spans="1:15">
      <c r="A263" s="8">
        <v>7855</v>
      </c>
      <c r="B263" t="s">
        <v>268</v>
      </c>
      <c r="C263" s="19">
        <v>21577986.199999999</v>
      </c>
      <c r="D263" s="20">
        <v>27308471.199999999</v>
      </c>
      <c r="E263" s="18">
        <v>10241650.440000001</v>
      </c>
      <c r="F263" s="23">
        <v>112460.29000000001</v>
      </c>
      <c r="G263" t="s">
        <v>307</v>
      </c>
      <c r="H263" t="s">
        <v>309</v>
      </c>
      <c r="K263" t="str">
        <f>"Lafayette School Corporation      "</f>
        <v xml:space="preserve">Lafayette School Corporation      </v>
      </c>
      <c r="L263" t="str">
        <f>"7855"</f>
        <v>7855</v>
      </c>
      <c r="M263">
        <v>0</v>
      </c>
      <c r="N263">
        <v>7469</v>
      </c>
      <c r="O263">
        <f t="shared" si="6"/>
        <v>7469</v>
      </c>
    </row>
    <row r="264" spans="1:15">
      <c r="A264" s="8">
        <v>7865</v>
      </c>
      <c r="B264" t="s">
        <v>269</v>
      </c>
      <c r="C264" s="19">
        <v>33870451.200000003</v>
      </c>
      <c r="D264" s="20">
        <v>32292829.899999999</v>
      </c>
      <c r="E264" s="18">
        <v>3173906.8</v>
      </c>
      <c r="F264" s="23">
        <v>4563015.8</v>
      </c>
      <c r="G264" t="s">
        <v>307</v>
      </c>
      <c r="H264" t="s">
        <v>309</v>
      </c>
      <c r="K264" t="str">
        <f>"Tippecanoe School Corp            "</f>
        <v xml:space="preserve">Tippecanoe School Corp            </v>
      </c>
      <c r="L264" t="str">
        <f>"7865"</f>
        <v>7865</v>
      </c>
      <c r="M264">
        <v>0</v>
      </c>
      <c r="N264">
        <v>11263</v>
      </c>
      <c r="O264">
        <f t="shared" si="6"/>
        <v>11263</v>
      </c>
    </row>
    <row r="265" spans="1:15">
      <c r="A265" s="8">
        <v>7875</v>
      </c>
      <c r="B265" t="s">
        <v>270</v>
      </c>
      <c r="C265" s="19">
        <v>10533349.9</v>
      </c>
      <c r="D265" s="20">
        <v>3071111.51</v>
      </c>
      <c r="E265" s="18">
        <v>261962.21</v>
      </c>
      <c r="F265" s="23">
        <v>382249.75</v>
      </c>
      <c r="G265" t="s">
        <v>307</v>
      </c>
      <c r="H265" t="s">
        <v>309</v>
      </c>
      <c r="K265" t="str">
        <f>"West Lafayette Com School Corp    "</f>
        <v xml:space="preserve">West Lafayette Com School Corp    </v>
      </c>
      <c r="L265" t="str">
        <f>"7875"</f>
        <v>7875</v>
      </c>
      <c r="M265">
        <v>0</v>
      </c>
      <c r="N265">
        <v>2001</v>
      </c>
      <c r="O265">
        <f t="shared" si="6"/>
        <v>2001</v>
      </c>
    </row>
    <row r="266" spans="1:15">
      <c r="A266" s="8">
        <v>7935</v>
      </c>
      <c r="B266" t="s">
        <v>271</v>
      </c>
      <c r="C266" s="19">
        <v>2266406.0099999998</v>
      </c>
      <c r="D266" s="20">
        <v>4112774.9299999997</v>
      </c>
      <c r="E266" s="18">
        <v>251706.62</v>
      </c>
      <c r="F266" s="23">
        <v>220882.92</v>
      </c>
      <c r="G266" t="s">
        <v>307</v>
      </c>
      <c r="H266" t="s">
        <v>309</v>
      </c>
      <c r="K266" t="str">
        <f>"Tri-Central Community Schools     "</f>
        <v xml:space="preserve">Tri-Central Community Schools     </v>
      </c>
      <c r="L266" t="str">
        <f>"7935"</f>
        <v>7935</v>
      </c>
      <c r="M266">
        <v>24</v>
      </c>
      <c r="N266">
        <v>1038</v>
      </c>
      <c r="O266">
        <f t="shared" si="6"/>
        <v>1014</v>
      </c>
    </row>
    <row r="267" spans="1:15">
      <c r="A267" s="8">
        <v>7945</v>
      </c>
      <c r="B267" t="s">
        <v>272</v>
      </c>
      <c r="C267" s="19">
        <v>4482468.3599999994</v>
      </c>
      <c r="D267" s="20">
        <v>6324791.3300000001</v>
      </c>
      <c r="E267" s="18">
        <v>338179.08</v>
      </c>
      <c r="F267" s="23">
        <v>507791.68</v>
      </c>
      <c r="G267" t="s">
        <v>307</v>
      </c>
      <c r="H267" t="s">
        <v>309</v>
      </c>
      <c r="K267" t="str">
        <f>"Tipton Community School Corp      "</f>
        <v xml:space="preserve">Tipton Community School Corp      </v>
      </c>
      <c r="L267" t="str">
        <f>"7945"</f>
        <v>7945</v>
      </c>
      <c r="M267">
        <v>27</v>
      </c>
      <c r="N267">
        <v>1854</v>
      </c>
      <c r="O267">
        <f t="shared" si="6"/>
        <v>1827</v>
      </c>
    </row>
    <row r="268" spans="1:15">
      <c r="A268" s="8">
        <v>7950</v>
      </c>
      <c r="B268" t="s">
        <v>273</v>
      </c>
      <c r="C268" s="19">
        <v>2034981.87</v>
      </c>
      <c r="D268" s="20">
        <v>6954003.6600000001</v>
      </c>
      <c r="E268" s="18">
        <v>1763668.09</v>
      </c>
      <c r="F268" s="23">
        <v>1992695.4700000002</v>
      </c>
      <c r="G268" t="s">
        <v>307</v>
      </c>
      <c r="H268" t="s">
        <v>309</v>
      </c>
      <c r="K268" t="str">
        <f>"Union Co/Clg Corner Joint Sch Dist"</f>
        <v>Union Co/Clg Corner Joint Sch Dist</v>
      </c>
      <c r="L268" t="str">
        <f>"7950"</f>
        <v>7950</v>
      </c>
      <c r="M268">
        <v>27</v>
      </c>
      <c r="N268">
        <v>1651</v>
      </c>
      <c r="O268">
        <f t="shared" si="6"/>
        <v>1624</v>
      </c>
    </row>
    <row r="269" spans="1:15">
      <c r="A269" s="8">
        <v>7995</v>
      </c>
      <c r="B269" t="s">
        <v>274</v>
      </c>
      <c r="C269" s="19">
        <v>67934080.5</v>
      </c>
      <c r="D269" s="20">
        <v>77560252.400000006</v>
      </c>
      <c r="E269" s="18">
        <v>25494609.600000001</v>
      </c>
      <c r="F269" s="23">
        <v>1723729.6600000001</v>
      </c>
      <c r="G269" t="s">
        <v>307</v>
      </c>
      <c r="H269" t="s">
        <v>309</v>
      </c>
      <c r="K269" t="str">
        <f>"Evansville Vanderburgh Sch Corp   "</f>
        <v xml:space="preserve">Evansville Vanderburgh Sch Corp   </v>
      </c>
      <c r="L269" t="str">
        <f>"7995"</f>
        <v>7995</v>
      </c>
      <c r="M269">
        <v>61</v>
      </c>
      <c r="N269">
        <v>22190</v>
      </c>
      <c r="O269">
        <f t="shared" si="6"/>
        <v>22129</v>
      </c>
    </row>
    <row r="270" spans="1:15">
      <c r="A270" s="8">
        <v>8010</v>
      </c>
      <c r="B270" t="s">
        <v>275</v>
      </c>
      <c r="C270" s="19">
        <v>1634189.45</v>
      </c>
      <c r="D270" s="20">
        <v>2866289.01</v>
      </c>
      <c r="E270" s="18">
        <v>415407.33</v>
      </c>
      <c r="F270" s="23">
        <v>109401.76</v>
      </c>
      <c r="G270" t="s">
        <v>307</v>
      </c>
      <c r="H270" t="s">
        <v>309</v>
      </c>
      <c r="K270" t="str">
        <f>"North Vermillion Com Sch Corp     "</f>
        <v xml:space="preserve">North Vermillion Com Sch Corp     </v>
      </c>
      <c r="L270" t="str">
        <f>"8010"</f>
        <v>8010</v>
      </c>
      <c r="M270">
        <v>0</v>
      </c>
      <c r="N270">
        <v>801</v>
      </c>
      <c r="O270">
        <f t="shared" si="6"/>
        <v>801</v>
      </c>
    </row>
    <row r="271" spans="1:15">
      <c r="A271" s="8">
        <v>8020</v>
      </c>
      <c r="B271" t="s">
        <v>276</v>
      </c>
      <c r="C271" s="19">
        <v>2711555.6399999997</v>
      </c>
      <c r="D271" s="20">
        <v>8158663.9700000007</v>
      </c>
      <c r="E271" s="18">
        <v>1410318.31</v>
      </c>
      <c r="F271" s="23">
        <v>657437.77</v>
      </c>
      <c r="G271" t="s">
        <v>307</v>
      </c>
      <c r="H271" t="s">
        <v>309</v>
      </c>
      <c r="K271" t="str">
        <f>"South Vermillion Com Sch Corp     "</f>
        <v xml:space="preserve">South Vermillion Com Sch Corp     </v>
      </c>
      <c r="L271" t="str">
        <f>"8020"</f>
        <v>8020</v>
      </c>
      <c r="M271">
        <v>0</v>
      </c>
      <c r="N271">
        <v>2040</v>
      </c>
      <c r="O271">
        <f t="shared" si="6"/>
        <v>2040</v>
      </c>
    </row>
    <row r="272" spans="1:15">
      <c r="A272" s="8">
        <v>8030</v>
      </c>
      <c r="B272" t="s">
        <v>277</v>
      </c>
      <c r="C272" s="19">
        <v>16345610.969999999</v>
      </c>
      <c r="D272" s="20">
        <v>72501219.699999988</v>
      </c>
      <c r="E272" s="18">
        <v>11141072.439999999</v>
      </c>
      <c r="F272" s="23">
        <v>1665513.35</v>
      </c>
      <c r="G272" t="s">
        <v>307</v>
      </c>
      <c r="H272" t="s">
        <v>309</v>
      </c>
      <c r="K272" t="str">
        <f>"Vigo County School Corp           "</f>
        <v xml:space="preserve">Vigo County School Corp           </v>
      </c>
      <c r="L272" t="str">
        <f>"8030"</f>
        <v>8030</v>
      </c>
      <c r="M272">
        <v>173</v>
      </c>
      <c r="N272">
        <v>16431</v>
      </c>
      <c r="O272">
        <f t="shared" si="6"/>
        <v>16258</v>
      </c>
    </row>
    <row r="273" spans="1:15">
      <c r="A273" s="8">
        <v>8045</v>
      </c>
      <c r="B273" t="s">
        <v>278</v>
      </c>
      <c r="C273" s="19">
        <v>3508945.82</v>
      </c>
      <c r="D273" s="20">
        <v>6319267.1600000001</v>
      </c>
      <c r="E273" s="18">
        <v>494737.12</v>
      </c>
      <c r="F273" s="23">
        <v>36925.32</v>
      </c>
      <c r="G273" t="s">
        <v>307</v>
      </c>
      <c r="H273" t="s">
        <v>309</v>
      </c>
      <c r="K273" t="str">
        <f>"Manchester Community Schools      "</f>
        <v xml:space="preserve">Manchester Community Schools      </v>
      </c>
      <c r="L273" t="str">
        <f>"8045"</f>
        <v>8045</v>
      </c>
      <c r="M273">
        <v>20</v>
      </c>
      <c r="N273">
        <v>1552</v>
      </c>
      <c r="O273">
        <f t="shared" si="6"/>
        <v>1532</v>
      </c>
    </row>
    <row r="274" spans="1:15">
      <c r="A274" s="8">
        <v>8050</v>
      </c>
      <c r="B274" t="s">
        <v>279</v>
      </c>
      <c r="C274" s="19">
        <v>6309045.9299999997</v>
      </c>
      <c r="D274" s="20">
        <v>9856597.4499999993</v>
      </c>
      <c r="E274" s="18">
        <v>2436237.5099999998</v>
      </c>
      <c r="F274" s="23">
        <v>2023432.51</v>
      </c>
      <c r="G274" t="s">
        <v>307</v>
      </c>
      <c r="H274" t="s">
        <v>309</v>
      </c>
      <c r="K274" t="str">
        <f>"M S D Wabash County Schools       "</f>
        <v xml:space="preserve">M S D Wabash County Schools       </v>
      </c>
      <c r="L274" t="str">
        <f>"8050"</f>
        <v>8050</v>
      </c>
      <c r="M274">
        <v>15</v>
      </c>
      <c r="N274">
        <v>2582</v>
      </c>
      <c r="O274">
        <f t="shared" si="6"/>
        <v>2567</v>
      </c>
    </row>
    <row r="275" spans="1:15">
      <c r="A275" s="8">
        <v>8060</v>
      </c>
      <c r="B275" t="s">
        <v>280</v>
      </c>
      <c r="C275" s="19">
        <v>3351801.7800000003</v>
      </c>
      <c r="D275" s="20">
        <v>7582723.0300000003</v>
      </c>
      <c r="E275" s="18">
        <v>706640.58000000007</v>
      </c>
      <c r="F275" s="23">
        <v>70253.78</v>
      </c>
      <c r="G275" t="s">
        <v>307</v>
      </c>
      <c r="H275" t="s">
        <v>309</v>
      </c>
      <c r="K275" t="str">
        <f>"Wabash City Schools               "</f>
        <v xml:space="preserve">Wabash City Schools               </v>
      </c>
      <c r="L275" t="str">
        <f>"8060"</f>
        <v>8060</v>
      </c>
      <c r="M275">
        <v>0</v>
      </c>
      <c r="N275">
        <v>1484</v>
      </c>
      <c r="O275">
        <f t="shared" si="6"/>
        <v>1484</v>
      </c>
    </row>
    <row r="276" spans="1:15">
      <c r="A276" s="8">
        <v>8115</v>
      </c>
      <c r="B276" t="s">
        <v>281</v>
      </c>
      <c r="C276" s="19">
        <v>1824976.08</v>
      </c>
      <c r="D276" s="20">
        <v>5083091.0199999996</v>
      </c>
      <c r="E276" s="18">
        <v>1245921.78</v>
      </c>
      <c r="F276" s="23">
        <v>706524.22</v>
      </c>
      <c r="G276" t="s">
        <v>307</v>
      </c>
      <c r="H276" t="s">
        <v>309</v>
      </c>
      <c r="K276" t="str">
        <f>"M S D Warren County               "</f>
        <v xml:space="preserve">M S D Warren County               </v>
      </c>
      <c r="L276" t="str">
        <f>"8115"</f>
        <v>8115</v>
      </c>
      <c r="M276">
        <v>0</v>
      </c>
      <c r="N276">
        <v>1331</v>
      </c>
      <c r="O276">
        <f t="shared" si="6"/>
        <v>1331</v>
      </c>
    </row>
    <row r="277" spans="1:15">
      <c r="A277" s="8">
        <v>8130</v>
      </c>
      <c r="B277" t="s">
        <v>282</v>
      </c>
      <c r="C277" s="19">
        <v>13480026.780000001</v>
      </c>
      <c r="D277" s="20">
        <v>29003042.899999999</v>
      </c>
      <c r="E277" s="18">
        <v>2207166.29</v>
      </c>
      <c r="F277" s="23">
        <v>426106.81</v>
      </c>
      <c r="G277" t="s">
        <v>307</v>
      </c>
      <c r="H277" t="s">
        <v>309</v>
      </c>
      <c r="K277" t="str">
        <f>"Warrick County School Corp        "</f>
        <v xml:space="preserve">Warrick County School Corp        </v>
      </c>
      <c r="L277" t="str">
        <f>"8130"</f>
        <v>8130</v>
      </c>
      <c r="M277">
        <v>0</v>
      </c>
      <c r="N277">
        <v>9590</v>
      </c>
      <c r="O277">
        <f t="shared" si="6"/>
        <v>9590</v>
      </c>
    </row>
    <row r="278" spans="1:15">
      <c r="A278" s="8">
        <v>8205</v>
      </c>
      <c r="B278" t="s">
        <v>283</v>
      </c>
      <c r="C278" s="19">
        <v>1683808.29</v>
      </c>
      <c r="D278" s="20">
        <v>9012342.620000001</v>
      </c>
      <c r="E278" s="18">
        <v>871973.22</v>
      </c>
      <c r="F278" s="23">
        <v>13741.38</v>
      </c>
      <c r="G278" t="s">
        <v>307</v>
      </c>
      <c r="H278" t="s">
        <v>309</v>
      </c>
      <c r="K278" t="str">
        <f>"Salem Community Schools           "</f>
        <v xml:space="preserve">Salem Community Schools           </v>
      </c>
      <c r="L278" t="str">
        <f>"8205"</f>
        <v>8205</v>
      </c>
      <c r="M278">
        <v>0</v>
      </c>
      <c r="N278">
        <v>2158</v>
      </c>
      <c r="O278">
        <f t="shared" si="6"/>
        <v>2158</v>
      </c>
    </row>
    <row r="279" spans="1:15">
      <c r="A279" s="8">
        <v>8215</v>
      </c>
      <c r="B279" t="s">
        <v>284</v>
      </c>
      <c r="C279" s="19">
        <v>1328770.5499999998</v>
      </c>
      <c r="D279" s="20">
        <v>8788425.0199999996</v>
      </c>
      <c r="E279" s="18">
        <v>770016.05</v>
      </c>
      <c r="F279" s="23">
        <v>223801.71000000002</v>
      </c>
      <c r="G279" t="s">
        <v>307</v>
      </c>
      <c r="H279" t="s">
        <v>309</v>
      </c>
      <c r="K279" t="str">
        <f>"East Washington School Corp       "</f>
        <v xml:space="preserve">East Washington School Corp       </v>
      </c>
      <c r="L279" t="str">
        <f>"8215"</f>
        <v>8215</v>
      </c>
      <c r="M279">
        <v>0</v>
      </c>
      <c r="N279">
        <v>1733</v>
      </c>
      <c r="O279">
        <f t="shared" si="6"/>
        <v>1733</v>
      </c>
    </row>
    <row r="280" spans="1:15">
      <c r="A280" s="8">
        <v>8220</v>
      </c>
      <c r="B280" t="s">
        <v>285</v>
      </c>
      <c r="C280" s="19">
        <v>1071248.48</v>
      </c>
      <c r="D280" s="20">
        <v>4726295.1899999995</v>
      </c>
      <c r="E280" s="18">
        <v>451247.47</v>
      </c>
      <c r="F280" s="23">
        <v>34758.5</v>
      </c>
      <c r="G280" t="s">
        <v>307</v>
      </c>
      <c r="H280" t="s">
        <v>309</v>
      </c>
      <c r="K280" t="str">
        <f>"West Washington School Corp       "</f>
        <v xml:space="preserve">West Washington School Corp       </v>
      </c>
      <c r="L280" t="str">
        <f>"8220"</f>
        <v>8220</v>
      </c>
      <c r="M280">
        <v>0</v>
      </c>
      <c r="N280">
        <v>982</v>
      </c>
      <c r="O280">
        <f t="shared" si="6"/>
        <v>982</v>
      </c>
    </row>
    <row r="281" spans="1:15">
      <c r="A281" s="9">
        <v>8305</v>
      </c>
      <c r="B281" s="3" t="s">
        <v>286</v>
      </c>
      <c r="C281" s="19">
        <v>1433722.44</v>
      </c>
      <c r="D281" s="20">
        <v>5514436.4800000004</v>
      </c>
      <c r="E281" s="18">
        <v>331671.93</v>
      </c>
      <c r="F281" s="23">
        <v>76821.31</v>
      </c>
      <c r="G281" t="s">
        <v>307</v>
      </c>
      <c r="H281" t="s">
        <v>309</v>
      </c>
      <c r="K281" t="str">
        <f>"Nettle Creek School Corp          "</f>
        <v xml:space="preserve">Nettle Creek School Corp          </v>
      </c>
      <c r="L281" t="str">
        <f>"8305"</f>
        <v>8305</v>
      </c>
      <c r="M281">
        <v>21</v>
      </c>
      <c r="N281">
        <v>1264</v>
      </c>
      <c r="O281">
        <f t="shared" si="6"/>
        <v>1243</v>
      </c>
    </row>
    <row r="282" spans="1:15">
      <c r="A282" s="8">
        <v>8355</v>
      </c>
      <c r="B282" t="s">
        <v>287</v>
      </c>
      <c r="C282" s="19">
        <v>1038201.98</v>
      </c>
      <c r="D282" s="20">
        <v>5799725.3499999996</v>
      </c>
      <c r="E282" s="18">
        <v>465051.63</v>
      </c>
      <c r="F282" s="23">
        <v>15406.4</v>
      </c>
      <c r="G282" t="s">
        <v>307</v>
      </c>
      <c r="H282" t="s">
        <v>309</v>
      </c>
      <c r="K282" t="str">
        <f>"Western Wayne Schools             "</f>
        <v xml:space="preserve">Western Wayne Schools             </v>
      </c>
      <c r="L282" t="str">
        <f>"8355"</f>
        <v>8355</v>
      </c>
      <c r="M282">
        <v>14</v>
      </c>
      <c r="N282">
        <v>1218</v>
      </c>
      <c r="O282">
        <f t="shared" si="6"/>
        <v>1204</v>
      </c>
    </row>
    <row r="283" spans="1:15">
      <c r="A283" s="8">
        <v>8360</v>
      </c>
      <c r="B283" t="s">
        <v>288</v>
      </c>
      <c r="C283" s="19">
        <v>1629845.19</v>
      </c>
      <c r="D283" s="20">
        <v>7082372.0099999998</v>
      </c>
      <c r="E283" s="18">
        <v>460902.15</v>
      </c>
      <c r="F283" s="23">
        <v>11877.86</v>
      </c>
      <c r="G283" t="s">
        <v>307</v>
      </c>
      <c r="H283" t="s">
        <v>309</v>
      </c>
      <c r="K283" t="str">
        <f>"Centerville-Abington Com Schs     "</f>
        <v xml:space="preserve">Centerville-Abington Com Schs     </v>
      </c>
      <c r="L283" t="str">
        <f>"8360"</f>
        <v>8360</v>
      </c>
      <c r="M283">
        <v>19</v>
      </c>
      <c r="N283">
        <v>1698</v>
      </c>
      <c r="O283">
        <f t="shared" si="6"/>
        <v>1679</v>
      </c>
    </row>
    <row r="284" spans="1:15">
      <c r="A284" s="8">
        <v>8375</v>
      </c>
      <c r="B284" t="s">
        <v>289</v>
      </c>
      <c r="C284" s="19">
        <v>1121865.4099999999</v>
      </c>
      <c r="D284" s="20">
        <v>4900529.3499999996</v>
      </c>
      <c r="E284" s="18">
        <v>262966.19</v>
      </c>
      <c r="F284" s="23">
        <v>3044008.71</v>
      </c>
      <c r="G284" t="s">
        <v>307</v>
      </c>
      <c r="H284" t="s">
        <v>309</v>
      </c>
      <c r="K284" t="str">
        <f>"Northeastern Wayne Schools        "</f>
        <v xml:space="preserve">Northeastern Wayne Schools        </v>
      </c>
      <c r="L284" t="str">
        <f>"8375"</f>
        <v>8375</v>
      </c>
      <c r="M284">
        <v>7</v>
      </c>
      <c r="N284">
        <v>1101</v>
      </c>
      <c r="O284">
        <f t="shared" si="6"/>
        <v>1094</v>
      </c>
    </row>
    <row r="285" spans="1:15">
      <c r="A285" s="8">
        <v>8385</v>
      </c>
      <c r="B285" t="s">
        <v>290</v>
      </c>
      <c r="C285" s="19">
        <v>9929148.3300000001</v>
      </c>
      <c r="D285" s="20">
        <v>25381342.600000001</v>
      </c>
      <c r="E285" s="18">
        <v>5851295.9199999999</v>
      </c>
      <c r="F285" s="23">
        <v>207533.38</v>
      </c>
      <c r="G285" t="s">
        <v>307</v>
      </c>
      <c r="H285" t="s">
        <v>309</v>
      </c>
      <c r="K285" t="str">
        <f>"Richmond Community Schools        "</f>
        <v xml:space="preserve">Richmond Community Schools        </v>
      </c>
      <c r="L285" t="str">
        <f>"8385"</f>
        <v>8385</v>
      </c>
      <c r="M285">
        <v>156</v>
      </c>
      <c r="N285">
        <v>5725</v>
      </c>
      <c r="O285">
        <f t="shared" si="6"/>
        <v>5569</v>
      </c>
    </row>
    <row r="286" spans="1:15">
      <c r="A286" s="8">
        <v>8425</v>
      </c>
      <c r="B286" t="s">
        <v>291</v>
      </c>
      <c r="C286" s="19">
        <v>1339291.24</v>
      </c>
      <c r="D286" s="20">
        <v>3217446.11</v>
      </c>
      <c r="E286" s="18">
        <v>121742.18</v>
      </c>
      <c r="F286" s="23">
        <v>6298.47</v>
      </c>
      <c r="G286" t="s">
        <v>307</v>
      </c>
      <c r="H286" t="s">
        <v>309</v>
      </c>
      <c r="K286" t="str">
        <f>"Southern Wells Com Schools        "</f>
        <v xml:space="preserve">Southern Wells Com Schools        </v>
      </c>
      <c r="L286" t="str">
        <f>"8425"</f>
        <v>8425</v>
      </c>
      <c r="M286">
        <v>0</v>
      </c>
      <c r="N286">
        <v>803</v>
      </c>
      <c r="O286">
        <f t="shared" si="6"/>
        <v>803</v>
      </c>
    </row>
    <row r="287" spans="1:15">
      <c r="A287" s="8">
        <v>8435</v>
      </c>
      <c r="B287" t="s">
        <v>292</v>
      </c>
      <c r="C287" s="19">
        <v>4481901.53</v>
      </c>
      <c r="D287" s="20">
        <v>9872598.9399999995</v>
      </c>
      <c r="E287" s="18">
        <v>732497.95</v>
      </c>
      <c r="F287" s="23">
        <v>273271.17</v>
      </c>
      <c r="G287" t="s">
        <v>307</v>
      </c>
      <c r="H287" t="s">
        <v>309</v>
      </c>
      <c r="K287" t="str">
        <f>"Northern Wells Com Schools        "</f>
        <v xml:space="preserve">Northern Wells Com Schools        </v>
      </c>
      <c r="L287" t="str">
        <f>"8435"</f>
        <v>8435</v>
      </c>
      <c r="M287">
        <v>22</v>
      </c>
      <c r="N287">
        <v>2586</v>
      </c>
      <c r="O287">
        <f t="shared" si="6"/>
        <v>2564</v>
      </c>
    </row>
    <row r="288" spans="1:15">
      <c r="A288" s="8">
        <v>8445</v>
      </c>
      <c r="B288" t="s">
        <v>293</v>
      </c>
      <c r="C288" s="19">
        <v>2002997.88</v>
      </c>
      <c r="D288" s="20">
        <v>5988852.8700000001</v>
      </c>
      <c r="E288" s="18">
        <v>607756.06000000006</v>
      </c>
      <c r="F288" s="23">
        <v>36108.47</v>
      </c>
      <c r="G288" t="s">
        <v>307</v>
      </c>
      <c r="H288" t="s">
        <v>309</v>
      </c>
      <c r="K288" t="str">
        <f>"M S D Bluffton-Harrison           "</f>
        <v xml:space="preserve">M S D Bluffton-Harrison           </v>
      </c>
      <c r="L288" t="str">
        <f>"8445"</f>
        <v>8445</v>
      </c>
      <c r="M288">
        <v>0</v>
      </c>
      <c r="N288">
        <v>1496</v>
      </c>
      <c r="O288">
        <f t="shared" si="6"/>
        <v>1496</v>
      </c>
    </row>
    <row r="289" spans="1:16376">
      <c r="A289" s="8">
        <v>8515</v>
      </c>
      <c r="B289" t="s">
        <v>294</v>
      </c>
      <c r="C289" s="19">
        <v>2029922.1</v>
      </c>
      <c r="D289" s="20">
        <v>3551583.71</v>
      </c>
      <c r="E289" s="18">
        <v>740368.32000000007</v>
      </c>
      <c r="F289" s="23">
        <v>83024.259999999995</v>
      </c>
      <c r="G289" t="s">
        <v>307</v>
      </c>
      <c r="H289" t="s">
        <v>309</v>
      </c>
      <c r="K289" t="str">
        <f>"North White School Corp           "</f>
        <v xml:space="preserve">North White School Corp           </v>
      </c>
      <c r="L289" t="str">
        <f>"8515"</f>
        <v>8515</v>
      </c>
      <c r="M289">
        <v>30</v>
      </c>
      <c r="N289">
        <v>1045</v>
      </c>
      <c r="O289">
        <f t="shared" si="6"/>
        <v>1015</v>
      </c>
    </row>
    <row r="290" spans="1:16376">
      <c r="A290" s="8">
        <v>8525</v>
      </c>
      <c r="B290" t="s">
        <v>295</v>
      </c>
      <c r="C290" s="19">
        <v>1234614.95</v>
      </c>
      <c r="D290" s="20">
        <v>2962296.3899999997</v>
      </c>
      <c r="E290" s="18">
        <v>209810.44</v>
      </c>
      <c r="F290" s="23">
        <v>308347.92</v>
      </c>
      <c r="G290" t="s">
        <v>307</v>
      </c>
      <c r="H290" t="s">
        <v>309</v>
      </c>
      <c r="K290" t="str">
        <f>"Frontier School Corporation       "</f>
        <v xml:space="preserve">Frontier School Corporation       </v>
      </c>
      <c r="L290" t="str">
        <f>"8525"</f>
        <v>8525</v>
      </c>
      <c r="M290">
        <v>0</v>
      </c>
      <c r="N290">
        <v>832</v>
      </c>
      <c r="O290">
        <f t="shared" si="6"/>
        <v>832</v>
      </c>
    </row>
    <row r="291" spans="1:16376">
      <c r="A291" s="8">
        <v>8535</v>
      </c>
      <c r="B291" t="s">
        <v>296</v>
      </c>
      <c r="C291" s="19">
        <v>2675737.08</v>
      </c>
      <c r="D291" s="20">
        <v>1593486.96</v>
      </c>
      <c r="E291" s="18">
        <v>214111.01</v>
      </c>
      <c r="F291" s="23">
        <v>197457.46</v>
      </c>
      <c r="G291" t="s">
        <v>307</v>
      </c>
      <c r="H291" t="s">
        <v>309</v>
      </c>
      <c r="K291" t="str">
        <f>"Tri-County School Corp            "</f>
        <v xml:space="preserve">Tri-County School Corp            </v>
      </c>
      <c r="L291" t="str">
        <f>"8535"</f>
        <v>8535</v>
      </c>
      <c r="M291">
        <v>0</v>
      </c>
      <c r="N291">
        <v>801</v>
      </c>
      <c r="O291">
        <f t="shared" si="6"/>
        <v>801</v>
      </c>
    </row>
    <row r="292" spans="1:16376">
      <c r="A292" s="8">
        <v>8565</v>
      </c>
      <c r="B292" t="s">
        <v>297</v>
      </c>
      <c r="C292" s="19">
        <v>5120635.67</v>
      </c>
      <c r="D292" s="20">
        <v>8312179.75</v>
      </c>
      <c r="E292" s="18">
        <v>1200530.29</v>
      </c>
      <c r="F292" s="23">
        <v>348087.49</v>
      </c>
      <c r="G292" t="s">
        <v>307</v>
      </c>
      <c r="H292" t="s">
        <v>309</v>
      </c>
      <c r="K292" t="str">
        <f>"Twin Lakes School Corp            "</f>
        <v xml:space="preserve">Twin Lakes School Corp            </v>
      </c>
      <c r="L292" t="str">
        <f>"8565"</f>
        <v>8565</v>
      </c>
      <c r="M292">
        <v>14</v>
      </c>
      <c r="N292">
        <v>2614</v>
      </c>
      <c r="O292">
        <f t="shared" si="6"/>
        <v>2600</v>
      </c>
    </row>
    <row r="293" spans="1:16376">
      <c r="A293" s="8">
        <v>8625</v>
      </c>
      <c r="B293" t="s">
        <v>298</v>
      </c>
      <c r="C293" s="19">
        <v>1420872.6600000001</v>
      </c>
      <c r="D293" s="20">
        <v>5701362.9900000002</v>
      </c>
      <c r="E293" s="18">
        <v>501228.56999999995</v>
      </c>
      <c r="F293" s="23">
        <v>35534.07</v>
      </c>
      <c r="G293" t="s">
        <v>307</v>
      </c>
      <c r="H293" t="s">
        <v>309</v>
      </c>
      <c r="K293" t="str">
        <f>"Smith-Green Community Schools     "</f>
        <v xml:space="preserve">Smith-Green Community Schools     </v>
      </c>
      <c r="L293" t="str">
        <f>"8625"</f>
        <v>8625</v>
      </c>
      <c r="M293">
        <v>15</v>
      </c>
      <c r="N293">
        <v>1332</v>
      </c>
      <c r="O293">
        <f t="shared" si="6"/>
        <v>1317</v>
      </c>
    </row>
    <row r="294" spans="1:16376">
      <c r="A294" s="8">
        <v>8665</v>
      </c>
      <c r="B294" t="s">
        <v>299</v>
      </c>
      <c r="C294" s="19">
        <v>6766874.3600000003</v>
      </c>
      <c r="D294" s="20">
        <v>12342374.59</v>
      </c>
      <c r="E294" s="18">
        <v>604212.11</v>
      </c>
      <c r="F294" s="23">
        <v>124433.22</v>
      </c>
      <c r="G294" t="s">
        <v>307</v>
      </c>
      <c r="H294" t="s">
        <v>309</v>
      </c>
      <c r="K294" t="str">
        <f>"Whitley Co Cons Schools           "</f>
        <v xml:space="preserve">Whitley Co Cons Schools           </v>
      </c>
      <c r="L294" t="str">
        <f>"8665"</f>
        <v>8665</v>
      </c>
      <c r="M294">
        <v>76</v>
      </c>
      <c r="N294">
        <v>3631</v>
      </c>
      <c r="O294">
        <f t="shared" si="6"/>
        <v>3555</v>
      </c>
    </row>
    <row r="295" spans="1:16376">
      <c r="A295" s="8"/>
      <c r="C295" s="6">
        <f>SUM(C2:C294)</f>
        <v>1813830886.0600004</v>
      </c>
      <c r="D295" s="6">
        <f>SUM(D2:D294)</f>
        <v>4003677364.27</v>
      </c>
      <c r="E295" s="6">
        <f>SUM(E2:E294)</f>
        <v>718768904.02000034</v>
      </c>
      <c r="F295" s="6">
        <f>SUM(F2:F294)</f>
        <v>685748751.88999915</v>
      </c>
      <c r="P295" s="3"/>
      <c r="Q295" s="3"/>
      <c r="R295" s="49" t="str">
        <f>"IN Department of Correction       "</f>
        <v xml:space="preserve">IN Department of Correction       </v>
      </c>
      <c r="S295" s="49" t="str">
        <f>"9100"</f>
        <v>9100</v>
      </c>
      <c r="T295" s="49">
        <v>0</v>
      </c>
      <c r="U295" s="49">
        <v>797</v>
      </c>
      <c r="V295" s="49">
        <f t="shared" ref="V295" si="7">U295-T295</f>
        <v>797</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c r="GE295" s="3"/>
      <c r="GF295" s="3"/>
      <c r="GG295" s="3"/>
      <c r="GH295" s="3"/>
      <c r="GI295" s="3"/>
      <c r="GJ295" s="3"/>
      <c r="GK295" s="3"/>
      <c r="GL295" s="3"/>
      <c r="GM295" s="3"/>
      <c r="GN295" s="3"/>
      <c r="GO295" s="3"/>
      <c r="GP295" s="3"/>
      <c r="GQ295" s="3"/>
      <c r="GR295" s="3"/>
      <c r="GS295" s="3"/>
      <c r="GT295" s="3"/>
      <c r="GU295" s="3"/>
      <c r="GV295" s="3"/>
      <c r="GW295" s="3"/>
      <c r="GX295" s="3"/>
      <c r="GY295" s="3"/>
      <c r="GZ295" s="3"/>
      <c r="HA295" s="3"/>
      <c r="HB295" s="3"/>
      <c r="HC295" s="3"/>
      <c r="HD295" s="3"/>
      <c r="HE295" s="3"/>
      <c r="HF295" s="3"/>
      <c r="HG295" s="3"/>
      <c r="HH295" s="3"/>
      <c r="HI295" s="3"/>
      <c r="HJ295" s="3"/>
      <c r="HK295" s="3"/>
      <c r="HL295" s="3"/>
      <c r="HM295" s="3"/>
      <c r="HN295" s="3"/>
      <c r="HO295" s="3"/>
      <c r="HP295" s="3"/>
      <c r="HQ295" s="3"/>
      <c r="HR295" s="3"/>
      <c r="HS295" s="3"/>
      <c r="HT295" s="3"/>
      <c r="HU295" s="3"/>
      <c r="HV295" s="3"/>
      <c r="HW295" s="3"/>
      <c r="HX295" s="3"/>
      <c r="HY295" s="3"/>
      <c r="HZ295" s="3"/>
      <c r="IA295" s="3"/>
      <c r="IB295" s="3"/>
      <c r="IC295" s="3"/>
      <c r="ID295" s="3"/>
      <c r="IE295" s="3"/>
      <c r="IF295" s="3"/>
      <c r="IG295" s="3"/>
      <c r="IH295" s="3"/>
      <c r="II295" s="3"/>
      <c r="IJ295" s="3"/>
      <c r="IK295" s="3"/>
      <c r="IL295" s="3"/>
      <c r="IM295" s="3"/>
      <c r="IN295" s="3"/>
      <c r="IO295" s="3"/>
      <c r="IP295" s="3"/>
      <c r="IQ295" s="3"/>
      <c r="IR295" s="3"/>
      <c r="IS295" s="3"/>
      <c r="IT295" s="3"/>
      <c r="IU295" s="3"/>
      <c r="IV295" s="3"/>
      <c r="IW295" s="3"/>
      <c r="IX295" s="3"/>
      <c r="IY295" s="3"/>
      <c r="IZ295" s="3"/>
      <c r="JA295" s="3"/>
      <c r="JB295" s="3"/>
      <c r="JC295" s="3"/>
      <c r="JD295" s="3"/>
      <c r="JE295" s="3"/>
      <c r="JF295" s="3"/>
      <c r="JG295" s="3"/>
      <c r="JH295" s="3"/>
      <c r="JI295" s="3"/>
      <c r="JJ295" s="3"/>
      <c r="JK295" s="3"/>
      <c r="JL295" s="3"/>
      <c r="JM295" s="3"/>
      <c r="JN295" s="3"/>
      <c r="JO295" s="3"/>
      <c r="JP295" s="3"/>
      <c r="JQ295" s="3"/>
      <c r="JR295" s="3"/>
      <c r="JS295" s="3"/>
      <c r="JT295" s="3"/>
      <c r="JU295" s="3"/>
      <c r="JV295" s="3"/>
      <c r="JW295" s="3"/>
      <c r="JX295" s="3"/>
      <c r="JY295" s="3"/>
      <c r="JZ295" s="3"/>
      <c r="KA295" s="3"/>
      <c r="KB295" s="3"/>
      <c r="KC295" s="3"/>
      <c r="KD295" s="3"/>
      <c r="KE295" s="3"/>
      <c r="KF295" s="3"/>
      <c r="KG295" s="3"/>
      <c r="KH295" s="3"/>
      <c r="KI295" s="3"/>
      <c r="KJ295" s="3"/>
      <c r="KK295" s="3"/>
      <c r="KL295" s="3"/>
      <c r="KM295" s="3"/>
      <c r="KN295" s="3"/>
      <c r="KO295" s="3"/>
      <c r="KP295" s="3"/>
      <c r="KQ295" s="3"/>
      <c r="KR295" s="3"/>
      <c r="KS295" s="3"/>
      <c r="KT295" s="3"/>
      <c r="KU295" s="3"/>
      <c r="KV295" s="3"/>
      <c r="KW295" s="3"/>
      <c r="KX295" s="3"/>
      <c r="KY295" s="3"/>
      <c r="KZ295" s="3"/>
      <c r="LA295" s="3"/>
      <c r="LB295" s="3"/>
      <c r="LC295" s="3"/>
      <c r="LD295" s="3"/>
      <c r="LE295" s="3"/>
      <c r="LF295" s="3"/>
      <c r="LG295" s="3"/>
      <c r="LH295" s="3"/>
      <c r="LI295" s="3"/>
      <c r="LJ295" s="3"/>
      <c r="LK295" s="3"/>
      <c r="LL295" s="3"/>
      <c r="LM295" s="3"/>
      <c r="LN295" s="3"/>
      <c r="LO295" s="3"/>
      <c r="LP295" s="3"/>
      <c r="LQ295" s="3"/>
      <c r="LR295" s="3"/>
      <c r="LS295" s="3"/>
      <c r="LT295" s="3"/>
      <c r="LU295" s="3"/>
      <c r="LV295" s="3"/>
      <c r="LW295" s="3"/>
      <c r="LX295" s="3"/>
      <c r="LY295" s="3"/>
      <c r="LZ295" s="3"/>
      <c r="MA295" s="3"/>
      <c r="MB295" s="3"/>
      <c r="MC295" s="3"/>
      <c r="MD295" s="3"/>
      <c r="ME295" s="3"/>
      <c r="MF295" s="3"/>
      <c r="MG295" s="3"/>
      <c r="MH295" s="3"/>
      <c r="MI295" s="3"/>
      <c r="MJ295" s="3"/>
      <c r="MK295" s="3"/>
      <c r="ML295" s="3"/>
      <c r="MM295" s="3"/>
      <c r="MN295" s="3"/>
      <c r="MO295" s="3"/>
      <c r="MP295" s="3"/>
      <c r="MQ295" s="3"/>
      <c r="MR295" s="3"/>
      <c r="MS295" s="3"/>
      <c r="MT295" s="3"/>
      <c r="MU295" s="3"/>
      <c r="MV295" s="3"/>
      <c r="MW295" s="3"/>
      <c r="MX295" s="3"/>
      <c r="MY295" s="3"/>
      <c r="MZ295" s="3"/>
      <c r="NA295" s="3"/>
      <c r="NB295" s="3"/>
      <c r="NC295" s="3"/>
      <c r="ND295" s="3"/>
      <c r="NE295" s="3"/>
      <c r="NF295" s="3"/>
      <c r="NG295" s="3"/>
      <c r="NH295" s="3"/>
      <c r="NI295" s="3"/>
      <c r="NJ295" s="3"/>
      <c r="NK295" s="3"/>
      <c r="NL295" s="3"/>
      <c r="NM295" s="3"/>
      <c r="NN295" s="3"/>
      <c r="NO295" s="3"/>
      <c r="NP295" s="3"/>
      <c r="NQ295" s="3"/>
      <c r="NR295" s="3"/>
      <c r="NS295" s="3"/>
      <c r="NT295" s="3"/>
      <c r="NU295" s="3"/>
      <c r="NV295" s="3"/>
      <c r="NW295" s="3"/>
      <c r="NX295" s="3"/>
      <c r="NY295" s="3"/>
      <c r="NZ295" s="3"/>
      <c r="OA295" s="3"/>
      <c r="OB295" s="3"/>
      <c r="OC295" s="3"/>
      <c r="OD295" s="3"/>
      <c r="OE295" s="3"/>
      <c r="OF295" s="3"/>
      <c r="OG295" s="3"/>
      <c r="OH295" s="3"/>
      <c r="OI295" s="3"/>
      <c r="OJ295" s="3"/>
      <c r="OK295" s="3"/>
      <c r="OL295" s="3"/>
      <c r="OM295" s="3"/>
      <c r="ON295" s="3"/>
      <c r="OO295" s="3"/>
      <c r="OP295" s="3"/>
      <c r="OQ295" s="3"/>
      <c r="OR295" s="3"/>
      <c r="OS295" s="3"/>
      <c r="OT295" s="3"/>
      <c r="OU295" s="3"/>
      <c r="OV295" s="3"/>
      <c r="OW295" s="3"/>
      <c r="OX295" s="3"/>
      <c r="OY295" s="3"/>
      <c r="OZ295" s="3"/>
      <c r="PA295" s="3"/>
      <c r="PB295" s="3"/>
      <c r="PC295" s="3"/>
      <c r="PD295" s="3"/>
      <c r="PE295" s="3"/>
      <c r="PF295" s="3"/>
      <c r="PG295" s="3"/>
      <c r="PH295" s="3"/>
      <c r="PI295" s="3"/>
      <c r="PJ295" s="3"/>
      <c r="PK295" s="3"/>
      <c r="PL295" s="3"/>
      <c r="PM295" s="3"/>
      <c r="PN295" s="3"/>
      <c r="PO295" s="3"/>
      <c r="PP295" s="3"/>
      <c r="PQ295" s="3"/>
      <c r="PR295" s="3"/>
      <c r="PS295" s="3"/>
      <c r="PT295" s="3"/>
      <c r="PU295" s="3"/>
      <c r="PV295" s="3"/>
      <c r="PW295" s="3"/>
      <c r="PX295" s="3"/>
      <c r="PY295" s="3"/>
      <c r="PZ295" s="3"/>
      <c r="QA295" s="3"/>
      <c r="QB295" s="3"/>
      <c r="QC295" s="3"/>
      <c r="QD295" s="3"/>
      <c r="QE295" s="3"/>
      <c r="QF295" s="3"/>
      <c r="QG295" s="3"/>
      <c r="QH295" s="3"/>
      <c r="QI295" s="3"/>
      <c r="QJ295" s="3"/>
      <c r="QK295" s="3"/>
      <c r="QL295" s="3"/>
      <c r="QM295" s="3"/>
      <c r="QN295" s="3"/>
      <c r="QO295" s="3"/>
      <c r="QP295" s="3"/>
      <c r="QQ295" s="3"/>
      <c r="QR295" s="3"/>
      <c r="QS295" s="3"/>
      <c r="QT295" s="3"/>
      <c r="QU295" s="3"/>
      <c r="QV295" s="3"/>
      <c r="QW295" s="3"/>
      <c r="QX295" s="3"/>
      <c r="QY295" s="3"/>
      <c r="QZ295" s="3"/>
      <c r="RA295" s="3"/>
      <c r="RB295" s="3"/>
      <c r="RC295" s="3"/>
      <c r="RD295" s="3"/>
      <c r="RE295" s="3"/>
      <c r="RF295" s="3"/>
      <c r="RG295" s="3"/>
      <c r="RH295" s="3"/>
      <c r="RI295" s="3"/>
      <c r="RJ295" s="3"/>
      <c r="RK295" s="3"/>
      <c r="RL295" s="3"/>
      <c r="RM295" s="3"/>
      <c r="RN295" s="3"/>
      <c r="RO295" s="3"/>
      <c r="RP295" s="3"/>
      <c r="RQ295" s="3"/>
      <c r="RR295" s="3"/>
      <c r="RS295" s="3"/>
      <c r="RT295" s="3"/>
      <c r="RU295" s="3"/>
      <c r="RV295" s="3"/>
      <c r="RW295" s="3"/>
      <c r="RX295" s="3"/>
      <c r="RY295" s="3"/>
      <c r="RZ295" s="3"/>
      <c r="SA295" s="3"/>
      <c r="SB295" s="3"/>
      <c r="SC295" s="3"/>
      <c r="SD295" s="3"/>
      <c r="SE295" s="3"/>
      <c r="SF295" s="3"/>
      <c r="SG295" s="3"/>
      <c r="SH295" s="3"/>
      <c r="SI295" s="3"/>
      <c r="SJ295" s="3"/>
      <c r="SK295" s="3"/>
      <c r="SL295" s="3"/>
      <c r="SM295" s="3"/>
      <c r="SN295" s="3"/>
      <c r="SO295" s="3"/>
      <c r="SP295" s="3"/>
      <c r="SQ295" s="3"/>
      <c r="SR295" s="3"/>
      <c r="SS295" s="3"/>
      <c r="ST295" s="3"/>
      <c r="SU295" s="3"/>
      <c r="SV295" s="3"/>
      <c r="SW295" s="3"/>
      <c r="SX295" s="3"/>
      <c r="SY295" s="3"/>
      <c r="SZ295" s="3"/>
      <c r="TA295" s="3"/>
      <c r="TB295" s="3"/>
      <c r="TC295" s="3"/>
      <c r="TD295" s="3"/>
      <c r="TE295" s="3"/>
      <c r="TF295" s="3"/>
      <c r="TG295" s="3"/>
      <c r="TH295" s="3"/>
      <c r="TI295" s="3"/>
      <c r="TJ295" s="3"/>
      <c r="TK295" s="3"/>
      <c r="TL295" s="3"/>
      <c r="TM295" s="3"/>
      <c r="TN295" s="3"/>
      <c r="TO295" s="3"/>
      <c r="TP295" s="3"/>
      <c r="TQ295" s="3"/>
      <c r="TR295" s="3"/>
      <c r="TS295" s="3"/>
      <c r="TT295" s="3"/>
      <c r="TU295" s="3"/>
      <c r="TV295" s="3"/>
      <c r="TW295" s="3"/>
      <c r="TX295" s="3"/>
      <c r="TY295" s="3"/>
      <c r="TZ295" s="3"/>
      <c r="UA295" s="3"/>
      <c r="UB295" s="3"/>
      <c r="UC295" s="3"/>
      <c r="UD295" s="3"/>
      <c r="UE295" s="3"/>
      <c r="UF295" s="3"/>
      <c r="UG295" s="3"/>
      <c r="UH295" s="3"/>
      <c r="UI295" s="3"/>
      <c r="UJ295" s="3"/>
      <c r="UK295" s="3"/>
      <c r="UL295" s="3"/>
      <c r="UM295" s="3"/>
      <c r="UN295" s="3"/>
      <c r="UO295" s="3"/>
      <c r="UP295" s="3"/>
      <c r="UQ295" s="3"/>
      <c r="UR295" s="3"/>
      <c r="US295" s="3"/>
      <c r="UT295" s="3"/>
      <c r="UU295" s="3"/>
      <c r="UV295" s="3"/>
      <c r="UW295" s="3"/>
      <c r="UX295" s="3"/>
      <c r="UY295" s="3"/>
      <c r="UZ295" s="3"/>
      <c r="VA295" s="3"/>
      <c r="VB295" s="3"/>
      <c r="VC295" s="3"/>
      <c r="VD295" s="3"/>
      <c r="VE295" s="3"/>
      <c r="VF295" s="3"/>
      <c r="VG295" s="3"/>
      <c r="VH295" s="3"/>
      <c r="VI295" s="3"/>
      <c r="VJ295" s="3"/>
      <c r="VK295" s="3"/>
      <c r="VL295" s="3"/>
      <c r="VM295" s="3"/>
      <c r="VN295" s="3"/>
      <c r="VO295" s="3"/>
      <c r="VP295" s="3"/>
      <c r="VQ295" s="3"/>
      <c r="VR295" s="3"/>
      <c r="VS295" s="3"/>
      <c r="VT295" s="3"/>
      <c r="VU295" s="3"/>
      <c r="VV295" s="3"/>
      <c r="VW295" s="3"/>
      <c r="VX295" s="3"/>
      <c r="VY295" s="3"/>
      <c r="VZ295" s="3"/>
      <c r="WA295" s="3"/>
      <c r="WB295" s="3"/>
      <c r="WC295" s="3"/>
      <c r="WD295" s="3"/>
      <c r="WE295" s="3"/>
      <c r="WF295" s="3"/>
      <c r="WG295" s="3"/>
      <c r="WH295" s="3"/>
      <c r="WI295" s="3"/>
      <c r="WJ295" s="3"/>
      <c r="WK295" s="3"/>
      <c r="WL295" s="3"/>
      <c r="WM295" s="3"/>
      <c r="WN295" s="3"/>
      <c r="WO295" s="3"/>
      <c r="WP295" s="3"/>
      <c r="WQ295" s="3"/>
      <c r="WR295" s="3"/>
      <c r="WS295" s="3"/>
      <c r="WT295" s="3"/>
      <c r="WU295" s="3"/>
      <c r="WV295" s="3"/>
      <c r="WW295" s="3"/>
      <c r="WX295" s="3"/>
      <c r="WY295" s="3"/>
      <c r="WZ295" s="3"/>
      <c r="XA295" s="3"/>
      <c r="XB295" s="3"/>
      <c r="XC295" s="3"/>
      <c r="XD295" s="3"/>
      <c r="XE295" s="3"/>
      <c r="XF295" s="3"/>
      <c r="XG295" s="3"/>
      <c r="XH295" s="3"/>
      <c r="XI295" s="3"/>
      <c r="XJ295" s="3"/>
      <c r="XK295" s="3"/>
      <c r="XL295" s="3"/>
      <c r="XM295" s="3"/>
      <c r="XN295" s="3"/>
      <c r="XO295" s="3"/>
      <c r="XP295" s="3"/>
      <c r="XQ295" s="3"/>
      <c r="XR295" s="3"/>
      <c r="XS295" s="3"/>
      <c r="XT295" s="3"/>
      <c r="XU295" s="3"/>
      <c r="XV295" s="3"/>
      <c r="XW295" s="3"/>
      <c r="XX295" s="3"/>
      <c r="XY295" s="3"/>
      <c r="XZ295" s="3"/>
      <c r="YA295" s="3"/>
      <c r="YB295" s="3"/>
      <c r="YC295" s="3"/>
      <c r="YD295" s="3"/>
      <c r="YE295" s="3"/>
      <c r="YF295" s="3"/>
      <c r="YG295" s="3"/>
      <c r="YH295" s="3"/>
      <c r="YI295" s="3"/>
      <c r="YJ295" s="3"/>
      <c r="YK295" s="3"/>
      <c r="YL295" s="3"/>
      <c r="YM295" s="3"/>
      <c r="YN295" s="3"/>
      <c r="YO295" s="3"/>
      <c r="YP295" s="3"/>
      <c r="YQ295" s="3"/>
      <c r="YR295" s="3"/>
      <c r="YS295" s="3"/>
      <c r="YT295" s="3"/>
      <c r="YU295" s="3"/>
      <c r="YV295" s="3"/>
      <c r="YW295" s="3"/>
      <c r="YX295" s="3"/>
      <c r="YY295" s="3"/>
      <c r="YZ295" s="3"/>
      <c r="ZA295" s="3"/>
      <c r="ZB295" s="3"/>
      <c r="ZC295" s="3"/>
      <c r="ZD295" s="3"/>
      <c r="ZE295" s="3"/>
      <c r="ZF295" s="3"/>
      <c r="ZG295" s="3"/>
      <c r="ZH295" s="3"/>
      <c r="ZI295" s="3"/>
      <c r="ZJ295" s="3"/>
      <c r="ZK295" s="3"/>
      <c r="ZL295" s="3"/>
      <c r="ZM295" s="3"/>
      <c r="ZN295" s="3"/>
      <c r="ZO295" s="3"/>
      <c r="ZP295" s="3"/>
      <c r="ZQ295" s="3"/>
      <c r="ZR295" s="3"/>
      <c r="ZS295" s="3"/>
      <c r="ZT295" s="3"/>
      <c r="ZU295" s="3"/>
      <c r="ZV295" s="3"/>
      <c r="ZW295" s="3"/>
      <c r="ZX295" s="3"/>
      <c r="ZY295" s="3"/>
      <c r="ZZ295" s="3"/>
      <c r="AAA295" s="3"/>
      <c r="AAB295" s="3"/>
      <c r="AAC295" s="3"/>
      <c r="AAD295" s="3"/>
      <c r="AAE295" s="3"/>
      <c r="AAF295" s="3"/>
      <c r="AAG295" s="3"/>
      <c r="AAH295" s="3"/>
      <c r="AAI295" s="3"/>
      <c r="AAJ295" s="3"/>
      <c r="AAK295" s="3"/>
      <c r="AAL295" s="3"/>
      <c r="AAM295" s="3"/>
      <c r="AAN295" s="3"/>
      <c r="AAO295" s="3"/>
      <c r="AAP295" s="3"/>
      <c r="AAQ295" s="3"/>
      <c r="AAR295" s="3"/>
      <c r="AAS295" s="3"/>
      <c r="AAT295" s="3"/>
      <c r="AAU295" s="3"/>
      <c r="AAV295" s="3"/>
      <c r="AAW295" s="3"/>
      <c r="AAX295" s="3"/>
      <c r="AAY295" s="3"/>
      <c r="AAZ295" s="3"/>
      <c r="ABA295" s="3"/>
      <c r="ABB295" s="3"/>
      <c r="ABC295" s="3"/>
      <c r="ABD295" s="3"/>
      <c r="ABE295" s="3"/>
      <c r="ABF295" s="3"/>
      <c r="ABG295" s="3"/>
      <c r="ABH295" s="3"/>
      <c r="ABI295" s="3"/>
      <c r="ABJ295" s="3"/>
      <c r="ABK295" s="3"/>
      <c r="ABL295" s="3"/>
      <c r="ABM295" s="3"/>
      <c r="ABN295" s="3"/>
      <c r="ABO295" s="3"/>
      <c r="ABP295" s="3"/>
      <c r="ABQ295" s="3"/>
      <c r="ABR295" s="3"/>
      <c r="ABS295" s="3"/>
      <c r="ABT295" s="3"/>
      <c r="ABU295" s="3"/>
      <c r="ABV295" s="3"/>
      <c r="ABW295" s="3"/>
      <c r="ABX295" s="3"/>
      <c r="ABY295" s="3"/>
      <c r="ABZ295" s="3"/>
      <c r="ACA295" s="3"/>
      <c r="ACB295" s="3"/>
      <c r="ACC295" s="3"/>
      <c r="ACD295" s="3"/>
      <c r="ACE295" s="3"/>
      <c r="ACF295" s="3"/>
      <c r="ACG295" s="3"/>
      <c r="ACH295" s="3"/>
      <c r="ACI295" s="3"/>
      <c r="ACJ295" s="3"/>
      <c r="ACK295" s="3"/>
      <c r="ACL295" s="3"/>
      <c r="ACM295" s="3"/>
      <c r="ACN295" s="3"/>
      <c r="ACO295" s="3"/>
      <c r="ACP295" s="3"/>
      <c r="ACQ295" s="3"/>
      <c r="ACR295" s="3"/>
      <c r="ACS295" s="3"/>
      <c r="ACT295" s="3"/>
      <c r="ACU295" s="3"/>
      <c r="ACV295" s="3"/>
      <c r="ACW295" s="3"/>
      <c r="ACX295" s="3"/>
      <c r="ACY295" s="3"/>
      <c r="ACZ295" s="3"/>
      <c r="ADA295" s="3"/>
      <c r="ADB295" s="3"/>
      <c r="ADC295" s="3"/>
      <c r="ADD295" s="3"/>
      <c r="ADE295" s="3"/>
      <c r="ADF295" s="3"/>
      <c r="ADG295" s="3"/>
      <c r="ADH295" s="3"/>
      <c r="ADI295" s="3"/>
      <c r="ADJ295" s="3"/>
      <c r="ADK295" s="3"/>
      <c r="ADL295" s="3"/>
      <c r="ADM295" s="3"/>
      <c r="ADN295" s="3"/>
      <c r="ADO295" s="3"/>
      <c r="ADP295" s="3"/>
      <c r="ADQ295" s="3"/>
      <c r="ADR295" s="3"/>
      <c r="ADS295" s="3"/>
      <c r="ADT295" s="3"/>
      <c r="ADU295" s="3"/>
      <c r="ADV295" s="3"/>
      <c r="ADW295" s="3"/>
      <c r="ADX295" s="3"/>
      <c r="ADY295" s="3"/>
      <c r="ADZ295" s="3"/>
      <c r="AEA295" s="3"/>
      <c r="AEB295" s="3"/>
      <c r="AEC295" s="3"/>
      <c r="AED295" s="3"/>
      <c r="AEE295" s="3"/>
      <c r="AEF295" s="3"/>
      <c r="AEG295" s="3"/>
      <c r="AEH295" s="3"/>
      <c r="AEI295" s="3"/>
      <c r="AEJ295" s="3"/>
      <c r="AEK295" s="3"/>
      <c r="AEL295" s="3"/>
      <c r="AEM295" s="3"/>
      <c r="AEN295" s="3"/>
      <c r="AEO295" s="3"/>
      <c r="AEP295" s="3"/>
      <c r="AEQ295" s="3"/>
      <c r="AER295" s="3"/>
      <c r="AES295" s="3"/>
      <c r="AET295" s="3"/>
      <c r="AEU295" s="3"/>
      <c r="AEV295" s="3"/>
      <c r="AEW295" s="3"/>
      <c r="AEX295" s="3"/>
      <c r="AEY295" s="3"/>
      <c r="AEZ295" s="3"/>
      <c r="AFA295" s="3"/>
      <c r="AFB295" s="3"/>
      <c r="AFC295" s="3"/>
      <c r="AFD295" s="3"/>
      <c r="AFE295" s="3"/>
      <c r="AFF295" s="3"/>
      <c r="AFG295" s="3"/>
      <c r="AFH295" s="3"/>
      <c r="AFI295" s="3"/>
      <c r="AFJ295" s="3"/>
      <c r="AFK295" s="3"/>
      <c r="AFL295" s="3"/>
      <c r="AFM295" s="3"/>
      <c r="AFN295" s="3"/>
      <c r="AFO295" s="3"/>
      <c r="AFP295" s="3"/>
      <c r="AFQ295" s="3"/>
      <c r="AFR295" s="3"/>
      <c r="AFS295" s="3"/>
      <c r="AFT295" s="3"/>
      <c r="AFU295" s="3"/>
      <c r="AFV295" s="3"/>
      <c r="AFW295" s="3"/>
      <c r="AFX295" s="3"/>
      <c r="AFY295" s="3"/>
      <c r="AFZ295" s="3"/>
      <c r="AGA295" s="3"/>
      <c r="AGB295" s="3"/>
      <c r="AGC295" s="3"/>
      <c r="AGD295" s="3"/>
      <c r="AGE295" s="3"/>
      <c r="AGF295" s="3"/>
      <c r="AGG295" s="3"/>
      <c r="AGH295" s="3"/>
      <c r="AGI295" s="3"/>
      <c r="AGJ295" s="3"/>
      <c r="AGK295" s="3"/>
      <c r="AGL295" s="3"/>
      <c r="AGM295" s="3"/>
      <c r="AGN295" s="3"/>
      <c r="AGO295" s="3"/>
      <c r="AGP295" s="3"/>
      <c r="AGQ295" s="3"/>
      <c r="AGR295" s="3"/>
      <c r="AGS295" s="3"/>
      <c r="AGT295" s="3"/>
      <c r="AGU295" s="3"/>
      <c r="AGV295" s="3"/>
      <c r="AGW295" s="3"/>
      <c r="AGX295" s="3"/>
      <c r="AGY295" s="3"/>
      <c r="AGZ295" s="3"/>
      <c r="AHA295" s="3"/>
      <c r="AHB295" s="3"/>
      <c r="AHC295" s="3"/>
      <c r="AHD295" s="3"/>
      <c r="AHE295" s="3"/>
      <c r="AHF295" s="3"/>
      <c r="AHG295" s="3"/>
      <c r="AHH295" s="3"/>
      <c r="AHI295" s="3"/>
      <c r="AHJ295" s="3"/>
      <c r="AHK295" s="3"/>
      <c r="AHL295" s="3"/>
      <c r="AHM295" s="3"/>
      <c r="AHN295" s="3"/>
      <c r="AHO295" s="3"/>
      <c r="AHP295" s="3"/>
      <c r="AHQ295" s="3"/>
      <c r="AHR295" s="3"/>
      <c r="AHS295" s="3"/>
      <c r="AHT295" s="3"/>
      <c r="AHU295" s="3"/>
      <c r="AHV295" s="3"/>
      <c r="AHW295" s="3"/>
      <c r="AHX295" s="3"/>
      <c r="AHY295" s="3"/>
      <c r="AHZ295" s="3"/>
      <c r="AIA295" s="3"/>
      <c r="AIB295" s="3"/>
      <c r="AIC295" s="3"/>
      <c r="AID295" s="3"/>
      <c r="AIE295" s="3"/>
      <c r="AIF295" s="3"/>
      <c r="AIG295" s="3"/>
      <c r="AIH295" s="3"/>
      <c r="AII295" s="3"/>
      <c r="AIJ295" s="3"/>
      <c r="AIK295" s="3"/>
      <c r="AIL295" s="3"/>
      <c r="AIM295" s="3"/>
      <c r="AIN295" s="3"/>
      <c r="AIO295" s="3"/>
      <c r="AIP295" s="3"/>
      <c r="AIQ295" s="3"/>
      <c r="AIR295" s="3"/>
      <c r="AIS295" s="3"/>
      <c r="AIT295" s="3"/>
      <c r="AIU295" s="3"/>
      <c r="AIV295" s="3"/>
      <c r="AIW295" s="3"/>
      <c r="AIX295" s="3"/>
      <c r="AIY295" s="3"/>
      <c r="AIZ295" s="3"/>
      <c r="AJA295" s="3"/>
      <c r="AJB295" s="3"/>
      <c r="AJC295" s="3"/>
      <c r="AJD295" s="3"/>
      <c r="AJE295" s="3"/>
      <c r="AJF295" s="3"/>
      <c r="AJG295" s="3"/>
      <c r="AJH295" s="3"/>
      <c r="AJI295" s="3"/>
      <c r="AJJ295" s="3"/>
      <c r="AJK295" s="3"/>
      <c r="AJL295" s="3"/>
      <c r="AJM295" s="3"/>
      <c r="AJN295" s="3"/>
      <c r="AJO295" s="3"/>
      <c r="AJP295" s="3"/>
      <c r="AJQ295" s="3"/>
      <c r="AJR295" s="3"/>
      <c r="AJS295" s="3"/>
      <c r="AJT295" s="3"/>
      <c r="AJU295" s="3"/>
      <c r="AJV295" s="3"/>
      <c r="AJW295" s="3"/>
      <c r="AJX295" s="3"/>
      <c r="AJY295" s="3"/>
      <c r="AJZ295" s="3"/>
      <c r="AKA295" s="3"/>
      <c r="AKB295" s="3"/>
      <c r="AKC295" s="3"/>
      <c r="AKD295" s="3"/>
      <c r="AKE295" s="3"/>
      <c r="AKF295" s="3"/>
      <c r="AKG295" s="3"/>
      <c r="AKH295" s="3"/>
      <c r="AKI295" s="3"/>
      <c r="AKJ295" s="3"/>
      <c r="AKK295" s="3"/>
      <c r="AKL295" s="3"/>
      <c r="AKM295" s="3"/>
      <c r="AKN295" s="3"/>
      <c r="AKO295" s="3"/>
      <c r="AKP295" s="3"/>
      <c r="AKQ295" s="3"/>
      <c r="AKR295" s="3"/>
      <c r="AKS295" s="3"/>
      <c r="AKT295" s="3"/>
      <c r="AKU295" s="3"/>
      <c r="AKV295" s="3"/>
      <c r="AKW295" s="3"/>
      <c r="AKX295" s="3"/>
      <c r="AKY295" s="3"/>
      <c r="AKZ295" s="3"/>
      <c r="ALA295" s="3"/>
      <c r="ALB295" s="3"/>
      <c r="ALC295" s="3"/>
      <c r="ALD295" s="3"/>
      <c r="ALE295" s="3"/>
      <c r="ALF295" s="3"/>
      <c r="ALG295" s="3"/>
      <c r="ALH295" s="3"/>
      <c r="ALI295" s="3"/>
      <c r="ALJ295" s="3"/>
      <c r="ALK295" s="3"/>
      <c r="ALL295" s="3"/>
      <c r="ALM295" s="3"/>
      <c r="ALN295" s="3"/>
      <c r="ALO295" s="3"/>
      <c r="ALP295" s="3"/>
      <c r="ALQ295" s="3"/>
      <c r="ALR295" s="3"/>
      <c r="ALS295" s="3"/>
      <c r="ALT295" s="3"/>
      <c r="ALU295" s="3"/>
      <c r="ALV295" s="3"/>
      <c r="ALW295" s="3"/>
      <c r="ALX295" s="3"/>
      <c r="ALY295" s="3"/>
      <c r="ALZ295" s="3"/>
      <c r="AMA295" s="3"/>
      <c r="AMB295" s="3"/>
      <c r="AMC295" s="3"/>
      <c r="AMD295" s="3"/>
      <c r="AME295" s="3"/>
      <c r="AMF295" s="3"/>
      <c r="AMG295" s="3"/>
      <c r="AMH295" s="3"/>
      <c r="AMI295" s="3"/>
      <c r="AMJ295" s="3"/>
      <c r="AMK295" s="3"/>
      <c r="AML295" s="3"/>
      <c r="AMM295" s="3"/>
      <c r="AMN295" s="3"/>
      <c r="AMO295" s="3"/>
      <c r="AMP295" s="3"/>
      <c r="AMQ295" s="3"/>
      <c r="AMR295" s="3"/>
      <c r="AMS295" s="3"/>
      <c r="AMT295" s="3"/>
      <c r="AMU295" s="3"/>
      <c r="AMV295" s="3"/>
      <c r="AMW295" s="3"/>
      <c r="AMX295" s="3"/>
      <c r="AMY295" s="3"/>
      <c r="AMZ295" s="3"/>
      <c r="ANA295" s="3"/>
      <c r="ANB295" s="3"/>
      <c r="ANC295" s="3"/>
      <c r="AND295" s="3"/>
      <c r="ANE295" s="3"/>
      <c r="ANF295" s="3"/>
      <c r="ANG295" s="3"/>
      <c r="ANH295" s="3"/>
      <c r="ANI295" s="3"/>
      <c r="ANJ295" s="3"/>
      <c r="ANK295" s="3"/>
      <c r="ANL295" s="3"/>
      <c r="ANM295" s="3"/>
      <c r="ANN295" s="3"/>
      <c r="ANO295" s="3"/>
      <c r="ANP295" s="3"/>
      <c r="ANQ295" s="3"/>
      <c r="ANR295" s="3"/>
      <c r="ANS295" s="3"/>
      <c r="ANT295" s="3"/>
      <c r="ANU295" s="3"/>
      <c r="ANV295" s="3"/>
      <c r="ANW295" s="3"/>
      <c r="ANX295" s="3"/>
      <c r="ANY295" s="3"/>
      <c r="ANZ295" s="3"/>
      <c r="AOA295" s="3"/>
      <c r="AOB295" s="3"/>
      <c r="AOC295" s="3"/>
      <c r="AOD295" s="3"/>
      <c r="AOE295" s="3"/>
      <c r="AOF295" s="3"/>
      <c r="AOG295" s="3"/>
      <c r="AOH295" s="3"/>
      <c r="AOI295" s="3"/>
      <c r="AOJ295" s="3"/>
      <c r="AOK295" s="3"/>
      <c r="AOL295" s="3"/>
      <c r="AOM295" s="3"/>
      <c r="AON295" s="3"/>
      <c r="AOO295" s="3"/>
      <c r="AOP295" s="3"/>
      <c r="AOQ295" s="3"/>
      <c r="AOR295" s="3"/>
      <c r="AOS295" s="3"/>
      <c r="AOT295" s="3"/>
      <c r="AOU295" s="3"/>
      <c r="AOV295" s="3"/>
      <c r="AOW295" s="3"/>
      <c r="AOX295" s="3"/>
      <c r="AOY295" s="3"/>
      <c r="AOZ295" s="3"/>
      <c r="APA295" s="3"/>
      <c r="APB295" s="3"/>
      <c r="APC295" s="3"/>
      <c r="APD295" s="3"/>
      <c r="APE295" s="3"/>
      <c r="APF295" s="3"/>
      <c r="APG295" s="3"/>
      <c r="APH295" s="3"/>
      <c r="API295" s="3"/>
      <c r="APJ295" s="3"/>
      <c r="APK295" s="3"/>
      <c r="APL295" s="3"/>
      <c r="APM295" s="3"/>
      <c r="APN295" s="3"/>
      <c r="APO295" s="3"/>
      <c r="APP295" s="3"/>
      <c r="APQ295" s="3"/>
      <c r="APR295" s="3"/>
      <c r="APS295" s="3"/>
      <c r="APT295" s="3"/>
      <c r="APU295" s="3"/>
      <c r="APV295" s="3"/>
      <c r="APW295" s="3"/>
      <c r="APX295" s="3"/>
      <c r="APY295" s="3"/>
      <c r="APZ295" s="3"/>
      <c r="AQA295" s="3"/>
      <c r="AQB295" s="3"/>
      <c r="AQC295" s="3"/>
      <c r="AQD295" s="3"/>
      <c r="AQE295" s="3"/>
      <c r="AQF295" s="3"/>
      <c r="AQG295" s="3"/>
      <c r="AQH295" s="3"/>
      <c r="AQI295" s="3"/>
      <c r="AQJ295" s="3"/>
      <c r="AQK295" s="3"/>
      <c r="AQL295" s="3"/>
      <c r="AQM295" s="3"/>
      <c r="AQN295" s="3"/>
      <c r="AQO295" s="3"/>
      <c r="AQP295" s="3"/>
      <c r="AQQ295" s="3"/>
      <c r="AQR295" s="3"/>
      <c r="AQS295" s="3"/>
      <c r="AQT295" s="3"/>
      <c r="AQU295" s="3"/>
      <c r="AQV295" s="3"/>
      <c r="AQW295" s="3"/>
      <c r="AQX295" s="3"/>
      <c r="AQY295" s="3"/>
      <c r="AQZ295" s="3"/>
      <c r="ARA295" s="3"/>
      <c r="ARB295" s="3"/>
      <c r="ARC295" s="3"/>
      <c r="ARD295" s="3"/>
      <c r="ARE295" s="3"/>
      <c r="ARF295" s="3"/>
      <c r="ARG295" s="3"/>
      <c r="ARH295" s="3"/>
      <c r="ARI295" s="3"/>
      <c r="ARJ295" s="3"/>
      <c r="ARK295" s="3"/>
      <c r="ARL295" s="3"/>
      <c r="ARM295" s="3"/>
      <c r="ARN295" s="3"/>
      <c r="ARO295" s="3"/>
      <c r="ARP295" s="3"/>
      <c r="ARQ295" s="3"/>
      <c r="ARR295" s="3"/>
      <c r="ARS295" s="3"/>
      <c r="ART295" s="3"/>
      <c r="ARU295" s="3"/>
      <c r="ARV295" s="3"/>
      <c r="ARW295" s="3"/>
      <c r="ARX295" s="3"/>
      <c r="ARY295" s="3"/>
      <c r="ARZ295" s="3"/>
      <c r="ASA295" s="3"/>
      <c r="ASB295" s="3"/>
      <c r="ASC295" s="3"/>
      <c r="ASD295" s="3"/>
      <c r="ASE295" s="3"/>
      <c r="ASF295" s="3"/>
      <c r="ASG295" s="3"/>
      <c r="ASH295" s="3"/>
      <c r="ASI295" s="3"/>
      <c r="ASJ295" s="3"/>
      <c r="ASK295" s="3"/>
      <c r="ASL295" s="3"/>
      <c r="ASM295" s="3"/>
      <c r="ASN295" s="3"/>
      <c r="ASO295" s="3"/>
      <c r="ASP295" s="3"/>
      <c r="ASQ295" s="3"/>
      <c r="ASR295" s="3"/>
      <c r="ASS295" s="3"/>
      <c r="AST295" s="3"/>
      <c r="ASU295" s="3"/>
      <c r="ASV295" s="3"/>
      <c r="ASW295" s="3"/>
      <c r="ASX295" s="3"/>
      <c r="ASY295" s="3"/>
      <c r="ASZ295" s="3"/>
      <c r="ATA295" s="3"/>
      <c r="ATB295" s="3"/>
      <c r="ATC295" s="3"/>
      <c r="ATD295" s="3"/>
      <c r="ATE295" s="3"/>
      <c r="ATF295" s="3"/>
      <c r="ATG295" s="3"/>
      <c r="ATH295" s="3"/>
      <c r="ATI295" s="3"/>
      <c r="ATJ295" s="3"/>
      <c r="ATK295" s="3"/>
      <c r="ATL295" s="3"/>
      <c r="ATM295" s="3"/>
      <c r="ATN295" s="3"/>
      <c r="ATO295" s="3"/>
      <c r="ATP295" s="3"/>
      <c r="ATQ295" s="3"/>
      <c r="ATR295" s="3"/>
      <c r="ATS295" s="3"/>
      <c r="ATT295" s="3"/>
      <c r="ATU295" s="3"/>
      <c r="ATV295" s="3"/>
      <c r="ATW295" s="3"/>
      <c r="ATX295" s="3"/>
      <c r="ATY295" s="3"/>
      <c r="ATZ295" s="3"/>
      <c r="AUA295" s="3"/>
      <c r="AUB295" s="3"/>
      <c r="AUC295" s="3"/>
      <c r="AUD295" s="3"/>
      <c r="AUE295" s="3"/>
      <c r="AUF295" s="3"/>
      <c r="AUG295" s="3"/>
      <c r="AUH295" s="3"/>
      <c r="AUI295" s="3"/>
      <c r="AUJ295" s="3"/>
      <c r="AUK295" s="3"/>
      <c r="AUL295" s="3"/>
      <c r="AUM295" s="3"/>
      <c r="AUN295" s="3"/>
      <c r="AUO295" s="3"/>
      <c r="AUP295" s="3"/>
      <c r="AUQ295" s="3"/>
      <c r="AUR295" s="3"/>
      <c r="AUS295" s="3"/>
      <c r="AUT295" s="3"/>
      <c r="AUU295" s="3"/>
      <c r="AUV295" s="3"/>
      <c r="AUW295" s="3"/>
      <c r="AUX295" s="3"/>
      <c r="AUY295" s="3"/>
      <c r="AUZ295" s="3"/>
      <c r="AVA295" s="3"/>
      <c r="AVB295" s="3"/>
      <c r="AVC295" s="3"/>
      <c r="AVD295" s="3"/>
      <c r="AVE295" s="3"/>
      <c r="AVF295" s="3"/>
      <c r="AVG295" s="3"/>
      <c r="AVH295" s="3"/>
      <c r="AVI295" s="3"/>
      <c r="AVJ295" s="3"/>
      <c r="AVK295" s="3"/>
      <c r="AVL295" s="3"/>
      <c r="AVM295" s="3"/>
      <c r="AVN295" s="3"/>
      <c r="AVO295" s="3"/>
      <c r="AVP295" s="3"/>
      <c r="AVQ295" s="3"/>
      <c r="AVR295" s="3"/>
      <c r="AVS295" s="3"/>
      <c r="AVT295" s="3"/>
      <c r="AVU295" s="3"/>
      <c r="AVV295" s="3"/>
      <c r="AVW295" s="3"/>
      <c r="AVX295" s="3"/>
      <c r="AVY295" s="3"/>
      <c r="AVZ295" s="3"/>
      <c r="AWA295" s="3"/>
      <c r="AWB295" s="3"/>
      <c r="AWC295" s="3"/>
      <c r="AWD295" s="3"/>
      <c r="AWE295" s="3"/>
      <c r="AWF295" s="3"/>
      <c r="AWG295" s="3"/>
      <c r="AWH295" s="3"/>
      <c r="AWI295" s="3"/>
      <c r="AWJ295" s="3"/>
      <c r="AWK295" s="3"/>
      <c r="AWL295" s="3"/>
      <c r="AWM295" s="3"/>
      <c r="AWN295" s="3"/>
      <c r="AWO295" s="3"/>
      <c r="AWP295" s="3"/>
      <c r="AWQ295" s="3"/>
      <c r="AWR295" s="3"/>
      <c r="AWS295" s="3"/>
      <c r="AWT295" s="3"/>
      <c r="AWU295" s="3"/>
      <c r="AWV295" s="3"/>
      <c r="AWW295" s="3"/>
      <c r="AWX295" s="3"/>
      <c r="AWY295" s="3"/>
      <c r="AWZ295" s="3"/>
      <c r="AXA295" s="3"/>
      <c r="AXB295" s="3"/>
      <c r="AXC295" s="3"/>
      <c r="AXD295" s="3"/>
      <c r="AXE295" s="3"/>
      <c r="AXF295" s="3"/>
      <c r="AXG295" s="3"/>
      <c r="AXH295" s="3"/>
      <c r="AXI295" s="3"/>
      <c r="AXJ295" s="3"/>
      <c r="AXK295" s="3"/>
      <c r="AXL295" s="3"/>
      <c r="AXM295" s="3"/>
      <c r="AXN295" s="3"/>
      <c r="AXO295" s="3"/>
      <c r="AXP295" s="3"/>
      <c r="AXQ295" s="3"/>
      <c r="AXR295" s="3"/>
      <c r="AXS295" s="3"/>
      <c r="AXT295" s="3"/>
      <c r="AXU295" s="3"/>
      <c r="AXV295" s="3"/>
      <c r="AXW295" s="3"/>
      <c r="AXX295" s="3"/>
      <c r="AXY295" s="3"/>
      <c r="AXZ295" s="3"/>
      <c r="AYA295" s="3"/>
      <c r="AYB295" s="3"/>
      <c r="AYC295" s="3"/>
      <c r="AYD295" s="3"/>
      <c r="AYE295" s="3"/>
      <c r="AYF295" s="3"/>
      <c r="AYG295" s="3"/>
      <c r="AYH295" s="3"/>
      <c r="AYI295" s="3"/>
      <c r="AYJ295" s="3"/>
      <c r="AYK295" s="3"/>
      <c r="AYL295" s="3"/>
      <c r="AYM295" s="3"/>
      <c r="AYN295" s="3"/>
      <c r="AYO295" s="3"/>
      <c r="AYP295" s="3"/>
      <c r="AYQ295" s="3"/>
      <c r="AYR295" s="3"/>
      <c r="AYS295" s="3"/>
      <c r="AYT295" s="3"/>
      <c r="AYU295" s="3"/>
      <c r="AYV295" s="3"/>
      <c r="AYW295" s="3"/>
      <c r="AYX295" s="3"/>
      <c r="AYY295" s="3"/>
      <c r="AYZ295" s="3"/>
      <c r="AZA295" s="3"/>
      <c r="AZB295" s="3"/>
      <c r="AZC295" s="3"/>
      <c r="AZD295" s="3"/>
      <c r="AZE295" s="3"/>
      <c r="AZF295" s="3"/>
      <c r="AZG295" s="3"/>
      <c r="AZH295" s="3"/>
      <c r="AZI295" s="3"/>
      <c r="AZJ295" s="3"/>
      <c r="AZK295" s="3"/>
      <c r="AZL295" s="3"/>
      <c r="AZM295" s="3"/>
      <c r="AZN295" s="3"/>
      <c r="AZO295" s="3"/>
      <c r="AZP295" s="3"/>
      <c r="AZQ295" s="3"/>
      <c r="AZR295" s="3"/>
      <c r="AZS295" s="3"/>
      <c r="AZT295" s="3"/>
      <c r="AZU295" s="3"/>
      <c r="AZV295" s="3"/>
      <c r="AZW295" s="3"/>
      <c r="AZX295" s="3"/>
      <c r="AZY295" s="3"/>
      <c r="AZZ295" s="3"/>
      <c r="BAA295" s="3"/>
      <c r="BAB295" s="3"/>
      <c r="BAC295" s="3"/>
      <c r="BAD295" s="3"/>
      <c r="BAE295" s="3"/>
      <c r="BAF295" s="3"/>
      <c r="BAG295" s="3"/>
      <c r="BAH295" s="3"/>
      <c r="BAI295" s="3"/>
      <c r="BAJ295" s="3"/>
      <c r="BAK295" s="3"/>
      <c r="BAL295" s="3"/>
      <c r="BAM295" s="3"/>
      <c r="BAN295" s="3"/>
      <c r="BAO295" s="3"/>
      <c r="BAP295" s="3"/>
      <c r="BAQ295" s="3"/>
      <c r="BAR295" s="3"/>
      <c r="BAS295" s="3"/>
      <c r="BAT295" s="3"/>
      <c r="BAU295" s="3"/>
      <c r="BAV295" s="3"/>
      <c r="BAW295" s="3"/>
      <c r="BAX295" s="3"/>
      <c r="BAY295" s="3"/>
      <c r="BAZ295" s="3"/>
      <c r="BBA295" s="3"/>
      <c r="BBB295" s="3"/>
      <c r="BBC295" s="3"/>
      <c r="BBD295" s="3"/>
      <c r="BBE295" s="3"/>
      <c r="BBF295" s="3"/>
      <c r="BBG295" s="3"/>
      <c r="BBH295" s="3"/>
      <c r="BBI295" s="3"/>
      <c r="BBJ295" s="3"/>
      <c r="BBK295" s="3"/>
      <c r="BBL295" s="3"/>
      <c r="BBM295" s="3"/>
      <c r="BBN295" s="3"/>
      <c r="BBO295" s="3"/>
      <c r="BBP295" s="3"/>
      <c r="BBQ295" s="3"/>
      <c r="BBR295" s="3"/>
      <c r="BBS295" s="3"/>
      <c r="BBT295" s="3"/>
      <c r="BBU295" s="3"/>
      <c r="BBV295" s="3"/>
      <c r="BBW295" s="3"/>
      <c r="BBX295" s="3"/>
      <c r="BBY295" s="3"/>
      <c r="BBZ295" s="3"/>
      <c r="BCA295" s="3"/>
      <c r="BCB295" s="3"/>
      <c r="BCC295" s="3"/>
      <c r="BCD295" s="3"/>
      <c r="BCE295" s="3"/>
      <c r="BCF295" s="3"/>
      <c r="BCG295" s="3"/>
      <c r="BCH295" s="3"/>
      <c r="BCI295" s="3"/>
      <c r="BCJ295" s="3"/>
      <c r="BCK295" s="3"/>
      <c r="BCL295" s="3"/>
      <c r="BCM295" s="3"/>
      <c r="BCN295" s="3"/>
      <c r="BCO295" s="3"/>
      <c r="BCP295" s="3"/>
      <c r="BCQ295" s="3"/>
      <c r="BCR295" s="3"/>
      <c r="BCS295" s="3"/>
      <c r="BCT295" s="3"/>
      <c r="BCU295" s="3"/>
      <c r="BCV295" s="3"/>
      <c r="BCW295" s="3"/>
      <c r="BCX295" s="3"/>
      <c r="BCY295" s="3"/>
      <c r="BCZ295" s="3"/>
      <c r="BDA295" s="3"/>
      <c r="BDB295" s="3"/>
      <c r="BDC295" s="3"/>
      <c r="BDD295" s="3"/>
      <c r="BDE295" s="3"/>
      <c r="BDF295" s="3"/>
      <c r="BDG295" s="3"/>
      <c r="BDH295" s="3"/>
      <c r="BDI295" s="3"/>
      <c r="BDJ295" s="3"/>
      <c r="BDK295" s="3"/>
      <c r="BDL295" s="3"/>
      <c r="BDM295" s="3"/>
      <c r="BDN295" s="3"/>
      <c r="BDO295" s="3"/>
      <c r="BDP295" s="3"/>
      <c r="BDQ295" s="3"/>
      <c r="BDR295" s="3"/>
      <c r="BDS295" s="3"/>
      <c r="BDT295" s="3"/>
      <c r="BDU295" s="3"/>
      <c r="BDV295" s="3"/>
      <c r="BDW295" s="3"/>
      <c r="BDX295" s="3"/>
      <c r="BDY295" s="3"/>
      <c r="BDZ295" s="3"/>
      <c r="BEA295" s="3"/>
      <c r="BEB295" s="3"/>
      <c r="BEC295" s="3"/>
      <c r="BED295" s="3"/>
      <c r="BEE295" s="3"/>
      <c r="BEF295" s="3"/>
      <c r="BEG295" s="3"/>
      <c r="BEH295" s="3"/>
      <c r="BEI295" s="3"/>
      <c r="BEJ295" s="3"/>
      <c r="BEK295" s="3"/>
      <c r="BEL295" s="3"/>
      <c r="BEM295" s="3"/>
      <c r="BEN295" s="3"/>
      <c r="BEO295" s="3"/>
      <c r="BEP295" s="3"/>
      <c r="BEQ295" s="3"/>
      <c r="BER295" s="3"/>
      <c r="BES295" s="3"/>
      <c r="BET295" s="3"/>
      <c r="BEU295" s="3"/>
      <c r="BEV295" s="3"/>
      <c r="BEW295" s="3"/>
      <c r="BEX295" s="3"/>
      <c r="BEY295" s="3"/>
      <c r="BEZ295" s="3"/>
      <c r="BFA295" s="3"/>
      <c r="BFB295" s="3"/>
      <c r="BFC295" s="3"/>
      <c r="BFD295" s="3"/>
      <c r="BFE295" s="3"/>
      <c r="BFF295" s="3"/>
      <c r="BFG295" s="3"/>
      <c r="BFH295" s="3"/>
      <c r="BFI295" s="3"/>
      <c r="BFJ295" s="3"/>
      <c r="BFK295" s="3"/>
      <c r="BFL295" s="3"/>
      <c r="BFM295" s="3"/>
      <c r="BFN295" s="3"/>
      <c r="BFO295" s="3"/>
      <c r="BFP295" s="3"/>
      <c r="BFQ295" s="3"/>
      <c r="BFR295" s="3"/>
      <c r="BFS295" s="3"/>
      <c r="BFT295" s="3"/>
      <c r="BFU295" s="3"/>
      <c r="BFV295" s="3"/>
      <c r="BFW295" s="3"/>
      <c r="BFX295" s="3"/>
      <c r="BFY295" s="3"/>
      <c r="BFZ295" s="3"/>
      <c r="BGA295" s="3"/>
      <c r="BGB295" s="3"/>
      <c r="BGC295" s="3"/>
      <c r="BGD295" s="3"/>
      <c r="BGE295" s="3"/>
      <c r="BGF295" s="3"/>
      <c r="BGG295" s="3"/>
      <c r="BGH295" s="3"/>
      <c r="BGI295" s="3"/>
      <c r="BGJ295" s="3"/>
      <c r="BGK295" s="3"/>
      <c r="BGL295" s="3"/>
      <c r="BGM295" s="3"/>
      <c r="BGN295" s="3"/>
      <c r="BGO295" s="3"/>
      <c r="BGP295" s="3"/>
      <c r="BGQ295" s="3"/>
      <c r="BGR295" s="3"/>
      <c r="BGS295" s="3"/>
      <c r="BGT295" s="3"/>
      <c r="BGU295" s="3"/>
      <c r="BGV295" s="3"/>
      <c r="BGW295" s="3"/>
      <c r="BGX295" s="3"/>
      <c r="BGY295" s="3"/>
      <c r="BGZ295" s="3"/>
      <c r="BHA295" s="3"/>
      <c r="BHB295" s="3"/>
      <c r="BHC295" s="3"/>
      <c r="BHD295" s="3"/>
      <c r="BHE295" s="3"/>
      <c r="BHF295" s="3"/>
      <c r="BHG295" s="3"/>
      <c r="BHH295" s="3"/>
      <c r="BHI295" s="3"/>
      <c r="BHJ295" s="3"/>
      <c r="BHK295" s="3"/>
      <c r="BHL295" s="3"/>
      <c r="BHM295" s="3"/>
      <c r="BHN295" s="3"/>
      <c r="BHO295" s="3"/>
      <c r="BHP295" s="3"/>
      <c r="BHQ295" s="3"/>
      <c r="BHR295" s="3"/>
      <c r="BHS295" s="3"/>
      <c r="BHT295" s="3"/>
      <c r="BHU295" s="3"/>
      <c r="BHV295" s="3"/>
      <c r="BHW295" s="3"/>
      <c r="BHX295" s="3"/>
      <c r="BHY295" s="3"/>
      <c r="BHZ295" s="3"/>
      <c r="BIA295" s="3"/>
      <c r="BIB295" s="3"/>
      <c r="BIC295" s="3"/>
      <c r="BID295" s="3"/>
      <c r="BIE295" s="3"/>
      <c r="BIF295" s="3"/>
      <c r="BIG295" s="3"/>
      <c r="BIH295" s="3"/>
      <c r="BII295" s="3"/>
      <c r="BIJ295" s="3"/>
      <c r="BIK295" s="3"/>
      <c r="BIL295" s="3"/>
      <c r="BIM295" s="3"/>
      <c r="BIN295" s="3"/>
      <c r="BIO295" s="3"/>
      <c r="BIP295" s="3"/>
      <c r="BIQ295" s="3"/>
      <c r="BIR295" s="3"/>
      <c r="BIS295" s="3"/>
      <c r="BIT295" s="3"/>
      <c r="BIU295" s="3"/>
      <c r="BIV295" s="3"/>
      <c r="BIW295" s="3"/>
      <c r="BIX295" s="3"/>
      <c r="BIY295" s="3"/>
      <c r="BIZ295" s="3"/>
      <c r="BJA295" s="3"/>
      <c r="BJB295" s="3"/>
      <c r="BJC295" s="3"/>
      <c r="BJD295" s="3"/>
      <c r="BJE295" s="3"/>
      <c r="BJF295" s="3"/>
      <c r="BJG295" s="3"/>
      <c r="BJH295" s="3"/>
      <c r="BJI295" s="3"/>
      <c r="BJJ295" s="3"/>
      <c r="BJK295" s="3"/>
      <c r="BJL295" s="3"/>
      <c r="BJM295" s="3"/>
      <c r="BJN295" s="3"/>
      <c r="BJO295" s="3"/>
      <c r="BJP295" s="3"/>
      <c r="BJQ295" s="3"/>
      <c r="BJR295" s="3"/>
      <c r="BJS295" s="3"/>
      <c r="BJT295" s="3"/>
      <c r="BJU295" s="3"/>
      <c r="BJV295" s="3"/>
      <c r="BJW295" s="3"/>
      <c r="BJX295" s="3"/>
      <c r="BJY295" s="3"/>
      <c r="BJZ295" s="3"/>
      <c r="BKA295" s="3"/>
      <c r="BKB295" s="3"/>
      <c r="BKC295" s="3"/>
      <c r="BKD295" s="3"/>
      <c r="BKE295" s="3"/>
      <c r="BKF295" s="3"/>
      <c r="BKG295" s="3"/>
      <c r="BKH295" s="3"/>
      <c r="BKI295" s="3"/>
      <c r="BKJ295" s="3"/>
      <c r="BKK295" s="3"/>
      <c r="BKL295" s="3"/>
      <c r="BKM295" s="3"/>
      <c r="BKN295" s="3"/>
      <c r="BKO295" s="3"/>
      <c r="BKP295" s="3"/>
      <c r="BKQ295" s="3"/>
      <c r="BKR295" s="3"/>
      <c r="BKS295" s="3"/>
      <c r="BKT295" s="3"/>
      <c r="BKU295" s="3"/>
      <c r="BKV295" s="3"/>
      <c r="BKW295" s="3"/>
      <c r="BKX295" s="3"/>
      <c r="BKY295" s="3"/>
      <c r="BKZ295" s="3"/>
      <c r="BLA295" s="3"/>
      <c r="BLB295" s="3"/>
      <c r="BLC295" s="3"/>
      <c r="BLD295" s="3"/>
      <c r="BLE295" s="3"/>
      <c r="BLF295" s="3"/>
      <c r="BLG295" s="3"/>
      <c r="BLH295" s="3"/>
      <c r="BLI295" s="3"/>
      <c r="BLJ295" s="3"/>
      <c r="BLK295" s="3"/>
      <c r="BLL295" s="3"/>
      <c r="BLM295" s="3"/>
      <c r="BLN295" s="3"/>
      <c r="BLO295" s="3"/>
      <c r="BLP295" s="3"/>
      <c r="BLQ295" s="3"/>
      <c r="BLR295" s="3"/>
      <c r="BLS295" s="3"/>
      <c r="BLT295" s="3"/>
      <c r="BLU295" s="3"/>
      <c r="BLV295" s="3"/>
      <c r="BLW295" s="3"/>
      <c r="BLX295" s="3"/>
      <c r="BLY295" s="3"/>
      <c r="BLZ295" s="3"/>
      <c r="BMA295" s="3"/>
      <c r="BMB295" s="3"/>
      <c r="BMC295" s="3"/>
      <c r="BMD295" s="3"/>
      <c r="BME295" s="3"/>
      <c r="BMF295" s="3"/>
      <c r="BMG295" s="3"/>
      <c r="BMH295" s="3"/>
      <c r="BMI295" s="3"/>
      <c r="BMJ295" s="3"/>
      <c r="BMK295" s="3"/>
      <c r="BML295" s="3"/>
      <c r="BMM295" s="3"/>
      <c r="BMN295" s="3"/>
      <c r="BMO295" s="3"/>
      <c r="BMP295" s="3"/>
      <c r="BMQ295" s="3"/>
      <c r="BMR295" s="3"/>
      <c r="BMS295" s="3"/>
      <c r="BMT295" s="3"/>
      <c r="BMU295" s="3"/>
      <c r="BMV295" s="3"/>
      <c r="BMW295" s="3"/>
      <c r="BMX295" s="3"/>
      <c r="BMY295" s="3"/>
      <c r="BMZ295" s="3"/>
      <c r="BNA295" s="3"/>
      <c r="BNB295" s="3"/>
      <c r="BNC295" s="3"/>
      <c r="BND295" s="3"/>
      <c r="BNE295" s="3"/>
      <c r="BNF295" s="3"/>
      <c r="BNG295" s="3"/>
      <c r="BNH295" s="3"/>
      <c r="BNI295" s="3"/>
      <c r="BNJ295" s="3"/>
      <c r="BNK295" s="3"/>
      <c r="BNL295" s="3"/>
      <c r="BNM295" s="3"/>
      <c r="BNN295" s="3"/>
      <c r="BNO295" s="3"/>
      <c r="BNP295" s="3"/>
      <c r="BNQ295" s="3"/>
      <c r="BNR295" s="3"/>
      <c r="BNS295" s="3"/>
      <c r="BNT295" s="3"/>
      <c r="BNU295" s="3"/>
      <c r="BNV295" s="3"/>
      <c r="BNW295" s="3"/>
      <c r="BNX295" s="3"/>
      <c r="BNY295" s="3"/>
      <c r="BNZ295" s="3"/>
      <c r="BOA295" s="3"/>
      <c r="BOB295" s="3"/>
      <c r="BOC295" s="3"/>
      <c r="BOD295" s="3"/>
      <c r="BOE295" s="3"/>
      <c r="BOF295" s="3"/>
      <c r="BOG295" s="3"/>
      <c r="BOH295" s="3"/>
      <c r="BOI295" s="3"/>
      <c r="BOJ295" s="3"/>
      <c r="BOK295" s="3"/>
      <c r="BOL295" s="3"/>
      <c r="BOM295" s="3"/>
      <c r="BON295" s="3"/>
      <c r="BOO295" s="3"/>
      <c r="BOP295" s="3"/>
      <c r="BOQ295" s="3"/>
      <c r="BOR295" s="3"/>
      <c r="BOS295" s="3"/>
      <c r="BOT295" s="3"/>
      <c r="BOU295" s="3"/>
      <c r="BOV295" s="3"/>
      <c r="BOW295" s="3"/>
      <c r="BOX295" s="3"/>
      <c r="BOY295" s="3"/>
      <c r="BOZ295" s="3"/>
      <c r="BPA295" s="3"/>
      <c r="BPB295" s="3"/>
      <c r="BPC295" s="3"/>
      <c r="BPD295" s="3"/>
      <c r="BPE295" s="3"/>
      <c r="BPF295" s="3"/>
      <c r="BPG295" s="3"/>
      <c r="BPH295" s="3"/>
      <c r="BPI295" s="3"/>
      <c r="BPJ295" s="3"/>
      <c r="BPK295" s="3"/>
      <c r="BPL295" s="3"/>
      <c r="BPM295" s="3"/>
      <c r="BPN295" s="3"/>
      <c r="BPO295" s="3"/>
      <c r="BPP295" s="3"/>
      <c r="BPQ295" s="3"/>
      <c r="BPR295" s="3"/>
      <c r="BPS295" s="3"/>
      <c r="BPT295" s="3"/>
      <c r="BPU295" s="3"/>
      <c r="BPV295" s="3"/>
      <c r="BPW295" s="3"/>
      <c r="BPX295" s="3"/>
      <c r="BPY295" s="3"/>
      <c r="BPZ295" s="3"/>
      <c r="BQA295" s="3"/>
      <c r="BQB295" s="3"/>
      <c r="BQC295" s="3"/>
      <c r="BQD295" s="3"/>
      <c r="BQE295" s="3"/>
      <c r="BQF295" s="3"/>
      <c r="BQG295" s="3"/>
      <c r="BQH295" s="3"/>
      <c r="BQI295" s="3"/>
      <c r="BQJ295" s="3"/>
      <c r="BQK295" s="3"/>
      <c r="BQL295" s="3"/>
      <c r="BQM295" s="3"/>
      <c r="BQN295" s="3"/>
      <c r="BQO295" s="3"/>
      <c r="BQP295" s="3"/>
      <c r="BQQ295" s="3"/>
      <c r="BQR295" s="3"/>
      <c r="BQS295" s="3"/>
      <c r="BQT295" s="3"/>
      <c r="BQU295" s="3"/>
      <c r="BQV295" s="3"/>
      <c r="BQW295" s="3"/>
      <c r="BQX295" s="3"/>
      <c r="BQY295" s="3"/>
      <c r="BQZ295" s="3"/>
      <c r="BRA295" s="3"/>
      <c r="BRB295" s="3"/>
      <c r="BRC295" s="3"/>
      <c r="BRD295" s="3"/>
      <c r="BRE295" s="3"/>
      <c r="BRF295" s="3"/>
      <c r="BRG295" s="3"/>
      <c r="BRH295" s="3"/>
      <c r="BRI295" s="3"/>
      <c r="BRJ295" s="3"/>
      <c r="BRK295" s="3"/>
      <c r="BRL295" s="3"/>
      <c r="BRM295" s="3"/>
      <c r="BRN295" s="3"/>
      <c r="BRO295" s="3"/>
      <c r="BRP295" s="3"/>
      <c r="BRQ295" s="3"/>
      <c r="BRR295" s="3"/>
      <c r="BRS295" s="3"/>
      <c r="BRT295" s="3"/>
      <c r="BRU295" s="3"/>
      <c r="BRV295" s="3"/>
      <c r="BRW295" s="3"/>
      <c r="BRX295" s="3"/>
      <c r="BRY295" s="3"/>
      <c r="BRZ295" s="3"/>
      <c r="BSA295" s="3"/>
      <c r="BSB295" s="3"/>
      <c r="BSC295" s="3"/>
      <c r="BSD295" s="3"/>
      <c r="BSE295" s="3"/>
      <c r="BSF295" s="3"/>
      <c r="BSG295" s="3"/>
      <c r="BSH295" s="3"/>
      <c r="BSI295" s="3"/>
      <c r="BSJ295" s="3"/>
      <c r="BSK295" s="3"/>
      <c r="BSL295" s="3"/>
      <c r="BSM295" s="3"/>
      <c r="BSN295" s="3"/>
      <c r="BSO295" s="3"/>
      <c r="BSP295" s="3"/>
      <c r="BSQ295" s="3"/>
      <c r="BSR295" s="3"/>
      <c r="BSS295" s="3"/>
      <c r="BST295" s="3"/>
      <c r="BSU295" s="3"/>
      <c r="BSV295" s="3"/>
      <c r="BSW295" s="3"/>
      <c r="BSX295" s="3"/>
      <c r="BSY295" s="3"/>
      <c r="BSZ295" s="3"/>
      <c r="BTA295" s="3"/>
      <c r="BTB295" s="3"/>
      <c r="BTC295" s="3"/>
      <c r="BTD295" s="3"/>
      <c r="BTE295" s="3"/>
      <c r="BTF295" s="3"/>
      <c r="BTG295" s="3"/>
      <c r="BTH295" s="3"/>
      <c r="BTI295" s="3"/>
      <c r="BTJ295" s="3"/>
      <c r="BTK295" s="3"/>
      <c r="BTL295" s="3"/>
      <c r="BTM295" s="3"/>
      <c r="BTN295" s="3"/>
      <c r="BTO295" s="3"/>
      <c r="BTP295" s="3"/>
      <c r="BTQ295" s="3"/>
      <c r="BTR295" s="3"/>
      <c r="BTS295" s="3"/>
      <c r="BTT295" s="3"/>
      <c r="BTU295" s="3"/>
      <c r="BTV295" s="3"/>
      <c r="BTW295" s="3"/>
      <c r="BTX295" s="3"/>
      <c r="BTY295" s="3"/>
      <c r="BTZ295" s="3"/>
      <c r="BUA295" s="3"/>
      <c r="BUB295" s="3"/>
      <c r="BUC295" s="3"/>
      <c r="BUD295" s="3"/>
      <c r="BUE295" s="3"/>
      <c r="BUF295" s="3"/>
      <c r="BUG295" s="3"/>
      <c r="BUH295" s="3"/>
      <c r="BUI295" s="3"/>
      <c r="BUJ295" s="3"/>
      <c r="BUK295" s="3"/>
      <c r="BUL295" s="3"/>
      <c r="BUM295" s="3"/>
      <c r="BUN295" s="3"/>
      <c r="BUO295" s="3"/>
      <c r="BUP295" s="3"/>
      <c r="BUQ295" s="3"/>
      <c r="BUR295" s="3"/>
      <c r="BUS295" s="3"/>
      <c r="BUT295" s="3"/>
      <c r="BUU295" s="3"/>
      <c r="BUV295" s="3"/>
      <c r="BUW295" s="3"/>
      <c r="BUX295" s="3"/>
      <c r="BUY295" s="3"/>
      <c r="BUZ295" s="3"/>
      <c r="BVA295" s="3"/>
      <c r="BVB295" s="3"/>
      <c r="BVC295" s="3"/>
      <c r="BVD295" s="3"/>
      <c r="BVE295" s="3"/>
      <c r="BVF295" s="3"/>
      <c r="BVG295" s="3"/>
      <c r="BVH295" s="3"/>
      <c r="BVI295" s="3"/>
      <c r="BVJ295" s="3"/>
      <c r="BVK295" s="3"/>
      <c r="BVL295" s="3"/>
      <c r="BVM295" s="3"/>
      <c r="BVN295" s="3"/>
      <c r="BVO295" s="3"/>
      <c r="BVP295" s="3"/>
      <c r="BVQ295" s="3"/>
      <c r="BVR295" s="3"/>
      <c r="BVS295" s="3"/>
      <c r="BVT295" s="3"/>
      <c r="BVU295" s="3"/>
      <c r="BVV295" s="3"/>
      <c r="BVW295" s="3"/>
      <c r="BVX295" s="3"/>
      <c r="BVY295" s="3"/>
      <c r="BVZ295" s="3"/>
      <c r="BWA295" s="3"/>
      <c r="BWB295" s="3"/>
      <c r="BWC295" s="3"/>
      <c r="BWD295" s="3"/>
      <c r="BWE295" s="3"/>
      <c r="BWF295" s="3"/>
      <c r="BWG295" s="3"/>
      <c r="BWH295" s="3"/>
      <c r="BWI295" s="3"/>
      <c r="BWJ295" s="3"/>
      <c r="BWK295" s="3"/>
      <c r="BWL295" s="3"/>
      <c r="BWM295" s="3"/>
      <c r="BWN295" s="3"/>
      <c r="BWO295" s="3"/>
      <c r="BWP295" s="3"/>
      <c r="BWQ295" s="3"/>
      <c r="BWR295" s="3"/>
      <c r="BWS295" s="3"/>
      <c r="BWT295" s="3"/>
      <c r="BWU295" s="3"/>
      <c r="BWV295" s="3"/>
      <c r="BWW295" s="3"/>
      <c r="BWX295" s="3"/>
      <c r="BWY295" s="3"/>
      <c r="BWZ295" s="3"/>
      <c r="BXA295" s="3"/>
      <c r="BXB295" s="3"/>
      <c r="BXC295" s="3"/>
      <c r="BXD295" s="3"/>
      <c r="BXE295" s="3"/>
      <c r="BXF295" s="3"/>
      <c r="BXG295" s="3"/>
      <c r="BXH295" s="3"/>
      <c r="BXI295" s="3"/>
      <c r="BXJ295" s="3"/>
      <c r="BXK295" s="3"/>
      <c r="BXL295" s="3"/>
      <c r="BXM295" s="3"/>
      <c r="BXN295" s="3"/>
      <c r="BXO295" s="3"/>
      <c r="BXP295" s="3"/>
      <c r="BXQ295" s="3"/>
      <c r="BXR295" s="3"/>
      <c r="BXS295" s="3"/>
      <c r="BXT295" s="3"/>
      <c r="BXU295" s="3"/>
      <c r="BXV295" s="3"/>
      <c r="BXW295" s="3"/>
      <c r="BXX295" s="3"/>
      <c r="BXY295" s="3"/>
      <c r="BXZ295" s="3"/>
      <c r="BYA295" s="3"/>
      <c r="BYB295" s="3"/>
      <c r="BYC295" s="3"/>
      <c r="BYD295" s="3"/>
      <c r="BYE295" s="3"/>
      <c r="BYF295" s="3"/>
      <c r="BYG295" s="3"/>
      <c r="BYH295" s="3"/>
      <c r="BYI295" s="3"/>
      <c r="BYJ295" s="3"/>
      <c r="BYK295" s="3"/>
      <c r="BYL295" s="3"/>
      <c r="BYM295" s="3"/>
      <c r="BYN295" s="3"/>
      <c r="BYO295" s="3"/>
      <c r="BYP295" s="3"/>
      <c r="BYQ295" s="3"/>
      <c r="BYR295" s="3"/>
      <c r="BYS295" s="3"/>
      <c r="BYT295" s="3"/>
      <c r="BYU295" s="3"/>
      <c r="BYV295" s="3"/>
      <c r="BYW295" s="3"/>
      <c r="BYX295" s="3"/>
      <c r="BYY295" s="3"/>
      <c r="BYZ295" s="3"/>
      <c r="BZA295" s="3"/>
      <c r="BZB295" s="3"/>
      <c r="BZC295" s="3"/>
      <c r="BZD295" s="3"/>
      <c r="BZE295" s="3"/>
      <c r="BZF295" s="3"/>
      <c r="BZG295" s="3"/>
      <c r="BZH295" s="3"/>
      <c r="BZI295" s="3"/>
      <c r="BZJ295" s="3"/>
      <c r="BZK295" s="3"/>
      <c r="BZL295" s="3"/>
      <c r="BZM295" s="3"/>
      <c r="BZN295" s="3"/>
      <c r="BZO295" s="3"/>
      <c r="BZP295" s="3"/>
      <c r="BZQ295" s="3"/>
      <c r="BZR295" s="3"/>
      <c r="BZS295" s="3"/>
      <c r="BZT295" s="3"/>
      <c r="BZU295" s="3"/>
      <c r="BZV295" s="3"/>
      <c r="BZW295" s="3"/>
      <c r="BZX295" s="3"/>
      <c r="BZY295" s="3"/>
      <c r="BZZ295" s="3"/>
      <c r="CAA295" s="3"/>
      <c r="CAB295" s="3"/>
      <c r="CAC295" s="3"/>
      <c r="CAD295" s="3"/>
      <c r="CAE295" s="3"/>
      <c r="CAF295" s="3"/>
      <c r="CAG295" s="3"/>
      <c r="CAH295" s="3"/>
      <c r="CAI295" s="3"/>
      <c r="CAJ295" s="3"/>
      <c r="CAK295" s="3"/>
      <c r="CAL295" s="3"/>
      <c r="CAM295" s="3"/>
      <c r="CAN295" s="3"/>
      <c r="CAO295" s="3"/>
      <c r="CAP295" s="3"/>
      <c r="CAQ295" s="3"/>
      <c r="CAR295" s="3"/>
      <c r="CAS295" s="3"/>
      <c r="CAT295" s="3"/>
      <c r="CAU295" s="3"/>
      <c r="CAV295" s="3"/>
      <c r="CAW295" s="3"/>
      <c r="CAX295" s="3"/>
      <c r="CAY295" s="3"/>
      <c r="CAZ295" s="3"/>
      <c r="CBA295" s="3"/>
      <c r="CBB295" s="3"/>
      <c r="CBC295" s="3"/>
      <c r="CBD295" s="3"/>
      <c r="CBE295" s="3"/>
      <c r="CBF295" s="3"/>
      <c r="CBG295" s="3"/>
      <c r="CBH295" s="3"/>
      <c r="CBI295" s="3"/>
      <c r="CBJ295" s="3"/>
      <c r="CBK295" s="3"/>
      <c r="CBL295" s="3"/>
      <c r="CBM295" s="3"/>
      <c r="CBN295" s="3"/>
      <c r="CBO295" s="3"/>
      <c r="CBP295" s="3"/>
      <c r="CBQ295" s="3"/>
      <c r="CBR295" s="3"/>
      <c r="CBS295" s="3"/>
      <c r="CBT295" s="3"/>
      <c r="CBU295" s="3"/>
      <c r="CBV295" s="3"/>
      <c r="CBW295" s="3"/>
      <c r="CBX295" s="3"/>
      <c r="CBY295" s="3"/>
      <c r="CBZ295" s="3"/>
      <c r="CCA295" s="3"/>
      <c r="CCB295" s="3"/>
      <c r="CCC295" s="3"/>
      <c r="CCD295" s="3"/>
      <c r="CCE295" s="3"/>
      <c r="CCF295" s="3"/>
      <c r="CCG295" s="3"/>
      <c r="CCH295" s="3"/>
      <c r="CCI295" s="3"/>
      <c r="CCJ295" s="3"/>
      <c r="CCK295" s="3"/>
      <c r="CCL295" s="3"/>
      <c r="CCM295" s="3"/>
      <c r="CCN295" s="3"/>
      <c r="CCO295" s="3"/>
      <c r="CCP295" s="3"/>
      <c r="CCQ295" s="3"/>
      <c r="CCR295" s="3"/>
      <c r="CCS295" s="3"/>
      <c r="CCT295" s="3"/>
      <c r="CCU295" s="3"/>
      <c r="CCV295" s="3"/>
      <c r="CCW295" s="3"/>
      <c r="CCX295" s="3"/>
      <c r="CCY295" s="3"/>
      <c r="CCZ295" s="3"/>
      <c r="CDA295" s="3"/>
      <c r="CDB295" s="3"/>
      <c r="CDC295" s="3"/>
      <c r="CDD295" s="3"/>
      <c r="CDE295" s="3"/>
      <c r="CDF295" s="3"/>
      <c r="CDG295" s="3"/>
      <c r="CDH295" s="3"/>
      <c r="CDI295" s="3"/>
      <c r="CDJ295" s="3"/>
      <c r="CDK295" s="3"/>
      <c r="CDL295" s="3"/>
      <c r="CDM295" s="3"/>
      <c r="CDN295" s="3"/>
      <c r="CDO295" s="3"/>
      <c r="CDP295" s="3"/>
      <c r="CDQ295" s="3"/>
      <c r="CDR295" s="3"/>
      <c r="CDS295" s="3"/>
      <c r="CDT295" s="3"/>
      <c r="CDU295" s="3"/>
      <c r="CDV295" s="3"/>
      <c r="CDW295" s="3"/>
      <c r="CDX295" s="3"/>
      <c r="CDY295" s="3"/>
      <c r="CDZ295" s="3"/>
      <c r="CEA295" s="3"/>
      <c r="CEB295" s="3"/>
      <c r="CEC295" s="3"/>
      <c r="CED295" s="3"/>
      <c r="CEE295" s="3"/>
      <c r="CEF295" s="3"/>
      <c r="CEG295" s="3"/>
      <c r="CEH295" s="3"/>
      <c r="CEI295" s="3"/>
      <c r="CEJ295" s="3"/>
      <c r="CEK295" s="3"/>
      <c r="CEL295" s="3"/>
      <c r="CEM295" s="3"/>
      <c r="CEN295" s="3"/>
      <c r="CEO295" s="3"/>
      <c r="CEP295" s="3"/>
      <c r="CEQ295" s="3"/>
      <c r="CER295" s="3"/>
      <c r="CES295" s="3"/>
      <c r="CET295" s="3"/>
      <c r="CEU295" s="3"/>
      <c r="CEV295" s="3"/>
      <c r="CEW295" s="3"/>
      <c r="CEX295" s="3"/>
      <c r="CEY295" s="3"/>
      <c r="CEZ295" s="3"/>
      <c r="CFA295" s="3"/>
      <c r="CFB295" s="3"/>
      <c r="CFC295" s="3"/>
      <c r="CFD295" s="3"/>
      <c r="CFE295" s="3"/>
      <c r="CFF295" s="3"/>
      <c r="CFG295" s="3"/>
      <c r="CFH295" s="3"/>
      <c r="CFI295" s="3"/>
      <c r="CFJ295" s="3"/>
      <c r="CFK295" s="3"/>
      <c r="CFL295" s="3"/>
      <c r="CFM295" s="3"/>
      <c r="CFN295" s="3"/>
      <c r="CFO295" s="3"/>
      <c r="CFP295" s="3"/>
      <c r="CFQ295" s="3"/>
      <c r="CFR295" s="3"/>
      <c r="CFS295" s="3"/>
      <c r="CFT295" s="3"/>
      <c r="CFU295" s="3"/>
      <c r="CFV295" s="3"/>
      <c r="CFW295" s="3"/>
      <c r="CFX295" s="3"/>
      <c r="CFY295" s="3"/>
      <c r="CFZ295" s="3"/>
      <c r="CGA295" s="3"/>
      <c r="CGB295" s="3"/>
      <c r="CGC295" s="3"/>
      <c r="CGD295" s="3"/>
      <c r="CGE295" s="3"/>
      <c r="CGF295" s="3"/>
      <c r="CGG295" s="3"/>
      <c r="CGH295" s="3"/>
      <c r="CGI295" s="3"/>
      <c r="CGJ295" s="3"/>
      <c r="CGK295" s="3"/>
      <c r="CGL295" s="3"/>
      <c r="CGM295" s="3"/>
      <c r="CGN295" s="3"/>
      <c r="CGO295" s="3"/>
      <c r="CGP295" s="3"/>
      <c r="CGQ295" s="3"/>
      <c r="CGR295" s="3"/>
      <c r="CGS295" s="3"/>
      <c r="CGT295" s="3"/>
      <c r="CGU295" s="3"/>
      <c r="CGV295" s="3"/>
      <c r="CGW295" s="3"/>
      <c r="CGX295" s="3"/>
      <c r="CGY295" s="3"/>
      <c r="CGZ295" s="3"/>
      <c r="CHA295" s="3"/>
      <c r="CHB295" s="3"/>
      <c r="CHC295" s="3"/>
      <c r="CHD295" s="3"/>
      <c r="CHE295" s="3"/>
      <c r="CHF295" s="3"/>
      <c r="CHG295" s="3"/>
      <c r="CHH295" s="3"/>
      <c r="CHI295" s="3"/>
      <c r="CHJ295" s="3"/>
      <c r="CHK295" s="3"/>
      <c r="CHL295" s="3"/>
      <c r="CHM295" s="3"/>
      <c r="CHN295" s="3"/>
      <c r="CHO295" s="3"/>
      <c r="CHP295" s="3"/>
      <c r="CHQ295" s="3"/>
      <c r="CHR295" s="3"/>
      <c r="CHS295" s="3"/>
      <c r="CHT295" s="3"/>
      <c r="CHU295" s="3"/>
      <c r="CHV295" s="3"/>
      <c r="CHW295" s="3"/>
      <c r="CHX295" s="3"/>
      <c r="CHY295" s="3"/>
      <c r="CHZ295" s="3"/>
      <c r="CIA295" s="3"/>
      <c r="CIB295" s="3"/>
      <c r="CIC295" s="3"/>
      <c r="CID295" s="3"/>
      <c r="CIE295" s="3"/>
      <c r="CIF295" s="3"/>
      <c r="CIG295" s="3"/>
      <c r="CIH295" s="3"/>
      <c r="CII295" s="3"/>
      <c r="CIJ295" s="3"/>
      <c r="CIK295" s="3"/>
      <c r="CIL295" s="3"/>
      <c r="CIM295" s="3"/>
      <c r="CIN295" s="3"/>
      <c r="CIO295" s="3"/>
      <c r="CIP295" s="3"/>
      <c r="CIQ295" s="3"/>
      <c r="CIR295" s="3"/>
      <c r="CIS295" s="3"/>
      <c r="CIT295" s="3"/>
      <c r="CIU295" s="3"/>
      <c r="CIV295" s="3"/>
      <c r="CIW295" s="3"/>
      <c r="CIX295" s="3"/>
      <c r="CIY295" s="3"/>
      <c r="CIZ295" s="3"/>
      <c r="CJA295" s="3"/>
      <c r="CJB295" s="3"/>
      <c r="CJC295" s="3"/>
      <c r="CJD295" s="3"/>
      <c r="CJE295" s="3"/>
      <c r="CJF295" s="3"/>
      <c r="CJG295" s="3"/>
      <c r="CJH295" s="3"/>
      <c r="CJI295" s="3"/>
      <c r="CJJ295" s="3"/>
      <c r="CJK295" s="3"/>
      <c r="CJL295" s="3"/>
      <c r="CJM295" s="3"/>
      <c r="CJN295" s="3"/>
      <c r="CJO295" s="3"/>
      <c r="CJP295" s="3"/>
      <c r="CJQ295" s="3"/>
      <c r="CJR295" s="3"/>
      <c r="CJS295" s="3"/>
      <c r="CJT295" s="3"/>
      <c r="CJU295" s="3"/>
      <c r="CJV295" s="3"/>
      <c r="CJW295" s="3"/>
      <c r="CJX295" s="3"/>
      <c r="CJY295" s="3"/>
      <c r="CJZ295" s="3"/>
      <c r="CKA295" s="3"/>
      <c r="CKB295" s="3"/>
      <c r="CKC295" s="3"/>
      <c r="CKD295" s="3"/>
      <c r="CKE295" s="3"/>
      <c r="CKF295" s="3"/>
      <c r="CKG295" s="3"/>
      <c r="CKH295" s="3"/>
      <c r="CKI295" s="3"/>
      <c r="CKJ295" s="3"/>
      <c r="CKK295" s="3"/>
      <c r="CKL295" s="3"/>
      <c r="CKM295" s="3"/>
      <c r="CKN295" s="3"/>
      <c r="CKO295" s="3"/>
      <c r="CKP295" s="3"/>
      <c r="CKQ295" s="3"/>
      <c r="CKR295" s="3"/>
      <c r="CKS295" s="3"/>
      <c r="CKT295" s="3"/>
      <c r="CKU295" s="3"/>
      <c r="CKV295" s="3"/>
      <c r="CKW295" s="3"/>
      <c r="CKX295" s="3"/>
      <c r="CKY295" s="3"/>
      <c r="CKZ295" s="3"/>
      <c r="CLA295" s="3"/>
      <c r="CLB295" s="3"/>
      <c r="CLC295" s="3"/>
      <c r="CLD295" s="3"/>
      <c r="CLE295" s="3"/>
      <c r="CLF295" s="3"/>
      <c r="CLG295" s="3"/>
      <c r="CLH295" s="3"/>
      <c r="CLI295" s="3"/>
      <c r="CLJ295" s="3"/>
      <c r="CLK295" s="3"/>
      <c r="CLL295" s="3"/>
      <c r="CLM295" s="3"/>
      <c r="CLN295" s="3"/>
      <c r="CLO295" s="3"/>
      <c r="CLP295" s="3"/>
      <c r="CLQ295" s="3"/>
      <c r="CLR295" s="3"/>
      <c r="CLS295" s="3"/>
      <c r="CLT295" s="3"/>
      <c r="CLU295" s="3"/>
      <c r="CLV295" s="3"/>
      <c r="CLW295" s="3"/>
      <c r="CLX295" s="3"/>
      <c r="CLY295" s="3"/>
      <c r="CLZ295" s="3"/>
      <c r="CMA295" s="3"/>
      <c r="CMB295" s="3"/>
      <c r="CMC295" s="3"/>
      <c r="CMD295" s="3"/>
      <c r="CME295" s="3"/>
      <c r="CMF295" s="3"/>
      <c r="CMG295" s="3"/>
      <c r="CMH295" s="3"/>
      <c r="CMI295" s="3"/>
      <c r="CMJ295" s="3"/>
      <c r="CMK295" s="3"/>
      <c r="CML295" s="3"/>
      <c r="CMM295" s="3"/>
      <c r="CMN295" s="3"/>
      <c r="CMO295" s="3"/>
      <c r="CMP295" s="3"/>
      <c r="CMQ295" s="3"/>
      <c r="CMR295" s="3"/>
      <c r="CMS295" s="3"/>
      <c r="CMT295" s="3"/>
      <c r="CMU295" s="3"/>
      <c r="CMV295" s="3"/>
      <c r="CMW295" s="3"/>
      <c r="CMX295" s="3"/>
      <c r="CMY295" s="3"/>
      <c r="CMZ295" s="3"/>
      <c r="CNA295" s="3"/>
      <c r="CNB295" s="3"/>
      <c r="CNC295" s="3"/>
      <c r="CND295" s="3"/>
      <c r="CNE295" s="3"/>
      <c r="CNF295" s="3"/>
      <c r="CNG295" s="3"/>
      <c r="CNH295" s="3"/>
      <c r="CNI295" s="3"/>
      <c r="CNJ295" s="3"/>
      <c r="CNK295" s="3"/>
      <c r="CNL295" s="3"/>
      <c r="CNM295" s="3"/>
      <c r="CNN295" s="3"/>
      <c r="CNO295" s="3"/>
      <c r="CNP295" s="3"/>
      <c r="CNQ295" s="3"/>
      <c r="CNR295" s="3"/>
      <c r="CNS295" s="3"/>
      <c r="CNT295" s="3"/>
      <c r="CNU295" s="3"/>
      <c r="CNV295" s="3"/>
      <c r="CNW295" s="3"/>
      <c r="CNX295" s="3"/>
      <c r="CNY295" s="3"/>
      <c r="CNZ295" s="3"/>
      <c r="COA295" s="3"/>
      <c r="COB295" s="3"/>
      <c r="COC295" s="3"/>
      <c r="COD295" s="3"/>
      <c r="COE295" s="3"/>
      <c r="COF295" s="3"/>
      <c r="COG295" s="3"/>
      <c r="COH295" s="3"/>
      <c r="COI295" s="3"/>
      <c r="COJ295" s="3"/>
      <c r="COK295" s="3"/>
      <c r="COL295" s="3"/>
      <c r="COM295" s="3"/>
      <c r="CON295" s="3"/>
      <c r="COO295" s="3"/>
      <c r="COP295" s="3"/>
      <c r="COQ295" s="3"/>
      <c r="COR295" s="3"/>
      <c r="COS295" s="3"/>
      <c r="COT295" s="3"/>
      <c r="COU295" s="3"/>
      <c r="COV295" s="3"/>
      <c r="COW295" s="3"/>
      <c r="COX295" s="3"/>
      <c r="COY295" s="3"/>
      <c r="COZ295" s="3"/>
      <c r="CPA295" s="3"/>
      <c r="CPB295" s="3"/>
      <c r="CPC295" s="3"/>
      <c r="CPD295" s="3"/>
      <c r="CPE295" s="3"/>
      <c r="CPF295" s="3"/>
      <c r="CPG295" s="3"/>
      <c r="CPH295" s="3"/>
      <c r="CPI295" s="3"/>
      <c r="CPJ295" s="3"/>
      <c r="CPK295" s="3"/>
      <c r="CPL295" s="3"/>
      <c r="CPM295" s="3"/>
      <c r="CPN295" s="3"/>
      <c r="CPO295" s="3"/>
      <c r="CPP295" s="3"/>
      <c r="CPQ295" s="3"/>
      <c r="CPR295" s="3"/>
      <c r="CPS295" s="3"/>
      <c r="CPT295" s="3"/>
      <c r="CPU295" s="3"/>
      <c r="CPV295" s="3"/>
      <c r="CPW295" s="3"/>
      <c r="CPX295" s="3"/>
      <c r="CPY295" s="3"/>
      <c r="CPZ295" s="3"/>
      <c r="CQA295" s="3"/>
      <c r="CQB295" s="3"/>
      <c r="CQC295" s="3"/>
      <c r="CQD295" s="3"/>
      <c r="CQE295" s="3"/>
      <c r="CQF295" s="3"/>
      <c r="CQG295" s="3"/>
      <c r="CQH295" s="3"/>
      <c r="CQI295" s="3"/>
      <c r="CQJ295" s="3"/>
      <c r="CQK295" s="3"/>
      <c r="CQL295" s="3"/>
      <c r="CQM295" s="3"/>
      <c r="CQN295" s="3"/>
      <c r="CQO295" s="3"/>
      <c r="CQP295" s="3"/>
      <c r="CQQ295" s="3"/>
      <c r="CQR295" s="3"/>
      <c r="CQS295" s="3"/>
      <c r="CQT295" s="3"/>
      <c r="CQU295" s="3"/>
      <c r="CQV295" s="3"/>
      <c r="CQW295" s="3"/>
      <c r="CQX295" s="3"/>
      <c r="CQY295" s="3"/>
      <c r="CQZ295" s="3"/>
      <c r="CRA295" s="3"/>
      <c r="CRB295" s="3"/>
      <c r="CRC295" s="3"/>
      <c r="CRD295" s="3"/>
      <c r="CRE295" s="3"/>
      <c r="CRF295" s="3"/>
      <c r="CRG295" s="3"/>
      <c r="CRH295" s="3"/>
      <c r="CRI295" s="3"/>
      <c r="CRJ295" s="3"/>
      <c r="CRK295" s="3"/>
      <c r="CRL295" s="3"/>
      <c r="CRM295" s="3"/>
      <c r="CRN295" s="3"/>
      <c r="CRO295" s="3"/>
      <c r="CRP295" s="3"/>
      <c r="CRQ295" s="3"/>
      <c r="CRR295" s="3"/>
      <c r="CRS295" s="3"/>
      <c r="CRT295" s="3"/>
      <c r="CRU295" s="3"/>
      <c r="CRV295" s="3"/>
      <c r="CRW295" s="3"/>
      <c r="CRX295" s="3"/>
      <c r="CRY295" s="3"/>
      <c r="CRZ295" s="3"/>
      <c r="CSA295" s="3"/>
      <c r="CSB295" s="3"/>
      <c r="CSC295" s="3"/>
      <c r="CSD295" s="3"/>
      <c r="CSE295" s="3"/>
      <c r="CSF295" s="3"/>
      <c r="CSG295" s="3"/>
      <c r="CSH295" s="3"/>
      <c r="CSI295" s="3"/>
      <c r="CSJ295" s="3"/>
      <c r="CSK295" s="3"/>
      <c r="CSL295" s="3"/>
      <c r="CSM295" s="3"/>
      <c r="CSN295" s="3"/>
      <c r="CSO295" s="3"/>
      <c r="CSP295" s="3"/>
      <c r="CSQ295" s="3"/>
      <c r="CSR295" s="3"/>
      <c r="CSS295" s="3"/>
      <c r="CST295" s="3"/>
      <c r="CSU295" s="3"/>
      <c r="CSV295" s="3"/>
      <c r="CSW295" s="3"/>
      <c r="CSX295" s="3"/>
      <c r="CSY295" s="3"/>
      <c r="CSZ295" s="3"/>
      <c r="CTA295" s="3"/>
      <c r="CTB295" s="3"/>
      <c r="CTC295" s="3"/>
      <c r="CTD295" s="3"/>
      <c r="CTE295" s="3"/>
      <c r="CTF295" s="3"/>
      <c r="CTG295" s="3"/>
      <c r="CTH295" s="3"/>
      <c r="CTI295" s="3"/>
      <c r="CTJ295" s="3"/>
      <c r="CTK295" s="3"/>
      <c r="CTL295" s="3"/>
      <c r="CTM295" s="3"/>
      <c r="CTN295" s="3"/>
      <c r="CTO295" s="3"/>
      <c r="CTP295" s="3"/>
      <c r="CTQ295" s="3"/>
      <c r="CTR295" s="3"/>
      <c r="CTS295" s="3"/>
      <c r="CTT295" s="3"/>
      <c r="CTU295" s="3"/>
      <c r="CTV295" s="3"/>
      <c r="CTW295" s="3"/>
      <c r="CTX295" s="3"/>
      <c r="CTY295" s="3"/>
      <c r="CTZ295" s="3"/>
      <c r="CUA295" s="3"/>
      <c r="CUB295" s="3"/>
      <c r="CUC295" s="3"/>
      <c r="CUD295" s="3"/>
      <c r="CUE295" s="3"/>
      <c r="CUF295" s="3"/>
      <c r="CUG295" s="3"/>
      <c r="CUH295" s="3"/>
      <c r="CUI295" s="3"/>
      <c r="CUJ295" s="3"/>
      <c r="CUK295" s="3"/>
      <c r="CUL295" s="3"/>
      <c r="CUM295" s="3"/>
      <c r="CUN295" s="3"/>
      <c r="CUO295" s="3"/>
      <c r="CUP295" s="3"/>
      <c r="CUQ295" s="3"/>
      <c r="CUR295" s="3"/>
      <c r="CUS295" s="3"/>
      <c r="CUT295" s="3"/>
      <c r="CUU295" s="3"/>
      <c r="CUV295" s="3"/>
      <c r="CUW295" s="3"/>
      <c r="CUX295" s="3"/>
      <c r="CUY295" s="3"/>
      <c r="CUZ295" s="3"/>
      <c r="CVA295" s="3"/>
      <c r="CVB295" s="3"/>
      <c r="CVC295" s="3"/>
      <c r="CVD295" s="3"/>
      <c r="CVE295" s="3"/>
      <c r="CVF295" s="3"/>
      <c r="CVG295" s="3"/>
      <c r="CVH295" s="3"/>
      <c r="CVI295" s="3"/>
      <c r="CVJ295" s="3"/>
      <c r="CVK295" s="3"/>
      <c r="CVL295" s="3"/>
      <c r="CVM295" s="3"/>
      <c r="CVN295" s="3"/>
      <c r="CVO295" s="3"/>
      <c r="CVP295" s="3"/>
      <c r="CVQ295" s="3"/>
      <c r="CVR295" s="3"/>
      <c r="CVS295" s="3"/>
      <c r="CVT295" s="3"/>
      <c r="CVU295" s="3"/>
      <c r="CVV295" s="3"/>
      <c r="CVW295" s="3"/>
      <c r="CVX295" s="3"/>
      <c r="CVY295" s="3"/>
      <c r="CVZ295" s="3"/>
      <c r="CWA295" s="3"/>
      <c r="CWB295" s="3"/>
      <c r="CWC295" s="3"/>
      <c r="CWD295" s="3"/>
      <c r="CWE295" s="3"/>
      <c r="CWF295" s="3"/>
      <c r="CWG295" s="3"/>
      <c r="CWH295" s="3"/>
      <c r="CWI295" s="3"/>
      <c r="CWJ295" s="3"/>
      <c r="CWK295" s="3"/>
      <c r="CWL295" s="3"/>
      <c r="CWM295" s="3"/>
      <c r="CWN295" s="3"/>
      <c r="CWO295" s="3"/>
      <c r="CWP295" s="3"/>
      <c r="CWQ295" s="3"/>
      <c r="CWR295" s="3"/>
      <c r="CWS295" s="3"/>
      <c r="CWT295" s="3"/>
      <c r="CWU295" s="3"/>
      <c r="CWV295" s="3"/>
      <c r="CWW295" s="3"/>
      <c r="CWX295" s="3"/>
      <c r="CWY295" s="3"/>
      <c r="CWZ295" s="3"/>
      <c r="CXA295" s="3"/>
      <c r="CXB295" s="3"/>
      <c r="CXC295" s="3"/>
      <c r="CXD295" s="3"/>
      <c r="CXE295" s="3"/>
      <c r="CXF295" s="3"/>
      <c r="CXG295" s="3"/>
      <c r="CXH295" s="3"/>
      <c r="CXI295" s="3"/>
      <c r="CXJ295" s="3"/>
      <c r="CXK295" s="3"/>
      <c r="CXL295" s="3"/>
      <c r="CXM295" s="3"/>
      <c r="CXN295" s="3"/>
      <c r="CXO295" s="3"/>
      <c r="CXP295" s="3"/>
      <c r="CXQ295" s="3"/>
      <c r="CXR295" s="3"/>
      <c r="CXS295" s="3"/>
      <c r="CXT295" s="3"/>
      <c r="CXU295" s="3"/>
      <c r="CXV295" s="3"/>
      <c r="CXW295" s="3"/>
      <c r="CXX295" s="3"/>
      <c r="CXY295" s="3"/>
      <c r="CXZ295" s="3"/>
      <c r="CYA295" s="3"/>
      <c r="CYB295" s="3"/>
      <c r="CYC295" s="3"/>
      <c r="CYD295" s="3"/>
      <c r="CYE295" s="3"/>
      <c r="CYF295" s="3"/>
      <c r="CYG295" s="3"/>
      <c r="CYH295" s="3"/>
      <c r="CYI295" s="3"/>
      <c r="CYJ295" s="3"/>
      <c r="CYK295" s="3"/>
      <c r="CYL295" s="3"/>
      <c r="CYM295" s="3"/>
      <c r="CYN295" s="3"/>
      <c r="CYO295" s="3"/>
      <c r="CYP295" s="3"/>
      <c r="CYQ295" s="3"/>
      <c r="CYR295" s="3"/>
      <c r="CYS295" s="3"/>
      <c r="CYT295" s="3"/>
      <c r="CYU295" s="3"/>
      <c r="CYV295" s="3"/>
      <c r="CYW295" s="3"/>
      <c r="CYX295" s="3"/>
      <c r="CYY295" s="3"/>
      <c r="CYZ295" s="3"/>
      <c r="CZA295" s="3"/>
      <c r="CZB295" s="3"/>
      <c r="CZC295" s="3"/>
      <c r="CZD295" s="3"/>
      <c r="CZE295" s="3"/>
      <c r="CZF295" s="3"/>
      <c r="CZG295" s="3"/>
      <c r="CZH295" s="3"/>
      <c r="CZI295" s="3"/>
      <c r="CZJ295" s="3"/>
      <c r="CZK295" s="3"/>
      <c r="CZL295" s="3"/>
      <c r="CZM295" s="3"/>
      <c r="CZN295" s="3"/>
      <c r="CZO295" s="3"/>
      <c r="CZP295" s="3"/>
      <c r="CZQ295" s="3"/>
      <c r="CZR295" s="3"/>
      <c r="CZS295" s="3"/>
      <c r="CZT295" s="3"/>
      <c r="CZU295" s="3"/>
      <c r="CZV295" s="3"/>
      <c r="CZW295" s="3"/>
      <c r="CZX295" s="3"/>
      <c r="CZY295" s="3"/>
      <c r="CZZ295" s="3"/>
      <c r="DAA295" s="3"/>
      <c r="DAB295" s="3"/>
      <c r="DAC295" s="3"/>
      <c r="DAD295" s="3"/>
      <c r="DAE295" s="3"/>
      <c r="DAF295" s="3"/>
      <c r="DAG295" s="3"/>
      <c r="DAH295" s="3"/>
      <c r="DAI295" s="3"/>
      <c r="DAJ295" s="3"/>
      <c r="DAK295" s="3"/>
      <c r="DAL295" s="3"/>
      <c r="DAM295" s="3"/>
      <c r="DAN295" s="3"/>
      <c r="DAO295" s="3"/>
      <c r="DAP295" s="3"/>
      <c r="DAQ295" s="3"/>
      <c r="DAR295" s="3"/>
      <c r="DAS295" s="3"/>
      <c r="DAT295" s="3"/>
      <c r="DAU295" s="3"/>
      <c r="DAV295" s="3"/>
      <c r="DAW295" s="3"/>
      <c r="DAX295" s="3"/>
      <c r="DAY295" s="3"/>
      <c r="DAZ295" s="3"/>
      <c r="DBA295" s="3"/>
      <c r="DBB295" s="3"/>
      <c r="DBC295" s="3"/>
      <c r="DBD295" s="3"/>
      <c r="DBE295" s="3"/>
      <c r="DBF295" s="3"/>
      <c r="DBG295" s="3"/>
      <c r="DBH295" s="3"/>
      <c r="DBI295" s="3"/>
      <c r="DBJ295" s="3"/>
      <c r="DBK295" s="3"/>
      <c r="DBL295" s="3"/>
      <c r="DBM295" s="3"/>
      <c r="DBN295" s="3"/>
      <c r="DBO295" s="3"/>
      <c r="DBP295" s="3"/>
      <c r="DBQ295" s="3"/>
      <c r="DBR295" s="3"/>
      <c r="DBS295" s="3"/>
      <c r="DBT295" s="3"/>
      <c r="DBU295" s="3"/>
      <c r="DBV295" s="3"/>
      <c r="DBW295" s="3"/>
      <c r="DBX295" s="3"/>
      <c r="DBY295" s="3"/>
      <c r="DBZ295" s="3"/>
      <c r="DCA295" s="3"/>
      <c r="DCB295" s="3"/>
      <c r="DCC295" s="3"/>
      <c r="DCD295" s="3"/>
      <c r="DCE295" s="3"/>
      <c r="DCF295" s="3"/>
      <c r="DCG295" s="3"/>
      <c r="DCH295" s="3"/>
      <c r="DCI295" s="3"/>
      <c r="DCJ295" s="3"/>
      <c r="DCK295" s="3"/>
      <c r="DCL295" s="3"/>
      <c r="DCM295" s="3"/>
      <c r="DCN295" s="3"/>
      <c r="DCO295" s="3"/>
      <c r="DCP295" s="3"/>
      <c r="DCQ295" s="3"/>
      <c r="DCR295" s="3"/>
      <c r="DCS295" s="3"/>
      <c r="DCT295" s="3"/>
      <c r="DCU295" s="3"/>
      <c r="DCV295" s="3"/>
      <c r="DCW295" s="3"/>
      <c r="DCX295" s="3"/>
      <c r="DCY295" s="3"/>
      <c r="DCZ295" s="3"/>
      <c r="DDA295" s="3"/>
      <c r="DDB295" s="3"/>
      <c r="DDC295" s="3"/>
      <c r="DDD295" s="3"/>
      <c r="DDE295" s="3"/>
      <c r="DDF295" s="3"/>
      <c r="DDG295" s="3"/>
      <c r="DDH295" s="3"/>
      <c r="DDI295" s="3"/>
      <c r="DDJ295" s="3"/>
      <c r="DDK295" s="3"/>
      <c r="DDL295" s="3"/>
      <c r="DDM295" s="3"/>
      <c r="DDN295" s="3"/>
      <c r="DDO295" s="3"/>
      <c r="DDP295" s="3"/>
      <c r="DDQ295" s="3"/>
      <c r="DDR295" s="3"/>
      <c r="DDS295" s="3"/>
      <c r="DDT295" s="3"/>
      <c r="DDU295" s="3"/>
      <c r="DDV295" s="3"/>
      <c r="DDW295" s="3"/>
      <c r="DDX295" s="3"/>
      <c r="DDY295" s="3"/>
      <c r="DDZ295" s="3"/>
      <c r="DEA295" s="3"/>
      <c r="DEB295" s="3"/>
      <c r="DEC295" s="3"/>
      <c r="DED295" s="3"/>
      <c r="DEE295" s="3"/>
      <c r="DEF295" s="3"/>
      <c r="DEG295" s="3"/>
      <c r="DEH295" s="3"/>
      <c r="DEI295" s="3"/>
      <c r="DEJ295" s="3"/>
      <c r="DEK295" s="3"/>
      <c r="DEL295" s="3"/>
      <c r="DEM295" s="3"/>
      <c r="DEN295" s="3"/>
      <c r="DEO295" s="3"/>
      <c r="DEP295" s="3"/>
      <c r="DEQ295" s="3"/>
      <c r="DER295" s="3"/>
      <c r="DES295" s="3"/>
      <c r="DET295" s="3"/>
      <c r="DEU295" s="3"/>
      <c r="DEV295" s="3"/>
      <c r="DEW295" s="3"/>
      <c r="DEX295" s="3"/>
      <c r="DEY295" s="3"/>
      <c r="DEZ295" s="3"/>
      <c r="DFA295" s="3"/>
      <c r="DFB295" s="3"/>
      <c r="DFC295" s="3"/>
      <c r="DFD295" s="3"/>
      <c r="DFE295" s="3"/>
      <c r="DFF295" s="3"/>
      <c r="DFG295" s="3"/>
      <c r="DFH295" s="3"/>
      <c r="DFI295" s="3"/>
      <c r="DFJ295" s="3"/>
      <c r="DFK295" s="3"/>
      <c r="DFL295" s="3"/>
      <c r="DFM295" s="3"/>
      <c r="DFN295" s="3"/>
      <c r="DFO295" s="3"/>
      <c r="DFP295" s="3"/>
      <c r="DFQ295" s="3"/>
      <c r="DFR295" s="3"/>
      <c r="DFS295" s="3"/>
      <c r="DFT295" s="3"/>
      <c r="DFU295" s="3"/>
      <c r="DFV295" s="3"/>
      <c r="DFW295" s="3"/>
      <c r="DFX295" s="3"/>
      <c r="DFY295" s="3"/>
      <c r="DFZ295" s="3"/>
      <c r="DGA295" s="3"/>
      <c r="DGB295" s="3"/>
      <c r="DGC295" s="3"/>
      <c r="DGD295" s="3"/>
      <c r="DGE295" s="3"/>
      <c r="DGF295" s="3"/>
      <c r="DGG295" s="3"/>
      <c r="DGH295" s="3"/>
      <c r="DGI295" s="3"/>
      <c r="DGJ295" s="3"/>
      <c r="DGK295" s="3"/>
      <c r="DGL295" s="3"/>
      <c r="DGM295" s="3"/>
      <c r="DGN295" s="3"/>
      <c r="DGO295" s="3"/>
      <c r="DGP295" s="3"/>
      <c r="DGQ295" s="3"/>
      <c r="DGR295" s="3"/>
      <c r="DGS295" s="3"/>
      <c r="DGT295" s="3"/>
      <c r="DGU295" s="3"/>
      <c r="DGV295" s="3"/>
      <c r="DGW295" s="3"/>
      <c r="DGX295" s="3"/>
      <c r="DGY295" s="3"/>
      <c r="DGZ295" s="3"/>
      <c r="DHA295" s="3"/>
      <c r="DHB295" s="3"/>
      <c r="DHC295" s="3"/>
      <c r="DHD295" s="3"/>
      <c r="DHE295" s="3"/>
      <c r="DHF295" s="3"/>
      <c r="DHG295" s="3"/>
      <c r="DHH295" s="3"/>
      <c r="DHI295" s="3"/>
      <c r="DHJ295" s="3"/>
      <c r="DHK295" s="3"/>
      <c r="DHL295" s="3"/>
      <c r="DHM295" s="3"/>
      <c r="DHN295" s="3"/>
      <c r="DHO295" s="3"/>
      <c r="DHP295" s="3"/>
      <c r="DHQ295" s="3"/>
      <c r="DHR295" s="3"/>
      <c r="DHS295" s="3"/>
      <c r="DHT295" s="3"/>
      <c r="DHU295" s="3"/>
      <c r="DHV295" s="3"/>
      <c r="DHW295" s="3"/>
      <c r="DHX295" s="3"/>
      <c r="DHY295" s="3"/>
      <c r="DHZ295" s="3"/>
      <c r="DIA295" s="3"/>
      <c r="DIB295" s="3"/>
      <c r="DIC295" s="3"/>
      <c r="DID295" s="3"/>
      <c r="DIE295" s="3"/>
      <c r="DIF295" s="3"/>
      <c r="DIG295" s="3"/>
      <c r="DIH295" s="3"/>
      <c r="DII295" s="3"/>
      <c r="DIJ295" s="3"/>
      <c r="DIK295" s="3"/>
      <c r="DIL295" s="3"/>
      <c r="DIM295" s="3"/>
      <c r="DIN295" s="3"/>
      <c r="DIO295" s="3"/>
      <c r="DIP295" s="3"/>
      <c r="DIQ295" s="3"/>
      <c r="DIR295" s="3"/>
      <c r="DIS295" s="3"/>
      <c r="DIT295" s="3"/>
      <c r="DIU295" s="3"/>
      <c r="DIV295" s="3"/>
      <c r="DIW295" s="3"/>
      <c r="DIX295" s="3"/>
      <c r="DIY295" s="3"/>
      <c r="DIZ295" s="3"/>
      <c r="DJA295" s="3"/>
      <c r="DJB295" s="3"/>
      <c r="DJC295" s="3"/>
      <c r="DJD295" s="3"/>
      <c r="DJE295" s="3"/>
      <c r="DJF295" s="3"/>
      <c r="DJG295" s="3"/>
      <c r="DJH295" s="3"/>
      <c r="DJI295" s="3"/>
      <c r="DJJ295" s="3"/>
      <c r="DJK295" s="3"/>
      <c r="DJL295" s="3"/>
      <c r="DJM295" s="3"/>
      <c r="DJN295" s="3"/>
      <c r="DJO295" s="3"/>
      <c r="DJP295" s="3"/>
      <c r="DJQ295" s="3"/>
      <c r="DJR295" s="3"/>
      <c r="DJS295" s="3"/>
      <c r="DJT295" s="3"/>
      <c r="DJU295" s="3"/>
      <c r="DJV295" s="3"/>
      <c r="DJW295" s="3"/>
      <c r="DJX295" s="3"/>
      <c r="DJY295" s="3"/>
      <c r="DJZ295" s="3"/>
      <c r="DKA295" s="3"/>
      <c r="DKB295" s="3"/>
      <c r="DKC295" s="3"/>
      <c r="DKD295" s="3"/>
      <c r="DKE295" s="3"/>
      <c r="DKF295" s="3"/>
      <c r="DKG295" s="3"/>
      <c r="DKH295" s="3"/>
      <c r="DKI295" s="3"/>
      <c r="DKJ295" s="3"/>
      <c r="DKK295" s="3"/>
      <c r="DKL295" s="3"/>
      <c r="DKM295" s="3"/>
      <c r="DKN295" s="3"/>
      <c r="DKO295" s="3"/>
      <c r="DKP295" s="3"/>
      <c r="DKQ295" s="3"/>
      <c r="DKR295" s="3"/>
      <c r="DKS295" s="3"/>
      <c r="DKT295" s="3"/>
      <c r="DKU295" s="3"/>
      <c r="DKV295" s="3"/>
      <c r="DKW295" s="3"/>
      <c r="DKX295" s="3"/>
      <c r="DKY295" s="3"/>
      <c r="DKZ295" s="3"/>
      <c r="DLA295" s="3"/>
      <c r="DLB295" s="3"/>
      <c r="DLC295" s="3"/>
      <c r="DLD295" s="3"/>
      <c r="DLE295" s="3"/>
      <c r="DLF295" s="3"/>
      <c r="DLG295" s="3"/>
      <c r="DLH295" s="3"/>
      <c r="DLI295" s="3"/>
      <c r="DLJ295" s="3"/>
      <c r="DLK295" s="3"/>
      <c r="DLL295" s="3"/>
      <c r="DLM295" s="3"/>
      <c r="DLN295" s="3"/>
      <c r="DLO295" s="3"/>
      <c r="DLP295" s="3"/>
      <c r="DLQ295" s="3"/>
      <c r="DLR295" s="3"/>
      <c r="DLS295" s="3"/>
      <c r="DLT295" s="3"/>
      <c r="DLU295" s="3"/>
      <c r="DLV295" s="3"/>
      <c r="DLW295" s="3"/>
      <c r="DLX295" s="3"/>
      <c r="DLY295" s="3"/>
      <c r="DLZ295" s="3"/>
      <c r="DMA295" s="3"/>
      <c r="DMB295" s="3"/>
      <c r="DMC295" s="3"/>
      <c r="DMD295" s="3"/>
      <c r="DME295" s="3"/>
      <c r="DMF295" s="3"/>
      <c r="DMG295" s="3"/>
      <c r="DMH295" s="3"/>
      <c r="DMI295" s="3"/>
      <c r="DMJ295" s="3"/>
      <c r="DMK295" s="3"/>
      <c r="DML295" s="3"/>
      <c r="DMM295" s="3"/>
      <c r="DMN295" s="3"/>
      <c r="DMO295" s="3"/>
      <c r="DMP295" s="3"/>
      <c r="DMQ295" s="3"/>
      <c r="DMR295" s="3"/>
      <c r="DMS295" s="3"/>
      <c r="DMT295" s="3"/>
      <c r="DMU295" s="3"/>
      <c r="DMV295" s="3"/>
      <c r="DMW295" s="3"/>
      <c r="DMX295" s="3"/>
      <c r="DMY295" s="3"/>
      <c r="DMZ295" s="3"/>
      <c r="DNA295" s="3"/>
      <c r="DNB295" s="3"/>
      <c r="DNC295" s="3"/>
      <c r="DND295" s="3"/>
      <c r="DNE295" s="3"/>
      <c r="DNF295" s="3"/>
      <c r="DNG295" s="3"/>
      <c r="DNH295" s="3"/>
      <c r="DNI295" s="3"/>
      <c r="DNJ295" s="3"/>
      <c r="DNK295" s="3"/>
      <c r="DNL295" s="3"/>
      <c r="DNM295" s="3"/>
      <c r="DNN295" s="3"/>
      <c r="DNO295" s="3"/>
      <c r="DNP295" s="3"/>
      <c r="DNQ295" s="3"/>
      <c r="DNR295" s="3"/>
      <c r="DNS295" s="3"/>
      <c r="DNT295" s="3"/>
      <c r="DNU295" s="3"/>
      <c r="DNV295" s="3"/>
      <c r="DNW295" s="3"/>
      <c r="DNX295" s="3"/>
      <c r="DNY295" s="3"/>
      <c r="DNZ295" s="3"/>
      <c r="DOA295" s="3"/>
      <c r="DOB295" s="3"/>
      <c r="DOC295" s="3"/>
      <c r="DOD295" s="3"/>
      <c r="DOE295" s="3"/>
      <c r="DOF295" s="3"/>
      <c r="DOG295" s="3"/>
      <c r="DOH295" s="3"/>
      <c r="DOI295" s="3"/>
      <c r="DOJ295" s="3"/>
      <c r="DOK295" s="3"/>
      <c r="DOL295" s="3"/>
      <c r="DOM295" s="3"/>
      <c r="DON295" s="3"/>
      <c r="DOO295" s="3"/>
      <c r="DOP295" s="3"/>
      <c r="DOQ295" s="3"/>
      <c r="DOR295" s="3"/>
      <c r="DOS295" s="3"/>
      <c r="DOT295" s="3"/>
      <c r="DOU295" s="3"/>
      <c r="DOV295" s="3"/>
      <c r="DOW295" s="3"/>
      <c r="DOX295" s="3"/>
      <c r="DOY295" s="3"/>
      <c r="DOZ295" s="3"/>
      <c r="DPA295" s="3"/>
      <c r="DPB295" s="3"/>
      <c r="DPC295" s="3"/>
      <c r="DPD295" s="3"/>
      <c r="DPE295" s="3"/>
      <c r="DPF295" s="3"/>
      <c r="DPG295" s="3"/>
      <c r="DPH295" s="3"/>
      <c r="DPI295" s="3"/>
      <c r="DPJ295" s="3"/>
      <c r="DPK295" s="3"/>
      <c r="DPL295" s="3"/>
      <c r="DPM295" s="3"/>
      <c r="DPN295" s="3"/>
      <c r="DPO295" s="3"/>
      <c r="DPP295" s="3"/>
      <c r="DPQ295" s="3"/>
      <c r="DPR295" s="3"/>
      <c r="DPS295" s="3"/>
      <c r="DPT295" s="3"/>
      <c r="DPU295" s="3"/>
      <c r="DPV295" s="3"/>
      <c r="DPW295" s="3"/>
      <c r="DPX295" s="3"/>
      <c r="DPY295" s="3"/>
      <c r="DPZ295" s="3"/>
      <c r="DQA295" s="3"/>
      <c r="DQB295" s="3"/>
      <c r="DQC295" s="3"/>
      <c r="DQD295" s="3"/>
      <c r="DQE295" s="3"/>
      <c r="DQF295" s="3"/>
      <c r="DQG295" s="3"/>
      <c r="DQH295" s="3"/>
      <c r="DQI295" s="3"/>
      <c r="DQJ295" s="3"/>
      <c r="DQK295" s="3"/>
      <c r="DQL295" s="3"/>
      <c r="DQM295" s="3"/>
      <c r="DQN295" s="3"/>
      <c r="DQO295" s="3"/>
      <c r="DQP295" s="3"/>
      <c r="DQQ295" s="3"/>
      <c r="DQR295" s="3"/>
      <c r="DQS295" s="3"/>
      <c r="DQT295" s="3"/>
      <c r="DQU295" s="3"/>
      <c r="DQV295" s="3"/>
      <c r="DQW295" s="3"/>
      <c r="DQX295" s="3"/>
      <c r="DQY295" s="3"/>
      <c r="DQZ295" s="3"/>
      <c r="DRA295" s="3"/>
      <c r="DRB295" s="3"/>
      <c r="DRC295" s="3"/>
      <c r="DRD295" s="3"/>
      <c r="DRE295" s="3"/>
      <c r="DRF295" s="3"/>
      <c r="DRG295" s="3"/>
      <c r="DRH295" s="3"/>
      <c r="DRI295" s="3"/>
      <c r="DRJ295" s="3"/>
      <c r="DRK295" s="3"/>
      <c r="DRL295" s="3"/>
      <c r="DRM295" s="3"/>
      <c r="DRN295" s="3"/>
      <c r="DRO295" s="3"/>
      <c r="DRP295" s="3"/>
      <c r="DRQ295" s="3"/>
      <c r="DRR295" s="3"/>
      <c r="DRS295" s="3"/>
      <c r="DRT295" s="3"/>
      <c r="DRU295" s="3"/>
      <c r="DRV295" s="3"/>
      <c r="DRW295" s="3"/>
      <c r="DRX295" s="3"/>
      <c r="DRY295" s="3"/>
      <c r="DRZ295" s="3"/>
      <c r="DSA295" s="3"/>
      <c r="DSB295" s="3"/>
      <c r="DSC295" s="3"/>
      <c r="DSD295" s="3"/>
      <c r="DSE295" s="3"/>
      <c r="DSF295" s="3"/>
      <c r="DSG295" s="3"/>
      <c r="DSH295" s="3"/>
      <c r="DSI295" s="3"/>
      <c r="DSJ295" s="3"/>
      <c r="DSK295" s="3"/>
      <c r="DSL295" s="3"/>
      <c r="DSM295" s="3"/>
      <c r="DSN295" s="3"/>
      <c r="DSO295" s="3"/>
      <c r="DSP295" s="3"/>
      <c r="DSQ295" s="3"/>
      <c r="DSR295" s="3"/>
      <c r="DSS295" s="3"/>
      <c r="DST295" s="3"/>
      <c r="DSU295" s="3"/>
      <c r="DSV295" s="3"/>
      <c r="DSW295" s="3"/>
      <c r="DSX295" s="3"/>
      <c r="DSY295" s="3"/>
      <c r="DSZ295" s="3"/>
      <c r="DTA295" s="3"/>
      <c r="DTB295" s="3"/>
      <c r="DTC295" s="3"/>
      <c r="DTD295" s="3"/>
      <c r="DTE295" s="3"/>
      <c r="DTF295" s="3"/>
      <c r="DTG295" s="3"/>
      <c r="DTH295" s="3"/>
      <c r="DTI295" s="3"/>
      <c r="DTJ295" s="3"/>
      <c r="DTK295" s="3"/>
      <c r="DTL295" s="3"/>
      <c r="DTM295" s="3"/>
      <c r="DTN295" s="3"/>
      <c r="DTO295" s="3"/>
      <c r="DTP295" s="3"/>
      <c r="DTQ295" s="3"/>
      <c r="DTR295" s="3"/>
      <c r="DTS295" s="3"/>
      <c r="DTT295" s="3"/>
      <c r="DTU295" s="3"/>
      <c r="DTV295" s="3"/>
      <c r="DTW295" s="3"/>
      <c r="DTX295" s="3"/>
      <c r="DTY295" s="3"/>
      <c r="DTZ295" s="3"/>
      <c r="DUA295" s="3"/>
      <c r="DUB295" s="3"/>
      <c r="DUC295" s="3"/>
      <c r="DUD295" s="3"/>
      <c r="DUE295" s="3"/>
      <c r="DUF295" s="3"/>
      <c r="DUG295" s="3"/>
      <c r="DUH295" s="3"/>
      <c r="DUI295" s="3"/>
      <c r="DUJ295" s="3"/>
      <c r="DUK295" s="3"/>
      <c r="DUL295" s="3"/>
      <c r="DUM295" s="3"/>
      <c r="DUN295" s="3"/>
      <c r="DUO295" s="3"/>
      <c r="DUP295" s="3"/>
      <c r="DUQ295" s="3"/>
      <c r="DUR295" s="3"/>
      <c r="DUS295" s="3"/>
      <c r="DUT295" s="3"/>
      <c r="DUU295" s="3"/>
      <c r="DUV295" s="3"/>
      <c r="DUW295" s="3"/>
      <c r="DUX295" s="3"/>
      <c r="DUY295" s="3"/>
      <c r="DUZ295" s="3"/>
      <c r="DVA295" s="3"/>
      <c r="DVB295" s="3"/>
      <c r="DVC295" s="3"/>
      <c r="DVD295" s="3"/>
      <c r="DVE295" s="3"/>
      <c r="DVF295" s="3"/>
      <c r="DVG295" s="3"/>
      <c r="DVH295" s="3"/>
      <c r="DVI295" s="3"/>
      <c r="DVJ295" s="3"/>
      <c r="DVK295" s="3"/>
      <c r="DVL295" s="3"/>
      <c r="DVM295" s="3"/>
      <c r="DVN295" s="3"/>
      <c r="DVO295" s="3"/>
      <c r="DVP295" s="3"/>
      <c r="DVQ295" s="3"/>
      <c r="DVR295" s="3"/>
      <c r="DVS295" s="3"/>
      <c r="DVT295" s="3"/>
      <c r="DVU295" s="3"/>
      <c r="DVV295" s="3"/>
      <c r="DVW295" s="3"/>
      <c r="DVX295" s="3"/>
      <c r="DVY295" s="3"/>
      <c r="DVZ295" s="3"/>
      <c r="DWA295" s="3"/>
      <c r="DWB295" s="3"/>
      <c r="DWC295" s="3"/>
      <c r="DWD295" s="3"/>
      <c r="DWE295" s="3"/>
      <c r="DWF295" s="3"/>
      <c r="DWG295" s="3"/>
      <c r="DWH295" s="3"/>
      <c r="DWI295" s="3"/>
      <c r="DWJ295" s="3"/>
      <c r="DWK295" s="3"/>
      <c r="DWL295" s="3"/>
      <c r="DWM295" s="3"/>
      <c r="DWN295" s="3"/>
      <c r="DWO295" s="3"/>
      <c r="DWP295" s="3"/>
      <c r="DWQ295" s="3"/>
      <c r="DWR295" s="3"/>
      <c r="DWS295" s="3"/>
      <c r="DWT295" s="3"/>
      <c r="DWU295" s="3"/>
      <c r="DWV295" s="3"/>
      <c r="DWW295" s="3"/>
      <c r="DWX295" s="3"/>
      <c r="DWY295" s="3"/>
      <c r="DWZ295" s="3"/>
      <c r="DXA295" s="3"/>
      <c r="DXB295" s="3"/>
      <c r="DXC295" s="3"/>
      <c r="DXD295" s="3"/>
      <c r="DXE295" s="3"/>
      <c r="DXF295" s="3"/>
      <c r="DXG295" s="3"/>
      <c r="DXH295" s="3"/>
      <c r="DXI295" s="3"/>
      <c r="DXJ295" s="3"/>
      <c r="DXK295" s="3"/>
      <c r="DXL295" s="3"/>
      <c r="DXM295" s="3"/>
      <c r="DXN295" s="3"/>
      <c r="DXO295" s="3"/>
      <c r="DXP295" s="3"/>
      <c r="DXQ295" s="3"/>
      <c r="DXR295" s="3"/>
      <c r="DXS295" s="3"/>
      <c r="DXT295" s="3"/>
      <c r="DXU295" s="3"/>
      <c r="DXV295" s="3"/>
      <c r="DXW295" s="3"/>
      <c r="DXX295" s="3"/>
      <c r="DXY295" s="3"/>
      <c r="DXZ295" s="3"/>
      <c r="DYA295" s="3"/>
      <c r="DYB295" s="3"/>
      <c r="DYC295" s="3"/>
      <c r="DYD295" s="3"/>
      <c r="DYE295" s="3"/>
      <c r="DYF295" s="3"/>
      <c r="DYG295" s="3"/>
      <c r="DYH295" s="3"/>
      <c r="DYI295" s="3"/>
      <c r="DYJ295" s="3"/>
      <c r="DYK295" s="3"/>
      <c r="DYL295" s="3"/>
      <c r="DYM295" s="3"/>
      <c r="DYN295" s="3"/>
      <c r="DYO295" s="3"/>
      <c r="DYP295" s="3"/>
      <c r="DYQ295" s="3"/>
      <c r="DYR295" s="3"/>
      <c r="DYS295" s="3"/>
      <c r="DYT295" s="3"/>
      <c r="DYU295" s="3"/>
      <c r="DYV295" s="3"/>
      <c r="DYW295" s="3"/>
      <c r="DYX295" s="3"/>
      <c r="DYY295" s="3"/>
      <c r="DYZ295" s="3"/>
      <c r="DZA295" s="3"/>
      <c r="DZB295" s="3"/>
      <c r="DZC295" s="3"/>
      <c r="DZD295" s="3"/>
      <c r="DZE295" s="3"/>
      <c r="DZF295" s="3"/>
      <c r="DZG295" s="3"/>
      <c r="DZH295" s="3"/>
      <c r="DZI295" s="3"/>
      <c r="DZJ295" s="3"/>
      <c r="DZK295" s="3"/>
      <c r="DZL295" s="3"/>
      <c r="DZM295" s="3"/>
      <c r="DZN295" s="3"/>
      <c r="DZO295" s="3"/>
      <c r="DZP295" s="3"/>
      <c r="DZQ295" s="3"/>
      <c r="DZR295" s="3"/>
      <c r="DZS295" s="3"/>
      <c r="DZT295" s="3"/>
      <c r="DZU295" s="3"/>
      <c r="DZV295" s="3"/>
      <c r="DZW295" s="3"/>
      <c r="DZX295" s="3"/>
      <c r="DZY295" s="3"/>
      <c r="DZZ295" s="3"/>
      <c r="EAA295" s="3"/>
      <c r="EAB295" s="3"/>
      <c r="EAC295" s="3"/>
      <c r="EAD295" s="3"/>
      <c r="EAE295" s="3"/>
      <c r="EAF295" s="3"/>
      <c r="EAG295" s="3"/>
      <c r="EAH295" s="3"/>
      <c r="EAI295" s="3"/>
      <c r="EAJ295" s="3"/>
      <c r="EAK295" s="3"/>
      <c r="EAL295" s="3"/>
      <c r="EAM295" s="3"/>
      <c r="EAN295" s="3"/>
      <c r="EAO295" s="3"/>
      <c r="EAP295" s="3"/>
      <c r="EAQ295" s="3"/>
      <c r="EAR295" s="3"/>
      <c r="EAS295" s="3"/>
      <c r="EAT295" s="3"/>
      <c r="EAU295" s="3"/>
      <c r="EAV295" s="3"/>
      <c r="EAW295" s="3"/>
      <c r="EAX295" s="3"/>
      <c r="EAY295" s="3"/>
      <c r="EAZ295" s="3"/>
      <c r="EBA295" s="3"/>
      <c r="EBB295" s="3"/>
      <c r="EBC295" s="3"/>
      <c r="EBD295" s="3"/>
      <c r="EBE295" s="3"/>
      <c r="EBF295" s="3"/>
      <c r="EBG295" s="3"/>
      <c r="EBH295" s="3"/>
      <c r="EBI295" s="3"/>
      <c r="EBJ295" s="3"/>
      <c r="EBK295" s="3"/>
      <c r="EBL295" s="3"/>
      <c r="EBM295" s="3"/>
      <c r="EBN295" s="3"/>
      <c r="EBO295" s="3"/>
      <c r="EBP295" s="3"/>
      <c r="EBQ295" s="3"/>
      <c r="EBR295" s="3"/>
      <c r="EBS295" s="3"/>
      <c r="EBT295" s="3"/>
      <c r="EBU295" s="3"/>
      <c r="EBV295" s="3"/>
      <c r="EBW295" s="3"/>
      <c r="EBX295" s="3"/>
      <c r="EBY295" s="3"/>
      <c r="EBZ295" s="3"/>
      <c r="ECA295" s="3"/>
      <c r="ECB295" s="3"/>
      <c r="ECC295" s="3"/>
      <c r="ECD295" s="3"/>
      <c r="ECE295" s="3"/>
      <c r="ECF295" s="3"/>
      <c r="ECG295" s="3"/>
      <c r="ECH295" s="3"/>
      <c r="ECI295" s="3"/>
      <c r="ECJ295" s="3"/>
      <c r="ECK295" s="3"/>
      <c r="ECL295" s="3"/>
      <c r="ECM295" s="3"/>
      <c r="ECN295" s="3"/>
      <c r="ECO295" s="3"/>
      <c r="ECP295" s="3"/>
      <c r="ECQ295" s="3"/>
      <c r="ECR295" s="3"/>
      <c r="ECS295" s="3"/>
      <c r="ECT295" s="3"/>
      <c r="ECU295" s="3"/>
      <c r="ECV295" s="3"/>
      <c r="ECW295" s="3"/>
      <c r="ECX295" s="3"/>
      <c r="ECY295" s="3"/>
      <c r="ECZ295" s="3"/>
      <c r="EDA295" s="3"/>
      <c r="EDB295" s="3"/>
      <c r="EDC295" s="3"/>
      <c r="EDD295" s="3"/>
      <c r="EDE295" s="3"/>
      <c r="EDF295" s="3"/>
      <c r="EDG295" s="3"/>
      <c r="EDH295" s="3"/>
      <c r="EDI295" s="3"/>
      <c r="EDJ295" s="3"/>
      <c r="EDK295" s="3"/>
      <c r="EDL295" s="3"/>
      <c r="EDM295" s="3"/>
      <c r="EDN295" s="3"/>
      <c r="EDO295" s="3"/>
      <c r="EDP295" s="3"/>
      <c r="EDQ295" s="3"/>
      <c r="EDR295" s="3"/>
      <c r="EDS295" s="3"/>
      <c r="EDT295" s="3"/>
      <c r="EDU295" s="3"/>
      <c r="EDV295" s="3"/>
      <c r="EDW295" s="3"/>
      <c r="EDX295" s="3"/>
      <c r="EDY295" s="3"/>
      <c r="EDZ295" s="3"/>
      <c r="EEA295" s="3"/>
      <c r="EEB295" s="3"/>
      <c r="EEC295" s="3"/>
      <c r="EED295" s="3"/>
      <c r="EEE295" s="3"/>
      <c r="EEF295" s="3"/>
      <c r="EEG295" s="3"/>
      <c r="EEH295" s="3"/>
      <c r="EEI295" s="3"/>
      <c r="EEJ295" s="3"/>
      <c r="EEK295" s="3"/>
      <c r="EEL295" s="3"/>
      <c r="EEM295" s="3"/>
      <c r="EEN295" s="3"/>
      <c r="EEO295" s="3"/>
      <c r="EEP295" s="3"/>
      <c r="EEQ295" s="3"/>
      <c r="EER295" s="3"/>
      <c r="EES295" s="3"/>
      <c r="EET295" s="3"/>
      <c r="EEU295" s="3"/>
      <c r="EEV295" s="3"/>
      <c r="EEW295" s="3"/>
      <c r="EEX295" s="3"/>
      <c r="EEY295" s="3"/>
      <c r="EEZ295" s="3"/>
      <c r="EFA295" s="3"/>
      <c r="EFB295" s="3"/>
      <c r="EFC295" s="3"/>
      <c r="EFD295" s="3"/>
      <c r="EFE295" s="3"/>
      <c r="EFF295" s="3"/>
      <c r="EFG295" s="3"/>
      <c r="EFH295" s="3"/>
      <c r="EFI295" s="3"/>
      <c r="EFJ295" s="3"/>
      <c r="EFK295" s="3"/>
      <c r="EFL295" s="3"/>
      <c r="EFM295" s="3"/>
      <c r="EFN295" s="3"/>
      <c r="EFO295" s="3"/>
      <c r="EFP295" s="3"/>
      <c r="EFQ295" s="3"/>
      <c r="EFR295" s="3"/>
      <c r="EFS295" s="3"/>
      <c r="EFT295" s="3"/>
      <c r="EFU295" s="3"/>
      <c r="EFV295" s="3"/>
      <c r="EFW295" s="3"/>
      <c r="EFX295" s="3"/>
      <c r="EFY295" s="3"/>
      <c r="EFZ295" s="3"/>
      <c r="EGA295" s="3"/>
      <c r="EGB295" s="3"/>
      <c r="EGC295" s="3"/>
      <c r="EGD295" s="3"/>
      <c r="EGE295" s="3"/>
      <c r="EGF295" s="3"/>
      <c r="EGG295" s="3"/>
      <c r="EGH295" s="3"/>
      <c r="EGI295" s="3"/>
      <c r="EGJ295" s="3"/>
      <c r="EGK295" s="3"/>
      <c r="EGL295" s="3"/>
      <c r="EGM295" s="3"/>
      <c r="EGN295" s="3"/>
      <c r="EGO295" s="3"/>
      <c r="EGP295" s="3"/>
      <c r="EGQ295" s="3"/>
      <c r="EGR295" s="3"/>
      <c r="EGS295" s="3"/>
      <c r="EGT295" s="3"/>
      <c r="EGU295" s="3"/>
      <c r="EGV295" s="3"/>
      <c r="EGW295" s="3"/>
      <c r="EGX295" s="3"/>
      <c r="EGY295" s="3"/>
      <c r="EGZ295" s="3"/>
      <c r="EHA295" s="3"/>
      <c r="EHB295" s="3"/>
      <c r="EHC295" s="3"/>
      <c r="EHD295" s="3"/>
      <c r="EHE295" s="3"/>
      <c r="EHF295" s="3"/>
      <c r="EHG295" s="3"/>
      <c r="EHH295" s="3"/>
      <c r="EHI295" s="3"/>
      <c r="EHJ295" s="3"/>
      <c r="EHK295" s="3"/>
      <c r="EHL295" s="3"/>
      <c r="EHM295" s="3"/>
      <c r="EHN295" s="3"/>
      <c r="EHO295" s="3"/>
      <c r="EHP295" s="3"/>
      <c r="EHQ295" s="3"/>
      <c r="EHR295" s="3"/>
      <c r="EHS295" s="3"/>
      <c r="EHT295" s="3"/>
      <c r="EHU295" s="3"/>
      <c r="EHV295" s="3"/>
      <c r="EHW295" s="3"/>
      <c r="EHX295" s="3"/>
      <c r="EHY295" s="3"/>
      <c r="EHZ295" s="3"/>
      <c r="EIA295" s="3"/>
      <c r="EIB295" s="3"/>
      <c r="EIC295" s="3"/>
      <c r="EID295" s="3"/>
      <c r="EIE295" s="3"/>
      <c r="EIF295" s="3"/>
      <c r="EIG295" s="3"/>
      <c r="EIH295" s="3"/>
      <c r="EII295" s="3"/>
      <c r="EIJ295" s="3"/>
      <c r="EIK295" s="3"/>
      <c r="EIL295" s="3"/>
      <c r="EIM295" s="3"/>
      <c r="EIN295" s="3"/>
      <c r="EIO295" s="3"/>
      <c r="EIP295" s="3"/>
      <c r="EIQ295" s="3"/>
      <c r="EIR295" s="3"/>
      <c r="EIS295" s="3"/>
      <c r="EIT295" s="3"/>
      <c r="EIU295" s="3"/>
      <c r="EIV295" s="3"/>
      <c r="EIW295" s="3"/>
      <c r="EIX295" s="3"/>
      <c r="EIY295" s="3"/>
      <c r="EIZ295" s="3"/>
      <c r="EJA295" s="3"/>
      <c r="EJB295" s="3"/>
      <c r="EJC295" s="3"/>
      <c r="EJD295" s="3"/>
      <c r="EJE295" s="3"/>
      <c r="EJF295" s="3"/>
      <c r="EJG295" s="3"/>
      <c r="EJH295" s="3"/>
      <c r="EJI295" s="3"/>
      <c r="EJJ295" s="3"/>
      <c r="EJK295" s="3"/>
      <c r="EJL295" s="3"/>
      <c r="EJM295" s="3"/>
      <c r="EJN295" s="3"/>
      <c r="EJO295" s="3"/>
      <c r="EJP295" s="3"/>
      <c r="EJQ295" s="3"/>
      <c r="EJR295" s="3"/>
      <c r="EJS295" s="3"/>
      <c r="EJT295" s="3"/>
      <c r="EJU295" s="3"/>
      <c r="EJV295" s="3"/>
      <c r="EJW295" s="3"/>
      <c r="EJX295" s="3"/>
      <c r="EJY295" s="3"/>
      <c r="EJZ295" s="3"/>
      <c r="EKA295" s="3"/>
      <c r="EKB295" s="3"/>
      <c r="EKC295" s="3"/>
      <c r="EKD295" s="3"/>
      <c r="EKE295" s="3"/>
      <c r="EKF295" s="3"/>
      <c r="EKG295" s="3"/>
      <c r="EKH295" s="3"/>
      <c r="EKI295" s="3"/>
      <c r="EKJ295" s="3"/>
      <c r="EKK295" s="3"/>
      <c r="EKL295" s="3"/>
      <c r="EKM295" s="3"/>
      <c r="EKN295" s="3"/>
      <c r="EKO295" s="3"/>
      <c r="EKP295" s="3"/>
      <c r="EKQ295" s="3"/>
      <c r="EKR295" s="3"/>
      <c r="EKS295" s="3"/>
      <c r="EKT295" s="3"/>
      <c r="EKU295" s="3"/>
      <c r="EKV295" s="3"/>
      <c r="EKW295" s="3"/>
      <c r="EKX295" s="3"/>
      <c r="EKY295" s="3"/>
      <c r="EKZ295" s="3"/>
      <c r="ELA295" s="3"/>
      <c r="ELB295" s="3"/>
      <c r="ELC295" s="3"/>
      <c r="ELD295" s="3"/>
      <c r="ELE295" s="3"/>
      <c r="ELF295" s="3"/>
      <c r="ELG295" s="3"/>
      <c r="ELH295" s="3"/>
      <c r="ELI295" s="3"/>
      <c r="ELJ295" s="3"/>
      <c r="ELK295" s="3"/>
      <c r="ELL295" s="3"/>
      <c r="ELM295" s="3"/>
      <c r="ELN295" s="3"/>
      <c r="ELO295" s="3"/>
      <c r="ELP295" s="3"/>
      <c r="ELQ295" s="3"/>
      <c r="ELR295" s="3"/>
      <c r="ELS295" s="3"/>
      <c r="ELT295" s="3"/>
      <c r="ELU295" s="3"/>
      <c r="ELV295" s="3"/>
      <c r="ELW295" s="3"/>
      <c r="ELX295" s="3"/>
      <c r="ELY295" s="3"/>
      <c r="ELZ295" s="3"/>
      <c r="EMA295" s="3"/>
      <c r="EMB295" s="3"/>
      <c r="EMC295" s="3"/>
      <c r="EMD295" s="3"/>
      <c r="EME295" s="3"/>
      <c r="EMF295" s="3"/>
      <c r="EMG295" s="3"/>
      <c r="EMH295" s="3"/>
      <c r="EMI295" s="3"/>
      <c r="EMJ295" s="3"/>
      <c r="EMK295" s="3"/>
      <c r="EML295" s="3"/>
      <c r="EMM295" s="3"/>
      <c r="EMN295" s="3"/>
      <c r="EMO295" s="3"/>
      <c r="EMP295" s="3"/>
      <c r="EMQ295" s="3"/>
      <c r="EMR295" s="3"/>
      <c r="EMS295" s="3"/>
      <c r="EMT295" s="3"/>
      <c r="EMU295" s="3"/>
      <c r="EMV295" s="3"/>
      <c r="EMW295" s="3"/>
      <c r="EMX295" s="3"/>
      <c r="EMY295" s="3"/>
      <c r="EMZ295" s="3"/>
      <c r="ENA295" s="3"/>
      <c r="ENB295" s="3"/>
      <c r="ENC295" s="3"/>
      <c r="END295" s="3"/>
      <c r="ENE295" s="3"/>
      <c r="ENF295" s="3"/>
      <c r="ENG295" s="3"/>
      <c r="ENH295" s="3"/>
      <c r="ENI295" s="3"/>
      <c r="ENJ295" s="3"/>
      <c r="ENK295" s="3"/>
      <c r="ENL295" s="3"/>
      <c r="ENM295" s="3"/>
      <c r="ENN295" s="3"/>
      <c r="ENO295" s="3"/>
      <c r="ENP295" s="3"/>
      <c r="ENQ295" s="3"/>
      <c r="ENR295" s="3"/>
      <c r="ENS295" s="3"/>
      <c r="ENT295" s="3"/>
      <c r="ENU295" s="3"/>
      <c r="ENV295" s="3"/>
      <c r="ENW295" s="3"/>
      <c r="ENX295" s="3"/>
      <c r="ENY295" s="3"/>
      <c r="ENZ295" s="3"/>
      <c r="EOA295" s="3"/>
      <c r="EOB295" s="3"/>
      <c r="EOC295" s="3"/>
      <c r="EOD295" s="3"/>
      <c r="EOE295" s="3"/>
      <c r="EOF295" s="3"/>
      <c r="EOG295" s="3"/>
      <c r="EOH295" s="3"/>
      <c r="EOI295" s="3"/>
      <c r="EOJ295" s="3"/>
      <c r="EOK295" s="3"/>
      <c r="EOL295" s="3"/>
      <c r="EOM295" s="3"/>
      <c r="EON295" s="3"/>
      <c r="EOO295" s="3"/>
      <c r="EOP295" s="3"/>
      <c r="EOQ295" s="3"/>
      <c r="EOR295" s="3"/>
      <c r="EOS295" s="3"/>
      <c r="EOT295" s="3"/>
      <c r="EOU295" s="3"/>
      <c r="EOV295" s="3"/>
      <c r="EOW295" s="3"/>
      <c r="EOX295" s="3"/>
      <c r="EOY295" s="3"/>
      <c r="EOZ295" s="3"/>
      <c r="EPA295" s="3"/>
      <c r="EPB295" s="3"/>
      <c r="EPC295" s="3"/>
      <c r="EPD295" s="3"/>
      <c r="EPE295" s="3"/>
      <c r="EPF295" s="3"/>
      <c r="EPG295" s="3"/>
      <c r="EPH295" s="3"/>
      <c r="EPI295" s="3"/>
      <c r="EPJ295" s="3"/>
      <c r="EPK295" s="3"/>
      <c r="EPL295" s="3"/>
      <c r="EPM295" s="3"/>
      <c r="EPN295" s="3"/>
      <c r="EPO295" s="3"/>
      <c r="EPP295" s="3"/>
      <c r="EPQ295" s="3"/>
      <c r="EPR295" s="3"/>
      <c r="EPS295" s="3"/>
      <c r="EPT295" s="3"/>
      <c r="EPU295" s="3"/>
      <c r="EPV295" s="3"/>
      <c r="EPW295" s="3"/>
      <c r="EPX295" s="3"/>
      <c r="EPY295" s="3"/>
      <c r="EPZ295" s="3"/>
      <c r="EQA295" s="3"/>
      <c r="EQB295" s="3"/>
      <c r="EQC295" s="3"/>
      <c r="EQD295" s="3"/>
      <c r="EQE295" s="3"/>
      <c r="EQF295" s="3"/>
      <c r="EQG295" s="3"/>
      <c r="EQH295" s="3"/>
      <c r="EQI295" s="3"/>
      <c r="EQJ295" s="3"/>
      <c r="EQK295" s="3"/>
      <c r="EQL295" s="3"/>
      <c r="EQM295" s="3"/>
      <c r="EQN295" s="3"/>
      <c r="EQO295" s="3"/>
      <c r="EQP295" s="3"/>
      <c r="EQQ295" s="3"/>
      <c r="EQR295" s="3"/>
      <c r="EQS295" s="3"/>
      <c r="EQT295" s="3"/>
      <c r="EQU295" s="3"/>
      <c r="EQV295" s="3"/>
      <c r="EQW295" s="3"/>
      <c r="EQX295" s="3"/>
      <c r="EQY295" s="3"/>
      <c r="EQZ295" s="3"/>
      <c r="ERA295" s="3"/>
      <c r="ERB295" s="3"/>
      <c r="ERC295" s="3"/>
      <c r="ERD295" s="3"/>
      <c r="ERE295" s="3"/>
      <c r="ERF295" s="3"/>
      <c r="ERG295" s="3"/>
      <c r="ERH295" s="3"/>
      <c r="ERI295" s="3"/>
      <c r="ERJ295" s="3"/>
      <c r="ERK295" s="3"/>
      <c r="ERL295" s="3"/>
      <c r="ERM295" s="3"/>
      <c r="ERN295" s="3"/>
      <c r="ERO295" s="3"/>
      <c r="ERP295" s="3"/>
      <c r="ERQ295" s="3"/>
      <c r="ERR295" s="3"/>
      <c r="ERS295" s="3"/>
      <c r="ERT295" s="3"/>
      <c r="ERU295" s="3"/>
      <c r="ERV295" s="3"/>
      <c r="ERW295" s="3"/>
      <c r="ERX295" s="3"/>
      <c r="ERY295" s="3"/>
      <c r="ERZ295" s="3"/>
      <c r="ESA295" s="3"/>
      <c r="ESB295" s="3"/>
      <c r="ESC295" s="3"/>
      <c r="ESD295" s="3"/>
      <c r="ESE295" s="3"/>
      <c r="ESF295" s="3"/>
      <c r="ESG295" s="3"/>
      <c r="ESH295" s="3"/>
      <c r="ESI295" s="3"/>
      <c r="ESJ295" s="3"/>
      <c r="ESK295" s="3"/>
      <c r="ESL295" s="3"/>
      <c r="ESM295" s="3"/>
      <c r="ESN295" s="3"/>
      <c r="ESO295" s="3"/>
      <c r="ESP295" s="3"/>
      <c r="ESQ295" s="3"/>
      <c r="ESR295" s="3"/>
      <c r="ESS295" s="3"/>
      <c r="EST295" s="3"/>
      <c r="ESU295" s="3"/>
      <c r="ESV295" s="3"/>
      <c r="ESW295" s="3"/>
      <c r="ESX295" s="3"/>
      <c r="ESY295" s="3"/>
      <c r="ESZ295" s="3"/>
      <c r="ETA295" s="3"/>
      <c r="ETB295" s="3"/>
      <c r="ETC295" s="3"/>
      <c r="ETD295" s="3"/>
      <c r="ETE295" s="3"/>
      <c r="ETF295" s="3"/>
      <c r="ETG295" s="3"/>
      <c r="ETH295" s="3"/>
      <c r="ETI295" s="3"/>
      <c r="ETJ295" s="3"/>
      <c r="ETK295" s="3"/>
      <c r="ETL295" s="3"/>
      <c r="ETM295" s="3"/>
      <c r="ETN295" s="3"/>
      <c r="ETO295" s="3"/>
      <c r="ETP295" s="3"/>
      <c r="ETQ295" s="3"/>
      <c r="ETR295" s="3"/>
      <c r="ETS295" s="3"/>
      <c r="ETT295" s="3"/>
      <c r="ETU295" s="3"/>
      <c r="ETV295" s="3"/>
      <c r="ETW295" s="3"/>
      <c r="ETX295" s="3"/>
      <c r="ETY295" s="3"/>
      <c r="ETZ295" s="3"/>
      <c r="EUA295" s="3"/>
      <c r="EUB295" s="3"/>
      <c r="EUC295" s="3"/>
      <c r="EUD295" s="3"/>
      <c r="EUE295" s="3"/>
      <c r="EUF295" s="3"/>
      <c r="EUG295" s="3"/>
      <c r="EUH295" s="3"/>
      <c r="EUI295" s="3"/>
      <c r="EUJ295" s="3"/>
      <c r="EUK295" s="3"/>
      <c r="EUL295" s="3"/>
      <c r="EUM295" s="3"/>
      <c r="EUN295" s="3"/>
      <c r="EUO295" s="3"/>
      <c r="EUP295" s="3"/>
      <c r="EUQ295" s="3"/>
      <c r="EUR295" s="3"/>
      <c r="EUS295" s="3"/>
      <c r="EUT295" s="3"/>
      <c r="EUU295" s="3"/>
      <c r="EUV295" s="3"/>
      <c r="EUW295" s="3"/>
      <c r="EUX295" s="3"/>
      <c r="EUY295" s="3"/>
      <c r="EUZ295" s="3"/>
      <c r="EVA295" s="3"/>
      <c r="EVB295" s="3"/>
      <c r="EVC295" s="3"/>
      <c r="EVD295" s="3"/>
      <c r="EVE295" s="3"/>
      <c r="EVF295" s="3"/>
      <c r="EVG295" s="3"/>
      <c r="EVH295" s="3"/>
      <c r="EVI295" s="3"/>
      <c r="EVJ295" s="3"/>
      <c r="EVK295" s="3"/>
      <c r="EVL295" s="3"/>
      <c r="EVM295" s="3"/>
      <c r="EVN295" s="3"/>
      <c r="EVO295" s="3"/>
      <c r="EVP295" s="3"/>
      <c r="EVQ295" s="3"/>
      <c r="EVR295" s="3"/>
      <c r="EVS295" s="3"/>
      <c r="EVT295" s="3"/>
      <c r="EVU295" s="3"/>
      <c r="EVV295" s="3"/>
      <c r="EVW295" s="3"/>
      <c r="EVX295" s="3"/>
      <c r="EVY295" s="3"/>
      <c r="EVZ295" s="3"/>
      <c r="EWA295" s="3"/>
      <c r="EWB295" s="3"/>
      <c r="EWC295" s="3"/>
      <c r="EWD295" s="3"/>
      <c r="EWE295" s="3"/>
      <c r="EWF295" s="3"/>
      <c r="EWG295" s="3"/>
      <c r="EWH295" s="3"/>
      <c r="EWI295" s="3"/>
      <c r="EWJ295" s="3"/>
      <c r="EWK295" s="3"/>
      <c r="EWL295" s="3"/>
      <c r="EWM295" s="3"/>
      <c r="EWN295" s="3"/>
      <c r="EWO295" s="3"/>
      <c r="EWP295" s="3"/>
      <c r="EWQ295" s="3"/>
      <c r="EWR295" s="3"/>
      <c r="EWS295" s="3"/>
      <c r="EWT295" s="3"/>
      <c r="EWU295" s="3"/>
      <c r="EWV295" s="3"/>
      <c r="EWW295" s="3"/>
      <c r="EWX295" s="3"/>
      <c r="EWY295" s="3"/>
      <c r="EWZ295" s="3"/>
      <c r="EXA295" s="3"/>
      <c r="EXB295" s="3"/>
      <c r="EXC295" s="3"/>
      <c r="EXD295" s="3"/>
      <c r="EXE295" s="3"/>
      <c r="EXF295" s="3"/>
      <c r="EXG295" s="3"/>
      <c r="EXH295" s="3"/>
      <c r="EXI295" s="3"/>
      <c r="EXJ295" s="3"/>
      <c r="EXK295" s="3"/>
      <c r="EXL295" s="3"/>
      <c r="EXM295" s="3"/>
      <c r="EXN295" s="3"/>
      <c r="EXO295" s="3"/>
      <c r="EXP295" s="3"/>
      <c r="EXQ295" s="3"/>
      <c r="EXR295" s="3"/>
      <c r="EXS295" s="3"/>
      <c r="EXT295" s="3"/>
      <c r="EXU295" s="3"/>
      <c r="EXV295" s="3"/>
      <c r="EXW295" s="3"/>
      <c r="EXX295" s="3"/>
      <c r="EXY295" s="3"/>
      <c r="EXZ295" s="3"/>
      <c r="EYA295" s="3"/>
      <c r="EYB295" s="3"/>
      <c r="EYC295" s="3"/>
      <c r="EYD295" s="3"/>
      <c r="EYE295" s="3"/>
      <c r="EYF295" s="3"/>
      <c r="EYG295" s="3"/>
      <c r="EYH295" s="3"/>
      <c r="EYI295" s="3"/>
      <c r="EYJ295" s="3"/>
      <c r="EYK295" s="3"/>
      <c r="EYL295" s="3"/>
      <c r="EYM295" s="3"/>
      <c r="EYN295" s="3"/>
      <c r="EYO295" s="3"/>
      <c r="EYP295" s="3"/>
      <c r="EYQ295" s="3"/>
      <c r="EYR295" s="3"/>
      <c r="EYS295" s="3"/>
      <c r="EYT295" s="3"/>
      <c r="EYU295" s="3"/>
      <c r="EYV295" s="3"/>
      <c r="EYW295" s="3"/>
      <c r="EYX295" s="3"/>
      <c r="EYY295" s="3"/>
      <c r="EYZ295" s="3"/>
      <c r="EZA295" s="3"/>
      <c r="EZB295" s="3"/>
      <c r="EZC295" s="3"/>
      <c r="EZD295" s="3"/>
      <c r="EZE295" s="3"/>
      <c r="EZF295" s="3"/>
      <c r="EZG295" s="3"/>
      <c r="EZH295" s="3"/>
      <c r="EZI295" s="3"/>
      <c r="EZJ295" s="3"/>
      <c r="EZK295" s="3"/>
      <c r="EZL295" s="3"/>
      <c r="EZM295" s="3"/>
      <c r="EZN295" s="3"/>
      <c r="EZO295" s="3"/>
      <c r="EZP295" s="3"/>
      <c r="EZQ295" s="3"/>
      <c r="EZR295" s="3"/>
      <c r="EZS295" s="3"/>
      <c r="EZT295" s="3"/>
      <c r="EZU295" s="3"/>
      <c r="EZV295" s="3"/>
      <c r="EZW295" s="3"/>
      <c r="EZX295" s="3"/>
      <c r="EZY295" s="3"/>
      <c r="EZZ295" s="3"/>
      <c r="FAA295" s="3"/>
      <c r="FAB295" s="3"/>
      <c r="FAC295" s="3"/>
      <c r="FAD295" s="3"/>
      <c r="FAE295" s="3"/>
      <c r="FAF295" s="3"/>
      <c r="FAG295" s="3"/>
      <c r="FAH295" s="3"/>
      <c r="FAI295" s="3"/>
      <c r="FAJ295" s="3"/>
      <c r="FAK295" s="3"/>
      <c r="FAL295" s="3"/>
      <c r="FAM295" s="3"/>
      <c r="FAN295" s="3"/>
      <c r="FAO295" s="3"/>
      <c r="FAP295" s="3"/>
      <c r="FAQ295" s="3"/>
      <c r="FAR295" s="3"/>
      <c r="FAS295" s="3"/>
      <c r="FAT295" s="3"/>
      <c r="FAU295" s="3"/>
      <c r="FAV295" s="3"/>
      <c r="FAW295" s="3"/>
      <c r="FAX295" s="3"/>
      <c r="FAY295" s="3"/>
      <c r="FAZ295" s="3"/>
      <c r="FBA295" s="3"/>
      <c r="FBB295" s="3"/>
      <c r="FBC295" s="3"/>
      <c r="FBD295" s="3"/>
      <c r="FBE295" s="3"/>
      <c r="FBF295" s="3"/>
      <c r="FBG295" s="3"/>
      <c r="FBH295" s="3"/>
      <c r="FBI295" s="3"/>
      <c r="FBJ295" s="3"/>
      <c r="FBK295" s="3"/>
      <c r="FBL295" s="3"/>
      <c r="FBM295" s="3"/>
      <c r="FBN295" s="3"/>
      <c r="FBO295" s="3"/>
      <c r="FBP295" s="3"/>
      <c r="FBQ295" s="3"/>
      <c r="FBR295" s="3"/>
      <c r="FBS295" s="3"/>
      <c r="FBT295" s="3"/>
      <c r="FBU295" s="3"/>
      <c r="FBV295" s="3"/>
      <c r="FBW295" s="3"/>
      <c r="FBX295" s="3"/>
      <c r="FBY295" s="3"/>
      <c r="FBZ295" s="3"/>
      <c r="FCA295" s="3"/>
      <c r="FCB295" s="3"/>
      <c r="FCC295" s="3"/>
      <c r="FCD295" s="3"/>
      <c r="FCE295" s="3"/>
      <c r="FCF295" s="3"/>
      <c r="FCG295" s="3"/>
      <c r="FCH295" s="3"/>
      <c r="FCI295" s="3"/>
      <c r="FCJ295" s="3"/>
      <c r="FCK295" s="3"/>
      <c r="FCL295" s="3"/>
      <c r="FCM295" s="3"/>
      <c r="FCN295" s="3"/>
      <c r="FCO295" s="3"/>
      <c r="FCP295" s="3"/>
      <c r="FCQ295" s="3"/>
      <c r="FCR295" s="3"/>
      <c r="FCS295" s="3"/>
      <c r="FCT295" s="3"/>
      <c r="FCU295" s="3"/>
      <c r="FCV295" s="3"/>
      <c r="FCW295" s="3"/>
      <c r="FCX295" s="3"/>
      <c r="FCY295" s="3"/>
      <c r="FCZ295" s="3"/>
      <c r="FDA295" s="3"/>
      <c r="FDB295" s="3"/>
      <c r="FDC295" s="3"/>
      <c r="FDD295" s="3"/>
      <c r="FDE295" s="3"/>
      <c r="FDF295" s="3"/>
      <c r="FDG295" s="3"/>
      <c r="FDH295" s="3"/>
      <c r="FDI295" s="3"/>
      <c r="FDJ295" s="3"/>
      <c r="FDK295" s="3"/>
      <c r="FDL295" s="3"/>
      <c r="FDM295" s="3"/>
      <c r="FDN295" s="3"/>
      <c r="FDO295" s="3"/>
      <c r="FDP295" s="3"/>
      <c r="FDQ295" s="3"/>
      <c r="FDR295" s="3"/>
      <c r="FDS295" s="3"/>
      <c r="FDT295" s="3"/>
      <c r="FDU295" s="3"/>
      <c r="FDV295" s="3"/>
      <c r="FDW295" s="3"/>
      <c r="FDX295" s="3"/>
      <c r="FDY295" s="3"/>
      <c r="FDZ295" s="3"/>
      <c r="FEA295" s="3"/>
      <c r="FEB295" s="3"/>
      <c r="FEC295" s="3"/>
      <c r="FED295" s="3"/>
      <c r="FEE295" s="3"/>
      <c r="FEF295" s="3"/>
      <c r="FEG295" s="3"/>
      <c r="FEH295" s="3"/>
      <c r="FEI295" s="3"/>
      <c r="FEJ295" s="3"/>
      <c r="FEK295" s="3"/>
      <c r="FEL295" s="3"/>
      <c r="FEM295" s="3"/>
      <c r="FEN295" s="3"/>
      <c r="FEO295" s="3"/>
      <c r="FEP295" s="3"/>
      <c r="FEQ295" s="3"/>
      <c r="FER295" s="3"/>
      <c r="FES295" s="3"/>
      <c r="FET295" s="3"/>
      <c r="FEU295" s="3"/>
      <c r="FEV295" s="3"/>
      <c r="FEW295" s="3"/>
      <c r="FEX295" s="3"/>
      <c r="FEY295" s="3"/>
      <c r="FEZ295" s="3"/>
      <c r="FFA295" s="3"/>
      <c r="FFB295" s="3"/>
      <c r="FFC295" s="3"/>
      <c r="FFD295" s="3"/>
      <c r="FFE295" s="3"/>
      <c r="FFF295" s="3"/>
      <c r="FFG295" s="3"/>
      <c r="FFH295" s="3"/>
      <c r="FFI295" s="3"/>
      <c r="FFJ295" s="3"/>
      <c r="FFK295" s="3"/>
      <c r="FFL295" s="3"/>
      <c r="FFM295" s="3"/>
      <c r="FFN295" s="3"/>
      <c r="FFO295" s="3"/>
      <c r="FFP295" s="3"/>
      <c r="FFQ295" s="3"/>
      <c r="FFR295" s="3"/>
      <c r="FFS295" s="3"/>
      <c r="FFT295" s="3"/>
      <c r="FFU295" s="3"/>
      <c r="FFV295" s="3"/>
      <c r="FFW295" s="3"/>
      <c r="FFX295" s="3"/>
      <c r="FFY295" s="3"/>
      <c r="FFZ295" s="3"/>
      <c r="FGA295" s="3"/>
      <c r="FGB295" s="3"/>
      <c r="FGC295" s="3"/>
      <c r="FGD295" s="3"/>
      <c r="FGE295" s="3"/>
      <c r="FGF295" s="3"/>
      <c r="FGG295" s="3"/>
      <c r="FGH295" s="3"/>
      <c r="FGI295" s="3"/>
      <c r="FGJ295" s="3"/>
      <c r="FGK295" s="3"/>
      <c r="FGL295" s="3"/>
      <c r="FGM295" s="3"/>
      <c r="FGN295" s="3"/>
      <c r="FGO295" s="3"/>
      <c r="FGP295" s="3"/>
      <c r="FGQ295" s="3"/>
      <c r="FGR295" s="3"/>
      <c r="FGS295" s="3"/>
      <c r="FGT295" s="3"/>
      <c r="FGU295" s="3"/>
      <c r="FGV295" s="3"/>
      <c r="FGW295" s="3"/>
      <c r="FGX295" s="3"/>
      <c r="FGY295" s="3"/>
      <c r="FGZ295" s="3"/>
      <c r="FHA295" s="3"/>
      <c r="FHB295" s="3"/>
      <c r="FHC295" s="3"/>
      <c r="FHD295" s="3"/>
      <c r="FHE295" s="3"/>
      <c r="FHF295" s="3"/>
      <c r="FHG295" s="3"/>
      <c r="FHH295" s="3"/>
      <c r="FHI295" s="3"/>
      <c r="FHJ295" s="3"/>
      <c r="FHK295" s="3"/>
      <c r="FHL295" s="3"/>
      <c r="FHM295" s="3"/>
      <c r="FHN295" s="3"/>
      <c r="FHO295" s="3"/>
      <c r="FHP295" s="3"/>
      <c r="FHQ295" s="3"/>
      <c r="FHR295" s="3"/>
      <c r="FHS295" s="3"/>
      <c r="FHT295" s="3"/>
      <c r="FHU295" s="3"/>
      <c r="FHV295" s="3"/>
      <c r="FHW295" s="3"/>
      <c r="FHX295" s="3"/>
      <c r="FHY295" s="3"/>
      <c r="FHZ295" s="3"/>
      <c r="FIA295" s="3"/>
      <c r="FIB295" s="3"/>
      <c r="FIC295" s="3"/>
      <c r="FID295" s="3"/>
      <c r="FIE295" s="3"/>
      <c r="FIF295" s="3"/>
      <c r="FIG295" s="3"/>
      <c r="FIH295" s="3"/>
      <c r="FII295" s="3"/>
      <c r="FIJ295" s="3"/>
      <c r="FIK295" s="3"/>
      <c r="FIL295" s="3"/>
      <c r="FIM295" s="3"/>
      <c r="FIN295" s="3"/>
      <c r="FIO295" s="3"/>
      <c r="FIP295" s="3"/>
      <c r="FIQ295" s="3"/>
      <c r="FIR295" s="3"/>
      <c r="FIS295" s="3"/>
      <c r="FIT295" s="3"/>
      <c r="FIU295" s="3"/>
      <c r="FIV295" s="3"/>
      <c r="FIW295" s="3"/>
      <c r="FIX295" s="3"/>
      <c r="FIY295" s="3"/>
      <c r="FIZ295" s="3"/>
      <c r="FJA295" s="3"/>
      <c r="FJB295" s="3"/>
      <c r="FJC295" s="3"/>
      <c r="FJD295" s="3"/>
      <c r="FJE295" s="3"/>
      <c r="FJF295" s="3"/>
      <c r="FJG295" s="3"/>
      <c r="FJH295" s="3"/>
      <c r="FJI295" s="3"/>
      <c r="FJJ295" s="3"/>
      <c r="FJK295" s="3"/>
      <c r="FJL295" s="3"/>
      <c r="FJM295" s="3"/>
      <c r="FJN295" s="3"/>
      <c r="FJO295" s="3"/>
      <c r="FJP295" s="3"/>
      <c r="FJQ295" s="3"/>
      <c r="FJR295" s="3"/>
      <c r="FJS295" s="3"/>
      <c r="FJT295" s="3"/>
      <c r="FJU295" s="3"/>
      <c r="FJV295" s="3"/>
      <c r="FJW295" s="3"/>
      <c r="FJX295" s="3"/>
      <c r="FJY295" s="3"/>
      <c r="FJZ295" s="3"/>
      <c r="FKA295" s="3"/>
      <c r="FKB295" s="3"/>
      <c r="FKC295" s="3"/>
      <c r="FKD295" s="3"/>
      <c r="FKE295" s="3"/>
      <c r="FKF295" s="3"/>
      <c r="FKG295" s="3"/>
      <c r="FKH295" s="3"/>
      <c r="FKI295" s="3"/>
      <c r="FKJ295" s="3"/>
      <c r="FKK295" s="3"/>
      <c r="FKL295" s="3"/>
      <c r="FKM295" s="3"/>
      <c r="FKN295" s="3"/>
      <c r="FKO295" s="3"/>
      <c r="FKP295" s="3"/>
      <c r="FKQ295" s="3"/>
      <c r="FKR295" s="3"/>
      <c r="FKS295" s="3"/>
      <c r="FKT295" s="3"/>
      <c r="FKU295" s="3"/>
      <c r="FKV295" s="3"/>
      <c r="FKW295" s="3"/>
      <c r="FKX295" s="3"/>
      <c r="FKY295" s="3"/>
      <c r="FKZ295" s="3"/>
      <c r="FLA295" s="3"/>
      <c r="FLB295" s="3"/>
      <c r="FLC295" s="3"/>
      <c r="FLD295" s="3"/>
      <c r="FLE295" s="3"/>
      <c r="FLF295" s="3"/>
      <c r="FLG295" s="3"/>
      <c r="FLH295" s="3"/>
      <c r="FLI295" s="3"/>
      <c r="FLJ295" s="3"/>
      <c r="FLK295" s="3"/>
      <c r="FLL295" s="3"/>
      <c r="FLM295" s="3"/>
      <c r="FLN295" s="3"/>
      <c r="FLO295" s="3"/>
      <c r="FLP295" s="3"/>
      <c r="FLQ295" s="3"/>
      <c r="FLR295" s="3"/>
      <c r="FLS295" s="3"/>
      <c r="FLT295" s="3"/>
      <c r="FLU295" s="3"/>
      <c r="FLV295" s="3"/>
      <c r="FLW295" s="3"/>
      <c r="FLX295" s="3"/>
      <c r="FLY295" s="3"/>
      <c r="FLZ295" s="3"/>
      <c r="FMA295" s="3"/>
      <c r="FMB295" s="3"/>
      <c r="FMC295" s="3"/>
      <c r="FMD295" s="3"/>
      <c r="FME295" s="3"/>
      <c r="FMF295" s="3"/>
      <c r="FMG295" s="3"/>
      <c r="FMH295" s="3"/>
      <c r="FMI295" s="3"/>
      <c r="FMJ295" s="3"/>
      <c r="FMK295" s="3"/>
      <c r="FML295" s="3"/>
      <c r="FMM295" s="3"/>
      <c r="FMN295" s="3"/>
      <c r="FMO295" s="3"/>
      <c r="FMP295" s="3"/>
      <c r="FMQ295" s="3"/>
      <c r="FMR295" s="3"/>
      <c r="FMS295" s="3"/>
      <c r="FMT295" s="3"/>
      <c r="FMU295" s="3"/>
      <c r="FMV295" s="3"/>
      <c r="FMW295" s="3"/>
      <c r="FMX295" s="3"/>
      <c r="FMY295" s="3"/>
      <c r="FMZ295" s="3"/>
      <c r="FNA295" s="3"/>
      <c r="FNB295" s="3"/>
      <c r="FNC295" s="3"/>
      <c r="FND295" s="3"/>
      <c r="FNE295" s="3"/>
      <c r="FNF295" s="3"/>
      <c r="FNG295" s="3"/>
      <c r="FNH295" s="3"/>
      <c r="FNI295" s="3"/>
      <c r="FNJ295" s="3"/>
      <c r="FNK295" s="3"/>
      <c r="FNL295" s="3"/>
      <c r="FNM295" s="3"/>
      <c r="FNN295" s="3"/>
      <c r="FNO295" s="3"/>
      <c r="FNP295" s="3"/>
      <c r="FNQ295" s="3"/>
      <c r="FNR295" s="3"/>
      <c r="FNS295" s="3"/>
      <c r="FNT295" s="3"/>
      <c r="FNU295" s="3"/>
      <c r="FNV295" s="3"/>
      <c r="FNW295" s="3"/>
      <c r="FNX295" s="3"/>
      <c r="FNY295" s="3"/>
      <c r="FNZ295" s="3"/>
      <c r="FOA295" s="3"/>
      <c r="FOB295" s="3"/>
      <c r="FOC295" s="3"/>
      <c r="FOD295" s="3"/>
      <c r="FOE295" s="3"/>
      <c r="FOF295" s="3"/>
      <c r="FOG295" s="3"/>
      <c r="FOH295" s="3"/>
      <c r="FOI295" s="3"/>
      <c r="FOJ295" s="3"/>
      <c r="FOK295" s="3"/>
      <c r="FOL295" s="3"/>
      <c r="FOM295" s="3"/>
      <c r="FON295" s="3"/>
      <c r="FOO295" s="3"/>
      <c r="FOP295" s="3"/>
      <c r="FOQ295" s="3"/>
      <c r="FOR295" s="3"/>
      <c r="FOS295" s="3"/>
      <c r="FOT295" s="3"/>
      <c r="FOU295" s="3"/>
      <c r="FOV295" s="3"/>
      <c r="FOW295" s="3"/>
      <c r="FOX295" s="3"/>
      <c r="FOY295" s="3"/>
      <c r="FOZ295" s="3"/>
      <c r="FPA295" s="3"/>
      <c r="FPB295" s="3"/>
      <c r="FPC295" s="3"/>
      <c r="FPD295" s="3"/>
      <c r="FPE295" s="3"/>
      <c r="FPF295" s="3"/>
      <c r="FPG295" s="3"/>
      <c r="FPH295" s="3"/>
      <c r="FPI295" s="3"/>
      <c r="FPJ295" s="3"/>
      <c r="FPK295" s="3"/>
      <c r="FPL295" s="3"/>
      <c r="FPM295" s="3"/>
      <c r="FPN295" s="3"/>
      <c r="FPO295" s="3"/>
      <c r="FPP295" s="3"/>
      <c r="FPQ295" s="3"/>
      <c r="FPR295" s="3"/>
      <c r="FPS295" s="3"/>
      <c r="FPT295" s="3"/>
      <c r="FPU295" s="3"/>
      <c r="FPV295" s="3"/>
      <c r="FPW295" s="3"/>
      <c r="FPX295" s="3"/>
      <c r="FPY295" s="3"/>
      <c r="FPZ295" s="3"/>
      <c r="FQA295" s="3"/>
      <c r="FQB295" s="3"/>
      <c r="FQC295" s="3"/>
      <c r="FQD295" s="3"/>
      <c r="FQE295" s="3"/>
      <c r="FQF295" s="3"/>
      <c r="FQG295" s="3"/>
      <c r="FQH295" s="3"/>
      <c r="FQI295" s="3"/>
      <c r="FQJ295" s="3"/>
      <c r="FQK295" s="3"/>
      <c r="FQL295" s="3"/>
      <c r="FQM295" s="3"/>
      <c r="FQN295" s="3"/>
      <c r="FQO295" s="3"/>
      <c r="FQP295" s="3"/>
      <c r="FQQ295" s="3"/>
      <c r="FQR295" s="3"/>
      <c r="FQS295" s="3"/>
      <c r="FQT295" s="3"/>
      <c r="FQU295" s="3"/>
      <c r="FQV295" s="3"/>
      <c r="FQW295" s="3"/>
      <c r="FQX295" s="3"/>
      <c r="FQY295" s="3"/>
      <c r="FQZ295" s="3"/>
      <c r="FRA295" s="3"/>
      <c r="FRB295" s="3"/>
      <c r="FRC295" s="3"/>
      <c r="FRD295" s="3"/>
      <c r="FRE295" s="3"/>
      <c r="FRF295" s="3"/>
      <c r="FRG295" s="3"/>
      <c r="FRH295" s="3"/>
      <c r="FRI295" s="3"/>
      <c r="FRJ295" s="3"/>
      <c r="FRK295" s="3"/>
      <c r="FRL295" s="3"/>
      <c r="FRM295" s="3"/>
      <c r="FRN295" s="3"/>
      <c r="FRO295" s="3"/>
      <c r="FRP295" s="3"/>
      <c r="FRQ295" s="3"/>
      <c r="FRR295" s="3"/>
      <c r="FRS295" s="3"/>
      <c r="FRT295" s="3"/>
      <c r="FRU295" s="3"/>
      <c r="FRV295" s="3"/>
      <c r="FRW295" s="3"/>
      <c r="FRX295" s="3"/>
      <c r="FRY295" s="3"/>
      <c r="FRZ295" s="3"/>
      <c r="FSA295" s="3"/>
      <c r="FSB295" s="3"/>
      <c r="FSC295" s="3"/>
      <c r="FSD295" s="3"/>
      <c r="FSE295" s="3"/>
      <c r="FSF295" s="3"/>
      <c r="FSG295" s="3"/>
      <c r="FSH295" s="3"/>
      <c r="FSI295" s="3"/>
      <c r="FSJ295" s="3"/>
      <c r="FSK295" s="3"/>
      <c r="FSL295" s="3"/>
      <c r="FSM295" s="3"/>
      <c r="FSN295" s="3"/>
      <c r="FSO295" s="3"/>
      <c r="FSP295" s="3"/>
      <c r="FSQ295" s="3"/>
      <c r="FSR295" s="3"/>
      <c r="FSS295" s="3"/>
      <c r="FST295" s="3"/>
      <c r="FSU295" s="3"/>
      <c r="FSV295" s="3"/>
      <c r="FSW295" s="3"/>
      <c r="FSX295" s="3"/>
      <c r="FSY295" s="3"/>
      <c r="FSZ295" s="3"/>
      <c r="FTA295" s="3"/>
      <c r="FTB295" s="3"/>
      <c r="FTC295" s="3"/>
      <c r="FTD295" s="3"/>
      <c r="FTE295" s="3"/>
      <c r="FTF295" s="3"/>
      <c r="FTG295" s="3"/>
      <c r="FTH295" s="3"/>
      <c r="FTI295" s="3"/>
      <c r="FTJ295" s="3"/>
      <c r="FTK295" s="3"/>
      <c r="FTL295" s="3"/>
      <c r="FTM295" s="3"/>
      <c r="FTN295" s="3"/>
      <c r="FTO295" s="3"/>
      <c r="FTP295" s="3"/>
      <c r="FTQ295" s="3"/>
      <c r="FTR295" s="3"/>
      <c r="FTS295" s="3"/>
      <c r="FTT295" s="3"/>
      <c r="FTU295" s="3"/>
      <c r="FTV295" s="3"/>
      <c r="FTW295" s="3"/>
      <c r="FTX295" s="3"/>
      <c r="FTY295" s="3"/>
      <c r="FTZ295" s="3"/>
      <c r="FUA295" s="3"/>
      <c r="FUB295" s="3"/>
      <c r="FUC295" s="3"/>
      <c r="FUD295" s="3"/>
      <c r="FUE295" s="3"/>
      <c r="FUF295" s="3"/>
      <c r="FUG295" s="3"/>
      <c r="FUH295" s="3"/>
      <c r="FUI295" s="3"/>
      <c r="FUJ295" s="3"/>
      <c r="FUK295" s="3"/>
      <c r="FUL295" s="3"/>
      <c r="FUM295" s="3"/>
      <c r="FUN295" s="3"/>
      <c r="FUO295" s="3"/>
      <c r="FUP295" s="3"/>
      <c r="FUQ295" s="3"/>
      <c r="FUR295" s="3"/>
      <c r="FUS295" s="3"/>
      <c r="FUT295" s="3"/>
      <c r="FUU295" s="3"/>
      <c r="FUV295" s="3"/>
      <c r="FUW295" s="3"/>
      <c r="FUX295" s="3"/>
      <c r="FUY295" s="3"/>
      <c r="FUZ295" s="3"/>
      <c r="FVA295" s="3"/>
      <c r="FVB295" s="3"/>
      <c r="FVC295" s="3"/>
      <c r="FVD295" s="3"/>
      <c r="FVE295" s="3"/>
      <c r="FVF295" s="3"/>
      <c r="FVG295" s="3"/>
      <c r="FVH295" s="3"/>
      <c r="FVI295" s="3"/>
      <c r="FVJ295" s="3"/>
      <c r="FVK295" s="3"/>
      <c r="FVL295" s="3"/>
      <c r="FVM295" s="3"/>
      <c r="FVN295" s="3"/>
      <c r="FVO295" s="3"/>
      <c r="FVP295" s="3"/>
      <c r="FVQ295" s="3"/>
      <c r="FVR295" s="3"/>
      <c r="FVS295" s="3"/>
      <c r="FVT295" s="3"/>
      <c r="FVU295" s="3"/>
      <c r="FVV295" s="3"/>
      <c r="FVW295" s="3"/>
      <c r="FVX295" s="3"/>
      <c r="FVY295" s="3"/>
      <c r="FVZ295" s="3"/>
      <c r="FWA295" s="3"/>
      <c r="FWB295" s="3"/>
      <c r="FWC295" s="3"/>
      <c r="FWD295" s="3"/>
      <c r="FWE295" s="3"/>
      <c r="FWF295" s="3"/>
      <c r="FWG295" s="3"/>
      <c r="FWH295" s="3"/>
      <c r="FWI295" s="3"/>
      <c r="FWJ295" s="3"/>
      <c r="FWK295" s="3"/>
      <c r="FWL295" s="3"/>
      <c r="FWM295" s="3"/>
      <c r="FWN295" s="3"/>
      <c r="FWO295" s="3"/>
      <c r="FWP295" s="3"/>
      <c r="FWQ295" s="3"/>
      <c r="FWR295" s="3"/>
      <c r="FWS295" s="3"/>
      <c r="FWT295" s="3"/>
      <c r="FWU295" s="3"/>
      <c r="FWV295" s="3"/>
      <c r="FWW295" s="3"/>
      <c r="FWX295" s="3"/>
      <c r="FWY295" s="3"/>
      <c r="FWZ295" s="3"/>
      <c r="FXA295" s="3"/>
      <c r="FXB295" s="3"/>
      <c r="FXC295" s="3"/>
      <c r="FXD295" s="3"/>
      <c r="FXE295" s="3"/>
      <c r="FXF295" s="3"/>
      <c r="FXG295" s="3"/>
      <c r="FXH295" s="3"/>
      <c r="FXI295" s="3"/>
      <c r="FXJ295" s="3"/>
      <c r="FXK295" s="3"/>
      <c r="FXL295" s="3"/>
      <c r="FXM295" s="3"/>
      <c r="FXN295" s="3"/>
      <c r="FXO295" s="3"/>
      <c r="FXP295" s="3"/>
      <c r="FXQ295" s="3"/>
      <c r="FXR295" s="3"/>
      <c r="FXS295" s="3"/>
      <c r="FXT295" s="3"/>
      <c r="FXU295" s="3"/>
      <c r="FXV295" s="3"/>
      <c r="FXW295" s="3"/>
      <c r="FXX295" s="3"/>
      <c r="FXY295" s="3"/>
      <c r="FXZ295" s="3"/>
      <c r="FYA295" s="3"/>
      <c r="FYB295" s="3"/>
      <c r="FYC295" s="3"/>
      <c r="FYD295" s="3"/>
      <c r="FYE295" s="3"/>
      <c r="FYF295" s="3"/>
      <c r="FYG295" s="3"/>
      <c r="FYH295" s="3"/>
      <c r="FYI295" s="3"/>
      <c r="FYJ295" s="3"/>
      <c r="FYK295" s="3"/>
      <c r="FYL295" s="3"/>
      <c r="FYM295" s="3"/>
      <c r="FYN295" s="3"/>
      <c r="FYO295" s="3"/>
      <c r="FYP295" s="3"/>
      <c r="FYQ295" s="3"/>
      <c r="FYR295" s="3"/>
      <c r="FYS295" s="3"/>
      <c r="FYT295" s="3"/>
      <c r="FYU295" s="3"/>
      <c r="FYV295" s="3"/>
      <c r="FYW295" s="3"/>
      <c r="FYX295" s="3"/>
      <c r="FYY295" s="3"/>
      <c r="FYZ295" s="3"/>
      <c r="FZA295" s="3"/>
      <c r="FZB295" s="3"/>
      <c r="FZC295" s="3"/>
      <c r="FZD295" s="3"/>
      <c r="FZE295" s="3"/>
      <c r="FZF295" s="3"/>
      <c r="FZG295" s="3"/>
      <c r="FZH295" s="3"/>
      <c r="FZI295" s="3"/>
      <c r="FZJ295" s="3"/>
      <c r="FZK295" s="3"/>
      <c r="FZL295" s="3"/>
      <c r="FZM295" s="3"/>
      <c r="FZN295" s="3"/>
      <c r="FZO295" s="3"/>
      <c r="FZP295" s="3"/>
      <c r="FZQ295" s="3"/>
      <c r="FZR295" s="3"/>
      <c r="FZS295" s="3"/>
      <c r="FZT295" s="3"/>
      <c r="FZU295" s="3"/>
      <c r="FZV295" s="3"/>
      <c r="FZW295" s="3"/>
      <c r="FZX295" s="3"/>
      <c r="FZY295" s="3"/>
      <c r="FZZ295" s="3"/>
      <c r="GAA295" s="3"/>
      <c r="GAB295" s="3"/>
      <c r="GAC295" s="3"/>
      <c r="GAD295" s="3"/>
      <c r="GAE295" s="3"/>
      <c r="GAF295" s="3"/>
      <c r="GAG295" s="3"/>
      <c r="GAH295" s="3"/>
      <c r="GAI295" s="3"/>
      <c r="GAJ295" s="3"/>
      <c r="GAK295" s="3"/>
      <c r="GAL295" s="3"/>
      <c r="GAM295" s="3"/>
      <c r="GAN295" s="3"/>
      <c r="GAO295" s="3"/>
      <c r="GAP295" s="3"/>
      <c r="GAQ295" s="3"/>
      <c r="GAR295" s="3"/>
      <c r="GAS295" s="3"/>
      <c r="GAT295" s="3"/>
      <c r="GAU295" s="3"/>
      <c r="GAV295" s="3"/>
      <c r="GAW295" s="3"/>
      <c r="GAX295" s="3"/>
      <c r="GAY295" s="3"/>
      <c r="GAZ295" s="3"/>
      <c r="GBA295" s="3"/>
      <c r="GBB295" s="3"/>
      <c r="GBC295" s="3"/>
      <c r="GBD295" s="3"/>
      <c r="GBE295" s="3"/>
      <c r="GBF295" s="3"/>
      <c r="GBG295" s="3"/>
      <c r="GBH295" s="3"/>
      <c r="GBI295" s="3"/>
      <c r="GBJ295" s="3"/>
      <c r="GBK295" s="3"/>
      <c r="GBL295" s="3"/>
      <c r="GBM295" s="3"/>
      <c r="GBN295" s="3"/>
      <c r="GBO295" s="3"/>
      <c r="GBP295" s="3"/>
      <c r="GBQ295" s="3"/>
      <c r="GBR295" s="3"/>
      <c r="GBS295" s="3"/>
      <c r="GBT295" s="3"/>
      <c r="GBU295" s="3"/>
      <c r="GBV295" s="3"/>
      <c r="GBW295" s="3"/>
      <c r="GBX295" s="3"/>
      <c r="GBY295" s="3"/>
      <c r="GBZ295" s="3"/>
      <c r="GCA295" s="3"/>
      <c r="GCB295" s="3"/>
      <c r="GCC295" s="3"/>
      <c r="GCD295" s="3"/>
      <c r="GCE295" s="3"/>
      <c r="GCF295" s="3"/>
      <c r="GCG295" s="3"/>
      <c r="GCH295" s="3"/>
      <c r="GCI295" s="3"/>
      <c r="GCJ295" s="3"/>
      <c r="GCK295" s="3"/>
      <c r="GCL295" s="3"/>
      <c r="GCM295" s="3"/>
      <c r="GCN295" s="3"/>
      <c r="GCO295" s="3"/>
      <c r="GCP295" s="3"/>
      <c r="GCQ295" s="3"/>
      <c r="GCR295" s="3"/>
      <c r="GCS295" s="3"/>
      <c r="GCT295" s="3"/>
      <c r="GCU295" s="3"/>
      <c r="GCV295" s="3"/>
      <c r="GCW295" s="3"/>
      <c r="GCX295" s="3"/>
      <c r="GCY295" s="3"/>
      <c r="GCZ295" s="3"/>
      <c r="GDA295" s="3"/>
      <c r="GDB295" s="3"/>
      <c r="GDC295" s="3"/>
      <c r="GDD295" s="3"/>
      <c r="GDE295" s="3"/>
      <c r="GDF295" s="3"/>
      <c r="GDG295" s="3"/>
      <c r="GDH295" s="3"/>
      <c r="GDI295" s="3"/>
      <c r="GDJ295" s="3"/>
      <c r="GDK295" s="3"/>
      <c r="GDL295" s="3"/>
      <c r="GDM295" s="3"/>
      <c r="GDN295" s="3"/>
      <c r="GDO295" s="3"/>
      <c r="GDP295" s="3"/>
      <c r="GDQ295" s="3"/>
      <c r="GDR295" s="3"/>
      <c r="GDS295" s="3"/>
      <c r="GDT295" s="3"/>
      <c r="GDU295" s="3"/>
      <c r="GDV295" s="3"/>
      <c r="GDW295" s="3"/>
      <c r="GDX295" s="3"/>
      <c r="GDY295" s="3"/>
      <c r="GDZ295" s="3"/>
      <c r="GEA295" s="3"/>
      <c r="GEB295" s="3"/>
      <c r="GEC295" s="3"/>
      <c r="GED295" s="3"/>
      <c r="GEE295" s="3"/>
      <c r="GEF295" s="3"/>
      <c r="GEG295" s="3"/>
      <c r="GEH295" s="3"/>
      <c r="GEI295" s="3"/>
      <c r="GEJ295" s="3"/>
      <c r="GEK295" s="3"/>
      <c r="GEL295" s="3"/>
      <c r="GEM295" s="3"/>
      <c r="GEN295" s="3"/>
      <c r="GEO295" s="3"/>
      <c r="GEP295" s="3"/>
      <c r="GEQ295" s="3"/>
      <c r="GER295" s="3"/>
      <c r="GES295" s="3"/>
      <c r="GET295" s="3"/>
      <c r="GEU295" s="3"/>
      <c r="GEV295" s="3"/>
      <c r="GEW295" s="3"/>
      <c r="GEX295" s="3"/>
      <c r="GEY295" s="3"/>
      <c r="GEZ295" s="3"/>
      <c r="GFA295" s="3"/>
      <c r="GFB295" s="3"/>
      <c r="GFC295" s="3"/>
      <c r="GFD295" s="3"/>
      <c r="GFE295" s="3"/>
      <c r="GFF295" s="3"/>
      <c r="GFG295" s="3"/>
      <c r="GFH295" s="3"/>
      <c r="GFI295" s="3"/>
      <c r="GFJ295" s="3"/>
      <c r="GFK295" s="3"/>
      <c r="GFL295" s="3"/>
      <c r="GFM295" s="3"/>
      <c r="GFN295" s="3"/>
      <c r="GFO295" s="3"/>
      <c r="GFP295" s="3"/>
      <c r="GFQ295" s="3"/>
      <c r="GFR295" s="3"/>
      <c r="GFS295" s="3"/>
      <c r="GFT295" s="3"/>
      <c r="GFU295" s="3"/>
      <c r="GFV295" s="3"/>
      <c r="GFW295" s="3"/>
      <c r="GFX295" s="3"/>
      <c r="GFY295" s="3"/>
      <c r="GFZ295" s="3"/>
      <c r="GGA295" s="3"/>
      <c r="GGB295" s="3"/>
      <c r="GGC295" s="3"/>
      <c r="GGD295" s="3"/>
      <c r="GGE295" s="3"/>
      <c r="GGF295" s="3"/>
      <c r="GGG295" s="3"/>
      <c r="GGH295" s="3"/>
      <c r="GGI295" s="3"/>
      <c r="GGJ295" s="3"/>
      <c r="GGK295" s="3"/>
      <c r="GGL295" s="3"/>
      <c r="GGM295" s="3"/>
      <c r="GGN295" s="3"/>
      <c r="GGO295" s="3"/>
      <c r="GGP295" s="3"/>
      <c r="GGQ295" s="3"/>
      <c r="GGR295" s="3"/>
      <c r="GGS295" s="3"/>
      <c r="GGT295" s="3"/>
      <c r="GGU295" s="3"/>
      <c r="GGV295" s="3"/>
      <c r="GGW295" s="3"/>
      <c r="GGX295" s="3"/>
      <c r="GGY295" s="3"/>
      <c r="GGZ295" s="3"/>
      <c r="GHA295" s="3"/>
      <c r="GHB295" s="3"/>
      <c r="GHC295" s="3"/>
      <c r="GHD295" s="3"/>
      <c r="GHE295" s="3"/>
      <c r="GHF295" s="3"/>
      <c r="GHG295" s="3"/>
      <c r="GHH295" s="3"/>
      <c r="GHI295" s="3"/>
      <c r="GHJ295" s="3"/>
      <c r="GHK295" s="3"/>
      <c r="GHL295" s="3"/>
      <c r="GHM295" s="3"/>
      <c r="GHN295" s="3"/>
      <c r="GHO295" s="3"/>
      <c r="GHP295" s="3"/>
      <c r="GHQ295" s="3"/>
      <c r="GHR295" s="3"/>
      <c r="GHS295" s="3"/>
      <c r="GHT295" s="3"/>
      <c r="GHU295" s="3"/>
      <c r="GHV295" s="3"/>
      <c r="GHW295" s="3"/>
      <c r="GHX295" s="3"/>
      <c r="GHY295" s="3"/>
      <c r="GHZ295" s="3"/>
      <c r="GIA295" s="3"/>
      <c r="GIB295" s="3"/>
      <c r="GIC295" s="3"/>
      <c r="GID295" s="3"/>
      <c r="GIE295" s="3"/>
      <c r="GIF295" s="3"/>
      <c r="GIG295" s="3"/>
      <c r="GIH295" s="3"/>
      <c r="GII295" s="3"/>
      <c r="GIJ295" s="3"/>
      <c r="GIK295" s="3"/>
      <c r="GIL295" s="3"/>
      <c r="GIM295" s="3"/>
      <c r="GIN295" s="3"/>
      <c r="GIO295" s="3"/>
      <c r="GIP295" s="3"/>
      <c r="GIQ295" s="3"/>
      <c r="GIR295" s="3"/>
      <c r="GIS295" s="3"/>
      <c r="GIT295" s="3"/>
      <c r="GIU295" s="3"/>
      <c r="GIV295" s="3"/>
      <c r="GIW295" s="3"/>
      <c r="GIX295" s="3"/>
      <c r="GIY295" s="3"/>
      <c r="GIZ295" s="3"/>
      <c r="GJA295" s="3"/>
      <c r="GJB295" s="3"/>
      <c r="GJC295" s="3"/>
      <c r="GJD295" s="3"/>
      <c r="GJE295" s="3"/>
      <c r="GJF295" s="3"/>
      <c r="GJG295" s="3"/>
      <c r="GJH295" s="3"/>
      <c r="GJI295" s="3"/>
      <c r="GJJ295" s="3"/>
      <c r="GJK295" s="3"/>
      <c r="GJL295" s="3"/>
      <c r="GJM295" s="3"/>
      <c r="GJN295" s="3"/>
      <c r="GJO295" s="3"/>
      <c r="GJP295" s="3"/>
      <c r="GJQ295" s="3"/>
      <c r="GJR295" s="3"/>
      <c r="GJS295" s="3"/>
      <c r="GJT295" s="3"/>
      <c r="GJU295" s="3"/>
      <c r="GJV295" s="3"/>
      <c r="GJW295" s="3"/>
      <c r="GJX295" s="3"/>
      <c r="GJY295" s="3"/>
      <c r="GJZ295" s="3"/>
      <c r="GKA295" s="3"/>
      <c r="GKB295" s="3"/>
      <c r="GKC295" s="3"/>
      <c r="GKD295" s="3"/>
      <c r="GKE295" s="3"/>
      <c r="GKF295" s="3"/>
      <c r="GKG295" s="3"/>
      <c r="GKH295" s="3"/>
      <c r="GKI295" s="3"/>
      <c r="GKJ295" s="3"/>
      <c r="GKK295" s="3"/>
      <c r="GKL295" s="3"/>
      <c r="GKM295" s="3"/>
      <c r="GKN295" s="3"/>
      <c r="GKO295" s="3"/>
      <c r="GKP295" s="3"/>
      <c r="GKQ295" s="3"/>
      <c r="GKR295" s="3"/>
      <c r="GKS295" s="3"/>
      <c r="GKT295" s="3"/>
      <c r="GKU295" s="3"/>
      <c r="GKV295" s="3"/>
      <c r="GKW295" s="3"/>
      <c r="GKX295" s="3"/>
      <c r="GKY295" s="3"/>
      <c r="GKZ295" s="3"/>
      <c r="GLA295" s="3"/>
      <c r="GLB295" s="3"/>
      <c r="GLC295" s="3"/>
      <c r="GLD295" s="3"/>
      <c r="GLE295" s="3"/>
      <c r="GLF295" s="3"/>
      <c r="GLG295" s="3"/>
      <c r="GLH295" s="3"/>
      <c r="GLI295" s="3"/>
      <c r="GLJ295" s="3"/>
      <c r="GLK295" s="3"/>
      <c r="GLL295" s="3"/>
      <c r="GLM295" s="3"/>
      <c r="GLN295" s="3"/>
      <c r="GLO295" s="3"/>
      <c r="GLP295" s="3"/>
      <c r="GLQ295" s="3"/>
      <c r="GLR295" s="3"/>
      <c r="GLS295" s="3"/>
      <c r="GLT295" s="3"/>
      <c r="GLU295" s="3"/>
      <c r="GLV295" s="3"/>
      <c r="GLW295" s="3"/>
      <c r="GLX295" s="3"/>
      <c r="GLY295" s="3"/>
      <c r="GLZ295" s="3"/>
      <c r="GMA295" s="3"/>
      <c r="GMB295" s="3"/>
      <c r="GMC295" s="3"/>
      <c r="GMD295" s="3"/>
      <c r="GME295" s="3"/>
      <c r="GMF295" s="3"/>
      <c r="GMG295" s="3"/>
      <c r="GMH295" s="3"/>
      <c r="GMI295" s="3"/>
      <c r="GMJ295" s="3"/>
      <c r="GMK295" s="3"/>
      <c r="GML295" s="3"/>
      <c r="GMM295" s="3"/>
      <c r="GMN295" s="3"/>
      <c r="GMO295" s="3"/>
      <c r="GMP295" s="3"/>
      <c r="GMQ295" s="3"/>
      <c r="GMR295" s="3"/>
      <c r="GMS295" s="3"/>
      <c r="GMT295" s="3"/>
      <c r="GMU295" s="3"/>
      <c r="GMV295" s="3"/>
      <c r="GMW295" s="3"/>
      <c r="GMX295" s="3"/>
      <c r="GMY295" s="3"/>
      <c r="GMZ295" s="3"/>
      <c r="GNA295" s="3"/>
      <c r="GNB295" s="3"/>
      <c r="GNC295" s="3"/>
      <c r="GND295" s="3"/>
      <c r="GNE295" s="3"/>
      <c r="GNF295" s="3"/>
      <c r="GNG295" s="3"/>
      <c r="GNH295" s="3"/>
      <c r="GNI295" s="3"/>
      <c r="GNJ295" s="3"/>
      <c r="GNK295" s="3"/>
      <c r="GNL295" s="3"/>
      <c r="GNM295" s="3"/>
      <c r="GNN295" s="3"/>
      <c r="GNO295" s="3"/>
      <c r="GNP295" s="3"/>
      <c r="GNQ295" s="3"/>
      <c r="GNR295" s="3"/>
      <c r="GNS295" s="3"/>
      <c r="GNT295" s="3"/>
      <c r="GNU295" s="3"/>
      <c r="GNV295" s="3"/>
      <c r="GNW295" s="3"/>
      <c r="GNX295" s="3"/>
      <c r="GNY295" s="3"/>
      <c r="GNZ295" s="3"/>
      <c r="GOA295" s="3"/>
      <c r="GOB295" s="3"/>
      <c r="GOC295" s="3"/>
      <c r="GOD295" s="3"/>
      <c r="GOE295" s="3"/>
      <c r="GOF295" s="3"/>
      <c r="GOG295" s="3"/>
      <c r="GOH295" s="3"/>
      <c r="GOI295" s="3"/>
      <c r="GOJ295" s="3"/>
      <c r="GOK295" s="3"/>
      <c r="GOL295" s="3"/>
      <c r="GOM295" s="3"/>
      <c r="GON295" s="3"/>
      <c r="GOO295" s="3"/>
      <c r="GOP295" s="3"/>
      <c r="GOQ295" s="3"/>
      <c r="GOR295" s="3"/>
      <c r="GOS295" s="3"/>
      <c r="GOT295" s="3"/>
      <c r="GOU295" s="3"/>
      <c r="GOV295" s="3"/>
      <c r="GOW295" s="3"/>
      <c r="GOX295" s="3"/>
      <c r="GOY295" s="3"/>
      <c r="GOZ295" s="3"/>
      <c r="GPA295" s="3"/>
      <c r="GPB295" s="3"/>
      <c r="GPC295" s="3"/>
      <c r="GPD295" s="3"/>
      <c r="GPE295" s="3"/>
      <c r="GPF295" s="3"/>
      <c r="GPG295" s="3"/>
      <c r="GPH295" s="3"/>
      <c r="GPI295" s="3"/>
      <c r="GPJ295" s="3"/>
      <c r="GPK295" s="3"/>
      <c r="GPL295" s="3"/>
      <c r="GPM295" s="3"/>
      <c r="GPN295" s="3"/>
      <c r="GPO295" s="3"/>
      <c r="GPP295" s="3"/>
      <c r="GPQ295" s="3"/>
      <c r="GPR295" s="3"/>
      <c r="GPS295" s="3"/>
      <c r="GPT295" s="3"/>
      <c r="GPU295" s="3"/>
      <c r="GPV295" s="3"/>
      <c r="GPW295" s="3"/>
      <c r="GPX295" s="3"/>
      <c r="GPY295" s="3"/>
      <c r="GPZ295" s="3"/>
      <c r="GQA295" s="3"/>
      <c r="GQB295" s="3"/>
      <c r="GQC295" s="3"/>
      <c r="GQD295" s="3"/>
      <c r="GQE295" s="3"/>
      <c r="GQF295" s="3"/>
      <c r="GQG295" s="3"/>
      <c r="GQH295" s="3"/>
      <c r="GQI295" s="3"/>
      <c r="GQJ295" s="3"/>
      <c r="GQK295" s="3"/>
      <c r="GQL295" s="3"/>
      <c r="GQM295" s="3"/>
      <c r="GQN295" s="3"/>
      <c r="GQO295" s="3"/>
      <c r="GQP295" s="3"/>
      <c r="GQQ295" s="3"/>
      <c r="GQR295" s="3"/>
      <c r="GQS295" s="3"/>
      <c r="GQT295" s="3"/>
      <c r="GQU295" s="3"/>
      <c r="GQV295" s="3"/>
      <c r="GQW295" s="3"/>
      <c r="GQX295" s="3"/>
      <c r="GQY295" s="3"/>
      <c r="GQZ295" s="3"/>
      <c r="GRA295" s="3"/>
      <c r="GRB295" s="3"/>
      <c r="GRC295" s="3"/>
      <c r="GRD295" s="3"/>
      <c r="GRE295" s="3"/>
      <c r="GRF295" s="3"/>
      <c r="GRG295" s="3"/>
      <c r="GRH295" s="3"/>
      <c r="GRI295" s="3"/>
      <c r="GRJ295" s="3"/>
      <c r="GRK295" s="3"/>
      <c r="GRL295" s="3"/>
      <c r="GRM295" s="3"/>
      <c r="GRN295" s="3"/>
      <c r="GRO295" s="3"/>
      <c r="GRP295" s="3"/>
      <c r="GRQ295" s="3"/>
      <c r="GRR295" s="3"/>
      <c r="GRS295" s="3"/>
      <c r="GRT295" s="3"/>
      <c r="GRU295" s="3"/>
      <c r="GRV295" s="3"/>
      <c r="GRW295" s="3"/>
      <c r="GRX295" s="3"/>
      <c r="GRY295" s="3"/>
      <c r="GRZ295" s="3"/>
      <c r="GSA295" s="3"/>
      <c r="GSB295" s="3"/>
      <c r="GSC295" s="3"/>
      <c r="GSD295" s="3"/>
      <c r="GSE295" s="3"/>
      <c r="GSF295" s="3"/>
      <c r="GSG295" s="3"/>
      <c r="GSH295" s="3"/>
      <c r="GSI295" s="3"/>
      <c r="GSJ295" s="3"/>
      <c r="GSK295" s="3"/>
      <c r="GSL295" s="3"/>
      <c r="GSM295" s="3"/>
      <c r="GSN295" s="3"/>
      <c r="GSO295" s="3"/>
      <c r="GSP295" s="3"/>
      <c r="GSQ295" s="3"/>
      <c r="GSR295" s="3"/>
      <c r="GSS295" s="3"/>
      <c r="GST295" s="3"/>
      <c r="GSU295" s="3"/>
      <c r="GSV295" s="3"/>
      <c r="GSW295" s="3"/>
      <c r="GSX295" s="3"/>
      <c r="GSY295" s="3"/>
      <c r="GSZ295" s="3"/>
      <c r="GTA295" s="3"/>
      <c r="GTB295" s="3"/>
      <c r="GTC295" s="3"/>
      <c r="GTD295" s="3"/>
      <c r="GTE295" s="3"/>
      <c r="GTF295" s="3"/>
      <c r="GTG295" s="3"/>
      <c r="GTH295" s="3"/>
      <c r="GTI295" s="3"/>
      <c r="GTJ295" s="3"/>
      <c r="GTK295" s="3"/>
      <c r="GTL295" s="3"/>
      <c r="GTM295" s="3"/>
      <c r="GTN295" s="3"/>
      <c r="GTO295" s="3"/>
      <c r="GTP295" s="3"/>
      <c r="GTQ295" s="3"/>
      <c r="GTR295" s="3"/>
      <c r="GTS295" s="3"/>
      <c r="GTT295" s="3"/>
      <c r="GTU295" s="3"/>
      <c r="GTV295" s="3"/>
      <c r="GTW295" s="3"/>
      <c r="GTX295" s="3"/>
      <c r="GTY295" s="3"/>
      <c r="GTZ295" s="3"/>
      <c r="GUA295" s="3"/>
      <c r="GUB295" s="3"/>
      <c r="GUC295" s="3"/>
      <c r="GUD295" s="3"/>
      <c r="GUE295" s="3"/>
      <c r="GUF295" s="3"/>
      <c r="GUG295" s="3"/>
      <c r="GUH295" s="3"/>
      <c r="GUI295" s="3"/>
      <c r="GUJ295" s="3"/>
      <c r="GUK295" s="3"/>
      <c r="GUL295" s="3"/>
      <c r="GUM295" s="3"/>
      <c r="GUN295" s="3"/>
      <c r="GUO295" s="3"/>
      <c r="GUP295" s="3"/>
      <c r="GUQ295" s="3"/>
      <c r="GUR295" s="3"/>
      <c r="GUS295" s="3"/>
      <c r="GUT295" s="3"/>
      <c r="GUU295" s="3"/>
      <c r="GUV295" s="3"/>
      <c r="GUW295" s="3"/>
      <c r="GUX295" s="3"/>
      <c r="GUY295" s="3"/>
      <c r="GUZ295" s="3"/>
      <c r="GVA295" s="3"/>
      <c r="GVB295" s="3"/>
      <c r="GVC295" s="3"/>
      <c r="GVD295" s="3"/>
      <c r="GVE295" s="3"/>
      <c r="GVF295" s="3"/>
      <c r="GVG295" s="3"/>
      <c r="GVH295" s="3"/>
      <c r="GVI295" s="3"/>
      <c r="GVJ295" s="3"/>
      <c r="GVK295" s="3"/>
      <c r="GVL295" s="3"/>
      <c r="GVM295" s="3"/>
      <c r="GVN295" s="3"/>
      <c r="GVO295" s="3"/>
      <c r="GVP295" s="3"/>
      <c r="GVQ295" s="3"/>
      <c r="GVR295" s="3"/>
      <c r="GVS295" s="3"/>
      <c r="GVT295" s="3"/>
      <c r="GVU295" s="3"/>
      <c r="GVV295" s="3"/>
      <c r="GVW295" s="3"/>
      <c r="GVX295" s="3"/>
      <c r="GVY295" s="3"/>
      <c r="GVZ295" s="3"/>
      <c r="GWA295" s="3"/>
      <c r="GWB295" s="3"/>
      <c r="GWC295" s="3"/>
      <c r="GWD295" s="3"/>
      <c r="GWE295" s="3"/>
      <c r="GWF295" s="3"/>
      <c r="GWG295" s="3"/>
      <c r="GWH295" s="3"/>
      <c r="GWI295" s="3"/>
      <c r="GWJ295" s="3"/>
      <c r="GWK295" s="3"/>
      <c r="GWL295" s="3"/>
      <c r="GWM295" s="3"/>
      <c r="GWN295" s="3"/>
      <c r="GWO295" s="3"/>
      <c r="GWP295" s="3"/>
      <c r="GWQ295" s="3"/>
      <c r="GWR295" s="3"/>
      <c r="GWS295" s="3"/>
      <c r="GWT295" s="3"/>
      <c r="GWU295" s="3"/>
      <c r="GWV295" s="3"/>
      <c r="GWW295" s="3"/>
      <c r="GWX295" s="3"/>
      <c r="GWY295" s="3"/>
      <c r="GWZ295" s="3"/>
      <c r="GXA295" s="3"/>
      <c r="GXB295" s="3"/>
      <c r="GXC295" s="3"/>
      <c r="GXD295" s="3"/>
      <c r="GXE295" s="3"/>
      <c r="GXF295" s="3"/>
      <c r="GXG295" s="3"/>
      <c r="GXH295" s="3"/>
      <c r="GXI295" s="3"/>
      <c r="GXJ295" s="3"/>
      <c r="GXK295" s="3"/>
      <c r="GXL295" s="3"/>
      <c r="GXM295" s="3"/>
      <c r="GXN295" s="3"/>
      <c r="GXO295" s="3"/>
      <c r="GXP295" s="3"/>
      <c r="GXQ295" s="3"/>
      <c r="GXR295" s="3"/>
      <c r="GXS295" s="3"/>
      <c r="GXT295" s="3"/>
      <c r="GXU295" s="3"/>
      <c r="GXV295" s="3"/>
      <c r="GXW295" s="3"/>
      <c r="GXX295" s="3"/>
      <c r="GXY295" s="3"/>
      <c r="GXZ295" s="3"/>
      <c r="GYA295" s="3"/>
      <c r="GYB295" s="3"/>
      <c r="GYC295" s="3"/>
      <c r="GYD295" s="3"/>
      <c r="GYE295" s="3"/>
      <c r="GYF295" s="3"/>
      <c r="GYG295" s="3"/>
      <c r="GYH295" s="3"/>
      <c r="GYI295" s="3"/>
      <c r="GYJ295" s="3"/>
      <c r="GYK295" s="3"/>
      <c r="GYL295" s="3"/>
      <c r="GYM295" s="3"/>
      <c r="GYN295" s="3"/>
      <c r="GYO295" s="3"/>
      <c r="GYP295" s="3"/>
      <c r="GYQ295" s="3"/>
      <c r="GYR295" s="3"/>
      <c r="GYS295" s="3"/>
      <c r="GYT295" s="3"/>
      <c r="GYU295" s="3"/>
      <c r="GYV295" s="3"/>
      <c r="GYW295" s="3"/>
      <c r="GYX295" s="3"/>
      <c r="GYY295" s="3"/>
      <c r="GYZ295" s="3"/>
      <c r="GZA295" s="3"/>
      <c r="GZB295" s="3"/>
      <c r="GZC295" s="3"/>
      <c r="GZD295" s="3"/>
      <c r="GZE295" s="3"/>
      <c r="GZF295" s="3"/>
      <c r="GZG295" s="3"/>
      <c r="GZH295" s="3"/>
      <c r="GZI295" s="3"/>
      <c r="GZJ295" s="3"/>
      <c r="GZK295" s="3"/>
      <c r="GZL295" s="3"/>
      <c r="GZM295" s="3"/>
      <c r="GZN295" s="3"/>
      <c r="GZO295" s="3"/>
      <c r="GZP295" s="3"/>
      <c r="GZQ295" s="3"/>
      <c r="GZR295" s="3"/>
      <c r="GZS295" s="3"/>
      <c r="GZT295" s="3"/>
      <c r="GZU295" s="3"/>
      <c r="GZV295" s="3"/>
      <c r="GZW295" s="3"/>
      <c r="GZX295" s="3"/>
      <c r="GZY295" s="3"/>
      <c r="GZZ295" s="3"/>
      <c r="HAA295" s="3"/>
      <c r="HAB295" s="3"/>
      <c r="HAC295" s="3"/>
      <c r="HAD295" s="3"/>
      <c r="HAE295" s="3"/>
      <c r="HAF295" s="3"/>
      <c r="HAG295" s="3"/>
      <c r="HAH295" s="3"/>
      <c r="HAI295" s="3"/>
      <c r="HAJ295" s="3"/>
      <c r="HAK295" s="3"/>
      <c r="HAL295" s="3"/>
      <c r="HAM295" s="3"/>
      <c r="HAN295" s="3"/>
      <c r="HAO295" s="3"/>
      <c r="HAP295" s="3"/>
      <c r="HAQ295" s="3"/>
      <c r="HAR295" s="3"/>
      <c r="HAS295" s="3"/>
      <c r="HAT295" s="3"/>
      <c r="HAU295" s="3"/>
      <c r="HAV295" s="3"/>
      <c r="HAW295" s="3"/>
      <c r="HAX295" s="3"/>
      <c r="HAY295" s="3"/>
      <c r="HAZ295" s="3"/>
      <c r="HBA295" s="3"/>
      <c r="HBB295" s="3"/>
      <c r="HBC295" s="3"/>
      <c r="HBD295" s="3"/>
      <c r="HBE295" s="3"/>
      <c r="HBF295" s="3"/>
      <c r="HBG295" s="3"/>
      <c r="HBH295" s="3"/>
      <c r="HBI295" s="3"/>
      <c r="HBJ295" s="3"/>
      <c r="HBK295" s="3"/>
      <c r="HBL295" s="3"/>
      <c r="HBM295" s="3"/>
      <c r="HBN295" s="3"/>
      <c r="HBO295" s="3"/>
      <c r="HBP295" s="3"/>
      <c r="HBQ295" s="3"/>
      <c r="HBR295" s="3"/>
      <c r="HBS295" s="3"/>
      <c r="HBT295" s="3"/>
      <c r="HBU295" s="3"/>
      <c r="HBV295" s="3"/>
      <c r="HBW295" s="3"/>
      <c r="HBX295" s="3"/>
      <c r="HBY295" s="3"/>
      <c r="HBZ295" s="3"/>
      <c r="HCA295" s="3"/>
      <c r="HCB295" s="3"/>
      <c r="HCC295" s="3"/>
      <c r="HCD295" s="3"/>
      <c r="HCE295" s="3"/>
      <c r="HCF295" s="3"/>
      <c r="HCG295" s="3"/>
      <c r="HCH295" s="3"/>
      <c r="HCI295" s="3"/>
      <c r="HCJ295" s="3"/>
      <c r="HCK295" s="3"/>
      <c r="HCL295" s="3"/>
      <c r="HCM295" s="3"/>
      <c r="HCN295" s="3"/>
      <c r="HCO295" s="3"/>
      <c r="HCP295" s="3"/>
      <c r="HCQ295" s="3"/>
      <c r="HCR295" s="3"/>
      <c r="HCS295" s="3"/>
      <c r="HCT295" s="3"/>
      <c r="HCU295" s="3"/>
      <c r="HCV295" s="3"/>
      <c r="HCW295" s="3"/>
      <c r="HCX295" s="3"/>
      <c r="HCY295" s="3"/>
      <c r="HCZ295" s="3"/>
      <c r="HDA295" s="3"/>
      <c r="HDB295" s="3"/>
      <c r="HDC295" s="3"/>
      <c r="HDD295" s="3"/>
      <c r="HDE295" s="3"/>
      <c r="HDF295" s="3"/>
      <c r="HDG295" s="3"/>
      <c r="HDH295" s="3"/>
      <c r="HDI295" s="3"/>
      <c r="HDJ295" s="3"/>
      <c r="HDK295" s="3"/>
      <c r="HDL295" s="3"/>
      <c r="HDM295" s="3"/>
      <c r="HDN295" s="3"/>
      <c r="HDO295" s="3"/>
      <c r="HDP295" s="3"/>
      <c r="HDQ295" s="3"/>
      <c r="HDR295" s="3"/>
      <c r="HDS295" s="3"/>
      <c r="HDT295" s="3"/>
      <c r="HDU295" s="3"/>
      <c r="HDV295" s="3"/>
      <c r="HDW295" s="3"/>
      <c r="HDX295" s="3"/>
      <c r="HDY295" s="3"/>
      <c r="HDZ295" s="3"/>
      <c r="HEA295" s="3"/>
      <c r="HEB295" s="3"/>
      <c r="HEC295" s="3"/>
      <c r="HED295" s="3"/>
      <c r="HEE295" s="3"/>
      <c r="HEF295" s="3"/>
      <c r="HEG295" s="3"/>
      <c r="HEH295" s="3"/>
      <c r="HEI295" s="3"/>
      <c r="HEJ295" s="3"/>
      <c r="HEK295" s="3"/>
      <c r="HEL295" s="3"/>
      <c r="HEM295" s="3"/>
      <c r="HEN295" s="3"/>
      <c r="HEO295" s="3"/>
      <c r="HEP295" s="3"/>
      <c r="HEQ295" s="3"/>
      <c r="HER295" s="3"/>
      <c r="HES295" s="3"/>
      <c r="HET295" s="3"/>
      <c r="HEU295" s="3"/>
      <c r="HEV295" s="3"/>
      <c r="HEW295" s="3"/>
      <c r="HEX295" s="3"/>
      <c r="HEY295" s="3"/>
      <c r="HEZ295" s="3"/>
      <c r="HFA295" s="3"/>
      <c r="HFB295" s="3"/>
      <c r="HFC295" s="3"/>
      <c r="HFD295" s="3"/>
      <c r="HFE295" s="3"/>
      <c r="HFF295" s="3"/>
      <c r="HFG295" s="3"/>
      <c r="HFH295" s="3"/>
      <c r="HFI295" s="3"/>
      <c r="HFJ295" s="3"/>
      <c r="HFK295" s="3"/>
      <c r="HFL295" s="3"/>
      <c r="HFM295" s="3"/>
      <c r="HFN295" s="3"/>
      <c r="HFO295" s="3"/>
      <c r="HFP295" s="3"/>
      <c r="HFQ295" s="3"/>
      <c r="HFR295" s="3"/>
      <c r="HFS295" s="3"/>
      <c r="HFT295" s="3"/>
      <c r="HFU295" s="3"/>
      <c r="HFV295" s="3"/>
      <c r="HFW295" s="3"/>
      <c r="HFX295" s="3"/>
      <c r="HFY295" s="3"/>
      <c r="HFZ295" s="3"/>
      <c r="HGA295" s="3"/>
      <c r="HGB295" s="3"/>
      <c r="HGC295" s="3"/>
      <c r="HGD295" s="3"/>
      <c r="HGE295" s="3"/>
      <c r="HGF295" s="3"/>
      <c r="HGG295" s="3"/>
      <c r="HGH295" s="3"/>
      <c r="HGI295" s="3"/>
      <c r="HGJ295" s="3"/>
      <c r="HGK295" s="3"/>
      <c r="HGL295" s="3"/>
      <c r="HGM295" s="3"/>
      <c r="HGN295" s="3"/>
      <c r="HGO295" s="3"/>
      <c r="HGP295" s="3"/>
      <c r="HGQ295" s="3"/>
      <c r="HGR295" s="3"/>
      <c r="HGS295" s="3"/>
      <c r="HGT295" s="3"/>
      <c r="HGU295" s="3"/>
      <c r="HGV295" s="3"/>
      <c r="HGW295" s="3"/>
      <c r="HGX295" s="3"/>
      <c r="HGY295" s="3"/>
      <c r="HGZ295" s="3"/>
      <c r="HHA295" s="3"/>
      <c r="HHB295" s="3"/>
      <c r="HHC295" s="3"/>
      <c r="HHD295" s="3"/>
      <c r="HHE295" s="3"/>
      <c r="HHF295" s="3"/>
      <c r="HHG295" s="3"/>
      <c r="HHH295" s="3"/>
      <c r="HHI295" s="3"/>
      <c r="HHJ295" s="3"/>
      <c r="HHK295" s="3"/>
      <c r="HHL295" s="3"/>
      <c r="HHM295" s="3"/>
      <c r="HHN295" s="3"/>
      <c r="HHO295" s="3"/>
      <c r="HHP295" s="3"/>
      <c r="HHQ295" s="3"/>
      <c r="HHR295" s="3"/>
      <c r="HHS295" s="3"/>
      <c r="HHT295" s="3"/>
      <c r="HHU295" s="3"/>
      <c r="HHV295" s="3"/>
      <c r="HHW295" s="3"/>
      <c r="HHX295" s="3"/>
      <c r="HHY295" s="3"/>
      <c r="HHZ295" s="3"/>
      <c r="HIA295" s="3"/>
      <c r="HIB295" s="3"/>
      <c r="HIC295" s="3"/>
      <c r="HID295" s="3"/>
      <c r="HIE295" s="3"/>
      <c r="HIF295" s="3"/>
      <c r="HIG295" s="3"/>
      <c r="HIH295" s="3"/>
      <c r="HII295" s="3"/>
      <c r="HIJ295" s="3"/>
      <c r="HIK295" s="3"/>
      <c r="HIL295" s="3"/>
      <c r="HIM295" s="3"/>
      <c r="HIN295" s="3"/>
      <c r="HIO295" s="3"/>
      <c r="HIP295" s="3"/>
      <c r="HIQ295" s="3"/>
      <c r="HIR295" s="3"/>
      <c r="HIS295" s="3"/>
      <c r="HIT295" s="3"/>
      <c r="HIU295" s="3"/>
      <c r="HIV295" s="3"/>
      <c r="HIW295" s="3"/>
      <c r="HIX295" s="3"/>
      <c r="HIY295" s="3"/>
      <c r="HIZ295" s="3"/>
      <c r="HJA295" s="3"/>
      <c r="HJB295" s="3"/>
      <c r="HJC295" s="3"/>
      <c r="HJD295" s="3"/>
      <c r="HJE295" s="3"/>
      <c r="HJF295" s="3"/>
      <c r="HJG295" s="3"/>
      <c r="HJH295" s="3"/>
      <c r="HJI295" s="3"/>
      <c r="HJJ295" s="3"/>
      <c r="HJK295" s="3"/>
      <c r="HJL295" s="3"/>
      <c r="HJM295" s="3"/>
      <c r="HJN295" s="3"/>
      <c r="HJO295" s="3"/>
      <c r="HJP295" s="3"/>
      <c r="HJQ295" s="3"/>
      <c r="HJR295" s="3"/>
      <c r="HJS295" s="3"/>
      <c r="HJT295" s="3"/>
      <c r="HJU295" s="3"/>
      <c r="HJV295" s="3"/>
      <c r="HJW295" s="3"/>
      <c r="HJX295" s="3"/>
      <c r="HJY295" s="3"/>
      <c r="HJZ295" s="3"/>
      <c r="HKA295" s="3"/>
      <c r="HKB295" s="3"/>
      <c r="HKC295" s="3"/>
      <c r="HKD295" s="3"/>
      <c r="HKE295" s="3"/>
      <c r="HKF295" s="3"/>
      <c r="HKG295" s="3"/>
      <c r="HKH295" s="3"/>
      <c r="HKI295" s="3"/>
      <c r="HKJ295" s="3"/>
      <c r="HKK295" s="3"/>
      <c r="HKL295" s="3"/>
      <c r="HKM295" s="3"/>
      <c r="HKN295" s="3"/>
      <c r="HKO295" s="3"/>
      <c r="HKP295" s="3"/>
      <c r="HKQ295" s="3"/>
      <c r="HKR295" s="3"/>
      <c r="HKS295" s="3"/>
      <c r="HKT295" s="3"/>
      <c r="HKU295" s="3"/>
      <c r="HKV295" s="3"/>
      <c r="HKW295" s="3"/>
      <c r="HKX295" s="3"/>
      <c r="HKY295" s="3"/>
      <c r="HKZ295" s="3"/>
      <c r="HLA295" s="3"/>
      <c r="HLB295" s="3"/>
      <c r="HLC295" s="3"/>
      <c r="HLD295" s="3"/>
      <c r="HLE295" s="3"/>
      <c r="HLF295" s="3"/>
      <c r="HLG295" s="3"/>
      <c r="HLH295" s="3"/>
      <c r="HLI295" s="3"/>
      <c r="HLJ295" s="3"/>
      <c r="HLK295" s="3"/>
      <c r="HLL295" s="3"/>
      <c r="HLM295" s="3"/>
      <c r="HLN295" s="3"/>
      <c r="HLO295" s="3"/>
      <c r="HLP295" s="3"/>
      <c r="HLQ295" s="3"/>
      <c r="HLR295" s="3"/>
      <c r="HLS295" s="3"/>
      <c r="HLT295" s="3"/>
      <c r="HLU295" s="3"/>
      <c r="HLV295" s="3"/>
      <c r="HLW295" s="3"/>
      <c r="HLX295" s="3"/>
      <c r="HLY295" s="3"/>
      <c r="HLZ295" s="3"/>
      <c r="HMA295" s="3"/>
      <c r="HMB295" s="3"/>
      <c r="HMC295" s="3"/>
      <c r="HMD295" s="3"/>
      <c r="HME295" s="3"/>
      <c r="HMF295" s="3"/>
      <c r="HMG295" s="3"/>
      <c r="HMH295" s="3"/>
      <c r="HMI295" s="3"/>
      <c r="HMJ295" s="3"/>
      <c r="HMK295" s="3"/>
      <c r="HML295" s="3"/>
      <c r="HMM295" s="3"/>
      <c r="HMN295" s="3"/>
      <c r="HMO295" s="3"/>
      <c r="HMP295" s="3"/>
      <c r="HMQ295" s="3"/>
      <c r="HMR295" s="3"/>
      <c r="HMS295" s="3"/>
      <c r="HMT295" s="3"/>
      <c r="HMU295" s="3"/>
      <c r="HMV295" s="3"/>
      <c r="HMW295" s="3"/>
      <c r="HMX295" s="3"/>
      <c r="HMY295" s="3"/>
      <c r="HMZ295" s="3"/>
      <c r="HNA295" s="3"/>
      <c r="HNB295" s="3"/>
      <c r="HNC295" s="3"/>
      <c r="HND295" s="3"/>
      <c r="HNE295" s="3"/>
      <c r="HNF295" s="3"/>
      <c r="HNG295" s="3"/>
      <c r="HNH295" s="3"/>
      <c r="HNI295" s="3"/>
      <c r="HNJ295" s="3"/>
      <c r="HNK295" s="3"/>
      <c r="HNL295" s="3"/>
      <c r="HNM295" s="3"/>
      <c r="HNN295" s="3"/>
      <c r="HNO295" s="3"/>
      <c r="HNP295" s="3"/>
      <c r="HNQ295" s="3"/>
      <c r="HNR295" s="3"/>
      <c r="HNS295" s="3"/>
      <c r="HNT295" s="3"/>
      <c r="HNU295" s="3"/>
      <c r="HNV295" s="3"/>
      <c r="HNW295" s="3"/>
      <c r="HNX295" s="3"/>
      <c r="HNY295" s="3"/>
      <c r="HNZ295" s="3"/>
      <c r="HOA295" s="3"/>
      <c r="HOB295" s="3"/>
      <c r="HOC295" s="3"/>
      <c r="HOD295" s="3"/>
      <c r="HOE295" s="3"/>
      <c r="HOF295" s="3"/>
      <c r="HOG295" s="3"/>
      <c r="HOH295" s="3"/>
      <c r="HOI295" s="3"/>
      <c r="HOJ295" s="3"/>
      <c r="HOK295" s="3"/>
      <c r="HOL295" s="3"/>
      <c r="HOM295" s="3"/>
      <c r="HON295" s="3"/>
      <c r="HOO295" s="3"/>
      <c r="HOP295" s="3"/>
      <c r="HOQ295" s="3"/>
      <c r="HOR295" s="3"/>
      <c r="HOS295" s="3"/>
      <c r="HOT295" s="3"/>
      <c r="HOU295" s="3"/>
      <c r="HOV295" s="3"/>
      <c r="HOW295" s="3"/>
      <c r="HOX295" s="3"/>
      <c r="HOY295" s="3"/>
      <c r="HOZ295" s="3"/>
      <c r="HPA295" s="3"/>
      <c r="HPB295" s="3"/>
      <c r="HPC295" s="3"/>
      <c r="HPD295" s="3"/>
      <c r="HPE295" s="3"/>
      <c r="HPF295" s="3"/>
      <c r="HPG295" s="3"/>
      <c r="HPH295" s="3"/>
      <c r="HPI295" s="3"/>
      <c r="HPJ295" s="3"/>
      <c r="HPK295" s="3"/>
      <c r="HPL295" s="3"/>
      <c r="HPM295" s="3"/>
      <c r="HPN295" s="3"/>
      <c r="HPO295" s="3"/>
      <c r="HPP295" s="3"/>
      <c r="HPQ295" s="3"/>
      <c r="HPR295" s="3"/>
      <c r="HPS295" s="3"/>
      <c r="HPT295" s="3"/>
      <c r="HPU295" s="3"/>
      <c r="HPV295" s="3"/>
      <c r="HPW295" s="3"/>
      <c r="HPX295" s="3"/>
      <c r="HPY295" s="3"/>
      <c r="HPZ295" s="3"/>
      <c r="HQA295" s="3"/>
      <c r="HQB295" s="3"/>
      <c r="HQC295" s="3"/>
      <c r="HQD295" s="3"/>
      <c r="HQE295" s="3"/>
      <c r="HQF295" s="3"/>
      <c r="HQG295" s="3"/>
      <c r="HQH295" s="3"/>
      <c r="HQI295" s="3"/>
      <c r="HQJ295" s="3"/>
      <c r="HQK295" s="3"/>
      <c r="HQL295" s="3"/>
      <c r="HQM295" s="3"/>
      <c r="HQN295" s="3"/>
      <c r="HQO295" s="3"/>
      <c r="HQP295" s="3"/>
      <c r="HQQ295" s="3"/>
      <c r="HQR295" s="3"/>
      <c r="HQS295" s="3"/>
      <c r="HQT295" s="3"/>
      <c r="HQU295" s="3"/>
      <c r="HQV295" s="3"/>
      <c r="HQW295" s="3"/>
      <c r="HQX295" s="3"/>
      <c r="HQY295" s="3"/>
      <c r="HQZ295" s="3"/>
      <c r="HRA295" s="3"/>
      <c r="HRB295" s="3"/>
      <c r="HRC295" s="3"/>
      <c r="HRD295" s="3"/>
      <c r="HRE295" s="3"/>
      <c r="HRF295" s="3"/>
      <c r="HRG295" s="3"/>
      <c r="HRH295" s="3"/>
      <c r="HRI295" s="3"/>
      <c r="HRJ295" s="3"/>
      <c r="HRK295" s="3"/>
      <c r="HRL295" s="3"/>
      <c r="HRM295" s="3"/>
      <c r="HRN295" s="3"/>
      <c r="HRO295" s="3"/>
      <c r="HRP295" s="3"/>
      <c r="HRQ295" s="3"/>
      <c r="HRR295" s="3"/>
      <c r="HRS295" s="3"/>
      <c r="HRT295" s="3"/>
      <c r="HRU295" s="3"/>
      <c r="HRV295" s="3"/>
      <c r="HRW295" s="3"/>
      <c r="HRX295" s="3"/>
      <c r="HRY295" s="3"/>
      <c r="HRZ295" s="3"/>
      <c r="HSA295" s="3"/>
      <c r="HSB295" s="3"/>
      <c r="HSC295" s="3"/>
      <c r="HSD295" s="3"/>
      <c r="HSE295" s="3"/>
      <c r="HSF295" s="3"/>
      <c r="HSG295" s="3"/>
      <c r="HSH295" s="3"/>
      <c r="HSI295" s="3"/>
      <c r="HSJ295" s="3"/>
      <c r="HSK295" s="3"/>
      <c r="HSL295" s="3"/>
      <c r="HSM295" s="3"/>
      <c r="HSN295" s="3"/>
      <c r="HSO295" s="3"/>
      <c r="HSP295" s="3"/>
      <c r="HSQ295" s="3"/>
      <c r="HSR295" s="3"/>
      <c r="HSS295" s="3"/>
      <c r="HST295" s="3"/>
      <c r="HSU295" s="3"/>
      <c r="HSV295" s="3"/>
      <c r="HSW295" s="3"/>
      <c r="HSX295" s="3"/>
      <c r="HSY295" s="3"/>
      <c r="HSZ295" s="3"/>
      <c r="HTA295" s="3"/>
      <c r="HTB295" s="3"/>
      <c r="HTC295" s="3"/>
      <c r="HTD295" s="3"/>
      <c r="HTE295" s="3"/>
      <c r="HTF295" s="3"/>
      <c r="HTG295" s="3"/>
      <c r="HTH295" s="3"/>
      <c r="HTI295" s="3"/>
      <c r="HTJ295" s="3"/>
      <c r="HTK295" s="3"/>
      <c r="HTL295" s="3"/>
      <c r="HTM295" s="3"/>
      <c r="HTN295" s="3"/>
      <c r="HTO295" s="3"/>
      <c r="HTP295" s="3"/>
      <c r="HTQ295" s="3"/>
      <c r="HTR295" s="3"/>
      <c r="HTS295" s="3"/>
      <c r="HTT295" s="3"/>
      <c r="HTU295" s="3"/>
      <c r="HTV295" s="3"/>
      <c r="HTW295" s="3"/>
      <c r="HTX295" s="3"/>
      <c r="HTY295" s="3"/>
      <c r="HTZ295" s="3"/>
      <c r="HUA295" s="3"/>
      <c r="HUB295" s="3"/>
      <c r="HUC295" s="3"/>
      <c r="HUD295" s="3"/>
      <c r="HUE295" s="3"/>
      <c r="HUF295" s="3"/>
      <c r="HUG295" s="3"/>
      <c r="HUH295" s="3"/>
      <c r="HUI295" s="3"/>
      <c r="HUJ295" s="3"/>
      <c r="HUK295" s="3"/>
      <c r="HUL295" s="3"/>
      <c r="HUM295" s="3"/>
      <c r="HUN295" s="3"/>
      <c r="HUO295" s="3"/>
      <c r="HUP295" s="3"/>
      <c r="HUQ295" s="3"/>
      <c r="HUR295" s="3"/>
      <c r="HUS295" s="3"/>
      <c r="HUT295" s="3"/>
      <c r="HUU295" s="3"/>
      <c r="HUV295" s="3"/>
      <c r="HUW295" s="3"/>
      <c r="HUX295" s="3"/>
      <c r="HUY295" s="3"/>
      <c r="HUZ295" s="3"/>
      <c r="HVA295" s="3"/>
      <c r="HVB295" s="3"/>
      <c r="HVC295" s="3"/>
      <c r="HVD295" s="3"/>
      <c r="HVE295" s="3"/>
      <c r="HVF295" s="3"/>
      <c r="HVG295" s="3"/>
      <c r="HVH295" s="3"/>
      <c r="HVI295" s="3"/>
      <c r="HVJ295" s="3"/>
      <c r="HVK295" s="3"/>
      <c r="HVL295" s="3"/>
      <c r="HVM295" s="3"/>
      <c r="HVN295" s="3"/>
      <c r="HVO295" s="3"/>
      <c r="HVP295" s="3"/>
      <c r="HVQ295" s="3"/>
      <c r="HVR295" s="3"/>
      <c r="HVS295" s="3"/>
      <c r="HVT295" s="3"/>
      <c r="HVU295" s="3"/>
      <c r="HVV295" s="3"/>
      <c r="HVW295" s="3"/>
      <c r="HVX295" s="3"/>
      <c r="HVY295" s="3"/>
      <c r="HVZ295" s="3"/>
      <c r="HWA295" s="3"/>
      <c r="HWB295" s="3"/>
      <c r="HWC295" s="3"/>
      <c r="HWD295" s="3"/>
      <c r="HWE295" s="3"/>
      <c r="HWF295" s="3"/>
      <c r="HWG295" s="3"/>
      <c r="HWH295" s="3"/>
      <c r="HWI295" s="3"/>
      <c r="HWJ295" s="3"/>
      <c r="HWK295" s="3"/>
      <c r="HWL295" s="3"/>
      <c r="HWM295" s="3"/>
      <c r="HWN295" s="3"/>
      <c r="HWO295" s="3"/>
      <c r="HWP295" s="3"/>
      <c r="HWQ295" s="3"/>
      <c r="HWR295" s="3"/>
      <c r="HWS295" s="3"/>
      <c r="HWT295" s="3"/>
      <c r="HWU295" s="3"/>
      <c r="HWV295" s="3"/>
      <c r="HWW295" s="3"/>
      <c r="HWX295" s="3"/>
      <c r="HWY295" s="3"/>
      <c r="HWZ295" s="3"/>
      <c r="HXA295" s="3"/>
      <c r="HXB295" s="3"/>
      <c r="HXC295" s="3"/>
      <c r="HXD295" s="3"/>
      <c r="HXE295" s="3"/>
      <c r="HXF295" s="3"/>
      <c r="HXG295" s="3"/>
      <c r="HXH295" s="3"/>
      <c r="HXI295" s="3"/>
      <c r="HXJ295" s="3"/>
      <c r="HXK295" s="3"/>
      <c r="HXL295" s="3"/>
      <c r="HXM295" s="3"/>
      <c r="HXN295" s="3"/>
      <c r="HXO295" s="3"/>
      <c r="HXP295" s="3"/>
      <c r="HXQ295" s="3"/>
      <c r="HXR295" s="3"/>
      <c r="HXS295" s="3"/>
      <c r="HXT295" s="3"/>
      <c r="HXU295" s="3"/>
      <c r="HXV295" s="3"/>
      <c r="HXW295" s="3"/>
      <c r="HXX295" s="3"/>
      <c r="HXY295" s="3"/>
      <c r="HXZ295" s="3"/>
      <c r="HYA295" s="3"/>
      <c r="HYB295" s="3"/>
      <c r="HYC295" s="3"/>
      <c r="HYD295" s="3"/>
      <c r="HYE295" s="3"/>
      <c r="HYF295" s="3"/>
      <c r="HYG295" s="3"/>
      <c r="HYH295" s="3"/>
      <c r="HYI295" s="3"/>
      <c r="HYJ295" s="3"/>
      <c r="HYK295" s="3"/>
      <c r="HYL295" s="3"/>
      <c r="HYM295" s="3"/>
      <c r="HYN295" s="3"/>
      <c r="HYO295" s="3"/>
      <c r="HYP295" s="3"/>
      <c r="HYQ295" s="3"/>
      <c r="HYR295" s="3"/>
      <c r="HYS295" s="3"/>
      <c r="HYT295" s="3"/>
      <c r="HYU295" s="3"/>
      <c r="HYV295" s="3"/>
      <c r="HYW295" s="3"/>
      <c r="HYX295" s="3"/>
      <c r="HYY295" s="3"/>
      <c r="HYZ295" s="3"/>
      <c r="HZA295" s="3"/>
      <c r="HZB295" s="3"/>
      <c r="HZC295" s="3"/>
      <c r="HZD295" s="3"/>
      <c r="HZE295" s="3"/>
      <c r="HZF295" s="3"/>
      <c r="HZG295" s="3"/>
      <c r="HZH295" s="3"/>
      <c r="HZI295" s="3"/>
      <c r="HZJ295" s="3"/>
      <c r="HZK295" s="3"/>
      <c r="HZL295" s="3"/>
      <c r="HZM295" s="3"/>
      <c r="HZN295" s="3"/>
      <c r="HZO295" s="3"/>
      <c r="HZP295" s="3"/>
      <c r="HZQ295" s="3"/>
      <c r="HZR295" s="3"/>
      <c r="HZS295" s="3"/>
      <c r="HZT295" s="3"/>
      <c r="HZU295" s="3"/>
      <c r="HZV295" s="3"/>
      <c r="HZW295" s="3"/>
      <c r="HZX295" s="3"/>
      <c r="HZY295" s="3"/>
      <c r="HZZ295" s="3"/>
      <c r="IAA295" s="3"/>
      <c r="IAB295" s="3"/>
      <c r="IAC295" s="3"/>
      <c r="IAD295" s="3"/>
      <c r="IAE295" s="3"/>
      <c r="IAF295" s="3"/>
      <c r="IAG295" s="3"/>
      <c r="IAH295" s="3"/>
      <c r="IAI295" s="3"/>
      <c r="IAJ295" s="3"/>
      <c r="IAK295" s="3"/>
      <c r="IAL295" s="3"/>
      <c r="IAM295" s="3"/>
      <c r="IAN295" s="3"/>
      <c r="IAO295" s="3"/>
      <c r="IAP295" s="3"/>
      <c r="IAQ295" s="3"/>
      <c r="IAR295" s="3"/>
      <c r="IAS295" s="3"/>
      <c r="IAT295" s="3"/>
      <c r="IAU295" s="3"/>
      <c r="IAV295" s="3"/>
      <c r="IAW295" s="3"/>
      <c r="IAX295" s="3"/>
      <c r="IAY295" s="3"/>
      <c r="IAZ295" s="3"/>
      <c r="IBA295" s="3"/>
      <c r="IBB295" s="3"/>
      <c r="IBC295" s="3"/>
      <c r="IBD295" s="3"/>
      <c r="IBE295" s="3"/>
      <c r="IBF295" s="3"/>
      <c r="IBG295" s="3"/>
      <c r="IBH295" s="3"/>
      <c r="IBI295" s="3"/>
      <c r="IBJ295" s="3"/>
      <c r="IBK295" s="3"/>
      <c r="IBL295" s="3"/>
      <c r="IBM295" s="3"/>
      <c r="IBN295" s="3"/>
      <c r="IBO295" s="3"/>
      <c r="IBP295" s="3"/>
      <c r="IBQ295" s="3"/>
      <c r="IBR295" s="3"/>
      <c r="IBS295" s="3"/>
      <c r="IBT295" s="3"/>
      <c r="IBU295" s="3"/>
      <c r="IBV295" s="3"/>
      <c r="IBW295" s="3"/>
      <c r="IBX295" s="3"/>
      <c r="IBY295" s="3"/>
      <c r="IBZ295" s="3"/>
      <c r="ICA295" s="3"/>
      <c r="ICB295" s="3"/>
      <c r="ICC295" s="3"/>
      <c r="ICD295" s="3"/>
      <c r="ICE295" s="3"/>
      <c r="ICF295" s="3"/>
      <c r="ICG295" s="3"/>
      <c r="ICH295" s="3"/>
      <c r="ICI295" s="3"/>
      <c r="ICJ295" s="3"/>
      <c r="ICK295" s="3"/>
      <c r="ICL295" s="3"/>
      <c r="ICM295" s="3"/>
      <c r="ICN295" s="3"/>
      <c r="ICO295" s="3"/>
      <c r="ICP295" s="3"/>
      <c r="ICQ295" s="3"/>
      <c r="ICR295" s="3"/>
      <c r="ICS295" s="3"/>
      <c r="ICT295" s="3"/>
      <c r="ICU295" s="3"/>
      <c r="ICV295" s="3"/>
      <c r="ICW295" s="3"/>
      <c r="ICX295" s="3"/>
      <c r="ICY295" s="3"/>
      <c r="ICZ295" s="3"/>
      <c r="IDA295" s="3"/>
      <c r="IDB295" s="3"/>
      <c r="IDC295" s="3"/>
      <c r="IDD295" s="3"/>
      <c r="IDE295" s="3"/>
      <c r="IDF295" s="3"/>
      <c r="IDG295" s="3"/>
      <c r="IDH295" s="3"/>
      <c r="IDI295" s="3"/>
      <c r="IDJ295" s="3"/>
      <c r="IDK295" s="3"/>
      <c r="IDL295" s="3"/>
      <c r="IDM295" s="3"/>
      <c r="IDN295" s="3"/>
      <c r="IDO295" s="3"/>
      <c r="IDP295" s="3"/>
      <c r="IDQ295" s="3"/>
      <c r="IDR295" s="3"/>
      <c r="IDS295" s="3"/>
      <c r="IDT295" s="3"/>
      <c r="IDU295" s="3"/>
      <c r="IDV295" s="3"/>
      <c r="IDW295" s="3"/>
      <c r="IDX295" s="3"/>
      <c r="IDY295" s="3"/>
      <c r="IDZ295" s="3"/>
      <c r="IEA295" s="3"/>
      <c r="IEB295" s="3"/>
      <c r="IEC295" s="3"/>
      <c r="IED295" s="3"/>
      <c r="IEE295" s="3"/>
      <c r="IEF295" s="3"/>
      <c r="IEG295" s="3"/>
      <c r="IEH295" s="3"/>
      <c r="IEI295" s="3"/>
      <c r="IEJ295" s="3"/>
      <c r="IEK295" s="3"/>
      <c r="IEL295" s="3"/>
      <c r="IEM295" s="3"/>
      <c r="IEN295" s="3"/>
      <c r="IEO295" s="3"/>
      <c r="IEP295" s="3"/>
      <c r="IEQ295" s="3"/>
      <c r="IER295" s="3"/>
      <c r="IES295" s="3"/>
      <c r="IET295" s="3"/>
      <c r="IEU295" s="3"/>
      <c r="IEV295" s="3"/>
      <c r="IEW295" s="3"/>
      <c r="IEX295" s="3"/>
      <c r="IEY295" s="3"/>
      <c r="IEZ295" s="3"/>
      <c r="IFA295" s="3"/>
      <c r="IFB295" s="3"/>
      <c r="IFC295" s="3"/>
      <c r="IFD295" s="3"/>
      <c r="IFE295" s="3"/>
      <c r="IFF295" s="3"/>
      <c r="IFG295" s="3"/>
      <c r="IFH295" s="3"/>
      <c r="IFI295" s="3"/>
      <c r="IFJ295" s="3"/>
      <c r="IFK295" s="3"/>
      <c r="IFL295" s="3"/>
      <c r="IFM295" s="3"/>
      <c r="IFN295" s="3"/>
      <c r="IFO295" s="3"/>
      <c r="IFP295" s="3"/>
      <c r="IFQ295" s="3"/>
      <c r="IFR295" s="3"/>
      <c r="IFS295" s="3"/>
      <c r="IFT295" s="3"/>
      <c r="IFU295" s="3"/>
      <c r="IFV295" s="3"/>
      <c r="IFW295" s="3"/>
      <c r="IFX295" s="3"/>
      <c r="IFY295" s="3"/>
      <c r="IFZ295" s="3"/>
      <c r="IGA295" s="3"/>
      <c r="IGB295" s="3"/>
      <c r="IGC295" s="3"/>
      <c r="IGD295" s="3"/>
      <c r="IGE295" s="3"/>
      <c r="IGF295" s="3"/>
      <c r="IGG295" s="3"/>
      <c r="IGH295" s="3"/>
      <c r="IGI295" s="3"/>
      <c r="IGJ295" s="3"/>
      <c r="IGK295" s="3"/>
      <c r="IGL295" s="3"/>
      <c r="IGM295" s="3"/>
      <c r="IGN295" s="3"/>
      <c r="IGO295" s="3"/>
      <c r="IGP295" s="3"/>
      <c r="IGQ295" s="3"/>
      <c r="IGR295" s="3"/>
      <c r="IGS295" s="3"/>
      <c r="IGT295" s="3"/>
      <c r="IGU295" s="3"/>
      <c r="IGV295" s="3"/>
      <c r="IGW295" s="3"/>
      <c r="IGX295" s="3"/>
      <c r="IGY295" s="3"/>
      <c r="IGZ295" s="3"/>
      <c r="IHA295" s="3"/>
      <c r="IHB295" s="3"/>
      <c r="IHC295" s="3"/>
      <c r="IHD295" s="3"/>
      <c r="IHE295" s="3"/>
      <c r="IHF295" s="3"/>
      <c r="IHG295" s="3"/>
      <c r="IHH295" s="3"/>
      <c r="IHI295" s="3"/>
      <c r="IHJ295" s="3"/>
      <c r="IHK295" s="3"/>
      <c r="IHL295" s="3"/>
      <c r="IHM295" s="3"/>
      <c r="IHN295" s="3"/>
      <c r="IHO295" s="3"/>
      <c r="IHP295" s="3"/>
      <c r="IHQ295" s="3"/>
      <c r="IHR295" s="3"/>
      <c r="IHS295" s="3"/>
      <c r="IHT295" s="3"/>
      <c r="IHU295" s="3"/>
      <c r="IHV295" s="3"/>
      <c r="IHW295" s="3"/>
      <c r="IHX295" s="3"/>
      <c r="IHY295" s="3"/>
      <c r="IHZ295" s="3"/>
      <c r="IIA295" s="3"/>
      <c r="IIB295" s="3"/>
      <c r="IIC295" s="3"/>
      <c r="IID295" s="3"/>
      <c r="IIE295" s="3"/>
      <c r="IIF295" s="3"/>
      <c r="IIG295" s="3"/>
      <c r="IIH295" s="3"/>
      <c r="III295" s="3"/>
      <c r="IIJ295" s="3"/>
      <c r="IIK295" s="3"/>
      <c r="IIL295" s="3"/>
      <c r="IIM295" s="3"/>
      <c r="IIN295" s="3"/>
      <c r="IIO295" s="3"/>
      <c r="IIP295" s="3"/>
      <c r="IIQ295" s="3"/>
      <c r="IIR295" s="3"/>
      <c r="IIS295" s="3"/>
      <c r="IIT295" s="3"/>
      <c r="IIU295" s="3"/>
      <c r="IIV295" s="3"/>
      <c r="IIW295" s="3"/>
      <c r="IIX295" s="3"/>
      <c r="IIY295" s="3"/>
      <c r="IIZ295" s="3"/>
      <c r="IJA295" s="3"/>
      <c r="IJB295" s="3"/>
      <c r="IJC295" s="3"/>
      <c r="IJD295" s="3"/>
      <c r="IJE295" s="3"/>
      <c r="IJF295" s="3"/>
      <c r="IJG295" s="3"/>
      <c r="IJH295" s="3"/>
      <c r="IJI295" s="3"/>
      <c r="IJJ295" s="3"/>
      <c r="IJK295" s="3"/>
      <c r="IJL295" s="3"/>
      <c r="IJM295" s="3"/>
      <c r="IJN295" s="3"/>
      <c r="IJO295" s="3"/>
      <c r="IJP295" s="3"/>
      <c r="IJQ295" s="3"/>
      <c r="IJR295" s="3"/>
      <c r="IJS295" s="3"/>
      <c r="IJT295" s="3"/>
      <c r="IJU295" s="3"/>
      <c r="IJV295" s="3"/>
      <c r="IJW295" s="3"/>
      <c r="IJX295" s="3"/>
      <c r="IJY295" s="3"/>
      <c r="IJZ295" s="3"/>
      <c r="IKA295" s="3"/>
      <c r="IKB295" s="3"/>
      <c r="IKC295" s="3"/>
      <c r="IKD295" s="3"/>
      <c r="IKE295" s="3"/>
      <c r="IKF295" s="3"/>
      <c r="IKG295" s="3"/>
      <c r="IKH295" s="3"/>
      <c r="IKI295" s="3"/>
      <c r="IKJ295" s="3"/>
      <c r="IKK295" s="3"/>
      <c r="IKL295" s="3"/>
      <c r="IKM295" s="3"/>
      <c r="IKN295" s="3"/>
      <c r="IKO295" s="3"/>
      <c r="IKP295" s="3"/>
      <c r="IKQ295" s="3"/>
      <c r="IKR295" s="3"/>
      <c r="IKS295" s="3"/>
      <c r="IKT295" s="3"/>
      <c r="IKU295" s="3"/>
      <c r="IKV295" s="3"/>
      <c r="IKW295" s="3"/>
      <c r="IKX295" s="3"/>
      <c r="IKY295" s="3"/>
      <c r="IKZ295" s="3"/>
      <c r="ILA295" s="3"/>
      <c r="ILB295" s="3"/>
      <c r="ILC295" s="3"/>
      <c r="ILD295" s="3"/>
      <c r="ILE295" s="3"/>
      <c r="ILF295" s="3"/>
      <c r="ILG295" s="3"/>
      <c r="ILH295" s="3"/>
      <c r="ILI295" s="3"/>
      <c r="ILJ295" s="3"/>
      <c r="ILK295" s="3"/>
      <c r="ILL295" s="3"/>
      <c r="ILM295" s="3"/>
      <c r="ILN295" s="3"/>
      <c r="ILO295" s="3"/>
      <c r="ILP295" s="3"/>
      <c r="ILQ295" s="3"/>
      <c r="ILR295" s="3"/>
      <c r="ILS295" s="3"/>
      <c r="ILT295" s="3"/>
      <c r="ILU295" s="3"/>
      <c r="ILV295" s="3"/>
      <c r="ILW295" s="3"/>
      <c r="ILX295" s="3"/>
      <c r="ILY295" s="3"/>
      <c r="ILZ295" s="3"/>
      <c r="IMA295" s="3"/>
      <c r="IMB295" s="3"/>
      <c r="IMC295" s="3"/>
      <c r="IMD295" s="3"/>
      <c r="IME295" s="3"/>
      <c r="IMF295" s="3"/>
      <c r="IMG295" s="3"/>
      <c r="IMH295" s="3"/>
      <c r="IMI295" s="3"/>
      <c r="IMJ295" s="3"/>
      <c r="IMK295" s="3"/>
      <c r="IML295" s="3"/>
      <c r="IMM295" s="3"/>
      <c r="IMN295" s="3"/>
      <c r="IMO295" s="3"/>
      <c r="IMP295" s="3"/>
      <c r="IMQ295" s="3"/>
      <c r="IMR295" s="3"/>
      <c r="IMS295" s="3"/>
      <c r="IMT295" s="3"/>
      <c r="IMU295" s="3"/>
      <c r="IMV295" s="3"/>
      <c r="IMW295" s="3"/>
      <c r="IMX295" s="3"/>
      <c r="IMY295" s="3"/>
      <c r="IMZ295" s="3"/>
      <c r="INA295" s="3"/>
      <c r="INB295" s="3"/>
      <c r="INC295" s="3"/>
      <c r="IND295" s="3"/>
      <c r="INE295" s="3"/>
      <c r="INF295" s="3"/>
      <c r="ING295" s="3"/>
      <c r="INH295" s="3"/>
      <c r="INI295" s="3"/>
      <c r="INJ295" s="3"/>
      <c r="INK295" s="3"/>
      <c r="INL295" s="3"/>
      <c r="INM295" s="3"/>
      <c r="INN295" s="3"/>
      <c r="INO295" s="3"/>
      <c r="INP295" s="3"/>
      <c r="INQ295" s="3"/>
      <c r="INR295" s="3"/>
      <c r="INS295" s="3"/>
      <c r="INT295" s="3"/>
      <c r="INU295" s="3"/>
      <c r="INV295" s="3"/>
      <c r="INW295" s="3"/>
      <c r="INX295" s="3"/>
      <c r="INY295" s="3"/>
      <c r="INZ295" s="3"/>
      <c r="IOA295" s="3"/>
      <c r="IOB295" s="3"/>
      <c r="IOC295" s="3"/>
      <c r="IOD295" s="3"/>
      <c r="IOE295" s="3"/>
      <c r="IOF295" s="3"/>
      <c r="IOG295" s="3"/>
      <c r="IOH295" s="3"/>
      <c r="IOI295" s="3"/>
      <c r="IOJ295" s="3"/>
      <c r="IOK295" s="3"/>
      <c r="IOL295" s="3"/>
      <c r="IOM295" s="3"/>
      <c r="ION295" s="3"/>
      <c r="IOO295" s="3"/>
      <c r="IOP295" s="3"/>
      <c r="IOQ295" s="3"/>
      <c r="IOR295" s="3"/>
      <c r="IOS295" s="3"/>
      <c r="IOT295" s="3"/>
      <c r="IOU295" s="3"/>
      <c r="IOV295" s="3"/>
      <c r="IOW295" s="3"/>
      <c r="IOX295" s="3"/>
      <c r="IOY295" s="3"/>
      <c r="IOZ295" s="3"/>
      <c r="IPA295" s="3"/>
      <c r="IPB295" s="3"/>
      <c r="IPC295" s="3"/>
      <c r="IPD295" s="3"/>
      <c r="IPE295" s="3"/>
      <c r="IPF295" s="3"/>
      <c r="IPG295" s="3"/>
      <c r="IPH295" s="3"/>
      <c r="IPI295" s="3"/>
      <c r="IPJ295" s="3"/>
      <c r="IPK295" s="3"/>
      <c r="IPL295" s="3"/>
      <c r="IPM295" s="3"/>
      <c r="IPN295" s="3"/>
      <c r="IPO295" s="3"/>
      <c r="IPP295" s="3"/>
      <c r="IPQ295" s="3"/>
      <c r="IPR295" s="3"/>
      <c r="IPS295" s="3"/>
      <c r="IPT295" s="3"/>
      <c r="IPU295" s="3"/>
      <c r="IPV295" s="3"/>
      <c r="IPW295" s="3"/>
      <c r="IPX295" s="3"/>
      <c r="IPY295" s="3"/>
      <c r="IPZ295" s="3"/>
      <c r="IQA295" s="3"/>
      <c r="IQB295" s="3"/>
      <c r="IQC295" s="3"/>
      <c r="IQD295" s="3"/>
      <c r="IQE295" s="3"/>
      <c r="IQF295" s="3"/>
      <c r="IQG295" s="3"/>
      <c r="IQH295" s="3"/>
      <c r="IQI295" s="3"/>
      <c r="IQJ295" s="3"/>
      <c r="IQK295" s="3"/>
      <c r="IQL295" s="3"/>
      <c r="IQM295" s="3"/>
      <c r="IQN295" s="3"/>
      <c r="IQO295" s="3"/>
      <c r="IQP295" s="3"/>
      <c r="IQQ295" s="3"/>
      <c r="IQR295" s="3"/>
      <c r="IQS295" s="3"/>
      <c r="IQT295" s="3"/>
      <c r="IQU295" s="3"/>
      <c r="IQV295" s="3"/>
      <c r="IQW295" s="3"/>
      <c r="IQX295" s="3"/>
      <c r="IQY295" s="3"/>
      <c r="IQZ295" s="3"/>
      <c r="IRA295" s="3"/>
      <c r="IRB295" s="3"/>
      <c r="IRC295" s="3"/>
      <c r="IRD295" s="3"/>
      <c r="IRE295" s="3"/>
      <c r="IRF295" s="3"/>
      <c r="IRG295" s="3"/>
      <c r="IRH295" s="3"/>
      <c r="IRI295" s="3"/>
      <c r="IRJ295" s="3"/>
      <c r="IRK295" s="3"/>
      <c r="IRL295" s="3"/>
      <c r="IRM295" s="3"/>
      <c r="IRN295" s="3"/>
      <c r="IRO295" s="3"/>
      <c r="IRP295" s="3"/>
      <c r="IRQ295" s="3"/>
      <c r="IRR295" s="3"/>
      <c r="IRS295" s="3"/>
      <c r="IRT295" s="3"/>
      <c r="IRU295" s="3"/>
      <c r="IRV295" s="3"/>
      <c r="IRW295" s="3"/>
      <c r="IRX295" s="3"/>
      <c r="IRY295" s="3"/>
      <c r="IRZ295" s="3"/>
      <c r="ISA295" s="3"/>
      <c r="ISB295" s="3"/>
      <c r="ISC295" s="3"/>
      <c r="ISD295" s="3"/>
      <c r="ISE295" s="3"/>
      <c r="ISF295" s="3"/>
      <c r="ISG295" s="3"/>
      <c r="ISH295" s="3"/>
      <c r="ISI295" s="3"/>
      <c r="ISJ295" s="3"/>
      <c r="ISK295" s="3"/>
      <c r="ISL295" s="3"/>
      <c r="ISM295" s="3"/>
      <c r="ISN295" s="3"/>
      <c r="ISO295" s="3"/>
      <c r="ISP295" s="3"/>
      <c r="ISQ295" s="3"/>
      <c r="ISR295" s="3"/>
      <c r="ISS295" s="3"/>
      <c r="IST295" s="3"/>
      <c r="ISU295" s="3"/>
      <c r="ISV295" s="3"/>
      <c r="ISW295" s="3"/>
      <c r="ISX295" s="3"/>
      <c r="ISY295" s="3"/>
      <c r="ISZ295" s="3"/>
      <c r="ITA295" s="3"/>
      <c r="ITB295" s="3"/>
      <c r="ITC295" s="3"/>
      <c r="ITD295" s="3"/>
      <c r="ITE295" s="3"/>
      <c r="ITF295" s="3"/>
      <c r="ITG295" s="3"/>
      <c r="ITH295" s="3"/>
      <c r="ITI295" s="3"/>
      <c r="ITJ295" s="3"/>
      <c r="ITK295" s="3"/>
      <c r="ITL295" s="3"/>
      <c r="ITM295" s="3"/>
      <c r="ITN295" s="3"/>
      <c r="ITO295" s="3"/>
      <c r="ITP295" s="3"/>
      <c r="ITQ295" s="3"/>
      <c r="ITR295" s="3"/>
      <c r="ITS295" s="3"/>
      <c r="ITT295" s="3"/>
      <c r="ITU295" s="3"/>
      <c r="ITV295" s="3"/>
      <c r="ITW295" s="3"/>
      <c r="ITX295" s="3"/>
      <c r="ITY295" s="3"/>
      <c r="ITZ295" s="3"/>
      <c r="IUA295" s="3"/>
      <c r="IUB295" s="3"/>
      <c r="IUC295" s="3"/>
      <c r="IUD295" s="3"/>
      <c r="IUE295" s="3"/>
      <c r="IUF295" s="3"/>
      <c r="IUG295" s="3"/>
      <c r="IUH295" s="3"/>
      <c r="IUI295" s="3"/>
      <c r="IUJ295" s="3"/>
      <c r="IUK295" s="3"/>
      <c r="IUL295" s="3"/>
      <c r="IUM295" s="3"/>
      <c r="IUN295" s="3"/>
      <c r="IUO295" s="3"/>
      <c r="IUP295" s="3"/>
      <c r="IUQ295" s="3"/>
      <c r="IUR295" s="3"/>
      <c r="IUS295" s="3"/>
      <c r="IUT295" s="3"/>
      <c r="IUU295" s="3"/>
      <c r="IUV295" s="3"/>
      <c r="IUW295" s="3"/>
      <c r="IUX295" s="3"/>
      <c r="IUY295" s="3"/>
      <c r="IUZ295" s="3"/>
      <c r="IVA295" s="3"/>
      <c r="IVB295" s="3"/>
      <c r="IVC295" s="3"/>
      <c r="IVD295" s="3"/>
      <c r="IVE295" s="3"/>
      <c r="IVF295" s="3"/>
      <c r="IVG295" s="3"/>
      <c r="IVH295" s="3"/>
      <c r="IVI295" s="3"/>
      <c r="IVJ295" s="3"/>
      <c r="IVK295" s="3"/>
      <c r="IVL295" s="3"/>
      <c r="IVM295" s="3"/>
      <c r="IVN295" s="3"/>
      <c r="IVO295" s="3"/>
      <c r="IVP295" s="3"/>
      <c r="IVQ295" s="3"/>
      <c r="IVR295" s="3"/>
      <c r="IVS295" s="3"/>
      <c r="IVT295" s="3"/>
      <c r="IVU295" s="3"/>
      <c r="IVV295" s="3"/>
      <c r="IVW295" s="3"/>
      <c r="IVX295" s="3"/>
      <c r="IVY295" s="3"/>
      <c r="IVZ295" s="3"/>
      <c r="IWA295" s="3"/>
      <c r="IWB295" s="3"/>
      <c r="IWC295" s="3"/>
      <c r="IWD295" s="3"/>
      <c r="IWE295" s="3"/>
      <c r="IWF295" s="3"/>
      <c r="IWG295" s="3"/>
      <c r="IWH295" s="3"/>
      <c r="IWI295" s="3"/>
      <c r="IWJ295" s="3"/>
      <c r="IWK295" s="3"/>
      <c r="IWL295" s="3"/>
      <c r="IWM295" s="3"/>
      <c r="IWN295" s="3"/>
      <c r="IWO295" s="3"/>
      <c r="IWP295" s="3"/>
      <c r="IWQ295" s="3"/>
      <c r="IWR295" s="3"/>
      <c r="IWS295" s="3"/>
      <c r="IWT295" s="3"/>
      <c r="IWU295" s="3"/>
      <c r="IWV295" s="3"/>
      <c r="IWW295" s="3"/>
      <c r="IWX295" s="3"/>
      <c r="IWY295" s="3"/>
      <c r="IWZ295" s="3"/>
      <c r="IXA295" s="3"/>
      <c r="IXB295" s="3"/>
      <c r="IXC295" s="3"/>
      <c r="IXD295" s="3"/>
      <c r="IXE295" s="3"/>
      <c r="IXF295" s="3"/>
      <c r="IXG295" s="3"/>
      <c r="IXH295" s="3"/>
      <c r="IXI295" s="3"/>
      <c r="IXJ295" s="3"/>
      <c r="IXK295" s="3"/>
      <c r="IXL295" s="3"/>
      <c r="IXM295" s="3"/>
      <c r="IXN295" s="3"/>
      <c r="IXO295" s="3"/>
      <c r="IXP295" s="3"/>
      <c r="IXQ295" s="3"/>
      <c r="IXR295" s="3"/>
      <c r="IXS295" s="3"/>
      <c r="IXT295" s="3"/>
      <c r="IXU295" s="3"/>
      <c r="IXV295" s="3"/>
      <c r="IXW295" s="3"/>
      <c r="IXX295" s="3"/>
      <c r="IXY295" s="3"/>
      <c r="IXZ295" s="3"/>
      <c r="IYA295" s="3"/>
      <c r="IYB295" s="3"/>
      <c r="IYC295" s="3"/>
      <c r="IYD295" s="3"/>
      <c r="IYE295" s="3"/>
      <c r="IYF295" s="3"/>
      <c r="IYG295" s="3"/>
      <c r="IYH295" s="3"/>
      <c r="IYI295" s="3"/>
      <c r="IYJ295" s="3"/>
      <c r="IYK295" s="3"/>
      <c r="IYL295" s="3"/>
      <c r="IYM295" s="3"/>
      <c r="IYN295" s="3"/>
      <c r="IYO295" s="3"/>
      <c r="IYP295" s="3"/>
      <c r="IYQ295" s="3"/>
      <c r="IYR295" s="3"/>
      <c r="IYS295" s="3"/>
      <c r="IYT295" s="3"/>
      <c r="IYU295" s="3"/>
      <c r="IYV295" s="3"/>
      <c r="IYW295" s="3"/>
      <c r="IYX295" s="3"/>
      <c r="IYY295" s="3"/>
      <c r="IYZ295" s="3"/>
      <c r="IZA295" s="3"/>
      <c r="IZB295" s="3"/>
      <c r="IZC295" s="3"/>
      <c r="IZD295" s="3"/>
      <c r="IZE295" s="3"/>
      <c r="IZF295" s="3"/>
      <c r="IZG295" s="3"/>
      <c r="IZH295" s="3"/>
      <c r="IZI295" s="3"/>
      <c r="IZJ295" s="3"/>
      <c r="IZK295" s="3"/>
      <c r="IZL295" s="3"/>
      <c r="IZM295" s="3"/>
      <c r="IZN295" s="3"/>
      <c r="IZO295" s="3"/>
      <c r="IZP295" s="3"/>
      <c r="IZQ295" s="3"/>
      <c r="IZR295" s="3"/>
      <c r="IZS295" s="3"/>
      <c r="IZT295" s="3"/>
      <c r="IZU295" s="3"/>
      <c r="IZV295" s="3"/>
      <c r="IZW295" s="3"/>
      <c r="IZX295" s="3"/>
      <c r="IZY295" s="3"/>
      <c r="IZZ295" s="3"/>
      <c r="JAA295" s="3"/>
      <c r="JAB295" s="3"/>
      <c r="JAC295" s="3"/>
      <c r="JAD295" s="3"/>
      <c r="JAE295" s="3"/>
      <c r="JAF295" s="3"/>
      <c r="JAG295" s="3"/>
      <c r="JAH295" s="3"/>
      <c r="JAI295" s="3"/>
      <c r="JAJ295" s="3"/>
      <c r="JAK295" s="3"/>
      <c r="JAL295" s="3"/>
      <c r="JAM295" s="3"/>
      <c r="JAN295" s="3"/>
      <c r="JAO295" s="3"/>
      <c r="JAP295" s="3"/>
      <c r="JAQ295" s="3"/>
      <c r="JAR295" s="3"/>
      <c r="JAS295" s="3"/>
      <c r="JAT295" s="3"/>
      <c r="JAU295" s="3"/>
      <c r="JAV295" s="3"/>
      <c r="JAW295" s="3"/>
      <c r="JAX295" s="3"/>
      <c r="JAY295" s="3"/>
      <c r="JAZ295" s="3"/>
      <c r="JBA295" s="3"/>
      <c r="JBB295" s="3"/>
      <c r="JBC295" s="3"/>
      <c r="JBD295" s="3"/>
      <c r="JBE295" s="3"/>
      <c r="JBF295" s="3"/>
      <c r="JBG295" s="3"/>
      <c r="JBH295" s="3"/>
      <c r="JBI295" s="3"/>
      <c r="JBJ295" s="3"/>
      <c r="JBK295" s="3"/>
      <c r="JBL295" s="3"/>
      <c r="JBM295" s="3"/>
      <c r="JBN295" s="3"/>
      <c r="JBO295" s="3"/>
      <c r="JBP295" s="3"/>
      <c r="JBQ295" s="3"/>
      <c r="JBR295" s="3"/>
      <c r="JBS295" s="3"/>
      <c r="JBT295" s="3"/>
      <c r="JBU295" s="3"/>
      <c r="JBV295" s="3"/>
      <c r="JBW295" s="3"/>
      <c r="JBX295" s="3"/>
      <c r="JBY295" s="3"/>
      <c r="JBZ295" s="3"/>
      <c r="JCA295" s="3"/>
      <c r="JCB295" s="3"/>
      <c r="JCC295" s="3"/>
      <c r="JCD295" s="3"/>
      <c r="JCE295" s="3"/>
      <c r="JCF295" s="3"/>
      <c r="JCG295" s="3"/>
      <c r="JCH295" s="3"/>
      <c r="JCI295" s="3"/>
      <c r="JCJ295" s="3"/>
      <c r="JCK295" s="3"/>
      <c r="JCL295" s="3"/>
      <c r="JCM295" s="3"/>
      <c r="JCN295" s="3"/>
      <c r="JCO295" s="3"/>
      <c r="JCP295" s="3"/>
      <c r="JCQ295" s="3"/>
      <c r="JCR295" s="3"/>
      <c r="JCS295" s="3"/>
      <c r="JCT295" s="3"/>
      <c r="JCU295" s="3"/>
      <c r="JCV295" s="3"/>
      <c r="JCW295" s="3"/>
      <c r="JCX295" s="3"/>
      <c r="JCY295" s="3"/>
      <c r="JCZ295" s="3"/>
      <c r="JDA295" s="3"/>
      <c r="JDB295" s="3"/>
      <c r="JDC295" s="3"/>
      <c r="JDD295" s="3"/>
      <c r="JDE295" s="3"/>
      <c r="JDF295" s="3"/>
      <c r="JDG295" s="3"/>
      <c r="JDH295" s="3"/>
      <c r="JDI295" s="3"/>
      <c r="JDJ295" s="3"/>
      <c r="JDK295" s="3"/>
      <c r="JDL295" s="3"/>
      <c r="JDM295" s="3"/>
      <c r="JDN295" s="3"/>
      <c r="JDO295" s="3"/>
      <c r="JDP295" s="3"/>
      <c r="JDQ295" s="3"/>
      <c r="JDR295" s="3"/>
      <c r="JDS295" s="3"/>
      <c r="JDT295" s="3"/>
      <c r="JDU295" s="3"/>
      <c r="JDV295" s="3"/>
      <c r="JDW295" s="3"/>
      <c r="JDX295" s="3"/>
      <c r="JDY295" s="3"/>
      <c r="JDZ295" s="3"/>
      <c r="JEA295" s="3"/>
      <c r="JEB295" s="3"/>
      <c r="JEC295" s="3"/>
      <c r="JED295" s="3"/>
      <c r="JEE295" s="3"/>
      <c r="JEF295" s="3"/>
      <c r="JEG295" s="3"/>
      <c r="JEH295" s="3"/>
      <c r="JEI295" s="3"/>
      <c r="JEJ295" s="3"/>
      <c r="JEK295" s="3"/>
      <c r="JEL295" s="3"/>
      <c r="JEM295" s="3"/>
      <c r="JEN295" s="3"/>
      <c r="JEO295" s="3"/>
      <c r="JEP295" s="3"/>
      <c r="JEQ295" s="3"/>
      <c r="JER295" s="3"/>
      <c r="JES295" s="3"/>
      <c r="JET295" s="3"/>
      <c r="JEU295" s="3"/>
      <c r="JEV295" s="3"/>
      <c r="JEW295" s="3"/>
      <c r="JEX295" s="3"/>
      <c r="JEY295" s="3"/>
      <c r="JEZ295" s="3"/>
      <c r="JFA295" s="3"/>
      <c r="JFB295" s="3"/>
      <c r="JFC295" s="3"/>
      <c r="JFD295" s="3"/>
      <c r="JFE295" s="3"/>
      <c r="JFF295" s="3"/>
      <c r="JFG295" s="3"/>
      <c r="JFH295" s="3"/>
      <c r="JFI295" s="3"/>
      <c r="JFJ295" s="3"/>
      <c r="JFK295" s="3"/>
      <c r="JFL295" s="3"/>
      <c r="JFM295" s="3"/>
      <c r="JFN295" s="3"/>
      <c r="JFO295" s="3"/>
      <c r="JFP295" s="3"/>
      <c r="JFQ295" s="3"/>
      <c r="JFR295" s="3"/>
      <c r="JFS295" s="3"/>
      <c r="JFT295" s="3"/>
      <c r="JFU295" s="3"/>
      <c r="JFV295" s="3"/>
      <c r="JFW295" s="3"/>
      <c r="JFX295" s="3"/>
      <c r="JFY295" s="3"/>
      <c r="JFZ295" s="3"/>
      <c r="JGA295" s="3"/>
      <c r="JGB295" s="3"/>
      <c r="JGC295" s="3"/>
      <c r="JGD295" s="3"/>
      <c r="JGE295" s="3"/>
      <c r="JGF295" s="3"/>
      <c r="JGG295" s="3"/>
      <c r="JGH295" s="3"/>
      <c r="JGI295" s="3"/>
      <c r="JGJ295" s="3"/>
      <c r="JGK295" s="3"/>
      <c r="JGL295" s="3"/>
      <c r="JGM295" s="3"/>
      <c r="JGN295" s="3"/>
      <c r="JGO295" s="3"/>
      <c r="JGP295" s="3"/>
      <c r="JGQ295" s="3"/>
      <c r="JGR295" s="3"/>
      <c r="JGS295" s="3"/>
      <c r="JGT295" s="3"/>
      <c r="JGU295" s="3"/>
      <c r="JGV295" s="3"/>
      <c r="JGW295" s="3"/>
      <c r="JGX295" s="3"/>
      <c r="JGY295" s="3"/>
      <c r="JGZ295" s="3"/>
      <c r="JHA295" s="3"/>
      <c r="JHB295" s="3"/>
      <c r="JHC295" s="3"/>
      <c r="JHD295" s="3"/>
      <c r="JHE295" s="3"/>
      <c r="JHF295" s="3"/>
      <c r="JHG295" s="3"/>
      <c r="JHH295" s="3"/>
      <c r="JHI295" s="3"/>
      <c r="JHJ295" s="3"/>
      <c r="JHK295" s="3"/>
      <c r="JHL295" s="3"/>
      <c r="JHM295" s="3"/>
      <c r="JHN295" s="3"/>
      <c r="JHO295" s="3"/>
      <c r="JHP295" s="3"/>
      <c r="JHQ295" s="3"/>
      <c r="JHR295" s="3"/>
      <c r="JHS295" s="3"/>
      <c r="JHT295" s="3"/>
      <c r="JHU295" s="3"/>
      <c r="JHV295" s="3"/>
      <c r="JHW295" s="3"/>
      <c r="JHX295" s="3"/>
      <c r="JHY295" s="3"/>
      <c r="JHZ295" s="3"/>
      <c r="JIA295" s="3"/>
      <c r="JIB295" s="3"/>
      <c r="JIC295" s="3"/>
      <c r="JID295" s="3"/>
      <c r="JIE295" s="3"/>
      <c r="JIF295" s="3"/>
      <c r="JIG295" s="3"/>
      <c r="JIH295" s="3"/>
      <c r="JII295" s="3"/>
      <c r="JIJ295" s="3"/>
      <c r="JIK295" s="3"/>
      <c r="JIL295" s="3"/>
      <c r="JIM295" s="3"/>
      <c r="JIN295" s="3"/>
      <c r="JIO295" s="3"/>
      <c r="JIP295" s="3"/>
      <c r="JIQ295" s="3"/>
      <c r="JIR295" s="3"/>
      <c r="JIS295" s="3"/>
      <c r="JIT295" s="3"/>
      <c r="JIU295" s="3"/>
      <c r="JIV295" s="3"/>
      <c r="JIW295" s="3"/>
      <c r="JIX295" s="3"/>
      <c r="JIY295" s="3"/>
      <c r="JIZ295" s="3"/>
      <c r="JJA295" s="3"/>
      <c r="JJB295" s="3"/>
      <c r="JJC295" s="3"/>
      <c r="JJD295" s="3"/>
      <c r="JJE295" s="3"/>
      <c r="JJF295" s="3"/>
      <c r="JJG295" s="3"/>
      <c r="JJH295" s="3"/>
      <c r="JJI295" s="3"/>
      <c r="JJJ295" s="3"/>
      <c r="JJK295" s="3"/>
      <c r="JJL295" s="3"/>
      <c r="JJM295" s="3"/>
      <c r="JJN295" s="3"/>
      <c r="JJO295" s="3"/>
      <c r="JJP295" s="3"/>
      <c r="JJQ295" s="3"/>
      <c r="JJR295" s="3"/>
      <c r="JJS295" s="3"/>
      <c r="JJT295" s="3"/>
      <c r="JJU295" s="3"/>
      <c r="JJV295" s="3"/>
      <c r="JJW295" s="3"/>
      <c r="JJX295" s="3"/>
      <c r="JJY295" s="3"/>
      <c r="JJZ295" s="3"/>
      <c r="JKA295" s="3"/>
      <c r="JKB295" s="3"/>
      <c r="JKC295" s="3"/>
      <c r="JKD295" s="3"/>
      <c r="JKE295" s="3"/>
      <c r="JKF295" s="3"/>
      <c r="JKG295" s="3"/>
      <c r="JKH295" s="3"/>
      <c r="JKI295" s="3"/>
      <c r="JKJ295" s="3"/>
      <c r="JKK295" s="3"/>
      <c r="JKL295" s="3"/>
      <c r="JKM295" s="3"/>
      <c r="JKN295" s="3"/>
      <c r="JKO295" s="3"/>
      <c r="JKP295" s="3"/>
      <c r="JKQ295" s="3"/>
      <c r="JKR295" s="3"/>
      <c r="JKS295" s="3"/>
      <c r="JKT295" s="3"/>
      <c r="JKU295" s="3"/>
      <c r="JKV295" s="3"/>
      <c r="JKW295" s="3"/>
      <c r="JKX295" s="3"/>
      <c r="JKY295" s="3"/>
      <c r="JKZ295" s="3"/>
      <c r="JLA295" s="3"/>
      <c r="JLB295" s="3"/>
      <c r="JLC295" s="3"/>
      <c r="JLD295" s="3"/>
      <c r="JLE295" s="3"/>
      <c r="JLF295" s="3"/>
      <c r="JLG295" s="3"/>
      <c r="JLH295" s="3"/>
      <c r="JLI295" s="3"/>
      <c r="JLJ295" s="3"/>
      <c r="JLK295" s="3"/>
      <c r="JLL295" s="3"/>
      <c r="JLM295" s="3"/>
      <c r="JLN295" s="3"/>
      <c r="JLO295" s="3"/>
      <c r="JLP295" s="3"/>
      <c r="JLQ295" s="3"/>
      <c r="JLR295" s="3"/>
      <c r="JLS295" s="3"/>
      <c r="JLT295" s="3"/>
      <c r="JLU295" s="3"/>
      <c r="JLV295" s="3"/>
      <c r="JLW295" s="3"/>
      <c r="JLX295" s="3"/>
      <c r="JLY295" s="3"/>
      <c r="JLZ295" s="3"/>
      <c r="JMA295" s="3"/>
      <c r="JMB295" s="3"/>
      <c r="JMC295" s="3"/>
      <c r="JMD295" s="3"/>
      <c r="JME295" s="3"/>
      <c r="JMF295" s="3"/>
      <c r="JMG295" s="3"/>
      <c r="JMH295" s="3"/>
      <c r="JMI295" s="3"/>
      <c r="JMJ295" s="3"/>
      <c r="JMK295" s="3"/>
      <c r="JML295" s="3"/>
      <c r="JMM295" s="3"/>
      <c r="JMN295" s="3"/>
      <c r="JMO295" s="3"/>
      <c r="JMP295" s="3"/>
      <c r="JMQ295" s="3"/>
      <c r="JMR295" s="3"/>
      <c r="JMS295" s="3"/>
      <c r="JMT295" s="3"/>
      <c r="JMU295" s="3"/>
      <c r="JMV295" s="3"/>
      <c r="JMW295" s="3"/>
      <c r="JMX295" s="3"/>
      <c r="JMY295" s="3"/>
      <c r="JMZ295" s="3"/>
      <c r="JNA295" s="3"/>
      <c r="JNB295" s="3"/>
      <c r="JNC295" s="3"/>
      <c r="JND295" s="3"/>
      <c r="JNE295" s="3"/>
      <c r="JNF295" s="3"/>
      <c r="JNG295" s="3"/>
      <c r="JNH295" s="3"/>
      <c r="JNI295" s="3"/>
      <c r="JNJ295" s="3"/>
      <c r="JNK295" s="3"/>
      <c r="JNL295" s="3"/>
      <c r="JNM295" s="3"/>
      <c r="JNN295" s="3"/>
      <c r="JNO295" s="3"/>
      <c r="JNP295" s="3"/>
      <c r="JNQ295" s="3"/>
      <c r="JNR295" s="3"/>
      <c r="JNS295" s="3"/>
      <c r="JNT295" s="3"/>
      <c r="JNU295" s="3"/>
      <c r="JNV295" s="3"/>
      <c r="JNW295" s="3"/>
      <c r="JNX295" s="3"/>
      <c r="JNY295" s="3"/>
      <c r="JNZ295" s="3"/>
      <c r="JOA295" s="3"/>
      <c r="JOB295" s="3"/>
      <c r="JOC295" s="3"/>
      <c r="JOD295" s="3"/>
      <c r="JOE295" s="3"/>
      <c r="JOF295" s="3"/>
      <c r="JOG295" s="3"/>
      <c r="JOH295" s="3"/>
      <c r="JOI295" s="3"/>
      <c r="JOJ295" s="3"/>
      <c r="JOK295" s="3"/>
      <c r="JOL295" s="3"/>
      <c r="JOM295" s="3"/>
      <c r="JON295" s="3"/>
      <c r="JOO295" s="3"/>
      <c r="JOP295" s="3"/>
      <c r="JOQ295" s="3"/>
      <c r="JOR295" s="3"/>
      <c r="JOS295" s="3"/>
      <c r="JOT295" s="3"/>
      <c r="JOU295" s="3"/>
      <c r="JOV295" s="3"/>
      <c r="JOW295" s="3"/>
      <c r="JOX295" s="3"/>
      <c r="JOY295" s="3"/>
      <c r="JOZ295" s="3"/>
      <c r="JPA295" s="3"/>
      <c r="JPB295" s="3"/>
      <c r="JPC295" s="3"/>
      <c r="JPD295" s="3"/>
      <c r="JPE295" s="3"/>
      <c r="JPF295" s="3"/>
      <c r="JPG295" s="3"/>
      <c r="JPH295" s="3"/>
      <c r="JPI295" s="3"/>
      <c r="JPJ295" s="3"/>
      <c r="JPK295" s="3"/>
      <c r="JPL295" s="3"/>
      <c r="JPM295" s="3"/>
      <c r="JPN295" s="3"/>
      <c r="JPO295" s="3"/>
      <c r="JPP295" s="3"/>
      <c r="JPQ295" s="3"/>
      <c r="JPR295" s="3"/>
      <c r="JPS295" s="3"/>
      <c r="JPT295" s="3"/>
      <c r="JPU295" s="3"/>
      <c r="JPV295" s="3"/>
      <c r="JPW295" s="3"/>
      <c r="JPX295" s="3"/>
      <c r="JPY295" s="3"/>
      <c r="JPZ295" s="3"/>
      <c r="JQA295" s="3"/>
      <c r="JQB295" s="3"/>
      <c r="JQC295" s="3"/>
      <c r="JQD295" s="3"/>
      <c r="JQE295" s="3"/>
      <c r="JQF295" s="3"/>
      <c r="JQG295" s="3"/>
      <c r="JQH295" s="3"/>
      <c r="JQI295" s="3"/>
      <c r="JQJ295" s="3"/>
      <c r="JQK295" s="3"/>
      <c r="JQL295" s="3"/>
      <c r="JQM295" s="3"/>
      <c r="JQN295" s="3"/>
      <c r="JQO295" s="3"/>
      <c r="JQP295" s="3"/>
      <c r="JQQ295" s="3"/>
      <c r="JQR295" s="3"/>
      <c r="JQS295" s="3"/>
      <c r="JQT295" s="3"/>
      <c r="JQU295" s="3"/>
      <c r="JQV295" s="3"/>
      <c r="JQW295" s="3"/>
      <c r="JQX295" s="3"/>
      <c r="JQY295" s="3"/>
      <c r="JQZ295" s="3"/>
      <c r="JRA295" s="3"/>
      <c r="JRB295" s="3"/>
      <c r="JRC295" s="3"/>
      <c r="JRD295" s="3"/>
      <c r="JRE295" s="3"/>
      <c r="JRF295" s="3"/>
      <c r="JRG295" s="3"/>
      <c r="JRH295" s="3"/>
      <c r="JRI295" s="3"/>
      <c r="JRJ295" s="3"/>
      <c r="JRK295" s="3"/>
      <c r="JRL295" s="3"/>
      <c r="JRM295" s="3"/>
      <c r="JRN295" s="3"/>
      <c r="JRO295" s="3"/>
      <c r="JRP295" s="3"/>
      <c r="JRQ295" s="3"/>
      <c r="JRR295" s="3"/>
      <c r="JRS295" s="3"/>
      <c r="JRT295" s="3"/>
      <c r="JRU295" s="3"/>
      <c r="JRV295" s="3"/>
      <c r="JRW295" s="3"/>
      <c r="JRX295" s="3"/>
      <c r="JRY295" s="3"/>
      <c r="JRZ295" s="3"/>
      <c r="JSA295" s="3"/>
      <c r="JSB295" s="3"/>
      <c r="JSC295" s="3"/>
      <c r="JSD295" s="3"/>
      <c r="JSE295" s="3"/>
      <c r="JSF295" s="3"/>
      <c r="JSG295" s="3"/>
      <c r="JSH295" s="3"/>
      <c r="JSI295" s="3"/>
      <c r="JSJ295" s="3"/>
      <c r="JSK295" s="3"/>
      <c r="JSL295" s="3"/>
      <c r="JSM295" s="3"/>
      <c r="JSN295" s="3"/>
      <c r="JSO295" s="3"/>
      <c r="JSP295" s="3"/>
      <c r="JSQ295" s="3"/>
      <c r="JSR295" s="3"/>
      <c r="JSS295" s="3"/>
      <c r="JST295" s="3"/>
      <c r="JSU295" s="3"/>
      <c r="JSV295" s="3"/>
      <c r="JSW295" s="3"/>
      <c r="JSX295" s="3"/>
      <c r="JSY295" s="3"/>
      <c r="JSZ295" s="3"/>
      <c r="JTA295" s="3"/>
      <c r="JTB295" s="3"/>
      <c r="JTC295" s="3"/>
      <c r="JTD295" s="3"/>
      <c r="JTE295" s="3"/>
      <c r="JTF295" s="3"/>
      <c r="JTG295" s="3"/>
      <c r="JTH295" s="3"/>
      <c r="JTI295" s="3"/>
      <c r="JTJ295" s="3"/>
      <c r="JTK295" s="3"/>
      <c r="JTL295" s="3"/>
      <c r="JTM295" s="3"/>
      <c r="JTN295" s="3"/>
      <c r="JTO295" s="3"/>
      <c r="JTP295" s="3"/>
      <c r="JTQ295" s="3"/>
      <c r="JTR295" s="3"/>
      <c r="JTS295" s="3"/>
      <c r="JTT295" s="3"/>
      <c r="JTU295" s="3"/>
      <c r="JTV295" s="3"/>
      <c r="JTW295" s="3"/>
      <c r="JTX295" s="3"/>
      <c r="JTY295" s="3"/>
      <c r="JTZ295" s="3"/>
      <c r="JUA295" s="3"/>
      <c r="JUB295" s="3"/>
      <c r="JUC295" s="3"/>
      <c r="JUD295" s="3"/>
      <c r="JUE295" s="3"/>
      <c r="JUF295" s="3"/>
      <c r="JUG295" s="3"/>
      <c r="JUH295" s="3"/>
      <c r="JUI295" s="3"/>
      <c r="JUJ295" s="3"/>
      <c r="JUK295" s="3"/>
      <c r="JUL295" s="3"/>
      <c r="JUM295" s="3"/>
      <c r="JUN295" s="3"/>
      <c r="JUO295" s="3"/>
      <c r="JUP295" s="3"/>
      <c r="JUQ295" s="3"/>
      <c r="JUR295" s="3"/>
      <c r="JUS295" s="3"/>
      <c r="JUT295" s="3"/>
      <c r="JUU295" s="3"/>
      <c r="JUV295" s="3"/>
      <c r="JUW295" s="3"/>
      <c r="JUX295" s="3"/>
      <c r="JUY295" s="3"/>
      <c r="JUZ295" s="3"/>
      <c r="JVA295" s="3"/>
      <c r="JVB295" s="3"/>
      <c r="JVC295" s="3"/>
      <c r="JVD295" s="3"/>
      <c r="JVE295" s="3"/>
      <c r="JVF295" s="3"/>
      <c r="JVG295" s="3"/>
      <c r="JVH295" s="3"/>
      <c r="JVI295" s="3"/>
      <c r="JVJ295" s="3"/>
      <c r="JVK295" s="3"/>
      <c r="JVL295" s="3"/>
      <c r="JVM295" s="3"/>
      <c r="JVN295" s="3"/>
      <c r="JVO295" s="3"/>
      <c r="JVP295" s="3"/>
      <c r="JVQ295" s="3"/>
      <c r="JVR295" s="3"/>
      <c r="JVS295" s="3"/>
      <c r="JVT295" s="3"/>
      <c r="JVU295" s="3"/>
      <c r="JVV295" s="3"/>
      <c r="JVW295" s="3"/>
      <c r="JVX295" s="3"/>
      <c r="JVY295" s="3"/>
      <c r="JVZ295" s="3"/>
      <c r="JWA295" s="3"/>
      <c r="JWB295" s="3"/>
      <c r="JWC295" s="3"/>
      <c r="JWD295" s="3"/>
      <c r="JWE295" s="3"/>
      <c r="JWF295" s="3"/>
      <c r="JWG295" s="3"/>
      <c r="JWH295" s="3"/>
      <c r="JWI295" s="3"/>
      <c r="JWJ295" s="3"/>
      <c r="JWK295" s="3"/>
      <c r="JWL295" s="3"/>
      <c r="JWM295" s="3"/>
      <c r="JWN295" s="3"/>
      <c r="JWO295" s="3"/>
      <c r="JWP295" s="3"/>
      <c r="JWQ295" s="3"/>
      <c r="JWR295" s="3"/>
      <c r="JWS295" s="3"/>
      <c r="JWT295" s="3"/>
      <c r="JWU295" s="3"/>
      <c r="JWV295" s="3"/>
      <c r="JWW295" s="3"/>
      <c r="JWX295" s="3"/>
      <c r="JWY295" s="3"/>
      <c r="JWZ295" s="3"/>
      <c r="JXA295" s="3"/>
      <c r="JXB295" s="3"/>
      <c r="JXC295" s="3"/>
      <c r="JXD295" s="3"/>
      <c r="JXE295" s="3"/>
      <c r="JXF295" s="3"/>
      <c r="JXG295" s="3"/>
      <c r="JXH295" s="3"/>
      <c r="JXI295" s="3"/>
      <c r="JXJ295" s="3"/>
      <c r="JXK295" s="3"/>
      <c r="JXL295" s="3"/>
      <c r="JXM295" s="3"/>
      <c r="JXN295" s="3"/>
      <c r="JXO295" s="3"/>
      <c r="JXP295" s="3"/>
      <c r="JXQ295" s="3"/>
      <c r="JXR295" s="3"/>
      <c r="JXS295" s="3"/>
      <c r="JXT295" s="3"/>
      <c r="JXU295" s="3"/>
      <c r="JXV295" s="3"/>
      <c r="JXW295" s="3"/>
      <c r="JXX295" s="3"/>
      <c r="JXY295" s="3"/>
      <c r="JXZ295" s="3"/>
      <c r="JYA295" s="3"/>
      <c r="JYB295" s="3"/>
      <c r="JYC295" s="3"/>
      <c r="JYD295" s="3"/>
      <c r="JYE295" s="3"/>
      <c r="JYF295" s="3"/>
      <c r="JYG295" s="3"/>
      <c r="JYH295" s="3"/>
      <c r="JYI295" s="3"/>
      <c r="JYJ295" s="3"/>
      <c r="JYK295" s="3"/>
      <c r="JYL295" s="3"/>
      <c r="JYM295" s="3"/>
      <c r="JYN295" s="3"/>
      <c r="JYO295" s="3"/>
      <c r="JYP295" s="3"/>
      <c r="JYQ295" s="3"/>
      <c r="JYR295" s="3"/>
      <c r="JYS295" s="3"/>
      <c r="JYT295" s="3"/>
      <c r="JYU295" s="3"/>
      <c r="JYV295" s="3"/>
      <c r="JYW295" s="3"/>
      <c r="JYX295" s="3"/>
      <c r="JYY295" s="3"/>
      <c r="JYZ295" s="3"/>
      <c r="JZA295" s="3"/>
      <c r="JZB295" s="3"/>
      <c r="JZC295" s="3"/>
      <c r="JZD295" s="3"/>
      <c r="JZE295" s="3"/>
      <c r="JZF295" s="3"/>
      <c r="JZG295" s="3"/>
      <c r="JZH295" s="3"/>
      <c r="JZI295" s="3"/>
      <c r="JZJ295" s="3"/>
      <c r="JZK295" s="3"/>
      <c r="JZL295" s="3"/>
      <c r="JZM295" s="3"/>
      <c r="JZN295" s="3"/>
      <c r="JZO295" s="3"/>
      <c r="JZP295" s="3"/>
      <c r="JZQ295" s="3"/>
      <c r="JZR295" s="3"/>
      <c r="JZS295" s="3"/>
      <c r="JZT295" s="3"/>
      <c r="JZU295" s="3"/>
      <c r="JZV295" s="3"/>
      <c r="JZW295" s="3"/>
      <c r="JZX295" s="3"/>
      <c r="JZY295" s="3"/>
      <c r="JZZ295" s="3"/>
      <c r="KAA295" s="3"/>
      <c r="KAB295" s="3"/>
      <c r="KAC295" s="3"/>
      <c r="KAD295" s="3"/>
      <c r="KAE295" s="3"/>
      <c r="KAF295" s="3"/>
      <c r="KAG295" s="3"/>
      <c r="KAH295" s="3"/>
      <c r="KAI295" s="3"/>
      <c r="KAJ295" s="3"/>
      <c r="KAK295" s="3"/>
      <c r="KAL295" s="3"/>
      <c r="KAM295" s="3"/>
      <c r="KAN295" s="3"/>
      <c r="KAO295" s="3"/>
      <c r="KAP295" s="3"/>
      <c r="KAQ295" s="3"/>
      <c r="KAR295" s="3"/>
      <c r="KAS295" s="3"/>
      <c r="KAT295" s="3"/>
      <c r="KAU295" s="3"/>
      <c r="KAV295" s="3"/>
      <c r="KAW295" s="3"/>
      <c r="KAX295" s="3"/>
      <c r="KAY295" s="3"/>
      <c r="KAZ295" s="3"/>
      <c r="KBA295" s="3"/>
      <c r="KBB295" s="3"/>
      <c r="KBC295" s="3"/>
      <c r="KBD295" s="3"/>
      <c r="KBE295" s="3"/>
      <c r="KBF295" s="3"/>
      <c r="KBG295" s="3"/>
      <c r="KBH295" s="3"/>
      <c r="KBI295" s="3"/>
      <c r="KBJ295" s="3"/>
      <c r="KBK295" s="3"/>
      <c r="KBL295" s="3"/>
      <c r="KBM295" s="3"/>
      <c r="KBN295" s="3"/>
      <c r="KBO295" s="3"/>
      <c r="KBP295" s="3"/>
      <c r="KBQ295" s="3"/>
      <c r="KBR295" s="3"/>
      <c r="KBS295" s="3"/>
      <c r="KBT295" s="3"/>
      <c r="KBU295" s="3"/>
      <c r="KBV295" s="3"/>
      <c r="KBW295" s="3"/>
      <c r="KBX295" s="3"/>
      <c r="KBY295" s="3"/>
      <c r="KBZ295" s="3"/>
      <c r="KCA295" s="3"/>
      <c r="KCB295" s="3"/>
      <c r="KCC295" s="3"/>
      <c r="KCD295" s="3"/>
      <c r="KCE295" s="3"/>
      <c r="KCF295" s="3"/>
      <c r="KCG295" s="3"/>
      <c r="KCH295" s="3"/>
      <c r="KCI295" s="3"/>
      <c r="KCJ295" s="3"/>
      <c r="KCK295" s="3"/>
      <c r="KCL295" s="3"/>
      <c r="KCM295" s="3"/>
      <c r="KCN295" s="3"/>
      <c r="KCO295" s="3"/>
      <c r="KCP295" s="3"/>
      <c r="KCQ295" s="3"/>
      <c r="KCR295" s="3"/>
      <c r="KCS295" s="3"/>
      <c r="KCT295" s="3"/>
      <c r="KCU295" s="3"/>
      <c r="KCV295" s="3"/>
      <c r="KCW295" s="3"/>
      <c r="KCX295" s="3"/>
      <c r="KCY295" s="3"/>
      <c r="KCZ295" s="3"/>
      <c r="KDA295" s="3"/>
      <c r="KDB295" s="3"/>
      <c r="KDC295" s="3"/>
      <c r="KDD295" s="3"/>
      <c r="KDE295" s="3"/>
      <c r="KDF295" s="3"/>
      <c r="KDG295" s="3"/>
      <c r="KDH295" s="3"/>
      <c r="KDI295" s="3"/>
      <c r="KDJ295" s="3"/>
      <c r="KDK295" s="3"/>
      <c r="KDL295" s="3"/>
      <c r="KDM295" s="3"/>
      <c r="KDN295" s="3"/>
      <c r="KDO295" s="3"/>
      <c r="KDP295" s="3"/>
      <c r="KDQ295" s="3"/>
      <c r="KDR295" s="3"/>
      <c r="KDS295" s="3"/>
      <c r="KDT295" s="3"/>
      <c r="KDU295" s="3"/>
      <c r="KDV295" s="3"/>
      <c r="KDW295" s="3"/>
      <c r="KDX295" s="3"/>
      <c r="KDY295" s="3"/>
      <c r="KDZ295" s="3"/>
      <c r="KEA295" s="3"/>
      <c r="KEB295" s="3"/>
      <c r="KEC295" s="3"/>
      <c r="KED295" s="3"/>
      <c r="KEE295" s="3"/>
      <c r="KEF295" s="3"/>
      <c r="KEG295" s="3"/>
      <c r="KEH295" s="3"/>
      <c r="KEI295" s="3"/>
      <c r="KEJ295" s="3"/>
      <c r="KEK295" s="3"/>
      <c r="KEL295" s="3"/>
      <c r="KEM295" s="3"/>
      <c r="KEN295" s="3"/>
      <c r="KEO295" s="3"/>
      <c r="KEP295" s="3"/>
      <c r="KEQ295" s="3"/>
      <c r="KER295" s="3"/>
      <c r="KES295" s="3"/>
      <c r="KET295" s="3"/>
      <c r="KEU295" s="3"/>
      <c r="KEV295" s="3"/>
      <c r="KEW295" s="3"/>
      <c r="KEX295" s="3"/>
      <c r="KEY295" s="3"/>
      <c r="KEZ295" s="3"/>
      <c r="KFA295" s="3"/>
      <c r="KFB295" s="3"/>
      <c r="KFC295" s="3"/>
      <c r="KFD295" s="3"/>
      <c r="KFE295" s="3"/>
      <c r="KFF295" s="3"/>
      <c r="KFG295" s="3"/>
      <c r="KFH295" s="3"/>
      <c r="KFI295" s="3"/>
      <c r="KFJ295" s="3"/>
      <c r="KFK295" s="3"/>
      <c r="KFL295" s="3"/>
      <c r="KFM295" s="3"/>
      <c r="KFN295" s="3"/>
      <c r="KFO295" s="3"/>
      <c r="KFP295" s="3"/>
      <c r="KFQ295" s="3"/>
      <c r="KFR295" s="3"/>
      <c r="KFS295" s="3"/>
      <c r="KFT295" s="3"/>
      <c r="KFU295" s="3"/>
      <c r="KFV295" s="3"/>
      <c r="KFW295" s="3"/>
      <c r="KFX295" s="3"/>
      <c r="KFY295" s="3"/>
      <c r="KFZ295" s="3"/>
      <c r="KGA295" s="3"/>
      <c r="KGB295" s="3"/>
      <c r="KGC295" s="3"/>
      <c r="KGD295" s="3"/>
      <c r="KGE295" s="3"/>
      <c r="KGF295" s="3"/>
      <c r="KGG295" s="3"/>
      <c r="KGH295" s="3"/>
      <c r="KGI295" s="3"/>
      <c r="KGJ295" s="3"/>
      <c r="KGK295" s="3"/>
      <c r="KGL295" s="3"/>
      <c r="KGM295" s="3"/>
      <c r="KGN295" s="3"/>
      <c r="KGO295" s="3"/>
      <c r="KGP295" s="3"/>
      <c r="KGQ295" s="3"/>
      <c r="KGR295" s="3"/>
      <c r="KGS295" s="3"/>
      <c r="KGT295" s="3"/>
      <c r="KGU295" s="3"/>
      <c r="KGV295" s="3"/>
      <c r="KGW295" s="3"/>
      <c r="KGX295" s="3"/>
      <c r="KGY295" s="3"/>
      <c r="KGZ295" s="3"/>
      <c r="KHA295" s="3"/>
      <c r="KHB295" s="3"/>
      <c r="KHC295" s="3"/>
      <c r="KHD295" s="3"/>
      <c r="KHE295" s="3"/>
      <c r="KHF295" s="3"/>
      <c r="KHG295" s="3"/>
      <c r="KHH295" s="3"/>
      <c r="KHI295" s="3"/>
      <c r="KHJ295" s="3"/>
      <c r="KHK295" s="3"/>
      <c r="KHL295" s="3"/>
      <c r="KHM295" s="3"/>
      <c r="KHN295" s="3"/>
      <c r="KHO295" s="3"/>
      <c r="KHP295" s="3"/>
      <c r="KHQ295" s="3"/>
      <c r="KHR295" s="3"/>
      <c r="KHS295" s="3"/>
      <c r="KHT295" s="3"/>
      <c r="KHU295" s="3"/>
      <c r="KHV295" s="3"/>
      <c r="KHW295" s="3"/>
      <c r="KHX295" s="3"/>
      <c r="KHY295" s="3"/>
      <c r="KHZ295" s="3"/>
      <c r="KIA295" s="3"/>
      <c r="KIB295" s="3"/>
      <c r="KIC295" s="3"/>
      <c r="KID295" s="3"/>
      <c r="KIE295" s="3"/>
      <c r="KIF295" s="3"/>
      <c r="KIG295" s="3"/>
      <c r="KIH295" s="3"/>
      <c r="KII295" s="3"/>
      <c r="KIJ295" s="3"/>
      <c r="KIK295" s="3"/>
      <c r="KIL295" s="3"/>
      <c r="KIM295" s="3"/>
      <c r="KIN295" s="3"/>
      <c r="KIO295" s="3"/>
      <c r="KIP295" s="3"/>
      <c r="KIQ295" s="3"/>
      <c r="KIR295" s="3"/>
      <c r="KIS295" s="3"/>
      <c r="KIT295" s="3"/>
      <c r="KIU295" s="3"/>
      <c r="KIV295" s="3"/>
      <c r="KIW295" s="3"/>
      <c r="KIX295" s="3"/>
      <c r="KIY295" s="3"/>
      <c r="KIZ295" s="3"/>
      <c r="KJA295" s="3"/>
      <c r="KJB295" s="3"/>
      <c r="KJC295" s="3"/>
      <c r="KJD295" s="3"/>
      <c r="KJE295" s="3"/>
      <c r="KJF295" s="3"/>
      <c r="KJG295" s="3"/>
      <c r="KJH295" s="3"/>
      <c r="KJI295" s="3"/>
      <c r="KJJ295" s="3"/>
      <c r="KJK295" s="3"/>
      <c r="KJL295" s="3"/>
      <c r="KJM295" s="3"/>
      <c r="KJN295" s="3"/>
      <c r="KJO295" s="3"/>
      <c r="KJP295" s="3"/>
      <c r="KJQ295" s="3"/>
      <c r="KJR295" s="3"/>
      <c r="KJS295" s="3"/>
      <c r="KJT295" s="3"/>
      <c r="KJU295" s="3"/>
      <c r="KJV295" s="3"/>
      <c r="KJW295" s="3"/>
      <c r="KJX295" s="3"/>
      <c r="KJY295" s="3"/>
      <c r="KJZ295" s="3"/>
      <c r="KKA295" s="3"/>
      <c r="KKB295" s="3"/>
      <c r="KKC295" s="3"/>
      <c r="KKD295" s="3"/>
      <c r="KKE295" s="3"/>
      <c r="KKF295" s="3"/>
      <c r="KKG295" s="3"/>
      <c r="KKH295" s="3"/>
      <c r="KKI295" s="3"/>
      <c r="KKJ295" s="3"/>
      <c r="KKK295" s="3"/>
      <c r="KKL295" s="3"/>
      <c r="KKM295" s="3"/>
      <c r="KKN295" s="3"/>
      <c r="KKO295" s="3"/>
      <c r="KKP295" s="3"/>
      <c r="KKQ295" s="3"/>
      <c r="KKR295" s="3"/>
      <c r="KKS295" s="3"/>
      <c r="KKT295" s="3"/>
      <c r="KKU295" s="3"/>
      <c r="KKV295" s="3"/>
      <c r="KKW295" s="3"/>
      <c r="KKX295" s="3"/>
      <c r="KKY295" s="3"/>
      <c r="KKZ295" s="3"/>
      <c r="KLA295" s="3"/>
      <c r="KLB295" s="3"/>
      <c r="KLC295" s="3"/>
      <c r="KLD295" s="3"/>
      <c r="KLE295" s="3"/>
      <c r="KLF295" s="3"/>
      <c r="KLG295" s="3"/>
      <c r="KLH295" s="3"/>
      <c r="KLI295" s="3"/>
      <c r="KLJ295" s="3"/>
      <c r="KLK295" s="3"/>
      <c r="KLL295" s="3"/>
      <c r="KLM295" s="3"/>
      <c r="KLN295" s="3"/>
      <c r="KLO295" s="3"/>
      <c r="KLP295" s="3"/>
      <c r="KLQ295" s="3"/>
      <c r="KLR295" s="3"/>
      <c r="KLS295" s="3"/>
      <c r="KLT295" s="3"/>
      <c r="KLU295" s="3"/>
      <c r="KLV295" s="3"/>
      <c r="KLW295" s="3"/>
      <c r="KLX295" s="3"/>
      <c r="KLY295" s="3"/>
      <c r="KLZ295" s="3"/>
      <c r="KMA295" s="3"/>
      <c r="KMB295" s="3"/>
      <c r="KMC295" s="3"/>
      <c r="KMD295" s="3"/>
      <c r="KME295" s="3"/>
      <c r="KMF295" s="3"/>
      <c r="KMG295" s="3"/>
      <c r="KMH295" s="3"/>
      <c r="KMI295" s="3"/>
      <c r="KMJ295" s="3"/>
      <c r="KMK295" s="3"/>
      <c r="KML295" s="3"/>
      <c r="KMM295" s="3"/>
      <c r="KMN295" s="3"/>
      <c r="KMO295" s="3"/>
      <c r="KMP295" s="3"/>
      <c r="KMQ295" s="3"/>
      <c r="KMR295" s="3"/>
      <c r="KMS295" s="3"/>
      <c r="KMT295" s="3"/>
      <c r="KMU295" s="3"/>
      <c r="KMV295" s="3"/>
      <c r="KMW295" s="3"/>
      <c r="KMX295" s="3"/>
      <c r="KMY295" s="3"/>
      <c r="KMZ295" s="3"/>
      <c r="KNA295" s="3"/>
      <c r="KNB295" s="3"/>
      <c r="KNC295" s="3"/>
      <c r="KND295" s="3"/>
      <c r="KNE295" s="3"/>
      <c r="KNF295" s="3"/>
      <c r="KNG295" s="3"/>
      <c r="KNH295" s="3"/>
      <c r="KNI295" s="3"/>
      <c r="KNJ295" s="3"/>
      <c r="KNK295" s="3"/>
      <c r="KNL295" s="3"/>
      <c r="KNM295" s="3"/>
      <c r="KNN295" s="3"/>
      <c r="KNO295" s="3"/>
      <c r="KNP295" s="3"/>
      <c r="KNQ295" s="3"/>
      <c r="KNR295" s="3"/>
      <c r="KNS295" s="3"/>
      <c r="KNT295" s="3"/>
      <c r="KNU295" s="3"/>
      <c r="KNV295" s="3"/>
      <c r="KNW295" s="3"/>
      <c r="KNX295" s="3"/>
      <c r="KNY295" s="3"/>
      <c r="KNZ295" s="3"/>
      <c r="KOA295" s="3"/>
      <c r="KOB295" s="3"/>
      <c r="KOC295" s="3"/>
      <c r="KOD295" s="3"/>
      <c r="KOE295" s="3"/>
      <c r="KOF295" s="3"/>
      <c r="KOG295" s="3"/>
      <c r="KOH295" s="3"/>
      <c r="KOI295" s="3"/>
      <c r="KOJ295" s="3"/>
      <c r="KOK295" s="3"/>
      <c r="KOL295" s="3"/>
      <c r="KOM295" s="3"/>
      <c r="KON295" s="3"/>
      <c r="KOO295" s="3"/>
      <c r="KOP295" s="3"/>
      <c r="KOQ295" s="3"/>
      <c r="KOR295" s="3"/>
      <c r="KOS295" s="3"/>
      <c r="KOT295" s="3"/>
      <c r="KOU295" s="3"/>
      <c r="KOV295" s="3"/>
      <c r="KOW295" s="3"/>
      <c r="KOX295" s="3"/>
      <c r="KOY295" s="3"/>
      <c r="KOZ295" s="3"/>
      <c r="KPA295" s="3"/>
      <c r="KPB295" s="3"/>
      <c r="KPC295" s="3"/>
      <c r="KPD295" s="3"/>
      <c r="KPE295" s="3"/>
      <c r="KPF295" s="3"/>
      <c r="KPG295" s="3"/>
      <c r="KPH295" s="3"/>
      <c r="KPI295" s="3"/>
      <c r="KPJ295" s="3"/>
      <c r="KPK295" s="3"/>
      <c r="KPL295" s="3"/>
      <c r="KPM295" s="3"/>
      <c r="KPN295" s="3"/>
      <c r="KPO295" s="3"/>
      <c r="KPP295" s="3"/>
      <c r="KPQ295" s="3"/>
      <c r="KPR295" s="3"/>
      <c r="KPS295" s="3"/>
      <c r="KPT295" s="3"/>
      <c r="KPU295" s="3"/>
      <c r="KPV295" s="3"/>
      <c r="KPW295" s="3"/>
      <c r="KPX295" s="3"/>
      <c r="KPY295" s="3"/>
      <c r="KPZ295" s="3"/>
      <c r="KQA295" s="3"/>
      <c r="KQB295" s="3"/>
      <c r="KQC295" s="3"/>
      <c r="KQD295" s="3"/>
      <c r="KQE295" s="3"/>
      <c r="KQF295" s="3"/>
      <c r="KQG295" s="3"/>
      <c r="KQH295" s="3"/>
      <c r="KQI295" s="3"/>
      <c r="KQJ295" s="3"/>
      <c r="KQK295" s="3"/>
      <c r="KQL295" s="3"/>
      <c r="KQM295" s="3"/>
      <c r="KQN295" s="3"/>
      <c r="KQO295" s="3"/>
      <c r="KQP295" s="3"/>
      <c r="KQQ295" s="3"/>
      <c r="KQR295" s="3"/>
      <c r="KQS295" s="3"/>
      <c r="KQT295" s="3"/>
      <c r="KQU295" s="3"/>
      <c r="KQV295" s="3"/>
      <c r="KQW295" s="3"/>
      <c r="KQX295" s="3"/>
      <c r="KQY295" s="3"/>
      <c r="KQZ295" s="3"/>
      <c r="KRA295" s="3"/>
      <c r="KRB295" s="3"/>
      <c r="KRC295" s="3"/>
      <c r="KRD295" s="3"/>
      <c r="KRE295" s="3"/>
      <c r="KRF295" s="3"/>
      <c r="KRG295" s="3"/>
      <c r="KRH295" s="3"/>
      <c r="KRI295" s="3"/>
      <c r="KRJ295" s="3"/>
      <c r="KRK295" s="3"/>
      <c r="KRL295" s="3"/>
      <c r="KRM295" s="3"/>
      <c r="KRN295" s="3"/>
      <c r="KRO295" s="3"/>
      <c r="KRP295" s="3"/>
      <c r="KRQ295" s="3"/>
      <c r="KRR295" s="3"/>
      <c r="KRS295" s="3"/>
      <c r="KRT295" s="3"/>
      <c r="KRU295" s="3"/>
      <c r="KRV295" s="3"/>
      <c r="KRW295" s="3"/>
      <c r="KRX295" s="3"/>
      <c r="KRY295" s="3"/>
      <c r="KRZ295" s="3"/>
      <c r="KSA295" s="3"/>
      <c r="KSB295" s="3"/>
      <c r="KSC295" s="3"/>
      <c r="KSD295" s="3"/>
      <c r="KSE295" s="3"/>
      <c r="KSF295" s="3"/>
      <c r="KSG295" s="3"/>
      <c r="KSH295" s="3"/>
      <c r="KSI295" s="3"/>
      <c r="KSJ295" s="3"/>
      <c r="KSK295" s="3"/>
      <c r="KSL295" s="3"/>
      <c r="KSM295" s="3"/>
      <c r="KSN295" s="3"/>
      <c r="KSO295" s="3"/>
      <c r="KSP295" s="3"/>
      <c r="KSQ295" s="3"/>
      <c r="KSR295" s="3"/>
      <c r="KSS295" s="3"/>
      <c r="KST295" s="3"/>
      <c r="KSU295" s="3"/>
      <c r="KSV295" s="3"/>
      <c r="KSW295" s="3"/>
      <c r="KSX295" s="3"/>
      <c r="KSY295" s="3"/>
      <c r="KSZ295" s="3"/>
      <c r="KTA295" s="3"/>
      <c r="KTB295" s="3"/>
      <c r="KTC295" s="3"/>
      <c r="KTD295" s="3"/>
      <c r="KTE295" s="3"/>
      <c r="KTF295" s="3"/>
      <c r="KTG295" s="3"/>
      <c r="KTH295" s="3"/>
      <c r="KTI295" s="3"/>
      <c r="KTJ295" s="3"/>
      <c r="KTK295" s="3"/>
      <c r="KTL295" s="3"/>
      <c r="KTM295" s="3"/>
      <c r="KTN295" s="3"/>
      <c r="KTO295" s="3"/>
      <c r="KTP295" s="3"/>
      <c r="KTQ295" s="3"/>
      <c r="KTR295" s="3"/>
      <c r="KTS295" s="3"/>
      <c r="KTT295" s="3"/>
      <c r="KTU295" s="3"/>
      <c r="KTV295" s="3"/>
      <c r="KTW295" s="3"/>
      <c r="KTX295" s="3"/>
      <c r="KTY295" s="3"/>
      <c r="KTZ295" s="3"/>
      <c r="KUA295" s="3"/>
      <c r="KUB295" s="3"/>
      <c r="KUC295" s="3"/>
      <c r="KUD295" s="3"/>
      <c r="KUE295" s="3"/>
      <c r="KUF295" s="3"/>
      <c r="KUG295" s="3"/>
      <c r="KUH295" s="3"/>
      <c r="KUI295" s="3"/>
      <c r="KUJ295" s="3"/>
      <c r="KUK295" s="3"/>
      <c r="KUL295" s="3"/>
      <c r="KUM295" s="3"/>
      <c r="KUN295" s="3"/>
      <c r="KUO295" s="3"/>
      <c r="KUP295" s="3"/>
      <c r="KUQ295" s="3"/>
      <c r="KUR295" s="3"/>
      <c r="KUS295" s="3"/>
      <c r="KUT295" s="3"/>
      <c r="KUU295" s="3"/>
      <c r="KUV295" s="3"/>
      <c r="KUW295" s="3"/>
      <c r="KUX295" s="3"/>
      <c r="KUY295" s="3"/>
      <c r="KUZ295" s="3"/>
      <c r="KVA295" s="3"/>
      <c r="KVB295" s="3"/>
      <c r="KVC295" s="3"/>
      <c r="KVD295" s="3"/>
      <c r="KVE295" s="3"/>
      <c r="KVF295" s="3"/>
      <c r="KVG295" s="3"/>
      <c r="KVH295" s="3"/>
      <c r="KVI295" s="3"/>
      <c r="KVJ295" s="3"/>
      <c r="KVK295" s="3"/>
      <c r="KVL295" s="3"/>
      <c r="KVM295" s="3"/>
      <c r="KVN295" s="3"/>
      <c r="KVO295" s="3"/>
      <c r="KVP295" s="3"/>
      <c r="KVQ295" s="3"/>
      <c r="KVR295" s="3"/>
      <c r="KVS295" s="3"/>
      <c r="KVT295" s="3"/>
      <c r="KVU295" s="3"/>
      <c r="KVV295" s="3"/>
      <c r="KVW295" s="3"/>
      <c r="KVX295" s="3"/>
      <c r="KVY295" s="3"/>
      <c r="KVZ295" s="3"/>
      <c r="KWA295" s="3"/>
      <c r="KWB295" s="3"/>
      <c r="KWC295" s="3"/>
      <c r="KWD295" s="3"/>
      <c r="KWE295" s="3"/>
      <c r="KWF295" s="3"/>
      <c r="KWG295" s="3"/>
      <c r="KWH295" s="3"/>
      <c r="KWI295" s="3"/>
      <c r="KWJ295" s="3"/>
      <c r="KWK295" s="3"/>
      <c r="KWL295" s="3"/>
      <c r="KWM295" s="3"/>
      <c r="KWN295" s="3"/>
      <c r="KWO295" s="3"/>
      <c r="KWP295" s="3"/>
      <c r="KWQ295" s="3"/>
      <c r="KWR295" s="3"/>
      <c r="KWS295" s="3"/>
      <c r="KWT295" s="3"/>
      <c r="KWU295" s="3"/>
      <c r="KWV295" s="3"/>
      <c r="KWW295" s="3"/>
      <c r="KWX295" s="3"/>
      <c r="KWY295" s="3"/>
      <c r="KWZ295" s="3"/>
      <c r="KXA295" s="3"/>
      <c r="KXB295" s="3"/>
      <c r="KXC295" s="3"/>
      <c r="KXD295" s="3"/>
      <c r="KXE295" s="3"/>
      <c r="KXF295" s="3"/>
      <c r="KXG295" s="3"/>
      <c r="KXH295" s="3"/>
      <c r="KXI295" s="3"/>
      <c r="KXJ295" s="3"/>
      <c r="KXK295" s="3"/>
      <c r="KXL295" s="3"/>
      <c r="KXM295" s="3"/>
      <c r="KXN295" s="3"/>
      <c r="KXO295" s="3"/>
      <c r="KXP295" s="3"/>
      <c r="KXQ295" s="3"/>
      <c r="KXR295" s="3"/>
      <c r="KXS295" s="3"/>
      <c r="KXT295" s="3"/>
      <c r="KXU295" s="3"/>
      <c r="KXV295" s="3"/>
      <c r="KXW295" s="3"/>
      <c r="KXX295" s="3"/>
      <c r="KXY295" s="3"/>
      <c r="KXZ295" s="3"/>
      <c r="KYA295" s="3"/>
      <c r="KYB295" s="3"/>
      <c r="KYC295" s="3"/>
      <c r="KYD295" s="3"/>
      <c r="KYE295" s="3"/>
      <c r="KYF295" s="3"/>
      <c r="KYG295" s="3"/>
      <c r="KYH295" s="3"/>
      <c r="KYI295" s="3"/>
      <c r="KYJ295" s="3"/>
      <c r="KYK295" s="3"/>
      <c r="KYL295" s="3"/>
      <c r="KYM295" s="3"/>
      <c r="KYN295" s="3"/>
      <c r="KYO295" s="3"/>
      <c r="KYP295" s="3"/>
      <c r="KYQ295" s="3"/>
      <c r="KYR295" s="3"/>
      <c r="KYS295" s="3"/>
      <c r="KYT295" s="3"/>
      <c r="KYU295" s="3"/>
      <c r="KYV295" s="3"/>
      <c r="KYW295" s="3"/>
      <c r="KYX295" s="3"/>
      <c r="KYY295" s="3"/>
      <c r="KYZ295" s="3"/>
      <c r="KZA295" s="3"/>
      <c r="KZB295" s="3"/>
      <c r="KZC295" s="3"/>
      <c r="KZD295" s="3"/>
      <c r="KZE295" s="3"/>
      <c r="KZF295" s="3"/>
      <c r="KZG295" s="3"/>
      <c r="KZH295" s="3"/>
      <c r="KZI295" s="3"/>
      <c r="KZJ295" s="3"/>
      <c r="KZK295" s="3"/>
      <c r="KZL295" s="3"/>
      <c r="KZM295" s="3"/>
      <c r="KZN295" s="3"/>
      <c r="KZO295" s="3"/>
      <c r="KZP295" s="3"/>
      <c r="KZQ295" s="3"/>
      <c r="KZR295" s="3"/>
      <c r="KZS295" s="3"/>
      <c r="KZT295" s="3"/>
      <c r="KZU295" s="3"/>
      <c r="KZV295" s="3"/>
      <c r="KZW295" s="3"/>
      <c r="KZX295" s="3"/>
      <c r="KZY295" s="3"/>
      <c r="KZZ295" s="3"/>
      <c r="LAA295" s="3"/>
      <c r="LAB295" s="3"/>
      <c r="LAC295" s="3"/>
      <c r="LAD295" s="3"/>
      <c r="LAE295" s="3"/>
      <c r="LAF295" s="3"/>
      <c r="LAG295" s="3"/>
      <c r="LAH295" s="3"/>
      <c r="LAI295" s="3"/>
      <c r="LAJ295" s="3"/>
      <c r="LAK295" s="3"/>
      <c r="LAL295" s="3"/>
      <c r="LAM295" s="3"/>
      <c r="LAN295" s="3"/>
      <c r="LAO295" s="3"/>
      <c r="LAP295" s="3"/>
      <c r="LAQ295" s="3"/>
      <c r="LAR295" s="3"/>
      <c r="LAS295" s="3"/>
      <c r="LAT295" s="3"/>
      <c r="LAU295" s="3"/>
      <c r="LAV295" s="3"/>
      <c r="LAW295" s="3"/>
      <c r="LAX295" s="3"/>
      <c r="LAY295" s="3"/>
      <c r="LAZ295" s="3"/>
      <c r="LBA295" s="3"/>
      <c r="LBB295" s="3"/>
      <c r="LBC295" s="3"/>
      <c r="LBD295" s="3"/>
      <c r="LBE295" s="3"/>
      <c r="LBF295" s="3"/>
      <c r="LBG295" s="3"/>
      <c r="LBH295" s="3"/>
      <c r="LBI295" s="3"/>
      <c r="LBJ295" s="3"/>
      <c r="LBK295" s="3"/>
      <c r="LBL295" s="3"/>
      <c r="LBM295" s="3"/>
      <c r="LBN295" s="3"/>
      <c r="LBO295" s="3"/>
      <c r="LBP295" s="3"/>
      <c r="LBQ295" s="3"/>
      <c r="LBR295" s="3"/>
      <c r="LBS295" s="3"/>
      <c r="LBT295" s="3"/>
      <c r="LBU295" s="3"/>
      <c r="LBV295" s="3"/>
      <c r="LBW295" s="3"/>
      <c r="LBX295" s="3"/>
      <c r="LBY295" s="3"/>
      <c r="LBZ295" s="3"/>
      <c r="LCA295" s="3"/>
      <c r="LCB295" s="3"/>
      <c r="LCC295" s="3"/>
      <c r="LCD295" s="3"/>
      <c r="LCE295" s="3"/>
      <c r="LCF295" s="3"/>
      <c r="LCG295" s="3"/>
      <c r="LCH295" s="3"/>
      <c r="LCI295" s="3"/>
      <c r="LCJ295" s="3"/>
      <c r="LCK295" s="3"/>
      <c r="LCL295" s="3"/>
      <c r="LCM295" s="3"/>
      <c r="LCN295" s="3"/>
      <c r="LCO295" s="3"/>
      <c r="LCP295" s="3"/>
      <c r="LCQ295" s="3"/>
      <c r="LCR295" s="3"/>
      <c r="LCS295" s="3"/>
      <c r="LCT295" s="3"/>
      <c r="LCU295" s="3"/>
      <c r="LCV295" s="3"/>
      <c r="LCW295" s="3"/>
      <c r="LCX295" s="3"/>
      <c r="LCY295" s="3"/>
      <c r="LCZ295" s="3"/>
      <c r="LDA295" s="3"/>
      <c r="LDB295" s="3"/>
      <c r="LDC295" s="3"/>
      <c r="LDD295" s="3"/>
      <c r="LDE295" s="3"/>
      <c r="LDF295" s="3"/>
      <c r="LDG295" s="3"/>
      <c r="LDH295" s="3"/>
      <c r="LDI295" s="3"/>
      <c r="LDJ295" s="3"/>
      <c r="LDK295" s="3"/>
      <c r="LDL295" s="3"/>
      <c r="LDM295" s="3"/>
      <c r="LDN295" s="3"/>
      <c r="LDO295" s="3"/>
      <c r="LDP295" s="3"/>
      <c r="LDQ295" s="3"/>
      <c r="LDR295" s="3"/>
      <c r="LDS295" s="3"/>
      <c r="LDT295" s="3"/>
      <c r="LDU295" s="3"/>
      <c r="LDV295" s="3"/>
      <c r="LDW295" s="3"/>
      <c r="LDX295" s="3"/>
      <c r="LDY295" s="3"/>
      <c r="LDZ295" s="3"/>
      <c r="LEA295" s="3"/>
      <c r="LEB295" s="3"/>
      <c r="LEC295" s="3"/>
      <c r="LED295" s="3"/>
      <c r="LEE295" s="3"/>
      <c r="LEF295" s="3"/>
      <c r="LEG295" s="3"/>
      <c r="LEH295" s="3"/>
      <c r="LEI295" s="3"/>
      <c r="LEJ295" s="3"/>
      <c r="LEK295" s="3"/>
      <c r="LEL295" s="3"/>
      <c r="LEM295" s="3"/>
      <c r="LEN295" s="3"/>
      <c r="LEO295" s="3"/>
      <c r="LEP295" s="3"/>
      <c r="LEQ295" s="3"/>
      <c r="LER295" s="3"/>
      <c r="LES295" s="3"/>
      <c r="LET295" s="3"/>
      <c r="LEU295" s="3"/>
      <c r="LEV295" s="3"/>
      <c r="LEW295" s="3"/>
      <c r="LEX295" s="3"/>
      <c r="LEY295" s="3"/>
      <c r="LEZ295" s="3"/>
      <c r="LFA295" s="3"/>
      <c r="LFB295" s="3"/>
      <c r="LFC295" s="3"/>
      <c r="LFD295" s="3"/>
      <c r="LFE295" s="3"/>
      <c r="LFF295" s="3"/>
      <c r="LFG295" s="3"/>
      <c r="LFH295" s="3"/>
      <c r="LFI295" s="3"/>
      <c r="LFJ295" s="3"/>
      <c r="LFK295" s="3"/>
      <c r="LFL295" s="3"/>
      <c r="LFM295" s="3"/>
      <c r="LFN295" s="3"/>
      <c r="LFO295" s="3"/>
      <c r="LFP295" s="3"/>
      <c r="LFQ295" s="3"/>
      <c r="LFR295" s="3"/>
      <c r="LFS295" s="3"/>
      <c r="LFT295" s="3"/>
      <c r="LFU295" s="3"/>
      <c r="LFV295" s="3"/>
      <c r="LFW295" s="3"/>
      <c r="LFX295" s="3"/>
      <c r="LFY295" s="3"/>
      <c r="LFZ295" s="3"/>
      <c r="LGA295" s="3"/>
      <c r="LGB295" s="3"/>
      <c r="LGC295" s="3"/>
      <c r="LGD295" s="3"/>
      <c r="LGE295" s="3"/>
      <c r="LGF295" s="3"/>
      <c r="LGG295" s="3"/>
      <c r="LGH295" s="3"/>
      <c r="LGI295" s="3"/>
      <c r="LGJ295" s="3"/>
      <c r="LGK295" s="3"/>
      <c r="LGL295" s="3"/>
      <c r="LGM295" s="3"/>
      <c r="LGN295" s="3"/>
      <c r="LGO295" s="3"/>
      <c r="LGP295" s="3"/>
      <c r="LGQ295" s="3"/>
      <c r="LGR295" s="3"/>
      <c r="LGS295" s="3"/>
      <c r="LGT295" s="3"/>
      <c r="LGU295" s="3"/>
      <c r="LGV295" s="3"/>
      <c r="LGW295" s="3"/>
      <c r="LGX295" s="3"/>
      <c r="LGY295" s="3"/>
      <c r="LGZ295" s="3"/>
      <c r="LHA295" s="3"/>
      <c r="LHB295" s="3"/>
      <c r="LHC295" s="3"/>
      <c r="LHD295" s="3"/>
      <c r="LHE295" s="3"/>
      <c r="LHF295" s="3"/>
      <c r="LHG295" s="3"/>
      <c r="LHH295" s="3"/>
      <c r="LHI295" s="3"/>
      <c r="LHJ295" s="3"/>
      <c r="LHK295" s="3"/>
      <c r="LHL295" s="3"/>
      <c r="LHM295" s="3"/>
      <c r="LHN295" s="3"/>
      <c r="LHO295" s="3"/>
      <c r="LHP295" s="3"/>
      <c r="LHQ295" s="3"/>
      <c r="LHR295" s="3"/>
      <c r="LHS295" s="3"/>
      <c r="LHT295" s="3"/>
      <c r="LHU295" s="3"/>
      <c r="LHV295" s="3"/>
      <c r="LHW295" s="3"/>
      <c r="LHX295" s="3"/>
      <c r="LHY295" s="3"/>
      <c r="LHZ295" s="3"/>
      <c r="LIA295" s="3"/>
      <c r="LIB295" s="3"/>
      <c r="LIC295" s="3"/>
      <c r="LID295" s="3"/>
      <c r="LIE295" s="3"/>
      <c r="LIF295" s="3"/>
      <c r="LIG295" s="3"/>
      <c r="LIH295" s="3"/>
      <c r="LII295" s="3"/>
      <c r="LIJ295" s="3"/>
      <c r="LIK295" s="3"/>
      <c r="LIL295" s="3"/>
      <c r="LIM295" s="3"/>
      <c r="LIN295" s="3"/>
      <c r="LIO295" s="3"/>
      <c r="LIP295" s="3"/>
      <c r="LIQ295" s="3"/>
      <c r="LIR295" s="3"/>
      <c r="LIS295" s="3"/>
      <c r="LIT295" s="3"/>
      <c r="LIU295" s="3"/>
      <c r="LIV295" s="3"/>
      <c r="LIW295" s="3"/>
      <c r="LIX295" s="3"/>
      <c r="LIY295" s="3"/>
      <c r="LIZ295" s="3"/>
      <c r="LJA295" s="3"/>
      <c r="LJB295" s="3"/>
      <c r="LJC295" s="3"/>
      <c r="LJD295" s="3"/>
      <c r="LJE295" s="3"/>
      <c r="LJF295" s="3"/>
      <c r="LJG295" s="3"/>
      <c r="LJH295" s="3"/>
      <c r="LJI295" s="3"/>
      <c r="LJJ295" s="3"/>
      <c r="LJK295" s="3"/>
      <c r="LJL295" s="3"/>
      <c r="LJM295" s="3"/>
      <c r="LJN295" s="3"/>
      <c r="LJO295" s="3"/>
      <c r="LJP295" s="3"/>
      <c r="LJQ295" s="3"/>
      <c r="LJR295" s="3"/>
      <c r="LJS295" s="3"/>
      <c r="LJT295" s="3"/>
      <c r="LJU295" s="3"/>
      <c r="LJV295" s="3"/>
      <c r="LJW295" s="3"/>
      <c r="LJX295" s="3"/>
      <c r="LJY295" s="3"/>
      <c r="LJZ295" s="3"/>
      <c r="LKA295" s="3"/>
      <c r="LKB295" s="3"/>
      <c r="LKC295" s="3"/>
      <c r="LKD295" s="3"/>
      <c r="LKE295" s="3"/>
      <c r="LKF295" s="3"/>
      <c r="LKG295" s="3"/>
      <c r="LKH295" s="3"/>
      <c r="LKI295" s="3"/>
      <c r="LKJ295" s="3"/>
      <c r="LKK295" s="3"/>
      <c r="LKL295" s="3"/>
      <c r="LKM295" s="3"/>
      <c r="LKN295" s="3"/>
      <c r="LKO295" s="3"/>
      <c r="LKP295" s="3"/>
      <c r="LKQ295" s="3"/>
      <c r="LKR295" s="3"/>
      <c r="LKS295" s="3"/>
      <c r="LKT295" s="3"/>
      <c r="LKU295" s="3"/>
      <c r="LKV295" s="3"/>
      <c r="LKW295" s="3"/>
      <c r="LKX295" s="3"/>
      <c r="LKY295" s="3"/>
      <c r="LKZ295" s="3"/>
      <c r="LLA295" s="3"/>
      <c r="LLB295" s="3"/>
      <c r="LLC295" s="3"/>
      <c r="LLD295" s="3"/>
      <c r="LLE295" s="3"/>
      <c r="LLF295" s="3"/>
      <c r="LLG295" s="3"/>
      <c r="LLH295" s="3"/>
      <c r="LLI295" s="3"/>
      <c r="LLJ295" s="3"/>
      <c r="LLK295" s="3"/>
      <c r="LLL295" s="3"/>
      <c r="LLM295" s="3"/>
      <c r="LLN295" s="3"/>
      <c r="LLO295" s="3"/>
      <c r="LLP295" s="3"/>
      <c r="LLQ295" s="3"/>
      <c r="LLR295" s="3"/>
      <c r="LLS295" s="3"/>
      <c r="LLT295" s="3"/>
      <c r="LLU295" s="3"/>
      <c r="LLV295" s="3"/>
      <c r="LLW295" s="3"/>
      <c r="LLX295" s="3"/>
      <c r="LLY295" s="3"/>
      <c r="LLZ295" s="3"/>
      <c r="LMA295" s="3"/>
      <c r="LMB295" s="3"/>
      <c r="LMC295" s="3"/>
      <c r="LMD295" s="3"/>
      <c r="LME295" s="3"/>
      <c r="LMF295" s="3"/>
      <c r="LMG295" s="3"/>
      <c r="LMH295" s="3"/>
      <c r="LMI295" s="3"/>
      <c r="LMJ295" s="3"/>
      <c r="LMK295" s="3"/>
      <c r="LML295" s="3"/>
      <c r="LMM295" s="3"/>
      <c r="LMN295" s="3"/>
      <c r="LMO295" s="3"/>
      <c r="LMP295" s="3"/>
      <c r="LMQ295" s="3"/>
      <c r="LMR295" s="3"/>
      <c r="LMS295" s="3"/>
      <c r="LMT295" s="3"/>
      <c r="LMU295" s="3"/>
      <c r="LMV295" s="3"/>
      <c r="LMW295" s="3"/>
      <c r="LMX295" s="3"/>
      <c r="LMY295" s="3"/>
      <c r="LMZ295" s="3"/>
      <c r="LNA295" s="3"/>
      <c r="LNB295" s="3"/>
      <c r="LNC295" s="3"/>
      <c r="LND295" s="3"/>
      <c r="LNE295" s="3"/>
      <c r="LNF295" s="3"/>
      <c r="LNG295" s="3"/>
      <c r="LNH295" s="3"/>
      <c r="LNI295" s="3"/>
      <c r="LNJ295" s="3"/>
      <c r="LNK295" s="3"/>
      <c r="LNL295" s="3"/>
      <c r="LNM295" s="3"/>
      <c r="LNN295" s="3"/>
      <c r="LNO295" s="3"/>
      <c r="LNP295" s="3"/>
      <c r="LNQ295" s="3"/>
      <c r="LNR295" s="3"/>
      <c r="LNS295" s="3"/>
      <c r="LNT295" s="3"/>
      <c r="LNU295" s="3"/>
      <c r="LNV295" s="3"/>
      <c r="LNW295" s="3"/>
      <c r="LNX295" s="3"/>
      <c r="LNY295" s="3"/>
      <c r="LNZ295" s="3"/>
      <c r="LOA295" s="3"/>
      <c r="LOB295" s="3"/>
      <c r="LOC295" s="3"/>
      <c r="LOD295" s="3"/>
      <c r="LOE295" s="3"/>
      <c r="LOF295" s="3"/>
      <c r="LOG295" s="3"/>
      <c r="LOH295" s="3"/>
      <c r="LOI295" s="3"/>
      <c r="LOJ295" s="3"/>
      <c r="LOK295" s="3"/>
      <c r="LOL295" s="3"/>
      <c r="LOM295" s="3"/>
      <c r="LON295" s="3"/>
      <c r="LOO295" s="3"/>
      <c r="LOP295" s="3"/>
      <c r="LOQ295" s="3"/>
      <c r="LOR295" s="3"/>
      <c r="LOS295" s="3"/>
      <c r="LOT295" s="3"/>
      <c r="LOU295" s="3"/>
      <c r="LOV295" s="3"/>
      <c r="LOW295" s="3"/>
      <c r="LOX295" s="3"/>
      <c r="LOY295" s="3"/>
      <c r="LOZ295" s="3"/>
      <c r="LPA295" s="3"/>
      <c r="LPB295" s="3"/>
      <c r="LPC295" s="3"/>
      <c r="LPD295" s="3"/>
      <c r="LPE295" s="3"/>
      <c r="LPF295" s="3"/>
      <c r="LPG295" s="3"/>
      <c r="LPH295" s="3"/>
      <c r="LPI295" s="3"/>
      <c r="LPJ295" s="3"/>
      <c r="LPK295" s="3"/>
      <c r="LPL295" s="3"/>
      <c r="LPM295" s="3"/>
      <c r="LPN295" s="3"/>
      <c r="LPO295" s="3"/>
      <c r="LPP295" s="3"/>
      <c r="LPQ295" s="3"/>
      <c r="LPR295" s="3"/>
      <c r="LPS295" s="3"/>
      <c r="LPT295" s="3"/>
      <c r="LPU295" s="3"/>
      <c r="LPV295" s="3"/>
      <c r="LPW295" s="3"/>
      <c r="LPX295" s="3"/>
      <c r="LPY295" s="3"/>
      <c r="LPZ295" s="3"/>
      <c r="LQA295" s="3"/>
      <c r="LQB295" s="3"/>
      <c r="LQC295" s="3"/>
      <c r="LQD295" s="3"/>
      <c r="LQE295" s="3"/>
      <c r="LQF295" s="3"/>
      <c r="LQG295" s="3"/>
      <c r="LQH295" s="3"/>
      <c r="LQI295" s="3"/>
      <c r="LQJ295" s="3"/>
      <c r="LQK295" s="3"/>
      <c r="LQL295" s="3"/>
      <c r="LQM295" s="3"/>
      <c r="LQN295" s="3"/>
      <c r="LQO295" s="3"/>
      <c r="LQP295" s="3"/>
      <c r="LQQ295" s="3"/>
      <c r="LQR295" s="3"/>
      <c r="LQS295" s="3"/>
      <c r="LQT295" s="3"/>
      <c r="LQU295" s="3"/>
      <c r="LQV295" s="3"/>
      <c r="LQW295" s="3"/>
      <c r="LQX295" s="3"/>
      <c r="LQY295" s="3"/>
      <c r="LQZ295" s="3"/>
      <c r="LRA295" s="3"/>
      <c r="LRB295" s="3"/>
      <c r="LRC295" s="3"/>
      <c r="LRD295" s="3"/>
      <c r="LRE295" s="3"/>
      <c r="LRF295" s="3"/>
      <c r="LRG295" s="3"/>
      <c r="LRH295" s="3"/>
      <c r="LRI295" s="3"/>
      <c r="LRJ295" s="3"/>
      <c r="LRK295" s="3"/>
      <c r="LRL295" s="3"/>
      <c r="LRM295" s="3"/>
      <c r="LRN295" s="3"/>
      <c r="LRO295" s="3"/>
      <c r="LRP295" s="3"/>
      <c r="LRQ295" s="3"/>
      <c r="LRR295" s="3"/>
      <c r="LRS295" s="3"/>
      <c r="LRT295" s="3"/>
      <c r="LRU295" s="3"/>
      <c r="LRV295" s="3"/>
      <c r="LRW295" s="3"/>
      <c r="LRX295" s="3"/>
      <c r="LRY295" s="3"/>
      <c r="LRZ295" s="3"/>
      <c r="LSA295" s="3"/>
      <c r="LSB295" s="3"/>
      <c r="LSC295" s="3"/>
      <c r="LSD295" s="3"/>
      <c r="LSE295" s="3"/>
      <c r="LSF295" s="3"/>
      <c r="LSG295" s="3"/>
      <c r="LSH295" s="3"/>
      <c r="LSI295" s="3"/>
      <c r="LSJ295" s="3"/>
      <c r="LSK295" s="3"/>
      <c r="LSL295" s="3"/>
      <c r="LSM295" s="3"/>
      <c r="LSN295" s="3"/>
      <c r="LSO295" s="3"/>
      <c r="LSP295" s="3"/>
      <c r="LSQ295" s="3"/>
      <c r="LSR295" s="3"/>
      <c r="LSS295" s="3"/>
      <c r="LST295" s="3"/>
      <c r="LSU295" s="3"/>
      <c r="LSV295" s="3"/>
      <c r="LSW295" s="3"/>
      <c r="LSX295" s="3"/>
      <c r="LSY295" s="3"/>
      <c r="LSZ295" s="3"/>
      <c r="LTA295" s="3"/>
      <c r="LTB295" s="3"/>
      <c r="LTC295" s="3"/>
      <c r="LTD295" s="3"/>
      <c r="LTE295" s="3"/>
      <c r="LTF295" s="3"/>
      <c r="LTG295" s="3"/>
      <c r="LTH295" s="3"/>
      <c r="LTI295" s="3"/>
      <c r="LTJ295" s="3"/>
      <c r="LTK295" s="3"/>
      <c r="LTL295" s="3"/>
      <c r="LTM295" s="3"/>
      <c r="LTN295" s="3"/>
      <c r="LTO295" s="3"/>
      <c r="LTP295" s="3"/>
      <c r="LTQ295" s="3"/>
      <c r="LTR295" s="3"/>
      <c r="LTS295" s="3"/>
      <c r="LTT295" s="3"/>
      <c r="LTU295" s="3"/>
      <c r="LTV295" s="3"/>
      <c r="LTW295" s="3"/>
      <c r="LTX295" s="3"/>
      <c r="LTY295" s="3"/>
      <c r="LTZ295" s="3"/>
      <c r="LUA295" s="3"/>
      <c r="LUB295" s="3"/>
      <c r="LUC295" s="3"/>
      <c r="LUD295" s="3"/>
      <c r="LUE295" s="3"/>
      <c r="LUF295" s="3"/>
      <c r="LUG295" s="3"/>
      <c r="LUH295" s="3"/>
      <c r="LUI295" s="3"/>
      <c r="LUJ295" s="3"/>
      <c r="LUK295" s="3"/>
      <c r="LUL295" s="3"/>
      <c r="LUM295" s="3"/>
      <c r="LUN295" s="3"/>
      <c r="LUO295" s="3"/>
      <c r="LUP295" s="3"/>
      <c r="LUQ295" s="3"/>
      <c r="LUR295" s="3"/>
      <c r="LUS295" s="3"/>
      <c r="LUT295" s="3"/>
      <c r="LUU295" s="3"/>
      <c r="LUV295" s="3"/>
      <c r="LUW295" s="3"/>
      <c r="LUX295" s="3"/>
      <c r="LUY295" s="3"/>
      <c r="LUZ295" s="3"/>
      <c r="LVA295" s="3"/>
      <c r="LVB295" s="3"/>
      <c r="LVC295" s="3"/>
      <c r="LVD295" s="3"/>
      <c r="LVE295" s="3"/>
      <c r="LVF295" s="3"/>
      <c r="LVG295" s="3"/>
      <c r="LVH295" s="3"/>
      <c r="LVI295" s="3"/>
      <c r="LVJ295" s="3"/>
      <c r="LVK295" s="3"/>
      <c r="LVL295" s="3"/>
      <c r="LVM295" s="3"/>
      <c r="LVN295" s="3"/>
      <c r="LVO295" s="3"/>
      <c r="LVP295" s="3"/>
      <c r="LVQ295" s="3"/>
      <c r="LVR295" s="3"/>
      <c r="LVS295" s="3"/>
      <c r="LVT295" s="3"/>
      <c r="LVU295" s="3"/>
      <c r="LVV295" s="3"/>
      <c r="LVW295" s="3"/>
      <c r="LVX295" s="3"/>
      <c r="LVY295" s="3"/>
      <c r="LVZ295" s="3"/>
      <c r="LWA295" s="3"/>
      <c r="LWB295" s="3"/>
      <c r="LWC295" s="3"/>
      <c r="LWD295" s="3"/>
      <c r="LWE295" s="3"/>
      <c r="LWF295" s="3"/>
      <c r="LWG295" s="3"/>
      <c r="LWH295" s="3"/>
      <c r="LWI295" s="3"/>
      <c r="LWJ295" s="3"/>
      <c r="LWK295" s="3"/>
      <c r="LWL295" s="3"/>
      <c r="LWM295" s="3"/>
      <c r="LWN295" s="3"/>
      <c r="LWO295" s="3"/>
      <c r="LWP295" s="3"/>
      <c r="LWQ295" s="3"/>
      <c r="LWR295" s="3"/>
      <c r="LWS295" s="3"/>
      <c r="LWT295" s="3"/>
      <c r="LWU295" s="3"/>
      <c r="LWV295" s="3"/>
      <c r="LWW295" s="3"/>
      <c r="LWX295" s="3"/>
      <c r="LWY295" s="3"/>
      <c r="LWZ295" s="3"/>
      <c r="LXA295" s="3"/>
      <c r="LXB295" s="3"/>
      <c r="LXC295" s="3"/>
      <c r="LXD295" s="3"/>
      <c r="LXE295" s="3"/>
      <c r="LXF295" s="3"/>
      <c r="LXG295" s="3"/>
      <c r="LXH295" s="3"/>
      <c r="LXI295" s="3"/>
      <c r="LXJ295" s="3"/>
      <c r="LXK295" s="3"/>
      <c r="LXL295" s="3"/>
      <c r="LXM295" s="3"/>
      <c r="LXN295" s="3"/>
      <c r="LXO295" s="3"/>
      <c r="LXP295" s="3"/>
      <c r="LXQ295" s="3"/>
      <c r="LXR295" s="3"/>
      <c r="LXS295" s="3"/>
      <c r="LXT295" s="3"/>
      <c r="LXU295" s="3"/>
      <c r="LXV295" s="3"/>
      <c r="LXW295" s="3"/>
      <c r="LXX295" s="3"/>
      <c r="LXY295" s="3"/>
      <c r="LXZ295" s="3"/>
      <c r="LYA295" s="3"/>
      <c r="LYB295" s="3"/>
      <c r="LYC295" s="3"/>
      <c r="LYD295" s="3"/>
      <c r="LYE295" s="3"/>
      <c r="LYF295" s="3"/>
      <c r="LYG295" s="3"/>
      <c r="LYH295" s="3"/>
      <c r="LYI295" s="3"/>
      <c r="LYJ295" s="3"/>
      <c r="LYK295" s="3"/>
      <c r="LYL295" s="3"/>
      <c r="LYM295" s="3"/>
      <c r="LYN295" s="3"/>
      <c r="LYO295" s="3"/>
      <c r="LYP295" s="3"/>
      <c r="LYQ295" s="3"/>
      <c r="LYR295" s="3"/>
      <c r="LYS295" s="3"/>
      <c r="LYT295" s="3"/>
      <c r="LYU295" s="3"/>
      <c r="LYV295" s="3"/>
      <c r="LYW295" s="3"/>
      <c r="LYX295" s="3"/>
      <c r="LYY295" s="3"/>
      <c r="LYZ295" s="3"/>
      <c r="LZA295" s="3"/>
      <c r="LZB295" s="3"/>
      <c r="LZC295" s="3"/>
      <c r="LZD295" s="3"/>
      <c r="LZE295" s="3"/>
      <c r="LZF295" s="3"/>
      <c r="LZG295" s="3"/>
      <c r="LZH295" s="3"/>
      <c r="LZI295" s="3"/>
      <c r="LZJ295" s="3"/>
      <c r="LZK295" s="3"/>
      <c r="LZL295" s="3"/>
      <c r="LZM295" s="3"/>
      <c r="LZN295" s="3"/>
      <c r="LZO295" s="3"/>
      <c r="LZP295" s="3"/>
      <c r="LZQ295" s="3"/>
      <c r="LZR295" s="3"/>
      <c r="LZS295" s="3"/>
      <c r="LZT295" s="3"/>
      <c r="LZU295" s="3"/>
      <c r="LZV295" s="3"/>
      <c r="LZW295" s="3"/>
      <c r="LZX295" s="3"/>
      <c r="LZY295" s="3"/>
      <c r="LZZ295" s="3"/>
      <c r="MAA295" s="3"/>
      <c r="MAB295" s="3"/>
      <c r="MAC295" s="3"/>
      <c r="MAD295" s="3"/>
      <c r="MAE295" s="3"/>
      <c r="MAF295" s="3"/>
      <c r="MAG295" s="3"/>
      <c r="MAH295" s="3"/>
      <c r="MAI295" s="3"/>
      <c r="MAJ295" s="3"/>
      <c r="MAK295" s="3"/>
      <c r="MAL295" s="3"/>
      <c r="MAM295" s="3"/>
      <c r="MAN295" s="3"/>
      <c r="MAO295" s="3"/>
      <c r="MAP295" s="3"/>
      <c r="MAQ295" s="3"/>
      <c r="MAR295" s="3"/>
      <c r="MAS295" s="3"/>
      <c r="MAT295" s="3"/>
      <c r="MAU295" s="3"/>
      <c r="MAV295" s="3"/>
      <c r="MAW295" s="3"/>
      <c r="MAX295" s="3"/>
      <c r="MAY295" s="3"/>
      <c r="MAZ295" s="3"/>
      <c r="MBA295" s="3"/>
      <c r="MBB295" s="3"/>
      <c r="MBC295" s="3"/>
      <c r="MBD295" s="3"/>
      <c r="MBE295" s="3"/>
      <c r="MBF295" s="3"/>
      <c r="MBG295" s="3"/>
      <c r="MBH295" s="3"/>
      <c r="MBI295" s="3"/>
      <c r="MBJ295" s="3"/>
      <c r="MBK295" s="3"/>
      <c r="MBL295" s="3"/>
      <c r="MBM295" s="3"/>
      <c r="MBN295" s="3"/>
      <c r="MBO295" s="3"/>
      <c r="MBP295" s="3"/>
      <c r="MBQ295" s="3"/>
      <c r="MBR295" s="3"/>
      <c r="MBS295" s="3"/>
      <c r="MBT295" s="3"/>
      <c r="MBU295" s="3"/>
      <c r="MBV295" s="3"/>
      <c r="MBW295" s="3"/>
      <c r="MBX295" s="3"/>
      <c r="MBY295" s="3"/>
      <c r="MBZ295" s="3"/>
      <c r="MCA295" s="3"/>
      <c r="MCB295" s="3"/>
      <c r="MCC295" s="3"/>
      <c r="MCD295" s="3"/>
      <c r="MCE295" s="3"/>
      <c r="MCF295" s="3"/>
      <c r="MCG295" s="3"/>
      <c r="MCH295" s="3"/>
      <c r="MCI295" s="3"/>
      <c r="MCJ295" s="3"/>
      <c r="MCK295" s="3"/>
      <c r="MCL295" s="3"/>
      <c r="MCM295" s="3"/>
      <c r="MCN295" s="3"/>
      <c r="MCO295" s="3"/>
      <c r="MCP295" s="3"/>
      <c r="MCQ295" s="3"/>
      <c r="MCR295" s="3"/>
      <c r="MCS295" s="3"/>
      <c r="MCT295" s="3"/>
      <c r="MCU295" s="3"/>
      <c r="MCV295" s="3"/>
      <c r="MCW295" s="3"/>
      <c r="MCX295" s="3"/>
      <c r="MCY295" s="3"/>
      <c r="MCZ295" s="3"/>
      <c r="MDA295" s="3"/>
      <c r="MDB295" s="3"/>
      <c r="MDC295" s="3"/>
      <c r="MDD295" s="3"/>
      <c r="MDE295" s="3"/>
      <c r="MDF295" s="3"/>
      <c r="MDG295" s="3"/>
      <c r="MDH295" s="3"/>
      <c r="MDI295" s="3"/>
      <c r="MDJ295" s="3"/>
      <c r="MDK295" s="3"/>
      <c r="MDL295" s="3"/>
      <c r="MDM295" s="3"/>
      <c r="MDN295" s="3"/>
      <c r="MDO295" s="3"/>
      <c r="MDP295" s="3"/>
      <c r="MDQ295" s="3"/>
      <c r="MDR295" s="3"/>
      <c r="MDS295" s="3"/>
      <c r="MDT295" s="3"/>
      <c r="MDU295" s="3"/>
      <c r="MDV295" s="3"/>
      <c r="MDW295" s="3"/>
      <c r="MDX295" s="3"/>
      <c r="MDY295" s="3"/>
      <c r="MDZ295" s="3"/>
      <c r="MEA295" s="3"/>
      <c r="MEB295" s="3"/>
      <c r="MEC295" s="3"/>
      <c r="MED295" s="3"/>
      <c r="MEE295" s="3"/>
      <c r="MEF295" s="3"/>
      <c r="MEG295" s="3"/>
      <c r="MEH295" s="3"/>
      <c r="MEI295" s="3"/>
      <c r="MEJ295" s="3"/>
      <c r="MEK295" s="3"/>
      <c r="MEL295" s="3"/>
      <c r="MEM295" s="3"/>
      <c r="MEN295" s="3"/>
      <c r="MEO295" s="3"/>
      <c r="MEP295" s="3"/>
      <c r="MEQ295" s="3"/>
      <c r="MER295" s="3"/>
      <c r="MES295" s="3"/>
      <c r="MET295" s="3"/>
      <c r="MEU295" s="3"/>
      <c r="MEV295" s="3"/>
      <c r="MEW295" s="3"/>
      <c r="MEX295" s="3"/>
      <c r="MEY295" s="3"/>
      <c r="MEZ295" s="3"/>
      <c r="MFA295" s="3"/>
      <c r="MFB295" s="3"/>
      <c r="MFC295" s="3"/>
      <c r="MFD295" s="3"/>
      <c r="MFE295" s="3"/>
      <c r="MFF295" s="3"/>
      <c r="MFG295" s="3"/>
      <c r="MFH295" s="3"/>
      <c r="MFI295" s="3"/>
      <c r="MFJ295" s="3"/>
      <c r="MFK295" s="3"/>
      <c r="MFL295" s="3"/>
      <c r="MFM295" s="3"/>
      <c r="MFN295" s="3"/>
      <c r="MFO295" s="3"/>
      <c r="MFP295" s="3"/>
      <c r="MFQ295" s="3"/>
      <c r="MFR295" s="3"/>
      <c r="MFS295" s="3"/>
      <c r="MFT295" s="3"/>
      <c r="MFU295" s="3"/>
      <c r="MFV295" s="3"/>
      <c r="MFW295" s="3"/>
      <c r="MFX295" s="3"/>
      <c r="MFY295" s="3"/>
      <c r="MFZ295" s="3"/>
      <c r="MGA295" s="3"/>
      <c r="MGB295" s="3"/>
      <c r="MGC295" s="3"/>
      <c r="MGD295" s="3"/>
      <c r="MGE295" s="3"/>
      <c r="MGF295" s="3"/>
      <c r="MGG295" s="3"/>
      <c r="MGH295" s="3"/>
      <c r="MGI295" s="3"/>
      <c r="MGJ295" s="3"/>
      <c r="MGK295" s="3"/>
      <c r="MGL295" s="3"/>
      <c r="MGM295" s="3"/>
      <c r="MGN295" s="3"/>
      <c r="MGO295" s="3"/>
      <c r="MGP295" s="3"/>
      <c r="MGQ295" s="3"/>
      <c r="MGR295" s="3"/>
      <c r="MGS295" s="3"/>
      <c r="MGT295" s="3"/>
      <c r="MGU295" s="3"/>
      <c r="MGV295" s="3"/>
      <c r="MGW295" s="3"/>
      <c r="MGX295" s="3"/>
      <c r="MGY295" s="3"/>
      <c r="MGZ295" s="3"/>
      <c r="MHA295" s="3"/>
      <c r="MHB295" s="3"/>
      <c r="MHC295" s="3"/>
      <c r="MHD295" s="3"/>
      <c r="MHE295" s="3"/>
      <c r="MHF295" s="3"/>
      <c r="MHG295" s="3"/>
      <c r="MHH295" s="3"/>
      <c r="MHI295" s="3"/>
      <c r="MHJ295" s="3"/>
      <c r="MHK295" s="3"/>
      <c r="MHL295" s="3"/>
      <c r="MHM295" s="3"/>
      <c r="MHN295" s="3"/>
      <c r="MHO295" s="3"/>
      <c r="MHP295" s="3"/>
      <c r="MHQ295" s="3"/>
      <c r="MHR295" s="3"/>
      <c r="MHS295" s="3"/>
      <c r="MHT295" s="3"/>
      <c r="MHU295" s="3"/>
      <c r="MHV295" s="3"/>
      <c r="MHW295" s="3"/>
      <c r="MHX295" s="3"/>
      <c r="MHY295" s="3"/>
      <c r="MHZ295" s="3"/>
      <c r="MIA295" s="3"/>
      <c r="MIB295" s="3"/>
      <c r="MIC295" s="3"/>
      <c r="MID295" s="3"/>
      <c r="MIE295" s="3"/>
      <c r="MIF295" s="3"/>
      <c r="MIG295" s="3"/>
      <c r="MIH295" s="3"/>
      <c r="MII295" s="3"/>
      <c r="MIJ295" s="3"/>
      <c r="MIK295" s="3"/>
      <c r="MIL295" s="3"/>
      <c r="MIM295" s="3"/>
      <c r="MIN295" s="3"/>
      <c r="MIO295" s="3"/>
      <c r="MIP295" s="3"/>
      <c r="MIQ295" s="3"/>
      <c r="MIR295" s="3"/>
      <c r="MIS295" s="3"/>
      <c r="MIT295" s="3"/>
      <c r="MIU295" s="3"/>
      <c r="MIV295" s="3"/>
      <c r="MIW295" s="3"/>
      <c r="MIX295" s="3"/>
      <c r="MIY295" s="3"/>
      <c r="MIZ295" s="3"/>
      <c r="MJA295" s="3"/>
      <c r="MJB295" s="3"/>
      <c r="MJC295" s="3"/>
      <c r="MJD295" s="3"/>
      <c r="MJE295" s="3"/>
      <c r="MJF295" s="3"/>
      <c r="MJG295" s="3"/>
      <c r="MJH295" s="3"/>
      <c r="MJI295" s="3"/>
      <c r="MJJ295" s="3"/>
      <c r="MJK295" s="3"/>
      <c r="MJL295" s="3"/>
      <c r="MJM295" s="3"/>
      <c r="MJN295" s="3"/>
      <c r="MJO295" s="3"/>
      <c r="MJP295" s="3"/>
      <c r="MJQ295" s="3"/>
      <c r="MJR295" s="3"/>
      <c r="MJS295" s="3"/>
      <c r="MJT295" s="3"/>
      <c r="MJU295" s="3"/>
      <c r="MJV295" s="3"/>
      <c r="MJW295" s="3"/>
      <c r="MJX295" s="3"/>
      <c r="MJY295" s="3"/>
      <c r="MJZ295" s="3"/>
      <c r="MKA295" s="3"/>
      <c r="MKB295" s="3"/>
      <c r="MKC295" s="3"/>
      <c r="MKD295" s="3"/>
      <c r="MKE295" s="3"/>
      <c r="MKF295" s="3"/>
      <c r="MKG295" s="3"/>
      <c r="MKH295" s="3"/>
      <c r="MKI295" s="3"/>
      <c r="MKJ295" s="3"/>
      <c r="MKK295" s="3"/>
      <c r="MKL295" s="3"/>
      <c r="MKM295" s="3"/>
      <c r="MKN295" s="3"/>
      <c r="MKO295" s="3"/>
      <c r="MKP295" s="3"/>
      <c r="MKQ295" s="3"/>
      <c r="MKR295" s="3"/>
      <c r="MKS295" s="3"/>
      <c r="MKT295" s="3"/>
      <c r="MKU295" s="3"/>
      <c r="MKV295" s="3"/>
      <c r="MKW295" s="3"/>
      <c r="MKX295" s="3"/>
      <c r="MKY295" s="3"/>
      <c r="MKZ295" s="3"/>
      <c r="MLA295" s="3"/>
      <c r="MLB295" s="3"/>
      <c r="MLC295" s="3"/>
      <c r="MLD295" s="3"/>
      <c r="MLE295" s="3"/>
      <c r="MLF295" s="3"/>
      <c r="MLG295" s="3"/>
      <c r="MLH295" s="3"/>
      <c r="MLI295" s="3"/>
      <c r="MLJ295" s="3"/>
      <c r="MLK295" s="3"/>
      <c r="MLL295" s="3"/>
      <c r="MLM295" s="3"/>
      <c r="MLN295" s="3"/>
      <c r="MLO295" s="3"/>
      <c r="MLP295" s="3"/>
      <c r="MLQ295" s="3"/>
      <c r="MLR295" s="3"/>
      <c r="MLS295" s="3"/>
      <c r="MLT295" s="3"/>
      <c r="MLU295" s="3"/>
      <c r="MLV295" s="3"/>
      <c r="MLW295" s="3"/>
      <c r="MLX295" s="3"/>
      <c r="MLY295" s="3"/>
      <c r="MLZ295" s="3"/>
      <c r="MMA295" s="3"/>
      <c r="MMB295" s="3"/>
      <c r="MMC295" s="3"/>
      <c r="MMD295" s="3"/>
      <c r="MME295" s="3"/>
      <c r="MMF295" s="3"/>
      <c r="MMG295" s="3"/>
      <c r="MMH295" s="3"/>
      <c r="MMI295" s="3"/>
      <c r="MMJ295" s="3"/>
      <c r="MMK295" s="3"/>
      <c r="MML295" s="3"/>
      <c r="MMM295" s="3"/>
      <c r="MMN295" s="3"/>
      <c r="MMO295" s="3"/>
      <c r="MMP295" s="3"/>
      <c r="MMQ295" s="3"/>
      <c r="MMR295" s="3"/>
      <c r="MMS295" s="3"/>
      <c r="MMT295" s="3"/>
      <c r="MMU295" s="3"/>
      <c r="MMV295" s="3"/>
      <c r="MMW295" s="3"/>
      <c r="MMX295" s="3"/>
      <c r="MMY295" s="3"/>
      <c r="MMZ295" s="3"/>
      <c r="MNA295" s="3"/>
      <c r="MNB295" s="3"/>
      <c r="MNC295" s="3"/>
      <c r="MND295" s="3"/>
      <c r="MNE295" s="3"/>
      <c r="MNF295" s="3"/>
      <c r="MNG295" s="3"/>
      <c r="MNH295" s="3"/>
      <c r="MNI295" s="3"/>
      <c r="MNJ295" s="3"/>
      <c r="MNK295" s="3"/>
      <c r="MNL295" s="3"/>
      <c r="MNM295" s="3"/>
      <c r="MNN295" s="3"/>
      <c r="MNO295" s="3"/>
      <c r="MNP295" s="3"/>
      <c r="MNQ295" s="3"/>
      <c r="MNR295" s="3"/>
      <c r="MNS295" s="3"/>
      <c r="MNT295" s="3"/>
      <c r="MNU295" s="3"/>
      <c r="MNV295" s="3"/>
      <c r="MNW295" s="3"/>
      <c r="MNX295" s="3"/>
      <c r="MNY295" s="3"/>
      <c r="MNZ295" s="3"/>
      <c r="MOA295" s="3"/>
      <c r="MOB295" s="3"/>
      <c r="MOC295" s="3"/>
      <c r="MOD295" s="3"/>
      <c r="MOE295" s="3"/>
      <c r="MOF295" s="3"/>
      <c r="MOG295" s="3"/>
      <c r="MOH295" s="3"/>
      <c r="MOI295" s="3"/>
      <c r="MOJ295" s="3"/>
      <c r="MOK295" s="3"/>
      <c r="MOL295" s="3"/>
      <c r="MOM295" s="3"/>
      <c r="MON295" s="3"/>
      <c r="MOO295" s="3"/>
      <c r="MOP295" s="3"/>
      <c r="MOQ295" s="3"/>
      <c r="MOR295" s="3"/>
      <c r="MOS295" s="3"/>
      <c r="MOT295" s="3"/>
      <c r="MOU295" s="3"/>
      <c r="MOV295" s="3"/>
      <c r="MOW295" s="3"/>
      <c r="MOX295" s="3"/>
      <c r="MOY295" s="3"/>
      <c r="MOZ295" s="3"/>
      <c r="MPA295" s="3"/>
      <c r="MPB295" s="3"/>
      <c r="MPC295" s="3"/>
      <c r="MPD295" s="3"/>
      <c r="MPE295" s="3"/>
      <c r="MPF295" s="3"/>
      <c r="MPG295" s="3"/>
      <c r="MPH295" s="3"/>
      <c r="MPI295" s="3"/>
      <c r="MPJ295" s="3"/>
      <c r="MPK295" s="3"/>
      <c r="MPL295" s="3"/>
      <c r="MPM295" s="3"/>
      <c r="MPN295" s="3"/>
      <c r="MPO295" s="3"/>
      <c r="MPP295" s="3"/>
      <c r="MPQ295" s="3"/>
      <c r="MPR295" s="3"/>
      <c r="MPS295" s="3"/>
      <c r="MPT295" s="3"/>
      <c r="MPU295" s="3"/>
      <c r="MPV295" s="3"/>
      <c r="MPW295" s="3"/>
      <c r="MPX295" s="3"/>
      <c r="MPY295" s="3"/>
      <c r="MPZ295" s="3"/>
      <c r="MQA295" s="3"/>
      <c r="MQB295" s="3"/>
      <c r="MQC295" s="3"/>
      <c r="MQD295" s="3"/>
      <c r="MQE295" s="3"/>
      <c r="MQF295" s="3"/>
      <c r="MQG295" s="3"/>
      <c r="MQH295" s="3"/>
      <c r="MQI295" s="3"/>
      <c r="MQJ295" s="3"/>
      <c r="MQK295" s="3"/>
      <c r="MQL295" s="3"/>
      <c r="MQM295" s="3"/>
      <c r="MQN295" s="3"/>
      <c r="MQO295" s="3"/>
      <c r="MQP295" s="3"/>
      <c r="MQQ295" s="3"/>
      <c r="MQR295" s="3"/>
      <c r="MQS295" s="3"/>
      <c r="MQT295" s="3"/>
      <c r="MQU295" s="3"/>
      <c r="MQV295" s="3"/>
      <c r="MQW295" s="3"/>
      <c r="MQX295" s="3"/>
      <c r="MQY295" s="3"/>
      <c r="MQZ295" s="3"/>
      <c r="MRA295" s="3"/>
      <c r="MRB295" s="3"/>
      <c r="MRC295" s="3"/>
      <c r="MRD295" s="3"/>
      <c r="MRE295" s="3"/>
      <c r="MRF295" s="3"/>
      <c r="MRG295" s="3"/>
      <c r="MRH295" s="3"/>
      <c r="MRI295" s="3"/>
      <c r="MRJ295" s="3"/>
      <c r="MRK295" s="3"/>
      <c r="MRL295" s="3"/>
      <c r="MRM295" s="3"/>
      <c r="MRN295" s="3"/>
      <c r="MRO295" s="3"/>
      <c r="MRP295" s="3"/>
      <c r="MRQ295" s="3"/>
      <c r="MRR295" s="3"/>
      <c r="MRS295" s="3"/>
      <c r="MRT295" s="3"/>
      <c r="MRU295" s="3"/>
      <c r="MRV295" s="3"/>
      <c r="MRW295" s="3"/>
      <c r="MRX295" s="3"/>
      <c r="MRY295" s="3"/>
      <c r="MRZ295" s="3"/>
      <c r="MSA295" s="3"/>
      <c r="MSB295" s="3"/>
      <c r="MSC295" s="3"/>
      <c r="MSD295" s="3"/>
      <c r="MSE295" s="3"/>
      <c r="MSF295" s="3"/>
      <c r="MSG295" s="3"/>
      <c r="MSH295" s="3"/>
      <c r="MSI295" s="3"/>
      <c r="MSJ295" s="3"/>
      <c r="MSK295" s="3"/>
      <c r="MSL295" s="3"/>
      <c r="MSM295" s="3"/>
      <c r="MSN295" s="3"/>
      <c r="MSO295" s="3"/>
      <c r="MSP295" s="3"/>
      <c r="MSQ295" s="3"/>
      <c r="MSR295" s="3"/>
      <c r="MSS295" s="3"/>
      <c r="MST295" s="3"/>
      <c r="MSU295" s="3"/>
      <c r="MSV295" s="3"/>
      <c r="MSW295" s="3"/>
      <c r="MSX295" s="3"/>
      <c r="MSY295" s="3"/>
      <c r="MSZ295" s="3"/>
      <c r="MTA295" s="3"/>
      <c r="MTB295" s="3"/>
      <c r="MTC295" s="3"/>
      <c r="MTD295" s="3"/>
      <c r="MTE295" s="3"/>
      <c r="MTF295" s="3"/>
      <c r="MTG295" s="3"/>
      <c r="MTH295" s="3"/>
      <c r="MTI295" s="3"/>
      <c r="MTJ295" s="3"/>
      <c r="MTK295" s="3"/>
      <c r="MTL295" s="3"/>
      <c r="MTM295" s="3"/>
      <c r="MTN295" s="3"/>
      <c r="MTO295" s="3"/>
      <c r="MTP295" s="3"/>
      <c r="MTQ295" s="3"/>
      <c r="MTR295" s="3"/>
      <c r="MTS295" s="3"/>
      <c r="MTT295" s="3"/>
      <c r="MTU295" s="3"/>
      <c r="MTV295" s="3"/>
      <c r="MTW295" s="3"/>
      <c r="MTX295" s="3"/>
      <c r="MTY295" s="3"/>
      <c r="MTZ295" s="3"/>
      <c r="MUA295" s="3"/>
      <c r="MUB295" s="3"/>
      <c r="MUC295" s="3"/>
      <c r="MUD295" s="3"/>
      <c r="MUE295" s="3"/>
      <c r="MUF295" s="3"/>
      <c r="MUG295" s="3"/>
      <c r="MUH295" s="3"/>
      <c r="MUI295" s="3"/>
      <c r="MUJ295" s="3"/>
      <c r="MUK295" s="3"/>
      <c r="MUL295" s="3"/>
      <c r="MUM295" s="3"/>
      <c r="MUN295" s="3"/>
      <c r="MUO295" s="3"/>
      <c r="MUP295" s="3"/>
      <c r="MUQ295" s="3"/>
      <c r="MUR295" s="3"/>
      <c r="MUS295" s="3"/>
      <c r="MUT295" s="3"/>
      <c r="MUU295" s="3"/>
      <c r="MUV295" s="3"/>
      <c r="MUW295" s="3"/>
      <c r="MUX295" s="3"/>
      <c r="MUY295" s="3"/>
      <c r="MUZ295" s="3"/>
      <c r="MVA295" s="3"/>
      <c r="MVB295" s="3"/>
      <c r="MVC295" s="3"/>
      <c r="MVD295" s="3"/>
      <c r="MVE295" s="3"/>
      <c r="MVF295" s="3"/>
      <c r="MVG295" s="3"/>
      <c r="MVH295" s="3"/>
      <c r="MVI295" s="3"/>
      <c r="MVJ295" s="3"/>
      <c r="MVK295" s="3"/>
      <c r="MVL295" s="3"/>
      <c r="MVM295" s="3"/>
      <c r="MVN295" s="3"/>
      <c r="MVO295" s="3"/>
      <c r="MVP295" s="3"/>
      <c r="MVQ295" s="3"/>
      <c r="MVR295" s="3"/>
      <c r="MVS295" s="3"/>
      <c r="MVT295" s="3"/>
      <c r="MVU295" s="3"/>
      <c r="MVV295" s="3"/>
      <c r="MVW295" s="3"/>
      <c r="MVX295" s="3"/>
      <c r="MVY295" s="3"/>
      <c r="MVZ295" s="3"/>
      <c r="MWA295" s="3"/>
      <c r="MWB295" s="3"/>
      <c r="MWC295" s="3"/>
      <c r="MWD295" s="3"/>
      <c r="MWE295" s="3"/>
      <c r="MWF295" s="3"/>
      <c r="MWG295" s="3"/>
      <c r="MWH295" s="3"/>
      <c r="MWI295" s="3"/>
      <c r="MWJ295" s="3"/>
      <c r="MWK295" s="3"/>
      <c r="MWL295" s="3"/>
      <c r="MWM295" s="3"/>
      <c r="MWN295" s="3"/>
      <c r="MWO295" s="3"/>
      <c r="MWP295" s="3"/>
      <c r="MWQ295" s="3"/>
      <c r="MWR295" s="3"/>
      <c r="MWS295" s="3"/>
      <c r="MWT295" s="3"/>
      <c r="MWU295" s="3"/>
      <c r="MWV295" s="3"/>
      <c r="MWW295" s="3"/>
      <c r="MWX295" s="3"/>
      <c r="MWY295" s="3"/>
      <c r="MWZ295" s="3"/>
      <c r="MXA295" s="3"/>
      <c r="MXB295" s="3"/>
      <c r="MXC295" s="3"/>
      <c r="MXD295" s="3"/>
      <c r="MXE295" s="3"/>
      <c r="MXF295" s="3"/>
      <c r="MXG295" s="3"/>
      <c r="MXH295" s="3"/>
      <c r="MXI295" s="3"/>
      <c r="MXJ295" s="3"/>
      <c r="MXK295" s="3"/>
      <c r="MXL295" s="3"/>
      <c r="MXM295" s="3"/>
      <c r="MXN295" s="3"/>
      <c r="MXO295" s="3"/>
      <c r="MXP295" s="3"/>
      <c r="MXQ295" s="3"/>
      <c r="MXR295" s="3"/>
      <c r="MXS295" s="3"/>
      <c r="MXT295" s="3"/>
      <c r="MXU295" s="3"/>
      <c r="MXV295" s="3"/>
      <c r="MXW295" s="3"/>
      <c r="MXX295" s="3"/>
      <c r="MXY295" s="3"/>
      <c r="MXZ295" s="3"/>
      <c r="MYA295" s="3"/>
      <c r="MYB295" s="3"/>
      <c r="MYC295" s="3"/>
      <c r="MYD295" s="3"/>
      <c r="MYE295" s="3"/>
      <c r="MYF295" s="3"/>
      <c r="MYG295" s="3"/>
      <c r="MYH295" s="3"/>
      <c r="MYI295" s="3"/>
      <c r="MYJ295" s="3"/>
      <c r="MYK295" s="3"/>
      <c r="MYL295" s="3"/>
      <c r="MYM295" s="3"/>
      <c r="MYN295" s="3"/>
      <c r="MYO295" s="3"/>
      <c r="MYP295" s="3"/>
      <c r="MYQ295" s="3"/>
      <c r="MYR295" s="3"/>
      <c r="MYS295" s="3"/>
      <c r="MYT295" s="3"/>
      <c r="MYU295" s="3"/>
      <c r="MYV295" s="3"/>
      <c r="MYW295" s="3"/>
      <c r="MYX295" s="3"/>
      <c r="MYY295" s="3"/>
      <c r="MYZ295" s="3"/>
      <c r="MZA295" s="3"/>
      <c r="MZB295" s="3"/>
      <c r="MZC295" s="3"/>
      <c r="MZD295" s="3"/>
      <c r="MZE295" s="3"/>
      <c r="MZF295" s="3"/>
      <c r="MZG295" s="3"/>
      <c r="MZH295" s="3"/>
      <c r="MZI295" s="3"/>
      <c r="MZJ295" s="3"/>
      <c r="MZK295" s="3"/>
      <c r="MZL295" s="3"/>
      <c r="MZM295" s="3"/>
      <c r="MZN295" s="3"/>
      <c r="MZO295" s="3"/>
      <c r="MZP295" s="3"/>
      <c r="MZQ295" s="3"/>
      <c r="MZR295" s="3"/>
      <c r="MZS295" s="3"/>
      <c r="MZT295" s="3"/>
      <c r="MZU295" s="3"/>
      <c r="MZV295" s="3"/>
      <c r="MZW295" s="3"/>
      <c r="MZX295" s="3"/>
      <c r="MZY295" s="3"/>
      <c r="MZZ295" s="3"/>
      <c r="NAA295" s="3"/>
      <c r="NAB295" s="3"/>
      <c r="NAC295" s="3"/>
      <c r="NAD295" s="3"/>
      <c r="NAE295" s="3"/>
      <c r="NAF295" s="3"/>
      <c r="NAG295" s="3"/>
      <c r="NAH295" s="3"/>
      <c r="NAI295" s="3"/>
      <c r="NAJ295" s="3"/>
      <c r="NAK295" s="3"/>
      <c r="NAL295" s="3"/>
      <c r="NAM295" s="3"/>
      <c r="NAN295" s="3"/>
      <c r="NAO295" s="3"/>
      <c r="NAP295" s="3"/>
      <c r="NAQ295" s="3"/>
      <c r="NAR295" s="3"/>
      <c r="NAS295" s="3"/>
      <c r="NAT295" s="3"/>
      <c r="NAU295" s="3"/>
      <c r="NAV295" s="3"/>
      <c r="NAW295" s="3"/>
      <c r="NAX295" s="3"/>
      <c r="NAY295" s="3"/>
      <c r="NAZ295" s="3"/>
      <c r="NBA295" s="3"/>
      <c r="NBB295" s="3"/>
      <c r="NBC295" s="3"/>
      <c r="NBD295" s="3"/>
      <c r="NBE295" s="3"/>
      <c r="NBF295" s="3"/>
      <c r="NBG295" s="3"/>
      <c r="NBH295" s="3"/>
      <c r="NBI295" s="3"/>
      <c r="NBJ295" s="3"/>
      <c r="NBK295" s="3"/>
      <c r="NBL295" s="3"/>
      <c r="NBM295" s="3"/>
      <c r="NBN295" s="3"/>
      <c r="NBO295" s="3"/>
      <c r="NBP295" s="3"/>
      <c r="NBQ295" s="3"/>
      <c r="NBR295" s="3"/>
      <c r="NBS295" s="3"/>
      <c r="NBT295" s="3"/>
      <c r="NBU295" s="3"/>
      <c r="NBV295" s="3"/>
      <c r="NBW295" s="3"/>
      <c r="NBX295" s="3"/>
      <c r="NBY295" s="3"/>
      <c r="NBZ295" s="3"/>
      <c r="NCA295" s="3"/>
      <c r="NCB295" s="3"/>
      <c r="NCC295" s="3"/>
      <c r="NCD295" s="3"/>
      <c r="NCE295" s="3"/>
      <c r="NCF295" s="3"/>
      <c r="NCG295" s="3"/>
      <c r="NCH295" s="3"/>
      <c r="NCI295" s="3"/>
      <c r="NCJ295" s="3"/>
      <c r="NCK295" s="3"/>
      <c r="NCL295" s="3"/>
      <c r="NCM295" s="3"/>
      <c r="NCN295" s="3"/>
      <c r="NCO295" s="3"/>
      <c r="NCP295" s="3"/>
      <c r="NCQ295" s="3"/>
      <c r="NCR295" s="3"/>
      <c r="NCS295" s="3"/>
      <c r="NCT295" s="3"/>
      <c r="NCU295" s="3"/>
      <c r="NCV295" s="3"/>
      <c r="NCW295" s="3"/>
      <c r="NCX295" s="3"/>
      <c r="NCY295" s="3"/>
      <c r="NCZ295" s="3"/>
      <c r="NDA295" s="3"/>
      <c r="NDB295" s="3"/>
      <c r="NDC295" s="3"/>
      <c r="NDD295" s="3"/>
      <c r="NDE295" s="3"/>
      <c r="NDF295" s="3"/>
      <c r="NDG295" s="3"/>
      <c r="NDH295" s="3"/>
      <c r="NDI295" s="3"/>
      <c r="NDJ295" s="3"/>
      <c r="NDK295" s="3"/>
      <c r="NDL295" s="3"/>
      <c r="NDM295" s="3"/>
      <c r="NDN295" s="3"/>
      <c r="NDO295" s="3"/>
      <c r="NDP295" s="3"/>
      <c r="NDQ295" s="3"/>
      <c r="NDR295" s="3"/>
      <c r="NDS295" s="3"/>
      <c r="NDT295" s="3"/>
      <c r="NDU295" s="3"/>
      <c r="NDV295" s="3"/>
      <c r="NDW295" s="3"/>
      <c r="NDX295" s="3"/>
      <c r="NDY295" s="3"/>
      <c r="NDZ295" s="3"/>
      <c r="NEA295" s="3"/>
      <c r="NEB295" s="3"/>
      <c r="NEC295" s="3"/>
      <c r="NED295" s="3"/>
      <c r="NEE295" s="3"/>
      <c r="NEF295" s="3"/>
      <c r="NEG295" s="3"/>
      <c r="NEH295" s="3"/>
      <c r="NEI295" s="3"/>
      <c r="NEJ295" s="3"/>
      <c r="NEK295" s="3"/>
      <c r="NEL295" s="3"/>
      <c r="NEM295" s="3"/>
      <c r="NEN295" s="3"/>
      <c r="NEO295" s="3"/>
      <c r="NEP295" s="3"/>
      <c r="NEQ295" s="3"/>
      <c r="NER295" s="3"/>
      <c r="NES295" s="3"/>
      <c r="NET295" s="3"/>
      <c r="NEU295" s="3"/>
      <c r="NEV295" s="3"/>
      <c r="NEW295" s="3"/>
      <c r="NEX295" s="3"/>
      <c r="NEY295" s="3"/>
      <c r="NEZ295" s="3"/>
      <c r="NFA295" s="3"/>
      <c r="NFB295" s="3"/>
      <c r="NFC295" s="3"/>
      <c r="NFD295" s="3"/>
      <c r="NFE295" s="3"/>
      <c r="NFF295" s="3"/>
      <c r="NFG295" s="3"/>
      <c r="NFH295" s="3"/>
      <c r="NFI295" s="3"/>
      <c r="NFJ295" s="3"/>
      <c r="NFK295" s="3"/>
      <c r="NFL295" s="3"/>
      <c r="NFM295" s="3"/>
      <c r="NFN295" s="3"/>
      <c r="NFO295" s="3"/>
      <c r="NFP295" s="3"/>
      <c r="NFQ295" s="3"/>
      <c r="NFR295" s="3"/>
      <c r="NFS295" s="3"/>
      <c r="NFT295" s="3"/>
      <c r="NFU295" s="3"/>
      <c r="NFV295" s="3"/>
      <c r="NFW295" s="3"/>
      <c r="NFX295" s="3"/>
      <c r="NFY295" s="3"/>
      <c r="NFZ295" s="3"/>
      <c r="NGA295" s="3"/>
      <c r="NGB295" s="3"/>
      <c r="NGC295" s="3"/>
      <c r="NGD295" s="3"/>
      <c r="NGE295" s="3"/>
      <c r="NGF295" s="3"/>
      <c r="NGG295" s="3"/>
      <c r="NGH295" s="3"/>
      <c r="NGI295" s="3"/>
      <c r="NGJ295" s="3"/>
      <c r="NGK295" s="3"/>
      <c r="NGL295" s="3"/>
      <c r="NGM295" s="3"/>
      <c r="NGN295" s="3"/>
      <c r="NGO295" s="3"/>
      <c r="NGP295" s="3"/>
      <c r="NGQ295" s="3"/>
      <c r="NGR295" s="3"/>
      <c r="NGS295" s="3"/>
      <c r="NGT295" s="3"/>
      <c r="NGU295" s="3"/>
      <c r="NGV295" s="3"/>
      <c r="NGW295" s="3"/>
      <c r="NGX295" s="3"/>
      <c r="NGY295" s="3"/>
      <c r="NGZ295" s="3"/>
      <c r="NHA295" s="3"/>
      <c r="NHB295" s="3"/>
      <c r="NHC295" s="3"/>
      <c r="NHD295" s="3"/>
      <c r="NHE295" s="3"/>
      <c r="NHF295" s="3"/>
      <c r="NHG295" s="3"/>
      <c r="NHH295" s="3"/>
      <c r="NHI295" s="3"/>
      <c r="NHJ295" s="3"/>
      <c r="NHK295" s="3"/>
      <c r="NHL295" s="3"/>
      <c r="NHM295" s="3"/>
      <c r="NHN295" s="3"/>
      <c r="NHO295" s="3"/>
      <c r="NHP295" s="3"/>
      <c r="NHQ295" s="3"/>
      <c r="NHR295" s="3"/>
      <c r="NHS295" s="3"/>
      <c r="NHT295" s="3"/>
      <c r="NHU295" s="3"/>
      <c r="NHV295" s="3"/>
      <c r="NHW295" s="3"/>
      <c r="NHX295" s="3"/>
      <c r="NHY295" s="3"/>
      <c r="NHZ295" s="3"/>
      <c r="NIA295" s="3"/>
      <c r="NIB295" s="3"/>
      <c r="NIC295" s="3"/>
      <c r="NID295" s="3"/>
      <c r="NIE295" s="3"/>
      <c r="NIF295" s="3"/>
      <c r="NIG295" s="3"/>
      <c r="NIH295" s="3"/>
      <c r="NII295" s="3"/>
      <c r="NIJ295" s="3"/>
      <c r="NIK295" s="3"/>
      <c r="NIL295" s="3"/>
      <c r="NIM295" s="3"/>
      <c r="NIN295" s="3"/>
      <c r="NIO295" s="3"/>
      <c r="NIP295" s="3"/>
      <c r="NIQ295" s="3"/>
      <c r="NIR295" s="3"/>
      <c r="NIS295" s="3"/>
      <c r="NIT295" s="3"/>
      <c r="NIU295" s="3"/>
      <c r="NIV295" s="3"/>
      <c r="NIW295" s="3"/>
      <c r="NIX295" s="3"/>
      <c r="NIY295" s="3"/>
      <c r="NIZ295" s="3"/>
      <c r="NJA295" s="3"/>
      <c r="NJB295" s="3"/>
      <c r="NJC295" s="3"/>
      <c r="NJD295" s="3"/>
      <c r="NJE295" s="3"/>
      <c r="NJF295" s="3"/>
      <c r="NJG295" s="3"/>
      <c r="NJH295" s="3"/>
      <c r="NJI295" s="3"/>
      <c r="NJJ295" s="3"/>
      <c r="NJK295" s="3"/>
      <c r="NJL295" s="3"/>
      <c r="NJM295" s="3"/>
      <c r="NJN295" s="3"/>
      <c r="NJO295" s="3"/>
      <c r="NJP295" s="3"/>
      <c r="NJQ295" s="3"/>
      <c r="NJR295" s="3"/>
      <c r="NJS295" s="3"/>
      <c r="NJT295" s="3"/>
      <c r="NJU295" s="3"/>
      <c r="NJV295" s="3"/>
      <c r="NJW295" s="3"/>
      <c r="NJX295" s="3"/>
      <c r="NJY295" s="3"/>
      <c r="NJZ295" s="3"/>
      <c r="NKA295" s="3"/>
      <c r="NKB295" s="3"/>
      <c r="NKC295" s="3"/>
      <c r="NKD295" s="3"/>
      <c r="NKE295" s="3"/>
      <c r="NKF295" s="3"/>
      <c r="NKG295" s="3"/>
      <c r="NKH295" s="3"/>
      <c r="NKI295" s="3"/>
      <c r="NKJ295" s="3"/>
      <c r="NKK295" s="3"/>
      <c r="NKL295" s="3"/>
      <c r="NKM295" s="3"/>
      <c r="NKN295" s="3"/>
      <c r="NKO295" s="3"/>
      <c r="NKP295" s="3"/>
      <c r="NKQ295" s="3"/>
      <c r="NKR295" s="3"/>
      <c r="NKS295" s="3"/>
      <c r="NKT295" s="3"/>
      <c r="NKU295" s="3"/>
      <c r="NKV295" s="3"/>
      <c r="NKW295" s="3"/>
      <c r="NKX295" s="3"/>
      <c r="NKY295" s="3"/>
      <c r="NKZ295" s="3"/>
      <c r="NLA295" s="3"/>
      <c r="NLB295" s="3"/>
      <c r="NLC295" s="3"/>
      <c r="NLD295" s="3"/>
      <c r="NLE295" s="3"/>
      <c r="NLF295" s="3"/>
      <c r="NLG295" s="3"/>
      <c r="NLH295" s="3"/>
      <c r="NLI295" s="3"/>
      <c r="NLJ295" s="3"/>
      <c r="NLK295" s="3"/>
      <c r="NLL295" s="3"/>
      <c r="NLM295" s="3"/>
      <c r="NLN295" s="3"/>
      <c r="NLO295" s="3"/>
      <c r="NLP295" s="3"/>
      <c r="NLQ295" s="3"/>
      <c r="NLR295" s="3"/>
      <c r="NLS295" s="3"/>
      <c r="NLT295" s="3"/>
      <c r="NLU295" s="3"/>
      <c r="NLV295" s="3"/>
      <c r="NLW295" s="3"/>
      <c r="NLX295" s="3"/>
      <c r="NLY295" s="3"/>
      <c r="NLZ295" s="3"/>
      <c r="NMA295" s="3"/>
      <c r="NMB295" s="3"/>
      <c r="NMC295" s="3"/>
      <c r="NMD295" s="3"/>
      <c r="NME295" s="3"/>
      <c r="NMF295" s="3"/>
      <c r="NMG295" s="3"/>
      <c r="NMH295" s="3"/>
      <c r="NMI295" s="3"/>
      <c r="NMJ295" s="3"/>
      <c r="NMK295" s="3"/>
      <c r="NML295" s="3"/>
      <c r="NMM295" s="3"/>
      <c r="NMN295" s="3"/>
      <c r="NMO295" s="3"/>
      <c r="NMP295" s="3"/>
      <c r="NMQ295" s="3"/>
      <c r="NMR295" s="3"/>
      <c r="NMS295" s="3"/>
      <c r="NMT295" s="3"/>
      <c r="NMU295" s="3"/>
      <c r="NMV295" s="3"/>
      <c r="NMW295" s="3"/>
      <c r="NMX295" s="3"/>
      <c r="NMY295" s="3"/>
      <c r="NMZ295" s="3"/>
      <c r="NNA295" s="3"/>
      <c r="NNB295" s="3"/>
      <c r="NNC295" s="3"/>
      <c r="NND295" s="3"/>
      <c r="NNE295" s="3"/>
      <c r="NNF295" s="3"/>
      <c r="NNG295" s="3"/>
      <c r="NNH295" s="3"/>
      <c r="NNI295" s="3"/>
      <c r="NNJ295" s="3"/>
      <c r="NNK295" s="3"/>
      <c r="NNL295" s="3"/>
      <c r="NNM295" s="3"/>
      <c r="NNN295" s="3"/>
      <c r="NNO295" s="3"/>
      <c r="NNP295" s="3"/>
      <c r="NNQ295" s="3"/>
      <c r="NNR295" s="3"/>
      <c r="NNS295" s="3"/>
      <c r="NNT295" s="3"/>
      <c r="NNU295" s="3"/>
      <c r="NNV295" s="3"/>
      <c r="NNW295" s="3"/>
      <c r="NNX295" s="3"/>
      <c r="NNY295" s="3"/>
      <c r="NNZ295" s="3"/>
      <c r="NOA295" s="3"/>
      <c r="NOB295" s="3"/>
      <c r="NOC295" s="3"/>
      <c r="NOD295" s="3"/>
      <c r="NOE295" s="3"/>
      <c r="NOF295" s="3"/>
      <c r="NOG295" s="3"/>
      <c r="NOH295" s="3"/>
      <c r="NOI295" s="3"/>
      <c r="NOJ295" s="3"/>
      <c r="NOK295" s="3"/>
      <c r="NOL295" s="3"/>
      <c r="NOM295" s="3"/>
      <c r="NON295" s="3"/>
      <c r="NOO295" s="3"/>
      <c r="NOP295" s="3"/>
      <c r="NOQ295" s="3"/>
      <c r="NOR295" s="3"/>
      <c r="NOS295" s="3"/>
      <c r="NOT295" s="3"/>
      <c r="NOU295" s="3"/>
      <c r="NOV295" s="3"/>
      <c r="NOW295" s="3"/>
      <c r="NOX295" s="3"/>
      <c r="NOY295" s="3"/>
      <c r="NOZ295" s="3"/>
      <c r="NPA295" s="3"/>
      <c r="NPB295" s="3"/>
      <c r="NPC295" s="3"/>
      <c r="NPD295" s="3"/>
      <c r="NPE295" s="3"/>
      <c r="NPF295" s="3"/>
      <c r="NPG295" s="3"/>
      <c r="NPH295" s="3"/>
      <c r="NPI295" s="3"/>
      <c r="NPJ295" s="3"/>
      <c r="NPK295" s="3"/>
      <c r="NPL295" s="3"/>
      <c r="NPM295" s="3"/>
      <c r="NPN295" s="3"/>
      <c r="NPO295" s="3"/>
      <c r="NPP295" s="3"/>
      <c r="NPQ295" s="3"/>
      <c r="NPR295" s="3"/>
      <c r="NPS295" s="3"/>
      <c r="NPT295" s="3"/>
      <c r="NPU295" s="3"/>
      <c r="NPV295" s="3"/>
      <c r="NPW295" s="3"/>
      <c r="NPX295" s="3"/>
      <c r="NPY295" s="3"/>
      <c r="NPZ295" s="3"/>
      <c r="NQA295" s="3"/>
      <c r="NQB295" s="3"/>
      <c r="NQC295" s="3"/>
      <c r="NQD295" s="3"/>
      <c r="NQE295" s="3"/>
      <c r="NQF295" s="3"/>
      <c r="NQG295" s="3"/>
      <c r="NQH295" s="3"/>
      <c r="NQI295" s="3"/>
      <c r="NQJ295" s="3"/>
      <c r="NQK295" s="3"/>
      <c r="NQL295" s="3"/>
      <c r="NQM295" s="3"/>
      <c r="NQN295" s="3"/>
      <c r="NQO295" s="3"/>
      <c r="NQP295" s="3"/>
      <c r="NQQ295" s="3"/>
      <c r="NQR295" s="3"/>
      <c r="NQS295" s="3"/>
      <c r="NQT295" s="3"/>
      <c r="NQU295" s="3"/>
      <c r="NQV295" s="3"/>
      <c r="NQW295" s="3"/>
      <c r="NQX295" s="3"/>
      <c r="NQY295" s="3"/>
      <c r="NQZ295" s="3"/>
      <c r="NRA295" s="3"/>
      <c r="NRB295" s="3"/>
      <c r="NRC295" s="3"/>
      <c r="NRD295" s="3"/>
      <c r="NRE295" s="3"/>
      <c r="NRF295" s="3"/>
      <c r="NRG295" s="3"/>
      <c r="NRH295" s="3"/>
      <c r="NRI295" s="3"/>
      <c r="NRJ295" s="3"/>
      <c r="NRK295" s="3"/>
      <c r="NRL295" s="3"/>
      <c r="NRM295" s="3"/>
      <c r="NRN295" s="3"/>
      <c r="NRO295" s="3"/>
      <c r="NRP295" s="3"/>
      <c r="NRQ295" s="3"/>
      <c r="NRR295" s="3"/>
      <c r="NRS295" s="3"/>
      <c r="NRT295" s="3"/>
      <c r="NRU295" s="3"/>
      <c r="NRV295" s="3"/>
      <c r="NRW295" s="3"/>
      <c r="NRX295" s="3"/>
      <c r="NRY295" s="3"/>
      <c r="NRZ295" s="3"/>
      <c r="NSA295" s="3"/>
      <c r="NSB295" s="3"/>
      <c r="NSC295" s="3"/>
      <c r="NSD295" s="3"/>
      <c r="NSE295" s="3"/>
      <c r="NSF295" s="3"/>
      <c r="NSG295" s="3"/>
      <c r="NSH295" s="3"/>
      <c r="NSI295" s="3"/>
      <c r="NSJ295" s="3"/>
      <c r="NSK295" s="3"/>
      <c r="NSL295" s="3"/>
      <c r="NSM295" s="3"/>
      <c r="NSN295" s="3"/>
      <c r="NSO295" s="3"/>
      <c r="NSP295" s="3"/>
      <c r="NSQ295" s="3"/>
      <c r="NSR295" s="3"/>
      <c r="NSS295" s="3"/>
      <c r="NST295" s="3"/>
      <c r="NSU295" s="3"/>
      <c r="NSV295" s="3"/>
      <c r="NSW295" s="3"/>
      <c r="NSX295" s="3"/>
      <c r="NSY295" s="3"/>
      <c r="NSZ295" s="3"/>
      <c r="NTA295" s="3"/>
      <c r="NTB295" s="3"/>
      <c r="NTC295" s="3"/>
      <c r="NTD295" s="3"/>
      <c r="NTE295" s="3"/>
      <c r="NTF295" s="3"/>
      <c r="NTG295" s="3"/>
      <c r="NTH295" s="3"/>
      <c r="NTI295" s="3"/>
      <c r="NTJ295" s="3"/>
      <c r="NTK295" s="3"/>
      <c r="NTL295" s="3"/>
      <c r="NTM295" s="3"/>
      <c r="NTN295" s="3"/>
      <c r="NTO295" s="3"/>
      <c r="NTP295" s="3"/>
      <c r="NTQ295" s="3"/>
      <c r="NTR295" s="3"/>
      <c r="NTS295" s="3"/>
      <c r="NTT295" s="3"/>
      <c r="NTU295" s="3"/>
      <c r="NTV295" s="3"/>
      <c r="NTW295" s="3"/>
      <c r="NTX295" s="3"/>
      <c r="NTY295" s="3"/>
      <c r="NTZ295" s="3"/>
      <c r="NUA295" s="3"/>
      <c r="NUB295" s="3"/>
      <c r="NUC295" s="3"/>
      <c r="NUD295" s="3"/>
      <c r="NUE295" s="3"/>
      <c r="NUF295" s="3"/>
      <c r="NUG295" s="3"/>
      <c r="NUH295" s="3"/>
      <c r="NUI295" s="3"/>
      <c r="NUJ295" s="3"/>
      <c r="NUK295" s="3"/>
      <c r="NUL295" s="3"/>
      <c r="NUM295" s="3"/>
      <c r="NUN295" s="3"/>
      <c r="NUO295" s="3"/>
      <c r="NUP295" s="3"/>
      <c r="NUQ295" s="3"/>
      <c r="NUR295" s="3"/>
      <c r="NUS295" s="3"/>
      <c r="NUT295" s="3"/>
      <c r="NUU295" s="3"/>
      <c r="NUV295" s="3"/>
      <c r="NUW295" s="3"/>
      <c r="NUX295" s="3"/>
      <c r="NUY295" s="3"/>
      <c r="NUZ295" s="3"/>
      <c r="NVA295" s="3"/>
      <c r="NVB295" s="3"/>
      <c r="NVC295" s="3"/>
      <c r="NVD295" s="3"/>
      <c r="NVE295" s="3"/>
      <c r="NVF295" s="3"/>
      <c r="NVG295" s="3"/>
      <c r="NVH295" s="3"/>
      <c r="NVI295" s="3"/>
      <c r="NVJ295" s="3"/>
      <c r="NVK295" s="3"/>
      <c r="NVL295" s="3"/>
      <c r="NVM295" s="3"/>
      <c r="NVN295" s="3"/>
      <c r="NVO295" s="3"/>
      <c r="NVP295" s="3"/>
      <c r="NVQ295" s="3"/>
      <c r="NVR295" s="3"/>
      <c r="NVS295" s="3"/>
      <c r="NVT295" s="3"/>
      <c r="NVU295" s="3"/>
      <c r="NVV295" s="3"/>
      <c r="NVW295" s="3"/>
      <c r="NVX295" s="3"/>
      <c r="NVY295" s="3"/>
      <c r="NVZ295" s="3"/>
      <c r="NWA295" s="3"/>
      <c r="NWB295" s="3"/>
      <c r="NWC295" s="3"/>
      <c r="NWD295" s="3"/>
      <c r="NWE295" s="3"/>
      <c r="NWF295" s="3"/>
      <c r="NWG295" s="3"/>
      <c r="NWH295" s="3"/>
      <c r="NWI295" s="3"/>
      <c r="NWJ295" s="3"/>
      <c r="NWK295" s="3"/>
      <c r="NWL295" s="3"/>
      <c r="NWM295" s="3"/>
      <c r="NWN295" s="3"/>
      <c r="NWO295" s="3"/>
      <c r="NWP295" s="3"/>
      <c r="NWQ295" s="3"/>
      <c r="NWR295" s="3"/>
      <c r="NWS295" s="3"/>
      <c r="NWT295" s="3"/>
      <c r="NWU295" s="3"/>
      <c r="NWV295" s="3"/>
      <c r="NWW295" s="3"/>
      <c r="NWX295" s="3"/>
      <c r="NWY295" s="3"/>
      <c r="NWZ295" s="3"/>
      <c r="NXA295" s="3"/>
      <c r="NXB295" s="3"/>
      <c r="NXC295" s="3"/>
      <c r="NXD295" s="3"/>
      <c r="NXE295" s="3"/>
      <c r="NXF295" s="3"/>
      <c r="NXG295" s="3"/>
      <c r="NXH295" s="3"/>
      <c r="NXI295" s="3"/>
      <c r="NXJ295" s="3"/>
      <c r="NXK295" s="3"/>
      <c r="NXL295" s="3"/>
      <c r="NXM295" s="3"/>
      <c r="NXN295" s="3"/>
      <c r="NXO295" s="3"/>
      <c r="NXP295" s="3"/>
      <c r="NXQ295" s="3"/>
      <c r="NXR295" s="3"/>
      <c r="NXS295" s="3"/>
      <c r="NXT295" s="3"/>
      <c r="NXU295" s="3"/>
      <c r="NXV295" s="3"/>
      <c r="NXW295" s="3"/>
      <c r="NXX295" s="3"/>
      <c r="NXY295" s="3"/>
      <c r="NXZ295" s="3"/>
      <c r="NYA295" s="3"/>
      <c r="NYB295" s="3"/>
      <c r="NYC295" s="3"/>
      <c r="NYD295" s="3"/>
      <c r="NYE295" s="3"/>
      <c r="NYF295" s="3"/>
      <c r="NYG295" s="3"/>
      <c r="NYH295" s="3"/>
      <c r="NYI295" s="3"/>
      <c r="NYJ295" s="3"/>
      <c r="NYK295" s="3"/>
      <c r="NYL295" s="3"/>
      <c r="NYM295" s="3"/>
      <c r="NYN295" s="3"/>
      <c r="NYO295" s="3"/>
      <c r="NYP295" s="3"/>
      <c r="NYQ295" s="3"/>
      <c r="NYR295" s="3"/>
      <c r="NYS295" s="3"/>
      <c r="NYT295" s="3"/>
      <c r="NYU295" s="3"/>
      <c r="NYV295" s="3"/>
      <c r="NYW295" s="3"/>
      <c r="NYX295" s="3"/>
      <c r="NYY295" s="3"/>
      <c r="NYZ295" s="3"/>
      <c r="NZA295" s="3"/>
      <c r="NZB295" s="3"/>
      <c r="NZC295" s="3"/>
      <c r="NZD295" s="3"/>
      <c r="NZE295" s="3"/>
      <c r="NZF295" s="3"/>
      <c r="NZG295" s="3"/>
      <c r="NZH295" s="3"/>
      <c r="NZI295" s="3"/>
      <c r="NZJ295" s="3"/>
      <c r="NZK295" s="3"/>
      <c r="NZL295" s="3"/>
      <c r="NZM295" s="3"/>
      <c r="NZN295" s="3"/>
      <c r="NZO295" s="3"/>
      <c r="NZP295" s="3"/>
      <c r="NZQ295" s="3"/>
      <c r="NZR295" s="3"/>
      <c r="NZS295" s="3"/>
      <c r="NZT295" s="3"/>
      <c r="NZU295" s="3"/>
      <c r="NZV295" s="3"/>
      <c r="NZW295" s="3"/>
      <c r="NZX295" s="3"/>
      <c r="NZY295" s="3"/>
      <c r="NZZ295" s="3"/>
      <c r="OAA295" s="3"/>
      <c r="OAB295" s="3"/>
      <c r="OAC295" s="3"/>
      <c r="OAD295" s="3"/>
      <c r="OAE295" s="3"/>
      <c r="OAF295" s="3"/>
      <c r="OAG295" s="3"/>
      <c r="OAH295" s="3"/>
      <c r="OAI295" s="3"/>
      <c r="OAJ295" s="3"/>
      <c r="OAK295" s="3"/>
      <c r="OAL295" s="3"/>
      <c r="OAM295" s="3"/>
      <c r="OAN295" s="3"/>
      <c r="OAO295" s="3"/>
      <c r="OAP295" s="3"/>
      <c r="OAQ295" s="3"/>
      <c r="OAR295" s="3"/>
      <c r="OAS295" s="3"/>
      <c r="OAT295" s="3"/>
      <c r="OAU295" s="3"/>
      <c r="OAV295" s="3"/>
      <c r="OAW295" s="3"/>
      <c r="OAX295" s="3"/>
      <c r="OAY295" s="3"/>
      <c r="OAZ295" s="3"/>
      <c r="OBA295" s="3"/>
      <c r="OBB295" s="3"/>
      <c r="OBC295" s="3"/>
      <c r="OBD295" s="3"/>
      <c r="OBE295" s="3"/>
      <c r="OBF295" s="3"/>
      <c r="OBG295" s="3"/>
      <c r="OBH295" s="3"/>
      <c r="OBI295" s="3"/>
      <c r="OBJ295" s="3"/>
      <c r="OBK295" s="3"/>
      <c r="OBL295" s="3"/>
      <c r="OBM295" s="3"/>
      <c r="OBN295" s="3"/>
      <c r="OBO295" s="3"/>
      <c r="OBP295" s="3"/>
      <c r="OBQ295" s="3"/>
      <c r="OBR295" s="3"/>
      <c r="OBS295" s="3"/>
      <c r="OBT295" s="3"/>
      <c r="OBU295" s="3"/>
      <c r="OBV295" s="3"/>
      <c r="OBW295" s="3"/>
      <c r="OBX295" s="3"/>
      <c r="OBY295" s="3"/>
      <c r="OBZ295" s="3"/>
      <c r="OCA295" s="3"/>
      <c r="OCB295" s="3"/>
      <c r="OCC295" s="3"/>
      <c r="OCD295" s="3"/>
      <c r="OCE295" s="3"/>
      <c r="OCF295" s="3"/>
      <c r="OCG295" s="3"/>
      <c r="OCH295" s="3"/>
      <c r="OCI295" s="3"/>
      <c r="OCJ295" s="3"/>
      <c r="OCK295" s="3"/>
      <c r="OCL295" s="3"/>
      <c r="OCM295" s="3"/>
      <c r="OCN295" s="3"/>
      <c r="OCO295" s="3"/>
      <c r="OCP295" s="3"/>
      <c r="OCQ295" s="3"/>
      <c r="OCR295" s="3"/>
      <c r="OCS295" s="3"/>
      <c r="OCT295" s="3"/>
      <c r="OCU295" s="3"/>
      <c r="OCV295" s="3"/>
      <c r="OCW295" s="3"/>
      <c r="OCX295" s="3"/>
      <c r="OCY295" s="3"/>
      <c r="OCZ295" s="3"/>
      <c r="ODA295" s="3"/>
      <c r="ODB295" s="3"/>
      <c r="ODC295" s="3"/>
      <c r="ODD295" s="3"/>
      <c r="ODE295" s="3"/>
      <c r="ODF295" s="3"/>
      <c r="ODG295" s="3"/>
      <c r="ODH295" s="3"/>
      <c r="ODI295" s="3"/>
      <c r="ODJ295" s="3"/>
      <c r="ODK295" s="3"/>
      <c r="ODL295" s="3"/>
      <c r="ODM295" s="3"/>
      <c r="ODN295" s="3"/>
      <c r="ODO295" s="3"/>
      <c r="ODP295" s="3"/>
      <c r="ODQ295" s="3"/>
      <c r="ODR295" s="3"/>
      <c r="ODS295" s="3"/>
      <c r="ODT295" s="3"/>
      <c r="ODU295" s="3"/>
      <c r="ODV295" s="3"/>
      <c r="ODW295" s="3"/>
      <c r="ODX295" s="3"/>
      <c r="ODY295" s="3"/>
      <c r="ODZ295" s="3"/>
      <c r="OEA295" s="3"/>
      <c r="OEB295" s="3"/>
      <c r="OEC295" s="3"/>
      <c r="OED295" s="3"/>
      <c r="OEE295" s="3"/>
      <c r="OEF295" s="3"/>
      <c r="OEG295" s="3"/>
      <c r="OEH295" s="3"/>
      <c r="OEI295" s="3"/>
      <c r="OEJ295" s="3"/>
      <c r="OEK295" s="3"/>
      <c r="OEL295" s="3"/>
      <c r="OEM295" s="3"/>
      <c r="OEN295" s="3"/>
      <c r="OEO295" s="3"/>
      <c r="OEP295" s="3"/>
      <c r="OEQ295" s="3"/>
      <c r="OER295" s="3"/>
      <c r="OES295" s="3"/>
      <c r="OET295" s="3"/>
      <c r="OEU295" s="3"/>
      <c r="OEV295" s="3"/>
      <c r="OEW295" s="3"/>
      <c r="OEX295" s="3"/>
      <c r="OEY295" s="3"/>
      <c r="OEZ295" s="3"/>
      <c r="OFA295" s="3"/>
      <c r="OFB295" s="3"/>
      <c r="OFC295" s="3"/>
      <c r="OFD295" s="3"/>
      <c r="OFE295" s="3"/>
      <c r="OFF295" s="3"/>
      <c r="OFG295" s="3"/>
      <c r="OFH295" s="3"/>
      <c r="OFI295" s="3"/>
      <c r="OFJ295" s="3"/>
      <c r="OFK295" s="3"/>
      <c r="OFL295" s="3"/>
      <c r="OFM295" s="3"/>
      <c r="OFN295" s="3"/>
      <c r="OFO295" s="3"/>
      <c r="OFP295" s="3"/>
      <c r="OFQ295" s="3"/>
      <c r="OFR295" s="3"/>
      <c r="OFS295" s="3"/>
      <c r="OFT295" s="3"/>
      <c r="OFU295" s="3"/>
      <c r="OFV295" s="3"/>
      <c r="OFW295" s="3"/>
      <c r="OFX295" s="3"/>
      <c r="OFY295" s="3"/>
      <c r="OFZ295" s="3"/>
      <c r="OGA295" s="3"/>
      <c r="OGB295" s="3"/>
      <c r="OGC295" s="3"/>
      <c r="OGD295" s="3"/>
      <c r="OGE295" s="3"/>
      <c r="OGF295" s="3"/>
      <c r="OGG295" s="3"/>
      <c r="OGH295" s="3"/>
      <c r="OGI295" s="3"/>
      <c r="OGJ295" s="3"/>
      <c r="OGK295" s="3"/>
      <c r="OGL295" s="3"/>
      <c r="OGM295" s="3"/>
      <c r="OGN295" s="3"/>
      <c r="OGO295" s="3"/>
      <c r="OGP295" s="3"/>
      <c r="OGQ295" s="3"/>
      <c r="OGR295" s="3"/>
      <c r="OGS295" s="3"/>
      <c r="OGT295" s="3"/>
      <c r="OGU295" s="3"/>
      <c r="OGV295" s="3"/>
      <c r="OGW295" s="3"/>
      <c r="OGX295" s="3"/>
      <c r="OGY295" s="3"/>
      <c r="OGZ295" s="3"/>
      <c r="OHA295" s="3"/>
      <c r="OHB295" s="3"/>
      <c r="OHC295" s="3"/>
      <c r="OHD295" s="3"/>
      <c r="OHE295" s="3"/>
      <c r="OHF295" s="3"/>
      <c r="OHG295" s="3"/>
      <c r="OHH295" s="3"/>
      <c r="OHI295" s="3"/>
      <c r="OHJ295" s="3"/>
      <c r="OHK295" s="3"/>
      <c r="OHL295" s="3"/>
      <c r="OHM295" s="3"/>
      <c r="OHN295" s="3"/>
      <c r="OHO295" s="3"/>
      <c r="OHP295" s="3"/>
      <c r="OHQ295" s="3"/>
      <c r="OHR295" s="3"/>
      <c r="OHS295" s="3"/>
      <c r="OHT295" s="3"/>
      <c r="OHU295" s="3"/>
      <c r="OHV295" s="3"/>
      <c r="OHW295" s="3"/>
      <c r="OHX295" s="3"/>
      <c r="OHY295" s="3"/>
      <c r="OHZ295" s="3"/>
      <c r="OIA295" s="3"/>
      <c r="OIB295" s="3"/>
      <c r="OIC295" s="3"/>
      <c r="OID295" s="3"/>
      <c r="OIE295" s="3"/>
      <c r="OIF295" s="3"/>
      <c r="OIG295" s="3"/>
      <c r="OIH295" s="3"/>
      <c r="OII295" s="3"/>
      <c r="OIJ295" s="3"/>
      <c r="OIK295" s="3"/>
      <c r="OIL295" s="3"/>
      <c r="OIM295" s="3"/>
      <c r="OIN295" s="3"/>
      <c r="OIO295" s="3"/>
      <c r="OIP295" s="3"/>
      <c r="OIQ295" s="3"/>
      <c r="OIR295" s="3"/>
      <c r="OIS295" s="3"/>
      <c r="OIT295" s="3"/>
      <c r="OIU295" s="3"/>
      <c r="OIV295" s="3"/>
      <c r="OIW295" s="3"/>
      <c r="OIX295" s="3"/>
      <c r="OIY295" s="3"/>
      <c r="OIZ295" s="3"/>
      <c r="OJA295" s="3"/>
      <c r="OJB295" s="3"/>
      <c r="OJC295" s="3"/>
      <c r="OJD295" s="3"/>
      <c r="OJE295" s="3"/>
      <c r="OJF295" s="3"/>
      <c r="OJG295" s="3"/>
      <c r="OJH295" s="3"/>
      <c r="OJI295" s="3"/>
      <c r="OJJ295" s="3"/>
      <c r="OJK295" s="3"/>
      <c r="OJL295" s="3"/>
      <c r="OJM295" s="3"/>
      <c r="OJN295" s="3"/>
      <c r="OJO295" s="3"/>
      <c r="OJP295" s="3"/>
      <c r="OJQ295" s="3"/>
      <c r="OJR295" s="3"/>
      <c r="OJS295" s="3"/>
      <c r="OJT295" s="3"/>
      <c r="OJU295" s="3"/>
      <c r="OJV295" s="3"/>
      <c r="OJW295" s="3"/>
      <c r="OJX295" s="3"/>
      <c r="OJY295" s="3"/>
      <c r="OJZ295" s="3"/>
      <c r="OKA295" s="3"/>
      <c r="OKB295" s="3"/>
      <c r="OKC295" s="3"/>
      <c r="OKD295" s="3"/>
      <c r="OKE295" s="3"/>
      <c r="OKF295" s="3"/>
      <c r="OKG295" s="3"/>
      <c r="OKH295" s="3"/>
      <c r="OKI295" s="3"/>
      <c r="OKJ295" s="3"/>
      <c r="OKK295" s="3"/>
      <c r="OKL295" s="3"/>
      <c r="OKM295" s="3"/>
      <c r="OKN295" s="3"/>
      <c r="OKO295" s="3"/>
      <c r="OKP295" s="3"/>
      <c r="OKQ295" s="3"/>
      <c r="OKR295" s="3"/>
      <c r="OKS295" s="3"/>
      <c r="OKT295" s="3"/>
      <c r="OKU295" s="3"/>
      <c r="OKV295" s="3"/>
      <c r="OKW295" s="3"/>
      <c r="OKX295" s="3"/>
      <c r="OKY295" s="3"/>
      <c r="OKZ295" s="3"/>
      <c r="OLA295" s="3"/>
      <c r="OLB295" s="3"/>
      <c r="OLC295" s="3"/>
      <c r="OLD295" s="3"/>
      <c r="OLE295" s="3"/>
      <c r="OLF295" s="3"/>
      <c r="OLG295" s="3"/>
      <c r="OLH295" s="3"/>
      <c r="OLI295" s="3"/>
      <c r="OLJ295" s="3"/>
      <c r="OLK295" s="3"/>
      <c r="OLL295" s="3"/>
      <c r="OLM295" s="3"/>
      <c r="OLN295" s="3"/>
      <c r="OLO295" s="3"/>
      <c r="OLP295" s="3"/>
      <c r="OLQ295" s="3"/>
      <c r="OLR295" s="3"/>
      <c r="OLS295" s="3"/>
      <c r="OLT295" s="3"/>
      <c r="OLU295" s="3"/>
      <c r="OLV295" s="3"/>
      <c r="OLW295" s="3"/>
      <c r="OLX295" s="3"/>
      <c r="OLY295" s="3"/>
      <c r="OLZ295" s="3"/>
      <c r="OMA295" s="3"/>
      <c r="OMB295" s="3"/>
      <c r="OMC295" s="3"/>
      <c r="OMD295" s="3"/>
      <c r="OME295" s="3"/>
      <c r="OMF295" s="3"/>
      <c r="OMG295" s="3"/>
      <c r="OMH295" s="3"/>
      <c r="OMI295" s="3"/>
      <c r="OMJ295" s="3"/>
      <c r="OMK295" s="3"/>
      <c r="OML295" s="3"/>
      <c r="OMM295" s="3"/>
      <c r="OMN295" s="3"/>
      <c r="OMO295" s="3"/>
      <c r="OMP295" s="3"/>
      <c r="OMQ295" s="3"/>
      <c r="OMR295" s="3"/>
      <c r="OMS295" s="3"/>
      <c r="OMT295" s="3"/>
      <c r="OMU295" s="3"/>
      <c r="OMV295" s="3"/>
      <c r="OMW295" s="3"/>
      <c r="OMX295" s="3"/>
      <c r="OMY295" s="3"/>
      <c r="OMZ295" s="3"/>
      <c r="ONA295" s="3"/>
      <c r="ONB295" s="3"/>
      <c r="ONC295" s="3"/>
      <c r="OND295" s="3"/>
      <c r="ONE295" s="3"/>
      <c r="ONF295" s="3"/>
      <c r="ONG295" s="3"/>
      <c r="ONH295" s="3"/>
      <c r="ONI295" s="3"/>
      <c r="ONJ295" s="3"/>
      <c r="ONK295" s="3"/>
      <c r="ONL295" s="3"/>
      <c r="ONM295" s="3"/>
      <c r="ONN295" s="3"/>
      <c r="ONO295" s="3"/>
      <c r="ONP295" s="3"/>
      <c r="ONQ295" s="3"/>
      <c r="ONR295" s="3"/>
      <c r="ONS295" s="3"/>
      <c r="ONT295" s="3"/>
      <c r="ONU295" s="3"/>
      <c r="ONV295" s="3"/>
      <c r="ONW295" s="3"/>
      <c r="ONX295" s="3"/>
      <c r="ONY295" s="3"/>
      <c r="ONZ295" s="3"/>
      <c r="OOA295" s="3"/>
      <c r="OOB295" s="3"/>
      <c r="OOC295" s="3"/>
      <c r="OOD295" s="3"/>
      <c r="OOE295" s="3"/>
      <c r="OOF295" s="3"/>
      <c r="OOG295" s="3"/>
      <c r="OOH295" s="3"/>
      <c r="OOI295" s="3"/>
      <c r="OOJ295" s="3"/>
      <c r="OOK295" s="3"/>
      <c r="OOL295" s="3"/>
      <c r="OOM295" s="3"/>
      <c r="OON295" s="3"/>
      <c r="OOO295" s="3"/>
      <c r="OOP295" s="3"/>
      <c r="OOQ295" s="3"/>
      <c r="OOR295" s="3"/>
      <c r="OOS295" s="3"/>
      <c r="OOT295" s="3"/>
      <c r="OOU295" s="3"/>
      <c r="OOV295" s="3"/>
      <c r="OOW295" s="3"/>
      <c r="OOX295" s="3"/>
      <c r="OOY295" s="3"/>
      <c r="OOZ295" s="3"/>
      <c r="OPA295" s="3"/>
      <c r="OPB295" s="3"/>
      <c r="OPC295" s="3"/>
      <c r="OPD295" s="3"/>
      <c r="OPE295" s="3"/>
      <c r="OPF295" s="3"/>
      <c r="OPG295" s="3"/>
      <c r="OPH295" s="3"/>
      <c r="OPI295" s="3"/>
      <c r="OPJ295" s="3"/>
      <c r="OPK295" s="3"/>
      <c r="OPL295" s="3"/>
      <c r="OPM295" s="3"/>
      <c r="OPN295" s="3"/>
      <c r="OPO295" s="3"/>
      <c r="OPP295" s="3"/>
      <c r="OPQ295" s="3"/>
      <c r="OPR295" s="3"/>
      <c r="OPS295" s="3"/>
      <c r="OPT295" s="3"/>
      <c r="OPU295" s="3"/>
      <c r="OPV295" s="3"/>
      <c r="OPW295" s="3"/>
      <c r="OPX295" s="3"/>
      <c r="OPY295" s="3"/>
      <c r="OPZ295" s="3"/>
      <c r="OQA295" s="3"/>
      <c r="OQB295" s="3"/>
      <c r="OQC295" s="3"/>
      <c r="OQD295" s="3"/>
      <c r="OQE295" s="3"/>
      <c r="OQF295" s="3"/>
      <c r="OQG295" s="3"/>
      <c r="OQH295" s="3"/>
      <c r="OQI295" s="3"/>
      <c r="OQJ295" s="3"/>
      <c r="OQK295" s="3"/>
      <c r="OQL295" s="3"/>
      <c r="OQM295" s="3"/>
      <c r="OQN295" s="3"/>
      <c r="OQO295" s="3"/>
      <c r="OQP295" s="3"/>
      <c r="OQQ295" s="3"/>
      <c r="OQR295" s="3"/>
      <c r="OQS295" s="3"/>
      <c r="OQT295" s="3"/>
      <c r="OQU295" s="3"/>
      <c r="OQV295" s="3"/>
      <c r="OQW295" s="3"/>
      <c r="OQX295" s="3"/>
      <c r="OQY295" s="3"/>
      <c r="OQZ295" s="3"/>
      <c r="ORA295" s="3"/>
      <c r="ORB295" s="3"/>
      <c r="ORC295" s="3"/>
      <c r="ORD295" s="3"/>
      <c r="ORE295" s="3"/>
      <c r="ORF295" s="3"/>
      <c r="ORG295" s="3"/>
      <c r="ORH295" s="3"/>
      <c r="ORI295" s="3"/>
      <c r="ORJ295" s="3"/>
      <c r="ORK295" s="3"/>
      <c r="ORL295" s="3"/>
      <c r="ORM295" s="3"/>
      <c r="ORN295" s="3"/>
      <c r="ORO295" s="3"/>
      <c r="ORP295" s="3"/>
      <c r="ORQ295" s="3"/>
      <c r="ORR295" s="3"/>
      <c r="ORS295" s="3"/>
      <c r="ORT295" s="3"/>
      <c r="ORU295" s="3"/>
      <c r="ORV295" s="3"/>
      <c r="ORW295" s="3"/>
      <c r="ORX295" s="3"/>
      <c r="ORY295" s="3"/>
      <c r="ORZ295" s="3"/>
      <c r="OSA295" s="3"/>
      <c r="OSB295" s="3"/>
      <c r="OSC295" s="3"/>
      <c r="OSD295" s="3"/>
      <c r="OSE295" s="3"/>
      <c r="OSF295" s="3"/>
      <c r="OSG295" s="3"/>
      <c r="OSH295" s="3"/>
      <c r="OSI295" s="3"/>
      <c r="OSJ295" s="3"/>
      <c r="OSK295" s="3"/>
      <c r="OSL295" s="3"/>
      <c r="OSM295" s="3"/>
      <c r="OSN295" s="3"/>
      <c r="OSO295" s="3"/>
      <c r="OSP295" s="3"/>
      <c r="OSQ295" s="3"/>
      <c r="OSR295" s="3"/>
      <c r="OSS295" s="3"/>
      <c r="OST295" s="3"/>
      <c r="OSU295" s="3"/>
      <c r="OSV295" s="3"/>
      <c r="OSW295" s="3"/>
      <c r="OSX295" s="3"/>
      <c r="OSY295" s="3"/>
      <c r="OSZ295" s="3"/>
      <c r="OTA295" s="3"/>
      <c r="OTB295" s="3"/>
      <c r="OTC295" s="3"/>
      <c r="OTD295" s="3"/>
      <c r="OTE295" s="3"/>
      <c r="OTF295" s="3"/>
      <c r="OTG295" s="3"/>
      <c r="OTH295" s="3"/>
      <c r="OTI295" s="3"/>
      <c r="OTJ295" s="3"/>
      <c r="OTK295" s="3"/>
      <c r="OTL295" s="3"/>
      <c r="OTM295" s="3"/>
      <c r="OTN295" s="3"/>
      <c r="OTO295" s="3"/>
      <c r="OTP295" s="3"/>
      <c r="OTQ295" s="3"/>
      <c r="OTR295" s="3"/>
      <c r="OTS295" s="3"/>
      <c r="OTT295" s="3"/>
      <c r="OTU295" s="3"/>
      <c r="OTV295" s="3"/>
      <c r="OTW295" s="3"/>
      <c r="OTX295" s="3"/>
      <c r="OTY295" s="3"/>
      <c r="OTZ295" s="3"/>
      <c r="OUA295" s="3"/>
      <c r="OUB295" s="3"/>
      <c r="OUC295" s="3"/>
      <c r="OUD295" s="3"/>
      <c r="OUE295" s="3"/>
      <c r="OUF295" s="3"/>
      <c r="OUG295" s="3"/>
      <c r="OUH295" s="3"/>
      <c r="OUI295" s="3"/>
      <c r="OUJ295" s="3"/>
      <c r="OUK295" s="3"/>
      <c r="OUL295" s="3"/>
      <c r="OUM295" s="3"/>
      <c r="OUN295" s="3"/>
      <c r="OUO295" s="3"/>
      <c r="OUP295" s="3"/>
      <c r="OUQ295" s="3"/>
      <c r="OUR295" s="3"/>
      <c r="OUS295" s="3"/>
      <c r="OUT295" s="3"/>
      <c r="OUU295" s="3"/>
      <c r="OUV295" s="3"/>
      <c r="OUW295" s="3"/>
      <c r="OUX295" s="3"/>
      <c r="OUY295" s="3"/>
      <c r="OUZ295" s="3"/>
      <c r="OVA295" s="3"/>
      <c r="OVB295" s="3"/>
      <c r="OVC295" s="3"/>
      <c r="OVD295" s="3"/>
      <c r="OVE295" s="3"/>
      <c r="OVF295" s="3"/>
      <c r="OVG295" s="3"/>
      <c r="OVH295" s="3"/>
      <c r="OVI295" s="3"/>
      <c r="OVJ295" s="3"/>
      <c r="OVK295" s="3"/>
      <c r="OVL295" s="3"/>
      <c r="OVM295" s="3"/>
      <c r="OVN295" s="3"/>
      <c r="OVO295" s="3"/>
      <c r="OVP295" s="3"/>
      <c r="OVQ295" s="3"/>
      <c r="OVR295" s="3"/>
      <c r="OVS295" s="3"/>
      <c r="OVT295" s="3"/>
      <c r="OVU295" s="3"/>
      <c r="OVV295" s="3"/>
      <c r="OVW295" s="3"/>
      <c r="OVX295" s="3"/>
      <c r="OVY295" s="3"/>
      <c r="OVZ295" s="3"/>
      <c r="OWA295" s="3"/>
      <c r="OWB295" s="3"/>
      <c r="OWC295" s="3"/>
      <c r="OWD295" s="3"/>
      <c r="OWE295" s="3"/>
      <c r="OWF295" s="3"/>
      <c r="OWG295" s="3"/>
      <c r="OWH295" s="3"/>
      <c r="OWI295" s="3"/>
      <c r="OWJ295" s="3"/>
      <c r="OWK295" s="3"/>
      <c r="OWL295" s="3"/>
      <c r="OWM295" s="3"/>
      <c r="OWN295" s="3"/>
      <c r="OWO295" s="3"/>
      <c r="OWP295" s="3"/>
      <c r="OWQ295" s="3"/>
      <c r="OWR295" s="3"/>
      <c r="OWS295" s="3"/>
      <c r="OWT295" s="3"/>
      <c r="OWU295" s="3"/>
      <c r="OWV295" s="3"/>
      <c r="OWW295" s="3"/>
      <c r="OWX295" s="3"/>
      <c r="OWY295" s="3"/>
      <c r="OWZ295" s="3"/>
      <c r="OXA295" s="3"/>
      <c r="OXB295" s="3"/>
      <c r="OXC295" s="3"/>
      <c r="OXD295" s="3"/>
      <c r="OXE295" s="3"/>
      <c r="OXF295" s="3"/>
      <c r="OXG295" s="3"/>
      <c r="OXH295" s="3"/>
      <c r="OXI295" s="3"/>
      <c r="OXJ295" s="3"/>
      <c r="OXK295" s="3"/>
      <c r="OXL295" s="3"/>
      <c r="OXM295" s="3"/>
      <c r="OXN295" s="3"/>
      <c r="OXO295" s="3"/>
      <c r="OXP295" s="3"/>
      <c r="OXQ295" s="3"/>
      <c r="OXR295" s="3"/>
      <c r="OXS295" s="3"/>
      <c r="OXT295" s="3"/>
      <c r="OXU295" s="3"/>
      <c r="OXV295" s="3"/>
      <c r="OXW295" s="3"/>
      <c r="OXX295" s="3"/>
      <c r="OXY295" s="3"/>
      <c r="OXZ295" s="3"/>
      <c r="OYA295" s="3"/>
      <c r="OYB295" s="3"/>
      <c r="OYC295" s="3"/>
      <c r="OYD295" s="3"/>
      <c r="OYE295" s="3"/>
      <c r="OYF295" s="3"/>
      <c r="OYG295" s="3"/>
      <c r="OYH295" s="3"/>
      <c r="OYI295" s="3"/>
      <c r="OYJ295" s="3"/>
      <c r="OYK295" s="3"/>
      <c r="OYL295" s="3"/>
      <c r="OYM295" s="3"/>
      <c r="OYN295" s="3"/>
      <c r="OYO295" s="3"/>
      <c r="OYP295" s="3"/>
      <c r="OYQ295" s="3"/>
      <c r="OYR295" s="3"/>
      <c r="OYS295" s="3"/>
      <c r="OYT295" s="3"/>
      <c r="OYU295" s="3"/>
      <c r="OYV295" s="3"/>
      <c r="OYW295" s="3"/>
      <c r="OYX295" s="3"/>
      <c r="OYY295" s="3"/>
      <c r="OYZ295" s="3"/>
      <c r="OZA295" s="3"/>
      <c r="OZB295" s="3"/>
      <c r="OZC295" s="3"/>
      <c r="OZD295" s="3"/>
      <c r="OZE295" s="3"/>
      <c r="OZF295" s="3"/>
      <c r="OZG295" s="3"/>
      <c r="OZH295" s="3"/>
      <c r="OZI295" s="3"/>
      <c r="OZJ295" s="3"/>
      <c r="OZK295" s="3"/>
      <c r="OZL295" s="3"/>
      <c r="OZM295" s="3"/>
      <c r="OZN295" s="3"/>
      <c r="OZO295" s="3"/>
      <c r="OZP295" s="3"/>
      <c r="OZQ295" s="3"/>
      <c r="OZR295" s="3"/>
      <c r="OZS295" s="3"/>
      <c r="OZT295" s="3"/>
      <c r="OZU295" s="3"/>
      <c r="OZV295" s="3"/>
      <c r="OZW295" s="3"/>
      <c r="OZX295" s="3"/>
      <c r="OZY295" s="3"/>
      <c r="OZZ295" s="3"/>
      <c r="PAA295" s="3"/>
      <c r="PAB295" s="3"/>
      <c r="PAC295" s="3"/>
      <c r="PAD295" s="3"/>
      <c r="PAE295" s="3"/>
      <c r="PAF295" s="3"/>
      <c r="PAG295" s="3"/>
      <c r="PAH295" s="3"/>
      <c r="PAI295" s="3"/>
      <c r="PAJ295" s="3"/>
      <c r="PAK295" s="3"/>
      <c r="PAL295" s="3"/>
      <c r="PAM295" s="3"/>
      <c r="PAN295" s="3"/>
      <c r="PAO295" s="3"/>
      <c r="PAP295" s="3"/>
      <c r="PAQ295" s="3"/>
      <c r="PAR295" s="3"/>
      <c r="PAS295" s="3"/>
      <c r="PAT295" s="3"/>
      <c r="PAU295" s="3"/>
      <c r="PAV295" s="3"/>
      <c r="PAW295" s="3"/>
      <c r="PAX295" s="3"/>
      <c r="PAY295" s="3"/>
      <c r="PAZ295" s="3"/>
      <c r="PBA295" s="3"/>
      <c r="PBB295" s="3"/>
      <c r="PBC295" s="3"/>
      <c r="PBD295" s="3"/>
      <c r="PBE295" s="3"/>
      <c r="PBF295" s="3"/>
      <c r="PBG295" s="3"/>
      <c r="PBH295" s="3"/>
      <c r="PBI295" s="3"/>
      <c r="PBJ295" s="3"/>
      <c r="PBK295" s="3"/>
      <c r="PBL295" s="3"/>
      <c r="PBM295" s="3"/>
      <c r="PBN295" s="3"/>
      <c r="PBO295" s="3"/>
      <c r="PBP295" s="3"/>
      <c r="PBQ295" s="3"/>
      <c r="PBR295" s="3"/>
      <c r="PBS295" s="3"/>
      <c r="PBT295" s="3"/>
      <c r="PBU295" s="3"/>
      <c r="PBV295" s="3"/>
      <c r="PBW295" s="3"/>
      <c r="PBX295" s="3"/>
      <c r="PBY295" s="3"/>
      <c r="PBZ295" s="3"/>
      <c r="PCA295" s="3"/>
      <c r="PCB295" s="3"/>
      <c r="PCC295" s="3"/>
      <c r="PCD295" s="3"/>
      <c r="PCE295" s="3"/>
      <c r="PCF295" s="3"/>
      <c r="PCG295" s="3"/>
      <c r="PCH295" s="3"/>
      <c r="PCI295" s="3"/>
      <c r="PCJ295" s="3"/>
      <c r="PCK295" s="3"/>
      <c r="PCL295" s="3"/>
      <c r="PCM295" s="3"/>
      <c r="PCN295" s="3"/>
      <c r="PCO295" s="3"/>
      <c r="PCP295" s="3"/>
      <c r="PCQ295" s="3"/>
      <c r="PCR295" s="3"/>
      <c r="PCS295" s="3"/>
      <c r="PCT295" s="3"/>
      <c r="PCU295" s="3"/>
      <c r="PCV295" s="3"/>
      <c r="PCW295" s="3"/>
      <c r="PCX295" s="3"/>
      <c r="PCY295" s="3"/>
      <c r="PCZ295" s="3"/>
      <c r="PDA295" s="3"/>
      <c r="PDB295" s="3"/>
      <c r="PDC295" s="3"/>
      <c r="PDD295" s="3"/>
      <c r="PDE295" s="3"/>
      <c r="PDF295" s="3"/>
      <c r="PDG295" s="3"/>
      <c r="PDH295" s="3"/>
      <c r="PDI295" s="3"/>
      <c r="PDJ295" s="3"/>
      <c r="PDK295" s="3"/>
      <c r="PDL295" s="3"/>
      <c r="PDM295" s="3"/>
      <c r="PDN295" s="3"/>
      <c r="PDO295" s="3"/>
      <c r="PDP295" s="3"/>
      <c r="PDQ295" s="3"/>
      <c r="PDR295" s="3"/>
      <c r="PDS295" s="3"/>
      <c r="PDT295" s="3"/>
      <c r="PDU295" s="3"/>
      <c r="PDV295" s="3"/>
      <c r="PDW295" s="3"/>
      <c r="PDX295" s="3"/>
      <c r="PDY295" s="3"/>
      <c r="PDZ295" s="3"/>
      <c r="PEA295" s="3"/>
      <c r="PEB295" s="3"/>
      <c r="PEC295" s="3"/>
      <c r="PED295" s="3"/>
      <c r="PEE295" s="3"/>
      <c r="PEF295" s="3"/>
      <c r="PEG295" s="3"/>
      <c r="PEH295" s="3"/>
      <c r="PEI295" s="3"/>
      <c r="PEJ295" s="3"/>
      <c r="PEK295" s="3"/>
      <c r="PEL295" s="3"/>
      <c r="PEM295" s="3"/>
      <c r="PEN295" s="3"/>
      <c r="PEO295" s="3"/>
      <c r="PEP295" s="3"/>
      <c r="PEQ295" s="3"/>
      <c r="PER295" s="3"/>
      <c r="PES295" s="3"/>
      <c r="PET295" s="3"/>
      <c r="PEU295" s="3"/>
      <c r="PEV295" s="3"/>
      <c r="PEW295" s="3"/>
      <c r="PEX295" s="3"/>
      <c r="PEY295" s="3"/>
      <c r="PEZ295" s="3"/>
      <c r="PFA295" s="3"/>
      <c r="PFB295" s="3"/>
      <c r="PFC295" s="3"/>
      <c r="PFD295" s="3"/>
      <c r="PFE295" s="3"/>
      <c r="PFF295" s="3"/>
      <c r="PFG295" s="3"/>
      <c r="PFH295" s="3"/>
      <c r="PFI295" s="3"/>
      <c r="PFJ295" s="3"/>
      <c r="PFK295" s="3"/>
      <c r="PFL295" s="3"/>
      <c r="PFM295" s="3"/>
      <c r="PFN295" s="3"/>
      <c r="PFO295" s="3"/>
      <c r="PFP295" s="3"/>
      <c r="PFQ295" s="3"/>
      <c r="PFR295" s="3"/>
      <c r="PFS295" s="3"/>
      <c r="PFT295" s="3"/>
      <c r="PFU295" s="3"/>
      <c r="PFV295" s="3"/>
      <c r="PFW295" s="3"/>
      <c r="PFX295" s="3"/>
      <c r="PFY295" s="3"/>
      <c r="PFZ295" s="3"/>
      <c r="PGA295" s="3"/>
      <c r="PGB295" s="3"/>
      <c r="PGC295" s="3"/>
      <c r="PGD295" s="3"/>
      <c r="PGE295" s="3"/>
      <c r="PGF295" s="3"/>
      <c r="PGG295" s="3"/>
      <c r="PGH295" s="3"/>
      <c r="PGI295" s="3"/>
      <c r="PGJ295" s="3"/>
      <c r="PGK295" s="3"/>
      <c r="PGL295" s="3"/>
      <c r="PGM295" s="3"/>
      <c r="PGN295" s="3"/>
      <c r="PGO295" s="3"/>
      <c r="PGP295" s="3"/>
      <c r="PGQ295" s="3"/>
      <c r="PGR295" s="3"/>
      <c r="PGS295" s="3"/>
      <c r="PGT295" s="3"/>
      <c r="PGU295" s="3"/>
      <c r="PGV295" s="3"/>
      <c r="PGW295" s="3"/>
      <c r="PGX295" s="3"/>
      <c r="PGY295" s="3"/>
      <c r="PGZ295" s="3"/>
      <c r="PHA295" s="3"/>
      <c r="PHB295" s="3"/>
      <c r="PHC295" s="3"/>
      <c r="PHD295" s="3"/>
      <c r="PHE295" s="3"/>
      <c r="PHF295" s="3"/>
      <c r="PHG295" s="3"/>
      <c r="PHH295" s="3"/>
      <c r="PHI295" s="3"/>
      <c r="PHJ295" s="3"/>
      <c r="PHK295" s="3"/>
      <c r="PHL295" s="3"/>
      <c r="PHM295" s="3"/>
      <c r="PHN295" s="3"/>
      <c r="PHO295" s="3"/>
      <c r="PHP295" s="3"/>
      <c r="PHQ295" s="3"/>
      <c r="PHR295" s="3"/>
      <c r="PHS295" s="3"/>
      <c r="PHT295" s="3"/>
      <c r="PHU295" s="3"/>
      <c r="PHV295" s="3"/>
      <c r="PHW295" s="3"/>
      <c r="PHX295" s="3"/>
      <c r="PHY295" s="3"/>
      <c r="PHZ295" s="3"/>
      <c r="PIA295" s="3"/>
      <c r="PIB295" s="3"/>
      <c r="PIC295" s="3"/>
      <c r="PID295" s="3"/>
      <c r="PIE295" s="3"/>
      <c r="PIF295" s="3"/>
      <c r="PIG295" s="3"/>
      <c r="PIH295" s="3"/>
      <c r="PII295" s="3"/>
      <c r="PIJ295" s="3"/>
      <c r="PIK295" s="3"/>
      <c r="PIL295" s="3"/>
      <c r="PIM295" s="3"/>
      <c r="PIN295" s="3"/>
      <c r="PIO295" s="3"/>
      <c r="PIP295" s="3"/>
      <c r="PIQ295" s="3"/>
      <c r="PIR295" s="3"/>
      <c r="PIS295" s="3"/>
      <c r="PIT295" s="3"/>
      <c r="PIU295" s="3"/>
      <c r="PIV295" s="3"/>
      <c r="PIW295" s="3"/>
      <c r="PIX295" s="3"/>
      <c r="PIY295" s="3"/>
      <c r="PIZ295" s="3"/>
      <c r="PJA295" s="3"/>
      <c r="PJB295" s="3"/>
      <c r="PJC295" s="3"/>
      <c r="PJD295" s="3"/>
      <c r="PJE295" s="3"/>
      <c r="PJF295" s="3"/>
      <c r="PJG295" s="3"/>
      <c r="PJH295" s="3"/>
      <c r="PJI295" s="3"/>
      <c r="PJJ295" s="3"/>
      <c r="PJK295" s="3"/>
      <c r="PJL295" s="3"/>
      <c r="PJM295" s="3"/>
      <c r="PJN295" s="3"/>
      <c r="PJO295" s="3"/>
      <c r="PJP295" s="3"/>
      <c r="PJQ295" s="3"/>
      <c r="PJR295" s="3"/>
      <c r="PJS295" s="3"/>
      <c r="PJT295" s="3"/>
      <c r="PJU295" s="3"/>
      <c r="PJV295" s="3"/>
      <c r="PJW295" s="3"/>
      <c r="PJX295" s="3"/>
      <c r="PJY295" s="3"/>
      <c r="PJZ295" s="3"/>
      <c r="PKA295" s="3"/>
      <c r="PKB295" s="3"/>
      <c r="PKC295" s="3"/>
      <c r="PKD295" s="3"/>
      <c r="PKE295" s="3"/>
      <c r="PKF295" s="3"/>
      <c r="PKG295" s="3"/>
      <c r="PKH295" s="3"/>
      <c r="PKI295" s="3"/>
      <c r="PKJ295" s="3"/>
      <c r="PKK295" s="3"/>
      <c r="PKL295" s="3"/>
      <c r="PKM295" s="3"/>
      <c r="PKN295" s="3"/>
      <c r="PKO295" s="3"/>
      <c r="PKP295" s="3"/>
      <c r="PKQ295" s="3"/>
      <c r="PKR295" s="3"/>
      <c r="PKS295" s="3"/>
      <c r="PKT295" s="3"/>
      <c r="PKU295" s="3"/>
      <c r="PKV295" s="3"/>
      <c r="PKW295" s="3"/>
      <c r="PKX295" s="3"/>
      <c r="PKY295" s="3"/>
      <c r="PKZ295" s="3"/>
      <c r="PLA295" s="3"/>
      <c r="PLB295" s="3"/>
      <c r="PLC295" s="3"/>
      <c r="PLD295" s="3"/>
      <c r="PLE295" s="3"/>
      <c r="PLF295" s="3"/>
      <c r="PLG295" s="3"/>
      <c r="PLH295" s="3"/>
      <c r="PLI295" s="3"/>
      <c r="PLJ295" s="3"/>
      <c r="PLK295" s="3"/>
      <c r="PLL295" s="3"/>
      <c r="PLM295" s="3"/>
      <c r="PLN295" s="3"/>
      <c r="PLO295" s="3"/>
      <c r="PLP295" s="3"/>
      <c r="PLQ295" s="3"/>
      <c r="PLR295" s="3"/>
      <c r="PLS295" s="3"/>
      <c r="PLT295" s="3"/>
      <c r="PLU295" s="3"/>
      <c r="PLV295" s="3"/>
      <c r="PLW295" s="3"/>
      <c r="PLX295" s="3"/>
      <c r="PLY295" s="3"/>
      <c r="PLZ295" s="3"/>
      <c r="PMA295" s="3"/>
      <c r="PMB295" s="3"/>
      <c r="PMC295" s="3"/>
      <c r="PMD295" s="3"/>
      <c r="PME295" s="3"/>
      <c r="PMF295" s="3"/>
      <c r="PMG295" s="3"/>
      <c r="PMH295" s="3"/>
      <c r="PMI295" s="3"/>
      <c r="PMJ295" s="3"/>
      <c r="PMK295" s="3"/>
      <c r="PML295" s="3"/>
      <c r="PMM295" s="3"/>
      <c r="PMN295" s="3"/>
      <c r="PMO295" s="3"/>
      <c r="PMP295" s="3"/>
      <c r="PMQ295" s="3"/>
      <c r="PMR295" s="3"/>
      <c r="PMS295" s="3"/>
      <c r="PMT295" s="3"/>
      <c r="PMU295" s="3"/>
      <c r="PMV295" s="3"/>
      <c r="PMW295" s="3"/>
      <c r="PMX295" s="3"/>
      <c r="PMY295" s="3"/>
      <c r="PMZ295" s="3"/>
      <c r="PNA295" s="3"/>
      <c r="PNB295" s="3"/>
      <c r="PNC295" s="3"/>
      <c r="PND295" s="3"/>
      <c r="PNE295" s="3"/>
      <c r="PNF295" s="3"/>
      <c r="PNG295" s="3"/>
      <c r="PNH295" s="3"/>
      <c r="PNI295" s="3"/>
      <c r="PNJ295" s="3"/>
      <c r="PNK295" s="3"/>
      <c r="PNL295" s="3"/>
      <c r="PNM295" s="3"/>
      <c r="PNN295" s="3"/>
      <c r="PNO295" s="3"/>
      <c r="PNP295" s="3"/>
      <c r="PNQ295" s="3"/>
      <c r="PNR295" s="3"/>
      <c r="PNS295" s="3"/>
      <c r="PNT295" s="3"/>
      <c r="PNU295" s="3"/>
      <c r="PNV295" s="3"/>
      <c r="PNW295" s="3"/>
      <c r="PNX295" s="3"/>
      <c r="PNY295" s="3"/>
      <c r="PNZ295" s="3"/>
      <c r="POA295" s="3"/>
      <c r="POB295" s="3"/>
      <c r="POC295" s="3"/>
      <c r="POD295" s="3"/>
      <c r="POE295" s="3"/>
      <c r="POF295" s="3"/>
      <c r="POG295" s="3"/>
      <c r="POH295" s="3"/>
      <c r="POI295" s="3"/>
      <c r="POJ295" s="3"/>
      <c r="POK295" s="3"/>
      <c r="POL295" s="3"/>
      <c r="POM295" s="3"/>
      <c r="PON295" s="3"/>
      <c r="POO295" s="3"/>
      <c r="POP295" s="3"/>
      <c r="POQ295" s="3"/>
      <c r="POR295" s="3"/>
      <c r="POS295" s="3"/>
      <c r="POT295" s="3"/>
      <c r="POU295" s="3"/>
      <c r="POV295" s="3"/>
      <c r="POW295" s="3"/>
      <c r="POX295" s="3"/>
      <c r="POY295" s="3"/>
      <c r="POZ295" s="3"/>
      <c r="PPA295" s="3"/>
      <c r="PPB295" s="3"/>
      <c r="PPC295" s="3"/>
      <c r="PPD295" s="3"/>
      <c r="PPE295" s="3"/>
      <c r="PPF295" s="3"/>
      <c r="PPG295" s="3"/>
      <c r="PPH295" s="3"/>
      <c r="PPI295" s="3"/>
      <c r="PPJ295" s="3"/>
      <c r="PPK295" s="3"/>
      <c r="PPL295" s="3"/>
      <c r="PPM295" s="3"/>
      <c r="PPN295" s="3"/>
      <c r="PPO295" s="3"/>
      <c r="PPP295" s="3"/>
      <c r="PPQ295" s="3"/>
      <c r="PPR295" s="3"/>
      <c r="PPS295" s="3"/>
      <c r="PPT295" s="3"/>
      <c r="PPU295" s="3"/>
      <c r="PPV295" s="3"/>
      <c r="PPW295" s="3"/>
      <c r="PPX295" s="3"/>
      <c r="PPY295" s="3"/>
      <c r="PPZ295" s="3"/>
      <c r="PQA295" s="3"/>
      <c r="PQB295" s="3"/>
      <c r="PQC295" s="3"/>
      <c r="PQD295" s="3"/>
      <c r="PQE295" s="3"/>
      <c r="PQF295" s="3"/>
      <c r="PQG295" s="3"/>
      <c r="PQH295" s="3"/>
      <c r="PQI295" s="3"/>
      <c r="PQJ295" s="3"/>
      <c r="PQK295" s="3"/>
      <c r="PQL295" s="3"/>
      <c r="PQM295" s="3"/>
      <c r="PQN295" s="3"/>
      <c r="PQO295" s="3"/>
      <c r="PQP295" s="3"/>
      <c r="PQQ295" s="3"/>
      <c r="PQR295" s="3"/>
      <c r="PQS295" s="3"/>
      <c r="PQT295" s="3"/>
      <c r="PQU295" s="3"/>
      <c r="PQV295" s="3"/>
      <c r="PQW295" s="3"/>
      <c r="PQX295" s="3"/>
      <c r="PQY295" s="3"/>
      <c r="PQZ295" s="3"/>
      <c r="PRA295" s="3"/>
      <c r="PRB295" s="3"/>
      <c r="PRC295" s="3"/>
      <c r="PRD295" s="3"/>
      <c r="PRE295" s="3"/>
      <c r="PRF295" s="3"/>
      <c r="PRG295" s="3"/>
      <c r="PRH295" s="3"/>
      <c r="PRI295" s="3"/>
      <c r="PRJ295" s="3"/>
      <c r="PRK295" s="3"/>
      <c r="PRL295" s="3"/>
      <c r="PRM295" s="3"/>
      <c r="PRN295" s="3"/>
      <c r="PRO295" s="3"/>
      <c r="PRP295" s="3"/>
      <c r="PRQ295" s="3"/>
      <c r="PRR295" s="3"/>
      <c r="PRS295" s="3"/>
      <c r="PRT295" s="3"/>
      <c r="PRU295" s="3"/>
      <c r="PRV295" s="3"/>
      <c r="PRW295" s="3"/>
      <c r="PRX295" s="3"/>
      <c r="PRY295" s="3"/>
      <c r="PRZ295" s="3"/>
      <c r="PSA295" s="3"/>
      <c r="PSB295" s="3"/>
      <c r="PSC295" s="3"/>
      <c r="PSD295" s="3"/>
      <c r="PSE295" s="3"/>
      <c r="PSF295" s="3"/>
      <c r="PSG295" s="3"/>
      <c r="PSH295" s="3"/>
      <c r="PSI295" s="3"/>
      <c r="PSJ295" s="3"/>
      <c r="PSK295" s="3"/>
      <c r="PSL295" s="3"/>
      <c r="PSM295" s="3"/>
      <c r="PSN295" s="3"/>
      <c r="PSO295" s="3"/>
      <c r="PSP295" s="3"/>
      <c r="PSQ295" s="3"/>
      <c r="PSR295" s="3"/>
      <c r="PSS295" s="3"/>
      <c r="PST295" s="3"/>
      <c r="PSU295" s="3"/>
      <c r="PSV295" s="3"/>
      <c r="PSW295" s="3"/>
      <c r="PSX295" s="3"/>
      <c r="PSY295" s="3"/>
      <c r="PSZ295" s="3"/>
      <c r="PTA295" s="3"/>
      <c r="PTB295" s="3"/>
      <c r="PTC295" s="3"/>
      <c r="PTD295" s="3"/>
      <c r="PTE295" s="3"/>
      <c r="PTF295" s="3"/>
      <c r="PTG295" s="3"/>
      <c r="PTH295" s="3"/>
      <c r="PTI295" s="3"/>
      <c r="PTJ295" s="3"/>
      <c r="PTK295" s="3"/>
      <c r="PTL295" s="3"/>
      <c r="PTM295" s="3"/>
      <c r="PTN295" s="3"/>
      <c r="PTO295" s="3"/>
      <c r="PTP295" s="3"/>
      <c r="PTQ295" s="3"/>
      <c r="PTR295" s="3"/>
      <c r="PTS295" s="3"/>
      <c r="PTT295" s="3"/>
      <c r="PTU295" s="3"/>
      <c r="PTV295" s="3"/>
      <c r="PTW295" s="3"/>
      <c r="PTX295" s="3"/>
      <c r="PTY295" s="3"/>
      <c r="PTZ295" s="3"/>
      <c r="PUA295" s="3"/>
      <c r="PUB295" s="3"/>
      <c r="PUC295" s="3"/>
      <c r="PUD295" s="3"/>
      <c r="PUE295" s="3"/>
      <c r="PUF295" s="3"/>
      <c r="PUG295" s="3"/>
      <c r="PUH295" s="3"/>
      <c r="PUI295" s="3"/>
      <c r="PUJ295" s="3"/>
      <c r="PUK295" s="3"/>
      <c r="PUL295" s="3"/>
      <c r="PUM295" s="3"/>
      <c r="PUN295" s="3"/>
      <c r="PUO295" s="3"/>
      <c r="PUP295" s="3"/>
      <c r="PUQ295" s="3"/>
      <c r="PUR295" s="3"/>
      <c r="PUS295" s="3"/>
      <c r="PUT295" s="3"/>
      <c r="PUU295" s="3"/>
      <c r="PUV295" s="3"/>
      <c r="PUW295" s="3"/>
      <c r="PUX295" s="3"/>
      <c r="PUY295" s="3"/>
      <c r="PUZ295" s="3"/>
      <c r="PVA295" s="3"/>
      <c r="PVB295" s="3"/>
      <c r="PVC295" s="3"/>
      <c r="PVD295" s="3"/>
      <c r="PVE295" s="3"/>
      <c r="PVF295" s="3"/>
      <c r="PVG295" s="3"/>
      <c r="PVH295" s="3"/>
      <c r="PVI295" s="3"/>
      <c r="PVJ295" s="3"/>
      <c r="PVK295" s="3"/>
      <c r="PVL295" s="3"/>
      <c r="PVM295" s="3"/>
      <c r="PVN295" s="3"/>
      <c r="PVO295" s="3"/>
      <c r="PVP295" s="3"/>
      <c r="PVQ295" s="3"/>
      <c r="PVR295" s="3"/>
      <c r="PVS295" s="3"/>
      <c r="PVT295" s="3"/>
      <c r="PVU295" s="3"/>
      <c r="PVV295" s="3"/>
      <c r="PVW295" s="3"/>
      <c r="PVX295" s="3"/>
      <c r="PVY295" s="3"/>
      <c r="PVZ295" s="3"/>
      <c r="PWA295" s="3"/>
      <c r="PWB295" s="3"/>
      <c r="PWC295" s="3"/>
      <c r="PWD295" s="3"/>
      <c r="PWE295" s="3"/>
      <c r="PWF295" s="3"/>
      <c r="PWG295" s="3"/>
      <c r="PWH295" s="3"/>
      <c r="PWI295" s="3"/>
      <c r="PWJ295" s="3"/>
      <c r="PWK295" s="3"/>
      <c r="PWL295" s="3"/>
      <c r="PWM295" s="3"/>
      <c r="PWN295" s="3"/>
      <c r="PWO295" s="3"/>
      <c r="PWP295" s="3"/>
      <c r="PWQ295" s="3"/>
      <c r="PWR295" s="3"/>
      <c r="PWS295" s="3"/>
      <c r="PWT295" s="3"/>
      <c r="PWU295" s="3"/>
      <c r="PWV295" s="3"/>
      <c r="PWW295" s="3"/>
      <c r="PWX295" s="3"/>
      <c r="PWY295" s="3"/>
      <c r="PWZ295" s="3"/>
      <c r="PXA295" s="3"/>
      <c r="PXB295" s="3"/>
      <c r="PXC295" s="3"/>
      <c r="PXD295" s="3"/>
      <c r="PXE295" s="3"/>
      <c r="PXF295" s="3"/>
      <c r="PXG295" s="3"/>
      <c r="PXH295" s="3"/>
      <c r="PXI295" s="3"/>
      <c r="PXJ295" s="3"/>
      <c r="PXK295" s="3"/>
      <c r="PXL295" s="3"/>
      <c r="PXM295" s="3"/>
      <c r="PXN295" s="3"/>
      <c r="PXO295" s="3"/>
      <c r="PXP295" s="3"/>
      <c r="PXQ295" s="3"/>
      <c r="PXR295" s="3"/>
      <c r="PXS295" s="3"/>
      <c r="PXT295" s="3"/>
      <c r="PXU295" s="3"/>
      <c r="PXV295" s="3"/>
      <c r="PXW295" s="3"/>
      <c r="PXX295" s="3"/>
      <c r="PXY295" s="3"/>
      <c r="PXZ295" s="3"/>
      <c r="PYA295" s="3"/>
      <c r="PYB295" s="3"/>
      <c r="PYC295" s="3"/>
      <c r="PYD295" s="3"/>
      <c r="PYE295" s="3"/>
      <c r="PYF295" s="3"/>
      <c r="PYG295" s="3"/>
      <c r="PYH295" s="3"/>
      <c r="PYI295" s="3"/>
      <c r="PYJ295" s="3"/>
      <c r="PYK295" s="3"/>
      <c r="PYL295" s="3"/>
      <c r="PYM295" s="3"/>
      <c r="PYN295" s="3"/>
      <c r="PYO295" s="3"/>
      <c r="PYP295" s="3"/>
      <c r="PYQ295" s="3"/>
      <c r="PYR295" s="3"/>
      <c r="PYS295" s="3"/>
      <c r="PYT295" s="3"/>
      <c r="PYU295" s="3"/>
      <c r="PYV295" s="3"/>
      <c r="PYW295" s="3"/>
      <c r="PYX295" s="3"/>
      <c r="PYY295" s="3"/>
      <c r="PYZ295" s="3"/>
      <c r="PZA295" s="3"/>
      <c r="PZB295" s="3"/>
      <c r="PZC295" s="3"/>
      <c r="PZD295" s="3"/>
      <c r="PZE295" s="3"/>
      <c r="PZF295" s="3"/>
      <c r="PZG295" s="3"/>
      <c r="PZH295" s="3"/>
      <c r="PZI295" s="3"/>
      <c r="PZJ295" s="3"/>
      <c r="PZK295" s="3"/>
      <c r="PZL295" s="3"/>
      <c r="PZM295" s="3"/>
      <c r="PZN295" s="3"/>
      <c r="PZO295" s="3"/>
      <c r="PZP295" s="3"/>
      <c r="PZQ295" s="3"/>
      <c r="PZR295" s="3"/>
      <c r="PZS295" s="3"/>
      <c r="PZT295" s="3"/>
      <c r="PZU295" s="3"/>
      <c r="PZV295" s="3"/>
      <c r="PZW295" s="3"/>
      <c r="PZX295" s="3"/>
      <c r="PZY295" s="3"/>
      <c r="PZZ295" s="3"/>
      <c r="QAA295" s="3"/>
      <c r="QAB295" s="3"/>
      <c r="QAC295" s="3"/>
      <c r="QAD295" s="3"/>
      <c r="QAE295" s="3"/>
      <c r="QAF295" s="3"/>
      <c r="QAG295" s="3"/>
      <c r="QAH295" s="3"/>
      <c r="QAI295" s="3"/>
      <c r="QAJ295" s="3"/>
      <c r="QAK295" s="3"/>
      <c r="QAL295" s="3"/>
      <c r="QAM295" s="3"/>
      <c r="QAN295" s="3"/>
      <c r="QAO295" s="3"/>
      <c r="QAP295" s="3"/>
      <c r="QAQ295" s="3"/>
      <c r="QAR295" s="3"/>
      <c r="QAS295" s="3"/>
      <c r="QAT295" s="3"/>
      <c r="QAU295" s="3"/>
      <c r="QAV295" s="3"/>
      <c r="QAW295" s="3"/>
      <c r="QAX295" s="3"/>
      <c r="QAY295" s="3"/>
      <c r="QAZ295" s="3"/>
      <c r="QBA295" s="3"/>
      <c r="QBB295" s="3"/>
      <c r="QBC295" s="3"/>
      <c r="QBD295" s="3"/>
      <c r="QBE295" s="3"/>
      <c r="QBF295" s="3"/>
      <c r="QBG295" s="3"/>
      <c r="QBH295" s="3"/>
      <c r="QBI295" s="3"/>
      <c r="QBJ295" s="3"/>
      <c r="QBK295" s="3"/>
      <c r="QBL295" s="3"/>
      <c r="QBM295" s="3"/>
      <c r="QBN295" s="3"/>
      <c r="QBO295" s="3"/>
      <c r="QBP295" s="3"/>
      <c r="QBQ295" s="3"/>
      <c r="QBR295" s="3"/>
      <c r="QBS295" s="3"/>
      <c r="QBT295" s="3"/>
      <c r="QBU295" s="3"/>
      <c r="QBV295" s="3"/>
      <c r="QBW295" s="3"/>
      <c r="QBX295" s="3"/>
      <c r="QBY295" s="3"/>
      <c r="QBZ295" s="3"/>
      <c r="QCA295" s="3"/>
      <c r="QCB295" s="3"/>
      <c r="QCC295" s="3"/>
      <c r="QCD295" s="3"/>
      <c r="QCE295" s="3"/>
      <c r="QCF295" s="3"/>
      <c r="QCG295" s="3"/>
      <c r="QCH295" s="3"/>
      <c r="QCI295" s="3"/>
      <c r="QCJ295" s="3"/>
      <c r="QCK295" s="3"/>
      <c r="QCL295" s="3"/>
      <c r="QCM295" s="3"/>
      <c r="QCN295" s="3"/>
      <c r="QCO295" s="3"/>
      <c r="QCP295" s="3"/>
      <c r="QCQ295" s="3"/>
      <c r="QCR295" s="3"/>
      <c r="QCS295" s="3"/>
      <c r="QCT295" s="3"/>
      <c r="QCU295" s="3"/>
      <c r="QCV295" s="3"/>
      <c r="QCW295" s="3"/>
      <c r="QCX295" s="3"/>
      <c r="QCY295" s="3"/>
      <c r="QCZ295" s="3"/>
      <c r="QDA295" s="3"/>
      <c r="QDB295" s="3"/>
      <c r="QDC295" s="3"/>
      <c r="QDD295" s="3"/>
      <c r="QDE295" s="3"/>
      <c r="QDF295" s="3"/>
      <c r="QDG295" s="3"/>
      <c r="QDH295" s="3"/>
      <c r="QDI295" s="3"/>
      <c r="QDJ295" s="3"/>
      <c r="QDK295" s="3"/>
      <c r="QDL295" s="3"/>
      <c r="QDM295" s="3"/>
      <c r="QDN295" s="3"/>
      <c r="QDO295" s="3"/>
      <c r="QDP295" s="3"/>
      <c r="QDQ295" s="3"/>
      <c r="QDR295" s="3"/>
      <c r="QDS295" s="3"/>
      <c r="QDT295" s="3"/>
      <c r="QDU295" s="3"/>
      <c r="QDV295" s="3"/>
      <c r="QDW295" s="3"/>
      <c r="QDX295" s="3"/>
      <c r="QDY295" s="3"/>
      <c r="QDZ295" s="3"/>
      <c r="QEA295" s="3"/>
      <c r="QEB295" s="3"/>
      <c r="QEC295" s="3"/>
      <c r="QED295" s="3"/>
      <c r="QEE295" s="3"/>
      <c r="QEF295" s="3"/>
      <c r="QEG295" s="3"/>
      <c r="QEH295" s="3"/>
      <c r="QEI295" s="3"/>
      <c r="QEJ295" s="3"/>
      <c r="QEK295" s="3"/>
      <c r="QEL295" s="3"/>
      <c r="QEM295" s="3"/>
      <c r="QEN295" s="3"/>
      <c r="QEO295" s="3"/>
      <c r="QEP295" s="3"/>
      <c r="QEQ295" s="3"/>
      <c r="QER295" s="3"/>
      <c r="QES295" s="3"/>
      <c r="QET295" s="3"/>
      <c r="QEU295" s="3"/>
      <c r="QEV295" s="3"/>
      <c r="QEW295" s="3"/>
      <c r="QEX295" s="3"/>
      <c r="QEY295" s="3"/>
      <c r="QEZ295" s="3"/>
      <c r="QFA295" s="3"/>
      <c r="QFB295" s="3"/>
      <c r="QFC295" s="3"/>
      <c r="QFD295" s="3"/>
      <c r="QFE295" s="3"/>
      <c r="QFF295" s="3"/>
      <c r="QFG295" s="3"/>
      <c r="QFH295" s="3"/>
      <c r="QFI295" s="3"/>
      <c r="QFJ295" s="3"/>
      <c r="QFK295" s="3"/>
      <c r="QFL295" s="3"/>
      <c r="QFM295" s="3"/>
      <c r="QFN295" s="3"/>
      <c r="QFO295" s="3"/>
      <c r="QFP295" s="3"/>
      <c r="QFQ295" s="3"/>
      <c r="QFR295" s="3"/>
      <c r="QFS295" s="3"/>
      <c r="QFT295" s="3"/>
      <c r="QFU295" s="3"/>
      <c r="QFV295" s="3"/>
      <c r="QFW295" s="3"/>
      <c r="QFX295" s="3"/>
      <c r="QFY295" s="3"/>
      <c r="QFZ295" s="3"/>
      <c r="QGA295" s="3"/>
      <c r="QGB295" s="3"/>
      <c r="QGC295" s="3"/>
      <c r="QGD295" s="3"/>
      <c r="QGE295" s="3"/>
      <c r="QGF295" s="3"/>
      <c r="QGG295" s="3"/>
      <c r="QGH295" s="3"/>
      <c r="QGI295" s="3"/>
      <c r="QGJ295" s="3"/>
      <c r="QGK295" s="3"/>
      <c r="QGL295" s="3"/>
      <c r="QGM295" s="3"/>
      <c r="QGN295" s="3"/>
      <c r="QGO295" s="3"/>
      <c r="QGP295" s="3"/>
      <c r="QGQ295" s="3"/>
      <c r="QGR295" s="3"/>
      <c r="QGS295" s="3"/>
      <c r="QGT295" s="3"/>
      <c r="QGU295" s="3"/>
      <c r="QGV295" s="3"/>
      <c r="QGW295" s="3"/>
      <c r="QGX295" s="3"/>
      <c r="QGY295" s="3"/>
      <c r="QGZ295" s="3"/>
      <c r="QHA295" s="3"/>
      <c r="QHB295" s="3"/>
      <c r="QHC295" s="3"/>
      <c r="QHD295" s="3"/>
      <c r="QHE295" s="3"/>
      <c r="QHF295" s="3"/>
      <c r="QHG295" s="3"/>
      <c r="QHH295" s="3"/>
      <c r="QHI295" s="3"/>
      <c r="QHJ295" s="3"/>
      <c r="QHK295" s="3"/>
      <c r="QHL295" s="3"/>
      <c r="QHM295" s="3"/>
      <c r="QHN295" s="3"/>
      <c r="QHO295" s="3"/>
      <c r="QHP295" s="3"/>
      <c r="QHQ295" s="3"/>
      <c r="QHR295" s="3"/>
      <c r="QHS295" s="3"/>
      <c r="QHT295" s="3"/>
      <c r="QHU295" s="3"/>
      <c r="QHV295" s="3"/>
      <c r="QHW295" s="3"/>
      <c r="QHX295" s="3"/>
      <c r="QHY295" s="3"/>
      <c r="QHZ295" s="3"/>
      <c r="QIA295" s="3"/>
      <c r="QIB295" s="3"/>
      <c r="QIC295" s="3"/>
      <c r="QID295" s="3"/>
      <c r="QIE295" s="3"/>
      <c r="QIF295" s="3"/>
      <c r="QIG295" s="3"/>
      <c r="QIH295" s="3"/>
      <c r="QII295" s="3"/>
      <c r="QIJ295" s="3"/>
      <c r="QIK295" s="3"/>
      <c r="QIL295" s="3"/>
      <c r="QIM295" s="3"/>
      <c r="QIN295" s="3"/>
      <c r="QIO295" s="3"/>
      <c r="QIP295" s="3"/>
      <c r="QIQ295" s="3"/>
      <c r="QIR295" s="3"/>
      <c r="QIS295" s="3"/>
      <c r="QIT295" s="3"/>
      <c r="QIU295" s="3"/>
      <c r="QIV295" s="3"/>
      <c r="QIW295" s="3"/>
      <c r="QIX295" s="3"/>
      <c r="QIY295" s="3"/>
      <c r="QIZ295" s="3"/>
      <c r="QJA295" s="3"/>
      <c r="QJB295" s="3"/>
      <c r="QJC295" s="3"/>
      <c r="QJD295" s="3"/>
      <c r="QJE295" s="3"/>
      <c r="QJF295" s="3"/>
      <c r="QJG295" s="3"/>
      <c r="QJH295" s="3"/>
      <c r="QJI295" s="3"/>
      <c r="QJJ295" s="3"/>
      <c r="QJK295" s="3"/>
      <c r="QJL295" s="3"/>
      <c r="QJM295" s="3"/>
      <c r="QJN295" s="3"/>
      <c r="QJO295" s="3"/>
      <c r="QJP295" s="3"/>
      <c r="QJQ295" s="3"/>
      <c r="QJR295" s="3"/>
      <c r="QJS295" s="3"/>
      <c r="QJT295" s="3"/>
      <c r="QJU295" s="3"/>
      <c r="QJV295" s="3"/>
      <c r="QJW295" s="3"/>
      <c r="QJX295" s="3"/>
      <c r="QJY295" s="3"/>
      <c r="QJZ295" s="3"/>
      <c r="QKA295" s="3"/>
      <c r="QKB295" s="3"/>
      <c r="QKC295" s="3"/>
      <c r="QKD295" s="3"/>
      <c r="QKE295" s="3"/>
      <c r="QKF295" s="3"/>
      <c r="QKG295" s="3"/>
      <c r="QKH295" s="3"/>
      <c r="QKI295" s="3"/>
      <c r="QKJ295" s="3"/>
      <c r="QKK295" s="3"/>
      <c r="QKL295" s="3"/>
      <c r="QKM295" s="3"/>
      <c r="QKN295" s="3"/>
      <c r="QKO295" s="3"/>
      <c r="QKP295" s="3"/>
      <c r="QKQ295" s="3"/>
      <c r="QKR295" s="3"/>
      <c r="QKS295" s="3"/>
      <c r="QKT295" s="3"/>
      <c r="QKU295" s="3"/>
      <c r="QKV295" s="3"/>
      <c r="QKW295" s="3"/>
      <c r="QKX295" s="3"/>
      <c r="QKY295" s="3"/>
      <c r="QKZ295" s="3"/>
      <c r="QLA295" s="3"/>
      <c r="QLB295" s="3"/>
      <c r="QLC295" s="3"/>
      <c r="QLD295" s="3"/>
      <c r="QLE295" s="3"/>
      <c r="QLF295" s="3"/>
      <c r="QLG295" s="3"/>
      <c r="QLH295" s="3"/>
      <c r="QLI295" s="3"/>
      <c r="QLJ295" s="3"/>
      <c r="QLK295" s="3"/>
      <c r="QLL295" s="3"/>
      <c r="QLM295" s="3"/>
      <c r="QLN295" s="3"/>
      <c r="QLO295" s="3"/>
      <c r="QLP295" s="3"/>
      <c r="QLQ295" s="3"/>
      <c r="QLR295" s="3"/>
      <c r="QLS295" s="3"/>
      <c r="QLT295" s="3"/>
      <c r="QLU295" s="3"/>
      <c r="QLV295" s="3"/>
      <c r="QLW295" s="3"/>
      <c r="QLX295" s="3"/>
      <c r="QLY295" s="3"/>
      <c r="QLZ295" s="3"/>
      <c r="QMA295" s="3"/>
      <c r="QMB295" s="3"/>
      <c r="QMC295" s="3"/>
      <c r="QMD295" s="3"/>
      <c r="QME295" s="3"/>
      <c r="QMF295" s="3"/>
      <c r="QMG295" s="3"/>
      <c r="QMH295" s="3"/>
      <c r="QMI295" s="3"/>
      <c r="QMJ295" s="3"/>
      <c r="QMK295" s="3"/>
      <c r="QML295" s="3"/>
      <c r="QMM295" s="3"/>
      <c r="QMN295" s="3"/>
      <c r="QMO295" s="3"/>
      <c r="QMP295" s="3"/>
      <c r="QMQ295" s="3"/>
      <c r="QMR295" s="3"/>
      <c r="QMS295" s="3"/>
      <c r="QMT295" s="3"/>
      <c r="QMU295" s="3"/>
      <c r="QMV295" s="3"/>
      <c r="QMW295" s="3"/>
      <c r="QMX295" s="3"/>
      <c r="QMY295" s="3"/>
      <c r="QMZ295" s="3"/>
      <c r="QNA295" s="3"/>
      <c r="QNB295" s="3"/>
      <c r="QNC295" s="3"/>
      <c r="QND295" s="3"/>
      <c r="QNE295" s="3"/>
      <c r="QNF295" s="3"/>
      <c r="QNG295" s="3"/>
      <c r="QNH295" s="3"/>
      <c r="QNI295" s="3"/>
      <c r="QNJ295" s="3"/>
      <c r="QNK295" s="3"/>
      <c r="QNL295" s="3"/>
      <c r="QNM295" s="3"/>
      <c r="QNN295" s="3"/>
      <c r="QNO295" s="3"/>
      <c r="QNP295" s="3"/>
      <c r="QNQ295" s="3"/>
      <c r="QNR295" s="3"/>
      <c r="QNS295" s="3"/>
      <c r="QNT295" s="3"/>
      <c r="QNU295" s="3"/>
      <c r="QNV295" s="3"/>
      <c r="QNW295" s="3"/>
      <c r="QNX295" s="3"/>
      <c r="QNY295" s="3"/>
      <c r="QNZ295" s="3"/>
      <c r="QOA295" s="3"/>
      <c r="QOB295" s="3"/>
      <c r="QOC295" s="3"/>
      <c r="QOD295" s="3"/>
      <c r="QOE295" s="3"/>
      <c r="QOF295" s="3"/>
      <c r="QOG295" s="3"/>
      <c r="QOH295" s="3"/>
      <c r="QOI295" s="3"/>
      <c r="QOJ295" s="3"/>
      <c r="QOK295" s="3"/>
      <c r="QOL295" s="3"/>
      <c r="QOM295" s="3"/>
      <c r="QON295" s="3"/>
      <c r="QOO295" s="3"/>
      <c r="QOP295" s="3"/>
      <c r="QOQ295" s="3"/>
      <c r="QOR295" s="3"/>
      <c r="QOS295" s="3"/>
      <c r="QOT295" s="3"/>
      <c r="QOU295" s="3"/>
      <c r="QOV295" s="3"/>
      <c r="QOW295" s="3"/>
      <c r="QOX295" s="3"/>
      <c r="QOY295" s="3"/>
      <c r="QOZ295" s="3"/>
      <c r="QPA295" s="3"/>
      <c r="QPB295" s="3"/>
      <c r="QPC295" s="3"/>
      <c r="QPD295" s="3"/>
      <c r="QPE295" s="3"/>
      <c r="QPF295" s="3"/>
      <c r="QPG295" s="3"/>
      <c r="QPH295" s="3"/>
      <c r="QPI295" s="3"/>
      <c r="QPJ295" s="3"/>
      <c r="QPK295" s="3"/>
      <c r="QPL295" s="3"/>
      <c r="QPM295" s="3"/>
      <c r="QPN295" s="3"/>
      <c r="QPO295" s="3"/>
      <c r="QPP295" s="3"/>
      <c r="QPQ295" s="3"/>
      <c r="QPR295" s="3"/>
      <c r="QPS295" s="3"/>
      <c r="QPT295" s="3"/>
      <c r="QPU295" s="3"/>
      <c r="QPV295" s="3"/>
      <c r="QPW295" s="3"/>
      <c r="QPX295" s="3"/>
      <c r="QPY295" s="3"/>
      <c r="QPZ295" s="3"/>
      <c r="QQA295" s="3"/>
      <c r="QQB295" s="3"/>
      <c r="QQC295" s="3"/>
      <c r="QQD295" s="3"/>
      <c r="QQE295" s="3"/>
      <c r="QQF295" s="3"/>
      <c r="QQG295" s="3"/>
      <c r="QQH295" s="3"/>
      <c r="QQI295" s="3"/>
      <c r="QQJ295" s="3"/>
      <c r="QQK295" s="3"/>
      <c r="QQL295" s="3"/>
      <c r="QQM295" s="3"/>
      <c r="QQN295" s="3"/>
      <c r="QQO295" s="3"/>
      <c r="QQP295" s="3"/>
      <c r="QQQ295" s="3"/>
      <c r="QQR295" s="3"/>
      <c r="QQS295" s="3"/>
      <c r="QQT295" s="3"/>
      <c r="QQU295" s="3"/>
      <c r="QQV295" s="3"/>
      <c r="QQW295" s="3"/>
      <c r="QQX295" s="3"/>
      <c r="QQY295" s="3"/>
      <c r="QQZ295" s="3"/>
      <c r="QRA295" s="3"/>
      <c r="QRB295" s="3"/>
      <c r="QRC295" s="3"/>
      <c r="QRD295" s="3"/>
      <c r="QRE295" s="3"/>
      <c r="QRF295" s="3"/>
      <c r="QRG295" s="3"/>
      <c r="QRH295" s="3"/>
      <c r="QRI295" s="3"/>
      <c r="QRJ295" s="3"/>
      <c r="QRK295" s="3"/>
      <c r="QRL295" s="3"/>
      <c r="QRM295" s="3"/>
      <c r="QRN295" s="3"/>
      <c r="QRO295" s="3"/>
      <c r="QRP295" s="3"/>
      <c r="QRQ295" s="3"/>
      <c r="QRR295" s="3"/>
      <c r="QRS295" s="3"/>
      <c r="QRT295" s="3"/>
      <c r="QRU295" s="3"/>
      <c r="QRV295" s="3"/>
      <c r="QRW295" s="3"/>
      <c r="QRX295" s="3"/>
      <c r="QRY295" s="3"/>
      <c r="QRZ295" s="3"/>
      <c r="QSA295" s="3"/>
      <c r="QSB295" s="3"/>
      <c r="QSC295" s="3"/>
      <c r="QSD295" s="3"/>
      <c r="QSE295" s="3"/>
      <c r="QSF295" s="3"/>
      <c r="QSG295" s="3"/>
      <c r="QSH295" s="3"/>
      <c r="QSI295" s="3"/>
      <c r="QSJ295" s="3"/>
      <c r="QSK295" s="3"/>
      <c r="QSL295" s="3"/>
      <c r="QSM295" s="3"/>
      <c r="QSN295" s="3"/>
      <c r="QSO295" s="3"/>
      <c r="QSP295" s="3"/>
      <c r="QSQ295" s="3"/>
      <c r="QSR295" s="3"/>
      <c r="QSS295" s="3"/>
      <c r="QST295" s="3"/>
      <c r="QSU295" s="3"/>
      <c r="QSV295" s="3"/>
      <c r="QSW295" s="3"/>
      <c r="QSX295" s="3"/>
      <c r="QSY295" s="3"/>
      <c r="QSZ295" s="3"/>
      <c r="QTA295" s="3"/>
      <c r="QTB295" s="3"/>
      <c r="QTC295" s="3"/>
      <c r="QTD295" s="3"/>
      <c r="QTE295" s="3"/>
      <c r="QTF295" s="3"/>
      <c r="QTG295" s="3"/>
      <c r="QTH295" s="3"/>
      <c r="QTI295" s="3"/>
      <c r="QTJ295" s="3"/>
      <c r="QTK295" s="3"/>
      <c r="QTL295" s="3"/>
      <c r="QTM295" s="3"/>
      <c r="QTN295" s="3"/>
      <c r="QTO295" s="3"/>
      <c r="QTP295" s="3"/>
      <c r="QTQ295" s="3"/>
      <c r="QTR295" s="3"/>
      <c r="QTS295" s="3"/>
      <c r="QTT295" s="3"/>
      <c r="QTU295" s="3"/>
      <c r="QTV295" s="3"/>
      <c r="QTW295" s="3"/>
      <c r="QTX295" s="3"/>
      <c r="QTY295" s="3"/>
      <c r="QTZ295" s="3"/>
      <c r="QUA295" s="3"/>
      <c r="QUB295" s="3"/>
      <c r="QUC295" s="3"/>
      <c r="QUD295" s="3"/>
      <c r="QUE295" s="3"/>
      <c r="QUF295" s="3"/>
      <c r="QUG295" s="3"/>
      <c r="QUH295" s="3"/>
      <c r="QUI295" s="3"/>
      <c r="QUJ295" s="3"/>
      <c r="QUK295" s="3"/>
      <c r="QUL295" s="3"/>
      <c r="QUM295" s="3"/>
      <c r="QUN295" s="3"/>
      <c r="QUO295" s="3"/>
      <c r="QUP295" s="3"/>
      <c r="QUQ295" s="3"/>
      <c r="QUR295" s="3"/>
      <c r="QUS295" s="3"/>
      <c r="QUT295" s="3"/>
      <c r="QUU295" s="3"/>
      <c r="QUV295" s="3"/>
      <c r="QUW295" s="3"/>
      <c r="QUX295" s="3"/>
      <c r="QUY295" s="3"/>
      <c r="QUZ295" s="3"/>
      <c r="QVA295" s="3"/>
      <c r="QVB295" s="3"/>
      <c r="QVC295" s="3"/>
      <c r="QVD295" s="3"/>
      <c r="QVE295" s="3"/>
      <c r="QVF295" s="3"/>
      <c r="QVG295" s="3"/>
      <c r="QVH295" s="3"/>
      <c r="QVI295" s="3"/>
      <c r="QVJ295" s="3"/>
      <c r="QVK295" s="3"/>
      <c r="QVL295" s="3"/>
      <c r="QVM295" s="3"/>
      <c r="QVN295" s="3"/>
      <c r="QVO295" s="3"/>
      <c r="QVP295" s="3"/>
      <c r="QVQ295" s="3"/>
      <c r="QVR295" s="3"/>
      <c r="QVS295" s="3"/>
      <c r="QVT295" s="3"/>
      <c r="QVU295" s="3"/>
      <c r="QVV295" s="3"/>
      <c r="QVW295" s="3"/>
      <c r="QVX295" s="3"/>
      <c r="QVY295" s="3"/>
      <c r="QVZ295" s="3"/>
      <c r="QWA295" s="3"/>
      <c r="QWB295" s="3"/>
      <c r="QWC295" s="3"/>
      <c r="QWD295" s="3"/>
      <c r="QWE295" s="3"/>
      <c r="QWF295" s="3"/>
      <c r="QWG295" s="3"/>
      <c r="QWH295" s="3"/>
      <c r="QWI295" s="3"/>
      <c r="QWJ295" s="3"/>
      <c r="QWK295" s="3"/>
      <c r="QWL295" s="3"/>
      <c r="QWM295" s="3"/>
      <c r="QWN295" s="3"/>
      <c r="QWO295" s="3"/>
      <c r="QWP295" s="3"/>
      <c r="QWQ295" s="3"/>
      <c r="QWR295" s="3"/>
      <c r="QWS295" s="3"/>
      <c r="QWT295" s="3"/>
      <c r="QWU295" s="3"/>
      <c r="QWV295" s="3"/>
      <c r="QWW295" s="3"/>
      <c r="QWX295" s="3"/>
      <c r="QWY295" s="3"/>
      <c r="QWZ295" s="3"/>
      <c r="QXA295" s="3"/>
      <c r="QXB295" s="3"/>
      <c r="QXC295" s="3"/>
      <c r="QXD295" s="3"/>
      <c r="QXE295" s="3"/>
      <c r="QXF295" s="3"/>
      <c r="QXG295" s="3"/>
      <c r="QXH295" s="3"/>
      <c r="QXI295" s="3"/>
      <c r="QXJ295" s="3"/>
      <c r="QXK295" s="3"/>
      <c r="QXL295" s="3"/>
      <c r="QXM295" s="3"/>
      <c r="QXN295" s="3"/>
      <c r="QXO295" s="3"/>
      <c r="QXP295" s="3"/>
      <c r="QXQ295" s="3"/>
      <c r="QXR295" s="3"/>
      <c r="QXS295" s="3"/>
      <c r="QXT295" s="3"/>
      <c r="QXU295" s="3"/>
      <c r="QXV295" s="3"/>
      <c r="QXW295" s="3"/>
      <c r="QXX295" s="3"/>
      <c r="QXY295" s="3"/>
      <c r="QXZ295" s="3"/>
      <c r="QYA295" s="3"/>
      <c r="QYB295" s="3"/>
      <c r="QYC295" s="3"/>
      <c r="QYD295" s="3"/>
      <c r="QYE295" s="3"/>
      <c r="QYF295" s="3"/>
      <c r="QYG295" s="3"/>
      <c r="QYH295" s="3"/>
      <c r="QYI295" s="3"/>
      <c r="QYJ295" s="3"/>
      <c r="QYK295" s="3"/>
      <c r="QYL295" s="3"/>
      <c r="QYM295" s="3"/>
      <c r="QYN295" s="3"/>
      <c r="QYO295" s="3"/>
      <c r="QYP295" s="3"/>
      <c r="QYQ295" s="3"/>
      <c r="QYR295" s="3"/>
      <c r="QYS295" s="3"/>
      <c r="QYT295" s="3"/>
      <c r="QYU295" s="3"/>
      <c r="QYV295" s="3"/>
      <c r="QYW295" s="3"/>
      <c r="QYX295" s="3"/>
      <c r="QYY295" s="3"/>
      <c r="QYZ295" s="3"/>
      <c r="QZA295" s="3"/>
      <c r="QZB295" s="3"/>
      <c r="QZC295" s="3"/>
      <c r="QZD295" s="3"/>
      <c r="QZE295" s="3"/>
      <c r="QZF295" s="3"/>
      <c r="QZG295" s="3"/>
      <c r="QZH295" s="3"/>
      <c r="QZI295" s="3"/>
      <c r="QZJ295" s="3"/>
      <c r="QZK295" s="3"/>
      <c r="QZL295" s="3"/>
      <c r="QZM295" s="3"/>
      <c r="QZN295" s="3"/>
      <c r="QZO295" s="3"/>
      <c r="QZP295" s="3"/>
      <c r="QZQ295" s="3"/>
      <c r="QZR295" s="3"/>
      <c r="QZS295" s="3"/>
      <c r="QZT295" s="3"/>
      <c r="QZU295" s="3"/>
      <c r="QZV295" s="3"/>
      <c r="QZW295" s="3"/>
      <c r="QZX295" s="3"/>
      <c r="QZY295" s="3"/>
      <c r="QZZ295" s="3"/>
      <c r="RAA295" s="3"/>
      <c r="RAB295" s="3"/>
      <c r="RAC295" s="3"/>
      <c r="RAD295" s="3"/>
      <c r="RAE295" s="3"/>
      <c r="RAF295" s="3"/>
      <c r="RAG295" s="3"/>
      <c r="RAH295" s="3"/>
      <c r="RAI295" s="3"/>
      <c r="RAJ295" s="3"/>
      <c r="RAK295" s="3"/>
      <c r="RAL295" s="3"/>
      <c r="RAM295" s="3"/>
      <c r="RAN295" s="3"/>
      <c r="RAO295" s="3"/>
      <c r="RAP295" s="3"/>
      <c r="RAQ295" s="3"/>
      <c r="RAR295" s="3"/>
      <c r="RAS295" s="3"/>
      <c r="RAT295" s="3"/>
      <c r="RAU295" s="3"/>
      <c r="RAV295" s="3"/>
      <c r="RAW295" s="3"/>
      <c r="RAX295" s="3"/>
      <c r="RAY295" s="3"/>
      <c r="RAZ295" s="3"/>
      <c r="RBA295" s="3"/>
      <c r="RBB295" s="3"/>
      <c r="RBC295" s="3"/>
      <c r="RBD295" s="3"/>
      <c r="RBE295" s="3"/>
      <c r="RBF295" s="3"/>
      <c r="RBG295" s="3"/>
      <c r="RBH295" s="3"/>
      <c r="RBI295" s="3"/>
      <c r="RBJ295" s="3"/>
      <c r="RBK295" s="3"/>
      <c r="RBL295" s="3"/>
      <c r="RBM295" s="3"/>
      <c r="RBN295" s="3"/>
      <c r="RBO295" s="3"/>
      <c r="RBP295" s="3"/>
      <c r="RBQ295" s="3"/>
      <c r="RBR295" s="3"/>
      <c r="RBS295" s="3"/>
      <c r="RBT295" s="3"/>
      <c r="RBU295" s="3"/>
      <c r="RBV295" s="3"/>
      <c r="RBW295" s="3"/>
      <c r="RBX295" s="3"/>
      <c r="RBY295" s="3"/>
      <c r="RBZ295" s="3"/>
      <c r="RCA295" s="3"/>
      <c r="RCB295" s="3"/>
      <c r="RCC295" s="3"/>
      <c r="RCD295" s="3"/>
      <c r="RCE295" s="3"/>
      <c r="RCF295" s="3"/>
      <c r="RCG295" s="3"/>
      <c r="RCH295" s="3"/>
      <c r="RCI295" s="3"/>
      <c r="RCJ295" s="3"/>
      <c r="RCK295" s="3"/>
      <c r="RCL295" s="3"/>
      <c r="RCM295" s="3"/>
      <c r="RCN295" s="3"/>
      <c r="RCO295" s="3"/>
      <c r="RCP295" s="3"/>
      <c r="RCQ295" s="3"/>
      <c r="RCR295" s="3"/>
      <c r="RCS295" s="3"/>
      <c r="RCT295" s="3"/>
      <c r="RCU295" s="3"/>
      <c r="RCV295" s="3"/>
      <c r="RCW295" s="3"/>
      <c r="RCX295" s="3"/>
      <c r="RCY295" s="3"/>
      <c r="RCZ295" s="3"/>
      <c r="RDA295" s="3"/>
      <c r="RDB295" s="3"/>
      <c r="RDC295" s="3"/>
      <c r="RDD295" s="3"/>
      <c r="RDE295" s="3"/>
      <c r="RDF295" s="3"/>
      <c r="RDG295" s="3"/>
      <c r="RDH295" s="3"/>
      <c r="RDI295" s="3"/>
      <c r="RDJ295" s="3"/>
      <c r="RDK295" s="3"/>
      <c r="RDL295" s="3"/>
      <c r="RDM295" s="3"/>
      <c r="RDN295" s="3"/>
      <c r="RDO295" s="3"/>
      <c r="RDP295" s="3"/>
      <c r="RDQ295" s="3"/>
      <c r="RDR295" s="3"/>
      <c r="RDS295" s="3"/>
      <c r="RDT295" s="3"/>
      <c r="RDU295" s="3"/>
      <c r="RDV295" s="3"/>
      <c r="RDW295" s="3"/>
      <c r="RDX295" s="3"/>
      <c r="RDY295" s="3"/>
      <c r="RDZ295" s="3"/>
      <c r="REA295" s="3"/>
      <c r="REB295" s="3"/>
      <c r="REC295" s="3"/>
      <c r="RED295" s="3"/>
      <c r="REE295" s="3"/>
      <c r="REF295" s="3"/>
      <c r="REG295" s="3"/>
      <c r="REH295" s="3"/>
      <c r="REI295" s="3"/>
      <c r="REJ295" s="3"/>
      <c r="REK295" s="3"/>
      <c r="REL295" s="3"/>
      <c r="REM295" s="3"/>
      <c r="REN295" s="3"/>
      <c r="REO295" s="3"/>
      <c r="REP295" s="3"/>
      <c r="REQ295" s="3"/>
      <c r="RER295" s="3"/>
      <c r="RES295" s="3"/>
      <c r="RET295" s="3"/>
      <c r="REU295" s="3"/>
      <c r="REV295" s="3"/>
      <c r="REW295" s="3"/>
      <c r="REX295" s="3"/>
      <c r="REY295" s="3"/>
      <c r="REZ295" s="3"/>
      <c r="RFA295" s="3"/>
      <c r="RFB295" s="3"/>
      <c r="RFC295" s="3"/>
      <c r="RFD295" s="3"/>
      <c r="RFE295" s="3"/>
      <c r="RFF295" s="3"/>
      <c r="RFG295" s="3"/>
      <c r="RFH295" s="3"/>
      <c r="RFI295" s="3"/>
      <c r="RFJ295" s="3"/>
      <c r="RFK295" s="3"/>
      <c r="RFL295" s="3"/>
      <c r="RFM295" s="3"/>
      <c r="RFN295" s="3"/>
      <c r="RFO295" s="3"/>
      <c r="RFP295" s="3"/>
      <c r="RFQ295" s="3"/>
      <c r="RFR295" s="3"/>
      <c r="RFS295" s="3"/>
      <c r="RFT295" s="3"/>
      <c r="RFU295" s="3"/>
      <c r="RFV295" s="3"/>
      <c r="RFW295" s="3"/>
      <c r="RFX295" s="3"/>
      <c r="RFY295" s="3"/>
      <c r="RFZ295" s="3"/>
      <c r="RGA295" s="3"/>
      <c r="RGB295" s="3"/>
      <c r="RGC295" s="3"/>
      <c r="RGD295" s="3"/>
      <c r="RGE295" s="3"/>
      <c r="RGF295" s="3"/>
      <c r="RGG295" s="3"/>
      <c r="RGH295" s="3"/>
      <c r="RGI295" s="3"/>
      <c r="RGJ295" s="3"/>
      <c r="RGK295" s="3"/>
      <c r="RGL295" s="3"/>
      <c r="RGM295" s="3"/>
      <c r="RGN295" s="3"/>
      <c r="RGO295" s="3"/>
      <c r="RGP295" s="3"/>
      <c r="RGQ295" s="3"/>
      <c r="RGR295" s="3"/>
      <c r="RGS295" s="3"/>
      <c r="RGT295" s="3"/>
      <c r="RGU295" s="3"/>
      <c r="RGV295" s="3"/>
      <c r="RGW295" s="3"/>
      <c r="RGX295" s="3"/>
      <c r="RGY295" s="3"/>
      <c r="RGZ295" s="3"/>
      <c r="RHA295" s="3"/>
      <c r="RHB295" s="3"/>
      <c r="RHC295" s="3"/>
      <c r="RHD295" s="3"/>
      <c r="RHE295" s="3"/>
      <c r="RHF295" s="3"/>
      <c r="RHG295" s="3"/>
      <c r="RHH295" s="3"/>
      <c r="RHI295" s="3"/>
      <c r="RHJ295" s="3"/>
      <c r="RHK295" s="3"/>
      <c r="RHL295" s="3"/>
      <c r="RHM295" s="3"/>
      <c r="RHN295" s="3"/>
      <c r="RHO295" s="3"/>
      <c r="RHP295" s="3"/>
      <c r="RHQ295" s="3"/>
      <c r="RHR295" s="3"/>
      <c r="RHS295" s="3"/>
      <c r="RHT295" s="3"/>
      <c r="RHU295" s="3"/>
      <c r="RHV295" s="3"/>
      <c r="RHW295" s="3"/>
      <c r="RHX295" s="3"/>
      <c r="RHY295" s="3"/>
      <c r="RHZ295" s="3"/>
      <c r="RIA295" s="3"/>
      <c r="RIB295" s="3"/>
      <c r="RIC295" s="3"/>
      <c r="RID295" s="3"/>
      <c r="RIE295" s="3"/>
      <c r="RIF295" s="3"/>
      <c r="RIG295" s="3"/>
      <c r="RIH295" s="3"/>
      <c r="RII295" s="3"/>
      <c r="RIJ295" s="3"/>
      <c r="RIK295" s="3"/>
      <c r="RIL295" s="3"/>
      <c r="RIM295" s="3"/>
      <c r="RIN295" s="3"/>
      <c r="RIO295" s="3"/>
      <c r="RIP295" s="3"/>
      <c r="RIQ295" s="3"/>
      <c r="RIR295" s="3"/>
      <c r="RIS295" s="3"/>
      <c r="RIT295" s="3"/>
      <c r="RIU295" s="3"/>
      <c r="RIV295" s="3"/>
      <c r="RIW295" s="3"/>
      <c r="RIX295" s="3"/>
      <c r="RIY295" s="3"/>
      <c r="RIZ295" s="3"/>
      <c r="RJA295" s="3"/>
      <c r="RJB295" s="3"/>
      <c r="RJC295" s="3"/>
      <c r="RJD295" s="3"/>
      <c r="RJE295" s="3"/>
      <c r="RJF295" s="3"/>
      <c r="RJG295" s="3"/>
      <c r="RJH295" s="3"/>
      <c r="RJI295" s="3"/>
      <c r="RJJ295" s="3"/>
      <c r="RJK295" s="3"/>
      <c r="RJL295" s="3"/>
      <c r="RJM295" s="3"/>
      <c r="RJN295" s="3"/>
      <c r="RJO295" s="3"/>
      <c r="RJP295" s="3"/>
      <c r="RJQ295" s="3"/>
      <c r="RJR295" s="3"/>
      <c r="RJS295" s="3"/>
      <c r="RJT295" s="3"/>
      <c r="RJU295" s="3"/>
      <c r="RJV295" s="3"/>
      <c r="RJW295" s="3"/>
      <c r="RJX295" s="3"/>
      <c r="RJY295" s="3"/>
      <c r="RJZ295" s="3"/>
      <c r="RKA295" s="3"/>
      <c r="RKB295" s="3"/>
      <c r="RKC295" s="3"/>
      <c r="RKD295" s="3"/>
      <c r="RKE295" s="3"/>
      <c r="RKF295" s="3"/>
      <c r="RKG295" s="3"/>
      <c r="RKH295" s="3"/>
      <c r="RKI295" s="3"/>
      <c r="RKJ295" s="3"/>
      <c r="RKK295" s="3"/>
      <c r="RKL295" s="3"/>
      <c r="RKM295" s="3"/>
      <c r="RKN295" s="3"/>
      <c r="RKO295" s="3"/>
      <c r="RKP295" s="3"/>
      <c r="RKQ295" s="3"/>
      <c r="RKR295" s="3"/>
      <c r="RKS295" s="3"/>
      <c r="RKT295" s="3"/>
      <c r="RKU295" s="3"/>
      <c r="RKV295" s="3"/>
      <c r="RKW295" s="3"/>
      <c r="RKX295" s="3"/>
      <c r="RKY295" s="3"/>
      <c r="RKZ295" s="3"/>
      <c r="RLA295" s="3"/>
      <c r="RLB295" s="3"/>
      <c r="RLC295" s="3"/>
      <c r="RLD295" s="3"/>
      <c r="RLE295" s="3"/>
      <c r="RLF295" s="3"/>
      <c r="RLG295" s="3"/>
      <c r="RLH295" s="3"/>
      <c r="RLI295" s="3"/>
      <c r="RLJ295" s="3"/>
      <c r="RLK295" s="3"/>
      <c r="RLL295" s="3"/>
      <c r="RLM295" s="3"/>
      <c r="RLN295" s="3"/>
      <c r="RLO295" s="3"/>
      <c r="RLP295" s="3"/>
      <c r="RLQ295" s="3"/>
      <c r="RLR295" s="3"/>
      <c r="RLS295" s="3"/>
      <c r="RLT295" s="3"/>
      <c r="RLU295" s="3"/>
      <c r="RLV295" s="3"/>
      <c r="RLW295" s="3"/>
      <c r="RLX295" s="3"/>
      <c r="RLY295" s="3"/>
      <c r="RLZ295" s="3"/>
      <c r="RMA295" s="3"/>
      <c r="RMB295" s="3"/>
      <c r="RMC295" s="3"/>
      <c r="RMD295" s="3"/>
      <c r="RME295" s="3"/>
      <c r="RMF295" s="3"/>
      <c r="RMG295" s="3"/>
      <c r="RMH295" s="3"/>
      <c r="RMI295" s="3"/>
      <c r="RMJ295" s="3"/>
      <c r="RMK295" s="3"/>
      <c r="RML295" s="3"/>
      <c r="RMM295" s="3"/>
      <c r="RMN295" s="3"/>
      <c r="RMO295" s="3"/>
      <c r="RMP295" s="3"/>
      <c r="RMQ295" s="3"/>
      <c r="RMR295" s="3"/>
      <c r="RMS295" s="3"/>
      <c r="RMT295" s="3"/>
      <c r="RMU295" s="3"/>
      <c r="RMV295" s="3"/>
      <c r="RMW295" s="3"/>
      <c r="RMX295" s="3"/>
      <c r="RMY295" s="3"/>
      <c r="RMZ295" s="3"/>
      <c r="RNA295" s="3"/>
      <c r="RNB295" s="3"/>
      <c r="RNC295" s="3"/>
      <c r="RND295" s="3"/>
      <c r="RNE295" s="3"/>
      <c r="RNF295" s="3"/>
      <c r="RNG295" s="3"/>
      <c r="RNH295" s="3"/>
      <c r="RNI295" s="3"/>
      <c r="RNJ295" s="3"/>
      <c r="RNK295" s="3"/>
      <c r="RNL295" s="3"/>
      <c r="RNM295" s="3"/>
      <c r="RNN295" s="3"/>
      <c r="RNO295" s="3"/>
      <c r="RNP295" s="3"/>
      <c r="RNQ295" s="3"/>
      <c r="RNR295" s="3"/>
      <c r="RNS295" s="3"/>
      <c r="RNT295" s="3"/>
      <c r="RNU295" s="3"/>
      <c r="RNV295" s="3"/>
      <c r="RNW295" s="3"/>
      <c r="RNX295" s="3"/>
      <c r="RNY295" s="3"/>
      <c r="RNZ295" s="3"/>
      <c r="ROA295" s="3"/>
      <c r="ROB295" s="3"/>
      <c r="ROC295" s="3"/>
      <c r="ROD295" s="3"/>
      <c r="ROE295" s="3"/>
      <c r="ROF295" s="3"/>
      <c r="ROG295" s="3"/>
      <c r="ROH295" s="3"/>
      <c r="ROI295" s="3"/>
      <c r="ROJ295" s="3"/>
      <c r="ROK295" s="3"/>
      <c r="ROL295" s="3"/>
      <c r="ROM295" s="3"/>
      <c r="RON295" s="3"/>
      <c r="ROO295" s="3"/>
      <c r="ROP295" s="3"/>
      <c r="ROQ295" s="3"/>
      <c r="ROR295" s="3"/>
      <c r="ROS295" s="3"/>
      <c r="ROT295" s="3"/>
      <c r="ROU295" s="3"/>
      <c r="ROV295" s="3"/>
      <c r="ROW295" s="3"/>
      <c r="ROX295" s="3"/>
      <c r="ROY295" s="3"/>
      <c r="ROZ295" s="3"/>
      <c r="RPA295" s="3"/>
      <c r="RPB295" s="3"/>
      <c r="RPC295" s="3"/>
      <c r="RPD295" s="3"/>
      <c r="RPE295" s="3"/>
      <c r="RPF295" s="3"/>
      <c r="RPG295" s="3"/>
      <c r="RPH295" s="3"/>
      <c r="RPI295" s="3"/>
      <c r="RPJ295" s="3"/>
      <c r="RPK295" s="3"/>
      <c r="RPL295" s="3"/>
      <c r="RPM295" s="3"/>
      <c r="RPN295" s="3"/>
      <c r="RPO295" s="3"/>
      <c r="RPP295" s="3"/>
      <c r="RPQ295" s="3"/>
      <c r="RPR295" s="3"/>
      <c r="RPS295" s="3"/>
      <c r="RPT295" s="3"/>
      <c r="RPU295" s="3"/>
      <c r="RPV295" s="3"/>
      <c r="RPW295" s="3"/>
      <c r="RPX295" s="3"/>
      <c r="RPY295" s="3"/>
      <c r="RPZ295" s="3"/>
      <c r="RQA295" s="3"/>
      <c r="RQB295" s="3"/>
      <c r="RQC295" s="3"/>
      <c r="RQD295" s="3"/>
      <c r="RQE295" s="3"/>
      <c r="RQF295" s="3"/>
      <c r="RQG295" s="3"/>
      <c r="RQH295" s="3"/>
      <c r="RQI295" s="3"/>
      <c r="RQJ295" s="3"/>
      <c r="RQK295" s="3"/>
      <c r="RQL295" s="3"/>
      <c r="RQM295" s="3"/>
      <c r="RQN295" s="3"/>
      <c r="RQO295" s="3"/>
      <c r="RQP295" s="3"/>
      <c r="RQQ295" s="3"/>
      <c r="RQR295" s="3"/>
      <c r="RQS295" s="3"/>
      <c r="RQT295" s="3"/>
      <c r="RQU295" s="3"/>
      <c r="RQV295" s="3"/>
      <c r="RQW295" s="3"/>
      <c r="RQX295" s="3"/>
      <c r="RQY295" s="3"/>
      <c r="RQZ295" s="3"/>
      <c r="RRA295" s="3"/>
      <c r="RRB295" s="3"/>
      <c r="RRC295" s="3"/>
      <c r="RRD295" s="3"/>
      <c r="RRE295" s="3"/>
      <c r="RRF295" s="3"/>
      <c r="RRG295" s="3"/>
      <c r="RRH295" s="3"/>
      <c r="RRI295" s="3"/>
      <c r="RRJ295" s="3"/>
      <c r="RRK295" s="3"/>
      <c r="RRL295" s="3"/>
      <c r="RRM295" s="3"/>
      <c r="RRN295" s="3"/>
      <c r="RRO295" s="3"/>
      <c r="RRP295" s="3"/>
      <c r="RRQ295" s="3"/>
      <c r="RRR295" s="3"/>
      <c r="RRS295" s="3"/>
      <c r="RRT295" s="3"/>
      <c r="RRU295" s="3"/>
      <c r="RRV295" s="3"/>
      <c r="RRW295" s="3"/>
      <c r="RRX295" s="3"/>
      <c r="RRY295" s="3"/>
      <c r="RRZ295" s="3"/>
      <c r="RSA295" s="3"/>
      <c r="RSB295" s="3"/>
      <c r="RSC295" s="3"/>
      <c r="RSD295" s="3"/>
      <c r="RSE295" s="3"/>
      <c r="RSF295" s="3"/>
      <c r="RSG295" s="3"/>
      <c r="RSH295" s="3"/>
      <c r="RSI295" s="3"/>
      <c r="RSJ295" s="3"/>
      <c r="RSK295" s="3"/>
      <c r="RSL295" s="3"/>
      <c r="RSM295" s="3"/>
      <c r="RSN295" s="3"/>
      <c r="RSO295" s="3"/>
      <c r="RSP295" s="3"/>
      <c r="RSQ295" s="3"/>
      <c r="RSR295" s="3"/>
      <c r="RSS295" s="3"/>
      <c r="RST295" s="3"/>
      <c r="RSU295" s="3"/>
      <c r="RSV295" s="3"/>
      <c r="RSW295" s="3"/>
      <c r="RSX295" s="3"/>
      <c r="RSY295" s="3"/>
      <c r="RSZ295" s="3"/>
      <c r="RTA295" s="3"/>
      <c r="RTB295" s="3"/>
      <c r="RTC295" s="3"/>
      <c r="RTD295" s="3"/>
      <c r="RTE295" s="3"/>
      <c r="RTF295" s="3"/>
      <c r="RTG295" s="3"/>
      <c r="RTH295" s="3"/>
      <c r="RTI295" s="3"/>
      <c r="RTJ295" s="3"/>
      <c r="RTK295" s="3"/>
      <c r="RTL295" s="3"/>
      <c r="RTM295" s="3"/>
      <c r="RTN295" s="3"/>
      <c r="RTO295" s="3"/>
      <c r="RTP295" s="3"/>
      <c r="RTQ295" s="3"/>
      <c r="RTR295" s="3"/>
      <c r="RTS295" s="3"/>
      <c r="RTT295" s="3"/>
      <c r="RTU295" s="3"/>
      <c r="RTV295" s="3"/>
      <c r="RTW295" s="3"/>
      <c r="RTX295" s="3"/>
      <c r="RTY295" s="3"/>
      <c r="RTZ295" s="3"/>
      <c r="RUA295" s="3"/>
      <c r="RUB295" s="3"/>
      <c r="RUC295" s="3"/>
      <c r="RUD295" s="3"/>
      <c r="RUE295" s="3"/>
      <c r="RUF295" s="3"/>
      <c r="RUG295" s="3"/>
      <c r="RUH295" s="3"/>
      <c r="RUI295" s="3"/>
      <c r="RUJ295" s="3"/>
      <c r="RUK295" s="3"/>
      <c r="RUL295" s="3"/>
      <c r="RUM295" s="3"/>
      <c r="RUN295" s="3"/>
      <c r="RUO295" s="3"/>
      <c r="RUP295" s="3"/>
      <c r="RUQ295" s="3"/>
      <c r="RUR295" s="3"/>
      <c r="RUS295" s="3"/>
      <c r="RUT295" s="3"/>
      <c r="RUU295" s="3"/>
      <c r="RUV295" s="3"/>
      <c r="RUW295" s="3"/>
      <c r="RUX295" s="3"/>
      <c r="RUY295" s="3"/>
      <c r="RUZ295" s="3"/>
      <c r="RVA295" s="3"/>
      <c r="RVB295" s="3"/>
      <c r="RVC295" s="3"/>
      <c r="RVD295" s="3"/>
      <c r="RVE295" s="3"/>
      <c r="RVF295" s="3"/>
      <c r="RVG295" s="3"/>
      <c r="RVH295" s="3"/>
      <c r="RVI295" s="3"/>
      <c r="RVJ295" s="3"/>
      <c r="RVK295" s="3"/>
      <c r="RVL295" s="3"/>
      <c r="RVM295" s="3"/>
      <c r="RVN295" s="3"/>
      <c r="RVO295" s="3"/>
      <c r="RVP295" s="3"/>
      <c r="RVQ295" s="3"/>
      <c r="RVR295" s="3"/>
      <c r="RVS295" s="3"/>
      <c r="RVT295" s="3"/>
      <c r="RVU295" s="3"/>
      <c r="RVV295" s="3"/>
      <c r="RVW295" s="3"/>
      <c r="RVX295" s="3"/>
      <c r="RVY295" s="3"/>
      <c r="RVZ295" s="3"/>
      <c r="RWA295" s="3"/>
      <c r="RWB295" s="3"/>
      <c r="RWC295" s="3"/>
      <c r="RWD295" s="3"/>
      <c r="RWE295" s="3"/>
      <c r="RWF295" s="3"/>
      <c r="RWG295" s="3"/>
      <c r="RWH295" s="3"/>
      <c r="RWI295" s="3"/>
      <c r="RWJ295" s="3"/>
      <c r="RWK295" s="3"/>
      <c r="RWL295" s="3"/>
      <c r="RWM295" s="3"/>
      <c r="RWN295" s="3"/>
      <c r="RWO295" s="3"/>
      <c r="RWP295" s="3"/>
      <c r="RWQ295" s="3"/>
      <c r="RWR295" s="3"/>
      <c r="RWS295" s="3"/>
      <c r="RWT295" s="3"/>
      <c r="RWU295" s="3"/>
      <c r="RWV295" s="3"/>
      <c r="RWW295" s="3"/>
      <c r="RWX295" s="3"/>
      <c r="RWY295" s="3"/>
      <c r="RWZ295" s="3"/>
      <c r="RXA295" s="3"/>
      <c r="RXB295" s="3"/>
      <c r="RXC295" s="3"/>
      <c r="RXD295" s="3"/>
      <c r="RXE295" s="3"/>
      <c r="RXF295" s="3"/>
      <c r="RXG295" s="3"/>
      <c r="RXH295" s="3"/>
      <c r="RXI295" s="3"/>
      <c r="RXJ295" s="3"/>
      <c r="RXK295" s="3"/>
      <c r="RXL295" s="3"/>
      <c r="RXM295" s="3"/>
      <c r="RXN295" s="3"/>
      <c r="RXO295" s="3"/>
      <c r="RXP295" s="3"/>
      <c r="RXQ295" s="3"/>
      <c r="RXR295" s="3"/>
      <c r="RXS295" s="3"/>
      <c r="RXT295" s="3"/>
      <c r="RXU295" s="3"/>
      <c r="RXV295" s="3"/>
      <c r="RXW295" s="3"/>
      <c r="RXX295" s="3"/>
      <c r="RXY295" s="3"/>
      <c r="RXZ295" s="3"/>
      <c r="RYA295" s="3"/>
      <c r="RYB295" s="3"/>
      <c r="RYC295" s="3"/>
      <c r="RYD295" s="3"/>
      <c r="RYE295" s="3"/>
      <c r="RYF295" s="3"/>
      <c r="RYG295" s="3"/>
      <c r="RYH295" s="3"/>
      <c r="RYI295" s="3"/>
      <c r="RYJ295" s="3"/>
      <c r="RYK295" s="3"/>
      <c r="RYL295" s="3"/>
      <c r="RYM295" s="3"/>
      <c r="RYN295" s="3"/>
      <c r="RYO295" s="3"/>
      <c r="RYP295" s="3"/>
      <c r="RYQ295" s="3"/>
      <c r="RYR295" s="3"/>
      <c r="RYS295" s="3"/>
      <c r="RYT295" s="3"/>
      <c r="RYU295" s="3"/>
      <c r="RYV295" s="3"/>
      <c r="RYW295" s="3"/>
      <c r="RYX295" s="3"/>
      <c r="RYY295" s="3"/>
      <c r="RYZ295" s="3"/>
      <c r="RZA295" s="3"/>
      <c r="RZB295" s="3"/>
      <c r="RZC295" s="3"/>
      <c r="RZD295" s="3"/>
      <c r="RZE295" s="3"/>
      <c r="RZF295" s="3"/>
      <c r="RZG295" s="3"/>
      <c r="RZH295" s="3"/>
      <c r="RZI295" s="3"/>
      <c r="RZJ295" s="3"/>
      <c r="RZK295" s="3"/>
      <c r="RZL295" s="3"/>
      <c r="RZM295" s="3"/>
      <c r="RZN295" s="3"/>
      <c r="RZO295" s="3"/>
      <c r="RZP295" s="3"/>
      <c r="RZQ295" s="3"/>
      <c r="RZR295" s="3"/>
      <c r="RZS295" s="3"/>
      <c r="RZT295" s="3"/>
      <c r="RZU295" s="3"/>
      <c r="RZV295" s="3"/>
      <c r="RZW295" s="3"/>
      <c r="RZX295" s="3"/>
      <c r="RZY295" s="3"/>
      <c r="RZZ295" s="3"/>
      <c r="SAA295" s="3"/>
      <c r="SAB295" s="3"/>
      <c r="SAC295" s="3"/>
      <c r="SAD295" s="3"/>
      <c r="SAE295" s="3"/>
      <c r="SAF295" s="3"/>
      <c r="SAG295" s="3"/>
      <c r="SAH295" s="3"/>
      <c r="SAI295" s="3"/>
      <c r="SAJ295" s="3"/>
      <c r="SAK295" s="3"/>
      <c r="SAL295" s="3"/>
      <c r="SAM295" s="3"/>
      <c r="SAN295" s="3"/>
      <c r="SAO295" s="3"/>
      <c r="SAP295" s="3"/>
      <c r="SAQ295" s="3"/>
      <c r="SAR295" s="3"/>
      <c r="SAS295" s="3"/>
      <c r="SAT295" s="3"/>
      <c r="SAU295" s="3"/>
      <c r="SAV295" s="3"/>
      <c r="SAW295" s="3"/>
      <c r="SAX295" s="3"/>
      <c r="SAY295" s="3"/>
      <c r="SAZ295" s="3"/>
      <c r="SBA295" s="3"/>
      <c r="SBB295" s="3"/>
      <c r="SBC295" s="3"/>
      <c r="SBD295" s="3"/>
      <c r="SBE295" s="3"/>
      <c r="SBF295" s="3"/>
      <c r="SBG295" s="3"/>
      <c r="SBH295" s="3"/>
      <c r="SBI295" s="3"/>
      <c r="SBJ295" s="3"/>
      <c r="SBK295" s="3"/>
      <c r="SBL295" s="3"/>
      <c r="SBM295" s="3"/>
      <c r="SBN295" s="3"/>
      <c r="SBO295" s="3"/>
      <c r="SBP295" s="3"/>
      <c r="SBQ295" s="3"/>
      <c r="SBR295" s="3"/>
      <c r="SBS295" s="3"/>
      <c r="SBT295" s="3"/>
      <c r="SBU295" s="3"/>
      <c r="SBV295" s="3"/>
      <c r="SBW295" s="3"/>
      <c r="SBX295" s="3"/>
      <c r="SBY295" s="3"/>
      <c r="SBZ295" s="3"/>
      <c r="SCA295" s="3"/>
      <c r="SCB295" s="3"/>
      <c r="SCC295" s="3"/>
      <c r="SCD295" s="3"/>
      <c r="SCE295" s="3"/>
      <c r="SCF295" s="3"/>
      <c r="SCG295" s="3"/>
      <c r="SCH295" s="3"/>
      <c r="SCI295" s="3"/>
      <c r="SCJ295" s="3"/>
      <c r="SCK295" s="3"/>
      <c r="SCL295" s="3"/>
      <c r="SCM295" s="3"/>
      <c r="SCN295" s="3"/>
      <c r="SCO295" s="3"/>
      <c r="SCP295" s="3"/>
      <c r="SCQ295" s="3"/>
      <c r="SCR295" s="3"/>
      <c r="SCS295" s="3"/>
      <c r="SCT295" s="3"/>
      <c r="SCU295" s="3"/>
      <c r="SCV295" s="3"/>
      <c r="SCW295" s="3"/>
      <c r="SCX295" s="3"/>
      <c r="SCY295" s="3"/>
      <c r="SCZ295" s="3"/>
      <c r="SDA295" s="3"/>
      <c r="SDB295" s="3"/>
      <c r="SDC295" s="3"/>
      <c r="SDD295" s="3"/>
      <c r="SDE295" s="3"/>
      <c r="SDF295" s="3"/>
      <c r="SDG295" s="3"/>
      <c r="SDH295" s="3"/>
      <c r="SDI295" s="3"/>
      <c r="SDJ295" s="3"/>
      <c r="SDK295" s="3"/>
      <c r="SDL295" s="3"/>
      <c r="SDM295" s="3"/>
      <c r="SDN295" s="3"/>
      <c r="SDO295" s="3"/>
      <c r="SDP295" s="3"/>
      <c r="SDQ295" s="3"/>
      <c r="SDR295" s="3"/>
      <c r="SDS295" s="3"/>
      <c r="SDT295" s="3"/>
      <c r="SDU295" s="3"/>
      <c r="SDV295" s="3"/>
      <c r="SDW295" s="3"/>
      <c r="SDX295" s="3"/>
      <c r="SDY295" s="3"/>
      <c r="SDZ295" s="3"/>
      <c r="SEA295" s="3"/>
      <c r="SEB295" s="3"/>
      <c r="SEC295" s="3"/>
      <c r="SED295" s="3"/>
      <c r="SEE295" s="3"/>
      <c r="SEF295" s="3"/>
      <c r="SEG295" s="3"/>
      <c r="SEH295" s="3"/>
      <c r="SEI295" s="3"/>
      <c r="SEJ295" s="3"/>
      <c r="SEK295" s="3"/>
      <c r="SEL295" s="3"/>
      <c r="SEM295" s="3"/>
      <c r="SEN295" s="3"/>
      <c r="SEO295" s="3"/>
      <c r="SEP295" s="3"/>
      <c r="SEQ295" s="3"/>
      <c r="SER295" s="3"/>
      <c r="SES295" s="3"/>
      <c r="SET295" s="3"/>
      <c r="SEU295" s="3"/>
      <c r="SEV295" s="3"/>
      <c r="SEW295" s="3"/>
      <c r="SEX295" s="3"/>
      <c r="SEY295" s="3"/>
      <c r="SEZ295" s="3"/>
      <c r="SFA295" s="3"/>
      <c r="SFB295" s="3"/>
      <c r="SFC295" s="3"/>
      <c r="SFD295" s="3"/>
      <c r="SFE295" s="3"/>
      <c r="SFF295" s="3"/>
      <c r="SFG295" s="3"/>
      <c r="SFH295" s="3"/>
      <c r="SFI295" s="3"/>
      <c r="SFJ295" s="3"/>
      <c r="SFK295" s="3"/>
      <c r="SFL295" s="3"/>
      <c r="SFM295" s="3"/>
      <c r="SFN295" s="3"/>
      <c r="SFO295" s="3"/>
      <c r="SFP295" s="3"/>
      <c r="SFQ295" s="3"/>
      <c r="SFR295" s="3"/>
      <c r="SFS295" s="3"/>
      <c r="SFT295" s="3"/>
      <c r="SFU295" s="3"/>
      <c r="SFV295" s="3"/>
      <c r="SFW295" s="3"/>
      <c r="SFX295" s="3"/>
      <c r="SFY295" s="3"/>
      <c r="SFZ295" s="3"/>
      <c r="SGA295" s="3"/>
      <c r="SGB295" s="3"/>
      <c r="SGC295" s="3"/>
      <c r="SGD295" s="3"/>
      <c r="SGE295" s="3"/>
      <c r="SGF295" s="3"/>
      <c r="SGG295" s="3"/>
      <c r="SGH295" s="3"/>
      <c r="SGI295" s="3"/>
      <c r="SGJ295" s="3"/>
      <c r="SGK295" s="3"/>
      <c r="SGL295" s="3"/>
      <c r="SGM295" s="3"/>
      <c r="SGN295" s="3"/>
      <c r="SGO295" s="3"/>
      <c r="SGP295" s="3"/>
      <c r="SGQ295" s="3"/>
      <c r="SGR295" s="3"/>
      <c r="SGS295" s="3"/>
      <c r="SGT295" s="3"/>
      <c r="SGU295" s="3"/>
      <c r="SGV295" s="3"/>
      <c r="SGW295" s="3"/>
      <c r="SGX295" s="3"/>
      <c r="SGY295" s="3"/>
      <c r="SGZ295" s="3"/>
      <c r="SHA295" s="3"/>
      <c r="SHB295" s="3"/>
      <c r="SHC295" s="3"/>
      <c r="SHD295" s="3"/>
      <c r="SHE295" s="3"/>
      <c r="SHF295" s="3"/>
      <c r="SHG295" s="3"/>
      <c r="SHH295" s="3"/>
      <c r="SHI295" s="3"/>
      <c r="SHJ295" s="3"/>
      <c r="SHK295" s="3"/>
      <c r="SHL295" s="3"/>
      <c r="SHM295" s="3"/>
      <c r="SHN295" s="3"/>
      <c r="SHO295" s="3"/>
      <c r="SHP295" s="3"/>
      <c r="SHQ295" s="3"/>
      <c r="SHR295" s="3"/>
      <c r="SHS295" s="3"/>
      <c r="SHT295" s="3"/>
      <c r="SHU295" s="3"/>
      <c r="SHV295" s="3"/>
      <c r="SHW295" s="3"/>
      <c r="SHX295" s="3"/>
      <c r="SHY295" s="3"/>
      <c r="SHZ295" s="3"/>
      <c r="SIA295" s="3"/>
      <c r="SIB295" s="3"/>
      <c r="SIC295" s="3"/>
      <c r="SID295" s="3"/>
      <c r="SIE295" s="3"/>
      <c r="SIF295" s="3"/>
      <c r="SIG295" s="3"/>
      <c r="SIH295" s="3"/>
      <c r="SII295" s="3"/>
      <c r="SIJ295" s="3"/>
      <c r="SIK295" s="3"/>
      <c r="SIL295" s="3"/>
      <c r="SIM295" s="3"/>
      <c r="SIN295" s="3"/>
      <c r="SIO295" s="3"/>
      <c r="SIP295" s="3"/>
      <c r="SIQ295" s="3"/>
      <c r="SIR295" s="3"/>
      <c r="SIS295" s="3"/>
      <c r="SIT295" s="3"/>
      <c r="SIU295" s="3"/>
      <c r="SIV295" s="3"/>
      <c r="SIW295" s="3"/>
      <c r="SIX295" s="3"/>
      <c r="SIY295" s="3"/>
      <c r="SIZ295" s="3"/>
      <c r="SJA295" s="3"/>
      <c r="SJB295" s="3"/>
      <c r="SJC295" s="3"/>
      <c r="SJD295" s="3"/>
      <c r="SJE295" s="3"/>
      <c r="SJF295" s="3"/>
      <c r="SJG295" s="3"/>
      <c r="SJH295" s="3"/>
      <c r="SJI295" s="3"/>
      <c r="SJJ295" s="3"/>
      <c r="SJK295" s="3"/>
      <c r="SJL295" s="3"/>
      <c r="SJM295" s="3"/>
      <c r="SJN295" s="3"/>
      <c r="SJO295" s="3"/>
      <c r="SJP295" s="3"/>
      <c r="SJQ295" s="3"/>
      <c r="SJR295" s="3"/>
      <c r="SJS295" s="3"/>
      <c r="SJT295" s="3"/>
      <c r="SJU295" s="3"/>
      <c r="SJV295" s="3"/>
      <c r="SJW295" s="3"/>
      <c r="SJX295" s="3"/>
      <c r="SJY295" s="3"/>
      <c r="SJZ295" s="3"/>
      <c r="SKA295" s="3"/>
      <c r="SKB295" s="3"/>
      <c r="SKC295" s="3"/>
      <c r="SKD295" s="3"/>
      <c r="SKE295" s="3"/>
      <c r="SKF295" s="3"/>
      <c r="SKG295" s="3"/>
      <c r="SKH295" s="3"/>
      <c r="SKI295" s="3"/>
      <c r="SKJ295" s="3"/>
      <c r="SKK295" s="3"/>
      <c r="SKL295" s="3"/>
      <c r="SKM295" s="3"/>
      <c r="SKN295" s="3"/>
      <c r="SKO295" s="3"/>
      <c r="SKP295" s="3"/>
      <c r="SKQ295" s="3"/>
      <c r="SKR295" s="3"/>
      <c r="SKS295" s="3"/>
      <c r="SKT295" s="3"/>
      <c r="SKU295" s="3"/>
      <c r="SKV295" s="3"/>
      <c r="SKW295" s="3"/>
      <c r="SKX295" s="3"/>
      <c r="SKY295" s="3"/>
      <c r="SKZ295" s="3"/>
      <c r="SLA295" s="3"/>
      <c r="SLB295" s="3"/>
      <c r="SLC295" s="3"/>
      <c r="SLD295" s="3"/>
      <c r="SLE295" s="3"/>
      <c r="SLF295" s="3"/>
      <c r="SLG295" s="3"/>
      <c r="SLH295" s="3"/>
      <c r="SLI295" s="3"/>
      <c r="SLJ295" s="3"/>
      <c r="SLK295" s="3"/>
      <c r="SLL295" s="3"/>
      <c r="SLM295" s="3"/>
      <c r="SLN295" s="3"/>
      <c r="SLO295" s="3"/>
      <c r="SLP295" s="3"/>
      <c r="SLQ295" s="3"/>
      <c r="SLR295" s="3"/>
      <c r="SLS295" s="3"/>
      <c r="SLT295" s="3"/>
      <c r="SLU295" s="3"/>
      <c r="SLV295" s="3"/>
      <c r="SLW295" s="3"/>
      <c r="SLX295" s="3"/>
      <c r="SLY295" s="3"/>
      <c r="SLZ295" s="3"/>
      <c r="SMA295" s="3"/>
      <c r="SMB295" s="3"/>
      <c r="SMC295" s="3"/>
      <c r="SMD295" s="3"/>
      <c r="SME295" s="3"/>
      <c r="SMF295" s="3"/>
      <c r="SMG295" s="3"/>
      <c r="SMH295" s="3"/>
      <c r="SMI295" s="3"/>
      <c r="SMJ295" s="3"/>
      <c r="SMK295" s="3"/>
      <c r="SML295" s="3"/>
      <c r="SMM295" s="3"/>
      <c r="SMN295" s="3"/>
      <c r="SMO295" s="3"/>
      <c r="SMP295" s="3"/>
      <c r="SMQ295" s="3"/>
      <c r="SMR295" s="3"/>
      <c r="SMS295" s="3"/>
      <c r="SMT295" s="3"/>
      <c r="SMU295" s="3"/>
      <c r="SMV295" s="3"/>
      <c r="SMW295" s="3"/>
      <c r="SMX295" s="3"/>
      <c r="SMY295" s="3"/>
      <c r="SMZ295" s="3"/>
      <c r="SNA295" s="3"/>
      <c r="SNB295" s="3"/>
      <c r="SNC295" s="3"/>
      <c r="SND295" s="3"/>
      <c r="SNE295" s="3"/>
      <c r="SNF295" s="3"/>
      <c r="SNG295" s="3"/>
      <c r="SNH295" s="3"/>
      <c r="SNI295" s="3"/>
      <c r="SNJ295" s="3"/>
      <c r="SNK295" s="3"/>
      <c r="SNL295" s="3"/>
      <c r="SNM295" s="3"/>
      <c r="SNN295" s="3"/>
      <c r="SNO295" s="3"/>
      <c r="SNP295" s="3"/>
      <c r="SNQ295" s="3"/>
      <c r="SNR295" s="3"/>
      <c r="SNS295" s="3"/>
      <c r="SNT295" s="3"/>
      <c r="SNU295" s="3"/>
      <c r="SNV295" s="3"/>
      <c r="SNW295" s="3"/>
      <c r="SNX295" s="3"/>
      <c r="SNY295" s="3"/>
      <c r="SNZ295" s="3"/>
      <c r="SOA295" s="3"/>
      <c r="SOB295" s="3"/>
      <c r="SOC295" s="3"/>
      <c r="SOD295" s="3"/>
      <c r="SOE295" s="3"/>
      <c r="SOF295" s="3"/>
      <c r="SOG295" s="3"/>
      <c r="SOH295" s="3"/>
      <c r="SOI295" s="3"/>
      <c r="SOJ295" s="3"/>
      <c r="SOK295" s="3"/>
      <c r="SOL295" s="3"/>
      <c r="SOM295" s="3"/>
      <c r="SON295" s="3"/>
      <c r="SOO295" s="3"/>
      <c r="SOP295" s="3"/>
      <c r="SOQ295" s="3"/>
      <c r="SOR295" s="3"/>
      <c r="SOS295" s="3"/>
      <c r="SOT295" s="3"/>
      <c r="SOU295" s="3"/>
      <c r="SOV295" s="3"/>
      <c r="SOW295" s="3"/>
      <c r="SOX295" s="3"/>
      <c r="SOY295" s="3"/>
      <c r="SOZ295" s="3"/>
      <c r="SPA295" s="3"/>
      <c r="SPB295" s="3"/>
      <c r="SPC295" s="3"/>
      <c r="SPD295" s="3"/>
      <c r="SPE295" s="3"/>
      <c r="SPF295" s="3"/>
      <c r="SPG295" s="3"/>
      <c r="SPH295" s="3"/>
      <c r="SPI295" s="3"/>
      <c r="SPJ295" s="3"/>
      <c r="SPK295" s="3"/>
      <c r="SPL295" s="3"/>
      <c r="SPM295" s="3"/>
      <c r="SPN295" s="3"/>
      <c r="SPO295" s="3"/>
      <c r="SPP295" s="3"/>
      <c r="SPQ295" s="3"/>
      <c r="SPR295" s="3"/>
      <c r="SPS295" s="3"/>
      <c r="SPT295" s="3"/>
      <c r="SPU295" s="3"/>
      <c r="SPV295" s="3"/>
      <c r="SPW295" s="3"/>
      <c r="SPX295" s="3"/>
      <c r="SPY295" s="3"/>
      <c r="SPZ295" s="3"/>
      <c r="SQA295" s="3"/>
      <c r="SQB295" s="3"/>
      <c r="SQC295" s="3"/>
      <c r="SQD295" s="3"/>
      <c r="SQE295" s="3"/>
      <c r="SQF295" s="3"/>
      <c r="SQG295" s="3"/>
      <c r="SQH295" s="3"/>
      <c r="SQI295" s="3"/>
      <c r="SQJ295" s="3"/>
      <c r="SQK295" s="3"/>
      <c r="SQL295" s="3"/>
      <c r="SQM295" s="3"/>
      <c r="SQN295" s="3"/>
      <c r="SQO295" s="3"/>
      <c r="SQP295" s="3"/>
      <c r="SQQ295" s="3"/>
      <c r="SQR295" s="3"/>
      <c r="SQS295" s="3"/>
      <c r="SQT295" s="3"/>
      <c r="SQU295" s="3"/>
      <c r="SQV295" s="3"/>
      <c r="SQW295" s="3"/>
      <c r="SQX295" s="3"/>
      <c r="SQY295" s="3"/>
      <c r="SQZ295" s="3"/>
      <c r="SRA295" s="3"/>
      <c r="SRB295" s="3"/>
      <c r="SRC295" s="3"/>
      <c r="SRD295" s="3"/>
      <c r="SRE295" s="3"/>
      <c r="SRF295" s="3"/>
      <c r="SRG295" s="3"/>
      <c r="SRH295" s="3"/>
      <c r="SRI295" s="3"/>
      <c r="SRJ295" s="3"/>
      <c r="SRK295" s="3"/>
      <c r="SRL295" s="3"/>
      <c r="SRM295" s="3"/>
      <c r="SRN295" s="3"/>
      <c r="SRO295" s="3"/>
      <c r="SRP295" s="3"/>
      <c r="SRQ295" s="3"/>
      <c r="SRR295" s="3"/>
      <c r="SRS295" s="3"/>
      <c r="SRT295" s="3"/>
      <c r="SRU295" s="3"/>
      <c r="SRV295" s="3"/>
      <c r="SRW295" s="3"/>
      <c r="SRX295" s="3"/>
      <c r="SRY295" s="3"/>
      <c r="SRZ295" s="3"/>
      <c r="SSA295" s="3"/>
      <c r="SSB295" s="3"/>
      <c r="SSC295" s="3"/>
      <c r="SSD295" s="3"/>
      <c r="SSE295" s="3"/>
      <c r="SSF295" s="3"/>
      <c r="SSG295" s="3"/>
      <c r="SSH295" s="3"/>
      <c r="SSI295" s="3"/>
      <c r="SSJ295" s="3"/>
      <c r="SSK295" s="3"/>
      <c r="SSL295" s="3"/>
      <c r="SSM295" s="3"/>
      <c r="SSN295" s="3"/>
      <c r="SSO295" s="3"/>
      <c r="SSP295" s="3"/>
      <c r="SSQ295" s="3"/>
      <c r="SSR295" s="3"/>
      <c r="SSS295" s="3"/>
      <c r="SST295" s="3"/>
      <c r="SSU295" s="3"/>
      <c r="SSV295" s="3"/>
      <c r="SSW295" s="3"/>
      <c r="SSX295" s="3"/>
      <c r="SSY295" s="3"/>
      <c r="SSZ295" s="3"/>
      <c r="STA295" s="3"/>
      <c r="STB295" s="3"/>
      <c r="STC295" s="3"/>
      <c r="STD295" s="3"/>
      <c r="STE295" s="3"/>
      <c r="STF295" s="3"/>
      <c r="STG295" s="3"/>
      <c r="STH295" s="3"/>
      <c r="STI295" s="3"/>
      <c r="STJ295" s="3"/>
      <c r="STK295" s="3"/>
      <c r="STL295" s="3"/>
      <c r="STM295" s="3"/>
      <c r="STN295" s="3"/>
      <c r="STO295" s="3"/>
      <c r="STP295" s="3"/>
      <c r="STQ295" s="3"/>
      <c r="STR295" s="3"/>
      <c r="STS295" s="3"/>
      <c r="STT295" s="3"/>
      <c r="STU295" s="3"/>
      <c r="STV295" s="3"/>
      <c r="STW295" s="3"/>
      <c r="STX295" s="3"/>
      <c r="STY295" s="3"/>
      <c r="STZ295" s="3"/>
      <c r="SUA295" s="3"/>
      <c r="SUB295" s="3"/>
      <c r="SUC295" s="3"/>
      <c r="SUD295" s="3"/>
      <c r="SUE295" s="3"/>
      <c r="SUF295" s="3"/>
      <c r="SUG295" s="3"/>
      <c r="SUH295" s="3"/>
      <c r="SUI295" s="3"/>
      <c r="SUJ295" s="3"/>
      <c r="SUK295" s="3"/>
      <c r="SUL295" s="3"/>
      <c r="SUM295" s="3"/>
      <c r="SUN295" s="3"/>
      <c r="SUO295" s="3"/>
      <c r="SUP295" s="3"/>
      <c r="SUQ295" s="3"/>
      <c r="SUR295" s="3"/>
      <c r="SUS295" s="3"/>
      <c r="SUT295" s="3"/>
      <c r="SUU295" s="3"/>
      <c r="SUV295" s="3"/>
      <c r="SUW295" s="3"/>
      <c r="SUX295" s="3"/>
      <c r="SUY295" s="3"/>
      <c r="SUZ295" s="3"/>
      <c r="SVA295" s="3"/>
      <c r="SVB295" s="3"/>
      <c r="SVC295" s="3"/>
      <c r="SVD295" s="3"/>
      <c r="SVE295" s="3"/>
      <c r="SVF295" s="3"/>
      <c r="SVG295" s="3"/>
      <c r="SVH295" s="3"/>
      <c r="SVI295" s="3"/>
      <c r="SVJ295" s="3"/>
      <c r="SVK295" s="3"/>
      <c r="SVL295" s="3"/>
      <c r="SVM295" s="3"/>
      <c r="SVN295" s="3"/>
      <c r="SVO295" s="3"/>
      <c r="SVP295" s="3"/>
      <c r="SVQ295" s="3"/>
      <c r="SVR295" s="3"/>
      <c r="SVS295" s="3"/>
      <c r="SVT295" s="3"/>
      <c r="SVU295" s="3"/>
      <c r="SVV295" s="3"/>
      <c r="SVW295" s="3"/>
      <c r="SVX295" s="3"/>
      <c r="SVY295" s="3"/>
      <c r="SVZ295" s="3"/>
      <c r="SWA295" s="3"/>
      <c r="SWB295" s="3"/>
      <c r="SWC295" s="3"/>
      <c r="SWD295" s="3"/>
      <c r="SWE295" s="3"/>
      <c r="SWF295" s="3"/>
      <c r="SWG295" s="3"/>
      <c r="SWH295" s="3"/>
      <c r="SWI295" s="3"/>
      <c r="SWJ295" s="3"/>
      <c r="SWK295" s="3"/>
      <c r="SWL295" s="3"/>
      <c r="SWM295" s="3"/>
      <c r="SWN295" s="3"/>
      <c r="SWO295" s="3"/>
      <c r="SWP295" s="3"/>
      <c r="SWQ295" s="3"/>
      <c r="SWR295" s="3"/>
      <c r="SWS295" s="3"/>
      <c r="SWT295" s="3"/>
      <c r="SWU295" s="3"/>
      <c r="SWV295" s="3"/>
      <c r="SWW295" s="3"/>
      <c r="SWX295" s="3"/>
      <c r="SWY295" s="3"/>
      <c r="SWZ295" s="3"/>
      <c r="SXA295" s="3"/>
      <c r="SXB295" s="3"/>
      <c r="SXC295" s="3"/>
      <c r="SXD295" s="3"/>
      <c r="SXE295" s="3"/>
      <c r="SXF295" s="3"/>
      <c r="SXG295" s="3"/>
      <c r="SXH295" s="3"/>
      <c r="SXI295" s="3"/>
      <c r="SXJ295" s="3"/>
      <c r="SXK295" s="3"/>
      <c r="SXL295" s="3"/>
      <c r="SXM295" s="3"/>
      <c r="SXN295" s="3"/>
      <c r="SXO295" s="3"/>
      <c r="SXP295" s="3"/>
      <c r="SXQ295" s="3"/>
      <c r="SXR295" s="3"/>
      <c r="SXS295" s="3"/>
      <c r="SXT295" s="3"/>
      <c r="SXU295" s="3"/>
      <c r="SXV295" s="3"/>
      <c r="SXW295" s="3"/>
      <c r="SXX295" s="3"/>
      <c r="SXY295" s="3"/>
      <c r="SXZ295" s="3"/>
      <c r="SYA295" s="3"/>
      <c r="SYB295" s="3"/>
      <c r="SYC295" s="3"/>
      <c r="SYD295" s="3"/>
      <c r="SYE295" s="3"/>
      <c r="SYF295" s="3"/>
      <c r="SYG295" s="3"/>
      <c r="SYH295" s="3"/>
      <c r="SYI295" s="3"/>
      <c r="SYJ295" s="3"/>
      <c r="SYK295" s="3"/>
      <c r="SYL295" s="3"/>
      <c r="SYM295" s="3"/>
      <c r="SYN295" s="3"/>
      <c r="SYO295" s="3"/>
      <c r="SYP295" s="3"/>
      <c r="SYQ295" s="3"/>
      <c r="SYR295" s="3"/>
      <c r="SYS295" s="3"/>
      <c r="SYT295" s="3"/>
      <c r="SYU295" s="3"/>
      <c r="SYV295" s="3"/>
      <c r="SYW295" s="3"/>
      <c r="SYX295" s="3"/>
      <c r="SYY295" s="3"/>
      <c r="SYZ295" s="3"/>
      <c r="SZA295" s="3"/>
      <c r="SZB295" s="3"/>
      <c r="SZC295" s="3"/>
      <c r="SZD295" s="3"/>
      <c r="SZE295" s="3"/>
      <c r="SZF295" s="3"/>
      <c r="SZG295" s="3"/>
      <c r="SZH295" s="3"/>
      <c r="SZI295" s="3"/>
      <c r="SZJ295" s="3"/>
      <c r="SZK295" s="3"/>
      <c r="SZL295" s="3"/>
      <c r="SZM295" s="3"/>
      <c r="SZN295" s="3"/>
      <c r="SZO295" s="3"/>
      <c r="SZP295" s="3"/>
      <c r="SZQ295" s="3"/>
      <c r="SZR295" s="3"/>
      <c r="SZS295" s="3"/>
      <c r="SZT295" s="3"/>
      <c r="SZU295" s="3"/>
      <c r="SZV295" s="3"/>
      <c r="SZW295" s="3"/>
      <c r="SZX295" s="3"/>
      <c r="SZY295" s="3"/>
      <c r="SZZ295" s="3"/>
      <c r="TAA295" s="3"/>
      <c r="TAB295" s="3"/>
      <c r="TAC295" s="3"/>
      <c r="TAD295" s="3"/>
      <c r="TAE295" s="3"/>
      <c r="TAF295" s="3"/>
      <c r="TAG295" s="3"/>
      <c r="TAH295" s="3"/>
      <c r="TAI295" s="3"/>
      <c r="TAJ295" s="3"/>
      <c r="TAK295" s="3"/>
      <c r="TAL295" s="3"/>
      <c r="TAM295" s="3"/>
      <c r="TAN295" s="3"/>
      <c r="TAO295" s="3"/>
      <c r="TAP295" s="3"/>
      <c r="TAQ295" s="3"/>
      <c r="TAR295" s="3"/>
      <c r="TAS295" s="3"/>
      <c r="TAT295" s="3"/>
      <c r="TAU295" s="3"/>
      <c r="TAV295" s="3"/>
      <c r="TAW295" s="3"/>
      <c r="TAX295" s="3"/>
      <c r="TAY295" s="3"/>
      <c r="TAZ295" s="3"/>
      <c r="TBA295" s="3"/>
      <c r="TBB295" s="3"/>
      <c r="TBC295" s="3"/>
      <c r="TBD295" s="3"/>
      <c r="TBE295" s="3"/>
      <c r="TBF295" s="3"/>
      <c r="TBG295" s="3"/>
      <c r="TBH295" s="3"/>
      <c r="TBI295" s="3"/>
      <c r="TBJ295" s="3"/>
      <c r="TBK295" s="3"/>
      <c r="TBL295" s="3"/>
      <c r="TBM295" s="3"/>
      <c r="TBN295" s="3"/>
      <c r="TBO295" s="3"/>
      <c r="TBP295" s="3"/>
      <c r="TBQ295" s="3"/>
      <c r="TBR295" s="3"/>
      <c r="TBS295" s="3"/>
      <c r="TBT295" s="3"/>
      <c r="TBU295" s="3"/>
      <c r="TBV295" s="3"/>
      <c r="TBW295" s="3"/>
      <c r="TBX295" s="3"/>
      <c r="TBY295" s="3"/>
      <c r="TBZ295" s="3"/>
      <c r="TCA295" s="3"/>
      <c r="TCB295" s="3"/>
      <c r="TCC295" s="3"/>
      <c r="TCD295" s="3"/>
      <c r="TCE295" s="3"/>
      <c r="TCF295" s="3"/>
      <c r="TCG295" s="3"/>
      <c r="TCH295" s="3"/>
      <c r="TCI295" s="3"/>
      <c r="TCJ295" s="3"/>
      <c r="TCK295" s="3"/>
      <c r="TCL295" s="3"/>
      <c r="TCM295" s="3"/>
      <c r="TCN295" s="3"/>
      <c r="TCO295" s="3"/>
      <c r="TCP295" s="3"/>
      <c r="TCQ295" s="3"/>
      <c r="TCR295" s="3"/>
      <c r="TCS295" s="3"/>
      <c r="TCT295" s="3"/>
      <c r="TCU295" s="3"/>
      <c r="TCV295" s="3"/>
      <c r="TCW295" s="3"/>
      <c r="TCX295" s="3"/>
      <c r="TCY295" s="3"/>
      <c r="TCZ295" s="3"/>
      <c r="TDA295" s="3"/>
      <c r="TDB295" s="3"/>
      <c r="TDC295" s="3"/>
      <c r="TDD295" s="3"/>
      <c r="TDE295" s="3"/>
      <c r="TDF295" s="3"/>
      <c r="TDG295" s="3"/>
      <c r="TDH295" s="3"/>
      <c r="TDI295" s="3"/>
      <c r="TDJ295" s="3"/>
      <c r="TDK295" s="3"/>
      <c r="TDL295" s="3"/>
      <c r="TDM295" s="3"/>
      <c r="TDN295" s="3"/>
      <c r="TDO295" s="3"/>
      <c r="TDP295" s="3"/>
      <c r="TDQ295" s="3"/>
      <c r="TDR295" s="3"/>
      <c r="TDS295" s="3"/>
      <c r="TDT295" s="3"/>
      <c r="TDU295" s="3"/>
      <c r="TDV295" s="3"/>
      <c r="TDW295" s="3"/>
      <c r="TDX295" s="3"/>
      <c r="TDY295" s="3"/>
      <c r="TDZ295" s="3"/>
      <c r="TEA295" s="3"/>
      <c r="TEB295" s="3"/>
      <c r="TEC295" s="3"/>
      <c r="TED295" s="3"/>
      <c r="TEE295" s="3"/>
      <c r="TEF295" s="3"/>
      <c r="TEG295" s="3"/>
      <c r="TEH295" s="3"/>
      <c r="TEI295" s="3"/>
      <c r="TEJ295" s="3"/>
      <c r="TEK295" s="3"/>
      <c r="TEL295" s="3"/>
      <c r="TEM295" s="3"/>
      <c r="TEN295" s="3"/>
      <c r="TEO295" s="3"/>
      <c r="TEP295" s="3"/>
      <c r="TEQ295" s="3"/>
      <c r="TER295" s="3"/>
      <c r="TES295" s="3"/>
      <c r="TET295" s="3"/>
      <c r="TEU295" s="3"/>
      <c r="TEV295" s="3"/>
      <c r="TEW295" s="3"/>
      <c r="TEX295" s="3"/>
      <c r="TEY295" s="3"/>
      <c r="TEZ295" s="3"/>
      <c r="TFA295" s="3"/>
      <c r="TFB295" s="3"/>
      <c r="TFC295" s="3"/>
      <c r="TFD295" s="3"/>
      <c r="TFE295" s="3"/>
      <c r="TFF295" s="3"/>
      <c r="TFG295" s="3"/>
      <c r="TFH295" s="3"/>
      <c r="TFI295" s="3"/>
      <c r="TFJ295" s="3"/>
      <c r="TFK295" s="3"/>
      <c r="TFL295" s="3"/>
      <c r="TFM295" s="3"/>
      <c r="TFN295" s="3"/>
      <c r="TFO295" s="3"/>
      <c r="TFP295" s="3"/>
      <c r="TFQ295" s="3"/>
      <c r="TFR295" s="3"/>
      <c r="TFS295" s="3"/>
      <c r="TFT295" s="3"/>
      <c r="TFU295" s="3"/>
      <c r="TFV295" s="3"/>
      <c r="TFW295" s="3"/>
      <c r="TFX295" s="3"/>
      <c r="TFY295" s="3"/>
      <c r="TFZ295" s="3"/>
      <c r="TGA295" s="3"/>
      <c r="TGB295" s="3"/>
      <c r="TGC295" s="3"/>
      <c r="TGD295" s="3"/>
      <c r="TGE295" s="3"/>
      <c r="TGF295" s="3"/>
      <c r="TGG295" s="3"/>
      <c r="TGH295" s="3"/>
      <c r="TGI295" s="3"/>
      <c r="TGJ295" s="3"/>
      <c r="TGK295" s="3"/>
      <c r="TGL295" s="3"/>
      <c r="TGM295" s="3"/>
      <c r="TGN295" s="3"/>
      <c r="TGO295" s="3"/>
      <c r="TGP295" s="3"/>
      <c r="TGQ295" s="3"/>
      <c r="TGR295" s="3"/>
      <c r="TGS295" s="3"/>
      <c r="TGT295" s="3"/>
      <c r="TGU295" s="3"/>
      <c r="TGV295" s="3"/>
      <c r="TGW295" s="3"/>
      <c r="TGX295" s="3"/>
      <c r="TGY295" s="3"/>
      <c r="TGZ295" s="3"/>
      <c r="THA295" s="3"/>
      <c r="THB295" s="3"/>
      <c r="THC295" s="3"/>
      <c r="THD295" s="3"/>
      <c r="THE295" s="3"/>
      <c r="THF295" s="3"/>
      <c r="THG295" s="3"/>
      <c r="THH295" s="3"/>
      <c r="THI295" s="3"/>
      <c r="THJ295" s="3"/>
      <c r="THK295" s="3"/>
      <c r="THL295" s="3"/>
      <c r="THM295" s="3"/>
      <c r="THN295" s="3"/>
      <c r="THO295" s="3"/>
      <c r="THP295" s="3"/>
      <c r="THQ295" s="3"/>
      <c r="THR295" s="3"/>
      <c r="THS295" s="3"/>
      <c r="THT295" s="3"/>
      <c r="THU295" s="3"/>
      <c r="THV295" s="3"/>
      <c r="THW295" s="3"/>
      <c r="THX295" s="3"/>
      <c r="THY295" s="3"/>
      <c r="THZ295" s="3"/>
      <c r="TIA295" s="3"/>
      <c r="TIB295" s="3"/>
      <c r="TIC295" s="3"/>
      <c r="TID295" s="3"/>
      <c r="TIE295" s="3"/>
      <c r="TIF295" s="3"/>
      <c r="TIG295" s="3"/>
      <c r="TIH295" s="3"/>
      <c r="TII295" s="3"/>
      <c r="TIJ295" s="3"/>
      <c r="TIK295" s="3"/>
      <c r="TIL295" s="3"/>
      <c r="TIM295" s="3"/>
      <c r="TIN295" s="3"/>
      <c r="TIO295" s="3"/>
      <c r="TIP295" s="3"/>
      <c r="TIQ295" s="3"/>
      <c r="TIR295" s="3"/>
      <c r="TIS295" s="3"/>
      <c r="TIT295" s="3"/>
      <c r="TIU295" s="3"/>
      <c r="TIV295" s="3"/>
      <c r="TIW295" s="3"/>
      <c r="TIX295" s="3"/>
      <c r="TIY295" s="3"/>
      <c r="TIZ295" s="3"/>
      <c r="TJA295" s="3"/>
      <c r="TJB295" s="3"/>
      <c r="TJC295" s="3"/>
      <c r="TJD295" s="3"/>
      <c r="TJE295" s="3"/>
      <c r="TJF295" s="3"/>
      <c r="TJG295" s="3"/>
      <c r="TJH295" s="3"/>
      <c r="TJI295" s="3"/>
      <c r="TJJ295" s="3"/>
      <c r="TJK295" s="3"/>
      <c r="TJL295" s="3"/>
      <c r="TJM295" s="3"/>
      <c r="TJN295" s="3"/>
      <c r="TJO295" s="3"/>
      <c r="TJP295" s="3"/>
      <c r="TJQ295" s="3"/>
      <c r="TJR295" s="3"/>
      <c r="TJS295" s="3"/>
      <c r="TJT295" s="3"/>
      <c r="TJU295" s="3"/>
      <c r="TJV295" s="3"/>
      <c r="TJW295" s="3"/>
      <c r="TJX295" s="3"/>
      <c r="TJY295" s="3"/>
      <c r="TJZ295" s="3"/>
      <c r="TKA295" s="3"/>
      <c r="TKB295" s="3"/>
      <c r="TKC295" s="3"/>
      <c r="TKD295" s="3"/>
      <c r="TKE295" s="3"/>
      <c r="TKF295" s="3"/>
      <c r="TKG295" s="3"/>
      <c r="TKH295" s="3"/>
      <c r="TKI295" s="3"/>
      <c r="TKJ295" s="3"/>
      <c r="TKK295" s="3"/>
      <c r="TKL295" s="3"/>
      <c r="TKM295" s="3"/>
      <c r="TKN295" s="3"/>
      <c r="TKO295" s="3"/>
      <c r="TKP295" s="3"/>
      <c r="TKQ295" s="3"/>
      <c r="TKR295" s="3"/>
      <c r="TKS295" s="3"/>
      <c r="TKT295" s="3"/>
      <c r="TKU295" s="3"/>
      <c r="TKV295" s="3"/>
      <c r="TKW295" s="3"/>
      <c r="TKX295" s="3"/>
      <c r="TKY295" s="3"/>
      <c r="TKZ295" s="3"/>
      <c r="TLA295" s="3"/>
      <c r="TLB295" s="3"/>
      <c r="TLC295" s="3"/>
      <c r="TLD295" s="3"/>
      <c r="TLE295" s="3"/>
      <c r="TLF295" s="3"/>
      <c r="TLG295" s="3"/>
      <c r="TLH295" s="3"/>
      <c r="TLI295" s="3"/>
      <c r="TLJ295" s="3"/>
      <c r="TLK295" s="3"/>
      <c r="TLL295" s="3"/>
      <c r="TLM295" s="3"/>
      <c r="TLN295" s="3"/>
      <c r="TLO295" s="3"/>
      <c r="TLP295" s="3"/>
      <c r="TLQ295" s="3"/>
      <c r="TLR295" s="3"/>
      <c r="TLS295" s="3"/>
      <c r="TLT295" s="3"/>
      <c r="TLU295" s="3"/>
      <c r="TLV295" s="3"/>
      <c r="TLW295" s="3"/>
      <c r="TLX295" s="3"/>
      <c r="TLY295" s="3"/>
      <c r="TLZ295" s="3"/>
      <c r="TMA295" s="3"/>
      <c r="TMB295" s="3"/>
      <c r="TMC295" s="3"/>
      <c r="TMD295" s="3"/>
      <c r="TME295" s="3"/>
      <c r="TMF295" s="3"/>
      <c r="TMG295" s="3"/>
      <c r="TMH295" s="3"/>
      <c r="TMI295" s="3"/>
      <c r="TMJ295" s="3"/>
      <c r="TMK295" s="3"/>
      <c r="TML295" s="3"/>
      <c r="TMM295" s="3"/>
      <c r="TMN295" s="3"/>
      <c r="TMO295" s="3"/>
      <c r="TMP295" s="3"/>
      <c r="TMQ295" s="3"/>
      <c r="TMR295" s="3"/>
      <c r="TMS295" s="3"/>
      <c r="TMT295" s="3"/>
      <c r="TMU295" s="3"/>
      <c r="TMV295" s="3"/>
      <c r="TMW295" s="3"/>
      <c r="TMX295" s="3"/>
      <c r="TMY295" s="3"/>
      <c r="TMZ295" s="3"/>
      <c r="TNA295" s="3"/>
      <c r="TNB295" s="3"/>
      <c r="TNC295" s="3"/>
      <c r="TND295" s="3"/>
      <c r="TNE295" s="3"/>
      <c r="TNF295" s="3"/>
      <c r="TNG295" s="3"/>
      <c r="TNH295" s="3"/>
      <c r="TNI295" s="3"/>
      <c r="TNJ295" s="3"/>
      <c r="TNK295" s="3"/>
      <c r="TNL295" s="3"/>
      <c r="TNM295" s="3"/>
      <c r="TNN295" s="3"/>
      <c r="TNO295" s="3"/>
      <c r="TNP295" s="3"/>
      <c r="TNQ295" s="3"/>
      <c r="TNR295" s="3"/>
      <c r="TNS295" s="3"/>
      <c r="TNT295" s="3"/>
      <c r="TNU295" s="3"/>
      <c r="TNV295" s="3"/>
      <c r="TNW295" s="3"/>
      <c r="TNX295" s="3"/>
      <c r="TNY295" s="3"/>
      <c r="TNZ295" s="3"/>
      <c r="TOA295" s="3"/>
      <c r="TOB295" s="3"/>
      <c r="TOC295" s="3"/>
      <c r="TOD295" s="3"/>
      <c r="TOE295" s="3"/>
      <c r="TOF295" s="3"/>
      <c r="TOG295" s="3"/>
      <c r="TOH295" s="3"/>
      <c r="TOI295" s="3"/>
      <c r="TOJ295" s="3"/>
      <c r="TOK295" s="3"/>
      <c r="TOL295" s="3"/>
      <c r="TOM295" s="3"/>
      <c r="TON295" s="3"/>
      <c r="TOO295" s="3"/>
      <c r="TOP295" s="3"/>
      <c r="TOQ295" s="3"/>
      <c r="TOR295" s="3"/>
      <c r="TOS295" s="3"/>
      <c r="TOT295" s="3"/>
      <c r="TOU295" s="3"/>
      <c r="TOV295" s="3"/>
      <c r="TOW295" s="3"/>
      <c r="TOX295" s="3"/>
      <c r="TOY295" s="3"/>
      <c r="TOZ295" s="3"/>
      <c r="TPA295" s="3"/>
      <c r="TPB295" s="3"/>
      <c r="TPC295" s="3"/>
      <c r="TPD295" s="3"/>
      <c r="TPE295" s="3"/>
      <c r="TPF295" s="3"/>
      <c r="TPG295" s="3"/>
      <c r="TPH295" s="3"/>
      <c r="TPI295" s="3"/>
      <c r="TPJ295" s="3"/>
      <c r="TPK295" s="3"/>
      <c r="TPL295" s="3"/>
      <c r="TPM295" s="3"/>
      <c r="TPN295" s="3"/>
      <c r="TPO295" s="3"/>
      <c r="TPP295" s="3"/>
      <c r="TPQ295" s="3"/>
      <c r="TPR295" s="3"/>
      <c r="TPS295" s="3"/>
      <c r="TPT295" s="3"/>
      <c r="TPU295" s="3"/>
      <c r="TPV295" s="3"/>
      <c r="TPW295" s="3"/>
      <c r="TPX295" s="3"/>
      <c r="TPY295" s="3"/>
      <c r="TPZ295" s="3"/>
      <c r="TQA295" s="3"/>
      <c r="TQB295" s="3"/>
      <c r="TQC295" s="3"/>
      <c r="TQD295" s="3"/>
      <c r="TQE295" s="3"/>
      <c r="TQF295" s="3"/>
      <c r="TQG295" s="3"/>
      <c r="TQH295" s="3"/>
      <c r="TQI295" s="3"/>
      <c r="TQJ295" s="3"/>
      <c r="TQK295" s="3"/>
      <c r="TQL295" s="3"/>
      <c r="TQM295" s="3"/>
      <c r="TQN295" s="3"/>
      <c r="TQO295" s="3"/>
      <c r="TQP295" s="3"/>
      <c r="TQQ295" s="3"/>
      <c r="TQR295" s="3"/>
      <c r="TQS295" s="3"/>
      <c r="TQT295" s="3"/>
      <c r="TQU295" s="3"/>
      <c r="TQV295" s="3"/>
      <c r="TQW295" s="3"/>
      <c r="TQX295" s="3"/>
      <c r="TQY295" s="3"/>
      <c r="TQZ295" s="3"/>
      <c r="TRA295" s="3"/>
      <c r="TRB295" s="3"/>
      <c r="TRC295" s="3"/>
      <c r="TRD295" s="3"/>
      <c r="TRE295" s="3"/>
      <c r="TRF295" s="3"/>
      <c r="TRG295" s="3"/>
      <c r="TRH295" s="3"/>
      <c r="TRI295" s="3"/>
      <c r="TRJ295" s="3"/>
      <c r="TRK295" s="3"/>
      <c r="TRL295" s="3"/>
      <c r="TRM295" s="3"/>
      <c r="TRN295" s="3"/>
      <c r="TRO295" s="3"/>
      <c r="TRP295" s="3"/>
      <c r="TRQ295" s="3"/>
      <c r="TRR295" s="3"/>
      <c r="TRS295" s="3"/>
      <c r="TRT295" s="3"/>
      <c r="TRU295" s="3"/>
      <c r="TRV295" s="3"/>
      <c r="TRW295" s="3"/>
      <c r="TRX295" s="3"/>
      <c r="TRY295" s="3"/>
      <c r="TRZ295" s="3"/>
      <c r="TSA295" s="3"/>
      <c r="TSB295" s="3"/>
      <c r="TSC295" s="3"/>
      <c r="TSD295" s="3"/>
      <c r="TSE295" s="3"/>
      <c r="TSF295" s="3"/>
      <c r="TSG295" s="3"/>
      <c r="TSH295" s="3"/>
      <c r="TSI295" s="3"/>
      <c r="TSJ295" s="3"/>
      <c r="TSK295" s="3"/>
      <c r="TSL295" s="3"/>
      <c r="TSM295" s="3"/>
      <c r="TSN295" s="3"/>
      <c r="TSO295" s="3"/>
      <c r="TSP295" s="3"/>
      <c r="TSQ295" s="3"/>
      <c r="TSR295" s="3"/>
      <c r="TSS295" s="3"/>
      <c r="TST295" s="3"/>
      <c r="TSU295" s="3"/>
      <c r="TSV295" s="3"/>
      <c r="TSW295" s="3"/>
      <c r="TSX295" s="3"/>
      <c r="TSY295" s="3"/>
      <c r="TSZ295" s="3"/>
      <c r="TTA295" s="3"/>
      <c r="TTB295" s="3"/>
      <c r="TTC295" s="3"/>
      <c r="TTD295" s="3"/>
      <c r="TTE295" s="3"/>
      <c r="TTF295" s="3"/>
      <c r="TTG295" s="3"/>
      <c r="TTH295" s="3"/>
      <c r="TTI295" s="3"/>
      <c r="TTJ295" s="3"/>
      <c r="TTK295" s="3"/>
      <c r="TTL295" s="3"/>
      <c r="TTM295" s="3"/>
      <c r="TTN295" s="3"/>
      <c r="TTO295" s="3"/>
      <c r="TTP295" s="3"/>
      <c r="TTQ295" s="3"/>
      <c r="TTR295" s="3"/>
      <c r="TTS295" s="3"/>
      <c r="TTT295" s="3"/>
      <c r="TTU295" s="3"/>
      <c r="TTV295" s="3"/>
      <c r="TTW295" s="3"/>
      <c r="TTX295" s="3"/>
      <c r="TTY295" s="3"/>
      <c r="TTZ295" s="3"/>
      <c r="TUA295" s="3"/>
      <c r="TUB295" s="3"/>
      <c r="TUC295" s="3"/>
      <c r="TUD295" s="3"/>
      <c r="TUE295" s="3"/>
      <c r="TUF295" s="3"/>
      <c r="TUG295" s="3"/>
      <c r="TUH295" s="3"/>
      <c r="TUI295" s="3"/>
      <c r="TUJ295" s="3"/>
      <c r="TUK295" s="3"/>
      <c r="TUL295" s="3"/>
      <c r="TUM295" s="3"/>
      <c r="TUN295" s="3"/>
      <c r="TUO295" s="3"/>
      <c r="TUP295" s="3"/>
      <c r="TUQ295" s="3"/>
      <c r="TUR295" s="3"/>
      <c r="TUS295" s="3"/>
      <c r="TUT295" s="3"/>
      <c r="TUU295" s="3"/>
      <c r="TUV295" s="3"/>
      <c r="TUW295" s="3"/>
      <c r="TUX295" s="3"/>
      <c r="TUY295" s="3"/>
      <c r="TUZ295" s="3"/>
      <c r="TVA295" s="3"/>
      <c r="TVB295" s="3"/>
      <c r="TVC295" s="3"/>
      <c r="TVD295" s="3"/>
      <c r="TVE295" s="3"/>
      <c r="TVF295" s="3"/>
      <c r="TVG295" s="3"/>
      <c r="TVH295" s="3"/>
      <c r="TVI295" s="3"/>
      <c r="TVJ295" s="3"/>
      <c r="TVK295" s="3"/>
      <c r="TVL295" s="3"/>
      <c r="TVM295" s="3"/>
      <c r="TVN295" s="3"/>
      <c r="TVO295" s="3"/>
      <c r="TVP295" s="3"/>
      <c r="TVQ295" s="3"/>
      <c r="TVR295" s="3"/>
      <c r="TVS295" s="3"/>
      <c r="TVT295" s="3"/>
      <c r="TVU295" s="3"/>
      <c r="TVV295" s="3"/>
      <c r="TVW295" s="3"/>
      <c r="TVX295" s="3"/>
      <c r="TVY295" s="3"/>
      <c r="TVZ295" s="3"/>
      <c r="TWA295" s="3"/>
      <c r="TWB295" s="3"/>
      <c r="TWC295" s="3"/>
      <c r="TWD295" s="3"/>
      <c r="TWE295" s="3"/>
      <c r="TWF295" s="3"/>
      <c r="TWG295" s="3"/>
      <c r="TWH295" s="3"/>
      <c r="TWI295" s="3"/>
      <c r="TWJ295" s="3"/>
      <c r="TWK295" s="3"/>
      <c r="TWL295" s="3"/>
      <c r="TWM295" s="3"/>
      <c r="TWN295" s="3"/>
      <c r="TWO295" s="3"/>
      <c r="TWP295" s="3"/>
      <c r="TWQ295" s="3"/>
      <c r="TWR295" s="3"/>
      <c r="TWS295" s="3"/>
      <c r="TWT295" s="3"/>
      <c r="TWU295" s="3"/>
      <c r="TWV295" s="3"/>
      <c r="TWW295" s="3"/>
      <c r="TWX295" s="3"/>
      <c r="TWY295" s="3"/>
      <c r="TWZ295" s="3"/>
      <c r="TXA295" s="3"/>
      <c r="TXB295" s="3"/>
      <c r="TXC295" s="3"/>
      <c r="TXD295" s="3"/>
      <c r="TXE295" s="3"/>
      <c r="TXF295" s="3"/>
      <c r="TXG295" s="3"/>
      <c r="TXH295" s="3"/>
      <c r="TXI295" s="3"/>
      <c r="TXJ295" s="3"/>
      <c r="TXK295" s="3"/>
      <c r="TXL295" s="3"/>
      <c r="TXM295" s="3"/>
      <c r="TXN295" s="3"/>
      <c r="TXO295" s="3"/>
      <c r="TXP295" s="3"/>
      <c r="TXQ295" s="3"/>
      <c r="TXR295" s="3"/>
      <c r="TXS295" s="3"/>
      <c r="TXT295" s="3"/>
      <c r="TXU295" s="3"/>
      <c r="TXV295" s="3"/>
      <c r="TXW295" s="3"/>
      <c r="TXX295" s="3"/>
      <c r="TXY295" s="3"/>
      <c r="TXZ295" s="3"/>
      <c r="TYA295" s="3"/>
      <c r="TYB295" s="3"/>
      <c r="TYC295" s="3"/>
      <c r="TYD295" s="3"/>
      <c r="TYE295" s="3"/>
      <c r="TYF295" s="3"/>
      <c r="TYG295" s="3"/>
      <c r="TYH295" s="3"/>
      <c r="TYI295" s="3"/>
      <c r="TYJ295" s="3"/>
      <c r="TYK295" s="3"/>
      <c r="TYL295" s="3"/>
      <c r="TYM295" s="3"/>
      <c r="TYN295" s="3"/>
      <c r="TYO295" s="3"/>
      <c r="TYP295" s="3"/>
      <c r="TYQ295" s="3"/>
      <c r="TYR295" s="3"/>
      <c r="TYS295" s="3"/>
      <c r="TYT295" s="3"/>
      <c r="TYU295" s="3"/>
      <c r="TYV295" s="3"/>
      <c r="TYW295" s="3"/>
      <c r="TYX295" s="3"/>
      <c r="TYY295" s="3"/>
      <c r="TYZ295" s="3"/>
      <c r="TZA295" s="3"/>
      <c r="TZB295" s="3"/>
      <c r="TZC295" s="3"/>
      <c r="TZD295" s="3"/>
      <c r="TZE295" s="3"/>
      <c r="TZF295" s="3"/>
      <c r="TZG295" s="3"/>
      <c r="TZH295" s="3"/>
      <c r="TZI295" s="3"/>
      <c r="TZJ295" s="3"/>
      <c r="TZK295" s="3"/>
      <c r="TZL295" s="3"/>
      <c r="TZM295" s="3"/>
      <c r="TZN295" s="3"/>
      <c r="TZO295" s="3"/>
      <c r="TZP295" s="3"/>
      <c r="TZQ295" s="3"/>
      <c r="TZR295" s="3"/>
      <c r="TZS295" s="3"/>
      <c r="TZT295" s="3"/>
      <c r="TZU295" s="3"/>
      <c r="TZV295" s="3"/>
      <c r="TZW295" s="3"/>
      <c r="TZX295" s="3"/>
      <c r="TZY295" s="3"/>
      <c r="TZZ295" s="3"/>
      <c r="UAA295" s="3"/>
      <c r="UAB295" s="3"/>
      <c r="UAC295" s="3"/>
      <c r="UAD295" s="3"/>
      <c r="UAE295" s="3"/>
      <c r="UAF295" s="3"/>
      <c r="UAG295" s="3"/>
      <c r="UAH295" s="3"/>
      <c r="UAI295" s="3"/>
      <c r="UAJ295" s="3"/>
      <c r="UAK295" s="3"/>
      <c r="UAL295" s="3"/>
      <c r="UAM295" s="3"/>
      <c r="UAN295" s="3"/>
      <c r="UAO295" s="3"/>
      <c r="UAP295" s="3"/>
      <c r="UAQ295" s="3"/>
      <c r="UAR295" s="3"/>
      <c r="UAS295" s="3"/>
      <c r="UAT295" s="3"/>
      <c r="UAU295" s="3"/>
      <c r="UAV295" s="3"/>
      <c r="UAW295" s="3"/>
      <c r="UAX295" s="3"/>
      <c r="UAY295" s="3"/>
      <c r="UAZ295" s="3"/>
      <c r="UBA295" s="3"/>
      <c r="UBB295" s="3"/>
      <c r="UBC295" s="3"/>
      <c r="UBD295" s="3"/>
      <c r="UBE295" s="3"/>
      <c r="UBF295" s="3"/>
      <c r="UBG295" s="3"/>
      <c r="UBH295" s="3"/>
      <c r="UBI295" s="3"/>
      <c r="UBJ295" s="3"/>
      <c r="UBK295" s="3"/>
      <c r="UBL295" s="3"/>
      <c r="UBM295" s="3"/>
      <c r="UBN295" s="3"/>
      <c r="UBO295" s="3"/>
      <c r="UBP295" s="3"/>
      <c r="UBQ295" s="3"/>
      <c r="UBR295" s="3"/>
      <c r="UBS295" s="3"/>
      <c r="UBT295" s="3"/>
      <c r="UBU295" s="3"/>
      <c r="UBV295" s="3"/>
      <c r="UBW295" s="3"/>
      <c r="UBX295" s="3"/>
      <c r="UBY295" s="3"/>
      <c r="UBZ295" s="3"/>
      <c r="UCA295" s="3"/>
      <c r="UCB295" s="3"/>
      <c r="UCC295" s="3"/>
      <c r="UCD295" s="3"/>
      <c r="UCE295" s="3"/>
      <c r="UCF295" s="3"/>
      <c r="UCG295" s="3"/>
      <c r="UCH295" s="3"/>
      <c r="UCI295" s="3"/>
      <c r="UCJ295" s="3"/>
      <c r="UCK295" s="3"/>
      <c r="UCL295" s="3"/>
      <c r="UCM295" s="3"/>
      <c r="UCN295" s="3"/>
      <c r="UCO295" s="3"/>
      <c r="UCP295" s="3"/>
      <c r="UCQ295" s="3"/>
      <c r="UCR295" s="3"/>
      <c r="UCS295" s="3"/>
      <c r="UCT295" s="3"/>
      <c r="UCU295" s="3"/>
      <c r="UCV295" s="3"/>
      <c r="UCW295" s="3"/>
      <c r="UCX295" s="3"/>
      <c r="UCY295" s="3"/>
      <c r="UCZ295" s="3"/>
      <c r="UDA295" s="3"/>
      <c r="UDB295" s="3"/>
      <c r="UDC295" s="3"/>
      <c r="UDD295" s="3"/>
      <c r="UDE295" s="3"/>
      <c r="UDF295" s="3"/>
      <c r="UDG295" s="3"/>
      <c r="UDH295" s="3"/>
      <c r="UDI295" s="3"/>
      <c r="UDJ295" s="3"/>
      <c r="UDK295" s="3"/>
      <c r="UDL295" s="3"/>
      <c r="UDM295" s="3"/>
      <c r="UDN295" s="3"/>
      <c r="UDO295" s="3"/>
      <c r="UDP295" s="3"/>
      <c r="UDQ295" s="3"/>
      <c r="UDR295" s="3"/>
      <c r="UDS295" s="3"/>
      <c r="UDT295" s="3"/>
      <c r="UDU295" s="3"/>
      <c r="UDV295" s="3"/>
      <c r="UDW295" s="3"/>
      <c r="UDX295" s="3"/>
      <c r="UDY295" s="3"/>
      <c r="UDZ295" s="3"/>
      <c r="UEA295" s="3"/>
      <c r="UEB295" s="3"/>
      <c r="UEC295" s="3"/>
      <c r="UED295" s="3"/>
      <c r="UEE295" s="3"/>
      <c r="UEF295" s="3"/>
      <c r="UEG295" s="3"/>
      <c r="UEH295" s="3"/>
      <c r="UEI295" s="3"/>
      <c r="UEJ295" s="3"/>
      <c r="UEK295" s="3"/>
      <c r="UEL295" s="3"/>
      <c r="UEM295" s="3"/>
      <c r="UEN295" s="3"/>
      <c r="UEO295" s="3"/>
      <c r="UEP295" s="3"/>
      <c r="UEQ295" s="3"/>
      <c r="UER295" s="3"/>
      <c r="UES295" s="3"/>
      <c r="UET295" s="3"/>
      <c r="UEU295" s="3"/>
      <c r="UEV295" s="3"/>
      <c r="UEW295" s="3"/>
      <c r="UEX295" s="3"/>
      <c r="UEY295" s="3"/>
      <c r="UEZ295" s="3"/>
      <c r="UFA295" s="3"/>
      <c r="UFB295" s="3"/>
      <c r="UFC295" s="3"/>
      <c r="UFD295" s="3"/>
      <c r="UFE295" s="3"/>
      <c r="UFF295" s="3"/>
      <c r="UFG295" s="3"/>
      <c r="UFH295" s="3"/>
      <c r="UFI295" s="3"/>
      <c r="UFJ295" s="3"/>
      <c r="UFK295" s="3"/>
      <c r="UFL295" s="3"/>
      <c r="UFM295" s="3"/>
      <c r="UFN295" s="3"/>
      <c r="UFO295" s="3"/>
      <c r="UFP295" s="3"/>
      <c r="UFQ295" s="3"/>
      <c r="UFR295" s="3"/>
      <c r="UFS295" s="3"/>
      <c r="UFT295" s="3"/>
      <c r="UFU295" s="3"/>
      <c r="UFV295" s="3"/>
      <c r="UFW295" s="3"/>
      <c r="UFX295" s="3"/>
      <c r="UFY295" s="3"/>
      <c r="UFZ295" s="3"/>
      <c r="UGA295" s="3"/>
      <c r="UGB295" s="3"/>
      <c r="UGC295" s="3"/>
      <c r="UGD295" s="3"/>
      <c r="UGE295" s="3"/>
      <c r="UGF295" s="3"/>
      <c r="UGG295" s="3"/>
      <c r="UGH295" s="3"/>
      <c r="UGI295" s="3"/>
      <c r="UGJ295" s="3"/>
      <c r="UGK295" s="3"/>
      <c r="UGL295" s="3"/>
      <c r="UGM295" s="3"/>
      <c r="UGN295" s="3"/>
      <c r="UGO295" s="3"/>
      <c r="UGP295" s="3"/>
      <c r="UGQ295" s="3"/>
      <c r="UGR295" s="3"/>
      <c r="UGS295" s="3"/>
      <c r="UGT295" s="3"/>
      <c r="UGU295" s="3"/>
      <c r="UGV295" s="3"/>
      <c r="UGW295" s="3"/>
      <c r="UGX295" s="3"/>
      <c r="UGY295" s="3"/>
      <c r="UGZ295" s="3"/>
      <c r="UHA295" s="3"/>
      <c r="UHB295" s="3"/>
      <c r="UHC295" s="3"/>
      <c r="UHD295" s="3"/>
      <c r="UHE295" s="3"/>
      <c r="UHF295" s="3"/>
      <c r="UHG295" s="3"/>
      <c r="UHH295" s="3"/>
      <c r="UHI295" s="3"/>
      <c r="UHJ295" s="3"/>
      <c r="UHK295" s="3"/>
      <c r="UHL295" s="3"/>
      <c r="UHM295" s="3"/>
      <c r="UHN295" s="3"/>
      <c r="UHO295" s="3"/>
      <c r="UHP295" s="3"/>
      <c r="UHQ295" s="3"/>
      <c r="UHR295" s="3"/>
      <c r="UHS295" s="3"/>
      <c r="UHT295" s="3"/>
      <c r="UHU295" s="3"/>
      <c r="UHV295" s="3"/>
      <c r="UHW295" s="3"/>
      <c r="UHX295" s="3"/>
      <c r="UHY295" s="3"/>
      <c r="UHZ295" s="3"/>
      <c r="UIA295" s="3"/>
      <c r="UIB295" s="3"/>
      <c r="UIC295" s="3"/>
      <c r="UID295" s="3"/>
      <c r="UIE295" s="3"/>
      <c r="UIF295" s="3"/>
      <c r="UIG295" s="3"/>
      <c r="UIH295" s="3"/>
      <c r="UII295" s="3"/>
      <c r="UIJ295" s="3"/>
      <c r="UIK295" s="3"/>
      <c r="UIL295" s="3"/>
      <c r="UIM295" s="3"/>
      <c r="UIN295" s="3"/>
      <c r="UIO295" s="3"/>
      <c r="UIP295" s="3"/>
      <c r="UIQ295" s="3"/>
      <c r="UIR295" s="3"/>
      <c r="UIS295" s="3"/>
      <c r="UIT295" s="3"/>
      <c r="UIU295" s="3"/>
      <c r="UIV295" s="3"/>
      <c r="UIW295" s="3"/>
      <c r="UIX295" s="3"/>
      <c r="UIY295" s="3"/>
      <c r="UIZ295" s="3"/>
      <c r="UJA295" s="3"/>
      <c r="UJB295" s="3"/>
      <c r="UJC295" s="3"/>
      <c r="UJD295" s="3"/>
      <c r="UJE295" s="3"/>
      <c r="UJF295" s="3"/>
      <c r="UJG295" s="3"/>
      <c r="UJH295" s="3"/>
      <c r="UJI295" s="3"/>
      <c r="UJJ295" s="3"/>
      <c r="UJK295" s="3"/>
      <c r="UJL295" s="3"/>
      <c r="UJM295" s="3"/>
      <c r="UJN295" s="3"/>
      <c r="UJO295" s="3"/>
      <c r="UJP295" s="3"/>
      <c r="UJQ295" s="3"/>
      <c r="UJR295" s="3"/>
      <c r="UJS295" s="3"/>
      <c r="UJT295" s="3"/>
      <c r="UJU295" s="3"/>
      <c r="UJV295" s="3"/>
      <c r="UJW295" s="3"/>
      <c r="UJX295" s="3"/>
      <c r="UJY295" s="3"/>
      <c r="UJZ295" s="3"/>
      <c r="UKA295" s="3"/>
      <c r="UKB295" s="3"/>
      <c r="UKC295" s="3"/>
      <c r="UKD295" s="3"/>
      <c r="UKE295" s="3"/>
      <c r="UKF295" s="3"/>
      <c r="UKG295" s="3"/>
      <c r="UKH295" s="3"/>
      <c r="UKI295" s="3"/>
      <c r="UKJ295" s="3"/>
      <c r="UKK295" s="3"/>
      <c r="UKL295" s="3"/>
      <c r="UKM295" s="3"/>
      <c r="UKN295" s="3"/>
      <c r="UKO295" s="3"/>
      <c r="UKP295" s="3"/>
      <c r="UKQ295" s="3"/>
      <c r="UKR295" s="3"/>
      <c r="UKS295" s="3"/>
      <c r="UKT295" s="3"/>
      <c r="UKU295" s="3"/>
      <c r="UKV295" s="3"/>
      <c r="UKW295" s="3"/>
      <c r="UKX295" s="3"/>
      <c r="UKY295" s="3"/>
      <c r="UKZ295" s="3"/>
      <c r="ULA295" s="3"/>
      <c r="ULB295" s="3"/>
      <c r="ULC295" s="3"/>
      <c r="ULD295" s="3"/>
      <c r="ULE295" s="3"/>
      <c r="ULF295" s="3"/>
      <c r="ULG295" s="3"/>
      <c r="ULH295" s="3"/>
      <c r="ULI295" s="3"/>
      <c r="ULJ295" s="3"/>
      <c r="ULK295" s="3"/>
      <c r="ULL295" s="3"/>
      <c r="ULM295" s="3"/>
      <c r="ULN295" s="3"/>
      <c r="ULO295" s="3"/>
      <c r="ULP295" s="3"/>
      <c r="ULQ295" s="3"/>
      <c r="ULR295" s="3"/>
      <c r="ULS295" s="3"/>
      <c r="ULT295" s="3"/>
      <c r="ULU295" s="3"/>
      <c r="ULV295" s="3"/>
      <c r="ULW295" s="3"/>
      <c r="ULX295" s="3"/>
      <c r="ULY295" s="3"/>
      <c r="ULZ295" s="3"/>
      <c r="UMA295" s="3"/>
      <c r="UMB295" s="3"/>
      <c r="UMC295" s="3"/>
      <c r="UMD295" s="3"/>
      <c r="UME295" s="3"/>
      <c r="UMF295" s="3"/>
      <c r="UMG295" s="3"/>
      <c r="UMH295" s="3"/>
      <c r="UMI295" s="3"/>
      <c r="UMJ295" s="3"/>
      <c r="UMK295" s="3"/>
      <c r="UML295" s="3"/>
      <c r="UMM295" s="3"/>
      <c r="UMN295" s="3"/>
      <c r="UMO295" s="3"/>
      <c r="UMP295" s="3"/>
      <c r="UMQ295" s="3"/>
      <c r="UMR295" s="3"/>
      <c r="UMS295" s="3"/>
      <c r="UMT295" s="3"/>
      <c r="UMU295" s="3"/>
      <c r="UMV295" s="3"/>
      <c r="UMW295" s="3"/>
      <c r="UMX295" s="3"/>
      <c r="UMY295" s="3"/>
      <c r="UMZ295" s="3"/>
      <c r="UNA295" s="3"/>
      <c r="UNB295" s="3"/>
      <c r="UNC295" s="3"/>
      <c r="UND295" s="3"/>
      <c r="UNE295" s="3"/>
      <c r="UNF295" s="3"/>
      <c r="UNG295" s="3"/>
      <c r="UNH295" s="3"/>
      <c r="UNI295" s="3"/>
      <c r="UNJ295" s="3"/>
      <c r="UNK295" s="3"/>
      <c r="UNL295" s="3"/>
      <c r="UNM295" s="3"/>
      <c r="UNN295" s="3"/>
      <c r="UNO295" s="3"/>
      <c r="UNP295" s="3"/>
      <c r="UNQ295" s="3"/>
      <c r="UNR295" s="3"/>
      <c r="UNS295" s="3"/>
      <c r="UNT295" s="3"/>
      <c r="UNU295" s="3"/>
      <c r="UNV295" s="3"/>
      <c r="UNW295" s="3"/>
      <c r="UNX295" s="3"/>
      <c r="UNY295" s="3"/>
      <c r="UNZ295" s="3"/>
      <c r="UOA295" s="3"/>
      <c r="UOB295" s="3"/>
      <c r="UOC295" s="3"/>
      <c r="UOD295" s="3"/>
      <c r="UOE295" s="3"/>
      <c r="UOF295" s="3"/>
      <c r="UOG295" s="3"/>
      <c r="UOH295" s="3"/>
      <c r="UOI295" s="3"/>
      <c r="UOJ295" s="3"/>
      <c r="UOK295" s="3"/>
      <c r="UOL295" s="3"/>
      <c r="UOM295" s="3"/>
      <c r="UON295" s="3"/>
      <c r="UOO295" s="3"/>
      <c r="UOP295" s="3"/>
      <c r="UOQ295" s="3"/>
      <c r="UOR295" s="3"/>
      <c r="UOS295" s="3"/>
      <c r="UOT295" s="3"/>
      <c r="UOU295" s="3"/>
      <c r="UOV295" s="3"/>
      <c r="UOW295" s="3"/>
      <c r="UOX295" s="3"/>
      <c r="UOY295" s="3"/>
      <c r="UOZ295" s="3"/>
      <c r="UPA295" s="3"/>
      <c r="UPB295" s="3"/>
      <c r="UPC295" s="3"/>
      <c r="UPD295" s="3"/>
      <c r="UPE295" s="3"/>
      <c r="UPF295" s="3"/>
      <c r="UPG295" s="3"/>
      <c r="UPH295" s="3"/>
      <c r="UPI295" s="3"/>
      <c r="UPJ295" s="3"/>
      <c r="UPK295" s="3"/>
      <c r="UPL295" s="3"/>
      <c r="UPM295" s="3"/>
      <c r="UPN295" s="3"/>
      <c r="UPO295" s="3"/>
      <c r="UPP295" s="3"/>
      <c r="UPQ295" s="3"/>
      <c r="UPR295" s="3"/>
      <c r="UPS295" s="3"/>
      <c r="UPT295" s="3"/>
      <c r="UPU295" s="3"/>
      <c r="UPV295" s="3"/>
      <c r="UPW295" s="3"/>
      <c r="UPX295" s="3"/>
      <c r="UPY295" s="3"/>
      <c r="UPZ295" s="3"/>
      <c r="UQA295" s="3"/>
      <c r="UQB295" s="3"/>
      <c r="UQC295" s="3"/>
      <c r="UQD295" s="3"/>
      <c r="UQE295" s="3"/>
      <c r="UQF295" s="3"/>
      <c r="UQG295" s="3"/>
      <c r="UQH295" s="3"/>
      <c r="UQI295" s="3"/>
      <c r="UQJ295" s="3"/>
      <c r="UQK295" s="3"/>
      <c r="UQL295" s="3"/>
      <c r="UQM295" s="3"/>
      <c r="UQN295" s="3"/>
      <c r="UQO295" s="3"/>
      <c r="UQP295" s="3"/>
      <c r="UQQ295" s="3"/>
      <c r="UQR295" s="3"/>
      <c r="UQS295" s="3"/>
      <c r="UQT295" s="3"/>
      <c r="UQU295" s="3"/>
      <c r="UQV295" s="3"/>
      <c r="UQW295" s="3"/>
      <c r="UQX295" s="3"/>
      <c r="UQY295" s="3"/>
      <c r="UQZ295" s="3"/>
      <c r="URA295" s="3"/>
      <c r="URB295" s="3"/>
      <c r="URC295" s="3"/>
      <c r="URD295" s="3"/>
      <c r="URE295" s="3"/>
      <c r="URF295" s="3"/>
      <c r="URG295" s="3"/>
      <c r="URH295" s="3"/>
      <c r="URI295" s="3"/>
      <c r="URJ295" s="3"/>
      <c r="URK295" s="3"/>
      <c r="URL295" s="3"/>
      <c r="URM295" s="3"/>
      <c r="URN295" s="3"/>
      <c r="URO295" s="3"/>
      <c r="URP295" s="3"/>
      <c r="URQ295" s="3"/>
      <c r="URR295" s="3"/>
      <c r="URS295" s="3"/>
      <c r="URT295" s="3"/>
      <c r="URU295" s="3"/>
      <c r="URV295" s="3"/>
      <c r="URW295" s="3"/>
      <c r="URX295" s="3"/>
      <c r="URY295" s="3"/>
      <c r="URZ295" s="3"/>
      <c r="USA295" s="3"/>
      <c r="USB295" s="3"/>
      <c r="USC295" s="3"/>
      <c r="USD295" s="3"/>
      <c r="USE295" s="3"/>
      <c r="USF295" s="3"/>
      <c r="USG295" s="3"/>
      <c r="USH295" s="3"/>
      <c r="USI295" s="3"/>
      <c r="USJ295" s="3"/>
      <c r="USK295" s="3"/>
      <c r="USL295" s="3"/>
      <c r="USM295" s="3"/>
      <c r="USN295" s="3"/>
      <c r="USO295" s="3"/>
      <c r="USP295" s="3"/>
      <c r="USQ295" s="3"/>
      <c r="USR295" s="3"/>
      <c r="USS295" s="3"/>
      <c r="UST295" s="3"/>
      <c r="USU295" s="3"/>
      <c r="USV295" s="3"/>
      <c r="USW295" s="3"/>
      <c r="USX295" s="3"/>
      <c r="USY295" s="3"/>
      <c r="USZ295" s="3"/>
      <c r="UTA295" s="3"/>
      <c r="UTB295" s="3"/>
      <c r="UTC295" s="3"/>
      <c r="UTD295" s="3"/>
      <c r="UTE295" s="3"/>
      <c r="UTF295" s="3"/>
      <c r="UTG295" s="3"/>
      <c r="UTH295" s="3"/>
      <c r="UTI295" s="3"/>
      <c r="UTJ295" s="3"/>
      <c r="UTK295" s="3"/>
      <c r="UTL295" s="3"/>
      <c r="UTM295" s="3"/>
      <c r="UTN295" s="3"/>
      <c r="UTO295" s="3"/>
      <c r="UTP295" s="3"/>
      <c r="UTQ295" s="3"/>
      <c r="UTR295" s="3"/>
      <c r="UTS295" s="3"/>
      <c r="UTT295" s="3"/>
      <c r="UTU295" s="3"/>
      <c r="UTV295" s="3"/>
      <c r="UTW295" s="3"/>
      <c r="UTX295" s="3"/>
      <c r="UTY295" s="3"/>
      <c r="UTZ295" s="3"/>
      <c r="UUA295" s="3"/>
      <c r="UUB295" s="3"/>
      <c r="UUC295" s="3"/>
      <c r="UUD295" s="3"/>
      <c r="UUE295" s="3"/>
      <c r="UUF295" s="3"/>
      <c r="UUG295" s="3"/>
      <c r="UUH295" s="3"/>
      <c r="UUI295" s="3"/>
      <c r="UUJ295" s="3"/>
      <c r="UUK295" s="3"/>
      <c r="UUL295" s="3"/>
      <c r="UUM295" s="3"/>
      <c r="UUN295" s="3"/>
      <c r="UUO295" s="3"/>
      <c r="UUP295" s="3"/>
      <c r="UUQ295" s="3"/>
      <c r="UUR295" s="3"/>
      <c r="UUS295" s="3"/>
      <c r="UUT295" s="3"/>
      <c r="UUU295" s="3"/>
      <c r="UUV295" s="3"/>
      <c r="UUW295" s="3"/>
      <c r="UUX295" s="3"/>
      <c r="UUY295" s="3"/>
      <c r="UUZ295" s="3"/>
      <c r="UVA295" s="3"/>
      <c r="UVB295" s="3"/>
      <c r="UVC295" s="3"/>
      <c r="UVD295" s="3"/>
      <c r="UVE295" s="3"/>
      <c r="UVF295" s="3"/>
      <c r="UVG295" s="3"/>
      <c r="UVH295" s="3"/>
      <c r="UVI295" s="3"/>
      <c r="UVJ295" s="3"/>
      <c r="UVK295" s="3"/>
      <c r="UVL295" s="3"/>
      <c r="UVM295" s="3"/>
      <c r="UVN295" s="3"/>
      <c r="UVO295" s="3"/>
      <c r="UVP295" s="3"/>
      <c r="UVQ295" s="3"/>
      <c r="UVR295" s="3"/>
      <c r="UVS295" s="3"/>
      <c r="UVT295" s="3"/>
      <c r="UVU295" s="3"/>
      <c r="UVV295" s="3"/>
      <c r="UVW295" s="3"/>
      <c r="UVX295" s="3"/>
      <c r="UVY295" s="3"/>
      <c r="UVZ295" s="3"/>
      <c r="UWA295" s="3"/>
      <c r="UWB295" s="3"/>
      <c r="UWC295" s="3"/>
      <c r="UWD295" s="3"/>
      <c r="UWE295" s="3"/>
      <c r="UWF295" s="3"/>
      <c r="UWG295" s="3"/>
      <c r="UWH295" s="3"/>
      <c r="UWI295" s="3"/>
      <c r="UWJ295" s="3"/>
      <c r="UWK295" s="3"/>
      <c r="UWL295" s="3"/>
      <c r="UWM295" s="3"/>
      <c r="UWN295" s="3"/>
      <c r="UWO295" s="3"/>
      <c r="UWP295" s="3"/>
      <c r="UWQ295" s="3"/>
      <c r="UWR295" s="3"/>
      <c r="UWS295" s="3"/>
      <c r="UWT295" s="3"/>
      <c r="UWU295" s="3"/>
      <c r="UWV295" s="3"/>
      <c r="UWW295" s="3"/>
      <c r="UWX295" s="3"/>
      <c r="UWY295" s="3"/>
      <c r="UWZ295" s="3"/>
      <c r="UXA295" s="3"/>
      <c r="UXB295" s="3"/>
      <c r="UXC295" s="3"/>
      <c r="UXD295" s="3"/>
      <c r="UXE295" s="3"/>
      <c r="UXF295" s="3"/>
      <c r="UXG295" s="3"/>
      <c r="UXH295" s="3"/>
      <c r="UXI295" s="3"/>
      <c r="UXJ295" s="3"/>
      <c r="UXK295" s="3"/>
      <c r="UXL295" s="3"/>
      <c r="UXM295" s="3"/>
      <c r="UXN295" s="3"/>
      <c r="UXO295" s="3"/>
      <c r="UXP295" s="3"/>
      <c r="UXQ295" s="3"/>
      <c r="UXR295" s="3"/>
      <c r="UXS295" s="3"/>
      <c r="UXT295" s="3"/>
      <c r="UXU295" s="3"/>
      <c r="UXV295" s="3"/>
      <c r="UXW295" s="3"/>
      <c r="UXX295" s="3"/>
      <c r="UXY295" s="3"/>
      <c r="UXZ295" s="3"/>
      <c r="UYA295" s="3"/>
      <c r="UYB295" s="3"/>
      <c r="UYC295" s="3"/>
      <c r="UYD295" s="3"/>
      <c r="UYE295" s="3"/>
      <c r="UYF295" s="3"/>
      <c r="UYG295" s="3"/>
      <c r="UYH295" s="3"/>
      <c r="UYI295" s="3"/>
      <c r="UYJ295" s="3"/>
      <c r="UYK295" s="3"/>
      <c r="UYL295" s="3"/>
      <c r="UYM295" s="3"/>
      <c r="UYN295" s="3"/>
      <c r="UYO295" s="3"/>
      <c r="UYP295" s="3"/>
      <c r="UYQ295" s="3"/>
      <c r="UYR295" s="3"/>
      <c r="UYS295" s="3"/>
      <c r="UYT295" s="3"/>
      <c r="UYU295" s="3"/>
      <c r="UYV295" s="3"/>
      <c r="UYW295" s="3"/>
      <c r="UYX295" s="3"/>
      <c r="UYY295" s="3"/>
      <c r="UYZ295" s="3"/>
      <c r="UZA295" s="3"/>
      <c r="UZB295" s="3"/>
      <c r="UZC295" s="3"/>
      <c r="UZD295" s="3"/>
      <c r="UZE295" s="3"/>
      <c r="UZF295" s="3"/>
      <c r="UZG295" s="3"/>
      <c r="UZH295" s="3"/>
      <c r="UZI295" s="3"/>
      <c r="UZJ295" s="3"/>
      <c r="UZK295" s="3"/>
      <c r="UZL295" s="3"/>
      <c r="UZM295" s="3"/>
      <c r="UZN295" s="3"/>
      <c r="UZO295" s="3"/>
      <c r="UZP295" s="3"/>
      <c r="UZQ295" s="3"/>
      <c r="UZR295" s="3"/>
      <c r="UZS295" s="3"/>
      <c r="UZT295" s="3"/>
      <c r="UZU295" s="3"/>
      <c r="UZV295" s="3"/>
      <c r="UZW295" s="3"/>
      <c r="UZX295" s="3"/>
      <c r="UZY295" s="3"/>
      <c r="UZZ295" s="3"/>
      <c r="VAA295" s="3"/>
      <c r="VAB295" s="3"/>
      <c r="VAC295" s="3"/>
      <c r="VAD295" s="3"/>
      <c r="VAE295" s="3"/>
      <c r="VAF295" s="3"/>
      <c r="VAG295" s="3"/>
      <c r="VAH295" s="3"/>
      <c r="VAI295" s="3"/>
      <c r="VAJ295" s="3"/>
      <c r="VAK295" s="3"/>
      <c r="VAL295" s="3"/>
      <c r="VAM295" s="3"/>
      <c r="VAN295" s="3"/>
      <c r="VAO295" s="3"/>
      <c r="VAP295" s="3"/>
      <c r="VAQ295" s="3"/>
      <c r="VAR295" s="3"/>
      <c r="VAS295" s="3"/>
      <c r="VAT295" s="3"/>
      <c r="VAU295" s="3"/>
      <c r="VAV295" s="3"/>
      <c r="VAW295" s="3"/>
      <c r="VAX295" s="3"/>
      <c r="VAY295" s="3"/>
      <c r="VAZ295" s="3"/>
      <c r="VBA295" s="3"/>
      <c r="VBB295" s="3"/>
      <c r="VBC295" s="3"/>
      <c r="VBD295" s="3"/>
      <c r="VBE295" s="3"/>
      <c r="VBF295" s="3"/>
      <c r="VBG295" s="3"/>
      <c r="VBH295" s="3"/>
      <c r="VBI295" s="3"/>
      <c r="VBJ295" s="3"/>
      <c r="VBK295" s="3"/>
      <c r="VBL295" s="3"/>
      <c r="VBM295" s="3"/>
      <c r="VBN295" s="3"/>
      <c r="VBO295" s="3"/>
      <c r="VBP295" s="3"/>
      <c r="VBQ295" s="3"/>
      <c r="VBR295" s="3"/>
      <c r="VBS295" s="3"/>
      <c r="VBT295" s="3"/>
      <c r="VBU295" s="3"/>
      <c r="VBV295" s="3"/>
      <c r="VBW295" s="3"/>
      <c r="VBX295" s="3"/>
      <c r="VBY295" s="3"/>
      <c r="VBZ295" s="3"/>
      <c r="VCA295" s="3"/>
      <c r="VCB295" s="3"/>
      <c r="VCC295" s="3"/>
      <c r="VCD295" s="3"/>
      <c r="VCE295" s="3"/>
      <c r="VCF295" s="3"/>
      <c r="VCG295" s="3"/>
      <c r="VCH295" s="3"/>
      <c r="VCI295" s="3"/>
      <c r="VCJ295" s="3"/>
      <c r="VCK295" s="3"/>
      <c r="VCL295" s="3"/>
      <c r="VCM295" s="3"/>
      <c r="VCN295" s="3"/>
      <c r="VCO295" s="3"/>
      <c r="VCP295" s="3"/>
      <c r="VCQ295" s="3"/>
      <c r="VCR295" s="3"/>
      <c r="VCS295" s="3"/>
      <c r="VCT295" s="3"/>
      <c r="VCU295" s="3"/>
      <c r="VCV295" s="3"/>
      <c r="VCW295" s="3"/>
      <c r="VCX295" s="3"/>
      <c r="VCY295" s="3"/>
      <c r="VCZ295" s="3"/>
      <c r="VDA295" s="3"/>
      <c r="VDB295" s="3"/>
      <c r="VDC295" s="3"/>
      <c r="VDD295" s="3"/>
      <c r="VDE295" s="3"/>
      <c r="VDF295" s="3"/>
      <c r="VDG295" s="3"/>
      <c r="VDH295" s="3"/>
      <c r="VDI295" s="3"/>
      <c r="VDJ295" s="3"/>
      <c r="VDK295" s="3"/>
      <c r="VDL295" s="3"/>
      <c r="VDM295" s="3"/>
      <c r="VDN295" s="3"/>
      <c r="VDO295" s="3"/>
      <c r="VDP295" s="3"/>
      <c r="VDQ295" s="3"/>
      <c r="VDR295" s="3"/>
      <c r="VDS295" s="3"/>
      <c r="VDT295" s="3"/>
      <c r="VDU295" s="3"/>
      <c r="VDV295" s="3"/>
      <c r="VDW295" s="3"/>
      <c r="VDX295" s="3"/>
      <c r="VDY295" s="3"/>
      <c r="VDZ295" s="3"/>
      <c r="VEA295" s="3"/>
      <c r="VEB295" s="3"/>
      <c r="VEC295" s="3"/>
      <c r="VED295" s="3"/>
      <c r="VEE295" s="3"/>
      <c r="VEF295" s="3"/>
      <c r="VEG295" s="3"/>
      <c r="VEH295" s="3"/>
      <c r="VEI295" s="3"/>
      <c r="VEJ295" s="3"/>
      <c r="VEK295" s="3"/>
      <c r="VEL295" s="3"/>
      <c r="VEM295" s="3"/>
      <c r="VEN295" s="3"/>
      <c r="VEO295" s="3"/>
      <c r="VEP295" s="3"/>
      <c r="VEQ295" s="3"/>
      <c r="VER295" s="3"/>
      <c r="VES295" s="3"/>
      <c r="VET295" s="3"/>
      <c r="VEU295" s="3"/>
      <c r="VEV295" s="3"/>
      <c r="VEW295" s="3"/>
      <c r="VEX295" s="3"/>
      <c r="VEY295" s="3"/>
      <c r="VEZ295" s="3"/>
      <c r="VFA295" s="3"/>
      <c r="VFB295" s="3"/>
      <c r="VFC295" s="3"/>
      <c r="VFD295" s="3"/>
      <c r="VFE295" s="3"/>
      <c r="VFF295" s="3"/>
      <c r="VFG295" s="3"/>
      <c r="VFH295" s="3"/>
      <c r="VFI295" s="3"/>
      <c r="VFJ295" s="3"/>
      <c r="VFK295" s="3"/>
      <c r="VFL295" s="3"/>
      <c r="VFM295" s="3"/>
      <c r="VFN295" s="3"/>
      <c r="VFO295" s="3"/>
      <c r="VFP295" s="3"/>
      <c r="VFQ295" s="3"/>
      <c r="VFR295" s="3"/>
      <c r="VFS295" s="3"/>
      <c r="VFT295" s="3"/>
      <c r="VFU295" s="3"/>
      <c r="VFV295" s="3"/>
      <c r="VFW295" s="3"/>
      <c r="VFX295" s="3"/>
      <c r="VFY295" s="3"/>
      <c r="VFZ295" s="3"/>
      <c r="VGA295" s="3"/>
      <c r="VGB295" s="3"/>
      <c r="VGC295" s="3"/>
      <c r="VGD295" s="3"/>
      <c r="VGE295" s="3"/>
      <c r="VGF295" s="3"/>
      <c r="VGG295" s="3"/>
      <c r="VGH295" s="3"/>
      <c r="VGI295" s="3"/>
      <c r="VGJ295" s="3"/>
      <c r="VGK295" s="3"/>
      <c r="VGL295" s="3"/>
      <c r="VGM295" s="3"/>
      <c r="VGN295" s="3"/>
      <c r="VGO295" s="3"/>
      <c r="VGP295" s="3"/>
      <c r="VGQ295" s="3"/>
      <c r="VGR295" s="3"/>
      <c r="VGS295" s="3"/>
      <c r="VGT295" s="3"/>
      <c r="VGU295" s="3"/>
      <c r="VGV295" s="3"/>
      <c r="VGW295" s="3"/>
      <c r="VGX295" s="3"/>
      <c r="VGY295" s="3"/>
      <c r="VGZ295" s="3"/>
      <c r="VHA295" s="3"/>
      <c r="VHB295" s="3"/>
      <c r="VHC295" s="3"/>
      <c r="VHD295" s="3"/>
      <c r="VHE295" s="3"/>
      <c r="VHF295" s="3"/>
      <c r="VHG295" s="3"/>
      <c r="VHH295" s="3"/>
      <c r="VHI295" s="3"/>
      <c r="VHJ295" s="3"/>
      <c r="VHK295" s="3"/>
      <c r="VHL295" s="3"/>
      <c r="VHM295" s="3"/>
      <c r="VHN295" s="3"/>
      <c r="VHO295" s="3"/>
      <c r="VHP295" s="3"/>
      <c r="VHQ295" s="3"/>
      <c r="VHR295" s="3"/>
      <c r="VHS295" s="3"/>
      <c r="VHT295" s="3"/>
      <c r="VHU295" s="3"/>
      <c r="VHV295" s="3"/>
      <c r="VHW295" s="3"/>
      <c r="VHX295" s="3"/>
      <c r="VHY295" s="3"/>
      <c r="VHZ295" s="3"/>
      <c r="VIA295" s="3"/>
      <c r="VIB295" s="3"/>
      <c r="VIC295" s="3"/>
      <c r="VID295" s="3"/>
      <c r="VIE295" s="3"/>
      <c r="VIF295" s="3"/>
      <c r="VIG295" s="3"/>
      <c r="VIH295" s="3"/>
      <c r="VII295" s="3"/>
      <c r="VIJ295" s="3"/>
      <c r="VIK295" s="3"/>
      <c r="VIL295" s="3"/>
      <c r="VIM295" s="3"/>
      <c r="VIN295" s="3"/>
      <c r="VIO295" s="3"/>
      <c r="VIP295" s="3"/>
      <c r="VIQ295" s="3"/>
      <c r="VIR295" s="3"/>
      <c r="VIS295" s="3"/>
      <c r="VIT295" s="3"/>
      <c r="VIU295" s="3"/>
      <c r="VIV295" s="3"/>
      <c r="VIW295" s="3"/>
      <c r="VIX295" s="3"/>
      <c r="VIY295" s="3"/>
      <c r="VIZ295" s="3"/>
      <c r="VJA295" s="3"/>
      <c r="VJB295" s="3"/>
      <c r="VJC295" s="3"/>
      <c r="VJD295" s="3"/>
      <c r="VJE295" s="3"/>
      <c r="VJF295" s="3"/>
      <c r="VJG295" s="3"/>
      <c r="VJH295" s="3"/>
      <c r="VJI295" s="3"/>
      <c r="VJJ295" s="3"/>
      <c r="VJK295" s="3"/>
      <c r="VJL295" s="3"/>
      <c r="VJM295" s="3"/>
      <c r="VJN295" s="3"/>
      <c r="VJO295" s="3"/>
      <c r="VJP295" s="3"/>
      <c r="VJQ295" s="3"/>
      <c r="VJR295" s="3"/>
      <c r="VJS295" s="3"/>
      <c r="VJT295" s="3"/>
      <c r="VJU295" s="3"/>
      <c r="VJV295" s="3"/>
      <c r="VJW295" s="3"/>
      <c r="VJX295" s="3"/>
      <c r="VJY295" s="3"/>
      <c r="VJZ295" s="3"/>
      <c r="VKA295" s="3"/>
      <c r="VKB295" s="3"/>
      <c r="VKC295" s="3"/>
      <c r="VKD295" s="3"/>
      <c r="VKE295" s="3"/>
      <c r="VKF295" s="3"/>
      <c r="VKG295" s="3"/>
      <c r="VKH295" s="3"/>
      <c r="VKI295" s="3"/>
      <c r="VKJ295" s="3"/>
      <c r="VKK295" s="3"/>
      <c r="VKL295" s="3"/>
      <c r="VKM295" s="3"/>
      <c r="VKN295" s="3"/>
      <c r="VKO295" s="3"/>
      <c r="VKP295" s="3"/>
      <c r="VKQ295" s="3"/>
      <c r="VKR295" s="3"/>
      <c r="VKS295" s="3"/>
      <c r="VKT295" s="3"/>
      <c r="VKU295" s="3"/>
      <c r="VKV295" s="3"/>
      <c r="VKW295" s="3"/>
      <c r="VKX295" s="3"/>
      <c r="VKY295" s="3"/>
      <c r="VKZ295" s="3"/>
      <c r="VLA295" s="3"/>
      <c r="VLB295" s="3"/>
      <c r="VLC295" s="3"/>
      <c r="VLD295" s="3"/>
      <c r="VLE295" s="3"/>
      <c r="VLF295" s="3"/>
      <c r="VLG295" s="3"/>
      <c r="VLH295" s="3"/>
      <c r="VLI295" s="3"/>
      <c r="VLJ295" s="3"/>
      <c r="VLK295" s="3"/>
      <c r="VLL295" s="3"/>
      <c r="VLM295" s="3"/>
      <c r="VLN295" s="3"/>
      <c r="VLO295" s="3"/>
      <c r="VLP295" s="3"/>
      <c r="VLQ295" s="3"/>
      <c r="VLR295" s="3"/>
      <c r="VLS295" s="3"/>
      <c r="VLT295" s="3"/>
      <c r="VLU295" s="3"/>
      <c r="VLV295" s="3"/>
      <c r="VLW295" s="3"/>
      <c r="VLX295" s="3"/>
      <c r="VLY295" s="3"/>
      <c r="VLZ295" s="3"/>
      <c r="VMA295" s="3"/>
      <c r="VMB295" s="3"/>
      <c r="VMC295" s="3"/>
      <c r="VMD295" s="3"/>
      <c r="VME295" s="3"/>
      <c r="VMF295" s="3"/>
      <c r="VMG295" s="3"/>
      <c r="VMH295" s="3"/>
      <c r="VMI295" s="3"/>
      <c r="VMJ295" s="3"/>
      <c r="VMK295" s="3"/>
      <c r="VML295" s="3"/>
      <c r="VMM295" s="3"/>
      <c r="VMN295" s="3"/>
      <c r="VMO295" s="3"/>
      <c r="VMP295" s="3"/>
      <c r="VMQ295" s="3"/>
      <c r="VMR295" s="3"/>
      <c r="VMS295" s="3"/>
      <c r="VMT295" s="3"/>
      <c r="VMU295" s="3"/>
      <c r="VMV295" s="3"/>
      <c r="VMW295" s="3"/>
      <c r="VMX295" s="3"/>
      <c r="VMY295" s="3"/>
      <c r="VMZ295" s="3"/>
      <c r="VNA295" s="3"/>
      <c r="VNB295" s="3"/>
      <c r="VNC295" s="3"/>
      <c r="VND295" s="3"/>
      <c r="VNE295" s="3"/>
      <c r="VNF295" s="3"/>
      <c r="VNG295" s="3"/>
      <c r="VNH295" s="3"/>
      <c r="VNI295" s="3"/>
      <c r="VNJ295" s="3"/>
      <c r="VNK295" s="3"/>
      <c r="VNL295" s="3"/>
      <c r="VNM295" s="3"/>
      <c r="VNN295" s="3"/>
      <c r="VNO295" s="3"/>
      <c r="VNP295" s="3"/>
      <c r="VNQ295" s="3"/>
      <c r="VNR295" s="3"/>
      <c r="VNS295" s="3"/>
      <c r="VNT295" s="3"/>
      <c r="VNU295" s="3"/>
      <c r="VNV295" s="3"/>
      <c r="VNW295" s="3"/>
      <c r="VNX295" s="3"/>
      <c r="VNY295" s="3"/>
      <c r="VNZ295" s="3"/>
      <c r="VOA295" s="3"/>
      <c r="VOB295" s="3"/>
      <c r="VOC295" s="3"/>
      <c r="VOD295" s="3"/>
      <c r="VOE295" s="3"/>
      <c r="VOF295" s="3"/>
      <c r="VOG295" s="3"/>
      <c r="VOH295" s="3"/>
      <c r="VOI295" s="3"/>
      <c r="VOJ295" s="3"/>
      <c r="VOK295" s="3"/>
      <c r="VOL295" s="3"/>
      <c r="VOM295" s="3"/>
      <c r="VON295" s="3"/>
      <c r="VOO295" s="3"/>
      <c r="VOP295" s="3"/>
      <c r="VOQ295" s="3"/>
      <c r="VOR295" s="3"/>
      <c r="VOS295" s="3"/>
      <c r="VOT295" s="3"/>
      <c r="VOU295" s="3"/>
      <c r="VOV295" s="3"/>
      <c r="VOW295" s="3"/>
      <c r="VOX295" s="3"/>
      <c r="VOY295" s="3"/>
      <c r="VOZ295" s="3"/>
      <c r="VPA295" s="3"/>
      <c r="VPB295" s="3"/>
      <c r="VPC295" s="3"/>
      <c r="VPD295" s="3"/>
      <c r="VPE295" s="3"/>
      <c r="VPF295" s="3"/>
      <c r="VPG295" s="3"/>
      <c r="VPH295" s="3"/>
      <c r="VPI295" s="3"/>
      <c r="VPJ295" s="3"/>
      <c r="VPK295" s="3"/>
      <c r="VPL295" s="3"/>
      <c r="VPM295" s="3"/>
      <c r="VPN295" s="3"/>
      <c r="VPO295" s="3"/>
      <c r="VPP295" s="3"/>
      <c r="VPQ295" s="3"/>
      <c r="VPR295" s="3"/>
      <c r="VPS295" s="3"/>
      <c r="VPT295" s="3"/>
      <c r="VPU295" s="3"/>
      <c r="VPV295" s="3"/>
      <c r="VPW295" s="3"/>
      <c r="VPX295" s="3"/>
      <c r="VPY295" s="3"/>
      <c r="VPZ295" s="3"/>
      <c r="VQA295" s="3"/>
      <c r="VQB295" s="3"/>
      <c r="VQC295" s="3"/>
      <c r="VQD295" s="3"/>
      <c r="VQE295" s="3"/>
      <c r="VQF295" s="3"/>
      <c r="VQG295" s="3"/>
      <c r="VQH295" s="3"/>
      <c r="VQI295" s="3"/>
      <c r="VQJ295" s="3"/>
      <c r="VQK295" s="3"/>
      <c r="VQL295" s="3"/>
      <c r="VQM295" s="3"/>
      <c r="VQN295" s="3"/>
      <c r="VQO295" s="3"/>
      <c r="VQP295" s="3"/>
      <c r="VQQ295" s="3"/>
      <c r="VQR295" s="3"/>
      <c r="VQS295" s="3"/>
      <c r="VQT295" s="3"/>
      <c r="VQU295" s="3"/>
      <c r="VQV295" s="3"/>
      <c r="VQW295" s="3"/>
      <c r="VQX295" s="3"/>
      <c r="VQY295" s="3"/>
      <c r="VQZ295" s="3"/>
      <c r="VRA295" s="3"/>
      <c r="VRB295" s="3"/>
      <c r="VRC295" s="3"/>
      <c r="VRD295" s="3"/>
      <c r="VRE295" s="3"/>
      <c r="VRF295" s="3"/>
      <c r="VRG295" s="3"/>
      <c r="VRH295" s="3"/>
      <c r="VRI295" s="3"/>
      <c r="VRJ295" s="3"/>
      <c r="VRK295" s="3"/>
      <c r="VRL295" s="3"/>
      <c r="VRM295" s="3"/>
      <c r="VRN295" s="3"/>
      <c r="VRO295" s="3"/>
      <c r="VRP295" s="3"/>
      <c r="VRQ295" s="3"/>
      <c r="VRR295" s="3"/>
      <c r="VRS295" s="3"/>
      <c r="VRT295" s="3"/>
      <c r="VRU295" s="3"/>
      <c r="VRV295" s="3"/>
      <c r="VRW295" s="3"/>
      <c r="VRX295" s="3"/>
      <c r="VRY295" s="3"/>
      <c r="VRZ295" s="3"/>
      <c r="VSA295" s="3"/>
      <c r="VSB295" s="3"/>
      <c r="VSC295" s="3"/>
      <c r="VSD295" s="3"/>
      <c r="VSE295" s="3"/>
      <c r="VSF295" s="3"/>
      <c r="VSG295" s="3"/>
      <c r="VSH295" s="3"/>
      <c r="VSI295" s="3"/>
      <c r="VSJ295" s="3"/>
      <c r="VSK295" s="3"/>
      <c r="VSL295" s="3"/>
      <c r="VSM295" s="3"/>
      <c r="VSN295" s="3"/>
      <c r="VSO295" s="3"/>
      <c r="VSP295" s="3"/>
      <c r="VSQ295" s="3"/>
      <c r="VSR295" s="3"/>
      <c r="VSS295" s="3"/>
      <c r="VST295" s="3"/>
      <c r="VSU295" s="3"/>
      <c r="VSV295" s="3"/>
      <c r="VSW295" s="3"/>
      <c r="VSX295" s="3"/>
      <c r="VSY295" s="3"/>
      <c r="VSZ295" s="3"/>
      <c r="VTA295" s="3"/>
      <c r="VTB295" s="3"/>
      <c r="VTC295" s="3"/>
      <c r="VTD295" s="3"/>
      <c r="VTE295" s="3"/>
      <c r="VTF295" s="3"/>
      <c r="VTG295" s="3"/>
      <c r="VTH295" s="3"/>
      <c r="VTI295" s="3"/>
      <c r="VTJ295" s="3"/>
      <c r="VTK295" s="3"/>
      <c r="VTL295" s="3"/>
      <c r="VTM295" s="3"/>
      <c r="VTN295" s="3"/>
      <c r="VTO295" s="3"/>
      <c r="VTP295" s="3"/>
      <c r="VTQ295" s="3"/>
      <c r="VTR295" s="3"/>
      <c r="VTS295" s="3"/>
      <c r="VTT295" s="3"/>
      <c r="VTU295" s="3"/>
      <c r="VTV295" s="3"/>
      <c r="VTW295" s="3"/>
      <c r="VTX295" s="3"/>
      <c r="VTY295" s="3"/>
      <c r="VTZ295" s="3"/>
      <c r="VUA295" s="3"/>
      <c r="VUB295" s="3"/>
      <c r="VUC295" s="3"/>
      <c r="VUD295" s="3"/>
      <c r="VUE295" s="3"/>
      <c r="VUF295" s="3"/>
      <c r="VUG295" s="3"/>
      <c r="VUH295" s="3"/>
      <c r="VUI295" s="3"/>
      <c r="VUJ295" s="3"/>
      <c r="VUK295" s="3"/>
      <c r="VUL295" s="3"/>
      <c r="VUM295" s="3"/>
      <c r="VUN295" s="3"/>
      <c r="VUO295" s="3"/>
      <c r="VUP295" s="3"/>
      <c r="VUQ295" s="3"/>
      <c r="VUR295" s="3"/>
      <c r="VUS295" s="3"/>
      <c r="VUT295" s="3"/>
      <c r="VUU295" s="3"/>
      <c r="VUV295" s="3"/>
      <c r="VUW295" s="3"/>
      <c r="VUX295" s="3"/>
      <c r="VUY295" s="3"/>
      <c r="VUZ295" s="3"/>
      <c r="VVA295" s="3"/>
      <c r="VVB295" s="3"/>
      <c r="VVC295" s="3"/>
      <c r="VVD295" s="3"/>
      <c r="VVE295" s="3"/>
      <c r="VVF295" s="3"/>
      <c r="VVG295" s="3"/>
      <c r="VVH295" s="3"/>
      <c r="VVI295" s="3"/>
      <c r="VVJ295" s="3"/>
      <c r="VVK295" s="3"/>
      <c r="VVL295" s="3"/>
      <c r="VVM295" s="3"/>
      <c r="VVN295" s="3"/>
      <c r="VVO295" s="3"/>
      <c r="VVP295" s="3"/>
      <c r="VVQ295" s="3"/>
      <c r="VVR295" s="3"/>
      <c r="VVS295" s="3"/>
      <c r="VVT295" s="3"/>
      <c r="VVU295" s="3"/>
      <c r="VVV295" s="3"/>
      <c r="VVW295" s="3"/>
      <c r="VVX295" s="3"/>
      <c r="VVY295" s="3"/>
      <c r="VVZ295" s="3"/>
      <c r="VWA295" s="3"/>
      <c r="VWB295" s="3"/>
      <c r="VWC295" s="3"/>
      <c r="VWD295" s="3"/>
      <c r="VWE295" s="3"/>
      <c r="VWF295" s="3"/>
      <c r="VWG295" s="3"/>
      <c r="VWH295" s="3"/>
      <c r="VWI295" s="3"/>
      <c r="VWJ295" s="3"/>
      <c r="VWK295" s="3"/>
      <c r="VWL295" s="3"/>
      <c r="VWM295" s="3"/>
      <c r="VWN295" s="3"/>
      <c r="VWO295" s="3"/>
      <c r="VWP295" s="3"/>
      <c r="VWQ295" s="3"/>
      <c r="VWR295" s="3"/>
      <c r="VWS295" s="3"/>
      <c r="VWT295" s="3"/>
      <c r="VWU295" s="3"/>
      <c r="VWV295" s="3"/>
      <c r="VWW295" s="3"/>
      <c r="VWX295" s="3"/>
      <c r="VWY295" s="3"/>
      <c r="VWZ295" s="3"/>
      <c r="VXA295" s="3"/>
      <c r="VXB295" s="3"/>
      <c r="VXC295" s="3"/>
      <c r="VXD295" s="3"/>
      <c r="VXE295" s="3"/>
      <c r="VXF295" s="3"/>
      <c r="VXG295" s="3"/>
      <c r="VXH295" s="3"/>
      <c r="VXI295" s="3"/>
      <c r="VXJ295" s="3"/>
      <c r="VXK295" s="3"/>
      <c r="VXL295" s="3"/>
      <c r="VXM295" s="3"/>
      <c r="VXN295" s="3"/>
      <c r="VXO295" s="3"/>
      <c r="VXP295" s="3"/>
      <c r="VXQ295" s="3"/>
      <c r="VXR295" s="3"/>
      <c r="VXS295" s="3"/>
      <c r="VXT295" s="3"/>
      <c r="VXU295" s="3"/>
      <c r="VXV295" s="3"/>
      <c r="VXW295" s="3"/>
      <c r="VXX295" s="3"/>
      <c r="VXY295" s="3"/>
      <c r="VXZ295" s="3"/>
      <c r="VYA295" s="3"/>
      <c r="VYB295" s="3"/>
      <c r="VYC295" s="3"/>
      <c r="VYD295" s="3"/>
      <c r="VYE295" s="3"/>
      <c r="VYF295" s="3"/>
      <c r="VYG295" s="3"/>
      <c r="VYH295" s="3"/>
      <c r="VYI295" s="3"/>
      <c r="VYJ295" s="3"/>
      <c r="VYK295" s="3"/>
      <c r="VYL295" s="3"/>
      <c r="VYM295" s="3"/>
      <c r="VYN295" s="3"/>
      <c r="VYO295" s="3"/>
      <c r="VYP295" s="3"/>
      <c r="VYQ295" s="3"/>
      <c r="VYR295" s="3"/>
      <c r="VYS295" s="3"/>
      <c r="VYT295" s="3"/>
      <c r="VYU295" s="3"/>
      <c r="VYV295" s="3"/>
      <c r="VYW295" s="3"/>
      <c r="VYX295" s="3"/>
      <c r="VYY295" s="3"/>
      <c r="VYZ295" s="3"/>
      <c r="VZA295" s="3"/>
      <c r="VZB295" s="3"/>
      <c r="VZC295" s="3"/>
      <c r="VZD295" s="3"/>
      <c r="VZE295" s="3"/>
      <c r="VZF295" s="3"/>
      <c r="VZG295" s="3"/>
      <c r="VZH295" s="3"/>
      <c r="VZI295" s="3"/>
      <c r="VZJ295" s="3"/>
      <c r="VZK295" s="3"/>
      <c r="VZL295" s="3"/>
      <c r="VZM295" s="3"/>
      <c r="VZN295" s="3"/>
      <c r="VZO295" s="3"/>
      <c r="VZP295" s="3"/>
      <c r="VZQ295" s="3"/>
      <c r="VZR295" s="3"/>
      <c r="VZS295" s="3"/>
      <c r="VZT295" s="3"/>
      <c r="VZU295" s="3"/>
      <c r="VZV295" s="3"/>
      <c r="VZW295" s="3"/>
      <c r="VZX295" s="3"/>
      <c r="VZY295" s="3"/>
      <c r="VZZ295" s="3"/>
      <c r="WAA295" s="3"/>
      <c r="WAB295" s="3"/>
      <c r="WAC295" s="3"/>
      <c r="WAD295" s="3"/>
      <c r="WAE295" s="3"/>
      <c r="WAF295" s="3"/>
      <c r="WAG295" s="3"/>
      <c r="WAH295" s="3"/>
      <c r="WAI295" s="3"/>
      <c r="WAJ295" s="3"/>
      <c r="WAK295" s="3"/>
      <c r="WAL295" s="3"/>
      <c r="WAM295" s="3"/>
      <c r="WAN295" s="3"/>
      <c r="WAO295" s="3"/>
      <c r="WAP295" s="3"/>
      <c r="WAQ295" s="3"/>
      <c r="WAR295" s="3"/>
      <c r="WAS295" s="3"/>
      <c r="WAT295" s="3"/>
      <c r="WAU295" s="3"/>
      <c r="WAV295" s="3"/>
      <c r="WAW295" s="3"/>
      <c r="WAX295" s="3"/>
      <c r="WAY295" s="3"/>
      <c r="WAZ295" s="3"/>
      <c r="WBA295" s="3"/>
      <c r="WBB295" s="3"/>
      <c r="WBC295" s="3"/>
      <c r="WBD295" s="3"/>
      <c r="WBE295" s="3"/>
      <c r="WBF295" s="3"/>
      <c r="WBG295" s="3"/>
      <c r="WBH295" s="3"/>
      <c r="WBI295" s="3"/>
      <c r="WBJ295" s="3"/>
      <c r="WBK295" s="3"/>
      <c r="WBL295" s="3"/>
      <c r="WBM295" s="3"/>
      <c r="WBN295" s="3"/>
      <c r="WBO295" s="3"/>
      <c r="WBP295" s="3"/>
      <c r="WBQ295" s="3"/>
      <c r="WBR295" s="3"/>
      <c r="WBS295" s="3"/>
      <c r="WBT295" s="3"/>
      <c r="WBU295" s="3"/>
      <c r="WBV295" s="3"/>
      <c r="WBW295" s="3"/>
      <c r="WBX295" s="3"/>
      <c r="WBY295" s="3"/>
      <c r="WBZ295" s="3"/>
      <c r="WCA295" s="3"/>
      <c r="WCB295" s="3"/>
      <c r="WCC295" s="3"/>
      <c r="WCD295" s="3"/>
      <c r="WCE295" s="3"/>
      <c r="WCF295" s="3"/>
      <c r="WCG295" s="3"/>
      <c r="WCH295" s="3"/>
      <c r="WCI295" s="3"/>
      <c r="WCJ295" s="3"/>
      <c r="WCK295" s="3"/>
      <c r="WCL295" s="3"/>
      <c r="WCM295" s="3"/>
      <c r="WCN295" s="3"/>
      <c r="WCO295" s="3"/>
      <c r="WCP295" s="3"/>
      <c r="WCQ295" s="3"/>
      <c r="WCR295" s="3"/>
      <c r="WCS295" s="3"/>
      <c r="WCT295" s="3"/>
      <c r="WCU295" s="3"/>
      <c r="WCV295" s="3"/>
      <c r="WCW295" s="3"/>
      <c r="WCX295" s="3"/>
      <c r="WCY295" s="3"/>
      <c r="WCZ295" s="3"/>
      <c r="WDA295" s="3"/>
      <c r="WDB295" s="3"/>
      <c r="WDC295" s="3"/>
      <c r="WDD295" s="3"/>
      <c r="WDE295" s="3"/>
      <c r="WDF295" s="3"/>
      <c r="WDG295" s="3"/>
      <c r="WDH295" s="3"/>
      <c r="WDI295" s="3"/>
      <c r="WDJ295" s="3"/>
      <c r="WDK295" s="3"/>
      <c r="WDL295" s="3"/>
      <c r="WDM295" s="3"/>
      <c r="WDN295" s="3"/>
      <c r="WDO295" s="3"/>
      <c r="WDP295" s="3"/>
      <c r="WDQ295" s="3"/>
      <c r="WDR295" s="3"/>
      <c r="WDS295" s="3"/>
      <c r="WDT295" s="3"/>
      <c r="WDU295" s="3"/>
      <c r="WDV295" s="3"/>
      <c r="WDW295" s="3"/>
      <c r="WDX295" s="3"/>
      <c r="WDY295" s="3"/>
      <c r="WDZ295" s="3"/>
      <c r="WEA295" s="3"/>
      <c r="WEB295" s="3"/>
      <c r="WEC295" s="3"/>
      <c r="WED295" s="3"/>
      <c r="WEE295" s="3"/>
      <c r="WEF295" s="3"/>
      <c r="WEG295" s="3"/>
      <c r="WEH295" s="3"/>
      <c r="WEI295" s="3"/>
      <c r="WEJ295" s="3"/>
      <c r="WEK295" s="3"/>
      <c r="WEL295" s="3"/>
      <c r="WEM295" s="3"/>
      <c r="WEN295" s="3"/>
      <c r="WEO295" s="3"/>
      <c r="WEP295" s="3"/>
      <c r="WEQ295" s="3"/>
      <c r="WER295" s="3"/>
      <c r="WES295" s="3"/>
      <c r="WET295" s="3"/>
      <c r="WEU295" s="3"/>
      <c r="WEV295" s="3"/>
      <c r="WEW295" s="3"/>
      <c r="WEX295" s="3"/>
      <c r="WEY295" s="3"/>
      <c r="WEZ295" s="3"/>
      <c r="WFA295" s="3"/>
      <c r="WFB295" s="3"/>
      <c r="WFC295" s="3"/>
      <c r="WFD295" s="3"/>
      <c r="WFE295" s="3"/>
      <c r="WFF295" s="3"/>
      <c r="WFG295" s="3"/>
      <c r="WFH295" s="3"/>
      <c r="WFI295" s="3"/>
      <c r="WFJ295" s="3"/>
      <c r="WFK295" s="3"/>
      <c r="WFL295" s="3"/>
      <c r="WFM295" s="3"/>
      <c r="WFN295" s="3"/>
      <c r="WFO295" s="3"/>
      <c r="WFP295" s="3"/>
      <c r="WFQ295" s="3"/>
      <c r="WFR295" s="3"/>
      <c r="WFS295" s="3"/>
      <c r="WFT295" s="3"/>
      <c r="WFU295" s="3"/>
      <c r="WFV295" s="3"/>
      <c r="WFW295" s="3"/>
      <c r="WFX295" s="3"/>
      <c r="WFY295" s="3"/>
      <c r="WFZ295" s="3"/>
      <c r="WGA295" s="3"/>
      <c r="WGB295" s="3"/>
      <c r="WGC295" s="3"/>
      <c r="WGD295" s="3"/>
      <c r="WGE295" s="3"/>
      <c r="WGF295" s="3"/>
      <c r="WGG295" s="3"/>
      <c r="WGH295" s="3"/>
      <c r="WGI295" s="3"/>
      <c r="WGJ295" s="3"/>
      <c r="WGK295" s="3"/>
      <c r="WGL295" s="3"/>
      <c r="WGM295" s="3"/>
      <c r="WGN295" s="3"/>
      <c r="WGO295" s="3"/>
      <c r="WGP295" s="3"/>
      <c r="WGQ295" s="3"/>
      <c r="WGR295" s="3"/>
      <c r="WGS295" s="3"/>
      <c r="WGT295" s="3"/>
      <c r="WGU295" s="3"/>
      <c r="WGV295" s="3"/>
      <c r="WGW295" s="3"/>
      <c r="WGX295" s="3"/>
      <c r="WGY295" s="3"/>
      <c r="WGZ295" s="3"/>
      <c r="WHA295" s="3"/>
      <c r="WHB295" s="3"/>
      <c r="WHC295" s="3"/>
      <c r="WHD295" s="3"/>
      <c r="WHE295" s="3"/>
      <c r="WHF295" s="3"/>
      <c r="WHG295" s="3"/>
      <c r="WHH295" s="3"/>
      <c r="WHI295" s="3"/>
      <c r="WHJ295" s="3"/>
      <c r="WHK295" s="3"/>
      <c r="WHL295" s="3"/>
      <c r="WHM295" s="3"/>
      <c r="WHN295" s="3"/>
      <c r="WHO295" s="3"/>
      <c r="WHP295" s="3"/>
      <c r="WHQ295" s="3"/>
      <c r="WHR295" s="3"/>
      <c r="WHS295" s="3"/>
      <c r="WHT295" s="3"/>
      <c r="WHU295" s="3"/>
      <c r="WHV295" s="3"/>
      <c r="WHW295" s="3"/>
      <c r="WHX295" s="3"/>
      <c r="WHY295" s="3"/>
      <c r="WHZ295" s="3"/>
      <c r="WIA295" s="3"/>
      <c r="WIB295" s="3"/>
      <c r="WIC295" s="3"/>
      <c r="WID295" s="3"/>
      <c r="WIE295" s="3"/>
      <c r="WIF295" s="3"/>
      <c r="WIG295" s="3"/>
      <c r="WIH295" s="3"/>
      <c r="WII295" s="3"/>
      <c r="WIJ295" s="3"/>
      <c r="WIK295" s="3"/>
      <c r="WIL295" s="3"/>
      <c r="WIM295" s="3"/>
      <c r="WIN295" s="3"/>
      <c r="WIO295" s="3"/>
      <c r="WIP295" s="3"/>
      <c r="WIQ295" s="3"/>
      <c r="WIR295" s="3"/>
      <c r="WIS295" s="3"/>
      <c r="WIT295" s="3"/>
      <c r="WIU295" s="3"/>
      <c r="WIV295" s="3"/>
      <c r="WIW295" s="3"/>
      <c r="WIX295" s="3"/>
      <c r="WIY295" s="3"/>
      <c r="WIZ295" s="3"/>
      <c r="WJA295" s="3"/>
      <c r="WJB295" s="3"/>
      <c r="WJC295" s="3"/>
      <c r="WJD295" s="3"/>
      <c r="WJE295" s="3"/>
      <c r="WJF295" s="3"/>
      <c r="WJG295" s="3"/>
      <c r="WJH295" s="3"/>
      <c r="WJI295" s="3"/>
      <c r="WJJ295" s="3"/>
      <c r="WJK295" s="3"/>
      <c r="WJL295" s="3"/>
      <c r="WJM295" s="3"/>
      <c r="WJN295" s="3"/>
      <c r="WJO295" s="3"/>
      <c r="WJP295" s="3"/>
      <c r="WJQ295" s="3"/>
      <c r="WJR295" s="3"/>
      <c r="WJS295" s="3"/>
      <c r="WJT295" s="3"/>
      <c r="WJU295" s="3"/>
      <c r="WJV295" s="3"/>
      <c r="WJW295" s="3"/>
      <c r="WJX295" s="3"/>
      <c r="WJY295" s="3"/>
      <c r="WJZ295" s="3"/>
      <c r="WKA295" s="3"/>
      <c r="WKB295" s="3"/>
      <c r="WKC295" s="3"/>
      <c r="WKD295" s="3"/>
      <c r="WKE295" s="3"/>
      <c r="WKF295" s="3"/>
      <c r="WKG295" s="3"/>
      <c r="WKH295" s="3"/>
      <c r="WKI295" s="3"/>
      <c r="WKJ295" s="3"/>
      <c r="WKK295" s="3"/>
      <c r="WKL295" s="3"/>
      <c r="WKM295" s="3"/>
      <c r="WKN295" s="3"/>
      <c r="WKO295" s="3"/>
      <c r="WKP295" s="3"/>
      <c r="WKQ295" s="3"/>
      <c r="WKR295" s="3"/>
      <c r="WKS295" s="3"/>
      <c r="WKT295" s="3"/>
      <c r="WKU295" s="3"/>
      <c r="WKV295" s="3"/>
      <c r="WKW295" s="3"/>
      <c r="WKX295" s="3"/>
      <c r="WKY295" s="3"/>
      <c r="WKZ295" s="3"/>
      <c r="WLA295" s="3"/>
      <c r="WLB295" s="3"/>
      <c r="WLC295" s="3"/>
      <c r="WLD295" s="3"/>
      <c r="WLE295" s="3"/>
      <c r="WLF295" s="3"/>
      <c r="WLG295" s="3"/>
      <c r="WLH295" s="3"/>
      <c r="WLI295" s="3"/>
      <c r="WLJ295" s="3"/>
      <c r="WLK295" s="3"/>
      <c r="WLL295" s="3"/>
      <c r="WLM295" s="3"/>
      <c r="WLN295" s="3"/>
      <c r="WLO295" s="3"/>
      <c r="WLP295" s="3"/>
      <c r="WLQ295" s="3"/>
      <c r="WLR295" s="3"/>
      <c r="WLS295" s="3"/>
      <c r="WLT295" s="3"/>
      <c r="WLU295" s="3"/>
      <c r="WLV295" s="3"/>
      <c r="WLW295" s="3"/>
      <c r="WLX295" s="3"/>
      <c r="WLY295" s="3"/>
      <c r="WLZ295" s="3"/>
      <c r="WMA295" s="3"/>
      <c r="WMB295" s="3"/>
      <c r="WMC295" s="3"/>
      <c r="WMD295" s="3"/>
      <c r="WME295" s="3"/>
      <c r="WMF295" s="3"/>
      <c r="WMG295" s="3"/>
      <c r="WMH295" s="3"/>
      <c r="WMI295" s="3"/>
      <c r="WMJ295" s="3"/>
      <c r="WMK295" s="3"/>
      <c r="WML295" s="3"/>
      <c r="WMM295" s="3"/>
      <c r="WMN295" s="3"/>
      <c r="WMO295" s="3"/>
      <c r="WMP295" s="3"/>
      <c r="WMQ295" s="3"/>
      <c r="WMR295" s="3"/>
      <c r="WMS295" s="3"/>
      <c r="WMT295" s="3"/>
      <c r="WMU295" s="3"/>
      <c r="WMV295" s="3"/>
      <c r="WMW295" s="3"/>
      <c r="WMX295" s="3"/>
      <c r="WMY295" s="3"/>
      <c r="WMZ295" s="3"/>
      <c r="WNA295" s="3"/>
      <c r="WNB295" s="3"/>
      <c r="WNC295" s="3"/>
      <c r="WND295" s="3"/>
      <c r="WNE295" s="3"/>
      <c r="WNF295" s="3"/>
      <c r="WNG295" s="3"/>
      <c r="WNH295" s="3"/>
      <c r="WNI295" s="3"/>
      <c r="WNJ295" s="3"/>
      <c r="WNK295" s="3"/>
      <c r="WNL295" s="3"/>
      <c r="WNM295" s="3"/>
      <c r="WNN295" s="3"/>
      <c r="WNO295" s="3"/>
      <c r="WNP295" s="3"/>
      <c r="WNQ295" s="3"/>
      <c r="WNR295" s="3"/>
      <c r="WNS295" s="3"/>
      <c r="WNT295" s="3"/>
      <c r="WNU295" s="3"/>
      <c r="WNV295" s="3"/>
      <c r="WNW295" s="3"/>
      <c r="WNX295" s="3"/>
      <c r="WNY295" s="3"/>
      <c r="WNZ295" s="3"/>
      <c r="WOA295" s="3"/>
      <c r="WOB295" s="3"/>
      <c r="WOC295" s="3"/>
      <c r="WOD295" s="3"/>
      <c r="WOE295" s="3"/>
      <c r="WOF295" s="3"/>
      <c r="WOG295" s="3"/>
      <c r="WOH295" s="3"/>
      <c r="WOI295" s="3"/>
      <c r="WOJ295" s="3"/>
      <c r="WOK295" s="3"/>
      <c r="WOL295" s="3"/>
      <c r="WOM295" s="3"/>
      <c r="WON295" s="3"/>
      <c r="WOO295" s="3"/>
      <c r="WOP295" s="3"/>
      <c r="WOQ295" s="3"/>
      <c r="WOR295" s="3"/>
      <c r="WOS295" s="3"/>
      <c r="WOT295" s="3"/>
      <c r="WOU295" s="3"/>
      <c r="WOV295" s="3"/>
      <c r="WOW295" s="3"/>
      <c r="WOX295" s="3"/>
      <c r="WOY295" s="3"/>
      <c r="WOZ295" s="3"/>
      <c r="WPA295" s="3"/>
      <c r="WPB295" s="3"/>
      <c r="WPC295" s="3"/>
      <c r="WPD295" s="3"/>
      <c r="WPE295" s="3"/>
      <c r="WPF295" s="3"/>
      <c r="WPG295" s="3"/>
      <c r="WPH295" s="3"/>
      <c r="WPI295" s="3"/>
      <c r="WPJ295" s="3"/>
      <c r="WPK295" s="3"/>
      <c r="WPL295" s="3"/>
      <c r="WPM295" s="3"/>
      <c r="WPN295" s="3"/>
      <c r="WPO295" s="3"/>
      <c r="WPP295" s="3"/>
      <c r="WPQ295" s="3"/>
      <c r="WPR295" s="3"/>
      <c r="WPS295" s="3"/>
      <c r="WPT295" s="3"/>
      <c r="WPU295" s="3"/>
      <c r="WPV295" s="3"/>
      <c r="WPW295" s="3"/>
      <c r="WPX295" s="3"/>
      <c r="WPY295" s="3"/>
      <c r="WPZ295" s="3"/>
      <c r="WQA295" s="3"/>
      <c r="WQB295" s="3"/>
      <c r="WQC295" s="3"/>
      <c r="WQD295" s="3"/>
      <c r="WQE295" s="3"/>
      <c r="WQF295" s="3"/>
      <c r="WQG295" s="3"/>
      <c r="WQH295" s="3"/>
      <c r="WQI295" s="3"/>
      <c r="WQJ295" s="3"/>
      <c r="WQK295" s="3"/>
      <c r="WQL295" s="3"/>
      <c r="WQM295" s="3"/>
      <c r="WQN295" s="3"/>
      <c r="WQO295" s="3"/>
      <c r="WQP295" s="3"/>
      <c r="WQQ295" s="3"/>
      <c r="WQR295" s="3"/>
      <c r="WQS295" s="3"/>
      <c r="WQT295" s="3"/>
      <c r="WQU295" s="3"/>
      <c r="WQV295" s="3"/>
      <c r="WQW295" s="3"/>
      <c r="WQX295" s="3"/>
      <c r="WQY295" s="3"/>
      <c r="WQZ295" s="3"/>
      <c r="WRA295" s="3"/>
      <c r="WRB295" s="3"/>
      <c r="WRC295" s="3"/>
      <c r="WRD295" s="3"/>
      <c r="WRE295" s="3"/>
      <c r="WRF295" s="3"/>
      <c r="WRG295" s="3"/>
      <c r="WRH295" s="3"/>
      <c r="WRI295" s="3"/>
      <c r="WRJ295" s="3"/>
      <c r="WRK295" s="3"/>
      <c r="WRL295" s="3"/>
      <c r="WRM295" s="3"/>
      <c r="WRN295" s="3"/>
      <c r="WRO295" s="3"/>
      <c r="WRP295" s="3"/>
      <c r="WRQ295" s="3"/>
      <c r="WRR295" s="3"/>
      <c r="WRS295" s="3"/>
      <c r="WRT295" s="3"/>
      <c r="WRU295" s="3"/>
      <c r="WRV295" s="3"/>
      <c r="WRW295" s="3"/>
      <c r="WRX295" s="3"/>
      <c r="WRY295" s="3"/>
      <c r="WRZ295" s="3"/>
      <c r="WSA295" s="3"/>
      <c r="WSB295" s="3"/>
      <c r="WSC295" s="3"/>
      <c r="WSD295" s="3"/>
      <c r="WSE295" s="3"/>
      <c r="WSF295" s="3"/>
      <c r="WSG295" s="3"/>
      <c r="WSH295" s="3"/>
      <c r="WSI295" s="3"/>
      <c r="WSJ295" s="3"/>
      <c r="WSK295" s="3"/>
      <c r="WSL295" s="3"/>
      <c r="WSM295" s="3"/>
      <c r="WSN295" s="3"/>
      <c r="WSO295" s="3"/>
      <c r="WSP295" s="3"/>
      <c r="WSQ295" s="3"/>
      <c r="WSR295" s="3"/>
      <c r="WSS295" s="3"/>
      <c r="WST295" s="3"/>
      <c r="WSU295" s="3"/>
      <c r="WSV295" s="3"/>
      <c r="WSW295" s="3"/>
      <c r="WSX295" s="3"/>
      <c r="WSY295" s="3"/>
      <c r="WSZ295" s="3"/>
      <c r="WTA295" s="3"/>
      <c r="WTB295" s="3"/>
      <c r="WTC295" s="3"/>
      <c r="WTD295" s="3"/>
      <c r="WTE295" s="3"/>
      <c r="WTF295" s="3"/>
      <c r="WTG295" s="3"/>
      <c r="WTH295" s="3"/>
      <c r="WTI295" s="3"/>
      <c r="WTJ295" s="3"/>
      <c r="WTK295" s="3"/>
      <c r="WTL295" s="3"/>
      <c r="WTM295" s="3"/>
      <c r="WTN295" s="3"/>
      <c r="WTO295" s="3"/>
      <c r="WTP295" s="3"/>
      <c r="WTQ295" s="3"/>
      <c r="WTR295" s="3"/>
      <c r="WTS295" s="3"/>
      <c r="WTT295" s="3"/>
      <c r="WTU295" s="3"/>
      <c r="WTV295" s="3"/>
      <c r="WTW295" s="3"/>
      <c r="WTX295" s="3"/>
      <c r="WTY295" s="3"/>
      <c r="WTZ295" s="3"/>
      <c r="WUA295" s="3"/>
      <c r="WUB295" s="3"/>
      <c r="WUC295" s="3"/>
      <c r="WUD295" s="3"/>
      <c r="WUE295" s="3"/>
      <c r="WUF295" s="3"/>
      <c r="WUG295" s="3"/>
      <c r="WUH295" s="3"/>
      <c r="WUI295" s="3"/>
      <c r="WUJ295" s="3"/>
      <c r="WUK295" s="3"/>
      <c r="WUL295" s="3"/>
      <c r="WUM295" s="3"/>
      <c r="WUN295" s="3"/>
      <c r="WUO295" s="3"/>
      <c r="WUP295" s="3"/>
      <c r="WUQ295" s="3"/>
      <c r="WUR295" s="3"/>
      <c r="WUS295" s="3"/>
      <c r="WUT295" s="3"/>
      <c r="WUU295" s="3"/>
      <c r="WUV295" s="3"/>
      <c r="WUW295" s="3"/>
      <c r="WUX295" s="3"/>
      <c r="WUY295" s="3"/>
      <c r="WUZ295" s="3"/>
      <c r="WVA295" s="3"/>
      <c r="WVB295" s="3"/>
      <c r="WVC295" s="3"/>
      <c r="WVD295" s="3"/>
      <c r="WVE295" s="3"/>
      <c r="WVF295" s="3"/>
      <c r="WVG295" s="3"/>
      <c r="WVH295" s="3"/>
      <c r="WVI295" s="3"/>
      <c r="WVJ295" s="3"/>
      <c r="WVK295" s="3"/>
      <c r="WVL295" s="3"/>
      <c r="WVM295" s="3"/>
      <c r="WVN295" s="3"/>
      <c r="WVO295" s="3"/>
      <c r="WVP295" s="3"/>
      <c r="WVQ295" s="3"/>
      <c r="WVR295" s="3"/>
      <c r="WVS295" s="3"/>
      <c r="WVT295" s="3"/>
      <c r="WVU295" s="3"/>
      <c r="WVV295" s="3"/>
      <c r="WVW295" s="3"/>
      <c r="WVX295" s="3"/>
      <c r="WVY295" s="3"/>
      <c r="WVZ295" s="3"/>
      <c r="WWA295" s="3"/>
      <c r="WWB295" s="3"/>
      <c r="WWC295" s="3"/>
      <c r="WWD295" s="3"/>
      <c r="WWE295" s="3"/>
      <c r="WWF295" s="3"/>
      <c r="WWG295" s="3"/>
      <c r="WWH295" s="3"/>
      <c r="WWI295" s="3"/>
      <c r="WWJ295" s="3"/>
      <c r="WWK295" s="3"/>
      <c r="WWL295" s="3"/>
      <c r="WWM295" s="3"/>
      <c r="WWN295" s="3"/>
      <c r="WWO295" s="3"/>
      <c r="WWP295" s="3"/>
      <c r="WWQ295" s="3"/>
      <c r="WWR295" s="3"/>
      <c r="WWS295" s="3"/>
      <c r="WWT295" s="3"/>
      <c r="WWU295" s="3"/>
      <c r="WWV295" s="3"/>
      <c r="WWW295" s="3"/>
      <c r="WWX295" s="3"/>
      <c r="WWY295" s="3"/>
      <c r="WWZ295" s="3"/>
      <c r="WXA295" s="3"/>
      <c r="WXB295" s="3"/>
      <c r="WXC295" s="3"/>
      <c r="WXD295" s="3"/>
      <c r="WXE295" s="3"/>
      <c r="WXF295" s="3"/>
      <c r="WXG295" s="3"/>
      <c r="WXH295" s="3"/>
      <c r="WXI295" s="3"/>
      <c r="WXJ295" s="3"/>
      <c r="WXK295" s="3"/>
      <c r="WXL295" s="3"/>
      <c r="WXM295" s="3"/>
      <c r="WXN295" s="3"/>
      <c r="WXO295" s="3"/>
      <c r="WXP295" s="3"/>
      <c r="WXQ295" s="3"/>
      <c r="WXR295" s="3"/>
      <c r="WXS295" s="3"/>
      <c r="WXT295" s="3"/>
      <c r="WXU295" s="3"/>
      <c r="WXV295" s="3"/>
      <c r="WXW295" s="3"/>
      <c r="WXX295" s="3"/>
      <c r="WXY295" s="3"/>
      <c r="WXZ295" s="3"/>
      <c r="WYA295" s="3"/>
      <c r="WYB295" s="3"/>
      <c r="WYC295" s="3"/>
      <c r="WYD295" s="3"/>
      <c r="WYE295" s="3"/>
      <c r="WYF295" s="3"/>
      <c r="WYG295" s="3"/>
      <c r="WYH295" s="3"/>
      <c r="WYI295" s="3"/>
      <c r="WYJ295" s="3"/>
      <c r="WYK295" s="3"/>
      <c r="WYL295" s="3"/>
      <c r="WYM295" s="3"/>
      <c r="WYN295" s="3"/>
      <c r="WYO295" s="3"/>
      <c r="WYP295" s="3"/>
      <c r="WYQ295" s="3"/>
      <c r="WYR295" s="3"/>
      <c r="WYS295" s="3"/>
      <c r="WYT295" s="3"/>
      <c r="WYU295" s="3"/>
      <c r="WYV295" s="3"/>
      <c r="WYW295" s="3"/>
      <c r="WYX295" s="3"/>
      <c r="WYY295" s="3"/>
      <c r="WYZ295" s="3"/>
      <c r="WZA295" s="3"/>
      <c r="WZB295" s="3"/>
      <c r="WZC295" s="3"/>
      <c r="WZD295" s="3"/>
      <c r="WZE295" s="3"/>
      <c r="WZF295" s="3"/>
      <c r="WZG295" s="3"/>
      <c r="WZH295" s="3"/>
      <c r="WZI295" s="3"/>
      <c r="WZJ295" s="3"/>
      <c r="WZK295" s="3"/>
      <c r="WZL295" s="3"/>
      <c r="WZM295" s="3"/>
      <c r="WZN295" s="3"/>
      <c r="WZO295" s="3"/>
      <c r="WZP295" s="3"/>
      <c r="WZQ295" s="3"/>
      <c r="WZR295" s="3"/>
      <c r="WZS295" s="3"/>
      <c r="WZT295" s="3"/>
      <c r="WZU295" s="3"/>
      <c r="WZV295" s="3"/>
      <c r="WZW295" s="3"/>
      <c r="WZX295" s="3"/>
      <c r="WZY295" s="3"/>
      <c r="WZZ295" s="3"/>
      <c r="XAA295" s="3"/>
      <c r="XAB295" s="3"/>
      <c r="XAC295" s="3"/>
      <c r="XAD295" s="3"/>
      <c r="XAE295" s="3"/>
      <c r="XAF295" s="3"/>
      <c r="XAG295" s="3"/>
      <c r="XAH295" s="3"/>
      <c r="XAI295" s="3"/>
      <c r="XAJ295" s="3"/>
      <c r="XAK295" s="3"/>
      <c r="XAL295" s="3"/>
      <c r="XAM295" s="3"/>
      <c r="XAN295" s="3"/>
      <c r="XAO295" s="3"/>
      <c r="XAP295" s="3"/>
      <c r="XAQ295" s="3"/>
      <c r="XAR295" s="3"/>
      <c r="XAS295" s="3"/>
      <c r="XAT295" s="3"/>
      <c r="XAU295" s="3"/>
      <c r="XAV295" s="3"/>
      <c r="XAW295" s="3"/>
      <c r="XAX295" s="3"/>
      <c r="XAY295" s="3"/>
      <c r="XAZ295" s="3"/>
      <c r="XBA295" s="3"/>
      <c r="XBB295" s="3"/>
      <c r="XBC295" s="3"/>
      <c r="XBD295" s="3"/>
      <c r="XBE295" s="3"/>
      <c r="XBF295" s="3"/>
      <c r="XBG295" s="3"/>
      <c r="XBH295" s="3"/>
      <c r="XBI295" s="3"/>
      <c r="XBJ295" s="3"/>
      <c r="XBK295" s="3"/>
      <c r="XBL295" s="3"/>
      <c r="XBM295" s="3"/>
      <c r="XBN295" s="3"/>
      <c r="XBO295" s="3"/>
      <c r="XBP295" s="3"/>
      <c r="XBQ295" s="3"/>
      <c r="XBR295" s="3"/>
      <c r="XBS295" s="3"/>
      <c r="XBT295" s="3"/>
      <c r="XBU295" s="3"/>
      <c r="XBV295" s="3"/>
      <c r="XBW295" s="3"/>
      <c r="XBX295" s="3"/>
      <c r="XBY295" s="3"/>
      <c r="XBZ295" s="3"/>
      <c r="XCA295" s="3"/>
      <c r="XCB295" s="3"/>
      <c r="XCC295" s="3"/>
      <c r="XCD295" s="3"/>
      <c r="XCE295" s="3"/>
      <c r="XCF295" s="3"/>
      <c r="XCG295" s="3"/>
      <c r="XCH295" s="3"/>
      <c r="XCI295" s="3"/>
      <c r="XCJ295" s="3"/>
      <c r="XCK295" s="3"/>
      <c r="XCL295" s="3"/>
      <c r="XCM295" s="3"/>
      <c r="XCN295" s="3"/>
      <c r="XCO295" s="3"/>
      <c r="XCP295" s="3"/>
      <c r="XCQ295" s="3"/>
      <c r="XCR295" s="3"/>
      <c r="XCS295" s="3"/>
      <c r="XCT295" s="3"/>
      <c r="XCU295" s="3"/>
      <c r="XCV295" s="3"/>
      <c r="XCW295" s="3"/>
      <c r="XCX295" s="3"/>
      <c r="XCY295" s="3"/>
      <c r="XCZ295" s="3"/>
      <c r="XDA295" s="3"/>
      <c r="XDB295" s="3"/>
      <c r="XDC295" s="3"/>
      <c r="XDD295" s="3"/>
      <c r="XDE295" s="3"/>
      <c r="XDF295" s="3"/>
      <c r="XDG295" s="3"/>
      <c r="XDH295" s="3"/>
      <c r="XDI295" s="3"/>
      <c r="XDJ295" s="3"/>
      <c r="XDK295" s="3"/>
      <c r="XDL295" s="3"/>
      <c r="XDM295" s="3"/>
      <c r="XDN295" s="3"/>
      <c r="XDO295" s="3"/>
      <c r="XDP295" s="3"/>
      <c r="XDQ295" s="3"/>
      <c r="XDR295" s="3"/>
      <c r="XDS295" s="3"/>
      <c r="XDT295" s="3"/>
      <c r="XDU295" s="3"/>
      <c r="XDV295" s="3"/>
      <c r="XDW295" s="3"/>
      <c r="XDX295" s="3"/>
      <c r="XDY295" s="3"/>
      <c r="XDZ295" s="3"/>
      <c r="XEA295" s="3"/>
      <c r="XEB295" s="3"/>
      <c r="XEC295" s="3"/>
      <c r="XED295" s="3"/>
      <c r="XEE295" s="3"/>
      <c r="XEF295" s="3"/>
      <c r="XEG295" s="3"/>
      <c r="XEH295" s="3"/>
      <c r="XEI295" s="3"/>
      <c r="XEJ295" s="3"/>
      <c r="XEK295" s="3"/>
      <c r="XEL295" s="3"/>
      <c r="XEM295" s="3"/>
      <c r="XEN295" s="3"/>
      <c r="XEO295" s="3"/>
      <c r="XEP295" s="3"/>
      <c r="XEQ295" s="3"/>
      <c r="XER295" s="3"/>
      <c r="XES295" s="3"/>
      <c r="XET295" s="3"/>
      <c r="XEU295" s="3"/>
      <c r="XEV295" s="3"/>
    </row>
    <row r="296" spans="1:16376">
      <c r="A296" s="8"/>
      <c r="C296" s="6"/>
      <c r="D296" s="6"/>
      <c r="E296" s="6"/>
      <c r="F296" s="6"/>
    </row>
    <row r="297" spans="1:16376">
      <c r="A297" s="8"/>
      <c r="C297" s="6"/>
      <c r="D297" s="6"/>
      <c r="E297" s="6" t="s">
        <v>357</v>
      </c>
      <c r="F297" s="6"/>
      <c r="I297">
        <v>1024893</v>
      </c>
      <c r="O297">
        <f>SUM(O2:O296)</f>
        <v>1024893</v>
      </c>
    </row>
    <row r="299" spans="1:16376">
      <c r="A299" s="11" t="s">
        <v>449</v>
      </c>
    </row>
    <row r="300" spans="1:16376">
      <c r="A300" s="9">
        <v>4880</v>
      </c>
      <c r="B300" s="3" t="s">
        <v>161</v>
      </c>
      <c r="C300" s="19">
        <v>89737.98000000001</v>
      </c>
      <c r="D300" s="20">
        <v>350887.32</v>
      </c>
      <c r="E300" s="18">
        <v>0</v>
      </c>
      <c r="F300" s="23">
        <v>3468.59</v>
      </c>
      <c r="G300" t="s">
        <v>307</v>
      </c>
      <c r="H300" t="s">
        <v>309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EV42"/>
  <sheetViews>
    <sheetView workbookViewId="0">
      <selection activeCell="J1" sqref="J1:N1"/>
    </sheetView>
  </sheetViews>
  <sheetFormatPr defaultRowHeight="12.75"/>
  <cols>
    <col min="2" max="2" width="36.5703125" customWidth="1"/>
    <col min="3" max="6" width="16.85546875" customWidth="1"/>
    <col min="9" max="9" width="14" customWidth="1"/>
    <col min="10" max="10" width="14.7109375" customWidth="1"/>
    <col min="11" max="11" width="7.7109375" customWidth="1"/>
    <col min="12" max="12" width="6.42578125" customWidth="1"/>
    <col min="13" max="13" width="6" customWidth="1"/>
  </cols>
  <sheetData>
    <row r="1" spans="1:16376">
      <c r="A1" s="1" t="s">
        <v>5</v>
      </c>
      <c r="B1" s="2" t="s">
        <v>6</v>
      </c>
      <c r="C1" s="7" t="s">
        <v>302</v>
      </c>
      <c r="D1" s="7" t="s">
        <v>303</v>
      </c>
      <c r="E1" s="7" t="s">
        <v>306</v>
      </c>
      <c r="F1" s="7" t="s">
        <v>2</v>
      </c>
      <c r="G1" s="5" t="s">
        <v>437</v>
      </c>
      <c r="H1" s="5" t="s">
        <v>438</v>
      </c>
      <c r="I1" s="5" t="s">
        <v>370</v>
      </c>
      <c r="J1" t="s">
        <v>444</v>
      </c>
      <c r="K1" t="s">
        <v>445</v>
      </c>
      <c r="L1" t="s">
        <v>446</v>
      </c>
      <c r="M1" t="s">
        <v>447</v>
      </c>
      <c r="N1" t="s">
        <v>448</v>
      </c>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row>
    <row r="2" spans="1:16376">
      <c r="A2" s="5">
        <v>9300</v>
      </c>
      <c r="B2" s="11" t="s">
        <v>311</v>
      </c>
      <c r="C2" s="19">
        <v>326780.32999999996</v>
      </c>
      <c r="D2" s="20">
        <v>807114.87000000011</v>
      </c>
      <c r="E2" s="18">
        <v>101921.09</v>
      </c>
      <c r="F2" s="23">
        <v>666.16</v>
      </c>
      <c r="G2" t="s">
        <v>350</v>
      </c>
      <c r="H2" t="s">
        <v>309</v>
      </c>
      <c r="I2">
        <v>132</v>
      </c>
      <c r="J2" s="47" t="str">
        <f>"Campagna Academy Charter School   "</f>
        <v xml:space="preserve">Campagna Academy Charter School   </v>
      </c>
      <c r="K2" s="47" t="str">
        <f>"9300"</f>
        <v>9300</v>
      </c>
      <c r="L2" s="47">
        <v>0</v>
      </c>
      <c r="M2" s="47">
        <v>132</v>
      </c>
      <c r="N2" s="47">
        <f t="shared" ref="N2:N38" si="0">M2-L2</f>
        <v>132</v>
      </c>
    </row>
    <row r="3" spans="1:16376">
      <c r="A3" s="5">
        <v>9310</v>
      </c>
      <c r="B3" s="11" t="s">
        <v>310</v>
      </c>
      <c r="C3" s="19">
        <v>1342579.27</v>
      </c>
      <c r="D3" s="20">
        <v>2681037.02</v>
      </c>
      <c r="E3" s="18">
        <v>1028481.99</v>
      </c>
      <c r="F3" s="23">
        <v>0</v>
      </c>
      <c r="G3" t="s">
        <v>350</v>
      </c>
      <c r="H3" t="s">
        <v>309</v>
      </c>
      <c r="I3">
        <v>490</v>
      </c>
      <c r="J3" s="47" t="str">
        <f>"Charter School of the Dunes       "</f>
        <v xml:space="preserve">Charter School of the Dunes       </v>
      </c>
      <c r="K3" s="47" t="str">
        <f>"9310"</f>
        <v>9310</v>
      </c>
      <c r="L3" s="47">
        <v>0</v>
      </c>
      <c r="M3" s="47">
        <v>490</v>
      </c>
      <c r="N3" s="47">
        <f t="shared" si="0"/>
        <v>490</v>
      </c>
    </row>
    <row r="4" spans="1:16376">
      <c r="A4" s="5">
        <v>9315</v>
      </c>
      <c r="B4" s="11" t="s">
        <v>312</v>
      </c>
      <c r="C4" s="19">
        <v>644456.97</v>
      </c>
      <c r="D4" s="20">
        <v>1221566.2799999998</v>
      </c>
      <c r="E4" s="18">
        <v>14193</v>
      </c>
      <c r="F4" s="23">
        <v>4468.0200000000004</v>
      </c>
      <c r="G4" t="s">
        <v>350</v>
      </c>
      <c r="H4" t="s">
        <v>309</v>
      </c>
      <c r="I4">
        <v>276</v>
      </c>
      <c r="J4" s="47" t="str">
        <f>"Signature School Inc              "</f>
        <v xml:space="preserve">Signature School Inc              </v>
      </c>
      <c r="K4" s="47" t="str">
        <f>"9315"</f>
        <v>9315</v>
      </c>
      <c r="L4" s="47">
        <v>0</v>
      </c>
      <c r="M4" s="47">
        <v>276</v>
      </c>
      <c r="N4" s="47">
        <f t="shared" si="0"/>
        <v>276</v>
      </c>
    </row>
    <row r="5" spans="1:16376">
      <c r="A5" s="5">
        <v>9320</v>
      </c>
      <c r="B5" s="11" t="s">
        <v>313</v>
      </c>
      <c r="C5" s="19">
        <v>1068842.24</v>
      </c>
      <c r="D5" s="20">
        <v>1022130.9299999999</v>
      </c>
      <c r="E5" s="18">
        <v>0</v>
      </c>
      <c r="F5" s="23">
        <v>74667.009999999995</v>
      </c>
      <c r="G5" t="s">
        <v>350</v>
      </c>
      <c r="H5" t="s">
        <v>309</v>
      </c>
      <c r="I5">
        <v>314</v>
      </c>
      <c r="J5" s="47" t="str">
        <f>"Community Montessori Inc          "</f>
        <v xml:space="preserve">Community Montessori Inc          </v>
      </c>
      <c r="K5" s="47" t="str">
        <f>"9320"</f>
        <v>9320</v>
      </c>
      <c r="L5" s="47">
        <v>2</v>
      </c>
      <c r="M5" s="47">
        <v>316</v>
      </c>
      <c r="N5" s="47">
        <f t="shared" si="0"/>
        <v>314</v>
      </c>
    </row>
    <row r="6" spans="1:16376">
      <c r="A6" s="5">
        <v>9325</v>
      </c>
      <c r="B6" s="11" t="s">
        <v>314</v>
      </c>
      <c r="C6" s="19">
        <v>225369.47999999998</v>
      </c>
      <c r="D6" s="20">
        <v>882330.8</v>
      </c>
      <c r="E6" s="18">
        <v>2691.1</v>
      </c>
      <c r="F6" s="23">
        <v>17088</v>
      </c>
      <c r="G6" t="s">
        <v>350</v>
      </c>
      <c r="H6" t="s">
        <v>309</v>
      </c>
      <c r="I6">
        <v>131</v>
      </c>
      <c r="J6" s="47" t="str">
        <f>"Options Charter School - Carmel   "</f>
        <v xml:space="preserve">Options Charter School - Carmel   </v>
      </c>
      <c r="K6" s="47" t="str">
        <f>"9325"</f>
        <v>9325</v>
      </c>
      <c r="L6" s="47">
        <v>0</v>
      </c>
      <c r="M6" s="47">
        <v>131</v>
      </c>
      <c r="N6" s="47">
        <f t="shared" si="0"/>
        <v>131</v>
      </c>
    </row>
    <row r="7" spans="1:16376">
      <c r="A7" s="5">
        <v>9330</v>
      </c>
      <c r="B7" s="11" t="s">
        <v>315</v>
      </c>
      <c r="C7" s="19">
        <v>1235976.17</v>
      </c>
      <c r="D7" s="20">
        <v>1960846.58</v>
      </c>
      <c r="E7" s="18">
        <v>171365.85</v>
      </c>
      <c r="F7" s="23">
        <v>612266.4</v>
      </c>
      <c r="G7" t="s">
        <v>350</v>
      </c>
      <c r="H7" t="s">
        <v>308</v>
      </c>
      <c r="I7">
        <v>460</v>
      </c>
      <c r="J7" s="47" t="str">
        <f>"Irvington Community School        "</f>
        <v xml:space="preserve">Irvington Community School        </v>
      </c>
      <c r="K7" s="47" t="str">
        <f>"9330"</f>
        <v>9330</v>
      </c>
      <c r="L7" s="47">
        <v>0</v>
      </c>
      <c r="M7" s="47">
        <v>460</v>
      </c>
      <c r="N7" s="47">
        <f t="shared" si="0"/>
        <v>460</v>
      </c>
    </row>
    <row r="8" spans="1:16376">
      <c r="A8" s="5">
        <v>9340</v>
      </c>
      <c r="B8" s="11" t="s">
        <v>316</v>
      </c>
      <c r="C8" s="19">
        <v>203265.69</v>
      </c>
      <c r="D8" s="20">
        <v>312350.69999999995</v>
      </c>
      <c r="E8" s="18">
        <v>0</v>
      </c>
      <c r="F8" s="23">
        <v>43700.57</v>
      </c>
      <c r="G8" t="s">
        <v>350</v>
      </c>
      <c r="H8" t="s">
        <v>309</v>
      </c>
      <c r="I8">
        <v>73</v>
      </c>
      <c r="J8" s="47" t="str">
        <f>"New Community School              "</f>
        <v xml:space="preserve">New Community School              </v>
      </c>
      <c r="K8" s="47" t="str">
        <f>"9340"</f>
        <v>9340</v>
      </c>
      <c r="L8" s="47">
        <v>0</v>
      </c>
      <c r="M8" s="47">
        <v>73</v>
      </c>
      <c r="N8" s="47">
        <f t="shared" si="0"/>
        <v>73</v>
      </c>
    </row>
    <row r="9" spans="1:16376">
      <c r="A9" s="5">
        <v>9350</v>
      </c>
      <c r="B9" s="11" t="s">
        <v>317</v>
      </c>
      <c r="C9" s="19">
        <v>245493.83000000002</v>
      </c>
      <c r="D9" s="20">
        <v>1003857.7</v>
      </c>
      <c r="E9" s="18">
        <v>294125.31</v>
      </c>
      <c r="F9" s="23">
        <v>4485.9400000000005</v>
      </c>
      <c r="G9" t="s">
        <v>350</v>
      </c>
      <c r="H9" t="s">
        <v>309</v>
      </c>
      <c r="I9">
        <v>224</v>
      </c>
      <c r="J9" s="47" t="str">
        <f>"Timothy L Johnson Academy         "</f>
        <v xml:space="preserve">Timothy L Johnson Academy         </v>
      </c>
      <c r="K9" s="47" t="str">
        <f>"9350"</f>
        <v>9350</v>
      </c>
      <c r="L9" s="47">
        <v>0</v>
      </c>
      <c r="M9" s="47">
        <v>224</v>
      </c>
      <c r="N9" s="47">
        <f t="shared" si="0"/>
        <v>224</v>
      </c>
    </row>
    <row r="10" spans="1:16376">
      <c r="A10" s="5">
        <v>9360</v>
      </c>
      <c r="B10" s="11" t="s">
        <v>318</v>
      </c>
      <c r="C10" s="19">
        <v>278144.52999999997</v>
      </c>
      <c r="D10" s="20">
        <v>649584.43999999994</v>
      </c>
      <c r="E10" s="18">
        <v>47855.29</v>
      </c>
      <c r="F10" s="23">
        <v>1585.26</v>
      </c>
      <c r="G10" t="s">
        <v>350</v>
      </c>
      <c r="H10" t="s">
        <v>309</v>
      </c>
      <c r="I10">
        <v>182</v>
      </c>
      <c r="J10" s="47" t="str">
        <f>"Veritas Academy                   "</f>
        <v xml:space="preserve">Veritas Academy                   </v>
      </c>
      <c r="K10" s="47" t="str">
        <f>"9360"</f>
        <v>9360</v>
      </c>
      <c r="L10" s="47">
        <v>0</v>
      </c>
      <c r="M10" s="47">
        <v>182</v>
      </c>
      <c r="N10" s="47">
        <f t="shared" si="0"/>
        <v>182</v>
      </c>
    </row>
    <row r="11" spans="1:16376">
      <c r="A11" s="5">
        <v>9370</v>
      </c>
      <c r="B11" s="11" t="s">
        <v>319</v>
      </c>
      <c r="C11" s="19">
        <v>711319.8</v>
      </c>
      <c r="D11" s="20">
        <v>1510339.7000000002</v>
      </c>
      <c r="E11" s="18">
        <v>224613.1</v>
      </c>
      <c r="F11" s="23">
        <v>332</v>
      </c>
      <c r="G11" t="s">
        <v>350</v>
      </c>
      <c r="H11" t="s">
        <v>308</v>
      </c>
      <c r="I11">
        <v>307</v>
      </c>
      <c r="J11" s="47" t="str">
        <f>"Fall Creek Academy                "</f>
        <v xml:space="preserve">Fall Creek Academy                </v>
      </c>
      <c r="K11" s="47" t="str">
        <f>"9370"</f>
        <v>9370</v>
      </c>
      <c r="L11" s="47">
        <v>0</v>
      </c>
      <c r="M11" s="47">
        <v>307</v>
      </c>
      <c r="N11" s="47">
        <f t="shared" si="0"/>
        <v>307</v>
      </c>
    </row>
    <row r="12" spans="1:16376">
      <c r="A12" s="5">
        <v>9380</v>
      </c>
      <c r="B12" s="11" t="s">
        <v>320</v>
      </c>
      <c r="C12" s="19">
        <v>1949162.61</v>
      </c>
      <c r="D12" s="20">
        <v>1927108.92</v>
      </c>
      <c r="E12" s="18">
        <v>522362.80999999994</v>
      </c>
      <c r="F12" s="23">
        <v>19667.97</v>
      </c>
      <c r="G12" t="s">
        <v>350</v>
      </c>
      <c r="H12" t="s">
        <v>308</v>
      </c>
      <c r="I12">
        <v>384</v>
      </c>
      <c r="J12" s="47" t="str">
        <f>"Christel House Academy            "</f>
        <v xml:space="preserve">Christel House Academy            </v>
      </c>
      <c r="K12" s="47" t="str">
        <f>"9380"</f>
        <v>9380</v>
      </c>
      <c r="L12" s="47">
        <v>0</v>
      </c>
      <c r="M12" s="47">
        <v>384</v>
      </c>
      <c r="N12" s="47">
        <f t="shared" si="0"/>
        <v>384</v>
      </c>
    </row>
    <row r="13" spans="1:16376">
      <c r="A13" s="5">
        <v>9390</v>
      </c>
      <c r="B13" s="11" t="s">
        <v>321</v>
      </c>
      <c r="C13" s="19">
        <v>488614.88</v>
      </c>
      <c r="D13" s="20">
        <v>968099.89</v>
      </c>
      <c r="E13" s="18">
        <v>157918.97</v>
      </c>
      <c r="F13" s="23">
        <v>2690.48</v>
      </c>
      <c r="G13" t="s">
        <v>350</v>
      </c>
      <c r="H13" t="s">
        <v>308</v>
      </c>
      <c r="I13">
        <v>227</v>
      </c>
      <c r="J13" s="47" t="str">
        <f>"Flanner House Elementary School   "</f>
        <v xml:space="preserve">Flanner House Elementary School   </v>
      </c>
      <c r="K13" s="47" t="str">
        <f>"9390"</f>
        <v>9390</v>
      </c>
      <c r="L13" s="47">
        <v>0</v>
      </c>
      <c r="M13" s="47">
        <v>227</v>
      </c>
      <c r="N13" s="47">
        <f t="shared" si="0"/>
        <v>227</v>
      </c>
    </row>
    <row r="14" spans="1:16376">
      <c r="A14" s="5">
        <v>9400</v>
      </c>
      <c r="B14" s="11" t="s">
        <v>322</v>
      </c>
      <c r="C14" s="19">
        <v>582873.54</v>
      </c>
      <c r="D14" s="20">
        <v>917455.33000000007</v>
      </c>
      <c r="E14" s="18">
        <v>267771.11</v>
      </c>
      <c r="F14" s="23">
        <v>453004.39999999997</v>
      </c>
      <c r="G14" t="s">
        <v>350</v>
      </c>
      <c r="H14" t="s">
        <v>308</v>
      </c>
      <c r="I14">
        <v>214</v>
      </c>
      <c r="J14" s="47" t="str">
        <f>"KIPP Indpls College Preparatory   "</f>
        <v xml:space="preserve">KIPP Indpls College Preparatory   </v>
      </c>
      <c r="K14" s="47" t="str">
        <f>"9400"</f>
        <v>9400</v>
      </c>
      <c r="L14" s="47">
        <v>0</v>
      </c>
      <c r="M14" s="47">
        <v>214</v>
      </c>
      <c r="N14" s="47">
        <f t="shared" si="0"/>
        <v>214</v>
      </c>
    </row>
    <row r="15" spans="1:16376">
      <c r="A15" s="5">
        <v>9445</v>
      </c>
      <c r="B15" s="11" t="s">
        <v>323</v>
      </c>
      <c r="C15" s="19">
        <v>1021456.9299999999</v>
      </c>
      <c r="D15" s="20">
        <v>1085716.7</v>
      </c>
      <c r="E15" s="18">
        <v>183916.7</v>
      </c>
      <c r="F15" s="23">
        <v>334292.08</v>
      </c>
      <c r="G15" t="s">
        <v>350</v>
      </c>
      <c r="H15" t="s">
        <v>308</v>
      </c>
      <c r="I15">
        <v>245</v>
      </c>
      <c r="J15" s="47" t="str">
        <f>"Charles A Tindley Accelerated Schl"</f>
        <v>Charles A Tindley Accelerated Schl</v>
      </c>
      <c r="K15" s="47" t="str">
        <f>"9445"</f>
        <v>9445</v>
      </c>
      <c r="L15" s="47">
        <v>0</v>
      </c>
      <c r="M15" s="47">
        <v>245</v>
      </c>
      <c r="N15" s="47">
        <f t="shared" si="0"/>
        <v>245</v>
      </c>
    </row>
    <row r="16" spans="1:16376">
      <c r="A16" s="5">
        <v>9460</v>
      </c>
      <c r="B16" s="11" t="s">
        <v>324</v>
      </c>
      <c r="C16" s="19">
        <v>1480101.44</v>
      </c>
      <c r="D16" s="20">
        <v>2896239.5</v>
      </c>
      <c r="E16" s="18">
        <v>665169.22</v>
      </c>
      <c r="F16" s="23">
        <v>0</v>
      </c>
      <c r="G16" t="s">
        <v>350</v>
      </c>
      <c r="H16" t="s">
        <v>309</v>
      </c>
      <c r="I16">
        <v>572</v>
      </c>
      <c r="J16" s="47" t="str">
        <f>"Thea Bowman Leadership Academy    "</f>
        <v xml:space="preserve">Thea Bowman Leadership Academy    </v>
      </c>
      <c r="K16" s="47" t="str">
        <f>"9460"</f>
        <v>9460</v>
      </c>
      <c r="L16" s="47">
        <v>0</v>
      </c>
      <c r="M16" s="47">
        <v>572</v>
      </c>
      <c r="N16" s="47">
        <f t="shared" si="0"/>
        <v>572</v>
      </c>
    </row>
    <row r="17" spans="1:14">
      <c r="A17" s="5">
        <v>9465</v>
      </c>
      <c r="B17" s="11" t="s">
        <v>325</v>
      </c>
      <c r="C17" s="19">
        <v>189489.96</v>
      </c>
      <c r="D17" s="20">
        <v>441988.54</v>
      </c>
      <c r="E17" s="18">
        <v>43604.74</v>
      </c>
      <c r="F17" s="23">
        <v>168623.87</v>
      </c>
      <c r="G17" t="s">
        <v>350</v>
      </c>
      <c r="H17" t="s">
        <v>309</v>
      </c>
      <c r="I17">
        <v>123</v>
      </c>
      <c r="J17" s="47" t="str">
        <f>"Rural Community Schools Inc       "</f>
        <v xml:space="preserve">Rural Community Schools Inc       </v>
      </c>
      <c r="K17" s="47" t="str">
        <f>"9465"</f>
        <v>9465</v>
      </c>
      <c r="L17" s="47">
        <v>0</v>
      </c>
      <c r="M17" s="47">
        <v>123</v>
      </c>
      <c r="N17" s="47">
        <f t="shared" si="0"/>
        <v>123</v>
      </c>
    </row>
    <row r="18" spans="1:14">
      <c r="A18" s="24">
        <v>9470</v>
      </c>
      <c r="B18" s="16" t="s">
        <v>326</v>
      </c>
      <c r="C18" s="19">
        <v>441615.17000000004</v>
      </c>
      <c r="D18" s="20">
        <v>541937.93999999994</v>
      </c>
      <c r="E18" s="18">
        <v>62221.65</v>
      </c>
      <c r="F18" s="23">
        <v>143309.69</v>
      </c>
      <c r="G18" s="3" t="s">
        <v>350</v>
      </c>
      <c r="H18" s="3" t="s">
        <v>308</v>
      </c>
      <c r="I18" s="3">
        <v>122</v>
      </c>
      <c r="J18" s="48" t="s">
        <v>443</v>
      </c>
      <c r="K18" s="47" t="str">
        <f>"9470"</f>
        <v>9470</v>
      </c>
      <c r="L18" s="47">
        <v>0</v>
      </c>
      <c r="M18" s="47">
        <v>122</v>
      </c>
      <c r="N18" s="47">
        <f t="shared" si="0"/>
        <v>122</v>
      </c>
    </row>
    <row r="19" spans="1:14">
      <c r="A19" s="24">
        <v>9475</v>
      </c>
      <c r="B19" s="16" t="s">
        <v>327</v>
      </c>
      <c r="C19" s="19">
        <v>418757.25</v>
      </c>
      <c r="D19" s="20">
        <v>536218.84</v>
      </c>
      <c r="E19" s="18">
        <v>50701.99</v>
      </c>
      <c r="F19" s="23">
        <v>134015.94</v>
      </c>
      <c r="G19" s="3" t="s">
        <v>350</v>
      </c>
      <c r="H19" s="3" t="s">
        <v>308</v>
      </c>
      <c r="I19" s="3">
        <v>125</v>
      </c>
      <c r="J19" s="48" t="s">
        <v>443</v>
      </c>
      <c r="K19" s="47" t="str">
        <f>"9475"</f>
        <v>9475</v>
      </c>
      <c r="L19" s="47">
        <v>0</v>
      </c>
      <c r="M19" s="47">
        <v>125</v>
      </c>
      <c r="N19" s="47">
        <f t="shared" si="0"/>
        <v>125</v>
      </c>
    </row>
    <row r="20" spans="1:14">
      <c r="A20" s="5">
        <v>9480</v>
      </c>
      <c r="B20" s="11" t="s">
        <v>328</v>
      </c>
      <c r="C20" s="19">
        <v>592986.79</v>
      </c>
      <c r="D20" s="20">
        <v>971940.1399999999</v>
      </c>
      <c r="E20" s="18">
        <v>281787.09999999998</v>
      </c>
      <c r="F20" s="23">
        <v>309609</v>
      </c>
      <c r="G20" t="s">
        <v>350</v>
      </c>
      <c r="H20" t="s">
        <v>308</v>
      </c>
      <c r="I20">
        <v>210</v>
      </c>
      <c r="J20" s="47" t="str">
        <f>"Fountain Square Academy           "</f>
        <v xml:space="preserve">Fountain Square Academy           </v>
      </c>
      <c r="K20" s="47" t="str">
        <f>"9480"</f>
        <v>9480</v>
      </c>
      <c r="L20" s="47">
        <v>0</v>
      </c>
      <c r="M20" s="47">
        <v>210</v>
      </c>
      <c r="N20" s="47">
        <f t="shared" si="0"/>
        <v>210</v>
      </c>
    </row>
    <row r="21" spans="1:14">
      <c r="A21" s="5">
        <v>9485</v>
      </c>
      <c r="B21" s="11" t="s">
        <v>329</v>
      </c>
      <c r="C21" s="19">
        <v>396077.36</v>
      </c>
      <c r="D21" s="20">
        <v>925885.97</v>
      </c>
      <c r="E21" s="18">
        <v>246204.83000000002</v>
      </c>
      <c r="F21" s="23">
        <v>214026.16</v>
      </c>
      <c r="G21" t="s">
        <v>350</v>
      </c>
      <c r="H21" t="s">
        <v>308</v>
      </c>
      <c r="I21">
        <v>235</v>
      </c>
      <c r="J21" s="47" t="str">
        <f>"SE Neighborhood Sch of Excellence "</f>
        <v xml:space="preserve">SE Neighborhood Sch of Excellence </v>
      </c>
      <c r="K21" s="47" t="str">
        <f>"9485"</f>
        <v>9485</v>
      </c>
      <c r="L21" s="47">
        <v>0</v>
      </c>
      <c r="M21" s="47">
        <v>235</v>
      </c>
      <c r="N21" s="47">
        <f t="shared" si="0"/>
        <v>235</v>
      </c>
    </row>
    <row r="22" spans="1:14">
      <c r="A22" s="5">
        <v>9495</v>
      </c>
      <c r="B22" s="11" t="s">
        <v>330</v>
      </c>
      <c r="C22" s="19">
        <v>570590.5</v>
      </c>
      <c r="D22" s="20">
        <v>859714.75</v>
      </c>
      <c r="E22" s="18">
        <v>330169.80000000005</v>
      </c>
      <c r="F22" s="23">
        <v>51236.52</v>
      </c>
      <c r="G22" t="s">
        <v>350</v>
      </c>
      <c r="H22" t="s">
        <v>309</v>
      </c>
      <c r="I22">
        <v>228</v>
      </c>
      <c r="J22" s="47" t="str">
        <f>"Joshua Academy                    "</f>
        <v xml:space="preserve">Joshua Academy                    </v>
      </c>
      <c r="K22" s="47" t="str">
        <f>"9495"</f>
        <v>9495</v>
      </c>
      <c r="L22" s="47">
        <v>0</v>
      </c>
      <c r="M22" s="47">
        <v>228</v>
      </c>
      <c r="N22" s="47">
        <f t="shared" si="0"/>
        <v>228</v>
      </c>
    </row>
    <row r="23" spans="1:14">
      <c r="A23" s="5">
        <v>9525</v>
      </c>
      <c r="B23" s="11" t="s">
        <v>331</v>
      </c>
      <c r="C23" s="19">
        <v>589468.51</v>
      </c>
      <c r="D23" s="20">
        <v>516467.81000000006</v>
      </c>
      <c r="E23" s="18">
        <v>14853</v>
      </c>
      <c r="F23" s="23">
        <v>549.5</v>
      </c>
      <c r="G23" t="s">
        <v>350</v>
      </c>
      <c r="H23" t="s">
        <v>308</v>
      </c>
      <c r="I23">
        <v>127</v>
      </c>
      <c r="J23" s="47" t="str">
        <f>"Decatur Discovery Academy Inc     "</f>
        <v xml:space="preserve">Decatur Discovery Academy Inc     </v>
      </c>
      <c r="K23" s="47" t="str">
        <f>"9525"</f>
        <v>9525</v>
      </c>
      <c r="L23" s="47">
        <v>0</v>
      </c>
      <c r="M23" s="47">
        <v>127</v>
      </c>
      <c r="N23" s="47">
        <f t="shared" si="0"/>
        <v>127</v>
      </c>
    </row>
    <row r="24" spans="1:14">
      <c r="A24" s="5">
        <v>9535</v>
      </c>
      <c r="B24" s="11" t="s">
        <v>332</v>
      </c>
      <c r="C24" s="19">
        <v>1038409.94</v>
      </c>
      <c r="D24" s="20">
        <v>2418239.23</v>
      </c>
      <c r="E24" s="18">
        <v>704490.85000000009</v>
      </c>
      <c r="F24" s="23">
        <v>1544966.18</v>
      </c>
      <c r="G24" t="s">
        <v>350</v>
      </c>
      <c r="H24" t="s">
        <v>309</v>
      </c>
      <c r="I24">
        <v>516</v>
      </c>
      <c r="J24" s="47" t="str">
        <f>"Gary Lighthouse Charter School    "</f>
        <v xml:space="preserve">Gary Lighthouse Charter School    </v>
      </c>
      <c r="K24" s="47" t="str">
        <f>"9535"</f>
        <v>9535</v>
      </c>
      <c r="L24" s="47">
        <v>0</v>
      </c>
      <c r="M24" s="47">
        <v>516</v>
      </c>
      <c r="N24" s="47">
        <f t="shared" si="0"/>
        <v>516</v>
      </c>
    </row>
    <row r="25" spans="1:14">
      <c r="A25" s="5">
        <v>9545</v>
      </c>
      <c r="B25" s="11" t="s">
        <v>333</v>
      </c>
      <c r="C25" s="19">
        <v>789156.14</v>
      </c>
      <c r="D25" s="20">
        <v>1727589.4</v>
      </c>
      <c r="E25" s="18">
        <v>339417.98</v>
      </c>
      <c r="F25" s="23">
        <v>359002.57</v>
      </c>
      <c r="G25" t="s">
        <v>350</v>
      </c>
      <c r="H25" t="s">
        <v>309</v>
      </c>
      <c r="I25">
        <v>304</v>
      </c>
      <c r="J25" s="47" t="str">
        <f>"21st Century Charter Sch of Gary  "</f>
        <v xml:space="preserve">21st Century Charter Sch of Gary  </v>
      </c>
      <c r="K25" s="47" t="str">
        <f>"9545"</f>
        <v>9545</v>
      </c>
      <c r="L25" s="47">
        <v>0</v>
      </c>
      <c r="M25" s="47">
        <v>304</v>
      </c>
      <c r="N25" s="47">
        <f t="shared" si="0"/>
        <v>304</v>
      </c>
    </row>
    <row r="26" spans="1:14">
      <c r="A26" s="5">
        <v>9555</v>
      </c>
      <c r="B26" s="11" t="s">
        <v>334</v>
      </c>
      <c r="C26" s="19">
        <v>482871.96</v>
      </c>
      <c r="D26" s="20">
        <v>1120056.3799999999</v>
      </c>
      <c r="E26" s="18">
        <v>386630.92000000004</v>
      </c>
      <c r="F26" s="23">
        <v>370638</v>
      </c>
      <c r="G26" t="s">
        <v>350</v>
      </c>
      <c r="H26" t="s">
        <v>309</v>
      </c>
      <c r="I26">
        <v>284</v>
      </c>
      <c r="J26" s="47" t="str">
        <f>"East Chicago Urban Enterprise Acad"</f>
        <v>East Chicago Urban Enterprise Acad</v>
      </c>
      <c r="K26" s="47" t="str">
        <f>"9555"</f>
        <v>9555</v>
      </c>
      <c r="L26" s="47">
        <v>0</v>
      </c>
      <c r="M26" s="47">
        <v>284</v>
      </c>
      <c r="N26" s="47">
        <f t="shared" si="0"/>
        <v>284</v>
      </c>
    </row>
    <row r="27" spans="1:14">
      <c r="A27" s="5">
        <v>9565</v>
      </c>
      <c r="B27" s="11" t="s">
        <v>335</v>
      </c>
      <c r="C27" s="19">
        <v>304131.31</v>
      </c>
      <c r="D27" s="20">
        <v>722823.75</v>
      </c>
      <c r="E27" s="18">
        <v>286742.13</v>
      </c>
      <c r="F27" s="23">
        <v>124476</v>
      </c>
      <c r="G27" t="s">
        <v>350</v>
      </c>
      <c r="H27" t="s">
        <v>309</v>
      </c>
      <c r="I27">
        <v>179</v>
      </c>
      <c r="J27" s="47" t="str">
        <f>"Galileo Charter School            "</f>
        <v xml:space="preserve">Galileo Charter School            </v>
      </c>
      <c r="K27" s="47" t="str">
        <f>"9565"</f>
        <v>9565</v>
      </c>
      <c r="L27" s="47">
        <v>0</v>
      </c>
      <c r="M27" s="47">
        <v>179</v>
      </c>
      <c r="N27" s="47">
        <f t="shared" si="0"/>
        <v>179</v>
      </c>
    </row>
    <row r="28" spans="1:14">
      <c r="A28" s="5">
        <v>9575</v>
      </c>
      <c r="B28" s="11" t="s">
        <v>336</v>
      </c>
      <c r="C28" s="19">
        <v>553095.98</v>
      </c>
      <c r="D28" s="20">
        <v>1726107.7200000002</v>
      </c>
      <c r="E28" s="18">
        <v>587394.15</v>
      </c>
      <c r="F28" s="23">
        <v>4821076.07</v>
      </c>
      <c r="G28" t="s">
        <v>350</v>
      </c>
      <c r="H28" t="s">
        <v>308</v>
      </c>
      <c r="I28">
        <v>496</v>
      </c>
      <c r="J28" s="47" t="str">
        <f>"Indpls Lighthouse Charter School  "</f>
        <v xml:space="preserve">Indpls Lighthouse Charter School  </v>
      </c>
      <c r="K28" s="47" t="str">
        <f>"9575"</f>
        <v>9575</v>
      </c>
      <c r="L28" s="47">
        <v>13</v>
      </c>
      <c r="M28" s="47">
        <v>509</v>
      </c>
      <c r="N28" s="47">
        <f t="shared" si="0"/>
        <v>496</v>
      </c>
    </row>
    <row r="29" spans="1:14">
      <c r="A29" s="5">
        <v>9585</v>
      </c>
      <c r="B29" s="11" t="s">
        <v>337</v>
      </c>
      <c r="C29" s="19">
        <v>39946.89</v>
      </c>
      <c r="D29" s="20">
        <v>938733.64</v>
      </c>
      <c r="E29" s="18">
        <v>468182.88</v>
      </c>
      <c r="F29" s="23">
        <v>1853060.96</v>
      </c>
      <c r="G29" t="s">
        <v>350</v>
      </c>
      <c r="H29" t="s">
        <v>309</v>
      </c>
      <c r="I29">
        <v>340</v>
      </c>
      <c r="J29" s="47" t="str">
        <f>"West Gary Lighthouse Charter      "</f>
        <v xml:space="preserve">West Gary Lighthouse Charter      </v>
      </c>
      <c r="K29" s="47" t="str">
        <f>"9585"</f>
        <v>9585</v>
      </c>
      <c r="L29" s="47">
        <v>0</v>
      </c>
      <c r="M29" s="47">
        <v>340</v>
      </c>
      <c r="N29" s="47">
        <f t="shared" si="0"/>
        <v>340</v>
      </c>
    </row>
    <row r="30" spans="1:14">
      <c r="A30" s="5">
        <v>9595</v>
      </c>
      <c r="B30" s="11" t="s">
        <v>339</v>
      </c>
      <c r="C30" s="19">
        <v>17190.059999999998</v>
      </c>
      <c r="D30" s="20">
        <v>243996.6</v>
      </c>
      <c r="E30" s="18">
        <v>243811.56</v>
      </c>
      <c r="F30" s="23">
        <v>428778.38</v>
      </c>
      <c r="G30" t="s">
        <v>350</v>
      </c>
      <c r="H30" t="s">
        <v>309</v>
      </c>
      <c r="I30">
        <v>115</v>
      </c>
      <c r="J30" s="47" t="str">
        <f>"East Chicago Lighthouse Charter   "</f>
        <v xml:space="preserve">East Chicago Lighthouse Charter   </v>
      </c>
      <c r="K30" s="47" t="str">
        <f>"9595"</f>
        <v>9595</v>
      </c>
      <c r="L30" s="47">
        <v>0</v>
      </c>
      <c r="M30" s="47">
        <v>115</v>
      </c>
      <c r="N30" s="47">
        <f t="shared" si="0"/>
        <v>115</v>
      </c>
    </row>
    <row r="31" spans="1:14">
      <c r="A31" s="5">
        <v>9615</v>
      </c>
      <c r="B31" s="11" t="s">
        <v>340</v>
      </c>
      <c r="C31" s="19">
        <v>1444803.53</v>
      </c>
      <c r="D31" s="20">
        <v>2651463.25</v>
      </c>
      <c r="E31" s="18">
        <v>427758.15</v>
      </c>
      <c r="F31" s="23">
        <v>0</v>
      </c>
      <c r="G31" t="s">
        <v>350</v>
      </c>
      <c r="H31" t="s">
        <v>308</v>
      </c>
      <c r="I31">
        <v>609</v>
      </c>
      <c r="J31" s="47" t="str">
        <f>"Andrew J Brown Academy            "</f>
        <v xml:space="preserve">Andrew J Brown Academy            </v>
      </c>
      <c r="K31" s="47" t="str">
        <f>"9615"</f>
        <v>9615</v>
      </c>
      <c r="L31" s="47">
        <v>0</v>
      </c>
      <c r="M31" s="47">
        <v>609</v>
      </c>
      <c r="N31" s="47">
        <f t="shared" si="0"/>
        <v>609</v>
      </c>
    </row>
    <row r="32" spans="1:14">
      <c r="A32" s="5">
        <v>9635</v>
      </c>
      <c r="B32" s="11" t="s">
        <v>341</v>
      </c>
      <c r="C32" s="19">
        <v>53436.800000000003</v>
      </c>
      <c r="D32" s="20">
        <v>257469.88</v>
      </c>
      <c r="E32" s="18">
        <v>263633.93</v>
      </c>
      <c r="F32" s="23">
        <v>429384.7</v>
      </c>
      <c r="G32" t="s">
        <v>350</v>
      </c>
      <c r="H32" t="s">
        <v>309</v>
      </c>
      <c r="I32">
        <v>81</v>
      </c>
      <c r="J32" s="47" t="str">
        <f>"KIPP Lead College Prep Charter    "</f>
        <v xml:space="preserve">KIPP Lead College Prep Charter    </v>
      </c>
      <c r="K32" s="47" t="str">
        <f>"9635"</f>
        <v>9635</v>
      </c>
      <c r="L32" s="47">
        <v>0</v>
      </c>
      <c r="M32" s="47">
        <v>81</v>
      </c>
      <c r="N32" s="47">
        <f t="shared" si="0"/>
        <v>81</v>
      </c>
    </row>
    <row r="33" spans="1:14">
      <c r="A33" s="5">
        <v>9640</v>
      </c>
      <c r="B33" s="11" t="s">
        <v>342</v>
      </c>
      <c r="C33" s="19">
        <v>67836.55</v>
      </c>
      <c r="D33" s="20">
        <v>255192.61</v>
      </c>
      <c r="E33" s="18">
        <v>301711.8</v>
      </c>
      <c r="F33" s="23">
        <v>341541.92</v>
      </c>
      <c r="G33" t="s">
        <v>350</v>
      </c>
      <c r="H33" t="s">
        <v>309</v>
      </c>
      <c r="I33">
        <v>109</v>
      </c>
      <c r="J33" s="47" t="str">
        <f>"Options Charter Sch - Noblesville "</f>
        <v xml:space="preserve">Options Charter Sch - Noblesville </v>
      </c>
      <c r="K33" s="47" t="str">
        <f>"9640"</f>
        <v>9640</v>
      </c>
      <c r="L33" s="47">
        <v>0</v>
      </c>
      <c r="M33" s="47">
        <v>109</v>
      </c>
      <c r="N33" s="47">
        <f t="shared" si="0"/>
        <v>109</v>
      </c>
    </row>
    <row r="34" spans="1:14">
      <c r="A34" s="5">
        <v>9645</v>
      </c>
      <c r="B34" s="11" t="s">
        <v>343</v>
      </c>
      <c r="C34" s="19">
        <v>440684.18</v>
      </c>
      <c r="D34" s="20">
        <v>571500.79</v>
      </c>
      <c r="E34" s="18">
        <v>328509.74</v>
      </c>
      <c r="F34" s="23">
        <v>921409.12</v>
      </c>
      <c r="G34" t="s">
        <v>350</v>
      </c>
      <c r="H34" t="s">
        <v>308</v>
      </c>
      <c r="I34">
        <v>257</v>
      </c>
      <c r="J34" s="47" t="str">
        <f>"Challenge Foundation Academy      "</f>
        <v xml:space="preserve">Challenge Foundation Academy      </v>
      </c>
      <c r="K34" s="47" t="str">
        <f>"9645"</f>
        <v>9645</v>
      </c>
      <c r="L34" s="47">
        <v>0</v>
      </c>
      <c r="M34" s="47">
        <v>257</v>
      </c>
      <c r="N34" s="47">
        <f t="shared" si="0"/>
        <v>257</v>
      </c>
    </row>
    <row r="35" spans="1:14">
      <c r="A35" s="5">
        <v>9650</v>
      </c>
      <c r="B35" s="11" t="s">
        <v>344</v>
      </c>
      <c r="C35" s="19">
        <v>459592.69</v>
      </c>
      <c r="D35" s="20">
        <v>232176.24</v>
      </c>
      <c r="E35" s="18">
        <v>383820.84</v>
      </c>
      <c r="F35" s="23">
        <v>513197.92000000004</v>
      </c>
      <c r="G35" t="s">
        <v>350</v>
      </c>
      <c r="H35" t="s">
        <v>308</v>
      </c>
      <c r="I35">
        <v>98</v>
      </c>
      <c r="J35" s="47" t="str">
        <f>"Herron Charter                    "</f>
        <v xml:space="preserve">Herron Charter                    </v>
      </c>
      <c r="K35" s="47" t="str">
        <f>"9650"</f>
        <v>9650</v>
      </c>
      <c r="L35" s="47">
        <v>0</v>
      </c>
      <c r="M35" s="47">
        <v>98</v>
      </c>
      <c r="N35" s="47">
        <f t="shared" si="0"/>
        <v>98</v>
      </c>
    </row>
    <row r="36" spans="1:14">
      <c r="A36" s="5">
        <v>9655</v>
      </c>
      <c r="B36" s="11" t="s">
        <v>345</v>
      </c>
      <c r="C36" s="19">
        <v>56672.06</v>
      </c>
      <c r="D36" s="20">
        <v>55666.78</v>
      </c>
      <c r="E36" s="18">
        <v>269482.03000000003</v>
      </c>
      <c r="F36" s="23">
        <v>86172.46</v>
      </c>
      <c r="G36" t="s">
        <v>350</v>
      </c>
      <c r="H36" t="s">
        <v>308</v>
      </c>
      <c r="I36">
        <v>28</v>
      </c>
      <c r="J36" s="47" t="str">
        <f>"Hope Academy                      "</f>
        <v xml:space="preserve">Hope Academy                      </v>
      </c>
      <c r="K36" s="47" t="str">
        <f>"9655"</f>
        <v>9655</v>
      </c>
      <c r="L36" s="47">
        <v>0</v>
      </c>
      <c r="M36" s="47">
        <v>28</v>
      </c>
      <c r="N36" s="47">
        <f t="shared" si="0"/>
        <v>28</v>
      </c>
    </row>
    <row r="37" spans="1:14">
      <c r="A37" s="5">
        <v>9660</v>
      </c>
      <c r="B37" s="11" t="s">
        <v>346</v>
      </c>
      <c r="C37" s="19">
        <v>319775.40000000002</v>
      </c>
      <c r="D37" s="20">
        <v>295688.65000000002</v>
      </c>
      <c r="E37" s="18">
        <v>113489</v>
      </c>
      <c r="F37" s="23">
        <v>480982</v>
      </c>
      <c r="G37" t="s">
        <v>350</v>
      </c>
      <c r="H37" t="s">
        <v>308</v>
      </c>
      <c r="I37">
        <v>158</v>
      </c>
      <c r="J37" s="47" t="str">
        <f>"Stonegate Early Clg HS for Sci/Tec"</f>
        <v>Stonegate Early Clg HS for Sci/Tec</v>
      </c>
      <c r="K37" s="47" t="str">
        <f>"9660"</f>
        <v>9660</v>
      </c>
      <c r="L37" s="47">
        <v>0</v>
      </c>
      <c r="M37" s="47">
        <v>158</v>
      </c>
      <c r="N37" s="47">
        <f t="shared" si="0"/>
        <v>158</v>
      </c>
    </row>
    <row r="38" spans="1:14">
      <c r="A38" s="5">
        <v>9665</v>
      </c>
      <c r="B38" s="11" t="s">
        <v>347</v>
      </c>
      <c r="C38" s="19">
        <v>15977.43</v>
      </c>
      <c r="D38" s="20">
        <v>71778.490000000005</v>
      </c>
      <c r="E38" s="18">
        <v>221000</v>
      </c>
      <c r="F38" s="23">
        <v>152565</v>
      </c>
      <c r="G38" t="s">
        <v>350</v>
      </c>
      <c r="H38" t="s">
        <v>309</v>
      </c>
      <c r="I38">
        <v>38</v>
      </c>
      <c r="J38" s="47" t="str">
        <f>"Geist Montessori Academy          "</f>
        <v xml:space="preserve">Geist Montessori Academy          </v>
      </c>
      <c r="K38" s="47" t="str">
        <f>"9665"</f>
        <v>9665</v>
      </c>
      <c r="L38" s="47">
        <v>0</v>
      </c>
      <c r="M38" s="47">
        <v>38</v>
      </c>
      <c r="N38" s="47">
        <f t="shared" si="0"/>
        <v>38</v>
      </c>
    </row>
    <row r="39" spans="1:14">
      <c r="C39" s="6">
        <f>SUM(C2:C38)</f>
        <v>21087004.170000002</v>
      </c>
      <c r="D39" s="6">
        <f>SUM(D2:D38)</f>
        <v>37928416.759999998</v>
      </c>
      <c r="E39" s="6">
        <f>SUM(E2:E38)</f>
        <v>10038004.610000003</v>
      </c>
      <c r="F39" s="6">
        <f>SUM(F2:F38)</f>
        <v>15017536.25</v>
      </c>
      <c r="I39">
        <f>SUM(I2:I38)</f>
        <v>9013</v>
      </c>
    </row>
    <row r="40" spans="1:14">
      <c r="C40" s="6">
        <f>C39/I39</f>
        <v>2339.6210107622323</v>
      </c>
      <c r="D40" s="6">
        <f>D39/I39</f>
        <v>4208.1900321757457</v>
      </c>
      <c r="E40" s="6">
        <f>E39/I39</f>
        <v>1113.7251314767561</v>
      </c>
      <c r="F40" s="6">
        <f>F39/I39</f>
        <v>1666.2083934317097</v>
      </c>
      <c r="J40" s="11" t="s">
        <v>439</v>
      </c>
    </row>
    <row r="42" spans="1:14">
      <c r="A42" s="12">
        <v>9590</v>
      </c>
      <c r="B42" s="13" t="s">
        <v>338</v>
      </c>
      <c r="C42" s="19">
        <v>4240.7199999999993</v>
      </c>
      <c r="D42" s="20">
        <v>0</v>
      </c>
      <c r="E42" s="18">
        <v>145000</v>
      </c>
      <c r="F42" s="23">
        <v>56.6</v>
      </c>
      <c r="G42" s="14" t="s">
        <v>350</v>
      </c>
      <c r="H42" s="14"/>
      <c r="I42" s="1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EV19"/>
  <sheetViews>
    <sheetView workbookViewId="0">
      <selection activeCell="C19" sqref="C19:F19"/>
    </sheetView>
  </sheetViews>
  <sheetFormatPr defaultRowHeight="12.75"/>
  <cols>
    <col min="2" max="2" width="36.7109375" customWidth="1"/>
    <col min="3" max="6" width="14.42578125" customWidth="1"/>
  </cols>
  <sheetData>
    <row r="1" spans="1:16376">
      <c r="A1" s="1" t="s">
        <v>5</v>
      </c>
      <c r="B1" s="2" t="s">
        <v>6</v>
      </c>
      <c r="C1" s="7" t="s">
        <v>302</v>
      </c>
      <c r="D1" s="7" t="s">
        <v>303</v>
      </c>
      <c r="E1" s="7" t="s">
        <v>306</v>
      </c>
      <c r="F1" s="7" t="s">
        <v>2</v>
      </c>
      <c r="G1" s="5" t="s">
        <v>437</v>
      </c>
      <c r="H1" s="5" t="s">
        <v>438</v>
      </c>
      <c r="I1" s="5" t="s">
        <v>370</v>
      </c>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row>
    <row r="2" spans="1:16376">
      <c r="A2" s="5">
        <v>9330</v>
      </c>
      <c r="B2" s="11" t="s">
        <v>315</v>
      </c>
      <c r="C2" s="19">
        <v>1235976.17</v>
      </c>
      <c r="D2" s="20">
        <v>1960846.58</v>
      </c>
      <c r="E2" s="18">
        <v>171365.85</v>
      </c>
      <c r="F2" s="23">
        <v>612266.4</v>
      </c>
      <c r="G2" t="s">
        <v>350</v>
      </c>
      <c r="H2" t="s">
        <v>308</v>
      </c>
      <c r="I2">
        <v>460</v>
      </c>
    </row>
    <row r="3" spans="1:16376">
      <c r="A3" s="5">
        <v>9370</v>
      </c>
      <c r="B3" s="11" t="s">
        <v>319</v>
      </c>
      <c r="C3" s="19">
        <v>711319.8</v>
      </c>
      <c r="D3" s="20">
        <v>1510339.7000000002</v>
      </c>
      <c r="E3" s="18">
        <v>224613.1</v>
      </c>
      <c r="F3" s="23">
        <v>332</v>
      </c>
      <c r="G3" t="s">
        <v>350</v>
      </c>
      <c r="H3" t="s">
        <v>308</v>
      </c>
      <c r="I3">
        <v>307</v>
      </c>
    </row>
    <row r="4" spans="1:16376">
      <c r="A4" s="5">
        <v>9380</v>
      </c>
      <c r="B4" s="11" t="s">
        <v>320</v>
      </c>
      <c r="C4" s="19">
        <v>1949162.61</v>
      </c>
      <c r="D4" s="20">
        <v>1927108.92</v>
      </c>
      <c r="E4" s="18">
        <v>522362.80999999994</v>
      </c>
      <c r="F4" s="23">
        <v>19667.97</v>
      </c>
      <c r="G4" t="s">
        <v>350</v>
      </c>
      <c r="H4" t="s">
        <v>308</v>
      </c>
      <c r="I4">
        <v>384</v>
      </c>
    </row>
    <row r="5" spans="1:16376">
      <c r="A5" s="5">
        <v>9390</v>
      </c>
      <c r="B5" s="11" t="s">
        <v>321</v>
      </c>
      <c r="C5" s="19">
        <v>488614.88</v>
      </c>
      <c r="D5" s="20">
        <v>968099.89</v>
      </c>
      <c r="E5" s="18">
        <v>157918.97</v>
      </c>
      <c r="F5" s="23">
        <v>2690.48</v>
      </c>
      <c r="G5" t="s">
        <v>350</v>
      </c>
      <c r="H5" t="s">
        <v>308</v>
      </c>
      <c r="I5">
        <v>227</v>
      </c>
    </row>
    <row r="6" spans="1:16376">
      <c r="A6" s="5">
        <v>9400</v>
      </c>
      <c r="B6" s="11" t="s">
        <v>322</v>
      </c>
      <c r="C6" s="19">
        <v>582873.54</v>
      </c>
      <c r="D6" s="20">
        <v>917455.33000000007</v>
      </c>
      <c r="E6" s="18">
        <v>267771.11</v>
      </c>
      <c r="F6" s="23">
        <v>453004.39999999997</v>
      </c>
      <c r="G6" t="s">
        <v>350</v>
      </c>
      <c r="H6" t="s">
        <v>308</v>
      </c>
      <c r="I6">
        <v>214</v>
      </c>
    </row>
    <row r="7" spans="1:16376">
      <c r="A7" s="5">
        <v>9445</v>
      </c>
      <c r="B7" s="11" t="s">
        <v>323</v>
      </c>
      <c r="C7" s="19">
        <v>1021456.9299999999</v>
      </c>
      <c r="D7" s="20">
        <v>1085716.7</v>
      </c>
      <c r="E7" s="18">
        <v>183916.7</v>
      </c>
      <c r="F7" s="23">
        <v>334292.08</v>
      </c>
      <c r="G7" t="s">
        <v>350</v>
      </c>
      <c r="H7" t="s">
        <v>308</v>
      </c>
      <c r="I7">
        <v>245</v>
      </c>
    </row>
    <row r="8" spans="1:16376">
      <c r="A8" s="24">
        <v>9470</v>
      </c>
      <c r="B8" s="16" t="s">
        <v>326</v>
      </c>
      <c r="C8" s="19">
        <v>441615.17000000004</v>
      </c>
      <c r="D8" s="20">
        <v>541937.93999999994</v>
      </c>
      <c r="E8" s="18">
        <v>62221.65</v>
      </c>
      <c r="F8" s="23">
        <v>143309.69</v>
      </c>
      <c r="G8" s="3" t="s">
        <v>350</v>
      </c>
      <c r="H8" s="3" t="s">
        <v>308</v>
      </c>
      <c r="I8" s="3">
        <v>122</v>
      </c>
    </row>
    <row r="9" spans="1:16376">
      <c r="A9" s="24">
        <v>9475</v>
      </c>
      <c r="B9" s="16" t="s">
        <v>327</v>
      </c>
      <c r="C9" s="19">
        <v>418757.25</v>
      </c>
      <c r="D9" s="20">
        <v>536218.84</v>
      </c>
      <c r="E9" s="18">
        <v>50701.99</v>
      </c>
      <c r="F9" s="23">
        <v>134015.94</v>
      </c>
      <c r="G9" s="3" t="s">
        <v>350</v>
      </c>
      <c r="H9" s="3" t="s">
        <v>308</v>
      </c>
      <c r="I9" s="3">
        <v>125</v>
      </c>
    </row>
    <row r="10" spans="1:16376">
      <c r="A10" s="5">
        <v>9480</v>
      </c>
      <c r="B10" s="11" t="s">
        <v>328</v>
      </c>
      <c r="C10" s="19">
        <v>592986.79</v>
      </c>
      <c r="D10" s="20">
        <v>971940.1399999999</v>
      </c>
      <c r="E10" s="18">
        <v>281787.09999999998</v>
      </c>
      <c r="F10" s="23">
        <v>309609</v>
      </c>
      <c r="G10" t="s">
        <v>350</v>
      </c>
      <c r="H10" t="s">
        <v>308</v>
      </c>
      <c r="I10">
        <v>210</v>
      </c>
    </row>
    <row r="11" spans="1:16376">
      <c r="A11" s="5">
        <v>9485</v>
      </c>
      <c r="B11" s="11" t="s">
        <v>329</v>
      </c>
      <c r="C11" s="19">
        <v>396077.36</v>
      </c>
      <c r="D11" s="20">
        <v>925885.97</v>
      </c>
      <c r="E11" s="18">
        <v>246204.83000000002</v>
      </c>
      <c r="F11" s="23">
        <v>214026.16</v>
      </c>
      <c r="G11" t="s">
        <v>350</v>
      </c>
      <c r="H11" t="s">
        <v>308</v>
      </c>
      <c r="I11">
        <v>235</v>
      </c>
    </row>
    <row r="12" spans="1:16376">
      <c r="A12" s="5">
        <v>9525</v>
      </c>
      <c r="B12" s="11" t="s">
        <v>331</v>
      </c>
      <c r="C12" s="19">
        <v>589468.51</v>
      </c>
      <c r="D12" s="20">
        <v>516467.81000000006</v>
      </c>
      <c r="E12" s="18">
        <v>14853</v>
      </c>
      <c r="F12" s="23">
        <v>549.5</v>
      </c>
      <c r="G12" t="s">
        <v>350</v>
      </c>
      <c r="H12" t="s">
        <v>308</v>
      </c>
      <c r="I12">
        <v>127</v>
      </c>
    </row>
    <row r="13" spans="1:16376">
      <c r="A13" s="5">
        <v>9575</v>
      </c>
      <c r="B13" s="11" t="s">
        <v>336</v>
      </c>
      <c r="C13" s="19">
        <v>553095.98</v>
      </c>
      <c r="D13" s="20">
        <v>1726107.7200000002</v>
      </c>
      <c r="E13" s="18">
        <v>587394.15</v>
      </c>
      <c r="F13" s="23">
        <v>4821076.07</v>
      </c>
      <c r="G13" t="s">
        <v>350</v>
      </c>
      <c r="H13" t="s">
        <v>308</v>
      </c>
      <c r="I13">
        <v>509</v>
      </c>
    </row>
    <row r="14" spans="1:16376">
      <c r="A14" s="5">
        <v>9615</v>
      </c>
      <c r="B14" s="11" t="s">
        <v>340</v>
      </c>
      <c r="C14" s="19">
        <v>1444803.53</v>
      </c>
      <c r="D14" s="20">
        <v>2651463.25</v>
      </c>
      <c r="E14" s="18">
        <v>427758.15</v>
      </c>
      <c r="F14" s="23">
        <v>0</v>
      </c>
      <c r="G14" t="s">
        <v>350</v>
      </c>
      <c r="H14" t="s">
        <v>308</v>
      </c>
      <c r="I14">
        <v>609</v>
      </c>
    </row>
    <row r="15" spans="1:16376">
      <c r="A15" s="5">
        <v>9645</v>
      </c>
      <c r="B15" s="11" t="s">
        <v>343</v>
      </c>
      <c r="C15" s="19">
        <v>440684.18</v>
      </c>
      <c r="D15" s="20">
        <v>571500.79</v>
      </c>
      <c r="E15" s="18">
        <v>328509.74</v>
      </c>
      <c r="F15" s="23">
        <v>921409.12</v>
      </c>
      <c r="G15" t="s">
        <v>350</v>
      </c>
      <c r="H15" t="s">
        <v>308</v>
      </c>
      <c r="I15">
        <v>257</v>
      </c>
    </row>
    <row r="16" spans="1:16376">
      <c r="A16" s="5">
        <v>9650</v>
      </c>
      <c r="B16" s="11" t="s">
        <v>344</v>
      </c>
      <c r="C16" s="19">
        <v>459592.69</v>
      </c>
      <c r="D16" s="20">
        <v>232176.24</v>
      </c>
      <c r="E16" s="18">
        <v>383820.84</v>
      </c>
      <c r="F16" s="23">
        <v>513197.92000000004</v>
      </c>
      <c r="G16" t="s">
        <v>350</v>
      </c>
      <c r="H16" t="s">
        <v>308</v>
      </c>
      <c r="I16">
        <v>98</v>
      </c>
    </row>
    <row r="17" spans="1:9">
      <c r="A17" s="5">
        <v>9655</v>
      </c>
      <c r="B17" s="11" t="s">
        <v>345</v>
      </c>
      <c r="C17" s="19">
        <v>56672.06</v>
      </c>
      <c r="D17" s="20">
        <v>55666.78</v>
      </c>
      <c r="E17" s="18">
        <v>269482.03000000003</v>
      </c>
      <c r="F17" s="23">
        <v>86172.46</v>
      </c>
      <c r="G17" t="s">
        <v>350</v>
      </c>
      <c r="H17" t="s">
        <v>308</v>
      </c>
      <c r="I17">
        <v>28</v>
      </c>
    </row>
    <row r="18" spans="1:9">
      <c r="A18" s="5">
        <v>9660</v>
      </c>
      <c r="B18" s="11" t="s">
        <v>346</v>
      </c>
      <c r="C18" s="19">
        <v>319775.40000000002</v>
      </c>
      <c r="D18" s="20">
        <v>295688.65000000002</v>
      </c>
      <c r="E18" s="18">
        <v>113489</v>
      </c>
      <c r="F18" s="23">
        <v>480982</v>
      </c>
      <c r="G18" t="s">
        <v>350</v>
      </c>
      <c r="H18" t="s">
        <v>308</v>
      </c>
      <c r="I18">
        <v>158</v>
      </c>
    </row>
    <row r="19" spans="1:9">
      <c r="C19" s="6">
        <f>SUM(C2:C18)</f>
        <v>11702932.85</v>
      </c>
      <c r="D19" s="6">
        <f>SUM(D2:D18)</f>
        <v>17394621.25</v>
      </c>
      <c r="E19" s="6">
        <f>SUM(E2:E18)</f>
        <v>4294171.0199999996</v>
      </c>
      <c r="F19" s="6">
        <f>SUM(F2:F18)</f>
        <v>9046601.1900000013</v>
      </c>
      <c r="I19">
        <f>SUM(I2:I18)</f>
        <v>4315</v>
      </c>
    </row>
  </sheetData>
  <autoFilter ref="A1:I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Legend</vt:lpstr>
      <vt:lpstr>Figures 1,2,4</vt:lpstr>
      <vt:lpstr>archive</vt:lpstr>
      <vt:lpstr>Sheet2</vt:lpstr>
      <vt:lpstr>Figure 3</vt:lpstr>
      <vt:lpstr>Figure 5</vt:lpstr>
      <vt:lpstr>Figure 6</vt:lpstr>
      <vt:lpstr>Districts</vt:lpstr>
      <vt:lpstr>Charters State</vt:lpstr>
      <vt:lpstr>Charters Indy</vt:lpstr>
      <vt:lpstr>archive!Print_Titles</vt:lpstr>
    </vt:vector>
  </TitlesOfParts>
  <Company>Indiana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dc:creator>
  <cp:lastModifiedBy>Larry</cp:lastModifiedBy>
  <cp:lastPrinted>2008-03-24T14:11:34Z</cp:lastPrinted>
  <dcterms:created xsi:type="dcterms:W3CDTF">2008-03-19T14:25:13Z</dcterms:created>
  <dcterms:modified xsi:type="dcterms:W3CDTF">2010-05-20T15:18:07Z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