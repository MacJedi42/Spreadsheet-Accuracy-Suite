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workbookProtection workbookPassword="E2D1" lockStructure="1"/>
  <bookViews>
    <workbookView xWindow="1170" yWindow="-90" windowWidth="12120" windowHeight="7725"/>
  </bookViews>
  <sheets>
    <sheet name="Fall 2014 Fee Estimate" sheetId="1" r:id="rId1"/>
  </sheets>
  <definedNames>
    <definedName name="_xlnm.Print_Area" localSheetId="0">'Fall 2014 Fee Estimate'!$A$1:$D$54</definedName>
    <definedName name="Z_D8765D14_D8AE_488E_B86A_EA9F0E718BD0_.wvu.PrintArea" localSheetId="0" hidden="1">'Fall 2014 Fee Estimate'!$A$1:$D$54</definedName>
    <definedName name="Z_D8765D14_D8AE_488E_B86A_EA9F0E718BD0_.wvu.Rows" localSheetId="0" hidden="1">'Fall 2014 Fee Estimate'!$50:$50</definedName>
  </definedNames>
  <calcPr calcId="145621"/>
  <customWorkbookViews>
    <customWorkbookView name="ktheobald - Personal View" guid="{D8765D14-D8AE-488E-B86A-EA9F0E718BD0}" mergeInterval="0" personalView="1" maximized="1" xWindow="1" yWindow="1" windowWidth="1916" windowHeight="776" activeSheetId="1"/>
  </customWorkbookViews>
</workbook>
</file>

<file path=xl/calcChain.xml><?xml version="1.0" encoding="utf-8"?>
<calcChain xmlns="http://schemas.openxmlformats.org/spreadsheetml/2006/main">
  <c r="D30" i="1" l="1"/>
  <c r="D22" i="1"/>
  <c r="D10" i="1" l="1"/>
  <c r="D28" i="1"/>
  <c r="D16" i="1"/>
  <c r="D29" i="1"/>
  <c r="D21" i="1"/>
  <c r="D34" i="1"/>
  <c r="C43" i="1" s="1"/>
  <c r="D43" i="1" s="1"/>
  <c r="D45" i="1"/>
  <c r="D12" i="1"/>
  <c r="D11" i="1"/>
  <c r="D38" i="1"/>
  <c r="D37" i="1"/>
  <c r="D47" i="1"/>
  <c r="D46" i="1"/>
  <c r="D13" i="1"/>
  <c r="D14" i="1"/>
  <c r="D15" i="1"/>
  <c r="D17" i="1"/>
  <c r="D18" i="1"/>
  <c r="D19" i="1"/>
  <c r="D20" i="1"/>
  <c r="D24" i="1"/>
  <c r="D25" i="1"/>
  <c r="D26" i="1"/>
  <c r="D27" i="1"/>
  <c r="D44" i="1"/>
  <c r="D6" i="1"/>
  <c r="D31" i="1" l="1"/>
  <c r="D48" i="1"/>
  <c r="D39" i="1"/>
  <c r="D40" i="1" l="1"/>
  <c r="D49" i="1" s="1"/>
</calcChain>
</file>

<file path=xl/comments1.xml><?xml version="1.0" encoding="utf-8"?>
<comments xmlns="http://schemas.openxmlformats.org/spreadsheetml/2006/main">
  <authors>
    <author>ktheobald</author>
  </authors>
  <commentList>
    <comment ref="A10" authorId="0">
      <text>
        <r>
          <rPr>
            <sz val="8"/>
            <color indexed="81"/>
            <rFont val="Tahoma"/>
            <family val="2"/>
          </rPr>
          <t xml:space="preserve">
</t>
        </r>
        <r>
          <rPr>
            <b/>
            <sz val="8"/>
            <color indexed="81"/>
            <rFont val="Tahoma"/>
            <family val="2"/>
          </rPr>
          <t xml:space="preserve">Tuition Fee full-time 
</t>
        </r>
        <r>
          <rPr>
            <sz val="8"/>
            <color indexed="81"/>
            <rFont val="Tahoma"/>
            <family val="2"/>
          </rPr>
          <t xml:space="preserve">CSU Systemwide mandatory </t>
        </r>
        <r>
          <rPr>
            <i/>
            <sz val="8"/>
            <color indexed="81"/>
            <rFont val="Tahoma"/>
            <family val="2"/>
          </rPr>
          <t>flat</t>
        </r>
        <r>
          <rPr>
            <sz val="8"/>
            <color indexed="81"/>
            <rFont val="Tahoma"/>
            <family val="2"/>
          </rPr>
          <t xml:space="preserve"> fee, charged at the same rate at all campuses, to all students enrolled in 6.1. units or more. </t>
        </r>
      </text>
    </comment>
    <comment ref="A11" authorId="0">
      <text>
        <r>
          <rPr>
            <sz val="8"/>
            <color indexed="81"/>
            <rFont val="Tahoma"/>
            <family val="2"/>
          </rPr>
          <t xml:space="preserve">
</t>
        </r>
        <r>
          <rPr>
            <b/>
            <sz val="8"/>
            <color indexed="81"/>
            <rFont val="Tahoma"/>
            <family val="2"/>
          </rPr>
          <t xml:space="preserve">Tuition Fee Less than full-time </t>
        </r>
        <r>
          <rPr>
            <sz val="8"/>
            <color indexed="81"/>
            <rFont val="Tahoma"/>
            <family val="2"/>
          </rPr>
          <t xml:space="preserve">Calculates CSU Systemwide mandatory flat fee, charged at the same rate at all campuses, to all students enrolled in </t>
        </r>
        <r>
          <rPr>
            <b/>
            <sz val="8"/>
            <color indexed="81"/>
            <rFont val="Tahoma"/>
            <family val="2"/>
          </rPr>
          <t>less than</t>
        </r>
        <r>
          <rPr>
            <sz val="8"/>
            <color indexed="81"/>
            <rFont val="Tahoma"/>
            <family val="2"/>
          </rPr>
          <t xml:space="preserve"> 6.1 units. </t>
        </r>
      </text>
    </comment>
    <comment ref="A12" authorId="0">
      <text>
        <r>
          <rPr>
            <b/>
            <sz val="9"/>
            <color indexed="81"/>
            <rFont val="Tahoma"/>
            <family val="2"/>
          </rPr>
          <t xml:space="preserve">
</t>
        </r>
        <r>
          <rPr>
            <b/>
            <sz val="8"/>
            <color indexed="81"/>
            <rFont val="Tahoma"/>
            <family val="2"/>
          </rPr>
          <t>What Is WUE?</t>
        </r>
        <r>
          <rPr>
            <sz val="8"/>
            <color indexed="81"/>
            <rFont val="Tahoma"/>
            <family val="2"/>
          </rPr>
          <t xml:space="preserve"> 
The Western Undergraduate Exchange (WUE) program is designed to permit students from participating states to attend Cal Maritime at reduced tuition rates. Students participating in Cal Maritime's WUE program pay only 50% more than the in-state tuition rate. Participating states: Alaska - Arizona - Colorado - Hawaii - Idaho - Montana - Nevada - New Mexico - North Dakota - Oregon - South Dakota - Utah - Washington - Wyoming. No separate application needed.</t>
        </r>
        <r>
          <rPr>
            <sz val="9"/>
            <color indexed="81"/>
            <rFont val="Tahoma"/>
            <family val="2"/>
          </rPr>
          <t xml:space="preserve">
</t>
        </r>
      </text>
    </comment>
    <comment ref="A13" authorId="0">
      <text>
        <r>
          <rPr>
            <sz val="8"/>
            <color indexed="81"/>
            <rFont val="Tahoma"/>
            <family val="2"/>
          </rPr>
          <t xml:space="preserve">
</t>
        </r>
        <r>
          <rPr>
            <b/>
            <sz val="8"/>
            <color indexed="81"/>
            <rFont val="Tahoma"/>
            <family val="2"/>
          </rPr>
          <t xml:space="preserve">Health Services fee 
</t>
        </r>
        <r>
          <rPr>
            <sz val="8"/>
            <color indexed="81"/>
            <rFont val="Tahoma"/>
            <family val="2"/>
          </rPr>
          <t xml:space="preserve">Campus-based mandatory fee charged to all CSU students to support a health center facility on campus. </t>
        </r>
      </text>
    </comment>
    <comment ref="A14" authorId="0">
      <text>
        <r>
          <rPr>
            <sz val="8"/>
            <color indexed="81"/>
            <rFont val="Tahoma"/>
            <family val="2"/>
          </rPr>
          <t xml:space="preserve">
</t>
        </r>
        <r>
          <rPr>
            <b/>
            <sz val="8"/>
            <color indexed="81"/>
            <rFont val="Tahoma"/>
            <family val="2"/>
          </rPr>
          <t>Health Facility fee</t>
        </r>
        <r>
          <rPr>
            <sz val="8"/>
            <color indexed="81"/>
            <rFont val="Tahoma"/>
            <family val="2"/>
          </rPr>
          <t xml:space="preserve">
Campus-based mandatory fee charged  to make a basic concert of campus based health services available to all CSU students.</t>
        </r>
        <r>
          <rPr>
            <sz val="9"/>
            <color indexed="81"/>
            <rFont val="Tahoma"/>
            <family val="2"/>
          </rPr>
          <t xml:space="preserve">
</t>
        </r>
      </text>
    </comment>
    <comment ref="A15" authorId="0">
      <text>
        <r>
          <rPr>
            <b/>
            <sz val="9"/>
            <color indexed="81"/>
            <rFont val="Tahoma"/>
            <family val="2"/>
          </rPr>
          <t xml:space="preserve"> </t>
        </r>
        <r>
          <rPr>
            <sz val="9"/>
            <color indexed="81"/>
            <rFont val="Tahoma"/>
            <family val="2"/>
          </rPr>
          <t xml:space="preserve">
</t>
        </r>
        <r>
          <rPr>
            <b/>
            <sz val="8"/>
            <color indexed="81"/>
            <rFont val="Tahoma"/>
            <family val="2"/>
          </rPr>
          <t>Medical Insurance</t>
        </r>
        <r>
          <rPr>
            <b/>
            <sz val="9"/>
            <color indexed="81"/>
            <rFont val="Tahoma"/>
            <family val="2"/>
          </rPr>
          <t xml:space="preserve"> </t>
        </r>
        <r>
          <rPr>
            <sz val="8"/>
            <color indexed="81"/>
            <rFont val="Tahoma"/>
            <family val="2"/>
          </rPr>
          <t xml:space="preserve">If you have your own personal health insurance or are a dependent on your parent or guardian’s health insurance policy, please review the minimum insurance requirements to waive to see if you qualify for a waiver. Students with comparable coverage and who are granted a waiver from the school’s health insurance, will be automatically enrolled in, and charged $20 per semester for, the required travel assistance.  
</t>
        </r>
        <r>
          <rPr>
            <sz val="8"/>
            <color indexed="81"/>
            <rFont val="Tahoma"/>
            <family val="2"/>
          </rPr>
          <t xml:space="preserve">
</t>
        </r>
      </text>
    </comment>
    <comment ref="A17" authorId="0">
      <text>
        <r>
          <rPr>
            <b/>
            <sz val="8"/>
            <color indexed="81"/>
            <rFont val="Tahoma"/>
            <family val="2"/>
          </rPr>
          <t xml:space="preserve">
Assoc Student Body fee </t>
        </r>
        <r>
          <rPr>
            <sz val="8"/>
            <color indexed="81"/>
            <rFont val="Tahoma"/>
            <family val="2"/>
          </rPr>
          <t xml:space="preserve">
Campus-based mandatory fee charged in accordance with Ed Code 89300 - collected for and controlled by the ASI. 
</t>
        </r>
      </text>
    </comment>
    <comment ref="A18" authorId="0">
      <text>
        <r>
          <rPr>
            <b/>
            <sz val="8"/>
            <color indexed="81"/>
            <rFont val="Tahoma"/>
            <family val="2"/>
          </rPr>
          <t xml:space="preserve">Instructionally Related Activity fee </t>
        </r>
        <r>
          <rPr>
            <sz val="8"/>
            <color indexed="81"/>
            <rFont val="Tahoma"/>
            <family val="2"/>
          </rPr>
          <t xml:space="preserve">
Campus-based mandatory fee charged in accordance with Ed Code 89721 - for instructionally related activities as authorized by the CSU trustees. </t>
        </r>
      </text>
    </comment>
    <comment ref="A19" authorId="0">
      <text>
        <r>
          <rPr>
            <sz val="8"/>
            <color indexed="81"/>
            <rFont val="Tahoma"/>
            <family val="2"/>
          </rPr>
          <t xml:space="preserve"> </t>
        </r>
        <r>
          <rPr>
            <b/>
            <sz val="8"/>
            <color indexed="81"/>
            <rFont val="Tahoma"/>
            <family val="2"/>
          </rPr>
          <t>Campus Document fee</t>
        </r>
        <r>
          <rPr>
            <sz val="8"/>
            <color indexed="81"/>
            <rFont val="Tahoma"/>
            <family val="2"/>
          </rPr>
          <t xml:space="preserve">
Campus-based mandatory fee that covers materials made available to all students as a part of the overall university experience. </t>
        </r>
      </text>
    </comment>
    <comment ref="A20" authorId="0">
      <text>
        <r>
          <rPr>
            <b/>
            <sz val="8"/>
            <color indexed="81"/>
            <rFont val="Tahoma"/>
            <family val="2"/>
          </rPr>
          <t xml:space="preserve">
Lab Fee - </t>
        </r>
        <r>
          <rPr>
            <i/>
            <sz val="8"/>
            <color indexed="81"/>
            <rFont val="Tahoma"/>
            <family val="2"/>
          </rPr>
          <t xml:space="preserve">Required for EPO 213, 215, 315 only - </t>
        </r>
        <r>
          <rPr>
            <sz val="8"/>
            <color indexed="81"/>
            <rFont val="Tahoma"/>
            <family val="2"/>
          </rPr>
          <t xml:space="preserve">Typically these courses are taken by ME, MT, MET and FET majors. 
</t>
        </r>
      </text>
    </comment>
    <comment ref="A21" authorId="0">
      <text>
        <r>
          <rPr>
            <b/>
            <sz val="8"/>
            <color indexed="81"/>
            <rFont val="Tahoma"/>
            <family val="2"/>
          </rPr>
          <t xml:space="preserve">
Firefighting course 
</t>
        </r>
        <r>
          <rPr>
            <sz val="8"/>
            <color indexed="81"/>
            <rFont val="Tahoma"/>
            <family val="2"/>
          </rPr>
          <t>FF 200 Basic/Adv Marine Firefighting is typically taken by licensed-track students during their</t>
        </r>
        <r>
          <rPr>
            <b/>
            <sz val="8"/>
            <color indexed="81"/>
            <rFont val="Tahoma"/>
            <family val="2"/>
          </rPr>
          <t xml:space="preserve"> Junior year</t>
        </r>
        <r>
          <rPr>
            <sz val="8"/>
            <color indexed="81"/>
            <rFont val="Tahoma"/>
            <family val="2"/>
          </rPr>
          <t xml:space="preserve">. </t>
        </r>
        <r>
          <rPr>
            <b/>
            <sz val="8"/>
            <color indexed="81"/>
            <rFont val="Tahoma"/>
            <family val="2"/>
          </rPr>
          <t xml:space="preserve">
</t>
        </r>
        <r>
          <rPr>
            <sz val="8"/>
            <color indexed="81"/>
            <rFont val="Tahoma"/>
            <family val="2"/>
          </rPr>
          <t xml:space="preserve">
</t>
        </r>
      </text>
    </comment>
    <comment ref="A24" authorId="0">
      <text>
        <r>
          <rPr>
            <sz val="8"/>
            <color indexed="81"/>
            <rFont val="Tahoma"/>
            <family val="2"/>
          </rPr>
          <t xml:space="preserve">
</t>
        </r>
        <r>
          <rPr>
            <b/>
            <sz val="8"/>
            <color indexed="81"/>
            <rFont val="Tahoma"/>
            <family val="2"/>
          </rPr>
          <t xml:space="preserve">15 meal plan - </t>
        </r>
        <r>
          <rPr>
            <sz val="8"/>
            <color indexed="81"/>
            <rFont val="Tahoma"/>
            <family val="2"/>
          </rPr>
          <t xml:space="preserve">Essentially, a meal plan is a pre-paid account for your on-campus meals. At the start of the semester, you pay for all the meals you’ll eat in the dining halls. You’ll then swipe your student ID card every time you enter a dining area. The 15 meal plan is 15 meals spread over a 7 day period. Generally recommended for students who skip breakfast or other meal or are away from campus on weekends. </t>
        </r>
        <r>
          <rPr>
            <sz val="9"/>
            <color indexed="81"/>
            <rFont val="Tahoma"/>
            <family val="2"/>
          </rPr>
          <t xml:space="preserve">
</t>
        </r>
      </text>
    </comment>
    <comment ref="A25" authorId="0">
      <text>
        <r>
          <rPr>
            <b/>
            <sz val="8"/>
            <color indexed="81"/>
            <rFont val="Tahoma"/>
            <family val="2"/>
          </rPr>
          <t>15 FLEX Meal Plan</t>
        </r>
        <r>
          <rPr>
            <sz val="8"/>
            <color indexed="81"/>
            <rFont val="Tahoma"/>
            <family val="2"/>
          </rPr>
          <t xml:space="preserve"> - The 15-Flex Meal Plan includes 15-meals per week to be used in the Dining Hall or Morrow Cove Café for breakfast, lunch, dinner, or brunch. 
</t>
        </r>
        <r>
          <rPr>
            <b/>
            <sz val="8"/>
            <color indexed="81"/>
            <rFont val="Tahoma"/>
            <family val="2"/>
          </rPr>
          <t>Flex Dollars</t>
        </r>
        <r>
          <rPr>
            <sz val="8"/>
            <color indexed="81"/>
            <rFont val="Tahoma"/>
            <family val="2"/>
          </rPr>
          <t xml:space="preserve"> are held in a “declining balance account” that works on the same principle as a debit card. Flex Dollars can be used to
purchase beverages, snacks, or even a full meal in the Dining Hall or the Café for the student or a guest. Each time a purchase is
made, the purchase amount plus sales tax is subtracted from the Flex Dollars balance. Flex dollars can be carried forward from
Fall to Spring semester if the student continues the Flex meal plan, but not from Spring to Fall. There is no redemption value if the
Flex Dollars are not used at the end of the year. </t>
        </r>
        <r>
          <rPr>
            <b/>
            <sz val="8"/>
            <color indexed="81"/>
            <rFont val="Tahoma"/>
            <family val="2"/>
          </rPr>
          <t xml:space="preserve">
</t>
        </r>
        <r>
          <rPr>
            <sz val="9"/>
            <color indexed="81"/>
            <rFont val="Tahoma"/>
            <family val="2"/>
          </rPr>
          <t xml:space="preserve">
</t>
        </r>
      </text>
    </comment>
    <comment ref="A26" authorId="0">
      <text>
        <r>
          <rPr>
            <sz val="8"/>
            <color indexed="81"/>
            <rFont val="Tahoma"/>
            <family val="2"/>
          </rPr>
          <t xml:space="preserve"> 
</t>
        </r>
        <r>
          <rPr>
            <b/>
            <sz val="8"/>
            <color indexed="81"/>
            <rFont val="Tahoma"/>
            <family val="2"/>
          </rPr>
          <t>19 meal plan</t>
        </r>
        <r>
          <rPr>
            <sz val="8"/>
            <color indexed="81"/>
            <rFont val="Tahoma"/>
            <family val="2"/>
          </rPr>
          <t xml:space="preserve"> - Essentially, a meal plan is a pre-paid account for your on-campus meals. At the start of the semester, you pay for all the meals you’ll eat in the dining halls. You’ll then swipe your student ID card every time you enter a dining area. This plan is 19 meals spread over a 7 day period. 3 meals/day Monday-Friday and Brunch/Dinner on Saturday and Sunday. </t>
        </r>
        <r>
          <rPr>
            <sz val="9"/>
            <color indexed="81"/>
            <rFont val="Tahoma"/>
            <family val="2"/>
          </rPr>
          <t xml:space="preserve">
</t>
        </r>
      </text>
    </comment>
    <comment ref="A27" authorId="0">
      <text>
        <r>
          <rPr>
            <b/>
            <sz val="8"/>
            <color indexed="81"/>
            <rFont val="Tahoma"/>
            <family val="2"/>
          </rPr>
          <t xml:space="preserve">
Housing Deposit </t>
        </r>
        <r>
          <rPr>
            <sz val="8"/>
            <color indexed="81"/>
            <rFont val="Tahoma"/>
            <family val="2"/>
          </rPr>
          <t>-
For new students, this is paid as part of the $500 Acceptance Deposit. 
Continuing students, who have</t>
        </r>
        <r>
          <rPr>
            <b/>
            <sz val="8"/>
            <color indexed="81"/>
            <rFont val="Tahoma"/>
            <family val="2"/>
          </rPr>
          <t xml:space="preserve"> not</t>
        </r>
        <r>
          <rPr>
            <sz val="8"/>
            <color indexed="81"/>
            <rFont val="Tahoma"/>
            <family val="2"/>
          </rPr>
          <t xml:space="preserve"> been approved to live off campus, are assessed this fee each semester. </t>
        </r>
        <r>
          <rPr>
            <sz val="9"/>
            <color indexed="81"/>
            <rFont val="Tahoma"/>
            <family val="2"/>
          </rPr>
          <t xml:space="preserve">
</t>
        </r>
      </text>
    </comment>
    <comment ref="A29" authorId="0">
      <text>
        <r>
          <rPr>
            <b/>
            <sz val="8"/>
            <color indexed="81"/>
            <rFont val="Tahoma"/>
            <family val="2"/>
          </rPr>
          <t xml:space="preserve">
Parking Permits - </t>
        </r>
        <r>
          <rPr>
            <sz val="8"/>
            <color indexed="81"/>
            <rFont val="Tahoma"/>
            <family val="2"/>
          </rPr>
          <t xml:space="preserve">are required to park on campus. Students who are in their first year of attendance at CMA are </t>
        </r>
        <r>
          <rPr>
            <b/>
            <sz val="8"/>
            <color indexed="81"/>
            <rFont val="Tahoma"/>
            <family val="2"/>
          </rPr>
          <t>not</t>
        </r>
        <r>
          <rPr>
            <sz val="8"/>
            <color indexed="81"/>
            <rFont val="Tahoma"/>
            <family val="2"/>
          </rPr>
          <t xml:space="preserve"> eligible to purchase a semester parking permit without an approved waiver.  Waivers can be obtained online or through PPS office. </t>
        </r>
        <r>
          <rPr>
            <sz val="9"/>
            <color indexed="81"/>
            <rFont val="Tahoma"/>
            <family val="2"/>
          </rPr>
          <t xml:space="preserve">
</t>
        </r>
      </text>
    </comment>
    <comment ref="A33" authorId="0">
      <text>
        <r>
          <rPr>
            <sz val="8"/>
            <color indexed="81"/>
            <rFont val="Tahoma"/>
            <family val="2"/>
          </rPr>
          <t xml:space="preserve"> 
</t>
        </r>
        <r>
          <rPr>
            <b/>
            <sz val="8"/>
            <color indexed="81"/>
            <rFont val="Tahoma"/>
            <family val="2"/>
          </rPr>
          <t>Non-Resident Tuition -</t>
        </r>
        <r>
          <rPr>
            <sz val="8"/>
            <color indexed="81"/>
            <rFont val="Tahoma"/>
            <family val="2"/>
          </rPr>
          <t xml:space="preserve"> Charged to non-California students, to cover the full cost of education. No state support is provided for non-resident students.</t>
        </r>
        <r>
          <rPr>
            <sz val="9"/>
            <color indexed="81"/>
            <rFont val="Tahoma"/>
            <family val="2"/>
          </rPr>
          <t xml:space="preserve">
</t>
        </r>
      </text>
    </comment>
    <comment ref="A36" authorId="0">
      <text>
        <r>
          <rPr>
            <b/>
            <sz val="8"/>
            <color indexed="81"/>
            <rFont val="Tahoma"/>
            <family val="2"/>
          </rPr>
          <t xml:space="preserve">
Post Baccalaureate student - </t>
        </r>
        <r>
          <rPr>
            <sz val="8"/>
            <color indexed="81"/>
            <rFont val="Tahoma"/>
            <family val="2"/>
          </rPr>
          <t xml:space="preserve">Have completed a four-year college course of study and hold an acceptable baccalaureate degree from an institution accredited by a regional accrediting association.
</t>
        </r>
        <r>
          <rPr>
            <sz val="9"/>
            <color indexed="81"/>
            <rFont val="Tahoma"/>
            <family val="2"/>
          </rPr>
          <t xml:space="preserve">
</t>
        </r>
      </text>
    </comment>
    <comment ref="A43" authorId="0">
      <text>
        <r>
          <rPr>
            <sz val="9"/>
            <color indexed="81"/>
            <rFont val="Tahoma"/>
            <family val="2"/>
          </rPr>
          <t xml:space="preserve">
</t>
        </r>
        <r>
          <rPr>
            <b/>
            <sz val="8"/>
            <color indexed="81"/>
            <rFont val="Tahoma"/>
            <family val="2"/>
          </rPr>
          <t>WUE Waiver - (Approved Students only)</t>
        </r>
        <r>
          <rPr>
            <sz val="9"/>
            <color indexed="81"/>
            <rFont val="Tahoma"/>
            <family val="2"/>
          </rPr>
          <t xml:space="preserve"> 
</t>
        </r>
        <r>
          <rPr>
            <sz val="8"/>
            <color indexed="81"/>
            <rFont val="Tahoma"/>
            <family val="2"/>
          </rPr>
          <t xml:space="preserve">Students participating in Cal Maritime's WUE program pay only 50% more than the in-state tuition rate.
While tuition is not the only expense paid to Cal Maritime, it is the only expense that can vary based on where you live. WUE will reduce the overall cost of attending Cal Maritime by reducing the tuition for a recipient from out-of-state.
</t>
        </r>
        <r>
          <rPr>
            <sz val="9"/>
            <color indexed="81"/>
            <rFont val="Tahoma"/>
            <family val="2"/>
          </rPr>
          <t xml:space="preserve">
</t>
        </r>
      </text>
    </comment>
    <comment ref="A44" authorId="0">
      <text>
        <r>
          <rPr>
            <b/>
            <sz val="9"/>
            <color indexed="81"/>
            <rFont val="Tahoma"/>
            <family val="2"/>
          </rPr>
          <t xml:space="preserve">
</t>
        </r>
        <r>
          <rPr>
            <b/>
            <sz val="8"/>
            <color indexed="81"/>
            <rFont val="Tahoma"/>
            <family val="2"/>
          </rPr>
          <t xml:space="preserve">VA Benefits - </t>
        </r>
        <r>
          <rPr>
            <sz val="8"/>
            <color indexed="81"/>
            <rFont val="Tahoma"/>
            <family val="2"/>
          </rPr>
          <t xml:space="preserve">for more information
</t>
        </r>
        <r>
          <rPr>
            <i/>
            <sz val="8"/>
            <color indexed="81"/>
            <rFont val="Tahoma"/>
            <family val="2"/>
          </rPr>
          <t>Copy &amp; Paste</t>
        </r>
        <r>
          <rPr>
            <sz val="8"/>
            <color indexed="81"/>
            <rFont val="Tahoma"/>
            <family val="2"/>
          </rPr>
          <t xml:space="preserve"> this address into your browser. 
</t>
        </r>
        <r>
          <rPr>
            <sz val="8"/>
            <color indexed="81"/>
            <rFont val="Terminal"/>
            <family val="3"/>
            <charset val="255"/>
          </rPr>
          <t>http://www.csum.edu/web/admissions/veterans-benefits</t>
        </r>
        <r>
          <rPr>
            <b/>
            <sz val="8"/>
            <color indexed="81"/>
            <rFont val="Tahoma"/>
            <family val="2"/>
          </rPr>
          <t xml:space="preserve">
</t>
        </r>
        <r>
          <rPr>
            <sz val="9"/>
            <color indexed="81"/>
            <rFont val="Tahoma"/>
            <family val="2"/>
          </rPr>
          <t xml:space="preserve">
</t>
        </r>
      </text>
    </comment>
    <comment ref="A45" authorId="0">
      <text>
        <r>
          <rPr>
            <b/>
            <sz val="8"/>
            <color indexed="81"/>
            <rFont val="Tahoma"/>
            <family val="2"/>
          </rPr>
          <t xml:space="preserve">
Medical Insurance Waiver-</t>
        </r>
        <r>
          <rPr>
            <sz val="8"/>
            <color indexed="81"/>
            <rFont val="Tahoma"/>
            <family val="2"/>
          </rPr>
          <t xml:space="preserve"> 
For online form Copy &amp; Paste this address into your browser.
www.csum.edu/web/campus-life/student-health-center/health-insurance
</t>
        </r>
        <r>
          <rPr>
            <b/>
            <sz val="9"/>
            <color indexed="81"/>
            <rFont val="Tahoma"/>
            <family val="2"/>
          </rPr>
          <t xml:space="preserve">
</t>
        </r>
        <r>
          <rPr>
            <sz val="9"/>
            <color indexed="81"/>
            <rFont val="Tahoma"/>
            <family val="2"/>
          </rPr>
          <t xml:space="preserve">
</t>
        </r>
      </text>
    </comment>
    <comment ref="A46" authorId="0">
      <text>
        <r>
          <rPr>
            <b/>
            <sz val="8"/>
            <color indexed="81"/>
            <rFont val="Tahoma"/>
            <family val="2"/>
          </rPr>
          <t xml:space="preserve">Financial Aid refers to Loans, Grants and Scholarships 
</t>
        </r>
        <r>
          <rPr>
            <sz val="8"/>
            <color indexed="81"/>
            <rFont val="Tahoma"/>
            <family val="2"/>
          </rPr>
          <t>You may deduct the amount of financial aid</t>
        </r>
        <r>
          <rPr>
            <b/>
            <sz val="8"/>
            <color indexed="81"/>
            <rFont val="Tahoma"/>
            <family val="2"/>
          </rPr>
          <t xml:space="preserve"> </t>
        </r>
        <r>
          <rPr>
            <i/>
            <sz val="8"/>
            <color indexed="81"/>
            <rFont val="Tahoma"/>
            <family val="2"/>
          </rPr>
          <t>awarded and accepted</t>
        </r>
        <r>
          <rPr>
            <sz val="8"/>
            <color indexed="81"/>
            <rFont val="Tahoma"/>
            <family val="2"/>
          </rPr>
          <t>, but not reflected in your account balance, paying only the remaining amount.</t>
        </r>
        <r>
          <rPr>
            <b/>
            <sz val="8"/>
            <color indexed="81"/>
            <rFont val="Tahoma"/>
            <family val="2"/>
          </rPr>
          <t xml:space="preserve">
</t>
        </r>
        <r>
          <rPr>
            <sz val="8"/>
            <color indexed="81"/>
            <rFont val="Tahoma"/>
            <family val="2"/>
          </rPr>
          <t>www.csum.edu/web/admissions/accept-financial-aid</t>
        </r>
        <r>
          <rPr>
            <sz val="9"/>
            <color indexed="81"/>
            <rFont val="Tahoma"/>
            <family val="2"/>
          </rPr>
          <t xml:space="preserve">
</t>
        </r>
      </text>
    </comment>
  </commentList>
</comments>
</file>

<file path=xl/sharedStrings.xml><?xml version="1.0" encoding="utf-8"?>
<sst xmlns="http://schemas.openxmlformats.org/spreadsheetml/2006/main" count="59" uniqueCount="54">
  <si>
    <t>DESCRIPTION</t>
  </si>
  <si>
    <t>AMOUNT</t>
  </si>
  <si>
    <t>SUBTOTAL</t>
  </si>
  <si>
    <t>SELECT</t>
  </si>
  <si>
    <t>FEE</t>
  </si>
  <si>
    <t>Health Services</t>
  </si>
  <si>
    <t>Health Facility</t>
  </si>
  <si>
    <t>Associated Student Body</t>
  </si>
  <si>
    <t>Instructionally Related Activity</t>
  </si>
  <si>
    <t>Lab Fee (EPO 213, 215, 315 only)</t>
  </si>
  <si>
    <t>Housing + 15 Meal Plan</t>
  </si>
  <si>
    <t>Housing + 19 Meal Plan</t>
  </si>
  <si>
    <t>200 Maritime Academy Drive</t>
  </si>
  <si>
    <t>Vallejo, CA 94590</t>
  </si>
  <si>
    <t>Email:  cashier@csum.edu</t>
  </si>
  <si>
    <t>Housing Deposit (Must Select If Residing On Campus)</t>
  </si>
  <si>
    <t>Enter the number 1 in the "Select" column to add applicable fees</t>
  </si>
  <si>
    <t>FEE ESTIMATOR</t>
  </si>
  <si>
    <t>If you are not a legal resident of California:</t>
  </si>
  <si>
    <t>Student Name:</t>
  </si>
  <si>
    <t>Date:</t>
  </si>
  <si>
    <t>THIS IS AN ESTIMATE ONLY.  ACTUAL FEES ARE BILLED BASED ON YOUR REGISTRATION, FOOD AND HOUSING CHOICES.</t>
  </si>
  <si>
    <t>Campus Document Fee</t>
  </si>
  <si>
    <t>WUE Waiver - Approved Students Only</t>
  </si>
  <si>
    <t>VA Waiver - Approved Students Only</t>
  </si>
  <si>
    <t>TOTAL AMOUNT DUE</t>
  </si>
  <si>
    <t>TOTAL ESTIMATED FEES</t>
  </si>
  <si>
    <t>WAIVERS, FINANCIAL AID &amp; PAYMENTS</t>
  </si>
  <si>
    <t xml:space="preserve">Other Payments </t>
  </si>
  <si>
    <t xml:space="preserve">Students are required to live on campus &amp; select a meal plan unless they've applied and been granted off campus approval.  </t>
  </si>
  <si>
    <t>If you are a Post Baccalaureate student: (already have one Undergraduate degree) select 6.1+ or &lt;6.1 units fee:</t>
  </si>
  <si>
    <r>
      <t xml:space="preserve">Non-Resident Tuition  (Enter Total # Units Enrolled) </t>
    </r>
    <r>
      <rPr>
        <i/>
        <sz val="9"/>
        <rFont val="Arial"/>
        <family val="2"/>
      </rPr>
      <t>Subject to change</t>
    </r>
  </si>
  <si>
    <r>
      <t xml:space="preserve">Post Baccalaureate Fee Full-time (6.1+ Units) </t>
    </r>
    <r>
      <rPr>
        <i/>
        <sz val="9"/>
        <rFont val="Arial"/>
        <family val="2"/>
      </rPr>
      <t>Subject to change</t>
    </r>
  </si>
  <si>
    <r>
      <t xml:space="preserve">Post Baccalaureate Fee (If Enrolled in Less Than 6.1 Units) </t>
    </r>
    <r>
      <rPr>
        <i/>
        <sz val="9"/>
        <rFont val="Arial"/>
        <family val="2"/>
      </rPr>
      <t>Subject to change</t>
    </r>
  </si>
  <si>
    <t>Housing + 15 FLEX Meal Plan (Includes $195 FLEX dollars)</t>
  </si>
  <si>
    <t>Financial Aid Loans/Grants/Scholarships - Anticipated Aid Only</t>
  </si>
  <si>
    <t>Phone (707) 654-1030 Option #6   Fax (707) 654-1042</t>
  </si>
  <si>
    <r>
      <t xml:space="preserve">Tuition Fee Full-time (6.1+ Units) </t>
    </r>
    <r>
      <rPr>
        <i/>
        <sz val="9"/>
        <rFont val="Arial"/>
        <family val="2"/>
      </rPr>
      <t>Subject to change</t>
    </r>
  </si>
  <si>
    <r>
      <t xml:space="preserve">Tuition Fee (If Enrolled in Less Than 6.1 Units)  </t>
    </r>
    <r>
      <rPr>
        <i/>
        <sz val="9"/>
        <rFont val="Arial"/>
        <family val="2"/>
      </rPr>
      <t>Subject to change</t>
    </r>
  </si>
  <si>
    <t>Tuition Premium for WUE Students (Additional 50% of Tuition Fee)</t>
  </si>
  <si>
    <r>
      <t xml:space="preserve">The CSU makes every effort to keep student costs to a minimum.  Fees listed in published schedules or student accounts may need to be increased when public funding is inadequate.  Therefore, the CSU must reserve the right, even after initial fee payments are made, to increase or modify listed fees without notice, until the date when instruction for a particular semester has begun.  All CSU listed fees should be regarded as </t>
    </r>
    <r>
      <rPr>
        <i/>
        <u/>
        <sz val="8"/>
        <rFont val="Arial"/>
        <family val="2"/>
      </rPr>
      <t>estimates</t>
    </r>
    <r>
      <rPr>
        <i/>
        <sz val="8"/>
        <rFont val="Arial"/>
        <family val="2"/>
      </rPr>
      <t xml:space="preserve"> subject to change upon approval by The Board of Trustees.</t>
    </r>
  </si>
  <si>
    <t xml:space="preserve"> </t>
  </si>
  <si>
    <r>
      <t xml:space="preserve">Parking Permit </t>
    </r>
    <r>
      <rPr>
        <sz val="8"/>
        <rFont val="Arial"/>
        <family val="2"/>
      </rPr>
      <t>(Eligibility policies apply for newly admitted students)</t>
    </r>
  </si>
  <si>
    <t>Firefighting Course (typically taken by Juniors)</t>
  </si>
  <si>
    <r>
      <t xml:space="preserve">(Position cursor over </t>
    </r>
    <r>
      <rPr>
        <sz val="8"/>
        <color indexed="10"/>
        <rFont val="Arial"/>
        <family val="2"/>
      </rPr>
      <t>triangle</t>
    </r>
    <r>
      <rPr>
        <sz val="8"/>
        <rFont val="Arial"/>
        <family val="2"/>
      </rPr>
      <t xml:space="preserve"> for important information)</t>
    </r>
  </si>
  <si>
    <t xml:space="preserve">Medical Insurance Premium Part A (6.0+ Units)   </t>
  </si>
  <si>
    <t>Medical Insurance Waiver Part A - With Approved Waivers Only</t>
  </si>
  <si>
    <t xml:space="preserve">Medical Insurance Premium Part B Travel Assist (6.0+ Units)   </t>
  </si>
  <si>
    <t>35 Block Plan - Approved Off Campus Students ONLY</t>
  </si>
  <si>
    <t>Fall 2014</t>
  </si>
  <si>
    <t>(Due Date, unless specified, is 08/12/2014)</t>
  </si>
  <si>
    <t>FEES ARE DUE AUGUST 12, 2014</t>
  </si>
  <si>
    <r>
      <t xml:space="preserve">Orientation Fee (New Students </t>
    </r>
    <r>
      <rPr>
        <b/>
        <sz val="10"/>
        <rFont val="Arial"/>
        <family val="2"/>
      </rPr>
      <t>only</t>
    </r>
    <r>
      <rPr>
        <sz val="10"/>
        <rFont val="Arial"/>
        <family val="2"/>
      </rPr>
      <t>)</t>
    </r>
  </si>
  <si>
    <r>
      <t xml:space="preserve">Uniform - Initial Issue+sales tax </t>
    </r>
    <r>
      <rPr>
        <sz val="8"/>
        <rFont val="Arial"/>
        <family val="2"/>
      </rPr>
      <t>(First term @ CMA, paid to Cal Maritime Bookstore)</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</si>
</sst>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 \ "/>
    <numFmt numFmtId="165" formatCode="_(* #,##0.00_);_(* \(#,##0.00\);;_(@_)"/>
    <numFmt numFmtId="166" formatCode="[$-409]mmmm\ d\,\ yyyy;@"/>
    <numFmt numFmtId="167" formatCode="0.0"/>
  </numFmts>
  <fonts count="24" x14ac:knownFonts="1">
    <font>
      <sz val="10"/>
      <name val="Arial"/>
    </font>
    <font>
      <sz val="10"/>
      <name val="Arial"/>
      <family val="2"/>
    </font>
    <font>
      <b/>
      <sz val="10"/>
      <name val="Arial"/>
      <family val="2"/>
    </font>
    <font>
      <b/>
      <sz val="18"/>
      <name val="Arial"/>
      <family val="2"/>
    </font>
    <font>
      <b/>
      <i/>
      <sz val="10"/>
      <name val="Arial"/>
      <family val="2"/>
    </font>
    <font>
      <sz val="28"/>
      <name val="Arial Black"/>
      <family val="2"/>
    </font>
    <font>
      <sz val="18"/>
      <name val="Arial Black"/>
      <family val="2"/>
    </font>
    <font>
      <sz val="8"/>
      <name val="Arial"/>
      <family val="2"/>
    </font>
    <font>
      <i/>
      <sz val="9"/>
      <name val="Arial"/>
      <family val="2"/>
    </font>
    <font>
      <i/>
      <sz val="8"/>
      <name val="Arial"/>
      <family val="2"/>
    </font>
    <font>
      <i/>
      <u/>
      <sz val="8"/>
      <name val="Arial"/>
      <family val="2"/>
    </font>
    <font>
      <sz val="9"/>
      <color indexed="81"/>
      <name val="Tahoma"/>
      <family val="2"/>
    </font>
    <font>
      <b/>
      <sz val="9"/>
      <color indexed="81"/>
      <name val="Tahoma"/>
      <family val="2"/>
    </font>
    <font>
      <sz val="8"/>
      <name val="Arial"/>
      <family val="2"/>
    </font>
    <font>
      <sz val="8"/>
      <color indexed="10"/>
      <name val="Arial"/>
      <family val="2"/>
    </font>
    <font>
      <sz val="8"/>
      <color indexed="81"/>
      <name val="Tahoma"/>
      <family val="2"/>
    </font>
    <font>
      <b/>
      <sz val="8"/>
      <color indexed="81"/>
      <name val="Tahoma"/>
      <family val="2"/>
    </font>
    <font>
      <i/>
      <sz val="8"/>
      <color indexed="81"/>
      <name val="Tahoma"/>
      <family val="2"/>
    </font>
    <font>
      <sz val="10"/>
      <name val="Arial"/>
      <family val="2"/>
    </font>
    <font>
      <sz val="8"/>
      <color indexed="81"/>
      <name val="Terminal"/>
      <family val="3"/>
      <charset val="255"/>
    </font>
    <font>
      <sz val="12"/>
      <name val="Arial Black"/>
      <family val="2"/>
    </font>
    <font>
      <sz val="12"/>
      <color indexed="10"/>
      <name val="Arial Black"/>
      <family val="2"/>
    </font>
    <font>
      <sz val="12"/>
      <color indexed="10"/>
      <name val="Arial Black"/>
      <family val="2"/>
    </font>
    <font>
      <b/>
      <i/>
      <sz val="8"/>
      <name val="Arial"/>
      <family val="2"/>
    </font>
  </fonts>
  <fills count="4">
    <fill>
      <patternFill patternType="none"/>
    </fill>
    <fill>
      <patternFill patternType="gray125"/>
    </fill>
    <fill>
      <patternFill patternType="solid">
        <fgColor indexed="47"/>
        <bgColor indexed="64"/>
      </patternFill>
    </fill>
    <fill>
      <patternFill patternType="solid">
        <fgColor indexed="45"/>
        <bgColor indexed="64"/>
      </patternFill>
    </fill>
  </fills>
  <borders count="16">
    <border>
      <left/>
      <right/>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69">
    <xf numFmtId="0" fontId="0" fillId="0" borderId="0" xfId="0"/>
    <xf numFmtId="0" fontId="3" fillId="0" borderId="0" xfId="0" applyFont="1"/>
    <xf numFmtId="0" fontId="4" fillId="0" borderId="0" xfId="0" applyFont="1"/>
    <xf numFmtId="0" fontId="0" fillId="0" borderId="0" xfId="0" applyAlignment="1">
      <alignmen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0" xfId="0" applyAlignment="1"/>
    <xf numFmtId="166" fontId="0" fillId="0" borderId="0" xfId="0" applyNumberFormat="1" applyAlignment="1">
      <alignment horizontal="left" shrinkToFit="1"/>
    </xf>
    <xf numFmtId="44" fontId="0" fillId="2" borderId="3" xfId="0" applyNumberFormat="1" applyFill="1" applyBorder="1" applyAlignment="1">
      <alignment horizontal="right" vertical="center"/>
    </xf>
    <xf numFmtId="165" fontId="0" fillId="2" borderId="4" xfId="0" applyNumberFormat="1" applyFill="1" applyBorder="1" applyAlignment="1">
      <alignment horizontal="right"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1" fontId="0" fillId="0" borderId="8" xfId="0" applyNumberFormat="1" applyBorder="1" applyAlignment="1">
      <alignment horizontal="center" vertical="center"/>
    </xf>
    <xf numFmtId="1" fontId="0" fillId="0" borderId="9" xfId="0" applyNumberFormat="1" applyBorder="1" applyAlignment="1">
      <alignment horizontal="center" vertical="center"/>
    </xf>
    <xf numFmtId="44" fontId="2" fillId="2" borderId="7" xfId="0" applyNumberFormat="1" applyFont="1" applyFill="1" applyBorder="1" applyAlignment="1">
      <alignment horizontal="right" vertical="center"/>
    </xf>
    <xf numFmtId="164" fontId="2" fillId="2" borderId="7" xfId="0" applyNumberFormat="1" applyFont="1" applyFill="1" applyBorder="1" applyAlignment="1">
      <alignment horizontal="right" vertical="center"/>
    </xf>
    <xf numFmtId="0" fontId="5" fillId="0" borderId="0" xfId="0" applyFont="1" applyAlignment="1">
      <alignment horizontal="right"/>
    </xf>
    <xf numFmtId="0" fontId="0" fillId="0" borderId="2" xfId="0" applyBorder="1"/>
    <xf numFmtId="0" fontId="4" fillId="0" borderId="1" xfId="0" applyFont="1" applyFill="1" applyBorder="1" applyAlignment="1">
      <alignment horizontal="left" vertical="center"/>
    </xf>
    <xf numFmtId="0" fontId="4" fillId="0" borderId="2" xfId="0" applyFont="1" applyBorder="1" applyAlignment="1">
      <alignment wrapText="1"/>
    </xf>
    <xf numFmtId="0" fontId="0" fillId="2" borderId="10" xfId="0" applyFill="1" applyBorder="1" applyAlignment="1">
      <alignment vertical="center"/>
    </xf>
    <xf numFmtId="164" fontId="2" fillId="2" borderId="10" xfId="0" applyNumberFormat="1" applyFont="1" applyFill="1" applyBorder="1" applyAlignment="1">
      <alignment horizontal="right" vertical="center"/>
    </xf>
    <xf numFmtId="0" fontId="6" fillId="0" borderId="0" xfId="0" applyFont="1" applyAlignment="1">
      <alignment horizontal="right"/>
    </xf>
    <xf numFmtId="0" fontId="0" fillId="0" borderId="8" xfId="0" applyBorder="1"/>
    <xf numFmtId="165" fontId="0" fillId="2" borderId="9" xfId="0" applyNumberFormat="1" applyFill="1" applyBorder="1" applyAlignment="1">
      <alignment horizontal="right" vertical="center"/>
    </xf>
    <xf numFmtId="0" fontId="0" fillId="2" borderId="9" xfId="0" applyFill="1" applyBorder="1"/>
    <xf numFmtId="0" fontId="0" fillId="0" borderId="9" xfId="0" applyBorder="1"/>
    <xf numFmtId="0" fontId="0" fillId="2" borderId="8" xfId="0" applyFill="1" applyBorder="1"/>
    <xf numFmtId="0" fontId="2" fillId="0" borderId="0" xfId="0" applyFont="1" applyAlignment="1">
      <alignment horizontal="right" indent="1"/>
    </xf>
    <xf numFmtId="1" fontId="0" fillId="0" borderId="9" xfId="0" applyNumberFormat="1" applyBorder="1" applyAlignment="1" applyProtection="1">
      <alignment horizontal="center" vertical="center"/>
      <protection locked="0"/>
    </xf>
    <xf numFmtId="0" fontId="2" fillId="2" borderId="11" xfId="0" applyFont="1" applyFill="1" applyBorder="1" applyAlignment="1">
      <alignment horizontal="left" vertical="center" wrapText="1"/>
    </xf>
    <xf numFmtId="0" fontId="2" fillId="3" borderId="6" xfId="0" applyFont="1" applyFill="1" applyBorder="1" applyAlignment="1">
      <alignment horizontal="center"/>
    </xf>
    <xf numFmtId="43" fontId="0" fillId="0" borderId="8" xfId="0" applyNumberFormat="1" applyBorder="1"/>
    <xf numFmtId="43" fontId="0" fillId="0" borderId="9" xfId="0" applyNumberFormat="1" applyBorder="1"/>
    <xf numFmtId="0" fontId="0" fillId="0" borderId="9" xfId="0" applyBorder="1" applyAlignment="1">
      <alignment horizontal="left" vertical="center"/>
    </xf>
    <xf numFmtId="0" fontId="0" fillId="2" borderId="12" xfId="0" applyFill="1" applyBorder="1" applyAlignment="1">
      <alignment vertical="center"/>
    </xf>
    <xf numFmtId="164" fontId="2" fillId="2" borderId="12" xfId="0" applyNumberFormat="1" applyFont="1" applyFill="1" applyBorder="1" applyAlignment="1">
      <alignment horizontal="right" vertical="center"/>
    </xf>
    <xf numFmtId="0" fontId="0" fillId="2" borderId="5" xfId="0" applyFill="1" applyBorder="1" applyAlignment="1">
      <alignment horizontal="left" vertical="center"/>
    </xf>
    <xf numFmtId="0" fontId="0" fillId="2" borderId="6" xfId="0" applyFill="1" applyBorder="1"/>
    <xf numFmtId="44" fontId="2" fillId="2" borderId="6" xfId="0" applyNumberFormat="1" applyFont="1" applyFill="1" applyBorder="1" applyAlignment="1">
      <alignment horizontal="right" vertical="center"/>
    </xf>
    <xf numFmtId="44" fontId="2" fillId="2" borderId="13" xfId="0" applyNumberFormat="1" applyFont="1" applyFill="1" applyBorder="1" applyAlignment="1">
      <alignment horizontal="right" vertical="center"/>
    </xf>
    <xf numFmtId="0" fontId="0" fillId="0" borderId="8" xfId="0" applyBorder="1" applyAlignment="1" applyProtection="1">
      <alignment horizontal="center"/>
      <protection locked="0"/>
    </xf>
    <xf numFmtId="0" fontId="0" fillId="0" borderId="9" xfId="0" applyBorder="1" applyAlignment="1" applyProtection="1">
      <alignment horizontal="center"/>
      <protection locked="0"/>
    </xf>
    <xf numFmtId="0" fontId="0" fillId="0" borderId="14" xfId="0" applyBorder="1" applyAlignment="1" applyProtection="1">
      <alignment horizontal="center"/>
      <protection locked="0"/>
    </xf>
    <xf numFmtId="39" fontId="0" fillId="0" borderId="9" xfId="0" applyNumberFormat="1" applyBorder="1" applyProtection="1">
      <protection locked="0"/>
    </xf>
    <xf numFmtId="39" fontId="0" fillId="0" borderId="14" xfId="0" applyNumberFormat="1" applyBorder="1" applyProtection="1">
      <protection locked="0"/>
    </xf>
    <xf numFmtId="0" fontId="0" fillId="0" borderId="0" xfId="0" applyAlignment="1" applyProtection="1">
      <alignment horizontal="left"/>
      <protection locked="0"/>
    </xf>
    <xf numFmtId="0" fontId="7" fillId="0" borderId="0" xfId="0" applyFont="1"/>
    <xf numFmtId="43" fontId="0" fillId="0" borderId="9" xfId="1" applyFont="1" applyBorder="1" applyAlignment="1">
      <alignment horizontal="right" vertical="center"/>
    </xf>
    <xf numFmtId="43" fontId="0" fillId="0" borderId="9" xfId="1" applyFont="1" applyBorder="1"/>
    <xf numFmtId="167" fontId="0" fillId="0" borderId="9" xfId="0" applyNumberFormat="1" applyBorder="1" applyAlignment="1" applyProtection="1">
      <alignment horizontal="center" vertical="center"/>
      <protection locked="0"/>
    </xf>
    <xf numFmtId="39" fontId="0" fillId="0" borderId="8" xfId="0" applyNumberFormat="1" applyBorder="1" applyAlignment="1">
      <alignment horizontal="right" vertical="center"/>
    </xf>
    <xf numFmtId="39" fontId="0" fillId="0" borderId="9" xfId="0" applyNumberFormat="1" applyBorder="1" applyAlignment="1">
      <alignment horizontal="right" vertical="center"/>
    </xf>
    <xf numFmtId="0" fontId="0" fillId="0" borderId="9" xfId="0" applyBorder="1" applyProtection="1"/>
    <xf numFmtId="0" fontId="13" fillId="0" borderId="0" xfId="0" applyFont="1"/>
    <xf numFmtId="0" fontId="18" fillId="0" borderId="2" xfId="0" applyFont="1" applyBorder="1" applyAlignment="1">
      <alignment horizontal="left" vertical="center"/>
    </xf>
    <xf numFmtId="0" fontId="18" fillId="0" borderId="9" xfId="0" applyFont="1" applyBorder="1" applyAlignment="1">
      <alignment horizontal="left" vertical="center"/>
    </xf>
    <xf numFmtId="0" fontId="18" fillId="0" borderId="0" xfId="0" applyFont="1"/>
    <xf numFmtId="0" fontId="20" fillId="0" borderId="0" xfId="0" applyFont="1" applyAlignment="1">
      <alignment horizontal="center" wrapText="1"/>
    </xf>
    <xf numFmtId="0" fontId="14" fillId="0" borderId="0" xfId="0" applyFont="1"/>
    <xf numFmtId="0" fontId="23" fillId="0" borderId="15" xfId="0" applyFont="1" applyBorder="1" applyAlignment="1">
      <alignment horizontal="left" wrapText="1"/>
    </xf>
    <xf numFmtId="1" fontId="0" fillId="0" borderId="4" xfId="0" applyNumberFormat="1" applyBorder="1" applyAlignment="1" applyProtection="1">
      <alignment horizontal="center" vertical="center"/>
    </xf>
    <xf numFmtId="0" fontId="1" fillId="0" borderId="2" xfId="0" applyFont="1" applyBorder="1" applyAlignment="1">
      <alignment horizontal="left" vertical="center"/>
    </xf>
    <xf numFmtId="1" fontId="0" fillId="0" borderId="14" xfId="0" applyNumberFormat="1" applyBorder="1" applyAlignment="1" applyProtection="1">
      <alignment horizontal="center" vertical="center"/>
      <protection locked="0"/>
    </xf>
    <xf numFmtId="39" fontId="0" fillId="0" borderId="14" xfId="0" applyNumberFormat="1" applyBorder="1" applyAlignment="1">
      <alignment horizontal="right" vertical="center"/>
    </xf>
    <xf numFmtId="0" fontId="21" fillId="0" borderId="0" xfId="0" applyFont="1" applyAlignment="1">
      <alignment horizontal="center" wrapText="1"/>
    </xf>
    <xf numFmtId="0" fontId="22" fillId="0" borderId="0" xfId="0" applyFont="1" applyAlignment="1">
      <alignment horizontal="center" wrapText="1"/>
    </xf>
    <xf numFmtId="0" fontId="9" fillId="0" borderId="0" xfId="0" applyFont="1" applyAlignment="1">
      <alignment horizontal="left" wrapText="1"/>
    </xf>
  </cellXfs>
  <cellStyles count="2">
    <cellStyle name="Comma" xfId="1" builtinId="3"/>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0</xdr:col>
      <xdr:colOff>3409950</xdr:colOff>
      <xdr:row>1</xdr:row>
      <xdr:rowOff>285750</xdr:rowOff>
    </xdr:to>
    <xdr:pic>
      <xdr:nvPicPr>
        <xdr:cNvPr id="1147" name="Picture 2" descr="CMA 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34099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tabColor indexed="45"/>
    <pageSetUpPr fitToPage="1"/>
  </sheetPr>
  <dimension ref="A1:E58"/>
  <sheetViews>
    <sheetView showGridLines="0" tabSelected="1" zoomScaleNormal="100" workbookViewId="0">
      <selection activeCell="D4" sqref="D4"/>
    </sheetView>
  </sheetViews>
  <sheetFormatPr defaultRowHeight="12.75" x14ac:dyDescent="0.2"/>
  <cols>
    <col min="1" max="1" width="64.28515625" bestFit="1" customWidth="1"/>
    <col min="2" max="2" width="9.42578125" customWidth="1"/>
    <col min="3" max="3" width="11.42578125" customWidth="1"/>
    <col min="4" max="4" width="16.5703125" customWidth="1"/>
  </cols>
  <sheetData>
    <row r="1" spans="1:5" ht="42.75" x14ac:dyDescent="0.8">
      <c r="A1" s="1"/>
      <c r="D1" s="17" t="s">
        <v>49</v>
      </c>
    </row>
    <row r="2" spans="1:5" ht="24" customHeight="1" x14ac:dyDescent="0.5">
      <c r="A2" s="2"/>
      <c r="D2" s="23" t="s">
        <v>17</v>
      </c>
    </row>
    <row r="3" spans="1:5" ht="15" customHeight="1" x14ac:dyDescent="0.2">
      <c r="A3" t="s">
        <v>12</v>
      </c>
      <c r="C3" s="60" t="s">
        <v>50</v>
      </c>
    </row>
    <row r="4" spans="1:5" ht="15.6" customHeight="1" x14ac:dyDescent="0.2">
      <c r="A4" t="s">
        <v>13</v>
      </c>
      <c r="C4" s="29" t="s">
        <v>19</v>
      </c>
      <c r="D4" s="47"/>
    </row>
    <row r="5" spans="1:5" x14ac:dyDescent="0.2">
      <c r="A5" t="s">
        <v>36</v>
      </c>
    </row>
    <row r="6" spans="1:5" ht="12.75" customHeight="1" x14ac:dyDescent="0.2">
      <c r="A6" t="s">
        <v>14</v>
      </c>
      <c r="C6" s="29" t="s">
        <v>20</v>
      </c>
      <c r="D6" s="7">
        <f ca="1">TODAY()</f>
        <v>41753</v>
      </c>
    </row>
    <row r="7" spans="1:5" ht="5.45" customHeight="1" x14ac:dyDescent="0.2"/>
    <row r="8" spans="1:5" ht="17.25" customHeight="1" x14ac:dyDescent="0.2">
      <c r="A8" s="2" t="s">
        <v>16</v>
      </c>
      <c r="B8" s="55" t="s">
        <v>44</v>
      </c>
    </row>
    <row r="9" spans="1:5" s="3" customFormat="1" ht="20.100000000000001" customHeight="1" x14ac:dyDescent="0.2">
      <c r="A9" s="10" t="s">
        <v>0</v>
      </c>
      <c r="B9" s="10" t="s">
        <v>3</v>
      </c>
      <c r="C9" s="11" t="s">
        <v>4</v>
      </c>
      <c r="D9" s="12" t="s">
        <v>1</v>
      </c>
    </row>
    <row r="10" spans="1:5" s="3" customFormat="1" ht="20.100000000000001" customHeight="1" x14ac:dyDescent="0.2">
      <c r="A10" s="4" t="s">
        <v>37</v>
      </c>
      <c r="B10" s="13">
        <v>1</v>
      </c>
      <c r="C10" s="52">
        <v>2736</v>
      </c>
      <c r="D10" s="8">
        <f>B10*C10</f>
        <v>2736</v>
      </c>
      <c r="E10" s="3" t="s">
        <v>41</v>
      </c>
    </row>
    <row r="11" spans="1:5" s="3" customFormat="1" ht="20.100000000000001" customHeight="1" x14ac:dyDescent="0.2">
      <c r="A11" s="5" t="s">
        <v>38</v>
      </c>
      <c r="B11" s="30">
        <v>0</v>
      </c>
      <c r="C11" s="53">
        <v>-1149</v>
      </c>
      <c r="D11" s="9">
        <f t="shared" ref="D11:D28" si="0">B11*C11</f>
        <v>0</v>
      </c>
    </row>
    <row r="12" spans="1:5" s="3" customFormat="1" ht="20.100000000000001" customHeight="1" x14ac:dyDescent="0.2">
      <c r="A12" s="5" t="s">
        <v>39</v>
      </c>
      <c r="B12" s="30">
        <v>0</v>
      </c>
      <c r="C12" s="53">
        <v>1368</v>
      </c>
      <c r="D12" s="9">
        <f t="shared" si="0"/>
        <v>0</v>
      </c>
    </row>
    <row r="13" spans="1:5" s="3" customFormat="1" ht="20.100000000000001" customHeight="1" x14ac:dyDescent="0.2">
      <c r="A13" s="5" t="s">
        <v>5</v>
      </c>
      <c r="B13" s="14">
        <v>1</v>
      </c>
      <c r="C13" s="53">
        <v>340</v>
      </c>
      <c r="D13" s="9">
        <f t="shared" si="0"/>
        <v>340</v>
      </c>
    </row>
    <row r="14" spans="1:5" s="3" customFormat="1" ht="20.100000000000001" customHeight="1" x14ac:dyDescent="0.2">
      <c r="A14" s="5" t="s">
        <v>6</v>
      </c>
      <c r="B14" s="14">
        <v>1</v>
      </c>
      <c r="C14" s="53">
        <v>7</v>
      </c>
      <c r="D14" s="9">
        <f t="shared" si="0"/>
        <v>7</v>
      </c>
    </row>
    <row r="15" spans="1:5" s="3" customFormat="1" ht="20.100000000000001" customHeight="1" x14ac:dyDescent="0.2">
      <c r="A15" s="5" t="s">
        <v>45</v>
      </c>
      <c r="B15" s="14">
        <v>1</v>
      </c>
      <c r="C15" s="53">
        <v>659</v>
      </c>
      <c r="D15" s="9">
        <f t="shared" si="0"/>
        <v>659</v>
      </c>
    </row>
    <row r="16" spans="1:5" s="3" customFormat="1" ht="20.100000000000001" customHeight="1" x14ac:dyDescent="0.2">
      <c r="A16" s="5" t="s">
        <v>47</v>
      </c>
      <c r="B16" s="14">
        <v>1</v>
      </c>
      <c r="C16" s="53">
        <v>20</v>
      </c>
      <c r="D16" s="9">
        <f t="shared" si="0"/>
        <v>20</v>
      </c>
    </row>
    <row r="17" spans="1:4" s="3" customFormat="1" ht="20.100000000000001" customHeight="1" x14ac:dyDescent="0.2">
      <c r="A17" s="5" t="s">
        <v>7</v>
      </c>
      <c r="B17" s="14">
        <v>1</v>
      </c>
      <c r="C17" s="53">
        <v>105</v>
      </c>
      <c r="D17" s="9">
        <f t="shared" si="0"/>
        <v>105</v>
      </c>
    </row>
    <row r="18" spans="1:4" s="3" customFormat="1" ht="20.100000000000001" customHeight="1" x14ac:dyDescent="0.2">
      <c r="A18" s="5" t="s">
        <v>8</v>
      </c>
      <c r="B18" s="14">
        <v>1</v>
      </c>
      <c r="C18" s="53">
        <v>100</v>
      </c>
      <c r="D18" s="9">
        <f t="shared" si="0"/>
        <v>100</v>
      </c>
    </row>
    <row r="19" spans="1:4" s="3" customFormat="1" ht="20.100000000000001" customHeight="1" x14ac:dyDescent="0.2">
      <c r="A19" s="56" t="s">
        <v>22</v>
      </c>
      <c r="B19" s="14">
        <v>1</v>
      </c>
      <c r="C19" s="53">
        <v>15</v>
      </c>
      <c r="D19" s="9">
        <f t="shared" si="0"/>
        <v>15</v>
      </c>
    </row>
    <row r="20" spans="1:4" s="3" customFormat="1" ht="20.100000000000001" customHeight="1" x14ac:dyDescent="0.2">
      <c r="A20" s="5" t="s">
        <v>9</v>
      </c>
      <c r="B20" s="30">
        <v>0</v>
      </c>
      <c r="C20" s="53">
        <v>36</v>
      </c>
      <c r="D20" s="9">
        <f t="shared" si="0"/>
        <v>0</v>
      </c>
    </row>
    <row r="21" spans="1:4" s="3" customFormat="1" ht="20.100000000000001" customHeight="1" x14ac:dyDescent="0.2">
      <c r="A21" s="5" t="s">
        <v>43</v>
      </c>
      <c r="B21" s="30">
        <v>0</v>
      </c>
      <c r="C21" s="53">
        <v>1100</v>
      </c>
      <c r="D21" s="9">
        <f>B21*C21</f>
        <v>0</v>
      </c>
    </row>
    <row r="22" spans="1:4" s="3" customFormat="1" ht="20.100000000000001" customHeight="1" thickBot="1" x14ac:dyDescent="0.25">
      <c r="A22" s="63" t="s">
        <v>52</v>
      </c>
      <c r="B22" s="30">
        <v>0</v>
      </c>
      <c r="C22" s="53">
        <v>385</v>
      </c>
      <c r="D22" s="9">
        <f t="shared" ref="D22" si="1">B22*C22</f>
        <v>0</v>
      </c>
    </row>
    <row r="23" spans="1:4" s="3" customFormat="1" ht="23.45" customHeight="1" thickBot="1" x14ac:dyDescent="0.2">
      <c r="A23" s="61" t="s">
        <v>29</v>
      </c>
      <c r="B23" s="62"/>
      <c r="C23" s="53"/>
      <c r="D23" s="9"/>
    </row>
    <row r="24" spans="1:4" s="3" customFormat="1" ht="20.100000000000001" customHeight="1" x14ac:dyDescent="0.2">
      <c r="A24" s="56" t="s">
        <v>10</v>
      </c>
      <c r="B24" s="30">
        <v>0</v>
      </c>
      <c r="C24" s="53">
        <v>5650</v>
      </c>
      <c r="D24" s="9">
        <f t="shared" si="0"/>
        <v>0</v>
      </c>
    </row>
    <row r="25" spans="1:4" s="3" customFormat="1" ht="20.100000000000001" customHeight="1" x14ac:dyDescent="0.2">
      <c r="A25" s="5" t="s">
        <v>34</v>
      </c>
      <c r="B25" s="30">
        <v>0</v>
      </c>
      <c r="C25" s="53">
        <v>5835</v>
      </c>
      <c r="D25" s="9">
        <f t="shared" si="0"/>
        <v>0</v>
      </c>
    </row>
    <row r="26" spans="1:4" s="3" customFormat="1" ht="20.100000000000001" customHeight="1" x14ac:dyDescent="0.2">
      <c r="A26" s="5" t="s">
        <v>11</v>
      </c>
      <c r="B26" s="30">
        <v>0</v>
      </c>
      <c r="C26" s="53">
        <v>5805</v>
      </c>
      <c r="D26" s="9">
        <f t="shared" si="0"/>
        <v>0</v>
      </c>
    </row>
    <row r="27" spans="1:4" s="3" customFormat="1" ht="20.100000000000001" customHeight="1" x14ac:dyDescent="0.2">
      <c r="A27" s="35" t="s">
        <v>15</v>
      </c>
      <c r="B27" s="30">
        <v>0</v>
      </c>
      <c r="C27" s="53">
        <v>150</v>
      </c>
      <c r="D27" s="9">
        <f t="shared" si="0"/>
        <v>0</v>
      </c>
    </row>
    <row r="28" spans="1:4" s="3" customFormat="1" ht="20.100000000000001" customHeight="1" x14ac:dyDescent="0.2">
      <c r="A28" s="35" t="s">
        <v>48</v>
      </c>
      <c r="B28" s="30">
        <v>0</v>
      </c>
      <c r="C28" s="53">
        <v>365</v>
      </c>
      <c r="D28" s="9">
        <f t="shared" si="0"/>
        <v>0</v>
      </c>
    </row>
    <row r="29" spans="1:4" s="3" customFormat="1" ht="20.100000000000001" customHeight="1" x14ac:dyDescent="0.2">
      <c r="A29" s="57" t="s">
        <v>42</v>
      </c>
      <c r="B29" s="30">
        <v>0</v>
      </c>
      <c r="C29" s="53">
        <v>81</v>
      </c>
      <c r="D29" s="9">
        <f>B29*C29</f>
        <v>0</v>
      </c>
    </row>
    <row r="30" spans="1:4" s="3" customFormat="1" ht="20.100000000000001" customHeight="1" x14ac:dyDescent="0.2">
      <c r="A30" s="63" t="s">
        <v>53</v>
      </c>
      <c r="B30" s="64">
        <v>0</v>
      </c>
      <c r="C30" s="65">
        <v>1839</v>
      </c>
      <c r="D30" s="9">
        <f>B30*C30</f>
        <v>0</v>
      </c>
    </row>
    <row r="31" spans="1:4" s="3" customFormat="1" x14ac:dyDescent="0.2">
      <c r="A31" s="38"/>
      <c r="B31" s="36"/>
      <c r="C31" s="37" t="s">
        <v>2</v>
      </c>
      <c r="D31" s="40">
        <f>SUM(D10:D30)</f>
        <v>3982</v>
      </c>
    </row>
    <row r="32" spans="1:4" ht="8.4499999999999993" customHeight="1" x14ac:dyDescent="0.2"/>
    <row r="33" spans="1:4" x14ac:dyDescent="0.2">
      <c r="A33" s="19" t="s">
        <v>18</v>
      </c>
      <c r="B33" s="24"/>
      <c r="C33" s="24"/>
      <c r="D33" s="28"/>
    </row>
    <row r="34" spans="1:4" x14ac:dyDescent="0.2">
      <c r="A34" s="5" t="s">
        <v>31</v>
      </c>
      <c r="B34" s="51">
        <v>0</v>
      </c>
      <c r="C34" s="49">
        <v>372</v>
      </c>
      <c r="D34" s="25">
        <f>B34*C34</f>
        <v>0</v>
      </c>
    </row>
    <row r="35" spans="1:4" ht="9" customHeight="1" x14ac:dyDescent="0.2">
      <c r="A35" s="18"/>
      <c r="B35" s="54"/>
      <c r="C35" s="50"/>
      <c r="D35" s="26"/>
    </row>
    <row r="36" spans="1:4" ht="25.5" x14ac:dyDescent="0.2">
      <c r="A36" s="20" t="s">
        <v>30</v>
      </c>
      <c r="B36" s="27"/>
      <c r="C36" s="50"/>
      <c r="D36" s="26"/>
    </row>
    <row r="37" spans="1:4" x14ac:dyDescent="0.2">
      <c r="A37" s="5" t="s">
        <v>32</v>
      </c>
      <c r="B37" s="30">
        <v>0</v>
      </c>
      <c r="C37" s="49">
        <v>633</v>
      </c>
      <c r="D37" s="25">
        <f>B37*C37</f>
        <v>0</v>
      </c>
    </row>
    <row r="38" spans="1:4" x14ac:dyDescent="0.2">
      <c r="A38" s="35" t="s">
        <v>33</v>
      </c>
      <c r="B38" s="30">
        <v>0</v>
      </c>
      <c r="C38" s="49">
        <v>366</v>
      </c>
      <c r="D38" s="25">
        <f>B38*C38</f>
        <v>0</v>
      </c>
    </row>
    <row r="39" spans="1:4" s="6" customFormat="1" ht="13.5" thickBot="1" x14ac:dyDescent="0.25">
      <c r="A39" s="38"/>
      <c r="B39" s="36"/>
      <c r="C39" s="37" t="s">
        <v>2</v>
      </c>
      <c r="D39" s="40">
        <f>SUM(D34:D38)</f>
        <v>0</v>
      </c>
    </row>
    <row r="40" spans="1:4" ht="13.5" thickBot="1" x14ac:dyDescent="0.25">
      <c r="A40" s="31"/>
      <c r="B40" s="21"/>
      <c r="C40" s="22" t="s">
        <v>26</v>
      </c>
      <c r="D40" s="41">
        <f>SUM(D31+D39)</f>
        <v>3982</v>
      </c>
    </row>
    <row r="42" spans="1:4" x14ac:dyDescent="0.2">
      <c r="A42" s="32" t="s">
        <v>27</v>
      </c>
      <c r="B42" s="10" t="s">
        <v>3</v>
      </c>
      <c r="C42" s="11" t="s">
        <v>4</v>
      </c>
      <c r="D42" s="12" t="s">
        <v>1</v>
      </c>
    </row>
    <row r="43" spans="1:4" x14ac:dyDescent="0.2">
      <c r="A43" s="18" t="s">
        <v>23</v>
      </c>
      <c r="B43" s="42">
        <v>0</v>
      </c>
      <c r="C43" s="33">
        <f>D34*-1</f>
        <v>0</v>
      </c>
      <c r="D43" s="25">
        <f>B43*C43</f>
        <v>0</v>
      </c>
    </row>
    <row r="44" spans="1:4" x14ac:dyDescent="0.2">
      <c r="A44" s="18" t="s">
        <v>24</v>
      </c>
      <c r="B44" s="43">
        <v>0</v>
      </c>
      <c r="C44" s="34">
        <v>-2736</v>
      </c>
      <c r="D44" s="25">
        <f>B44*C44</f>
        <v>0</v>
      </c>
    </row>
    <row r="45" spans="1:4" x14ac:dyDescent="0.2">
      <c r="A45" s="18" t="s">
        <v>46</v>
      </c>
      <c r="B45" s="43">
        <v>0</v>
      </c>
      <c r="C45" s="34">
        <v>-659</v>
      </c>
      <c r="D45" s="25">
        <f>B45*C45</f>
        <v>0</v>
      </c>
    </row>
    <row r="46" spans="1:4" x14ac:dyDescent="0.2">
      <c r="A46" s="18" t="s">
        <v>35</v>
      </c>
      <c r="B46" s="43">
        <v>0</v>
      </c>
      <c r="C46" s="45"/>
      <c r="D46" s="25">
        <f>C46</f>
        <v>0</v>
      </c>
    </row>
    <row r="47" spans="1:4" x14ac:dyDescent="0.2">
      <c r="A47" s="18" t="s">
        <v>28</v>
      </c>
      <c r="B47" s="44">
        <v>0</v>
      </c>
      <c r="C47" s="46"/>
      <c r="D47" s="25">
        <f>C47</f>
        <v>0</v>
      </c>
    </row>
    <row r="48" spans="1:4" ht="13.5" thickBot="1" x14ac:dyDescent="0.25">
      <c r="A48" s="39"/>
      <c r="B48" s="36"/>
      <c r="C48" s="16" t="s">
        <v>2</v>
      </c>
      <c r="D48" s="15">
        <f>SUM(D43:D47)</f>
        <v>0</v>
      </c>
    </row>
    <row r="49" spans="1:4" ht="26.25" thickBot="1" x14ac:dyDescent="0.25">
      <c r="A49" s="31" t="s">
        <v>21</v>
      </c>
      <c r="B49" s="21"/>
      <c r="C49" s="22" t="s">
        <v>25</v>
      </c>
      <c r="D49" s="41">
        <f>SUM(D40+D48)</f>
        <v>3982</v>
      </c>
    </row>
    <row r="50" spans="1:4" ht="7.9" hidden="1" customHeight="1" x14ac:dyDescent="0.2"/>
    <row r="51" spans="1:4" s="59" customFormat="1" ht="28.9" customHeight="1" x14ac:dyDescent="0.4">
      <c r="A51" s="66" t="s">
        <v>51</v>
      </c>
      <c r="B51" s="67"/>
      <c r="C51" s="67"/>
      <c r="D51" s="67"/>
    </row>
    <row r="52" spans="1:4" s="48" customFormat="1" ht="45" customHeight="1" x14ac:dyDescent="0.2">
      <c r="A52" s="68" t="s">
        <v>40</v>
      </c>
      <c r="B52" s="68"/>
      <c r="C52" s="68"/>
      <c r="D52" s="68"/>
    </row>
    <row r="53" spans="1:4" ht="9" customHeight="1" x14ac:dyDescent="0.2"/>
    <row r="54" spans="1:4" s="55" customFormat="1" ht="11.25" x14ac:dyDescent="0.2"/>
    <row r="55" spans="1:4" x14ac:dyDescent="0.2">
      <c r="A55" s="58"/>
    </row>
    <row r="56" spans="1:4" x14ac:dyDescent="0.2">
      <c r="A56" s="58"/>
    </row>
    <row r="57" spans="1:4" x14ac:dyDescent="0.2">
      <c r="A57" s="58"/>
    </row>
    <row r="58" spans="1:4" x14ac:dyDescent="0.2">
      <c r="A58" s="58"/>
    </row>
  </sheetData>
  <sheetProtection password="E2D1" sheet="1" objects="1" scenarios="1" selectLockedCells="1"/>
  <customSheetViews>
    <customSheetView guid="{D8765D14-D8AE-488E-B86A-EA9F0E718BD0}" showGridLines="0" fitToPage="1" hiddenRows="1" topLeftCell="A29">
      <selection activeCell="A43" sqref="A43"/>
      <pageMargins left="0.5" right="0.5" top="0.25" bottom="0.25" header="0.5" footer="0"/>
      <printOptions horizontalCentered="1"/>
      <pageSetup scale="86" orientation="portrait" horizontalDpi="300" verticalDpi="300" r:id="rId1"/>
      <headerFooter alignWithMargins="0">
        <oddFooter>&amp;L&amp;8&amp;Z&amp;F</oddFooter>
      </headerFooter>
    </customSheetView>
  </customSheetViews>
  <mergeCells count="2">
    <mergeCell ref="A51:D51"/>
    <mergeCell ref="A52:D52"/>
  </mergeCells>
  <phoneticPr fontId="2" type="noConversion"/>
  <printOptions horizontalCentered="1"/>
  <pageMargins left="0.5" right="0.5" top="0.25" bottom="0.25" header="0.5" footer="0"/>
  <pageSetup scale="79" orientation="portrait" horizontalDpi="300" verticalDpi="300" r:id="rId2"/>
  <headerFooter alignWithMargins="0">
    <oddFooter>&amp;L&amp;8&amp;Z&amp;F</oddFooter>
  </headerFooter>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Fall 2014 Fee Estimate</vt:lpstr>
      <vt:lpstr>'Fall 2014 Fee Estimate'!Print_Area</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gkvilhaug</dc:creator>
  <cp:lastModifiedBy>Carolan, Michelle</cp:lastModifiedBy>
  <cp:lastPrinted>2013-09-27T22:13:30Z</cp:lastPrinted>
  <dcterms:created xsi:type="dcterms:W3CDTF">2000-07-27T22:23:01Z</dcterms:created>
  <dcterms:modified xsi:type="dcterms:W3CDTF">2014-04-24T18:51:00Z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TC062071001033</vt:lpwstr>
  </property>
</Properties>
</file>