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30" yWindow="0" windowWidth="23040" windowHeight="9465"/>
  </bookViews>
  <sheets>
    <sheet name="Home School 2004-2011" sheetId="1" r:id="rId1"/>
  </sheets>
  <definedNames>
    <definedName name="_xlnm.Print_Area" localSheetId="0">'Home School 2004-2011'!$C$1:$AQ$52</definedName>
  </definedNames>
  <calcPr calcId="145621"/>
</workbook>
</file>

<file path=xl/calcChain.xml><?xml version="1.0" encoding="utf-8"?>
<calcChain xmlns="http://schemas.openxmlformats.org/spreadsheetml/2006/main">
  <c r="AQ12" i="1" l="1"/>
  <c r="AQ8" i="1" l="1"/>
  <c r="AP49" i="1" l="1"/>
  <c r="AQ9" i="1"/>
  <c r="AQ10" i="1"/>
  <c r="AQ11" i="1"/>
  <c r="AQ13" i="1"/>
  <c r="AQ14" i="1"/>
  <c r="AQ15" i="1"/>
  <c r="AQ16" i="1"/>
  <c r="AQ17" i="1"/>
  <c r="AQ18" i="1"/>
  <c r="AQ19" i="1"/>
  <c r="AQ20" i="1"/>
  <c r="AQ21" i="1"/>
  <c r="AQ22" i="1"/>
  <c r="AQ23" i="1"/>
  <c r="AQ24" i="1"/>
  <c r="AQ25" i="1"/>
  <c r="AQ26" i="1"/>
  <c r="AQ27" i="1"/>
  <c r="AQ28" i="1"/>
  <c r="AQ29" i="1"/>
  <c r="AQ30" i="1"/>
  <c r="AQ31" i="1"/>
  <c r="AQ32" i="1"/>
  <c r="AQ33" i="1"/>
  <c r="AQ34" i="1"/>
  <c r="AQ35" i="1"/>
  <c r="AQ36" i="1"/>
  <c r="AQ37" i="1"/>
  <c r="AQ38" i="1"/>
  <c r="AQ39" i="1"/>
  <c r="AQ40" i="1"/>
  <c r="AQ41" i="1"/>
  <c r="AQ42" i="1"/>
  <c r="AQ43" i="1"/>
  <c r="AQ44" i="1"/>
  <c r="AQ45" i="1"/>
  <c r="AQ46" i="1"/>
  <c r="AQ47" i="1"/>
  <c r="AQ48" i="1"/>
  <c r="AN49" i="1" l="1"/>
  <c r="AO9" i="1" s="1"/>
  <c r="AO13" i="1" l="1"/>
  <c r="AO17" i="1"/>
  <c r="AO21" i="1"/>
  <c r="AO25" i="1"/>
  <c r="AO29" i="1"/>
  <c r="AO33" i="1"/>
  <c r="AO37" i="1"/>
  <c r="AO41" i="1"/>
  <c r="AO45" i="1"/>
  <c r="AO8" i="1"/>
  <c r="AO10" i="1"/>
  <c r="AO14" i="1"/>
  <c r="AO18" i="1"/>
  <c r="AO22" i="1"/>
  <c r="AO26" i="1"/>
  <c r="AO30" i="1"/>
  <c r="AO34" i="1"/>
  <c r="AO38" i="1"/>
  <c r="AO42" i="1"/>
  <c r="AO46" i="1"/>
  <c r="AO49" i="1"/>
  <c r="AO11" i="1"/>
  <c r="AO15" i="1"/>
  <c r="AO19" i="1"/>
  <c r="AO23" i="1"/>
  <c r="AO27" i="1"/>
  <c r="AO31" i="1"/>
  <c r="AO35" i="1"/>
  <c r="AO39" i="1"/>
  <c r="AO43" i="1"/>
  <c r="AO47" i="1"/>
  <c r="AO12" i="1"/>
  <c r="AO16" i="1"/>
  <c r="AO20" i="1"/>
  <c r="AO24" i="1"/>
  <c r="AO28" i="1"/>
  <c r="AO32" i="1"/>
  <c r="AO36" i="1"/>
  <c r="AO40" i="1"/>
  <c r="AO44" i="1"/>
  <c r="AO48" i="1"/>
  <c r="AQ49" i="1"/>
  <c r="AJ49" i="1"/>
  <c r="AK33" i="1" s="1"/>
  <c r="AM48" i="1"/>
  <c r="AM47" i="1"/>
  <c r="AM46" i="1"/>
  <c r="AM45" i="1"/>
  <c r="AM44" i="1"/>
  <c r="AM43" i="1"/>
  <c r="AM42" i="1"/>
  <c r="AM41" i="1"/>
  <c r="AM40" i="1"/>
  <c r="AM39" i="1"/>
  <c r="AM38" i="1"/>
  <c r="AM37" i="1"/>
  <c r="AM36" i="1"/>
  <c r="AM35" i="1"/>
  <c r="AM34" i="1"/>
  <c r="AM33" i="1"/>
  <c r="AM32" i="1"/>
  <c r="AM31" i="1"/>
  <c r="AM30" i="1"/>
  <c r="AM29" i="1"/>
  <c r="AM28" i="1"/>
  <c r="AM27" i="1"/>
  <c r="AM26" i="1"/>
  <c r="AM25" i="1"/>
  <c r="AM24" i="1"/>
  <c r="AM23" i="1"/>
  <c r="AM22" i="1"/>
  <c r="AM21" i="1"/>
  <c r="AM20" i="1"/>
  <c r="AM19" i="1"/>
  <c r="AM18" i="1"/>
  <c r="AM17" i="1"/>
  <c r="AM16" i="1"/>
  <c r="AM15" i="1"/>
  <c r="AM14" i="1"/>
  <c r="AM13" i="1"/>
  <c r="AM12" i="1"/>
  <c r="AM11" i="1"/>
  <c r="AM10" i="1"/>
  <c r="AM9" i="1"/>
  <c r="AL49" i="1"/>
  <c r="AM8" i="1"/>
  <c r="AI12" i="1"/>
  <c r="AH49"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9" i="1"/>
  <c r="AI10" i="1"/>
  <c r="AI11" i="1"/>
  <c r="AI8" i="1"/>
  <c r="AF49" i="1"/>
  <c r="AG47" i="1" s="1"/>
  <c r="X49" i="1"/>
  <c r="Y47" i="1" s="1"/>
  <c r="Z49" i="1"/>
  <c r="V25" i="1"/>
  <c r="W25" i="1"/>
  <c r="V11" i="1"/>
  <c r="V10" i="1"/>
  <c r="W10" i="1" s="1"/>
  <c r="AB49" i="1"/>
  <c r="AC38" i="1" s="1"/>
  <c r="AD49" i="1"/>
  <c r="AE48" i="1"/>
  <c r="AE47" i="1"/>
  <c r="AE46" i="1"/>
  <c r="AE45" i="1"/>
  <c r="AE44" i="1"/>
  <c r="AE43" i="1"/>
  <c r="AE42" i="1"/>
  <c r="AE41" i="1"/>
  <c r="AE40" i="1"/>
  <c r="AE39" i="1"/>
  <c r="AE38" i="1"/>
  <c r="AE37" i="1"/>
  <c r="AE36" i="1"/>
  <c r="AE35" i="1"/>
  <c r="AE34" i="1"/>
  <c r="AE33" i="1"/>
  <c r="AE32" i="1"/>
  <c r="AE31" i="1"/>
  <c r="AE30" i="1"/>
  <c r="AE29" i="1"/>
  <c r="AE28" i="1"/>
  <c r="AE27" i="1"/>
  <c r="AE26" i="1"/>
  <c r="AE25" i="1"/>
  <c r="AE24" i="1"/>
  <c r="AE23" i="1"/>
  <c r="AE22" i="1"/>
  <c r="AE21" i="1"/>
  <c r="AE20" i="1"/>
  <c r="AE19" i="1"/>
  <c r="AE18" i="1"/>
  <c r="AE17" i="1"/>
  <c r="AE16" i="1"/>
  <c r="AE15" i="1"/>
  <c r="AE14" i="1"/>
  <c r="AE13" i="1"/>
  <c r="AE11" i="1"/>
  <c r="AE10" i="1"/>
  <c r="AE9" i="1"/>
  <c r="AE8" i="1"/>
  <c r="E58" i="1"/>
  <c r="E59" i="1" s="1"/>
  <c r="AA48" i="1"/>
  <c r="AA47" i="1"/>
  <c r="AA46" i="1"/>
  <c r="AA45" i="1"/>
  <c r="AA44" i="1"/>
  <c r="AA43" i="1"/>
  <c r="AA42" i="1"/>
  <c r="AA41" i="1"/>
  <c r="AA40" i="1"/>
  <c r="AA39" i="1"/>
  <c r="AA38" i="1"/>
  <c r="AA37" i="1"/>
  <c r="AA36" i="1"/>
  <c r="AA35" i="1"/>
  <c r="AA34" i="1"/>
  <c r="AA33" i="1"/>
  <c r="AA32" i="1"/>
  <c r="AA31" i="1"/>
  <c r="AA30" i="1"/>
  <c r="AA29" i="1"/>
  <c r="AA28" i="1"/>
  <c r="AA27" i="1"/>
  <c r="AA26" i="1"/>
  <c r="AA25" i="1"/>
  <c r="AA24" i="1"/>
  <c r="AA23" i="1"/>
  <c r="AA22" i="1"/>
  <c r="AA21" i="1"/>
  <c r="AA20" i="1"/>
  <c r="AA19" i="1"/>
  <c r="AA18" i="1"/>
  <c r="AA17" i="1"/>
  <c r="AA16" i="1"/>
  <c r="AA15" i="1"/>
  <c r="AA14" i="1"/>
  <c r="AA13" i="1"/>
  <c r="AA11" i="1"/>
  <c r="AA10" i="1"/>
  <c r="AA9" i="1"/>
  <c r="AA8" i="1"/>
  <c r="T49" i="1"/>
  <c r="U47" i="1" s="1"/>
  <c r="W8" i="1"/>
  <c r="W9" i="1"/>
  <c r="W13" i="1"/>
  <c r="W14" i="1"/>
  <c r="W15" i="1"/>
  <c r="W16" i="1"/>
  <c r="W17" i="1"/>
  <c r="W18" i="1"/>
  <c r="W19" i="1"/>
  <c r="W20" i="1"/>
  <c r="W21" i="1"/>
  <c r="W22" i="1"/>
  <c r="W23" i="1"/>
  <c r="W24" i="1"/>
  <c r="W26" i="1"/>
  <c r="W27" i="1"/>
  <c r="W28" i="1"/>
  <c r="W29" i="1"/>
  <c r="W30" i="1"/>
  <c r="W31" i="1"/>
  <c r="W32" i="1"/>
  <c r="W33" i="1"/>
  <c r="W34" i="1"/>
  <c r="W35" i="1"/>
  <c r="W36" i="1"/>
  <c r="W37" i="1"/>
  <c r="W38" i="1"/>
  <c r="W39" i="1"/>
  <c r="W40" i="1"/>
  <c r="W41" i="1"/>
  <c r="W42" i="1"/>
  <c r="W43" i="1"/>
  <c r="W44" i="1"/>
  <c r="W45" i="1"/>
  <c r="W46" i="1"/>
  <c r="W47" i="1"/>
  <c r="W48" i="1"/>
  <c r="AC27" i="1"/>
  <c r="AC25" i="1"/>
  <c r="AC8" i="1"/>
  <c r="AC28" i="1"/>
  <c r="AC36" i="1"/>
  <c r="Y20" i="1"/>
  <c r="Y25" i="1"/>
  <c r="Y29" i="1"/>
  <c r="Y31" i="1"/>
  <c r="Y17" i="1" l="1"/>
  <c r="Y22" i="1"/>
  <c r="Y34" i="1"/>
  <c r="Y28" i="1"/>
  <c r="V49" i="1"/>
  <c r="W49" i="1" s="1"/>
  <c r="U48" i="1"/>
  <c r="AC20" i="1"/>
  <c r="AC47" i="1"/>
  <c r="AC9" i="1"/>
  <c r="Y36" i="1"/>
  <c r="Y19" i="1"/>
  <c r="AK20" i="1"/>
  <c r="U23" i="1"/>
  <c r="U37" i="1"/>
  <c r="U19" i="1"/>
  <c r="U33" i="1"/>
  <c r="AC41" i="1"/>
  <c r="AG15" i="1"/>
  <c r="AE49" i="1"/>
  <c r="AC24" i="1"/>
  <c r="U30" i="1"/>
  <c r="U29" i="1"/>
  <c r="U10" i="1"/>
  <c r="U25" i="1"/>
  <c r="U34" i="1"/>
  <c r="AK46" i="1"/>
  <c r="U26" i="1"/>
  <c r="Y37" i="1"/>
  <c r="Y15" i="1"/>
  <c r="Y42" i="1"/>
  <c r="Y18" i="1"/>
  <c r="AC30" i="1"/>
  <c r="AC13" i="1"/>
  <c r="U18" i="1"/>
  <c r="Y35" i="1"/>
  <c r="Y8" i="1"/>
  <c r="Y40" i="1"/>
  <c r="Y11" i="1"/>
  <c r="AC22" i="1"/>
  <c r="AC45" i="1"/>
  <c r="AC17" i="1"/>
  <c r="U20" i="1"/>
  <c r="Y33" i="1"/>
  <c r="U43" i="1"/>
  <c r="Y38" i="1"/>
  <c r="Y9" i="1"/>
  <c r="AC14" i="1"/>
  <c r="AC34" i="1"/>
  <c r="AC26" i="1"/>
  <c r="AC40" i="1"/>
  <c r="W11" i="1"/>
  <c r="U15" i="1"/>
  <c r="AK16" i="1"/>
  <c r="U42" i="1"/>
  <c r="U22" i="1"/>
  <c r="U21" i="1"/>
  <c r="AC48" i="1"/>
  <c r="AK14" i="1"/>
  <c r="AK44" i="1"/>
  <c r="AK45" i="1"/>
  <c r="U39" i="1"/>
  <c r="AK35" i="1"/>
  <c r="U8" i="1"/>
  <c r="U17" i="1"/>
  <c r="AC44" i="1"/>
  <c r="AC21" i="1"/>
  <c r="AC32" i="1"/>
  <c r="U40" i="1"/>
  <c r="U9" i="1"/>
  <c r="AC43" i="1"/>
  <c r="AK37" i="1"/>
  <c r="Y41" i="1"/>
  <c r="Y23" i="1"/>
  <c r="U35" i="1"/>
  <c r="AA49" i="1"/>
  <c r="Y26" i="1"/>
  <c r="AG45" i="1"/>
  <c r="U13" i="1"/>
  <c r="AC31" i="1"/>
  <c r="AC29" i="1"/>
  <c r="AC16" i="1"/>
  <c r="U32" i="1"/>
  <c r="U44" i="1"/>
  <c r="AC33" i="1"/>
  <c r="AK8" i="1"/>
  <c r="Y39" i="1"/>
  <c r="Y21" i="1"/>
  <c r="U31" i="1"/>
  <c r="Y44" i="1"/>
  <c r="Y24" i="1"/>
  <c r="U45" i="1"/>
  <c r="AG36" i="1"/>
  <c r="AC39" i="1"/>
  <c r="AC37" i="1"/>
  <c r="U16" i="1"/>
  <c r="U36" i="1"/>
  <c r="AG10" i="1"/>
  <c r="AK19" i="1"/>
  <c r="AK34" i="1"/>
  <c r="AK10" i="1"/>
  <c r="AK49" i="1"/>
  <c r="AG42" i="1"/>
  <c r="AK9" i="1"/>
  <c r="AK11" i="1"/>
  <c r="AK31" i="1"/>
  <c r="AK24" i="1"/>
  <c r="AK39" i="1"/>
  <c r="AG14" i="1"/>
  <c r="AG13" i="1"/>
  <c r="AG33" i="1"/>
  <c r="AG26" i="1"/>
  <c r="AK32" i="1"/>
  <c r="AG19" i="1"/>
  <c r="AG40" i="1"/>
  <c r="AK40" i="1"/>
  <c r="AK22" i="1"/>
  <c r="AK42" i="1"/>
  <c r="AK38" i="1"/>
  <c r="AG11" i="1"/>
  <c r="AG16" i="1"/>
  <c r="AG48" i="1"/>
  <c r="AK12" i="1"/>
  <c r="AK23" i="1"/>
  <c r="AK21" i="1"/>
  <c r="AK29" i="1"/>
  <c r="Y45" i="1"/>
  <c r="Y13" i="1"/>
  <c r="AG43" i="1"/>
  <c r="Y48" i="1"/>
  <c r="Y32" i="1"/>
  <c r="Y16" i="1"/>
  <c r="AG34" i="1"/>
  <c r="AC15" i="1"/>
  <c r="AC11" i="1"/>
  <c r="AC18" i="1"/>
  <c r="AC19" i="1"/>
  <c r="AG22" i="1"/>
  <c r="AI49" i="1"/>
  <c r="AG9" i="1"/>
  <c r="AG35" i="1"/>
  <c r="AK18" i="1"/>
  <c r="AK41" i="1"/>
  <c r="AK36" i="1"/>
  <c r="AK48" i="1"/>
  <c r="Y43" i="1"/>
  <c r="Y27" i="1"/>
  <c r="Y10" i="1"/>
  <c r="U27" i="1"/>
  <c r="AG20" i="1"/>
  <c r="Y46" i="1"/>
  <c r="Y30" i="1"/>
  <c r="Y14" i="1"/>
  <c r="U41" i="1"/>
  <c r="AG46" i="1"/>
  <c r="AG31" i="1"/>
  <c r="AC23" i="1"/>
  <c r="AC42" i="1"/>
  <c r="AC46" i="1"/>
  <c r="AC35" i="1"/>
  <c r="U24" i="1"/>
  <c r="AC10" i="1"/>
  <c r="AG44" i="1"/>
  <c r="U46" i="1"/>
  <c r="AG23" i="1"/>
  <c r="AG41" i="1"/>
  <c r="AG30" i="1"/>
  <c r="AG25" i="1"/>
  <c r="AG24" i="1"/>
  <c r="AG37" i="1"/>
  <c r="AK28" i="1"/>
  <c r="AK15" i="1"/>
  <c r="AM49" i="1"/>
  <c r="AK13" i="1"/>
  <c r="AK27" i="1"/>
  <c r="AG29" i="1"/>
  <c r="AG49" i="1"/>
  <c r="AG27" i="1"/>
  <c r="AG8" i="1"/>
  <c r="AG21" i="1"/>
  <c r="AG38" i="1"/>
  <c r="AG17" i="1"/>
  <c r="AK30" i="1"/>
  <c r="AK47" i="1"/>
  <c r="AK25" i="1"/>
  <c r="AK26" i="1"/>
  <c r="AK43" i="1"/>
  <c r="AG32" i="1"/>
  <c r="AG18" i="1"/>
  <c r="AG12" i="1"/>
  <c r="AG39" i="1"/>
  <c r="AK17" i="1"/>
  <c r="AG28" i="1"/>
  <c r="U28" i="1"/>
  <c r="U11" i="1"/>
  <c r="U14" i="1"/>
  <c r="U38" i="1"/>
</calcChain>
</file>

<file path=xl/sharedStrings.xml><?xml version="1.0" encoding="utf-8"?>
<sst xmlns="http://schemas.openxmlformats.org/spreadsheetml/2006/main" count="149" uniqueCount="70">
  <si>
    <t>Where do the home school counts come from?</t>
  </si>
  <si>
    <t>School districts were asked by the USOE to respond to the following question as part of the web survey component of their official year-end statistical report:</t>
  </si>
  <si>
    <t>"How many students were issued certificates exempting them from public school attendance for home schooling in accordance with Utah Code 53A-11-102 for the school year just ended?"</t>
  </si>
  <si>
    <t>Per</t>
  </si>
  <si>
    <t>Home</t>
  </si>
  <si>
    <t>Fall 2002</t>
  </si>
  <si>
    <t>Fall 2003</t>
  </si>
  <si>
    <t>Fall 2004</t>
  </si>
  <si>
    <t>Fall 2005</t>
  </si>
  <si>
    <t>Fall 2006</t>
  </si>
  <si>
    <t>Schooled</t>
  </si>
  <si>
    <t>Enrolled in</t>
  </si>
  <si>
    <t>Public</t>
  </si>
  <si>
    <t>Count</t>
  </si>
  <si>
    <t>Share</t>
  </si>
  <si>
    <t>Public School</t>
  </si>
  <si>
    <t>Students</t>
  </si>
  <si>
    <t>Count*</t>
  </si>
  <si>
    <t>Alpine</t>
  </si>
  <si>
    <t>Beaver</t>
  </si>
  <si>
    <t>Box Elder</t>
  </si>
  <si>
    <t>Cache</t>
  </si>
  <si>
    <t>Carbon</t>
  </si>
  <si>
    <t>Daggett</t>
  </si>
  <si>
    <t>Duchesne</t>
  </si>
  <si>
    <t>Emery</t>
  </si>
  <si>
    <t>Garfield</t>
  </si>
  <si>
    <t>Grand</t>
  </si>
  <si>
    <t>Granite</t>
  </si>
  <si>
    <t>Iron</t>
  </si>
  <si>
    <t>Jordan</t>
  </si>
  <si>
    <t>Juab</t>
  </si>
  <si>
    <t>Kane</t>
  </si>
  <si>
    <t>Logan</t>
  </si>
  <si>
    <t>Millard</t>
  </si>
  <si>
    <t>Morgan</t>
  </si>
  <si>
    <t>Murray</t>
  </si>
  <si>
    <t>Nebo</t>
  </si>
  <si>
    <t>North Sanpete</t>
  </si>
  <si>
    <t>North Summit</t>
  </si>
  <si>
    <t>Ogden</t>
  </si>
  <si>
    <t>Park City</t>
  </si>
  <si>
    <t>Piute</t>
  </si>
  <si>
    <t>Provo</t>
  </si>
  <si>
    <t>Rich</t>
  </si>
  <si>
    <t>San Juan</t>
  </si>
  <si>
    <t>Sevier</t>
  </si>
  <si>
    <t>South Sanpete</t>
  </si>
  <si>
    <t>South Summit</t>
  </si>
  <si>
    <t>Tintic</t>
  </si>
  <si>
    <t>Tooele</t>
  </si>
  <si>
    <t>Uintah</t>
  </si>
  <si>
    <t>Wasatch</t>
  </si>
  <si>
    <t>Washington</t>
  </si>
  <si>
    <t>Wayne</t>
  </si>
  <si>
    <t>Weber</t>
  </si>
  <si>
    <t>TOTAL</t>
  </si>
  <si>
    <t>Interpolation:</t>
  </si>
  <si>
    <t>Fall 2007</t>
  </si>
  <si>
    <t>Fall 2008</t>
  </si>
  <si>
    <t>inst_id</t>
  </si>
  <si>
    <t>dist_no</t>
  </si>
  <si>
    <t>Fall 2009</t>
  </si>
  <si>
    <t>Public Schools</t>
  </si>
  <si>
    <t>Canyons*</t>
  </si>
  <si>
    <t>* Davis and Salt Lake did not report any counts for 2007. Salt Lake did not report any counts for 2008. Canyons did not report any counts for 2010. Their counts were imputed from prior year data.</t>
  </si>
  <si>
    <t>Fall 2010</t>
  </si>
  <si>
    <t>Davis*</t>
  </si>
  <si>
    <t>Salt Lake*</t>
  </si>
  <si>
    <t>Fall 2012</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</si>
</sst>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
    <numFmt numFmtId="165" formatCode="0.0_)"/>
    <numFmt numFmtId="166" formatCode="0.0_);\(0.0\)"/>
    <numFmt numFmtId="167" formatCode="0.000"/>
  </numFmts>
  <fonts count="23" x14ac:knownFonts="1">
    <font>
      <sz val="10"/>
      <name val="Arial"/>
    </font>
    <font>
      <sz val="10"/>
      <name val="Arial"/>
      <family val="2"/>
    </font>
    <font>
      <sz val="8"/>
      <name val="Arial"/>
      <family val="2"/>
    </font>
    <font>
      <b/>
      <sz val="8"/>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Calibri"/>
      <family val="2"/>
      <scheme val="minor"/>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3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bottom style="medium">
        <color indexed="64"/>
      </bottom>
      <diagonal/>
    </border>
  </borders>
  <cellStyleXfs count="42">
    <xf numFmtId="0" fontId="0"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9" borderId="0" applyNumberFormat="0" applyBorder="0" applyAlignment="0" applyProtection="0"/>
    <xf numFmtId="0" fontId="7" fillId="3" borderId="0" applyNumberFormat="0" applyBorder="0" applyAlignment="0" applyProtection="0"/>
    <xf numFmtId="0" fontId="8" fillId="20" borderId="1" applyNumberFormat="0" applyAlignment="0" applyProtection="0"/>
    <xf numFmtId="0" fontId="9" fillId="21" borderId="2" applyNumberFormat="0" applyAlignment="0" applyProtection="0"/>
    <xf numFmtId="0" fontId="10" fillId="0" borderId="0" applyNumberFormat="0" applyFill="0" applyBorder="0" applyAlignment="0" applyProtection="0"/>
    <xf numFmtId="0" fontId="11" fillId="4" borderId="0" applyNumberFormat="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7" borderId="1" applyNumberFormat="0" applyAlignment="0" applyProtection="0"/>
    <xf numFmtId="0" fontId="16" fillId="0" borderId="6" applyNumberFormat="0" applyFill="0" applyAlignment="0" applyProtection="0"/>
    <xf numFmtId="0" fontId="17" fillId="22" borderId="0" applyNumberFormat="0" applyBorder="0" applyAlignment="0" applyProtection="0"/>
    <xf numFmtId="0" fontId="1" fillId="23" borderId="7" applyNumberFormat="0" applyFont="0" applyAlignment="0" applyProtection="0"/>
    <xf numFmtId="0" fontId="18" fillId="20" borderId="8" applyNumberForma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0" borderId="0" applyNumberFormat="0" applyFill="0" applyBorder="0" applyAlignment="0" applyProtection="0"/>
  </cellStyleXfs>
  <cellXfs count="89">
    <xf numFmtId="0" fontId="0" fillId="0" borderId="0" xfId="0"/>
    <xf numFmtId="0" fontId="3" fillId="0" borderId="10" xfId="0" applyFont="1" applyBorder="1" applyAlignment="1">
      <alignment horizontal="center"/>
    </xf>
    <xf numFmtId="3" fontId="3" fillId="0" borderId="11" xfId="0" applyNumberFormat="1"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3" fontId="3" fillId="0" borderId="13" xfId="0" applyNumberFormat="1" applyFont="1" applyBorder="1" applyAlignment="1">
      <alignment horizontal="center"/>
    </xf>
    <xf numFmtId="0" fontId="2" fillId="0" borderId="0" xfId="0" applyFont="1" applyBorder="1" applyAlignment="1">
      <alignment horizontal="center"/>
    </xf>
    <xf numFmtId="1" fontId="2" fillId="0" borderId="0" xfId="0" applyNumberFormat="1" applyFont="1" applyBorder="1" applyAlignment="1">
      <alignment horizontal="right"/>
    </xf>
    <xf numFmtId="1" fontId="2" fillId="0" borderId="0" xfId="0" applyNumberFormat="1" applyFont="1" applyFill="1" applyBorder="1" applyAlignment="1">
      <alignment horizontal="right"/>
    </xf>
    <xf numFmtId="0" fontId="3" fillId="0" borderId="0" xfId="0" applyFont="1" applyAlignment="1">
      <alignment horizontal="center"/>
    </xf>
    <xf numFmtId="0" fontId="3" fillId="0" borderId="16" xfId="0" applyFont="1" applyBorder="1" applyAlignment="1">
      <alignment horizontal="center"/>
    </xf>
    <xf numFmtId="0" fontId="3" fillId="0" borderId="17" xfId="0" applyFont="1" applyBorder="1" applyAlignment="1">
      <alignment horizontal="center"/>
    </xf>
    <xf numFmtId="0" fontId="3" fillId="0" borderId="0" xfId="0" applyFont="1" applyBorder="1" applyAlignment="1"/>
    <xf numFmtId="0" fontId="3" fillId="0" borderId="19" xfId="0" applyFont="1" applyBorder="1" applyAlignment="1">
      <alignment horizontal="center"/>
    </xf>
    <xf numFmtId="0" fontId="3" fillId="0" borderId="0" xfId="0" applyFont="1" applyBorder="1" applyAlignment="1">
      <alignment horizontal="center"/>
    </xf>
    <xf numFmtId="0" fontId="3" fillId="0" borderId="0" xfId="0" applyFont="1" applyFill="1" applyBorder="1" applyAlignment="1">
      <alignment horizontal="center"/>
    </xf>
    <xf numFmtId="3" fontId="3" fillId="0" borderId="0" xfId="0" applyNumberFormat="1" applyFont="1" applyFill="1" applyBorder="1" applyAlignment="1">
      <alignment horizontal="center"/>
    </xf>
    <xf numFmtId="0" fontId="3" fillId="0" borderId="10" xfId="0" applyFont="1" applyFill="1" applyBorder="1" applyAlignment="1">
      <alignment horizontal="center"/>
    </xf>
    <xf numFmtId="1" fontId="3" fillId="0" borderId="0" xfId="0" applyNumberFormat="1" applyFont="1" applyFill="1" applyBorder="1" applyAlignment="1">
      <alignment horizontal="center"/>
    </xf>
    <xf numFmtId="1" fontId="3" fillId="0" borderId="19" xfId="0" applyNumberFormat="1" applyFont="1" applyFill="1" applyBorder="1" applyAlignment="1">
      <alignment horizontal="center"/>
    </xf>
    <xf numFmtId="0" fontId="3" fillId="0" borderId="19" xfId="0" applyFont="1" applyFill="1" applyBorder="1" applyAlignment="1">
      <alignment horizontal="center"/>
    </xf>
    <xf numFmtId="0" fontId="3" fillId="0" borderId="12" xfId="0" applyFont="1" applyFill="1" applyBorder="1" applyAlignment="1">
      <alignment horizontal="center"/>
    </xf>
    <xf numFmtId="0" fontId="3" fillId="0" borderId="20" xfId="0" applyFont="1" applyBorder="1" applyAlignment="1">
      <alignment horizontal="center"/>
    </xf>
    <xf numFmtId="0" fontId="4" fillId="0" borderId="21" xfId="0" applyFont="1" applyBorder="1" applyAlignment="1"/>
    <xf numFmtId="0" fontId="4" fillId="0" borderId="22" xfId="0" applyFont="1" applyBorder="1" applyAlignment="1"/>
    <xf numFmtId="0" fontId="3" fillId="0" borderId="23" xfId="0" applyFont="1" applyBorder="1" applyAlignment="1">
      <alignment horizontal="center"/>
    </xf>
    <xf numFmtId="1" fontId="3" fillId="0" borderId="21" xfId="0" applyNumberFormat="1" applyFont="1" applyFill="1" applyBorder="1" applyAlignment="1">
      <alignment horizontal="center"/>
    </xf>
    <xf numFmtId="0" fontId="3" fillId="0" borderId="21" xfId="0" applyFont="1" applyFill="1" applyBorder="1" applyAlignment="1">
      <alignment horizontal="center"/>
    </xf>
    <xf numFmtId="0" fontId="3" fillId="0" borderId="20" xfId="0" applyFont="1" applyFill="1" applyBorder="1" applyAlignment="1">
      <alignment horizontal="center"/>
    </xf>
    <xf numFmtId="165" fontId="4" fillId="0" borderId="24" xfId="0" applyNumberFormat="1" applyFont="1" applyBorder="1" applyAlignment="1" applyProtection="1">
      <alignment horizontal="left"/>
    </xf>
    <xf numFmtId="165" fontId="4" fillId="0" borderId="25" xfId="0" applyNumberFormat="1" applyFont="1" applyBorder="1" applyAlignment="1" applyProtection="1">
      <alignment horizontal="left"/>
    </xf>
    <xf numFmtId="165" fontId="4" fillId="0" borderId="26" xfId="0" applyNumberFormat="1" applyFont="1" applyBorder="1" applyAlignment="1" applyProtection="1">
      <alignment horizontal="left"/>
    </xf>
    <xf numFmtId="165" fontId="2" fillId="0" borderId="25" xfId="0" applyNumberFormat="1" applyFont="1" applyBorder="1" applyAlignment="1" applyProtection="1">
      <alignment horizontal="left"/>
    </xf>
    <xf numFmtId="0" fontId="3" fillId="0" borderId="27" xfId="0" applyFont="1" applyBorder="1" applyAlignment="1">
      <alignment horizontal="right"/>
    </xf>
    <xf numFmtId="0" fontId="0" fillId="0" borderId="0" xfId="0" applyAlignment="1"/>
    <xf numFmtId="1" fontId="0" fillId="0" borderId="0" xfId="0" applyNumberFormat="1" applyAlignment="1"/>
    <xf numFmtId="0" fontId="4" fillId="0" borderId="0" xfId="0" applyFont="1" applyBorder="1" applyAlignment="1"/>
    <xf numFmtId="0" fontId="4" fillId="0" borderId="20" xfId="0" applyFont="1" applyBorder="1" applyAlignment="1"/>
    <xf numFmtId="0" fontId="0" fillId="0" borderId="21" xfId="0" applyBorder="1" applyAlignment="1"/>
    <xf numFmtId="0" fontId="4" fillId="0" borderId="10" xfId="0" applyFont="1" applyBorder="1" applyAlignment="1"/>
    <xf numFmtId="0" fontId="0" fillId="0" borderId="0" xfId="0" applyBorder="1" applyAlignment="1"/>
    <xf numFmtId="0" fontId="4" fillId="0" borderId="12" xfId="0" applyFont="1" applyBorder="1" applyAlignment="1"/>
    <xf numFmtId="0" fontId="2" fillId="0" borderId="0" xfId="0" applyFont="1" applyAlignment="1"/>
    <xf numFmtId="3" fontId="4" fillId="0" borderId="15" xfId="0" applyNumberFormat="1" applyFont="1" applyBorder="1" applyAlignment="1"/>
    <xf numFmtId="164" fontId="4" fillId="0" borderId="18" xfId="0" applyNumberFormat="1" applyFont="1" applyBorder="1" applyAlignment="1"/>
    <xf numFmtId="3" fontId="4" fillId="0" borderId="18" xfId="0" applyNumberFormat="1" applyFont="1" applyBorder="1" applyAlignment="1"/>
    <xf numFmtId="166" fontId="4" fillId="0" borderId="14" xfId="0" applyNumberFormat="1" applyFont="1" applyBorder="1" applyAlignment="1"/>
    <xf numFmtId="3" fontId="2" fillId="0" borderId="18" xfId="0" applyNumberFormat="1" applyFont="1" applyFill="1" applyBorder="1" applyAlignment="1"/>
    <xf numFmtId="3" fontId="4" fillId="0" borderId="18" xfId="0" applyNumberFormat="1" applyFont="1" applyFill="1" applyBorder="1" applyAlignment="1"/>
    <xf numFmtId="3" fontId="2" fillId="0" borderId="18" xfId="0" applyNumberFormat="1" applyFont="1" applyBorder="1" applyAlignment="1"/>
    <xf numFmtId="1" fontId="4" fillId="0" borderId="15" xfId="0" applyNumberFormat="1" applyFont="1" applyBorder="1" applyAlignment="1"/>
    <xf numFmtId="0" fontId="4" fillId="0" borderId="18" xfId="0" applyFont="1" applyBorder="1" applyAlignment="1"/>
    <xf numFmtId="37" fontId="22" fillId="0" borderId="18" xfId="0" applyNumberFormat="1" applyFont="1" applyFill="1" applyBorder="1" applyAlignment="1"/>
    <xf numFmtId="3" fontId="4" fillId="0" borderId="10" xfId="0" applyNumberFormat="1" applyFont="1" applyBorder="1" applyAlignment="1"/>
    <xf numFmtId="164" fontId="4" fillId="0" borderId="0" xfId="0" applyNumberFormat="1" applyFont="1" applyBorder="1" applyAlignment="1"/>
    <xf numFmtId="3" fontId="4" fillId="0" borderId="0" xfId="0" applyNumberFormat="1" applyFont="1" applyBorder="1" applyAlignment="1"/>
    <xf numFmtId="166" fontId="4" fillId="0" borderId="11" xfId="0" applyNumberFormat="1" applyFont="1" applyBorder="1" applyAlignment="1"/>
    <xf numFmtId="3" fontId="2" fillId="0" borderId="0" xfId="0" applyNumberFormat="1" applyFont="1" applyFill="1" applyBorder="1" applyAlignment="1"/>
    <xf numFmtId="3" fontId="4" fillId="0" borderId="0" xfId="0" applyNumberFormat="1" applyFont="1" applyFill="1" applyBorder="1" applyAlignment="1"/>
    <xf numFmtId="3" fontId="2" fillId="0" borderId="0" xfId="0" applyNumberFormat="1" applyFont="1" applyBorder="1" applyAlignment="1"/>
    <xf numFmtId="1" fontId="4" fillId="0" borderId="10" xfId="0" applyNumberFormat="1" applyFont="1" applyBorder="1" applyAlignment="1"/>
    <xf numFmtId="37" fontId="22" fillId="0" borderId="0" xfId="0" applyNumberFormat="1" applyFont="1" applyFill="1" applyBorder="1" applyAlignment="1"/>
    <xf numFmtId="0" fontId="2" fillId="0" borderId="0" xfId="0" applyFont="1" applyBorder="1" applyAlignment="1"/>
    <xf numFmtId="3" fontId="4" fillId="0" borderId="12" xfId="0" applyNumberFormat="1" applyFont="1" applyBorder="1" applyAlignment="1"/>
    <xf numFmtId="164" fontId="4" fillId="0" borderId="19" xfId="0" applyNumberFormat="1" applyFont="1" applyBorder="1" applyAlignment="1"/>
    <xf numFmtId="3" fontId="4" fillId="0" borderId="19" xfId="0" applyNumberFormat="1" applyFont="1" applyBorder="1" applyAlignment="1"/>
    <xf numFmtId="166" fontId="4" fillId="0" borderId="13" xfId="0" applyNumberFormat="1" applyFont="1" applyBorder="1" applyAlignment="1"/>
    <xf numFmtId="3" fontId="2" fillId="0" borderId="19" xfId="0" applyNumberFormat="1" applyFont="1" applyFill="1" applyBorder="1" applyAlignment="1"/>
    <xf numFmtId="3" fontId="4" fillId="0" borderId="19" xfId="0" applyNumberFormat="1" applyFont="1" applyFill="1" applyBorder="1" applyAlignment="1"/>
    <xf numFmtId="3" fontId="2" fillId="0" borderId="19" xfId="0" applyNumberFormat="1" applyFont="1" applyBorder="1" applyAlignment="1"/>
    <xf numFmtId="1" fontId="4" fillId="0" borderId="12" xfId="0" applyNumberFormat="1" applyFont="1" applyBorder="1" applyAlignment="1"/>
    <xf numFmtId="0" fontId="4" fillId="0" borderId="19" xfId="0" applyFont="1" applyFill="1" applyBorder="1" applyAlignment="1"/>
    <xf numFmtId="37" fontId="22" fillId="0" borderId="19" xfId="0" applyNumberFormat="1" applyFont="1" applyFill="1" applyBorder="1" applyAlignment="1"/>
    <xf numFmtId="0" fontId="4" fillId="0" borderId="19" xfId="0" applyFont="1" applyBorder="1" applyAlignment="1"/>
    <xf numFmtId="3" fontId="3" fillId="0" borderId="28" xfId="0" applyNumberFormat="1" applyFont="1" applyBorder="1" applyAlignment="1"/>
    <xf numFmtId="164" fontId="4" fillId="0" borderId="29" xfId="0" applyNumberFormat="1" applyFont="1" applyBorder="1" applyAlignment="1"/>
    <xf numFmtId="3" fontId="4" fillId="0" borderId="29" xfId="0" applyNumberFormat="1" applyFont="1" applyBorder="1" applyAlignment="1"/>
    <xf numFmtId="166" fontId="3" fillId="0" borderId="30" xfId="0" applyNumberFormat="1" applyFont="1" applyBorder="1" applyAlignment="1"/>
    <xf numFmtId="1" fontId="3" fillId="0" borderId="28" xfId="0" applyNumberFormat="1" applyFont="1" applyBorder="1" applyAlignment="1"/>
    <xf numFmtId="3" fontId="4" fillId="0" borderId="31" xfId="0" applyNumberFormat="1" applyFont="1" applyBorder="1" applyAlignment="1"/>
    <xf numFmtId="166" fontId="4" fillId="0" borderId="30" xfId="0" applyNumberFormat="1" applyFont="1" applyBorder="1" applyAlignment="1"/>
    <xf numFmtId="166" fontId="2" fillId="0" borderId="0" xfId="0" applyNumberFormat="1" applyFont="1" applyFill="1" applyBorder="1" applyAlignment="1"/>
    <xf numFmtId="1" fontId="2" fillId="0" borderId="0" xfId="0" applyNumberFormat="1" applyFont="1" applyAlignment="1"/>
    <xf numFmtId="166" fontId="4" fillId="0" borderId="0" xfId="0" applyNumberFormat="1" applyFont="1" applyFill="1" applyBorder="1" applyAlignment="1"/>
    <xf numFmtId="167" fontId="2" fillId="0" borderId="0" xfId="0" applyNumberFormat="1" applyFont="1" applyAlignment="1"/>
    <xf numFmtId="1" fontId="2" fillId="0" borderId="0" xfId="0" applyNumberFormat="1" applyFont="1" applyBorder="1" applyAlignment="1"/>
    <xf numFmtId="3" fontId="0" fillId="0" borderId="0" xfId="0" applyNumberFormat="1" applyAlignment="1"/>
    <xf numFmtId="0" fontId="2" fillId="0" borderId="0" xfId="0" applyFont="1" applyFill="1" applyBorder="1" applyAlignment="1"/>
    <xf numFmtId="167" fontId="2" fillId="0" borderId="0" xfId="0" applyNumberFormat="1" applyFont="1" applyBorder="1" applyAlignment="1"/>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60"/>
  <sheetViews>
    <sheetView tabSelected="1" view="pageLayout" topLeftCell="C1" zoomScaleNormal="100" workbookViewId="0">
      <selection activeCell="C4" sqref="C4:AQ4"/>
    </sheetView>
  </sheetViews>
  <sheetFormatPr defaultColWidth="8.85546875" defaultRowHeight="12.75" x14ac:dyDescent="0.2"/>
  <cols>
    <col min="1" max="1" width="6.28515625" style="34" hidden="1" customWidth="1"/>
    <col min="2" max="2" width="6.85546875" style="34" hidden="1" customWidth="1"/>
    <col min="3" max="3" width="22.7109375" style="34" customWidth="1"/>
    <col min="4" max="5" width="9.140625" style="34" hidden="1" customWidth="1"/>
    <col min="6" max="6" width="11.140625" style="34" hidden="1" customWidth="1"/>
    <col min="7" max="9" width="9.140625" style="34" hidden="1" customWidth="1"/>
    <col min="10" max="10" width="11.140625" style="34" hidden="1" customWidth="1"/>
    <col min="11" max="11" width="9.140625" style="34" hidden="1" customWidth="1"/>
    <col min="12" max="13" width="8.85546875" style="34"/>
    <col min="14" max="14" width="11.140625" style="34" customWidth="1"/>
    <col min="15" max="17" width="8.85546875" style="34"/>
    <col min="18" max="18" width="11.140625" style="34" customWidth="1"/>
    <col min="19" max="21" width="8.85546875" style="34"/>
    <col min="22" max="22" width="11.140625" style="34" customWidth="1"/>
    <col min="23" max="25" width="8.85546875" style="34"/>
    <col min="26" max="26" width="9.140625" style="34" customWidth="1"/>
    <col min="27" max="29" width="8.85546875" style="34"/>
    <col min="30" max="30" width="9.140625" style="34" customWidth="1"/>
    <col min="31" max="31" width="8.85546875" style="34"/>
    <col min="32" max="32" width="9.140625" style="35"/>
    <col min="33" max="33" width="8.85546875" style="34"/>
    <col min="34" max="35" width="9.140625" style="34" customWidth="1"/>
    <col min="36" max="37" width="8.85546875" style="34"/>
    <col min="38" max="38" width="9.140625" style="34" customWidth="1"/>
    <col min="39" max="41" width="8.85546875" style="34"/>
    <col min="42" max="42" width="8.85546875" style="34" customWidth="1"/>
    <col min="43" max="16384" width="8.85546875" style="34"/>
  </cols>
  <sheetData>
    <row r="1" spans="1:43" x14ac:dyDescent="0.2">
      <c r="C1" s="12" t="s">
        <v>0</v>
      </c>
    </row>
    <row r="2" spans="1:43" x14ac:dyDescent="0.2">
      <c r="C2" s="36" t="s">
        <v>1</v>
      </c>
    </row>
    <row r="3" spans="1:43" ht="13.5" thickBot="1" x14ac:dyDescent="0.25">
      <c r="C3" s="36" t="s">
        <v>2</v>
      </c>
    </row>
    <row r="4" spans="1:43" ht="18" customHeight="1" x14ac:dyDescent="0.2">
      <c r="C4" s="37"/>
      <c r="D4" s="22">
        <v>2003</v>
      </c>
      <c r="E4" s="23"/>
      <c r="F4" s="24"/>
      <c r="G4" s="25" t="s">
        <v>3</v>
      </c>
      <c r="H4" s="22">
        <v>2004</v>
      </c>
      <c r="I4" s="23"/>
      <c r="J4" s="24"/>
      <c r="K4" s="25" t="s">
        <v>3</v>
      </c>
      <c r="L4" s="22">
        <v>2005</v>
      </c>
      <c r="M4" s="23"/>
      <c r="N4" s="23"/>
      <c r="O4" s="25" t="s">
        <v>3</v>
      </c>
      <c r="P4" s="22">
        <v>2006</v>
      </c>
      <c r="Q4" s="23"/>
      <c r="R4" s="23"/>
      <c r="S4" s="25" t="s">
        <v>3</v>
      </c>
      <c r="T4" s="22">
        <v>2007</v>
      </c>
      <c r="U4" s="23"/>
      <c r="V4" s="23"/>
      <c r="W4" s="25" t="s">
        <v>3</v>
      </c>
      <c r="X4" s="22">
        <v>2008</v>
      </c>
      <c r="Y4" s="23"/>
      <c r="Z4" s="23"/>
      <c r="AA4" s="25" t="s">
        <v>3</v>
      </c>
      <c r="AB4" s="22">
        <v>2009</v>
      </c>
      <c r="AC4" s="23"/>
      <c r="AD4" s="23"/>
      <c r="AE4" s="25" t="s">
        <v>3</v>
      </c>
      <c r="AF4" s="26">
        <v>2010</v>
      </c>
      <c r="AG4" s="38"/>
      <c r="AH4" s="27"/>
      <c r="AI4" s="27" t="s">
        <v>3</v>
      </c>
      <c r="AJ4" s="28">
        <v>2011</v>
      </c>
      <c r="AK4" s="23"/>
      <c r="AL4" s="23"/>
      <c r="AM4" s="25" t="s">
        <v>3</v>
      </c>
      <c r="AN4" s="28">
        <v>2012</v>
      </c>
      <c r="AO4" s="23"/>
      <c r="AP4" s="23"/>
      <c r="AQ4" s="25" t="s">
        <v>3</v>
      </c>
    </row>
    <row r="5" spans="1:43" x14ac:dyDescent="0.2">
      <c r="C5" s="39"/>
      <c r="D5" s="1" t="s">
        <v>4</v>
      </c>
      <c r="E5" s="12"/>
      <c r="F5" s="10" t="s">
        <v>5</v>
      </c>
      <c r="G5" s="2">
        <v>1000</v>
      </c>
      <c r="H5" s="1" t="s">
        <v>4</v>
      </c>
      <c r="I5" s="12"/>
      <c r="J5" s="10" t="s">
        <v>6</v>
      </c>
      <c r="K5" s="2">
        <v>1000</v>
      </c>
      <c r="L5" s="1" t="s">
        <v>4</v>
      </c>
      <c r="M5" s="12"/>
      <c r="N5" s="14" t="s">
        <v>7</v>
      </c>
      <c r="O5" s="2">
        <v>1000</v>
      </c>
      <c r="P5" s="1" t="s">
        <v>4</v>
      </c>
      <c r="Q5" s="12"/>
      <c r="R5" s="14" t="s">
        <v>8</v>
      </c>
      <c r="S5" s="2">
        <v>1000</v>
      </c>
      <c r="T5" s="1" t="s">
        <v>4</v>
      </c>
      <c r="U5" s="12"/>
      <c r="V5" s="14" t="s">
        <v>9</v>
      </c>
      <c r="W5" s="2">
        <v>1000</v>
      </c>
      <c r="X5" s="1" t="s">
        <v>4</v>
      </c>
      <c r="Y5" s="12"/>
      <c r="Z5" s="14" t="s">
        <v>58</v>
      </c>
      <c r="AA5" s="2">
        <v>1000</v>
      </c>
      <c r="AB5" s="1" t="s">
        <v>4</v>
      </c>
      <c r="AC5" s="12"/>
      <c r="AD5" s="14" t="s">
        <v>59</v>
      </c>
      <c r="AE5" s="2">
        <v>1000</v>
      </c>
      <c r="AF5" s="18" t="s">
        <v>4</v>
      </c>
      <c r="AG5" s="40"/>
      <c r="AH5" s="15" t="s">
        <v>62</v>
      </c>
      <c r="AI5" s="16">
        <v>1000</v>
      </c>
      <c r="AJ5" s="17" t="s">
        <v>4</v>
      </c>
      <c r="AK5" s="12"/>
      <c r="AL5" s="14" t="s">
        <v>66</v>
      </c>
      <c r="AM5" s="2">
        <v>1000</v>
      </c>
      <c r="AN5" s="17" t="s">
        <v>4</v>
      </c>
      <c r="AO5" s="12"/>
      <c r="AP5" s="14" t="s">
        <v>69</v>
      </c>
      <c r="AQ5" s="2">
        <v>1000</v>
      </c>
    </row>
    <row r="6" spans="1:43" x14ac:dyDescent="0.2">
      <c r="C6" s="39"/>
      <c r="D6" s="1" t="s">
        <v>10</v>
      </c>
      <c r="E6" s="12"/>
      <c r="F6" s="10" t="s">
        <v>11</v>
      </c>
      <c r="G6" s="3" t="s">
        <v>12</v>
      </c>
      <c r="H6" s="1" t="s">
        <v>10</v>
      </c>
      <c r="I6" s="12"/>
      <c r="J6" s="10" t="s">
        <v>11</v>
      </c>
      <c r="K6" s="3" t="s">
        <v>12</v>
      </c>
      <c r="L6" s="1" t="s">
        <v>10</v>
      </c>
      <c r="M6" s="12"/>
      <c r="N6" s="14" t="s">
        <v>11</v>
      </c>
      <c r="O6" s="3" t="s">
        <v>12</v>
      </c>
      <c r="P6" s="1" t="s">
        <v>10</v>
      </c>
      <c r="Q6" s="12"/>
      <c r="R6" s="14" t="s">
        <v>11</v>
      </c>
      <c r="S6" s="3" t="s">
        <v>12</v>
      </c>
      <c r="T6" s="1" t="s">
        <v>10</v>
      </c>
      <c r="U6" s="12"/>
      <c r="V6" s="14" t="s">
        <v>11</v>
      </c>
      <c r="W6" s="3" t="s">
        <v>12</v>
      </c>
      <c r="X6" s="1" t="s">
        <v>10</v>
      </c>
      <c r="Y6" s="12"/>
      <c r="Z6" s="14" t="s">
        <v>11</v>
      </c>
      <c r="AA6" s="3" t="s">
        <v>12</v>
      </c>
      <c r="AB6" s="1" t="s">
        <v>10</v>
      </c>
      <c r="AC6" s="12"/>
      <c r="AD6" s="14" t="s">
        <v>11</v>
      </c>
      <c r="AE6" s="3" t="s">
        <v>12</v>
      </c>
      <c r="AF6" s="18" t="s">
        <v>10</v>
      </c>
      <c r="AG6" s="40"/>
      <c r="AH6" s="15" t="s">
        <v>11</v>
      </c>
      <c r="AI6" s="15" t="s">
        <v>12</v>
      </c>
      <c r="AJ6" s="17" t="s">
        <v>10</v>
      </c>
      <c r="AK6" s="12"/>
      <c r="AL6" s="14" t="s">
        <v>11</v>
      </c>
      <c r="AM6" s="3" t="s">
        <v>12</v>
      </c>
      <c r="AN6" s="17" t="s">
        <v>10</v>
      </c>
      <c r="AO6" s="12"/>
      <c r="AP6" s="14" t="s">
        <v>11</v>
      </c>
      <c r="AQ6" s="3" t="s">
        <v>12</v>
      </c>
    </row>
    <row r="7" spans="1:43" x14ac:dyDescent="0.2">
      <c r="C7" s="41"/>
      <c r="D7" s="4" t="s">
        <v>13</v>
      </c>
      <c r="E7" s="13" t="s">
        <v>14</v>
      </c>
      <c r="F7" s="11" t="s">
        <v>15</v>
      </c>
      <c r="G7" s="5" t="s">
        <v>16</v>
      </c>
      <c r="H7" s="4" t="s">
        <v>13</v>
      </c>
      <c r="I7" s="13" t="s">
        <v>14</v>
      </c>
      <c r="J7" s="11" t="s">
        <v>15</v>
      </c>
      <c r="K7" s="5" t="s">
        <v>16</v>
      </c>
      <c r="L7" s="4" t="s">
        <v>13</v>
      </c>
      <c r="M7" s="13" t="s">
        <v>14</v>
      </c>
      <c r="N7" s="13" t="s">
        <v>15</v>
      </c>
      <c r="O7" s="5" t="s">
        <v>16</v>
      </c>
      <c r="P7" s="4" t="s">
        <v>13</v>
      </c>
      <c r="Q7" s="13" t="s">
        <v>14</v>
      </c>
      <c r="R7" s="13" t="s">
        <v>15</v>
      </c>
      <c r="S7" s="5" t="s">
        <v>16</v>
      </c>
      <c r="T7" s="4" t="s">
        <v>17</v>
      </c>
      <c r="U7" s="13" t="s">
        <v>14</v>
      </c>
      <c r="V7" s="13" t="s">
        <v>15</v>
      </c>
      <c r="W7" s="5" t="s">
        <v>16</v>
      </c>
      <c r="X7" s="4" t="s">
        <v>17</v>
      </c>
      <c r="Y7" s="13" t="s">
        <v>14</v>
      </c>
      <c r="Z7" s="13" t="s">
        <v>15</v>
      </c>
      <c r="AA7" s="5" t="s">
        <v>16</v>
      </c>
      <c r="AB7" s="4" t="s">
        <v>13</v>
      </c>
      <c r="AC7" s="13" t="s">
        <v>14</v>
      </c>
      <c r="AD7" s="13" t="s">
        <v>15</v>
      </c>
      <c r="AE7" s="5" t="s">
        <v>16</v>
      </c>
      <c r="AF7" s="19" t="s">
        <v>17</v>
      </c>
      <c r="AG7" s="20" t="s">
        <v>14</v>
      </c>
      <c r="AH7" s="20" t="s">
        <v>63</v>
      </c>
      <c r="AI7" s="20" t="s">
        <v>16</v>
      </c>
      <c r="AJ7" s="21" t="s">
        <v>13</v>
      </c>
      <c r="AK7" s="13" t="s">
        <v>14</v>
      </c>
      <c r="AL7" s="13" t="s">
        <v>15</v>
      </c>
      <c r="AM7" s="5" t="s">
        <v>16</v>
      </c>
      <c r="AN7" s="21" t="s">
        <v>13</v>
      </c>
      <c r="AO7" s="13" t="s">
        <v>14</v>
      </c>
      <c r="AP7" s="13" t="s">
        <v>15</v>
      </c>
      <c r="AQ7" s="5" t="s">
        <v>16</v>
      </c>
    </row>
    <row r="8" spans="1:43" x14ac:dyDescent="0.2">
      <c r="A8" s="9" t="s">
        <v>60</v>
      </c>
      <c r="B8" s="9" t="s">
        <v>61</v>
      </c>
      <c r="C8" s="29" t="s">
        <v>18</v>
      </c>
      <c r="D8" s="43">
        <v>1148</v>
      </c>
      <c r="E8" s="44">
        <v>0.16313770072474065</v>
      </c>
      <c r="F8" s="45">
        <v>49159</v>
      </c>
      <c r="G8" s="46">
        <v>23.352793994995828</v>
      </c>
      <c r="H8" s="43">
        <v>927</v>
      </c>
      <c r="I8" s="44">
        <v>0.13338129496402878</v>
      </c>
      <c r="J8" s="45">
        <v>51118</v>
      </c>
      <c r="K8" s="46">
        <v>18.134512304863257</v>
      </c>
      <c r="L8" s="43">
        <v>938</v>
      </c>
      <c r="M8" s="44">
        <v>0.12386108543509837</v>
      </c>
      <c r="N8" s="45">
        <v>52825</v>
      </c>
      <c r="O8" s="46">
        <v>17.756743965925224</v>
      </c>
      <c r="P8" s="43">
        <v>952</v>
      </c>
      <c r="Q8" s="44">
        <v>0.11147540983606558</v>
      </c>
      <c r="R8" s="45">
        <v>54773</v>
      </c>
      <c r="S8" s="46">
        <v>17.380826319537</v>
      </c>
      <c r="T8" s="43">
        <v>1365</v>
      </c>
      <c r="U8" s="44">
        <f t="shared" ref="U8:U48" si="0">T8/T$49</f>
        <v>0.15497275204359673</v>
      </c>
      <c r="V8" s="47">
        <v>56051</v>
      </c>
      <c r="W8" s="46">
        <f t="shared" ref="W8:W49" si="1">(T8/V8)*1000</f>
        <v>24.352821537528325</v>
      </c>
      <c r="X8" s="43">
        <v>977</v>
      </c>
      <c r="Y8" s="44">
        <f t="shared" ref="Y8:Y48" si="2">X8/X$49</f>
        <v>0.10983698707138842</v>
      </c>
      <c r="Z8" s="48">
        <v>58665</v>
      </c>
      <c r="AA8" s="46">
        <f t="shared" ref="AA8:AA48" si="3">(X8/Z8)*1000</f>
        <v>16.653882212562859</v>
      </c>
      <c r="AB8" s="49">
        <v>1083</v>
      </c>
      <c r="AC8" s="44">
        <f t="shared" ref="AC8:AC48" si="4">AB8/AB$49</f>
        <v>0.11801242236024845</v>
      </c>
      <c r="AD8" s="45">
        <v>61223</v>
      </c>
      <c r="AE8" s="46">
        <f t="shared" ref="AE8:AE49" si="5">(AB8/AD8)*1000</f>
        <v>17.689430442807442</v>
      </c>
      <c r="AF8" s="50">
        <v>1076</v>
      </c>
      <c r="AG8" s="44">
        <f>AF8/AF$49</f>
        <v>0.13195977434388032</v>
      </c>
      <c r="AH8" s="45">
        <v>64351</v>
      </c>
      <c r="AI8" s="46">
        <f>(AF8/AH8)*1000</f>
        <v>16.720796879613371</v>
      </c>
      <c r="AJ8" s="51">
        <v>1017</v>
      </c>
      <c r="AK8" s="44">
        <f>AJ8/AJ$49</f>
        <v>0.12676056338028169</v>
      </c>
      <c r="AL8" s="52">
        <v>66044</v>
      </c>
      <c r="AM8" s="46">
        <f>(AJ8/AL8)*1000</f>
        <v>15.398825025740415</v>
      </c>
      <c r="AN8" s="51">
        <v>1024</v>
      </c>
      <c r="AO8" s="44">
        <f t="shared" ref="AO8:AO49" si="6">AN8/AN$49</f>
        <v>0.12397094430992736</v>
      </c>
      <c r="AP8" s="52">
        <v>68233</v>
      </c>
      <c r="AQ8" s="46">
        <f>(AN8/AP8)*1000</f>
        <v>15.007401110899417</v>
      </c>
    </row>
    <row r="9" spans="1:43" x14ac:dyDescent="0.2">
      <c r="A9" s="42">
        <v>122</v>
      </c>
      <c r="B9" s="7">
        <v>1</v>
      </c>
      <c r="C9" s="30" t="s">
        <v>19</v>
      </c>
      <c r="D9" s="53">
        <v>11</v>
      </c>
      <c r="E9" s="54">
        <v>1.5631661219269574E-3</v>
      </c>
      <c r="F9" s="55">
        <v>1469</v>
      </c>
      <c r="G9" s="56">
        <v>7.4880871341048332</v>
      </c>
      <c r="H9" s="53">
        <v>22</v>
      </c>
      <c r="I9" s="54">
        <v>3.1654676258992807E-3</v>
      </c>
      <c r="J9" s="55">
        <v>1472</v>
      </c>
      <c r="K9" s="56">
        <v>14.945652173913045</v>
      </c>
      <c r="L9" s="53">
        <v>21</v>
      </c>
      <c r="M9" s="54">
        <v>2.7730093754126501E-3</v>
      </c>
      <c r="N9" s="55">
        <v>1508</v>
      </c>
      <c r="O9" s="56">
        <v>13.925729442970823</v>
      </c>
      <c r="P9" s="53">
        <v>2</v>
      </c>
      <c r="Q9" s="54">
        <v>2.34192037470726E-4</v>
      </c>
      <c r="R9" s="55">
        <v>1536</v>
      </c>
      <c r="S9" s="56">
        <v>1.3020833333333333</v>
      </c>
      <c r="T9" s="53">
        <v>5</v>
      </c>
      <c r="U9" s="54">
        <f t="shared" si="0"/>
        <v>5.6766575840145326E-4</v>
      </c>
      <c r="V9" s="57">
        <v>1564</v>
      </c>
      <c r="W9" s="56">
        <f t="shared" si="1"/>
        <v>3.1969309462915598</v>
      </c>
      <c r="X9" s="53">
        <v>4</v>
      </c>
      <c r="Y9" s="54">
        <f t="shared" si="2"/>
        <v>4.4969083754918494E-4</v>
      </c>
      <c r="Z9" s="58">
        <v>1562</v>
      </c>
      <c r="AA9" s="56">
        <f t="shared" si="3"/>
        <v>2.5608194622279128</v>
      </c>
      <c r="AB9" s="59">
        <v>14</v>
      </c>
      <c r="AC9" s="54">
        <f t="shared" si="4"/>
        <v>1.5255530129672007E-3</v>
      </c>
      <c r="AD9" s="55">
        <v>1577</v>
      </c>
      <c r="AE9" s="56">
        <f t="shared" si="5"/>
        <v>8.8776157260621424</v>
      </c>
      <c r="AF9" s="60">
        <v>2</v>
      </c>
      <c r="AG9" s="54">
        <f t="shared" ref="AG9:AG49" si="7">AF9/AF$49</f>
        <v>2.4527839097375519E-4</v>
      </c>
      <c r="AH9" s="55">
        <v>1600</v>
      </c>
      <c r="AI9" s="56">
        <f t="shared" ref="AI9:AI49" si="8">(AF9/AH9)*1000</f>
        <v>1.25</v>
      </c>
      <c r="AJ9" s="36">
        <v>10</v>
      </c>
      <c r="AK9" s="54">
        <f t="shared" ref="AK9:AK48" si="9">AJ9/AJ$49</f>
        <v>1.2464165524118161E-3</v>
      </c>
      <c r="AL9" s="61">
        <v>1566</v>
      </c>
      <c r="AM9" s="56">
        <f t="shared" ref="AM9:AM48" si="10">(AJ9/AL9)*1000</f>
        <v>6.3856960408684547</v>
      </c>
      <c r="AN9" s="36">
        <v>19</v>
      </c>
      <c r="AO9" s="54">
        <f>AN9/AN$49</f>
        <v>2.3002421307506053E-3</v>
      </c>
      <c r="AP9" s="61">
        <v>1540</v>
      </c>
      <c r="AQ9" s="56">
        <f t="shared" ref="AQ9:AQ11" si="11">(AN9/AP9)*1000</f>
        <v>12.337662337662339</v>
      </c>
    </row>
    <row r="10" spans="1:43" x14ac:dyDescent="0.2">
      <c r="A10" s="42">
        <v>197</v>
      </c>
      <c r="B10" s="7">
        <v>2</v>
      </c>
      <c r="C10" s="30" t="s">
        <v>20</v>
      </c>
      <c r="D10" s="53">
        <v>205</v>
      </c>
      <c r="E10" s="54">
        <v>2.9131732272275116E-2</v>
      </c>
      <c r="F10" s="55">
        <v>10660</v>
      </c>
      <c r="G10" s="56">
        <v>19.230769230769234</v>
      </c>
      <c r="H10" s="53">
        <v>177</v>
      </c>
      <c r="I10" s="54">
        <v>2.5467625899280574E-2</v>
      </c>
      <c r="J10" s="55">
        <v>10529</v>
      </c>
      <c r="K10" s="56">
        <v>16.810713268116633</v>
      </c>
      <c r="L10" s="53">
        <v>181</v>
      </c>
      <c r="M10" s="54">
        <v>2.3900699854747128E-2</v>
      </c>
      <c r="N10" s="55">
        <v>10561</v>
      </c>
      <c r="O10" s="56">
        <v>17.138528548432912</v>
      </c>
      <c r="P10" s="53">
        <v>201</v>
      </c>
      <c r="Q10" s="54">
        <v>2.3536299765807962E-2</v>
      </c>
      <c r="R10" s="55">
        <v>10625</v>
      </c>
      <c r="S10" s="56">
        <v>18.91764705882353</v>
      </c>
      <c r="T10" s="53">
        <v>134</v>
      </c>
      <c r="U10" s="54">
        <f t="shared" si="0"/>
        <v>1.5213442325158947E-2</v>
      </c>
      <c r="V10" s="57">
        <f>10651-10</f>
        <v>10641</v>
      </c>
      <c r="W10" s="56">
        <f t="shared" si="1"/>
        <v>12.592801428437177</v>
      </c>
      <c r="X10" s="53">
        <v>183</v>
      </c>
      <c r="Y10" s="54">
        <f t="shared" si="2"/>
        <v>2.057335581787521E-2</v>
      </c>
      <c r="Z10" s="58">
        <v>10931</v>
      </c>
      <c r="AA10" s="56">
        <f t="shared" si="3"/>
        <v>16.741377733052786</v>
      </c>
      <c r="AB10" s="59">
        <v>176</v>
      </c>
      <c r="AC10" s="54">
        <f t="shared" si="4"/>
        <v>1.9178380734444809E-2</v>
      </c>
      <c r="AD10" s="55">
        <v>11132</v>
      </c>
      <c r="AE10" s="56">
        <f t="shared" si="5"/>
        <v>15.810276679841897</v>
      </c>
      <c r="AF10" s="60">
        <v>173</v>
      </c>
      <c r="AG10" s="54">
        <f t="shared" si="7"/>
        <v>2.1216580819229825E-2</v>
      </c>
      <c r="AH10" s="55">
        <v>11052</v>
      </c>
      <c r="AI10" s="56">
        <f t="shared" si="8"/>
        <v>15.653275425262397</v>
      </c>
      <c r="AJ10" s="36">
        <v>161</v>
      </c>
      <c r="AK10" s="54">
        <f t="shared" si="9"/>
        <v>2.0067306493830237E-2</v>
      </c>
      <c r="AL10" s="61">
        <v>11187</v>
      </c>
      <c r="AM10" s="56">
        <f t="shared" si="10"/>
        <v>14.391704657191383</v>
      </c>
      <c r="AN10" s="36">
        <v>146</v>
      </c>
      <c r="AO10" s="54">
        <f t="shared" si="6"/>
        <v>1.7675544794188862E-2</v>
      </c>
      <c r="AP10" s="61">
        <v>11273</v>
      </c>
      <c r="AQ10" s="56">
        <f t="shared" si="11"/>
        <v>12.951299565333098</v>
      </c>
    </row>
    <row r="11" spans="1:43" x14ac:dyDescent="0.2">
      <c r="A11" s="42">
        <v>205</v>
      </c>
      <c r="B11" s="7">
        <v>3</v>
      </c>
      <c r="C11" s="30" t="s">
        <v>21</v>
      </c>
      <c r="D11" s="53">
        <v>150</v>
      </c>
      <c r="E11" s="54">
        <v>2.131590166264033E-2</v>
      </c>
      <c r="F11" s="55">
        <v>13081</v>
      </c>
      <c r="G11" s="56">
        <v>11.467013225288586</v>
      </c>
      <c r="H11" s="53">
        <v>147</v>
      </c>
      <c r="I11" s="54">
        <v>2.1151079136690648E-2</v>
      </c>
      <c r="J11" s="55">
        <v>13315</v>
      </c>
      <c r="K11" s="56">
        <v>11.04018024784078</v>
      </c>
      <c r="L11" s="53">
        <v>149</v>
      </c>
      <c r="M11" s="54">
        <v>1.9675161758880233E-2</v>
      </c>
      <c r="N11" s="55">
        <v>13388</v>
      </c>
      <c r="O11" s="56">
        <v>11.129369584702719</v>
      </c>
      <c r="P11" s="53">
        <v>120</v>
      </c>
      <c r="Q11" s="54">
        <v>1.405152224824356E-2</v>
      </c>
      <c r="R11" s="55">
        <v>13428</v>
      </c>
      <c r="S11" s="56">
        <v>8.9365504915102765</v>
      </c>
      <c r="T11" s="53">
        <v>107</v>
      </c>
      <c r="U11" s="54">
        <f t="shared" si="0"/>
        <v>1.21480472297911E-2</v>
      </c>
      <c r="V11" s="57">
        <f>13713-153</f>
        <v>13560</v>
      </c>
      <c r="W11" s="56">
        <f t="shared" si="1"/>
        <v>7.8908554572271381</v>
      </c>
      <c r="X11" s="53">
        <v>135</v>
      </c>
      <c r="Y11" s="54">
        <f t="shared" si="2"/>
        <v>1.5177065767284991E-2</v>
      </c>
      <c r="Z11" s="58">
        <v>14194</v>
      </c>
      <c r="AA11" s="56">
        <f t="shared" si="3"/>
        <v>9.511061011695082</v>
      </c>
      <c r="AB11" s="59">
        <v>225</v>
      </c>
      <c r="AC11" s="54">
        <f t="shared" si="4"/>
        <v>2.4517816279830011E-2</v>
      </c>
      <c r="AD11" s="55">
        <v>14579</v>
      </c>
      <c r="AE11" s="56">
        <f t="shared" si="5"/>
        <v>15.433157281020645</v>
      </c>
      <c r="AF11" s="60">
        <v>200</v>
      </c>
      <c r="AG11" s="54">
        <f t="shared" si="7"/>
        <v>2.452783909737552E-2</v>
      </c>
      <c r="AH11" s="55">
        <v>14917</v>
      </c>
      <c r="AI11" s="56">
        <f t="shared" si="8"/>
        <v>13.407521619628611</v>
      </c>
      <c r="AJ11" s="36">
        <v>115</v>
      </c>
      <c r="AK11" s="54">
        <f t="shared" si="9"/>
        <v>1.4333790352735885E-2</v>
      </c>
      <c r="AL11" s="61">
        <v>15409</v>
      </c>
      <c r="AM11" s="56">
        <f t="shared" si="10"/>
        <v>7.4631708741644491</v>
      </c>
      <c r="AN11" s="36">
        <v>226</v>
      </c>
      <c r="AO11" s="54">
        <f t="shared" si="6"/>
        <v>2.7360774818401937E-2</v>
      </c>
      <c r="AP11" s="61">
        <v>15605</v>
      </c>
      <c r="AQ11" s="56">
        <f t="shared" si="11"/>
        <v>14.482537648189682</v>
      </c>
    </row>
    <row r="12" spans="1:43" x14ac:dyDescent="0.2">
      <c r="A12" s="42">
        <v>243</v>
      </c>
      <c r="B12" s="7">
        <v>4</v>
      </c>
      <c r="C12" s="31" t="s">
        <v>64</v>
      </c>
      <c r="D12" s="63"/>
      <c r="E12" s="64"/>
      <c r="F12" s="65"/>
      <c r="G12" s="66"/>
      <c r="H12" s="63"/>
      <c r="I12" s="64"/>
      <c r="J12" s="65"/>
      <c r="K12" s="66"/>
      <c r="L12" s="63"/>
      <c r="M12" s="64"/>
      <c r="N12" s="65"/>
      <c r="O12" s="66"/>
      <c r="P12" s="63"/>
      <c r="Q12" s="64"/>
      <c r="R12" s="65"/>
      <c r="S12" s="66"/>
      <c r="T12" s="63"/>
      <c r="U12" s="64"/>
      <c r="V12" s="67"/>
      <c r="W12" s="66"/>
      <c r="X12" s="63"/>
      <c r="Y12" s="64"/>
      <c r="Z12" s="68"/>
      <c r="AA12" s="66"/>
      <c r="AB12" s="69"/>
      <c r="AC12" s="64"/>
      <c r="AD12" s="65"/>
      <c r="AE12" s="66"/>
      <c r="AF12" s="70">
        <v>500</v>
      </c>
      <c r="AG12" s="64">
        <f t="shared" si="7"/>
        <v>6.13195977434388E-2</v>
      </c>
      <c r="AH12" s="65">
        <v>33184</v>
      </c>
      <c r="AI12" s="66">
        <f t="shared" si="8"/>
        <v>15.067502410800385</v>
      </c>
      <c r="AJ12" s="71">
        <v>399</v>
      </c>
      <c r="AK12" s="64">
        <f t="shared" si="9"/>
        <v>4.9732020441231463E-2</v>
      </c>
      <c r="AL12" s="72">
        <v>33469</v>
      </c>
      <c r="AM12" s="66">
        <f t="shared" si="10"/>
        <v>11.921479578117063</v>
      </c>
      <c r="AN12" s="71">
        <v>420</v>
      </c>
      <c r="AO12" s="64">
        <f t="shared" si="6"/>
        <v>5.0847457627118647E-2</v>
      </c>
      <c r="AP12" s="72">
        <v>33490</v>
      </c>
      <c r="AQ12" s="66">
        <f>(AN12/AP12)*1000</f>
        <v>12.541057031949837</v>
      </c>
    </row>
    <row r="13" spans="1:43" x14ac:dyDescent="0.2">
      <c r="A13" s="42"/>
      <c r="B13" s="7"/>
      <c r="C13" s="29" t="s">
        <v>22</v>
      </c>
      <c r="D13" s="43">
        <v>0</v>
      </c>
      <c r="E13" s="44">
        <v>0</v>
      </c>
      <c r="F13" s="45">
        <v>3827</v>
      </c>
      <c r="G13" s="46">
        <v>0</v>
      </c>
      <c r="H13" s="43">
        <v>35</v>
      </c>
      <c r="I13" s="44">
        <v>5.0359712230215823E-3</v>
      </c>
      <c r="J13" s="45">
        <v>3622</v>
      </c>
      <c r="K13" s="46">
        <v>9.6631695196024303</v>
      </c>
      <c r="L13" s="43">
        <v>34</v>
      </c>
      <c r="M13" s="44">
        <v>4.4896342268585764E-3</v>
      </c>
      <c r="N13" s="45">
        <v>3488</v>
      </c>
      <c r="O13" s="46">
        <v>9.74770642201835</v>
      </c>
      <c r="P13" s="43">
        <v>41</v>
      </c>
      <c r="Q13" s="44">
        <v>4.8009367681498827E-3</v>
      </c>
      <c r="R13" s="45">
        <v>3389</v>
      </c>
      <c r="S13" s="46">
        <v>12.097964001180289</v>
      </c>
      <c r="T13" s="43">
        <v>42</v>
      </c>
      <c r="U13" s="44">
        <f t="shared" si="0"/>
        <v>4.7683923705722072E-3</v>
      </c>
      <c r="V13" s="47">
        <v>3475</v>
      </c>
      <c r="W13" s="46">
        <f t="shared" si="1"/>
        <v>12.086330935251798</v>
      </c>
      <c r="X13" s="43">
        <v>48</v>
      </c>
      <c r="Y13" s="44">
        <f t="shared" si="2"/>
        <v>5.3962900505902193E-3</v>
      </c>
      <c r="Z13" s="48">
        <v>3562</v>
      </c>
      <c r="AA13" s="46">
        <f t="shared" si="3"/>
        <v>13.475575519371139</v>
      </c>
      <c r="AB13" s="49">
        <v>65</v>
      </c>
      <c r="AC13" s="44">
        <f t="shared" si="4"/>
        <v>7.0829247030620027E-3</v>
      </c>
      <c r="AD13" s="45">
        <v>3502</v>
      </c>
      <c r="AE13" s="46">
        <f t="shared" si="5"/>
        <v>18.56082238720731</v>
      </c>
      <c r="AF13" s="50">
        <v>51</v>
      </c>
      <c r="AG13" s="44">
        <f t="shared" si="7"/>
        <v>6.2545989698307583E-3</v>
      </c>
      <c r="AH13" s="45">
        <v>3462</v>
      </c>
      <c r="AI13" s="46">
        <f t="shared" si="8"/>
        <v>14.731369150779896</v>
      </c>
      <c r="AJ13" s="51">
        <v>49</v>
      </c>
      <c r="AK13" s="44">
        <f t="shared" si="9"/>
        <v>6.1074411068178982E-3</v>
      </c>
      <c r="AL13" s="52">
        <v>3458</v>
      </c>
      <c r="AM13" s="46">
        <f t="shared" si="10"/>
        <v>14.17004048582996</v>
      </c>
      <c r="AN13" s="51">
        <v>50</v>
      </c>
      <c r="AO13" s="44">
        <f t="shared" si="6"/>
        <v>6.0532687651331718E-3</v>
      </c>
      <c r="AP13" s="52">
        <v>3423</v>
      </c>
      <c r="AQ13" s="46">
        <f t="shared" ref="AQ13:AQ49" si="12">(AN13/AP13)*1000</f>
        <v>14.607069821793749</v>
      </c>
    </row>
    <row r="14" spans="1:43" x14ac:dyDescent="0.2">
      <c r="A14" s="42">
        <v>279</v>
      </c>
      <c r="B14" s="7">
        <v>5</v>
      </c>
      <c r="C14" s="30" t="s">
        <v>23</v>
      </c>
      <c r="D14" s="53">
        <v>2</v>
      </c>
      <c r="E14" s="54">
        <v>2.8421202216853773E-4</v>
      </c>
      <c r="F14" s="55">
        <v>130</v>
      </c>
      <c r="G14" s="56">
        <v>15.384615384615385</v>
      </c>
      <c r="H14" s="53">
        <v>2</v>
      </c>
      <c r="I14" s="54">
        <v>2.8776978417266187E-4</v>
      </c>
      <c r="J14" s="55">
        <v>132</v>
      </c>
      <c r="K14" s="56">
        <v>15.151515151515152</v>
      </c>
      <c r="L14" s="53">
        <v>2</v>
      </c>
      <c r="M14" s="54">
        <v>2.6409613099168095E-4</v>
      </c>
      <c r="N14" s="55">
        <v>136</v>
      </c>
      <c r="O14" s="56">
        <v>14.705882352941176</v>
      </c>
      <c r="P14" s="53">
        <v>2</v>
      </c>
      <c r="Q14" s="54">
        <v>2.34192037470726E-4</v>
      </c>
      <c r="R14" s="55">
        <v>156</v>
      </c>
      <c r="S14" s="56">
        <v>12.820512820512819</v>
      </c>
      <c r="T14" s="53">
        <v>2</v>
      </c>
      <c r="U14" s="54">
        <f t="shared" si="0"/>
        <v>2.2706630336058128E-4</v>
      </c>
      <c r="V14" s="57">
        <v>150</v>
      </c>
      <c r="W14" s="56">
        <f t="shared" si="1"/>
        <v>13.333333333333334</v>
      </c>
      <c r="X14" s="53">
        <v>5</v>
      </c>
      <c r="Y14" s="54">
        <f t="shared" si="2"/>
        <v>5.6211354693648118E-4</v>
      </c>
      <c r="Z14" s="58">
        <v>134</v>
      </c>
      <c r="AA14" s="56">
        <f t="shared" si="3"/>
        <v>37.31343283582089</v>
      </c>
      <c r="AB14" s="59">
        <v>1</v>
      </c>
      <c r="AC14" s="54">
        <f t="shared" si="4"/>
        <v>1.0896807235480004E-4</v>
      </c>
      <c r="AD14" s="55">
        <v>142</v>
      </c>
      <c r="AE14" s="56">
        <f t="shared" si="5"/>
        <v>7.042253521126761</v>
      </c>
      <c r="AF14" s="60">
        <v>1</v>
      </c>
      <c r="AG14" s="54">
        <f t="shared" si="7"/>
        <v>1.226391954868776E-4</v>
      </c>
      <c r="AH14" s="55">
        <v>147</v>
      </c>
      <c r="AI14" s="56">
        <f t="shared" si="8"/>
        <v>6.8027210884353737</v>
      </c>
      <c r="AJ14" s="36">
        <v>1</v>
      </c>
      <c r="AK14" s="54">
        <f t="shared" si="9"/>
        <v>1.2464165524118161E-4</v>
      </c>
      <c r="AL14" s="61">
        <v>168</v>
      </c>
      <c r="AM14" s="56">
        <f t="shared" si="10"/>
        <v>5.9523809523809517</v>
      </c>
      <c r="AN14" s="36">
        <v>0</v>
      </c>
      <c r="AO14" s="54">
        <f t="shared" si="6"/>
        <v>0</v>
      </c>
      <c r="AP14" s="61">
        <v>169</v>
      </c>
      <c r="AQ14" s="56">
        <f t="shared" si="12"/>
        <v>0</v>
      </c>
    </row>
    <row r="15" spans="1:43" x14ac:dyDescent="0.2">
      <c r="A15" s="42">
        <v>300</v>
      </c>
      <c r="B15" s="7">
        <v>6</v>
      </c>
      <c r="C15" s="32" t="s">
        <v>67</v>
      </c>
      <c r="D15" s="53">
        <v>852</v>
      </c>
      <c r="E15" s="54">
        <v>0.12107432144379707</v>
      </c>
      <c r="F15" s="55">
        <v>59536</v>
      </c>
      <c r="G15" s="56">
        <v>14.31066917495297</v>
      </c>
      <c r="H15" s="53">
        <v>896</v>
      </c>
      <c r="I15" s="54">
        <v>0.12892086330935251</v>
      </c>
      <c r="J15" s="55">
        <v>60025</v>
      </c>
      <c r="K15" s="56">
        <v>14.927113702623908</v>
      </c>
      <c r="L15" s="53">
        <v>960</v>
      </c>
      <c r="M15" s="54">
        <v>0.12676614287600688</v>
      </c>
      <c r="N15" s="55">
        <v>60606</v>
      </c>
      <c r="O15" s="56">
        <v>15.840015840015841</v>
      </c>
      <c r="P15" s="53">
        <v>1690</v>
      </c>
      <c r="Q15" s="54">
        <v>0.19789227166276346</v>
      </c>
      <c r="R15" s="55">
        <v>62456</v>
      </c>
      <c r="S15" s="56">
        <v>27.059049570897912</v>
      </c>
      <c r="T15" s="53">
        <v>1474</v>
      </c>
      <c r="U15" s="54">
        <f t="shared" si="0"/>
        <v>0.16734786557674841</v>
      </c>
      <c r="V15" s="57">
        <v>62832</v>
      </c>
      <c r="W15" s="56">
        <f t="shared" si="1"/>
        <v>23.459383753501399</v>
      </c>
      <c r="X15" s="53">
        <v>1844</v>
      </c>
      <c r="Y15" s="54">
        <f t="shared" si="2"/>
        <v>0.20730747611017425</v>
      </c>
      <c r="Z15" s="58">
        <v>64551</v>
      </c>
      <c r="AA15" s="56">
        <f t="shared" si="3"/>
        <v>28.566559774441917</v>
      </c>
      <c r="AB15" s="59">
        <v>1622</v>
      </c>
      <c r="AC15" s="54">
        <f t="shared" si="4"/>
        <v>0.17674621335948568</v>
      </c>
      <c r="AD15" s="55">
        <v>65014</v>
      </c>
      <c r="AE15" s="56">
        <f t="shared" si="5"/>
        <v>24.948472636662871</v>
      </c>
      <c r="AF15" s="60">
        <v>1584</v>
      </c>
      <c r="AG15" s="54">
        <f t="shared" si="7"/>
        <v>0.19426048565121412</v>
      </c>
      <c r="AH15" s="55">
        <v>65452</v>
      </c>
      <c r="AI15" s="56">
        <f t="shared" si="8"/>
        <v>24.200941147711298</v>
      </c>
      <c r="AJ15" s="36">
        <v>1756</v>
      </c>
      <c r="AK15" s="54">
        <f t="shared" si="9"/>
        <v>0.21887074660351488</v>
      </c>
      <c r="AL15" s="61">
        <v>66019</v>
      </c>
      <c r="AM15" s="56">
        <f t="shared" si="10"/>
        <v>26.598403489904424</v>
      </c>
      <c r="AN15" s="36">
        <v>2082</v>
      </c>
      <c r="AO15" s="54">
        <f t="shared" si="6"/>
        <v>0.25205811138014528</v>
      </c>
      <c r="AP15" s="61">
        <v>67736</v>
      </c>
      <c r="AQ15" s="56">
        <f t="shared" si="12"/>
        <v>30.736978859100034</v>
      </c>
    </row>
    <row r="16" spans="1:43" x14ac:dyDescent="0.2">
      <c r="A16" s="42">
        <v>308</v>
      </c>
      <c r="B16" s="7">
        <v>7</v>
      </c>
      <c r="C16" s="30" t="s">
        <v>24</v>
      </c>
      <c r="D16" s="53">
        <v>44</v>
      </c>
      <c r="E16" s="54">
        <v>6.2526644877078296E-3</v>
      </c>
      <c r="F16" s="55">
        <v>3993</v>
      </c>
      <c r="G16" s="56">
        <v>11.019283746556475</v>
      </c>
      <c r="H16" s="53">
        <v>45</v>
      </c>
      <c r="I16" s="54">
        <v>6.4748201438848919E-3</v>
      </c>
      <c r="J16" s="55">
        <v>3900</v>
      </c>
      <c r="K16" s="56">
        <v>11.538461538461538</v>
      </c>
      <c r="L16" s="53">
        <v>49</v>
      </c>
      <c r="M16" s="54">
        <v>6.4703552092961842E-3</v>
      </c>
      <c r="N16" s="55">
        <v>3894</v>
      </c>
      <c r="O16" s="56">
        <v>12.583461736004109</v>
      </c>
      <c r="P16" s="53">
        <v>86</v>
      </c>
      <c r="Q16" s="54">
        <v>1.0070257611241218E-2</v>
      </c>
      <c r="R16" s="55">
        <v>3993</v>
      </c>
      <c r="S16" s="56">
        <v>21.537690959178562</v>
      </c>
      <c r="T16" s="53">
        <v>85</v>
      </c>
      <c r="U16" s="54">
        <f t="shared" si="0"/>
        <v>9.6503178928247051E-3</v>
      </c>
      <c r="V16" s="57">
        <v>3982</v>
      </c>
      <c r="W16" s="56">
        <f t="shared" si="1"/>
        <v>21.346057257659467</v>
      </c>
      <c r="X16" s="53">
        <v>70</v>
      </c>
      <c r="Y16" s="54">
        <f t="shared" si="2"/>
        <v>7.8695896571107371E-3</v>
      </c>
      <c r="Z16" s="58">
        <v>4224</v>
      </c>
      <c r="AA16" s="56">
        <f t="shared" si="3"/>
        <v>16.571969696969695</v>
      </c>
      <c r="AB16" s="59">
        <v>115</v>
      </c>
      <c r="AC16" s="54">
        <f t="shared" si="4"/>
        <v>1.2531328320802004E-2</v>
      </c>
      <c r="AD16" s="55">
        <v>4355</v>
      </c>
      <c r="AE16" s="56">
        <f t="shared" si="5"/>
        <v>26.40642939150402</v>
      </c>
      <c r="AF16" s="60">
        <v>53</v>
      </c>
      <c r="AG16" s="54">
        <f t="shared" si="7"/>
        <v>6.4998773608045133E-3</v>
      </c>
      <c r="AH16" s="55">
        <v>4436</v>
      </c>
      <c r="AI16" s="56">
        <f t="shared" si="8"/>
        <v>11.947700631199279</v>
      </c>
      <c r="AJ16" s="36">
        <v>70</v>
      </c>
      <c r="AK16" s="54">
        <f t="shared" si="9"/>
        <v>8.7249158668827129E-3</v>
      </c>
      <c r="AL16" s="61">
        <v>4448</v>
      </c>
      <c r="AM16" s="56">
        <f t="shared" si="10"/>
        <v>15.737410071942445</v>
      </c>
      <c r="AN16" s="36">
        <v>58</v>
      </c>
      <c r="AO16" s="54">
        <f t="shared" si="6"/>
        <v>7.0217917675544795E-3</v>
      </c>
      <c r="AP16" s="61">
        <v>4574</v>
      </c>
      <c r="AQ16" s="56">
        <f t="shared" si="12"/>
        <v>12.680367293397463</v>
      </c>
    </row>
    <row r="17" spans="1:43" x14ac:dyDescent="0.2">
      <c r="A17" s="42">
        <v>422</v>
      </c>
      <c r="B17" s="7">
        <v>8</v>
      </c>
      <c r="C17" s="31" t="s">
        <v>25</v>
      </c>
      <c r="D17" s="63">
        <v>62</v>
      </c>
      <c r="E17" s="64">
        <v>8.8105726872246704E-3</v>
      </c>
      <c r="F17" s="65">
        <v>2442</v>
      </c>
      <c r="G17" s="66">
        <v>25.389025389025388</v>
      </c>
      <c r="H17" s="63">
        <v>55</v>
      </c>
      <c r="I17" s="64">
        <v>7.9136690647482015E-3</v>
      </c>
      <c r="J17" s="65">
        <v>2434</v>
      </c>
      <c r="K17" s="66">
        <v>22.596548890714871</v>
      </c>
      <c r="L17" s="63">
        <v>30</v>
      </c>
      <c r="M17" s="64">
        <v>3.9614419648752149E-3</v>
      </c>
      <c r="N17" s="65">
        <v>2366</v>
      </c>
      <c r="O17" s="66">
        <v>12.679628064243449</v>
      </c>
      <c r="P17" s="63">
        <v>35</v>
      </c>
      <c r="Q17" s="64">
        <v>4.0983606557377051E-3</v>
      </c>
      <c r="R17" s="65">
        <v>2335</v>
      </c>
      <c r="S17" s="66">
        <v>14.98929336188437</v>
      </c>
      <c r="T17" s="63">
        <v>30</v>
      </c>
      <c r="U17" s="64">
        <f t="shared" si="0"/>
        <v>3.4059945504087193E-3</v>
      </c>
      <c r="V17" s="67">
        <v>2320</v>
      </c>
      <c r="W17" s="66">
        <f t="shared" si="1"/>
        <v>12.931034482758621</v>
      </c>
      <c r="X17" s="63">
        <v>35</v>
      </c>
      <c r="Y17" s="64">
        <f t="shared" si="2"/>
        <v>3.9347948285553686E-3</v>
      </c>
      <c r="Z17" s="68">
        <v>2262</v>
      </c>
      <c r="AA17" s="66">
        <f t="shared" si="3"/>
        <v>15.473032714412026</v>
      </c>
      <c r="AB17" s="69">
        <v>49</v>
      </c>
      <c r="AC17" s="64">
        <f t="shared" si="4"/>
        <v>5.3394355453852023E-3</v>
      </c>
      <c r="AD17" s="65">
        <v>2256</v>
      </c>
      <c r="AE17" s="66">
        <f t="shared" si="5"/>
        <v>21.719858156028369</v>
      </c>
      <c r="AF17" s="70">
        <v>35</v>
      </c>
      <c r="AG17" s="64">
        <f t="shared" si="7"/>
        <v>4.2923718420407164E-3</v>
      </c>
      <c r="AH17" s="65">
        <v>2316</v>
      </c>
      <c r="AI17" s="66">
        <f t="shared" si="8"/>
        <v>15.112262521588947</v>
      </c>
      <c r="AJ17" s="73">
        <v>28</v>
      </c>
      <c r="AK17" s="64">
        <f t="shared" si="9"/>
        <v>3.4899663467530847E-3</v>
      </c>
      <c r="AL17" s="72">
        <v>2359</v>
      </c>
      <c r="AM17" s="66">
        <f t="shared" si="10"/>
        <v>11.869436201780417</v>
      </c>
      <c r="AN17" s="73">
        <v>21</v>
      </c>
      <c r="AO17" s="64">
        <f t="shared" si="6"/>
        <v>2.542372881355932E-3</v>
      </c>
      <c r="AP17" s="72">
        <v>2313</v>
      </c>
      <c r="AQ17" s="66">
        <f t="shared" si="12"/>
        <v>9.0791180285343724</v>
      </c>
    </row>
    <row r="18" spans="1:43" x14ac:dyDescent="0.2">
      <c r="A18" s="42">
        <v>442</v>
      </c>
      <c r="B18" s="7">
        <v>9</v>
      </c>
      <c r="C18" s="29" t="s">
        <v>26</v>
      </c>
      <c r="D18" s="43">
        <v>0</v>
      </c>
      <c r="E18" s="44">
        <v>0</v>
      </c>
      <c r="F18" s="45">
        <v>1040</v>
      </c>
      <c r="G18" s="46">
        <v>0</v>
      </c>
      <c r="H18" s="43">
        <v>3</v>
      </c>
      <c r="I18" s="44">
        <v>4.3165467625899283E-4</v>
      </c>
      <c r="J18" s="45">
        <v>969</v>
      </c>
      <c r="K18" s="46">
        <v>3.0959752321981426</v>
      </c>
      <c r="L18" s="43">
        <v>6</v>
      </c>
      <c r="M18" s="44">
        <v>7.9228839297504296E-4</v>
      </c>
      <c r="N18" s="45">
        <v>947</v>
      </c>
      <c r="O18" s="46">
        <v>6.3357972544878569</v>
      </c>
      <c r="P18" s="43">
        <v>8</v>
      </c>
      <c r="Q18" s="44">
        <v>9.3676814988290398E-4</v>
      </c>
      <c r="R18" s="45">
        <v>940</v>
      </c>
      <c r="S18" s="46">
        <v>8.5106382978723403</v>
      </c>
      <c r="T18" s="43">
        <v>5</v>
      </c>
      <c r="U18" s="44">
        <f t="shared" si="0"/>
        <v>5.6766575840145326E-4</v>
      </c>
      <c r="V18" s="47">
        <v>938</v>
      </c>
      <c r="W18" s="46">
        <f t="shared" si="1"/>
        <v>5.3304904051172706</v>
      </c>
      <c r="X18" s="43">
        <v>5</v>
      </c>
      <c r="Y18" s="44">
        <f t="shared" si="2"/>
        <v>5.6211354693648118E-4</v>
      </c>
      <c r="Z18" s="48">
        <v>933</v>
      </c>
      <c r="AA18" s="46">
        <f t="shared" si="3"/>
        <v>5.359056806002144</v>
      </c>
      <c r="AB18" s="49">
        <v>9</v>
      </c>
      <c r="AC18" s="44">
        <f t="shared" si="4"/>
        <v>9.8071265119320039E-4</v>
      </c>
      <c r="AD18" s="45">
        <v>911</v>
      </c>
      <c r="AE18" s="46">
        <f t="shared" si="5"/>
        <v>9.8792535675082327</v>
      </c>
      <c r="AF18" s="50">
        <v>7</v>
      </c>
      <c r="AG18" s="44">
        <f t="shared" si="7"/>
        <v>8.5847436840814321E-4</v>
      </c>
      <c r="AH18" s="45">
        <v>931</v>
      </c>
      <c r="AI18" s="46">
        <f t="shared" si="8"/>
        <v>7.518796992481203</v>
      </c>
      <c r="AJ18" s="51">
        <v>15</v>
      </c>
      <c r="AK18" s="44">
        <f t="shared" si="9"/>
        <v>1.869624828617724E-3</v>
      </c>
      <c r="AL18" s="52">
        <v>925</v>
      </c>
      <c r="AM18" s="46">
        <f t="shared" si="10"/>
        <v>16.216216216216218</v>
      </c>
      <c r="AN18" s="51">
        <v>15</v>
      </c>
      <c r="AO18" s="44">
        <f t="shared" si="6"/>
        <v>1.8159806295399517E-3</v>
      </c>
      <c r="AP18" s="52">
        <v>927</v>
      </c>
      <c r="AQ18" s="46">
        <f t="shared" si="12"/>
        <v>16.181229773462782</v>
      </c>
    </row>
    <row r="19" spans="1:43" x14ac:dyDescent="0.2">
      <c r="A19" s="42">
        <v>456</v>
      </c>
      <c r="B19" s="7">
        <v>10</v>
      </c>
      <c r="C19" s="30" t="s">
        <v>27</v>
      </c>
      <c r="D19" s="53">
        <v>33</v>
      </c>
      <c r="E19" s="54">
        <v>4.6894983657808729E-3</v>
      </c>
      <c r="F19" s="55">
        <v>1455</v>
      </c>
      <c r="G19" s="56">
        <v>22.680412371134018</v>
      </c>
      <c r="H19" s="53">
        <v>34</v>
      </c>
      <c r="I19" s="54">
        <v>4.8920863309352518E-3</v>
      </c>
      <c r="J19" s="55">
        <v>1474</v>
      </c>
      <c r="K19" s="56">
        <v>23.066485753052916</v>
      </c>
      <c r="L19" s="53">
        <v>45</v>
      </c>
      <c r="M19" s="54">
        <v>5.9421629473128219E-3</v>
      </c>
      <c r="N19" s="55">
        <v>1418</v>
      </c>
      <c r="O19" s="56">
        <v>31.734837799717912</v>
      </c>
      <c r="P19" s="53">
        <v>40</v>
      </c>
      <c r="Q19" s="54">
        <v>4.6838407494145199E-3</v>
      </c>
      <c r="R19" s="55">
        <v>1470</v>
      </c>
      <c r="S19" s="56">
        <v>27.210884353741495</v>
      </c>
      <c r="T19" s="53">
        <v>39</v>
      </c>
      <c r="U19" s="54">
        <f t="shared" si="0"/>
        <v>4.4277929155313355E-3</v>
      </c>
      <c r="V19" s="57">
        <v>1500</v>
      </c>
      <c r="W19" s="56">
        <f t="shared" si="1"/>
        <v>26</v>
      </c>
      <c r="X19" s="53">
        <v>35</v>
      </c>
      <c r="Y19" s="54">
        <f t="shared" si="2"/>
        <v>3.9347948285553686E-3</v>
      </c>
      <c r="Z19" s="58">
        <v>1486</v>
      </c>
      <c r="AA19" s="56">
        <f t="shared" si="3"/>
        <v>23.553162853297444</v>
      </c>
      <c r="AB19" s="59">
        <v>26</v>
      </c>
      <c r="AC19" s="54">
        <f t="shared" si="4"/>
        <v>2.833169881224801E-3</v>
      </c>
      <c r="AD19" s="55">
        <v>1498</v>
      </c>
      <c r="AE19" s="56">
        <f t="shared" si="5"/>
        <v>17.356475300400533</v>
      </c>
      <c r="AF19" s="60">
        <v>31</v>
      </c>
      <c r="AG19" s="54">
        <f t="shared" si="7"/>
        <v>3.8018150600932056E-3</v>
      </c>
      <c r="AH19" s="55">
        <v>1526</v>
      </c>
      <c r="AI19" s="56">
        <f t="shared" si="8"/>
        <v>20.314547837483616</v>
      </c>
      <c r="AJ19" s="36">
        <v>20</v>
      </c>
      <c r="AK19" s="54">
        <f t="shared" si="9"/>
        <v>2.4928331048236323E-3</v>
      </c>
      <c r="AL19" s="61">
        <v>1510</v>
      </c>
      <c r="AM19" s="56">
        <f t="shared" si="10"/>
        <v>13.245033112582782</v>
      </c>
      <c r="AN19" s="36">
        <v>33</v>
      </c>
      <c r="AO19" s="54">
        <f t="shared" si="6"/>
        <v>3.9951573849878932E-3</v>
      </c>
      <c r="AP19" s="61">
        <v>1467</v>
      </c>
      <c r="AQ19" s="56">
        <f t="shared" si="12"/>
        <v>22.494887525562373</v>
      </c>
    </row>
    <row r="20" spans="1:43" x14ac:dyDescent="0.2">
      <c r="A20" s="42">
        <v>468</v>
      </c>
      <c r="B20" s="7">
        <v>11</v>
      </c>
      <c r="C20" s="30" t="s">
        <v>28</v>
      </c>
      <c r="D20" s="53">
        <v>517</v>
      </c>
      <c r="E20" s="54">
        <v>7.3468807730567007E-2</v>
      </c>
      <c r="F20" s="55">
        <v>69600</v>
      </c>
      <c r="G20" s="56">
        <v>7.4281609195402298</v>
      </c>
      <c r="H20" s="53">
        <v>571</v>
      </c>
      <c r="I20" s="54">
        <v>8.2158273381294958E-2</v>
      </c>
      <c r="J20" s="55">
        <v>69072</v>
      </c>
      <c r="K20" s="56">
        <v>8.2667361593699322</v>
      </c>
      <c r="L20" s="53">
        <v>697</v>
      </c>
      <c r="M20" s="54">
        <v>9.2037501650600817E-2</v>
      </c>
      <c r="N20" s="55">
        <v>68568</v>
      </c>
      <c r="O20" s="56">
        <v>10.165091587912729</v>
      </c>
      <c r="P20" s="53">
        <v>699</v>
      </c>
      <c r="Q20" s="54">
        <v>8.1850117096018735E-2</v>
      </c>
      <c r="R20" s="55">
        <v>69048</v>
      </c>
      <c r="S20" s="56">
        <v>10.123392422662496</v>
      </c>
      <c r="T20" s="53">
        <v>622</v>
      </c>
      <c r="U20" s="54">
        <f t="shared" si="0"/>
        <v>7.0617620345140783E-2</v>
      </c>
      <c r="V20" s="57">
        <v>68483</v>
      </c>
      <c r="W20" s="56">
        <f t="shared" si="1"/>
        <v>9.0825460333221386</v>
      </c>
      <c r="X20" s="53">
        <v>620</v>
      </c>
      <c r="Y20" s="54">
        <f t="shared" si="2"/>
        <v>6.9702079820123664E-2</v>
      </c>
      <c r="Z20" s="58">
        <v>67948</v>
      </c>
      <c r="AA20" s="56">
        <f t="shared" si="3"/>
        <v>9.1246247130158356</v>
      </c>
      <c r="AB20" s="59">
        <v>571</v>
      </c>
      <c r="AC20" s="54">
        <f t="shared" si="4"/>
        <v>6.2220769314590828E-2</v>
      </c>
      <c r="AD20" s="55">
        <v>68403</v>
      </c>
      <c r="AE20" s="56">
        <f t="shared" si="5"/>
        <v>8.3475870941332992</v>
      </c>
      <c r="AF20" s="60">
        <v>492</v>
      </c>
      <c r="AG20" s="54">
        <f t="shared" si="7"/>
        <v>6.033848417954378E-2</v>
      </c>
      <c r="AH20" s="55">
        <v>68131</v>
      </c>
      <c r="AI20" s="56">
        <f t="shared" si="8"/>
        <v>7.2213823369684871</v>
      </c>
      <c r="AJ20" s="36">
        <v>482</v>
      </c>
      <c r="AK20" s="54">
        <f t="shared" si="9"/>
        <v>6.0077277826249532E-2</v>
      </c>
      <c r="AL20" s="61">
        <v>68573</v>
      </c>
      <c r="AM20" s="56">
        <f t="shared" si="10"/>
        <v>7.0290055852886706</v>
      </c>
      <c r="AN20" s="36">
        <v>413</v>
      </c>
      <c r="AO20" s="54">
        <f t="shared" si="6"/>
        <v>0.05</v>
      </c>
      <c r="AP20" s="61">
        <v>67736</v>
      </c>
      <c r="AQ20" s="56">
        <f t="shared" si="12"/>
        <v>6.0972008976024563</v>
      </c>
    </row>
    <row r="21" spans="1:43" x14ac:dyDescent="0.2">
      <c r="A21" s="42">
        <v>480</v>
      </c>
      <c r="B21" s="7">
        <v>12</v>
      </c>
      <c r="C21" s="30" t="s">
        <v>29</v>
      </c>
      <c r="D21" s="53">
        <v>159</v>
      </c>
      <c r="E21" s="54">
        <v>2.2594855762398749E-2</v>
      </c>
      <c r="F21" s="55">
        <v>7240</v>
      </c>
      <c r="G21" s="56">
        <v>21.961325966850829</v>
      </c>
      <c r="H21" s="53">
        <v>215</v>
      </c>
      <c r="I21" s="54">
        <v>3.0935251798561152E-2</v>
      </c>
      <c r="J21" s="55">
        <v>7443</v>
      </c>
      <c r="K21" s="56">
        <v>28.886201800349323</v>
      </c>
      <c r="L21" s="53">
        <v>231</v>
      </c>
      <c r="M21" s="54">
        <v>3.0503103129539154E-2</v>
      </c>
      <c r="N21" s="55">
        <v>7788</v>
      </c>
      <c r="O21" s="56">
        <v>29.661016949152543</v>
      </c>
      <c r="P21" s="53">
        <v>199</v>
      </c>
      <c r="Q21" s="54">
        <v>2.3302107728337237E-2</v>
      </c>
      <c r="R21" s="55">
        <v>8230</v>
      </c>
      <c r="S21" s="56">
        <v>24.179829890643987</v>
      </c>
      <c r="T21" s="53">
        <v>266</v>
      </c>
      <c r="U21" s="54">
        <f t="shared" si="0"/>
        <v>3.019981834695731E-2</v>
      </c>
      <c r="V21" s="57">
        <v>8486</v>
      </c>
      <c r="W21" s="56">
        <f t="shared" si="1"/>
        <v>31.34574593448032</v>
      </c>
      <c r="X21" s="53">
        <v>326</v>
      </c>
      <c r="Y21" s="54">
        <f t="shared" si="2"/>
        <v>3.6649803260258573E-2</v>
      </c>
      <c r="Z21" s="58">
        <v>8643</v>
      </c>
      <c r="AA21" s="56">
        <f t="shared" si="3"/>
        <v>37.718384820085618</v>
      </c>
      <c r="AB21" s="59">
        <v>266</v>
      </c>
      <c r="AC21" s="54">
        <f t="shared" si="4"/>
        <v>2.8985507246376812E-2</v>
      </c>
      <c r="AD21" s="55">
        <v>8344</v>
      </c>
      <c r="AE21" s="56">
        <f t="shared" si="5"/>
        <v>31.879194630872487</v>
      </c>
      <c r="AF21" s="60">
        <v>208</v>
      </c>
      <c r="AG21" s="54">
        <f t="shared" si="7"/>
        <v>2.5508952661270543E-2</v>
      </c>
      <c r="AH21" s="55">
        <v>8365</v>
      </c>
      <c r="AI21" s="56">
        <f t="shared" si="8"/>
        <v>24.865511057979678</v>
      </c>
      <c r="AJ21" s="36">
        <v>201</v>
      </c>
      <c r="AK21" s="54">
        <f t="shared" si="9"/>
        <v>2.5052972703477502E-2</v>
      </c>
      <c r="AL21" s="61">
        <v>8483</v>
      </c>
      <c r="AM21" s="56">
        <f t="shared" si="10"/>
        <v>23.694447718967346</v>
      </c>
      <c r="AN21" s="36">
        <v>214</v>
      </c>
      <c r="AO21" s="54">
        <f t="shared" si="6"/>
        <v>2.5907990314769976E-2</v>
      </c>
      <c r="AP21" s="61">
        <v>8508</v>
      </c>
      <c r="AQ21" s="56">
        <f t="shared" si="12"/>
        <v>25.152797367183826</v>
      </c>
    </row>
    <row r="22" spans="1:43" x14ac:dyDescent="0.2">
      <c r="A22" s="42">
        <v>635</v>
      </c>
      <c r="B22" s="7">
        <v>13</v>
      </c>
      <c r="C22" s="31" t="s">
        <v>30</v>
      </c>
      <c r="D22" s="63">
        <v>1030</v>
      </c>
      <c r="E22" s="64">
        <v>0.14636919141679694</v>
      </c>
      <c r="F22" s="65">
        <v>73808</v>
      </c>
      <c r="G22" s="66">
        <v>13.955126815521353</v>
      </c>
      <c r="H22" s="63">
        <v>1071</v>
      </c>
      <c r="I22" s="64">
        <v>0.15410071942446044</v>
      </c>
      <c r="J22" s="65">
        <v>74761</v>
      </c>
      <c r="K22" s="66">
        <v>14.325651074758229</v>
      </c>
      <c r="L22" s="63">
        <v>1248</v>
      </c>
      <c r="M22" s="64">
        <v>0.16479598573880894</v>
      </c>
      <c r="N22" s="65">
        <v>75716</v>
      </c>
      <c r="O22" s="66">
        <v>16.482645675946959</v>
      </c>
      <c r="P22" s="63">
        <v>1340</v>
      </c>
      <c r="Q22" s="64">
        <v>0.15690866510538642</v>
      </c>
      <c r="R22" s="65">
        <v>77369</v>
      </c>
      <c r="S22" s="66">
        <v>17.31959828872029</v>
      </c>
      <c r="T22" s="63">
        <v>1216</v>
      </c>
      <c r="U22" s="64">
        <f t="shared" si="0"/>
        <v>0.13805631244323344</v>
      </c>
      <c r="V22" s="67">
        <v>78708</v>
      </c>
      <c r="W22" s="66">
        <f t="shared" si="1"/>
        <v>15.449509579712355</v>
      </c>
      <c r="X22" s="63">
        <v>1314</v>
      </c>
      <c r="Y22" s="64">
        <f t="shared" si="2"/>
        <v>0.14772344013490726</v>
      </c>
      <c r="Z22" s="68">
        <v>80187</v>
      </c>
      <c r="AA22" s="66">
        <f t="shared" si="3"/>
        <v>16.386696097871226</v>
      </c>
      <c r="AB22" s="69">
        <v>1226</v>
      </c>
      <c r="AC22" s="64">
        <f t="shared" si="4"/>
        <v>0.13359485670698484</v>
      </c>
      <c r="AD22" s="65">
        <v>81017</v>
      </c>
      <c r="AE22" s="66">
        <f t="shared" si="5"/>
        <v>15.132626485799276</v>
      </c>
      <c r="AF22" s="70">
        <v>730</v>
      </c>
      <c r="AG22" s="64">
        <f t="shared" si="7"/>
        <v>8.9526612705420658E-2</v>
      </c>
      <c r="AH22" s="65">
        <v>48411</v>
      </c>
      <c r="AI22" s="66">
        <f t="shared" si="8"/>
        <v>15.079217533205263</v>
      </c>
      <c r="AJ22" s="71">
        <v>691</v>
      </c>
      <c r="AK22" s="64">
        <f t="shared" si="9"/>
        <v>8.6127383771656491E-2</v>
      </c>
      <c r="AL22" s="72">
        <v>49729</v>
      </c>
      <c r="AM22" s="66">
        <f t="shared" si="10"/>
        <v>13.895312594260893</v>
      </c>
      <c r="AN22" s="71">
        <v>664</v>
      </c>
      <c r="AO22" s="64">
        <f t="shared" si="6"/>
        <v>8.0387409200968526E-2</v>
      </c>
      <c r="AP22" s="72">
        <v>50581</v>
      </c>
      <c r="AQ22" s="66">
        <f t="shared" si="12"/>
        <v>13.127458927265179</v>
      </c>
    </row>
    <row r="23" spans="1:43" x14ac:dyDescent="0.2">
      <c r="A23" s="42">
        <v>653</v>
      </c>
      <c r="B23" s="7">
        <v>14</v>
      </c>
      <c r="C23" s="29" t="s">
        <v>31</v>
      </c>
      <c r="D23" s="43">
        <v>72</v>
      </c>
      <c r="E23" s="44">
        <v>1.0231632798067358E-2</v>
      </c>
      <c r="F23" s="45">
        <v>1872</v>
      </c>
      <c r="G23" s="46">
        <v>38.461538461538467</v>
      </c>
      <c r="H23" s="43">
        <v>77</v>
      </c>
      <c r="I23" s="44">
        <v>1.1079136690647482E-2</v>
      </c>
      <c r="J23" s="45">
        <v>1939</v>
      </c>
      <c r="K23" s="46">
        <v>39.711191335740075</v>
      </c>
      <c r="L23" s="43">
        <v>70</v>
      </c>
      <c r="M23" s="44">
        <v>9.2433645847088339E-3</v>
      </c>
      <c r="N23" s="45">
        <v>1963</v>
      </c>
      <c r="O23" s="46">
        <v>35.65970453387672</v>
      </c>
      <c r="P23" s="43">
        <v>69</v>
      </c>
      <c r="Q23" s="44">
        <v>8.0796252927400475E-3</v>
      </c>
      <c r="R23" s="45">
        <v>1992</v>
      </c>
      <c r="S23" s="46">
        <v>34.638554216867469</v>
      </c>
      <c r="T23" s="43">
        <v>64</v>
      </c>
      <c r="U23" s="44">
        <f t="shared" si="0"/>
        <v>7.266121707538601E-3</v>
      </c>
      <c r="V23" s="47">
        <v>2071</v>
      </c>
      <c r="W23" s="46">
        <f t="shared" si="1"/>
        <v>30.902945436986961</v>
      </c>
      <c r="X23" s="43">
        <v>49</v>
      </c>
      <c r="Y23" s="44">
        <f t="shared" si="2"/>
        <v>5.5087127599775156E-3</v>
      </c>
      <c r="Z23" s="48">
        <v>2147</v>
      </c>
      <c r="AA23" s="46">
        <f t="shared" si="3"/>
        <v>22.822543083372146</v>
      </c>
      <c r="AB23" s="49">
        <v>43</v>
      </c>
      <c r="AC23" s="44">
        <f t="shared" si="4"/>
        <v>4.685627111256402E-3</v>
      </c>
      <c r="AD23" s="45">
        <v>2203</v>
      </c>
      <c r="AE23" s="46">
        <f t="shared" si="5"/>
        <v>19.518837948252383</v>
      </c>
      <c r="AF23" s="50">
        <v>49</v>
      </c>
      <c r="AG23" s="44">
        <f t="shared" si="7"/>
        <v>6.0093205788570025E-3</v>
      </c>
      <c r="AH23" s="45">
        <v>2244</v>
      </c>
      <c r="AI23" s="46">
        <f t="shared" si="8"/>
        <v>21.836007130124777</v>
      </c>
      <c r="AJ23" s="51">
        <v>35</v>
      </c>
      <c r="AK23" s="44">
        <f t="shared" si="9"/>
        <v>4.3624579334413565E-3</v>
      </c>
      <c r="AL23" s="52">
        <v>2286</v>
      </c>
      <c r="AM23" s="46">
        <f t="shared" si="10"/>
        <v>15.310586176727909</v>
      </c>
      <c r="AN23" s="51">
        <v>24</v>
      </c>
      <c r="AO23" s="44">
        <f t="shared" si="6"/>
        <v>2.9055690072639223E-3</v>
      </c>
      <c r="AP23" s="52">
        <v>2297</v>
      </c>
      <c r="AQ23" s="46">
        <f t="shared" si="12"/>
        <v>10.448410970831519</v>
      </c>
    </row>
    <row r="24" spans="1:43" x14ac:dyDescent="0.2">
      <c r="A24" s="42">
        <v>765</v>
      </c>
      <c r="B24" s="7">
        <v>15</v>
      </c>
      <c r="C24" s="30" t="s">
        <v>32</v>
      </c>
      <c r="D24" s="53">
        <v>7</v>
      </c>
      <c r="E24" s="54">
        <v>9.9474207758988207E-4</v>
      </c>
      <c r="F24" s="55">
        <v>1235</v>
      </c>
      <c r="G24" s="56">
        <v>5.668016194331984</v>
      </c>
      <c r="H24" s="53">
        <v>15</v>
      </c>
      <c r="I24" s="54">
        <v>2.158273381294964E-3</v>
      </c>
      <c r="J24" s="55">
        <v>1200</v>
      </c>
      <c r="K24" s="56">
        <v>12.5</v>
      </c>
      <c r="L24" s="53">
        <v>20</v>
      </c>
      <c r="M24" s="54">
        <v>2.6409613099168099E-3</v>
      </c>
      <c r="N24" s="55">
        <v>1196</v>
      </c>
      <c r="O24" s="56">
        <v>16.722408026755851</v>
      </c>
      <c r="P24" s="53">
        <v>21</v>
      </c>
      <c r="Q24" s="54">
        <v>2.4590163934426232E-3</v>
      </c>
      <c r="R24" s="55">
        <v>1194</v>
      </c>
      <c r="S24" s="56">
        <v>17.587939698492463</v>
      </c>
      <c r="T24" s="53">
        <v>33</v>
      </c>
      <c r="U24" s="54">
        <f t="shared" si="0"/>
        <v>3.7465940054495911E-3</v>
      </c>
      <c r="V24" s="57">
        <v>1188</v>
      </c>
      <c r="W24" s="56">
        <f t="shared" si="1"/>
        <v>27.777777777777775</v>
      </c>
      <c r="X24" s="53">
        <v>21</v>
      </c>
      <c r="Y24" s="54">
        <f t="shared" si="2"/>
        <v>2.360876897133221E-3</v>
      </c>
      <c r="Z24" s="58">
        <v>1178</v>
      </c>
      <c r="AA24" s="56">
        <f t="shared" si="3"/>
        <v>17.826825127334466</v>
      </c>
      <c r="AB24" s="59">
        <v>20</v>
      </c>
      <c r="AC24" s="54">
        <f t="shared" si="4"/>
        <v>2.1793614470960007E-3</v>
      </c>
      <c r="AD24" s="55">
        <v>1202</v>
      </c>
      <c r="AE24" s="56">
        <f t="shared" si="5"/>
        <v>16.638935108153078</v>
      </c>
      <c r="AF24" s="60">
        <v>20</v>
      </c>
      <c r="AG24" s="54">
        <f t="shared" si="7"/>
        <v>2.4527839097375523E-3</v>
      </c>
      <c r="AH24" s="55">
        <v>1194</v>
      </c>
      <c r="AI24" s="56">
        <f t="shared" si="8"/>
        <v>16.75041876046901</v>
      </c>
      <c r="AJ24" s="36">
        <v>19</v>
      </c>
      <c r="AK24" s="54">
        <f t="shared" si="9"/>
        <v>2.3681914495824507E-3</v>
      </c>
      <c r="AL24" s="61">
        <v>1176</v>
      </c>
      <c r="AM24" s="56">
        <f t="shared" si="10"/>
        <v>16.156462585034014</v>
      </c>
      <c r="AN24" s="36">
        <v>21</v>
      </c>
      <c r="AO24" s="54">
        <f t="shared" si="6"/>
        <v>2.542372881355932E-3</v>
      </c>
      <c r="AP24" s="61">
        <v>1175</v>
      </c>
      <c r="AQ24" s="56">
        <f t="shared" si="12"/>
        <v>17.872340425531917</v>
      </c>
    </row>
    <row r="25" spans="1:43" x14ac:dyDescent="0.2">
      <c r="A25" s="42">
        <v>772</v>
      </c>
      <c r="B25" s="7">
        <v>16</v>
      </c>
      <c r="C25" s="32" t="s">
        <v>33</v>
      </c>
      <c r="D25" s="53">
        <v>94</v>
      </c>
      <c r="E25" s="54">
        <v>1.3357965041921273E-2</v>
      </c>
      <c r="F25" s="55">
        <v>5858</v>
      </c>
      <c r="G25" s="56">
        <v>16.04643222942984</v>
      </c>
      <c r="H25" s="53">
        <v>98</v>
      </c>
      <c r="I25" s="54">
        <v>1.4100719424460431E-2</v>
      </c>
      <c r="J25" s="55">
        <v>5872</v>
      </c>
      <c r="K25" s="56">
        <v>16.689373297002724</v>
      </c>
      <c r="L25" s="53">
        <v>96</v>
      </c>
      <c r="M25" s="54">
        <v>1.2676614287600687E-2</v>
      </c>
      <c r="N25" s="55">
        <v>5821</v>
      </c>
      <c r="O25" s="56">
        <v>16.492011681841607</v>
      </c>
      <c r="P25" s="53">
        <v>73</v>
      </c>
      <c r="Q25" s="54">
        <v>8.5480093676814986E-3</v>
      </c>
      <c r="R25" s="55">
        <v>5737</v>
      </c>
      <c r="S25" s="56">
        <v>12.724420428795538</v>
      </c>
      <c r="T25" s="53">
        <v>89</v>
      </c>
      <c r="U25" s="54">
        <f t="shared" si="0"/>
        <v>1.0104450499545867E-2</v>
      </c>
      <c r="V25" s="57">
        <f>5780-139</f>
        <v>5641</v>
      </c>
      <c r="W25" s="56">
        <f t="shared" si="1"/>
        <v>15.777344442474739</v>
      </c>
      <c r="X25" s="53">
        <v>105</v>
      </c>
      <c r="Y25" s="54">
        <f t="shared" si="2"/>
        <v>1.1804384485666104E-2</v>
      </c>
      <c r="Z25" s="58">
        <v>5755</v>
      </c>
      <c r="AA25" s="56">
        <f t="shared" si="3"/>
        <v>18.245004344048652</v>
      </c>
      <c r="AB25" s="59">
        <v>116</v>
      </c>
      <c r="AC25" s="54">
        <f t="shared" si="4"/>
        <v>1.2640296393156805E-2</v>
      </c>
      <c r="AD25" s="55">
        <v>5960</v>
      </c>
      <c r="AE25" s="56">
        <f t="shared" si="5"/>
        <v>19.463087248322147</v>
      </c>
      <c r="AF25" s="60">
        <v>149</v>
      </c>
      <c r="AG25" s="54">
        <f t="shared" si="7"/>
        <v>1.8273240127544763E-2</v>
      </c>
      <c r="AH25" s="55">
        <v>6123</v>
      </c>
      <c r="AI25" s="56">
        <f t="shared" si="8"/>
        <v>24.334476563775926</v>
      </c>
      <c r="AJ25" s="36">
        <v>105</v>
      </c>
      <c r="AK25" s="54">
        <f t="shared" si="9"/>
        <v>1.3087373800324069E-2</v>
      </c>
      <c r="AL25" s="61">
        <v>6133</v>
      </c>
      <c r="AM25" s="56">
        <f t="shared" si="10"/>
        <v>17.120495679112995</v>
      </c>
      <c r="AN25" s="36">
        <v>128</v>
      </c>
      <c r="AO25" s="54">
        <f t="shared" si="6"/>
        <v>1.549636803874092E-2</v>
      </c>
      <c r="AP25" s="61">
        <v>6120</v>
      </c>
      <c r="AQ25" s="56">
        <f t="shared" si="12"/>
        <v>20.915032679738562</v>
      </c>
    </row>
    <row r="26" spans="1:43" x14ac:dyDescent="0.2">
      <c r="A26" s="42">
        <v>1261</v>
      </c>
      <c r="B26" s="8">
        <v>39</v>
      </c>
      <c r="C26" s="30" t="s">
        <v>34</v>
      </c>
      <c r="D26" s="53">
        <v>44</v>
      </c>
      <c r="E26" s="54">
        <v>6.2526644877078296E-3</v>
      </c>
      <c r="F26" s="55">
        <v>3142</v>
      </c>
      <c r="G26" s="56">
        <v>14.003819223424571</v>
      </c>
      <c r="H26" s="53">
        <v>54</v>
      </c>
      <c r="I26" s="54">
        <v>7.7697841726618701E-3</v>
      </c>
      <c r="J26" s="55">
        <v>3083</v>
      </c>
      <c r="K26" s="56">
        <v>17.515407071034705</v>
      </c>
      <c r="L26" s="53">
        <v>50</v>
      </c>
      <c r="M26" s="54">
        <v>6.6024032747920239E-3</v>
      </c>
      <c r="N26" s="55">
        <v>2957</v>
      </c>
      <c r="O26" s="56">
        <v>16.909029421711192</v>
      </c>
      <c r="P26" s="53">
        <v>70</v>
      </c>
      <c r="Q26" s="54">
        <v>8.1967213114754103E-3</v>
      </c>
      <c r="R26" s="55">
        <v>2952</v>
      </c>
      <c r="S26" s="56">
        <v>23.712737127371273</v>
      </c>
      <c r="T26" s="53">
        <v>70</v>
      </c>
      <c r="U26" s="54">
        <f t="shared" si="0"/>
        <v>7.9473206176203445E-3</v>
      </c>
      <c r="V26" s="57">
        <v>2897</v>
      </c>
      <c r="W26" s="56">
        <f t="shared" si="1"/>
        <v>24.162927166033828</v>
      </c>
      <c r="X26" s="53">
        <v>54</v>
      </c>
      <c r="Y26" s="54">
        <f t="shared" si="2"/>
        <v>6.0708263069139965E-3</v>
      </c>
      <c r="Z26" s="58">
        <v>2852</v>
      </c>
      <c r="AA26" s="56">
        <f t="shared" si="3"/>
        <v>18.934081346423561</v>
      </c>
      <c r="AB26" s="59">
        <v>54</v>
      </c>
      <c r="AC26" s="54">
        <f t="shared" si="4"/>
        <v>5.8842759071592024E-3</v>
      </c>
      <c r="AD26" s="55">
        <v>2829</v>
      </c>
      <c r="AE26" s="56">
        <f t="shared" si="5"/>
        <v>19.088016967126194</v>
      </c>
      <c r="AF26" s="60">
        <v>73</v>
      </c>
      <c r="AG26" s="54">
        <f t="shared" si="7"/>
        <v>8.9526612705420651E-3</v>
      </c>
      <c r="AH26" s="55">
        <v>2820</v>
      </c>
      <c r="AI26" s="56">
        <f t="shared" si="8"/>
        <v>25.886524822695034</v>
      </c>
      <c r="AJ26" s="36">
        <v>56</v>
      </c>
      <c r="AK26" s="54">
        <f t="shared" si="9"/>
        <v>6.9799326935061695E-3</v>
      </c>
      <c r="AL26" s="61">
        <v>2826</v>
      </c>
      <c r="AM26" s="56">
        <f t="shared" si="10"/>
        <v>19.815994338287332</v>
      </c>
      <c r="AN26" s="36">
        <v>57</v>
      </c>
      <c r="AO26" s="54">
        <f t="shared" si="6"/>
        <v>6.9007263922518164E-3</v>
      </c>
      <c r="AP26" s="61">
        <v>2815</v>
      </c>
      <c r="AQ26" s="56">
        <f t="shared" si="12"/>
        <v>20.24866785079929</v>
      </c>
    </row>
    <row r="27" spans="1:43" x14ac:dyDescent="0.2">
      <c r="A27" s="42">
        <v>783</v>
      </c>
      <c r="B27" s="8">
        <v>17</v>
      </c>
      <c r="C27" s="31" t="s">
        <v>35</v>
      </c>
      <c r="D27" s="63">
        <v>7</v>
      </c>
      <c r="E27" s="64">
        <v>9.9474207758988207E-4</v>
      </c>
      <c r="F27" s="65">
        <v>1984</v>
      </c>
      <c r="G27" s="66">
        <v>3.528225806451613</v>
      </c>
      <c r="H27" s="63">
        <v>14</v>
      </c>
      <c r="I27" s="64">
        <v>2.014388489208633E-3</v>
      </c>
      <c r="J27" s="65">
        <v>1955</v>
      </c>
      <c r="K27" s="66">
        <v>7.1611253196930953</v>
      </c>
      <c r="L27" s="63">
        <v>11</v>
      </c>
      <c r="M27" s="64">
        <v>1.4525287204542453E-3</v>
      </c>
      <c r="N27" s="65">
        <v>1967</v>
      </c>
      <c r="O27" s="66">
        <v>5.5922724961870864</v>
      </c>
      <c r="P27" s="63">
        <v>15</v>
      </c>
      <c r="Q27" s="64">
        <v>1.756440281030445E-3</v>
      </c>
      <c r="R27" s="65">
        <v>2029</v>
      </c>
      <c r="S27" s="66">
        <v>7.3928043371118779</v>
      </c>
      <c r="T27" s="63">
        <v>23</v>
      </c>
      <c r="U27" s="64">
        <f t="shared" si="0"/>
        <v>2.6112624886466848E-3</v>
      </c>
      <c r="V27" s="67">
        <v>2083</v>
      </c>
      <c r="W27" s="66">
        <f t="shared" si="1"/>
        <v>11.041766682669227</v>
      </c>
      <c r="X27" s="63">
        <v>28</v>
      </c>
      <c r="Y27" s="64">
        <f t="shared" si="2"/>
        <v>3.1478358628442946E-3</v>
      </c>
      <c r="Z27" s="68">
        <v>2183</v>
      </c>
      <c r="AA27" s="66">
        <f t="shared" si="3"/>
        <v>12.82638570774164</v>
      </c>
      <c r="AB27" s="69">
        <v>43</v>
      </c>
      <c r="AC27" s="64">
        <f t="shared" si="4"/>
        <v>4.685627111256402E-3</v>
      </c>
      <c r="AD27" s="65">
        <v>2276</v>
      </c>
      <c r="AE27" s="66">
        <f t="shared" si="5"/>
        <v>18.892794376098418</v>
      </c>
      <c r="AF27" s="70">
        <v>33</v>
      </c>
      <c r="AG27" s="64">
        <f t="shared" si="7"/>
        <v>4.0470934510669614E-3</v>
      </c>
      <c r="AH27" s="65">
        <v>2338</v>
      </c>
      <c r="AI27" s="66">
        <f t="shared" si="8"/>
        <v>14.114627887082978</v>
      </c>
      <c r="AJ27" s="73">
        <v>32</v>
      </c>
      <c r="AK27" s="64">
        <f t="shared" si="9"/>
        <v>3.9885329677178116E-3</v>
      </c>
      <c r="AL27" s="72">
        <v>2437</v>
      </c>
      <c r="AM27" s="66">
        <f t="shared" si="10"/>
        <v>13.130898645876076</v>
      </c>
      <c r="AN27" s="73">
        <v>25</v>
      </c>
      <c r="AO27" s="64">
        <f t="shared" si="6"/>
        <v>3.0266343825665859E-3</v>
      </c>
      <c r="AP27" s="72">
        <v>2421</v>
      </c>
      <c r="AQ27" s="66">
        <f t="shared" si="12"/>
        <v>10.326311441553077</v>
      </c>
    </row>
    <row r="28" spans="1:43" x14ac:dyDescent="0.2">
      <c r="A28" s="42">
        <v>795</v>
      </c>
      <c r="B28" s="8">
        <v>18</v>
      </c>
      <c r="C28" s="29" t="s">
        <v>36</v>
      </c>
      <c r="D28" s="43">
        <v>49</v>
      </c>
      <c r="E28" s="44">
        <v>6.9631945431291743E-3</v>
      </c>
      <c r="F28" s="45">
        <v>6336</v>
      </c>
      <c r="G28" s="46">
        <v>7.733585858585859</v>
      </c>
      <c r="H28" s="43">
        <v>44</v>
      </c>
      <c r="I28" s="44">
        <v>6.3309352517985614E-3</v>
      </c>
      <c r="J28" s="45">
        <v>6482</v>
      </c>
      <c r="K28" s="46">
        <v>6.7880283863005246</v>
      </c>
      <c r="L28" s="43">
        <v>43</v>
      </c>
      <c r="M28" s="44">
        <v>5.6780668163211407E-3</v>
      </c>
      <c r="N28" s="45">
        <v>6492</v>
      </c>
      <c r="O28" s="46">
        <v>6.6235366605052377</v>
      </c>
      <c r="P28" s="43">
        <v>36</v>
      </c>
      <c r="Q28" s="44">
        <v>4.2154566744730679E-3</v>
      </c>
      <c r="R28" s="45">
        <v>6469</v>
      </c>
      <c r="S28" s="46">
        <v>5.5650023187509658</v>
      </c>
      <c r="T28" s="43">
        <v>55</v>
      </c>
      <c r="U28" s="44">
        <f t="shared" si="0"/>
        <v>6.2443233424159857E-3</v>
      </c>
      <c r="V28" s="47">
        <v>6352</v>
      </c>
      <c r="W28" s="46">
        <f t="shared" si="1"/>
        <v>8.658690176322418</v>
      </c>
      <c r="X28" s="43">
        <v>61</v>
      </c>
      <c r="Y28" s="44">
        <f t="shared" si="2"/>
        <v>6.85778527262507E-3</v>
      </c>
      <c r="Z28" s="48">
        <v>6426</v>
      </c>
      <c r="AA28" s="46">
        <f t="shared" si="3"/>
        <v>9.4926859632741998</v>
      </c>
      <c r="AB28" s="49">
        <v>51</v>
      </c>
      <c r="AC28" s="44">
        <f t="shared" si="4"/>
        <v>5.5573716900948018E-3</v>
      </c>
      <c r="AD28" s="45">
        <v>6458</v>
      </c>
      <c r="AE28" s="46">
        <f t="shared" si="5"/>
        <v>7.8971817900278722</v>
      </c>
      <c r="AF28" s="50">
        <v>50</v>
      </c>
      <c r="AG28" s="44">
        <f t="shared" si="7"/>
        <v>6.13195977434388E-3</v>
      </c>
      <c r="AH28" s="45">
        <v>6515</v>
      </c>
      <c r="AI28" s="46">
        <f t="shared" si="8"/>
        <v>7.6745970836531079</v>
      </c>
      <c r="AJ28" s="51">
        <v>56</v>
      </c>
      <c r="AK28" s="44">
        <f t="shared" si="9"/>
        <v>6.9799326935061695E-3</v>
      </c>
      <c r="AL28" s="52">
        <v>6500</v>
      </c>
      <c r="AM28" s="46">
        <f t="shared" si="10"/>
        <v>8.615384615384615</v>
      </c>
      <c r="AN28" s="51">
        <v>43</v>
      </c>
      <c r="AO28" s="44">
        <f t="shared" si="6"/>
        <v>5.2058111380145281E-3</v>
      </c>
      <c r="AP28" s="52">
        <v>6417</v>
      </c>
      <c r="AQ28" s="46">
        <f t="shared" si="12"/>
        <v>6.7009505999688335</v>
      </c>
    </row>
    <row r="29" spans="1:43" x14ac:dyDescent="0.2">
      <c r="A29" s="42">
        <v>1275</v>
      </c>
      <c r="B29" s="8">
        <v>40</v>
      </c>
      <c r="C29" s="30" t="s">
        <v>37</v>
      </c>
      <c r="D29" s="53">
        <v>437</v>
      </c>
      <c r="E29" s="54">
        <v>6.2100326843825493E-2</v>
      </c>
      <c r="F29" s="55">
        <v>23078</v>
      </c>
      <c r="G29" s="56">
        <v>18.935782996793481</v>
      </c>
      <c r="H29" s="53">
        <v>420</v>
      </c>
      <c r="I29" s="54">
        <v>6.0431654676258995E-2</v>
      </c>
      <c r="J29" s="55">
        <v>23900</v>
      </c>
      <c r="K29" s="56">
        <v>17.573221757322177</v>
      </c>
      <c r="L29" s="53">
        <v>526</v>
      </c>
      <c r="M29" s="54">
        <v>6.9457282450812091E-2</v>
      </c>
      <c r="N29" s="55">
        <v>24887</v>
      </c>
      <c r="O29" s="56">
        <v>21.135532607385382</v>
      </c>
      <c r="P29" s="53">
        <v>412</v>
      </c>
      <c r="Q29" s="54">
        <v>4.8243559718969556E-2</v>
      </c>
      <c r="R29" s="55">
        <v>24742</v>
      </c>
      <c r="S29" s="56">
        <v>16.651847061676502</v>
      </c>
      <c r="T29" s="53">
        <v>465</v>
      </c>
      <c r="U29" s="54">
        <f t="shared" si="0"/>
        <v>5.2792915531335152E-2</v>
      </c>
      <c r="V29" s="57">
        <v>25615</v>
      </c>
      <c r="W29" s="56">
        <f t="shared" si="1"/>
        <v>18.153425727113021</v>
      </c>
      <c r="X29" s="53">
        <v>478</v>
      </c>
      <c r="Y29" s="54">
        <f t="shared" si="2"/>
        <v>5.3738055087127597E-2</v>
      </c>
      <c r="Z29" s="58">
        <v>26588</v>
      </c>
      <c r="AA29" s="56">
        <f t="shared" si="3"/>
        <v>17.978035203851363</v>
      </c>
      <c r="AB29" s="59">
        <v>395</v>
      </c>
      <c r="AC29" s="54">
        <f t="shared" si="4"/>
        <v>4.3042388580146015E-2</v>
      </c>
      <c r="AD29" s="55">
        <v>27592</v>
      </c>
      <c r="AE29" s="56">
        <f t="shared" si="5"/>
        <v>14.315743693824297</v>
      </c>
      <c r="AF29" s="60">
        <v>392</v>
      </c>
      <c r="AG29" s="54">
        <f t="shared" si="7"/>
        <v>4.807456463085602E-2</v>
      </c>
      <c r="AH29" s="55">
        <v>28282</v>
      </c>
      <c r="AI29" s="56">
        <f t="shared" si="8"/>
        <v>13.860405911887419</v>
      </c>
      <c r="AJ29" s="36">
        <v>361</v>
      </c>
      <c r="AK29" s="54">
        <f t="shared" si="9"/>
        <v>4.4995637542066556E-2</v>
      </c>
      <c r="AL29" s="61">
        <v>29136</v>
      </c>
      <c r="AM29" s="56">
        <f t="shared" si="10"/>
        <v>12.390170236133992</v>
      </c>
      <c r="AN29" s="36">
        <v>402</v>
      </c>
      <c r="AO29" s="54">
        <f t="shared" si="6"/>
        <v>4.8668280871670702E-2</v>
      </c>
      <c r="AP29" s="61">
        <v>29724</v>
      </c>
      <c r="AQ29" s="56">
        <f t="shared" si="12"/>
        <v>13.524424707307228</v>
      </c>
    </row>
    <row r="30" spans="1:43" x14ac:dyDescent="0.2">
      <c r="A30" s="42">
        <v>800</v>
      </c>
      <c r="B30" s="8">
        <v>19</v>
      </c>
      <c r="C30" s="30" t="s">
        <v>38</v>
      </c>
      <c r="D30" s="53">
        <v>64</v>
      </c>
      <c r="E30" s="54">
        <v>9.0947847093932072E-3</v>
      </c>
      <c r="F30" s="55">
        <v>2443</v>
      </c>
      <c r="G30" s="56">
        <v>26.197298403602129</v>
      </c>
      <c r="H30" s="53">
        <v>78</v>
      </c>
      <c r="I30" s="54">
        <v>1.1223021582733812E-2</v>
      </c>
      <c r="J30" s="55">
        <v>2370</v>
      </c>
      <c r="K30" s="56">
        <v>32.911392405063296</v>
      </c>
      <c r="L30" s="53">
        <v>72</v>
      </c>
      <c r="M30" s="54">
        <v>9.507460715700515E-3</v>
      </c>
      <c r="N30" s="55">
        <v>2313</v>
      </c>
      <c r="O30" s="56">
        <v>31.1284046692607</v>
      </c>
      <c r="P30" s="53">
        <v>75</v>
      </c>
      <c r="Q30" s="54">
        <v>8.7822014051522242E-3</v>
      </c>
      <c r="R30" s="55">
        <v>2321</v>
      </c>
      <c r="S30" s="56">
        <v>32.313657906074965</v>
      </c>
      <c r="T30" s="53">
        <v>67</v>
      </c>
      <c r="U30" s="54">
        <f t="shared" si="0"/>
        <v>7.6067211625794736E-3</v>
      </c>
      <c r="V30" s="57">
        <v>2321</v>
      </c>
      <c r="W30" s="56">
        <f t="shared" si="1"/>
        <v>28.866867729426971</v>
      </c>
      <c r="X30" s="53">
        <v>65</v>
      </c>
      <c r="Y30" s="54">
        <f t="shared" si="2"/>
        <v>7.3074761101742554E-3</v>
      </c>
      <c r="Z30" s="58">
        <v>2340</v>
      </c>
      <c r="AA30" s="56">
        <f t="shared" si="3"/>
        <v>27.777777777777775</v>
      </c>
      <c r="AB30" s="59">
        <v>77</v>
      </c>
      <c r="AC30" s="54">
        <f t="shared" si="4"/>
        <v>8.3905415713196041E-3</v>
      </c>
      <c r="AD30" s="55">
        <v>2329</v>
      </c>
      <c r="AE30" s="56">
        <f t="shared" si="5"/>
        <v>33.061399742378704</v>
      </c>
      <c r="AF30" s="60">
        <v>73</v>
      </c>
      <c r="AG30" s="54">
        <f t="shared" si="7"/>
        <v>8.9526612705420651E-3</v>
      </c>
      <c r="AH30" s="55">
        <v>2319</v>
      </c>
      <c r="AI30" s="56">
        <f t="shared" si="8"/>
        <v>31.479085812850368</v>
      </c>
      <c r="AJ30" s="36">
        <v>77</v>
      </c>
      <c r="AK30" s="54">
        <f t="shared" si="9"/>
        <v>9.5974074535709834E-3</v>
      </c>
      <c r="AL30" s="61">
        <v>2419</v>
      </c>
      <c r="AM30" s="56">
        <f t="shared" si="10"/>
        <v>31.831335262505167</v>
      </c>
      <c r="AN30" s="36">
        <v>74</v>
      </c>
      <c r="AO30" s="54">
        <f t="shared" si="6"/>
        <v>8.9588377723970949E-3</v>
      </c>
      <c r="AP30" s="61">
        <v>2420</v>
      </c>
      <c r="AQ30" s="56">
        <f t="shared" si="12"/>
        <v>30.578512396694215</v>
      </c>
    </row>
    <row r="31" spans="1:43" x14ac:dyDescent="0.2">
      <c r="A31" s="42">
        <v>837</v>
      </c>
      <c r="B31" s="8">
        <v>20</v>
      </c>
      <c r="C31" s="30" t="s">
        <v>39</v>
      </c>
      <c r="D31" s="53">
        <v>6</v>
      </c>
      <c r="E31" s="54">
        <v>8.5263606650561323E-4</v>
      </c>
      <c r="F31" s="55">
        <v>968</v>
      </c>
      <c r="G31" s="56">
        <v>6.1983471074380168</v>
      </c>
      <c r="H31" s="53">
        <v>4</v>
      </c>
      <c r="I31" s="54">
        <v>5.7553956834532373E-4</v>
      </c>
      <c r="J31" s="55">
        <v>969</v>
      </c>
      <c r="K31" s="56">
        <v>4.1279669762641893</v>
      </c>
      <c r="L31" s="53">
        <v>4</v>
      </c>
      <c r="M31" s="54">
        <v>5.281922619833619E-4</v>
      </c>
      <c r="N31" s="55">
        <v>986</v>
      </c>
      <c r="O31" s="56">
        <v>4.056795131845842</v>
      </c>
      <c r="P31" s="53">
        <v>12</v>
      </c>
      <c r="Q31" s="54">
        <v>1.405152224824356E-3</v>
      </c>
      <c r="R31" s="55">
        <v>982</v>
      </c>
      <c r="S31" s="56">
        <v>12.219959266802444</v>
      </c>
      <c r="T31" s="53">
        <v>10</v>
      </c>
      <c r="U31" s="54">
        <f t="shared" si="0"/>
        <v>1.1353315168029065E-3</v>
      </c>
      <c r="V31" s="57">
        <v>981</v>
      </c>
      <c r="W31" s="56">
        <f t="shared" si="1"/>
        <v>10.193679918450561</v>
      </c>
      <c r="X31" s="53">
        <v>26</v>
      </c>
      <c r="Y31" s="54">
        <f t="shared" si="2"/>
        <v>2.9229904440697019E-3</v>
      </c>
      <c r="Z31" s="58">
        <v>1000</v>
      </c>
      <c r="AA31" s="56">
        <f t="shared" si="3"/>
        <v>26</v>
      </c>
      <c r="AB31" s="59">
        <v>7</v>
      </c>
      <c r="AC31" s="54">
        <f t="shared" si="4"/>
        <v>7.6277650648360034E-4</v>
      </c>
      <c r="AD31" s="55">
        <v>988</v>
      </c>
      <c r="AE31" s="56">
        <f t="shared" si="5"/>
        <v>7.0850202429149798</v>
      </c>
      <c r="AF31" s="60">
        <v>16</v>
      </c>
      <c r="AG31" s="54">
        <f t="shared" si="7"/>
        <v>1.9622271277900416E-3</v>
      </c>
      <c r="AH31" s="55">
        <v>1003</v>
      </c>
      <c r="AI31" s="56">
        <f t="shared" si="8"/>
        <v>15.952143569292122</v>
      </c>
      <c r="AJ31" s="36">
        <v>14</v>
      </c>
      <c r="AK31" s="54">
        <f t="shared" si="9"/>
        <v>1.7449831733765424E-3</v>
      </c>
      <c r="AL31" s="61">
        <v>978</v>
      </c>
      <c r="AM31" s="56">
        <f t="shared" si="10"/>
        <v>14.314928425357873</v>
      </c>
      <c r="AN31" s="36">
        <v>14</v>
      </c>
      <c r="AO31" s="54">
        <f t="shared" si="6"/>
        <v>1.6949152542372881E-3</v>
      </c>
      <c r="AP31" s="61">
        <v>983</v>
      </c>
      <c r="AQ31" s="56">
        <f t="shared" si="12"/>
        <v>14.242115971515769</v>
      </c>
    </row>
    <row r="32" spans="1:43" x14ac:dyDescent="0.2">
      <c r="A32" s="42">
        <v>849</v>
      </c>
      <c r="B32" s="8">
        <v>21</v>
      </c>
      <c r="C32" s="31" t="s">
        <v>40</v>
      </c>
      <c r="D32" s="63">
        <v>198</v>
      </c>
      <c r="E32" s="64">
        <v>2.8136990194685234E-2</v>
      </c>
      <c r="F32" s="65">
        <v>13141</v>
      </c>
      <c r="G32" s="66">
        <v>15.067346472871167</v>
      </c>
      <c r="H32" s="63">
        <v>169</v>
      </c>
      <c r="I32" s="64">
        <v>2.4316546762589927E-2</v>
      </c>
      <c r="J32" s="65">
        <v>12963</v>
      </c>
      <c r="K32" s="66">
        <v>13.037105608269689</v>
      </c>
      <c r="L32" s="63">
        <v>181</v>
      </c>
      <c r="M32" s="64">
        <v>2.3900699854747128E-2</v>
      </c>
      <c r="N32" s="65">
        <v>12684</v>
      </c>
      <c r="O32" s="66">
        <v>14.269946389151688</v>
      </c>
      <c r="P32" s="63">
        <v>161</v>
      </c>
      <c r="Q32" s="64">
        <v>1.8852459016393444E-2</v>
      </c>
      <c r="R32" s="65">
        <v>12542</v>
      </c>
      <c r="S32" s="66">
        <v>12.836868123106363</v>
      </c>
      <c r="T32" s="63">
        <v>158</v>
      </c>
      <c r="U32" s="64">
        <f t="shared" si="0"/>
        <v>1.7938237965485923E-2</v>
      </c>
      <c r="V32" s="67">
        <v>12358</v>
      </c>
      <c r="W32" s="66">
        <f t="shared" si="1"/>
        <v>12.78524033015051</v>
      </c>
      <c r="X32" s="63">
        <v>191</v>
      </c>
      <c r="Y32" s="64">
        <f t="shared" si="2"/>
        <v>2.1472737492973581E-2</v>
      </c>
      <c r="Z32" s="68">
        <v>12603</v>
      </c>
      <c r="AA32" s="66">
        <f t="shared" si="3"/>
        <v>15.155121796397683</v>
      </c>
      <c r="AB32" s="69">
        <v>180</v>
      </c>
      <c r="AC32" s="64">
        <f t="shared" si="4"/>
        <v>1.9614253023864006E-2</v>
      </c>
      <c r="AD32" s="65">
        <v>12884</v>
      </c>
      <c r="AE32" s="66">
        <f t="shared" si="5"/>
        <v>13.970816516609748</v>
      </c>
      <c r="AF32" s="70">
        <v>190</v>
      </c>
      <c r="AG32" s="64">
        <f t="shared" si="7"/>
        <v>2.3301447142506745E-2</v>
      </c>
      <c r="AH32" s="65">
        <v>12578</v>
      </c>
      <c r="AI32" s="66">
        <f t="shared" si="8"/>
        <v>15.105740181268883</v>
      </c>
      <c r="AJ32" s="71">
        <v>166</v>
      </c>
      <c r="AK32" s="64">
        <f t="shared" si="9"/>
        <v>2.0690514770036146E-2</v>
      </c>
      <c r="AL32" s="72">
        <v>12568</v>
      </c>
      <c r="AM32" s="66">
        <f t="shared" si="10"/>
        <v>13.208147676639083</v>
      </c>
      <c r="AN32" s="71">
        <v>138</v>
      </c>
      <c r="AO32" s="64">
        <f t="shared" si="6"/>
        <v>1.6707021791767553E-2</v>
      </c>
      <c r="AP32" s="72">
        <v>12652</v>
      </c>
      <c r="AQ32" s="66">
        <f t="shared" si="12"/>
        <v>10.907366424280745</v>
      </c>
    </row>
    <row r="33" spans="1:43" x14ac:dyDescent="0.2">
      <c r="A33" s="42">
        <v>1183</v>
      </c>
      <c r="B33" s="8">
        <v>37</v>
      </c>
      <c r="C33" s="29" t="s">
        <v>41</v>
      </c>
      <c r="D33" s="43">
        <v>72</v>
      </c>
      <c r="E33" s="44">
        <v>1.0231632798067358E-2</v>
      </c>
      <c r="F33" s="45">
        <v>3957</v>
      </c>
      <c r="G33" s="46">
        <v>18.195602729340408</v>
      </c>
      <c r="H33" s="43">
        <v>77</v>
      </c>
      <c r="I33" s="44">
        <v>1.1079136690647482E-2</v>
      </c>
      <c r="J33" s="45">
        <v>4059</v>
      </c>
      <c r="K33" s="46">
        <v>18.970189701897016</v>
      </c>
      <c r="L33" s="43">
        <v>70</v>
      </c>
      <c r="M33" s="44">
        <v>9.2433645847088339E-3</v>
      </c>
      <c r="N33" s="45">
        <v>4212</v>
      </c>
      <c r="O33" s="46">
        <v>16.619183285849953</v>
      </c>
      <c r="P33" s="43">
        <v>62</v>
      </c>
      <c r="Q33" s="44">
        <v>7.2599531615925063E-3</v>
      </c>
      <c r="R33" s="45">
        <v>4367</v>
      </c>
      <c r="S33" s="46">
        <v>14.197389512250973</v>
      </c>
      <c r="T33" s="43">
        <v>30</v>
      </c>
      <c r="U33" s="44">
        <f t="shared" si="0"/>
        <v>3.4059945504087193E-3</v>
      </c>
      <c r="V33" s="47">
        <v>4336</v>
      </c>
      <c r="W33" s="46">
        <f t="shared" si="1"/>
        <v>6.9188191881918817</v>
      </c>
      <c r="X33" s="43">
        <v>25</v>
      </c>
      <c r="Y33" s="44">
        <f t="shared" si="2"/>
        <v>2.810567734682406E-3</v>
      </c>
      <c r="Z33" s="48">
        <v>4443</v>
      </c>
      <c r="AA33" s="46">
        <f t="shared" si="3"/>
        <v>5.6268287193337843</v>
      </c>
      <c r="AB33" s="49">
        <v>18</v>
      </c>
      <c r="AC33" s="44">
        <f t="shared" si="4"/>
        <v>1.9614253023864008E-3</v>
      </c>
      <c r="AD33" s="45">
        <v>4477</v>
      </c>
      <c r="AE33" s="46">
        <f t="shared" si="5"/>
        <v>4.0205494750949295</v>
      </c>
      <c r="AF33" s="50">
        <v>41</v>
      </c>
      <c r="AG33" s="44">
        <f t="shared" si="7"/>
        <v>5.028207014961982E-3</v>
      </c>
      <c r="AH33" s="45">
        <v>4563</v>
      </c>
      <c r="AI33" s="46">
        <f t="shared" si="8"/>
        <v>8.98531667762437</v>
      </c>
      <c r="AJ33" s="51">
        <v>26</v>
      </c>
      <c r="AK33" s="44">
        <f t="shared" si="9"/>
        <v>3.2406830362707215E-3</v>
      </c>
      <c r="AL33" s="52">
        <v>4351</v>
      </c>
      <c r="AM33" s="46">
        <f t="shared" si="10"/>
        <v>5.9756377844173754</v>
      </c>
      <c r="AN33" s="51">
        <v>37</v>
      </c>
      <c r="AO33" s="44">
        <f t="shared" si="6"/>
        <v>4.4794188861985475E-3</v>
      </c>
      <c r="AP33" s="52">
        <v>4400</v>
      </c>
      <c r="AQ33" s="46">
        <f t="shared" si="12"/>
        <v>8.4090909090909101</v>
      </c>
    </row>
    <row r="34" spans="1:43" x14ac:dyDescent="0.2">
      <c r="A34" s="42">
        <v>856</v>
      </c>
      <c r="B34" s="8">
        <v>22</v>
      </c>
      <c r="C34" s="30" t="s">
        <v>42</v>
      </c>
      <c r="D34" s="53">
        <v>0</v>
      </c>
      <c r="E34" s="54">
        <v>0</v>
      </c>
      <c r="F34" s="55">
        <v>312</v>
      </c>
      <c r="G34" s="56">
        <v>0</v>
      </c>
      <c r="H34" s="53">
        <v>4</v>
      </c>
      <c r="I34" s="54">
        <v>5.7553956834532373E-4</v>
      </c>
      <c r="J34" s="55">
        <v>307</v>
      </c>
      <c r="K34" s="56">
        <v>13.029315960912053</v>
      </c>
      <c r="L34" s="53">
        <v>0</v>
      </c>
      <c r="M34" s="54">
        <v>0</v>
      </c>
      <c r="N34" s="55">
        <v>345</v>
      </c>
      <c r="O34" s="56">
        <v>0</v>
      </c>
      <c r="P34" s="53">
        <v>5</v>
      </c>
      <c r="Q34" s="54">
        <v>5.8548009367681499E-4</v>
      </c>
      <c r="R34" s="55">
        <v>302</v>
      </c>
      <c r="S34" s="56">
        <v>16.556291390728479</v>
      </c>
      <c r="T34" s="53">
        <v>2</v>
      </c>
      <c r="U34" s="54">
        <f t="shared" si="0"/>
        <v>2.2706630336058128E-4</v>
      </c>
      <c r="V34" s="57">
        <v>298</v>
      </c>
      <c r="W34" s="56">
        <f t="shared" si="1"/>
        <v>6.7114093959731544</v>
      </c>
      <c r="X34" s="53">
        <v>5</v>
      </c>
      <c r="Y34" s="54">
        <f t="shared" si="2"/>
        <v>5.6211354693648118E-4</v>
      </c>
      <c r="Z34" s="58">
        <v>300</v>
      </c>
      <c r="AA34" s="56">
        <f t="shared" si="3"/>
        <v>16.666666666666668</v>
      </c>
      <c r="AB34" s="59">
        <v>8</v>
      </c>
      <c r="AC34" s="54">
        <f t="shared" si="4"/>
        <v>8.7174457883840031E-4</v>
      </c>
      <c r="AD34" s="55">
        <v>319</v>
      </c>
      <c r="AE34" s="56">
        <f t="shared" si="5"/>
        <v>25.078369905956112</v>
      </c>
      <c r="AF34" s="60">
        <v>6</v>
      </c>
      <c r="AG34" s="54">
        <f t="shared" si="7"/>
        <v>7.3583517292126564E-4</v>
      </c>
      <c r="AH34" s="55">
        <v>328</v>
      </c>
      <c r="AI34" s="56">
        <f t="shared" si="8"/>
        <v>18.292682926829269</v>
      </c>
      <c r="AJ34" s="36">
        <v>7</v>
      </c>
      <c r="AK34" s="54">
        <f t="shared" si="9"/>
        <v>8.7249158668827119E-4</v>
      </c>
      <c r="AL34" s="61">
        <v>305</v>
      </c>
      <c r="AM34" s="56">
        <f t="shared" si="10"/>
        <v>22.950819672131146</v>
      </c>
      <c r="AN34" s="36">
        <v>5</v>
      </c>
      <c r="AO34" s="54">
        <f t="shared" si="6"/>
        <v>6.0532687651331722E-4</v>
      </c>
      <c r="AP34" s="61">
        <v>317</v>
      </c>
      <c r="AQ34" s="56">
        <f t="shared" si="12"/>
        <v>15.772870662460567</v>
      </c>
    </row>
    <row r="35" spans="1:43" x14ac:dyDescent="0.2">
      <c r="A35" s="42">
        <v>865</v>
      </c>
      <c r="B35" s="8">
        <v>23</v>
      </c>
      <c r="C35" s="32" t="s">
        <v>43</v>
      </c>
      <c r="D35" s="53">
        <v>222</v>
      </c>
      <c r="E35" s="54">
        <v>3.1547534460707689E-2</v>
      </c>
      <c r="F35" s="55">
        <v>13177</v>
      </c>
      <c r="G35" s="56">
        <v>16.84753737573044</v>
      </c>
      <c r="H35" s="53">
        <v>239</v>
      </c>
      <c r="I35" s="54">
        <v>3.4388489208633091E-2</v>
      </c>
      <c r="J35" s="55">
        <v>13103</v>
      </c>
      <c r="K35" s="56">
        <v>18.240097687552471</v>
      </c>
      <c r="L35" s="53">
        <v>252</v>
      </c>
      <c r="M35" s="54">
        <v>3.3276112504951799E-2</v>
      </c>
      <c r="N35" s="55">
        <v>13359</v>
      </c>
      <c r="O35" s="56">
        <v>18.86368740175163</v>
      </c>
      <c r="P35" s="53">
        <v>288</v>
      </c>
      <c r="Q35" s="54">
        <v>3.3723653395784543E-2</v>
      </c>
      <c r="R35" s="55">
        <v>13273</v>
      </c>
      <c r="S35" s="56">
        <v>21.698184283884579</v>
      </c>
      <c r="T35" s="53">
        <v>359</v>
      </c>
      <c r="U35" s="54">
        <f t="shared" si="0"/>
        <v>4.075840145322434E-2</v>
      </c>
      <c r="V35" s="57">
        <v>13272</v>
      </c>
      <c r="W35" s="56">
        <f t="shared" si="1"/>
        <v>27.049427365883062</v>
      </c>
      <c r="X35" s="53">
        <v>309</v>
      </c>
      <c r="Y35" s="54">
        <f t="shared" si="2"/>
        <v>3.4738617200674539E-2</v>
      </c>
      <c r="Z35" s="58">
        <v>13083</v>
      </c>
      <c r="AA35" s="56">
        <f t="shared" si="3"/>
        <v>23.618436138500343</v>
      </c>
      <c r="AB35" s="59">
        <v>309</v>
      </c>
      <c r="AC35" s="54">
        <f t="shared" si="4"/>
        <v>3.3671134357633213E-2</v>
      </c>
      <c r="AD35" s="55">
        <v>13288</v>
      </c>
      <c r="AE35" s="56">
        <f t="shared" si="5"/>
        <v>23.254063816977723</v>
      </c>
      <c r="AF35" s="60">
        <v>284</v>
      </c>
      <c r="AG35" s="54">
        <f t="shared" si="7"/>
        <v>3.4829531518273241E-2</v>
      </c>
      <c r="AH35" s="55">
        <v>13241</v>
      </c>
      <c r="AI35" s="56">
        <f t="shared" si="8"/>
        <v>21.448531077713163</v>
      </c>
      <c r="AJ35" s="36">
        <v>211</v>
      </c>
      <c r="AK35" s="54">
        <f t="shared" si="9"/>
        <v>2.629938925588932E-2</v>
      </c>
      <c r="AL35" s="61">
        <v>13376</v>
      </c>
      <c r="AM35" s="56">
        <f t="shared" si="10"/>
        <v>15.774521531100479</v>
      </c>
      <c r="AN35" s="36">
        <v>264</v>
      </c>
      <c r="AO35" s="54">
        <f t="shared" si="6"/>
        <v>3.1961259079903145E-2</v>
      </c>
      <c r="AP35" s="61">
        <v>13779</v>
      </c>
      <c r="AQ35" s="56">
        <f t="shared" si="12"/>
        <v>19.159590681471805</v>
      </c>
    </row>
    <row r="36" spans="1:43" x14ac:dyDescent="0.2">
      <c r="A36" s="42">
        <v>1222</v>
      </c>
      <c r="B36" s="8">
        <v>38</v>
      </c>
      <c r="C36" s="30" t="s">
        <v>44</v>
      </c>
      <c r="D36" s="53">
        <v>4</v>
      </c>
      <c r="E36" s="54">
        <v>5.6842404433707545E-4</v>
      </c>
      <c r="F36" s="55">
        <v>473</v>
      </c>
      <c r="G36" s="56">
        <v>8.456659619450317</v>
      </c>
      <c r="H36" s="53">
        <v>4</v>
      </c>
      <c r="I36" s="54">
        <v>5.7553956834532373E-4</v>
      </c>
      <c r="J36" s="55">
        <v>454</v>
      </c>
      <c r="K36" s="56">
        <v>8.8105726872246706</v>
      </c>
      <c r="L36" s="53">
        <v>0</v>
      </c>
      <c r="M36" s="54">
        <v>0</v>
      </c>
      <c r="N36" s="55">
        <v>429</v>
      </c>
      <c r="O36" s="56">
        <v>0</v>
      </c>
      <c r="P36" s="53">
        <v>2</v>
      </c>
      <c r="Q36" s="54">
        <v>2.34192037470726E-4</v>
      </c>
      <c r="R36" s="55">
        <v>416</v>
      </c>
      <c r="S36" s="56">
        <v>4.8076923076923084</v>
      </c>
      <c r="T36" s="53">
        <v>2</v>
      </c>
      <c r="U36" s="54">
        <f t="shared" si="0"/>
        <v>2.2706630336058128E-4</v>
      </c>
      <c r="V36" s="57">
        <v>436</v>
      </c>
      <c r="W36" s="56">
        <f t="shared" si="1"/>
        <v>4.5871559633027523</v>
      </c>
      <c r="X36" s="53">
        <v>1</v>
      </c>
      <c r="Y36" s="54">
        <f t="shared" si="2"/>
        <v>1.1242270938729624E-4</v>
      </c>
      <c r="Z36" s="58">
        <v>431</v>
      </c>
      <c r="AA36" s="56">
        <f t="shared" si="3"/>
        <v>2.3201856148491879</v>
      </c>
      <c r="AB36" s="59">
        <v>9</v>
      </c>
      <c r="AC36" s="54">
        <f t="shared" si="4"/>
        <v>9.8071265119320039E-4</v>
      </c>
      <c r="AD36" s="55">
        <v>450</v>
      </c>
      <c r="AE36" s="56">
        <f t="shared" si="5"/>
        <v>20</v>
      </c>
      <c r="AF36" s="60">
        <v>8</v>
      </c>
      <c r="AG36" s="54">
        <f t="shared" si="7"/>
        <v>9.8111356389502078E-4</v>
      </c>
      <c r="AH36" s="55">
        <v>457</v>
      </c>
      <c r="AI36" s="56">
        <f t="shared" si="8"/>
        <v>17.505470459518598</v>
      </c>
      <c r="AJ36" s="36">
        <v>6</v>
      </c>
      <c r="AK36" s="54">
        <f t="shared" si="9"/>
        <v>7.4784993144708957E-4</v>
      </c>
      <c r="AL36" s="61">
        <v>484</v>
      </c>
      <c r="AM36" s="56">
        <f t="shared" si="10"/>
        <v>12.396694214876034</v>
      </c>
      <c r="AN36" s="36">
        <v>6</v>
      </c>
      <c r="AO36" s="54">
        <f t="shared" si="6"/>
        <v>7.2639225181598058E-4</v>
      </c>
      <c r="AP36" s="61">
        <v>491</v>
      </c>
      <c r="AQ36" s="56">
        <f t="shared" si="12"/>
        <v>12.219959266802444</v>
      </c>
    </row>
    <row r="37" spans="1:43" x14ac:dyDescent="0.2">
      <c r="A37" s="42">
        <v>870</v>
      </c>
      <c r="B37" s="8">
        <v>24</v>
      </c>
      <c r="C37" s="31" t="s">
        <v>68</v>
      </c>
      <c r="D37" s="63">
        <v>172</v>
      </c>
      <c r="E37" s="64">
        <v>2.4442233906494245E-2</v>
      </c>
      <c r="F37" s="65">
        <v>24382</v>
      </c>
      <c r="G37" s="66">
        <v>7.0543843819210901</v>
      </c>
      <c r="H37" s="63">
        <v>82</v>
      </c>
      <c r="I37" s="64">
        <v>1.1798561151079136E-2</v>
      </c>
      <c r="J37" s="65">
        <v>23966</v>
      </c>
      <c r="K37" s="66">
        <v>3.4215138112325794</v>
      </c>
      <c r="L37" s="63">
        <v>135</v>
      </c>
      <c r="M37" s="64">
        <v>1.7826488841938465E-2</v>
      </c>
      <c r="N37" s="65">
        <v>23595</v>
      </c>
      <c r="O37" s="66">
        <v>5.7215511760966304</v>
      </c>
      <c r="P37" s="63">
        <v>208</v>
      </c>
      <c r="Q37" s="64">
        <v>2.4355971896955503E-2</v>
      </c>
      <c r="R37" s="65">
        <v>23728</v>
      </c>
      <c r="S37" s="66">
        <v>8.7660148347943352</v>
      </c>
      <c r="T37" s="63">
        <v>179</v>
      </c>
      <c r="U37" s="64">
        <f t="shared" si="0"/>
        <v>2.0322434150772027E-2</v>
      </c>
      <c r="V37" s="67">
        <v>23894</v>
      </c>
      <c r="W37" s="66">
        <f t="shared" si="1"/>
        <v>7.4914204402778948</v>
      </c>
      <c r="X37" s="63">
        <v>194</v>
      </c>
      <c r="Y37" s="64">
        <f t="shared" si="2"/>
        <v>2.181000562113547E-2</v>
      </c>
      <c r="Z37" s="68">
        <v>23536</v>
      </c>
      <c r="AA37" s="66">
        <f t="shared" si="3"/>
        <v>8.2426920462270559</v>
      </c>
      <c r="AB37" s="69">
        <v>232</v>
      </c>
      <c r="AC37" s="64">
        <f t="shared" si="4"/>
        <v>2.5280592786313609E-2</v>
      </c>
      <c r="AD37" s="65">
        <v>23678</v>
      </c>
      <c r="AE37" s="66">
        <f t="shared" si="5"/>
        <v>9.7981248416251372</v>
      </c>
      <c r="AF37" s="70">
        <v>219</v>
      </c>
      <c r="AG37" s="64">
        <f t="shared" si="7"/>
        <v>2.6857983811626195E-2</v>
      </c>
      <c r="AH37" s="65">
        <v>23850</v>
      </c>
      <c r="AI37" s="66">
        <f t="shared" si="8"/>
        <v>9.1823899371069189</v>
      </c>
      <c r="AJ37" s="73">
        <v>219</v>
      </c>
      <c r="AK37" s="64">
        <f t="shared" si="9"/>
        <v>2.7296522497818772E-2</v>
      </c>
      <c r="AL37" s="72">
        <v>23960</v>
      </c>
      <c r="AM37" s="66">
        <f t="shared" si="10"/>
        <v>9.1402337228714536</v>
      </c>
      <c r="AN37" s="73">
        <v>248</v>
      </c>
      <c r="AO37" s="64">
        <f t="shared" si="6"/>
        <v>3.0024213075060532E-2</v>
      </c>
      <c r="AP37" s="72">
        <v>23919</v>
      </c>
      <c r="AQ37" s="66">
        <f t="shared" si="12"/>
        <v>10.368326435051632</v>
      </c>
    </row>
    <row r="38" spans="1:43" x14ac:dyDescent="0.2">
      <c r="A38" s="42">
        <v>1107</v>
      </c>
      <c r="B38" s="8">
        <v>36</v>
      </c>
      <c r="C38" s="29" t="s">
        <v>45</v>
      </c>
      <c r="D38" s="43">
        <v>35</v>
      </c>
      <c r="E38" s="44">
        <v>4.9737103879494106E-3</v>
      </c>
      <c r="F38" s="45">
        <v>2978</v>
      </c>
      <c r="G38" s="46">
        <v>11.752854264607119</v>
      </c>
      <c r="H38" s="43">
        <v>26</v>
      </c>
      <c r="I38" s="44">
        <v>3.7410071942446045E-3</v>
      </c>
      <c r="J38" s="45">
        <v>2979</v>
      </c>
      <c r="K38" s="46">
        <v>8.7277609936220202</v>
      </c>
      <c r="L38" s="43">
        <v>27</v>
      </c>
      <c r="M38" s="44">
        <v>3.5652977683876931E-3</v>
      </c>
      <c r="N38" s="45">
        <v>2957</v>
      </c>
      <c r="O38" s="46">
        <v>9.130875887724045</v>
      </c>
      <c r="P38" s="43">
        <v>28</v>
      </c>
      <c r="Q38" s="44">
        <v>3.2786885245901639E-3</v>
      </c>
      <c r="R38" s="45">
        <v>2908</v>
      </c>
      <c r="S38" s="46">
        <v>9.628610729023384</v>
      </c>
      <c r="T38" s="43">
        <v>48</v>
      </c>
      <c r="U38" s="44">
        <f t="shared" si="0"/>
        <v>5.4495912806539508E-3</v>
      </c>
      <c r="V38" s="47">
        <v>2871</v>
      </c>
      <c r="W38" s="46">
        <f t="shared" si="1"/>
        <v>16.718913270637412</v>
      </c>
      <c r="X38" s="43">
        <v>45</v>
      </c>
      <c r="Y38" s="44">
        <f t="shared" si="2"/>
        <v>5.0590219224283303E-3</v>
      </c>
      <c r="Z38" s="48">
        <v>2844</v>
      </c>
      <c r="AA38" s="46">
        <f t="shared" si="3"/>
        <v>15.822784810126583</v>
      </c>
      <c r="AB38" s="49">
        <v>45</v>
      </c>
      <c r="AC38" s="44">
        <f t="shared" si="4"/>
        <v>4.9035632559660015E-3</v>
      </c>
      <c r="AD38" s="45">
        <v>2889</v>
      </c>
      <c r="AE38" s="46">
        <f t="shared" si="5"/>
        <v>15.576323987538942</v>
      </c>
      <c r="AF38" s="50">
        <v>45</v>
      </c>
      <c r="AG38" s="44">
        <f t="shared" si="7"/>
        <v>5.5187637969094927E-3</v>
      </c>
      <c r="AH38" s="45">
        <v>2953</v>
      </c>
      <c r="AI38" s="46">
        <f t="shared" si="8"/>
        <v>15.238740264138166</v>
      </c>
      <c r="AJ38" s="51">
        <v>40</v>
      </c>
      <c r="AK38" s="44">
        <f t="shared" si="9"/>
        <v>4.9856662096472645E-3</v>
      </c>
      <c r="AL38" s="52">
        <v>2912</v>
      </c>
      <c r="AM38" s="46">
        <f t="shared" si="10"/>
        <v>13.736263736263735</v>
      </c>
      <c r="AN38" s="51">
        <v>38</v>
      </c>
      <c r="AO38" s="44">
        <f t="shared" si="6"/>
        <v>4.6004842615012106E-3</v>
      </c>
      <c r="AP38" s="52">
        <v>2922</v>
      </c>
      <c r="AQ38" s="46">
        <f t="shared" si="12"/>
        <v>13.004791238877482</v>
      </c>
    </row>
    <row r="39" spans="1:43" x14ac:dyDescent="0.2">
      <c r="A39" s="42">
        <v>880</v>
      </c>
      <c r="B39" s="8">
        <v>25</v>
      </c>
      <c r="C39" s="30" t="s">
        <v>46</v>
      </c>
      <c r="D39" s="53">
        <v>54</v>
      </c>
      <c r="E39" s="54">
        <v>7.6737245985505189E-3</v>
      </c>
      <c r="F39" s="55">
        <v>4370</v>
      </c>
      <c r="G39" s="56">
        <v>12.356979405034325</v>
      </c>
      <c r="H39" s="53">
        <v>63</v>
      </c>
      <c r="I39" s="54">
        <v>9.0647482014388492E-3</v>
      </c>
      <c r="J39" s="55">
        <v>4316</v>
      </c>
      <c r="K39" s="56">
        <v>14.596848934198333</v>
      </c>
      <c r="L39" s="53">
        <v>51</v>
      </c>
      <c r="M39" s="54">
        <v>6.7344513402878645E-3</v>
      </c>
      <c r="N39" s="55">
        <v>4305</v>
      </c>
      <c r="O39" s="56">
        <v>11.846689895470384</v>
      </c>
      <c r="P39" s="53">
        <v>56</v>
      </c>
      <c r="Q39" s="54">
        <v>6.5573770491803279E-3</v>
      </c>
      <c r="R39" s="55">
        <v>4288</v>
      </c>
      <c r="S39" s="56">
        <v>13.059701492537313</v>
      </c>
      <c r="T39" s="53">
        <v>61</v>
      </c>
      <c r="U39" s="54">
        <f t="shared" si="0"/>
        <v>6.9255222524977293E-3</v>
      </c>
      <c r="V39" s="57">
        <v>4374</v>
      </c>
      <c r="W39" s="56">
        <f t="shared" si="1"/>
        <v>13.946044810242341</v>
      </c>
      <c r="X39" s="53">
        <v>75</v>
      </c>
      <c r="Y39" s="54">
        <f t="shared" si="2"/>
        <v>8.4317032040472171E-3</v>
      </c>
      <c r="Z39" s="58">
        <v>4475</v>
      </c>
      <c r="AA39" s="56">
        <f t="shared" si="3"/>
        <v>16.759776536312849</v>
      </c>
      <c r="AB39" s="59">
        <v>73</v>
      </c>
      <c r="AC39" s="54">
        <f t="shared" si="4"/>
        <v>7.9546692819004033E-3</v>
      </c>
      <c r="AD39" s="55">
        <v>4511</v>
      </c>
      <c r="AE39" s="56">
        <f t="shared" si="5"/>
        <v>16.182664597650188</v>
      </c>
      <c r="AF39" s="60">
        <v>79</v>
      </c>
      <c r="AG39" s="54">
        <f t="shared" si="7"/>
        <v>9.6884964434633316E-3</v>
      </c>
      <c r="AH39" s="55">
        <v>4528</v>
      </c>
      <c r="AI39" s="56">
        <f t="shared" si="8"/>
        <v>17.446996466431095</v>
      </c>
      <c r="AJ39" s="36">
        <v>83</v>
      </c>
      <c r="AK39" s="54">
        <f t="shared" si="9"/>
        <v>1.0345257385018073E-2</v>
      </c>
      <c r="AL39" s="61">
        <v>4533</v>
      </c>
      <c r="AM39" s="56">
        <f t="shared" si="10"/>
        <v>18.310169865431284</v>
      </c>
      <c r="AN39" s="36">
        <v>57</v>
      </c>
      <c r="AO39" s="54">
        <f t="shared" si="6"/>
        <v>6.9007263922518164E-3</v>
      </c>
      <c r="AP39" s="61">
        <v>4546</v>
      </c>
      <c r="AQ39" s="56">
        <f t="shared" si="12"/>
        <v>12.538495380554332</v>
      </c>
    </row>
    <row r="40" spans="1:43" x14ac:dyDescent="0.2">
      <c r="A40" s="42">
        <v>900</v>
      </c>
      <c r="B40" s="8">
        <v>26</v>
      </c>
      <c r="C40" s="30" t="s">
        <v>47</v>
      </c>
      <c r="D40" s="53">
        <v>0</v>
      </c>
      <c r="E40" s="54">
        <v>0</v>
      </c>
      <c r="F40" s="55">
        <v>2792</v>
      </c>
      <c r="G40" s="56">
        <v>0</v>
      </c>
      <c r="H40" s="53">
        <v>0</v>
      </c>
      <c r="I40" s="54">
        <v>0</v>
      </c>
      <c r="J40" s="55">
        <v>2772</v>
      </c>
      <c r="K40" s="56">
        <v>0</v>
      </c>
      <c r="L40" s="53">
        <v>0</v>
      </c>
      <c r="M40" s="54">
        <v>0</v>
      </c>
      <c r="N40" s="55">
        <v>2739</v>
      </c>
      <c r="O40" s="56">
        <v>0</v>
      </c>
      <c r="P40" s="53">
        <v>27</v>
      </c>
      <c r="Q40" s="54">
        <v>3.1615925058548012E-3</v>
      </c>
      <c r="R40" s="55">
        <v>2764</v>
      </c>
      <c r="S40" s="56">
        <v>9.768451519536903</v>
      </c>
      <c r="T40" s="53">
        <v>44</v>
      </c>
      <c r="U40" s="54">
        <f t="shared" si="0"/>
        <v>4.9954586739327884E-3</v>
      </c>
      <c r="V40" s="57">
        <v>2855</v>
      </c>
      <c r="W40" s="56">
        <f t="shared" si="1"/>
        <v>15.411558669001753</v>
      </c>
      <c r="X40" s="53">
        <v>44</v>
      </c>
      <c r="Y40" s="54">
        <f t="shared" si="2"/>
        <v>4.9465992130410339E-3</v>
      </c>
      <c r="Z40" s="58">
        <v>2911</v>
      </c>
      <c r="AA40" s="56">
        <f t="shared" si="3"/>
        <v>15.115080728272071</v>
      </c>
      <c r="AB40" s="59">
        <v>52</v>
      </c>
      <c r="AC40" s="54">
        <f t="shared" si="4"/>
        <v>5.666339762449602E-3</v>
      </c>
      <c r="AD40" s="55">
        <v>2955</v>
      </c>
      <c r="AE40" s="56">
        <f t="shared" si="5"/>
        <v>17.597292724196276</v>
      </c>
      <c r="AF40" s="60">
        <v>66</v>
      </c>
      <c r="AG40" s="54">
        <f t="shared" si="7"/>
        <v>8.0941869021339229E-3</v>
      </c>
      <c r="AH40" s="55">
        <v>3025</v>
      </c>
      <c r="AI40" s="56">
        <f t="shared" si="8"/>
        <v>21.81818181818182</v>
      </c>
      <c r="AJ40" s="36">
        <v>68</v>
      </c>
      <c r="AK40" s="54">
        <f t="shared" si="9"/>
        <v>8.4756325564003497E-3</v>
      </c>
      <c r="AL40" s="61">
        <v>3038</v>
      </c>
      <c r="AM40" s="56">
        <f t="shared" si="10"/>
        <v>22.383146807109942</v>
      </c>
      <c r="AN40" s="36">
        <v>27</v>
      </c>
      <c r="AO40" s="54">
        <f t="shared" si="6"/>
        <v>3.268765133171913E-3</v>
      </c>
      <c r="AP40" s="61">
        <v>3124</v>
      </c>
      <c r="AQ40" s="56">
        <f t="shared" si="12"/>
        <v>8.6427656850192065</v>
      </c>
    </row>
    <row r="41" spans="1:43" x14ac:dyDescent="0.2">
      <c r="A41" s="42">
        <v>921</v>
      </c>
      <c r="B41" s="8">
        <v>27</v>
      </c>
      <c r="C41" s="30" t="s">
        <v>48</v>
      </c>
      <c r="D41" s="53">
        <v>20</v>
      </c>
      <c r="E41" s="54">
        <v>2.8421202216853771E-3</v>
      </c>
      <c r="F41" s="55">
        <v>1320</v>
      </c>
      <c r="G41" s="56">
        <v>15.151515151515152</v>
      </c>
      <c r="H41" s="53">
        <v>18</v>
      </c>
      <c r="I41" s="54">
        <v>2.5899280575539568E-3</v>
      </c>
      <c r="J41" s="55">
        <v>1312</v>
      </c>
      <c r="K41" s="56">
        <v>13.719512195121951</v>
      </c>
      <c r="L41" s="53">
        <v>33</v>
      </c>
      <c r="M41" s="54">
        <v>4.3575861613627358E-3</v>
      </c>
      <c r="N41" s="55">
        <v>1322</v>
      </c>
      <c r="O41" s="56">
        <v>24.962178517397884</v>
      </c>
      <c r="P41" s="53">
        <v>29</v>
      </c>
      <c r="Q41" s="54">
        <v>3.3957845433255271E-3</v>
      </c>
      <c r="R41" s="55">
        <v>1344</v>
      </c>
      <c r="S41" s="56">
        <v>21.577380952380953</v>
      </c>
      <c r="T41" s="53">
        <v>23</v>
      </c>
      <c r="U41" s="54">
        <f t="shared" si="0"/>
        <v>2.6112624886466848E-3</v>
      </c>
      <c r="V41" s="57">
        <v>1362</v>
      </c>
      <c r="W41" s="56">
        <f t="shared" si="1"/>
        <v>16.886930983847282</v>
      </c>
      <c r="X41" s="53">
        <v>32</v>
      </c>
      <c r="Y41" s="54">
        <f t="shared" si="2"/>
        <v>3.5975267003934795E-3</v>
      </c>
      <c r="Z41" s="58">
        <v>1374</v>
      </c>
      <c r="AA41" s="56">
        <f t="shared" si="3"/>
        <v>23.289665211062591</v>
      </c>
      <c r="AB41" s="59">
        <v>19</v>
      </c>
      <c r="AC41" s="54">
        <f t="shared" si="4"/>
        <v>2.070393374741201E-3</v>
      </c>
      <c r="AD41" s="55">
        <v>1427</v>
      </c>
      <c r="AE41" s="56">
        <f t="shared" si="5"/>
        <v>13.314646110721794</v>
      </c>
      <c r="AF41" s="60">
        <v>26</v>
      </c>
      <c r="AG41" s="54">
        <f t="shared" si="7"/>
        <v>3.1886190826588179E-3</v>
      </c>
      <c r="AH41" s="55">
        <v>1424</v>
      </c>
      <c r="AI41" s="56">
        <f t="shared" si="8"/>
        <v>18.258426966292134</v>
      </c>
      <c r="AJ41" s="36">
        <v>34</v>
      </c>
      <c r="AK41" s="54">
        <f t="shared" si="9"/>
        <v>4.2378162782001749E-3</v>
      </c>
      <c r="AL41" s="61">
        <v>1433</v>
      </c>
      <c r="AM41" s="56">
        <f t="shared" si="10"/>
        <v>23.726448011165388</v>
      </c>
      <c r="AN41" s="36">
        <v>25</v>
      </c>
      <c r="AO41" s="54">
        <f t="shared" si="6"/>
        <v>3.0266343825665859E-3</v>
      </c>
      <c r="AP41" s="61">
        <v>1457</v>
      </c>
      <c r="AQ41" s="56">
        <f t="shared" si="12"/>
        <v>17.158544955387786</v>
      </c>
    </row>
    <row r="42" spans="1:43" x14ac:dyDescent="0.2">
      <c r="A42" s="42">
        <v>930</v>
      </c>
      <c r="B42" s="8">
        <v>28</v>
      </c>
      <c r="C42" s="31" t="s">
        <v>49</v>
      </c>
      <c r="D42" s="63">
        <v>0</v>
      </c>
      <c r="E42" s="64">
        <v>0</v>
      </c>
      <c r="F42" s="65">
        <v>275</v>
      </c>
      <c r="G42" s="66">
        <v>0</v>
      </c>
      <c r="H42" s="63">
        <v>0</v>
      </c>
      <c r="I42" s="64">
        <v>0</v>
      </c>
      <c r="J42" s="65">
        <v>250</v>
      </c>
      <c r="K42" s="66">
        <v>0</v>
      </c>
      <c r="L42" s="63">
        <v>0</v>
      </c>
      <c r="M42" s="64">
        <v>0</v>
      </c>
      <c r="N42" s="65">
        <v>262</v>
      </c>
      <c r="O42" s="66">
        <v>0</v>
      </c>
      <c r="P42" s="63">
        <v>0</v>
      </c>
      <c r="Q42" s="64">
        <v>0</v>
      </c>
      <c r="R42" s="65">
        <v>274</v>
      </c>
      <c r="S42" s="66">
        <v>0</v>
      </c>
      <c r="T42" s="63">
        <v>0</v>
      </c>
      <c r="U42" s="64">
        <f t="shared" si="0"/>
        <v>0</v>
      </c>
      <c r="V42" s="67">
        <v>260</v>
      </c>
      <c r="W42" s="66">
        <f t="shared" si="1"/>
        <v>0</v>
      </c>
      <c r="X42" s="63">
        <v>0</v>
      </c>
      <c r="Y42" s="64">
        <f t="shared" si="2"/>
        <v>0</v>
      </c>
      <c r="Z42" s="68">
        <v>238</v>
      </c>
      <c r="AA42" s="66">
        <f t="shared" si="3"/>
        <v>0</v>
      </c>
      <c r="AB42" s="69">
        <v>1</v>
      </c>
      <c r="AC42" s="64">
        <f t="shared" si="4"/>
        <v>1.0896807235480004E-4</v>
      </c>
      <c r="AD42" s="65">
        <v>232</v>
      </c>
      <c r="AE42" s="66">
        <f t="shared" si="5"/>
        <v>4.3103448275862064</v>
      </c>
      <c r="AF42" s="70">
        <v>2</v>
      </c>
      <c r="AG42" s="64">
        <f t="shared" si="7"/>
        <v>2.4527839097375519E-4</v>
      </c>
      <c r="AH42" s="65">
        <v>233</v>
      </c>
      <c r="AI42" s="66">
        <f t="shared" si="8"/>
        <v>8.5836909871244629</v>
      </c>
      <c r="AJ42" s="71">
        <v>0</v>
      </c>
      <c r="AK42" s="64">
        <f t="shared" si="9"/>
        <v>0</v>
      </c>
      <c r="AL42" s="72">
        <v>220</v>
      </c>
      <c r="AM42" s="66">
        <f t="shared" si="10"/>
        <v>0</v>
      </c>
      <c r="AN42" s="71">
        <v>1</v>
      </c>
      <c r="AO42" s="64">
        <f t="shared" si="6"/>
        <v>1.2106537530266344E-4</v>
      </c>
      <c r="AP42" s="72">
        <v>210</v>
      </c>
      <c r="AQ42" s="66">
        <f t="shared" si="12"/>
        <v>4.7619047619047628</v>
      </c>
    </row>
    <row r="43" spans="1:43" x14ac:dyDescent="0.2">
      <c r="A43" s="42">
        <v>940</v>
      </c>
      <c r="B43" s="8">
        <v>29</v>
      </c>
      <c r="C43" s="29" t="s">
        <v>50</v>
      </c>
      <c r="D43" s="43">
        <v>253</v>
      </c>
      <c r="E43" s="44">
        <v>3.5952820804320024E-2</v>
      </c>
      <c r="F43" s="45">
        <v>10034</v>
      </c>
      <c r="G43" s="46">
        <v>25.214271476978272</v>
      </c>
      <c r="H43" s="43">
        <v>277</v>
      </c>
      <c r="I43" s="44">
        <v>3.9856115107913669E-2</v>
      </c>
      <c r="J43" s="45">
        <v>10508</v>
      </c>
      <c r="K43" s="46">
        <v>26.360867910163684</v>
      </c>
      <c r="L43" s="43">
        <v>296</v>
      </c>
      <c r="M43" s="44">
        <v>3.9086227386768785E-2</v>
      </c>
      <c r="N43" s="45">
        <v>11039</v>
      </c>
      <c r="O43" s="46">
        <v>26.814023009330555</v>
      </c>
      <c r="P43" s="43">
        <v>257</v>
      </c>
      <c r="Q43" s="44">
        <v>3.0093676814988292E-2</v>
      </c>
      <c r="R43" s="45">
        <v>11793</v>
      </c>
      <c r="S43" s="46">
        <v>21.792588823878571</v>
      </c>
      <c r="T43" s="43">
        <v>323</v>
      </c>
      <c r="U43" s="44">
        <f t="shared" si="0"/>
        <v>3.6671207992733879E-2</v>
      </c>
      <c r="V43" s="47">
        <v>12507</v>
      </c>
      <c r="W43" s="46">
        <f t="shared" si="1"/>
        <v>25.825537698888624</v>
      </c>
      <c r="X43" s="43">
        <v>344</v>
      </c>
      <c r="Y43" s="44">
        <f t="shared" si="2"/>
        <v>3.8673412029229907E-2</v>
      </c>
      <c r="Z43" s="48">
        <v>12988</v>
      </c>
      <c r="AA43" s="46">
        <f t="shared" si="3"/>
        <v>26.48598706498306</v>
      </c>
      <c r="AB43" s="49">
        <v>286</v>
      </c>
      <c r="AC43" s="44">
        <f t="shared" si="4"/>
        <v>3.1164868693472812E-2</v>
      </c>
      <c r="AD43" s="45">
        <v>13406</v>
      </c>
      <c r="AE43" s="46">
        <f t="shared" si="5"/>
        <v>21.333731165149935</v>
      </c>
      <c r="AF43" s="50">
        <v>253</v>
      </c>
      <c r="AG43" s="44">
        <f t="shared" si="7"/>
        <v>3.1027716458180036E-2</v>
      </c>
      <c r="AH43" s="45">
        <v>13180</v>
      </c>
      <c r="AI43" s="46">
        <f t="shared" si="8"/>
        <v>19.195751138088013</v>
      </c>
      <c r="AJ43" s="51">
        <v>262</v>
      </c>
      <c r="AK43" s="44">
        <f t="shared" si="9"/>
        <v>3.2656113673189581E-2</v>
      </c>
      <c r="AL43" s="52">
        <v>13439</v>
      </c>
      <c r="AM43" s="46">
        <f t="shared" si="10"/>
        <v>19.495498176947688</v>
      </c>
      <c r="AN43" s="51">
        <v>359</v>
      </c>
      <c r="AO43" s="44">
        <f t="shared" si="6"/>
        <v>4.3462469733656174E-2</v>
      </c>
      <c r="AP43" s="52">
        <v>13675</v>
      </c>
      <c r="AQ43" s="46">
        <f t="shared" si="12"/>
        <v>26.252285191956126</v>
      </c>
    </row>
    <row r="44" spans="1:43" x14ac:dyDescent="0.2">
      <c r="A44" s="42">
        <v>947</v>
      </c>
      <c r="B44" s="8">
        <v>30</v>
      </c>
      <c r="C44" s="30" t="s">
        <v>51</v>
      </c>
      <c r="D44" s="53">
        <v>214</v>
      </c>
      <c r="E44" s="54">
        <v>3.0410686372033539E-2</v>
      </c>
      <c r="F44" s="55">
        <v>5682</v>
      </c>
      <c r="G44" s="56">
        <v>37.6627947905667</v>
      </c>
      <c r="H44" s="53">
        <v>204</v>
      </c>
      <c r="I44" s="54">
        <v>2.9352517985611511E-2</v>
      </c>
      <c r="J44" s="55">
        <v>5607</v>
      </c>
      <c r="K44" s="56">
        <v>36.383092562867844</v>
      </c>
      <c r="L44" s="53">
        <v>227</v>
      </c>
      <c r="M44" s="54">
        <v>2.9974910867555792E-2</v>
      </c>
      <c r="N44" s="55">
        <v>5642</v>
      </c>
      <c r="O44" s="56">
        <v>40.233959588798299</v>
      </c>
      <c r="P44" s="53">
        <v>217</v>
      </c>
      <c r="Q44" s="54">
        <v>2.540983606557377E-2</v>
      </c>
      <c r="R44" s="55">
        <v>5539</v>
      </c>
      <c r="S44" s="56">
        <v>39.176746705181436</v>
      </c>
      <c r="T44" s="53">
        <v>232</v>
      </c>
      <c r="U44" s="54">
        <f t="shared" si="0"/>
        <v>2.633969118982743E-2</v>
      </c>
      <c r="V44" s="57">
        <v>5772</v>
      </c>
      <c r="W44" s="56">
        <f t="shared" si="1"/>
        <v>40.194040194040191</v>
      </c>
      <c r="X44" s="53">
        <v>203</v>
      </c>
      <c r="Y44" s="54">
        <f t="shared" si="2"/>
        <v>2.2821810005621137E-2</v>
      </c>
      <c r="Z44" s="58">
        <v>5952</v>
      </c>
      <c r="AA44" s="56">
        <f t="shared" si="3"/>
        <v>34.106182795698921</v>
      </c>
      <c r="AB44" s="59">
        <v>192</v>
      </c>
      <c r="AC44" s="54">
        <f t="shared" si="4"/>
        <v>2.0921869892121608E-2</v>
      </c>
      <c r="AD44" s="55">
        <v>6408</v>
      </c>
      <c r="AE44" s="56">
        <f t="shared" si="5"/>
        <v>29.962546816479399</v>
      </c>
      <c r="AF44" s="60">
        <v>169</v>
      </c>
      <c r="AG44" s="54">
        <f t="shared" si="7"/>
        <v>2.0726024037282315E-2</v>
      </c>
      <c r="AH44" s="55">
        <v>6489</v>
      </c>
      <c r="AI44" s="56">
        <f t="shared" si="8"/>
        <v>26.044074587763909</v>
      </c>
      <c r="AJ44" s="36">
        <v>198</v>
      </c>
      <c r="AK44" s="54">
        <f t="shared" si="9"/>
        <v>2.4679047737753958E-2</v>
      </c>
      <c r="AL44" s="61">
        <v>6683</v>
      </c>
      <c r="AM44" s="56">
        <f t="shared" si="10"/>
        <v>29.627412838545563</v>
      </c>
      <c r="AN44" s="36">
        <v>194</v>
      </c>
      <c r="AO44" s="54">
        <f t="shared" si="6"/>
        <v>2.3486682808716706E-2</v>
      </c>
      <c r="AP44" s="61">
        <v>6993</v>
      </c>
      <c r="AQ44" s="56">
        <f t="shared" si="12"/>
        <v>27.742027742027741</v>
      </c>
    </row>
    <row r="45" spans="1:43" x14ac:dyDescent="0.2">
      <c r="A45" s="42">
        <v>972</v>
      </c>
      <c r="B45" s="8">
        <v>31</v>
      </c>
      <c r="C45" s="32" t="s">
        <v>52</v>
      </c>
      <c r="D45" s="53">
        <v>56</v>
      </c>
      <c r="E45" s="54">
        <v>7.9579366207190565E-3</v>
      </c>
      <c r="F45" s="55">
        <v>3916</v>
      </c>
      <c r="G45" s="56">
        <v>14.300306435137896</v>
      </c>
      <c r="H45" s="53">
        <v>56</v>
      </c>
      <c r="I45" s="54">
        <v>8.057553956834532E-3</v>
      </c>
      <c r="J45" s="55">
        <v>4022</v>
      </c>
      <c r="K45" s="56">
        <v>13.923421183490801</v>
      </c>
      <c r="L45" s="53">
        <v>58</v>
      </c>
      <c r="M45" s="54">
        <v>7.6587877987587486E-3</v>
      </c>
      <c r="N45" s="55">
        <v>4136</v>
      </c>
      <c r="O45" s="56">
        <v>14.023210831721471</v>
      </c>
      <c r="P45" s="53">
        <v>58</v>
      </c>
      <c r="Q45" s="54">
        <v>6.7915690866510543E-3</v>
      </c>
      <c r="R45" s="55">
        <v>4303</v>
      </c>
      <c r="S45" s="56">
        <v>13.478968161747618</v>
      </c>
      <c r="T45" s="53">
        <v>61</v>
      </c>
      <c r="U45" s="54">
        <f t="shared" si="0"/>
        <v>6.9255222524977293E-3</v>
      </c>
      <c r="V45" s="57">
        <v>4398</v>
      </c>
      <c r="W45" s="56">
        <f t="shared" si="1"/>
        <v>13.869940882219192</v>
      </c>
      <c r="X45" s="53">
        <v>68</v>
      </c>
      <c r="Y45" s="54">
        <f t="shared" si="2"/>
        <v>7.6447442383361435E-3</v>
      </c>
      <c r="Z45" s="58">
        <v>4588</v>
      </c>
      <c r="AA45" s="56">
        <f t="shared" si="3"/>
        <v>14.821272885789014</v>
      </c>
      <c r="AB45" s="59">
        <v>63</v>
      </c>
      <c r="AC45" s="54">
        <f t="shared" si="4"/>
        <v>6.8649885583524023E-3</v>
      </c>
      <c r="AD45" s="55">
        <v>4745</v>
      </c>
      <c r="AE45" s="56">
        <f t="shared" si="5"/>
        <v>13.277133825079032</v>
      </c>
      <c r="AF45" s="60">
        <v>61</v>
      </c>
      <c r="AG45" s="54">
        <f t="shared" si="7"/>
        <v>7.4809909246995338E-3</v>
      </c>
      <c r="AH45" s="55">
        <v>4959</v>
      </c>
      <c r="AI45" s="56">
        <f t="shared" si="8"/>
        <v>12.300867110304496</v>
      </c>
      <c r="AJ45" s="36">
        <v>80</v>
      </c>
      <c r="AK45" s="54">
        <f t="shared" si="9"/>
        <v>9.9713324192945291E-3</v>
      </c>
      <c r="AL45" s="61">
        <v>5089</v>
      </c>
      <c r="AM45" s="56">
        <f t="shared" si="10"/>
        <v>15.720180782078996</v>
      </c>
      <c r="AN45" s="36">
        <v>47</v>
      </c>
      <c r="AO45" s="54">
        <f t="shared" si="6"/>
        <v>5.6900726392251815E-3</v>
      </c>
      <c r="AP45" s="61">
        <v>5253</v>
      </c>
      <c r="AQ45" s="56">
        <f t="shared" si="12"/>
        <v>8.9472682276794213</v>
      </c>
    </row>
    <row r="46" spans="1:43" x14ac:dyDescent="0.2">
      <c r="A46" s="42">
        <v>992</v>
      </c>
      <c r="B46" s="8">
        <v>32</v>
      </c>
      <c r="C46" s="30" t="s">
        <v>53</v>
      </c>
      <c r="D46" s="53">
        <v>319</v>
      </c>
      <c r="E46" s="54">
        <v>4.5331817535881766E-2</v>
      </c>
      <c r="F46" s="55">
        <v>19617</v>
      </c>
      <c r="G46" s="56">
        <v>16.261405923433756</v>
      </c>
      <c r="H46" s="53">
        <v>342</v>
      </c>
      <c r="I46" s="54">
        <v>4.9208633093525182E-2</v>
      </c>
      <c r="J46" s="55">
        <v>20317</v>
      </c>
      <c r="K46" s="56">
        <v>16.833193877048778</v>
      </c>
      <c r="L46" s="53">
        <v>350</v>
      </c>
      <c r="M46" s="54">
        <v>4.6216822923544169E-2</v>
      </c>
      <c r="N46" s="55">
        <v>21584</v>
      </c>
      <c r="O46" s="56">
        <v>16.215715344699777</v>
      </c>
      <c r="P46" s="53">
        <v>496</v>
      </c>
      <c r="Q46" s="54">
        <v>5.807962529274005E-2</v>
      </c>
      <c r="R46" s="55">
        <v>23189</v>
      </c>
      <c r="S46" s="56">
        <v>21.389451895295181</v>
      </c>
      <c r="T46" s="53">
        <v>466</v>
      </c>
      <c r="U46" s="54">
        <f t="shared" si="0"/>
        <v>5.2906448683015438E-2</v>
      </c>
      <c r="V46" s="57">
        <v>24297</v>
      </c>
      <c r="W46" s="56">
        <f t="shared" si="1"/>
        <v>19.179322550109067</v>
      </c>
      <c r="X46" s="53">
        <v>353</v>
      </c>
      <c r="Y46" s="54">
        <f t="shared" si="2"/>
        <v>3.9685216413715571E-2</v>
      </c>
      <c r="Z46" s="58">
        <v>25295</v>
      </c>
      <c r="AA46" s="56">
        <f t="shared" si="3"/>
        <v>13.955327139750938</v>
      </c>
      <c r="AB46" s="59">
        <v>1018</v>
      </c>
      <c r="AC46" s="54">
        <f t="shared" si="4"/>
        <v>0.11092949765718645</v>
      </c>
      <c r="AD46" s="55">
        <v>25775</v>
      </c>
      <c r="AE46" s="56">
        <f t="shared" si="5"/>
        <v>39.495635305528609</v>
      </c>
      <c r="AF46" s="60">
        <v>286</v>
      </c>
      <c r="AG46" s="54">
        <f t="shared" si="7"/>
        <v>3.5074809909246996E-2</v>
      </c>
      <c r="AH46" s="55">
        <v>25202</v>
      </c>
      <c r="AI46" s="56">
        <f t="shared" si="8"/>
        <v>11.348305690024601</v>
      </c>
      <c r="AJ46" s="36">
        <v>423</v>
      </c>
      <c r="AK46" s="54">
        <f t="shared" si="9"/>
        <v>5.2723420167019815E-2</v>
      </c>
      <c r="AL46" s="61">
        <v>25671</v>
      </c>
      <c r="AM46" s="56">
        <f t="shared" si="10"/>
        <v>16.477737524833472</v>
      </c>
      <c r="AN46" s="36">
        <v>264</v>
      </c>
      <c r="AO46" s="54">
        <f t="shared" si="6"/>
        <v>3.1961259079903145E-2</v>
      </c>
      <c r="AP46" s="61">
        <v>26206</v>
      </c>
      <c r="AQ46" s="56">
        <f t="shared" si="12"/>
        <v>10.074028848355338</v>
      </c>
    </row>
    <row r="47" spans="1:43" x14ac:dyDescent="0.2">
      <c r="A47" s="42">
        <v>1002</v>
      </c>
      <c r="B47" s="8">
        <v>33</v>
      </c>
      <c r="C47" s="30" t="s">
        <v>54</v>
      </c>
      <c r="D47" s="53">
        <v>6</v>
      </c>
      <c r="E47" s="54">
        <v>8.5263606650561323E-4</v>
      </c>
      <c r="F47" s="55">
        <v>520</v>
      </c>
      <c r="G47" s="56">
        <v>11.538461538461538</v>
      </c>
      <c r="H47" s="53">
        <v>4</v>
      </c>
      <c r="I47" s="54">
        <v>5.7553956834532373E-4</v>
      </c>
      <c r="J47" s="55">
        <v>518</v>
      </c>
      <c r="K47" s="56">
        <v>7.7220077220077226</v>
      </c>
      <c r="L47" s="53">
        <v>5</v>
      </c>
      <c r="M47" s="54">
        <v>6.6024032747920248E-4</v>
      </c>
      <c r="N47" s="55">
        <v>517</v>
      </c>
      <c r="O47" s="56">
        <v>9.6711798839458414</v>
      </c>
      <c r="P47" s="53">
        <v>15</v>
      </c>
      <c r="Q47" s="54">
        <v>1.756440281030445E-3</v>
      </c>
      <c r="R47" s="55">
        <v>514</v>
      </c>
      <c r="S47" s="56">
        <v>29.182879377431906</v>
      </c>
      <c r="T47" s="53">
        <v>12</v>
      </c>
      <c r="U47" s="54">
        <f t="shared" si="0"/>
        <v>1.3623978201634877E-3</v>
      </c>
      <c r="V47" s="57">
        <v>531</v>
      </c>
      <c r="W47" s="56">
        <f t="shared" si="1"/>
        <v>22.598870056497177</v>
      </c>
      <c r="X47" s="53">
        <v>8</v>
      </c>
      <c r="Y47" s="54">
        <f t="shared" si="2"/>
        <v>8.9938167509836988E-4</v>
      </c>
      <c r="Z47" s="58">
        <v>548</v>
      </c>
      <c r="AA47" s="56">
        <f t="shared" si="3"/>
        <v>14.598540145985401</v>
      </c>
      <c r="AB47" s="59">
        <v>7</v>
      </c>
      <c r="AC47" s="54">
        <f t="shared" si="4"/>
        <v>7.6277650648360034E-4</v>
      </c>
      <c r="AD47" s="55">
        <v>531</v>
      </c>
      <c r="AE47" s="56">
        <f t="shared" si="5"/>
        <v>13.182674199623353</v>
      </c>
      <c r="AF47" s="60">
        <v>3</v>
      </c>
      <c r="AG47" s="54">
        <f t="shared" si="7"/>
        <v>3.6791758646063282E-4</v>
      </c>
      <c r="AH47" s="55">
        <v>561</v>
      </c>
      <c r="AI47" s="56">
        <f t="shared" si="8"/>
        <v>5.3475935828877006</v>
      </c>
      <c r="AJ47" s="36">
        <v>12</v>
      </c>
      <c r="AK47" s="54">
        <f t="shared" si="9"/>
        <v>1.4956998628941791E-3</v>
      </c>
      <c r="AL47" s="61">
        <v>567</v>
      </c>
      <c r="AM47" s="56">
        <f t="shared" si="10"/>
        <v>21.164021164021165</v>
      </c>
      <c r="AN47" s="36">
        <v>11</v>
      </c>
      <c r="AO47" s="54">
        <f t="shared" si="6"/>
        <v>1.3317191283292978E-3</v>
      </c>
      <c r="AP47" s="61">
        <v>539</v>
      </c>
      <c r="AQ47" s="56">
        <f t="shared" si="12"/>
        <v>20.408163265306122</v>
      </c>
    </row>
    <row r="48" spans="1:43" x14ac:dyDescent="0.2">
      <c r="A48" s="42">
        <v>1042</v>
      </c>
      <c r="B48" s="8">
        <v>34</v>
      </c>
      <c r="C48" s="30" t="s">
        <v>55</v>
      </c>
      <c r="D48" s="53">
        <v>419</v>
      </c>
      <c r="E48" s="54">
        <v>5.9542418644308655E-2</v>
      </c>
      <c r="F48" s="55">
        <v>28315</v>
      </c>
      <c r="G48" s="56">
        <v>14.797810347872153</v>
      </c>
      <c r="H48" s="53">
        <v>381</v>
      </c>
      <c r="I48" s="54">
        <v>5.4820143884892085E-2</v>
      </c>
      <c r="J48" s="55">
        <v>28196</v>
      </c>
      <c r="K48" s="56">
        <v>13.512554972336501</v>
      </c>
      <c r="L48" s="53">
        <v>405</v>
      </c>
      <c r="M48" s="54">
        <v>5.3479466525815395E-2</v>
      </c>
      <c r="N48" s="55">
        <v>28527</v>
      </c>
      <c r="O48" s="56">
        <v>14.197076453885792</v>
      </c>
      <c r="P48" s="53">
        <v>433</v>
      </c>
      <c r="Q48" s="54">
        <v>5.0702576112412176E-2</v>
      </c>
      <c r="R48" s="55">
        <v>28774</v>
      </c>
      <c r="S48" s="56">
        <v>15.048307499826233</v>
      </c>
      <c r="T48" s="53">
        <v>540</v>
      </c>
      <c r="U48" s="54">
        <f t="shared" si="0"/>
        <v>6.1307901907356951E-2</v>
      </c>
      <c r="V48" s="57">
        <v>29132</v>
      </c>
      <c r="W48" s="56">
        <f t="shared" si="1"/>
        <v>18.536317451599615</v>
      </c>
      <c r="X48" s="53">
        <v>510</v>
      </c>
      <c r="Y48" s="54">
        <f t="shared" si="2"/>
        <v>5.733558178752108E-2</v>
      </c>
      <c r="Z48" s="58">
        <v>30097</v>
      </c>
      <c r="AA48" s="56">
        <f t="shared" si="3"/>
        <v>16.945210486094958</v>
      </c>
      <c r="AB48" s="59">
        <v>411</v>
      </c>
      <c r="AC48" s="54">
        <f t="shared" si="4"/>
        <v>4.4785877737822818E-2</v>
      </c>
      <c r="AD48" s="55">
        <v>29879</v>
      </c>
      <c r="AE48" s="56">
        <f t="shared" si="5"/>
        <v>13.755480437765653</v>
      </c>
      <c r="AF48" s="60">
        <v>418</v>
      </c>
      <c r="AG48" s="54">
        <f t="shared" si="7"/>
        <v>5.1263183713514841E-2</v>
      </c>
      <c r="AH48" s="65">
        <v>30417</v>
      </c>
      <c r="AI48" s="56">
        <f t="shared" si="8"/>
        <v>13.742315152710654</v>
      </c>
      <c r="AJ48" s="36">
        <v>418</v>
      </c>
      <c r="AK48" s="54">
        <f t="shared" si="9"/>
        <v>5.2100211890813909E-2</v>
      </c>
      <c r="AL48" s="72">
        <v>30347</v>
      </c>
      <c r="AM48" s="56">
        <f t="shared" si="10"/>
        <v>13.774013905822651</v>
      </c>
      <c r="AN48" s="36">
        <v>366</v>
      </c>
      <c r="AO48" s="54">
        <f t="shared" si="6"/>
        <v>4.4309927360774819E-2</v>
      </c>
      <c r="AP48" s="72">
        <v>30423</v>
      </c>
      <c r="AQ48" s="56">
        <f t="shared" si="12"/>
        <v>12.030371758209251</v>
      </c>
    </row>
    <row r="49" spans="1:43" ht="13.5" thickBot="1" x14ac:dyDescent="0.25">
      <c r="A49" s="42">
        <v>1050</v>
      </c>
      <c r="B49" s="8">
        <v>35</v>
      </c>
      <c r="C49" s="33" t="s">
        <v>56</v>
      </c>
      <c r="D49" s="74">
        <v>7037</v>
      </c>
      <c r="E49" s="75">
        <v>1</v>
      </c>
      <c r="F49" s="76">
        <v>479617</v>
      </c>
      <c r="G49" s="77">
        <v>14.672123798781112</v>
      </c>
      <c r="H49" s="74">
        <v>6950</v>
      </c>
      <c r="I49" s="75">
        <v>1</v>
      </c>
      <c r="J49" s="76">
        <v>483685</v>
      </c>
      <c r="K49" s="77">
        <v>14.368855763565129</v>
      </c>
      <c r="L49" s="74">
        <v>7573</v>
      </c>
      <c r="M49" s="75">
        <v>1</v>
      </c>
      <c r="N49" s="76">
        <v>489445</v>
      </c>
      <c r="O49" s="77">
        <v>15.472627159333532</v>
      </c>
      <c r="P49" s="74">
        <v>8540</v>
      </c>
      <c r="Q49" s="75">
        <v>1</v>
      </c>
      <c r="R49" s="76">
        <v>498484</v>
      </c>
      <c r="S49" s="77">
        <v>17.131944054372859</v>
      </c>
      <c r="T49" s="74">
        <f>SUM(T8:T48)</f>
        <v>8808</v>
      </c>
      <c r="U49" s="75">
        <v>1</v>
      </c>
      <c r="V49" s="76">
        <f>SUM(V8:V48)</f>
        <v>504792</v>
      </c>
      <c r="W49" s="77">
        <f t="shared" si="1"/>
        <v>17.448770978937858</v>
      </c>
      <c r="X49" s="74">
        <f>SUM(X8:X48)</f>
        <v>8895</v>
      </c>
      <c r="Y49" s="75">
        <v>1</v>
      </c>
      <c r="Z49" s="76">
        <f>SUM(Z8:Z48)</f>
        <v>515457</v>
      </c>
      <c r="AA49" s="77">
        <f>(X49/Z49)*1000</f>
        <v>17.256531582653839</v>
      </c>
      <c r="AB49" s="74">
        <f>SUM(AB8:AB48)</f>
        <v>9177</v>
      </c>
      <c r="AC49" s="75">
        <v>1</v>
      </c>
      <c r="AD49" s="76">
        <f>SUM(AD8:AD48)</f>
        <v>523644</v>
      </c>
      <c r="AE49" s="77">
        <f t="shared" si="5"/>
        <v>17.525265256548344</v>
      </c>
      <c r="AF49" s="78">
        <f>SUM(AF8:AF48)</f>
        <v>8154</v>
      </c>
      <c r="AG49" s="75">
        <f t="shared" si="7"/>
        <v>1</v>
      </c>
      <c r="AH49" s="79">
        <f>SUM(AH8:AH48)</f>
        <v>529107</v>
      </c>
      <c r="AI49" s="80">
        <f t="shared" si="8"/>
        <v>15.410871525041248</v>
      </c>
      <c r="AJ49" s="78">
        <f>SUM(AJ8:AJ48)</f>
        <v>8023</v>
      </c>
      <c r="AK49" s="75">
        <f>AJ49/AJ$49</f>
        <v>1</v>
      </c>
      <c r="AL49" s="79">
        <f>SUM(AL8:AL48)</f>
        <v>536214</v>
      </c>
      <c r="AM49" s="80">
        <f>(AJ49/AL49)*1000</f>
        <v>14.962309824062782</v>
      </c>
      <c r="AN49" s="78">
        <f>SUM(AN8:AN48)</f>
        <v>8260</v>
      </c>
      <c r="AO49" s="75">
        <f t="shared" si="6"/>
        <v>1</v>
      </c>
      <c r="AP49" s="79">
        <f>SUM(AP8:AP48)</f>
        <v>542853</v>
      </c>
      <c r="AQ49" s="80">
        <f t="shared" si="12"/>
        <v>15.215905595069016</v>
      </c>
    </row>
    <row r="51" spans="1:43" x14ac:dyDescent="0.2">
      <c r="C51" s="42"/>
      <c r="D51" s="42"/>
      <c r="E51" s="42"/>
      <c r="F51" s="42"/>
      <c r="G51" s="42"/>
      <c r="H51" s="42"/>
      <c r="I51" s="42"/>
      <c r="J51" s="42"/>
      <c r="K51" s="42"/>
      <c r="L51" s="42" t="s">
        <v>65</v>
      </c>
      <c r="M51" s="42"/>
      <c r="N51" s="42"/>
      <c r="O51" s="42"/>
      <c r="P51" s="42"/>
      <c r="Q51" s="42"/>
      <c r="R51" s="42"/>
      <c r="S51" s="81"/>
      <c r="T51" s="57"/>
      <c r="U51" s="42"/>
      <c r="V51" s="42"/>
      <c r="W51" s="42"/>
      <c r="X51" s="42"/>
      <c r="Y51" s="42"/>
      <c r="Z51" s="42"/>
      <c r="AA51" s="42"/>
      <c r="AB51" s="42"/>
      <c r="AC51" s="42"/>
      <c r="AD51" s="42"/>
      <c r="AE51" s="42"/>
      <c r="AF51" s="82"/>
      <c r="AG51" s="42"/>
      <c r="AH51" s="42"/>
      <c r="AI51" s="42"/>
      <c r="AK51" s="42"/>
      <c r="AM51" s="42"/>
      <c r="AN51" s="42"/>
      <c r="AO51" s="42"/>
    </row>
    <row r="52" spans="1:43" s="42" customFormat="1" x14ac:dyDescent="0.2">
      <c r="C52" s="34"/>
      <c r="D52" s="12" t="s">
        <v>57</v>
      </c>
      <c r="E52" s="34"/>
      <c r="F52" s="34"/>
      <c r="G52" s="34"/>
      <c r="H52" s="34"/>
      <c r="I52" s="34"/>
      <c r="J52" s="34"/>
      <c r="K52" s="34"/>
      <c r="L52" s="34"/>
      <c r="M52" s="34"/>
      <c r="N52" s="34"/>
      <c r="O52" s="34"/>
      <c r="P52" s="34"/>
      <c r="Q52" s="34"/>
      <c r="R52" s="34"/>
      <c r="S52" s="83"/>
      <c r="T52" s="58"/>
      <c r="U52" s="34"/>
      <c r="V52" s="34"/>
      <c r="W52" s="34"/>
      <c r="X52" s="34"/>
      <c r="Y52" s="34"/>
      <c r="Z52" s="34"/>
      <c r="AA52" s="34"/>
      <c r="AB52" s="34"/>
      <c r="AC52" s="34"/>
      <c r="AD52" s="34"/>
      <c r="AE52" s="34"/>
      <c r="AF52" s="35"/>
      <c r="AG52" s="34"/>
      <c r="AH52" s="34"/>
      <c r="AI52" s="34"/>
      <c r="AK52" s="34"/>
      <c r="AM52" s="34"/>
      <c r="AN52" s="34"/>
      <c r="AO52" s="34"/>
    </row>
    <row r="53" spans="1:43" x14ac:dyDescent="0.2">
      <c r="D53" s="6"/>
      <c r="E53" s="40"/>
      <c r="F53" s="40"/>
      <c r="H53" s="40"/>
      <c r="I53" s="40"/>
      <c r="K53" s="6"/>
      <c r="S53" s="83"/>
      <c r="T53" s="58"/>
    </row>
    <row r="54" spans="1:43" x14ac:dyDescent="0.2">
      <c r="D54" s="62">
        <v>1</v>
      </c>
      <c r="E54" s="62">
        <v>7037</v>
      </c>
      <c r="F54" s="40"/>
      <c r="G54" s="62">
        <v>1</v>
      </c>
      <c r="H54" s="84"/>
      <c r="N54" s="6"/>
      <c r="O54" s="40"/>
      <c r="S54" s="83"/>
      <c r="T54" s="58"/>
    </row>
    <row r="55" spans="1:43" x14ac:dyDescent="0.2">
      <c r="D55" s="62">
        <v>2</v>
      </c>
      <c r="E55" s="62">
        <v>6950</v>
      </c>
      <c r="F55" s="40"/>
      <c r="G55" s="62">
        <v>2</v>
      </c>
      <c r="H55" s="84"/>
      <c r="N55" s="62"/>
      <c r="O55" s="62"/>
      <c r="S55" s="83"/>
    </row>
    <row r="56" spans="1:43" x14ac:dyDescent="0.2">
      <c r="D56" s="62">
        <v>3</v>
      </c>
      <c r="E56" s="62">
        <v>7573</v>
      </c>
      <c r="F56" s="40"/>
      <c r="G56" s="62">
        <v>3</v>
      </c>
      <c r="H56" s="84"/>
      <c r="N56" s="40"/>
      <c r="O56" s="85"/>
      <c r="T56" s="86"/>
    </row>
    <row r="57" spans="1:43" x14ac:dyDescent="0.2">
      <c r="D57" s="62">
        <v>4</v>
      </c>
      <c r="E57" s="62">
        <v>8540</v>
      </c>
      <c r="F57" s="40"/>
      <c r="G57" s="62">
        <v>4</v>
      </c>
      <c r="H57" s="84"/>
    </row>
    <row r="58" spans="1:43" x14ac:dyDescent="0.2">
      <c r="D58" s="62">
        <v>5</v>
      </c>
      <c r="E58" s="85">
        <f>FORECAST(5,E54:E57,D54:D57)</f>
        <v>8808</v>
      </c>
      <c r="F58" s="40"/>
      <c r="G58" s="62">
        <v>5</v>
      </c>
      <c r="H58" s="84"/>
    </row>
    <row r="59" spans="1:43" x14ac:dyDescent="0.2">
      <c r="D59" s="62">
        <v>6</v>
      </c>
      <c r="E59" s="85">
        <f>FORECAST(6,E54:E58,D54:D58)</f>
        <v>9321.2000000000007</v>
      </c>
      <c r="F59" s="40"/>
      <c r="G59" s="87">
        <v>6</v>
      </c>
      <c r="H59" s="88"/>
      <c r="I59" s="82"/>
    </row>
    <row r="60" spans="1:43" x14ac:dyDescent="0.2">
      <c r="D60" s="40"/>
      <c r="E60" s="85"/>
      <c r="F60" s="40"/>
      <c r="G60" s="40"/>
      <c r="H60" s="40"/>
      <c r="I60" s="40"/>
    </row>
  </sheetData>
  <phoneticPr fontId="2" type="noConversion"/>
  <printOptions horizontalCentered="1" verticalCentered="1"/>
  <pageMargins left="0.25" right="0.25" top="0.75" bottom="0.75" header="0.3" footer="0.3"/>
  <pageSetup scale="43" orientation="landscape" r:id="rId1"/>
  <headerFooter alignWithMargins="0">
    <oddHeader>&amp;C&amp;"Arial,Bold"&amp;18Home Schooled Students by District
FY 2005-2012</oddHeader>
    <oddFooter>&amp;LCompliler: USOE/Data and Statistics
Source: Year End Web Servey</oddFooter>
  </headerFooter>
  <ignoredErrors>
    <ignoredError sqref="W49 AA49" formula="1"/>
    <ignoredError sqref="E58"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Home School 2004-2011</vt:lpstr>
      <vt:lpstr>'Home School 2004-2011'!Print_Area</vt:lpstr>
    </vt:vector>
  </TitlesOfParts>
  <Company>Utah State Office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etew</dc:creator>
  <cp:lastModifiedBy>Brough, Aaron</cp:lastModifiedBy>
  <cp:lastPrinted>2013-03-19T18:27:18Z</cp:lastPrinted>
  <dcterms:created xsi:type="dcterms:W3CDTF">2007-12-13T22:54:59Z</dcterms:created>
  <dcterms:modified xsi:type="dcterms:W3CDTF">2013-04-09T20:47:45Z</dcterms:modified>
</cp:coreProperties>
</file>