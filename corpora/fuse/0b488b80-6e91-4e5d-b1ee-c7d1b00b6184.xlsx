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9155" windowHeight="850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0">Sheet1!$A$1:$K$26</definedName>
    <definedName name="_xlnm.Print_Area" localSheetId="1">Sheet2!$A$1:$K$20</definedName>
    <definedName name="_xlnm.Print_Area" localSheetId="2">Sheet3!$A$1:$F$11</definedName>
  </definedNames>
  <calcPr calcId="125725"/>
</workbook>
</file>

<file path=xl/calcChain.xml><?xml version="1.0" encoding="utf-8"?>
<calcChain xmlns="http://schemas.openxmlformats.org/spreadsheetml/2006/main">
  <c r="C17" i="4"/>
  <c r="C13"/>
  <c r="G9"/>
  <c r="F9"/>
  <c r="E9"/>
  <c r="C9"/>
  <c r="B9"/>
  <c r="A9"/>
  <c r="D5"/>
  <c r="C5"/>
  <c r="B5"/>
  <c r="A5"/>
  <c r="B8" i="3"/>
  <c r="B9"/>
  <c r="B10" s="1"/>
  <c r="B6"/>
  <c r="F8"/>
  <c r="F7"/>
  <c r="F6"/>
  <c r="F5"/>
  <c r="B7"/>
  <c r="B4"/>
  <c r="B5" s="1"/>
  <c r="J19" i="2"/>
  <c r="H25" i="1"/>
  <c r="K22"/>
  <c r="H15"/>
  <c r="K11"/>
  <c r="H20" i="2"/>
  <c r="H15"/>
  <c r="K10"/>
  <c r="G25" i="1"/>
  <c r="F25"/>
  <c r="D25"/>
  <c r="G24"/>
  <c r="F24"/>
  <c r="D24"/>
</calcChain>
</file>

<file path=xl/sharedStrings.xml><?xml version="1.0" encoding="utf-8"?>
<sst xmlns="http://schemas.openxmlformats.org/spreadsheetml/2006/main" count="172" uniqueCount="124">
  <si>
    <t>Costing Summary for Syngas Unit and Fischer-Tropsch Reactor</t>
  </si>
  <si>
    <t>Heat Exchangers</t>
  </si>
  <si>
    <t>Pressure (barg)</t>
  </si>
  <si>
    <r>
      <t>Pressure Factor, F</t>
    </r>
    <r>
      <rPr>
        <b/>
        <vertAlign val="subscript"/>
        <sz val="11"/>
        <color theme="1"/>
        <rFont val="Georgia"/>
        <family val="1"/>
      </rPr>
      <t>P</t>
    </r>
  </si>
  <si>
    <r>
      <t>Material Factor, F</t>
    </r>
    <r>
      <rPr>
        <b/>
        <vertAlign val="subscript"/>
        <sz val="11"/>
        <color theme="1"/>
        <rFont val="Georgia"/>
        <family val="1"/>
      </rPr>
      <t>M</t>
    </r>
  </si>
  <si>
    <r>
      <t>Bare Module Factor, F</t>
    </r>
    <r>
      <rPr>
        <b/>
        <vertAlign val="subscript"/>
        <sz val="11"/>
        <color theme="1"/>
        <rFont val="Georgia"/>
        <family val="1"/>
      </rPr>
      <t>BM</t>
    </r>
  </si>
  <si>
    <t>Q (btu/hr)</t>
  </si>
  <si>
    <r>
      <t>U             (btu/m</t>
    </r>
    <r>
      <rPr>
        <b/>
        <vertAlign val="superscript"/>
        <sz val="11"/>
        <color theme="1"/>
        <rFont val="Georgia"/>
        <family val="1"/>
      </rPr>
      <t>2</t>
    </r>
    <r>
      <rPr>
        <b/>
        <sz val="11"/>
        <color theme="1"/>
        <rFont val="Georgia"/>
        <family val="1"/>
      </rPr>
      <t>-hr-K)</t>
    </r>
  </si>
  <si>
    <r>
      <t>Surface Area (m</t>
    </r>
    <r>
      <rPr>
        <b/>
        <vertAlign val="superscript"/>
        <sz val="11"/>
        <color theme="1"/>
        <rFont val="Georgia"/>
        <family val="1"/>
      </rPr>
      <t>2</t>
    </r>
    <r>
      <rPr>
        <b/>
        <sz val="11"/>
        <color theme="1"/>
        <rFont val="Georgia"/>
        <family val="1"/>
      </rPr>
      <t>)</t>
    </r>
  </si>
  <si>
    <t>Purchased Cost ($)</t>
  </si>
  <si>
    <r>
      <t>Bare Module Cost, C</t>
    </r>
    <r>
      <rPr>
        <b/>
        <vertAlign val="subscript"/>
        <sz val="11"/>
        <color theme="1"/>
        <rFont val="Georgia"/>
        <family val="1"/>
      </rPr>
      <t>BM</t>
    </r>
  </si>
  <si>
    <t>Process Vessels</t>
  </si>
  <si>
    <t>Mass Flow Rate (lb/hr)</t>
  </si>
  <si>
    <r>
      <t>Density (lb/ft</t>
    </r>
    <r>
      <rPr>
        <b/>
        <vertAlign val="superscript"/>
        <sz val="11"/>
        <color theme="1"/>
        <rFont val="Georgia"/>
        <family val="1"/>
      </rPr>
      <t>3</t>
    </r>
    <r>
      <rPr>
        <b/>
        <sz val="11"/>
        <color theme="1"/>
        <rFont val="Georgia"/>
        <family val="1"/>
      </rPr>
      <t>)</t>
    </r>
  </si>
  <si>
    <t>Volume (ft3/s)</t>
  </si>
  <si>
    <t>Diameter (m)</t>
  </si>
  <si>
    <t>Diameter  (m)</t>
  </si>
  <si>
    <t>Height (m)</t>
  </si>
  <si>
    <t>Bare Module Cost ($)</t>
  </si>
  <si>
    <t>Compressor</t>
  </si>
  <si>
    <t>Horsepower</t>
  </si>
  <si>
    <t>Efficiency</t>
  </si>
  <si>
    <t>Kilowatts</t>
  </si>
  <si>
    <t>Purchased Cost</t>
  </si>
  <si>
    <t>Plug Flow Reactors</t>
  </si>
  <si>
    <t>* Indicates 20 identical equipment pieces. The bare module cost is listed for 20.</t>
  </si>
  <si>
    <r>
      <t>6.027x10</t>
    </r>
    <r>
      <rPr>
        <vertAlign val="superscript"/>
        <sz val="11"/>
        <color theme="1"/>
        <rFont val="Georgia"/>
        <family val="1"/>
      </rPr>
      <t>8</t>
    </r>
  </si>
  <si>
    <r>
      <t>1.405x10</t>
    </r>
    <r>
      <rPr>
        <vertAlign val="superscript"/>
        <sz val="11"/>
        <color theme="1"/>
        <rFont val="Georgia"/>
        <family val="1"/>
      </rPr>
      <t>8</t>
    </r>
  </si>
  <si>
    <r>
      <t>2.732x10</t>
    </r>
    <r>
      <rPr>
        <vertAlign val="superscript"/>
        <sz val="11"/>
        <color theme="1"/>
        <rFont val="Georgia"/>
        <family val="1"/>
      </rPr>
      <t>8</t>
    </r>
  </si>
  <si>
    <r>
      <t>2.780x10</t>
    </r>
    <r>
      <rPr>
        <vertAlign val="superscript"/>
        <sz val="11"/>
        <color theme="1"/>
        <rFont val="Georgia"/>
        <family val="1"/>
      </rPr>
      <t>9</t>
    </r>
  </si>
  <si>
    <r>
      <t>3.279x10</t>
    </r>
    <r>
      <rPr>
        <vertAlign val="superscript"/>
        <sz val="11"/>
        <color theme="1"/>
        <rFont val="Georgia"/>
        <family val="1"/>
      </rPr>
      <t>8</t>
    </r>
  </si>
  <si>
    <r>
      <t>3.767x10</t>
    </r>
    <r>
      <rPr>
        <vertAlign val="superscript"/>
        <sz val="11"/>
        <color theme="1"/>
        <rFont val="Georgia"/>
        <family val="1"/>
      </rPr>
      <t>7</t>
    </r>
  </si>
  <si>
    <r>
      <t>5.751x10</t>
    </r>
    <r>
      <rPr>
        <vertAlign val="superscript"/>
        <sz val="11"/>
        <color theme="1"/>
        <rFont val="Georgia"/>
        <family val="1"/>
      </rPr>
      <t>6</t>
    </r>
  </si>
  <si>
    <r>
      <t>2.53x10</t>
    </r>
    <r>
      <rPr>
        <vertAlign val="superscript"/>
        <sz val="11"/>
        <color theme="1"/>
        <rFont val="Georgia"/>
        <family val="1"/>
      </rPr>
      <t>6</t>
    </r>
  </si>
  <si>
    <r>
      <t>1.97x10</t>
    </r>
    <r>
      <rPr>
        <vertAlign val="superscript"/>
        <sz val="11"/>
        <color theme="1"/>
        <rFont val="Georgia"/>
        <family val="1"/>
      </rPr>
      <t>6</t>
    </r>
  </si>
  <si>
    <t>Bare Module Factor</t>
  </si>
  <si>
    <r>
      <t>4.56x10</t>
    </r>
    <r>
      <rPr>
        <vertAlign val="superscript"/>
        <sz val="11"/>
        <color theme="1"/>
        <rFont val="Georgia"/>
        <family val="1"/>
      </rPr>
      <t>7</t>
    </r>
  </si>
  <si>
    <r>
      <t>1.31x10</t>
    </r>
    <r>
      <rPr>
        <vertAlign val="superscript"/>
        <sz val="11"/>
        <color theme="1"/>
        <rFont val="Georgia"/>
        <family val="1"/>
      </rPr>
      <t>5</t>
    </r>
  </si>
  <si>
    <r>
      <rPr>
        <b/>
        <sz val="11"/>
        <color theme="1"/>
        <rFont val="Calibri"/>
        <family val="2"/>
      </rPr>
      <t>Δ</t>
    </r>
    <r>
      <rPr>
        <b/>
        <sz val="11"/>
        <color theme="1"/>
        <rFont val="Georgia"/>
        <family val="1"/>
      </rPr>
      <t>T          (K)</t>
    </r>
  </si>
  <si>
    <t>Costing Summary for Separations</t>
  </si>
  <si>
    <r>
      <t>6.79x10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</si>
  <si>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1.65x10</t>
    </r>
    <r>
      <rPr>
        <vertAlign val="superscript"/>
        <sz val="11"/>
        <color theme="1"/>
        <rFont val="Calibri"/>
        <family val="2"/>
        <scheme val="minor"/>
      </rPr>
      <t>8</t>
    </r>
  </si>
  <si>
    <r>
      <t>4.62x10</t>
    </r>
    <r>
      <rPr>
        <vertAlign val="superscript"/>
        <sz val="11"/>
        <color theme="1"/>
        <rFont val="Calibri"/>
        <family val="2"/>
        <scheme val="minor"/>
      </rPr>
      <t>7</t>
    </r>
  </si>
  <si>
    <r>
      <t>2.33x10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</si>
  <si>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1.13x10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</si>
  <si>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1.94x10</t>
    </r>
    <r>
      <rPr>
        <vertAlign val="superscript"/>
        <sz val="11"/>
        <color theme="1"/>
        <rFont val="Calibri"/>
        <family val="2"/>
        <scheme val="minor"/>
      </rPr>
      <t>7</t>
    </r>
  </si>
  <si>
    <t>Horizontal Process Vessels</t>
  </si>
  <si>
    <t>Mass Flow (lb/hr)</t>
  </si>
  <si>
    <r>
      <t>Volume (ft</t>
    </r>
    <r>
      <rPr>
        <b/>
        <vertAlign val="superscript"/>
        <sz val="11"/>
        <color theme="1"/>
        <rFont val="Georgia"/>
        <family val="1"/>
      </rPr>
      <t>3</t>
    </r>
    <r>
      <rPr>
        <b/>
        <sz val="11"/>
        <color theme="1"/>
        <rFont val="Georgia"/>
        <family val="1"/>
      </rPr>
      <t>/hr)</t>
    </r>
  </si>
  <si>
    <r>
      <t>Volume (ft</t>
    </r>
    <r>
      <rPr>
        <b/>
        <vertAlign val="superscript"/>
        <sz val="11"/>
        <color theme="1"/>
        <rFont val="Georgia"/>
        <family val="1"/>
      </rPr>
      <t>3</t>
    </r>
    <r>
      <rPr>
        <b/>
        <sz val="11"/>
        <color theme="1"/>
        <rFont val="Georgia"/>
        <family val="1"/>
      </rPr>
      <t>/s)</t>
    </r>
  </si>
  <si>
    <t>Purchased Cost, CP</t>
  </si>
  <si>
    <t>Actual Cost ($)</t>
  </si>
  <si>
    <r>
      <t>1.18x10</t>
    </r>
    <r>
      <rPr>
        <vertAlign val="superscript"/>
        <sz val="11"/>
        <color theme="1"/>
        <rFont val="Georgia"/>
        <family val="1"/>
      </rPr>
      <t>6</t>
    </r>
  </si>
  <si>
    <r>
      <t>1.03x10</t>
    </r>
    <r>
      <rPr>
        <vertAlign val="superscript"/>
        <sz val="11"/>
        <color theme="1"/>
        <rFont val="Georgia"/>
        <family val="1"/>
      </rPr>
      <t>6</t>
    </r>
  </si>
  <si>
    <r>
      <t>8.18x10</t>
    </r>
    <r>
      <rPr>
        <vertAlign val="superscript"/>
        <sz val="11"/>
        <color theme="1"/>
        <rFont val="Georgia"/>
        <family val="1"/>
      </rPr>
      <t>5</t>
    </r>
  </si>
  <si>
    <r>
      <t>2.24x10</t>
    </r>
    <r>
      <rPr>
        <vertAlign val="superscript"/>
        <sz val="11"/>
        <color theme="1"/>
        <rFont val="Georgia"/>
        <family val="1"/>
      </rPr>
      <t>6</t>
    </r>
  </si>
  <si>
    <r>
      <t>2.31x10</t>
    </r>
    <r>
      <rPr>
        <vertAlign val="superscript"/>
        <sz val="11"/>
        <color theme="1"/>
        <rFont val="Georgia"/>
        <family val="1"/>
      </rPr>
      <t>6</t>
    </r>
  </si>
  <si>
    <t>Vertical Process Vessels</t>
  </si>
  <si>
    <r>
      <t>1.02x10</t>
    </r>
    <r>
      <rPr>
        <vertAlign val="superscript"/>
        <sz val="11"/>
        <color theme="1"/>
        <rFont val="Georgia"/>
        <family val="1"/>
      </rPr>
      <t>6</t>
    </r>
  </si>
  <si>
    <r>
      <t>2.10x10</t>
    </r>
    <r>
      <rPr>
        <vertAlign val="superscript"/>
        <sz val="11"/>
        <color theme="1"/>
        <rFont val="Georgia"/>
        <family val="1"/>
      </rPr>
      <t>6</t>
    </r>
  </si>
  <si>
    <t>Manufacturing Cost Summary</t>
  </si>
  <si>
    <t>Catalyst</t>
  </si>
  <si>
    <r>
      <t>Total Volume (ft</t>
    </r>
    <r>
      <rPr>
        <b/>
        <vertAlign val="superscript"/>
        <sz val="11"/>
        <color theme="1"/>
        <rFont val="Georgia"/>
        <family val="1"/>
      </rPr>
      <t>3</t>
    </r>
    <r>
      <rPr>
        <b/>
        <sz val="11"/>
        <color theme="1"/>
        <rFont val="Georgia"/>
        <family val="1"/>
      </rPr>
      <t>)</t>
    </r>
  </si>
  <si>
    <r>
      <t>Void Volume (ft</t>
    </r>
    <r>
      <rPr>
        <b/>
        <vertAlign val="superscript"/>
        <sz val="11"/>
        <color theme="1"/>
        <rFont val="Georgia"/>
        <family val="1"/>
      </rPr>
      <t>3</t>
    </r>
    <r>
      <rPr>
        <b/>
        <sz val="11"/>
        <color theme="1"/>
        <rFont val="Georgia"/>
        <family val="1"/>
      </rPr>
      <t>)</t>
    </r>
  </si>
  <si>
    <r>
      <t>Volume (ft</t>
    </r>
    <r>
      <rPr>
        <b/>
        <vertAlign val="superscript"/>
        <sz val="11"/>
        <color theme="1"/>
        <rFont val="Georgia"/>
        <family val="1"/>
      </rPr>
      <t>3</t>
    </r>
    <r>
      <rPr>
        <b/>
        <sz val="11"/>
        <color theme="1"/>
        <rFont val="Georgia"/>
        <family val="1"/>
      </rPr>
      <t>)</t>
    </r>
  </si>
  <si>
    <t>Mass (lbs)</t>
  </si>
  <si>
    <t>Cost ($)</t>
  </si>
  <si>
    <t>E-102</t>
  </si>
  <si>
    <t>E-101</t>
  </si>
  <si>
    <t>E-100</t>
  </si>
  <si>
    <t>E-103</t>
  </si>
  <si>
    <t>E-104</t>
  </si>
  <si>
    <t>E-105*</t>
  </si>
  <si>
    <t>E-106*</t>
  </si>
  <si>
    <t>ERV-100</t>
  </si>
  <si>
    <t>V-100</t>
  </si>
  <si>
    <t>K-100*</t>
  </si>
  <si>
    <t>PFR-100*</t>
  </si>
  <si>
    <t>PFR-100-2*</t>
  </si>
  <si>
    <t>5 (Reboiler T-100)</t>
  </si>
  <si>
    <t>6 (Condenser T-100)</t>
  </si>
  <si>
    <t>V-101</t>
  </si>
  <si>
    <t>V-102</t>
  </si>
  <si>
    <t>V-103</t>
  </si>
  <si>
    <t>T-100</t>
  </si>
  <si>
    <t>T-100 Trays</t>
  </si>
  <si>
    <t>Appendix A</t>
  </si>
  <si>
    <r>
      <rPr>
        <b/>
        <sz val="11"/>
        <color theme="1"/>
        <rFont val="Calibri"/>
        <family val="2"/>
      </rPr>
      <t>Δ</t>
    </r>
    <r>
      <rPr>
        <b/>
        <sz val="11"/>
        <color theme="1"/>
        <rFont val="Georgia"/>
        <family val="1"/>
      </rPr>
      <t>T            (K)</t>
    </r>
  </si>
  <si>
    <t>Total</t>
  </si>
  <si>
    <t>Total Equipment Cost</t>
  </si>
  <si>
    <t>Total Capital Investment</t>
  </si>
  <si>
    <t>Total Yearly Operating Expenses</t>
  </si>
  <si>
    <t>Depreciation (Annual)</t>
  </si>
  <si>
    <t>Taxes</t>
  </si>
  <si>
    <t>Annual Revenue Before Taxes</t>
  </si>
  <si>
    <t>Annual Revenue After Taxes</t>
  </si>
  <si>
    <r>
      <t>Fixed Capital, C</t>
    </r>
    <r>
      <rPr>
        <vertAlign val="subscript"/>
        <sz val="11"/>
        <color theme="1"/>
        <rFont val="Georgia"/>
        <family val="1"/>
      </rPr>
      <t>FC</t>
    </r>
  </si>
  <si>
    <t>Annualized Turnaround Cost</t>
  </si>
  <si>
    <t>Utilities</t>
  </si>
  <si>
    <t>Electricity</t>
  </si>
  <si>
    <t xml:space="preserve">Electricity Generated (Kw-hr) </t>
  </si>
  <si>
    <t>Electricity to Sell (Kw-hr)</t>
  </si>
  <si>
    <t>Net Profit ($/hr)</t>
  </si>
  <si>
    <t>Cooling Water</t>
  </si>
  <si>
    <t>Consumption (gal/hr)</t>
  </si>
  <si>
    <t>Compressor Demand  (Kw-hr)</t>
  </si>
  <si>
    <t>Consumption (1000gal/hr)</t>
  </si>
  <si>
    <t>Purchased Cost ($/hr)</t>
  </si>
  <si>
    <t>Generation (gal/hr)</t>
  </si>
  <si>
    <t>Generation (1000gal/hr)</t>
  </si>
  <si>
    <t>Selling Price ($/hr)</t>
  </si>
  <si>
    <t>Net Cost ($/hr)</t>
  </si>
  <si>
    <t>Steam</t>
  </si>
  <si>
    <t xml:space="preserve">20 lb Steam Consumption (lb/hr) </t>
  </si>
  <si>
    <t>20 lb Steam Generation (lb/hr)</t>
  </si>
  <si>
    <t>20 lb Steam to Sell (lb/hr)</t>
  </si>
  <si>
    <t>600 lb Steam Consumption (lb/hr)</t>
  </si>
  <si>
    <t>600 lb Steam Cost ($/hr)</t>
  </si>
  <si>
    <t>Net 20 lb Steam Profit ($/hr)</t>
  </si>
  <si>
    <t>Fuel Gas</t>
  </si>
  <si>
    <t>Generated (lb/hr)</t>
  </si>
  <si>
    <t>Preheat Furnace Requirement (lb/hr)</t>
  </si>
  <si>
    <t>Fuel Gas to Sell (lb/hr)</t>
  </si>
  <si>
    <t>Fuel Gas Profit ($/hr)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</si>
</sst>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12">
    <font>
      <sz val="11"/>
      <color theme="1"/>
      <name val="Calibri"/>
      <family val="2"/>
      <scheme val="minor"/>
    </font>
    <font>
      <b/>
      <sz val="16"/>
      <color theme="1"/>
      <name val="Georgia"/>
      <family val="1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vertAlign val="subscript"/>
      <sz val="11"/>
      <color theme="1"/>
      <name val="Georgia"/>
      <family val="1"/>
    </font>
    <font>
      <vertAlign val="superscript"/>
      <sz val="11"/>
      <color theme="1"/>
      <name val="Georgia"/>
      <family val="1"/>
    </font>
    <font>
      <b/>
      <vertAlign val="superscript"/>
      <sz val="11"/>
      <color theme="1"/>
      <name val="Georgia"/>
      <family val="1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8"/>
      <color theme="1"/>
      <name val="Georgia"/>
      <family val="1"/>
    </font>
    <font>
      <vertAlign val="subscript"/>
      <sz val="11"/>
      <color theme="1"/>
      <name val="Georgia"/>
      <family val="1"/>
    </font>
    <font>
      <b/>
      <sz val="12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0" fontId="3" fillId="0" borderId="4" xfId="0" applyFont="1" applyFill="1" applyBorder="1" applyAlignment="1">
      <alignment horizontal="center"/>
    </xf>
    <xf numFmtId="164" fontId="0" fillId="0" borderId="0" xfId="0" applyNumberFormat="1"/>
    <xf numFmtId="164" fontId="2" fillId="0" borderId="1" xfId="0" applyNumberFormat="1" applyFont="1" applyBorder="1"/>
    <xf numFmtId="0" fontId="0" fillId="0" borderId="0" xfId="0"/>
    <xf numFmtId="164" fontId="2" fillId="0" borderId="0" xfId="0" applyNumberFormat="1" applyFont="1"/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topLeftCell="A11" zoomScaleNormal="100" workbookViewId="0">
      <selection activeCell="E27" sqref="E27"/>
    </sheetView>
  </sheetViews>
  <sheetFormatPr defaultRowHeight="15"/>
  <cols>
    <col min="1" max="1" width="22.28515625" customWidth="1"/>
    <col min="2" max="2" width="16" bestFit="1" customWidth="1"/>
    <col min="3" max="3" width="15.28515625" bestFit="1" customWidth="1"/>
    <col min="4" max="4" width="11.5703125" customWidth="1"/>
    <col min="5" max="5" width="15.7109375" bestFit="1" customWidth="1"/>
    <col min="6" max="6" width="11.42578125" customWidth="1"/>
    <col min="7" max="7" width="16.85546875" customWidth="1"/>
    <col min="8" max="8" width="12.85546875" bestFit="1" customWidth="1"/>
    <col min="9" max="9" width="10.5703125" customWidth="1"/>
    <col min="10" max="10" width="13.140625" customWidth="1"/>
    <col min="11" max="11" width="13.85546875" customWidth="1"/>
  </cols>
  <sheetData>
    <row r="1" spans="1:11" ht="23.25">
      <c r="A1" s="29" t="s">
        <v>86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23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49.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H3" s="4" t="s">
        <v>38</v>
      </c>
      <c r="I3" s="3" t="s">
        <v>8</v>
      </c>
      <c r="J3" s="3" t="s">
        <v>9</v>
      </c>
      <c r="K3" s="4" t="s">
        <v>10</v>
      </c>
    </row>
    <row r="4" spans="1:11" ht="16.5">
      <c r="A4" s="5" t="s">
        <v>67</v>
      </c>
      <c r="B4" s="11">
        <v>34.47</v>
      </c>
      <c r="C4" s="11">
        <v>1.08</v>
      </c>
      <c r="D4" s="11">
        <v>1.7</v>
      </c>
      <c r="E4" s="11">
        <v>1.1499999999999999</v>
      </c>
      <c r="F4" s="11" t="s">
        <v>26</v>
      </c>
      <c r="G4" s="11">
        <v>1706.5</v>
      </c>
      <c r="H4" s="11">
        <v>755.4</v>
      </c>
      <c r="I4" s="11">
        <v>467.6</v>
      </c>
      <c r="J4" s="13">
        <v>12150</v>
      </c>
      <c r="K4" s="14">
        <v>19500</v>
      </c>
    </row>
    <row r="5" spans="1:11" ht="16.5">
      <c r="A5" s="5" t="s">
        <v>68</v>
      </c>
      <c r="B5" s="11">
        <v>34.47</v>
      </c>
      <c r="C5" s="11">
        <v>1.08</v>
      </c>
      <c r="D5" s="11">
        <v>1.7</v>
      </c>
      <c r="E5" s="11">
        <v>1.1499999999999999</v>
      </c>
      <c r="F5" s="11" t="s">
        <v>27</v>
      </c>
      <c r="G5" s="11">
        <v>4607.6000000000004</v>
      </c>
      <c r="H5" s="11">
        <v>548.70000000000005</v>
      </c>
      <c r="I5" s="11">
        <v>55.6</v>
      </c>
      <c r="J5" s="13">
        <v>8100</v>
      </c>
      <c r="K5" s="14">
        <v>13000</v>
      </c>
    </row>
    <row r="6" spans="1:11" ht="16.5">
      <c r="A6" s="5" t="s">
        <v>69</v>
      </c>
      <c r="B6" s="11">
        <v>34.47</v>
      </c>
      <c r="C6" s="11">
        <v>1.08</v>
      </c>
      <c r="D6" s="11">
        <v>1.7</v>
      </c>
      <c r="E6" s="11">
        <v>1.1499999999999999</v>
      </c>
      <c r="F6" s="11" t="s">
        <v>28</v>
      </c>
      <c r="G6" s="11">
        <v>1803.4</v>
      </c>
      <c r="H6" s="11">
        <v>787.8</v>
      </c>
      <c r="I6" s="11">
        <v>192.3</v>
      </c>
      <c r="J6" s="13">
        <v>10800</v>
      </c>
      <c r="K6" s="14">
        <v>17300</v>
      </c>
    </row>
    <row r="7" spans="1:11" ht="16.5">
      <c r="A7" s="5" t="s">
        <v>70</v>
      </c>
      <c r="B7" s="11">
        <v>34.47</v>
      </c>
      <c r="C7" s="11">
        <v>1.08</v>
      </c>
      <c r="D7" s="11">
        <v>1.7</v>
      </c>
      <c r="E7" s="11">
        <v>1.1499999999999999</v>
      </c>
      <c r="F7" s="11" t="s">
        <v>29</v>
      </c>
      <c r="G7" s="11">
        <v>1176.7</v>
      </c>
      <c r="H7" s="11">
        <v>1098.2</v>
      </c>
      <c r="I7" s="11">
        <v>2151.4</v>
      </c>
      <c r="J7" s="13">
        <v>18000</v>
      </c>
      <c r="K7" s="14">
        <v>28900</v>
      </c>
    </row>
    <row r="8" spans="1:11" ht="16.5">
      <c r="A8" s="5" t="s">
        <v>71</v>
      </c>
      <c r="B8" s="11">
        <v>34.47</v>
      </c>
      <c r="C8" s="11">
        <v>1.08</v>
      </c>
      <c r="D8" s="11">
        <v>1.7</v>
      </c>
      <c r="E8" s="11">
        <v>1.1499999999999999</v>
      </c>
      <c r="F8" s="11" t="s">
        <v>30</v>
      </c>
      <c r="G8" s="11">
        <v>1283.8</v>
      </c>
      <c r="H8" s="11">
        <v>429.2</v>
      </c>
      <c r="I8" s="11">
        <v>595</v>
      </c>
      <c r="J8" s="13">
        <v>13000</v>
      </c>
      <c r="K8" s="14">
        <v>20900</v>
      </c>
    </row>
    <row r="9" spans="1:11" ht="16.5">
      <c r="A9" s="5" t="s">
        <v>72</v>
      </c>
      <c r="B9" s="11">
        <v>34.47</v>
      </c>
      <c r="C9" s="11">
        <v>1.08</v>
      </c>
      <c r="D9" s="11">
        <v>1.7</v>
      </c>
      <c r="E9" s="11">
        <v>1.1499999999999999</v>
      </c>
      <c r="F9" s="11" t="s">
        <v>31</v>
      </c>
      <c r="G9" s="11">
        <v>2003.8</v>
      </c>
      <c r="H9" s="11">
        <v>316.2</v>
      </c>
      <c r="I9" s="11">
        <v>59.5</v>
      </c>
      <c r="J9" s="13">
        <v>8400</v>
      </c>
      <c r="K9" s="14">
        <v>270000</v>
      </c>
    </row>
    <row r="10" spans="1:11" ht="16.5">
      <c r="A10" s="5" t="s">
        <v>73</v>
      </c>
      <c r="B10" s="11">
        <v>31.04</v>
      </c>
      <c r="C10" s="11">
        <v>1.06</v>
      </c>
      <c r="D10" s="11">
        <v>1.7</v>
      </c>
      <c r="E10" s="11">
        <v>1.1499999999999999</v>
      </c>
      <c r="F10" s="11" t="s">
        <v>32</v>
      </c>
      <c r="G10" s="11">
        <v>1901.5</v>
      </c>
      <c r="H10" s="11">
        <v>319.89999999999998</v>
      </c>
      <c r="I10" s="11">
        <v>9.5</v>
      </c>
      <c r="J10" s="13">
        <v>3500</v>
      </c>
      <c r="K10" s="14">
        <v>113000</v>
      </c>
    </row>
    <row r="11" spans="1:11">
      <c r="A11" s="5" t="s">
        <v>88</v>
      </c>
      <c r="B11" s="6"/>
      <c r="C11" s="6"/>
      <c r="D11" s="6"/>
      <c r="E11" s="6"/>
      <c r="F11" s="6"/>
      <c r="G11" s="6"/>
      <c r="H11" s="6"/>
      <c r="I11" s="6"/>
      <c r="J11" s="6"/>
      <c r="K11" s="14">
        <f>SUM(K4:K10)</f>
        <v>482600</v>
      </c>
    </row>
    <row r="12" spans="1:11" ht="45.75" customHeight="1">
      <c r="A12" s="8" t="s">
        <v>11</v>
      </c>
      <c r="B12" s="3" t="s">
        <v>12</v>
      </c>
      <c r="C12" s="4" t="s">
        <v>13</v>
      </c>
      <c r="D12" s="4" t="s">
        <v>14</v>
      </c>
      <c r="E12" s="4" t="s">
        <v>16</v>
      </c>
      <c r="F12" s="4" t="s">
        <v>17</v>
      </c>
      <c r="G12" s="3" t="s">
        <v>9</v>
      </c>
      <c r="H12" s="3" t="s">
        <v>18</v>
      </c>
      <c r="I12" s="6"/>
      <c r="J12" s="6"/>
      <c r="K12" s="7"/>
    </row>
    <row r="13" spans="1:11" ht="16.5">
      <c r="A13" s="5" t="s">
        <v>74</v>
      </c>
      <c r="B13" s="11" t="s">
        <v>33</v>
      </c>
      <c r="C13" s="11">
        <v>0.70699999999999996</v>
      </c>
      <c r="D13" s="11">
        <v>993.7</v>
      </c>
      <c r="E13" s="11">
        <v>2.88</v>
      </c>
      <c r="F13" s="11">
        <v>4.32</v>
      </c>
      <c r="G13" s="13">
        <v>12700</v>
      </c>
      <c r="H13" s="13">
        <v>17700</v>
      </c>
      <c r="I13" s="6"/>
      <c r="J13" s="6"/>
      <c r="K13" s="7"/>
    </row>
    <row r="14" spans="1:11" ht="16.5">
      <c r="A14" s="5" t="s">
        <v>75</v>
      </c>
      <c r="B14" s="11" t="s">
        <v>34</v>
      </c>
      <c r="C14" s="11">
        <v>1.23</v>
      </c>
      <c r="D14" s="11">
        <v>444.2</v>
      </c>
      <c r="E14" s="11">
        <v>2.21</v>
      </c>
      <c r="F14" s="11">
        <v>3.31</v>
      </c>
      <c r="G14" s="13">
        <v>11800</v>
      </c>
      <c r="H14" s="13">
        <v>16460</v>
      </c>
      <c r="I14" s="6"/>
      <c r="J14" s="6"/>
      <c r="K14" s="7"/>
    </row>
    <row r="15" spans="1:11">
      <c r="A15" s="5" t="s">
        <v>88</v>
      </c>
      <c r="B15" s="6"/>
      <c r="C15" s="6"/>
      <c r="D15" s="6"/>
      <c r="E15" s="6"/>
      <c r="F15" s="6"/>
      <c r="G15" s="6"/>
      <c r="H15" s="25">
        <f>H13+H14</f>
        <v>34160</v>
      </c>
      <c r="I15" s="6"/>
      <c r="J15" s="6"/>
      <c r="K15" s="7"/>
    </row>
    <row r="16" spans="1:11" ht="44.25">
      <c r="A16" s="9" t="s">
        <v>19</v>
      </c>
      <c r="B16" s="10" t="s">
        <v>20</v>
      </c>
      <c r="C16" s="10" t="s">
        <v>21</v>
      </c>
      <c r="D16" s="10" t="s">
        <v>22</v>
      </c>
      <c r="E16" s="3" t="s">
        <v>23</v>
      </c>
      <c r="F16" s="3" t="s">
        <v>35</v>
      </c>
      <c r="G16" s="3" t="s">
        <v>18</v>
      </c>
      <c r="H16" s="6"/>
      <c r="I16" s="6"/>
      <c r="J16" s="6"/>
      <c r="K16" s="7"/>
    </row>
    <row r="17" spans="1:11">
      <c r="A17" s="5" t="s">
        <v>76</v>
      </c>
      <c r="B17" s="11">
        <v>2760</v>
      </c>
      <c r="C17" s="11">
        <v>0.75</v>
      </c>
      <c r="D17" s="11">
        <v>1544.2</v>
      </c>
      <c r="E17" s="13">
        <v>1000000</v>
      </c>
      <c r="F17" s="11">
        <v>2.5</v>
      </c>
      <c r="G17" s="13">
        <v>69750000</v>
      </c>
      <c r="H17" s="6"/>
      <c r="I17" s="6"/>
      <c r="J17" s="6"/>
      <c r="K17" s="7"/>
    </row>
    <row r="18" spans="1:11">
      <c r="A18" s="6"/>
      <c r="B18" s="6"/>
      <c r="C18" s="6"/>
      <c r="D18" s="6"/>
      <c r="E18" s="6"/>
      <c r="F18" s="6"/>
      <c r="G18" s="6"/>
      <c r="H18" s="6"/>
      <c r="I18" s="6"/>
      <c r="J18" s="6"/>
      <c r="K18" s="7"/>
    </row>
    <row r="19" spans="1:11" ht="47.25" customHeight="1">
      <c r="A19" s="2" t="s">
        <v>24</v>
      </c>
      <c r="B19" s="3" t="s">
        <v>2</v>
      </c>
      <c r="C19" s="3" t="s">
        <v>3</v>
      </c>
      <c r="D19" s="3" t="s">
        <v>4</v>
      </c>
      <c r="E19" s="3" t="s">
        <v>5</v>
      </c>
      <c r="F19" s="4" t="s">
        <v>6</v>
      </c>
      <c r="G19" s="4" t="s">
        <v>7</v>
      </c>
      <c r="H19" s="4" t="s">
        <v>38</v>
      </c>
      <c r="I19" s="3" t="s">
        <v>8</v>
      </c>
      <c r="J19" s="3" t="s">
        <v>9</v>
      </c>
      <c r="K19" s="4" t="s">
        <v>10</v>
      </c>
    </row>
    <row r="20" spans="1:11" ht="16.5">
      <c r="A20" s="5" t="s">
        <v>77</v>
      </c>
      <c r="B20" s="11">
        <v>34.47</v>
      </c>
      <c r="C20" s="11">
        <v>1.08</v>
      </c>
      <c r="D20" s="11">
        <v>1.7</v>
      </c>
      <c r="E20" s="11">
        <v>1.1499999999999999</v>
      </c>
      <c r="F20" s="11" t="s">
        <v>36</v>
      </c>
      <c r="G20" s="11">
        <v>1365.2</v>
      </c>
      <c r="H20" s="11">
        <v>302.10000000000002</v>
      </c>
      <c r="I20" s="11">
        <v>110.6</v>
      </c>
      <c r="J20" s="13">
        <v>10300</v>
      </c>
      <c r="K20" s="14">
        <v>330500</v>
      </c>
    </row>
    <row r="21" spans="1:11" ht="16.5">
      <c r="A21" s="5" t="s">
        <v>78</v>
      </c>
      <c r="B21" s="11">
        <v>31.04</v>
      </c>
      <c r="C21" s="11">
        <v>1.07</v>
      </c>
      <c r="D21" s="11">
        <v>1.7</v>
      </c>
      <c r="E21" s="11">
        <v>1.1499999999999999</v>
      </c>
      <c r="F21" s="11" t="s">
        <v>37</v>
      </c>
      <c r="G21" s="11">
        <v>1365.2</v>
      </c>
      <c r="H21" s="11">
        <v>22.3</v>
      </c>
      <c r="I21" s="11">
        <v>4.3</v>
      </c>
      <c r="J21" s="13">
        <v>2700</v>
      </c>
      <c r="K21" s="14">
        <v>86600</v>
      </c>
    </row>
    <row r="22" spans="1:11">
      <c r="A22" s="5" t="s">
        <v>88</v>
      </c>
      <c r="B22" s="11"/>
      <c r="C22" s="11"/>
      <c r="D22" s="11"/>
      <c r="E22" s="11"/>
      <c r="F22" s="11"/>
      <c r="G22" s="11"/>
      <c r="H22" s="11"/>
      <c r="I22" s="11"/>
      <c r="J22" s="13"/>
      <c r="K22" s="14">
        <f>K20+K21</f>
        <v>417100</v>
      </c>
    </row>
    <row r="23" spans="1:11" ht="31.5">
      <c r="A23" s="19" t="s">
        <v>61</v>
      </c>
      <c r="B23" s="4" t="s">
        <v>62</v>
      </c>
      <c r="C23" s="4" t="s">
        <v>63</v>
      </c>
      <c r="D23" s="4" t="s">
        <v>64</v>
      </c>
      <c r="E23" s="4" t="s">
        <v>13</v>
      </c>
      <c r="F23" s="4" t="s">
        <v>65</v>
      </c>
      <c r="G23" s="4" t="s">
        <v>66</v>
      </c>
      <c r="H23" s="11"/>
      <c r="I23" s="11"/>
      <c r="J23" s="13"/>
      <c r="K23" s="14"/>
    </row>
    <row r="24" spans="1:11">
      <c r="A24" s="5" t="s">
        <v>77</v>
      </c>
      <c r="B24" s="20">
        <v>689</v>
      </c>
      <c r="C24" s="11">
        <v>274.39999999999998</v>
      </c>
      <c r="D24" s="11">
        <f>B24-C24</f>
        <v>414.6</v>
      </c>
      <c r="E24" s="11">
        <v>83.03</v>
      </c>
      <c r="F24" s="11">
        <f>E24*D24</f>
        <v>34424.238000000005</v>
      </c>
      <c r="G24" s="13">
        <f>F24*10</f>
        <v>344242.38000000006</v>
      </c>
      <c r="H24" s="11" t="s">
        <v>88</v>
      </c>
      <c r="I24" s="11"/>
      <c r="J24" s="13"/>
      <c r="K24" s="14"/>
    </row>
    <row r="25" spans="1:11">
      <c r="A25" s="5" t="s">
        <v>78</v>
      </c>
      <c r="B25" s="20">
        <v>564</v>
      </c>
      <c r="C25" s="11">
        <v>225.5</v>
      </c>
      <c r="D25" s="20">
        <f>B25-C25</f>
        <v>338.5</v>
      </c>
      <c r="E25" s="11">
        <v>83.03</v>
      </c>
      <c r="F25" s="11">
        <f>E25*D25</f>
        <v>28105.654999999999</v>
      </c>
      <c r="G25" s="13">
        <f>F25*10</f>
        <v>281056.55</v>
      </c>
      <c r="H25" s="13">
        <f>G24+G25</f>
        <v>625298.93000000005</v>
      </c>
      <c r="I25" s="11"/>
      <c r="J25" s="13"/>
      <c r="K25" s="14"/>
    </row>
    <row r="26" spans="1:11">
      <c r="A26" s="1" t="s">
        <v>25</v>
      </c>
      <c r="B26" s="1"/>
      <c r="C26" s="1"/>
      <c r="D26" s="1"/>
      <c r="E26" s="1"/>
      <c r="F26" s="1"/>
      <c r="G26" s="1"/>
      <c r="H26" s="1"/>
      <c r="I26" s="1"/>
      <c r="J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1">
      <c r="A28" s="1"/>
      <c r="B28" s="1"/>
      <c r="C28" s="1"/>
      <c r="D28" s="27"/>
      <c r="E28" s="1"/>
      <c r="F28" s="1"/>
      <c r="G28" s="1"/>
      <c r="H28" s="1"/>
      <c r="I28" s="1"/>
      <c r="J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2">
    <mergeCell ref="A2:K2"/>
    <mergeCell ref="A1:K1"/>
  </mergeCells>
  <pageMargins left="0.7" right="0.7" top="0.75" bottom="0.75" header="0.3" footer="0.3"/>
  <pageSetup scale="5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topLeftCell="A4" zoomScaleNormal="100" workbookViewId="0">
      <selection activeCell="G21" sqref="G21"/>
    </sheetView>
  </sheetViews>
  <sheetFormatPr defaultRowHeight="15"/>
  <cols>
    <col min="1" max="1" width="25.5703125" customWidth="1"/>
    <col min="2" max="2" width="10.5703125" customWidth="1"/>
    <col min="3" max="3" width="13.140625" customWidth="1"/>
    <col min="4" max="4" width="12" customWidth="1"/>
    <col min="5" max="5" width="15.140625" customWidth="1"/>
    <col min="6" max="6" width="11.85546875" customWidth="1"/>
    <col min="7" max="7" width="18.140625" customWidth="1"/>
    <col min="8" max="8" width="15.140625" bestFit="1" customWidth="1"/>
    <col min="9" max="9" width="11.42578125" customWidth="1"/>
    <col min="10" max="10" width="14.7109375" customWidth="1"/>
    <col min="11" max="11" width="12.5703125" customWidth="1"/>
  </cols>
  <sheetData>
    <row r="1" spans="1:11" ht="23.25">
      <c r="A1" s="31" t="s">
        <v>86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3.25">
      <c r="A2" s="29" t="s">
        <v>39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ht="46.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H3" s="4" t="s">
        <v>87</v>
      </c>
      <c r="I3" s="3" t="s">
        <v>8</v>
      </c>
      <c r="J3" s="3" t="s">
        <v>9</v>
      </c>
      <c r="K3" s="4" t="s">
        <v>10</v>
      </c>
    </row>
    <row r="4" spans="1:11" ht="17.25">
      <c r="A4" s="5" t="s">
        <v>69</v>
      </c>
      <c r="B4" s="16">
        <v>27.7</v>
      </c>
      <c r="C4" s="17">
        <v>1.08</v>
      </c>
      <c r="D4" s="12">
        <v>1.7</v>
      </c>
      <c r="E4" s="12">
        <v>1.1499999999999999</v>
      </c>
      <c r="F4" s="12" t="s">
        <v>40</v>
      </c>
      <c r="G4" s="12">
        <v>2559.8000000000002</v>
      </c>
      <c r="H4" s="16">
        <v>377.3</v>
      </c>
      <c r="I4" s="12">
        <v>703.4</v>
      </c>
      <c r="J4" s="14">
        <v>46000</v>
      </c>
      <c r="K4" s="14">
        <v>73800</v>
      </c>
    </row>
    <row r="5" spans="1:11" ht="17.25">
      <c r="A5" s="5" t="s">
        <v>68</v>
      </c>
      <c r="B5" s="16">
        <v>27.7</v>
      </c>
      <c r="C5" s="17">
        <v>1.08</v>
      </c>
      <c r="D5" s="12">
        <v>1.7</v>
      </c>
      <c r="E5" s="12">
        <v>1.1499999999999999</v>
      </c>
      <c r="F5" s="12" t="s">
        <v>41</v>
      </c>
      <c r="G5" s="12">
        <v>2559.8000000000002</v>
      </c>
      <c r="H5" s="16">
        <v>344.3</v>
      </c>
      <c r="I5" s="12">
        <v>187.5</v>
      </c>
      <c r="J5" s="14">
        <v>10750</v>
      </c>
      <c r="K5" s="14">
        <v>17200</v>
      </c>
    </row>
    <row r="6" spans="1:11" ht="17.25">
      <c r="A6" s="5" t="s">
        <v>67</v>
      </c>
      <c r="B6" s="16">
        <v>7</v>
      </c>
      <c r="C6" s="17">
        <v>1</v>
      </c>
      <c r="D6" s="12">
        <v>1.7</v>
      </c>
      <c r="E6" s="12">
        <v>1.1499999999999999</v>
      </c>
      <c r="F6" s="12" t="s">
        <v>42</v>
      </c>
      <c r="G6" s="12">
        <v>3336.9</v>
      </c>
      <c r="H6" s="16">
        <v>302.60000000000002</v>
      </c>
      <c r="I6" s="12">
        <v>34.4</v>
      </c>
      <c r="J6" s="14">
        <v>6100</v>
      </c>
      <c r="K6" s="14">
        <v>9790</v>
      </c>
    </row>
    <row r="7" spans="1:11" ht="17.25">
      <c r="A7" s="5" t="s">
        <v>70</v>
      </c>
      <c r="B7" s="16">
        <v>5.5</v>
      </c>
      <c r="C7" s="17">
        <v>1</v>
      </c>
      <c r="D7" s="12">
        <v>1.7</v>
      </c>
      <c r="E7" s="12">
        <v>1.1499999999999999</v>
      </c>
      <c r="F7" s="12" t="s">
        <v>43</v>
      </c>
      <c r="G7" s="12">
        <v>2559.8000000000002</v>
      </c>
      <c r="H7" s="16">
        <v>285.89999999999998</v>
      </c>
      <c r="I7" s="12">
        <v>31.8</v>
      </c>
      <c r="J7" s="14">
        <v>6000</v>
      </c>
      <c r="K7" s="14">
        <v>9630</v>
      </c>
    </row>
    <row r="8" spans="1:11" ht="17.25">
      <c r="A8" s="5" t="s">
        <v>79</v>
      </c>
      <c r="B8" s="16">
        <v>6.3</v>
      </c>
      <c r="C8" s="17">
        <v>1</v>
      </c>
      <c r="D8" s="12">
        <v>1.7</v>
      </c>
      <c r="E8" s="12">
        <v>1.1499999999999999</v>
      </c>
      <c r="F8" s="12" t="s">
        <v>44</v>
      </c>
      <c r="G8" s="12">
        <v>2559.8000000000002</v>
      </c>
      <c r="H8" s="16">
        <v>275.39999999999998</v>
      </c>
      <c r="I8" s="12">
        <v>161.9</v>
      </c>
      <c r="J8" s="14">
        <v>16500</v>
      </c>
      <c r="K8" s="14">
        <v>26500</v>
      </c>
    </row>
    <row r="9" spans="1:11" ht="17.25">
      <c r="A9" s="15" t="s">
        <v>80</v>
      </c>
      <c r="B9" s="16">
        <v>5.5</v>
      </c>
      <c r="C9" s="17">
        <v>1</v>
      </c>
      <c r="D9" s="12">
        <v>1.7</v>
      </c>
      <c r="E9" s="12">
        <v>1.1499999999999999</v>
      </c>
      <c r="F9" s="12" t="s">
        <v>45</v>
      </c>
      <c r="G9" s="12">
        <v>2389.1</v>
      </c>
      <c r="H9" s="16">
        <v>273</v>
      </c>
      <c r="I9" s="12">
        <v>29.8</v>
      </c>
      <c r="J9" s="14">
        <v>6000</v>
      </c>
      <c r="K9" s="14">
        <v>9630</v>
      </c>
    </row>
    <row r="10" spans="1:11">
      <c r="A10" s="15" t="s">
        <v>88</v>
      </c>
      <c r="B10" s="7"/>
      <c r="C10" s="7"/>
      <c r="D10" s="7"/>
      <c r="E10" s="7"/>
      <c r="F10" s="7"/>
      <c r="G10" s="7"/>
      <c r="H10" s="7"/>
      <c r="I10" s="7"/>
      <c r="J10" s="7"/>
      <c r="K10" s="22">
        <f>SUM((K4:K9))</f>
        <v>146550</v>
      </c>
    </row>
    <row r="11" spans="1:11" ht="60.75">
      <c r="A11" s="2" t="s">
        <v>46</v>
      </c>
      <c r="B11" s="3" t="s">
        <v>47</v>
      </c>
      <c r="C11" s="3" t="s">
        <v>48</v>
      </c>
      <c r="D11" s="3" t="s">
        <v>49</v>
      </c>
      <c r="E11" s="3" t="s">
        <v>15</v>
      </c>
      <c r="F11" s="3" t="s">
        <v>17</v>
      </c>
      <c r="G11" s="4" t="s">
        <v>50</v>
      </c>
      <c r="H11" s="3" t="s">
        <v>51</v>
      </c>
      <c r="I11" s="6"/>
      <c r="J11" s="6"/>
      <c r="K11" s="6"/>
    </row>
    <row r="12" spans="1:11" ht="16.5">
      <c r="A12" s="5" t="s">
        <v>75</v>
      </c>
      <c r="B12" s="11" t="s">
        <v>34</v>
      </c>
      <c r="C12" s="11" t="s">
        <v>54</v>
      </c>
      <c r="D12" s="11">
        <v>227.2</v>
      </c>
      <c r="E12" s="11">
        <v>1.74</v>
      </c>
      <c r="F12" s="11">
        <v>2.61</v>
      </c>
      <c r="G12" s="13">
        <v>8500</v>
      </c>
      <c r="H12" s="13">
        <v>11900</v>
      </c>
      <c r="I12" s="6"/>
      <c r="J12" s="6"/>
      <c r="K12" s="6"/>
    </row>
    <row r="13" spans="1:11" ht="16.5">
      <c r="A13" s="5" t="s">
        <v>81</v>
      </c>
      <c r="B13" s="11" t="s">
        <v>52</v>
      </c>
      <c r="C13" s="11" t="s">
        <v>55</v>
      </c>
      <c r="D13" s="11">
        <v>620.9</v>
      </c>
      <c r="E13" s="11">
        <v>2.4300000000000002</v>
      </c>
      <c r="F13" s="11">
        <v>3.65</v>
      </c>
      <c r="G13" s="13">
        <v>14000</v>
      </c>
      <c r="H13" s="13">
        <v>19500</v>
      </c>
      <c r="I13" s="6"/>
      <c r="J13" s="6"/>
      <c r="K13" s="6"/>
    </row>
    <row r="14" spans="1:11" ht="16.5">
      <c r="A14" s="5" t="s">
        <v>82</v>
      </c>
      <c r="B14" s="11" t="s">
        <v>53</v>
      </c>
      <c r="C14" s="11" t="s">
        <v>56</v>
      </c>
      <c r="D14" s="11">
        <v>641.20000000000005</v>
      </c>
      <c r="E14" s="11">
        <v>2.46</v>
      </c>
      <c r="F14" s="11">
        <v>3.69</v>
      </c>
      <c r="G14" s="13">
        <v>14000</v>
      </c>
      <c r="H14" s="13">
        <v>19500</v>
      </c>
      <c r="I14" s="6"/>
      <c r="J14" s="6"/>
      <c r="K14" s="6"/>
    </row>
    <row r="15" spans="1:11">
      <c r="A15" s="5" t="s">
        <v>88</v>
      </c>
      <c r="B15" s="7"/>
      <c r="C15" s="7"/>
      <c r="D15" s="7"/>
      <c r="E15" s="21"/>
      <c r="F15" s="21"/>
      <c r="G15" s="13"/>
      <c r="H15" s="13">
        <f>H12+H13+H14</f>
        <v>50900</v>
      </c>
      <c r="I15" s="7"/>
      <c r="J15" s="7"/>
      <c r="K15" s="7"/>
    </row>
    <row r="16" spans="1:11" ht="64.5" customHeight="1">
      <c r="A16" s="2" t="s">
        <v>57</v>
      </c>
      <c r="B16" s="3" t="s">
        <v>47</v>
      </c>
      <c r="C16" s="3" t="s">
        <v>48</v>
      </c>
      <c r="D16" s="3" t="s">
        <v>49</v>
      </c>
      <c r="E16" s="3" t="s">
        <v>15</v>
      </c>
      <c r="F16" s="3" t="s">
        <v>17</v>
      </c>
      <c r="G16" s="4" t="s">
        <v>50</v>
      </c>
      <c r="H16" s="3" t="s">
        <v>51</v>
      </c>
      <c r="I16" s="7"/>
      <c r="J16" s="7"/>
      <c r="K16" s="7"/>
    </row>
    <row r="17" spans="1:11" ht="16.5">
      <c r="A17" s="15" t="s">
        <v>83</v>
      </c>
      <c r="B17" s="18" t="s">
        <v>58</v>
      </c>
      <c r="C17" s="11" t="s">
        <v>59</v>
      </c>
      <c r="D17" s="11">
        <v>559.1</v>
      </c>
      <c r="E17" s="11">
        <v>2.38</v>
      </c>
      <c r="F17" s="11">
        <v>11.7</v>
      </c>
      <c r="G17" s="13">
        <v>22000</v>
      </c>
      <c r="H17" s="13">
        <v>30700</v>
      </c>
      <c r="I17" s="7"/>
      <c r="J17" s="7"/>
      <c r="K17" s="7"/>
    </row>
    <row r="18" spans="1:11">
      <c r="A18" s="5" t="s">
        <v>84</v>
      </c>
      <c r="B18" s="7"/>
      <c r="C18" s="7"/>
      <c r="D18" s="7"/>
      <c r="E18" s="21">
        <v>4</v>
      </c>
      <c r="F18" s="21">
        <v>70</v>
      </c>
      <c r="G18" s="13">
        <v>37000</v>
      </c>
      <c r="H18" s="13">
        <v>222000</v>
      </c>
      <c r="I18" s="7"/>
      <c r="J18" s="10" t="s">
        <v>89</v>
      </c>
      <c r="K18" s="7"/>
    </row>
    <row r="19" spans="1:11">
      <c r="A19" s="5" t="s">
        <v>85</v>
      </c>
      <c r="B19" s="7"/>
      <c r="C19" s="7"/>
      <c r="D19" s="7"/>
      <c r="E19" s="21">
        <v>4</v>
      </c>
      <c r="F19" s="21"/>
      <c r="G19" s="13">
        <v>10000</v>
      </c>
      <c r="H19" s="13">
        <v>1197000</v>
      </c>
      <c r="I19" s="7"/>
      <c r="J19" s="22">
        <f>Sheet1!K11+Sheet1!H15+Sheet1!G17+Sheet1!K22+Sheet2!H25+Sheet2!K10+Sheet2!H15+Sheet2!H20</f>
        <v>72331010</v>
      </c>
      <c r="K19" s="7"/>
    </row>
    <row r="20" spans="1:11">
      <c r="A20" s="23" t="s">
        <v>88</v>
      </c>
      <c r="H20" s="24">
        <f>H17+H18+H19</f>
        <v>1449700</v>
      </c>
    </row>
  </sheetData>
  <mergeCells count="2">
    <mergeCell ref="A2:K2"/>
    <mergeCell ref="A1:K1"/>
  </mergeCells>
  <pageMargins left="0.7" right="0.7" top="0.75" bottom="0.75" header="0.3" footer="0.3"/>
  <pageSetup scale="56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topLeftCell="A2" zoomScaleNormal="100" workbookViewId="0">
      <selection activeCell="A16" sqref="A16"/>
    </sheetView>
  </sheetViews>
  <sheetFormatPr defaultRowHeight="15"/>
  <cols>
    <col min="1" max="1" width="32.28515625" customWidth="1"/>
    <col min="2" max="2" width="22" customWidth="1"/>
  </cols>
  <sheetData>
    <row r="1" spans="1:6" s="26" customFormat="1" ht="23.25">
      <c r="A1" s="28" t="s">
        <v>86</v>
      </c>
      <c r="B1" s="28"/>
    </row>
    <row r="2" spans="1:6" ht="23.25">
      <c r="A2" s="28" t="s">
        <v>60</v>
      </c>
      <c r="B2" s="28"/>
    </row>
    <row r="3" spans="1:6" ht="18.75">
      <c r="A3" s="6" t="s">
        <v>96</v>
      </c>
      <c r="B3" s="25">
        <v>72331010</v>
      </c>
    </row>
    <row r="4" spans="1:6">
      <c r="A4" s="6" t="s">
        <v>90</v>
      </c>
      <c r="B4" s="25">
        <f>4.8*B3</f>
        <v>347188848</v>
      </c>
    </row>
    <row r="5" spans="1:6">
      <c r="A5" s="6" t="s">
        <v>91</v>
      </c>
      <c r="B5" s="25">
        <f>B4*0.03</f>
        <v>10415665.439999999</v>
      </c>
      <c r="F5">
        <f>(Sheet1!K22)/(1+0.03)^4</f>
        <v>370587.94768563384</v>
      </c>
    </row>
    <row r="6" spans="1:6" s="26" customFormat="1">
      <c r="A6" s="6" t="s">
        <v>97</v>
      </c>
      <c r="B6" s="25">
        <f>F8</f>
        <v>868319.05714133231</v>
      </c>
      <c r="F6" s="26">
        <f>F5/(1+0.03)^8</f>
        <v>292545.54802848911</v>
      </c>
    </row>
    <row r="7" spans="1:6">
      <c r="A7" s="6" t="s">
        <v>92</v>
      </c>
      <c r="B7" s="25">
        <f>B3/15</f>
        <v>4822067.333333333</v>
      </c>
      <c r="F7">
        <f>F6/(1+0.03)^12</f>
        <v>205185.56142720938</v>
      </c>
    </row>
    <row r="8" spans="1:6">
      <c r="A8" s="6" t="s">
        <v>94</v>
      </c>
      <c r="B8" s="25">
        <f>219698000000-B5-B7-B6</f>
        <v>219681893948.16953</v>
      </c>
      <c r="F8">
        <f>F5+F6+F7</f>
        <v>868319.05714133231</v>
      </c>
    </row>
    <row r="9" spans="1:6">
      <c r="A9" s="6" t="s">
        <v>93</v>
      </c>
      <c r="B9" s="25">
        <f>0.33*B8</f>
        <v>72495025002.89595</v>
      </c>
    </row>
    <row r="10" spans="1:6">
      <c r="A10" s="6" t="s">
        <v>95</v>
      </c>
      <c r="B10" s="25">
        <f>B8-B9</f>
        <v>147186868945.27356</v>
      </c>
    </row>
    <row r="11" spans="1:6">
      <c r="A11" s="1"/>
      <c r="B11" s="1"/>
    </row>
    <row r="12" spans="1:6">
      <c r="A12" s="1"/>
      <c r="B12" s="1"/>
    </row>
    <row r="13" spans="1:6">
      <c r="A13" s="1"/>
      <c r="B13" s="1"/>
    </row>
    <row r="14" spans="1:6">
      <c r="A14" s="1"/>
      <c r="B14" s="1"/>
    </row>
    <row r="15" spans="1:6">
      <c r="A15" s="1"/>
      <c r="B15" s="1"/>
    </row>
    <row r="16" spans="1:6">
      <c r="A16" s="1"/>
      <c r="B16" s="1"/>
    </row>
    <row r="17" spans="1:2">
      <c r="A17" s="1"/>
      <c r="B17" s="1"/>
    </row>
  </sheetData>
  <mergeCells count="2">
    <mergeCell ref="A1:B1"/>
    <mergeCell ref="A2:B2"/>
  </mergeCells>
  <pageMargins left="0.7" right="0.7" top="0.75" bottom="0.75" header="0.3" footer="0.3"/>
  <pageSetup orientation="portrait" verticalDpi="0" r:id="rId1"/>
  <colBreaks count="1" manualBreakCount="1">
    <brk id="3" max="10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zoomScaleNormal="100" workbookViewId="0">
      <selection activeCell="K8" sqref="K8"/>
    </sheetView>
  </sheetViews>
  <sheetFormatPr defaultRowHeight="15"/>
  <cols>
    <col min="1" max="1" width="14.140625" customWidth="1"/>
    <col min="2" max="2" width="14.42578125" customWidth="1"/>
    <col min="3" max="3" width="11.140625" customWidth="1"/>
    <col min="4" max="4" width="16.28515625" bestFit="1" customWidth="1"/>
    <col min="5" max="5" width="13.5703125" customWidth="1"/>
    <col min="6" max="6" width="10.7109375" bestFit="1" customWidth="1"/>
    <col min="7" max="7" width="11.42578125" bestFit="1" customWidth="1"/>
  </cols>
  <sheetData>
    <row r="1" spans="1:7" ht="23.25">
      <c r="A1" s="31" t="s">
        <v>86</v>
      </c>
      <c r="B1" s="31"/>
      <c r="C1" s="31"/>
      <c r="D1" s="31"/>
      <c r="E1" s="31"/>
      <c r="F1" s="31"/>
      <c r="G1" s="31"/>
    </row>
    <row r="2" spans="1:7" ht="23.25">
      <c r="A2" s="31" t="s">
        <v>98</v>
      </c>
      <c r="B2" s="31"/>
      <c r="C2" s="31"/>
      <c r="D2" s="31"/>
      <c r="E2" s="31"/>
      <c r="F2" s="31"/>
      <c r="G2" s="31"/>
    </row>
    <row r="3" spans="1:7" ht="15.75">
      <c r="A3" s="32" t="s">
        <v>99</v>
      </c>
      <c r="B3" s="32"/>
      <c r="C3" s="32"/>
      <c r="D3" s="32"/>
      <c r="E3" s="32"/>
      <c r="F3" s="32"/>
      <c r="G3" s="32"/>
    </row>
    <row r="4" spans="1:7" ht="45.75" customHeight="1">
      <c r="A4" s="33" t="s">
        <v>105</v>
      </c>
      <c r="B4" s="33" t="s">
        <v>100</v>
      </c>
      <c r="C4" s="33" t="s">
        <v>101</v>
      </c>
      <c r="D4" s="33" t="s">
        <v>102</v>
      </c>
      <c r="E4" s="6"/>
      <c r="F4" s="6"/>
      <c r="G4" s="6"/>
    </row>
    <row r="5" spans="1:7">
      <c r="A5" s="11">
        <f>30884.4*3600</f>
        <v>111183840</v>
      </c>
      <c r="B5" s="11">
        <f>256400*3600</f>
        <v>923040000</v>
      </c>
      <c r="C5" s="11">
        <f>B5-A5</f>
        <v>811856160</v>
      </c>
      <c r="D5" s="13">
        <f>C5*0.03</f>
        <v>24355684.800000001</v>
      </c>
      <c r="E5" s="6"/>
      <c r="F5" s="6"/>
      <c r="G5" s="6"/>
    </row>
    <row r="6" spans="1:7" s="26" customFormat="1">
      <c r="A6" s="37"/>
      <c r="B6" s="38"/>
      <c r="C6" s="38"/>
      <c r="D6" s="38"/>
      <c r="E6" s="38"/>
      <c r="F6" s="38"/>
      <c r="G6" s="39"/>
    </row>
    <row r="7" spans="1:7" ht="15.75">
      <c r="A7" s="32" t="s">
        <v>103</v>
      </c>
      <c r="B7" s="32"/>
      <c r="C7" s="32"/>
      <c r="D7" s="32"/>
      <c r="E7" s="32"/>
      <c r="F7" s="32"/>
      <c r="G7" s="32"/>
    </row>
    <row r="8" spans="1:7" ht="44.25" customHeight="1">
      <c r="A8" s="33" t="s">
        <v>104</v>
      </c>
      <c r="B8" s="33" t="s">
        <v>106</v>
      </c>
      <c r="C8" s="33" t="s">
        <v>107</v>
      </c>
      <c r="D8" s="33" t="s">
        <v>108</v>
      </c>
      <c r="E8" s="33" t="s">
        <v>109</v>
      </c>
      <c r="F8" s="33" t="s">
        <v>110</v>
      </c>
      <c r="G8" s="33" t="s">
        <v>111</v>
      </c>
    </row>
    <row r="9" spans="1:7">
      <c r="A9" s="11">
        <f>11864+188992+354360+193536000</f>
        <v>194091216</v>
      </c>
      <c r="B9" s="11">
        <f>A9/1000</f>
        <v>194091.21599999999</v>
      </c>
      <c r="C9" s="11">
        <f>B9*0.5</f>
        <v>97045.607999999993</v>
      </c>
      <c r="D9" s="11">
        <v>710003</v>
      </c>
      <c r="E9" s="11">
        <f>D9/1000</f>
        <v>710.00300000000004</v>
      </c>
      <c r="F9" s="13">
        <f>E9*0.35</f>
        <v>248.50104999999999</v>
      </c>
      <c r="G9" s="13">
        <f>C9-F9</f>
        <v>96797.106949999987</v>
      </c>
    </row>
    <row r="10" spans="1:7" s="26" customFormat="1">
      <c r="A10" s="37"/>
      <c r="B10" s="38"/>
      <c r="C10" s="38"/>
      <c r="D10" s="38"/>
      <c r="E10" s="38"/>
      <c r="F10" s="38"/>
      <c r="G10" s="39"/>
    </row>
    <row r="11" spans="1:7" ht="15.75">
      <c r="A11" s="32" t="s">
        <v>112</v>
      </c>
      <c r="B11" s="32"/>
      <c r="C11" s="32"/>
      <c r="D11" s="32"/>
      <c r="E11" s="32"/>
      <c r="F11" s="32"/>
      <c r="G11" s="32"/>
    </row>
    <row r="12" spans="1:7" ht="57.75">
      <c r="A12" s="33" t="s">
        <v>113</v>
      </c>
      <c r="B12" s="33" t="s">
        <v>114</v>
      </c>
      <c r="C12" s="33" t="s">
        <v>115</v>
      </c>
      <c r="D12" s="33" t="s">
        <v>116</v>
      </c>
      <c r="E12" s="33" t="s">
        <v>117</v>
      </c>
      <c r="F12" s="33" t="s">
        <v>118</v>
      </c>
      <c r="G12" s="6"/>
    </row>
    <row r="13" spans="1:7">
      <c r="A13" s="11">
        <v>1005946</v>
      </c>
      <c r="B13" s="11">
        <v>4605022</v>
      </c>
      <c r="C13" s="11">
        <f>B13-A13</f>
        <v>3599076</v>
      </c>
      <c r="D13" s="11">
        <v>3360000</v>
      </c>
      <c r="E13" s="13">
        <v>16800</v>
      </c>
      <c r="F13" s="13">
        <v>7198</v>
      </c>
      <c r="G13" s="6"/>
    </row>
    <row r="14" spans="1:7">
      <c r="A14" s="37"/>
      <c r="B14" s="38"/>
      <c r="C14" s="38"/>
      <c r="D14" s="38"/>
      <c r="E14" s="38"/>
      <c r="F14" s="38"/>
      <c r="G14" s="39"/>
    </row>
    <row r="15" spans="1:7" ht="15.75">
      <c r="A15" s="34" t="s">
        <v>119</v>
      </c>
      <c r="B15" s="35"/>
      <c r="C15" s="35"/>
      <c r="D15" s="35"/>
      <c r="E15" s="35"/>
      <c r="F15" s="35"/>
      <c r="G15" s="36"/>
    </row>
    <row r="16" spans="1:7" ht="57.75">
      <c r="A16" s="33" t="s">
        <v>120</v>
      </c>
      <c r="B16" s="33" t="s">
        <v>121</v>
      </c>
      <c r="C16" s="33" t="s">
        <v>122</v>
      </c>
      <c r="D16" s="33" t="s">
        <v>123</v>
      </c>
      <c r="E16" s="6"/>
      <c r="F16" s="6"/>
      <c r="G16" s="6"/>
    </row>
    <row r="17" spans="1:7">
      <c r="A17" s="11">
        <v>955900</v>
      </c>
      <c r="B17" s="11">
        <v>151997.5</v>
      </c>
      <c r="C17" s="11">
        <f>A17-B17</f>
        <v>803902.5</v>
      </c>
      <c r="D17" s="13">
        <v>12648</v>
      </c>
      <c r="E17" s="6"/>
      <c r="F17" s="6"/>
      <c r="G17" s="6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</sheetData>
  <mergeCells count="9">
    <mergeCell ref="A7:G7"/>
    <mergeCell ref="A3:G3"/>
    <mergeCell ref="A2:G2"/>
    <mergeCell ref="A1:G1"/>
    <mergeCell ref="A11:G11"/>
    <mergeCell ref="A15:G15"/>
    <mergeCell ref="A6:G6"/>
    <mergeCell ref="A10:G10"/>
    <mergeCell ref="A14:G14"/>
  </mergeCells>
  <pageMargins left="0.7" right="0.7" top="0.75" bottom="0.75" header="0.3" footer="0.3"/>
  <pageSetup scale="9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Sheet1!Print_Area</vt:lpstr>
      <vt:lpstr>Sheet2!Print_Area</vt:lpstr>
      <vt:lpstr>Sheet3!Print_Area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Chelellen</dc:creator>
  <cp:lastModifiedBy>Chelellen</cp:lastModifiedBy>
  <dcterms:created xsi:type="dcterms:W3CDTF">2011-05-08T14:19:25Z</dcterms:created>
  <dcterms:modified xsi:type="dcterms:W3CDTF">2011-05-09T06:07:06Z</dcterms:modified>
</cp:coreProperties>
</file>