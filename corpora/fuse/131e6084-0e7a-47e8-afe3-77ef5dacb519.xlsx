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60" yWindow="300" windowWidth="14850" windowHeight="9000"/>
  </bookViews>
  <sheets>
    <sheet name="A" sheetId="1" r:id="rId1"/>
  </sheets>
  <definedNames>
    <definedName name="_xlnm.Print_Area" localSheetId="0">A!$A$1:$S$147</definedName>
    <definedName name="_xlnm.Print_Area">A!$A$58:$S$102</definedName>
  </definedNames>
  <calcPr calcId="125725"/>
</workbook>
</file>

<file path=xl/calcChain.xml><?xml version="1.0" encoding="utf-8"?>
<calcChain xmlns="http://schemas.openxmlformats.org/spreadsheetml/2006/main">
  <c r="P56" i="1"/>
  <c r="N56"/>
  <c r="R56" s="1"/>
  <c r="L56"/>
  <c r="K56"/>
  <c r="I56"/>
  <c r="F56"/>
  <c r="E56"/>
  <c r="C56"/>
  <c r="P55"/>
  <c r="N55"/>
  <c r="R55" s="1"/>
  <c r="L55"/>
  <c r="K55"/>
  <c r="I55"/>
  <c r="F55"/>
  <c r="E55"/>
  <c r="C55"/>
  <c r="Q56" l="1"/>
  <c r="G56"/>
  <c r="S56"/>
  <c r="M56"/>
  <c r="O56"/>
  <c r="P54" l="1"/>
  <c r="Q54" s="1"/>
  <c r="N54"/>
  <c r="O54" s="1"/>
  <c r="L54"/>
  <c r="M54" s="1"/>
  <c r="K54"/>
  <c r="I54"/>
  <c r="F54"/>
  <c r="G54" s="1"/>
  <c r="E54"/>
  <c r="C54"/>
  <c r="P53"/>
  <c r="Q55" s="1"/>
  <c r="N53"/>
  <c r="O55" s="1"/>
  <c r="L53"/>
  <c r="M55" s="1"/>
  <c r="K53"/>
  <c r="I53"/>
  <c r="F53"/>
  <c r="G55" s="1"/>
  <c r="E53"/>
  <c r="C53"/>
  <c r="P52"/>
  <c r="N52"/>
  <c r="L52"/>
  <c r="M53"/>
  <c r="K52"/>
  <c r="I52"/>
  <c r="F52"/>
  <c r="E52"/>
  <c r="C52"/>
  <c r="K51"/>
  <c r="K50"/>
  <c r="I51"/>
  <c r="I50"/>
  <c r="E51"/>
  <c r="E50"/>
  <c r="C50"/>
  <c r="C51"/>
  <c r="N50"/>
  <c r="P50"/>
  <c r="Q50" s="1"/>
  <c r="L50"/>
  <c r="M50" s="1"/>
  <c r="F50"/>
  <c r="N51"/>
  <c r="O51"/>
  <c r="P51"/>
  <c r="R51" s="1"/>
  <c r="N49"/>
  <c r="O49" s="1"/>
  <c r="P49"/>
  <c r="L51"/>
  <c r="M51"/>
  <c r="L49"/>
  <c r="F51"/>
  <c r="G51" s="1"/>
  <c r="F49"/>
  <c r="G50" s="1"/>
  <c r="K49"/>
  <c r="I49"/>
  <c r="E49"/>
  <c r="C49"/>
  <c r="N48"/>
  <c r="P48"/>
  <c r="Q48" s="1"/>
  <c r="N47"/>
  <c r="O48" s="1"/>
  <c r="P47"/>
  <c r="R47"/>
  <c r="L48"/>
  <c r="M49" s="1"/>
  <c r="L47"/>
  <c r="K48"/>
  <c r="I48"/>
  <c r="F48"/>
  <c r="F47"/>
  <c r="E48"/>
  <c r="C48"/>
  <c r="F7"/>
  <c r="N7"/>
  <c r="P7"/>
  <c r="R7"/>
  <c r="C8"/>
  <c r="E8"/>
  <c r="F8"/>
  <c r="G8"/>
  <c r="N8"/>
  <c r="O8" s="1"/>
  <c r="P8"/>
  <c r="Q8"/>
  <c r="R8"/>
  <c r="C9"/>
  <c r="E9"/>
  <c r="F9"/>
  <c r="G9" s="1"/>
  <c r="N9"/>
  <c r="O9" s="1"/>
  <c r="P9"/>
  <c r="Q9" s="1"/>
  <c r="C10"/>
  <c r="E10"/>
  <c r="F10"/>
  <c r="G11" s="1"/>
  <c r="N10"/>
  <c r="O10" s="1"/>
  <c r="P10"/>
  <c r="R10" s="1"/>
  <c r="S10" s="1"/>
  <c r="C11"/>
  <c r="E11"/>
  <c r="F11"/>
  <c r="L11"/>
  <c r="N11"/>
  <c r="O12" s="1"/>
  <c r="P11"/>
  <c r="Q11" s="1"/>
  <c r="R11"/>
  <c r="S11" s="1"/>
  <c r="C12"/>
  <c r="E12"/>
  <c r="F12"/>
  <c r="G12" s="1"/>
  <c r="I12"/>
  <c r="L12"/>
  <c r="M12"/>
  <c r="N12"/>
  <c r="P12"/>
  <c r="R12"/>
  <c r="S12" s="1"/>
  <c r="C13"/>
  <c r="E13"/>
  <c r="F13"/>
  <c r="G13" s="1"/>
  <c r="I13"/>
  <c r="L13"/>
  <c r="M13"/>
  <c r="N13"/>
  <c r="O13"/>
  <c r="P13"/>
  <c r="R13"/>
  <c r="Q13"/>
  <c r="C14"/>
  <c r="E14"/>
  <c r="F14"/>
  <c r="G14" s="1"/>
  <c r="I14"/>
  <c r="L14"/>
  <c r="M14"/>
  <c r="N14"/>
  <c r="O14"/>
  <c r="P14"/>
  <c r="Q14"/>
  <c r="C15"/>
  <c r="E15"/>
  <c r="F15"/>
  <c r="G15"/>
  <c r="I15"/>
  <c r="K15"/>
  <c r="L15"/>
  <c r="M15"/>
  <c r="N15"/>
  <c r="O15"/>
  <c r="P15"/>
  <c r="Q15"/>
  <c r="R15"/>
  <c r="C16"/>
  <c r="E16"/>
  <c r="F16"/>
  <c r="G16" s="1"/>
  <c r="I16"/>
  <c r="K16"/>
  <c r="L16"/>
  <c r="M16" s="1"/>
  <c r="N16"/>
  <c r="O16" s="1"/>
  <c r="P16"/>
  <c r="R16" s="1"/>
  <c r="S16" s="1"/>
  <c r="C17"/>
  <c r="E17"/>
  <c r="F17"/>
  <c r="G17" s="1"/>
  <c r="I17"/>
  <c r="K17"/>
  <c r="L17"/>
  <c r="M17" s="1"/>
  <c r="N17"/>
  <c r="R17" s="1"/>
  <c r="P17"/>
  <c r="C18"/>
  <c r="E18"/>
  <c r="F18"/>
  <c r="G18"/>
  <c r="I18"/>
  <c r="K18"/>
  <c r="L18"/>
  <c r="M18"/>
  <c r="N18"/>
  <c r="P18"/>
  <c r="Q18"/>
  <c r="R18"/>
  <c r="C19"/>
  <c r="E19"/>
  <c r="F19"/>
  <c r="G19" s="1"/>
  <c r="I19"/>
  <c r="K19"/>
  <c r="L19"/>
  <c r="M19" s="1"/>
  <c r="N19"/>
  <c r="O19"/>
  <c r="P19"/>
  <c r="R19" s="1"/>
  <c r="C20"/>
  <c r="E20"/>
  <c r="F20"/>
  <c r="G20" s="1"/>
  <c r="I20"/>
  <c r="K20"/>
  <c r="L20"/>
  <c r="M20" s="1"/>
  <c r="N20"/>
  <c r="O20" s="1"/>
  <c r="P20"/>
  <c r="Q20" s="1"/>
  <c r="R20"/>
  <c r="C21"/>
  <c r="E21"/>
  <c r="F21"/>
  <c r="G21"/>
  <c r="I21"/>
  <c r="K21"/>
  <c r="L21"/>
  <c r="M21"/>
  <c r="N21"/>
  <c r="O21" s="1"/>
  <c r="P21"/>
  <c r="R21"/>
  <c r="S21" s="1"/>
  <c r="C22"/>
  <c r="E22"/>
  <c r="F22"/>
  <c r="G22" s="1"/>
  <c r="I22"/>
  <c r="K22"/>
  <c r="L22"/>
  <c r="M22" s="1"/>
  <c r="N22"/>
  <c r="O22" s="1"/>
  <c r="P22"/>
  <c r="R22" s="1"/>
  <c r="S22" s="1"/>
  <c r="C23"/>
  <c r="E23"/>
  <c r="F23"/>
  <c r="G23" s="1"/>
  <c r="I23"/>
  <c r="K23"/>
  <c r="L23"/>
  <c r="M23" s="1"/>
  <c r="N23"/>
  <c r="R23" s="1"/>
  <c r="S23" s="1"/>
  <c r="P23"/>
  <c r="C24"/>
  <c r="E24"/>
  <c r="F24"/>
  <c r="G24"/>
  <c r="I24"/>
  <c r="K24"/>
  <c r="L24"/>
  <c r="M24"/>
  <c r="N24"/>
  <c r="O24" s="1"/>
  <c r="P24"/>
  <c r="Q24"/>
  <c r="R24"/>
  <c r="C25"/>
  <c r="E25"/>
  <c r="F25"/>
  <c r="G25" s="1"/>
  <c r="I25"/>
  <c r="K25"/>
  <c r="L25"/>
  <c r="M25" s="1"/>
  <c r="N25"/>
  <c r="O25"/>
  <c r="P25"/>
  <c r="R25" s="1"/>
  <c r="C26"/>
  <c r="E26"/>
  <c r="F26"/>
  <c r="G26" s="1"/>
  <c r="I26"/>
  <c r="K26"/>
  <c r="L26"/>
  <c r="M26" s="1"/>
  <c r="N26"/>
  <c r="O26" s="1"/>
  <c r="P26"/>
  <c r="Q26" s="1"/>
  <c r="R26"/>
  <c r="C27"/>
  <c r="E27"/>
  <c r="F27"/>
  <c r="G27"/>
  <c r="I27"/>
  <c r="K27"/>
  <c r="L27"/>
  <c r="M27"/>
  <c r="N27"/>
  <c r="O27" s="1"/>
  <c r="P27"/>
  <c r="R27"/>
  <c r="S27" s="1"/>
  <c r="C28"/>
  <c r="E28"/>
  <c r="F28"/>
  <c r="G29" s="1"/>
  <c r="I28"/>
  <c r="K28"/>
  <c r="L28"/>
  <c r="M29" s="1"/>
  <c r="N28"/>
  <c r="O28" s="1"/>
  <c r="P28"/>
  <c r="R28" s="1"/>
  <c r="S28" s="1"/>
  <c r="C29"/>
  <c r="E29"/>
  <c r="F29"/>
  <c r="I29"/>
  <c r="K29"/>
  <c r="L29"/>
  <c r="N29"/>
  <c r="O29"/>
  <c r="P29"/>
  <c r="R29"/>
  <c r="S29" s="1"/>
  <c r="C30"/>
  <c r="E30"/>
  <c r="F30"/>
  <c r="G30" s="1"/>
  <c r="I30"/>
  <c r="K30"/>
  <c r="L30"/>
  <c r="M30" s="1"/>
  <c r="N30"/>
  <c r="O30" s="1"/>
  <c r="P30"/>
  <c r="Q30" s="1"/>
  <c r="R30"/>
  <c r="S30" s="1"/>
  <c r="B31"/>
  <c r="C31" s="1"/>
  <c r="D31"/>
  <c r="I31"/>
  <c r="K31"/>
  <c r="L31"/>
  <c r="M31" s="1"/>
  <c r="N31"/>
  <c r="C32"/>
  <c r="F32"/>
  <c r="I32"/>
  <c r="K32"/>
  <c r="L32"/>
  <c r="M32" s="1"/>
  <c r="N32"/>
  <c r="O32" s="1"/>
  <c r="P32"/>
  <c r="R32"/>
  <c r="C33"/>
  <c r="E33"/>
  <c r="F33"/>
  <c r="I33"/>
  <c r="K33"/>
  <c r="L33"/>
  <c r="M33" s="1"/>
  <c r="N33"/>
  <c r="P33"/>
  <c r="Q33"/>
  <c r="C34"/>
  <c r="E34"/>
  <c r="F34"/>
  <c r="G34"/>
  <c r="I34"/>
  <c r="K34"/>
  <c r="L34"/>
  <c r="N34"/>
  <c r="R34" s="1"/>
  <c r="S34" s="1"/>
  <c r="P34"/>
  <c r="C35"/>
  <c r="E35"/>
  <c r="F35"/>
  <c r="I35"/>
  <c r="K35"/>
  <c r="L35"/>
  <c r="M35"/>
  <c r="N35"/>
  <c r="P35"/>
  <c r="Q35" s="1"/>
  <c r="C36"/>
  <c r="E36"/>
  <c r="F36"/>
  <c r="G36" s="1"/>
  <c r="I36"/>
  <c r="K36"/>
  <c r="L36"/>
  <c r="N36"/>
  <c r="O36"/>
  <c r="P36"/>
  <c r="R36"/>
  <c r="C37"/>
  <c r="E37"/>
  <c r="F37"/>
  <c r="I37"/>
  <c r="K37"/>
  <c r="L37"/>
  <c r="M37" s="1"/>
  <c r="N37"/>
  <c r="P37"/>
  <c r="Q37"/>
  <c r="C38"/>
  <c r="E38"/>
  <c r="F38"/>
  <c r="G38"/>
  <c r="I38"/>
  <c r="K38"/>
  <c r="L38"/>
  <c r="N38"/>
  <c r="O38" s="1"/>
  <c r="P38"/>
  <c r="C39"/>
  <c r="E39"/>
  <c r="F39"/>
  <c r="I39"/>
  <c r="K39"/>
  <c r="L39"/>
  <c r="M39" s="1"/>
  <c r="N39"/>
  <c r="P39"/>
  <c r="Q39"/>
  <c r="C40"/>
  <c r="E40"/>
  <c r="F40"/>
  <c r="G40"/>
  <c r="I40"/>
  <c r="K40"/>
  <c r="L40"/>
  <c r="N40"/>
  <c r="R40" s="1"/>
  <c r="P40"/>
  <c r="C41"/>
  <c r="E41"/>
  <c r="F41"/>
  <c r="I41"/>
  <c r="K41"/>
  <c r="L41"/>
  <c r="M41"/>
  <c r="N41"/>
  <c r="P41"/>
  <c r="Q41" s="1"/>
  <c r="C42"/>
  <c r="E42"/>
  <c r="F42"/>
  <c r="G44" s="1"/>
  <c r="I42"/>
  <c r="K42"/>
  <c r="L42"/>
  <c r="M44" s="1"/>
  <c r="N42"/>
  <c r="P42"/>
  <c r="Q42" s="1"/>
  <c r="C43"/>
  <c r="E43"/>
  <c r="F43"/>
  <c r="I43"/>
  <c r="K43"/>
  <c r="L43"/>
  <c r="M43" s="1"/>
  <c r="N43"/>
  <c r="R43" s="1"/>
  <c r="P43"/>
  <c r="C44"/>
  <c r="E44"/>
  <c r="F44"/>
  <c r="I44"/>
  <c r="K44"/>
  <c r="L44"/>
  <c r="N44"/>
  <c r="O44"/>
  <c r="P44"/>
  <c r="Q44"/>
  <c r="C45"/>
  <c r="E45"/>
  <c r="F45"/>
  <c r="I45"/>
  <c r="K45"/>
  <c r="L45"/>
  <c r="M45" s="1"/>
  <c r="N45"/>
  <c r="P45"/>
  <c r="Q45"/>
  <c r="C46"/>
  <c r="E46"/>
  <c r="F46"/>
  <c r="G46"/>
  <c r="I46"/>
  <c r="K46"/>
  <c r="L46"/>
  <c r="N46"/>
  <c r="O46" s="1"/>
  <c r="P46"/>
  <c r="Q46" s="1"/>
  <c r="C47"/>
  <c r="E47"/>
  <c r="I47"/>
  <c r="K47"/>
  <c r="O47"/>
  <c r="M47"/>
  <c r="E32"/>
  <c r="R50"/>
  <c r="R53"/>
  <c r="S55" s="1"/>
  <c r="R52"/>
  <c r="S53"/>
  <c r="Q52"/>
  <c r="M52"/>
  <c r="G52"/>
  <c r="O52"/>
  <c r="O53"/>
  <c r="G48"/>
  <c r="M48"/>
  <c r="R48"/>
  <c r="S48" s="1"/>
  <c r="R54"/>
  <c r="S54"/>
  <c r="G47"/>
  <c r="R46"/>
  <c r="S47" s="1"/>
  <c r="G45"/>
  <c r="G43"/>
  <c r="M42"/>
  <c r="R41"/>
  <c r="G41"/>
  <c r="Q40"/>
  <c r="M40"/>
  <c r="R39"/>
  <c r="O39"/>
  <c r="G39"/>
  <c r="Q38"/>
  <c r="M38"/>
  <c r="R37"/>
  <c r="S37" s="1"/>
  <c r="O37"/>
  <c r="G37"/>
  <c r="Q36"/>
  <c r="M36"/>
  <c r="R35"/>
  <c r="S35" s="1"/>
  <c r="O35"/>
  <c r="G35"/>
  <c r="Q34"/>
  <c r="M34"/>
  <c r="R33"/>
  <c r="S33" s="1"/>
  <c r="O33"/>
  <c r="G33"/>
  <c r="G49"/>
  <c r="S8"/>
  <c r="S13"/>
  <c r="R14"/>
  <c r="S14"/>
  <c r="R9"/>
  <c r="S9" s="1"/>
  <c r="R45"/>
  <c r="S36"/>
  <c r="R44"/>
  <c r="S44" s="1"/>
  <c r="O42"/>
  <c r="R38"/>
  <c r="S39" s="1"/>
  <c r="O34"/>
  <c r="O31"/>
  <c r="E31"/>
  <c r="Q29"/>
  <c r="Q27"/>
  <c r="Q25"/>
  <c r="Q23"/>
  <c r="Q21"/>
  <c r="Q19"/>
  <c r="Q17"/>
  <c r="Q12"/>
  <c r="R49"/>
  <c r="P31"/>
  <c r="O45"/>
  <c r="S46"/>
  <c r="S45"/>
  <c r="S15"/>
  <c r="S49"/>
  <c r="S50"/>
  <c r="Q31"/>
  <c r="R31"/>
  <c r="S31" s="1"/>
  <c r="Q32"/>
  <c r="S41" l="1"/>
  <c r="S40"/>
  <c r="S18"/>
  <c r="S17"/>
  <c r="S51"/>
  <c r="S52"/>
  <c r="S19"/>
  <c r="S20"/>
  <c r="S24"/>
  <c r="S25"/>
  <c r="S26"/>
  <c r="O43"/>
  <c r="M46"/>
  <c r="Q47"/>
  <c r="G42"/>
  <c r="O40"/>
  <c r="F31"/>
  <c r="Q28"/>
  <c r="M28"/>
  <c r="G28"/>
  <c r="O23"/>
  <c r="Q22"/>
  <c r="O17"/>
  <c r="Q16"/>
  <c r="O11"/>
  <c r="Q10"/>
  <c r="G10"/>
  <c r="O50"/>
  <c r="S38"/>
  <c r="Q43"/>
  <c r="R42"/>
  <c r="S42" s="1"/>
  <c r="O18"/>
  <c r="Q51"/>
  <c r="G53"/>
  <c r="S32"/>
  <c r="O41"/>
  <c r="Q53"/>
  <c r="Q49"/>
  <c r="G32" l="1"/>
  <c r="G31"/>
  <c r="S43"/>
</calcChain>
</file>

<file path=xl/sharedStrings.xml><?xml version="1.0" encoding="utf-8"?>
<sst xmlns="http://schemas.openxmlformats.org/spreadsheetml/2006/main" count="69" uniqueCount="47">
  <si>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</si>
  <si>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</si>
  <si>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</si>
  <si>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</si>
  <si>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</si>
  <si>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</si>
  <si>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</si>
  <si>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</si>
  <si>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</si>
  <si>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</si>
  <si>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</si>
  <si>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</si>
  <si>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</si>
  <si>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</si>
  <si>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</si>
  <si>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</si>
  <si>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</si>
  <si>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</si>
  <si>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</si>
  <si>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</si>
  <si>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</si>
  <si>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</si>
  <si>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</si>
  <si>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</si>
  <si>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</si>
  <si>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</si>
  <si>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</si>
  <si>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</si>
  <si>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</si>
  <si>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</si>
  <si>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</si>
  <si>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</si>
  <si>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</si>
  <si>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</si>
  <si>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2003</t>
  </si>
  <si>
    <t>* Definition of Full-Time Undergraduate was changed beginning in 2004-05.</t>
  </si>
  <si>
    <t>Undergraduate</t>
  </si>
  <si>
    <t>Full-Time</t>
  </si>
  <si>
    <t>#</t>
  </si>
  <si>
    <t>% Change</t>
  </si>
  <si>
    <t>Part-Time</t>
  </si>
  <si>
    <t>TOTAL</t>
  </si>
  <si>
    <t>Graduate</t>
  </si>
  <si>
    <t>Total</t>
  </si>
  <si>
    <t>2004*</t>
  </si>
  <si>
    <t>Brock University Head Count Enrolment</t>
  </si>
  <si>
    <t>Fall 1964 to Fall 2013</t>
  </si>
</sst>
</file>

<file path=xl/styles.xml><?xml version="1.0" encoding="utf-8"?>
<styleSheet xmlns="http://schemas.openxmlformats.org/spreadsheetml/2006/main">
  <numFmts count="3">
    <numFmt numFmtId="172" formatCode="0.0%"/>
    <numFmt numFmtId="173" formatCode="#,##0.0"/>
    <numFmt numFmtId="174" formatCode="0.0"/>
  </numFmts>
  <fonts count="5">
    <font>
      <sz val="12"/>
      <name val="Arial"/>
    </font>
    <font>
      <sz val="12"/>
      <name val="Arial MT"/>
    </font>
    <font>
      <b/>
      <sz val="14"/>
      <name val="Arial MT"/>
    </font>
    <font>
      <sz val="12"/>
      <name val="Arial MT"/>
    </font>
    <font>
      <b/>
      <sz val="12"/>
      <name val="Arial MT"/>
    </font>
  </fonts>
  <fills count="3">
    <fill>
      <patternFill patternType="none"/>
    </fill>
    <fill>
      <patternFill patternType="gray125"/>
    </fill>
    <fill>
      <patternFill patternType="lightGray"/>
    </fill>
  </fills>
  <borders count="19">
    <border>
      <left/>
      <right/>
      <top/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medium">
        <color indexed="8"/>
      </left>
      <right/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NumberFormat="1" applyFont="1" applyAlignment="1"/>
    <xf numFmtId="0" fontId="2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3" fillId="0" borderId="0" xfId="0" applyNumberFormat="1" applyFont="1" applyAlignment="1"/>
    <xf numFmtId="0" fontId="3" fillId="0" borderId="1" xfId="0" applyNumberFormat="1" applyFont="1" applyBorder="1" applyAlignment="1">
      <alignment horizontal="centerContinuous"/>
    </xf>
    <xf numFmtId="0" fontId="3" fillId="0" borderId="2" xfId="0" applyNumberFormat="1" applyFont="1" applyBorder="1" applyAlignment="1">
      <alignment horizontal="centerContinuous"/>
    </xf>
    <xf numFmtId="0" fontId="3" fillId="0" borderId="3" xfId="0" applyNumberFormat="1" applyFont="1" applyBorder="1" applyAlignment="1">
      <alignment horizontal="centerContinuous"/>
    </xf>
    <xf numFmtId="0" fontId="1" fillId="0" borderId="4" xfId="0" applyNumberFormat="1" applyFont="1" applyBorder="1"/>
    <xf numFmtId="0" fontId="3" fillId="0" borderId="5" xfId="0" applyNumberFormat="1" applyFont="1" applyBorder="1" applyAlignment="1">
      <alignment horizontal="centerContinuous"/>
    </xf>
    <xf numFmtId="0" fontId="3" fillId="0" borderId="1" xfId="0" applyNumberFormat="1" applyFont="1" applyBorder="1" applyAlignment="1">
      <alignment horizontal="center"/>
    </xf>
    <xf numFmtId="0" fontId="3" fillId="0" borderId="2" xfId="0" applyNumberFormat="1" applyFont="1" applyBorder="1" applyAlignment="1">
      <alignment horizontal="center"/>
    </xf>
    <xf numFmtId="0" fontId="3" fillId="0" borderId="5" xfId="0" applyNumberFormat="1" applyFont="1" applyBorder="1" applyAlignment="1">
      <alignment horizontal="center"/>
    </xf>
    <xf numFmtId="0" fontId="3" fillId="0" borderId="3" xfId="0" applyNumberFormat="1" applyFont="1" applyBorder="1" applyAlignment="1">
      <alignment horizontal="center"/>
    </xf>
    <xf numFmtId="0" fontId="3" fillId="0" borderId="6" xfId="0" applyNumberFormat="1" applyFont="1" applyBorder="1" applyAlignment="1">
      <alignment horizontal="center"/>
    </xf>
    <xf numFmtId="0" fontId="1" fillId="0" borderId="7" xfId="0" applyNumberFormat="1" applyFont="1" applyBorder="1"/>
    <xf numFmtId="0" fontId="3" fillId="2" borderId="8" xfId="0" applyNumberFormat="1" applyFont="1" applyFill="1" applyBorder="1" applyAlignment="1">
      <alignment horizontal="center"/>
    </xf>
    <xf numFmtId="0" fontId="1" fillId="0" borderId="6" xfId="0" applyNumberFormat="1" applyFont="1" applyBorder="1"/>
    <xf numFmtId="0" fontId="3" fillId="2" borderId="9" xfId="0" applyNumberFormat="1" applyFont="1" applyFill="1" applyBorder="1" applyAlignment="1"/>
    <xf numFmtId="0" fontId="3" fillId="2" borderId="6" xfId="0" applyNumberFormat="1" applyFont="1" applyFill="1" applyBorder="1" applyAlignment="1"/>
    <xf numFmtId="0" fontId="3" fillId="2" borderId="7" xfId="0" applyNumberFormat="1" applyFont="1" applyFill="1" applyBorder="1" applyAlignment="1"/>
    <xf numFmtId="3" fontId="1" fillId="0" borderId="9" xfId="0" applyNumberFormat="1" applyFont="1" applyBorder="1"/>
    <xf numFmtId="3" fontId="1" fillId="0" borderId="6" xfId="0" applyNumberFormat="1" applyFont="1" applyBorder="1"/>
    <xf numFmtId="0" fontId="3" fillId="0" borderId="4" xfId="0" applyNumberFormat="1" applyFont="1" applyBorder="1" applyAlignment="1">
      <alignment horizontal="center"/>
    </xf>
    <xf numFmtId="0" fontId="1" fillId="0" borderId="10" xfId="0" applyNumberFormat="1" applyFont="1" applyBorder="1"/>
    <xf numFmtId="172" fontId="3" fillId="0" borderId="0" xfId="0" applyNumberFormat="1" applyFont="1" applyAlignment="1"/>
    <xf numFmtId="0" fontId="3" fillId="2" borderId="11" xfId="0" applyNumberFormat="1" applyFont="1" applyFill="1" applyBorder="1" applyAlignment="1"/>
    <xf numFmtId="0" fontId="3" fillId="2" borderId="0" xfId="0" applyNumberFormat="1" applyFont="1" applyFill="1" applyAlignment="1">
      <alignment horizontal="center"/>
    </xf>
    <xf numFmtId="0" fontId="3" fillId="2" borderId="4" xfId="0" applyNumberFormat="1" applyFont="1" applyFill="1" applyBorder="1" applyAlignment="1"/>
    <xf numFmtId="0" fontId="3" fillId="2" borderId="10" xfId="0" applyNumberFormat="1" applyFont="1" applyFill="1" applyBorder="1" applyAlignment="1"/>
    <xf numFmtId="3" fontId="1" fillId="0" borderId="11" xfId="0" applyNumberFormat="1" applyFont="1" applyBorder="1"/>
    <xf numFmtId="3" fontId="1" fillId="0" borderId="4" xfId="0" applyNumberFormat="1" applyFont="1" applyBorder="1"/>
    <xf numFmtId="3" fontId="1" fillId="0" borderId="10" xfId="0" applyNumberFormat="1" applyFont="1" applyBorder="1"/>
    <xf numFmtId="3" fontId="3" fillId="0" borderId="10" xfId="0" applyNumberFormat="1" applyFont="1" applyBorder="1" applyAlignment="1"/>
    <xf numFmtId="0" fontId="3" fillId="0" borderId="4" xfId="0" applyNumberFormat="1" applyFont="1" applyBorder="1" applyAlignment="1"/>
    <xf numFmtId="0" fontId="3" fillId="0" borderId="11" xfId="0" applyNumberFormat="1" applyFont="1" applyBorder="1" applyAlignment="1"/>
    <xf numFmtId="3" fontId="3" fillId="0" borderId="11" xfId="0" applyNumberFormat="1" applyFont="1" applyBorder="1" applyAlignment="1"/>
    <xf numFmtId="3" fontId="3" fillId="0" borderId="4" xfId="0" applyNumberFormat="1" applyFont="1" applyBorder="1" applyAlignment="1"/>
    <xf numFmtId="3" fontId="1" fillId="0" borderId="1" xfId="0" applyNumberFormat="1" applyFont="1" applyBorder="1"/>
    <xf numFmtId="172" fontId="3" fillId="0" borderId="2" xfId="0" applyNumberFormat="1" applyFont="1" applyBorder="1" applyAlignment="1"/>
    <xf numFmtId="3" fontId="1" fillId="0" borderId="5" xfId="0" applyNumberFormat="1" applyFont="1" applyBorder="1"/>
    <xf numFmtId="0" fontId="1" fillId="0" borderId="3" xfId="0" applyNumberFormat="1" applyFont="1" applyBorder="1"/>
    <xf numFmtId="3" fontId="1" fillId="0" borderId="3" xfId="0" applyNumberFormat="1" applyFont="1" applyBorder="1"/>
    <xf numFmtId="0" fontId="1" fillId="0" borderId="11" xfId="0" applyNumberFormat="1" applyFont="1" applyBorder="1"/>
    <xf numFmtId="0" fontId="1" fillId="0" borderId="5" xfId="0" applyNumberFormat="1" applyFont="1" applyBorder="1"/>
    <xf numFmtId="173" fontId="1" fillId="0" borderId="1" xfId="0" applyNumberFormat="1" applyFont="1" applyBorder="1"/>
    <xf numFmtId="173" fontId="1" fillId="0" borderId="5" xfId="0" applyNumberFormat="1" applyFont="1" applyBorder="1"/>
    <xf numFmtId="174" fontId="1" fillId="0" borderId="3" xfId="0" applyNumberFormat="1" applyFont="1" applyBorder="1"/>
    <xf numFmtId="174" fontId="1" fillId="0" borderId="5" xfId="0" applyNumberFormat="1" applyFont="1" applyBorder="1"/>
    <xf numFmtId="173" fontId="1" fillId="0" borderId="3" xfId="0" applyNumberFormat="1" applyFont="1" applyBorder="1"/>
    <xf numFmtId="173" fontId="1" fillId="0" borderId="10" xfId="0" applyNumberFormat="1" applyFont="1" applyBorder="1"/>
    <xf numFmtId="173" fontId="1" fillId="0" borderId="4" xfId="0" applyNumberFormat="1" applyFont="1" applyBorder="1"/>
    <xf numFmtId="174" fontId="1" fillId="0" borderId="11" xfId="0" applyNumberFormat="1" applyFont="1" applyBorder="1"/>
    <xf numFmtId="174" fontId="1" fillId="0" borderId="4" xfId="0" applyNumberFormat="1" applyFont="1" applyBorder="1"/>
    <xf numFmtId="173" fontId="1" fillId="0" borderId="11" xfId="0" applyNumberFormat="1" applyFont="1" applyBorder="1"/>
    <xf numFmtId="173" fontId="3" fillId="0" borderId="10" xfId="0" applyNumberFormat="1" applyFont="1" applyBorder="1" applyAlignment="1"/>
    <xf numFmtId="173" fontId="3" fillId="0" borderId="4" xfId="0" applyNumberFormat="1" applyFont="1" applyBorder="1" applyAlignment="1"/>
    <xf numFmtId="174" fontId="3" fillId="0" borderId="11" xfId="0" applyNumberFormat="1" applyFont="1" applyBorder="1" applyAlignment="1"/>
    <xf numFmtId="174" fontId="3" fillId="0" borderId="4" xfId="0" applyNumberFormat="1" applyFont="1" applyBorder="1" applyAlignment="1"/>
    <xf numFmtId="173" fontId="3" fillId="0" borderId="11" xfId="0" applyNumberFormat="1" applyFont="1" applyBorder="1" applyAlignment="1"/>
    <xf numFmtId="173" fontId="3" fillId="0" borderId="1" xfId="0" applyNumberFormat="1" applyFont="1" applyBorder="1" applyAlignment="1"/>
    <xf numFmtId="173" fontId="3" fillId="0" borderId="5" xfId="0" applyNumberFormat="1" applyFont="1" applyBorder="1" applyAlignment="1"/>
    <xf numFmtId="3" fontId="3" fillId="0" borderId="1" xfId="0" applyNumberFormat="1" applyFont="1" applyBorder="1" applyAlignment="1"/>
    <xf numFmtId="174" fontId="3" fillId="0" borderId="3" xfId="0" applyNumberFormat="1" applyFont="1" applyBorder="1" applyAlignment="1"/>
    <xf numFmtId="174" fontId="3" fillId="0" borderId="5" xfId="0" applyNumberFormat="1" applyFont="1" applyBorder="1" applyAlignment="1"/>
    <xf numFmtId="173" fontId="3" fillId="0" borderId="3" xfId="0" applyNumberFormat="1" applyFont="1" applyBorder="1" applyAlignment="1"/>
    <xf numFmtId="0" fontId="1" fillId="0" borderId="0" xfId="0" applyNumberFormat="1" applyFont="1"/>
    <xf numFmtId="172" fontId="3" fillId="0" borderId="12" xfId="0" applyNumberFormat="1" applyFont="1" applyBorder="1" applyAlignment="1"/>
    <xf numFmtId="172" fontId="3" fillId="0" borderId="0" xfId="0" applyNumberFormat="1" applyFont="1" applyBorder="1" applyAlignment="1"/>
    <xf numFmtId="172" fontId="3" fillId="0" borderId="13" xfId="0" applyNumberFormat="1" applyFont="1" applyBorder="1" applyAlignment="1"/>
    <xf numFmtId="0" fontId="1" fillId="0" borderId="0" xfId="0" applyNumberFormat="1" applyFont="1" applyBorder="1"/>
    <xf numFmtId="173" fontId="3" fillId="0" borderId="14" xfId="0" applyNumberFormat="1" applyFont="1" applyBorder="1" applyAlignment="1"/>
    <xf numFmtId="172" fontId="3" fillId="0" borderId="15" xfId="0" applyNumberFormat="1" applyFont="1" applyBorder="1" applyAlignment="1"/>
    <xf numFmtId="173" fontId="3" fillId="0" borderId="16" xfId="0" applyNumberFormat="1" applyFont="1" applyBorder="1" applyAlignment="1"/>
    <xf numFmtId="3" fontId="3" fillId="0" borderId="14" xfId="0" applyNumberFormat="1" applyFont="1" applyBorder="1" applyAlignment="1"/>
    <xf numFmtId="174" fontId="3" fillId="0" borderId="17" xfId="0" applyNumberFormat="1" applyFont="1" applyBorder="1" applyAlignment="1"/>
    <xf numFmtId="174" fontId="3" fillId="0" borderId="16" xfId="0" applyNumberFormat="1" applyFont="1" applyBorder="1" applyAlignment="1"/>
    <xf numFmtId="173" fontId="3" fillId="0" borderId="17" xfId="0" applyNumberFormat="1" applyFont="1" applyBorder="1" applyAlignment="1"/>
    <xf numFmtId="172" fontId="3" fillId="0" borderId="18" xfId="0" applyNumberFormat="1" applyFont="1" applyBorder="1" applyAlignment="1"/>
    <xf numFmtId="0" fontId="3" fillId="0" borderId="16" xfId="0" applyNumberFormat="1" applyFont="1" applyBorder="1" applyAlignment="1">
      <alignment horizontal="center"/>
    </xf>
    <xf numFmtId="0" fontId="4" fillId="0" borderId="0" xfId="0" applyNumberFormat="1" applyFont="1" applyAlignment="1"/>
    <xf numFmtId="0" fontId="4" fillId="0" borderId="1" xfId="0" applyNumberFormat="1" applyFont="1" applyBorder="1" applyAlignment="1">
      <alignment horizontal="centerContinuous"/>
    </xf>
    <xf numFmtId="0" fontId="4" fillId="0" borderId="2" xfId="0" applyNumberFormat="1" applyFont="1" applyBorder="1" applyAlignment="1">
      <alignment horizontal="centerContinuous"/>
    </xf>
    <xf numFmtId="0" fontId="4" fillId="0" borderId="3" xfId="0" applyNumberFormat="1" applyFont="1" applyBorder="1" applyAlignment="1">
      <alignment horizontal="centerContinuous"/>
    </xf>
    <xf numFmtId="0" fontId="4" fillId="0" borderId="4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CA"/>
              <a:t>Fall Head Count Enrolment</a:t>
            </a:r>
          </a:p>
        </c:rich>
      </c:tx>
      <c:layout>
        <c:manualLayout>
          <c:xMode val="edge"/>
          <c:yMode val="edge"/>
          <c:x val="0.16752551276033564"/>
          <c:y val="8.9709762532981532E-2"/>
        </c:manualLayout>
      </c:layout>
      <c:overlay val="1"/>
    </c:title>
    <c:plotArea>
      <c:layout>
        <c:manualLayout>
          <c:layoutTarget val="inner"/>
          <c:xMode val="edge"/>
          <c:yMode val="edge"/>
          <c:x val="0.1020408057858862"/>
          <c:y val="4.9966508852791421E-2"/>
          <c:w val="0.87121745249824067"/>
          <c:h val="0.70554272517321015"/>
        </c:manualLayout>
      </c:layout>
      <c:barChart>
        <c:barDir val="col"/>
        <c:grouping val="clustered"/>
        <c:ser>
          <c:idx val="0"/>
          <c:order val="0"/>
          <c:tx>
            <c:v>Full-Time</c:v>
          </c:tx>
          <c:spPr>
            <a:ln w="3175">
              <a:solidFill>
                <a:schemeClr val="bg1"/>
              </a:solidFill>
              <a:prstDash val="solid"/>
            </a:ln>
          </c:spPr>
          <c:cat>
            <c:strRef>
              <c:f>A!$A$7:$A$56</c:f>
              <c:strCache>
                <c:ptCount val="50"/>
                <c:pt idx="0">
                  <c:v>1964</c:v>
                </c:pt>
                <c:pt idx="1">
                  <c:v>1965</c:v>
                </c:pt>
                <c:pt idx="2">
                  <c:v>1966</c:v>
                </c:pt>
                <c:pt idx="3">
                  <c:v>1967</c:v>
                </c:pt>
                <c:pt idx="4">
                  <c:v>1968</c:v>
                </c:pt>
                <c:pt idx="5">
                  <c:v>1969</c:v>
                </c:pt>
                <c:pt idx="6">
                  <c:v>1970</c:v>
                </c:pt>
                <c:pt idx="7">
                  <c:v>1971</c:v>
                </c:pt>
                <c:pt idx="8">
                  <c:v>1972</c:v>
                </c:pt>
                <c:pt idx="9">
                  <c:v>1973</c:v>
                </c:pt>
                <c:pt idx="10">
                  <c:v>1974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2004*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</c:strCache>
            </c:strRef>
          </c:cat>
          <c:val>
            <c:numRef>
              <c:f>A!$N$7:$N$56</c:f>
              <c:numCache>
                <c:formatCode>#,##0</c:formatCode>
                <c:ptCount val="50"/>
                <c:pt idx="0">
                  <c:v>127</c:v>
                </c:pt>
                <c:pt idx="1">
                  <c:v>363</c:v>
                </c:pt>
                <c:pt idx="2">
                  <c:v>530</c:v>
                </c:pt>
                <c:pt idx="3">
                  <c:v>679</c:v>
                </c:pt>
                <c:pt idx="4">
                  <c:v>1126</c:v>
                </c:pt>
                <c:pt idx="5">
                  <c:v>1650</c:v>
                </c:pt>
                <c:pt idx="6">
                  <c:v>2168</c:v>
                </c:pt>
                <c:pt idx="7">
                  <c:v>2385</c:v>
                </c:pt>
                <c:pt idx="8">
                  <c:v>2363</c:v>
                </c:pt>
                <c:pt idx="9">
                  <c:v>2278</c:v>
                </c:pt>
                <c:pt idx="10">
                  <c:v>2381</c:v>
                </c:pt>
                <c:pt idx="11">
                  <c:v>2581</c:v>
                </c:pt>
                <c:pt idx="12">
                  <c:v>2606</c:v>
                </c:pt>
                <c:pt idx="13">
                  <c:v>2490</c:v>
                </c:pt>
                <c:pt idx="14">
                  <c:v>2193</c:v>
                </c:pt>
                <c:pt idx="15">
                  <c:v>2170</c:v>
                </c:pt>
                <c:pt idx="16">
                  <c:v>2297</c:v>
                </c:pt>
                <c:pt idx="17">
                  <c:v>2643</c:v>
                </c:pt>
                <c:pt idx="18">
                  <c:v>3438</c:v>
                </c:pt>
                <c:pt idx="19">
                  <c:v>3939</c:v>
                </c:pt>
                <c:pt idx="20">
                  <c:v>4258</c:v>
                </c:pt>
                <c:pt idx="21">
                  <c:v>4461</c:v>
                </c:pt>
                <c:pt idx="22">
                  <c:v>4893</c:v>
                </c:pt>
                <c:pt idx="23">
                  <c:v>4994</c:v>
                </c:pt>
                <c:pt idx="24">
                  <c:v>5044</c:v>
                </c:pt>
                <c:pt idx="25" formatCode="#,##0.0">
                  <c:v>5266</c:v>
                </c:pt>
                <c:pt idx="26" formatCode="#,##0.0">
                  <c:v>5620</c:v>
                </c:pt>
                <c:pt idx="27" formatCode="#,##0.0">
                  <c:v>6062</c:v>
                </c:pt>
                <c:pt idx="28" formatCode="#,##0.0">
                  <c:v>6176</c:v>
                </c:pt>
                <c:pt idx="29" formatCode="#,##0.0">
                  <c:v>6423.5</c:v>
                </c:pt>
                <c:pt idx="30" formatCode="#,##0.0">
                  <c:v>6522</c:v>
                </c:pt>
                <c:pt idx="31" formatCode="#,##0.0">
                  <c:v>6653</c:v>
                </c:pt>
                <c:pt idx="32" formatCode="#,##0.0">
                  <c:v>6426</c:v>
                </c:pt>
                <c:pt idx="33" formatCode="#,##0.0">
                  <c:v>6501</c:v>
                </c:pt>
                <c:pt idx="34" formatCode="#,##0.0">
                  <c:v>6509</c:v>
                </c:pt>
                <c:pt idx="35" formatCode="#,##0.0">
                  <c:v>6845.5</c:v>
                </c:pt>
                <c:pt idx="36" formatCode="#,##0.0">
                  <c:v>7213</c:v>
                </c:pt>
                <c:pt idx="37" formatCode="#,##0.0">
                  <c:v>7563</c:v>
                </c:pt>
                <c:pt idx="38" formatCode="#,##0.0">
                  <c:v>8470</c:v>
                </c:pt>
                <c:pt idx="39" formatCode="#,##0.0">
                  <c:v>10485</c:v>
                </c:pt>
                <c:pt idx="40" formatCode="#,##0.0">
                  <c:v>13090</c:v>
                </c:pt>
                <c:pt idx="41" formatCode="#,##0.0">
                  <c:v>13943</c:v>
                </c:pt>
                <c:pt idx="42" formatCode="#,##0.0">
                  <c:v>14028</c:v>
                </c:pt>
                <c:pt idx="43" formatCode="#,##0.0">
                  <c:v>13623</c:v>
                </c:pt>
                <c:pt idx="44" formatCode="#,##0.0">
                  <c:v>13689</c:v>
                </c:pt>
                <c:pt idx="45" formatCode="#,##0.0">
                  <c:v>14472</c:v>
                </c:pt>
                <c:pt idx="46" formatCode="#,##0.0">
                  <c:v>15009</c:v>
                </c:pt>
                <c:pt idx="47" formatCode="#,##0.0">
                  <c:v>15467</c:v>
                </c:pt>
                <c:pt idx="48" formatCode="#,##0.0">
                  <c:v>15852</c:v>
                </c:pt>
                <c:pt idx="49" formatCode="#,##0.0">
                  <c:v>16151</c:v>
                </c:pt>
              </c:numCache>
            </c:numRef>
          </c:val>
        </c:ser>
        <c:ser>
          <c:idx val="1"/>
          <c:order val="1"/>
          <c:tx>
            <c:v>Part-Time</c:v>
          </c:tx>
          <c:spPr>
            <a:ln w="3175">
              <a:solidFill>
                <a:schemeClr val="bg1"/>
              </a:solidFill>
              <a:prstDash val="solid"/>
            </a:ln>
          </c:spPr>
          <c:cat>
            <c:strRef>
              <c:f>A!$A$7:$A$56</c:f>
              <c:strCache>
                <c:ptCount val="50"/>
                <c:pt idx="0">
                  <c:v>1964</c:v>
                </c:pt>
                <c:pt idx="1">
                  <c:v>1965</c:v>
                </c:pt>
                <c:pt idx="2">
                  <c:v>1966</c:v>
                </c:pt>
                <c:pt idx="3">
                  <c:v>1967</c:v>
                </c:pt>
                <c:pt idx="4">
                  <c:v>1968</c:v>
                </c:pt>
                <c:pt idx="5">
                  <c:v>1969</c:v>
                </c:pt>
                <c:pt idx="6">
                  <c:v>1970</c:v>
                </c:pt>
                <c:pt idx="7">
                  <c:v>1971</c:v>
                </c:pt>
                <c:pt idx="8">
                  <c:v>1972</c:v>
                </c:pt>
                <c:pt idx="9">
                  <c:v>1973</c:v>
                </c:pt>
                <c:pt idx="10">
                  <c:v>1974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2004*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</c:strCache>
            </c:strRef>
          </c:cat>
          <c:val>
            <c:numRef>
              <c:f>A!$P$7:$P$56</c:f>
              <c:numCache>
                <c:formatCode>#,##0</c:formatCode>
                <c:ptCount val="50"/>
                <c:pt idx="0">
                  <c:v>15</c:v>
                </c:pt>
                <c:pt idx="1">
                  <c:v>139</c:v>
                </c:pt>
                <c:pt idx="2">
                  <c:v>339</c:v>
                </c:pt>
                <c:pt idx="3">
                  <c:v>468</c:v>
                </c:pt>
                <c:pt idx="4">
                  <c:v>684</c:v>
                </c:pt>
                <c:pt idx="5">
                  <c:v>1099</c:v>
                </c:pt>
                <c:pt idx="6">
                  <c:v>1457</c:v>
                </c:pt>
                <c:pt idx="7">
                  <c:v>1438</c:v>
                </c:pt>
                <c:pt idx="8">
                  <c:v>1580</c:v>
                </c:pt>
                <c:pt idx="9">
                  <c:v>1937</c:v>
                </c:pt>
                <c:pt idx="10">
                  <c:v>2072</c:v>
                </c:pt>
                <c:pt idx="11">
                  <c:v>2292</c:v>
                </c:pt>
                <c:pt idx="12">
                  <c:v>2359</c:v>
                </c:pt>
                <c:pt idx="13">
                  <c:v>2470</c:v>
                </c:pt>
                <c:pt idx="14">
                  <c:v>2548</c:v>
                </c:pt>
                <c:pt idx="15">
                  <c:v>2833</c:v>
                </c:pt>
                <c:pt idx="16">
                  <c:v>3418</c:v>
                </c:pt>
                <c:pt idx="17">
                  <c:v>3813</c:v>
                </c:pt>
                <c:pt idx="18">
                  <c:v>3841</c:v>
                </c:pt>
                <c:pt idx="19">
                  <c:v>3648</c:v>
                </c:pt>
                <c:pt idx="20">
                  <c:v>3688</c:v>
                </c:pt>
                <c:pt idx="21">
                  <c:v>3729</c:v>
                </c:pt>
                <c:pt idx="22">
                  <c:v>3964</c:v>
                </c:pt>
                <c:pt idx="23">
                  <c:v>4280</c:v>
                </c:pt>
                <c:pt idx="24">
                  <c:v>4714</c:v>
                </c:pt>
                <c:pt idx="25" formatCode="#,##0.0">
                  <c:v>4740</c:v>
                </c:pt>
                <c:pt idx="26" formatCode="#,##0.0">
                  <c:v>4832</c:v>
                </c:pt>
                <c:pt idx="27" formatCode="#,##0.0">
                  <c:v>5123</c:v>
                </c:pt>
                <c:pt idx="28" formatCode="#,##0.0">
                  <c:v>5101</c:v>
                </c:pt>
                <c:pt idx="29" formatCode="#,##0.0">
                  <c:v>4756.5</c:v>
                </c:pt>
                <c:pt idx="30" formatCode="#,##0.0">
                  <c:v>4664</c:v>
                </c:pt>
                <c:pt idx="31" formatCode="#,##0.0">
                  <c:v>4646</c:v>
                </c:pt>
                <c:pt idx="32" formatCode="#,##0.0">
                  <c:v>4328</c:v>
                </c:pt>
                <c:pt idx="33" formatCode="#,##0.0">
                  <c:v>4125</c:v>
                </c:pt>
                <c:pt idx="34" formatCode="#,##0.0">
                  <c:v>3944</c:v>
                </c:pt>
                <c:pt idx="35" formatCode="#,##0.0">
                  <c:v>4138.5</c:v>
                </c:pt>
                <c:pt idx="36" formatCode="#,##0.0">
                  <c:v>4203</c:v>
                </c:pt>
                <c:pt idx="37" formatCode="#,##0.0">
                  <c:v>4353</c:v>
                </c:pt>
                <c:pt idx="38" formatCode="#,##0.0">
                  <c:v>4659</c:v>
                </c:pt>
                <c:pt idx="39" formatCode="#,##0.0">
                  <c:v>5042</c:v>
                </c:pt>
                <c:pt idx="40" formatCode="#,##0.0">
                  <c:v>3507</c:v>
                </c:pt>
                <c:pt idx="41" formatCode="#,##0.0">
                  <c:v>3466</c:v>
                </c:pt>
                <c:pt idx="42" formatCode="#,##0.0">
                  <c:v>3425</c:v>
                </c:pt>
                <c:pt idx="43" formatCode="#,##0.0">
                  <c:v>3383</c:v>
                </c:pt>
                <c:pt idx="44" formatCode="#,##0.0">
                  <c:v>3161</c:v>
                </c:pt>
                <c:pt idx="45" formatCode="#,##0.0">
                  <c:v>3021</c:v>
                </c:pt>
                <c:pt idx="46" formatCode="#,##0.0">
                  <c:v>2868</c:v>
                </c:pt>
                <c:pt idx="47" formatCode="#,##0.0">
                  <c:v>2723</c:v>
                </c:pt>
                <c:pt idx="48" formatCode="#,##0.0">
                  <c:v>2660</c:v>
                </c:pt>
                <c:pt idx="49" formatCode="#,##0.0">
                  <c:v>2537</c:v>
                </c:pt>
              </c:numCache>
            </c:numRef>
          </c:val>
        </c:ser>
        <c:axId val="87777664"/>
        <c:axId val="87779200"/>
      </c:barChart>
      <c:lineChart>
        <c:grouping val="standard"/>
        <c:ser>
          <c:idx val="2"/>
          <c:order val="2"/>
          <c:tx>
            <c:v>Total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A!$A$7:$A$56</c:f>
              <c:strCache>
                <c:ptCount val="50"/>
                <c:pt idx="0">
                  <c:v>1964</c:v>
                </c:pt>
                <c:pt idx="1">
                  <c:v>1965</c:v>
                </c:pt>
                <c:pt idx="2">
                  <c:v>1966</c:v>
                </c:pt>
                <c:pt idx="3">
                  <c:v>1967</c:v>
                </c:pt>
                <c:pt idx="4">
                  <c:v>1968</c:v>
                </c:pt>
                <c:pt idx="5">
                  <c:v>1969</c:v>
                </c:pt>
                <c:pt idx="6">
                  <c:v>1970</c:v>
                </c:pt>
                <c:pt idx="7">
                  <c:v>1971</c:v>
                </c:pt>
                <c:pt idx="8">
                  <c:v>1972</c:v>
                </c:pt>
                <c:pt idx="9">
                  <c:v>1973</c:v>
                </c:pt>
                <c:pt idx="10">
                  <c:v>1974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2004*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</c:strCache>
            </c:strRef>
          </c:cat>
          <c:val>
            <c:numRef>
              <c:f>A!$R$7:$R$56</c:f>
              <c:numCache>
                <c:formatCode>General</c:formatCode>
                <c:ptCount val="50"/>
                <c:pt idx="0">
                  <c:v>142</c:v>
                </c:pt>
                <c:pt idx="1">
                  <c:v>502</c:v>
                </c:pt>
                <c:pt idx="2">
                  <c:v>869</c:v>
                </c:pt>
                <c:pt idx="3" formatCode="#,##0">
                  <c:v>1147</c:v>
                </c:pt>
                <c:pt idx="4" formatCode="#,##0">
                  <c:v>1810</c:v>
                </c:pt>
                <c:pt idx="5" formatCode="#,##0">
                  <c:v>2749</c:v>
                </c:pt>
                <c:pt idx="6" formatCode="#,##0">
                  <c:v>3625</c:v>
                </c:pt>
                <c:pt idx="7" formatCode="#,##0">
                  <c:v>3823</c:v>
                </c:pt>
                <c:pt idx="8" formatCode="#,##0">
                  <c:v>3943</c:v>
                </c:pt>
                <c:pt idx="9" formatCode="#,##0">
                  <c:v>4215</c:v>
                </c:pt>
                <c:pt idx="10" formatCode="#,##0">
                  <c:v>4453</c:v>
                </c:pt>
                <c:pt idx="11" formatCode="#,##0">
                  <c:v>4873</c:v>
                </c:pt>
                <c:pt idx="12" formatCode="#,##0">
                  <c:v>4965</c:v>
                </c:pt>
                <c:pt idx="13" formatCode="#,##0">
                  <c:v>4960</c:v>
                </c:pt>
                <c:pt idx="14" formatCode="#,##0">
                  <c:v>4741</c:v>
                </c:pt>
                <c:pt idx="15" formatCode="#,##0">
                  <c:v>5003</c:v>
                </c:pt>
                <c:pt idx="16" formatCode="#,##0">
                  <c:v>5715</c:v>
                </c:pt>
                <c:pt idx="17" formatCode="#,##0">
                  <c:v>6456</c:v>
                </c:pt>
                <c:pt idx="18" formatCode="#,##0">
                  <c:v>7279</c:v>
                </c:pt>
                <c:pt idx="19" formatCode="#,##0">
                  <c:v>7587</c:v>
                </c:pt>
                <c:pt idx="20" formatCode="#,##0">
                  <c:v>7946</c:v>
                </c:pt>
                <c:pt idx="21" formatCode="#,##0">
                  <c:v>8190</c:v>
                </c:pt>
                <c:pt idx="22" formatCode="#,##0">
                  <c:v>8857</c:v>
                </c:pt>
                <c:pt idx="23" formatCode="#,##0">
                  <c:v>9274</c:v>
                </c:pt>
                <c:pt idx="24" formatCode="#,##0">
                  <c:v>9758</c:v>
                </c:pt>
                <c:pt idx="25" formatCode="#,##0">
                  <c:v>10006</c:v>
                </c:pt>
                <c:pt idx="26" formatCode="#,##0">
                  <c:v>10452</c:v>
                </c:pt>
                <c:pt idx="27" formatCode="#,##0">
                  <c:v>11185</c:v>
                </c:pt>
                <c:pt idx="28" formatCode="#,##0">
                  <c:v>11277</c:v>
                </c:pt>
                <c:pt idx="29" formatCode="#,##0">
                  <c:v>11180</c:v>
                </c:pt>
                <c:pt idx="30" formatCode="#,##0">
                  <c:v>11186</c:v>
                </c:pt>
                <c:pt idx="31" formatCode="#,##0">
                  <c:v>11299</c:v>
                </c:pt>
                <c:pt idx="32" formatCode="#,##0">
                  <c:v>10754</c:v>
                </c:pt>
                <c:pt idx="33" formatCode="#,##0">
                  <c:v>10626</c:v>
                </c:pt>
                <c:pt idx="34" formatCode="#,##0">
                  <c:v>10453</c:v>
                </c:pt>
                <c:pt idx="35" formatCode="#,##0">
                  <c:v>10984</c:v>
                </c:pt>
                <c:pt idx="36" formatCode="#,##0">
                  <c:v>11416</c:v>
                </c:pt>
                <c:pt idx="37" formatCode="#,##0">
                  <c:v>11916</c:v>
                </c:pt>
                <c:pt idx="38" formatCode="#,##0">
                  <c:v>13129</c:v>
                </c:pt>
                <c:pt idx="39" formatCode="#,##0">
                  <c:v>15527</c:v>
                </c:pt>
                <c:pt idx="40" formatCode="#,##0">
                  <c:v>16597</c:v>
                </c:pt>
                <c:pt idx="41" formatCode="#,##0">
                  <c:v>17409</c:v>
                </c:pt>
                <c:pt idx="42" formatCode="#,##0">
                  <c:v>17453</c:v>
                </c:pt>
                <c:pt idx="43" formatCode="#,##0">
                  <c:v>17006</c:v>
                </c:pt>
                <c:pt idx="44" formatCode="#,##0">
                  <c:v>16850</c:v>
                </c:pt>
                <c:pt idx="45" formatCode="#,##0">
                  <c:v>17493</c:v>
                </c:pt>
                <c:pt idx="46" formatCode="#,##0">
                  <c:v>17877</c:v>
                </c:pt>
                <c:pt idx="47" formatCode="#,##0">
                  <c:v>18190</c:v>
                </c:pt>
                <c:pt idx="48" formatCode="#,##0">
                  <c:v>18512</c:v>
                </c:pt>
                <c:pt idx="49" formatCode="#,##0">
                  <c:v>18688</c:v>
                </c:pt>
              </c:numCache>
            </c:numRef>
          </c:val>
        </c:ser>
        <c:marker val="1"/>
        <c:axId val="87777664"/>
        <c:axId val="87779200"/>
      </c:lineChart>
      <c:catAx>
        <c:axId val="87777664"/>
        <c:scaling>
          <c:orientation val="minMax"/>
        </c:scaling>
        <c:axPos val="b"/>
        <c:numFmt formatCode="General" sourceLinked="1"/>
        <c:majorTickMark val="in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 MT"/>
                <a:ea typeface="Arial MT"/>
                <a:cs typeface="Arial MT"/>
              </a:defRPr>
            </a:pPr>
            <a:endParaRPr lang="en-US"/>
          </a:p>
        </c:txPr>
        <c:crossAx val="87779200"/>
        <c:crosses val="autoZero"/>
        <c:lblAlgn val="ctr"/>
        <c:lblOffset val="100"/>
        <c:tickLblSkip val="1"/>
        <c:tickMarkSkip val="1"/>
      </c:catAx>
      <c:valAx>
        <c:axId val="87779200"/>
        <c:scaling>
          <c:orientation val="minMax"/>
        </c:scaling>
        <c:axPos val="l"/>
        <c:numFmt formatCode="#,##0" sourceLinked="0"/>
        <c:majorTickMark val="in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 MT"/>
                <a:ea typeface="Arial MT"/>
                <a:cs typeface="Arial MT"/>
              </a:defRPr>
            </a:pPr>
            <a:endParaRPr lang="en-US"/>
          </a:p>
        </c:txPr>
        <c:crossAx val="87777664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8101435746519626"/>
          <c:y val="0.88341747519027147"/>
          <c:w val="0.31705495285962665"/>
          <c:h val="5.169523334649128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15" b="0" i="0" u="none" strike="noStrike" baseline="0">
              <a:solidFill>
                <a:srgbClr val="000000"/>
              </a:solidFill>
              <a:latin typeface="Arial MT"/>
              <a:ea typeface="Arial MT"/>
              <a:cs typeface="Arial MT"/>
            </a:defRPr>
          </a:pPr>
          <a:endParaRPr lang="en-US"/>
        </a:p>
      </c:txPr>
    </c:legend>
    <c:dispBlanksAs val="gap"/>
  </c:chart>
  <c:spPr>
    <a:solidFill>
      <a:srgbClr val="FFFFFF"/>
    </a:solidFill>
    <a:ln w="9525">
      <a:noFill/>
    </a:ln>
  </c:spPr>
  <c:txPr>
    <a:bodyPr/>
    <a:lstStyle/>
    <a:p>
      <a:pPr>
        <a:defRPr sz="3000" b="0" i="0" u="none" strike="noStrike" baseline="0">
          <a:solidFill>
            <a:srgbClr val="000000"/>
          </a:solidFill>
          <a:latin typeface="Arial MT"/>
          <a:ea typeface="Arial MT"/>
          <a:cs typeface="Arial MT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04081632653061"/>
          <c:y val="5.3117782909930716E-2"/>
          <c:w val="0.87121745249824067"/>
          <c:h val="0.70438799076212466"/>
        </c:manualLayout>
      </c:layout>
      <c:barChart>
        <c:barDir val="col"/>
        <c:grouping val="clustered"/>
        <c:ser>
          <c:idx val="0"/>
          <c:order val="0"/>
          <c:tx>
            <c:v>Graduate</c:v>
          </c:tx>
          <c:spPr>
            <a:ln w="3175">
              <a:solidFill>
                <a:schemeClr val="bg1"/>
              </a:solidFill>
              <a:prstDash val="solid"/>
            </a:ln>
          </c:spPr>
          <c:cat>
            <c:strRef>
              <c:f>A!$A$7:$A$56</c:f>
              <c:strCache>
                <c:ptCount val="50"/>
                <c:pt idx="0">
                  <c:v>1964</c:v>
                </c:pt>
                <c:pt idx="1">
                  <c:v>1965</c:v>
                </c:pt>
                <c:pt idx="2">
                  <c:v>1966</c:v>
                </c:pt>
                <c:pt idx="3">
                  <c:v>1967</c:v>
                </c:pt>
                <c:pt idx="4">
                  <c:v>1968</c:v>
                </c:pt>
                <c:pt idx="5">
                  <c:v>1969</c:v>
                </c:pt>
                <c:pt idx="6">
                  <c:v>1970</c:v>
                </c:pt>
                <c:pt idx="7">
                  <c:v>1971</c:v>
                </c:pt>
                <c:pt idx="8">
                  <c:v>1972</c:v>
                </c:pt>
                <c:pt idx="9">
                  <c:v>1973</c:v>
                </c:pt>
                <c:pt idx="10">
                  <c:v>1974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2004*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</c:strCache>
            </c:strRef>
          </c:cat>
          <c:val>
            <c:numRef>
              <c:f>A!$L$7:$L$56</c:f>
              <c:numCache>
                <c:formatCode>General</c:formatCode>
                <c:ptCount val="50"/>
                <c:pt idx="4" formatCode="#,##0">
                  <c:v>7</c:v>
                </c:pt>
                <c:pt idx="5" formatCode="#,##0">
                  <c:v>17</c:v>
                </c:pt>
                <c:pt idx="6" formatCode="#,##0">
                  <c:v>28</c:v>
                </c:pt>
                <c:pt idx="7" formatCode="#,##0">
                  <c:v>26</c:v>
                </c:pt>
                <c:pt idx="8" formatCode="#,##0">
                  <c:v>25</c:v>
                </c:pt>
                <c:pt idx="9" formatCode="#,##0">
                  <c:v>50</c:v>
                </c:pt>
                <c:pt idx="10" formatCode="#,##0">
                  <c:v>64</c:v>
                </c:pt>
                <c:pt idx="11" formatCode="#,##0">
                  <c:v>293</c:v>
                </c:pt>
                <c:pt idx="12" formatCode="#,##0">
                  <c:v>396</c:v>
                </c:pt>
                <c:pt idx="13" formatCode="#,##0">
                  <c:v>447</c:v>
                </c:pt>
                <c:pt idx="14" formatCode="#,##0">
                  <c:v>501</c:v>
                </c:pt>
                <c:pt idx="15" formatCode="#,##0">
                  <c:v>475</c:v>
                </c:pt>
                <c:pt idx="16" formatCode="#,##0">
                  <c:v>449</c:v>
                </c:pt>
                <c:pt idx="17" formatCode="#,##0">
                  <c:v>536</c:v>
                </c:pt>
                <c:pt idx="18" formatCode="#,##0">
                  <c:v>495</c:v>
                </c:pt>
                <c:pt idx="19" formatCode="#,##0">
                  <c:v>496</c:v>
                </c:pt>
                <c:pt idx="20" formatCode="#,##0">
                  <c:v>621</c:v>
                </c:pt>
                <c:pt idx="21" formatCode="#,##0">
                  <c:v>587</c:v>
                </c:pt>
                <c:pt idx="22" formatCode="#,##0">
                  <c:v>651</c:v>
                </c:pt>
                <c:pt idx="23" formatCode="#,##0">
                  <c:v>679</c:v>
                </c:pt>
                <c:pt idx="24" formatCode="#,##0">
                  <c:v>694</c:v>
                </c:pt>
                <c:pt idx="25" formatCode="#,##0">
                  <c:v>721</c:v>
                </c:pt>
                <c:pt idx="26" formatCode="#,##0">
                  <c:v>751</c:v>
                </c:pt>
                <c:pt idx="27" formatCode="#,##0">
                  <c:v>793</c:v>
                </c:pt>
                <c:pt idx="28" formatCode="#,##0">
                  <c:v>711</c:v>
                </c:pt>
                <c:pt idx="29" formatCode="#,##0">
                  <c:v>641</c:v>
                </c:pt>
                <c:pt idx="30" formatCode="#,##0">
                  <c:v>616</c:v>
                </c:pt>
                <c:pt idx="31" formatCode="#,##0">
                  <c:v>644</c:v>
                </c:pt>
                <c:pt idx="32" formatCode="#,##0">
                  <c:v>636</c:v>
                </c:pt>
                <c:pt idx="33" formatCode="#,##0">
                  <c:v>583.5</c:v>
                </c:pt>
                <c:pt idx="34" formatCode="#,##0">
                  <c:v>596.5</c:v>
                </c:pt>
                <c:pt idx="35" formatCode="#,##0">
                  <c:v>637.5</c:v>
                </c:pt>
                <c:pt idx="36" formatCode="#,##0">
                  <c:v>638.5</c:v>
                </c:pt>
                <c:pt idx="37" formatCode="#,##0">
                  <c:v>647</c:v>
                </c:pt>
                <c:pt idx="38" formatCode="#,##0">
                  <c:v>671</c:v>
                </c:pt>
                <c:pt idx="39" formatCode="#,##0">
                  <c:v>858</c:v>
                </c:pt>
                <c:pt idx="40" formatCode="#,##0">
                  <c:v>1065</c:v>
                </c:pt>
                <c:pt idx="41" formatCode="#,##0">
                  <c:v>1053</c:v>
                </c:pt>
                <c:pt idx="42" formatCode="#,##0">
                  <c:v>1169</c:v>
                </c:pt>
                <c:pt idx="43" formatCode="#,##0">
                  <c:v>1259</c:v>
                </c:pt>
                <c:pt idx="44" formatCode="#,##0">
                  <c:v>1419</c:v>
                </c:pt>
                <c:pt idx="45" formatCode="#,##0">
                  <c:v>1544</c:v>
                </c:pt>
                <c:pt idx="46" formatCode="#,##0">
                  <c:v>1536</c:v>
                </c:pt>
                <c:pt idx="47" formatCode="#,##0">
                  <c:v>1534</c:v>
                </c:pt>
                <c:pt idx="48" formatCode="#,##0">
                  <c:v>1630</c:v>
                </c:pt>
                <c:pt idx="49" formatCode="#,##0">
                  <c:v>1689</c:v>
                </c:pt>
              </c:numCache>
            </c:numRef>
          </c:val>
        </c:ser>
        <c:ser>
          <c:idx val="1"/>
          <c:order val="1"/>
          <c:tx>
            <c:v>Undergraduate</c:v>
          </c:tx>
          <c:spPr>
            <a:ln w="3175">
              <a:solidFill>
                <a:schemeClr val="bg1"/>
              </a:solidFill>
              <a:prstDash val="solid"/>
            </a:ln>
          </c:spPr>
          <c:cat>
            <c:strRef>
              <c:f>A!$A$7:$A$56</c:f>
              <c:strCache>
                <c:ptCount val="50"/>
                <c:pt idx="0">
                  <c:v>1964</c:v>
                </c:pt>
                <c:pt idx="1">
                  <c:v>1965</c:v>
                </c:pt>
                <c:pt idx="2">
                  <c:v>1966</c:v>
                </c:pt>
                <c:pt idx="3">
                  <c:v>1967</c:v>
                </c:pt>
                <c:pt idx="4">
                  <c:v>1968</c:v>
                </c:pt>
                <c:pt idx="5">
                  <c:v>1969</c:v>
                </c:pt>
                <c:pt idx="6">
                  <c:v>1970</c:v>
                </c:pt>
                <c:pt idx="7">
                  <c:v>1971</c:v>
                </c:pt>
                <c:pt idx="8">
                  <c:v>1972</c:v>
                </c:pt>
                <c:pt idx="9">
                  <c:v>1973</c:v>
                </c:pt>
                <c:pt idx="10">
                  <c:v>1974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2004*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</c:strCache>
            </c:strRef>
          </c:cat>
          <c:val>
            <c:numRef>
              <c:f>A!$F$7:$F$56</c:f>
              <c:numCache>
                <c:formatCode>General</c:formatCode>
                <c:ptCount val="50"/>
                <c:pt idx="0">
                  <c:v>142</c:v>
                </c:pt>
                <c:pt idx="1">
                  <c:v>502</c:v>
                </c:pt>
                <c:pt idx="2">
                  <c:v>869</c:v>
                </c:pt>
                <c:pt idx="3" formatCode="#,##0">
                  <c:v>1147</c:v>
                </c:pt>
                <c:pt idx="4" formatCode="#,##0">
                  <c:v>1803</c:v>
                </c:pt>
                <c:pt idx="5" formatCode="#,##0">
                  <c:v>2732</c:v>
                </c:pt>
                <c:pt idx="6" formatCode="#,##0">
                  <c:v>3597</c:v>
                </c:pt>
                <c:pt idx="7" formatCode="#,##0">
                  <c:v>3797</c:v>
                </c:pt>
                <c:pt idx="8" formatCode="#,##0">
                  <c:v>3918</c:v>
                </c:pt>
                <c:pt idx="9" formatCode="#,##0">
                  <c:v>4165</c:v>
                </c:pt>
                <c:pt idx="10" formatCode="#,##0">
                  <c:v>4389</c:v>
                </c:pt>
                <c:pt idx="11" formatCode="#,##0">
                  <c:v>4580</c:v>
                </c:pt>
                <c:pt idx="12" formatCode="#,##0">
                  <c:v>4569</c:v>
                </c:pt>
                <c:pt idx="13" formatCode="#,##0">
                  <c:v>4513</c:v>
                </c:pt>
                <c:pt idx="14" formatCode="#,##0">
                  <c:v>4240</c:v>
                </c:pt>
                <c:pt idx="15" formatCode="#,##0">
                  <c:v>4528</c:v>
                </c:pt>
                <c:pt idx="16" formatCode="#,##0">
                  <c:v>5266</c:v>
                </c:pt>
                <c:pt idx="17" formatCode="#,##0">
                  <c:v>5920</c:v>
                </c:pt>
                <c:pt idx="18" formatCode="#,##0">
                  <c:v>6784</c:v>
                </c:pt>
                <c:pt idx="19" formatCode="#,##0">
                  <c:v>7091</c:v>
                </c:pt>
                <c:pt idx="20" formatCode="#,##0">
                  <c:v>7325</c:v>
                </c:pt>
                <c:pt idx="21" formatCode="#,##0">
                  <c:v>7603</c:v>
                </c:pt>
                <c:pt idx="22" formatCode="#,##0">
                  <c:v>8206</c:v>
                </c:pt>
                <c:pt idx="23" formatCode="#,##0">
                  <c:v>8595</c:v>
                </c:pt>
                <c:pt idx="24" formatCode="#,##0">
                  <c:v>9064</c:v>
                </c:pt>
                <c:pt idx="25" formatCode="#,##0">
                  <c:v>9285</c:v>
                </c:pt>
                <c:pt idx="26" formatCode="#,##0">
                  <c:v>9701</c:v>
                </c:pt>
                <c:pt idx="27" formatCode="#,##0">
                  <c:v>10392</c:v>
                </c:pt>
                <c:pt idx="28" formatCode="#,##0">
                  <c:v>10566</c:v>
                </c:pt>
                <c:pt idx="29" formatCode="#,##0">
                  <c:v>10539</c:v>
                </c:pt>
                <c:pt idx="30" formatCode="#,##0">
                  <c:v>10570</c:v>
                </c:pt>
                <c:pt idx="31" formatCode="#,##0">
                  <c:v>10655</c:v>
                </c:pt>
                <c:pt idx="32" formatCode="#,##0">
                  <c:v>10118</c:v>
                </c:pt>
                <c:pt idx="33" formatCode="#,##0">
                  <c:v>10042.5</c:v>
                </c:pt>
                <c:pt idx="34" formatCode="#,##0">
                  <c:v>9856.5</c:v>
                </c:pt>
                <c:pt idx="35" formatCode="#,##0">
                  <c:v>10346.5</c:v>
                </c:pt>
                <c:pt idx="36" formatCode="#,##0">
                  <c:v>10777.5</c:v>
                </c:pt>
                <c:pt idx="37" formatCode="#,##0">
                  <c:v>11269</c:v>
                </c:pt>
                <c:pt idx="38" formatCode="#,##0">
                  <c:v>12458</c:v>
                </c:pt>
                <c:pt idx="39" formatCode="#,##0">
                  <c:v>14669</c:v>
                </c:pt>
                <c:pt idx="40" formatCode="#,##0">
                  <c:v>15532</c:v>
                </c:pt>
                <c:pt idx="41" formatCode="#,##0">
                  <c:v>16356</c:v>
                </c:pt>
                <c:pt idx="42" formatCode="#,##0">
                  <c:v>16284</c:v>
                </c:pt>
                <c:pt idx="43" formatCode="#,##0">
                  <c:v>15747</c:v>
                </c:pt>
                <c:pt idx="44" formatCode="#,##0">
                  <c:v>15431</c:v>
                </c:pt>
                <c:pt idx="45" formatCode="#,##0">
                  <c:v>15949</c:v>
                </c:pt>
                <c:pt idx="46" formatCode="#,##0">
                  <c:v>16341</c:v>
                </c:pt>
                <c:pt idx="47" formatCode="#,##0">
                  <c:v>16656</c:v>
                </c:pt>
                <c:pt idx="48" formatCode="#,##0">
                  <c:v>16882</c:v>
                </c:pt>
                <c:pt idx="49" formatCode="#,##0">
                  <c:v>16999</c:v>
                </c:pt>
              </c:numCache>
            </c:numRef>
          </c:val>
        </c:ser>
        <c:axId val="100095488"/>
        <c:axId val="100127488"/>
      </c:barChart>
      <c:lineChart>
        <c:grouping val="standard"/>
        <c:ser>
          <c:idx val="2"/>
          <c:order val="2"/>
          <c:tx>
            <c:v>Total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A!$A$7:$A$56</c:f>
              <c:strCache>
                <c:ptCount val="50"/>
                <c:pt idx="0">
                  <c:v>1964</c:v>
                </c:pt>
                <c:pt idx="1">
                  <c:v>1965</c:v>
                </c:pt>
                <c:pt idx="2">
                  <c:v>1966</c:v>
                </c:pt>
                <c:pt idx="3">
                  <c:v>1967</c:v>
                </c:pt>
                <c:pt idx="4">
                  <c:v>1968</c:v>
                </c:pt>
                <c:pt idx="5">
                  <c:v>1969</c:v>
                </c:pt>
                <c:pt idx="6">
                  <c:v>1970</c:v>
                </c:pt>
                <c:pt idx="7">
                  <c:v>1971</c:v>
                </c:pt>
                <c:pt idx="8">
                  <c:v>1972</c:v>
                </c:pt>
                <c:pt idx="9">
                  <c:v>1973</c:v>
                </c:pt>
                <c:pt idx="10">
                  <c:v>1974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2004*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</c:strCache>
            </c:strRef>
          </c:cat>
          <c:val>
            <c:numRef>
              <c:f>A!$R$7:$R$56</c:f>
              <c:numCache>
                <c:formatCode>General</c:formatCode>
                <c:ptCount val="50"/>
                <c:pt idx="0">
                  <c:v>142</c:v>
                </c:pt>
                <c:pt idx="1">
                  <c:v>502</c:v>
                </c:pt>
                <c:pt idx="2">
                  <c:v>869</c:v>
                </c:pt>
                <c:pt idx="3" formatCode="#,##0">
                  <c:v>1147</c:v>
                </c:pt>
                <c:pt idx="4" formatCode="#,##0">
                  <c:v>1810</c:v>
                </c:pt>
                <c:pt idx="5" formatCode="#,##0">
                  <c:v>2749</c:v>
                </c:pt>
                <c:pt idx="6" formatCode="#,##0">
                  <c:v>3625</c:v>
                </c:pt>
                <c:pt idx="7" formatCode="#,##0">
                  <c:v>3823</c:v>
                </c:pt>
                <c:pt idx="8" formatCode="#,##0">
                  <c:v>3943</c:v>
                </c:pt>
                <c:pt idx="9" formatCode="#,##0">
                  <c:v>4215</c:v>
                </c:pt>
                <c:pt idx="10" formatCode="#,##0">
                  <c:v>4453</c:v>
                </c:pt>
                <c:pt idx="11" formatCode="#,##0">
                  <c:v>4873</c:v>
                </c:pt>
                <c:pt idx="12" formatCode="#,##0">
                  <c:v>4965</c:v>
                </c:pt>
                <c:pt idx="13" formatCode="#,##0">
                  <c:v>4960</c:v>
                </c:pt>
                <c:pt idx="14" formatCode="#,##0">
                  <c:v>4741</c:v>
                </c:pt>
                <c:pt idx="15" formatCode="#,##0">
                  <c:v>5003</c:v>
                </c:pt>
                <c:pt idx="16" formatCode="#,##0">
                  <c:v>5715</c:v>
                </c:pt>
                <c:pt idx="17" formatCode="#,##0">
                  <c:v>6456</c:v>
                </c:pt>
                <c:pt idx="18" formatCode="#,##0">
                  <c:v>7279</c:v>
                </c:pt>
                <c:pt idx="19" formatCode="#,##0">
                  <c:v>7587</c:v>
                </c:pt>
                <c:pt idx="20" formatCode="#,##0">
                  <c:v>7946</c:v>
                </c:pt>
                <c:pt idx="21" formatCode="#,##0">
                  <c:v>8190</c:v>
                </c:pt>
                <c:pt idx="22" formatCode="#,##0">
                  <c:v>8857</c:v>
                </c:pt>
                <c:pt idx="23" formatCode="#,##0">
                  <c:v>9274</c:v>
                </c:pt>
                <c:pt idx="24" formatCode="#,##0">
                  <c:v>9758</c:v>
                </c:pt>
                <c:pt idx="25" formatCode="#,##0">
                  <c:v>10006</c:v>
                </c:pt>
                <c:pt idx="26" formatCode="#,##0">
                  <c:v>10452</c:v>
                </c:pt>
                <c:pt idx="27" formatCode="#,##0">
                  <c:v>11185</c:v>
                </c:pt>
                <c:pt idx="28" formatCode="#,##0">
                  <c:v>11277</c:v>
                </c:pt>
                <c:pt idx="29" formatCode="#,##0">
                  <c:v>11180</c:v>
                </c:pt>
                <c:pt idx="30" formatCode="#,##0">
                  <c:v>11186</c:v>
                </c:pt>
                <c:pt idx="31" formatCode="#,##0">
                  <c:v>11299</c:v>
                </c:pt>
                <c:pt idx="32" formatCode="#,##0">
                  <c:v>10754</c:v>
                </c:pt>
                <c:pt idx="33" formatCode="#,##0">
                  <c:v>10626</c:v>
                </c:pt>
                <c:pt idx="34" formatCode="#,##0">
                  <c:v>10453</c:v>
                </c:pt>
                <c:pt idx="35" formatCode="#,##0">
                  <c:v>10984</c:v>
                </c:pt>
                <c:pt idx="36" formatCode="#,##0">
                  <c:v>11416</c:v>
                </c:pt>
                <c:pt idx="37" formatCode="#,##0">
                  <c:v>11916</c:v>
                </c:pt>
                <c:pt idx="38" formatCode="#,##0">
                  <c:v>13129</c:v>
                </c:pt>
                <c:pt idx="39" formatCode="#,##0">
                  <c:v>15527</c:v>
                </c:pt>
                <c:pt idx="40" formatCode="#,##0">
                  <c:v>16597</c:v>
                </c:pt>
                <c:pt idx="41" formatCode="#,##0">
                  <c:v>17409</c:v>
                </c:pt>
                <c:pt idx="42" formatCode="#,##0">
                  <c:v>17453</c:v>
                </c:pt>
                <c:pt idx="43" formatCode="#,##0">
                  <c:v>17006</c:v>
                </c:pt>
                <c:pt idx="44" formatCode="#,##0">
                  <c:v>16850</c:v>
                </c:pt>
                <c:pt idx="45" formatCode="#,##0">
                  <c:v>17493</c:v>
                </c:pt>
                <c:pt idx="46" formatCode="#,##0">
                  <c:v>17877</c:v>
                </c:pt>
                <c:pt idx="47" formatCode="#,##0">
                  <c:v>18190</c:v>
                </c:pt>
                <c:pt idx="48" formatCode="#,##0">
                  <c:v>18512</c:v>
                </c:pt>
                <c:pt idx="49" formatCode="#,##0">
                  <c:v>18688</c:v>
                </c:pt>
              </c:numCache>
            </c:numRef>
          </c:val>
        </c:ser>
        <c:marker val="1"/>
        <c:axId val="100095488"/>
        <c:axId val="100127488"/>
      </c:lineChart>
      <c:catAx>
        <c:axId val="100095488"/>
        <c:scaling>
          <c:orientation val="minMax"/>
        </c:scaling>
        <c:axPos val="b"/>
        <c:numFmt formatCode="General" sourceLinked="1"/>
        <c:majorTickMark val="in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 MT"/>
                <a:ea typeface="Arial MT"/>
                <a:cs typeface="Arial MT"/>
              </a:defRPr>
            </a:pPr>
            <a:endParaRPr lang="en-US"/>
          </a:p>
        </c:txPr>
        <c:crossAx val="100127488"/>
        <c:crosses val="autoZero"/>
        <c:lblAlgn val="ctr"/>
        <c:lblOffset val="100"/>
        <c:tickLblSkip val="1"/>
        <c:tickMarkSkip val="1"/>
      </c:catAx>
      <c:valAx>
        <c:axId val="100127488"/>
        <c:scaling>
          <c:orientation val="minMax"/>
        </c:scaling>
        <c:axPos val="l"/>
        <c:numFmt formatCode="#,##0" sourceLinked="0"/>
        <c:majorTickMark val="in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 MT"/>
                <a:ea typeface="Arial MT"/>
                <a:cs typeface="Arial MT"/>
              </a:defRPr>
            </a:pPr>
            <a:endParaRPr lang="en-US"/>
          </a:p>
        </c:txPr>
        <c:crossAx val="10009548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7163972180245149"/>
          <c:y val="0.89030023094688227"/>
          <c:w val="0.37279468349284622"/>
          <c:h val="4.524825274438848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15" b="0" i="0" u="none" strike="noStrike" baseline="0">
              <a:solidFill>
                <a:srgbClr val="000000"/>
              </a:solidFill>
              <a:latin typeface="Arial MT"/>
              <a:ea typeface="Arial MT"/>
              <a:cs typeface="Arial MT"/>
            </a:defRPr>
          </a:pPr>
          <a:endParaRPr lang="en-US"/>
        </a:p>
      </c:txPr>
    </c:legend>
    <c:dispBlanksAs val="gap"/>
  </c:chart>
  <c:spPr>
    <a:solidFill>
      <a:srgbClr val="FFFFFF"/>
    </a:solidFill>
    <a:ln w="9525">
      <a:noFill/>
    </a:ln>
  </c:spPr>
  <c:txPr>
    <a:bodyPr/>
    <a:lstStyle/>
    <a:p>
      <a:pPr>
        <a:defRPr sz="3000" b="0" i="0" u="none" strike="noStrike" baseline="0">
          <a:solidFill>
            <a:srgbClr val="000000"/>
          </a:solidFill>
          <a:latin typeface="Arial MT"/>
          <a:ea typeface="Arial MT"/>
          <a:cs typeface="Arial MT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57</xdr:row>
      <xdr:rowOff>180975</xdr:rowOff>
    </xdr:from>
    <xdr:to>
      <xdr:col>19</xdr:col>
      <xdr:colOff>9525</xdr:colOff>
      <xdr:row>95</xdr:row>
      <xdr:rowOff>161925</xdr:rowOff>
    </xdr:to>
    <xdr:graphicFrame macro="">
      <xdr:nvGraphicFramePr>
        <xdr:cNvPr id="107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103</xdr:row>
      <xdr:rowOff>0</xdr:rowOff>
    </xdr:from>
    <xdr:to>
      <xdr:col>18</xdr:col>
      <xdr:colOff>676275</xdr:colOff>
      <xdr:row>146</xdr:row>
      <xdr:rowOff>57150</xdr:rowOff>
    </xdr:to>
    <xdr:graphicFrame macro="">
      <xdr:nvGraphicFramePr>
        <xdr:cNvPr id="1077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103"/>
  <sheetViews>
    <sheetView tabSelected="1" zoomScale="85" zoomScaleNormal="85" workbookViewId="0">
      <pane ySplit="6" topLeftCell="A47" activePane="bottomLeft" state="frozenSplit"/>
      <selection pane="bottomLeft" activeCell="C57" sqref="C57"/>
    </sheetView>
  </sheetViews>
  <sheetFormatPr defaultColWidth="9.6640625" defaultRowHeight="15"/>
  <cols>
    <col min="1" max="1" width="9.6640625" style="1" customWidth="1"/>
    <col min="2" max="2" width="8.6640625" style="1" customWidth="1"/>
    <col min="3" max="3" width="9.5546875" style="1" bestFit="1" customWidth="1"/>
    <col min="4" max="4" width="7.6640625" style="1" customWidth="1"/>
    <col min="5" max="5" width="9.5546875" style="1" bestFit="1" customWidth="1"/>
    <col min="6" max="6" width="7.6640625" style="1" customWidth="1"/>
    <col min="7" max="7" width="9.5546875" style="1" bestFit="1" customWidth="1"/>
    <col min="8" max="8" width="7.6640625" style="1" customWidth="1"/>
    <col min="9" max="9" width="9.5546875" style="1" bestFit="1" customWidth="1"/>
    <col min="10" max="10" width="7.6640625" style="1" customWidth="1"/>
    <col min="11" max="11" width="9.5546875" style="1" bestFit="1" customWidth="1"/>
    <col min="12" max="12" width="7.6640625" style="1" customWidth="1"/>
    <col min="13" max="13" width="9.5546875" style="1" bestFit="1" customWidth="1"/>
    <col min="14" max="14" width="8.6640625" style="1" customWidth="1"/>
    <col min="15" max="15" width="9.5546875" style="1" bestFit="1" customWidth="1"/>
    <col min="16" max="16" width="7.6640625" style="1" customWidth="1"/>
    <col min="17" max="17" width="9.5546875" style="1" bestFit="1" customWidth="1"/>
    <col min="18" max="18" width="7.6640625" style="1" customWidth="1"/>
    <col min="19" max="19" width="9.5546875" style="1" bestFit="1" customWidth="1"/>
    <col min="20" max="16384" width="9.6640625" style="1"/>
  </cols>
  <sheetData>
    <row r="1" spans="1:20" ht="18">
      <c r="A1" s="2" t="s">
        <v>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ht="18">
      <c r="A2" s="2" t="s">
        <v>46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>
      <c r="B3" s="3"/>
      <c r="C3" s="3"/>
      <c r="D3" s="3"/>
      <c r="E3" s="3"/>
      <c r="F3" s="3"/>
      <c r="G3" s="3"/>
    </row>
    <row r="4" spans="1:20" s="80" customFormat="1" ht="15.75">
      <c r="B4" s="81" t="s">
        <v>36</v>
      </c>
      <c r="C4" s="82"/>
      <c r="D4" s="82"/>
      <c r="E4" s="82"/>
      <c r="F4" s="82"/>
      <c r="G4" s="82"/>
      <c r="H4" s="83" t="s">
        <v>42</v>
      </c>
      <c r="I4" s="82"/>
      <c r="J4" s="82"/>
      <c r="K4" s="82"/>
      <c r="L4" s="82"/>
      <c r="M4" s="82"/>
      <c r="N4" s="83" t="s">
        <v>43</v>
      </c>
      <c r="O4" s="82"/>
      <c r="P4" s="82"/>
      <c r="Q4" s="82"/>
      <c r="R4" s="82"/>
      <c r="S4" s="82"/>
      <c r="T4" s="84"/>
    </row>
    <row r="5" spans="1:20">
      <c r="A5" s="4"/>
      <c r="B5" s="5" t="s">
        <v>37</v>
      </c>
      <c r="C5" s="6"/>
      <c r="D5" s="9" t="s">
        <v>40</v>
      </c>
      <c r="E5" s="6"/>
      <c r="F5" s="5" t="s">
        <v>41</v>
      </c>
      <c r="G5" s="6"/>
      <c r="H5" s="7" t="s">
        <v>37</v>
      </c>
      <c r="I5" s="6"/>
      <c r="J5" s="9" t="s">
        <v>40</v>
      </c>
      <c r="K5" s="6"/>
      <c r="L5" s="5" t="s">
        <v>41</v>
      </c>
      <c r="M5" s="6"/>
      <c r="N5" s="7" t="s">
        <v>37</v>
      </c>
      <c r="O5" s="6"/>
      <c r="P5" s="9" t="s">
        <v>40</v>
      </c>
      <c r="Q5" s="6"/>
      <c r="R5" s="5" t="s">
        <v>41</v>
      </c>
      <c r="S5" s="6"/>
      <c r="T5" s="8"/>
    </row>
    <row r="6" spans="1:20">
      <c r="A6" s="4"/>
      <c r="B6" s="10" t="s">
        <v>38</v>
      </c>
      <c r="C6" s="11" t="s">
        <v>39</v>
      </c>
      <c r="D6" s="12" t="s">
        <v>38</v>
      </c>
      <c r="E6" s="11" t="s">
        <v>39</v>
      </c>
      <c r="F6" s="10" t="s">
        <v>38</v>
      </c>
      <c r="G6" s="11" t="s">
        <v>39</v>
      </c>
      <c r="H6" s="13" t="s">
        <v>38</v>
      </c>
      <c r="I6" s="11" t="s">
        <v>39</v>
      </c>
      <c r="J6" s="12" t="s">
        <v>38</v>
      </c>
      <c r="K6" s="11" t="s">
        <v>39</v>
      </c>
      <c r="L6" s="10" t="s">
        <v>38</v>
      </c>
      <c r="M6" s="11" t="s">
        <v>39</v>
      </c>
      <c r="N6" s="13" t="s">
        <v>38</v>
      </c>
      <c r="O6" s="11" t="s">
        <v>39</v>
      </c>
      <c r="P6" s="12" t="s">
        <v>38</v>
      </c>
      <c r="Q6" s="11" t="s">
        <v>39</v>
      </c>
      <c r="R6" s="10" t="s">
        <v>38</v>
      </c>
      <c r="S6" s="11" t="s">
        <v>39</v>
      </c>
      <c r="T6" s="8"/>
    </row>
    <row r="7" spans="1:20">
      <c r="A7" s="14" t="s">
        <v>0</v>
      </c>
      <c r="B7" s="15">
        <v>127</v>
      </c>
      <c r="C7" s="16"/>
      <c r="D7" s="17">
        <v>15</v>
      </c>
      <c r="E7" s="16"/>
      <c r="F7" s="15">
        <f t="shared" ref="F7:F48" si="0">B7+D7</f>
        <v>142</v>
      </c>
      <c r="G7" s="16"/>
      <c r="H7" s="18"/>
      <c r="I7" s="16"/>
      <c r="J7" s="19"/>
      <c r="K7" s="16"/>
      <c r="L7" s="20"/>
      <c r="M7" s="16"/>
      <c r="N7" s="21">
        <f t="shared" ref="N7:N48" si="1">B7+H7</f>
        <v>127</v>
      </c>
      <c r="O7" s="16"/>
      <c r="P7" s="22">
        <f t="shared" ref="P7:P48" si="2">D7+J7</f>
        <v>15</v>
      </c>
      <c r="Q7" s="16"/>
      <c r="R7" s="15">
        <f t="shared" ref="R7:R48" si="3">N7+P7</f>
        <v>142</v>
      </c>
      <c r="S7" s="16"/>
      <c r="T7" s="8"/>
    </row>
    <row r="8" spans="1:20">
      <c r="A8" s="23" t="s">
        <v>1</v>
      </c>
      <c r="B8" s="24">
        <v>363</v>
      </c>
      <c r="C8" s="25">
        <f t="shared" ref="C8:C48" si="4">(B8-B7)/B7</f>
        <v>1.8582677165354331</v>
      </c>
      <c r="D8" s="8">
        <v>139</v>
      </c>
      <c r="E8" s="25">
        <f t="shared" ref="E8:E49" si="5">(D8-D7)/D7</f>
        <v>8.2666666666666675</v>
      </c>
      <c r="F8" s="24">
        <f t="shared" si="0"/>
        <v>502</v>
      </c>
      <c r="G8" s="25">
        <f t="shared" ref="G8:G43" si="6">(F8-F7)/F7</f>
        <v>2.535211267605634</v>
      </c>
      <c r="H8" s="26"/>
      <c r="I8" s="27"/>
      <c r="J8" s="28"/>
      <c r="K8" s="27"/>
      <c r="L8" s="29"/>
      <c r="M8" s="27"/>
      <c r="N8" s="30">
        <f t="shared" si="1"/>
        <v>363</v>
      </c>
      <c r="O8" s="25">
        <f t="shared" ref="O8:O47" si="7">(N8-N7)/N7</f>
        <v>1.8582677165354331</v>
      </c>
      <c r="P8" s="31">
        <f t="shared" si="2"/>
        <v>139</v>
      </c>
      <c r="Q8" s="25">
        <f t="shared" ref="Q8:Q47" si="8">(P8-P7)/P7</f>
        <v>8.2666666666666675</v>
      </c>
      <c r="R8" s="24">
        <f t="shared" si="3"/>
        <v>502</v>
      </c>
      <c r="S8" s="25">
        <f t="shared" ref="S8:S47" si="9">(R8-R7)/R7</f>
        <v>2.535211267605634</v>
      </c>
      <c r="T8" s="8"/>
    </row>
    <row r="9" spans="1:20">
      <c r="A9" s="23" t="s">
        <v>2</v>
      </c>
      <c r="B9" s="24">
        <v>530</v>
      </c>
      <c r="C9" s="25">
        <f t="shared" si="4"/>
        <v>0.46005509641873277</v>
      </c>
      <c r="D9" s="8">
        <v>339</v>
      </c>
      <c r="E9" s="25">
        <f t="shared" si="5"/>
        <v>1.4388489208633093</v>
      </c>
      <c r="F9" s="24">
        <f t="shared" si="0"/>
        <v>869</v>
      </c>
      <c r="G9" s="25">
        <f t="shared" si="6"/>
        <v>0.7310756972111554</v>
      </c>
      <c r="H9" s="26"/>
      <c r="I9" s="27"/>
      <c r="J9" s="28"/>
      <c r="K9" s="27"/>
      <c r="L9" s="29"/>
      <c r="M9" s="27"/>
      <c r="N9" s="30">
        <f t="shared" si="1"/>
        <v>530</v>
      </c>
      <c r="O9" s="25">
        <f t="shared" si="7"/>
        <v>0.46005509641873277</v>
      </c>
      <c r="P9" s="31">
        <f t="shared" si="2"/>
        <v>339</v>
      </c>
      <c r="Q9" s="25">
        <f t="shared" si="8"/>
        <v>1.4388489208633093</v>
      </c>
      <c r="R9" s="24">
        <f t="shared" si="3"/>
        <v>869</v>
      </c>
      <c r="S9" s="25">
        <f t="shared" si="9"/>
        <v>0.7310756972111554</v>
      </c>
      <c r="T9" s="8"/>
    </row>
    <row r="10" spans="1:20">
      <c r="A10" s="23" t="s">
        <v>3</v>
      </c>
      <c r="B10" s="24">
        <v>679</v>
      </c>
      <c r="C10" s="25">
        <f t="shared" si="4"/>
        <v>0.28113207547169811</v>
      </c>
      <c r="D10" s="8">
        <v>468</v>
      </c>
      <c r="E10" s="25">
        <f t="shared" si="5"/>
        <v>0.38053097345132741</v>
      </c>
      <c r="F10" s="32">
        <f t="shared" si="0"/>
        <v>1147</v>
      </c>
      <c r="G10" s="25">
        <f t="shared" si="6"/>
        <v>0.31990794016110474</v>
      </c>
      <c r="H10" s="26"/>
      <c r="I10" s="27"/>
      <c r="J10" s="28"/>
      <c r="K10" s="27"/>
      <c r="L10" s="29"/>
      <c r="M10" s="27"/>
      <c r="N10" s="30">
        <f t="shared" si="1"/>
        <v>679</v>
      </c>
      <c r="O10" s="25">
        <f t="shared" si="7"/>
        <v>0.28113207547169811</v>
      </c>
      <c r="P10" s="31">
        <f t="shared" si="2"/>
        <v>468</v>
      </c>
      <c r="Q10" s="25">
        <f t="shared" si="8"/>
        <v>0.38053097345132741</v>
      </c>
      <c r="R10" s="32">
        <f t="shared" si="3"/>
        <v>1147</v>
      </c>
      <c r="S10" s="25">
        <f t="shared" si="9"/>
        <v>0.31990794016110474</v>
      </c>
      <c r="T10" s="8"/>
    </row>
    <row r="11" spans="1:20">
      <c r="A11" s="23" t="s">
        <v>4</v>
      </c>
      <c r="B11" s="33">
        <v>1119</v>
      </c>
      <c r="C11" s="25">
        <f t="shared" si="4"/>
        <v>0.64801178203240062</v>
      </c>
      <c r="D11" s="34">
        <v>684</v>
      </c>
      <c r="E11" s="25">
        <f t="shared" si="5"/>
        <v>0.46153846153846156</v>
      </c>
      <c r="F11" s="33">
        <f t="shared" si="0"/>
        <v>1803</v>
      </c>
      <c r="G11" s="25">
        <f t="shared" si="6"/>
        <v>0.57192676547515253</v>
      </c>
      <c r="H11" s="35">
        <v>7</v>
      </c>
      <c r="I11" s="27"/>
      <c r="J11" s="28"/>
      <c r="K11" s="27"/>
      <c r="L11" s="33">
        <f t="shared" ref="L11:L48" si="10">H11+J11</f>
        <v>7</v>
      </c>
      <c r="M11" s="27"/>
      <c r="N11" s="36">
        <f t="shared" si="1"/>
        <v>1126</v>
      </c>
      <c r="O11" s="25">
        <f t="shared" si="7"/>
        <v>0.65832106038291605</v>
      </c>
      <c r="P11" s="37">
        <f t="shared" si="2"/>
        <v>684</v>
      </c>
      <c r="Q11" s="25">
        <f t="shared" si="8"/>
        <v>0.46153846153846156</v>
      </c>
      <c r="R11" s="33">
        <f t="shared" si="3"/>
        <v>1810</v>
      </c>
      <c r="S11" s="25">
        <f t="shared" si="9"/>
        <v>0.5780296425457716</v>
      </c>
      <c r="T11" s="8"/>
    </row>
    <row r="12" spans="1:20">
      <c r="A12" s="12" t="s">
        <v>5</v>
      </c>
      <c r="B12" s="38">
        <v>1633</v>
      </c>
      <c r="C12" s="39">
        <f t="shared" si="4"/>
        <v>0.45933869526362825</v>
      </c>
      <c r="D12" s="40">
        <v>1099</v>
      </c>
      <c r="E12" s="39">
        <f t="shared" si="5"/>
        <v>0.60672514619883045</v>
      </c>
      <c r="F12" s="38">
        <f t="shared" si="0"/>
        <v>2732</v>
      </c>
      <c r="G12" s="39">
        <f t="shared" si="6"/>
        <v>0.51525235718247364</v>
      </c>
      <c r="H12" s="41">
        <v>17</v>
      </c>
      <c r="I12" s="25">
        <f t="shared" ref="I12:I49" si="11">(H12-H11)/H11</f>
        <v>1.4285714285714286</v>
      </c>
      <c r="J12" s="28"/>
      <c r="K12" s="27"/>
      <c r="L12" s="38">
        <f t="shared" si="10"/>
        <v>17</v>
      </c>
      <c r="M12" s="25">
        <f t="shared" ref="M12:M43" si="12">(L12-L11)/L11</f>
        <v>1.4285714285714286</v>
      </c>
      <c r="N12" s="42">
        <f t="shared" si="1"/>
        <v>1650</v>
      </c>
      <c r="O12" s="39">
        <f t="shared" si="7"/>
        <v>0.46536412078152756</v>
      </c>
      <c r="P12" s="40">
        <f t="shared" si="2"/>
        <v>1099</v>
      </c>
      <c r="Q12" s="39">
        <f t="shared" si="8"/>
        <v>0.60672514619883045</v>
      </c>
      <c r="R12" s="38">
        <f t="shared" si="3"/>
        <v>2749</v>
      </c>
      <c r="S12" s="39">
        <f t="shared" si="9"/>
        <v>0.51878453038674033</v>
      </c>
      <c r="T12" s="8"/>
    </row>
    <row r="13" spans="1:20">
      <c r="A13" s="23" t="s">
        <v>6</v>
      </c>
      <c r="B13" s="32">
        <v>2140</v>
      </c>
      <c r="C13" s="25">
        <f t="shared" si="4"/>
        <v>0.31047152480097978</v>
      </c>
      <c r="D13" s="31">
        <v>1457</v>
      </c>
      <c r="E13" s="25">
        <f t="shared" si="5"/>
        <v>0.32575068243858052</v>
      </c>
      <c r="F13" s="32">
        <f t="shared" si="0"/>
        <v>3597</v>
      </c>
      <c r="G13" s="25">
        <f t="shared" si="6"/>
        <v>0.31661786237188871</v>
      </c>
      <c r="H13" s="43">
        <v>28</v>
      </c>
      <c r="I13" s="25">
        <f t="shared" si="11"/>
        <v>0.6470588235294118</v>
      </c>
      <c r="J13" s="28"/>
      <c r="K13" s="27"/>
      <c r="L13" s="32">
        <f t="shared" si="10"/>
        <v>28</v>
      </c>
      <c r="M13" s="25">
        <f t="shared" si="12"/>
        <v>0.6470588235294118</v>
      </c>
      <c r="N13" s="30">
        <f t="shared" si="1"/>
        <v>2168</v>
      </c>
      <c r="O13" s="25">
        <f t="shared" si="7"/>
        <v>0.31393939393939396</v>
      </c>
      <c r="P13" s="31">
        <f t="shared" si="2"/>
        <v>1457</v>
      </c>
      <c r="Q13" s="25">
        <f t="shared" si="8"/>
        <v>0.32575068243858052</v>
      </c>
      <c r="R13" s="32">
        <f t="shared" si="3"/>
        <v>3625</v>
      </c>
      <c r="S13" s="25">
        <f t="shared" si="9"/>
        <v>0.31866133139323388</v>
      </c>
      <c r="T13" s="8"/>
    </row>
    <row r="14" spans="1:20">
      <c r="A14" s="23" t="s">
        <v>7</v>
      </c>
      <c r="B14" s="32">
        <v>2365</v>
      </c>
      <c r="C14" s="25">
        <f t="shared" si="4"/>
        <v>0.10514018691588785</v>
      </c>
      <c r="D14" s="31">
        <v>1432</v>
      </c>
      <c r="E14" s="25">
        <f t="shared" si="5"/>
        <v>-1.7158544955387784E-2</v>
      </c>
      <c r="F14" s="32">
        <f t="shared" si="0"/>
        <v>3797</v>
      </c>
      <c r="G14" s="25">
        <f t="shared" si="6"/>
        <v>5.5601890464275786E-2</v>
      </c>
      <c r="H14" s="43">
        <v>20</v>
      </c>
      <c r="I14" s="25">
        <f t="shared" si="11"/>
        <v>-0.2857142857142857</v>
      </c>
      <c r="J14" s="8">
        <v>6</v>
      </c>
      <c r="K14" s="27"/>
      <c r="L14" s="32">
        <f t="shared" si="10"/>
        <v>26</v>
      </c>
      <c r="M14" s="25">
        <f t="shared" si="12"/>
        <v>-7.1428571428571425E-2</v>
      </c>
      <c r="N14" s="30">
        <f t="shared" si="1"/>
        <v>2385</v>
      </c>
      <c r="O14" s="25">
        <f t="shared" si="7"/>
        <v>0.10009225092250923</v>
      </c>
      <c r="P14" s="31">
        <f t="shared" si="2"/>
        <v>1438</v>
      </c>
      <c r="Q14" s="25">
        <f t="shared" si="8"/>
        <v>-1.3040494166094716E-2</v>
      </c>
      <c r="R14" s="32">
        <f t="shared" si="3"/>
        <v>3823</v>
      </c>
      <c r="S14" s="25">
        <f t="shared" si="9"/>
        <v>5.4620689655172416E-2</v>
      </c>
      <c r="T14" s="8"/>
    </row>
    <row r="15" spans="1:20">
      <c r="A15" s="23" t="s">
        <v>8</v>
      </c>
      <c r="B15" s="32">
        <v>2343</v>
      </c>
      <c r="C15" s="25">
        <f t="shared" si="4"/>
        <v>-9.3023255813953487E-3</v>
      </c>
      <c r="D15" s="31">
        <v>1575</v>
      </c>
      <c r="E15" s="25">
        <f t="shared" si="5"/>
        <v>9.9860335195530725E-2</v>
      </c>
      <c r="F15" s="32">
        <f t="shared" si="0"/>
        <v>3918</v>
      </c>
      <c r="G15" s="25">
        <f t="shared" si="6"/>
        <v>3.1867263629180929E-2</v>
      </c>
      <c r="H15" s="43">
        <v>20</v>
      </c>
      <c r="I15" s="25">
        <f t="shared" si="11"/>
        <v>0</v>
      </c>
      <c r="J15" s="8">
        <v>5</v>
      </c>
      <c r="K15" s="25">
        <f t="shared" ref="K15:K47" si="13">(J15-J14)/J14</f>
        <v>-0.16666666666666666</v>
      </c>
      <c r="L15" s="32">
        <f t="shared" si="10"/>
        <v>25</v>
      </c>
      <c r="M15" s="25">
        <f t="shared" si="12"/>
        <v>-3.8461538461538464E-2</v>
      </c>
      <c r="N15" s="30">
        <f t="shared" si="1"/>
        <v>2363</v>
      </c>
      <c r="O15" s="25">
        <f t="shared" si="7"/>
        <v>-9.2243186582809233E-3</v>
      </c>
      <c r="P15" s="31">
        <f t="shared" si="2"/>
        <v>1580</v>
      </c>
      <c r="Q15" s="25">
        <f t="shared" si="8"/>
        <v>9.8748261474269822E-2</v>
      </c>
      <c r="R15" s="32">
        <f t="shared" si="3"/>
        <v>3943</v>
      </c>
      <c r="S15" s="25">
        <f t="shared" si="9"/>
        <v>3.1388961548522103E-2</v>
      </c>
      <c r="T15" s="8"/>
    </row>
    <row r="16" spans="1:20">
      <c r="A16" s="23" t="s">
        <v>9</v>
      </c>
      <c r="B16" s="33">
        <v>2231</v>
      </c>
      <c r="C16" s="25">
        <f t="shared" si="4"/>
        <v>-4.7801963294921042E-2</v>
      </c>
      <c r="D16" s="37">
        <v>1934</v>
      </c>
      <c r="E16" s="25">
        <f t="shared" si="5"/>
        <v>0.22793650793650794</v>
      </c>
      <c r="F16" s="33">
        <f t="shared" si="0"/>
        <v>4165</v>
      </c>
      <c r="G16" s="25">
        <f t="shared" si="6"/>
        <v>6.3042368555385406E-2</v>
      </c>
      <c r="H16" s="35">
        <v>47</v>
      </c>
      <c r="I16" s="25">
        <f t="shared" si="11"/>
        <v>1.35</v>
      </c>
      <c r="J16" s="34">
        <v>3</v>
      </c>
      <c r="K16" s="25">
        <f t="shared" si="13"/>
        <v>-0.4</v>
      </c>
      <c r="L16" s="33">
        <f t="shared" si="10"/>
        <v>50</v>
      </c>
      <c r="M16" s="25">
        <f t="shared" si="12"/>
        <v>1</v>
      </c>
      <c r="N16" s="36">
        <f t="shared" si="1"/>
        <v>2278</v>
      </c>
      <c r="O16" s="25">
        <f t="shared" si="7"/>
        <v>-3.5971223021582732E-2</v>
      </c>
      <c r="P16" s="37">
        <f t="shared" si="2"/>
        <v>1937</v>
      </c>
      <c r="Q16" s="25">
        <f t="shared" si="8"/>
        <v>0.22594936708860761</v>
      </c>
      <c r="R16" s="33">
        <f t="shared" si="3"/>
        <v>4215</v>
      </c>
      <c r="S16" s="25">
        <f t="shared" si="9"/>
        <v>6.8983007862033985E-2</v>
      </c>
      <c r="T16" s="8"/>
    </row>
    <row r="17" spans="1:20">
      <c r="A17" s="12" t="s">
        <v>10</v>
      </c>
      <c r="B17" s="38">
        <v>2327</v>
      </c>
      <c r="C17" s="39">
        <f t="shared" si="4"/>
        <v>4.3030031376064544E-2</v>
      </c>
      <c r="D17" s="40">
        <v>2062</v>
      </c>
      <c r="E17" s="39">
        <f t="shared" si="5"/>
        <v>6.6184074457083769E-2</v>
      </c>
      <c r="F17" s="38">
        <f t="shared" si="0"/>
        <v>4389</v>
      </c>
      <c r="G17" s="39">
        <f t="shared" si="6"/>
        <v>5.378151260504202E-2</v>
      </c>
      <c r="H17" s="41">
        <v>54</v>
      </c>
      <c r="I17" s="39">
        <f t="shared" si="11"/>
        <v>0.14893617021276595</v>
      </c>
      <c r="J17" s="44">
        <v>10</v>
      </c>
      <c r="K17" s="39">
        <f t="shared" si="13"/>
        <v>2.3333333333333335</v>
      </c>
      <c r="L17" s="38">
        <f t="shared" si="10"/>
        <v>64</v>
      </c>
      <c r="M17" s="39">
        <f t="shared" si="12"/>
        <v>0.28000000000000003</v>
      </c>
      <c r="N17" s="42">
        <f t="shared" si="1"/>
        <v>2381</v>
      </c>
      <c r="O17" s="39">
        <f t="shared" si="7"/>
        <v>4.5215100965759439E-2</v>
      </c>
      <c r="P17" s="40">
        <f t="shared" si="2"/>
        <v>2072</v>
      </c>
      <c r="Q17" s="39">
        <f t="shared" si="8"/>
        <v>6.969540526587506E-2</v>
      </c>
      <c r="R17" s="38">
        <f t="shared" si="3"/>
        <v>4453</v>
      </c>
      <c r="S17" s="39">
        <f t="shared" si="9"/>
        <v>5.6465005931198103E-2</v>
      </c>
      <c r="T17" s="8"/>
    </row>
    <row r="18" spans="1:20">
      <c r="A18" s="23" t="s">
        <v>11</v>
      </c>
      <c r="B18" s="32">
        <v>2508</v>
      </c>
      <c r="C18" s="25">
        <f t="shared" si="4"/>
        <v>7.7782552642887845E-2</v>
      </c>
      <c r="D18" s="31">
        <v>2072</v>
      </c>
      <c r="E18" s="25">
        <f t="shared" si="5"/>
        <v>4.849660523763337E-3</v>
      </c>
      <c r="F18" s="32">
        <f t="shared" si="0"/>
        <v>4580</v>
      </c>
      <c r="G18" s="25">
        <f t="shared" si="6"/>
        <v>4.3517885623148782E-2</v>
      </c>
      <c r="H18" s="43">
        <v>73</v>
      </c>
      <c r="I18" s="25">
        <f t="shared" si="11"/>
        <v>0.35185185185185186</v>
      </c>
      <c r="J18" s="8">
        <v>220</v>
      </c>
      <c r="K18" s="25">
        <f t="shared" si="13"/>
        <v>21</v>
      </c>
      <c r="L18" s="32">
        <f t="shared" si="10"/>
        <v>293</v>
      </c>
      <c r="M18" s="25">
        <f t="shared" si="12"/>
        <v>3.578125</v>
      </c>
      <c r="N18" s="30">
        <f t="shared" si="1"/>
        <v>2581</v>
      </c>
      <c r="O18" s="25">
        <f t="shared" si="7"/>
        <v>8.3998320033599333E-2</v>
      </c>
      <c r="P18" s="31">
        <f t="shared" si="2"/>
        <v>2292</v>
      </c>
      <c r="Q18" s="25">
        <f t="shared" si="8"/>
        <v>0.10617760617760617</v>
      </c>
      <c r="R18" s="32">
        <f t="shared" si="3"/>
        <v>4873</v>
      </c>
      <c r="S18" s="25">
        <f t="shared" si="9"/>
        <v>9.4318437008758138E-2</v>
      </c>
      <c r="T18" s="8"/>
    </row>
    <row r="19" spans="1:20">
      <c r="A19" s="23" t="s">
        <v>12</v>
      </c>
      <c r="B19" s="32">
        <v>2532</v>
      </c>
      <c r="C19" s="25">
        <f t="shared" si="4"/>
        <v>9.5693779904306216E-3</v>
      </c>
      <c r="D19" s="31">
        <v>2037</v>
      </c>
      <c r="E19" s="25">
        <f t="shared" si="5"/>
        <v>-1.6891891891891893E-2</v>
      </c>
      <c r="F19" s="32">
        <f t="shared" si="0"/>
        <v>4569</v>
      </c>
      <c r="G19" s="25">
        <f t="shared" si="6"/>
        <v>-2.4017467248908298E-3</v>
      </c>
      <c r="H19" s="43">
        <v>74</v>
      </c>
      <c r="I19" s="25">
        <f t="shared" si="11"/>
        <v>1.3698630136986301E-2</v>
      </c>
      <c r="J19" s="8">
        <v>322</v>
      </c>
      <c r="K19" s="25">
        <f t="shared" si="13"/>
        <v>0.46363636363636362</v>
      </c>
      <c r="L19" s="32">
        <f t="shared" si="10"/>
        <v>396</v>
      </c>
      <c r="M19" s="25">
        <f t="shared" si="12"/>
        <v>0.35153583617747441</v>
      </c>
      <c r="N19" s="30">
        <f t="shared" si="1"/>
        <v>2606</v>
      </c>
      <c r="O19" s="25">
        <f t="shared" si="7"/>
        <v>9.6861681518791171E-3</v>
      </c>
      <c r="P19" s="31">
        <f t="shared" si="2"/>
        <v>2359</v>
      </c>
      <c r="Q19" s="25">
        <f t="shared" si="8"/>
        <v>2.9232111692844676E-2</v>
      </c>
      <c r="R19" s="32">
        <f t="shared" si="3"/>
        <v>4965</v>
      </c>
      <c r="S19" s="25">
        <f t="shared" si="9"/>
        <v>1.8879540324235583E-2</v>
      </c>
      <c r="T19" s="8"/>
    </row>
    <row r="20" spans="1:20">
      <c r="A20" s="23" t="s">
        <v>13</v>
      </c>
      <c r="B20" s="32">
        <v>2421</v>
      </c>
      <c r="C20" s="25">
        <f t="shared" si="4"/>
        <v>-4.3838862559241708E-2</v>
      </c>
      <c r="D20" s="31">
        <v>2092</v>
      </c>
      <c r="E20" s="25">
        <f t="shared" si="5"/>
        <v>2.7000490918016692E-2</v>
      </c>
      <c r="F20" s="32">
        <f t="shared" si="0"/>
        <v>4513</v>
      </c>
      <c r="G20" s="25">
        <f t="shared" si="6"/>
        <v>-1.2256511271613044E-2</v>
      </c>
      <c r="H20" s="43">
        <v>69</v>
      </c>
      <c r="I20" s="25">
        <f t="shared" si="11"/>
        <v>-6.7567567567567571E-2</v>
      </c>
      <c r="J20" s="8">
        <v>378</v>
      </c>
      <c r="K20" s="25">
        <f t="shared" si="13"/>
        <v>0.17391304347826086</v>
      </c>
      <c r="L20" s="32">
        <f t="shared" si="10"/>
        <v>447</v>
      </c>
      <c r="M20" s="25">
        <f t="shared" si="12"/>
        <v>0.12878787878787878</v>
      </c>
      <c r="N20" s="30">
        <f t="shared" si="1"/>
        <v>2490</v>
      </c>
      <c r="O20" s="25">
        <f t="shared" si="7"/>
        <v>-4.4512663085188024E-2</v>
      </c>
      <c r="P20" s="31">
        <f t="shared" si="2"/>
        <v>2470</v>
      </c>
      <c r="Q20" s="25">
        <f t="shared" si="8"/>
        <v>4.7053836371343791E-2</v>
      </c>
      <c r="R20" s="32">
        <f t="shared" si="3"/>
        <v>4960</v>
      </c>
      <c r="S20" s="25">
        <f t="shared" si="9"/>
        <v>-1.0070493454179255E-3</v>
      </c>
      <c r="T20" s="8"/>
    </row>
    <row r="21" spans="1:20">
      <c r="A21" s="23" t="s">
        <v>14</v>
      </c>
      <c r="B21" s="33">
        <v>2135</v>
      </c>
      <c r="C21" s="25">
        <f t="shared" si="4"/>
        <v>-0.1181330028913672</v>
      </c>
      <c r="D21" s="37">
        <v>2105</v>
      </c>
      <c r="E21" s="25">
        <f t="shared" si="5"/>
        <v>6.2141491395793502E-3</v>
      </c>
      <c r="F21" s="33">
        <f t="shared" si="0"/>
        <v>4240</v>
      </c>
      <c r="G21" s="25">
        <f t="shared" si="6"/>
        <v>-6.0491912253489918E-2</v>
      </c>
      <c r="H21" s="35">
        <v>58</v>
      </c>
      <c r="I21" s="25">
        <f t="shared" si="11"/>
        <v>-0.15942028985507245</v>
      </c>
      <c r="J21" s="34">
        <v>443</v>
      </c>
      <c r="K21" s="25">
        <f t="shared" si="13"/>
        <v>0.17195767195767195</v>
      </c>
      <c r="L21" s="33">
        <f t="shared" si="10"/>
        <v>501</v>
      </c>
      <c r="M21" s="25">
        <f t="shared" si="12"/>
        <v>0.12080536912751678</v>
      </c>
      <c r="N21" s="36">
        <f t="shared" si="1"/>
        <v>2193</v>
      </c>
      <c r="O21" s="25">
        <f t="shared" si="7"/>
        <v>-0.11927710843373494</v>
      </c>
      <c r="P21" s="37">
        <f t="shared" si="2"/>
        <v>2548</v>
      </c>
      <c r="Q21" s="25">
        <f t="shared" si="8"/>
        <v>3.1578947368421054E-2</v>
      </c>
      <c r="R21" s="33">
        <f t="shared" si="3"/>
        <v>4741</v>
      </c>
      <c r="S21" s="25">
        <f t="shared" si="9"/>
        <v>-4.4153225806451611E-2</v>
      </c>
      <c r="T21" s="8"/>
    </row>
    <row r="22" spans="1:20">
      <c r="A22" s="12" t="s">
        <v>15</v>
      </c>
      <c r="B22" s="38">
        <v>2121</v>
      </c>
      <c r="C22" s="39">
        <f t="shared" si="4"/>
        <v>-6.5573770491803279E-3</v>
      </c>
      <c r="D22" s="40">
        <v>2407</v>
      </c>
      <c r="E22" s="39">
        <f t="shared" si="5"/>
        <v>0.14346793349168646</v>
      </c>
      <c r="F22" s="38">
        <f t="shared" si="0"/>
        <v>4528</v>
      </c>
      <c r="G22" s="39">
        <f t="shared" si="6"/>
        <v>6.7924528301886791E-2</v>
      </c>
      <c r="H22" s="41">
        <v>49</v>
      </c>
      <c r="I22" s="39">
        <f t="shared" si="11"/>
        <v>-0.15517241379310345</v>
      </c>
      <c r="J22" s="44">
        <v>426</v>
      </c>
      <c r="K22" s="39">
        <f t="shared" si="13"/>
        <v>-3.8374717832957109E-2</v>
      </c>
      <c r="L22" s="38">
        <f t="shared" si="10"/>
        <v>475</v>
      </c>
      <c r="M22" s="39">
        <f t="shared" si="12"/>
        <v>-5.1896207584830337E-2</v>
      </c>
      <c r="N22" s="42">
        <f t="shared" si="1"/>
        <v>2170</v>
      </c>
      <c r="O22" s="39">
        <f t="shared" si="7"/>
        <v>-1.0487916096671226E-2</v>
      </c>
      <c r="P22" s="40">
        <f t="shared" si="2"/>
        <v>2833</v>
      </c>
      <c r="Q22" s="39">
        <f t="shared" si="8"/>
        <v>0.11185243328100471</v>
      </c>
      <c r="R22" s="38">
        <f t="shared" si="3"/>
        <v>5003</v>
      </c>
      <c r="S22" s="39">
        <f t="shared" si="9"/>
        <v>5.5262602826407929E-2</v>
      </c>
      <c r="T22" s="8"/>
    </row>
    <row r="23" spans="1:20">
      <c r="A23" s="23" t="s">
        <v>16</v>
      </c>
      <c r="B23" s="32">
        <v>2253</v>
      </c>
      <c r="C23" s="25">
        <f t="shared" si="4"/>
        <v>6.2234794908062233E-2</v>
      </c>
      <c r="D23" s="31">
        <v>3013</v>
      </c>
      <c r="E23" s="25">
        <f t="shared" si="5"/>
        <v>0.25176568342334854</v>
      </c>
      <c r="F23" s="32">
        <f t="shared" si="0"/>
        <v>5266</v>
      </c>
      <c r="G23" s="25">
        <f t="shared" si="6"/>
        <v>0.16298586572438162</v>
      </c>
      <c r="H23" s="43">
        <v>44</v>
      </c>
      <c r="I23" s="25">
        <f t="shared" si="11"/>
        <v>-0.10204081632653061</v>
      </c>
      <c r="J23" s="8">
        <v>405</v>
      </c>
      <c r="K23" s="25">
        <f t="shared" si="13"/>
        <v>-4.9295774647887321E-2</v>
      </c>
      <c r="L23" s="32">
        <f t="shared" si="10"/>
        <v>449</v>
      </c>
      <c r="M23" s="25">
        <f t="shared" si="12"/>
        <v>-5.473684210526316E-2</v>
      </c>
      <c r="N23" s="30">
        <f t="shared" si="1"/>
        <v>2297</v>
      </c>
      <c r="O23" s="25">
        <f t="shared" si="7"/>
        <v>5.8525345622119813E-2</v>
      </c>
      <c r="P23" s="31">
        <f t="shared" si="2"/>
        <v>3418</v>
      </c>
      <c r="Q23" s="25">
        <f t="shared" si="8"/>
        <v>0.20649488175079422</v>
      </c>
      <c r="R23" s="32">
        <f t="shared" si="3"/>
        <v>5715</v>
      </c>
      <c r="S23" s="25">
        <f t="shared" si="9"/>
        <v>0.14231461123326006</v>
      </c>
      <c r="T23" s="8"/>
    </row>
    <row r="24" spans="1:20">
      <c r="A24" s="23" t="s">
        <v>17</v>
      </c>
      <c r="B24" s="32">
        <v>2582</v>
      </c>
      <c r="C24" s="25">
        <f t="shared" si="4"/>
        <v>0.14602751886373724</v>
      </c>
      <c r="D24" s="31">
        <v>3338</v>
      </c>
      <c r="E24" s="25">
        <f t="shared" si="5"/>
        <v>0.10786591437105875</v>
      </c>
      <c r="F24" s="32">
        <f t="shared" si="0"/>
        <v>5920</v>
      </c>
      <c r="G24" s="25">
        <f t="shared" si="6"/>
        <v>0.12419293581466008</v>
      </c>
      <c r="H24" s="43">
        <v>61</v>
      </c>
      <c r="I24" s="25">
        <f t="shared" si="11"/>
        <v>0.38636363636363635</v>
      </c>
      <c r="J24" s="8">
        <v>475</v>
      </c>
      <c r="K24" s="25">
        <f t="shared" si="13"/>
        <v>0.1728395061728395</v>
      </c>
      <c r="L24" s="32">
        <f t="shared" si="10"/>
        <v>536</v>
      </c>
      <c r="M24" s="25">
        <f t="shared" si="12"/>
        <v>0.19376391982182628</v>
      </c>
      <c r="N24" s="30">
        <f t="shared" si="1"/>
        <v>2643</v>
      </c>
      <c r="O24" s="25">
        <f t="shared" si="7"/>
        <v>0.15063125816282108</v>
      </c>
      <c r="P24" s="31">
        <f t="shared" si="2"/>
        <v>3813</v>
      </c>
      <c r="Q24" s="25">
        <f t="shared" si="8"/>
        <v>0.11556465769455822</v>
      </c>
      <c r="R24" s="32">
        <f t="shared" si="3"/>
        <v>6456</v>
      </c>
      <c r="S24" s="25">
        <f t="shared" si="9"/>
        <v>0.12965879265091865</v>
      </c>
      <c r="T24" s="8"/>
    </row>
    <row r="25" spans="1:20">
      <c r="A25" s="23" t="s">
        <v>18</v>
      </c>
      <c r="B25" s="32">
        <v>3361</v>
      </c>
      <c r="C25" s="25">
        <f t="shared" si="4"/>
        <v>0.30170410534469405</v>
      </c>
      <c r="D25" s="31">
        <v>3423</v>
      </c>
      <c r="E25" s="25">
        <f t="shared" si="5"/>
        <v>2.5464349910125823E-2</v>
      </c>
      <c r="F25" s="32">
        <f t="shared" si="0"/>
        <v>6784</v>
      </c>
      <c r="G25" s="25">
        <f t="shared" si="6"/>
        <v>0.14594594594594595</v>
      </c>
      <c r="H25" s="43">
        <v>77</v>
      </c>
      <c r="I25" s="25">
        <f t="shared" si="11"/>
        <v>0.26229508196721313</v>
      </c>
      <c r="J25" s="8">
        <v>418</v>
      </c>
      <c r="K25" s="25">
        <f t="shared" si="13"/>
        <v>-0.12</v>
      </c>
      <c r="L25" s="32">
        <f t="shared" si="10"/>
        <v>495</v>
      </c>
      <c r="M25" s="25">
        <f t="shared" si="12"/>
        <v>-7.6492537313432835E-2</v>
      </c>
      <c r="N25" s="30">
        <f t="shared" si="1"/>
        <v>3438</v>
      </c>
      <c r="O25" s="25">
        <f t="shared" si="7"/>
        <v>0.300794551645857</v>
      </c>
      <c r="P25" s="31">
        <f t="shared" si="2"/>
        <v>3841</v>
      </c>
      <c r="Q25" s="25">
        <f t="shared" si="8"/>
        <v>7.3432992394440073E-3</v>
      </c>
      <c r="R25" s="32">
        <f t="shared" si="3"/>
        <v>7279</v>
      </c>
      <c r="S25" s="25">
        <f t="shared" si="9"/>
        <v>0.12747831474597274</v>
      </c>
      <c r="T25" s="8"/>
    </row>
    <row r="26" spans="1:20">
      <c r="A26" s="23" t="s">
        <v>19</v>
      </c>
      <c r="B26" s="33">
        <v>3848</v>
      </c>
      <c r="C26" s="25">
        <f t="shared" si="4"/>
        <v>0.14489735197857781</v>
      </c>
      <c r="D26" s="37">
        <v>3243</v>
      </c>
      <c r="E26" s="25">
        <f t="shared" si="5"/>
        <v>-5.2585451358457491E-2</v>
      </c>
      <c r="F26" s="33">
        <f t="shared" si="0"/>
        <v>7091</v>
      </c>
      <c r="G26" s="25">
        <f t="shared" si="6"/>
        <v>4.5253537735849059E-2</v>
      </c>
      <c r="H26" s="35">
        <v>91</v>
      </c>
      <c r="I26" s="25">
        <f t="shared" si="11"/>
        <v>0.18181818181818182</v>
      </c>
      <c r="J26" s="34">
        <v>405</v>
      </c>
      <c r="K26" s="25">
        <f t="shared" si="13"/>
        <v>-3.1100478468899521E-2</v>
      </c>
      <c r="L26" s="33">
        <f t="shared" si="10"/>
        <v>496</v>
      </c>
      <c r="M26" s="25">
        <f t="shared" si="12"/>
        <v>2.0202020202020202E-3</v>
      </c>
      <c r="N26" s="36">
        <f t="shared" si="1"/>
        <v>3939</v>
      </c>
      <c r="O26" s="25">
        <f t="shared" si="7"/>
        <v>0.14572425828970331</v>
      </c>
      <c r="P26" s="37">
        <f t="shared" si="2"/>
        <v>3648</v>
      </c>
      <c r="Q26" s="25">
        <f t="shared" si="8"/>
        <v>-5.0247331424108303E-2</v>
      </c>
      <c r="R26" s="33">
        <f t="shared" si="3"/>
        <v>7587</v>
      </c>
      <c r="S26" s="25">
        <f t="shared" si="9"/>
        <v>4.2313504602280533E-2</v>
      </c>
      <c r="T26" s="8"/>
    </row>
    <row r="27" spans="1:20">
      <c r="A27" s="12" t="s">
        <v>20</v>
      </c>
      <c r="B27" s="38">
        <v>4183</v>
      </c>
      <c r="C27" s="39">
        <f t="shared" si="4"/>
        <v>8.7058212058212056E-2</v>
      </c>
      <c r="D27" s="40">
        <v>3142</v>
      </c>
      <c r="E27" s="39">
        <f t="shared" si="5"/>
        <v>-3.1144002466851679E-2</v>
      </c>
      <c r="F27" s="38">
        <f t="shared" si="0"/>
        <v>7325</v>
      </c>
      <c r="G27" s="39">
        <f t="shared" si="6"/>
        <v>3.2999576928500918E-2</v>
      </c>
      <c r="H27" s="41">
        <v>75</v>
      </c>
      <c r="I27" s="39">
        <f t="shared" si="11"/>
        <v>-0.17582417582417584</v>
      </c>
      <c r="J27" s="44">
        <v>546</v>
      </c>
      <c r="K27" s="39">
        <f t="shared" si="13"/>
        <v>0.34814814814814815</v>
      </c>
      <c r="L27" s="38">
        <f t="shared" si="10"/>
        <v>621</v>
      </c>
      <c r="M27" s="39">
        <f t="shared" si="12"/>
        <v>0.25201612903225806</v>
      </c>
      <c r="N27" s="42">
        <f t="shared" si="1"/>
        <v>4258</v>
      </c>
      <c r="O27" s="39">
        <f t="shared" si="7"/>
        <v>8.0985021579080982E-2</v>
      </c>
      <c r="P27" s="40">
        <f t="shared" si="2"/>
        <v>3688</v>
      </c>
      <c r="Q27" s="39">
        <f t="shared" si="8"/>
        <v>1.0964912280701754E-2</v>
      </c>
      <c r="R27" s="38">
        <f t="shared" si="3"/>
        <v>7946</v>
      </c>
      <c r="S27" s="39">
        <f t="shared" si="9"/>
        <v>4.731778041386582E-2</v>
      </c>
      <c r="T27" s="8"/>
    </row>
    <row r="28" spans="1:20">
      <c r="A28" s="23" t="s">
        <v>21</v>
      </c>
      <c r="B28" s="32">
        <v>4391</v>
      </c>
      <c r="C28" s="25">
        <f t="shared" si="4"/>
        <v>4.9725077695433897E-2</v>
      </c>
      <c r="D28" s="31">
        <v>3212</v>
      </c>
      <c r="E28" s="25">
        <f t="shared" si="5"/>
        <v>2.2278803309993635E-2</v>
      </c>
      <c r="F28" s="32">
        <f t="shared" si="0"/>
        <v>7603</v>
      </c>
      <c r="G28" s="25">
        <f t="shared" si="6"/>
        <v>3.7952218430034129E-2</v>
      </c>
      <c r="H28" s="43">
        <v>70</v>
      </c>
      <c r="I28" s="25">
        <f t="shared" si="11"/>
        <v>-6.6666666666666666E-2</v>
      </c>
      <c r="J28" s="8">
        <v>517</v>
      </c>
      <c r="K28" s="25">
        <f t="shared" si="13"/>
        <v>-5.3113553113553112E-2</v>
      </c>
      <c r="L28" s="32">
        <f t="shared" si="10"/>
        <v>587</v>
      </c>
      <c r="M28" s="25">
        <f t="shared" si="12"/>
        <v>-5.4750402576489533E-2</v>
      </c>
      <c r="N28" s="30">
        <f t="shared" si="1"/>
        <v>4461</v>
      </c>
      <c r="O28" s="25">
        <f t="shared" si="7"/>
        <v>4.7674964772193518E-2</v>
      </c>
      <c r="P28" s="31">
        <f t="shared" si="2"/>
        <v>3729</v>
      </c>
      <c r="Q28" s="25">
        <f t="shared" si="8"/>
        <v>1.1117136659436009E-2</v>
      </c>
      <c r="R28" s="32">
        <f t="shared" si="3"/>
        <v>8190</v>
      </c>
      <c r="S28" s="25">
        <f t="shared" si="9"/>
        <v>3.070727410017619E-2</v>
      </c>
      <c r="T28" s="8"/>
    </row>
    <row r="29" spans="1:20">
      <c r="A29" s="23" t="s">
        <v>22</v>
      </c>
      <c r="B29" s="32">
        <v>4830</v>
      </c>
      <c r="C29" s="25">
        <f t="shared" si="4"/>
        <v>9.9977226144386241E-2</v>
      </c>
      <c r="D29" s="31">
        <v>3376</v>
      </c>
      <c r="E29" s="25">
        <f t="shared" si="5"/>
        <v>5.1058530510585308E-2</v>
      </c>
      <c r="F29" s="32">
        <f t="shared" si="0"/>
        <v>8206</v>
      </c>
      <c r="G29" s="25">
        <f t="shared" si="6"/>
        <v>7.9310798369064836E-2</v>
      </c>
      <c r="H29" s="43">
        <v>63</v>
      </c>
      <c r="I29" s="25">
        <f t="shared" si="11"/>
        <v>-0.1</v>
      </c>
      <c r="J29" s="8">
        <v>588</v>
      </c>
      <c r="K29" s="25">
        <f t="shared" si="13"/>
        <v>0.13733075435203096</v>
      </c>
      <c r="L29" s="32">
        <f t="shared" si="10"/>
        <v>651</v>
      </c>
      <c r="M29" s="25">
        <f t="shared" si="12"/>
        <v>0.10902896081771721</v>
      </c>
      <c r="N29" s="30">
        <f t="shared" si="1"/>
        <v>4893</v>
      </c>
      <c r="O29" s="25">
        <f t="shared" si="7"/>
        <v>9.6839273705447204E-2</v>
      </c>
      <c r="P29" s="31">
        <f t="shared" si="2"/>
        <v>3964</v>
      </c>
      <c r="Q29" s="25">
        <f t="shared" si="8"/>
        <v>6.3019576293912583E-2</v>
      </c>
      <c r="R29" s="32">
        <f t="shared" si="3"/>
        <v>8857</v>
      </c>
      <c r="S29" s="25">
        <f t="shared" si="9"/>
        <v>8.1440781440781443E-2</v>
      </c>
      <c r="T29" s="8"/>
    </row>
    <row r="30" spans="1:20">
      <c r="A30" s="23" t="s">
        <v>23</v>
      </c>
      <c r="B30" s="32">
        <v>4917</v>
      </c>
      <c r="C30" s="25">
        <f t="shared" si="4"/>
        <v>1.8012422360248446E-2</v>
      </c>
      <c r="D30" s="31">
        <v>3678</v>
      </c>
      <c r="E30" s="25">
        <f t="shared" si="5"/>
        <v>8.9454976303317529E-2</v>
      </c>
      <c r="F30" s="32">
        <f t="shared" si="0"/>
        <v>8595</v>
      </c>
      <c r="G30" s="25">
        <f t="shared" si="6"/>
        <v>4.740433828905679E-2</v>
      </c>
      <c r="H30" s="43">
        <v>77</v>
      </c>
      <c r="I30" s="25">
        <f t="shared" si="11"/>
        <v>0.22222222222222221</v>
      </c>
      <c r="J30" s="8">
        <v>602</v>
      </c>
      <c r="K30" s="25">
        <f t="shared" si="13"/>
        <v>2.3809523809523808E-2</v>
      </c>
      <c r="L30" s="32">
        <f t="shared" si="10"/>
        <v>679</v>
      </c>
      <c r="M30" s="25">
        <f t="shared" si="12"/>
        <v>4.3010752688172046E-2</v>
      </c>
      <c r="N30" s="30">
        <f t="shared" si="1"/>
        <v>4994</v>
      </c>
      <c r="O30" s="25">
        <f t="shared" si="7"/>
        <v>2.0641733088085021E-2</v>
      </c>
      <c r="P30" s="31">
        <f t="shared" si="2"/>
        <v>4280</v>
      </c>
      <c r="Q30" s="25">
        <f t="shared" si="8"/>
        <v>7.9717457114026238E-2</v>
      </c>
      <c r="R30" s="32">
        <f t="shared" si="3"/>
        <v>9274</v>
      </c>
      <c r="S30" s="25">
        <f t="shared" si="9"/>
        <v>4.7081404538782887E-2</v>
      </c>
      <c r="T30" s="8"/>
    </row>
    <row r="31" spans="1:20">
      <c r="A31" s="23" t="s">
        <v>24</v>
      </c>
      <c r="B31" s="33">
        <f>(4909+5017)/2</f>
        <v>4963</v>
      </c>
      <c r="C31" s="25">
        <f t="shared" si="4"/>
        <v>9.3552979459019733E-3</v>
      </c>
      <c r="D31" s="37">
        <f>(4031+4171)/2</f>
        <v>4101</v>
      </c>
      <c r="E31" s="25">
        <f t="shared" si="5"/>
        <v>0.11500815660685156</v>
      </c>
      <c r="F31" s="33">
        <f t="shared" si="0"/>
        <v>9064</v>
      </c>
      <c r="G31" s="25">
        <f t="shared" si="6"/>
        <v>5.4566608493310062E-2</v>
      </c>
      <c r="H31" s="35">
        <v>81</v>
      </c>
      <c r="I31" s="25">
        <f t="shared" si="11"/>
        <v>5.1948051948051951E-2</v>
      </c>
      <c r="J31" s="34">
        <v>613</v>
      </c>
      <c r="K31" s="25">
        <f t="shared" si="13"/>
        <v>1.8272425249169437E-2</v>
      </c>
      <c r="L31" s="33">
        <f t="shared" si="10"/>
        <v>694</v>
      </c>
      <c r="M31" s="25">
        <f t="shared" si="12"/>
        <v>2.2091310751104567E-2</v>
      </c>
      <c r="N31" s="36">
        <f t="shared" si="1"/>
        <v>5044</v>
      </c>
      <c r="O31" s="25">
        <f t="shared" si="7"/>
        <v>1.0012014417300761E-2</v>
      </c>
      <c r="P31" s="37">
        <f t="shared" si="2"/>
        <v>4714</v>
      </c>
      <c r="Q31" s="25">
        <f t="shared" si="8"/>
        <v>0.1014018691588785</v>
      </c>
      <c r="R31" s="33">
        <f t="shared" si="3"/>
        <v>9758</v>
      </c>
      <c r="S31" s="25">
        <f t="shared" si="9"/>
        <v>5.2188915246926891E-2</v>
      </c>
      <c r="T31" s="8"/>
    </row>
    <row r="32" spans="1:20">
      <c r="A32" s="12" t="s">
        <v>25</v>
      </c>
      <c r="B32" s="45">
        <v>5180</v>
      </c>
      <c r="C32" s="39">
        <f t="shared" si="4"/>
        <v>4.372355430183357E-2</v>
      </c>
      <c r="D32" s="46">
        <v>4105</v>
      </c>
      <c r="E32" s="39">
        <f t="shared" si="5"/>
        <v>9.7537186052182399E-4</v>
      </c>
      <c r="F32" s="38">
        <f t="shared" si="0"/>
        <v>9285</v>
      </c>
      <c r="G32" s="39">
        <f t="shared" si="6"/>
        <v>2.4382171226831419E-2</v>
      </c>
      <c r="H32" s="47">
        <v>86</v>
      </c>
      <c r="I32" s="39">
        <f t="shared" si="11"/>
        <v>6.1728395061728392E-2</v>
      </c>
      <c r="J32" s="48">
        <v>635</v>
      </c>
      <c r="K32" s="39">
        <f t="shared" si="13"/>
        <v>3.588907014681892E-2</v>
      </c>
      <c r="L32" s="38">
        <f t="shared" si="10"/>
        <v>721</v>
      </c>
      <c r="M32" s="39">
        <f t="shared" si="12"/>
        <v>3.8904899135446688E-2</v>
      </c>
      <c r="N32" s="49">
        <f t="shared" si="1"/>
        <v>5266</v>
      </c>
      <c r="O32" s="39">
        <f t="shared" si="7"/>
        <v>4.4012688342585253E-2</v>
      </c>
      <c r="P32" s="46">
        <f t="shared" si="2"/>
        <v>4740</v>
      </c>
      <c r="Q32" s="39">
        <f t="shared" si="8"/>
        <v>5.5154857870173954E-3</v>
      </c>
      <c r="R32" s="38">
        <f t="shared" si="3"/>
        <v>10006</v>
      </c>
      <c r="S32" s="39">
        <f t="shared" si="9"/>
        <v>2.5415044066407051E-2</v>
      </c>
      <c r="T32" s="8"/>
    </row>
    <row r="33" spans="1:20">
      <c r="A33" s="23" t="s">
        <v>26</v>
      </c>
      <c r="B33" s="50">
        <v>5523</v>
      </c>
      <c r="C33" s="25">
        <f t="shared" si="4"/>
        <v>6.621621621621622E-2</v>
      </c>
      <c r="D33" s="51">
        <v>4178</v>
      </c>
      <c r="E33" s="25">
        <f t="shared" si="5"/>
        <v>1.7783191230207065E-2</v>
      </c>
      <c r="F33" s="32">
        <f t="shared" si="0"/>
        <v>9701</v>
      </c>
      <c r="G33" s="25">
        <f t="shared" si="6"/>
        <v>4.4803446418955305E-2</v>
      </c>
      <c r="H33" s="52">
        <v>97</v>
      </c>
      <c r="I33" s="25">
        <f t="shared" si="11"/>
        <v>0.12790697674418605</v>
      </c>
      <c r="J33" s="53">
        <v>654</v>
      </c>
      <c r="K33" s="25">
        <f t="shared" si="13"/>
        <v>2.9921259842519685E-2</v>
      </c>
      <c r="L33" s="32">
        <f t="shared" si="10"/>
        <v>751</v>
      </c>
      <c r="M33" s="25">
        <f t="shared" si="12"/>
        <v>4.1608876560332873E-2</v>
      </c>
      <c r="N33" s="54">
        <f t="shared" si="1"/>
        <v>5620</v>
      </c>
      <c r="O33" s="25">
        <f t="shared" si="7"/>
        <v>6.7223699202430681E-2</v>
      </c>
      <c r="P33" s="51">
        <f t="shared" si="2"/>
        <v>4832</v>
      </c>
      <c r="Q33" s="25">
        <f t="shared" si="8"/>
        <v>1.9409282700421943E-2</v>
      </c>
      <c r="R33" s="32">
        <f t="shared" si="3"/>
        <v>10452</v>
      </c>
      <c r="S33" s="25">
        <f t="shared" si="9"/>
        <v>4.4573256046372176E-2</v>
      </c>
      <c r="T33" s="8"/>
    </row>
    <row r="34" spans="1:20">
      <c r="A34" s="23" t="s">
        <v>27</v>
      </c>
      <c r="B34" s="50">
        <v>5965</v>
      </c>
      <c r="C34" s="25">
        <f t="shared" si="4"/>
        <v>8.002896976281007E-2</v>
      </c>
      <c r="D34" s="51">
        <v>4427</v>
      </c>
      <c r="E34" s="25">
        <f t="shared" si="5"/>
        <v>5.9597893729056967E-2</v>
      </c>
      <c r="F34" s="32">
        <f t="shared" si="0"/>
        <v>10392</v>
      </c>
      <c r="G34" s="25">
        <f t="shared" si="6"/>
        <v>7.1229770126791048E-2</v>
      </c>
      <c r="H34" s="52">
        <v>97</v>
      </c>
      <c r="I34" s="25">
        <f t="shared" si="11"/>
        <v>0</v>
      </c>
      <c r="J34" s="53">
        <v>696</v>
      </c>
      <c r="K34" s="25">
        <f t="shared" si="13"/>
        <v>6.4220183486238536E-2</v>
      </c>
      <c r="L34" s="32">
        <f t="shared" si="10"/>
        <v>793</v>
      </c>
      <c r="M34" s="25">
        <f t="shared" si="12"/>
        <v>5.5925432756324903E-2</v>
      </c>
      <c r="N34" s="54">
        <f t="shared" si="1"/>
        <v>6062</v>
      </c>
      <c r="O34" s="25">
        <f t="shared" si="7"/>
        <v>7.8647686832740218E-2</v>
      </c>
      <c r="P34" s="51">
        <f t="shared" si="2"/>
        <v>5123</v>
      </c>
      <c r="Q34" s="25">
        <f t="shared" si="8"/>
        <v>6.0223509933774837E-2</v>
      </c>
      <c r="R34" s="32">
        <f t="shared" si="3"/>
        <v>11185</v>
      </c>
      <c r="S34" s="25">
        <f t="shared" si="9"/>
        <v>7.0130118637581326E-2</v>
      </c>
      <c r="T34" s="8"/>
    </row>
    <row r="35" spans="1:20">
      <c r="A35" s="23" t="s">
        <v>28</v>
      </c>
      <c r="B35" s="50">
        <v>6081.5</v>
      </c>
      <c r="C35" s="25">
        <f t="shared" si="4"/>
        <v>1.9530595138306791E-2</v>
      </c>
      <c r="D35" s="51">
        <v>4484.5</v>
      </c>
      <c r="E35" s="25">
        <f t="shared" si="5"/>
        <v>1.2988479783148859E-2</v>
      </c>
      <c r="F35" s="32">
        <f t="shared" si="0"/>
        <v>10566</v>
      </c>
      <c r="G35" s="25">
        <f t="shared" si="6"/>
        <v>1.674364896073903E-2</v>
      </c>
      <c r="H35" s="52">
        <v>94.5</v>
      </c>
      <c r="I35" s="25">
        <f t="shared" si="11"/>
        <v>-2.5773195876288658E-2</v>
      </c>
      <c r="J35" s="53">
        <v>616.5</v>
      </c>
      <c r="K35" s="25">
        <f t="shared" si="13"/>
        <v>-0.11422413793103449</v>
      </c>
      <c r="L35" s="32">
        <f t="shared" si="10"/>
        <v>711</v>
      </c>
      <c r="M35" s="25">
        <f t="shared" si="12"/>
        <v>-0.10340479192938209</v>
      </c>
      <c r="N35" s="54">
        <f t="shared" si="1"/>
        <v>6176</v>
      </c>
      <c r="O35" s="25">
        <f t="shared" si="7"/>
        <v>1.8805674694820192E-2</v>
      </c>
      <c r="P35" s="51">
        <f t="shared" si="2"/>
        <v>5101</v>
      </c>
      <c r="Q35" s="25">
        <f t="shared" si="8"/>
        <v>-4.294358774155768E-3</v>
      </c>
      <c r="R35" s="32">
        <f t="shared" si="3"/>
        <v>11277</v>
      </c>
      <c r="S35" s="25">
        <f t="shared" si="9"/>
        <v>8.2253017434063477E-3</v>
      </c>
      <c r="T35" s="8"/>
    </row>
    <row r="36" spans="1:20">
      <c r="A36" s="23" t="s">
        <v>29</v>
      </c>
      <c r="B36" s="55">
        <v>6330</v>
      </c>
      <c r="C36" s="25">
        <f t="shared" si="4"/>
        <v>4.0861629532187783E-2</v>
      </c>
      <c r="D36" s="56">
        <v>4209</v>
      </c>
      <c r="E36" s="25">
        <f t="shared" si="5"/>
        <v>-6.143382762849816E-2</v>
      </c>
      <c r="F36" s="33">
        <f t="shared" si="0"/>
        <v>10539</v>
      </c>
      <c r="G36" s="25">
        <f t="shared" si="6"/>
        <v>-2.5553662691652468E-3</v>
      </c>
      <c r="H36" s="57">
        <v>93.5</v>
      </c>
      <c r="I36" s="25">
        <f t="shared" si="11"/>
        <v>-1.0582010582010581E-2</v>
      </c>
      <c r="J36" s="58">
        <v>547.5</v>
      </c>
      <c r="K36" s="25">
        <f t="shared" si="13"/>
        <v>-0.11192214111922141</v>
      </c>
      <c r="L36" s="33">
        <f t="shared" si="10"/>
        <v>641</v>
      </c>
      <c r="M36" s="25">
        <f t="shared" si="12"/>
        <v>-9.8452883263009841E-2</v>
      </c>
      <c r="N36" s="59">
        <f t="shared" si="1"/>
        <v>6423.5</v>
      </c>
      <c r="O36" s="25">
        <f t="shared" si="7"/>
        <v>4.0074481865284971E-2</v>
      </c>
      <c r="P36" s="56">
        <f t="shared" si="2"/>
        <v>4756.5</v>
      </c>
      <c r="Q36" s="25">
        <f t="shared" si="8"/>
        <v>-6.7535777298568911E-2</v>
      </c>
      <c r="R36" s="33">
        <f t="shared" si="3"/>
        <v>11180</v>
      </c>
      <c r="S36" s="25">
        <f t="shared" si="9"/>
        <v>-8.6015784339806695E-3</v>
      </c>
      <c r="T36" s="8"/>
    </row>
    <row r="37" spans="1:20">
      <c r="A37" s="12" t="s">
        <v>30</v>
      </c>
      <c r="B37" s="45">
        <v>6402</v>
      </c>
      <c r="C37" s="39">
        <f t="shared" si="4"/>
        <v>1.1374407582938388E-2</v>
      </c>
      <c r="D37" s="46">
        <v>4168</v>
      </c>
      <c r="E37" s="39">
        <f t="shared" si="5"/>
        <v>-9.7410311237823705E-3</v>
      </c>
      <c r="F37" s="38">
        <f t="shared" si="0"/>
        <v>10570</v>
      </c>
      <c r="G37" s="39">
        <f t="shared" si="6"/>
        <v>2.9414555460669893E-3</v>
      </c>
      <c r="H37" s="47">
        <v>120</v>
      </c>
      <c r="I37" s="39">
        <f t="shared" si="11"/>
        <v>0.28342245989304815</v>
      </c>
      <c r="J37" s="48">
        <v>496</v>
      </c>
      <c r="K37" s="39">
        <f t="shared" si="13"/>
        <v>-9.4063926940639267E-2</v>
      </c>
      <c r="L37" s="38">
        <f t="shared" si="10"/>
        <v>616</v>
      </c>
      <c r="M37" s="39">
        <f t="shared" si="12"/>
        <v>-3.9001560062402497E-2</v>
      </c>
      <c r="N37" s="49">
        <f t="shared" si="1"/>
        <v>6522</v>
      </c>
      <c r="O37" s="39">
        <f t="shared" si="7"/>
        <v>1.5334319296333774E-2</v>
      </c>
      <c r="P37" s="46">
        <f t="shared" si="2"/>
        <v>4664</v>
      </c>
      <c r="Q37" s="39">
        <f t="shared" si="8"/>
        <v>-1.9447072427204878E-2</v>
      </c>
      <c r="R37" s="38">
        <f t="shared" si="3"/>
        <v>11186</v>
      </c>
      <c r="S37" s="39">
        <f t="shared" si="9"/>
        <v>5.3667262969588547E-4</v>
      </c>
      <c r="T37" s="8"/>
    </row>
    <row r="38" spans="1:20">
      <c r="A38" s="23" t="s">
        <v>31</v>
      </c>
      <c r="B38" s="50">
        <v>6506</v>
      </c>
      <c r="C38" s="25">
        <f t="shared" si="4"/>
        <v>1.6244923461418308E-2</v>
      </c>
      <c r="D38" s="51">
        <v>4149</v>
      </c>
      <c r="E38" s="25">
        <f t="shared" si="5"/>
        <v>-4.5585412667946256E-3</v>
      </c>
      <c r="F38" s="32">
        <f t="shared" si="0"/>
        <v>10655</v>
      </c>
      <c r="G38" s="25">
        <f t="shared" si="6"/>
        <v>8.0416272469252606E-3</v>
      </c>
      <c r="H38" s="52">
        <v>147</v>
      </c>
      <c r="I38" s="25">
        <f t="shared" si="11"/>
        <v>0.22500000000000001</v>
      </c>
      <c r="J38" s="53">
        <v>497</v>
      </c>
      <c r="K38" s="25">
        <f t="shared" si="13"/>
        <v>2.0161290322580645E-3</v>
      </c>
      <c r="L38" s="32">
        <f t="shared" si="10"/>
        <v>644</v>
      </c>
      <c r="M38" s="25">
        <f t="shared" si="12"/>
        <v>4.5454545454545456E-2</v>
      </c>
      <c r="N38" s="54">
        <f t="shared" si="1"/>
        <v>6653</v>
      </c>
      <c r="O38" s="25">
        <f t="shared" si="7"/>
        <v>2.0085863232137381E-2</v>
      </c>
      <c r="P38" s="51">
        <f t="shared" si="2"/>
        <v>4646</v>
      </c>
      <c r="Q38" s="25">
        <f t="shared" si="8"/>
        <v>-3.8593481989708405E-3</v>
      </c>
      <c r="R38" s="32">
        <f t="shared" si="3"/>
        <v>11299</v>
      </c>
      <c r="S38" s="25">
        <f t="shared" si="9"/>
        <v>1.01019131056678E-2</v>
      </c>
      <c r="T38" s="8"/>
    </row>
    <row r="39" spans="1:20">
      <c r="A39" s="23" t="s">
        <v>32</v>
      </c>
      <c r="B39" s="55">
        <v>6261.5</v>
      </c>
      <c r="C39" s="25">
        <f t="shared" si="4"/>
        <v>-3.7580694743313867E-2</v>
      </c>
      <c r="D39" s="56">
        <v>3856.5</v>
      </c>
      <c r="E39" s="25">
        <f t="shared" si="5"/>
        <v>-7.0498915401301515E-2</v>
      </c>
      <c r="F39" s="33">
        <f t="shared" si="0"/>
        <v>10118</v>
      </c>
      <c r="G39" s="25">
        <f t="shared" si="6"/>
        <v>-5.0398873768183951E-2</v>
      </c>
      <c r="H39" s="57">
        <v>164.5</v>
      </c>
      <c r="I39" s="25">
        <f t="shared" si="11"/>
        <v>0.11904761904761904</v>
      </c>
      <c r="J39" s="58">
        <v>471.5</v>
      </c>
      <c r="K39" s="25">
        <f t="shared" si="13"/>
        <v>-5.1307847082494973E-2</v>
      </c>
      <c r="L39" s="33">
        <f t="shared" si="10"/>
        <v>636</v>
      </c>
      <c r="M39" s="25">
        <f t="shared" si="12"/>
        <v>-1.2422360248447204E-2</v>
      </c>
      <c r="N39" s="59">
        <f t="shared" si="1"/>
        <v>6426</v>
      </c>
      <c r="O39" s="25">
        <f t="shared" si="7"/>
        <v>-3.4119945889072599E-2</v>
      </c>
      <c r="P39" s="56">
        <f t="shared" si="2"/>
        <v>4328</v>
      </c>
      <c r="Q39" s="25">
        <f t="shared" si="8"/>
        <v>-6.8445975032285833E-2</v>
      </c>
      <c r="R39" s="33">
        <f t="shared" si="3"/>
        <v>10754</v>
      </c>
      <c r="S39" s="25">
        <f t="shared" si="9"/>
        <v>-4.8234357022745374E-2</v>
      </c>
      <c r="T39" s="8"/>
    </row>
    <row r="40" spans="1:20">
      <c r="A40" s="23" t="s">
        <v>33</v>
      </c>
      <c r="B40" s="55">
        <v>6361</v>
      </c>
      <c r="C40" s="25">
        <f t="shared" si="4"/>
        <v>1.5890760999760441E-2</v>
      </c>
      <c r="D40" s="56">
        <v>3681.5</v>
      </c>
      <c r="E40" s="25">
        <f t="shared" si="5"/>
        <v>-4.5377933359263579E-2</v>
      </c>
      <c r="F40" s="33">
        <f t="shared" si="0"/>
        <v>10042.5</v>
      </c>
      <c r="G40" s="25">
        <f t="shared" si="6"/>
        <v>-7.4619490017790073E-3</v>
      </c>
      <c r="H40" s="57">
        <v>140</v>
      </c>
      <c r="I40" s="25">
        <f t="shared" si="11"/>
        <v>-0.14893617021276595</v>
      </c>
      <c r="J40" s="58">
        <v>443.5</v>
      </c>
      <c r="K40" s="25">
        <f t="shared" si="13"/>
        <v>-5.9384941675503712E-2</v>
      </c>
      <c r="L40" s="33">
        <f t="shared" si="10"/>
        <v>583.5</v>
      </c>
      <c r="M40" s="25">
        <f t="shared" si="12"/>
        <v>-8.254716981132075E-2</v>
      </c>
      <c r="N40" s="59">
        <f t="shared" si="1"/>
        <v>6501</v>
      </c>
      <c r="O40" s="25">
        <f t="shared" si="7"/>
        <v>1.1671335200746966E-2</v>
      </c>
      <c r="P40" s="56">
        <f t="shared" si="2"/>
        <v>4125</v>
      </c>
      <c r="Q40" s="25">
        <f t="shared" si="8"/>
        <v>-4.6903881700554526E-2</v>
      </c>
      <c r="R40" s="33">
        <f t="shared" si="3"/>
        <v>10626</v>
      </c>
      <c r="S40" s="25">
        <f t="shared" si="9"/>
        <v>-1.1902547889157523E-2</v>
      </c>
      <c r="T40" s="8"/>
    </row>
    <row r="41" spans="1:20">
      <c r="A41" s="23">
        <v>1998</v>
      </c>
      <c r="B41" s="55">
        <v>6359.5</v>
      </c>
      <c r="C41" s="25">
        <f t="shared" si="4"/>
        <v>-2.3581197924854583E-4</v>
      </c>
      <c r="D41" s="56">
        <v>3497</v>
      </c>
      <c r="E41" s="25">
        <f t="shared" si="5"/>
        <v>-5.0115442075241073E-2</v>
      </c>
      <c r="F41" s="33">
        <f t="shared" si="0"/>
        <v>9856.5</v>
      </c>
      <c r="G41" s="25">
        <f t="shared" si="6"/>
        <v>-1.8521284540702017E-2</v>
      </c>
      <c r="H41" s="57">
        <v>149.5</v>
      </c>
      <c r="I41" s="25">
        <f t="shared" si="11"/>
        <v>6.7857142857142852E-2</v>
      </c>
      <c r="J41" s="58">
        <v>447</v>
      </c>
      <c r="K41" s="25">
        <f t="shared" si="13"/>
        <v>7.8917700112739568E-3</v>
      </c>
      <c r="L41" s="33">
        <f t="shared" si="10"/>
        <v>596.5</v>
      </c>
      <c r="M41" s="25">
        <f t="shared" si="12"/>
        <v>2.2279348757497857E-2</v>
      </c>
      <c r="N41" s="59">
        <f t="shared" si="1"/>
        <v>6509</v>
      </c>
      <c r="O41" s="25">
        <f t="shared" si="7"/>
        <v>1.2305799107829565E-3</v>
      </c>
      <c r="P41" s="56">
        <f t="shared" si="2"/>
        <v>3944</v>
      </c>
      <c r="Q41" s="25">
        <f t="shared" si="8"/>
        <v>-4.3878787878787878E-2</v>
      </c>
      <c r="R41" s="33">
        <f t="shared" si="3"/>
        <v>10453</v>
      </c>
      <c r="S41" s="25">
        <f t="shared" si="9"/>
        <v>-1.6280820628646716E-2</v>
      </c>
      <c r="T41" s="8"/>
    </row>
    <row r="42" spans="1:20">
      <c r="A42" s="12">
        <v>1999</v>
      </c>
      <c r="B42" s="60">
        <v>6696</v>
      </c>
      <c r="C42" s="39">
        <f t="shared" si="4"/>
        <v>5.2912964855727648E-2</v>
      </c>
      <c r="D42" s="61">
        <v>3650.5</v>
      </c>
      <c r="E42" s="39">
        <f t="shared" si="5"/>
        <v>4.3894766943094084E-2</v>
      </c>
      <c r="F42" s="62">
        <f t="shared" si="0"/>
        <v>10346.5</v>
      </c>
      <c r="G42" s="39">
        <f t="shared" si="6"/>
        <v>4.9713387104956118E-2</v>
      </c>
      <c r="H42" s="63">
        <v>149.5</v>
      </c>
      <c r="I42" s="39">
        <f t="shared" si="11"/>
        <v>0</v>
      </c>
      <c r="J42" s="64">
        <v>488</v>
      </c>
      <c r="K42" s="39">
        <f t="shared" si="13"/>
        <v>9.1722595078299773E-2</v>
      </c>
      <c r="L42" s="62">
        <f t="shared" si="10"/>
        <v>637.5</v>
      </c>
      <c r="M42" s="39">
        <f t="shared" si="12"/>
        <v>6.8734283319362946E-2</v>
      </c>
      <c r="N42" s="65">
        <f t="shared" si="1"/>
        <v>6845.5</v>
      </c>
      <c r="O42" s="39">
        <f t="shared" si="7"/>
        <v>5.1697649408511293E-2</v>
      </c>
      <c r="P42" s="61">
        <f t="shared" si="2"/>
        <v>4138.5</v>
      </c>
      <c r="Q42" s="39">
        <f t="shared" si="8"/>
        <v>4.9315415821501014E-2</v>
      </c>
      <c r="R42" s="62">
        <f t="shared" si="3"/>
        <v>10984</v>
      </c>
      <c r="S42" s="39">
        <f t="shared" si="9"/>
        <v>5.0798813737682962E-2</v>
      </c>
      <c r="T42" s="8"/>
    </row>
    <row r="43" spans="1:20">
      <c r="A43" s="23">
        <v>2000</v>
      </c>
      <c r="B43" s="55">
        <v>7027</v>
      </c>
      <c r="C43" s="25">
        <f t="shared" si="4"/>
        <v>4.9432497013142174E-2</v>
      </c>
      <c r="D43" s="56">
        <v>3750.5</v>
      </c>
      <c r="E43" s="25">
        <f t="shared" si="5"/>
        <v>2.7393507738665935E-2</v>
      </c>
      <c r="F43" s="33">
        <f t="shared" si="0"/>
        <v>10777.5</v>
      </c>
      <c r="G43" s="25">
        <f t="shared" si="6"/>
        <v>4.1656598849852608E-2</v>
      </c>
      <c r="H43" s="57">
        <v>186</v>
      </c>
      <c r="I43" s="25">
        <f t="shared" si="11"/>
        <v>0.24414715719063546</v>
      </c>
      <c r="J43" s="58">
        <v>452.5</v>
      </c>
      <c r="K43" s="25">
        <f t="shared" si="13"/>
        <v>-7.274590163934426E-2</v>
      </c>
      <c r="L43" s="33">
        <f t="shared" si="10"/>
        <v>638.5</v>
      </c>
      <c r="M43" s="25">
        <f t="shared" si="12"/>
        <v>1.5686274509803921E-3</v>
      </c>
      <c r="N43" s="59">
        <f t="shared" si="1"/>
        <v>7213</v>
      </c>
      <c r="O43" s="25">
        <f t="shared" si="7"/>
        <v>5.368490249068731E-2</v>
      </c>
      <c r="P43" s="56">
        <f t="shared" si="2"/>
        <v>4203</v>
      </c>
      <c r="Q43" s="25">
        <f t="shared" si="8"/>
        <v>1.5585357013410656E-2</v>
      </c>
      <c r="R43" s="33">
        <f t="shared" si="3"/>
        <v>11416</v>
      </c>
      <c r="S43" s="25">
        <f t="shared" si="9"/>
        <v>3.9329934450109252E-2</v>
      </c>
      <c r="T43" s="8"/>
    </row>
    <row r="44" spans="1:20">
      <c r="A44" s="23">
        <v>2001</v>
      </c>
      <c r="B44" s="55">
        <v>7351</v>
      </c>
      <c r="C44" s="25">
        <f t="shared" si="4"/>
        <v>4.6107869645652486E-2</v>
      </c>
      <c r="D44" s="56">
        <v>3918</v>
      </c>
      <c r="E44" s="25">
        <f t="shared" si="5"/>
        <v>4.4660711905079323E-2</v>
      </c>
      <c r="F44" s="33">
        <f t="shared" si="0"/>
        <v>11269</v>
      </c>
      <c r="G44" s="25">
        <f>(F44-F42)/F42</f>
        <v>8.9160585705310977E-2</v>
      </c>
      <c r="H44" s="57">
        <v>212</v>
      </c>
      <c r="I44" s="25">
        <f t="shared" si="11"/>
        <v>0.13978494623655913</v>
      </c>
      <c r="J44" s="58">
        <v>435</v>
      </c>
      <c r="K44" s="25">
        <f t="shared" si="13"/>
        <v>-3.8674033149171269E-2</v>
      </c>
      <c r="L44" s="33">
        <f t="shared" si="10"/>
        <v>647</v>
      </c>
      <c r="M44" s="25">
        <f>(L44-L42)/L42</f>
        <v>1.4901960784313726E-2</v>
      </c>
      <c r="N44" s="59">
        <f t="shared" si="1"/>
        <v>7563</v>
      </c>
      <c r="O44" s="25">
        <f t="shared" si="7"/>
        <v>4.8523499237487867E-2</v>
      </c>
      <c r="P44" s="56">
        <f t="shared" si="2"/>
        <v>4353</v>
      </c>
      <c r="Q44" s="25">
        <f t="shared" si="8"/>
        <v>3.5688793718772309E-2</v>
      </c>
      <c r="R44" s="33">
        <f t="shared" si="3"/>
        <v>11916</v>
      </c>
      <c r="S44" s="25">
        <f t="shared" si="9"/>
        <v>4.3798177995795377E-2</v>
      </c>
      <c r="T44" s="8"/>
    </row>
    <row r="45" spans="1:20">
      <c r="A45" s="23">
        <v>2002</v>
      </c>
      <c r="B45" s="55">
        <v>8229</v>
      </c>
      <c r="C45" s="25">
        <f t="shared" si="4"/>
        <v>0.11943953203645763</v>
      </c>
      <c r="D45" s="56">
        <v>4229</v>
      </c>
      <c r="E45" s="25">
        <f t="shared" si="5"/>
        <v>7.937723328228688E-2</v>
      </c>
      <c r="F45" s="33">
        <f t="shared" si="0"/>
        <v>12458</v>
      </c>
      <c r="G45" s="25">
        <f t="shared" ref="G45:G51" si="14">(F45-F44)/F44</f>
        <v>0.10551069305173484</v>
      </c>
      <c r="H45" s="57">
        <v>241</v>
      </c>
      <c r="I45" s="25">
        <f t="shared" si="11"/>
        <v>0.13679245283018868</v>
      </c>
      <c r="J45" s="58">
        <v>430</v>
      </c>
      <c r="K45" s="25">
        <f t="shared" si="13"/>
        <v>-1.1494252873563218E-2</v>
      </c>
      <c r="L45" s="33">
        <f t="shared" si="10"/>
        <v>671</v>
      </c>
      <c r="M45" s="25">
        <f t="shared" ref="M45:M51" si="15">(L45-L44)/L44</f>
        <v>3.7094281298299843E-2</v>
      </c>
      <c r="N45" s="59">
        <f t="shared" si="1"/>
        <v>8470</v>
      </c>
      <c r="O45" s="25">
        <f t="shared" si="7"/>
        <v>0.11992595530873992</v>
      </c>
      <c r="P45" s="56">
        <f t="shared" si="2"/>
        <v>4659</v>
      </c>
      <c r="Q45" s="25">
        <f t="shared" si="8"/>
        <v>7.0296347346657476E-2</v>
      </c>
      <c r="R45" s="33">
        <f t="shared" si="3"/>
        <v>13129</v>
      </c>
      <c r="S45" s="25">
        <f t="shared" si="9"/>
        <v>0.10179590466599531</v>
      </c>
      <c r="T45" s="8"/>
    </row>
    <row r="46" spans="1:20">
      <c r="A46" s="23" t="s">
        <v>34</v>
      </c>
      <c r="B46" s="55">
        <v>10112</v>
      </c>
      <c r="C46" s="25">
        <f t="shared" si="4"/>
        <v>0.22882488759266009</v>
      </c>
      <c r="D46" s="56">
        <v>4557</v>
      </c>
      <c r="E46" s="25">
        <f t="shared" si="5"/>
        <v>7.755970678647435E-2</v>
      </c>
      <c r="F46" s="33">
        <f t="shared" si="0"/>
        <v>14669</v>
      </c>
      <c r="G46" s="25">
        <f t="shared" si="14"/>
        <v>0.1774763204366672</v>
      </c>
      <c r="H46" s="57">
        <v>373</v>
      </c>
      <c r="I46" s="25">
        <f t="shared" si="11"/>
        <v>0.5477178423236515</v>
      </c>
      <c r="J46" s="58">
        <v>485</v>
      </c>
      <c r="K46" s="25">
        <f t="shared" si="13"/>
        <v>0.12790697674418605</v>
      </c>
      <c r="L46" s="33">
        <f t="shared" si="10"/>
        <v>858</v>
      </c>
      <c r="M46" s="25">
        <f t="shared" si="15"/>
        <v>0.27868852459016391</v>
      </c>
      <c r="N46" s="59">
        <f t="shared" si="1"/>
        <v>10485</v>
      </c>
      <c r="O46" s="25">
        <f t="shared" si="7"/>
        <v>0.23789846517119245</v>
      </c>
      <c r="P46" s="56">
        <f t="shared" si="2"/>
        <v>5042</v>
      </c>
      <c r="Q46" s="25">
        <f t="shared" si="8"/>
        <v>8.2206482077699081E-2</v>
      </c>
      <c r="R46" s="33">
        <f t="shared" si="3"/>
        <v>15527</v>
      </c>
      <c r="S46" s="25">
        <f t="shared" si="9"/>
        <v>0.18264909741792978</v>
      </c>
      <c r="T46" s="8"/>
    </row>
    <row r="47" spans="1:20">
      <c r="A47" s="12" t="s">
        <v>44</v>
      </c>
      <c r="B47" s="60">
        <v>12559</v>
      </c>
      <c r="C47" s="39">
        <f t="shared" si="4"/>
        <v>0.24198971518987342</v>
      </c>
      <c r="D47" s="61">
        <v>2973</v>
      </c>
      <c r="E47" s="39">
        <f t="shared" si="5"/>
        <v>-0.34759710335747201</v>
      </c>
      <c r="F47" s="62">
        <f t="shared" si="0"/>
        <v>15532</v>
      </c>
      <c r="G47" s="39">
        <f t="shared" si="14"/>
        <v>5.8831549526211738E-2</v>
      </c>
      <c r="H47" s="63">
        <v>531</v>
      </c>
      <c r="I47" s="39">
        <f t="shared" si="11"/>
        <v>0.42359249329758714</v>
      </c>
      <c r="J47" s="64">
        <v>534</v>
      </c>
      <c r="K47" s="39">
        <f t="shared" si="13"/>
        <v>0.10103092783505155</v>
      </c>
      <c r="L47" s="62">
        <f t="shared" si="10"/>
        <v>1065</v>
      </c>
      <c r="M47" s="39">
        <f t="shared" si="15"/>
        <v>0.24125874125874125</v>
      </c>
      <c r="N47" s="65">
        <f t="shared" si="1"/>
        <v>13090</v>
      </c>
      <c r="O47" s="39">
        <f t="shared" si="7"/>
        <v>0.24845016690510252</v>
      </c>
      <c r="P47" s="61">
        <f t="shared" si="2"/>
        <v>3507</v>
      </c>
      <c r="Q47" s="39">
        <f t="shared" si="8"/>
        <v>-0.30444268147560494</v>
      </c>
      <c r="R47" s="62">
        <f t="shared" si="3"/>
        <v>16597</v>
      </c>
      <c r="S47" s="67">
        <f t="shared" si="9"/>
        <v>6.8912217427706576E-2</v>
      </c>
      <c r="T47" s="8"/>
    </row>
    <row r="48" spans="1:20">
      <c r="A48" s="23">
        <v>2005</v>
      </c>
      <c r="B48" s="55">
        <v>13384</v>
      </c>
      <c r="C48" s="68">
        <f t="shared" si="4"/>
        <v>6.5689943466836528E-2</v>
      </c>
      <c r="D48" s="56">
        <v>2972</v>
      </c>
      <c r="E48" s="68">
        <f t="shared" si="5"/>
        <v>-3.3636057854019509E-4</v>
      </c>
      <c r="F48" s="33">
        <f t="shared" si="0"/>
        <v>16356</v>
      </c>
      <c r="G48" s="68">
        <f t="shared" si="14"/>
        <v>5.3051764099922738E-2</v>
      </c>
      <c r="H48" s="57">
        <v>559</v>
      </c>
      <c r="I48" s="68">
        <f t="shared" si="11"/>
        <v>5.2730696798493411E-2</v>
      </c>
      <c r="J48" s="58">
        <v>494</v>
      </c>
      <c r="K48" s="68">
        <f t="shared" ref="K48:K53" si="16">(J48-J47)/J47</f>
        <v>-7.4906367041198504E-2</v>
      </c>
      <c r="L48" s="33">
        <f t="shared" si="10"/>
        <v>1053</v>
      </c>
      <c r="M48" s="68">
        <f t="shared" si="15"/>
        <v>-1.1267605633802818E-2</v>
      </c>
      <c r="N48" s="59">
        <f t="shared" si="1"/>
        <v>13943</v>
      </c>
      <c r="O48" s="68">
        <f t="shared" ref="O48:O53" si="17">(N48-N47)/N47</f>
        <v>6.5164247517188689E-2</v>
      </c>
      <c r="P48" s="56">
        <f t="shared" si="2"/>
        <v>3466</v>
      </c>
      <c r="Q48" s="68">
        <f t="shared" ref="Q48:Q53" si="18">(P48-P47)/P47</f>
        <v>-1.1690903906472769E-2</v>
      </c>
      <c r="R48" s="33">
        <f t="shared" si="3"/>
        <v>17409</v>
      </c>
      <c r="S48" s="69">
        <f t="shared" ref="S48:S53" si="19">(R48-R47)/R47</f>
        <v>4.8924504428511179E-2</v>
      </c>
      <c r="T48" s="8"/>
    </row>
    <row r="49" spans="1:20">
      <c r="A49" s="23">
        <v>2006</v>
      </c>
      <c r="B49" s="55">
        <v>13385</v>
      </c>
      <c r="C49" s="68">
        <f t="shared" ref="C49:C56" si="20">(B49-B48)/B48</f>
        <v>7.4716078900179312E-5</v>
      </c>
      <c r="D49" s="56">
        <v>2899</v>
      </c>
      <c r="E49" s="68">
        <f t="shared" si="5"/>
        <v>-2.4562584118438761E-2</v>
      </c>
      <c r="F49" s="33">
        <f t="shared" ref="F49:F54" si="21">B49+D49</f>
        <v>16284</v>
      </c>
      <c r="G49" s="68">
        <f t="shared" si="14"/>
        <v>-4.4020542920029347E-3</v>
      </c>
      <c r="H49" s="57">
        <v>643</v>
      </c>
      <c r="I49" s="68">
        <f t="shared" si="11"/>
        <v>0.15026833631484796</v>
      </c>
      <c r="J49" s="58">
        <v>526</v>
      </c>
      <c r="K49" s="68">
        <f t="shared" si="16"/>
        <v>6.4777327935222673E-2</v>
      </c>
      <c r="L49" s="33">
        <f t="shared" ref="L49:L54" si="22">H49+J49</f>
        <v>1169</v>
      </c>
      <c r="M49" s="68">
        <f t="shared" si="15"/>
        <v>0.11016144349477683</v>
      </c>
      <c r="N49" s="59">
        <f t="shared" ref="N49:N54" si="23">B49+H49</f>
        <v>14028</v>
      </c>
      <c r="O49" s="68">
        <f t="shared" si="17"/>
        <v>6.0962490138420714E-3</v>
      </c>
      <c r="P49" s="56">
        <f t="shared" ref="P49:P54" si="24">D49+J49</f>
        <v>3425</v>
      </c>
      <c r="Q49" s="68">
        <f t="shared" si="18"/>
        <v>-1.1829197922677438E-2</v>
      </c>
      <c r="R49" s="33">
        <f t="shared" ref="R49:R54" si="25">N49+P49</f>
        <v>17453</v>
      </c>
      <c r="S49" s="69">
        <f t="shared" si="19"/>
        <v>2.5274283416623585E-3</v>
      </c>
      <c r="T49" s="8"/>
    </row>
    <row r="50" spans="1:20">
      <c r="A50" s="23">
        <v>2007</v>
      </c>
      <c r="B50" s="55">
        <v>12889</v>
      </c>
      <c r="C50" s="68">
        <f t="shared" si="20"/>
        <v>-3.7056406425102724E-2</v>
      </c>
      <c r="D50" s="56">
        <v>2858</v>
      </c>
      <c r="E50" s="68">
        <f t="shared" ref="E50:E56" si="26">(D50-D49)/D49</f>
        <v>-1.4142807864780959E-2</v>
      </c>
      <c r="F50" s="33">
        <f t="shared" si="21"/>
        <v>15747</v>
      </c>
      <c r="G50" s="68">
        <f t="shared" si="14"/>
        <v>-3.2977155490051584E-2</v>
      </c>
      <c r="H50" s="57">
        <v>734</v>
      </c>
      <c r="I50" s="68">
        <f t="shared" ref="I50:I56" si="27">(H50-H49)/H49</f>
        <v>0.14152410575427682</v>
      </c>
      <c r="J50" s="58">
        <v>525</v>
      </c>
      <c r="K50" s="68">
        <f t="shared" si="16"/>
        <v>-1.9011406844106464E-3</v>
      </c>
      <c r="L50" s="33">
        <f t="shared" si="22"/>
        <v>1259</v>
      </c>
      <c r="M50" s="68">
        <f t="shared" si="15"/>
        <v>7.6988879384088965E-2</v>
      </c>
      <c r="N50" s="59">
        <f t="shared" si="23"/>
        <v>13623</v>
      </c>
      <c r="O50" s="68">
        <f t="shared" si="17"/>
        <v>-2.8870829769033362E-2</v>
      </c>
      <c r="P50" s="56">
        <f t="shared" si="24"/>
        <v>3383</v>
      </c>
      <c r="Q50" s="68">
        <f t="shared" si="18"/>
        <v>-1.2262773722627737E-2</v>
      </c>
      <c r="R50" s="33">
        <f t="shared" si="25"/>
        <v>17006</v>
      </c>
      <c r="S50" s="69">
        <f t="shared" si="19"/>
        <v>-2.5611642697530509E-2</v>
      </c>
      <c r="T50" s="8"/>
    </row>
    <row r="51" spans="1:20">
      <c r="A51" s="79">
        <v>2008</v>
      </c>
      <c r="B51" s="71">
        <v>12891</v>
      </c>
      <c r="C51" s="72">
        <f t="shared" si="20"/>
        <v>1.5517107611141284E-4</v>
      </c>
      <c r="D51" s="73">
        <v>2540</v>
      </c>
      <c r="E51" s="72">
        <f t="shared" si="26"/>
        <v>-0.1112666200139958</v>
      </c>
      <c r="F51" s="74">
        <f t="shared" si="21"/>
        <v>15431</v>
      </c>
      <c r="G51" s="72">
        <f t="shared" si="14"/>
        <v>-2.0067314409093796E-2</v>
      </c>
      <c r="H51" s="75">
        <v>798</v>
      </c>
      <c r="I51" s="72">
        <f t="shared" si="27"/>
        <v>8.7193460490463212E-2</v>
      </c>
      <c r="J51" s="76">
        <v>621</v>
      </c>
      <c r="K51" s="72">
        <f t="shared" si="16"/>
        <v>0.18285714285714286</v>
      </c>
      <c r="L51" s="74">
        <f t="shared" si="22"/>
        <v>1419</v>
      </c>
      <c r="M51" s="72">
        <f t="shared" si="15"/>
        <v>0.12708498808578236</v>
      </c>
      <c r="N51" s="77">
        <f t="shared" si="23"/>
        <v>13689</v>
      </c>
      <c r="O51" s="72">
        <f t="shared" si="17"/>
        <v>4.8447478528958381E-3</v>
      </c>
      <c r="P51" s="73">
        <f t="shared" si="24"/>
        <v>3161</v>
      </c>
      <c r="Q51" s="72">
        <f t="shared" si="18"/>
        <v>-6.5622228791013898E-2</v>
      </c>
      <c r="R51" s="74">
        <f t="shared" si="25"/>
        <v>16850</v>
      </c>
      <c r="S51" s="78">
        <f t="shared" si="19"/>
        <v>-9.1732329765964946E-3</v>
      </c>
      <c r="T51" s="8"/>
    </row>
    <row r="52" spans="1:20">
      <c r="A52" s="23">
        <v>2009</v>
      </c>
      <c r="B52" s="55">
        <v>13541</v>
      </c>
      <c r="C52" s="68">
        <f t="shared" si="20"/>
        <v>5.0422775579861918E-2</v>
      </c>
      <c r="D52" s="56">
        <v>2408</v>
      </c>
      <c r="E52" s="68">
        <f t="shared" si="26"/>
        <v>-5.1968503937007873E-2</v>
      </c>
      <c r="F52" s="33">
        <f t="shared" si="21"/>
        <v>15949</v>
      </c>
      <c r="G52" s="68">
        <f>(F52-F51)/F51</f>
        <v>3.3568790097854968E-2</v>
      </c>
      <c r="H52" s="57">
        <v>931</v>
      </c>
      <c r="I52" s="68">
        <f t="shared" si="27"/>
        <v>0.16666666666666666</v>
      </c>
      <c r="J52" s="58">
        <v>613</v>
      </c>
      <c r="K52" s="68">
        <f t="shared" si="16"/>
        <v>-1.2882447665056361E-2</v>
      </c>
      <c r="L52" s="33">
        <f t="shared" si="22"/>
        <v>1544</v>
      </c>
      <c r="M52" s="68">
        <f>(L52-L51)/L51</f>
        <v>8.809020436927413E-2</v>
      </c>
      <c r="N52" s="59">
        <f t="shared" si="23"/>
        <v>14472</v>
      </c>
      <c r="O52" s="68">
        <f t="shared" si="17"/>
        <v>5.7199211045364892E-2</v>
      </c>
      <c r="P52" s="56">
        <f t="shared" si="24"/>
        <v>3021</v>
      </c>
      <c r="Q52" s="68">
        <f t="shared" si="18"/>
        <v>-4.4289781714647265E-2</v>
      </c>
      <c r="R52" s="33">
        <f t="shared" si="25"/>
        <v>17493</v>
      </c>
      <c r="S52" s="67">
        <f t="shared" si="19"/>
        <v>3.8160237388724039E-2</v>
      </c>
      <c r="T52" s="70"/>
    </row>
    <row r="53" spans="1:20">
      <c r="A53" s="23">
        <v>2010</v>
      </c>
      <c r="B53" s="55">
        <v>14077</v>
      </c>
      <c r="C53" s="68">
        <f t="shared" si="20"/>
        <v>3.958348718706152E-2</v>
      </c>
      <c r="D53" s="56">
        <v>2264</v>
      </c>
      <c r="E53" s="68">
        <f t="shared" si="26"/>
        <v>-5.9800664451827246E-2</v>
      </c>
      <c r="F53" s="33">
        <f t="shared" si="21"/>
        <v>16341</v>
      </c>
      <c r="G53" s="68">
        <f>(F53-F52)/F52</f>
        <v>2.457834346981002E-2</v>
      </c>
      <c r="H53" s="57">
        <v>932</v>
      </c>
      <c r="I53" s="68">
        <f t="shared" si="27"/>
        <v>1.0741138560687433E-3</v>
      </c>
      <c r="J53" s="58">
        <v>604</v>
      </c>
      <c r="K53" s="68">
        <f t="shared" si="16"/>
        <v>-1.468189233278956E-2</v>
      </c>
      <c r="L53" s="33">
        <f t="shared" si="22"/>
        <v>1536</v>
      </c>
      <c r="M53" s="68">
        <f>(L53-L52)/L52</f>
        <v>-5.1813471502590676E-3</v>
      </c>
      <c r="N53" s="59">
        <f t="shared" si="23"/>
        <v>15009</v>
      </c>
      <c r="O53" s="68">
        <f t="shared" si="17"/>
        <v>3.7106135986732999E-2</v>
      </c>
      <c r="P53" s="56">
        <f t="shared" si="24"/>
        <v>2868</v>
      </c>
      <c r="Q53" s="68">
        <f t="shared" si="18"/>
        <v>-5.0645481628599803E-2</v>
      </c>
      <c r="R53" s="33">
        <f t="shared" si="25"/>
        <v>17877</v>
      </c>
      <c r="S53" s="69">
        <f t="shared" si="19"/>
        <v>2.1951637797976334E-2</v>
      </c>
      <c r="T53" s="70"/>
    </row>
    <row r="54" spans="1:20">
      <c r="A54" s="23">
        <v>2011</v>
      </c>
      <c r="B54" s="55">
        <v>14439</v>
      </c>
      <c r="C54" s="68">
        <f t="shared" si="20"/>
        <v>2.5715706471549336E-2</v>
      </c>
      <c r="D54" s="56">
        <v>2217</v>
      </c>
      <c r="E54" s="68">
        <f t="shared" si="26"/>
        <v>-2.0759717314487631E-2</v>
      </c>
      <c r="F54" s="33">
        <f t="shared" si="21"/>
        <v>16656</v>
      </c>
      <c r="G54" s="68">
        <f>(F54-F53)/F53</f>
        <v>1.9276666054709013E-2</v>
      </c>
      <c r="H54" s="57">
        <v>1028</v>
      </c>
      <c r="I54" s="68">
        <f t="shared" si="27"/>
        <v>0.10300429184549356</v>
      </c>
      <c r="J54" s="58">
        <v>506</v>
      </c>
      <c r="K54" s="68">
        <f>(J54-J53)/J53</f>
        <v>-0.16225165562913907</v>
      </c>
      <c r="L54" s="33">
        <f t="shared" si="22"/>
        <v>1534</v>
      </c>
      <c r="M54" s="68">
        <f>(L54-L53)/L53</f>
        <v>-1.3020833333333333E-3</v>
      </c>
      <c r="N54" s="59">
        <f t="shared" si="23"/>
        <v>15467</v>
      </c>
      <c r="O54" s="68">
        <f>(N54-N53)/N53</f>
        <v>3.0515024318742087E-2</v>
      </c>
      <c r="P54" s="56">
        <f t="shared" si="24"/>
        <v>2723</v>
      </c>
      <c r="Q54" s="68">
        <f>(P54-P53)/P53</f>
        <v>-5.0557880055788006E-2</v>
      </c>
      <c r="R54" s="33">
        <f t="shared" si="25"/>
        <v>18190</v>
      </c>
      <c r="S54" s="69">
        <f>(R54-R53)/R53</f>
        <v>1.7508530514068355E-2</v>
      </c>
      <c r="T54" s="70"/>
    </row>
    <row r="55" spans="1:20">
      <c r="A55" s="79">
        <v>2012</v>
      </c>
      <c r="B55" s="71">
        <v>14672</v>
      </c>
      <c r="C55" s="72">
        <f>(B55-B53)/B53</f>
        <v>4.2267528592739932E-2</v>
      </c>
      <c r="D55" s="73">
        <v>2210</v>
      </c>
      <c r="E55" s="72">
        <f>(D55-D53)/D53</f>
        <v>-2.3851590106007067E-2</v>
      </c>
      <c r="F55" s="74">
        <f>B55+D55</f>
        <v>16882</v>
      </c>
      <c r="G55" s="72">
        <f>(F55-F53)/F53</f>
        <v>3.310690900189707E-2</v>
      </c>
      <c r="H55" s="75">
        <v>1180</v>
      </c>
      <c r="I55" s="72">
        <f>(H55-H53)/H53</f>
        <v>0.26609442060085836</v>
      </c>
      <c r="J55" s="76">
        <v>450</v>
      </c>
      <c r="K55" s="72">
        <f>(J55-J53)/J53</f>
        <v>-0.25496688741721857</v>
      </c>
      <c r="L55" s="74">
        <f>H55+J55</f>
        <v>1630</v>
      </c>
      <c r="M55" s="72">
        <f>(L55-L53)/L53</f>
        <v>6.1197916666666664E-2</v>
      </c>
      <c r="N55" s="77">
        <f>B55+H55</f>
        <v>15852</v>
      </c>
      <c r="O55" s="72">
        <f>(N55-N53)/N53</f>
        <v>5.6166300219868077E-2</v>
      </c>
      <c r="P55" s="73">
        <f>D55+J55</f>
        <v>2660</v>
      </c>
      <c r="Q55" s="72">
        <f>(P55-P53)/P53</f>
        <v>-7.252440725244072E-2</v>
      </c>
      <c r="R55" s="74">
        <f>N55+P55</f>
        <v>18512</v>
      </c>
      <c r="S55" s="78">
        <f>(R55-R53)/R53</f>
        <v>3.552050120266264E-2</v>
      </c>
      <c r="T55" s="8"/>
    </row>
    <row r="56" spans="1:20">
      <c r="A56" s="79">
        <v>2013</v>
      </c>
      <c r="B56" s="71">
        <v>14853</v>
      </c>
      <c r="C56" s="72">
        <f t="shared" si="20"/>
        <v>1.2336423118865868E-2</v>
      </c>
      <c r="D56" s="73">
        <v>2146</v>
      </c>
      <c r="E56" s="72">
        <f t="shared" si="26"/>
        <v>-2.8959276018099549E-2</v>
      </c>
      <c r="F56" s="74">
        <f>B56+D56</f>
        <v>16999</v>
      </c>
      <c r="G56" s="72">
        <f>(F56-F55)/F55</f>
        <v>6.9304584764838285E-3</v>
      </c>
      <c r="H56" s="75">
        <v>1298</v>
      </c>
      <c r="I56" s="72">
        <f t="shared" si="27"/>
        <v>0.1</v>
      </c>
      <c r="J56" s="76">
        <v>391</v>
      </c>
      <c r="K56" s="72">
        <f>(J56-J55)/J55</f>
        <v>-0.13111111111111112</v>
      </c>
      <c r="L56" s="74">
        <f>H56+J56</f>
        <v>1689</v>
      </c>
      <c r="M56" s="72">
        <f>(L56-L55)/L55</f>
        <v>3.6196319018404907E-2</v>
      </c>
      <c r="N56" s="77">
        <f>B56+H56</f>
        <v>16151</v>
      </c>
      <c r="O56" s="72">
        <f>(N56-N55)/N55</f>
        <v>1.8861973252586425E-2</v>
      </c>
      <c r="P56" s="73">
        <f>D56+J56</f>
        <v>2537</v>
      </c>
      <c r="Q56" s="72">
        <f>(P56-P55)/P55</f>
        <v>-4.6240601503759401E-2</v>
      </c>
      <c r="R56" s="74">
        <f>N56+P56</f>
        <v>18688</v>
      </c>
      <c r="S56" s="78">
        <f>(R56-R55)/R55</f>
        <v>9.5073465859982706E-3</v>
      </c>
      <c r="T56" s="8"/>
    </row>
    <row r="57" spans="1:20">
      <c r="A57" s="3" t="s">
        <v>35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2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66"/>
    </row>
    <row r="59" spans="1:20">
      <c r="A59" s="66"/>
      <c r="T59" s="66"/>
    </row>
    <row r="60" spans="1:20">
      <c r="A60" s="66"/>
      <c r="T60" s="66"/>
    </row>
    <row r="61" spans="1:20">
      <c r="A61" s="66"/>
      <c r="T61" s="66"/>
    </row>
    <row r="62" spans="1:20">
      <c r="A62" s="66"/>
      <c r="T62" s="66"/>
    </row>
    <row r="63" spans="1:20">
      <c r="A63" s="66"/>
      <c r="T63" s="66"/>
    </row>
    <row r="64" spans="1:20">
      <c r="A64" s="66"/>
      <c r="T64" s="66"/>
    </row>
    <row r="65" spans="1:20">
      <c r="A65" s="66"/>
      <c r="T65" s="66"/>
    </row>
    <row r="66" spans="1:20">
      <c r="A66" s="66"/>
      <c r="T66" s="66"/>
    </row>
    <row r="67" spans="1:20">
      <c r="A67" s="66"/>
      <c r="T67" s="66"/>
    </row>
    <row r="68" spans="1:20">
      <c r="A68" s="66"/>
      <c r="T68" s="66"/>
    </row>
    <row r="69" spans="1:20">
      <c r="A69" s="66"/>
      <c r="T69" s="66"/>
    </row>
    <row r="70" spans="1:20">
      <c r="A70" s="66"/>
      <c r="T70" s="66"/>
    </row>
    <row r="71" spans="1:20">
      <c r="A71" s="66"/>
      <c r="T71" s="66"/>
    </row>
    <row r="72" spans="1:20">
      <c r="A72" s="66"/>
      <c r="T72" s="66"/>
    </row>
    <row r="73" spans="1:20">
      <c r="A73" s="66"/>
      <c r="T73" s="66"/>
    </row>
    <row r="74" spans="1:20">
      <c r="A74" s="66"/>
      <c r="T74" s="66"/>
    </row>
    <row r="75" spans="1:20">
      <c r="A75" s="66"/>
      <c r="T75" s="66"/>
    </row>
    <row r="76" spans="1:20">
      <c r="A76" s="66"/>
      <c r="T76" s="66"/>
    </row>
    <row r="77" spans="1:20">
      <c r="A77" s="66"/>
      <c r="T77" s="66"/>
    </row>
    <row r="78" spans="1:20">
      <c r="A78" s="66"/>
      <c r="T78" s="66"/>
    </row>
    <row r="79" spans="1:20">
      <c r="A79" s="66"/>
      <c r="T79" s="66"/>
    </row>
    <row r="80" spans="1:20">
      <c r="A80" s="66"/>
      <c r="T80" s="66"/>
    </row>
    <row r="81" spans="1:20">
      <c r="A81" s="66"/>
      <c r="T81" s="66"/>
    </row>
    <row r="82" spans="1:20">
      <c r="A82" s="66"/>
      <c r="T82" s="66"/>
    </row>
    <row r="83" spans="1:20">
      <c r="A83" s="66"/>
      <c r="T83" s="66"/>
    </row>
    <row r="84" spans="1:20">
      <c r="A84" s="66"/>
      <c r="T84" s="66"/>
    </row>
    <row r="85" spans="1:20">
      <c r="A85" s="66"/>
      <c r="T85" s="66"/>
    </row>
    <row r="86" spans="1:20">
      <c r="A86" s="66"/>
      <c r="T86" s="66"/>
    </row>
    <row r="87" spans="1:20">
      <c r="A87" s="66"/>
      <c r="T87" s="66"/>
    </row>
    <row r="88" spans="1:20">
      <c r="A88" s="66"/>
      <c r="T88" s="66"/>
    </row>
    <row r="89" spans="1:20">
      <c r="A89" s="66"/>
      <c r="T89" s="66"/>
    </row>
    <row r="90" spans="1:20">
      <c r="A90" s="66"/>
      <c r="T90" s="66"/>
    </row>
    <row r="91" spans="1:20">
      <c r="A91" s="66"/>
      <c r="T91" s="66"/>
    </row>
    <row r="92" spans="1:20">
      <c r="A92" s="66"/>
      <c r="T92" s="66"/>
    </row>
    <row r="93" spans="1:20">
      <c r="A93" s="66"/>
      <c r="T93" s="66"/>
    </row>
    <row r="94" spans="1:20">
      <c r="A94" s="66"/>
      <c r="T94" s="66"/>
    </row>
    <row r="95" spans="1:20">
      <c r="A95" s="66"/>
      <c r="T95" s="66"/>
    </row>
    <row r="96" spans="1:20">
      <c r="A96" s="66"/>
      <c r="T96" s="66"/>
    </row>
    <row r="97" spans="1:20">
      <c r="A97" s="66"/>
      <c r="T97" s="66"/>
    </row>
    <row r="98" spans="1:20">
      <c r="A98" s="66"/>
      <c r="T98" s="66"/>
    </row>
    <row r="99" spans="1:20">
      <c r="A99" s="66"/>
      <c r="T99" s="66"/>
    </row>
    <row r="100" spans="1:20">
      <c r="A100" s="66"/>
      <c r="T100" s="66"/>
    </row>
    <row r="101" spans="1:20">
      <c r="A101" s="66"/>
      <c r="T101" s="66"/>
    </row>
    <row r="102" spans="1:20">
      <c r="A102" s="66"/>
      <c r="T102" s="66"/>
    </row>
    <row r="103" spans="1:20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</row>
  </sheetData>
  <phoneticPr fontId="0" type="noConversion"/>
  <printOptions horizontalCentered="1"/>
  <pageMargins left="0.5" right="0.5" top="0.563194444444444" bottom="0.266666666666667" header="0" footer="0"/>
  <pageSetup paperSize="5" scale="43" orientation="portrait" r:id="rId1"/>
  <headerFooter alignWithMargins="0"/>
  <rowBreaks count="2" manualBreakCount="2">
    <brk id="57" max="16383" man="1"/>
    <brk id="10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</vt:lpstr>
      <vt:lpstr>A!Print_Area</vt:lpstr>
      <vt:lpstr>Print_Area</vt:lpstr>
    </vt:vector>
  </TitlesOfParts>
  <Company>Brock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Beard</dc:creator>
  <cp:lastModifiedBy>Brock University</cp:lastModifiedBy>
  <cp:lastPrinted>2012-12-18T19:31:48Z</cp:lastPrinted>
  <dcterms:created xsi:type="dcterms:W3CDTF">2008-01-31T15:11:14Z</dcterms:created>
  <dcterms:modified xsi:type="dcterms:W3CDTF">2014-01-28T15:38:57Z</dcterms:modified>
</cp:coreProperties>
</file>