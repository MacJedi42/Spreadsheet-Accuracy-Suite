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autoCompressPictures="0" defaultThemeVersion="124226"/>
  <bookViews>
    <workbookView xWindow="0" yWindow="105" windowWidth="24615" windowHeight="17835"/>
  </bookViews>
  <sheets>
    <sheet name="SummaryStatistics_small" sheetId="1" r:id="rId1"/>
  </sheets>
  <calcPr calcId="125725"/>
</workbook>
</file>

<file path=xl/calcChain.xml><?xml version="1.0" encoding="utf-8"?>
<calcChain xmlns="http://schemas.openxmlformats.org/spreadsheetml/2006/main">
  <c r="E74" i="1"/>
  <c r="D74"/>
  <c r="C74"/>
  <c r="B74"/>
  <c r="B73"/>
  <c r="E73"/>
  <c r="D73"/>
  <c r="C73"/>
  <c r="G74"/>
  <c r="I73"/>
  <c r="H73"/>
  <c r="G73"/>
  <c r="F73"/>
  <c r="F74"/>
  <c r="I74"/>
  <c r="H74"/>
</calcChain>
</file>

<file path=xl/sharedStrings.xml><?xml version="1.0" encoding="utf-8"?>
<sst xmlns="http://schemas.openxmlformats.org/spreadsheetml/2006/main" count="290" uniqueCount="124">
  <si>
    <t>28-170; 70-290;</t>
  </si>
  <si>
    <t>30-140; 70-280;</t>
  </si>
  <si>
    <t>28-170; 60-270;</t>
  </si>
  <si>
    <t>28-300</t>
  </si>
  <si>
    <t>28-320</t>
  </si>
  <si>
    <t>hES_HUES1_p26</t>
  </si>
  <si>
    <t>hES_HUES6_p23</t>
  </si>
  <si>
    <t>hES_HUES53_p18</t>
  </si>
  <si>
    <t>hES_HUES62_p17</t>
  </si>
  <si>
    <t>hES_HUES63_p14</t>
  </si>
  <si>
    <t>hEB16d_27b_p34</t>
  </si>
  <si>
    <t>hiPS_11c_p18</t>
  </si>
  <si>
    <t>hES_HUES9_p24</t>
  </si>
  <si>
    <t>hFib_16</t>
  </si>
  <si>
    <t>hiPS_15b_p41</t>
  </si>
  <si>
    <t>hiPS_20b_p49</t>
  </si>
  <si>
    <t>hES_HUES13_p46</t>
  </si>
  <si>
    <t>hES_H9_p65</t>
  </si>
  <si>
    <t>hEB16d_H9_p65_2</t>
  </si>
  <si>
    <t>hEB16d_HUES62_p20</t>
  </si>
  <si>
    <t>Gene Expression data( published)</t>
  </si>
  <si>
    <t>HUES48_p15</t>
  </si>
  <si>
    <t>this report</t>
    <phoneticPr fontId="18" type="noConversion"/>
  </si>
  <si>
    <t>Sample name</t>
  </si>
  <si>
    <t>hES_HUES1_p22</t>
  </si>
  <si>
    <t>hES_HUES28_p17</t>
  </si>
  <si>
    <t>hES_HUES3_p27</t>
  </si>
  <si>
    <t>hES_H1_p25</t>
  </si>
  <si>
    <t>hES_H1_p30</t>
  </si>
  <si>
    <t>hES_H1_p32</t>
  </si>
  <si>
    <t>hES_H1_p34</t>
  </si>
  <si>
    <t>hES_H1_p37</t>
  </si>
  <si>
    <t>hES_H1_p38</t>
  </si>
  <si>
    <t>hES_HUES44_p18</t>
  </si>
  <si>
    <t>hES_HUES49_p17</t>
  </si>
  <si>
    <t>hES_HUES53_p17</t>
  </si>
  <si>
    <t>hES_HUES62_p14</t>
  </si>
  <si>
    <t>hES_H7_p48</t>
  </si>
  <si>
    <t>hES_H9_p58</t>
  </si>
  <si>
    <t>hES_HUES1_p28</t>
  </si>
  <si>
    <t>hES_HUES1_p29</t>
  </si>
  <si>
    <t>hES_HUES48_p19</t>
  </si>
  <si>
    <t>hES_HUES45_p20</t>
  </si>
  <si>
    <t>hES_HUES63_p19</t>
  </si>
  <si>
    <t>hES_HUES64_p19</t>
  </si>
  <si>
    <t>hES_HUES65_p19</t>
  </si>
  <si>
    <t>hES_HUES66_p20</t>
  </si>
  <si>
    <t>hES_HUES8_p27</t>
  </si>
  <si>
    <t>hES_HUES8_p29</t>
  </si>
  <si>
    <t>hES_HUES8_p30</t>
  </si>
  <si>
    <t>hES_HUES9_p21</t>
  </si>
  <si>
    <t>hES_HUES6_p25</t>
  </si>
  <si>
    <t>hiPS_11a_p22</t>
  </si>
  <si>
    <t>hiPS_11b_p13</t>
  </si>
  <si>
    <t>hiPS_20b_p43</t>
  </si>
  <si>
    <t>hiPS_27b_p31</t>
  </si>
  <si>
    <t>hiPS_15b_p27</t>
  </si>
  <si>
    <t>hiPS_17a_p14</t>
  </si>
  <si>
    <t>hiPS_17b_p35</t>
  </si>
  <si>
    <t>hiPS_18a_p30</t>
  </si>
  <si>
    <t>hiPS_18b_p27</t>
  </si>
  <si>
    <t>hiPS_18c_p36</t>
  </si>
  <si>
    <t>hiPS_27e_p32</t>
  </si>
  <si>
    <t>hEB16d_HUES3_p22</t>
  </si>
  <si>
    <t>hEB16d_HUES6_p30</t>
  </si>
  <si>
    <t>hEB16d_HUES8_p40</t>
  </si>
  <si>
    <t>hEB16d_HUES45_p21</t>
  </si>
  <si>
    <t>hEB16d_HUES62_p18</t>
  </si>
  <si>
    <t>hEB16d_15b_p54</t>
  </si>
  <si>
    <t>hEB16d_27e_p44</t>
  </si>
  <si>
    <t>hEB16d_H1_p38</t>
  </si>
  <si>
    <t>hEB16d_H9_p65</t>
  </si>
  <si>
    <t>hEB16d_HUES1_p29</t>
  </si>
  <si>
    <t>hFib_11_p8</t>
  </si>
  <si>
    <t>hFib_15_p7</t>
  </si>
  <si>
    <t>hFib_17_p7</t>
  </si>
  <si>
    <t>hFib_18_p7</t>
  </si>
  <si>
    <t>hFib_20_p7</t>
  </si>
  <si>
    <t>hFib_27_p7</t>
  </si>
  <si>
    <t>Rectal_mucosa_rep1</t>
  </si>
  <si>
    <t>Rectal_smooth_muscle_rep1</t>
  </si>
  <si>
    <t>Skeletal_muscle_rep1</t>
  </si>
  <si>
    <t>Skeletal_muscle_rep2</t>
  </si>
  <si>
    <t>Stomach_smooth_muscle_rep1</t>
  </si>
  <si>
    <t>Human_blood_CD19</t>
  </si>
  <si>
    <t>Human_blood_CD34_rep1</t>
  </si>
  <si>
    <t>Human_blood_CD34_rep2</t>
  </si>
  <si>
    <t>Human_blood_replicate1</t>
  </si>
  <si>
    <t>Human_blood_replicate2</t>
  </si>
  <si>
    <t>Pancreatic_islet_normal</t>
  </si>
  <si>
    <t>NPC_H9_derived</t>
  </si>
  <si>
    <t>CpG</t>
  </si>
  <si>
    <t>CpA</t>
  </si>
  <si>
    <t>CpC</t>
  </si>
  <si>
    <t>CpT</t>
  </si>
  <si>
    <t>hES_HUES13_p47</t>
  </si>
  <si>
    <t>hiPS_11c_p23</t>
  </si>
  <si>
    <t>hES_H9_p58_PB</t>
  </si>
  <si>
    <t>Conversion Rate</t>
  </si>
  <si>
    <t>Source</t>
  </si>
  <si>
    <t>Bock et al. 2011</t>
  </si>
  <si>
    <t>Informative reads (million)</t>
  </si>
  <si>
    <t>uniqueSeqMotifCount (million)</t>
  </si>
  <si>
    <t>globalMethylationMean</t>
  </si>
  <si>
    <t>Conversion HCP</t>
  </si>
  <si>
    <t>Size selection</t>
  </si>
  <si>
    <t>28-200; 80-340;</t>
  </si>
  <si>
    <t>40-160; 90-260;</t>
  </si>
  <si>
    <t>28-150; 50-300;</t>
  </si>
  <si>
    <t>28-200; 80-300;</t>
  </si>
  <si>
    <t>28-160; 80-240;</t>
  </si>
  <si>
    <t>40-160; 70-280;</t>
  </si>
  <si>
    <t>30-140; 90-260;</t>
  </si>
  <si>
    <t>28-180; 90-260;</t>
  </si>
  <si>
    <t>90-260</t>
  </si>
  <si>
    <t>40-160; 80-300;</t>
  </si>
  <si>
    <t>40-160; 40-160; 90-260;</t>
  </si>
  <si>
    <t>80-300; 28-200;</t>
  </si>
  <si>
    <t>90-260; 40-140;</t>
  </si>
  <si>
    <t>HUES48_shDNMT_control_p23</t>
  </si>
  <si>
    <t>HUES48_shDNMT3A_p23</t>
  </si>
  <si>
    <t>H1_shRNA_DNMT3A_1_ctrl_p60</t>
  </si>
  <si>
    <t>H1_shRNA_DNMT3A_p60</t>
  </si>
  <si>
    <t>H1_shRNA_DNMT3B_p60</t>
  </si>
</sst>
</file>

<file path=xl/styles.xml><?xml version="1.0" encoding="utf-8"?>
<styleSheet xmlns="http://schemas.openxmlformats.org/spreadsheetml/2006/main">
  <numFmts count="1">
    <numFmt numFmtId="164" formatCode="0.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Verdana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3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/>
    <xf numFmtId="0" fontId="0" fillId="0" borderId="0" xfId="0" applyFill="1"/>
    <xf numFmtId="0" fontId="16" fillId="0" borderId="0" xfId="0" applyFont="1"/>
    <xf numFmtId="0" fontId="0" fillId="0" borderId="0" xfId="0" applyAlignment="1">
      <alignment horizontal="center"/>
    </xf>
    <xf numFmtId="10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2" fontId="0" fillId="0" borderId="0" xfId="0" applyNumberFormat="1" applyFill="1"/>
    <xf numFmtId="0" fontId="0" fillId="0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1048574"/>
  <sheetViews>
    <sheetView tabSelected="1" workbookViewId="0">
      <pane xSplit="1" topLeftCell="B1" activePane="topRight" state="frozen"/>
      <selection pane="topRight" activeCell="N9" sqref="N9"/>
    </sheetView>
  </sheetViews>
  <sheetFormatPr defaultColWidth="8.85546875" defaultRowHeight="15"/>
  <cols>
    <col min="1" max="1" width="27" customWidth="1"/>
    <col min="2" max="2" width="5.85546875" customWidth="1"/>
    <col min="3" max="3" width="6" customWidth="1"/>
    <col min="4" max="4" width="5.7109375" customWidth="1"/>
    <col min="5" max="5" width="7.42578125" customWidth="1"/>
    <col min="6" max="6" width="6.28515625" customWidth="1"/>
    <col min="7" max="7" width="7.42578125" customWidth="1"/>
    <col min="8" max="8" width="7.7109375" customWidth="1"/>
    <col min="9" max="9" width="8.140625" customWidth="1"/>
    <col min="10" max="10" width="8.42578125" customWidth="1"/>
    <col min="11" max="11" width="7.85546875" customWidth="1"/>
    <col min="12" max="12" width="8.140625" customWidth="1"/>
    <col min="13" max="13" width="9.42578125" customWidth="1"/>
    <col min="14" max="14" width="14.85546875" customWidth="1"/>
    <col min="15" max="15" width="17.7109375" customWidth="1"/>
    <col min="16" max="16" width="13.140625" bestFit="1" customWidth="1"/>
    <col min="17" max="17" width="19.140625" bestFit="1" customWidth="1"/>
  </cols>
  <sheetData>
    <row r="1" spans="1:17">
      <c r="A1" s="5" t="s">
        <v>23</v>
      </c>
      <c r="B1" s="5" t="s">
        <v>101</v>
      </c>
      <c r="C1" s="5"/>
      <c r="D1" s="5"/>
      <c r="E1" s="5"/>
      <c r="F1" s="5" t="s">
        <v>102</v>
      </c>
      <c r="G1" s="5"/>
      <c r="H1" s="5"/>
      <c r="I1" s="5"/>
      <c r="J1" s="5" t="s">
        <v>103</v>
      </c>
      <c r="K1" s="5"/>
      <c r="L1" s="5"/>
      <c r="M1" s="5"/>
      <c r="N1" s="5" t="s">
        <v>98</v>
      </c>
      <c r="O1" s="5" t="s">
        <v>99</v>
      </c>
      <c r="P1" s="5" t="s">
        <v>104</v>
      </c>
      <c r="Q1" s="5" t="s">
        <v>105</v>
      </c>
    </row>
    <row r="2" spans="1:17">
      <c r="B2" s="6" t="s">
        <v>91</v>
      </c>
      <c r="C2" s="6" t="s">
        <v>92</v>
      </c>
      <c r="D2" s="6" t="s">
        <v>93</v>
      </c>
      <c r="E2" s="6" t="s">
        <v>94</v>
      </c>
      <c r="F2" s="6" t="s">
        <v>91</v>
      </c>
      <c r="G2" s="6" t="s">
        <v>92</v>
      </c>
      <c r="H2" s="6" t="s">
        <v>93</v>
      </c>
      <c r="I2" s="6" t="s">
        <v>94</v>
      </c>
      <c r="J2" s="6" t="s">
        <v>91</v>
      </c>
      <c r="K2" s="6" t="s">
        <v>92</v>
      </c>
      <c r="L2" s="6" t="s">
        <v>94</v>
      </c>
      <c r="M2" s="6" t="s">
        <v>93</v>
      </c>
    </row>
    <row r="3" spans="1:17">
      <c r="A3" s="4" t="s">
        <v>24</v>
      </c>
      <c r="B3" s="2">
        <v>25.327044000000001</v>
      </c>
      <c r="C3" s="2">
        <v>21.924218</v>
      </c>
      <c r="D3" s="2">
        <v>20.997218</v>
      </c>
      <c r="E3" s="2">
        <v>22.202946000000001</v>
      </c>
      <c r="F3" s="2">
        <v>3.152409</v>
      </c>
      <c r="G3" s="2">
        <v>3.6922769999999998</v>
      </c>
      <c r="H3" s="2">
        <v>5.0411960000000002</v>
      </c>
      <c r="I3" s="2">
        <v>4.2709530000000004</v>
      </c>
      <c r="J3" s="7">
        <v>0.54172150326299995</v>
      </c>
      <c r="K3" s="7">
        <v>1.9109396350700001E-2</v>
      </c>
      <c r="L3" s="7">
        <v>4.9997679763299999E-3</v>
      </c>
      <c r="M3" s="7">
        <v>2.6101857165200001E-3</v>
      </c>
      <c r="N3" s="7">
        <v>0.99738981428347995</v>
      </c>
      <c r="O3" s="3" t="s">
        <v>100</v>
      </c>
      <c r="P3" s="7">
        <v>0.98309999999999997</v>
      </c>
      <c r="Q3" s="12" t="s">
        <v>112</v>
      </c>
    </row>
    <row r="4" spans="1:17">
      <c r="A4" s="4" t="s">
        <v>39</v>
      </c>
      <c r="B4" s="2">
        <v>41.53519</v>
      </c>
      <c r="C4" s="2">
        <v>36.307296999999998</v>
      </c>
      <c r="D4" s="2">
        <v>34.673054</v>
      </c>
      <c r="E4" s="2">
        <v>37.409708999999999</v>
      </c>
      <c r="F4" s="2">
        <v>3.3085300000000002</v>
      </c>
      <c r="G4" s="2">
        <v>3.8721220000000001</v>
      </c>
      <c r="H4" s="2">
        <v>5.2889220000000003</v>
      </c>
      <c r="I4" s="2">
        <v>4.5487710000000003</v>
      </c>
      <c r="J4" s="7">
        <v>0.56477254561599999</v>
      </c>
      <c r="K4" s="7">
        <v>2.40809710131E-2</v>
      </c>
      <c r="L4" s="7">
        <v>6.4956267596400002E-3</v>
      </c>
      <c r="M4" s="7">
        <v>2.8916692841299998E-3</v>
      </c>
      <c r="N4" s="7">
        <v>0.99710833071587002</v>
      </c>
      <c r="O4" s="53" t="s">
        <v>22</v>
      </c>
      <c r="P4" s="7">
        <v>0.98445000000000005</v>
      </c>
      <c r="Q4" s="12" t="s">
        <v>109</v>
      </c>
    </row>
    <row r="5" spans="1:17">
      <c r="A5" s="4" t="s">
        <v>40</v>
      </c>
      <c r="B5" s="2">
        <v>36.759822</v>
      </c>
      <c r="C5" s="2">
        <v>31.765625</v>
      </c>
      <c r="D5" s="2">
        <v>30.509754999999998</v>
      </c>
      <c r="E5" s="2">
        <v>33.043506000000001</v>
      </c>
      <c r="F5" s="2">
        <v>3.341726</v>
      </c>
      <c r="G5" s="2">
        <v>3.9437160000000002</v>
      </c>
      <c r="H5" s="2">
        <v>5.3912760000000004</v>
      </c>
      <c r="I5" s="2">
        <v>4.6320750000000004</v>
      </c>
      <c r="J5" s="7">
        <v>0.55535053078399998</v>
      </c>
      <c r="K5" s="7">
        <v>1.6755549842600002E-2</v>
      </c>
      <c r="L5" s="7">
        <v>4.6125547869399998E-3</v>
      </c>
      <c r="M5" s="7">
        <v>2.1268728683500001E-3</v>
      </c>
      <c r="N5" s="7">
        <v>0.99787312713165</v>
      </c>
      <c r="O5" s="53" t="s">
        <v>22</v>
      </c>
      <c r="P5" s="7">
        <v>0.99050000000000016</v>
      </c>
      <c r="Q5" s="12" t="s">
        <v>109</v>
      </c>
    </row>
    <row r="6" spans="1:17">
      <c r="A6" s="4" t="s">
        <v>26</v>
      </c>
      <c r="B6" s="2">
        <v>26.812002</v>
      </c>
      <c r="C6" s="2">
        <v>22.233609999999999</v>
      </c>
      <c r="D6" s="2">
        <v>22.390491999999998</v>
      </c>
      <c r="E6" s="2">
        <v>23.540671</v>
      </c>
      <c r="F6" s="2">
        <v>3.246775</v>
      </c>
      <c r="G6" s="2">
        <v>3.982364</v>
      </c>
      <c r="H6" s="2">
        <v>5.5165069999999998</v>
      </c>
      <c r="I6" s="2">
        <v>4.741778</v>
      </c>
      <c r="J6" s="7">
        <v>0.52948401390800004</v>
      </c>
      <c r="K6" s="7">
        <v>2.17489857114E-2</v>
      </c>
      <c r="L6" s="7">
        <v>5.0746336493299998E-3</v>
      </c>
      <c r="M6" s="7">
        <v>1.9196616188599999E-3</v>
      </c>
      <c r="N6" s="7">
        <v>0.99808033838113996</v>
      </c>
      <c r="O6" s="3" t="s">
        <v>100</v>
      </c>
      <c r="P6" s="7">
        <v>0.98470000000000002</v>
      </c>
      <c r="Q6" s="13" t="s">
        <v>112</v>
      </c>
    </row>
    <row r="7" spans="1:17">
      <c r="A7" s="4" t="s">
        <v>51</v>
      </c>
      <c r="B7" s="2">
        <v>28.464466000000002</v>
      </c>
      <c r="C7" s="2">
        <v>24.307592</v>
      </c>
      <c r="D7" s="2">
        <v>24.224917999999999</v>
      </c>
      <c r="E7" s="2">
        <v>25.502976</v>
      </c>
      <c r="F7" s="2">
        <v>3.2464849999999998</v>
      </c>
      <c r="G7" s="2">
        <v>3.8085420000000001</v>
      </c>
      <c r="H7" s="2">
        <v>5.3062849999999999</v>
      </c>
      <c r="I7" s="2">
        <v>4.490113</v>
      </c>
      <c r="J7" s="7">
        <v>0.493452395514</v>
      </c>
      <c r="K7" s="7">
        <v>1.9965400255500001E-2</v>
      </c>
      <c r="L7" s="7">
        <v>4.8075114856499998E-3</v>
      </c>
      <c r="M7" s="7">
        <v>1.84579374367E-3</v>
      </c>
      <c r="N7" s="7">
        <v>0.99815420625633</v>
      </c>
      <c r="O7" s="3" t="s">
        <v>100</v>
      </c>
      <c r="P7" s="7">
        <v>0.98530000000000006</v>
      </c>
      <c r="Q7" s="14" t="s">
        <v>113</v>
      </c>
    </row>
    <row r="8" spans="1:17">
      <c r="A8" s="4" t="s">
        <v>47</v>
      </c>
      <c r="B8" s="2">
        <v>26.389164000000001</v>
      </c>
      <c r="C8" s="2">
        <v>22.300287999999998</v>
      </c>
      <c r="D8" s="2">
        <v>21.870246999999999</v>
      </c>
      <c r="E8" s="2">
        <v>23.398246</v>
      </c>
      <c r="F8" s="2">
        <v>3.2344469999999998</v>
      </c>
      <c r="G8" s="2">
        <v>3.9376129999999998</v>
      </c>
      <c r="H8" s="2">
        <v>5.436795</v>
      </c>
      <c r="I8" s="2">
        <v>4.6679300000000001</v>
      </c>
      <c r="J8" s="7">
        <v>0.53585820760900005</v>
      </c>
      <c r="K8" s="7">
        <v>2.0169654091000001E-2</v>
      </c>
      <c r="L8" s="7">
        <v>4.9305919407799997E-3</v>
      </c>
      <c r="M8" s="7">
        <v>2.0580115369100002E-3</v>
      </c>
      <c r="N8" s="7">
        <v>0.99794198846309001</v>
      </c>
      <c r="O8" s="53" t="s">
        <v>22</v>
      </c>
      <c r="P8" s="7">
        <v>0.98465000000000003</v>
      </c>
      <c r="Q8" s="16" t="s">
        <v>107</v>
      </c>
    </row>
    <row r="9" spans="1:17">
      <c r="A9" s="4" t="s">
        <v>48</v>
      </c>
      <c r="B9" s="2">
        <v>35.062640000000002</v>
      </c>
      <c r="C9" s="2">
        <v>30.467499</v>
      </c>
      <c r="D9" s="2">
        <v>29.078354000000001</v>
      </c>
      <c r="E9" s="2">
        <v>31.720609</v>
      </c>
      <c r="F9" s="2">
        <v>3.2982130000000001</v>
      </c>
      <c r="G9" s="2">
        <v>3.8526009999999999</v>
      </c>
      <c r="H9" s="2">
        <v>5.2309260000000002</v>
      </c>
      <c r="I9" s="2">
        <v>4.5084520000000001</v>
      </c>
      <c r="J9" s="7">
        <v>0.57084300913700003</v>
      </c>
      <c r="K9" s="7">
        <v>1.48614890949E-2</v>
      </c>
      <c r="L9" s="7">
        <v>3.4221393066499999E-3</v>
      </c>
      <c r="M9" s="7">
        <v>1.2276798407299999E-3</v>
      </c>
      <c r="N9" s="7">
        <v>0.99877232015926998</v>
      </c>
      <c r="O9" s="53" t="s">
        <v>22</v>
      </c>
      <c r="P9" s="7">
        <v>0.99019999999999997</v>
      </c>
      <c r="Q9" s="16" t="s">
        <v>109</v>
      </c>
    </row>
    <row r="10" spans="1:17">
      <c r="A10" s="4" t="s">
        <v>49</v>
      </c>
      <c r="B10" s="2">
        <v>33.947518000000002</v>
      </c>
      <c r="C10" s="2">
        <v>29.633571</v>
      </c>
      <c r="D10" s="2">
        <v>28.24916</v>
      </c>
      <c r="E10" s="2">
        <v>30.795203000000001</v>
      </c>
      <c r="F10" s="2">
        <v>3.2559429999999998</v>
      </c>
      <c r="G10" s="2">
        <v>3.7710699999999999</v>
      </c>
      <c r="H10" s="2">
        <v>5.0667280000000003</v>
      </c>
      <c r="I10" s="2">
        <v>4.3975419999999996</v>
      </c>
      <c r="J10" s="7">
        <v>0.58570277824000005</v>
      </c>
      <c r="K10" s="7">
        <v>1.50357254388E-2</v>
      </c>
      <c r="L10" s="7">
        <v>3.47414140475E-3</v>
      </c>
      <c r="M10" s="7">
        <v>1.2660618223400001E-3</v>
      </c>
      <c r="N10" s="7">
        <v>0.99873393817765999</v>
      </c>
      <c r="O10" s="3" t="s">
        <v>100</v>
      </c>
      <c r="P10" s="7">
        <v>0.98940000000000017</v>
      </c>
      <c r="Q10" s="16" t="s">
        <v>109</v>
      </c>
    </row>
    <row r="11" spans="1:17">
      <c r="A11" s="4" t="s">
        <v>50</v>
      </c>
      <c r="B11" s="2">
        <v>21.222787</v>
      </c>
      <c r="C11" s="2">
        <v>17.978469</v>
      </c>
      <c r="D11" s="2">
        <v>18.099544999999999</v>
      </c>
      <c r="E11" s="2">
        <v>18.904508</v>
      </c>
      <c r="F11" s="2">
        <v>3.2102979999999999</v>
      </c>
      <c r="G11" s="2">
        <v>3.8411680000000001</v>
      </c>
      <c r="H11" s="2">
        <v>5.3207380000000004</v>
      </c>
      <c r="I11" s="2">
        <v>4.5617270000000003</v>
      </c>
      <c r="J11" s="7">
        <v>0.51119600660099995</v>
      </c>
      <c r="K11" s="7">
        <v>2.0856204173699999E-2</v>
      </c>
      <c r="L11" s="7">
        <v>4.8416571720199999E-3</v>
      </c>
      <c r="M11" s="7">
        <v>1.8474004105200001E-3</v>
      </c>
      <c r="N11" s="7">
        <v>0.99815259958947999</v>
      </c>
      <c r="O11" s="3" t="s">
        <v>100</v>
      </c>
      <c r="P11" s="7">
        <v>0.98724999999999996</v>
      </c>
      <c r="Q11" s="15" t="s">
        <v>107</v>
      </c>
    </row>
    <row r="12" spans="1:17">
      <c r="A12" s="4" t="s">
        <v>95</v>
      </c>
      <c r="B12" s="2">
        <v>55.247276999999997</v>
      </c>
      <c r="C12" s="2">
        <v>43.923842999999998</v>
      </c>
      <c r="D12" s="2">
        <v>42.548485999999997</v>
      </c>
      <c r="E12" s="2">
        <v>47.295031999999999</v>
      </c>
      <c r="F12" s="2">
        <v>3.4845329999999999</v>
      </c>
      <c r="G12" s="2">
        <v>4.1623260000000002</v>
      </c>
      <c r="H12" s="2">
        <v>5.8196849999999998</v>
      </c>
      <c r="I12" s="2">
        <v>4.9967990000000002</v>
      </c>
      <c r="J12" s="7">
        <v>0.56298979787199999</v>
      </c>
      <c r="K12" s="7">
        <v>3.4262902009999999E-2</v>
      </c>
      <c r="L12" s="7">
        <v>6.7129725357500001E-3</v>
      </c>
      <c r="M12" s="7">
        <v>1.89548568651E-3</v>
      </c>
      <c r="N12" s="7">
        <v>0.99810451431349001</v>
      </c>
      <c r="O12" s="3" t="s">
        <v>100</v>
      </c>
      <c r="P12" s="7">
        <v>0.9709350000000001</v>
      </c>
      <c r="Q12" s="17" t="s">
        <v>108</v>
      </c>
    </row>
    <row r="13" spans="1:17">
      <c r="A13" s="4" t="s">
        <v>25</v>
      </c>
      <c r="B13" s="2">
        <v>28.403341999999999</v>
      </c>
      <c r="C13" s="2">
        <v>24.009111999999998</v>
      </c>
      <c r="D13" s="2">
        <v>23.980595000000001</v>
      </c>
      <c r="E13" s="2">
        <v>24.977913000000001</v>
      </c>
      <c r="F13" s="2">
        <v>3.223166</v>
      </c>
      <c r="G13" s="2">
        <v>3.8355169999999998</v>
      </c>
      <c r="H13" s="2">
        <v>5.3154019999999997</v>
      </c>
      <c r="I13" s="2">
        <v>4.5515090000000002</v>
      </c>
      <c r="J13" s="7">
        <v>0.49215541034900001</v>
      </c>
      <c r="K13" s="7">
        <v>1.9767964003300002E-2</v>
      </c>
      <c r="L13" s="7">
        <v>5.28681573102E-3</v>
      </c>
      <c r="M13" s="7">
        <v>2.5811850451499998E-3</v>
      </c>
      <c r="N13" s="7">
        <v>0.99741881495484996</v>
      </c>
      <c r="O13" s="3" t="s">
        <v>100</v>
      </c>
      <c r="P13" s="7">
        <v>0.98819999999999997</v>
      </c>
      <c r="Q13" s="8" t="s">
        <v>107</v>
      </c>
    </row>
    <row r="14" spans="1:17">
      <c r="A14" t="s">
        <v>33</v>
      </c>
      <c r="B14" s="2">
        <v>28.911318999999999</v>
      </c>
      <c r="C14" s="2">
        <v>23.921278000000001</v>
      </c>
      <c r="D14" s="2">
        <v>23.363295999999998</v>
      </c>
      <c r="E14" s="2">
        <v>25.578696999999998</v>
      </c>
      <c r="F14" s="2">
        <v>3.206016</v>
      </c>
      <c r="G14" s="2">
        <v>3.7658740000000002</v>
      </c>
      <c r="H14" s="2">
        <v>5.2272150000000002</v>
      </c>
      <c r="I14" s="2">
        <v>4.4715990000000003</v>
      </c>
      <c r="J14" s="7">
        <v>0.541602951773</v>
      </c>
      <c r="K14" s="7">
        <v>1.7649475366399998E-2</v>
      </c>
      <c r="L14" s="7">
        <v>4.5792180622899999E-3</v>
      </c>
      <c r="M14" s="7">
        <v>2.5141887950400001E-3</v>
      </c>
      <c r="N14" s="7">
        <v>0.99748581120496005</v>
      </c>
      <c r="O14" s="3" t="s">
        <v>100</v>
      </c>
      <c r="P14" s="7">
        <v>0.98795500000000003</v>
      </c>
      <c r="Q14" s="8" t="s">
        <v>107</v>
      </c>
    </row>
    <row r="15" spans="1:17">
      <c r="A15" t="s">
        <v>42</v>
      </c>
      <c r="B15" s="2">
        <v>27.077418999999999</v>
      </c>
      <c r="C15" s="2">
        <v>22.242991</v>
      </c>
      <c r="D15" s="2">
        <v>22.290136</v>
      </c>
      <c r="E15" s="2">
        <v>23.635407000000001</v>
      </c>
      <c r="F15" s="2">
        <v>3.1613950000000002</v>
      </c>
      <c r="G15" s="2">
        <v>3.6723469999999998</v>
      </c>
      <c r="H15" s="2">
        <v>5.1322299999999998</v>
      </c>
      <c r="I15" s="2">
        <v>4.3879409999999996</v>
      </c>
      <c r="J15" s="7">
        <v>0.49953412631999999</v>
      </c>
      <c r="K15" s="7">
        <v>1.5632488317800002E-2</v>
      </c>
      <c r="L15" s="7">
        <v>4.1018905475499997E-3</v>
      </c>
      <c r="M15" s="7">
        <v>2.28056856317E-3</v>
      </c>
      <c r="N15" s="7">
        <v>0.99771943143682995</v>
      </c>
      <c r="O15" s="3" t="s">
        <v>100</v>
      </c>
      <c r="P15" s="7">
        <v>0.98819999999999997</v>
      </c>
      <c r="Q15" s="18" t="s">
        <v>107</v>
      </c>
    </row>
    <row r="16" spans="1:17">
      <c r="A16" t="s">
        <v>41</v>
      </c>
      <c r="B16" s="2">
        <v>26.812003000000001</v>
      </c>
      <c r="C16" s="2">
        <v>22.233611</v>
      </c>
      <c r="D16" s="2">
        <v>22.390492999999999</v>
      </c>
      <c r="E16" s="2">
        <v>23.540672000000001</v>
      </c>
      <c r="F16" s="2">
        <v>3.2467769999999998</v>
      </c>
      <c r="G16" s="2">
        <v>3.9823659999999999</v>
      </c>
      <c r="H16" s="2">
        <v>5.5165100000000002</v>
      </c>
      <c r="I16" s="2">
        <v>4.7417809999999996</v>
      </c>
      <c r="J16" s="7">
        <v>0.53052565173900001</v>
      </c>
      <c r="K16" s="7">
        <v>2.1813558321400001E-2</v>
      </c>
      <c r="L16" s="7">
        <v>5.0987553207900004E-3</v>
      </c>
      <c r="M16" s="7">
        <v>1.92380774383E-3</v>
      </c>
      <c r="N16" s="7">
        <v>0.99807619225616995</v>
      </c>
      <c r="O16" s="3" t="s">
        <v>100</v>
      </c>
      <c r="P16" s="7">
        <v>0.991035</v>
      </c>
      <c r="Q16" s="18" t="s">
        <v>107</v>
      </c>
    </row>
    <row r="17" spans="1:17">
      <c r="A17" t="s">
        <v>34</v>
      </c>
      <c r="B17" s="2">
        <v>43.363388</v>
      </c>
      <c r="C17" s="2">
        <v>36.794507000000003</v>
      </c>
      <c r="D17" s="2">
        <v>35.275255000000001</v>
      </c>
      <c r="E17" s="2">
        <v>38.721850000000003</v>
      </c>
      <c r="F17" s="2">
        <v>3.2599749999999998</v>
      </c>
      <c r="G17" s="2">
        <v>3.9573320000000001</v>
      </c>
      <c r="H17" s="2">
        <v>5.378374</v>
      </c>
      <c r="I17" s="2">
        <v>4.6125629999999997</v>
      </c>
      <c r="J17" s="7">
        <v>0.56427329984499996</v>
      </c>
      <c r="K17" s="7">
        <v>2.4978549550799999E-2</v>
      </c>
      <c r="L17" s="7">
        <v>7.1215264846500002E-3</v>
      </c>
      <c r="M17" s="7">
        <v>3.3293052243199999E-3</v>
      </c>
      <c r="N17" s="7">
        <v>0.99667069477568004</v>
      </c>
      <c r="O17" s="3" t="s">
        <v>100</v>
      </c>
      <c r="P17" s="7">
        <v>0.98455000000000004</v>
      </c>
      <c r="Q17" s="18" t="s">
        <v>107</v>
      </c>
    </row>
    <row r="18" spans="1:17">
      <c r="A18" t="s">
        <v>35</v>
      </c>
      <c r="B18" s="2">
        <v>19.899325000000001</v>
      </c>
      <c r="C18" s="2">
        <v>16.484950000000001</v>
      </c>
      <c r="D18" s="2">
        <v>17.160978</v>
      </c>
      <c r="E18" s="2">
        <v>17.507641</v>
      </c>
      <c r="F18" s="2">
        <v>2.9884119999999998</v>
      </c>
      <c r="G18" s="2">
        <v>3.3270170000000001</v>
      </c>
      <c r="H18" s="2">
        <v>4.6919950000000004</v>
      </c>
      <c r="I18" s="2">
        <v>3.982704</v>
      </c>
      <c r="J18" s="7">
        <v>0.44242922410199997</v>
      </c>
      <c r="K18" s="7">
        <v>1.98614742132E-2</v>
      </c>
      <c r="L18" s="7">
        <v>5.7454607451300002E-3</v>
      </c>
      <c r="M18" s="7">
        <v>2.6433332965199998E-3</v>
      </c>
      <c r="N18" s="7">
        <v>0.99735666670348</v>
      </c>
      <c r="O18" s="3" t="s">
        <v>100</v>
      </c>
      <c r="P18" s="7">
        <v>0.98975000000000013</v>
      </c>
      <c r="Q18" s="18" t="s">
        <v>107</v>
      </c>
    </row>
    <row r="19" spans="1:17">
      <c r="A19" t="s">
        <v>36</v>
      </c>
      <c r="B19" s="2">
        <v>29.782978</v>
      </c>
      <c r="C19" s="2">
        <v>24.907458999999999</v>
      </c>
      <c r="D19" s="2">
        <v>24.525855</v>
      </c>
      <c r="E19" s="2">
        <v>26.349432</v>
      </c>
      <c r="F19" s="2">
        <v>3.1451020000000001</v>
      </c>
      <c r="G19" s="2">
        <v>3.6345730000000001</v>
      </c>
      <c r="H19" s="2">
        <v>5.0498589999999997</v>
      </c>
      <c r="I19" s="2">
        <v>4.336144</v>
      </c>
      <c r="J19" s="7">
        <v>0.54246414717900004</v>
      </c>
      <c r="K19" s="7">
        <v>8.6115769515100003E-3</v>
      </c>
      <c r="L19" s="7">
        <v>3.71004836358E-3</v>
      </c>
      <c r="M19" s="7">
        <v>2.3491552880200001E-3</v>
      </c>
      <c r="N19" s="7">
        <v>0.99765084471197996</v>
      </c>
      <c r="O19" s="3" t="s">
        <v>100</v>
      </c>
      <c r="P19" s="7">
        <v>0.99180000000000001</v>
      </c>
      <c r="Q19" s="19" t="s">
        <v>107</v>
      </c>
    </row>
    <row r="20" spans="1:17">
      <c r="A20" t="s">
        <v>43</v>
      </c>
      <c r="B20" s="2">
        <v>13.123098000000001</v>
      </c>
      <c r="C20" s="2">
        <v>10.55851</v>
      </c>
      <c r="D20" s="2">
        <v>11.168990000000001</v>
      </c>
      <c r="E20" s="2">
        <v>11.341927999999999</v>
      </c>
      <c r="F20" s="2">
        <v>2.0819700000000001</v>
      </c>
      <c r="G20" s="2">
        <v>2.1764770000000002</v>
      </c>
      <c r="H20" s="2">
        <v>3.2722869999999999</v>
      </c>
      <c r="I20" s="2">
        <v>2.6815250000000002</v>
      </c>
      <c r="J20" s="7">
        <v>0.57376767977999998</v>
      </c>
      <c r="K20" s="7">
        <v>1.8405288540100002E-2</v>
      </c>
      <c r="L20" s="7">
        <v>4.6198754471599998E-3</v>
      </c>
      <c r="M20" s="7">
        <v>1.8992739343699999E-3</v>
      </c>
      <c r="N20" s="7">
        <v>0.99810072606563005</v>
      </c>
      <c r="O20" s="3" t="s">
        <v>100</v>
      </c>
      <c r="P20" s="7">
        <v>0.9939865</v>
      </c>
      <c r="Q20" s="20" t="s">
        <v>114</v>
      </c>
    </row>
    <row r="21" spans="1:17">
      <c r="A21" t="s">
        <v>44</v>
      </c>
      <c r="B21" s="2">
        <v>29.051352000000001</v>
      </c>
      <c r="C21" s="2">
        <v>24.435597000000001</v>
      </c>
      <c r="D21" s="2">
        <v>24.163888</v>
      </c>
      <c r="E21" s="2">
        <v>25.672032000000002</v>
      </c>
      <c r="F21" s="2">
        <v>3.1130979999999999</v>
      </c>
      <c r="G21" s="2">
        <v>3.568333</v>
      </c>
      <c r="H21" s="2">
        <v>4.9307530000000002</v>
      </c>
      <c r="I21" s="2">
        <v>4.2225679999999999</v>
      </c>
      <c r="J21" s="7">
        <v>0.53094056681099999</v>
      </c>
      <c r="K21" s="7">
        <v>1.7870233777800001E-2</v>
      </c>
      <c r="L21" s="7">
        <v>7.2619086367400002E-3</v>
      </c>
      <c r="M21" s="7">
        <v>4.3275118108599998E-3</v>
      </c>
      <c r="N21" s="7">
        <v>0.99567248818914</v>
      </c>
      <c r="O21" s="3" t="s">
        <v>100</v>
      </c>
      <c r="P21" s="7">
        <v>0.98914000000000002</v>
      </c>
      <c r="Q21" s="21" t="s">
        <v>107</v>
      </c>
    </row>
    <row r="22" spans="1:17">
      <c r="A22" t="s">
        <v>45</v>
      </c>
      <c r="B22" s="2">
        <v>24.445492000000002</v>
      </c>
      <c r="C22" s="2">
        <v>20.264807000000001</v>
      </c>
      <c r="D22" s="2">
        <v>20.485057000000001</v>
      </c>
      <c r="E22" s="2">
        <v>21.510961999999999</v>
      </c>
      <c r="F22" s="2">
        <v>3.1469559999999999</v>
      </c>
      <c r="G22" s="2">
        <v>3.7668979999999999</v>
      </c>
      <c r="H22" s="2">
        <v>5.2358000000000002</v>
      </c>
      <c r="I22" s="2">
        <v>4.4937339999999999</v>
      </c>
      <c r="J22" s="7">
        <v>0.423340178121</v>
      </c>
      <c r="K22" s="7">
        <v>2.3227773498900001E-2</v>
      </c>
      <c r="L22" s="7">
        <v>6.2591413015399998E-3</v>
      </c>
      <c r="M22" s="7">
        <v>2.5086687079899999E-3</v>
      </c>
      <c r="N22" s="7">
        <v>0.99749133129200995</v>
      </c>
      <c r="O22" s="3" t="s">
        <v>100</v>
      </c>
      <c r="P22" s="7">
        <v>0.9919</v>
      </c>
      <c r="Q22" s="21" t="s">
        <v>107</v>
      </c>
    </row>
    <row r="23" spans="1:17">
      <c r="A23" t="s">
        <v>46</v>
      </c>
      <c r="B23" s="2">
        <v>13.342219999999999</v>
      </c>
      <c r="C23" s="2">
        <v>10.643178000000001</v>
      </c>
      <c r="D23" s="2">
        <v>11.405184999999999</v>
      </c>
      <c r="E23" s="2">
        <v>11.454682999999999</v>
      </c>
      <c r="F23" s="2">
        <v>2.1116389999999998</v>
      </c>
      <c r="G23" s="2">
        <v>2.1585429999999999</v>
      </c>
      <c r="H23" s="2">
        <v>3.3336269999999999</v>
      </c>
      <c r="I23" s="2">
        <v>2.68689</v>
      </c>
      <c r="J23" s="7">
        <v>0.39685625812100001</v>
      </c>
      <c r="K23" s="7">
        <v>1.25954261527E-2</v>
      </c>
      <c r="L23" s="7">
        <v>6.58474357442E-3</v>
      </c>
      <c r="M23" s="7">
        <v>4.6438285708400003E-3</v>
      </c>
      <c r="N23" s="7">
        <v>0.99535617142916</v>
      </c>
      <c r="O23" s="3" t="s">
        <v>100</v>
      </c>
      <c r="P23" s="7">
        <v>0.98624999999999996</v>
      </c>
      <c r="Q23" s="21" t="s">
        <v>115</v>
      </c>
    </row>
    <row r="24" spans="1:17">
      <c r="A24" s="4" t="s">
        <v>27</v>
      </c>
      <c r="B24" s="2">
        <v>35.502161999999998</v>
      </c>
      <c r="C24" s="2">
        <v>30.620972999999999</v>
      </c>
      <c r="D24" s="2">
        <v>29.717312</v>
      </c>
      <c r="E24" s="2">
        <v>32.181533999999999</v>
      </c>
      <c r="F24" s="2">
        <v>3.4692409999999998</v>
      </c>
      <c r="G24" s="2">
        <v>4.1305379999999996</v>
      </c>
      <c r="H24" s="2">
        <v>5.7576559999999999</v>
      </c>
      <c r="I24" s="2">
        <v>4.9366770000000004</v>
      </c>
      <c r="J24" s="7">
        <v>0.530845030454</v>
      </c>
      <c r="K24" s="7">
        <v>2.6974519079499999E-2</v>
      </c>
      <c r="L24" s="7">
        <v>7.1624276572400001E-3</v>
      </c>
      <c r="M24" s="7">
        <v>3.1513280216099999E-3</v>
      </c>
      <c r="N24" s="7">
        <v>0.99684867197839</v>
      </c>
      <c r="O24" s="53" t="s">
        <v>22</v>
      </c>
      <c r="P24" s="7">
        <v>0.98194999999999988</v>
      </c>
      <c r="Q24" s="9" t="s">
        <v>106</v>
      </c>
    </row>
    <row r="25" spans="1:17">
      <c r="A25" s="4" t="s">
        <v>28</v>
      </c>
      <c r="B25" s="2">
        <v>29.247848000000001</v>
      </c>
      <c r="C25" s="2">
        <v>22.698888</v>
      </c>
      <c r="D25" s="2">
        <v>22.964005</v>
      </c>
      <c r="E25" s="2">
        <v>24.765984</v>
      </c>
      <c r="F25" s="2">
        <v>3.387985</v>
      </c>
      <c r="G25" s="2">
        <v>3.9942389999999999</v>
      </c>
      <c r="H25" s="2">
        <v>5.8822979999999996</v>
      </c>
      <c r="I25" s="2">
        <v>5.0083089999999997</v>
      </c>
      <c r="J25" s="7">
        <v>0.499869921898</v>
      </c>
      <c r="K25" s="7">
        <v>2.03920155393E-2</v>
      </c>
      <c r="L25" s="7">
        <v>6.3374454027999997E-3</v>
      </c>
      <c r="M25" s="7">
        <v>3.3757819696900002E-3</v>
      </c>
      <c r="N25" s="7">
        <v>0.99662421803030998</v>
      </c>
      <c r="O25" s="53" t="s">
        <v>22</v>
      </c>
      <c r="P25" s="7">
        <v>0.97269000000000005</v>
      </c>
      <c r="Q25" s="9" t="s">
        <v>107</v>
      </c>
    </row>
    <row r="26" spans="1:17">
      <c r="A26" s="4" t="s">
        <v>29</v>
      </c>
      <c r="B26" s="2">
        <v>29.00611</v>
      </c>
      <c r="C26" s="2">
        <v>24.565707</v>
      </c>
      <c r="D26" s="2">
        <v>23.919111999999998</v>
      </c>
      <c r="E26" s="2">
        <v>26.051044999999998</v>
      </c>
      <c r="F26" s="2">
        <v>3.2167789999999998</v>
      </c>
      <c r="G26" s="2">
        <v>3.8618999999999999</v>
      </c>
      <c r="H26" s="2">
        <v>5.316122</v>
      </c>
      <c r="I26" s="2">
        <v>4.5686879999999999</v>
      </c>
      <c r="J26" s="7">
        <v>0.55294592419999999</v>
      </c>
      <c r="K26" s="7">
        <v>2.1004507584399999E-2</v>
      </c>
      <c r="L26" s="7">
        <v>4.93263335767E-3</v>
      </c>
      <c r="M26" s="7">
        <v>1.96748950737E-3</v>
      </c>
      <c r="N26" s="7">
        <v>0.99803251049262998</v>
      </c>
      <c r="O26" s="53" t="s">
        <v>22</v>
      </c>
      <c r="P26" s="7">
        <v>0.98629999999999995</v>
      </c>
      <c r="Q26" s="9" t="s">
        <v>107</v>
      </c>
    </row>
    <row r="27" spans="1:17">
      <c r="A27" s="4" t="s">
        <v>30</v>
      </c>
      <c r="B27" s="2">
        <v>47.118357000000003</v>
      </c>
      <c r="C27" s="2">
        <v>38.728904</v>
      </c>
      <c r="D27" s="2">
        <v>37.660645000000002</v>
      </c>
      <c r="E27" s="2">
        <v>41.458781999999999</v>
      </c>
      <c r="F27" s="2">
        <v>3.4237570000000002</v>
      </c>
      <c r="G27" s="2">
        <v>4.1449220000000002</v>
      </c>
      <c r="H27" s="2">
        <v>5.7689779999999997</v>
      </c>
      <c r="I27" s="2">
        <v>4.9435960000000003</v>
      </c>
      <c r="J27" s="7">
        <v>0.55403449820600004</v>
      </c>
      <c r="K27" s="7">
        <v>1.36880965305E-2</v>
      </c>
      <c r="L27" s="7">
        <v>3.5627681173799998E-3</v>
      </c>
      <c r="M27" s="7">
        <v>1.6750484364100001E-3</v>
      </c>
      <c r="N27" s="7">
        <v>0.99832495156359002</v>
      </c>
      <c r="O27" s="53" t="s">
        <v>22</v>
      </c>
      <c r="P27" s="7">
        <v>0.98304999999999998</v>
      </c>
      <c r="Q27" s="9" t="s">
        <v>108</v>
      </c>
    </row>
    <row r="28" spans="1:17">
      <c r="A28" s="4" t="s">
        <v>31</v>
      </c>
      <c r="B28" s="2">
        <v>43.767563000000003</v>
      </c>
      <c r="C28" s="2">
        <v>41.167205000000003</v>
      </c>
      <c r="D28" s="2">
        <v>38.961018000000003</v>
      </c>
      <c r="E28" s="2">
        <v>42.532899</v>
      </c>
      <c r="F28" s="2">
        <v>3.3866969999999998</v>
      </c>
      <c r="G28" s="2">
        <v>4.1173770000000003</v>
      </c>
      <c r="H28" s="2">
        <v>5.7132839999999998</v>
      </c>
      <c r="I28" s="2">
        <v>4.9875160000000003</v>
      </c>
      <c r="J28" s="7">
        <v>0.55718356516500001</v>
      </c>
      <c r="K28" s="7">
        <v>1.6645343444999999E-2</v>
      </c>
      <c r="L28" s="7">
        <v>3.7933821338899999E-3</v>
      </c>
      <c r="M28" s="7">
        <v>1.41304902576E-3</v>
      </c>
      <c r="N28" s="7">
        <v>0.99858695097424</v>
      </c>
      <c r="O28" s="53" t="s">
        <v>22</v>
      </c>
      <c r="P28" s="7">
        <v>0.99011499999999997</v>
      </c>
      <c r="Q28" s="9" t="s">
        <v>109</v>
      </c>
    </row>
    <row r="29" spans="1:17">
      <c r="A29" s="4" t="s">
        <v>32</v>
      </c>
      <c r="B29" s="2">
        <v>52.545549000000001</v>
      </c>
      <c r="C29" s="2">
        <v>43.630865</v>
      </c>
      <c r="D29" s="2">
        <v>42.428412999999999</v>
      </c>
      <c r="E29" s="2">
        <v>44.682093999999999</v>
      </c>
      <c r="F29" s="2">
        <v>3.3843700000000001</v>
      </c>
      <c r="G29" s="2">
        <v>3.9175740000000001</v>
      </c>
      <c r="H29" s="2">
        <v>5.3530340000000001</v>
      </c>
      <c r="I29" s="2">
        <v>4.6321529999999997</v>
      </c>
      <c r="J29" s="7">
        <v>0.534859800808</v>
      </c>
      <c r="K29" s="7">
        <v>1.33459349892E-2</v>
      </c>
      <c r="L29" s="7">
        <v>2.9902626202499998E-3</v>
      </c>
      <c r="M29" s="7">
        <v>1.09666596657E-3</v>
      </c>
      <c r="N29" s="7">
        <v>0.99890333403343001</v>
      </c>
      <c r="O29" s="3" t="s">
        <v>100</v>
      </c>
      <c r="P29" s="7">
        <v>0.99039999999999995</v>
      </c>
      <c r="Q29" s="9" t="s">
        <v>109</v>
      </c>
    </row>
    <row r="30" spans="1:17">
      <c r="A30" s="4" t="s">
        <v>37</v>
      </c>
      <c r="B30" s="2">
        <v>32.470278</v>
      </c>
      <c r="C30" s="2">
        <v>27.419608</v>
      </c>
      <c r="D30" s="2">
        <v>26.264220000000002</v>
      </c>
      <c r="E30" s="2">
        <v>29.133336</v>
      </c>
      <c r="F30" s="2">
        <v>3.153899</v>
      </c>
      <c r="G30" s="2">
        <v>3.6481870000000001</v>
      </c>
      <c r="H30" s="2">
        <v>5.0018820000000002</v>
      </c>
      <c r="I30" s="2">
        <v>4.2780810000000002</v>
      </c>
      <c r="J30" s="7">
        <v>0.55220624490500003</v>
      </c>
      <c r="K30" s="7">
        <v>1.42324276199E-2</v>
      </c>
      <c r="L30" s="7">
        <v>5.8524483173900002E-3</v>
      </c>
      <c r="M30" s="7">
        <v>3.6377090538800001E-3</v>
      </c>
      <c r="N30" s="7">
        <v>0.99636229094612005</v>
      </c>
      <c r="O30" s="3" t="s">
        <v>100</v>
      </c>
      <c r="P30" s="7">
        <v>0.98715000000000008</v>
      </c>
      <c r="Q30" s="11" t="s">
        <v>111</v>
      </c>
    </row>
    <row r="31" spans="1:17">
      <c r="A31" s="4" t="s">
        <v>38</v>
      </c>
      <c r="B31" s="2">
        <v>44.272832000000001</v>
      </c>
      <c r="C31" s="2">
        <v>35.350189</v>
      </c>
      <c r="D31" s="2">
        <v>34.563183000000002</v>
      </c>
      <c r="E31" s="2">
        <v>37.881943</v>
      </c>
      <c r="F31" s="2">
        <v>3.4076529999999998</v>
      </c>
      <c r="G31" s="2">
        <v>4.0732730000000004</v>
      </c>
      <c r="H31" s="2">
        <v>5.7064339999999998</v>
      </c>
      <c r="I31" s="2">
        <v>4.8748060000000004</v>
      </c>
      <c r="J31" s="7">
        <v>0.56273421368099996</v>
      </c>
      <c r="K31" s="7">
        <v>1.5642023566700001E-2</v>
      </c>
      <c r="L31" s="7">
        <v>3.9612300467100001E-3</v>
      </c>
      <c r="M31" s="7">
        <v>1.8784130083300001E-3</v>
      </c>
      <c r="N31" s="7">
        <v>0.99812158699166997</v>
      </c>
      <c r="O31" s="3" t="s">
        <v>100</v>
      </c>
      <c r="P31" s="7">
        <v>0.98009999999999986</v>
      </c>
      <c r="Q31" s="10" t="s">
        <v>108</v>
      </c>
    </row>
    <row r="32" spans="1:17">
      <c r="A32" s="4" t="s">
        <v>97</v>
      </c>
      <c r="B32" s="2">
        <v>55.652484999999999</v>
      </c>
      <c r="C32" s="2">
        <v>44.375239999999998</v>
      </c>
      <c r="D32" s="2">
        <v>43.436447000000001</v>
      </c>
      <c r="E32" s="2">
        <v>47.882514999999998</v>
      </c>
      <c r="F32" s="2">
        <v>3.332363</v>
      </c>
      <c r="G32" s="2">
        <v>3.9937420000000001</v>
      </c>
      <c r="H32" s="2">
        <v>5.72004</v>
      </c>
      <c r="I32" s="2">
        <v>4.8713870000000004</v>
      </c>
      <c r="J32" s="7">
        <v>0.55380718323599998</v>
      </c>
      <c r="K32" s="7">
        <v>1.4376208940199999E-2</v>
      </c>
      <c r="L32" s="7">
        <v>3.0234437321199998E-3</v>
      </c>
      <c r="M32" s="7">
        <v>1.23989933022E-3</v>
      </c>
      <c r="N32" s="7">
        <v>0.99876010066978005</v>
      </c>
      <c r="O32" s="53" t="s">
        <v>22</v>
      </c>
      <c r="P32" s="7">
        <v>0.98109999999999997</v>
      </c>
      <c r="Q32" s="10" t="s">
        <v>110</v>
      </c>
    </row>
    <row r="33" spans="1:17">
      <c r="A33" t="s">
        <v>52</v>
      </c>
      <c r="B33" s="2">
        <v>14.224898</v>
      </c>
      <c r="C33" s="2">
        <v>11.807133</v>
      </c>
      <c r="D33" s="2">
        <v>12.476588</v>
      </c>
      <c r="E33" s="2">
        <v>13.364659</v>
      </c>
      <c r="F33" s="2">
        <v>3.2224089999999999</v>
      </c>
      <c r="G33" s="2">
        <v>3.9890750000000001</v>
      </c>
      <c r="H33" s="2">
        <v>5.9064519999999998</v>
      </c>
      <c r="I33" s="2">
        <v>4.9741590000000002</v>
      </c>
      <c r="J33" s="7">
        <v>0.524069547912</v>
      </c>
      <c r="K33" s="7">
        <v>3.4650735693300003E-2</v>
      </c>
      <c r="L33" s="7">
        <v>8.2131673054799993E-3</v>
      </c>
      <c r="M33" s="7">
        <v>3.73440083892E-3</v>
      </c>
      <c r="N33" s="7">
        <v>0.99626559916108004</v>
      </c>
      <c r="O33" s="3" t="s">
        <v>100</v>
      </c>
      <c r="P33" s="7">
        <v>0.97450000000000003</v>
      </c>
      <c r="Q33" s="22" t="s">
        <v>116</v>
      </c>
    </row>
    <row r="34" spans="1:17">
      <c r="A34" t="s">
        <v>53</v>
      </c>
      <c r="B34" s="2">
        <v>15.727646999999999</v>
      </c>
      <c r="C34" s="2">
        <v>12.362081</v>
      </c>
      <c r="D34" s="2">
        <v>12.929563</v>
      </c>
      <c r="E34" s="2">
        <v>13.985144999999999</v>
      </c>
      <c r="F34" s="2">
        <v>2.7727550000000001</v>
      </c>
      <c r="G34" s="2">
        <v>2.864792</v>
      </c>
      <c r="H34" s="2">
        <v>4.2025629999999996</v>
      </c>
      <c r="I34" s="2">
        <v>3.5418419999999999</v>
      </c>
      <c r="J34" s="7">
        <v>0.51739390018300002</v>
      </c>
      <c r="K34" s="7">
        <v>2.9008164296300001E-3</v>
      </c>
      <c r="L34" s="7">
        <v>9.6616068237700004E-4</v>
      </c>
      <c r="M34" s="7">
        <v>1.2684562142999999E-3</v>
      </c>
      <c r="N34" s="7">
        <v>0.99873154378569995</v>
      </c>
      <c r="O34" s="3" t="s">
        <v>100</v>
      </c>
      <c r="P34" s="7">
        <v>0.98945000000000005</v>
      </c>
      <c r="Q34" s="22" t="s">
        <v>107</v>
      </c>
    </row>
    <row r="35" spans="1:17">
      <c r="A35" t="s">
        <v>96</v>
      </c>
      <c r="B35" s="2">
        <v>28.014047000000001</v>
      </c>
      <c r="C35" s="2">
        <v>23.747250000000001</v>
      </c>
      <c r="D35" s="2">
        <v>23.483136999999999</v>
      </c>
      <c r="E35" s="2">
        <v>25.431438</v>
      </c>
      <c r="F35" s="2">
        <v>3.3906689999999999</v>
      </c>
      <c r="G35" s="2">
        <v>4.0010519999999996</v>
      </c>
      <c r="H35" s="2">
        <v>5.6799220000000004</v>
      </c>
      <c r="I35" s="2">
        <v>4.8403580000000002</v>
      </c>
      <c r="J35" s="7">
        <v>0.54566351687500003</v>
      </c>
      <c r="K35" s="7">
        <v>3.9386064360999999E-2</v>
      </c>
      <c r="L35" s="7">
        <v>1.9627015990299999E-2</v>
      </c>
      <c r="M35" s="7">
        <v>1.6093863854599998E-2</v>
      </c>
      <c r="N35" s="7">
        <v>0.98390613614540001</v>
      </c>
      <c r="O35" s="3" t="s">
        <v>100</v>
      </c>
      <c r="P35" s="7">
        <v>0.97</v>
      </c>
      <c r="Q35" s="22" t="s">
        <v>117</v>
      </c>
    </row>
    <row r="36" spans="1:17">
      <c r="A36" t="s">
        <v>56</v>
      </c>
      <c r="B36" s="2">
        <v>17.687936000000001</v>
      </c>
      <c r="C36" s="2">
        <v>14.29846</v>
      </c>
      <c r="D36" s="2">
        <v>14.922559</v>
      </c>
      <c r="E36" s="2">
        <v>16.295566000000001</v>
      </c>
      <c r="F36" s="2">
        <v>3.267509</v>
      </c>
      <c r="G36" s="2">
        <v>4.0804359999999997</v>
      </c>
      <c r="H36" s="2">
        <v>5.9505410000000003</v>
      </c>
      <c r="I36" s="2">
        <v>5.0803279999999997</v>
      </c>
      <c r="J36" s="7">
        <v>0.51535210898100003</v>
      </c>
      <c r="K36" s="7">
        <v>1.8671818575600001E-2</v>
      </c>
      <c r="L36" s="7">
        <v>4.2672189215699997E-3</v>
      </c>
      <c r="M36" s="7">
        <v>1.9336256817100001E-3</v>
      </c>
      <c r="N36" s="7">
        <v>0.99806637431829004</v>
      </c>
      <c r="O36" s="3" t="s">
        <v>100</v>
      </c>
      <c r="P36" s="7">
        <v>0.97740000000000005</v>
      </c>
      <c r="Q36" s="23" t="s">
        <v>107</v>
      </c>
    </row>
    <row r="37" spans="1:17">
      <c r="A37" t="s">
        <v>57</v>
      </c>
      <c r="B37" s="2">
        <v>17.58136</v>
      </c>
      <c r="C37" s="2">
        <v>14.820943</v>
      </c>
      <c r="D37" s="2">
        <v>14.815473000000001</v>
      </c>
      <c r="E37" s="2">
        <v>15.780523000000001</v>
      </c>
      <c r="F37" s="2">
        <v>2.8878740000000001</v>
      </c>
      <c r="G37" s="2">
        <v>3.0793339999999998</v>
      </c>
      <c r="H37" s="2">
        <v>4.4334610000000003</v>
      </c>
      <c r="I37" s="2">
        <v>3.8148360000000001</v>
      </c>
      <c r="J37" s="7">
        <v>0.56444228987599998</v>
      </c>
      <c r="K37" s="7">
        <v>1.9817697891500001E-2</v>
      </c>
      <c r="L37" s="7">
        <v>4.53534352388E-3</v>
      </c>
      <c r="M37" s="7">
        <v>2.1727503806999999E-3</v>
      </c>
      <c r="N37" s="7">
        <v>0.99782724961930003</v>
      </c>
      <c r="O37" s="3" t="s">
        <v>100</v>
      </c>
      <c r="P37" s="7">
        <v>0.98581000000000008</v>
      </c>
      <c r="Q37" s="24" t="s">
        <v>107</v>
      </c>
    </row>
    <row r="38" spans="1:17">
      <c r="A38" s="45" t="s">
        <v>58</v>
      </c>
      <c r="B38" s="2">
        <v>46.118786999999998</v>
      </c>
      <c r="C38" s="2">
        <v>37.780745000000003</v>
      </c>
      <c r="D38" s="2">
        <v>36.594203</v>
      </c>
      <c r="E38" s="2">
        <v>40.324142999999999</v>
      </c>
      <c r="F38" s="2">
        <v>3.4195449999999998</v>
      </c>
      <c r="G38" s="2">
        <v>4.0921159999999999</v>
      </c>
      <c r="H38" s="2">
        <v>5.690067</v>
      </c>
      <c r="I38" s="2">
        <v>4.8734320000000002</v>
      </c>
      <c r="J38" s="7">
        <v>0.58110382443300002</v>
      </c>
      <c r="K38" s="7">
        <v>9.4529086631499996E-3</v>
      </c>
      <c r="L38" s="7">
        <v>1.9567656743E-3</v>
      </c>
      <c r="M38" s="7">
        <v>7.5717015929600005E-4</v>
      </c>
      <c r="N38" s="7">
        <v>0.99924282984070401</v>
      </c>
      <c r="O38" s="53" t="s">
        <v>22</v>
      </c>
      <c r="P38" s="7">
        <v>0.98245000000000005</v>
      </c>
      <c r="Q38" s="45" t="s">
        <v>107</v>
      </c>
    </row>
    <row r="39" spans="1:17">
      <c r="A39" t="s">
        <v>59</v>
      </c>
      <c r="B39" s="2">
        <v>25.061966000000002</v>
      </c>
      <c r="C39" s="2">
        <v>18.386222</v>
      </c>
      <c r="D39" s="2">
        <v>19.534718000000002</v>
      </c>
      <c r="E39" s="2">
        <v>21.608796000000002</v>
      </c>
      <c r="F39" s="2">
        <v>3.1657709999999999</v>
      </c>
      <c r="G39" s="2">
        <v>3.4502190000000001</v>
      </c>
      <c r="H39" s="2">
        <v>5.2109079999999999</v>
      </c>
      <c r="I39" s="2">
        <v>4.4091690000000003</v>
      </c>
      <c r="J39" s="7">
        <v>0.51326724550400005</v>
      </c>
      <c r="K39" s="7">
        <v>1.47637131989E-2</v>
      </c>
      <c r="L39" s="7">
        <v>2.8949398985200002E-3</v>
      </c>
      <c r="M39" s="7">
        <v>9.7599088426899997E-4</v>
      </c>
      <c r="N39" s="7">
        <v>0.99902400911573097</v>
      </c>
      <c r="O39" s="3" t="s">
        <v>100</v>
      </c>
      <c r="P39" s="7">
        <v>0.98324999999999985</v>
      </c>
      <c r="Q39" s="25" t="s">
        <v>118</v>
      </c>
    </row>
    <row r="40" spans="1:17">
      <c r="A40" t="s">
        <v>60</v>
      </c>
      <c r="B40" s="2">
        <v>14.599648</v>
      </c>
      <c r="C40" s="2">
        <v>11.394640000000001</v>
      </c>
      <c r="D40" s="2">
        <v>12.508023</v>
      </c>
      <c r="E40" s="2">
        <v>13.370347000000001</v>
      </c>
      <c r="F40" s="2">
        <v>3.1917110000000002</v>
      </c>
      <c r="G40" s="2">
        <v>3.9275259999999999</v>
      </c>
      <c r="H40" s="2">
        <v>6.0131410000000001</v>
      </c>
      <c r="I40" s="2">
        <v>5.0846640000000001</v>
      </c>
      <c r="J40" s="7">
        <v>0.47283579095</v>
      </c>
      <c r="K40" s="7">
        <v>2.3477005483999999E-2</v>
      </c>
      <c r="L40" s="7">
        <v>7.3144444331099999E-3</v>
      </c>
      <c r="M40" s="7">
        <v>3.81887246751E-3</v>
      </c>
      <c r="N40" s="7">
        <v>0.99618112753249</v>
      </c>
      <c r="O40" s="3" t="s">
        <v>100</v>
      </c>
      <c r="P40" s="7">
        <v>0.97435000000000005</v>
      </c>
      <c r="Q40" s="26" t="s">
        <v>107</v>
      </c>
    </row>
    <row r="41" spans="1:17">
      <c r="A41" t="s">
        <v>61</v>
      </c>
      <c r="B41" s="2">
        <v>30.291571999999999</v>
      </c>
      <c r="C41" s="2">
        <v>24.978688999999999</v>
      </c>
      <c r="D41" s="2">
        <v>23.976286000000002</v>
      </c>
      <c r="E41" s="2">
        <v>26.511218</v>
      </c>
      <c r="F41" s="2">
        <v>3.1444779999999999</v>
      </c>
      <c r="G41" s="2">
        <v>3.6950780000000001</v>
      </c>
      <c r="H41" s="2">
        <v>5.0648400000000002</v>
      </c>
      <c r="I41" s="2">
        <v>4.3391999999999999</v>
      </c>
      <c r="J41" s="7">
        <v>0.58253888614000005</v>
      </c>
      <c r="K41" s="7">
        <v>2.1219357668699999E-2</v>
      </c>
      <c r="L41" s="7">
        <v>4.0806963522300004E-3</v>
      </c>
      <c r="M41" s="7">
        <v>1.2666717128299999E-3</v>
      </c>
      <c r="N41" s="7">
        <v>0.99873332828716999</v>
      </c>
      <c r="O41" s="3" t="s">
        <v>100</v>
      </c>
      <c r="P41" s="7">
        <v>0.98255999999999999</v>
      </c>
      <c r="Q41" s="25" t="s">
        <v>107</v>
      </c>
    </row>
    <row r="42" spans="1:17">
      <c r="A42" t="s">
        <v>54</v>
      </c>
      <c r="B42" s="2">
        <v>43.913894999999997</v>
      </c>
      <c r="C42" s="2">
        <v>37.466236000000002</v>
      </c>
      <c r="D42" s="2">
        <v>35.736710000000002</v>
      </c>
      <c r="E42" s="2">
        <v>38.918532999999996</v>
      </c>
      <c r="F42" s="2">
        <v>3.4445579999999998</v>
      </c>
      <c r="G42" s="2">
        <v>4.2693349999999999</v>
      </c>
      <c r="H42" s="2">
        <v>5.7763260000000001</v>
      </c>
      <c r="I42" s="2">
        <v>4.9396789999999999</v>
      </c>
      <c r="J42" s="7">
        <v>0.55619693380799995</v>
      </c>
      <c r="K42" s="7">
        <v>1.20282717004E-2</v>
      </c>
      <c r="L42" s="7">
        <v>3.0763208078700001E-3</v>
      </c>
      <c r="M42" s="7">
        <v>1.37887418203E-3</v>
      </c>
      <c r="N42" s="7">
        <v>0.99862112581797002</v>
      </c>
      <c r="O42" s="3" t="s">
        <v>100</v>
      </c>
      <c r="P42" s="7">
        <v>0.99009999999999987</v>
      </c>
      <c r="Q42" s="28" t="s">
        <v>109</v>
      </c>
    </row>
    <row r="43" spans="1:17">
      <c r="A43" t="s">
        <v>55</v>
      </c>
      <c r="B43" s="2">
        <v>42.329694000000003</v>
      </c>
      <c r="C43" s="2">
        <v>36.344656000000001</v>
      </c>
      <c r="D43" s="2">
        <v>34.830165999999998</v>
      </c>
      <c r="E43" s="2">
        <v>37.719659999999998</v>
      </c>
      <c r="F43" s="2">
        <v>3.4005869999999998</v>
      </c>
      <c r="G43" s="2">
        <v>4.1537220000000001</v>
      </c>
      <c r="H43" s="2">
        <v>5.6223229999999997</v>
      </c>
      <c r="I43" s="2">
        <v>4.7938900000000002</v>
      </c>
      <c r="J43" s="7">
        <v>0.54939094741600003</v>
      </c>
      <c r="K43" s="7">
        <v>1.35720818623E-2</v>
      </c>
      <c r="L43" s="7">
        <v>3.2745109414000001E-3</v>
      </c>
      <c r="M43" s="7">
        <v>1.3189249743299999E-3</v>
      </c>
      <c r="N43" s="7">
        <v>0.99868107502567005</v>
      </c>
      <c r="O43" s="53" t="s">
        <v>22</v>
      </c>
      <c r="P43" s="7">
        <v>0.99030499999999999</v>
      </c>
      <c r="Q43" s="27" t="s">
        <v>0</v>
      </c>
    </row>
    <row r="44" spans="1:17">
      <c r="A44" s="4" t="s">
        <v>62</v>
      </c>
      <c r="B44" s="2">
        <v>49.030031000000001</v>
      </c>
      <c r="C44" s="2">
        <v>41.304647000000003</v>
      </c>
      <c r="D44" s="2">
        <v>40.055262999999997</v>
      </c>
      <c r="E44" s="2">
        <v>43.680881999999997</v>
      </c>
      <c r="F44" s="2">
        <v>3.41256</v>
      </c>
      <c r="G44" s="2">
        <v>4.1949870000000002</v>
      </c>
      <c r="H44" s="2">
        <v>5.7546099999999996</v>
      </c>
      <c r="I44" s="2">
        <v>4.9349540000000003</v>
      </c>
      <c r="J44" s="7">
        <v>0.56383490858200003</v>
      </c>
      <c r="K44" s="7">
        <v>3.6254669192099999E-2</v>
      </c>
      <c r="L44" s="7">
        <v>7.4630606990599997E-3</v>
      </c>
      <c r="M44" s="7">
        <v>2.1475404785100002E-3</v>
      </c>
      <c r="N44" s="7">
        <v>0.99785245952149004</v>
      </c>
      <c r="O44" s="53" t="s">
        <v>22</v>
      </c>
      <c r="P44" s="7">
        <v>0.98055000000000003</v>
      </c>
      <c r="Q44" s="27" t="s">
        <v>108</v>
      </c>
    </row>
    <row r="45" spans="1:17">
      <c r="A45" t="s">
        <v>63</v>
      </c>
      <c r="B45" s="2">
        <v>40.306894999999997</v>
      </c>
      <c r="C45" s="2">
        <v>34.919443000000001</v>
      </c>
      <c r="D45" s="2">
        <v>33.743321999999999</v>
      </c>
      <c r="E45" s="2">
        <v>36.054155000000002</v>
      </c>
      <c r="F45" s="2">
        <v>3.346292</v>
      </c>
      <c r="G45" s="2">
        <v>3.9244910000000002</v>
      </c>
      <c r="H45" s="2">
        <v>5.3447620000000002</v>
      </c>
      <c r="I45" s="2">
        <v>4.6051690000000001</v>
      </c>
      <c r="J45" s="7">
        <v>0.567107402742</v>
      </c>
      <c r="K45" s="7">
        <v>4.7900395246599997E-3</v>
      </c>
      <c r="L45" s="7">
        <v>1.7565032649099999E-3</v>
      </c>
      <c r="M45" s="7">
        <v>1.00485049971E-3</v>
      </c>
      <c r="N45" s="7">
        <v>0.99899514950029</v>
      </c>
      <c r="O45" s="3" t="s">
        <v>100</v>
      </c>
      <c r="P45" s="7">
        <v>0.98985000000000001</v>
      </c>
      <c r="Q45" s="29" t="s">
        <v>109</v>
      </c>
    </row>
    <row r="46" spans="1:17">
      <c r="A46" t="s">
        <v>64</v>
      </c>
      <c r="B46" s="2">
        <v>36.039901</v>
      </c>
      <c r="C46" s="2">
        <v>32.155687</v>
      </c>
      <c r="D46" s="2">
        <v>30.226229</v>
      </c>
      <c r="E46" s="2">
        <v>31.658529999999999</v>
      </c>
      <c r="F46" s="2">
        <v>3.206162</v>
      </c>
      <c r="G46" s="2">
        <v>3.6403840000000001</v>
      </c>
      <c r="H46" s="2">
        <v>4.8657019999999997</v>
      </c>
      <c r="I46" s="2">
        <v>4.2454239999999999</v>
      </c>
      <c r="J46" s="7">
        <v>0.57639999442000001</v>
      </c>
      <c r="K46" s="7">
        <v>3.6253470436999999E-3</v>
      </c>
      <c r="L46" s="7">
        <v>1.15720665598E-3</v>
      </c>
      <c r="M46" s="7">
        <v>6.1310963659800004E-4</v>
      </c>
      <c r="N46" s="7">
        <v>0.999386890363402</v>
      </c>
      <c r="O46" s="3" t="s">
        <v>100</v>
      </c>
      <c r="P46" s="7">
        <v>0.99169499999999999</v>
      </c>
      <c r="Q46" s="8" t="s">
        <v>109</v>
      </c>
    </row>
    <row r="47" spans="1:17">
      <c r="A47" t="s">
        <v>65</v>
      </c>
      <c r="B47" s="2">
        <v>33.035837999999998</v>
      </c>
      <c r="C47" s="2">
        <v>29.001476</v>
      </c>
      <c r="D47" s="2">
        <v>27.735240999999998</v>
      </c>
      <c r="E47" s="2">
        <v>29.645302000000001</v>
      </c>
      <c r="F47" s="2">
        <v>3.20533</v>
      </c>
      <c r="G47" s="2">
        <v>3.6588989999999999</v>
      </c>
      <c r="H47" s="2">
        <v>4.9008859999999999</v>
      </c>
      <c r="I47" s="2">
        <v>4.2427250000000001</v>
      </c>
      <c r="J47" s="7">
        <v>0.56584317575400001</v>
      </c>
      <c r="K47" s="7">
        <v>8.6363019343099999E-3</v>
      </c>
      <c r="L47" s="7">
        <v>2.15127759706E-3</v>
      </c>
      <c r="M47" s="7">
        <v>8.0164549125399996E-4</v>
      </c>
      <c r="N47" s="7">
        <v>0.99919835450874595</v>
      </c>
      <c r="O47" s="53" t="s">
        <v>22</v>
      </c>
      <c r="P47" s="7">
        <v>0.99144500000000013</v>
      </c>
      <c r="Q47" s="30" t="s">
        <v>109</v>
      </c>
    </row>
    <row r="48" spans="1:17">
      <c r="A48" t="s">
        <v>66</v>
      </c>
      <c r="B48" s="2">
        <v>35.359096999999998</v>
      </c>
      <c r="C48" s="2">
        <v>30.934078</v>
      </c>
      <c r="D48" s="2">
        <v>29.790299000000001</v>
      </c>
      <c r="E48" s="2">
        <v>31.174787999999999</v>
      </c>
      <c r="F48" s="2">
        <v>3.0766550000000001</v>
      </c>
      <c r="G48" s="2">
        <v>3.3641369999999999</v>
      </c>
      <c r="H48" s="2">
        <v>4.6104339999999997</v>
      </c>
      <c r="I48" s="2">
        <v>3.9521320000000002</v>
      </c>
      <c r="J48" s="7">
        <v>0.55608746265300002</v>
      </c>
      <c r="K48" s="7">
        <v>4.8105771640400002E-3</v>
      </c>
      <c r="L48" s="7">
        <v>1.7923860616100001E-3</v>
      </c>
      <c r="M48" s="7">
        <v>1.1066415317E-3</v>
      </c>
      <c r="N48" s="7">
        <v>0.99889335846829996</v>
      </c>
      <c r="O48" s="3" t="s">
        <v>100</v>
      </c>
      <c r="P48" s="7">
        <v>0.99250000000000005</v>
      </c>
      <c r="Q48" s="31" t="s">
        <v>109</v>
      </c>
    </row>
    <row r="49" spans="1:17">
      <c r="A49" t="s">
        <v>67</v>
      </c>
      <c r="B49" s="2">
        <v>34.827983000000003</v>
      </c>
      <c r="C49" s="2">
        <v>30.562935</v>
      </c>
      <c r="D49" s="2">
        <v>29.299272999999999</v>
      </c>
      <c r="E49" s="2">
        <v>31.531466999999999</v>
      </c>
      <c r="F49" s="2">
        <v>3.2660909999999999</v>
      </c>
      <c r="G49" s="2">
        <v>3.7814510000000001</v>
      </c>
      <c r="H49" s="2">
        <v>5.0902029999999998</v>
      </c>
      <c r="I49" s="2">
        <v>4.4172630000000002</v>
      </c>
      <c r="J49" s="7">
        <v>0.56236513573000002</v>
      </c>
      <c r="K49" s="7">
        <v>3.45422914681E-3</v>
      </c>
      <c r="L49" s="7">
        <v>1.43901516962E-3</v>
      </c>
      <c r="M49" s="7">
        <v>9.5475457993299999E-4</v>
      </c>
      <c r="N49" s="7">
        <v>0.99904524542006701</v>
      </c>
      <c r="O49" s="3" t="s">
        <v>100</v>
      </c>
      <c r="P49" s="7">
        <v>0.99390999999999996</v>
      </c>
      <c r="Q49" s="32" t="s">
        <v>109</v>
      </c>
    </row>
    <row r="50" spans="1:17">
      <c r="A50" t="s">
        <v>68</v>
      </c>
      <c r="B50" s="2">
        <v>36.233049999999999</v>
      </c>
      <c r="C50" s="2">
        <v>31.384059000000001</v>
      </c>
      <c r="D50" s="2">
        <v>30.256533000000001</v>
      </c>
      <c r="E50" s="2">
        <v>32.404801999999997</v>
      </c>
      <c r="F50" s="2">
        <v>3.2097150000000001</v>
      </c>
      <c r="G50" s="2">
        <v>3.6736330000000001</v>
      </c>
      <c r="H50" s="2">
        <v>5.0542999999999996</v>
      </c>
      <c r="I50" s="2">
        <v>4.309399</v>
      </c>
      <c r="J50" s="7">
        <v>0.54849354134299999</v>
      </c>
      <c r="K50" s="7">
        <v>3.5667663556199999E-3</v>
      </c>
      <c r="L50" s="7">
        <v>8.0073776645700001E-4</v>
      </c>
      <c r="M50" s="7">
        <v>3.3365973392800001E-4</v>
      </c>
      <c r="N50" s="7">
        <v>0.99966634026607204</v>
      </c>
      <c r="O50" s="53" t="s">
        <v>22</v>
      </c>
      <c r="P50" s="7">
        <v>0.99453000000000003</v>
      </c>
      <c r="Q50" s="8" t="s">
        <v>109</v>
      </c>
    </row>
    <row r="51" spans="1:17">
      <c r="A51" t="s">
        <v>69</v>
      </c>
      <c r="B51" s="2">
        <v>32.308276999999997</v>
      </c>
      <c r="C51" s="2">
        <v>28.407389999999999</v>
      </c>
      <c r="D51" s="2">
        <v>27.000017</v>
      </c>
      <c r="E51" s="2">
        <v>28.89977</v>
      </c>
      <c r="F51" s="2">
        <v>3.0947230000000001</v>
      </c>
      <c r="G51" s="2">
        <v>3.4353929999999999</v>
      </c>
      <c r="H51" s="2">
        <v>4.6258929999999996</v>
      </c>
      <c r="I51" s="2">
        <v>3.9829469999999998</v>
      </c>
      <c r="J51" s="7">
        <v>0.56374880957399998</v>
      </c>
      <c r="K51" s="7">
        <v>1.1059603177200001E-2</v>
      </c>
      <c r="L51" s="7">
        <v>2.5987408378299998E-3</v>
      </c>
      <c r="M51" s="7">
        <v>8.44138637021E-4</v>
      </c>
      <c r="N51" s="7">
        <v>0.99915586136297896</v>
      </c>
      <c r="O51" s="53" t="s">
        <v>22</v>
      </c>
      <c r="P51" s="7">
        <v>0.99360000000000004</v>
      </c>
      <c r="Q51" s="33" t="s">
        <v>109</v>
      </c>
    </row>
    <row r="52" spans="1:17">
      <c r="A52" t="s">
        <v>70</v>
      </c>
      <c r="B52" s="2">
        <v>37.395834000000001</v>
      </c>
      <c r="C52" s="2">
        <v>32.445577</v>
      </c>
      <c r="D52" s="2">
        <v>31.359949</v>
      </c>
      <c r="E52" s="2">
        <v>33.456794000000002</v>
      </c>
      <c r="F52" s="2">
        <v>3.3046289999999998</v>
      </c>
      <c r="G52" s="2">
        <v>3.8168489999999999</v>
      </c>
      <c r="H52" s="2">
        <v>5.1886599999999996</v>
      </c>
      <c r="I52" s="2">
        <v>4.4838889999999996</v>
      </c>
      <c r="J52" s="7">
        <v>0.57624189210400001</v>
      </c>
      <c r="K52" s="7">
        <v>1.3065870428699999E-2</v>
      </c>
      <c r="L52" s="7">
        <v>6.9971604942599998E-3</v>
      </c>
      <c r="M52" s="7">
        <v>5.2362306347399998E-3</v>
      </c>
      <c r="N52" s="7">
        <v>0.99476376936526001</v>
      </c>
      <c r="O52" s="3" t="s">
        <v>100</v>
      </c>
      <c r="P52" s="7">
        <v>0.9849</v>
      </c>
      <c r="Q52" s="34" t="s">
        <v>109</v>
      </c>
    </row>
    <row r="53" spans="1:17">
      <c r="A53" t="s">
        <v>71</v>
      </c>
      <c r="B53" s="2">
        <v>40.89311</v>
      </c>
      <c r="C53" s="2">
        <v>35.082954999999998</v>
      </c>
      <c r="D53" s="2">
        <v>33.660037000000003</v>
      </c>
      <c r="E53" s="2">
        <v>36.595255000000002</v>
      </c>
      <c r="F53" s="2">
        <v>3.311912</v>
      </c>
      <c r="G53" s="2">
        <v>3.8213970000000002</v>
      </c>
      <c r="H53" s="2">
        <v>5.3125619999999998</v>
      </c>
      <c r="I53" s="2">
        <v>4.5647989999999998</v>
      </c>
      <c r="J53" s="7">
        <v>0.57037930707399997</v>
      </c>
      <c r="K53" s="7">
        <v>7.0848741344600001E-3</v>
      </c>
      <c r="L53" s="7">
        <v>4.2246742259500003E-3</v>
      </c>
      <c r="M53" s="7">
        <v>3.21813574812E-3</v>
      </c>
      <c r="N53" s="7">
        <v>0.99678186425187998</v>
      </c>
      <c r="O53" s="53" t="s">
        <v>22</v>
      </c>
      <c r="P53" s="7">
        <v>0.98855000000000004</v>
      </c>
      <c r="Q53" s="34" t="s">
        <v>109</v>
      </c>
    </row>
    <row r="54" spans="1:17">
      <c r="A54" t="s">
        <v>72</v>
      </c>
      <c r="B54" s="2">
        <v>43.479114000000003</v>
      </c>
      <c r="C54" s="2">
        <v>37.320836</v>
      </c>
      <c r="D54" s="2">
        <v>36.180509999999998</v>
      </c>
      <c r="E54" s="2">
        <v>38.742812999999998</v>
      </c>
      <c r="F54" s="2">
        <v>3.3428969999999998</v>
      </c>
      <c r="G54" s="2">
        <v>3.8543219999999998</v>
      </c>
      <c r="H54" s="2">
        <v>5.3127639999999996</v>
      </c>
      <c r="I54" s="2">
        <v>4.5716950000000001</v>
      </c>
      <c r="J54" s="7">
        <v>0.55752359287800002</v>
      </c>
      <c r="K54" s="7">
        <v>4.8347224207700001E-3</v>
      </c>
      <c r="L54" s="7">
        <v>2.1732550932200001E-3</v>
      </c>
      <c r="M54" s="7">
        <v>1.37915160691E-3</v>
      </c>
      <c r="N54" s="7">
        <v>0.99862084839308995</v>
      </c>
      <c r="O54" s="3" t="s">
        <v>100</v>
      </c>
      <c r="P54" s="7">
        <v>0.99124999999999996</v>
      </c>
      <c r="Q54" s="35" t="s">
        <v>109</v>
      </c>
    </row>
    <row r="55" spans="1:17">
      <c r="A55" t="s">
        <v>73</v>
      </c>
      <c r="B55" s="2">
        <v>57.865023999999998</v>
      </c>
      <c r="C55" s="2">
        <v>48.749645000000001</v>
      </c>
      <c r="D55" s="2">
        <v>47.189197</v>
      </c>
      <c r="E55" s="2">
        <v>50.473823000000003</v>
      </c>
      <c r="F55" s="2">
        <v>3.314479</v>
      </c>
      <c r="G55" s="2">
        <v>3.9976180000000001</v>
      </c>
      <c r="H55" s="2">
        <v>5.5737410000000001</v>
      </c>
      <c r="I55" s="2">
        <v>4.7128649999999999</v>
      </c>
      <c r="J55" s="7">
        <v>0.47681735318099999</v>
      </c>
      <c r="K55" s="7">
        <v>3.8728011880999999E-3</v>
      </c>
      <c r="L55" s="7">
        <v>2.2821798135900001E-3</v>
      </c>
      <c r="M55" s="7">
        <v>1.59493326857E-3</v>
      </c>
      <c r="N55" s="7">
        <v>0.99840506673143004</v>
      </c>
      <c r="O55" s="3" t="s">
        <v>100</v>
      </c>
      <c r="P55" s="7">
        <v>0.99027500000000002</v>
      </c>
      <c r="Q55" s="36" t="s">
        <v>112</v>
      </c>
    </row>
    <row r="56" spans="1:17">
      <c r="A56" t="s">
        <v>74</v>
      </c>
      <c r="B56" s="2">
        <v>24.936921000000002</v>
      </c>
      <c r="C56" s="2">
        <v>21.343999</v>
      </c>
      <c r="D56" s="2">
        <v>20.871428999999999</v>
      </c>
      <c r="E56" s="2">
        <v>22.164159999999999</v>
      </c>
      <c r="F56" s="2">
        <v>3.05261</v>
      </c>
      <c r="G56" s="2">
        <v>3.4636480000000001</v>
      </c>
      <c r="H56" s="2">
        <v>4.7455069999999999</v>
      </c>
      <c r="I56" s="2">
        <v>4.0468719999999996</v>
      </c>
      <c r="J56" s="7">
        <v>0.45832534697400001</v>
      </c>
      <c r="K56" s="7">
        <v>5.0666896340500001E-3</v>
      </c>
      <c r="L56" s="7">
        <v>4.0254718521E-3</v>
      </c>
      <c r="M56" s="7">
        <v>4.67909569103E-3</v>
      </c>
      <c r="N56" s="7">
        <v>0.99532090430897002</v>
      </c>
      <c r="O56" s="3" t="s">
        <v>100</v>
      </c>
      <c r="P56" s="7">
        <v>0.99146999999999996</v>
      </c>
      <c r="Q56" s="36" t="s">
        <v>107</v>
      </c>
    </row>
    <row r="57" spans="1:17">
      <c r="A57" t="s">
        <v>75</v>
      </c>
      <c r="B57" s="2">
        <v>30.925787</v>
      </c>
      <c r="C57" s="2">
        <v>27.370702000000001</v>
      </c>
      <c r="D57" s="2">
        <v>26.055115000000001</v>
      </c>
      <c r="E57" s="2">
        <v>28.224992</v>
      </c>
      <c r="F57" s="2">
        <v>2.8188719999999998</v>
      </c>
      <c r="G57" s="2">
        <v>3.412007</v>
      </c>
      <c r="H57" s="2">
        <v>4.7160630000000001</v>
      </c>
      <c r="I57" s="2">
        <v>4.0535649999999999</v>
      </c>
      <c r="J57" s="7">
        <v>0.51994284399299995</v>
      </c>
      <c r="K57" s="7">
        <v>1.00068059869E-2</v>
      </c>
      <c r="L57" s="7">
        <v>7.0607649796800001E-3</v>
      </c>
      <c r="M57" s="7">
        <v>6.7872895881400004E-3</v>
      </c>
      <c r="N57" s="7">
        <v>0.99321271041185999</v>
      </c>
      <c r="O57" s="3" t="s">
        <v>100</v>
      </c>
      <c r="P57" s="7">
        <v>0.98195999999999994</v>
      </c>
      <c r="Q57" s="36" t="s">
        <v>1</v>
      </c>
    </row>
    <row r="58" spans="1:17">
      <c r="A58" t="s">
        <v>76</v>
      </c>
      <c r="B58" s="2">
        <v>10.272179</v>
      </c>
      <c r="C58" s="2">
        <v>8.6687930000000009</v>
      </c>
      <c r="D58" s="2">
        <v>8.729158</v>
      </c>
      <c r="E58" s="2">
        <v>9.0648900000000001</v>
      </c>
      <c r="F58" s="2">
        <v>2.616339</v>
      </c>
      <c r="G58" s="2">
        <v>2.6820249999999999</v>
      </c>
      <c r="H58" s="2">
        <v>3.8028249999999999</v>
      </c>
      <c r="I58" s="2">
        <v>3.2180390000000001</v>
      </c>
      <c r="J58" s="7">
        <v>0.443252612579</v>
      </c>
      <c r="K58" s="7">
        <v>1.57037769634E-3</v>
      </c>
      <c r="L58" s="7">
        <v>9.3861199183299996E-4</v>
      </c>
      <c r="M58" s="7">
        <v>1.2085363239E-3</v>
      </c>
      <c r="N58" s="7">
        <v>0.99879146367610006</v>
      </c>
      <c r="O58" s="3" t="s">
        <v>100</v>
      </c>
      <c r="P58" s="7">
        <v>0.99155000000000004</v>
      </c>
      <c r="Q58" s="36" t="s">
        <v>111</v>
      </c>
    </row>
    <row r="59" spans="1:17">
      <c r="A59" t="s">
        <v>77</v>
      </c>
      <c r="B59" s="2">
        <v>25.378730999999998</v>
      </c>
      <c r="C59" s="2">
        <v>19.287420000000001</v>
      </c>
      <c r="D59" s="2">
        <v>21.088823000000001</v>
      </c>
      <c r="E59" s="2">
        <v>23.065200999999998</v>
      </c>
      <c r="F59" s="2">
        <v>3.414129</v>
      </c>
      <c r="G59" s="2">
        <v>3.9705590000000002</v>
      </c>
      <c r="H59" s="2">
        <v>6.2329369999999997</v>
      </c>
      <c r="I59" s="2">
        <v>5.2820049999999998</v>
      </c>
      <c r="J59" s="7">
        <v>0.480153742888</v>
      </c>
      <c r="K59" s="7">
        <v>3.76592554369E-3</v>
      </c>
      <c r="L59" s="7">
        <v>2.9370543677699999E-3</v>
      </c>
      <c r="M59" s="7">
        <v>2.1186888779500001E-3</v>
      </c>
      <c r="N59" s="7">
        <v>0.99788131112205003</v>
      </c>
      <c r="O59" s="3" t="s">
        <v>100</v>
      </c>
      <c r="P59" s="7">
        <v>0.97155000000000002</v>
      </c>
      <c r="Q59" s="36" t="s">
        <v>107</v>
      </c>
    </row>
    <row r="60" spans="1:17">
      <c r="A60" s="4" t="s">
        <v>78</v>
      </c>
      <c r="B60" s="2">
        <v>40.543441000000001</v>
      </c>
      <c r="C60" s="2">
        <v>34.442692000000001</v>
      </c>
      <c r="D60" s="2">
        <v>32.879475999999997</v>
      </c>
      <c r="E60" s="2">
        <v>36.102949000000002</v>
      </c>
      <c r="F60" s="2">
        <v>3.3675470000000001</v>
      </c>
      <c r="G60" s="2">
        <v>4.0418089999999998</v>
      </c>
      <c r="H60" s="2">
        <v>5.4816849999999997</v>
      </c>
      <c r="I60" s="2">
        <v>4.6828719999999997</v>
      </c>
      <c r="J60" s="7">
        <v>0.49587934438699999</v>
      </c>
      <c r="K60" s="7">
        <v>1.8215447796100001E-3</v>
      </c>
      <c r="L60" s="7">
        <v>7.7331524146800001E-4</v>
      </c>
      <c r="M60" s="7">
        <v>6.1454318699800004E-4</v>
      </c>
      <c r="N60" s="7">
        <v>0.99938545681300195</v>
      </c>
      <c r="O60" s="3" t="s">
        <v>100</v>
      </c>
      <c r="P60" s="7">
        <v>0.98685500000000004</v>
      </c>
      <c r="Q60" s="36" t="s">
        <v>0</v>
      </c>
    </row>
    <row r="61" spans="1:17">
      <c r="A61" s="4" t="s">
        <v>79</v>
      </c>
      <c r="B61" s="2">
        <v>25.080822999999999</v>
      </c>
      <c r="C61" s="2">
        <v>21.452425000000002</v>
      </c>
      <c r="D61" s="2">
        <v>21.642016000000002</v>
      </c>
      <c r="E61" s="2">
        <v>22.285026999999999</v>
      </c>
      <c r="F61" s="2">
        <v>2.8911600000000002</v>
      </c>
      <c r="G61" s="2">
        <v>2.931667</v>
      </c>
      <c r="H61" s="2">
        <v>4.1959059999999999</v>
      </c>
      <c r="I61" s="2">
        <v>3.6001609999999999</v>
      </c>
      <c r="J61" s="7">
        <v>0.43383296138799998</v>
      </c>
      <c r="K61" s="7">
        <v>6.7550833769400005E-4</v>
      </c>
      <c r="L61" s="7">
        <v>2.2032022978900001E-4</v>
      </c>
      <c r="M61" s="7">
        <v>2.01077406818E-4</v>
      </c>
      <c r="N61" s="7">
        <v>0.99979892259318204</v>
      </c>
      <c r="O61" s="53" t="s">
        <v>22</v>
      </c>
      <c r="P61" s="7">
        <v>0.99719999999999998</v>
      </c>
      <c r="Q61" s="44" t="s">
        <v>4</v>
      </c>
    </row>
    <row r="62" spans="1:17">
      <c r="A62" s="4" t="s">
        <v>80</v>
      </c>
      <c r="B62" s="2">
        <v>23.169283</v>
      </c>
      <c r="C62" s="2">
        <v>19.453150999999998</v>
      </c>
      <c r="D62" s="2">
        <v>20.002268999999998</v>
      </c>
      <c r="E62" s="2">
        <v>20.440465</v>
      </c>
      <c r="F62" s="2">
        <v>2.7599109999999998</v>
      </c>
      <c r="G62" s="2">
        <v>2.6658119999999998</v>
      </c>
      <c r="H62" s="2">
        <v>3.9633530000000001</v>
      </c>
      <c r="I62" s="2">
        <v>3.351737</v>
      </c>
      <c r="J62" s="7">
        <v>0.387691208994</v>
      </c>
      <c r="K62" s="7">
        <v>1.1802249684299999E-3</v>
      </c>
      <c r="L62" s="7">
        <v>3.7602417694999998E-4</v>
      </c>
      <c r="M62" s="7">
        <v>2.1937312244400001E-4</v>
      </c>
      <c r="N62" s="7">
        <v>0.99978062687755598</v>
      </c>
      <c r="O62" s="53" t="s">
        <v>22</v>
      </c>
      <c r="P62" s="7">
        <v>0.99775000000000003</v>
      </c>
      <c r="Q62" s="44" t="s">
        <v>4</v>
      </c>
    </row>
    <row r="63" spans="1:17">
      <c r="A63" s="4" t="s">
        <v>81</v>
      </c>
      <c r="B63" s="2">
        <v>24.414518000000001</v>
      </c>
      <c r="C63" s="2">
        <v>20.765896000000001</v>
      </c>
      <c r="D63" s="2">
        <v>20.855998</v>
      </c>
      <c r="E63" s="2">
        <v>21.979467</v>
      </c>
      <c r="F63" s="2">
        <v>2.907969</v>
      </c>
      <c r="G63" s="2">
        <v>2.965376</v>
      </c>
      <c r="H63" s="2">
        <v>4.1882080000000004</v>
      </c>
      <c r="I63" s="2">
        <v>3.6188910000000001</v>
      </c>
      <c r="J63" s="7">
        <v>0.47944970348600002</v>
      </c>
      <c r="K63" s="7">
        <v>4.84595966374E-3</v>
      </c>
      <c r="L63" s="7">
        <v>1.09541809308E-3</v>
      </c>
      <c r="M63" s="7">
        <v>3.0751464242100002E-4</v>
      </c>
      <c r="N63" s="7">
        <v>0.99969248535757904</v>
      </c>
      <c r="O63" s="53" t="s">
        <v>22</v>
      </c>
      <c r="P63" s="7">
        <v>0.99588499999999991</v>
      </c>
      <c r="Q63" s="42" t="s">
        <v>4</v>
      </c>
    </row>
    <row r="64" spans="1:17">
      <c r="A64" s="4" t="s">
        <v>82</v>
      </c>
      <c r="B64" s="2">
        <v>19.531586000000001</v>
      </c>
      <c r="C64" s="2">
        <v>15.741853000000001</v>
      </c>
      <c r="D64" s="2">
        <v>16.080068000000001</v>
      </c>
      <c r="E64" s="2">
        <v>16.790859999999999</v>
      </c>
      <c r="F64" s="2">
        <v>2.8929770000000001</v>
      </c>
      <c r="G64" s="2">
        <v>2.886323</v>
      </c>
      <c r="H64" s="2">
        <v>4.2207720000000002</v>
      </c>
      <c r="I64" s="2">
        <v>3.6161539999999999</v>
      </c>
      <c r="J64" s="7">
        <v>0.430331308739</v>
      </c>
      <c r="K64" s="7">
        <v>4.5846238704300001E-3</v>
      </c>
      <c r="L64" s="7">
        <v>1.3640389827800001E-3</v>
      </c>
      <c r="M64" s="7">
        <v>6.5277820538000002E-4</v>
      </c>
      <c r="N64" s="7">
        <v>0.99934722179461999</v>
      </c>
      <c r="O64" s="53" t="s">
        <v>22</v>
      </c>
      <c r="P64" s="7">
        <v>0.99534999999999996</v>
      </c>
      <c r="Q64" s="42" t="s">
        <v>4</v>
      </c>
    </row>
    <row r="65" spans="1:60">
      <c r="A65" s="4" t="s">
        <v>83</v>
      </c>
      <c r="B65" s="2">
        <v>24.506893999999999</v>
      </c>
      <c r="C65" s="2">
        <v>20.957336999999999</v>
      </c>
      <c r="D65" s="2">
        <v>20.972166999999999</v>
      </c>
      <c r="E65" s="2">
        <v>21.897103000000001</v>
      </c>
      <c r="F65" s="2">
        <v>2.9142649999999999</v>
      </c>
      <c r="G65" s="2">
        <v>2.955076</v>
      </c>
      <c r="H65" s="2">
        <v>4.1833710000000002</v>
      </c>
      <c r="I65" s="2">
        <v>3.6034130000000002</v>
      </c>
      <c r="J65" s="7">
        <v>0.464960758127</v>
      </c>
      <c r="K65" s="7">
        <v>1.03567432846E-3</v>
      </c>
      <c r="L65" s="7">
        <v>2.8655296057200001E-4</v>
      </c>
      <c r="M65" s="7">
        <v>1.59074331319E-4</v>
      </c>
      <c r="N65" s="7">
        <v>0.99984092566868099</v>
      </c>
      <c r="O65" s="53" t="s">
        <v>22</v>
      </c>
      <c r="P65" s="7">
        <v>0.99714999999999998</v>
      </c>
      <c r="Q65" s="43" t="s">
        <v>4</v>
      </c>
    </row>
    <row r="66" spans="1:60">
      <c r="A66" s="4" t="s">
        <v>84</v>
      </c>
      <c r="B66" s="2">
        <v>25.318583</v>
      </c>
      <c r="C66" s="2">
        <v>19.531593999999998</v>
      </c>
      <c r="D66" s="2">
        <v>20.517790999999999</v>
      </c>
      <c r="E66" s="2">
        <v>22.411957000000001</v>
      </c>
      <c r="F66" s="2">
        <v>3.2472210000000001</v>
      </c>
      <c r="G66" s="2">
        <v>3.783236</v>
      </c>
      <c r="H66" s="2">
        <v>5.5945859999999996</v>
      </c>
      <c r="I66" s="2">
        <v>4.7507169999999999</v>
      </c>
      <c r="J66" s="7">
        <v>0.51853014519200002</v>
      </c>
      <c r="K66" s="7">
        <v>4.12109475484E-3</v>
      </c>
      <c r="L66" s="7">
        <v>3.2593142906600001E-3</v>
      </c>
      <c r="M66" s="7">
        <v>2.36521697692E-3</v>
      </c>
      <c r="N66" s="7">
        <v>0.99763478302307995</v>
      </c>
      <c r="O66" s="53" t="s">
        <v>22</v>
      </c>
      <c r="P66" s="7">
        <v>0.97675000000000001</v>
      </c>
      <c r="Q66" s="38" t="s">
        <v>107</v>
      </c>
    </row>
    <row r="67" spans="1:60">
      <c r="A67" s="4" t="s">
        <v>85</v>
      </c>
      <c r="B67" s="2">
        <v>22.527683</v>
      </c>
      <c r="C67" s="2">
        <v>17.771837999999999</v>
      </c>
      <c r="D67" s="2">
        <v>18.828916</v>
      </c>
      <c r="E67" s="2">
        <v>20.194793000000001</v>
      </c>
      <c r="F67" s="2">
        <v>3.2175919999999998</v>
      </c>
      <c r="G67" s="2">
        <v>3.7093950000000002</v>
      </c>
      <c r="H67" s="2">
        <v>5.5316099999999997</v>
      </c>
      <c r="I67" s="2">
        <v>4.6973560000000001</v>
      </c>
      <c r="J67" s="7">
        <v>0.52151265528500002</v>
      </c>
      <c r="K67" s="7">
        <v>3.7063200751699999E-3</v>
      </c>
      <c r="L67" s="7">
        <v>1.9474519120800001E-3</v>
      </c>
      <c r="M67" s="7">
        <v>1.28786911548E-3</v>
      </c>
      <c r="N67" s="7">
        <v>0.99871213088452004</v>
      </c>
      <c r="O67" s="53" t="s">
        <v>22</v>
      </c>
      <c r="P67" s="7">
        <v>0.98084999999999989</v>
      </c>
      <c r="Q67" s="37" t="s">
        <v>107</v>
      </c>
    </row>
    <row r="68" spans="1:60">
      <c r="A68" s="4" t="s">
        <v>86</v>
      </c>
      <c r="B68" s="2">
        <v>18.732105000000001</v>
      </c>
      <c r="C68" s="2">
        <v>14.443110000000001</v>
      </c>
      <c r="D68" s="2">
        <v>15.695800999999999</v>
      </c>
      <c r="E68" s="2">
        <v>16.63167</v>
      </c>
      <c r="F68" s="2">
        <v>3.1204879999999999</v>
      </c>
      <c r="G68" s="2">
        <v>3.480067</v>
      </c>
      <c r="H68" s="2">
        <v>5.2304599999999999</v>
      </c>
      <c r="I68" s="2">
        <v>4.4103680000000001</v>
      </c>
      <c r="J68" s="7">
        <v>0.50162059326999997</v>
      </c>
      <c r="K68" s="7">
        <v>4.7102450856199999E-3</v>
      </c>
      <c r="L68" s="7">
        <v>3.1345735066799999E-3</v>
      </c>
      <c r="M68" s="7">
        <v>2.1039636726999998E-3</v>
      </c>
      <c r="N68" s="7">
        <v>0.99789603632729995</v>
      </c>
      <c r="O68" s="53" t="s">
        <v>22</v>
      </c>
      <c r="P68" s="7">
        <v>0.97715000000000007</v>
      </c>
      <c r="Q68" s="37" t="s">
        <v>107</v>
      </c>
    </row>
    <row r="69" spans="1:60">
      <c r="A69" s="4" t="s">
        <v>87</v>
      </c>
      <c r="B69" s="2">
        <v>7.1302130000000004</v>
      </c>
      <c r="C69" s="2">
        <v>5.902355</v>
      </c>
      <c r="D69" s="2">
        <v>5.7368740000000003</v>
      </c>
      <c r="E69" s="2">
        <v>6.5376329999999996</v>
      </c>
      <c r="F69" s="2">
        <v>1.5561039999999999</v>
      </c>
      <c r="G69" s="2">
        <v>1.7492319999999999</v>
      </c>
      <c r="H69" s="2">
        <v>2.259277</v>
      </c>
      <c r="I69" s="2">
        <v>2.067815</v>
      </c>
      <c r="J69" s="7">
        <v>0.527189107692</v>
      </c>
      <c r="K69" s="7">
        <v>3.5138978634200002E-3</v>
      </c>
      <c r="L69" s="7">
        <v>2.5441976126400001E-3</v>
      </c>
      <c r="M69" s="7">
        <v>1.90627351319E-3</v>
      </c>
      <c r="N69" s="7">
        <v>0.99809372648681005</v>
      </c>
      <c r="O69" s="53" t="s">
        <v>22</v>
      </c>
      <c r="P69" s="7">
        <v>0.97698649999999998</v>
      </c>
      <c r="Q69" s="39" t="s">
        <v>114</v>
      </c>
    </row>
    <row r="70" spans="1:60">
      <c r="A70" s="4" t="s">
        <v>88</v>
      </c>
      <c r="B70" s="2">
        <v>4.8337079999999997</v>
      </c>
      <c r="C70" s="2">
        <v>3.9846949999999999</v>
      </c>
      <c r="D70" s="2">
        <v>3.8342990000000001</v>
      </c>
      <c r="E70" s="2">
        <v>4.4641260000000003</v>
      </c>
      <c r="F70" s="2">
        <v>1.459012</v>
      </c>
      <c r="G70" s="2">
        <v>1.5945020000000001</v>
      </c>
      <c r="H70" s="2">
        <v>2.0304229999999999</v>
      </c>
      <c r="I70" s="2">
        <v>1.871297</v>
      </c>
      <c r="J70" s="7">
        <v>0.51504447502499995</v>
      </c>
      <c r="K70" s="7">
        <v>3.8539049277899998E-3</v>
      </c>
      <c r="L70" s="7">
        <v>2.85403044302E-3</v>
      </c>
      <c r="M70" s="7">
        <v>2.13701718274E-3</v>
      </c>
      <c r="N70" s="7">
        <v>0.99786298281726005</v>
      </c>
      <c r="O70" s="53" t="s">
        <v>22</v>
      </c>
      <c r="P70" s="7">
        <v>0.999973</v>
      </c>
      <c r="Q70" s="39" t="s">
        <v>114</v>
      </c>
    </row>
    <row r="71" spans="1:60">
      <c r="A71" s="4" t="s">
        <v>89</v>
      </c>
      <c r="B71" s="2">
        <v>21.342275000000001</v>
      </c>
      <c r="C71" s="2">
        <v>17.569046</v>
      </c>
      <c r="D71" s="2">
        <v>18.187484000000001</v>
      </c>
      <c r="E71" s="2">
        <v>19.221630999999999</v>
      </c>
      <c r="F71" s="2">
        <v>3.0552160000000002</v>
      </c>
      <c r="G71" s="2">
        <v>3.3217500000000002</v>
      </c>
      <c r="H71" s="2">
        <v>4.9391730000000003</v>
      </c>
      <c r="I71" s="2">
        <v>4.1330030000000004</v>
      </c>
      <c r="J71" s="7">
        <v>0.45419047054099998</v>
      </c>
      <c r="K71" s="7">
        <v>4.1273883947000002E-3</v>
      </c>
      <c r="L71" s="7">
        <v>1.20901364237E-3</v>
      </c>
      <c r="M71" s="7">
        <v>6.2624629292099996E-4</v>
      </c>
      <c r="N71" s="7">
        <v>0.99937375370707904</v>
      </c>
      <c r="O71" s="53" t="s">
        <v>22</v>
      </c>
      <c r="P71" s="7">
        <v>0.99298500000000001</v>
      </c>
      <c r="Q71" s="40" t="s">
        <v>2</v>
      </c>
    </row>
    <row r="72" spans="1:60">
      <c r="A72" s="4" t="s">
        <v>90</v>
      </c>
      <c r="B72" s="2">
        <v>48.336669000000001</v>
      </c>
      <c r="C72" s="2">
        <v>39.395530999999998</v>
      </c>
      <c r="D72" s="2">
        <v>41.271687999999997</v>
      </c>
      <c r="E72" s="2">
        <v>42.147657000000002</v>
      </c>
      <c r="F72" s="2">
        <v>3.3362289999999999</v>
      </c>
      <c r="G72" s="2">
        <v>3.6628210000000001</v>
      </c>
      <c r="H72" s="2">
        <v>5.5512569999999997</v>
      </c>
      <c r="I72" s="2">
        <v>4.7817920000000003</v>
      </c>
      <c r="J72" s="7">
        <v>0.38560370872299998</v>
      </c>
      <c r="K72" s="7">
        <v>1.21095633916E-3</v>
      </c>
      <c r="L72" s="7">
        <v>6.2232479052299998E-4</v>
      </c>
      <c r="M72" s="7">
        <v>6.50435996006E-4</v>
      </c>
      <c r="N72" s="7">
        <v>0.999349564003994</v>
      </c>
      <c r="O72" s="53" t="s">
        <v>22</v>
      </c>
      <c r="P72" s="7">
        <v>0.99614000000000003</v>
      </c>
      <c r="Q72" s="41" t="s">
        <v>3</v>
      </c>
    </row>
    <row r="73" spans="1:60">
      <c r="A73" t="s">
        <v>21</v>
      </c>
      <c r="B73" s="2">
        <f>32801174/1000000</f>
        <v>32.801174000000003</v>
      </c>
      <c r="C73" s="2">
        <f>25372486/1000000</f>
        <v>25.372485999999999</v>
      </c>
      <c r="D73" s="2">
        <f>26493735/1000000</f>
        <v>26.493735000000001</v>
      </c>
      <c r="E73" s="2">
        <f>28902743/1000000</f>
        <v>28.902743000000001</v>
      </c>
      <c r="F73" s="46">
        <f>3450421/1000000</f>
        <v>3.450421</v>
      </c>
      <c r="G73" s="46">
        <f>3700127/1000000</f>
        <v>3.7001270000000002</v>
      </c>
      <c r="H73" s="46">
        <f>5721674/1000000</f>
        <v>5.7216740000000001</v>
      </c>
      <c r="I73" s="46">
        <f>4609296/1000000</f>
        <v>4.6092959999999996</v>
      </c>
      <c r="J73" s="7">
        <v>0.49726751217199999</v>
      </c>
      <c r="K73" s="7">
        <v>1.65138599241E-2</v>
      </c>
      <c r="L73" s="7">
        <v>1.4840286065899999E-3</v>
      </c>
      <c r="M73" s="7">
        <v>3.9426458981200001E-3</v>
      </c>
      <c r="N73" s="7">
        <v>0.99605735410188001</v>
      </c>
      <c r="O73" s="53" t="s">
        <v>22</v>
      </c>
      <c r="P73" s="7">
        <v>0.98231935483870969</v>
      </c>
      <c r="Q73" s="51" t="s">
        <v>3</v>
      </c>
    </row>
    <row r="74" spans="1:60">
      <c r="A74" s="53" t="s">
        <v>119</v>
      </c>
      <c r="B74" s="2">
        <f>44176468/1000000</f>
        <v>44.176468</v>
      </c>
      <c r="C74" s="2">
        <f>34200334/1000000</f>
        <v>34.200333999999998</v>
      </c>
      <c r="D74" s="2">
        <f>35621661/1000000</f>
        <v>35.621661000000003</v>
      </c>
      <c r="E74" s="2">
        <f>39012837/1000000</f>
        <v>39.012836999999998</v>
      </c>
      <c r="F74" s="46">
        <f>3557231/1000000</f>
        <v>3.5572309999999998</v>
      </c>
      <c r="G74" s="46">
        <f>3934081/1000000</f>
        <v>3.9340809999999999</v>
      </c>
      <c r="H74" s="46">
        <f>6114276/1000000</f>
        <v>6.1142760000000003</v>
      </c>
      <c r="I74" s="46">
        <f>4935533/1000000</f>
        <v>4.9355330000000004</v>
      </c>
      <c r="J74" s="7">
        <v>0.50180118997500001</v>
      </c>
      <c r="K74" s="7">
        <v>1.8440051430799999E-2</v>
      </c>
      <c r="L74" s="7">
        <v>1.56315032604E-3</v>
      </c>
      <c r="M74" s="7">
        <v>4.3016639405399999E-3</v>
      </c>
      <c r="N74" s="7">
        <v>0.99569833605946001</v>
      </c>
      <c r="O74" s="53" t="s">
        <v>22</v>
      </c>
      <c r="P74" s="7">
        <v>0.97940967741935481</v>
      </c>
      <c r="Q74" s="51" t="s">
        <v>3</v>
      </c>
    </row>
    <row r="75" spans="1:60">
      <c r="A75" s="53" t="s">
        <v>120</v>
      </c>
      <c r="B75" s="2">
        <v>49.339571999999997</v>
      </c>
      <c r="C75" s="2">
        <v>38.074739999999998</v>
      </c>
      <c r="D75" s="2">
        <v>39.879539000000001</v>
      </c>
      <c r="E75" s="2">
        <v>43.507150000000003</v>
      </c>
      <c r="F75" s="2">
        <v>3.601591</v>
      </c>
      <c r="G75" s="2">
        <v>4.0052779999999997</v>
      </c>
      <c r="H75" s="2">
        <v>6.2666079999999997</v>
      </c>
      <c r="I75" s="2">
        <v>5.0560320000000001</v>
      </c>
      <c r="J75" s="7">
        <v>0.49765040285500001</v>
      </c>
      <c r="K75" s="7">
        <v>1.48527061055E-2</v>
      </c>
      <c r="L75" s="7">
        <v>1.44042435867E-3</v>
      </c>
      <c r="M75" s="7">
        <v>3.59275284774E-3</v>
      </c>
      <c r="N75" s="7">
        <v>0.99640724715226003</v>
      </c>
      <c r="O75" s="53" t="s">
        <v>22</v>
      </c>
      <c r="P75" s="7">
        <v>0.97722903225806446</v>
      </c>
      <c r="Q75" s="51" t="s">
        <v>3</v>
      </c>
    </row>
    <row r="76" spans="1:60">
      <c r="A76" s="53" t="s">
        <v>121</v>
      </c>
      <c r="B76" s="2">
        <v>16.613544000000001</v>
      </c>
      <c r="C76" s="2">
        <v>12.914707999999999</v>
      </c>
      <c r="D76" s="2">
        <v>13.324738999999999</v>
      </c>
      <c r="E76" s="2">
        <v>14.59606</v>
      </c>
      <c r="F76" s="2">
        <v>3.1297760000000001</v>
      </c>
      <c r="G76" s="2">
        <v>3.1877059999999999</v>
      </c>
      <c r="H76" s="2">
        <v>4.9206490000000001</v>
      </c>
      <c r="I76" s="2">
        <v>3.9267020000000001</v>
      </c>
      <c r="J76" s="7">
        <v>0.53339860073799994</v>
      </c>
      <c r="K76" s="7">
        <v>3.2579161848700001E-2</v>
      </c>
      <c r="L76" s="7">
        <v>2.1329067376599999E-3</v>
      </c>
      <c r="M76" s="7">
        <v>7.0643008989600001E-3</v>
      </c>
      <c r="N76" s="7">
        <v>0.99293569910103996</v>
      </c>
      <c r="O76" s="58" t="s">
        <v>22</v>
      </c>
      <c r="P76" s="7">
        <v>0.97204000000000002</v>
      </c>
      <c r="Q76" s="53" t="s">
        <v>3</v>
      </c>
    </row>
    <row r="77" spans="1:60">
      <c r="A77" s="53" t="s">
        <v>122</v>
      </c>
      <c r="B77" s="2">
        <v>14.806027</v>
      </c>
      <c r="C77" s="2">
        <v>11.45548</v>
      </c>
      <c r="D77" s="2">
        <v>11.862876999999999</v>
      </c>
      <c r="E77" s="2">
        <v>12.953721</v>
      </c>
      <c r="F77" s="2">
        <v>3.084676</v>
      </c>
      <c r="G77" s="2">
        <v>3.0470769999999998</v>
      </c>
      <c r="H77" s="2">
        <v>4.7300149999999999</v>
      </c>
      <c r="I77" s="2">
        <v>3.7604839999999999</v>
      </c>
      <c r="J77" s="7">
        <v>0.52124144966599995</v>
      </c>
      <c r="K77" s="7">
        <v>2.2940141307299999E-2</v>
      </c>
      <c r="L77" s="7">
        <v>1.6505308046499999E-3</v>
      </c>
      <c r="M77" s="7">
        <v>5.02388635606E-3</v>
      </c>
      <c r="N77" s="7">
        <v>0.99497611364394001</v>
      </c>
      <c r="O77" s="58" t="s">
        <v>22</v>
      </c>
      <c r="P77" s="7">
        <v>0.98130000000000006</v>
      </c>
      <c r="Q77" s="53" t="s">
        <v>3</v>
      </c>
    </row>
    <row r="78" spans="1:60">
      <c r="A78" s="53" t="s">
        <v>123</v>
      </c>
      <c r="B78" s="2">
        <v>17.971236999999999</v>
      </c>
      <c r="C78" s="2">
        <v>13.945079</v>
      </c>
      <c r="D78" s="2">
        <v>14.36833</v>
      </c>
      <c r="E78" s="2">
        <v>15.780808</v>
      </c>
      <c r="F78" s="2">
        <v>3.125324</v>
      </c>
      <c r="G78" s="2">
        <v>3.1466780000000001</v>
      </c>
      <c r="H78" s="2">
        <v>4.8735249999999999</v>
      </c>
      <c r="I78" s="2">
        <v>3.8803969999999999</v>
      </c>
      <c r="J78" s="7">
        <v>0.51836767348899992</v>
      </c>
      <c r="K78" s="7">
        <v>5.1283274628999998E-3</v>
      </c>
      <c r="L78" s="7">
        <v>7.9723052136099995E-4</v>
      </c>
      <c r="M78" s="7">
        <v>1.6574489989499999E-3</v>
      </c>
      <c r="N78" s="7">
        <v>0.99834255100104996</v>
      </c>
      <c r="O78" s="58" t="s">
        <v>22</v>
      </c>
      <c r="P78" s="7">
        <v>0.9895733333333333</v>
      </c>
      <c r="Q78" s="53" t="s">
        <v>3</v>
      </c>
      <c r="R78" s="45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</row>
    <row r="79" spans="1:60">
      <c r="B79" s="56"/>
      <c r="C79" s="58"/>
      <c r="D79" s="58"/>
      <c r="E79" s="58"/>
      <c r="F79" s="58"/>
      <c r="H79" s="58"/>
      <c r="I79" s="55"/>
      <c r="J79" s="51"/>
      <c r="K79" s="50"/>
      <c r="L79" s="52"/>
    </row>
    <row r="80" spans="1:60">
      <c r="B80" s="56"/>
      <c r="C80" s="57"/>
      <c r="D80" s="57"/>
      <c r="E80" s="57"/>
      <c r="F80" s="57"/>
      <c r="H80" s="58"/>
      <c r="I80" s="55"/>
      <c r="J80" s="51"/>
      <c r="K80" s="50"/>
      <c r="L80" s="52"/>
      <c r="M80" s="52"/>
      <c r="N80" s="49"/>
    </row>
    <row r="81" spans="1:19">
      <c r="A81" s="45" t="s">
        <v>20</v>
      </c>
      <c r="B81" s="56"/>
      <c r="H81" s="58"/>
      <c r="I81" s="55"/>
      <c r="J81" s="51"/>
      <c r="K81" s="50"/>
      <c r="L81" s="52"/>
      <c r="M81" s="52"/>
      <c r="N81" s="49"/>
      <c r="O81" s="47"/>
    </row>
    <row r="82" spans="1:19">
      <c r="A82" s="45" t="s">
        <v>10</v>
      </c>
      <c r="H82" s="58"/>
      <c r="I82" s="55"/>
      <c r="L82" s="52"/>
      <c r="M82" s="52"/>
      <c r="N82" s="49"/>
      <c r="O82" s="47"/>
    </row>
    <row r="83" spans="1:19">
      <c r="A83" s="45" t="s">
        <v>70</v>
      </c>
      <c r="I83" s="48"/>
      <c r="N83" s="49"/>
      <c r="O83" s="62"/>
    </row>
    <row r="84" spans="1:19">
      <c r="A84" s="45" t="s">
        <v>71</v>
      </c>
      <c r="E84" s="61"/>
      <c r="F84" s="61"/>
      <c r="G84" s="61"/>
      <c r="H84" s="61"/>
      <c r="I84" s="48"/>
      <c r="N84" s="47"/>
      <c r="O84" s="47"/>
      <c r="Q84" s="53"/>
      <c r="R84" s="53"/>
      <c r="S84" s="53"/>
    </row>
    <row r="85" spans="1:19">
      <c r="A85" s="45" t="s">
        <v>18</v>
      </c>
      <c r="E85" s="61"/>
      <c r="F85" s="61"/>
      <c r="G85" s="61"/>
      <c r="H85" s="61"/>
      <c r="I85" s="54"/>
      <c r="N85" s="47"/>
      <c r="O85" s="47"/>
    </row>
    <row r="86" spans="1:19">
      <c r="A86" s="45" t="s">
        <v>66</v>
      </c>
      <c r="E86" s="61"/>
      <c r="F86" s="61"/>
      <c r="G86" s="61"/>
      <c r="H86" s="61"/>
      <c r="I86" s="54"/>
    </row>
    <row r="87" spans="1:19">
      <c r="A87" s="45" t="s">
        <v>19</v>
      </c>
      <c r="I87" s="54"/>
    </row>
    <row r="88" spans="1:19">
      <c r="A88" s="45" t="s">
        <v>65</v>
      </c>
      <c r="I88" s="54"/>
    </row>
    <row r="89" spans="1:19">
      <c r="A89" s="45" t="s">
        <v>30</v>
      </c>
      <c r="B89" s="1"/>
      <c r="C89" s="1"/>
      <c r="D89" s="1"/>
      <c r="E89" s="59"/>
      <c r="F89" s="60"/>
      <c r="G89" s="61"/>
      <c r="H89" s="1"/>
      <c r="I89" s="1"/>
      <c r="J89" s="1"/>
      <c r="K89" s="1"/>
      <c r="L89" s="1"/>
      <c r="M89" s="1"/>
    </row>
    <row r="90" spans="1:19">
      <c r="A90" s="45" t="s">
        <v>31</v>
      </c>
      <c r="B90" s="1"/>
      <c r="C90" s="1"/>
      <c r="D90" s="1"/>
      <c r="E90" s="59"/>
      <c r="F90" s="60"/>
      <c r="G90" s="61"/>
      <c r="H90" s="1"/>
      <c r="I90" s="1"/>
      <c r="J90" s="1"/>
      <c r="K90" s="1"/>
      <c r="L90" s="1"/>
      <c r="M90" s="1"/>
    </row>
    <row r="91" spans="1:19">
      <c r="A91" s="45" t="s">
        <v>32</v>
      </c>
      <c r="B91" s="1"/>
      <c r="C91" s="1"/>
      <c r="D91" s="1"/>
      <c r="E91" s="59"/>
      <c r="F91" s="60"/>
      <c r="G91" s="61"/>
      <c r="H91" s="1"/>
      <c r="I91" s="1"/>
      <c r="J91" s="1"/>
      <c r="K91" s="1"/>
      <c r="L91" s="1"/>
      <c r="M91" s="1"/>
    </row>
    <row r="92" spans="1:19">
      <c r="A92" s="45" t="s">
        <v>37</v>
      </c>
      <c r="B92" s="1"/>
      <c r="C92" s="1"/>
      <c r="D92" s="1"/>
      <c r="E92" s="59"/>
      <c r="F92" s="60"/>
      <c r="G92" s="61"/>
      <c r="H92" s="1"/>
      <c r="I92" s="1"/>
      <c r="J92" s="1"/>
      <c r="K92" s="1"/>
      <c r="L92" s="1"/>
      <c r="M92" s="1"/>
    </row>
    <row r="93" spans="1:19">
      <c r="A93" s="45" t="s">
        <v>17</v>
      </c>
      <c r="B93" s="1"/>
      <c r="C93" s="1"/>
      <c r="D93" s="1"/>
      <c r="H93" s="1"/>
      <c r="I93" s="1"/>
      <c r="J93" s="1"/>
      <c r="K93" s="1"/>
      <c r="L93" s="1"/>
      <c r="M93" s="1"/>
    </row>
    <row r="94" spans="1:19">
      <c r="A94" s="45" t="s">
        <v>5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9">
      <c r="A95" s="45" t="s">
        <v>39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9">
      <c r="A96" s="45" t="s">
        <v>16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>
      <c r="A97" s="45" t="s">
        <v>95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>
      <c r="A98" s="45" t="s">
        <v>25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>
      <c r="A99" s="45" t="s">
        <v>26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>
      <c r="A100" s="45" t="s">
        <v>33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>
      <c r="A101" s="45" t="s">
        <v>42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>
      <c r="A102" s="45" t="s">
        <v>41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>
      <c r="A103" s="45" t="s">
        <v>34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>
      <c r="A104" s="45" t="s">
        <v>7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>
      <c r="A105" s="45" t="s">
        <v>6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>
      <c r="A106" s="45" t="s">
        <v>8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>
      <c r="A107" s="45" t="s">
        <v>9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>
      <c r="A108" s="45" t="s">
        <v>44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>
      <c r="A109" s="45" t="s">
        <v>45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>
      <c r="A110" s="45" t="s">
        <v>46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>
      <c r="A111" s="45" t="s">
        <v>47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>
      <c r="A112" s="45" t="s">
        <v>48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>
      <c r="A113" s="45" t="s">
        <v>49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>
      <c r="A114" s="45" t="s">
        <v>50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>
      <c r="A115" s="45" t="s">
        <v>12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>
      <c r="A116" s="45" t="s">
        <v>13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>
      <c r="A117" s="45" t="s">
        <v>78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3">
      <c r="A118" s="45" t="s">
        <v>11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3">
      <c r="A119" s="45" t="s">
        <v>96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3">
      <c r="A120" s="45" t="s">
        <v>14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>
      <c r="A121" s="45" t="s">
        <v>58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>
      <c r="A122" s="45" t="s">
        <v>15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2:13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2:13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2:13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2:13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2:13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2:13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2:13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2:13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2:13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2:13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2:13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2:13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2:13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2:13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2:13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2:13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2:13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2:13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2:13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2:13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2:13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2:1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2:1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2:1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2:1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2:1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2:1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2:1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2:1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2:1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2:1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2:1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2:1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2:1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2:1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2:1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2:1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2:13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2:13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2:13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2:13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2:13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2:13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2:13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2:13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2:13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2:13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2:13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2:13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2:13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2:13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2:13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2:1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2:1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2:13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2:13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048574" spans="15:15">
      <c r="O1048574" s="3"/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SummaryStatistics_small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mziller</cp:lastModifiedBy>
  <cp:lastPrinted>2011-01-23T22:17:05Z</cp:lastPrinted>
  <dcterms:created xsi:type="dcterms:W3CDTF">2011-01-10T22:47:15Z</dcterms:created>
  <dcterms:modified xsi:type="dcterms:W3CDTF">2011-10-14T15:13:30Z</dcterms:modified>
</cp:coreProperties>
</file>