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9" r:id="rId13"/>
    <pivotCache cacheId="10" r:id="rId14"/>
    <pivotCache cacheId="11" r:id="rId15"/>
  </pivotCaches>
</workbook>
</file>

<file path=xl/calcChain.xml><?xml version="1.0" encoding="utf-8"?>
<calcChain xmlns="http://schemas.openxmlformats.org/spreadsheetml/2006/main">
  <c r="M28" i="1" l="1"/>
  <c r="M29" i="1"/>
  <c r="M30" i="1"/>
  <c r="M31" i="1"/>
  <c r="M32" i="1"/>
  <c r="M33" i="1"/>
  <c r="M34" i="1"/>
  <c r="M35" i="1"/>
  <c r="M27" i="1"/>
  <c r="M14" i="1"/>
  <c r="M15" i="1"/>
  <c r="M16" i="1"/>
  <c r="M17" i="1"/>
  <c r="M18" i="1"/>
  <c r="M19" i="1"/>
  <c r="M20" i="1"/>
  <c r="M21" i="1"/>
  <c r="M13" i="1"/>
  <c r="M5" i="1"/>
  <c r="M6" i="1"/>
  <c r="M4" i="1"/>
  <c r="B10" i="1" l="1"/>
  <c r="B24" i="1" s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O43" i="1" l="1"/>
  <c r="O28" i="1" l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27" i="1"/>
  <c r="P27" i="1" s="1"/>
  <c r="O14" i="1"/>
  <c r="O15" i="1"/>
  <c r="O16" i="1"/>
  <c r="O17" i="1"/>
  <c r="O18" i="1"/>
  <c r="O19" i="1"/>
  <c r="O20" i="1"/>
  <c r="O21" i="1"/>
  <c r="O13" i="1"/>
  <c r="F4" i="3"/>
  <c r="F6" i="3"/>
  <c r="F7" i="3"/>
  <c r="F8" i="3"/>
  <c r="F9" i="3"/>
  <c r="F10" i="3"/>
  <c r="F11" i="3"/>
  <c r="F3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I17" i="5" s="1"/>
  <c r="F18" i="5"/>
  <c r="G18" i="5" s="1"/>
  <c r="D19" i="5"/>
  <c r="E19" i="5" s="1"/>
  <c r="B20" i="5"/>
  <c r="C20" i="5" s="1"/>
  <c r="J20" i="5"/>
  <c r="P20" i="1"/>
  <c r="J14" i="5"/>
  <c r="K14" i="5" s="1"/>
  <c r="P16" i="1"/>
  <c r="N7" i="1"/>
  <c r="O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P14" i="1" l="1"/>
  <c r="P15" i="1"/>
  <c r="P18" i="1"/>
  <c r="P19" i="1"/>
  <c r="P21" i="1"/>
  <c r="P17" i="1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P13" i="1"/>
  <c r="O4" i="1"/>
  <c r="O5" i="1"/>
  <c r="F8" i="5" l="1"/>
  <c r="G44" i="5" s="1"/>
  <c r="J8" i="5"/>
  <c r="K44" i="5" s="1"/>
  <c r="B8" i="5"/>
  <c r="C5" i="5" s="1"/>
  <c r="D8" i="5"/>
  <c r="E44" i="5" s="1"/>
  <c r="H8" i="5"/>
  <c r="I44" i="5" s="1"/>
  <c r="P5" i="1"/>
  <c r="P43" i="1"/>
  <c r="P6" i="1"/>
  <c r="P4" i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<sst xmlns="http://schemas.openxmlformats.org/spreadsheetml/2006/main" count="328" uniqueCount="62">
  <si>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</si>
  <si>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</si>
  <si>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</si>
  <si>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</si>
  <si>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</si>
  <si>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</si>
  <si>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</si>
  <si>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</si>
  <si>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</si>
  <si>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</si>
  <si>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</si>
  <si>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</si>
  <si>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</si>
  <si>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</si>
  <si>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</si>
  <si>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</si>
  <si>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</si>
  <si>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</si>
  <si>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</si>
  <si>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</si>
  <si>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</si>
  <si>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</si>
  <si>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</si>
  <si>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</si>
  <si>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</si>
  <si>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</si>
  <si>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</si>
  <si>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</si>
  <si>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</si>
  <si>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</si>
  <si>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</si>
  <si>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</si>
  <si>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</si>
  <si>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</si>
  <si>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</si>
  <si>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</si>
  <si>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</si>
  <si>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</si>
  <si>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</si>
  <si>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</si>
  <si>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</si>
  <si>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</si>
  <si>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</si>
  <si>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</si>
  <si>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</si>
  <si>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</si>
  <si>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</si>
  <si>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</si>
  <si>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</si>
  <si>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</si>
  <si>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</si>
  <si>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</si>
  <si>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</si>
  <si>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</si>
  <si>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</si>
  <si>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</si>
  <si>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</si>
  <si>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</si>
  <si>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</si>
  <si>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</si>
  <si>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6 Year MSJC SJC Data</t>
  </si>
  <si>
    <t>6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</si>
</sst>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0" fontId="16" fillId="0" borderId="53" xfId="2" applyFont="1" applyBorder="1" applyAlignment="1">
      <alignment horizontal="right"/>
    </xf>
    <xf numFmtId="0" fontId="22" fillId="0" borderId="53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4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5" xfId="2" applyFont="1" applyBorder="1" applyAlignment="1">
      <alignment horizontal="center" vertical="center"/>
    </xf>
    <xf numFmtId="3" fontId="33" fillId="0" borderId="55" xfId="118" applyNumberFormat="1" applyFont="1" applyBorder="1" applyAlignment="1"/>
    <xf numFmtId="0" fontId="0" fillId="0" borderId="55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6" xfId="0" applyBorder="1"/>
    <xf numFmtId="0" fontId="19" fillId="0" borderId="53" xfId="49" applyBorder="1" applyAlignment="1" applyProtection="1"/>
    <xf numFmtId="0" fontId="0" fillId="0" borderId="54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164" fontId="16" fillId="34" borderId="57" xfId="0" applyNumberFormat="1" applyFont="1" applyFill="1" applyBorder="1"/>
    <xf numFmtId="0" fontId="30" fillId="0" borderId="58" xfId="0" applyFont="1" applyBorder="1"/>
    <xf numFmtId="0" fontId="30" fillId="0" borderId="59" xfId="0" applyFont="1" applyBorder="1"/>
    <xf numFmtId="0" fontId="29" fillId="0" borderId="60" xfId="2" applyFont="1" applyBorder="1" applyAlignment="1">
      <alignment horizontal="center" vertical="center"/>
    </xf>
    <xf numFmtId="0" fontId="30" fillId="0" borderId="60" xfId="0" applyFont="1" applyBorder="1"/>
    <xf numFmtId="0" fontId="23" fillId="0" borderId="27" xfId="117" applyNumberFormat="1" applyFont="1" applyBorder="1" applyAlignment="1">
      <alignment horizontal="center" vertical="center"/>
    </xf>
    <xf numFmtId="0" fontId="23" fillId="0" borderId="29" xfId="117" applyNumberFormat="1" applyFont="1" applyBorder="1" applyAlignment="1">
      <alignment horizontal="center" vertical="center"/>
    </xf>
    <xf numFmtId="0" fontId="23" fillId="0" borderId="32" xfId="117" applyNumberFormat="1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0" fillId="0" borderId="0" xfId="0"/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23" fillId="0" borderId="38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164" fontId="16" fillId="34" borderId="57" xfId="0" applyNumberFormat="1" applyFont="1" applyFill="1" applyBorder="1"/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4" fillId="0" borderId="16" xfId="2" applyFont="1" applyBorder="1" applyAlignment="1">
      <alignment horizontal="center"/>
    </xf>
    <xf numFmtId="0" fontId="24" fillId="0" borderId="42" xfId="2" applyFont="1" applyBorder="1" applyAlignment="1">
      <alignment horizontal="center"/>
    </xf>
    <xf numFmtId="0" fontId="24" fillId="0" borderId="43" xfId="2" applyFont="1" applyBorder="1" applyAlignment="1">
      <alignment horizont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4480</c:v>
                </c:pt>
                <c:pt idx="1">
                  <c:v>5119</c:v>
                </c:pt>
                <c:pt idx="2">
                  <c:v>5427</c:v>
                </c:pt>
                <c:pt idx="3">
                  <c:v>4507</c:v>
                </c:pt>
                <c:pt idx="4">
                  <c:v>4194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3178</c:v>
                </c:pt>
                <c:pt idx="1">
                  <c:v>3634</c:v>
                </c:pt>
                <c:pt idx="2">
                  <c:v>4155</c:v>
                </c:pt>
                <c:pt idx="3">
                  <c:v>3538</c:v>
                </c:pt>
                <c:pt idx="4">
                  <c:v>3337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85</c:v>
                </c:pt>
                <c:pt idx="1">
                  <c:v>143</c:v>
                </c:pt>
                <c:pt idx="2">
                  <c:v>112</c:v>
                </c:pt>
                <c:pt idx="3">
                  <c:v>97</c:v>
                </c:pt>
                <c:pt idx="4">
                  <c:v>76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149632"/>
        <c:axId val="93772032"/>
      </c:barChart>
      <c:catAx>
        <c:axId val="5214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93772032"/>
        <c:crosses val="autoZero"/>
        <c:auto val="1"/>
        <c:lblAlgn val="ctr"/>
        <c:lblOffset val="100"/>
        <c:noMultiLvlLbl val="0"/>
      </c:catAx>
      <c:valAx>
        <c:axId val="93772032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2149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3274</c:v>
                </c:pt>
                <c:pt idx="1">
                  <c:v>3452</c:v>
                </c:pt>
                <c:pt idx="2">
                  <c:v>3686</c:v>
                </c:pt>
                <c:pt idx="3">
                  <c:v>2998</c:v>
                </c:pt>
                <c:pt idx="4">
                  <c:v>2671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2542</c:v>
                </c:pt>
                <c:pt idx="1">
                  <c:v>3057</c:v>
                </c:pt>
                <c:pt idx="2">
                  <c:v>3463</c:v>
                </c:pt>
                <c:pt idx="3">
                  <c:v>3144</c:v>
                </c:pt>
                <c:pt idx="4">
                  <c:v>3191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730</c:v>
                </c:pt>
                <c:pt idx="1">
                  <c:v>952</c:v>
                </c:pt>
                <c:pt idx="2">
                  <c:v>1002</c:v>
                </c:pt>
                <c:pt idx="3">
                  <c:v>792</c:v>
                </c:pt>
                <c:pt idx="4">
                  <c:v>763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550</c:v>
                </c:pt>
                <c:pt idx="1">
                  <c:v>661</c:v>
                </c:pt>
                <c:pt idx="2">
                  <c:v>682</c:v>
                </c:pt>
                <c:pt idx="3">
                  <c:v>429</c:v>
                </c:pt>
                <c:pt idx="4">
                  <c:v>280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194</c:v>
                </c:pt>
                <c:pt idx="1">
                  <c:v>187</c:v>
                </c:pt>
                <c:pt idx="2">
                  <c:v>220</c:v>
                </c:pt>
                <c:pt idx="3">
                  <c:v>172</c:v>
                </c:pt>
                <c:pt idx="4">
                  <c:v>141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160</c:v>
                </c:pt>
                <c:pt idx="1">
                  <c:v>202</c:v>
                </c:pt>
                <c:pt idx="2">
                  <c:v>194</c:v>
                </c:pt>
                <c:pt idx="3">
                  <c:v>158</c:v>
                </c:pt>
                <c:pt idx="4">
                  <c:v>126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125</c:v>
                </c:pt>
                <c:pt idx="1">
                  <c:v>157</c:v>
                </c:pt>
                <c:pt idx="2">
                  <c:v>243</c:v>
                </c:pt>
                <c:pt idx="3">
                  <c:v>306</c:v>
                </c:pt>
                <c:pt idx="4">
                  <c:v>326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112</c:v>
                </c:pt>
                <c:pt idx="1">
                  <c:v>147</c:v>
                </c:pt>
                <c:pt idx="2">
                  <c:v>132</c:v>
                </c:pt>
                <c:pt idx="3">
                  <c:v>92</c:v>
                </c:pt>
                <c:pt idx="4">
                  <c:v>71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56</c:v>
                </c:pt>
                <c:pt idx="1">
                  <c:v>81</c:v>
                </c:pt>
                <c:pt idx="2">
                  <c:v>72</c:v>
                </c:pt>
                <c:pt idx="3">
                  <c:v>51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55136"/>
        <c:axId val="48557056"/>
      </c:barChart>
      <c:catAx>
        <c:axId val="485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48557056"/>
        <c:crosses val="autoZero"/>
        <c:auto val="1"/>
        <c:lblAlgn val="ctr"/>
        <c:lblOffset val="100"/>
        <c:noMultiLvlLbl val="0"/>
      </c:catAx>
      <c:valAx>
        <c:axId val="4855705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555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327</c:v>
                </c:pt>
                <c:pt idx="1">
                  <c:v>395</c:v>
                </c:pt>
                <c:pt idx="2">
                  <c:v>277</c:v>
                </c:pt>
                <c:pt idx="3">
                  <c:v>131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1771</c:v>
                </c:pt>
                <c:pt idx="1">
                  <c:v>2206</c:v>
                </c:pt>
                <c:pt idx="2">
                  <c:v>2301</c:v>
                </c:pt>
                <c:pt idx="3">
                  <c:v>1850</c:v>
                </c:pt>
                <c:pt idx="4">
                  <c:v>1680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2355</c:v>
                </c:pt>
                <c:pt idx="1">
                  <c:v>2709</c:v>
                </c:pt>
                <c:pt idx="2">
                  <c:v>3186</c:v>
                </c:pt>
                <c:pt idx="3">
                  <c:v>2993</c:v>
                </c:pt>
                <c:pt idx="4">
                  <c:v>2943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949</c:v>
                </c:pt>
                <c:pt idx="1">
                  <c:v>1063</c:v>
                </c:pt>
                <c:pt idx="2">
                  <c:v>1291</c:v>
                </c:pt>
                <c:pt idx="3">
                  <c:v>1061</c:v>
                </c:pt>
                <c:pt idx="4">
                  <c:v>1012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618</c:v>
                </c:pt>
                <c:pt idx="1">
                  <c:v>693</c:v>
                </c:pt>
                <c:pt idx="2">
                  <c:v>714</c:v>
                </c:pt>
                <c:pt idx="3">
                  <c:v>605</c:v>
                </c:pt>
                <c:pt idx="4">
                  <c:v>552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473</c:v>
                </c:pt>
                <c:pt idx="1">
                  <c:v>575</c:v>
                </c:pt>
                <c:pt idx="2">
                  <c:v>551</c:v>
                </c:pt>
                <c:pt idx="3">
                  <c:v>417</c:v>
                </c:pt>
                <c:pt idx="4">
                  <c:v>390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736</c:v>
                </c:pt>
                <c:pt idx="1">
                  <c:v>771</c:v>
                </c:pt>
                <c:pt idx="2">
                  <c:v>871</c:v>
                </c:pt>
                <c:pt idx="3">
                  <c:v>678</c:v>
                </c:pt>
                <c:pt idx="4">
                  <c:v>587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512</c:v>
                </c:pt>
                <c:pt idx="1">
                  <c:v>484</c:v>
                </c:pt>
                <c:pt idx="2">
                  <c:v>501</c:v>
                </c:pt>
                <c:pt idx="3">
                  <c:v>406</c:v>
                </c:pt>
                <c:pt idx="4">
                  <c:v>366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04384"/>
        <c:axId val="52706304"/>
      </c:barChart>
      <c:catAx>
        <c:axId val="5270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2706304"/>
        <c:crosses val="autoZero"/>
        <c:auto val="1"/>
        <c:lblAlgn val="ctr"/>
        <c:lblOffset val="100"/>
        <c:noMultiLvlLbl val="0"/>
      </c:catAx>
      <c:valAx>
        <c:axId val="52706304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4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75030787036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85" maxValue="4480"/>
    </cacheField>
    <cacheField name="AY07-08%" numFmtId="0">
      <sharedItems containsSemiMixedTypes="0" containsString="0" containsNumber="1" minValue="1.0977657238796332E-2" maxValue="0.57858711093891257"/>
    </cacheField>
    <cacheField name="AY08-09#" numFmtId="0">
      <sharedItems containsSemiMixedTypes="0" containsString="0" containsNumber="1" containsInteger="1" minValue="143" maxValue="5119"/>
    </cacheField>
    <cacheField name="AY08-09%" numFmtId="0">
      <sharedItems containsSemiMixedTypes="0" containsString="0" containsNumber="1" minValue="1.6074640287769785E-2" maxValue="0.57542715827338131"/>
    </cacheField>
    <cacheField name="AY09-10#" numFmtId="0">
      <sharedItems containsSemiMixedTypes="0" containsString="0" containsNumber="1" containsInteger="1" minValue="112" maxValue="5427"/>
    </cacheField>
    <cacheField name="AY09-10%" numFmtId="0">
      <sharedItems containsSemiMixedTypes="0" containsString="0" containsNumber="1" minValue="1.1553538271095523E-2" maxValue="0.55983082318960187"/>
    </cacheField>
    <cacheField name="AY10-11#" numFmtId="0">
      <sharedItems containsSemiMixedTypes="0" containsString="0" containsNumber="1" containsInteger="1" minValue="97" maxValue="4507"/>
    </cacheField>
    <cacheField name="AY10-11%" numFmtId="0">
      <sharedItems containsSemiMixedTypes="0" containsString="0" containsNumber="1" minValue="1.1913534758044707E-2" maxValue="0.5535494964382216"/>
    </cacheField>
    <cacheField name="AY11-12#" numFmtId="0">
      <sharedItems containsSemiMixedTypes="0" containsString="0" containsNumber="1" containsInteger="1" minValue="76" maxValue="4194"/>
    </cacheField>
    <cacheField name="AY11-12%" numFmtId="0">
      <sharedItems containsSemiMixedTypes="0" containsString="0" containsNumber="1" minValue="9.9907979492572623E-3" maxValue="0.55133429735769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7508217592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56" maxValue="3274"/>
    </cacheField>
    <cacheField name="AY07-08%" numFmtId="0">
      <sharedItems containsSemiMixedTypes="0" containsString="0" containsNumber="1" minValue="7.232338886736407E-3" maxValue="0.42283352705669636"/>
    </cacheField>
    <cacheField name="AY08-09#" numFmtId="0">
      <sharedItems containsSemiMixedTypes="0" containsString="0" containsNumber="1" containsInteger="1" minValue="81" maxValue="3452"/>
    </cacheField>
    <cacheField name="AY08-09%" numFmtId="0">
      <sharedItems containsSemiMixedTypes="0" containsString="0" containsNumber="1" minValue="9.1052158273381301E-3" maxValue="0.38803956834532372"/>
    </cacheField>
    <cacheField name="AY09-10#" numFmtId="0">
      <sharedItems containsSemiMixedTypes="0" containsString="0" containsNumber="1" containsInteger="1" minValue="72" maxValue="3686"/>
    </cacheField>
    <cacheField name="AY09-10%" numFmtId="0">
      <sharedItems containsSemiMixedTypes="0" containsString="0" containsNumber="1" minValue="7.4272746028471223E-3" maxValue="0.38023519702909014"/>
    </cacheField>
    <cacheField name="AY10-11#" numFmtId="0">
      <sharedItems containsSemiMixedTypes="0" containsString="0" containsNumber="1" containsInteger="1" minValue="51" maxValue="3144"/>
    </cacheField>
    <cacheField name="AY10-11%" numFmtId="0">
      <sharedItems containsSemiMixedTypes="0" containsString="0" containsNumber="1" minValue="6.263817243920413E-3" maxValue="0.38614591009579957"/>
    </cacheField>
    <cacheField name="AY11-12#" numFmtId="0">
      <sharedItems containsSemiMixedTypes="0" containsString="0" containsNumber="1" containsInteger="1" minValue="38" maxValue="3191"/>
    </cacheField>
    <cacheField name="AY11-12%" numFmtId="0">
      <sharedItems containsSemiMixedTypes="0" containsString="0" containsNumber="1" minValue="4.9953989746286311E-3" maxValue="0.41948205600105165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7513773148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2" maxValue="2355"/>
    </cacheField>
    <cacheField name="AY07-08%" numFmtId="0">
      <sharedItems containsSemiMixedTypes="0" containsString="0" containsNumber="1" minValue="2.582978173834431E-4" maxValue="0.30414567996900427"/>
    </cacheField>
    <cacheField name="AY08-09#" numFmtId="0">
      <sharedItems containsSemiMixedTypes="0" containsString="0" containsNumber="1" containsInteger="1" minValue="0" maxValue="2709"/>
    </cacheField>
    <cacheField name="AY08-09%" numFmtId="0">
      <sharedItems containsSemiMixedTypes="0" containsString="0" containsNumber="1" minValue="0" maxValue="0.30451888489208634"/>
    </cacheField>
    <cacheField name="AY09-10#" numFmtId="0">
      <sharedItems containsSemiMixedTypes="0" containsString="0" containsNumber="1" containsInteger="1" minValue="2" maxValue="3186"/>
    </cacheField>
    <cacheField name="AY09-10%" numFmtId="0">
      <sharedItems containsSemiMixedTypes="0" containsString="0" containsNumber="1" minValue="2.0631318341242006E-4" maxValue="0.32865690117598517"/>
    </cacheField>
    <cacheField name="AY10-11#" numFmtId="0">
      <sharedItems containsSemiMixedTypes="0" containsString="0" containsNumber="1" containsInteger="1" minValue="1" maxValue="2993"/>
    </cacheField>
    <cacheField name="AY10-11%" numFmtId="0">
      <sharedItems containsSemiMixedTypes="0" containsString="0" containsNumber="1" minValue="1.2281994595922377E-4" maxValue="0.36760009825595674"/>
    </cacheField>
    <cacheField name="AY11-12#" numFmtId="0">
      <sharedItems containsSemiMixedTypes="0" containsString="0" containsNumber="1" containsInteger="1" minValue="1" maxValue="2943"/>
    </cacheField>
    <cacheField name="AY11-12%" numFmtId="0">
      <sharedItems containsSemiMixedTypes="0" containsString="0" containsNumber="1" minValue="1.3145786775338504E-4" maxValue="0.38688050479821218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4480"/>
    <n v="0.57858711093891257"/>
    <n v="5119"/>
    <n v="0.57542715827338131"/>
    <n v="5427"/>
    <n v="0.55983082318960187"/>
    <n v="4507"/>
    <n v="0.5535494964382216"/>
    <n v="4194"/>
    <n v="0.5513342973576969"/>
    <n v="425726"/>
    <n v="0.50871708836104401"/>
  </r>
  <r>
    <x v="1"/>
    <n v="3178"/>
    <n v="0.41043523182229108"/>
    <n v="3634"/>
    <n v="0.40849820143884891"/>
    <n v="4155"/>
    <n v="0.42861563853930268"/>
    <n v="3538"/>
    <n v="0.43453696880373371"/>
    <n v="3337"/>
    <n v="0.43867490469304588"/>
    <n v="411136"/>
    <n v="0.49128291163895599"/>
  </r>
  <r>
    <x v="2"/>
    <n v="85"/>
    <n v="1.0977657238796332E-2"/>
    <n v="143"/>
    <n v="1.6074640287769785E-2"/>
    <n v="112"/>
    <n v="1.1553538271095523E-2"/>
    <n v="97"/>
    <n v="1.1913534758044707E-2"/>
    <n v="76"/>
    <n v="9.990797949257262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274"/>
    <n v="0.42283352705669636"/>
    <n v="3452"/>
    <n v="0.38803956834532372"/>
    <n v="3686"/>
    <n v="0.38023519702909014"/>
    <n v="2998"/>
    <n v="0.36821419798575289"/>
    <n v="2671"/>
    <n v="0.35112396476929142"/>
    <n v="398271"/>
    <n v="0.47591000666776601"/>
  </r>
  <r>
    <x v="1"/>
    <n v="2542"/>
    <n v="0.32829652589435621"/>
    <n v="3057"/>
    <n v="0.34363758992805754"/>
    <n v="3463"/>
    <n v="0.3572312770786053"/>
    <n v="3144"/>
    <n v="0.38614591009579957"/>
    <n v="3191"/>
    <n v="0.41948205600105165"/>
    <n v="318674"/>
    <n v="0.38079635591053246"/>
  </r>
  <r>
    <x v="2"/>
    <n v="730"/>
    <n v="9.4278703344956735E-2"/>
    <n v="952"/>
    <n v="0.10701438848920863"/>
    <n v="1002"/>
    <n v="0.10336290488962245"/>
    <n v="792"/>
    <n v="9.7273397199705236E-2"/>
    <n v="763"/>
    <n v="0.10030235309583278"/>
    <n v="43085"/>
    <n v="5.1483996166632011E-2"/>
  </r>
  <r>
    <x v="3"/>
    <n v="160"/>
    <n v="2.0663825390675447E-2"/>
    <n v="202"/>
    <n v="2.2706834532374102E-2"/>
    <n v="194"/>
    <n v="2.0012378791004745E-2"/>
    <n v="158"/>
    <n v="1.9405551461557358E-2"/>
    <n v="126"/>
    <n v="1.6563691336926516E-2"/>
    <n v="21251"/>
    <n v="2.5393673030917881E-2"/>
  </r>
  <r>
    <x v="4"/>
    <n v="112"/>
    <n v="1.4464677773472814E-2"/>
    <n v="147"/>
    <n v="1.652428057553957E-2"/>
    <n v="132"/>
    <n v="1.3616670105219723E-2"/>
    <n v="92"/>
    <n v="1.1299435028248588E-2"/>
    <n v="71"/>
    <n v="9.3335086104903379E-3"/>
    <n v="6071"/>
    <n v="7.254481623015503E-3"/>
  </r>
  <r>
    <x v="5"/>
    <n v="194"/>
    <n v="2.5054888286193983E-2"/>
    <n v="187"/>
    <n v="2.1020683453237411E-2"/>
    <n v="220"/>
    <n v="2.2694450175366206E-2"/>
    <n v="172"/>
    <n v="2.1125030704986489E-2"/>
    <n v="141"/>
    <n v="1.8535559353227291E-2"/>
    <n v="23365"/>
    <n v="2.7919776498395197E-2"/>
  </r>
  <r>
    <x v="6"/>
    <n v="56"/>
    <n v="7.232338886736407E-3"/>
    <n v="81"/>
    <n v="9.1052158273381301E-3"/>
    <n v="72"/>
    <n v="7.4272746028471223E-3"/>
    <n v="51"/>
    <n v="6.263817243920413E-3"/>
    <n v="38"/>
    <n v="4.9953989746286311E-3"/>
    <n v="2305"/>
    <n v="2.7543370352579037E-3"/>
  </r>
  <r>
    <x v="7"/>
    <n v="125"/>
    <n v="1.6143613586465193E-2"/>
    <n v="157"/>
    <n v="1.764838129496403E-2"/>
    <n v="243"/>
    <n v="2.5067051784609037E-2"/>
    <n v="306"/>
    <n v="3.7582903463522478E-2"/>
    <n v="326"/>
    <n v="4.2855264887603522E-2"/>
    <n v="22553"/>
    <n v="2.6949485100291326E-2"/>
  </r>
  <r>
    <x v="8"/>
    <n v="550"/>
    <n v="7.1031899780446855E-2"/>
    <n v="661"/>
    <n v="7.4303057553956831E-2"/>
    <n v="682"/>
    <n v="7.0352795543635244E-2"/>
    <n v="429"/>
    <n v="5.2689756816506998E-2"/>
    <n v="280"/>
    <n v="3.6808202970947813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327"/>
    <n v="4.2231693142192946E-2"/>
    <n v="395"/>
    <n v="4.4401978417266189E-2"/>
    <n v="277"/>
    <n v="2.8574375902620179E-2"/>
    <n v="131"/>
    <n v="1.6089412920658314E-2"/>
    <n v="76"/>
    <n v="9.9907979492572623E-3"/>
    <n v="245217"/>
    <n v="0.29301963764635031"/>
  </r>
  <r>
    <x v="1"/>
    <n v="1771"/>
    <n v="0.22872271729303886"/>
    <n v="2206"/>
    <n v="0.24797661870503598"/>
    <n v="2301"/>
    <n v="0.23736331751598927"/>
    <n v="1850"/>
    <n v="0.22721690002456399"/>
    <n v="1680"/>
    <n v="0.22084921782568687"/>
    <n v="25706"/>
    <n v="3.0717131378889231E-2"/>
  </r>
  <r>
    <x v="2"/>
    <n v="2355"/>
    <n v="0.30414567996900427"/>
    <n v="2709"/>
    <n v="0.30451888489208634"/>
    <n v="3186"/>
    <n v="0.32865690117598517"/>
    <n v="2993"/>
    <n v="0.36760009825595674"/>
    <n v="2943"/>
    <n v="0.38688050479821218"/>
    <n v="52893"/>
    <n v="6.3203969113187125E-2"/>
  </r>
  <r>
    <x v="3"/>
    <n v="949"/>
    <n v="0.12256231434844375"/>
    <n v="1063"/>
    <n v="0.11949190647482015"/>
    <n v="1291"/>
    <n v="0.13317515989271714"/>
    <n v="1061"/>
    <n v="0.13031196266273642"/>
    <n v="1012"/>
    <n v="0.13303536216642567"/>
    <n v="52166"/>
    <n v="6.2335247627446341E-2"/>
  </r>
  <r>
    <x v="4"/>
    <n v="618"/>
    <n v="7.9814025571483926E-2"/>
    <n v="693"/>
    <n v="7.7900179856115109E-2"/>
    <n v="714"/>
    <n v="7.3653806478233955E-2"/>
    <n v="605"/>
    <n v="7.4306067305330389E-2"/>
    <n v="552"/>
    <n v="7.2564742999868537E-2"/>
    <n v="52145"/>
    <n v="6.2310153884391928E-2"/>
  </r>
  <r>
    <x v="5"/>
    <n v="473"/>
    <n v="6.1087433811184297E-2"/>
    <n v="575"/>
    <n v="6.4635791366906475E-2"/>
    <n v="551"/>
    <n v="5.6839282030121722E-2"/>
    <n v="417"/>
    <n v="5.1215917464996312E-2"/>
    <n v="390"/>
    <n v="5.1268568423820167E-2"/>
    <n v="55384"/>
    <n v="6.6180565015498377E-2"/>
  </r>
  <r>
    <x v="6"/>
    <n v="736"/>
    <n v="9.5053596797107065E-2"/>
    <n v="771"/>
    <n v="8.6668165467625902E-2"/>
    <n v="871"/>
    <n v="8.9849391376108936E-2"/>
    <n v="678"/>
    <n v="8.3271923360353717E-2"/>
    <n v="587"/>
    <n v="7.7165768371237023E-2"/>
    <n v="116401"/>
    <n v="0.13909222787030598"/>
  </r>
  <r>
    <x v="7"/>
    <n v="512"/>
    <n v="6.6124241250161434E-2"/>
    <n v="484"/>
    <n v="5.4406474820143887E-2"/>
    <n v="501"/>
    <n v="5.1681452444811225E-2"/>
    <n v="406"/>
    <n v="4.9864898059444857E-2"/>
    <n v="366"/>
    <n v="4.8113579597738924E-2"/>
    <n v="236950"/>
    <n v="0.28314106746393075"/>
  </r>
  <r>
    <x v="8"/>
    <n v="2"/>
    <n v="2.582978173834431E-4"/>
    <n v="0"/>
    <n v="0"/>
    <n v="2"/>
    <n v="2.0631318341242006E-4"/>
    <n v="1"/>
    <n v="1.2281994595922377E-4"/>
    <n v="1"/>
    <n v="1.3145786775338504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9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/>
    </i>
    <i>
      <x v="7"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30" customWidth="1"/>
    <col min="13" max="13" width="4.28515625" style="30" bestFit="1" customWidth="1"/>
    <col min="14" max="14" width="7.85546875" bestFit="1" customWidth="1"/>
    <col min="15" max="15" width="5.7109375" bestFit="1" customWidth="1"/>
    <col min="16" max="16" width="9.85546875" bestFit="1" customWidth="1"/>
  </cols>
  <sheetData>
    <row r="1" spans="1:16" ht="15.75" customHeight="1" thickBot="1" x14ac:dyDescent="0.3">
      <c r="A1" s="147" t="s">
        <v>0</v>
      </c>
      <c r="B1" s="156" t="s">
        <v>60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  <c r="N1" s="145" t="s">
        <v>1</v>
      </c>
      <c r="O1" s="146"/>
      <c r="P1" s="23" t="s">
        <v>2</v>
      </c>
    </row>
    <row r="2" spans="1:16" ht="15.75" customHeight="1" thickBot="1" x14ac:dyDescent="0.3">
      <c r="A2" s="148"/>
      <c r="B2" s="141" t="s">
        <v>3</v>
      </c>
      <c r="C2" s="142"/>
      <c r="D2" s="141" t="s">
        <v>4</v>
      </c>
      <c r="E2" s="142"/>
      <c r="F2" s="141" t="s">
        <v>5</v>
      </c>
      <c r="G2" s="142"/>
      <c r="H2" s="141" t="s">
        <v>6</v>
      </c>
      <c r="I2" s="142"/>
      <c r="J2" s="141" t="s">
        <v>7</v>
      </c>
      <c r="K2" s="142"/>
      <c r="L2" s="141" t="s">
        <v>59</v>
      </c>
      <c r="M2" s="142"/>
      <c r="N2" s="143" t="s">
        <v>40</v>
      </c>
      <c r="O2" s="144"/>
      <c r="P2" s="24" t="s">
        <v>8</v>
      </c>
    </row>
    <row r="3" spans="1:16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17" t="s">
        <v>10</v>
      </c>
      <c r="M3" s="18" t="s">
        <v>11</v>
      </c>
      <c r="N3" s="28" t="s">
        <v>10</v>
      </c>
      <c r="O3" s="60" t="s">
        <v>11</v>
      </c>
      <c r="P3" s="34" t="s">
        <v>11</v>
      </c>
    </row>
    <row r="4" spans="1:16" x14ac:dyDescent="0.25">
      <c r="A4" s="35" t="s">
        <v>12</v>
      </c>
      <c r="B4" s="120">
        <v>4480</v>
      </c>
      <c r="C4" s="123">
        <v>0.57858711093891257</v>
      </c>
      <c r="D4" s="120">
        <v>5119</v>
      </c>
      <c r="E4" s="123">
        <v>0.57542715827338131</v>
      </c>
      <c r="F4" s="120">
        <v>5427</v>
      </c>
      <c r="G4" s="123">
        <v>0.55983082318960187</v>
      </c>
      <c r="H4" s="120">
        <v>4507</v>
      </c>
      <c r="I4" s="123">
        <v>0.5535494964382216</v>
      </c>
      <c r="J4" s="126">
        <v>4194</v>
      </c>
      <c r="K4" s="127">
        <v>0.5513342973576969</v>
      </c>
      <c r="L4" s="59">
        <v>3814</v>
      </c>
      <c r="M4" s="56">
        <f>L4/L$7</f>
        <v>0.53816847749400309</v>
      </c>
      <c r="N4" s="110">
        <v>425726</v>
      </c>
      <c r="O4" s="61">
        <f>N4/N$7</f>
        <v>0.50871708836104401</v>
      </c>
      <c r="P4" s="66">
        <f>K4-O4</f>
        <v>4.2617208996652889E-2</v>
      </c>
    </row>
    <row r="5" spans="1:16" x14ac:dyDescent="0.25">
      <c r="A5" s="36" t="s">
        <v>13</v>
      </c>
      <c r="B5" s="121">
        <v>3178</v>
      </c>
      <c r="C5" s="124">
        <v>0.41043523182229108</v>
      </c>
      <c r="D5" s="121">
        <v>3634</v>
      </c>
      <c r="E5" s="124">
        <v>0.40849820143884891</v>
      </c>
      <c r="F5" s="121">
        <v>4155</v>
      </c>
      <c r="G5" s="124">
        <v>0.42861563853930268</v>
      </c>
      <c r="H5" s="121">
        <v>3538</v>
      </c>
      <c r="I5" s="124">
        <v>0.43453696880373371</v>
      </c>
      <c r="J5" s="121">
        <v>3337</v>
      </c>
      <c r="K5" s="124">
        <v>0.43867490469304588</v>
      </c>
      <c r="L5" s="38">
        <v>3208</v>
      </c>
      <c r="M5" s="57">
        <f t="shared" ref="M5:M6" si="0">L5/L$7</f>
        <v>0.45265979963313108</v>
      </c>
      <c r="N5" s="111">
        <v>411136</v>
      </c>
      <c r="O5" s="63">
        <f>N5/N$7</f>
        <v>0.49128291163895599</v>
      </c>
      <c r="P5" s="67">
        <f>K5-O5</f>
        <v>-5.2608006945910113E-2</v>
      </c>
    </row>
    <row r="6" spans="1:16" ht="15.75" thickBot="1" x14ac:dyDescent="0.3">
      <c r="A6" s="37" t="s">
        <v>14</v>
      </c>
      <c r="B6" s="122">
        <v>85</v>
      </c>
      <c r="C6" s="125">
        <v>1.0977657238796332E-2</v>
      </c>
      <c r="D6" s="122">
        <v>143</v>
      </c>
      <c r="E6" s="125">
        <v>1.6074640287769785E-2</v>
      </c>
      <c r="F6" s="122">
        <v>112</v>
      </c>
      <c r="G6" s="125">
        <v>1.1553538271095523E-2</v>
      </c>
      <c r="H6" s="122">
        <v>97</v>
      </c>
      <c r="I6" s="125">
        <v>1.1913534758044707E-2</v>
      </c>
      <c r="J6" s="122">
        <v>76</v>
      </c>
      <c r="K6" s="125">
        <v>9.9907979492572623E-3</v>
      </c>
      <c r="L6" s="39">
        <v>65</v>
      </c>
      <c r="M6" s="58">
        <f t="shared" si="0"/>
        <v>9.1717228728658111E-3</v>
      </c>
      <c r="N6" s="112">
        <v>0</v>
      </c>
      <c r="O6" s="65">
        <f>N6/N$7</f>
        <v>0</v>
      </c>
      <c r="P6" s="68">
        <f>K6-O6</f>
        <v>9.9907979492572623E-3</v>
      </c>
    </row>
    <row r="7" spans="1:16" ht="16.5" thickTop="1" thickBot="1" x14ac:dyDescent="0.3">
      <c r="A7" s="20" t="s">
        <v>15</v>
      </c>
      <c r="B7" s="119">
        <v>7743</v>
      </c>
      <c r="C7" s="118"/>
      <c r="D7" s="119">
        <v>8896</v>
      </c>
      <c r="E7" s="118"/>
      <c r="F7" s="119">
        <v>9694</v>
      </c>
      <c r="G7" s="118"/>
      <c r="H7" s="119">
        <v>8142</v>
      </c>
      <c r="I7" s="118"/>
      <c r="J7" s="119">
        <v>7607</v>
      </c>
      <c r="K7" s="117"/>
      <c r="L7" s="26">
        <v>7087</v>
      </c>
      <c r="M7" s="19"/>
      <c r="N7" s="31">
        <f>SUM(N4:N6)</f>
        <v>836862</v>
      </c>
      <c r="O7" s="21"/>
      <c r="P7" s="21"/>
    </row>
    <row r="8" spans="1:16" s="30" customFormat="1" x14ac:dyDescent="0.25">
      <c r="A8" s="103" t="s">
        <v>52</v>
      </c>
      <c r="B8" s="44"/>
      <c r="C8" s="10"/>
      <c r="D8" s="44"/>
      <c r="E8" s="10"/>
      <c r="F8" s="44"/>
      <c r="G8" s="10"/>
      <c r="H8" s="44"/>
      <c r="I8" s="10"/>
      <c r="J8" s="44"/>
      <c r="K8" s="10"/>
      <c r="L8" s="10"/>
      <c r="M8" s="10"/>
      <c r="N8" s="45"/>
      <c r="O8" s="21"/>
      <c r="P8" s="21"/>
    </row>
    <row r="9" spans="1:16" s="30" customFormat="1" ht="15.75" thickBot="1" x14ac:dyDescent="0.3">
      <c r="A9" s="4"/>
      <c r="B9" s="44"/>
      <c r="C9" s="10"/>
      <c r="D9" s="44"/>
      <c r="E9" s="10"/>
      <c r="F9" s="44"/>
      <c r="G9" s="10"/>
      <c r="H9" s="44"/>
      <c r="I9" s="10"/>
      <c r="J9" s="44"/>
      <c r="K9" s="10"/>
      <c r="L9" s="10"/>
      <c r="M9" s="10"/>
      <c r="N9" s="45"/>
      <c r="O9" s="21"/>
      <c r="P9" s="21"/>
    </row>
    <row r="10" spans="1:16" s="30" customFormat="1" ht="15.75" thickBot="1" x14ac:dyDescent="0.3">
      <c r="A10" s="54"/>
      <c r="B10" s="153" t="str">
        <f>B1</f>
        <v>6 Year MSJC SJC Data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5"/>
      <c r="N10" s="145" t="s">
        <v>1</v>
      </c>
      <c r="O10" s="146"/>
      <c r="P10" s="23" t="s">
        <v>2</v>
      </c>
    </row>
    <row r="11" spans="1:16" ht="15.75" thickBot="1" x14ac:dyDescent="0.3">
      <c r="A11" s="69"/>
      <c r="B11" s="141" t="s">
        <v>3</v>
      </c>
      <c r="C11" s="142"/>
      <c r="D11" s="141" t="s">
        <v>4</v>
      </c>
      <c r="E11" s="142"/>
      <c r="F11" s="141" t="s">
        <v>5</v>
      </c>
      <c r="G11" s="142"/>
      <c r="H11" s="141" t="s">
        <v>6</v>
      </c>
      <c r="I11" s="142"/>
      <c r="J11" s="141" t="s">
        <v>7</v>
      </c>
      <c r="K11" s="142"/>
      <c r="L11" s="141" t="s">
        <v>59</v>
      </c>
      <c r="M11" s="142"/>
      <c r="N11" s="143" t="s">
        <v>40</v>
      </c>
      <c r="O11" s="144"/>
      <c r="P11" s="24" t="s">
        <v>8</v>
      </c>
    </row>
    <row r="12" spans="1:16" ht="15.75" thickBot="1" x14ac:dyDescent="0.3">
      <c r="A12" s="70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8" t="s">
        <v>11</v>
      </c>
      <c r="N12" s="28" t="s">
        <v>10</v>
      </c>
      <c r="O12" s="60" t="s">
        <v>11</v>
      </c>
      <c r="P12" s="29" t="s">
        <v>11</v>
      </c>
    </row>
    <row r="13" spans="1:16" x14ac:dyDescent="0.25">
      <c r="A13" s="14" t="s">
        <v>17</v>
      </c>
      <c r="B13" s="128">
        <v>3274</v>
      </c>
      <c r="C13" s="130">
        <v>0.42283352705669636</v>
      </c>
      <c r="D13" s="128">
        <v>3452</v>
      </c>
      <c r="E13" s="130">
        <v>0.38803956834532372</v>
      </c>
      <c r="F13" s="128">
        <v>3686</v>
      </c>
      <c r="G13" s="130">
        <v>0.38023519702909014</v>
      </c>
      <c r="H13" s="128">
        <v>2998</v>
      </c>
      <c r="I13" s="130">
        <v>0.36821419798575289</v>
      </c>
      <c r="J13" s="128">
        <v>2671</v>
      </c>
      <c r="K13" s="130">
        <v>0.35112396476929142</v>
      </c>
      <c r="L13" s="114">
        <v>2246</v>
      </c>
      <c r="M13" s="56">
        <f>L13/SUM(L$13:L$21)</f>
        <v>0.31691830111471708</v>
      </c>
      <c r="N13" s="111">
        <v>398271</v>
      </c>
      <c r="O13" s="63">
        <f t="shared" ref="O13:O21" si="1">N13/(SUM(N$13:N$21))</f>
        <v>0.47591000666776601</v>
      </c>
      <c r="P13" s="67">
        <f t="shared" ref="P13:P21" si="2">K13-O13</f>
        <v>-0.12478604189847459</v>
      </c>
    </row>
    <row r="14" spans="1:16" x14ac:dyDescent="0.25">
      <c r="A14" s="15" t="s">
        <v>18</v>
      </c>
      <c r="B14" s="128">
        <v>2542</v>
      </c>
      <c r="C14" s="130">
        <v>0.32829652589435621</v>
      </c>
      <c r="D14" s="128">
        <v>3057</v>
      </c>
      <c r="E14" s="130">
        <v>0.34363758992805754</v>
      </c>
      <c r="F14" s="128">
        <v>3463</v>
      </c>
      <c r="G14" s="130">
        <v>0.3572312770786053</v>
      </c>
      <c r="H14" s="128">
        <v>3144</v>
      </c>
      <c r="I14" s="130">
        <v>0.38614591009579957</v>
      </c>
      <c r="J14" s="128">
        <v>3191</v>
      </c>
      <c r="K14" s="130">
        <v>0.41948205600105165</v>
      </c>
      <c r="L14" s="115">
        <v>3316</v>
      </c>
      <c r="M14" s="57">
        <f t="shared" ref="M14:M21" si="3">L14/SUM(L$13:L$21)</f>
        <v>0.46789896994496966</v>
      </c>
      <c r="N14" s="111">
        <v>318674</v>
      </c>
      <c r="O14" s="63">
        <f t="shared" si="1"/>
        <v>0.38079635591053246</v>
      </c>
      <c r="P14" s="67">
        <f t="shared" si="2"/>
        <v>3.8685700090519193E-2</v>
      </c>
    </row>
    <row r="15" spans="1:16" x14ac:dyDescent="0.25">
      <c r="A15" s="15" t="s">
        <v>19</v>
      </c>
      <c r="B15" s="128">
        <v>730</v>
      </c>
      <c r="C15" s="130">
        <v>9.4278703344956735E-2</v>
      </c>
      <c r="D15" s="128">
        <v>952</v>
      </c>
      <c r="E15" s="130">
        <v>0.10701438848920863</v>
      </c>
      <c r="F15" s="128">
        <v>1002</v>
      </c>
      <c r="G15" s="130">
        <v>0.10336290488962245</v>
      </c>
      <c r="H15" s="128">
        <v>792</v>
      </c>
      <c r="I15" s="130">
        <v>9.7273397199705236E-2</v>
      </c>
      <c r="J15" s="128">
        <v>763</v>
      </c>
      <c r="K15" s="130">
        <v>0.10030235309583278</v>
      </c>
      <c r="L15" s="115">
        <v>687</v>
      </c>
      <c r="M15" s="57">
        <f t="shared" si="3"/>
        <v>9.6938055594750952E-2</v>
      </c>
      <c r="N15" s="111">
        <v>43085</v>
      </c>
      <c r="O15" s="63">
        <f t="shared" si="1"/>
        <v>5.1483996166632011E-2</v>
      </c>
      <c r="P15" s="67">
        <f t="shared" si="2"/>
        <v>4.8818356929200772E-2</v>
      </c>
    </row>
    <row r="16" spans="1:16" x14ac:dyDescent="0.25">
      <c r="A16" s="15" t="s">
        <v>20</v>
      </c>
      <c r="B16" s="128">
        <v>160</v>
      </c>
      <c r="C16" s="130">
        <v>2.0663825390675447E-2</v>
      </c>
      <c r="D16" s="128">
        <v>202</v>
      </c>
      <c r="E16" s="130">
        <v>2.2706834532374102E-2</v>
      </c>
      <c r="F16" s="128">
        <v>194</v>
      </c>
      <c r="G16" s="130">
        <v>2.0012378791004745E-2</v>
      </c>
      <c r="H16" s="128">
        <v>158</v>
      </c>
      <c r="I16" s="130">
        <v>1.9405551461557358E-2</v>
      </c>
      <c r="J16" s="128">
        <v>126</v>
      </c>
      <c r="K16" s="130">
        <v>1.6563691336926516E-2</v>
      </c>
      <c r="L16" s="115">
        <v>124</v>
      </c>
      <c r="M16" s="57">
        <f t="shared" si="3"/>
        <v>1.7496825172851699E-2</v>
      </c>
      <c r="N16" s="111">
        <v>21251</v>
      </c>
      <c r="O16" s="63">
        <f t="shared" si="1"/>
        <v>2.5393673030917881E-2</v>
      </c>
      <c r="P16" s="67">
        <f t="shared" si="2"/>
        <v>-8.829981693991365E-3</v>
      </c>
    </row>
    <row r="17" spans="1:19" x14ac:dyDescent="0.25">
      <c r="A17" s="15" t="s">
        <v>21</v>
      </c>
      <c r="B17" s="128">
        <v>112</v>
      </c>
      <c r="C17" s="130">
        <v>1.4464677773472814E-2</v>
      </c>
      <c r="D17" s="128">
        <v>147</v>
      </c>
      <c r="E17" s="130">
        <v>1.652428057553957E-2</v>
      </c>
      <c r="F17" s="128">
        <v>132</v>
      </c>
      <c r="G17" s="130">
        <v>1.3616670105219723E-2</v>
      </c>
      <c r="H17" s="128">
        <v>92</v>
      </c>
      <c r="I17" s="130">
        <v>1.1299435028248588E-2</v>
      </c>
      <c r="J17" s="128">
        <v>71</v>
      </c>
      <c r="K17" s="130">
        <v>9.3335086104903379E-3</v>
      </c>
      <c r="L17" s="115">
        <v>44</v>
      </c>
      <c r="M17" s="57">
        <f t="shared" si="3"/>
        <v>6.2085508677860871E-3</v>
      </c>
      <c r="N17" s="111">
        <v>6071</v>
      </c>
      <c r="O17" s="63">
        <f t="shared" si="1"/>
        <v>7.254481623015503E-3</v>
      </c>
      <c r="P17" s="67">
        <f t="shared" si="2"/>
        <v>2.0790269874748349E-3</v>
      </c>
    </row>
    <row r="18" spans="1:19" x14ac:dyDescent="0.25">
      <c r="A18" s="15" t="s">
        <v>22</v>
      </c>
      <c r="B18" s="128">
        <v>194</v>
      </c>
      <c r="C18" s="130">
        <v>2.5054888286193983E-2</v>
      </c>
      <c r="D18" s="128">
        <v>187</v>
      </c>
      <c r="E18" s="130">
        <v>2.1020683453237411E-2</v>
      </c>
      <c r="F18" s="128">
        <v>220</v>
      </c>
      <c r="G18" s="130">
        <v>2.2694450175366206E-2</v>
      </c>
      <c r="H18" s="128">
        <v>172</v>
      </c>
      <c r="I18" s="130">
        <v>2.1125030704986489E-2</v>
      </c>
      <c r="J18" s="128">
        <v>141</v>
      </c>
      <c r="K18" s="130">
        <v>1.8535559353227291E-2</v>
      </c>
      <c r="L18" s="115">
        <v>143</v>
      </c>
      <c r="M18" s="57">
        <f t="shared" si="3"/>
        <v>2.0177790320304784E-2</v>
      </c>
      <c r="N18" s="111">
        <v>23365</v>
      </c>
      <c r="O18" s="63">
        <f t="shared" si="1"/>
        <v>2.7919776498395197E-2</v>
      </c>
      <c r="P18" s="67">
        <f t="shared" si="2"/>
        <v>-9.3842171451679057E-3</v>
      </c>
    </row>
    <row r="19" spans="1:19" x14ac:dyDescent="0.25">
      <c r="A19" s="15" t="s">
        <v>23</v>
      </c>
      <c r="B19" s="128">
        <v>56</v>
      </c>
      <c r="C19" s="130">
        <v>7.232338886736407E-3</v>
      </c>
      <c r="D19" s="128">
        <v>81</v>
      </c>
      <c r="E19" s="130">
        <v>9.1052158273381301E-3</v>
      </c>
      <c r="F19" s="128">
        <v>72</v>
      </c>
      <c r="G19" s="130">
        <v>7.4272746028471223E-3</v>
      </c>
      <c r="H19" s="128">
        <v>51</v>
      </c>
      <c r="I19" s="130">
        <v>6.263817243920413E-3</v>
      </c>
      <c r="J19" s="128">
        <v>38</v>
      </c>
      <c r="K19" s="130">
        <v>4.9953989746286311E-3</v>
      </c>
      <c r="L19" s="115">
        <v>35</v>
      </c>
      <c r="M19" s="57">
        <f t="shared" si="3"/>
        <v>4.9386200084662055E-3</v>
      </c>
      <c r="N19" s="111">
        <v>2305</v>
      </c>
      <c r="O19" s="63">
        <f t="shared" si="1"/>
        <v>2.7543370352579037E-3</v>
      </c>
      <c r="P19" s="67">
        <f t="shared" si="2"/>
        <v>2.2410619393707274E-3</v>
      </c>
    </row>
    <row r="20" spans="1:19" x14ac:dyDescent="0.25">
      <c r="A20" s="15" t="s">
        <v>24</v>
      </c>
      <c r="B20" s="128">
        <v>125</v>
      </c>
      <c r="C20" s="130">
        <v>1.6143613586465193E-2</v>
      </c>
      <c r="D20" s="128">
        <v>157</v>
      </c>
      <c r="E20" s="130">
        <v>1.764838129496403E-2</v>
      </c>
      <c r="F20" s="128">
        <v>243</v>
      </c>
      <c r="G20" s="130">
        <v>2.5067051784609037E-2</v>
      </c>
      <c r="H20" s="128">
        <v>306</v>
      </c>
      <c r="I20" s="130">
        <v>3.7582903463522478E-2</v>
      </c>
      <c r="J20" s="128">
        <v>326</v>
      </c>
      <c r="K20" s="130">
        <v>4.2855264887603522E-2</v>
      </c>
      <c r="L20" s="115">
        <v>325</v>
      </c>
      <c r="M20" s="57">
        <f t="shared" si="3"/>
        <v>4.5858614364329052E-2</v>
      </c>
      <c r="N20" s="111">
        <v>22553</v>
      </c>
      <c r="O20" s="63">
        <f t="shared" si="1"/>
        <v>2.6949485100291326E-2</v>
      </c>
      <c r="P20" s="67">
        <f t="shared" si="2"/>
        <v>1.5905779787312196E-2</v>
      </c>
      <c r="R20" s="53"/>
      <c r="S20" s="53"/>
    </row>
    <row r="21" spans="1:19" ht="15.75" thickBot="1" x14ac:dyDescent="0.3">
      <c r="A21" s="16" t="s">
        <v>14</v>
      </c>
      <c r="B21" s="129">
        <v>550</v>
      </c>
      <c r="C21" s="131">
        <v>7.1031899780446855E-2</v>
      </c>
      <c r="D21" s="129">
        <v>661</v>
      </c>
      <c r="E21" s="131">
        <v>7.4303057553956831E-2</v>
      </c>
      <c r="F21" s="129">
        <v>682</v>
      </c>
      <c r="G21" s="131">
        <v>7.0352795543635244E-2</v>
      </c>
      <c r="H21" s="129">
        <v>429</v>
      </c>
      <c r="I21" s="131">
        <v>5.2689756816506998E-2</v>
      </c>
      <c r="J21" s="129">
        <v>280</v>
      </c>
      <c r="K21" s="131">
        <v>3.6808202970947813E-2</v>
      </c>
      <c r="L21" s="116">
        <v>167</v>
      </c>
      <c r="M21" s="58">
        <f t="shared" si="3"/>
        <v>2.3564272611824467E-2</v>
      </c>
      <c r="N21" s="113">
        <v>1287</v>
      </c>
      <c r="O21" s="65">
        <f t="shared" si="1"/>
        <v>1.5378879671917233E-3</v>
      </c>
      <c r="P21" s="68">
        <f t="shared" si="2"/>
        <v>3.5270315003756089E-2</v>
      </c>
      <c r="S21" s="30"/>
    </row>
    <row r="22" spans="1:19" s="30" customFormat="1" x14ac:dyDescent="0.25">
      <c r="A22" s="103" t="s">
        <v>52</v>
      </c>
      <c r="B22" s="10"/>
      <c r="C22" s="105"/>
      <c r="D22" s="10"/>
      <c r="E22" s="105"/>
      <c r="F22" s="10"/>
      <c r="G22" s="105"/>
      <c r="H22" s="10"/>
      <c r="I22" s="105"/>
      <c r="J22" s="10"/>
      <c r="K22" s="105"/>
      <c r="L22" s="105"/>
      <c r="M22" s="105"/>
      <c r="N22" s="106"/>
      <c r="O22" s="107"/>
      <c r="P22" s="108"/>
    </row>
    <row r="23" spans="1:19" ht="15.75" thickBot="1" x14ac:dyDescent="0.3">
      <c r="R23" s="53"/>
      <c r="S23" s="53"/>
    </row>
    <row r="24" spans="1:19" s="30" customFormat="1" ht="15.75" customHeight="1" thickBot="1" x14ac:dyDescent="0.3">
      <c r="A24" s="54"/>
      <c r="B24" s="153" t="str">
        <f>B10</f>
        <v>6 Year MSJC SJC Data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45" t="s">
        <v>1</v>
      </c>
      <c r="O24" s="146"/>
      <c r="P24" s="23" t="s">
        <v>2</v>
      </c>
    </row>
    <row r="25" spans="1:19" s="30" customFormat="1" ht="15.75" thickBot="1" x14ac:dyDescent="0.3">
      <c r="A25" s="55"/>
      <c r="B25" s="141" t="s">
        <v>3</v>
      </c>
      <c r="C25" s="142"/>
      <c r="D25" s="141" t="s">
        <v>4</v>
      </c>
      <c r="E25" s="142"/>
      <c r="F25" s="141" t="s">
        <v>5</v>
      </c>
      <c r="G25" s="142"/>
      <c r="H25" s="141" t="s">
        <v>6</v>
      </c>
      <c r="I25" s="142"/>
      <c r="J25" s="141" t="s">
        <v>7</v>
      </c>
      <c r="K25" s="142"/>
      <c r="L25" s="141" t="s">
        <v>59</v>
      </c>
      <c r="M25" s="142"/>
      <c r="N25" s="143" t="s">
        <v>40</v>
      </c>
      <c r="O25" s="144"/>
      <c r="P25" s="24" t="s">
        <v>8</v>
      </c>
    </row>
    <row r="26" spans="1:19" ht="15.75" thickBot="1" x14ac:dyDescent="0.3">
      <c r="A26" s="32" t="s">
        <v>25</v>
      </c>
      <c r="B26" s="33" t="s">
        <v>10</v>
      </c>
      <c r="C26" s="71" t="s">
        <v>11</v>
      </c>
      <c r="D26" s="33" t="s">
        <v>10</v>
      </c>
      <c r="E26" s="71" t="s">
        <v>11</v>
      </c>
      <c r="F26" s="33" t="s">
        <v>10</v>
      </c>
      <c r="G26" s="71" t="s">
        <v>11</v>
      </c>
      <c r="H26" s="33" t="s">
        <v>10</v>
      </c>
      <c r="I26" s="71" t="s">
        <v>11</v>
      </c>
      <c r="J26" s="33" t="s">
        <v>10</v>
      </c>
      <c r="K26" s="71" t="s">
        <v>11</v>
      </c>
      <c r="L26" s="17" t="s">
        <v>10</v>
      </c>
      <c r="M26" s="18" t="s">
        <v>11</v>
      </c>
      <c r="N26" s="72" t="s">
        <v>10</v>
      </c>
      <c r="O26" s="73" t="s">
        <v>11</v>
      </c>
      <c r="P26" s="74" t="s">
        <v>11</v>
      </c>
    </row>
    <row r="27" spans="1:19" x14ac:dyDescent="0.25">
      <c r="A27" s="8" t="s">
        <v>26</v>
      </c>
      <c r="B27" s="135">
        <v>327</v>
      </c>
      <c r="C27" s="138">
        <v>4.2231693142192946E-2</v>
      </c>
      <c r="D27" s="135">
        <v>395</v>
      </c>
      <c r="E27" s="138">
        <v>4.4401978417266189E-2</v>
      </c>
      <c r="F27" s="135">
        <v>277</v>
      </c>
      <c r="G27" s="138">
        <v>2.8574375902620179E-2</v>
      </c>
      <c r="H27" s="135">
        <v>131</v>
      </c>
      <c r="I27" s="138">
        <v>1.6089412920658314E-2</v>
      </c>
      <c r="J27" s="135">
        <v>76</v>
      </c>
      <c r="K27" s="138">
        <v>9.9907979492572623E-3</v>
      </c>
      <c r="L27" s="11">
        <v>218</v>
      </c>
      <c r="M27" s="57">
        <f>L27/SUM(L$27:L$35)</f>
        <v>2.8962402019396837E-2</v>
      </c>
      <c r="N27" s="62">
        <v>245217</v>
      </c>
      <c r="O27" s="63">
        <f>N27/SUM(N$27:N$35)</f>
        <v>0.29301963764635031</v>
      </c>
      <c r="P27" s="67">
        <f>K27-O27</f>
        <v>-0.28302883969709303</v>
      </c>
    </row>
    <row r="28" spans="1:19" x14ac:dyDescent="0.25">
      <c r="A28" s="6" t="s">
        <v>27</v>
      </c>
      <c r="B28" s="135">
        <v>1771</v>
      </c>
      <c r="C28" s="138">
        <v>0.22872271729303886</v>
      </c>
      <c r="D28" s="135">
        <v>2206</v>
      </c>
      <c r="E28" s="138">
        <v>0.24797661870503598</v>
      </c>
      <c r="F28" s="135">
        <v>2301</v>
      </c>
      <c r="G28" s="138">
        <v>0.23736331751598927</v>
      </c>
      <c r="H28" s="135">
        <v>1850</v>
      </c>
      <c r="I28" s="138">
        <v>0.22721690002456399</v>
      </c>
      <c r="J28" s="135">
        <v>1680</v>
      </c>
      <c r="K28" s="138">
        <v>0.22084921782568687</v>
      </c>
      <c r="L28" s="11">
        <v>2017</v>
      </c>
      <c r="M28" s="57">
        <f t="shared" ref="M28:M35" si="4">L28/SUM(L$27:L$35)</f>
        <v>0.26796864620698818</v>
      </c>
      <c r="N28" s="62">
        <v>25706</v>
      </c>
      <c r="O28" s="63">
        <f t="shared" ref="O28:O35" si="5">N28/SUM(N$27:N$35)</f>
        <v>3.0717131378889231E-2</v>
      </c>
      <c r="P28" s="67">
        <f t="shared" ref="P28:P35" si="6">K28-O28</f>
        <v>0.19013208644679763</v>
      </c>
    </row>
    <row r="29" spans="1:19" x14ac:dyDescent="0.25">
      <c r="A29" s="7" t="s">
        <v>28</v>
      </c>
      <c r="B29" s="135">
        <v>2355</v>
      </c>
      <c r="C29" s="138">
        <v>0.30414567996900427</v>
      </c>
      <c r="D29" s="135">
        <v>2709</v>
      </c>
      <c r="E29" s="138">
        <v>0.30451888489208634</v>
      </c>
      <c r="F29" s="135">
        <v>3186</v>
      </c>
      <c r="G29" s="138">
        <v>0.32865690117598517</v>
      </c>
      <c r="H29" s="135">
        <v>2993</v>
      </c>
      <c r="I29" s="138">
        <v>0.36760009825595674</v>
      </c>
      <c r="J29" s="135">
        <v>2943</v>
      </c>
      <c r="K29" s="138">
        <v>0.38688050479821218</v>
      </c>
      <c r="L29" s="11">
        <v>2782</v>
      </c>
      <c r="M29" s="57">
        <f t="shared" si="4"/>
        <v>0.3696027633851468</v>
      </c>
      <c r="N29" s="62">
        <v>52893</v>
      </c>
      <c r="O29" s="63">
        <f t="shared" si="5"/>
        <v>6.3203969113187125E-2</v>
      </c>
      <c r="P29" s="67">
        <f t="shared" si="6"/>
        <v>0.32367653568502508</v>
      </c>
    </row>
    <row r="30" spans="1:19" x14ac:dyDescent="0.25">
      <c r="A30" s="7" t="s">
        <v>29</v>
      </c>
      <c r="B30" s="135">
        <v>949</v>
      </c>
      <c r="C30" s="138">
        <v>0.12256231434844375</v>
      </c>
      <c r="D30" s="135">
        <v>1063</v>
      </c>
      <c r="E30" s="138">
        <v>0.11949190647482015</v>
      </c>
      <c r="F30" s="135">
        <v>1291</v>
      </c>
      <c r="G30" s="138">
        <v>0.13317515989271714</v>
      </c>
      <c r="H30" s="135">
        <v>1061</v>
      </c>
      <c r="I30" s="138">
        <v>0.13031196266273642</v>
      </c>
      <c r="J30" s="135">
        <v>1012</v>
      </c>
      <c r="K30" s="138">
        <v>0.13303536216642567</v>
      </c>
      <c r="L30" s="11">
        <v>881</v>
      </c>
      <c r="M30" s="57">
        <f t="shared" si="4"/>
        <v>0.11704530357380098</v>
      </c>
      <c r="N30" s="62">
        <v>52166</v>
      </c>
      <c r="O30" s="63">
        <f t="shared" si="5"/>
        <v>6.2335247627446341E-2</v>
      </c>
      <c r="P30" s="67">
        <f t="shared" si="6"/>
        <v>7.0700114538979328E-2</v>
      </c>
    </row>
    <row r="31" spans="1:19" x14ac:dyDescent="0.25">
      <c r="A31" s="7" t="s">
        <v>30</v>
      </c>
      <c r="B31" s="135">
        <v>618</v>
      </c>
      <c r="C31" s="138">
        <v>7.9814025571483926E-2</v>
      </c>
      <c r="D31" s="135">
        <v>693</v>
      </c>
      <c r="E31" s="138">
        <v>7.7900179856115109E-2</v>
      </c>
      <c r="F31" s="135">
        <v>714</v>
      </c>
      <c r="G31" s="138">
        <v>7.3653806478233955E-2</v>
      </c>
      <c r="H31" s="135">
        <v>605</v>
      </c>
      <c r="I31" s="138">
        <v>7.4306067305330389E-2</v>
      </c>
      <c r="J31" s="135">
        <v>552</v>
      </c>
      <c r="K31" s="138">
        <v>7.2564742999868537E-2</v>
      </c>
      <c r="L31" s="11">
        <v>519</v>
      </c>
      <c r="M31" s="57">
        <f t="shared" si="4"/>
        <v>6.8951773614986056E-2</v>
      </c>
      <c r="N31" s="62">
        <v>52145</v>
      </c>
      <c r="O31" s="63">
        <f t="shared" si="5"/>
        <v>6.2310153884391928E-2</v>
      </c>
      <c r="P31" s="67">
        <f t="shared" si="6"/>
        <v>1.0254589115476609E-2</v>
      </c>
    </row>
    <row r="32" spans="1:19" x14ac:dyDescent="0.25">
      <c r="A32" s="7" t="s">
        <v>31</v>
      </c>
      <c r="B32" s="135">
        <v>473</v>
      </c>
      <c r="C32" s="138">
        <v>6.1087433811184297E-2</v>
      </c>
      <c r="D32" s="135">
        <v>575</v>
      </c>
      <c r="E32" s="138">
        <v>6.4635791366906475E-2</v>
      </c>
      <c r="F32" s="135">
        <v>551</v>
      </c>
      <c r="G32" s="138">
        <v>5.6839282030121722E-2</v>
      </c>
      <c r="H32" s="135">
        <v>417</v>
      </c>
      <c r="I32" s="138">
        <v>5.1215917464996312E-2</v>
      </c>
      <c r="J32" s="135">
        <v>390</v>
      </c>
      <c r="K32" s="138">
        <v>5.1268568423820167E-2</v>
      </c>
      <c r="L32" s="11">
        <v>327</v>
      </c>
      <c r="M32" s="57">
        <f t="shared" si="4"/>
        <v>4.3443603029095258E-2</v>
      </c>
      <c r="N32" s="62">
        <v>55384</v>
      </c>
      <c r="O32" s="63">
        <f t="shared" si="5"/>
        <v>6.6180565015498377E-2</v>
      </c>
      <c r="P32" s="67">
        <f t="shared" si="6"/>
        <v>-1.491199659167821E-2</v>
      </c>
    </row>
    <row r="33" spans="1:16" x14ac:dyDescent="0.25">
      <c r="A33" s="5" t="s">
        <v>32</v>
      </c>
      <c r="B33" s="135">
        <v>736</v>
      </c>
      <c r="C33" s="138">
        <v>9.5053596797107065E-2</v>
      </c>
      <c r="D33" s="135">
        <v>771</v>
      </c>
      <c r="E33" s="138">
        <v>8.6668165467625902E-2</v>
      </c>
      <c r="F33" s="135">
        <v>871</v>
      </c>
      <c r="G33" s="138">
        <v>8.9849391376108936E-2</v>
      </c>
      <c r="H33" s="135">
        <v>678</v>
      </c>
      <c r="I33" s="138">
        <v>8.3271923360353717E-2</v>
      </c>
      <c r="J33" s="135">
        <v>587</v>
      </c>
      <c r="K33" s="138">
        <v>7.7165768371237023E-2</v>
      </c>
      <c r="L33" s="11">
        <v>470</v>
      </c>
      <c r="M33" s="57">
        <f t="shared" si="4"/>
        <v>6.2441875913378506E-2</v>
      </c>
      <c r="N33" s="62">
        <v>116401</v>
      </c>
      <c r="O33" s="63">
        <f t="shared" si="5"/>
        <v>0.13909222787030598</v>
      </c>
      <c r="P33" s="67">
        <f t="shared" si="6"/>
        <v>-6.1926459499068956E-2</v>
      </c>
    </row>
    <row r="34" spans="1:16" x14ac:dyDescent="0.25">
      <c r="A34" s="5" t="s">
        <v>33</v>
      </c>
      <c r="B34" s="135">
        <v>512</v>
      </c>
      <c r="C34" s="138">
        <v>6.6124241250161434E-2</v>
      </c>
      <c r="D34" s="135">
        <v>484</v>
      </c>
      <c r="E34" s="138">
        <v>5.4406474820143887E-2</v>
      </c>
      <c r="F34" s="135">
        <v>501</v>
      </c>
      <c r="G34" s="138">
        <v>5.1681452444811225E-2</v>
      </c>
      <c r="H34" s="135">
        <v>406</v>
      </c>
      <c r="I34" s="138">
        <v>4.9864898059444857E-2</v>
      </c>
      <c r="J34" s="135">
        <v>366</v>
      </c>
      <c r="K34" s="138">
        <v>4.8113579597738924E-2</v>
      </c>
      <c r="L34" s="11">
        <v>312</v>
      </c>
      <c r="M34" s="57">
        <f t="shared" si="4"/>
        <v>4.145077720207254E-2</v>
      </c>
      <c r="N34" s="62">
        <v>236950</v>
      </c>
      <c r="O34" s="63">
        <f t="shared" si="5"/>
        <v>0.28314106746393075</v>
      </c>
      <c r="P34" s="67">
        <f t="shared" si="6"/>
        <v>-0.23502748786619182</v>
      </c>
    </row>
    <row r="35" spans="1:16" ht="15.75" thickBot="1" x14ac:dyDescent="0.3">
      <c r="A35" s="15" t="s">
        <v>14</v>
      </c>
      <c r="B35" s="136">
        <v>2</v>
      </c>
      <c r="C35" s="139">
        <v>2.582978173834431E-4</v>
      </c>
      <c r="D35" s="136">
        <v>0</v>
      </c>
      <c r="E35" s="139">
        <v>0</v>
      </c>
      <c r="F35" s="136">
        <v>2</v>
      </c>
      <c r="G35" s="139">
        <v>2.0631318341242006E-4</v>
      </c>
      <c r="H35" s="136">
        <v>1</v>
      </c>
      <c r="I35" s="139">
        <v>1.2281994595922377E-4</v>
      </c>
      <c r="J35" s="136">
        <v>1</v>
      </c>
      <c r="K35" s="139">
        <v>1.3145786775338504E-4</v>
      </c>
      <c r="L35" s="12">
        <v>1</v>
      </c>
      <c r="M35" s="57">
        <f t="shared" si="4"/>
        <v>1.3285505513484789E-4</v>
      </c>
      <c r="N35" s="64">
        <v>0</v>
      </c>
      <c r="O35" s="65">
        <f t="shared" si="5"/>
        <v>0</v>
      </c>
      <c r="P35" s="68">
        <f t="shared" si="6"/>
        <v>1.3145786775338504E-4</v>
      </c>
    </row>
    <row r="36" spans="1:16" x14ac:dyDescent="0.25">
      <c r="A36" s="41" t="s">
        <v>34</v>
      </c>
      <c r="B36" s="140">
        <v>27.547862033329029</v>
      </c>
      <c r="C36" s="132"/>
      <c r="D36" s="140">
        <v>26.859937050359711</v>
      </c>
      <c r="E36" s="132"/>
      <c r="F36" s="140">
        <v>26.842447379281882</v>
      </c>
      <c r="G36" s="132"/>
      <c r="H36" s="140">
        <v>26.602874339761701</v>
      </c>
      <c r="I36" s="132"/>
      <c r="J36" s="140">
        <v>26.43084407047068</v>
      </c>
      <c r="K36" s="137"/>
      <c r="L36" s="109">
        <v>24.76</v>
      </c>
      <c r="M36" s="43"/>
      <c r="N36" s="21"/>
      <c r="O36" s="21"/>
      <c r="P36" s="21"/>
    </row>
    <row r="37" spans="1:16" s="30" customFormat="1" x14ac:dyDescent="0.25">
      <c r="A37" s="42" t="s">
        <v>39</v>
      </c>
      <c r="B37" s="133">
        <v>22</v>
      </c>
      <c r="C37" s="134"/>
      <c r="D37" s="133">
        <v>22</v>
      </c>
      <c r="E37" s="134"/>
      <c r="F37" s="133">
        <v>22</v>
      </c>
      <c r="G37" s="134"/>
      <c r="H37" s="133">
        <v>22</v>
      </c>
      <c r="I37" s="134"/>
      <c r="J37" s="133">
        <v>22</v>
      </c>
      <c r="K37" s="134"/>
      <c r="L37" s="9">
        <v>24</v>
      </c>
      <c r="M37" s="10"/>
      <c r="N37" s="10"/>
      <c r="O37" s="21"/>
      <c r="P37" s="21"/>
    </row>
    <row r="38" spans="1:16" s="30" customFormat="1" x14ac:dyDescent="0.25">
      <c r="A38" s="103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21"/>
      <c r="P38" s="21"/>
    </row>
    <row r="39" spans="1:16" s="30" customFormat="1" ht="15.75" thickBot="1" x14ac:dyDescent="0.3">
      <c r="A39" s="4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21"/>
      <c r="O39" s="21"/>
      <c r="P39" s="21"/>
    </row>
    <row r="40" spans="1:16" s="30" customFormat="1" ht="15.75" thickBot="1" x14ac:dyDescent="0.3">
      <c r="A40" s="54"/>
      <c r="B40" s="153" t="s">
        <v>61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9" t="s">
        <v>42</v>
      </c>
      <c r="O40" s="150"/>
      <c r="P40" s="83" t="s">
        <v>2</v>
      </c>
    </row>
    <row r="41" spans="1:16" ht="15.75" thickBot="1" x14ac:dyDescent="0.3">
      <c r="A41" s="69"/>
      <c r="B41" s="141" t="s">
        <v>3</v>
      </c>
      <c r="C41" s="142"/>
      <c r="D41" s="141" t="s">
        <v>4</v>
      </c>
      <c r="E41" s="142"/>
      <c r="F41" s="141" t="s">
        <v>5</v>
      </c>
      <c r="G41" s="142"/>
      <c r="H41" s="159" t="s">
        <v>6</v>
      </c>
      <c r="I41" s="160"/>
      <c r="J41" s="141" t="s">
        <v>7</v>
      </c>
      <c r="K41" s="142"/>
      <c r="L41" s="141" t="s">
        <v>59</v>
      </c>
      <c r="M41" s="142"/>
      <c r="N41" s="151" t="s">
        <v>41</v>
      </c>
      <c r="O41" s="152"/>
      <c r="P41" s="84" t="s">
        <v>8</v>
      </c>
    </row>
    <row r="42" spans="1:16" ht="15.75" thickBot="1" x14ac:dyDescent="0.3">
      <c r="A42" s="75" t="s">
        <v>35</v>
      </c>
      <c r="B42" s="77" t="s">
        <v>10</v>
      </c>
      <c r="C42" s="78" t="s">
        <v>11</v>
      </c>
      <c r="D42" s="77" t="s">
        <v>10</v>
      </c>
      <c r="E42" s="78" t="s">
        <v>11</v>
      </c>
      <c r="F42" s="77" t="s">
        <v>10</v>
      </c>
      <c r="G42" s="78" t="s">
        <v>11</v>
      </c>
      <c r="H42" s="77" t="s">
        <v>10</v>
      </c>
      <c r="I42" s="49" t="s">
        <v>11</v>
      </c>
      <c r="J42" s="77" t="s">
        <v>10</v>
      </c>
      <c r="K42" s="78" t="s">
        <v>11</v>
      </c>
      <c r="L42" s="77" t="s">
        <v>10</v>
      </c>
      <c r="M42" s="78" t="s">
        <v>11</v>
      </c>
      <c r="N42" s="47" t="s">
        <v>10</v>
      </c>
      <c r="O42" s="48" t="s">
        <v>11</v>
      </c>
      <c r="P42" s="85" t="s">
        <v>10</v>
      </c>
    </row>
    <row r="43" spans="1:16" ht="15.75" thickBot="1" x14ac:dyDescent="0.3">
      <c r="A43" s="76" t="s">
        <v>44</v>
      </c>
      <c r="B43" s="79"/>
      <c r="C43" s="80"/>
      <c r="D43" s="79"/>
      <c r="E43" s="80"/>
      <c r="F43" s="79"/>
      <c r="G43" s="80"/>
      <c r="H43" s="79"/>
      <c r="I43" s="81"/>
      <c r="J43" s="79"/>
      <c r="K43" s="80"/>
      <c r="L43" s="79"/>
      <c r="M43" s="80"/>
      <c r="N43" s="50">
        <v>105412</v>
      </c>
      <c r="O43" s="82">
        <f>N43/N44</f>
        <v>8.1095074304327316E-2</v>
      </c>
      <c r="P43" s="86">
        <f>K43-O43</f>
        <v>-8.1095074304327316E-2</v>
      </c>
    </row>
    <row r="44" spans="1:16" s="30" customFormat="1" ht="15.75" thickBot="1" x14ac:dyDescent="0.3">
      <c r="A44" s="4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51">
        <v>1299857</v>
      </c>
    </row>
    <row r="45" spans="1:16" s="30" customFormat="1" ht="15.75" thickBot="1" x14ac:dyDescent="0.3">
      <c r="A45" s="4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52"/>
    </row>
    <row r="46" spans="1:16" s="30" customFormat="1" x14ac:dyDescent="0.25">
      <c r="A46" s="87" t="s">
        <v>47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9"/>
      <c r="O46" s="90"/>
      <c r="P46" s="91"/>
    </row>
    <row r="47" spans="1:16" x14ac:dyDescent="0.25">
      <c r="A47" s="92" t="s">
        <v>45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4"/>
    </row>
    <row r="48" spans="1:16" ht="15.75" thickBot="1" x14ac:dyDescent="0.3">
      <c r="A48" s="95" t="s">
        <v>46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7"/>
    </row>
  </sheetData>
  <mergeCells count="37">
    <mergeCell ref="B10:M10"/>
    <mergeCell ref="B1:M1"/>
    <mergeCell ref="L11:M11"/>
    <mergeCell ref="L25:M25"/>
    <mergeCell ref="L41:M41"/>
    <mergeCell ref="B40:M40"/>
    <mergeCell ref="B24:M24"/>
    <mergeCell ref="B41:C41"/>
    <mergeCell ref="D41:E41"/>
    <mergeCell ref="F41:G41"/>
    <mergeCell ref="H41:I41"/>
    <mergeCell ref="J41:K41"/>
    <mergeCell ref="B25:C25"/>
    <mergeCell ref="D25:E25"/>
    <mergeCell ref="F25:G25"/>
    <mergeCell ref="H25:I25"/>
    <mergeCell ref="N40:O40"/>
    <mergeCell ref="N41:O41"/>
    <mergeCell ref="N10:O10"/>
    <mergeCell ref="N11:O11"/>
    <mergeCell ref="N24:O24"/>
    <mergeCell ref="N25:O25"/>
    <mergeCell ref="J25:K25"/>
    <mergeCell ref="B11:C11"/>
    <mergeCell ref="D11:E11"/>
    <mergeCell ref="F11:G11"/>
    <mergeCell ref="H11:I11"/>
    <mergeCell ref="J11:K11"/>
    <mergeCell ref="J2:K2"/>
    <mergeCell ref="N2:O2"/>
    <mergeCell ref="N1:O1"/>
    <mergeCell ref="A1:A2"/>
    <mergeCell ref="B2:C2"/>
    <mergeCell ref="D2:E2"/>
    <mergeCell ref="F2:G2"/>
    <mergeCell ref="H2:I2"/>
    <mergeCell ref="L2:M2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5" t="s">
        <v>3</v>
      </c>
      <c r="B1" s="25" t="s">
        <v>4</v>
      </c>
      <c r="C1" s="25" t="s">
        <v>5</v>
      </c>
      <c r="D1" s="25" t="s">
        <v>6</v>
      </c>
      <c r="E1" s="25" t="s">
        <v>7</v>
      </c>
    </row>
    <row r="2" spans="1:6" x14ac:dyDescent="0.25">
      <c r="A2" s="25">
        <v>2007</v>
      </c>
      <c r="B2" s="25">
        <v>2008</v>
      </c>
      <c r="C2" s="25">
        <v>2009</v>
      </c>
      <c r="D2" s="25">
        <v>2010</v>
      </c>
      <c r="E2" s="25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5" t="s">
        <v>3</v>
      </c>
      <c r="B1" s="25" t="s">
        <v>4</v>
      </c>
      <c r="C1" s="25" t="s">
        <v>5</v>
      </c>
      <c r="D1" s="25" t="s">
        <v>6</v>
      </c>
      <c r="E1" s="25" t="s">
        <v>7</v>
      </c>
    </row>
    <row r="2" spans="1:9" x14ac:dyDescent="0.25">
      <c r="A2" s="25">
        <v>2007</v>
      </c>
      <c r="B2" s="25">
        <v>2008</v>
      </c>
      <c r="C2" s="25">
        <v>2009</v>
      </c>
      <c r="D2" s="25">
        <v>2010</v>
      </c>
      <c r="E2" s="25">
        <v>2011</v>
      </c>
    </row>
    <row r="3" spans="1:9" x14ac:dyDescent="0.25">
      <c r="A3">
        <f>VLOOKUP($F3,'[2]Primary Races'!$A:$G,HLOOKUP(A$2,'[2]Primary Races'!$1:$2,2,FALSE),FALSE)</f>
        <v>9963</v>
      </c>
      <c r="B3" s="27">
        <f>VLOOKUP($F3,'[2]Primary Races'!$A:$G,HLOOKUP(B$2,'[2]Primary Races'!$1:$2,2,FALSE),FALSE)</f>
        <v>10935</v>
      </c>
      <c r="C3" s="27">
        <f>VLOOKUP($F3,'[2]Primary Races'!$A:$G,HLOOKUP(C$2,'[2]Primary Races'!$1:$2,2,FALSE),FALSE)</f>
        <v>10427</v>
      </c>
      <c r="D3" s="27">
        <f>VLOOKUP($F3,'[2]Primary Races'!$A:$G,HLOOKUP(D$2,'[2]Primary Races'!$1:$2,2,FALSE),FALSE)</f>
        <v>8877</v>
      </c>
      <c r="E3" s="27">
        <f>VLOOKUP($F3,'[2]Primary Races'!$A:$G,HLOOKUP(E$2,'[2]Primary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VLOOKUP($G4,'[2]hispanic total'!$A:$F,HLOOKUP(A$2,'[2]hispanic total'!$1:$2,2,FALSE),FALSE)</f>
        <v>6040</v>
      </c>
      <c r="B4" s="27">
        <f>VLOOKUP($G4,'[2]hispanic total'!$A:$F,HLOOKUP(B$2,'[2]hispanic total'!$1:$2,2,FALSE),FALSE)</f>
        <v>7149</v>
      </c>
      <c r="C4" s="27">
        <f>VLOOKUP($G4,'[2]hispanic total'!$A:$F,HLOOKUP(C$2,'[2]hispanic total'!$1:$2,2,FALSE),FALSE)</f>
        <v>7520</v>
      </c>
      <c r="D4" s="27">
        <f>VLOOKUP($G4,'[2]hispanic total'!$A:$F,HLOOKUP(D$2,'[2]hispanic total'!$1:$2,2,FALSE),FALSE)</f>
        <v>7022</v>
      </c>
      <c r="E4" s="27">
        <f>VLOOKUP($G4,'[2]hispanic total'!$A:$F,HLOOKUP(E$2,'[2]hispanic total'!$1:$2,2,FALSE),FALSE)</f>
        <v>7295</v>
      </c>
      <c r="F4" s="27" t="str">
        <f>MID(G4,1,1)</f>
        <v>H</v>
      </c>
      <c r="G4" s="15" t="s">
        <v>18</v>
      </c>
      <c r="I4" s="15" t="s">
        <v>18</v>
      </c>
    </row>
    <row r="5" spans="1:9" x14ac:dyDescent="0.25">
      <c r="A5" s="27">
        <f>VLOOKUP($F5,'[2]Primary Races'!$A:$G,HLOOKUP(A$2,'[2]Primary Races'!$1:$2,2,FALSE),FALSE)</f>
        <v>1547</v>
      </c>
      <c r="B5" s="27">
        <f>VLOOKUP($F5,'[2]Primary Races'!$A:$G,HLOOKUP(B$2,'[2]Primary Races'!$1:$2,2,FALSE),FALSE)</f>
        <v>1956</v>
      </c>
      <c r="C5" s="27">
        <f>VLOOKUP($F5,'[2]Primary Races'!$A:$G,HLOOKUP(C$2,'[2]Primary Races'!$1:$2,2,FALSE),FALSE)</f>
        <v>1913</v>
      </c>
      <c r="D5" s="27">
        <f>VLOOKUP($F5,'[2]Primary Races'!$A:$G,HLOOKUP(D$2,'[2]Primary Races'!$1:$2,2,FALSE),FALSE)</f>
        <v>1641</v>
      </c>
      <c r="E5" s="27">
        <f>VLOOKUP($F5,'[2]Primary Races'!$A:$G,HLOOKUP(E$2,'[2]Primary Races'!$1:$2,2,FALSE),FALSE)</f>
        <v>1507</v>
      </c>
      <c r="F5" s="27" t="s">
        <v>48</v>
      </c>
      <c r="G5" s="15" t="s">
        <v>19</v>
      </c>
      <c r="I5" s="15" t="s">
        <v>19</v>
      </c>
    </row>
    <row r="6" spans="1:9" x14ac:dyDescent="0.25">
      <c r="A6" s="27">
        <f>VLOOKUP($F6,'[2]Primary Races'!$A:$G,HLOOKUP(A$2,'[2]Primary Races'!$1:$2,2,FALSE),FALSE)</f>
        <v>609</v>
      </c>
      <c r="B6" s="27">
        <f>VLOOKUP($F6,'[2]Primary Races'!$A:$G,HLOOKUP(B$2,'[2]Primary Races'!$1:$2,2,FALSE),FALSE)</f>
        <v>718</v>
      </c>
      <c r="C6" s="27">
        <f>VLOOKUP($F6,'[2]Primary Races'!$A:$G,HLOOKUP(C$2,'[2]Primary Races'!$1:$2,2,FALSE),FALSE)</f>
        <v>635</v>
      </c>
      <c r="D6" s="27">
        <f>VLOOKUP($F6,'[2]Primary Races'!$A:$G,HLOOKUP(D$2,'[2]Primary Races'!$1:$2,2,FALSE),FALSE)</f>
        <v>583</v>
      </c>
      <c r="E6" s="27">
        <f>VLOOKUP($F6,'[2]Primary Races'!$A:$G,HLOOKUP(E$2,'[2]Primary Races'!$1:$2,2,FALSE),FALSE)</f>
        <v>478</v>
      </c>
      <c r="F6" s="27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7">
        <f>VLOOKUP($F7,'[2]Primary Races'!$A:$G,HLOOKUP(A$2,'[2]Primary Races'!$1:$2,2,FALSE),FALSE)</f>
        <v>254</v>
      </c>
      <c r="B7" s="27">
        <f>VLOOKUP($F7,'[2]Primary Races'!$A:$G,HLOOKUP(B$2,'[2]Primary Races'!$1:$2,2,FALSE),FALSE)</f>
        <v>294</v>
      </c>
      <c r="C7" s="27">
        <f>VLOOKUP($F7,'[2]Primary Races'!$A:$G,HLOOKUP(C$2,'[2]Primary Races'!$1:$2,2,FALSE),FALSE)</f>
        <v>250</v>
      </c>
      <c r="D7" s="27">
        <f>VLOOKUP($F7,'[2]Primary Races'!$A:$G,HLOOKUP(D$2,'[2]Primary Races'!$1:$2,2,FALSE),FALSE)</f>
        <v>182</v>
      </c>
      <c r="E7" s="27">
        <f>VLOOKUP($F7,'[2]Primary Races'!$A:$G,HLOOKUP(E$2,'[2]Primary Races'!$1:$2,2,FALSE),FALSE)</f>
        <v>141</v>
      </c>
      <c r="F7" s="27" t="str">
        <f t="shared" si="0"/>
        <v>N</v>
      </c>
      <c r="G7" s="15" t="s">
        <v>21</v>
      </c>
      <c r="I7" s="15" t="s">
        <v>21</v>
      </c>
    </row>
    <row r="8" spans="1:9" x14ac:dyDescent="0.25">
      <c r="A8" s="27">
        <f>VLOOKUP($F8,'[2]Primary Races'!$A:$G,HLOOKUP(A$2,'[2]Primary Races'!$1:$2,2,FALSE),FALSE)</f>
        <v>813</v>
      </c>
      <c r="B8" s="27">
        <f>VLOOKUP($F8,'[2]Primary Races'!$A:$G,HLOOKUP(B$2,'[2]Primary Races'!$1:$2,2,FALSE),FALSE)</f>
        <v>840</v>
      </c>
      <c r="C8" s="27">
        <f>VLOOKUP($F8,'[2]Primary Races'!$A:$G,HLOOKUP(C$2,'[2]Primary Races'!$1:$2,2,FALSE),FALSE)</f>
        <v>816</v>
      </c>
      <c r="D8" s="27">
        <f>VLOOKUP($F8,'[2]Primary Races'!$A:$G,HLOOKUP(D$2,'[2]Primary Races'!$1:$2,2,FALSE),FALSE)</f>
        <v>671</v>
      </c>
      <c r="E8" s="27">
        <f>VLOOKUP($F8,'[2]Primary Races'!$A:$G,HLOOKUP(E$2,'[2]Primary Races'!$1:$2,2,FALSE),FALSE)</f>
        <v>599</v>
      </c>
      <c r="F8" s="27" t="str">
        <f t="shared" si="0"/>
        <v>F</v>
      </c>
      <c r="G8" s="15" t="s">
        <v>22</v>
      </c>
      <c r="I8" s="15" t="s">
        <v>22</v>
      </c>
    </row>
    <row r="9" spans="1:9" x14ac:dyDescent="0.25">
      <c r="A9" s="27">
        <f>VLOOKUP($F9,'[2]Primary Races'!$A:$G,HLOOKUP(A$2,'[2]Primary Races'!$1:$2,2,FALSE),FALSE)</f>
        <v>151</v>
      </c>
      <c r="B9" s="27">
        <f>VLOOKUP($F9,'[2]Primary Races'!$A:$G,HLOOKUP(B$2,'[2]Primary Races'!$1:$2,2,FALSE),FALSE)</f>
        <v>183</v>
      </c>
      <c r="C9" s="27">
        <f>VLOOKUP($F9,'[2]Primary Races'!$A:$G,HLOOKUP(C$2,'[2]Primary Races'!$1:$2,2,FALSE),FALSE)</f>
        <v>159</v>
      </c>
      <c r="D9" s="27">
        <f>VLOOKUP($F9,'[2]Primary Races'!$A:$G,HLOOKUP(D$2,'[2]Primary Races'!$1:$2,2,FALSE),FALSE)</f>
        <v>124</v>
      </c>
      <c r="E9" s="27">
        <f>VLOOKUP($F9,'[2]Primary Races'!$A:$G,HLOOKUP(E$2,'[2]Primary Races'!$1:$2,2,FALSE),FALSE)</f>
        <v>90</v>
      </c>
      <c r="F9" s="27" t="str">
        <f t="shared" si="0"/>
        <v>P</v>
      </c>
      <c r="G9" s="15" t="s">
        <v>23</v>
      </c>
      <c r="I9" s="15" t="s">
        <v>23</v>
      </c>
    </row>
    <row r="10" spans="1:9" x14ac:dyDescent="0.25">
      <c r="A10" s="27">
        <f>VLOOKUP($F10,'[2]multi race'!$A:$G,HLOOKUP(A$2,'[2]multi race'!$1:$2,2,FALSE),FALSE)</f>
        <v>330</v>
      </c>
      <c r="B10" s="27">
        <f>VLOOKUP($F10,'[2]multi race'!$A:$G,HLOOKUP(B$2,'[2]multi race'!$1:$2,2,FALSE),FALSE)</f>
        <v>399</v>
      </c>
      <c r="C10" s="27">
        <f>VLOOKUP($F10,'[2]multi race'!$A:$G,HLOOKUP(C$2,'[2]multi race'!$1:$2,2,FALSE),FALSE)</f>
        <v>657</v>
      </c>
      <c r="D10" s="27">
        <f>VLOOKUP($F10,'[2]multi race'!$A:$G,HLOOKUP(D$2,'[2]multi race'!$1:$2,2,FALSE),FALSE)</f>
        <v>833</v>
      </c>
      <c r="E10" s="27">
        <f>VLOOKUP($F10,'[2]multi race'!$A:$G,HLOOKUP(E$2,'[2]multi race'!$1:$2,2,FALSE),FALSE)</f>
        <v>908</v>
      </c>
      <c r="F10" s="27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7">
        <f>VLOOKUP($F11,[2]unknown!$A:$G,HLOOKUP(A$2,[2]unknown!$1:$2,2,FALSE),FALSE)</f>
        <v>1590</v>
      </c>
      <c r="B11" s="27">
        <f>VLOOKUP($F11,[2]unknown!$A:$G,HLOOKUP(B$2,[2]unknown!$1:$2,2,FALSE),FALSE)</f>
        <v>1935</v>
      </c>
      <c r="C11" s="27">
        <f>VLOOKUP($F11,[2]unknown!$A:$G,HLOOKUP(C$2,[2]unknown!$1:$2,2,FALSE),FALSE)</f>
        <v>1690</v>
      </c>
      <c r="D11" s="27">
        <f>VLOOKUP($F11,[2]unknown!$A:$G,HLOOKUP(D$2,[2]unknown!$1:$2,2,FALSE),FALSE)</f>
        <v>1079</v>
      </c>
      <c r="E11" s="27">
        <f>VLOOKUP($F11,[2]unknown!$A:$G,HLOOKUP(E$2,[2]unknown!$1:$2,2,FALSE),FALSE)</f>
        <v>710</v>
      </c>
      <c r="F11" s="27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0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2"/>
      <c r="M1" s="22"/>
      <c r="N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98" bestFit="1" customWidth="1"/>
    <col min="2" max="2" width="16.5703125" style="98" bestFit="1" customWidth="1"/>
    <col min="3" max="7" width="12" style="98" bestFit="1" customWidth="1"/>
    <col min="8" max="8" width="10" style="98" bestFit="1" customWidth="1"/>
    <col min="9" max="9" width="12.42578125" style="98" bestFit="1" customWidth="1"/>
    <col min="10" max="11" width="12" style="98" bestFit="1" customWidth="1"/>
    <col min="12" max="12" width="15" style="98" bestFit="1" customWidth="1"/>
    <col min="13" max="13" width="13.7109375" style="98" bestFit="1" customWidth="1"/>
    <col min="14" max="14" width="13.140625" style="98" bestFit="1" customWidth="1"/>
    <col min="15" max="16384" width="9.140625" style="98"/>
  </cols>
  <sheetData>
    <row r="1" spans="1:13" x14ac:dyDescent="0.2">
      <c r="A1" s="99" t="s">
        <v>0</v>
      </c>
      <c r="B1" s="99" t="s">
        <v>43</v>
      </c>
      <c r="C1" s="99"/>
      <c r="D1" s="99"/>
      <c r="E1" s="99"/>
      <c r="F1" s="99"/>
      <c r="G1" s="99"/>
      <c r="H1" s="99"/>
      <c r="I1" s="99"/>
      <c r="J1" s="99"/>
      <c r="K1" s="99"/>
      <c r="L1" s="99" t="s">
        <v>1</v>
      </c>
      <c r="M1" s="99"/>
    </row>
    <row r="2" spans="1:13" x14ac:dyDescent="0.2">
      <c r="A2" s="99"/>
      <c r="B2" s="99" t="s">
        <v>3</v>
      </c>
      <c r="C2" s="99"/>
      <c r="D2" s="99" t="s">
        <v>4</v>
      </c>
      <c r="E2" s="99"/>
      <c r="F2" s="99" t="s">
        <v>5</v>
      </c>
      <c r="G2" s="99"/>
      <c r="H2" s="99" t="s">
        <v>6</v>
      </c>
      <c r="I2" s="99"/>
      <c r="J2" s="99" t="s">
        <v>7</v>
      </c>
      <c r="K2" s="99"/>
      <c r="L2" s="99" t="s">
        <v>40</v>
      </c>
      <c r="M2" s="99"/>
    </row>
    <row r="3" spans="1:13" x14ac:dyDescent="0.2">
      <c r="A3" s="98" t="s">
        <v>9</v>
      </c>
      <c r="B3" s="98" t="s">
        <v>10</v>
      </c>
      <c r="C3" s="98" t="s">
        <v>11</v>
      </c>
      <c r="D3" s="98" t="s">
        <v>10</v>
      </c>
      <c r="E3" s="98" t="s">
        <v>11</v>
      </c>
      <c r="F3" s="98" t="s">
        <v>10</v>
      </c>
      <c r="G3" s="98" t="s">
        <v>11</v>
      </c>
      <c r="H3" s="98" t="s">
        <v>10</v>
      </c>
      <c r="I3" s="98" t="s">
        <v>11</v>
      </c>
      <c r="J3" s="98" t="s">
        <v>10</v>
      </c>
      <c r="K3" s="98" t="s">
        <v>11</v>
      </c>
      <c r="L3" s="98" t="s">
        <v>10</v>
      </c>
      <c r="M3" s="98" t="s">
        <v>11</v>
      </c>
    </row>
    <row r="4" spans="1:13" x14ac:dyDescent="0.2">
      <c r="A4" s="98" t="str">
        <f>A3</f>
        <v>Gender</v>
      </c>
      <c r="B4" s="98" t="str">
        <f>CONCATENATE(B2,B3)</f>
        <v>AY07-08#</v>
      </c>
      <c r="C4" s="98" t="str">
        <f>CONCATENATE(B2,C3)</f>
        <v>AY07-08%</v>
      </c>
      <c r="D4" s="98" t="str">
        <f t="shared" ref="D4" si="0">CONCATENATE(D2,D3)</f>
        <v>AY08-09#</v>
      </c>
      <c r="E4" s="98" t="str">
        <f t="shared" ref="E4" si="1">CONCATENATE(D2,E3)</f>
        <v>AY08-09%</v>
      </c>
      <c r="F4" s="98" t="str">
        <f t="shared" ref="F4" si="2">CONCATENATE(F2,F3)</f>
        <v>AY09-10#</v>
      </c>
      <c r="G4" s="98" t="str">
        <f t="shared" ref="G4" si="3">CONCATENATE(F2,G3)</f>
        <v>AY09-10%</v>
      </c>
      <c r="H4" s="98" t="str">
        <f t="shared" ref="H4" si="4">CONCATENATE(H2,H3)</f>
        <v>AY10-11#</v>
      </c>
      <c r="I4" s="98" t="str">
        <f t="shared" ref="I4" si="5">CONCATENATE(H2,I3)</f>
        <v>AY10-11%</v>
      </c>
      <c r="J4" s="98" t="str">
        <f t="shared" ref="J4" si="6">CONCATENATE(J2,J3)</f>
        <v>AY11-12#</v>
      </c>
      <c r="K4" s="98" t="str">
        <f t="shared" ref="K4" si="7">CONCATENATE(J2,K3)</f>
        <v>AY11-12%</v>
      </c>
      <c r="L4" s="98" t="str">
        <f t="shared" ref="L4" si="8">CONCATENATE(L2,L3)</f>
        <v>2010 Census#</v>
      </c>
      <c r="M4" s="98" t="str">
        <f t="shared" ref="M4" si="9">CONCATENATE(L2,M3)</f>
        <v>2010 Census%</v>
      </c>
    </row>
    <row r="5" spans="1:13" x14ac:dyDescent="0.2">
      <c r="A5" s="98" t="s">
        <v>12</v>
      </c>
      <c r="B5" s="98">
        <f>gender!A3</f>
        <v>12909</v>
      </c>
      <c r="C5" s="98">
        <f>B5/B$8</f>
        <v>0.60614171010001405</v>
      </c>
      <c r="D5" s="98">
        <f>gender!B3</f>
        <v>14479</v>
      </c>
      <c r="E5" s="98">
        <f>D5/D$8</f>
        <v>0.59318284239419883</v>
      </c>
      <c r="F5" s="98">
        <f>gender!C3</f>
        <v>13953</v>
      </c>
      <c r="G5" s="98">
        <f>F5/F$8</f>
        <v>0.57975651306768605</v>
      </c>
      <c r="H5" s="98">
        <f>gender!D3</f>
        <v>12000</v>
      </c>
      <c r="I5" s="98">
        <f>H5/H$8</f>
        <v>0.57110222729868643</v>
      </c>
      <c r="J5" s="98">
        <f>gender!E3</f>
        <v>11055</v>
      </c>
      <c r="K5" s="98">
        <f>J5/J$8</f>
        <v>0.56593631616668372</v>
      </c>
      <c r="L5" s="98">
        <v>425726</v>
      </c>
      <c r="M5" s="98">
        <f>L5/L$8</f>
        <v>0.50871708836104401</v>
      </c>
    </row>
    <row r="6" spans="1:13" x14ac:dyDescent="0.2">
      <c r="A6" s="98" t="s">
        <v>13</v>
      </c>
      <c r="B6" s="98">
        <f>gender!A4</f>
        <v>8196</v>
      </c>
      <c r="C6" s="98">
        <f>B6/B$8</f>
        <v>0.38484293562473587</v>
      </c>
      <c r="D6" s="98">
        <f>gender!B4</f>
        <v>9592</v>
      </c>
      <c r="E6" s="98">
        <f>D6/D$8</f>
        <v>0.39296980621901756</v>
      </c>
      <c r="F6" s="98">
        <f>gender!C4</f>
        <v>9853</v>
      </c>
      <c r="G6" s="98">
        <f>F6/F$8</f>
        <v>0.4093987617900029</v>
      </c>
      <c r="H6" s="98">
        <f>gender!D4</f>
        <v>8784</v>
      </c>
      <c r="I6" s="98">
        <f>H6/H$8</f>
        <v>0.41804683038263851</v>
      </c>
      <c r="J6" s="98">
        <f>gender!E4</f>
        <v>8299</v>
      </c>
      <c r="K6" s="98">
        <f>J6/J$8</f>
        <v>0.42484898126343812</v>
      </c>
      <c r="L6" s="98">
        <v>411136</v>
      </c>
      <c r="M6" s="98">
        <f>L6/L$8</f>
        <v>0.49128291163895599</v>
      </c>
    </row>
    <row r="7" spans="1:13" x14ac:dyDescent="0.2">
      <c r="A7" s="98" t="s">
        <v>14</v>
      </c>
      <c r="B7" s="98">
        <f>gender!A5</f>
        <v>192</v>
      </c>
      <c r="C7" s="98">
        <f>B7/B$8</f>
        <v>9.015354275250036E-3</v>
      </c>
      <c r="D7" s="98">
        <f>gender!B5</f>
        <v>338</v>
      </c>
      <c r="E7" s="98">
        <f>D7/D$8</f>
        <v>1.3847351386783563E-2</v>
      </c>
      <c r="F7" s="98">
        <f>gender!C5</f>
        <v>261</v>
      </c>
      <c r="G7" s="98">
        <f>F7/F$8</f>
        <v>1.0844725142311048E-2</v>
      </c>
      <c r="H7" s="98">
        <f>gender!D5</f>
        <v>228</v>
      </c>
      <c r="I7" s="98">
        <f>H7/H$8</f>
        <v>1.0850942318675044E-2</v>
      </c>
      <c r="J7" s="98">
        <f>gender!E5</f>
        <v>180</v>
      </c>
      <c r="K7" s="98">
        <f>J7/J$8</f>
        <v>9.214702569878162E-3</v>
      </c>
      <c r="L7" s="98">
        <v>0</v>
      </c>
      <c r="M7" s="98">
        <f>L7/L$8</f>
        <v>0</v>
      </c>
    </row>
    <row r="8" spans="1:13" x14ac:dyDescent="0.2">
      <c r="A8" s="98" t="s">
        <v>15</v>
      </c>
      <c r="B8" s="98">
        <f>SUM(B5:B7)</f>
        <v>21297</v>
      </c>
      <c r="D8" s="98">
        <f>SUM(D5:D7)</f>
        <v>24409</v>
      </c>
      <c r="F8" s="98">
        <f>SUM(F5:F7)</f>
        <v>24067</v>
      </c>
      <c r="H8" s="98">
        <f>SUM(H5:H7)</f>
        <v>21012</v>
      </c>
      <c r="J8" s="98">
        <f>SUM(J5:J7)</f>
        <v>19534</v>
      </c>
      <c r="L8" s="98">
        <f>SUM(L5:L7)</f>
        <v>836862</v>
      </c>
    </row>
    <row r="10" spans="1:13" x14ac:dyDescent="0.2">
      <c r="B10" s="99" t="s">
        <v>43</v>
      </c>
      <c r="C10" s="99"/>
      <c r="D10" s="99"/>
      <c r="E10" s="99"/>
      <c r="F10" s="99"/>
      <c r="G10" s="99"/>
      <c r="H10" s="99"/>
      <c r="I10" s="99"/>
      <c r="J10" s="99"/>
      <c r="K10" s="99"/>
      <c r="L10" s="99" t="s">
        <v>1</v>
      </c>
      <c r="M10" s="99"/>
    </row>
    <row r="11" spans="1:13" x14ac:dyDescent="0.2">
      <c r="B11" s="99" t="s">
        <v>3</v>
      </c>
      <c r="C11" s="99"/>
      <c r="D11" s="99" t="s">
        <v>4</v>
      </c>
      <c r="E11" s="99"/>
      <c r="F11" s="99" t="s">
        <v>5</v>
      </c>
      <c r="G11" s="99"/>
      <c r="H11" s="99" t="s">
        <v>6</v>
      </c>
      <c r="I11" s="99"/>
      <c r="J11" s="99" t="s">
        <v>7</v>
      </c>
      <c r="K11" s="99"/>
      <c r="L11" s="99" t="s">
        <v>40</v>
      </c>
      <c r="M11" s="99"/>
    </row>
    <row r="12" spans="1:13" x14ac:dyDescent="0.2">
      <c r="A12" s="98" t="s">
        <v>16</v>
      </c>
      <c r="B12" s="98" t="s">
        <v>10</v>
      </c>
      <c r="C12" s="98" t="s">
        <v>11</v>
      </c>
      <c r="D12" s="98" t="s">
        <v>10</v>
      </c>
      <c r="E12" s="98" t="s">
        <v>11</v>
      </c>
      <c r="F12" s="98" t="s">
        <v>10</v>
      </c>
      <c r="G12" s="98" t="s">
        <v>11</v>
      </c>
      <c r="H12" s="98" t="s">
        <v>10</v>
      </c>
      <c r="I12" s="98" t="s">
        <v>11</v>
      </c>
      <c r="J12" s="98" t="s">
        <v>10</v>
      </c>
      <c r="K12" s="98" t="s">
        <v>11</v>
      </c>
      <c r="L12" s="98" t="s">
        <v>10</v>
      </c>
      <c r="M12" s="98" t="s">
        <v>11</v>
      </c>
    </row>
    <row r="13" spans="1:13" x14ac:dyDescent="0.2">
      <c r="A13" s="98" t="str">
        <f>A12</f>
        <v>Ethnicity</v>
      </c>
      <c r="B13" s="98" t="str">
        <f>B4</f>
        <v>AY07-08#</v>
      </c>
      <c r="C13" s="98" t="str">
        <f t="shared" ref="C13:M13" si="10">C4</f>
        <v>AY07-08%</v>
      </c>
      <c r="D13" s="98" t="str">
        <f t="shared" si="10"/>
        <v>AY08-09#</v>
      </c>
      <c r="E13" s="98" t="str">
        <f t="shared" si="10"/>
        <v>AY08-09%</v>
      </c>
      <c r="F13" s="98" t="str">
        <f t="shared" si="10"/>
        <v>AY09-10#</v>
      </c>
      <c r="G13" s="98" t="str">
        <f t="shared" si="10"/>
        <v>AY09-10%</v>
      </c>
      <c r="H13" s="98" t="str">
        <f t="shared" si="10"/>
        <v>AY10-11#</v>
      </c>
      <c r="I13" s="98" t="str">
        <f t="shared" si="10"/>
        <v>AY10-11%</v>
      </c>
      <c r="J13" s="98" t="str">
        <f t="shared" si="10"/>
        <v>AY11-12#</v>
      </c>
      <c r="K13" s="98" t="str">
        <f t="shared" si="10"/>
        <v>AY11-12%</v>
      </c>
      <c r="L13" s="98" t="str">
        <f t="shared" si="10"/>
        <v>2010 Census#</v>
      </c>
      <c r="M13" s="98" t="str">
        <f t="shared" si="10"/>
        <v>2010 Census%</v>
      </c>
    </row>
    <row r="14" spans="1:13" x14ac:dyDescent="0.2">
      <c r="A14" s="98" t="s">
        <v>17</v>
      </c>
      <c r="B14" s="98">
        <f>ethnic!A3</f>
        <v>9963</v>
      </c>
      <c r="C14" s="98">
        <f t="shared" ref="C14:C22" si="11">B14/(SUM(B$14:B$22))</f>
        <v>0.46781236793914638</v>
      </c>
      <c r="D14" s="98">
        <f>ethnic!B3</f>
        <v>10935</v>
      </c>
      <c r="E14" s="98">
        <f t="shared" ref="E14:E22" si="12">D14/(SUM(D$14:D$22))</f>
        <v>0.44799049530910728</v>
      </c>
      <c r="F14" s="98">
        <f>ethnic!C3</f>
        <v>10427</v>
      </c>
      <c r="G14" s="98">
        <f t="shared" ref="G14:G22" si="13">F14/(SUM(F$14:F$22))</f>
        <v>0.43324884696887855</v>
      </c>
      <c r="H14" s="98">
        <f>ethnic!D3</f>
        <v>8877</v>
      </c>
      <c r="I14" s="98">
        <f t="shared" ref="I14:I22" si="14">H14/(SUM(H$14:H$22))</f>
        <v>0.4224728726442033</v>
      </c>
      <c r="J14" s="98">
        <f>ethnic!E3</f>
        <v>7806</v>
      </c>
      <c r="K14" s="98">
        <f t="shared" ref="K14:K22" si="15">J14/(SUM(J$14:J$22))</f>
        <v>0.3996109347803829</v>
      </c>
      <c r="L14" s="98">
        <v>398271</v>
      </c>
      <c r="M14" s="98">
        <f t="shared" ref="M14:M22" si="16">L14/(SUM(L$14:L$22))</f>
        <v>0.47591000666776601</v>
      </c>
    </row>
    <row r="15" spans="1:13" x14ac:dyDescent="0.2">
      <c r="A15" s="98" t="s">
        <v>18</v>
      </c>
      <c r="B15" s="98">
        <f>ethnic!A4</f>
        <v>6040</v>
      </c>
      <c r="C15" s="98">
        <f t="shared" si="11"/>
        <v>0.28360801990890738</v>
      </c>
      <c r="D15" s="98">
        <f>ethnic!B4</f>
        <v>7149</v>
      </c>
      <c r="E15" s="98">
        <f t="shared" si="12"/>
        <v>0.29288377237904051</v>
      </c>
      <c r="F15" s="98">
        <f>ethnic!C4</f>
        <v>7520</v>
      </c>
      <c r="G15" s="98">
        <f t="shared" si="13"/>
        <v>0.31246104624589688</v>
      </c>
      <c r="H15" s="98">
        <f>ethnic!D4</f>
        <v>7022</v>
      </c>
      <c r="I15" s="98">
        <f t="shared" si="14"/>
        <v>0.33418998667428135</v>
      </c>
      <c r="J15" s="98">
        <f>ethnic!E4</f>
        <v>7295</v>
      </c>
      <c r="K15" s="98">
        <f t="shared" si="15"/>
        <v>0.37345141804033993</v>
      </c>
      <c r="L15" s="98">
        <v>318674</v>
      </c>
      <c r="M15" s="98">
        <f t="shared" si="16"/>
        <v>0.38079635591053246</v>
      </c>
    </row>
    <row r="16" spans="1:13" x14ac:dyDescent="0.2">
      <c r="A16" s="98" t="s">
        <v>19</v>
      </c>
      <c r="B16" s="98">
        <f>ethnic!A5</f>
        <v>1547</v>
      </c>
      <c r="C16" s="98">
        <f t="shared" si="11"/>
        <v>7.2639338874019813E-2</v>
      </c>
      <c r="D16" s="98">
        <f>ethnic!B5</f>
        <v>1956</v>
      </c>
      <c r="E16" s="98">
        <f t="shared" si="12"/>
        <v>8.0134376664345114E-2</v>
      </c>
      <c r="F16" s="98">
        <f>ethnic!C5</f>
        <v>1913</v>
      </c>
      <c r="G16" s="98">
        <f t="shared" si="13"/>
        <v>7.9486433705904344E-2</v>
      </c>
      <c r="H16" s="98">
        <f>ethnic!D5</f>
        <v>1641</v>
      </c>
      <c r="I16" s="98">
        <f t="shared" si="14"/>
        <v>7.8098229583095369E-2</v>
      </c>
      <c r="J16" s="98">
        <f>ethnic!E5</f>
        <v>1507</v>
      </c>
      <c r="K16" s="98">
        <f t="shared" si="15"/>
        <v>7.7147537626702165E-2</v>
      </c>
      <c r="L16" s="98">
        <v>43085</v>
      </c>
      <c r="M16" s="98">
        <f t="shared" si="16"/>
        <v>5.1483996166632011E-2</v>
      </c>
    </row>
    <row r="17" spans="1:13" x14ac:dyDescent="0.2">
      <c r="A17" s="98" t="s">
        <v>20</v>
      </c>
      <c r="B17" s="98">
        <f>ethnic!A6</f>
        <v>609</v>
      </c>
      <c r="C17" s="98">
        <f t="shared" si="11"/>
        <v>2.8595576841808707E-2</v>
      </c>
      <c r="D17" s="98">
        <f>ethnic!B6</f>
        <v>718</v>
      </c>
      <c r="E17" s="98">
        <f t="shared" si="12"/>
        <v>2.9415379573108278E-2</v>
      </c>
      <c r="F17" s="98">
        <f>ethnic!C6</f>
        <v>635</v>
      </c>
      <c r="G17" s="98">
        <f t="shared" si="13"/>
        <v>2.6384676112519219E-2</v>
      </c>
      <c r="H17" s="98">
        <f>ethnic!D6</f>
        <v>583</v>
      </c>
      <c r="I17" s="98">
        <f t="shared" si="14"/>
        <v>2.7746049876261183E-2</v>
      </c>
      <c r="J17" s="98">
        <f>ethnic!E6</f>
        <v>478</v>
      </c>
      <c r="K17" s="98">
        <f t="shared" si="15"/>
        <v>2.4470154602232005E-2</v>
      </c>
      <c r="L17" s="98">
        <v>21251</v>
      </c>
      <c r="M17" s="98">
        <f t="shared" si="16"/>
        <v>2.5393673030917881E-2</v>
      </c>
    </row>
    <row r="18" spans="1:13" x14ac:dyDescent="0.2">
      <c r="A18" s="98" t="s">
        <v>21</v>
      </c>
      <c r="B18" s="98">
        <f>ethnic!A7</f>
        <v>254</v>
      </c>
      <c r="C18" s="98">
        <f t="shared" si="11"/>
        <v>1.1926562426632859E-2</v>
      </c>
      <c r="D18" s="98">
        <f>ethnic!B7</f>
        <v>294</v>
      </c>
      <c r="E18" s="98">
        <f t="shared" si="12"/>
        <v>1.204473759678807E-2</v>
      </c>
      <c r="F18" s="98">
        <f>ethnic!C7</f>
        <v>250</v>
      </c>
      <c r="G18" s="98">
        <f t="shared" si="13"/>
        <v>1.0387667760834338E-2</v>
      </c>
      <c r="H18" s="98">
        <f>ethnic!D7</f>
        <v>182</v>
      </c>
      <c r="I18" s="98">
        <f t="shared" si="14"/>
        <v>8.6617171140300781E-3</v>
      </c>
      <c r="J18" s="98">
        <f>ethnic!E7</f>
        <v>141</v>
      </c>
      <c r="K18" s="98">
        <f t="shared" si="15"/>
        <v>7.2181836797378931E-3</v>
      </c>
      <c r="L18" s="98">
        <v>6071</v>
      </c>
      <c r="M18" s="98">
        <f t="shared" si="16"/>
        <v>7.254481623015503E-3</v>
      </c>
    </row>
    <row r="19" spans="1:13" x14ac:dyDescent="0.2">
      <c r="A19" s="98" t="s">
        <v>22</v>
      </c>
      <c r="B19" s="98">
        <f>ethnic!A8</f>
        <v>813</v>
      </c>
      <c r="C19" s="98">
        <f t="shared" si="11"/>
        <v>3.8174390759261871E-2</v>
      </c>
      <c r="D19" s="98">
        <f>ethnic!B8</f>
        <v>840</v>
      </c>
      <c r="E19" s="98">
        <f t="shared" si="12"/>
        <v>3.4413535990823058E-2</v>
      </c>
      <c r="F19" s="98">
        <f>ethnic!C8</f>
        <v>816</v>
      </c>
      <c r="G19" s="98">
        <f t="shared" si="13"/>
        <v>3.3905347571363278E-2</v>
      </c>
      <c r="H19" s="98">
        <f>ethnic!D8</f>
        <v>671</v>
      </c>
      <c r="I19" s="98">
        <f t="shared" si="14"/>
        <v>3.1934132876451554E-2</v>
      </c>
      <c r="J19" s="98">
        <f>ethnic!E8</f>
        <v>599</v>
      </c>
      <c r="K19" s="98">
        <f t="shared" si="15"/>
        <v>3.0664482440872325E-2</v>
      </c>
      <c r="L19" s="98">
        <v>23365</v>
      </c>
      <c r="M19" s="98">
        <f t="shared" si="16"/>
        <v>2.7919776498395197E-2</v>
      </c>
    </row>
    <row r="20" spans="1:13" x14ac:dyDescent="0.2">
      <c r="A20" s="98" t="s">
        <v>23</v>
      </c>
      <c r="B20" s="98">
        <f>ethnic!A9</f>
        <v>151</v>
      </c>
      <c r="C20" s="98">
        <f t="shared" si="11"/>
        <v>7.0902004977226839E-3</v>
      </c>
      <c r="D20" s="98">
        <f>ethnic!B9</f>
        <v>183</v>
      </c>
      <c r="E20" s="98">
        <f t="shared" si="12"/>
        <v>7.4972346265721659E-3</v>
      </c>
      <c r="F20" s="98">
        <f>ethnic!C9</f>
        <v>159</v>
      </c>
      <c r="G20" s="98">
        <f t="shared" si="13"/>
        <v>6.6065566958906389E-3</v>
      </c>
      <c r="H20" s="98">
        <f>ethnic!D9</f>
        <v>124</v>
      </c>
      <c r="I20" s="98">
        <f t="shared" si="14"/>
        <v>5.9013896820864272E-3</v>
      </c>
      <c r="J20" s="98">
        <f>ethnic!E9</f>
        <v>90</v>
      </c>
      <c r="K20" s="98">
        <f t="shared" si="15"/>
        <v>4.607351284939081E-3</v>
      </c>
      <c r="L20" s="98">
        <v>2305</v>
      </c>
      <c r="M20" s="98">
        <f t="shared" si="16"/>
        <v>2.7543370352579037E-3</v>
      </c>
    </row>
    <row r="21" spans="1:13" x14ac:dyDescent="0.2">
      <c r="A21" s="98" t="s">
        <v>24</v>
      </c>
      <c r="B21" s="98">
        <f>ethnic!A10</f>
        <v>330</v>
      </c>
      <c r="C21" s="98">
        <f t="shared" si="11"/>
        <v>1.5495140160585999E-2</v>
      </c>
      <c r="D21" s="98">
        <f>ethnic!B10</f>
        <v>399</v>
      </c>
      <c r="E21" s="98">
        <f t="shared" si="12"/>
        <v>1.6346429595640952E-2</v>
      </c>
      <c r="F21" s="98">
        <f>ethnic!C10</f>
        <v>657</v>
      </c>
      <c r="G21" s="98">
        <f t="shared" si="13"/>
        <v>2.7298790875472639E-2</v>
      </c>
      <c r="H21" s="98">
        <f>ethnic!D10</f>
        <v>833</v>
      </c>
      <c r="I21" s="98">
        <f t="shared" si="14"/>
        <v>3.964401294498382E-2</v>
      </c>
      <c r="J21" s="98">
        <f>ethnic!E10</f>
        <v>908</v>
      </c>
      <c r="K21" s="98">
        <f t="shared" si="15"/>
        <v>4.6483055185829833E-2</v>
      </c>
      <c r="L21" s="98">
        <v>22553</v>
      </c>
      <c r="M21" s="98">
        <f t="shared" si="16"/>
        <v>2.6949485100291326E-2</v>
      </c>
    </row>
    <row r="22" spans="1:13" x14ac:dyDescent="0.2">
      <c r="A22" s="98" t="s">
        <v>14</v>
      </c>
      <c r="B22" s="98">
        <f>ethnic!A11</f>
        <v>1590</v>
      </c>
      <c r="C22" s="98">
        <f t="shared" si="11"/>
        <v>7.465840259191435E-2</v>
      </c>
      <c r="D22" s="98">
        <f>ethnic!B11</f>
        <v>1935</v>
      </c>
      <c r="E22" s="98">
        <f t="shared" si="12"/>
        <v>7.9274038264574548E-2</v>
      </c>
      <c r="F22" s="98">
        <f>ethnic!C11</f>
        <v>1690</v>
      </c>
      <c r="G22" s="98">
        <f t="shared" si="13"/>
        <v>7.0220634063240125E-2</v>
      </c>
      <c r="H22" s="98">
        <f>ethnic!D11</f>
        <v>1079</v>
      </c>
      <c r="I22" s="98">
        <f t="shared" si="14"/>
        <v>5.1351608604606892E-2</v>
      </c>
      <c r="J22" s="98">
        <f>ethnic!E11</f>
        <v>710</v>
      </c>
      <c r="K22" s="98">
        <f t="shared" si="15"/>
        <v>3.6346882358963856E-2</v>
      </c>
      <c r="L22" s="98">
        <v>1287</v>
      </c>
      <c r="M22" s="98">
        <f t="shared" si="16"/>
        <v>1.5378879671917233E-3</v>
      </c>
    </row>
    <row r="24" spans="1:13" ht="15.75" customHeight="1" x14ac:dyDescent="0.2">
      <c r="B24" s="99" t="s">
        <v>43</v>
      </c>
      <c r="C24" s="99"/>
      <c r="D24" s="99"/>
      <c r="E24" s="99"/>
      <c r="F24" s="99"/>
      <c r="G24" s="99"/>
      <c r="H24" s="99"/>
      <c r="I24" s="99"/>
      <c r="J24" s="99"/>
      <c r="K24" s="99"/>
      <c r="L24" s="99" t="s">
        <v>1</v>
      </c>
      <c r="M24" s="99"/>
    </row>
    <row r="25" spans="1:13" x14ac:dyDescent="0.2">
      <c r="B25" s="99" t="s">
        <v>3</v>
      </c>
      <c r="C25" s="99"/>
      <c r="D25" s="99" t="s">
        <v>4</v>
      </c>
      <c r="E25" s="99"/>
      <c r="F25" s="99" t="s">
        <v>5</v>
      </c>
      <c r="G25" s="99"/>
      <c r="H25" s="99" t="s">
        <v>6</v>
      </c>
      <c r="I25" s="99"/>
      <c r="J25" s="99" t="s">
        <v>7</v>
      </c>
      <c r="K25" s="99"/>
      <c r="L25" s="99" t="s">
        <v>40</v>
      </c>
      <c r="M25" s="99"/>
    </row>
    <row r="26" spans="1:13" x14ac:dyDescent="0.2">
      <c r="A26" s="98" t="s">
        <v>25</v>
      </c>
      <c r="B26" s="98" t="s">
        <v>10</v>
      </c>
      <c r="C26" s="98" t="s">
        <v>11</v>
      </c>
      <c r="D26" s="98" t="s">
        <v>10</v>
      </c>
      <c r="E26" s="98" t="s">
        <v>11</v>
      </c>
      <c r="F26" s="98" t="s">
        <v>10</v>
      </c>
      <c r="G26" s="98" t="s">
        <v>11</v>
      </c>
      <c r="H26" s="98" t="s">
        <v>10</v>
      </c>
      <c r="I26" s="98" t="s">
        <v>11</v>
      </c>
      <c r="J26" s="98" t="s">
        <v>10</v>
      </c>
      <c r="K26" s="98" t="s">
        <v>11</v>
      </c>
      <c r="L26" s="98" t="s">
        <v>10</v>
      </c>
      <c r="M26" s="98" t="s">
        <v>11</v>
      </c>
    </row>
    <row r="27" spans="1:13" x14ac:dyDescent="0.2">
      <c r="A27" s="98" t="str">
        <f>A26</f>
        <v xml:space="preserve">Age </v>
      </c>
      <c r="B27" s="98" t="str">
        <f>B13</f>
        <v>AY07-08#</v>
      </c>
      <c r="C27" s="98" t="str">
        <f t="shared" ref="C27:M27" si="17">C13</f>
        <v>AY07-08%</v>
      </c>
      <c r="D27" s="98" t="str">
        <f t="shared" si="17"/>
        <v>AY08-09#</v>
      </c>
      <c r="E27" s="98" t="str">
        <f t="shared" si="17"/>
        <v>AY08-09%</v>
      </c>
      <c r="F27" s="98" t="str">
        <f t="shared" si="17"/>
        <v>AY09-10#</v>
      </c>
      <c r="G27" s="98" t="str">
        <f t="shared" si="17"/>
        <v>AY09-10%</v>
      </c>
      <c r="H27" s="98" t="str">
        <f t="shared" si="17"/>
        <v>AY10-11#</v>
      </c>
      <c r="I27" s="98" t="str">
        <f t="shared" si="17"/>
        <v>AY10-11%</v>
      </c>
      <c r="J27" s="98" t="str">
        <f t="shared" si="17"/>
        <v>AY11-12#</v>
      </c>
      <c r="K27" s="98" t="str">
        <f t="shared" si="17"/>
        <v>AY11-12%</v>
      </c>
      <c r="L27" s="98" t="str">
        <f t="shared" si="17"/>
        <v>2010 Census#</v>
      </c>
      <c r="M27" s="98" t="str">
        <f t="shared" si="17"/>
        <v>2010 Census%</v>
      </c>
    </row>
    <row r="28" spans="1:13" x14ac:dyDescent="0.2">
      <c r="A28" s="98" t="s">
        <v>26</v>
      </c>
      <c r="B28" s="98">
        <f>VLOOKUP($A28,'[3]age headcounts'!$A:$G,HLOOKUP(Sheet2!B$1,'[3]age headcounts'!$1:$2,2,FALSE),FALSE)</f>
        <v>733</v>
      </c>
      <c r="C28" s="98">
        <f>B28/(SUM(B$28:B$36))</f>
        <v>3.4417993144574353E-2</v>
      </c>
      <c r="D28" s="98">
        <f>VLOOKUP($A28,'[3]age headcounts'!$A:$G,HLOOKUP(Sheet2!D$1,'[3]age headcounts'!$1:$2,2,FALSE),FALSE)</f>
        <v>1026</v>
      </c>
      <c r="E28" s="98">
        <f>D28/(SUM(D$28:D$36))</f>
        <v>4.2033676103076734E-2</v>
      </c>
      <c r="F28" s="98">
        <f>VLOOKUP($A28,'[3]age headcounts'!$A:$G,HLOOKUP(Sheet2!F$1,'[3]age headcounts'!$1:$2,2,FALSE),FALSE)</f>
        <v>743</v>
      </c>
      <c r="G28" s="98">
        <f>F28/(SUM(F$28:F$36))</f>
        <v>3.0872148585199651E-2</v>
      </c>
      <c r="H28" s="98">
        <f>VLOOKUP($A28,'[3]age headcounts'!$A:$G,HLOOKUP(Sheet2!H$1,'[3]age headcounts'!$1:$2,2,FALSE),FALSE)</f>
        <v>336</v>
      </c>
      <c r="I28" s="98">
        <f>H28/(SUM(H$28:H$36))</f>
        <v>1.5990862364363222E-2</v>
      </c>
      <c r="J28" s="98">
        <f>VLOOKUP($A28,'[3]age headcounts'!$A:$G,HLOOKUP(Sheet2!J$1,'[3]age headcounts'!$1:$2,2,FALSE),FALSE)</f>
        <v>196</v>
      </c>
      <c r="K28" s="98">
        <f>J28/(SUM(J$28:J$36))</f>
        <v>1.003378724275622E-2</v>
      </c>
      <c r="L28" s="98">
        <v>245217</v>
      </c>
      <c r="M28" s="98">
        <f>L28/SUM(L$28:L$36)</f>
        <v>0.29301963764635031</v>
      </c>
    </row>
    <row r="29" spans="1:13" x14ac:dyDescent="0.2">
      <c r="A29" s="98" t="s">
        <v>27</v>
      </c>
      <c r="B29" s="98">
        <f>VLOOKUP($A29,'[3]age headcounts'!$A:$G,HLOOKUP(Sheet2!B$1,'[3]age headcounts'!$1:$2,2,FALSE),FALSE)</f>
        <v>4893</v>
      </c>
      <c r="C29" s="98">
        <f t="shared" ref="C29:C36" si="18">B29/(SUM(B$28:B$36))</f>
        <v>0.22975066910832512</v>
      </c>
      <c r="D29" s="98">
        <f>VLOOKUP($A29,'[3]age headcounts'!$A:$G,HLOOKUP(Sheet2!D$1,'[3]age headcounts'!$1:$2,2,FALSE),FALSE)</f>
        <v>5828</v>
      </c>
      <c r="E29" s="98">
        <f t="shared" ref="E29:E36" si="19">D29/(SUM(D$28:D$36))</f>
        <v>0.23876439018394854</v>
      </c>
      <c r="F29" s="98">
        <f>VLOOKUP($A29,'[3]age headcounts'!$A:$G,HLOOKUP(Sheet2!F$1,'[3]age headcounts'!$1:$2,2,FALSE),FALSE)</f>
        <v>5660</v>
      </c>
      <c r="G29" s="98">
        <f t="shared" ref="G29:G36" si="20">F29/(SUM(F$28:F$36))</f>
        <v>0.23517679810528941</v>
      </c>
      <c r="H29" s="98">
        <f>VLOOKUP($A29,'[3]age headcounts'!$A:$G,HLOOKUP(Sheet2!H$1,'[3]age headcounts'!$1:$2,2,FALSE),FALSE)</f>
        <v>4488</v>
      </c>
      <c r="I29" s="98">
        <f t="shared" ref="I29:I36" si="21">H29/(SUM(H$28:H$36))</f>
        <v>0.21359223300970873</v>
      </c>
      <c r="J29" s="98">
        <f>VLOOKUP($A29,'[3]age headcounts'!$A:$G,HLOOKUP(Sheet2!J$1,'[3]age headcounts'!$1:$2,2,FALSE),FALSE)</f>
        <v>4057</v>
      </c>
      <c r="K29" s="98">
        <f t="shared" ref="K29:K36" si="22">J29/(SUM(J$28:J$36))</f>
        <v>0.20768915736664278</v>
      </c>
      <c r="L29" s="98">
        <v>25706</v>
      </c>
      <c r="M29" s="98">
        <f t="shared" ref="M29:M36" si="23">L29/SUM(L$28:L$36)</f>
        <v>3.0717131378889231E-2</v>
      </c>
    </row>
    <row r="30" spans="1:13" x14ac:dyDescent="0.2">
      <c r="A30" s="98" t="s">
        <v>28</v>
      </c>
      <c r="B30" s="98">
        <f>VLOOKUP($A30,'[3]age headcounts'!$A:$G,HLOOKUP(Sheet2!B$1,'[3]age headcounts'!$1:$2,2,FALSE),FALSE)</f>
        <v>6750</v>
      </c>
      <c r="C30" s="98">
        <f t="shared" si="18"/>
        <v>0.31694604873925902</v>
      </c>
      <c r="D30" s="98">
        <f>VLOOKUP($A30,'[3]age headcounts'!$A:$G,HLOOKUP(Sheet2!D$1,'[3]age headcounts'!$1:$2,2,FALSE),FALSE)</f>
        <v>7632</v>
      </c>
      <c r="E30" s="98">
        <f t="shared" si="19"/>
        <v>0.31267155557376375</v>
      </c>
      <c r="F30" s="98">
        <f>VLOOKUP($A30,'[3]age headcounts'!$A:$G,HLOOKUP(Sheet2!F$1,'[3]age headcounts'!$1:$2,2,FALSE),FALSE)</f>
        <v>7750</v>
      </c>
      <c r="G30" s="98">
        <f t="shared" si="20"/>
        <v>0.32201770058586449</v>
      </c>
      <c r="H30" s="98">
        <f>VLOOKUP($A30,'[3]age headcounts'!$A:$G,HLOOKUP(Sheet2!H$1,'[3]age headcounts'!$1:$2,2,FALSE),FALSE)</f>
        <v>7563</v>
      </c>
      <c r="I30" s="98">
        <f t="shared" si="21"/>
        <v>0.35993717875499714</v>
      </c>
      <c r="J30" s="98">
        <f>VLOOKUP($A30,'[3]age headcounts'!$A:$G,HLOOKUP(Sheet2!J$1,'[3]age headcounts'!$1:$2,2,FALSE),FALSE)</f>
        <v>7524</v>
      </c>
      <c r="K30" s="98">
        <f t="shared" si="22"/>
        <v>0.38517456742090711</v>
      </c>
      <c r="L30" s="98">
        <v>52893</v>
      </c>
      <c r="M30" s="98">
        <f t="shared" si="23"/>
        <v>6.3203969113187125E-2</v>
      </c>
    </row>
    <row r="31" spans="1:13" x14ac:dyDescent="0.2">
      <c r="A31" s="98" t="s">
        <v>29</v>
      </c>
      <c r="B31" s="98">
        <f>VLOOKUP($A31,'[3]age headcounts'!$A:$G,HLOOKUP(Sheet2!B$1,'[3]age headcounts'!$1:$2,2,FALSE),FALSE)</f>
        <v>2617</v>
      </c>
      <c r="C31" s="98">
        <f t="shared" si="18"/>
        <v>0.12288115697046532</v>
      </c>
      <c r="D31" s="98">
        <f>VLOOKUP($A31,'[3]age headcounts'!$A:$G,HLOOKUP(Sheet2!D$1,'[3]age headcounts'!$1:$2,2,FALSE),FALSE)</f>
        <v>2960</v>
      </c>
      <c r="E31" s="98">
        <f t="shared" si="19"/>
        <v>0.1212667458724241</v>
      </c>
      <c r="F31" s="98">
        <f>VLOOKUP($A31,'[3]age headcounts'!$A:$G,HLOOKUP(Sheet2!F$1,'[3]age headcounts'!$1:$2,2,FALSE),FALSE)</f>
        <v>3092</v>
      </c>
      <c r="G31" s="98">
        <f t="shared" si="20"/>
        <v>0.12847467486599909</v>
      </c>
      <c r="H31" s="98">
        <f>VLOOKUP($A31,'[3]age headcounts'!$A:$G,HLOOKUP(Sheet2!H$1,'[3]age headcounts'!$1:$2,2,FALSE),FALSE)</f>
        <v>2847</v>
      </c>
      <c r="I31" s="98">
        <f t="shared" si="21"/>
        <v>0.13549400342661336</v>
      </c>
      <c r="J31" s="98">
        <f>VLOOKUP($A31,'[3]age headcounts'!$A:$G,HLOOKUP(Sheet2!J$1,'[3]age headcounts'!$1:$2,2,FALSE),FALSE)</f>
        <v>2625</v>
      </c>
      <c r="K31" s="98">
        <f t="shared" si="22"/>
        <v>0.1343810791440565</v>
      </c>
      <c r="L31" s="98">
        <v>52166</v>
      </c>
      <c r="M31" s="98">
        <f t="shared" si="23"/>
        <v>6.2335247627446341E-2</v>
      </c>
    </row>
    <row r="32" spans="1:13" x14ac:dyDescent="0.2">
      <c r="A32" s="98" t="s">
        <v>30</v>
      </c>
      <c r="B32" s="98">
        <f>VLOOKUP($A32,'[3]age headcounts'!$A:$G,HLOOKUP(Sheet2!B$1,'[3]age headcounts'!$1:$2,2,FALSE),FALSE)</f>
        <v>1668</v>
      </c>
      <c r="C32" s="98">
        <f t="shared" si="18"/>
        <v>7.8320890266234677E-2</v>
      </c>
      <c r="D32" s="98">
        <f>VLOOKUP($A32,'[3]age headcounts'!$A:$G,HLOOKUP(Sheet2!D$1,'[3]age headcounts'!$1:$2,2,FALSE),FALSE)</f>
        <v>1886</v>
      </c>
      <c r="E32" s="98">
        <f t="shared" si="19"/>
        <v>7.7266581998443204E-2</v>
      </c>
      <c r="F32" s="98">
        <f>VLOOKUP($A32,'[3]age headcounts'!$A:$G,HLOOKUP(Sheet2!F$1,'[3]age headcounts'!$1:$2,2,FALSE),FALSE)</f>
        <v>1849</v>
      </c>
      <c r="G32" s="98">
        <f t="shared" si="20"/>
        <v>7.6827190759130762E-2</v>
      </c>
      <c r="H32" s="98">
        <f>VLOOKUP($A32,'[3]age headcounts'!$A:$G,HLOOKUP(Sheet2!H$1,'[3]age headcounts'!$1:$2,2,FALSE),FALSE)</f>
        <v>1632</v>
      </c>
      <c r="I32" s="98">
        <f t="shared" si="21"/>
        <v>7.7669902912621352E-2</v>
      </c>
      <c r="J32" s="98">
        <f>VLOOKUP($A32,'[3]age headcounts'!$A:$G,HLOOKUP(Sheet2!J$1,'[3]age headcounts'!$1:$2,2,FALSE),FALSE)</f>
        <v>1536</v>
      </c>
      <c r="K32" s="98">
        <f t="shared" si="22"/>
        <v>7.8632128596293635E-2</v>
      </c>
      <c r="L32" s="98">
        <v>52145</v>
      </c>
      <c r="M32" s="98">
        <f t="shared" si="23"/>
        <v>6.2310153884391928E-2</v>
      </c>
    </row>
    <row r="33" spans="1:13" x14ac:dyDescent="0.2">
      <c r="A33" s="98" t="s">
        <v>31</v>
      </c>
      <c r="B33" s="98">
        <f>VLOOKUP($A33,'[3]age headcounts'!$A:$G,HLOOKUP(Sheet2!B$1,'[3]age headcounts'!$1:$2,2,FALSE),FALSE)</f>
        <v>1354</v>
      </c>
      <c r="C33" s="98">
        <f t="shared" si="18"/>
        <v>6.357702962858619E-2</v>
      </c>
      <c r="D33" s="98">
        <f>VLOOKUP($A33,'[3]age headcounts'!$A:$G,HLOOKUP(Sheet2!D$1,'[3]age headcounts'!$1:$2,2,FALSE),FALSE)</f>
        <v>1507</v>
      </c>
      <c r="E33" s="98">
        <f t="shared" si="19"/>
        <v>6.1739522307345654E-2</v>
      </c>
      <c r="F33" s="98">
        <f>VLOOKUP($A33,'[3]age headcounts'!$A:$G,HLOOKUP(Sheet2!F$1,'[3]age headcounts'!$1:$2,2,FALSE),FALSE)</f>
        <v>1438</v>
      </c>
      <c r="G33" s="98">
        <f t="shared" si="20"/>
        <v>5.9749864960319109E-2</v>
      </c>
      <c r="H33" s="98">
        <f>VLOOKUP($A33,'[3]age headcounts'!$A:$G,HLOOKUP(Sheet2!H$1,'[3]age headcounts'!$1:$2,2,FALSE),FALSE)</f>
        <v>1186</v>
      </c>
      <c r="I33" s="98">
        <f t="shared" si="21"/>
        <v>5.6443936798020178E-2</v>
      </c>
      <c r="J33" s="98">
        <f>VLOOKUP($A33,'[3]age headcounts'!$A:$G,HLOOKUP(Sheet2!J$1,'[3]age headcounts'!$1:$2,2,FALSE),FALSE)</f>
        <v>1074</v>
      </c>
      <c r="K33" s="98">
        <f t="shared" si="22"/>
        <v>5.4981058666939697E-2</v>
      </c>
      <c r="L33" s="98">
        <v>55384</v>
      </c>
      <c r="M33" s="98">
        <f t="shared" si="23"/>
        <v>6.6180565015498377E-2</v>
      </c>
    </row>
    <row r="34" spans="1:13" x14ac:dyDescent="0.2">
      <c r="A34" s="98" t="s">
        <v>32</v>
      </c>
      <c r="B34" s="98">
        <f>VLOOKUP($A34,'[3]age headcounts'!$A:$G,HLOOKUP(Sheet2!B$1,'[3]age headcounts'!$1:$2,2,FALSE),FALSE)</f>
        <v>2065</v>
      </c>
      <c r="C34" s="98">
        <f t="shared" si="18"/>
        <v>9.6962013429121474E-2</v>
      </c>
      <c r="D34" s="98">
        <f>VLOOKUP($A34,'[3]age headcounts'!$A:$G,HLOOKUP(Sheet2!D$1,'[3]age headcounts'!$1:$2,2,FALSE),FALSE)</f>
        <v>2241</v>
      </c>
      <c r="E34" s="98">
        <f t="shared" si="19"/>
        <v>9.1810397804088659E-2</v>
      </c>
      <c r="F34" s="98">
        <f>VLOOKUP($A34,'[3]age headcounts'!$A:$G,HLOOKUP(Sheet2!F$1,'[3]age headcounts'!$1:$2,2,FALSE),FALSE)</f>
        <v>2282</v>
      </c>
      <c r="G34" s="98">
        <f t="shared" si="20"/>
        <v>9.4818631320895838E-2</v>
      </c>
      <c r="H34" s="98">
        <f>VLOOKUP($A34,'[3]age headcounts'!$A:$G,HLOOKUP(Sheet2!H$1,'[3]age headcounts'!$1:$2,2,FALSE),FALSE)</f>
        <v>1900</v>
      </c>
      <c r="I34" s="98">
        <f t="shared" si="21"/>
        <v>9.0424519322292021E-2</v>
      </c>
      <c r="J34" s="98">
        <f>VLOOKUP($A34,'[3]age headcounts'!$A:$G,HLOOKUP(Sheet2!J$1,'[3]age headcounts'!$1:$2,2,FALSE),FALSE)</f>
        <v>1573</v>
      </c>
      <c r="K34" s="98">
        <f t="shared" si="22"/>
        <v>8.0526261902324148E-2</v>
      </c>
      <c r="L34" s="98">
        <v>116401</v>
      </c>
      <c r="M34" s="98">
        <f t="shared" si="23"/>
        <v>0.13909222787030598</v>
      </c>
    </row>
    <row r="35" spans="1:13" x14ac:dyDescent="0.2">
      <c r="A35" s="98" t="s">
        <v>33</v>
      </c>
      <c r="B35" s="98">
        <f>VLOOKUP($A35,'[3]age headcounts'!$A:$G,HLOOKUP(Sheet2!B$1,'[3]age headcounts'!$1:$2,2,FALSE),FALSE)</f>
        <v>1213</v>
      </c>
      <c r="C35" s="98">
        <f t="shared" si="18"/>
        <v>5.6956378832699439E-2</v>
      </c>
      <c r="D35" s="98">
        <f>VLOOKUP($A35,'[3]age headcounts'!$A:$G,HLOOKUP(Sheet2!D$1,'[3]age headcounts'!$1:$2,2,FALSE),FALSE)</f>
        <v>1329</v>
      </c>
      <c r="E35" s="98">
        <f t="shared" si="19"/>
        <v>5.4447130156909336E-2</v>
      </c>
      <c r="F35" s="98">
        <f>VLOOKUP($A35,'[3]age headcounts'!$A:$G,HLOOKUP(Sheet2!F$1,'[3]age headcounts'!$1:$2,2,FALSE),FALSE)</f>
        <v>1250</v>
      </c>
      <c r="G35" s="98">
        <f t="shared" si="20"/>
        <v>5.1938338804171688E-2</v>
      </c>
      <c r="H35" s="98">
        <f>VLOOKUP($A35,'[3]age headcounts'!$A:$G,HLOOKUP(Sheet2!H$1,'[3]age headcounts'!$1:$2,2,FALSE),FALSE)</f>
        <v>1058</v>
      </c>
      <c r="I35" s="98">
        <f t="shared" si="21"/>
        <v>5.0352179706834192E-2</v>
      </c>
      <c r="J35" s="98">
        <f>VLOOKUP($A35,'[3]age headcounts'!$A:$G,HLOOKUP(Sheet2!J$1,'[3]age headcounts'!$1:$2,2,FALSE),FALSE)</f>
        <v>947</v>
      </c>
      <c r="K35" s="98">
        <f t="shared" si="22"/>
        <v>4.8479574075970103E-2</v>
      </c>
      <c r="L35" s="98">
        <v>236950</v>
      </c>
      <c r="M35" s="98">
        <f t="shared" si="23"/>
        <v>0.28314106746393075</v>
      </c>
    </row>
    <row r="36" spans="1:13" x14ac:dyDescent="0.2">
      <c r="A36" s="98" t="s">
        <v>14</v>
      </c>
      <c r="B36" s="98">
        <f>VLOOKUP($A36,'[3]age headcounts'!$A:$G,HLOOKUP(Sheet2!B$1,'[3]age headcounts'!$1:$2,2,FALSE),FALSE)</f>
        <v>4</v>
      </c>
      <c r="C36" s="98">
        <f t="shared" si="18"/>
        <v>1.8781988073437574E-4</v>
      </c>
      <c r="D36" s="98">
        <f>VLOOKUP($A36,'[3]age headcounts'!$A:$G,HLOOKUP(Sheet2!D$1,'[3]age headcounts'!$1:$2,2,FALSE),FALSE)</f>
        <v>0</v>
      </c>
      <c r="E36" s="98">
        <f t="shared" si="19"/>
        <v>0</v>
      </c>
      <c r="F36" s="98">
        <f>VLOOKUP($A36,'[3]age headcounts'!$A:$G,HLOOKUP(Sheet2!F$1,'[3]age headcounts'!$1:$2,2,FALSE),FALSE)</f>
        <v>3</v>
      </c>
      <c r="G36" s="98">
        <f t="shared" si="20"/>
        <v>1.2465201313001205E-4</v>
      </c>
      <c r="H36" s="98">
        <f>VLOOKUP($A36,'[3]age headcounts'!$A:$G,HLOOKUP(Sheet2!H$1,'[3]age headcounts'!$1:$2,2,FALSE),FALSE)</f>
        <v>2</v>
      </c>
      <c r="I36" s="98">
        <f t="shared" si="21"/>
        <v>9.5183704549781079E-5</v>
      </c>
      <c r="J36" s="98">
        <f>VLOOKUP($A36,'[3]age headcounts'!$A:$G,HLOOKUP(Sheet2!J$1,'[3]age headcounts'!$1:$2,2,FALSE),FALSE)</f>
        <v>2</v>
      </c>
      <c r="K36" s="98">
        <f t="shared" si="22"/>
        <v>1.0238558410975735E-4</v>
      </c>
      <c r="L36" s="98">
        <v>0</v>
      </c>
      <c r="M36" s="98">
        <f t="shared" si="23"/>
        <v>0</v>
      </c>
    </row>
    <row r="37" spans="1:13" x14ac:dyDescent="0.2">
      <c r="A37" s="98" t="s">
        <v>34</v>
      </c>
      <c r="B37" s="98">
        <v>27.085804739513012</v>
      </c>
      <c r="D37" s="98">
        <v>26.740921673994464</v>
      </c>
      <c r="F37" s="98">
        <v>26.808411988739859</v>
      </c>
      <c r="H37" s="98">
        <v>26.616662002052429</v>
      </c>
      <c r="J37" s="98">
        <v>26.219426245781218</v>
      </c>
    </row>
    <row r="38" spans="1:13" x14ac:dyDescent="0.2">
      <c r="A38" s="98" t="s">
        <v>39</v>
      </c>
      <c r="B38" s="98">
        <v>22</v>
      </c>
      <c r="D38" s="98">
        <v>22</v>
      </c>
      <c r="F38" s="98">
        <v>22</v>
      </c>
      <c r="H38" s="98">
        <v>22</v>
      </c>
      <c r="J38" s="98">
        <v>22</v>
      </c>
    </row>
    <row r="40" spans="1:13" x14ac:dyDescent="0.2">
      <c r="B40" s="99" t="s">
        <v>43</v>
      </c>
      <c r="C40" s="99"/>
      <c r="D40" s="99"/>
      <c r="E40" s="99"/>
      <c r="F40" s="99"/>
      <c r="G40" s="99"/>
      <c r="H40" s="99"/>
      <c r="I40" s="99"/>
      <c r="J40" s="99"/>
      <c r="K40" s="99"/>
      <c r="L40" s="99" t="s">
        <v>42</v>
      </c>
      <c r="M40" s="99"/>
    </row>
    <row r="41" spans="1:13" x14ac:dyDescent="0.2">
      <c r="B41" s="99" t="s">
        <v>3</v>
      </c>
      <c r="C41" s="99"/>
      <c r="D41" s="99" t="s">
        <v>4</v>
      </c>
      <c r="E41" s="99"/>
      <c r="F41" s="99" t="s">
        <v>5</v>
      </c>
      <c r="G41" s="99"/>
      <c r="H41" s="99" t="s">
        <v>6</v>
      </c>
      <c r="I41" s="99"/>
      <c r="J41" s="99" t="s">
        <v>7</v>
      </c>
      <c r="K41" s="99"/>
      <c r="L41" s="99" t="s">
        <v>41</v>
      </c>
      <c r="M41" s="99"/>
    </row>
    <row r="42" spans="1:13" x14ac:dyDescent="0.2">
      <c r="A42" s="98" t="s">
        <v>35</v>
      </c>
      <c r="B42" s="98" t="s">
        <v>10</v>
      </c>
      <c r="C42" s="98" t="s">
        <v>11</v>
      </c>
      <c r="D42" s="98" t="s">
        <v>10</v>
      </c>
      <c r="E42" s="98" t="s">
        <v>11</v>
      </c>
      <c r="F42" s="98" t="s">
        <v>10</v>
      </c>
      <c r="G42" s="98" t="s">
        <v>11</v>
      </c>
      <c r="H42" s="98" t="s">
        <v>10</v>
      </c>
      <c r="I42" s="98" t="s">
        <v>11</v>
      </c>
      <c r="J42" s="98" t="s">
        <v>10</v>
      </c>
      <c r="K42" s="98" t="s">
        <v>11</v>
      </c>
      <c r="L42" s="98" t="s">
        <v>10</v>
      </c>
      <c r="M42" s="98" t="s">
        <v>11</v>
      </c>
    </row>
    <row r="43" spans="1:13" x14ac:dyDescent="0.2">
      <c r="A43" s="98" t="str">
        <f>A42</f>
        <v>DSPS</v>
      </c>
      <c r="B43" s="98" t="str">
        <f>B27</f>
        <v>AY07-08#</v>
      </c>
      <c r="C43" s="98" t="str">
        <f t="shared" ref="C43:M43" si="24">C27</f>
        <v>AY07-08%</v>
      </c>
      <c r="D43" s="98" t="str">
        <f t="shared" si="24"/>
        <v>AY08-09#</v>
      </c>
      <c r="E43" s="98" t="str">
        <f t="shared" si="24"/>
        <v>AY08-09%</v>
      </c>
      <c r="F43" s="98" t="str">
        <f t="shared" si="24"/>
        <v>AY09-10#</v>
      </c>
      <c r="G43" s="98" t="str">
        <f t="shared" si="24"/>
        <v>AY09-10%</v>
      </c>
      <c r="H43" s="98" t="str">
        <f t="shared" si="24"/>
        <v>AY10-11#</v>
      </c>
      <c r="I43" s="98" t="str">
        <f t="shared" si="24"/>
        <v>AY10-11%</v>
      </c>
      <c r="J43" s="98" t="str">
        <f t="shared" si="24"/>
        <v>AY11-12#</v>
      </c>
      <c r="K43" s="98" t="str">
        <f t="shared" si="24"/>
        <v>AY11-12%</v>
      </c>
      <c r="L43" s="98" t="str">
        <f t="shared" si="24"/>
        <v>2010 Census#</v>
      </c>
      <c r="M43" s="98" t="str">
        <f t="shared" si="24"/>
        <v>2010 Census%</v>
      </c>
    </row>
    <row r="44" spans="1:13" x14ac:dyDescent="0.2">
      <c r="A44" s="98" t="s">
        <v>44</v>
      </c>
      <c r="B44" s="98">
        <f>VLOOKUP($A42,[4]Sheet1!$A:$F,HLOOKUP(Sheet2!B$1,[4]Sheet1!$1:$2,2,FALSE),FALSE)</f>
        <v>649</v>
      </c>
      <c r="C44" s="98">
        <f>B44/B8</f>
        <v>3.0473775649152463E-2</v>
      </c>
      <c r="D44" s="98">
        <f>VLOOKUP($A42,[4]Sheet1!$A:$F,HLOOKUP(Sheet2!D$1,[4]Sheet1!$1:$2,2,FALSE),FALSE)</f>
        <v>963</v>
      </c>
      <c r="E44" s="98">
        <f>D44/D8</f>
        <v>3.9452660903765008E-2</v>
      </c>
      <c r="F44" s="98">
        <f>VLOOKUP($A42,[4]Sheet1!$A:$F,HLOOKUP(Sheet2!F$1,[4]Sheet1!$1:$2,2,FALSE),FALSE)</f>
        <v>1178</v>
      </c>
      <c r="G44" s="98">
        <f>F44/F8</f>
        <v>4.8946690489051398E-2</v>
      </c>
      <c r="H44" s="98">
        <f>VLOOKUP($A42,[4]Sheet1!$A:$F,HLOOKUP(Sheet2!H$1,[4]Sheet1!$1:$2,2,FALSE),FALSE)</f>
        <v>1155</v>
      </c>
      <c r="I44" s="98">
        <f>H44/H8</f>
        <v>5.4968589377498572E-2</v>
      </c>
      <c r="J44" s="98">
        <f>VLOOKUP($A42,[4]Sheet1!$A:$N,HLOOKUP(Sheet2!J$1,[4]Sheet1!$1:$2,2,FALSE),FALSE)</f>
        <v>1132</v>
      </c>
      <c r="K44" s="98">
        <f>J44/J8</f>
        <v>5.7950240606122659E-2</v>
      </c>
      <c r="L44" s="98">
        <v>105412</v>
      </c>
      <c r="M44" s="98">
        <f>L44/L45</f>
        <v>8.1095074304327316E-2</v>
      </c>
    </row>
    <row r="45" spans="1:13" x14ac:dyDescent="0.2">
      <c r="L45" s="98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04" t="s">
        <v>58</v>
      </c>
      <c r="AB1" s="100" t="s">
        <v>50</v>
      </c>
    </row>
    <row r="2" spans="1:31" x14ac:dyDescent="0.25">
      <c r="AA2" s="100" t="s">
        <v>51</v>
      </c>
      <c r="AB2" s="30" t="s">
        <v>12</v>
      </c>
      <c r="AC2" s="30" t="s">
        <v>13</v>
      </c>
      <c r="AD2" s="30" t="s">
        <v>14</v>
      </c>
      <c r="AE2" s="30" t="s">
        <v>49</v>
      </c>
    </row>
    <row r="3" spans="1:31" x14ac:dyDescent="0.25">
      <c r="AA3" s="101" t="s">
        <v>53</v>
      </c>
      <c r="AB3" s="102">
        <v>4480</v>
      </c>
      <c r="AC3" s="102">
        <v>3178</v>
      </c>
      <c r="AD3" s="102">
        <v>85</v>
      </c>
      <c r="AE3" s="102">
        <v>7743</v>
      </c>
    </row>
    <row r="4" spans="1:31" x14ac:dyDescent="0.25">
      <c r="AA4" s="101" t="s">
        <v>54</v>
      </c>
      <c r="AB4" s="102">
        <v>5119</v>
      </c>
      <c r="AC4" s="102">
        <v>3634</v>
      </c>
      <c r="AD4" s="102">
        <v>143</v>
      </c>
      <c r="AE4" s="102">
        <v>8896</v>
      </c>
    </row>
    <row r="5" spans="1:31" x14ac:dyDescent="0.25">
      <c r="AA5" s="101" t="s">
        <v>55</v>
      </c>
      <c r="AB5" s="102">
        <v>5427</v>
      </c>
      <c r="AC5" s="102">
        <v>4155</v>
      </c>
      <c r="AD5" s="102">
        <v>112</v>
      </c>
      <c r="AE5" s="102">
        <v>9694</v>
      </c>
    </row>
    <row r="6" spans="1:31" x14ac:dyDescent="0.25">
      <c r="AA6" s="101" t="s">
        <v>56</v>
      </c>
      <c r="AB6" s="102">
        <v>4507</v>
      </c>
      <c r="AC6" s="102">
        <v>3538</v>
      </c>
      <c r="AD6" s="102">
        <v>97</v>
      </c>
      <c r="AE6" s="102">
        <v>8142</v>
      </c>
    </row>
    <row r="7" spans="1:31" x14ac:dyDescent="0.25">
      <c r="AA7" s="101" t="s">
        <v>57</v>
      </c>
      <c r="AB7" s="102">
        <v>4194</v>
      </c>
      <c r="AC7" s="102">
        <v>3337</v>
      </c>
      <c r="AD7" s="102">
        <v>76</v>
      </c>
      <c r="AE7" s="102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16.28515625" bestFit="1" customWidth="1"/>
    <col min="31" max="31" width="9.57031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104" t="s">
        <v>58</v>
      </c>
      <c r="AB1" s="100" t="s">
        <v>50</v>
      </c>
    </row>
    <row r="2" spans="1:37" x14ac:dyDescent="0.25">
      <c r="AA2" s="100" t="s">
        <v>51</v>
      </c>
      <c r="AB2" s="30" t="s">
        <v>17</v>
      </c>
      <c r="AC2" s="30" t="s">
        <v>18</v>
      </c>
      <c r="AD2" s="30" t="s">
        <v>19</v>
      </c>
      <c r="AE2" s="30" t="s">
        <v>14</v>
      </c>
      <c r="AF2" s="30" t="s">
        <v>22</v>
      </c>
      <c r="AG2" s="30" t="s">
        <v>20</v>
      </c>
      <c r="AH2" s="30" t="s">
        <v>24</v>
      </c>
      <c r="AI2" s="30" t="s">
        <v>21</v>
      </c>
      <c r="AJ2" s="30" t="s">
        <v>23</v>
      </c>
      <c r="AK2" s="30" t="s">
        <v>49</v>
      </c>
    </row>
    <row r="3" spans="1:37" x14ac:dyDescent="0.25">
      <c r="AA3" s="101" t="s">
        <v>53</v>
      </c>
      <c r="AB3" s="102">
        <v>3274</v>
      </c>
      <c r="AC3" s="102">
        <v>2542</v>
      </c>
      <c r="AD3" s="102">
        <v>730</v>
      </c>
      <c r="AE3" s="102">
        <v>550</v>
      </c>
      <c r="AF3" s="102">
        <v>194</v>
      </c>
      <c r="AG3" s="102">
        <v>160</v>
      </c>
      <c r="AH3" s="102">
        <v>125</v>
      </c>
      <c r="AI3" s="102">
        <v>112</v>
      </c>
      <c r="AJ3" s="102">
        <v>56</v>
      </c>
      <c r="AK3" s="102">
        <v>7743</v>
      </c>
    </row>
    <row r="4" spans="1:37" x14ac:dyDescent="0.25">
      <c r="AA4" s="101" t="s">
        <v>54</v>
      </c>
      <c r="AB4" s="102">
        <v>3452</v>
      </c>
      <c r="AC4" s="102">
        <v>3057</v>
      </c>
      <c r="AD4" s="102">
        <v>952</v>
      </c>
      <c r="AE4" s="102">
        <v>661</v>
      </c>
      <c r="AF4" s="102">
        <v>187</v>
      </c>
      <c r="AG4" s="102">
        <v>202</v>
      </c>
      <c r="AH4" s="102">
        <v>157</v>
      </c>
      <c r="AI4" s="102">
        <v>147</v>
      </c>
      <c r="AJ4" s="102">
        <v>81</v>
      </c>
      <c r="AK4" s="102">
        <v>8896</v>
      </c>
    </row>
    <row r="5" spans="1:37" x14ac:dyDescent="0.25">
      <c r="AA5" s="101" t="s">
        <v>55</v>
      </c>
      <c r="AB5" s="102">
        <v>3686</v>
      </c>
      <c r="AC5" s="102">
        <v>3463</v>
      </c>
      <c r="AD5" s="102">
        <v>1002</v>
      </c>
      <c r="AE5" s="102">
        <v>682</v>
      </c>
      <c r="AF5" s="102">
        <v>220</v>
      </c>
      <c r="AG5" s="102">
        <v>194</v>
      </c>
      <c r="AH5" s="102">
        <v>243</v>
      </c>
      <c r="AI5" s="102">
        <v>132</v>
      </c>
      <c r="AJ5" s="102">
        <v>72</v>
      </c>
      <c r="AK5" s="102">
        <v>9694</v>
      </c>
    </row>
    <row r="6" spans="1:37" x14ac:dyDescent="0.25">
      <c r="AA6" s="101" t="s">
        <v>56</v>
      </c>
      <c r="AB6" s="102">
        <v>2998</v>
      </c>
      <c r="AC6" s="102">
        <v>3144</v>
      </c>
      <c r="AD6" s="102">
        <v>792</v>
      </c>
      <c r="AE6" s="102">
        <v>429</v>
      </c>
      <c r="AF6" s="102">
        <v>172</v>
      </c>
      <c r="AG6" s="102">
        <v>158</v>
      </c>
      <c r="AH6" s="102">
        <v>306</v>
      </c>
      <c r="AI6" s="102">
        <v>92</v>
      </c>
      <c r="AJ6" s="102">
        <v>51</v>
      </c>
      <c r="AK6" s="102">
        <v>8142</v>
      </c>
    </row>
    <row r="7" spans="1:37" x14ac:dyDescent="0.25">
      <c r="AA7" s="101" t="s">
        <v>57</v>
      </c>
      <c r="AB7" s="102">
        <v>2671</v>
      </c>
      <c r="AC7" s="102">
        <v>3191</v>
      </c>
      <c r="AD7" s="102">
        <v>763</v>
      </c>
      <c r="AE7" s="102">
        <v>280</v>
      </c>
      <c r="AF7" s="102">
        <v>141</v>
      </c>
      <c r="AG7" s="102">
        <v>126</v>
      </c>
      <c r="AH7" s="102">
        <v>326</v>
      </c>
      <c r="AI7" s="102">
        <v>71</v>
      </c>
      <c r="AJ7" s="102">
        <v>38</v>
      </c>
      <c r="AK7" s="102">
        <v>7607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04" t="s">
        <v>58</v>
      </c>
      <c r="AB1" s="100" t="s">
        <v>50</v>
      </c>
    </row>
    <row r="2" spans="1:37" x14ac:dyDescent="0.25">
      <c r="AA2" s="100" t="s">
        <v>51</v>
      </c>
      <c r="AB2" s="30" t="s">
        <v>26</v>
      </c>
      <c r="AC2" s="30" t="s">
        <v>27</v>
      </c>
      <c r="AD2" s="30" t="s">
        <v>28</v>
      </c>
      <c r="AE2" s="30" t="s">
        <v>29</v>
      </c>
      <c r="AF2" s="30" t="s">
        <v>30</v>
      </c>
      <c r="AG2" s="30" t="s">
        <v>31</v>
      </c>
      <c r="AH2" s="30" t="s">
        <v>32</v>
      </c>
      <c r="AI2" s="30" t="s">
        <v>33</v>
      </c>
      <c r="AJ2" s="30" t="s">
        <v>14</v>
      </c>
      <c r="AK2" s="30" t="s">
        <v>49</v>
      </c>
    </row>
    <row r="3" spans="1:37" x14ac:dyDescent="0.25">
      <c r="AA3" s="101" t="s">
        <v>53</v>
      </c>
      <c r="AB3" s="102">
        <v>327</v>
      </c>
      <c r="AC3" s="102">
        <v>1771</v>
      </c>
      <c r="AD3" s="102">
        <v>2355</v>
      </c>
      <c r="AE3" s="102">
        <v>949</v>
      </c>
      <c r="AF3" s="102">
        <v>618</v>
      </c>
      <c r="AG3" s="102">
        <v>473</v>
      </c>
      <c r="AH3" s="102">
        <v>736</v>
      </c>
      <c r="AI3" s="102">
        <v>512</v>
      </c>
      <c r="AJ3" s="102">
        <v>2</v>
      </c>
      <c r="AK3" s="102">
        <v>7743</v>
      </c>
    </row>
    <row r="4" spans="1:37" x14ac:dyDescent="0.25">
      <c r="AA4" s="101" t="s">
        <v>54</v>
      </c>
      <c r="AB4" s="102">
        <v>395</v>
      </c>
      <c r="AC4" s="102">
        <v>2206</v>
      </c>
      <c r="AD4" s="102">
        <v>2709</v>
      </c>
      <c r="AE4" s="102">
        <v>1063</v>
      </c>
      <c r="AF4" s="102">
        <v>693</v>
      </c>
      <c r="AG4" s="102">
        <v>575</v>
      </c>
      <c r="AH4" s="102">
        <v>771</v>
      </c>
      <c r="AI4" s="102">
        <v>484</v>
      </c>
      <c r="AJ4" s="102">
        <v>0</v>
      </c>
      <c r="AK4" s="102">
        <v>8896</v>
      </c>
    </row>
    <row r="5" spans="1:37" x14ac:dyDescent="0.25">
      <c r="AA5" s="101" t="s">
        <v>55</v>
      </c>
      <c r="AB5" s="102">
        <v>277</v>
      </c>
      <c r="AC5" s="102">
        <v>2301</v>
      </c>
      <c r="AD5" s="102">
        <v>3186</v>
      </c>
      <c r="AE5" s="102">
        <v>1291</v>
      </c>
      <c r="AF5" s="102">
        <v>714</v>
      </c>
      <c r="AG5" s="102">
        <v>551</v>
      </c>
      <c r="AH5" s="102">
        <v>871</v>
      </c>
      <c r="AI5" s="102">
        <v>501</v>
      </c>
      <c r="AJ5" s="102">
        <v>2</v>
      </c>
      <c r="AK5" s="102">
        <v>9694</v>
      </c>
    </row>
    <row r="6" spans="1:37" x14ac:dyDescent="0.25">
      <c r="AA6" s="101" t="s">
        <v>56</v>
      </c>
      <c r="AB6" s="102">
        <v>131</v>
      </c>
      <c r="AC6" s="102">
        <v>1850</v>
      </c>
      <c r="AD6" s="102">
        <v>2993</v>
      </c>
      <c r="AE6" s="102">
        <v>1061</v>
      </c>
      <c r="AF6" s="102">
        <v>605</v>
      </c>
      <c r="AG6" s="102">
        <v>417</v>
      </c>
      <c r="AH6" s="102">
        <v>678</v>
      </c>
      <c r="AI6" s="102">
        <v>406</v>
      </c>
      <c r="AJ6" s="102">
        <v>1</v>
      </c>
      <c r="AK6" s="102">
        <v>8142</v>
      </c>
    </row>
    <row r="7" spans="1:37" x14ac:dyDescent="0.25">
      <c r="AA7" s="101" t="s">
        <v>57</v>
      </c>
      <c r="AB7" s="102">
        <v>76</v>
      </c>
      <c r="AC7" s="102">
        <v>1680</v>
      </c>
      <c r="AD7" s="102">
        <v>2943</v>
      </c>
      <c r="AE7" s="102">
        <v>1012</v>
      </c>
      <c r="AF7" s="102">
        <v>552</v>
      </c>
      <c r="AG7" s="102">
        <v>390</v>
      </c>
      <c r="AH7" s="102">
        <v>587</v>
      </c>
      <c r="AI7" s="102">
        <v>366</v>
      </c>
      <c r="AJ7" s="102">
        <v>1</v>
      </c>
      <c r="AK7" s="102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CB00D1D-795E-4102-ACE8-D5FEA5566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78194C-60E6-4E94-8E6F-BC4983344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0D48BF-C664-4B52-A9D4-84A03419302F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Access(SJC)</dc:title>
  <dc:creator>nmesaris</dc:creator>
  <cp:lastModifiedBy>wklein</cp:lastModifiedBy>
  <dcterms:created xsi:type="dcterms:W3CDTF">2012-06-04T19:06:44Z</dcterms:created>
  <dcterms:modified xsi:type="dcterms:W3CDTF">2014-05-07T16:01:28Z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