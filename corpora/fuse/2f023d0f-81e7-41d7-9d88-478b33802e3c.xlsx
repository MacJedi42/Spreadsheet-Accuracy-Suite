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27795" windowHeight="12075"/>
  </bookViews>
  <sheets>
    <sheet name="PP" sheetId="1" r:id="rId1"/>
    <sheet name="Summary Table" sheetId="2" r:id="rId2"/>
  </sheets>
  <calcPr calcId="145621"/>
</workbook>
</file>

<file path=xl/calcChain.xml><?xml version="1.0" encoding="utf-8"?>
<calcChain xmlns="http://schemas.openxmlformats.org/spreadsheetml/2006/main">
  <c r="K29" i="1" l="1"/>
  <c r="K25" i="1"/>
  <c r="K20" i="1"/>
  <c r="N27" i="1" s="1"/>
  <c r="N23" i="1" l="1"/>
  <c r="N28" i="1"/>
  <c r="N24" i="1"/>
</calcChain>
</file>

<file path=xl/sharedStrings.xml><?xml version="1.0" encoding="utf-8"?>
<sst xmlns="http://schemas.openxmlformats.org/spreadsheetml/2006/main" count="103" uniqueCount="47">
  <si>
    <t>Experimental Explosives</t>
  </si>
  <si>
    <t>Explosive Engineering</t>
  </si>
  <si>
    <t>Bonus Tech Damage</t>
  </si>
  <si>
    <t>StdHealth</t>
  </si>
  <si>
    <t>Coefficient A</t>
  </si>
  <si>
    <t>StdHealthPercent A</t>
  </si>
  <si>
    <t>Damage A</t>
  </si>
  <si>
    <t>Coefficient B</t>
  </si>
  <si>
    <t>StdHealthPercent B</t>
  </si>
  <si>
    <t>Damage B</t>
  </si>
  <si>
    <t>A</t>
  </si>
  <si>
    <t>B</t>
  </si>
  <si>
    <t>Tick Dmg</t>
  </si>
  <si>
    <r>
      <t>c = (Damage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Damage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) / (BonusTechDamage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BonusTechDamage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)</t>
    </r>
  </si>
  <si>
    <r>
      <t>(assuming SHP</t>
    </r>
    <r>
      <rPr>
        <vertAlign val="sub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= 0.044)</t>
    </r>
  </si>
  <si>
    <r>
      <t>(assuming c</t>
    </r>
    <r>
      <rPr>
        <vertAlign val="sub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= 0.44)</t>
    </r>
  </si>
  <si>
    <r>
      <t>(assuming SHP</t>
    </r>
    <r>
      <rPr>
        <vertAlign val="sub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 xml:space="preserve"> = 0.020)</t>
    </r>
  </si>
  <si>
    <r>
      <t>(assuming c</t>
    </r>
    <r>
      <rPr>
        <vertAlign val="sub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 xml:space="preserve"> = 0.20)</t>
    </r>
  </si>
  <si>
    <t>Averages</t>
  </si>
  <si>
    <t>Calculations</t>
  </si>
  <si>
    <r>
      <t>c</t>
    </r>
    <r>
      <rPr>
        <vertAlign val="sub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=</t>
    </r>
  </si>
  <si>
    <r>
      <t>SHP</t>
    </r>
    <r>
      <rPr>
        <vertAlign val="sub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=</t>
    </r>
  </si>
  <si>
    <r>
      <t>c</t>
    </r>
    <r>
      <rPr>
        <vertAlign val="sub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 xml:space="preserve"> =</t>
    </r>
  </si>
  <si>
    <r>
      <t>SHP</t>
    </r>
    <r>
      <rPr>
        <vertAlign val="sub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 xml:space="preserve"> =</t>
    </r>
  </si>
  <si>
    <t>Tick Damage = Coefficient*BonusTechDamage + StdHealth*StdHealthPercent</t>
  </si>
  <si>
    <t>Skills Relevant to This Test</t>
  </si>
  <si>
    <t>t (s)</t>
  </si>
  <si>
    <t>Tick Timing:</t>
  </si>
  <si>
    <t>c = coefficient</t>
  </si>
  <si>
    <t>SHP = StdHealthPercent</t>
  </si>
  <si>
    <t>TRIAL NUMBER:</t>
  </si>
  <si>
    <t>Discrepancy between measured and theorized is most likely due to the data resolution of 1.</t>
  </si>
  <si>
    <t>StdHealth (Level 50)</t>
  </si>
  <si>
    <t>&lt;table class="TinyTable" frame="border"&gt;&lt;tr class="ejheader"&gt;</t>
  </si>
  <si>
    <t>&lt;th&gt;</t>
  </si>
  <si>
    <t>&lt;/td&gt;&lt;/tr&gt;</t>
  </si>
  <si>
    <t>&lt;/td&gt;&lt;/tr&gt;&lt;/tbody&gt;&lt;/table&gt;</t>
  </si>
  <si>
    <t>&lt;tbody&gt;&lt;tr&gt;&lt;td align=right&gt;</t>
  </si>
  <si>
    <t>&lt;tr&gt;&lt;td align=right&gt;</t>
  </si>
  <si>
    <t>&lt;tr bgcolor=#e6e4e0&gt;&lt;td align=right&gt;</t>
  </si>
  <si>
    <t>&lt;/td&gt;&lt;td align=center&gt;</t>
  </si>
  <si>
    <t>&lt;/td&gt;&lt;td align=right&gt;</t>
  </si>
  <si>
    <t>&lt;/th&gt;&lt;th&gt;</t>
  </si>
  <si>
    <t>Time (s)</t>
  </si>
  <si>
    <t>Tick Size</t>
  </si>
  <si>
    <t>Coefficient</t>
  </si>
  <si>
    <t>&lt;/th&gt;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</si>
</sst>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0"/>
    <numFmt numFmtId="165" formatCode="0.0"/>
    <numFmt numFmtId="170" formatCode="0.000"/>
  </numFmts>
  <fonts count="6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rgb="FF7F7F7F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5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" fontId="4" fillId="0" borderId="0" xfId="0" applyNumberFormat="1" applyFont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/>
    <xf numFmtId="0" fontId="0" fillId="0" borderId="0" xfId="0" applyAlignment="1">
      <alignment vertical="center"/>
    </xf>
    <xf numFmtId="164" fontId="2" fillId="0" borderId="3" xfId="0" applyNumberFormat="1" applyFont="1" applyBorder="1" applyAlignment="1">
      <alignment horizontal="right" vertical="center"/>
    </xf>
    <xf numFmtId="164" fontId="2" fillId="0" borderId="4" xfId="0" applyNumberFormat="1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4" fillId="0" borderId="2" xfId="0" applyFont="1" applyBorder="1"/>
    <xf numFmtId="0" fontId="1" fillId="2" borderId="5" xfId="1" applyBorder="1"/>
    <xf numFmtId="0" fontId="1" fillId="2" borderId="6" xfId="1" applyBorder="1"/>
    <xf numFmtId="0" fontId="1" fillId="2" borderId="7" xfId="1" applyBorder="1"/>
    <xf numFmtId="0" fontId="5" fillId="0" borderId="0" xfId="0" applyFont="1"/>
    <xf numFmtId="0" fontId="4" fillId="0" borderId="0" xfId="0" applyFont="1" applyFill="1" applyBorder="1" applyAlignment="1">
      <alignment vertical="center"/>
    </xf>
    <xf numFmtId="0" fontId="4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2" fontId="0" fillId="0" borderId="0" xfId="0" applyNumberFormat="1"/>
    <xf numFmtId="170" fontId="0" fillId="0" borderId="0" xfId="0" applyNumberFormat="1"/>
    <xf numFmtId="165" fontId="0" fillId="0" borderId="0" xfId="0" applyNumberFormat="1"/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 </a:t>
            </a:r>
            <a:r>
              <a:rPr lang="en-US" baseline="0"/>
              <a:t>≈ slope; SHP </a:t>
            </a:r>
            <a:r>
              <a:rPr lang="en-US" sz="1800" b="1" i="0" u="none" strike="noStrike" baseline="0">
                <a:effectLst/>
              </a:rPr>
              <a:t>≈ intercept/1610</a:t>
            </a:r>
            <a:endParaRPr lang="en-US" baseline="0"/>
          </a:p>
        </c:rich>
      </c:tx>
      <c:layout>
        <c:manualLayout>
          <c:xMode val="edge"/>
          <c:yMode val="edge"/>
          <c:x val="0.25632404954120069"/>
          <c:y val="4.3012085995399072E-3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0236004859582126"/>
          <c:y val="0.11161561256455846"/>
          <c:w val="0.75727249733593727"/>
          <c:h val="0.71127017187367703"/>
        </c:manualLayout>
      </c:layout>
      <c:scatterChart>
        <c:scatterStyle val="lineMarker"/>
        <c:varyColors val="0"/>
        <c:ser>
          <c:idx val="0"/>
          <c:order val="0"/>
          <c:tx>
            <c:v>A Ticks</c:v>
          </c:tx>
          <c:spPr>
            <a:ln w="28575">
              <a:noFill/>
            </a:ln>
          </c:spPr>
          <c:trendline>
            <c:trendlineType val="linear"/>
            <c:backward val="269"/>
            <c:dispRSqr val="0"/>
            <c:dispEq val="1"/>
            <c:trendlineLbl>
              <c:layout>
                <c:manualLayout>
                  <c:x val="-9.390188785643501E-2"/>
                  <c:y val="3.9845009885552299E-2"/>
                </c:manualLayout>
              </c:layout>
              <c:tx>
                <c:rich>
                  <a:bodyPr/>
                  <a:lstStyle/>
                  <a:p>
                    <a:pPr>
                      <a:defRPr/>
                    </a:pPr>
                    <a:r>
                      <a:rPr lang="en-US" baseline="0"/>
                      <a:t>DamageA = 0.4382*BonusDamage + 0.04455*1610</a:t>
                    </a:r>
                    <a:endParaRPr lang="en-US"/>
                  </a:p>
                </c:rich>
              </c:tx>
              <c:numFmt formatCode="General" sourceLinked="0"/>
            </c:trendlineLbl>
          </c:trendline>
          <c:xVal>
            <c:numRef>
              <c:f>PP!$B$20:$I$20</c:f>
              <c:numCache>
                <c:formatCode>General</c:formatCode>
                <c:ptCount val="8"/>
                <c:pt idx="0">
                  <c:v>751.6</c:v>
                </c:pt>
                <c:pt idx="1">
                  <c:v>577.29999999999995</c:v>
                </c:pt>
                <c:pt idx="2">
                  <c:v>478.3</c:v>
                </c:pt>
                <c:pt idx="3">
                  <c:v>404.8</c:v>
                </c:pt>
                <c:pt idx="4">
                  <c:v>444.1</c:v>
                </c:pt>
                <c:pt idx="5">
                  <c:v>269.8</c:v>
                </c:pt>
                <c:pt idx="6">
                  <c:v>463.5</c:v>
                </c:pt>
                <c:pt idx="7">
                  <c:v>369.9</c:v>
                </c:pt>
              </c:numCache>
            </c:numRef>
          </c:xVal>
          <c:yVal>
            <c:numRef>
              <c:f>PP!$B$25:$I$25</c:f>
              <c:numCache>
                <c:formatCode>General</c:formatCode>
                <c:ptCount val="8"/>
                <c:pt idx="0">
                  <c:v>401</c:v>
                </c:pt>
                <c:pt idx="1">
                  <c:v>325</c:v>
                </c:pt>
                <c:pt idx="2">
                  <c:v>281</c:v>
                </c:pt>
                <c:pt idx="3">
                  <c:v>249</c:v>
                </c:pt>
                <c:pt idx="4">
                  <c:v>266</c:v>
                </c:pt>
                <c:pt idx="5">
                  <c:v>190</c:v>
                </c:pt>
                <c:pt idx="6">
                  <c:v>275</c:v>
                </c:pt>
                <c:pt idx="7">
                  <c:v>234</c:v>
                </c:pt>
              </c:numCache>
            </c:numRef>
          </c:yVal>
          <c:smooth val="0"/>
        </c:ser>
        <c:ser>
          <c:idx val="1"/>
          <c:order val="1"/>
          <c:tx>
            <c:v>B Ticks</c:v>
          </c:tx>
          <c:spPr>
            <a:ln w="28575">
              <a:noFill/>
            </a:ln>
          </c:spPr>
          <c:trendline>
            <c:trendlineType val="linear"/>
            <c:backward val="269"/>
            <c:dispRSqr val="0"/>
            <c:dispEq val="1"/>
            <c:trendlineLbl>
              <c:layout>
                <c:manualLayout>
                  <c:x val="6.7804273281005745E-2"/>
                  <c:y val="0.18141906657916046"/>
                </c:manualLayout>
              </c:layout>
              <c:tx>
                <c:rich>
                  <a:bodyPr/>
                  <a:lstStyle/>
                  <a:p>
                    <a:pPr>
                      <a:defRPr/>
                    </a:pPr>
                    <a:r>
                      <a:rPr lang="en-US" baseline="0"/>
                      <a:t>DamageB = 0.1997*BonusDamage + 0.02006*1610</a:t>
                    </a:r>
                    <a:endParaRPr lang="en-US"/>
                  </a:p>
                </c:rich>
              </c:tx>
              <c:numFmt formatCode="General" sourceLinked="0"/>
            </c:trendlineLbl>
          </c:trendline>
          <c:xVal>
            <c:numRef>
              <c:f>PP!$B$20:$I$20</c:f>
              <c:numCache>
                <c:formatCode>General</c:formatCode>
                <c:ptCount val="8"/>
                <c:pt idx="0">
                  <c:v>751.6</c:v>
                </c:pt>
                <c:pt idx="1">
                  <c:v>577.29999999999995</c:v>
                </c:pt>
                <c:pt idx="2">
                  <c:v>478.3</c:v>
                </c:pt>
                <c:pt idx="3">
                  <c:v>404.8</c:v>
                </c:pt>
                <c:pt idx="4">
                  <c:v>444.1</c:v>
                </c:pt>
                <c:pt idx="5">
                  <c:v>269.8</c:v>
                </c:pt>
                <c:pt idx="6">
                  <c:v>463.5</c:v>
                </c:pt>
                <c:pt idx="7">
                  <c:v>369.9</c:v>
                </c:pt>
              </c:numCache>
            </c:numRef>
          </c:xVal>
          <c:yVal>
            <c:numRef>
              <c:f>PP!$B$29:$I$29</c:f>
              <c:numCache>
                <c:formatCode>General</c:formatCode>
                <c:ptCount val="8"/>
                <c:pt idx="0">
                  <c:v>182</c:v>
                </c:pt>
                <c:pt idx="1">
                  <c:v>148</c:v>
                </c:pt>
                <c:pt idx="2">
                  <c:v>128</c:v>
                </c:pt>
                <c:pt idx="3">
                  <c:v>113</c:v>
                </c:pt>
                <c:pt idx="4">
                  <c:v>121</c:v>
                </c:pt>
                <c:pt idx="5">
                  <c:v>86</c:v>
                </c:pt>
                <c:pt idx="6">
                  <c:v>125</c:v>
                </c:pt>
                <c:pt idx="7">
                  <c:v>106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057408"/>
        <c:axId val="95059328"/>
      </c:scatterChart>
      <c:valAx>
        <c:axId val="950574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Bonus Damage (Tech)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95059328"/>
        <c:crosses val="autoZero"/>
        <c:crossBetween val="midCat"/>
      </c:valAx>
      <c:valAx>
        <c:axId val="95059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Tick</a:t>
                </a:r>
                <a:r>
                  <a:rPr lang="en-US" baseline="0"/>
                  <a:t> Damage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95057408"/>
        <c:crosses val="autoZero"/>
        <c:crossBetween val="midCat"/>
      </c:valAx>
    </c:plotArea>
    <c:legend>
      <c:legendPos val="r"/>
      <c:legendEntry>
        <c:idx val="2"/>
        <c:delete val="1"/>
      </c:legendEntry>
      <c:legendEntry>
        <c:idx val="3"/>
        <c:delete val="1"/>
      </c:legendEntry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361949</xdr:colOff>
      <xdr:row>31</xdr:row>
      <xdr:rowOff>142875</xdr:rowOff>
    </xdr:from>
    <xdr:to>
      <xdr:col>8</xdr:col>
      <xdr:colOff>380999</xdr:colOff>
      <xdr:row>47</xdr:row>
      <xdr:rowOff>14287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8"/>
  <sheetViews>
    <sheetView tabSelected="1" workbookViewId="0">
      <selection activeCell="E6" sqref="E6"/>
    </sheetView>
  </sheetViews>
  <sheetFormatPr defaultRowHeight="15" x14ac:dyDescent="0.25"/>
  <cols>
    <col min="1" max="1" width="26.140625" customWidth="1"/>
    <col min="10" max="10" width="2.140625" customWidth="1"/>
    <col min="12" max="12" width="1.5703125" customWidth="1"/>
    <col min="13" max="13" width="7.140625" style="1" bestFit="1" customWidth="1"/>
    <col min="14" max="14" width="9.140625" customWidth="1"/>
    <col min="15" max="15" width="21.85546875" customWidth="1"/>
  </cols>
  <sheetData>
    <row r="2" spans="1:9" x14ac:dyDescent="0.25">
      <c r="A2" s="18" t="s">
        <v>25</v>
      </c>
    </row>
    <row r="3" spans="1:9" x14ac:dyDescent="0.25">
      <c r="A3" t="s">
        <v>1</v>
      </c>
      <c r="B3">
        <v>0</v>
      </c>
    </row>
    <row r="4" spans="1:9" x14ac:dyDescent="0.25">
      <c r="A4" t="s">
        <v>0</v>
      </c>
      <c r="B4">
        <v>0</v>
      </c>
    </row>
    <row r="6" spans="1:9" x14ac:dyDescent="0.25">
      <c r="A6" t="s">
        <v>27</v>
      </c>
      <c r="B6" s="3" t="s">
        <v>26</v>
      </c>
      <c r="C6" s="3" t="s">
        <v>12</v>
      </c>
      <c r="D6" s="2"/>
      <c r="H6" s="2"/>
      <c r="I6" s="2"/>
    </row>
    <row r="7" spans="1:9" x14ac:dyDescent="0.25">
      <c r="B7" s="4">
        <v>0</v>
      </c>
      <c r="C7" s="2" t="s">
        <v>10</v>
      </c>
    </row>
    <row r="8" spans="1:9" x14ac:dyDescent="0.25">
      <c r="B8" s="4">
        <v>1</v>
      </c>
      <c r="C8" s="2" t="s">
        <v>10</v>
      </c>
    </row>
    <row r="9" spans="1:9" x14ac:dyDescent="0.25">
      <c r="B9" s="4">
        <v>2</v>
      </c>
      <c r="C9" s="2" t="s">
        <v>10</v>
      </c>
    </row>
    <row r="10" spans="1:9" x14ac:dyDescent="0.25">
      <c r="B10" s="4">
        <v>3</v>
      </c>
      <c r="C10" s="2" t="s">
        <v>10</v>
      </c>
      <c r="D10" s="5"/>
      <c r="H10" s="5"/>
      <c r="I10" s="5"/>
    </row>
    <row r="11" spans="1:9" x14ac:dyDescent="0.25">
      <c r="B11" s="4">
        <v>6</v>
      </c>
      <c r="C11" s="2" t="s">
        <v>11</v>
      </c>
      <c r="D11" s="6"/>
      <c r="H11" s="6"/>
      <c r="I11" s="5"/>
    </row>
    <row r="12" spans="1:9" x14ac:dyDescent="0.25">
      <c r="B12" s="4">
        <v>9</v>
      </c>
      <c r="C12" s="2" t="s">
        <v>11</v>
      </c>
      <c r="D12" s="4"/>
      <c r="E12" s="2"/>
      <c r="F12" s="4"/>
      <c r="G12" s="2"/>
      <c r="H12" s="4"/>
      <c r="I12" s="2"/>
    </row>
    <row r="13" spans="1:9" x14ac:dyDescent="0.25">
      <c r="B13" s="4">
        <v>12</v>
      </c>
      <c r="C13" s="2" t="s">
        <v>11</v>
      </c>
      <c r="D13" s="4"/>
      <c r="E13" s="2"/>
      <c r="F13" s="4"/>
      <c r="G13" s="2"/>
      <c r="H13" s="4"/>
      <c r="I13" s="2"/>
    </row>
    <row r="14" spans="1:9" x14ac:dyDescent="0.25">
      <c r="B14" s="4">
        <v>15</v>
      </c>
      <c r="C14" s="2" t="s">
        <v>11</v>
      </c>
      <c r="D14" s="4"/>
      <c r="E14" s="2"/>
      <c r="F14" s="4"/>
      <c r="G14" s="2"/>
      <c r="H14" s="4"/>
      <c r="I14" s="2"/>
    </row>
    <row r="15" spans="1:9" x14ac:dyDescent="0.25">
      <c r="B15" s="4">
        <v>18</v>
      </c>
      <c r="C15" s="2" t="s">
        <v>11</v>
      </c>
      <c r="D15" s="4"/>
      <c r="E15" s="2"/>
      <c r="F15" s="4"/>
      <c r="G15" s="2"/>
      <c r="H15" s="4"/>
      <c r="I15" s="2"/>
    </row>
    <row r="17" spans="1:15" x14ac:dyDescent="0.25">
      <c r="A17" t="s">
        <v>24</v>
      </c>
    </row>
    <row r="19" spans="1:15" x14ac:dyDescent="0.25">
      <c r="A19" s="8" t="s">
        <v>30</v>
      </c>
      <c r="B19" s="7">
        <v>1</v>
      </c>
      <c r="C19" s="7">
        <v>2</v>
      </c>
      <c r="D19" s="7">
        <v>3</v>
      </c>
      <c r="E19" s="7">
        <v>4</v>
      </c>
      <c r="F19" s="7">
        <v>5</v>
      </c>
      <c r="G19" s="7">
        <v>6</v>
      </c>
      <c r="H19" s="7">
        <v>7</v>
      </c>
      <c r="I19" s="7">
        <v>8</v>
      </c>
      <c r="K19" s="14" t="s">
        <v>18</v>
      </c>
      <c r="L19" s="9"/>
      <c r="M19" s="20" t="s">
        <v>19</v>
      </c>
      <c r="N19" s="20"/>
      <c r="O19" s="20"/>
    </row>
    <row r="20" spans="1:15" x14ac:dyDescent="0.25">
      <c r="A20" t="s">
        <v>2</v>
      </c>
      <c r="B20" s="15">
        <v>751.6</v>
      </c>
      <c r="C20" s="16">
        <v>577.29999999999995</v>
      </c>
      <c r="D20" s="16">
        <v>478.3</v>
      </c>
      <c r="E20" s="16">
        <v>404.8</v>
      </c>
      <c r="F20" s="16">
        <v>444.1</v>
      </c>
      <c r="G20" s="16">
        <v>269.8</v>
      </c>
      <c r="H20" s="16">
        <v>463.5</v>
      </c>
      <c r="I20" s="17">
        <v>369.9</v>
      </c>
      <c r="K20">
        <f>AVERAGE(B20:I20)</f>
        <v>469.91250000000002</v>
      </c>
      <c r="N20" s="9" t="s">
        <v>28</v>
      </c>
    </row>
    <row r="21" spans="1:15" x14ac:dyDescent="0.25">
      <c r="A21" t="s">
        <v>32</v>
      </c>
      <c r="B21">
        <v>1610</v>
      </c>
      <c r="C21">
        <v>1610</v>
      </c>
      <c r="D21">
        <v>1610</v>
      </c>
      <c r="E21">
        <v>1610</v>
      </c>
      <c r="F21">
        <v>1610</v>
      </c>
      <c r="G21">
        <v>1610</v>
      </c>
      <c r="H21">
        <v>1610</v>
      </c>
      <c r="I21">
        <v>1610</v>
      </c>
      <c r="N21" s="19" t="s">
        <v>29</v>
      </c>
    </row>
    <row r="22" spans="1:15" ht="15.75" thickBot="1" x14ac:dyDescent="0.3"/>
    <row r="23" spans="1:15" ht="18" x14ac:dyDescent="0.25">
      <c r="A23" t="s">
        <v>4</v>
      </c>
      <c r="M23" s="13" t="s">
        <v>20</v>
      </c>
      <c r="N23" s="11">
        <f>(K25-0.044*1610)/K$20</f>
        <v>0.44005000931024396</v>
      </c>
      <c r="O23" s="10" t="s">
        <v>14</v>
      </c>
    </row>
    <row r="24" spans="1:15" ht="18.75" thickBot="1" x14ac:dyDescent="0.3">
      <c r="A24" t="s">
        <v>5</v>
      </c>
      <c r="M24" s="13" t="s">
        <v>21</v>
      </c>
      <c r="N24" s="12">
        <f>(K25-0.44*K$20)/1610</f>
        <v>4.401459627329192E-2</v>
      </c>
      <c r="O24" s="10" t="s">
        <v>15</v>
      </c>
    </row>
    <row r="25" spans="1:15" x14ac:dyDescent="0.25">
      <c r="A25" t="s">
        <v>6</v>
      </c>
      <c r="B25" s="15">
        <v>401</v>
      </c>
      <c r="C25" s="16">
        <v>325</v>
      </c>
      <c r="D25" s="16">
        <v>281</v>
      </c>
      <c r="E25" s="16">
        <v>249</v>
      </c>
      <c r="F25" s="16">
        <v>266</v>
      </c>
      <c r="G25" s="16">
        <v>190</v>
      </c>
      <c r="H25" s="16">
        <v>275</v>
      </c>
      <c r="I25" s="17">
        <v>234</v>
      </c>
      <c r="K25">
        <f>AVERAGE(B25:I25)</f>
        <v>277.625</v>
      </c>
      <c r="M25" s="13"/>
      <c r="N25" s="13"/>
      <c r="O25" s="10"/>
    </row>
    <row r="26" spans="1:15" ht="15.75" thickBot="1" x14ac:dyDescent="0.3">
      <c r="M26" s="13"/>
      <c r="N26" s="13"/>
      <c r="O26" s="10"/>
    </row>
    <row r="27" spans="1:15" ht="18" x14ac:dyDescent="0.25">
      <c r="A27" t="s">
        <v>7</v>
      </c>
      <c r="M27" s="13" t="s">
        <v>22</v>
      </c>
      <c r="N27" s="11">
        <f>(K29-0.02*1610)/K$20</f>
        <v>0.19987763679408399</v>
      </c>
      <c r="O27" s="10" t="s">
        <v>16</v>
      </c>
    </row>
    <row r="28" spans="1:15" ht="18.75" thickBot="1" x14ac:dyDescent="0.3">
      <c r="A28" t="s">
        <v>8</v>
      </c>
      <c r="M28" s="13" t="s">
        <v>23</v>
      </c>
      <c r="N28" s="12">
        <f>(K29-0.2*K$20)/1610</f>
        <v>1.9964285714285705E-2</v>
      </c>
      <c r="O28" s="10" t="s">
        <v>17</v>
      </c>
    </row>
    <row r="29" spans="1:15" x14ac:dyDescent="0.25">
      <c r="A29" t="s">
        <v>9</v>
      </c>
      <c r="B29" s="15">
        <v>182</v>
      </c>
      <c r="C29" s="16">
        <v>148</v>
      </c>
      <c r="D29" s="16">
        <v>128</v>
      </c>
      <c r="E29" s="16">
        <v>113</v>
      </c>
      <c r="F29" s="16">
        <v>121</v>
      </c>
      <c r="G29" s="16">
        <v>86</v>
      </c>
      <c r="H29" s="16">
        <v>125</v>
      </c>
      <c r="I29" s="17">
        <v>106</v>
      </c>
      <c r="K29">
        <f>AVERAGE(B29:I29)</f>
        <v>126.125</v>
      </c>
    </row>
    <row r="31" spans="1:15" ht="18" x14ac:dyDescent="0.35">
      <c r="A31" t="s">
        <v>13</v>
      </c>
    </row>
    <row r="48" spans="1:9" x14ac:dyDescent="0.25">
      <c r="A48" s="21" t="s">
        <v>31</v>
      </c>
      <c r="B48" s="21"/>
      <c r="C48" s="21"/>
      <c r="D48" s="21"/>
      <c r="E48" s="21"/>
      <c r="F48" s="21"/>
      <c r="G48" s="21"/>
      <c r="H48" s="21"/>
      <c r="I48" s="21"/>
    </row>
  </sheetData>
  <mergeCells count="2">
    <mergeCell ref="M19:O19"/>
    <mergeCell ref="A48:I48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selection activeCell="G14" sqref="G14"/>
    </sheetView>
  </sheetViews>
  <sheetFormatPr defaultRowHeight="15" x14ac:dyDescent="0.25"/>
  <cols>
    <col min="1" max="1" width="58.140625" bestFit="1" customWidth="1"/>
    <col min="2" max="2" width="8.140625" style="24" bestFit="1" customWidth="1"/>
    <col min="3" max="3" width="21.42578125" bestFit="1" customWidth="1"/>
    <col min="4" max="4" width="8.42578125" style="24" bestFit="1" customWidth="1"/>
    <col min="5" max="5" width="19.7109375" bestFit="1" customWidth="1"/>
    <col min="6" max="6" width="10.85546875" style="22" bestFit="1" customWidth="1"/>
    <col min="7" max="7" width="19.7109375" bestFit="1" customWidth="1"/>
    <col min="8" max="8" width="9.7109375" style="23" bestFit="1" customWidth="1"/>
    <col min="9" max="9" width="26" bestFit="1" customWidth="1"/>
  </cols>
  <sheetData>
    <row r="1" spans="1:9" x14ac:dyDescent="0.25">
      <c r="A1" t="s">
        <v>33</v>
      </c>
    </row>
    <row r="2" spans="1:9" x14ac:dyDescent="0.25">
      <c r="A2" t="s">
        <v>34</v>
      </c>
      <c r="B2" s="24" t="s">
        <v>43</v>
      </c>
      <c r="C2" t="s">
        <v>42</v>
      </c>
      <c r="D2" s="24" t="s">
        <v>44</v>
      </c>
      <c r="E2" t="s">
        <v>42</v>
      </c>
      <c r="F2" s="22" t="s">
        <v>45</v>
      </c>
      <c r="G2" t="s">
        <v>42</v>
      </c>
      <c r="H2" s="23" t="s">
        <v>3</v>
      </c>
      <c r="I2" t="s">
        <v>46</v>
      </c>
    </row>
    <row r="3" spans="1:9" x14ac:dyDescent="0.25">
      <c r="A3" t="s">
        <v>37</v>
      </c>
      <c r="B3" s="24">
        <v>0</v>
      </c>
      <c r="C3" t="s">
        <v>40</v>
      </c>
      <c r="D3" s="24" t="s">
        <v>10</v>
      </c>
      <c r="E3" t="s">
        <v>41</v>
      </c>
      <c r="F3" s="22">
        <v>0.44</v>
      </c>
      <c r="G3" t="s">
        <v>41</v>
      </c>
      <c r="H3" s="23">
        <v>4.3999999999999997E-2</v>
      </c>
      <c r="I3" t="s">
        <v>35</v>
      </c>
    </row>
    <row r="4" spans="1:9" x14ac:dyDescent="0.25">
      <c r="A4" t="s">
        <v>39</v>
      </c>
      <c r="B4" s="24">
        <v>1</v>
      </c>
      <c r="C4" t="s">
        <v>40</v>
      </c>
      <c r="D4" s="24" t="s">
        <v>10</v>
      </c>
      <c r="E4" t="s">
        <v>41</v>
      </c>
      <c r="F4" s="22">
        <v>0.44</v>
      </c>
      <c r="G4" t="s">
        <v>41</v>
      </c>
      <c r="H4" s="23">
        <v>4.3999999999999997E-2</v>
      </c>
      <c r="I4" t="s">
        <v>35</v>
      </c>
    </row>
    <row r="5" spans="1:9" x14ac:dyDescent="0.25">
      <c r="A5" t="s">
        <v>38</v>
      </c>
      <c r="B5" s="24">
        <v>2</v>
      </c>
      <c r="C5" t="s">
        <v>40</v>
      </c>
      <c r="D5" s="24" t="s">
        <v>10</v>
      </c>
      <c r="E5" t="s">
        <v>41</v>
      </c>
      <c r="F5" s="22">
        <v>0.44</v>
      </c>
      <c r="G5" t="s">
        <v>41</v>
      </c>
      <c r="H5" s="23">
        <v>4.3999999999999997E-2</v>
      </c>
      <c r="I5" t="s">
        <v>35</v>
      </c>
    </row>
    <row r="6" spans="1:9" x14ac:dyDescent="0.25">
      <c r="A6" t="s">
        <v>39</v>
      </c>
      <c r="B6" s="24">
        <v>3</v>
      </c>
      <c r="C6" t="s">
        <v>40</v>
      </c>
      <c r="D6" s="24" t="s">
        <v>10</v>
      </c>
      <c r="E6" t="s">
        <v>41</v>
      </c>
      <c r="F6" s="22">
        <v>0.44</v>
      </c>
      <c r="G6" t="s">
        <v>41</v>
      </c>
      <c r="H6" s="23">
        <v>4.3999999999999997E-2</v>
      </c>
      <c r="I6" t="s">
        <v>35</v>
      </c>
    </row>
    <row r="7" spans="1:9" x14ac:dyDescent="0.25">
      <c r="A7" t="s">
        <v>38</v>
      </c>
      <c r="B7" s="24">
        <v>6</v>
      </c>
      <c r="C7" t="s">
        <v>40</v>
      </c>
      <c r="D7" s="24" t="s">
        <v>11</v>
      </c>
      <c r="E7" t="s">
        <v>41</v>
      </c>
      <c r="F7" s="22">
        <v>0.2</v>
      </c>
      <c r="G7" t="s">
        <v>41</v>
      </c>
      <c r="H7" s="23">
        <v>0.02</v>
      </c>
      <c r="I7" t="s">
        <v>35</v>
      </c>
    </row>
    <row r="8" spans="1:9" x14ac:dyDescent="0.25">
      <c r="A8" t="s">
        <v>39</v>
      </c>
      <c r="B8" s="24">
        <v>9</v>
      </c>
      <c r="C8" t="s">
        <v>40</v>
      </c>
      <c r="D8" s="24" t="s">
        <v>11</v>
      </c>
      <c r="E8" t="s">
        <v>41</v>
      </c>
      <c r="F8" s="22">
        <v>0.2</v>
      </c>
      <c r="G8" t="s">
        <v>41</v>
      </c>
      <c r="H8" s="23">
        <v>0.02</v>
      </c>
      <c r="I8" t="s">
        <v>35</v>
      </c>
    </row>
    <row r="9" spans="1:9" x14ac:dyDescent="0.25">
      <c r="A9" t="s">
        <v>38</v>
      </c>
      <c r="B9" s="24">
        <v>12</v>
      </c>
      <c r="C9" t="s">
        <v>40</v>
      </c>
      <c r="D9" s="24" t="s">
        <v>11</v>
      </c>
      <c r="E9" t="s">
        <v>41</v>
      </c>
      <c r="F9" s="22">
        <v>0.2</v>
      </c>
      <c r="G9" t="s">
        <v>41</v>
      </c>
      <c r="H9" s="23">
        <v>0.02</v>
      </c>
      <c r="I9" t="s">
        <v>35</v>
      </c>
    </row>
    <row r="10" spans="1:9" x14ac:dyDescent="0.25">
      <c r="A10" t="s">
        <v>39</v>
      </c>
      <c r="B10" s="24">
        <v>15</v>
      </c>
      <c r="C10" t="s">
        <v>40</v>
      </c>
      <c r="D10" s="24" t="s">
        <v>11</v>
      </c>
      <c r="E10" t="s">
        <v>41</v>
      </c>
      <c r="F10" s="22">
        <v>0.2</v>
      </c>
      <c r="G10" t="s">
        <v>41</v>
      </c>
      <c r="H10" s="23">
        <v>0.02</v>
      </c>
      <c r="I10" t="s">
        <v>35</v>
      </c>
    </row>
    <row r="11" spans="1:9" x14ac:dyDescent="0.25">
      <c r="A11" t="s">
        <v>38</v>
      </c>
      <c r="B11" s="24">
        <v>18</v>
      </c>
      <c r="C11" t="s">
        <v>40</v>
      </c>
      <c r="D11" s="24" t="s">
        <v>11</v>
      </c>
      <c r="E11" t="s">
        <v>41</v>
      </c>
      <c r="F11" s="22">
        <v>0.2</v>
      </c>
      <c r="G11" t="s">
        <v>41</v>
      </c>
      <c r="H11" s="23">
        <v>0.02</v>
      </c>
      <c r="I1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PP</vt:lpstr>
      <vt:lpstr>Summary 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</dc:creator>
  <cp:lastModifiedBy>Mark Bernhard</cp:lastModifiedBy>
  <dcterms:created xsi:type="dcterms:W3CDTF">2012-03-28T02:42:05Z</dcterms:created>
  <dcterms:modified xsi:type="dcterms:W3CDTF">2012-03-28T13:56:23Z</dcterms:modified>
</cp:coreProperties>
</file>