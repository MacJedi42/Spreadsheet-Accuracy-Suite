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405" windowWidth="19815" windowHeight="8475"/>
  </bookViews>
  <sheets>
    <sheet name="SFCC STUD FUNDED PRG FY1213 " sheetId="2" r:id="rId1"/>
    <sheet name="DX" sheetId="1" r:id="rId2"/>
  </sheets>
  <externalReferences>
    <externalReference r:id="rId3"/>
    <externalReference r:id="rId4"/>
  </externalReferences>
  <definedNames>
    <definedName name="_xlnm._FilterDatabase" localSheetId="1" hidden="1">DX!$A$1:$N$928</definedName>
    <definedName name="_xlnm.Database">DX!$B$1:$N$928</definedName>
    <definedName name="_xlnm.Print_Titles" localSheetId="0">'SFCC STUD FUNDED PRG FY1213 '!$1:$8</definedName>
  </definedNames>
  <calcPr calcId="145621"/>
  <pivotCaches>
    <pivotCache cacheId="20" r:id="rId5"/>
  </pivotCaches>
</workbook>
</file>

<file path=xl/calcChain.xml><?xml version="1.0" encoding="utf-8"?>
<calcChain xmlns="http://schemas.openxmlformats.org/spreadsheetml/2006/main">
  <c r="A672" i="1" l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928" i="1"/>
  <c r="A927" i="1"/>
  <c r="A786" i="1"/>
  <c r="A785" i="1"/>
  <c r="A926" i="1"/>
  <c r="A784" i="1"/>
  <c r="A925" i="1"/>
  <c r="A783" i="1"/>
  <c r="A782" i="1"/>
  <c r="A781" i="1"/>
  <c r="A924" i="1"/>
  <c r="A780" i="1"/>
  <c r="A779" i="1"/>
  <c r="A923" i="1"/>
  <c r="A778" i="1"/>
  <c r="A922" i="1"/>
  <c r="A777" i="1"/>
  <c r="A921" i="1"/>
  <c r="A920" i="1"/>
  <c r="A776" i="1"/>
  <c r="A919" i="1"/>
  <c r="A775" i="1"/>
  <c r="A918" i="1"/>
  <c r="A774" i="1"/>
  <c r="A773" i="1"/>
  <c r="A917" i="1"/>
  <c r="A772" i="1"/>
  <c r="A916" i="1"/>
  <c r="A915" i="1"/>
  <c r="A771" i="1"/>
  <c r="A914" i="1"/>
  <c r="A770" i="1"/>
  <c r="A769" i="1"/>
  <c r="A768" i="1"/>
  <c r="A913" i="1"/>
  <c r="A767" i="1"/>
  <c r="A912" i="1"/>
  <c r="A911" i="1"/>
  <c r="A766" i="1"/>
  <c r="A910" i="1"/>
  <c r="A765" i="1"/>
  <c r="A764" i="1"/>
  <c r="A909" i="1"/>
  <c r="A763" i="1"/>
  <c r="A908" i="1"/>
  <c r="A907" i="1"/>
  <c r="A762" i="1"/>
  <c r="A906" i="1"/>
  <c r="A761" i="1"/>
  <c r="A760" i="1"/>
  <c r="A759" i="1"/>
  <c r="A905" i="1"/>
  <c r="A758" i="1"/>
  <c r="A757" i="1"/>
  <c r="A904" i="1"/>
  <c r="A756" i="1"/>
  <c r="A903" i="1"/>
  <c r="A755" i="1"/>
  <c r="A754" i="1"/>
  <c r="A902" i="1"/>
  <c r="A753" i="1"/>
  <c r="A901" i="1"/>
  <c r="A752" i="1"/>
  <c r="A900" i="1"/>
  <c r="A751" i="1"/>
  <c r="A899" i="1"/>
  <c r="A750" i="1"/>
  <c r="A749" i="1"/>
  <c r="A898" i="1"/>
  <c r="A671" i="1"/>
  <c r="A897" i="1"/>
  <c r="A896" i="1"/>
  <c r="A895" i="1"/>
  <c r="A748" i="1"/>
  <c r="A894" i="1"/>
  <c r="A747" i="1"/>
  <c r="A893" i="1"/>
  <c r="A746" i="1"/>
  <c r="A892" i="1"/>
  <c r="A891" i="1"/>
  <c r="A890" i="1"/>
  <c r="A745" i="1"/>
  <c r="A889" i="1"/>
  <c r="A744" i="1"/>
  <c r="A888" i="1"/>
  <c r="A887" i="1"/>
  <c r="A743" i="1"/>
  <c r="A742" i="1"/>
  <c r="A741" i="1"/>
  <c r="A886" i="1"/>
  <c r="A6" i="1"/>
  <c r="A885" i="1"/>
  <c r="A670" i="1"/>
  <c r="A669" i="1"/>
  <c r="A668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884" i="1"/>
  <c r="A5" i="1"/>
  <c r="A883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4" i="1"/>
  <c r="A667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882" i="1"/>
  <c r="A698" i="1"/>
  <c r="A697" i="1"/>
  <c r="A696" i="1"/>
  <c r="A881" i="1"/>
  <c r="A695" i="1"/>
  <c r="A694" i="1"/>
  <c r="A880" i="1"/>
  <c r="A879" i="1"/>
  <c r="A693" i="1"/>
  <c r="A878" i="1"/>
  <c r="A877" i="1"/>
  <c r="A692" i="1"/>
  <c r="A876" i="1"/>
  <c r="A875" i="1"/>
  <c r="A691" i="1"/>
  <c r="A874" i="1"/>
  <c r="A690" i="1"/>
  <c r="A873" i="1"/>
  <c r="A689" i="1"/>
  <c r="A688" i="1"/>
  <c r="A872" i="1"/>
  <c r="A871" i="1"/>
  <c r="A687" i="1"/>
  <c r="A870" i="1"/>
  <c r="A686" i="1"/>
  <c r="A869" i="1"/>
  <c r="A868" i="1"/>
  <c r="A867" i="1"/>
  <c r="A3" i="1"/>
  <c r="A866" i="1"/>
  <c r="A666" i="1"/>
  <c r="A665" i="1"/>
  <c r="A2" i="1"/>
  <c r="A865" i="1"/>
  <c r="A664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864" i="1"/>
  <c r="A536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N672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928" i="1"/>
  <c r="N927" i="1"/>
  <c r="N786" i="1"/>
  <c r="N785" i="1"/>
  <c r="N926" i="1"/>
  <c r="N784" i="1"/>
  <c r="N925" i="1"/>
  <c r="N783" i="1"/>
  <c r="N782" i="1"/>
  <c r="N781" i="1"/>
  <c r="N924" i="1"/>
  <c r="N780" i="1"/>
  <c r="N779" i="1"/>
  <c r="N923" i="1"/>
  <c r="N778" i="1"/>
  <c r="N922" i="1"/>
  <c r="N777" i="1"/>
  <c r="N921" i="1"/>
  <c r="N920" i="1"/>
  <c r="N776" i="1"/>
  <c r="N919" i="1"/>
  <c r="N775" i="1"/>
  <c r="N918" i="1"/>
  <c r="N774" i="1"/>
  <c r="N773" i="1"/>
  <c r="N917" i="1"/>
  <c r="N772" i="1"/>
  <c r="N916" i="1"/>
  <c r="N915" i="1"/>
  <c r="N771" i="1"/>
  <c r="N914" i="1"/>
  <c r="N770" i="1"/>
  <c r="N769" i="1"/>
  <c r="N768" i="1"/>
  <c r="N913" i="1"/>
  <c r="N767" i="1"/>
  <c r="N912" i="1"/>
  <c r="N911" i="1"/>
  <c r="N766" i="1"/>
  <c r="N910" i="1"/>
  <c r="N765" i="1"/>
  <c r="N764" i="1"/>
  <c r="N909" i="1"/>
  <c r="N763" i="1"/>
  <c r="N908" i="1"/>
  <c r="N907" i="1"/>
  <c r="N762" i="1"/>
  <c r="N906" i="1"/>
  <c r="N761" i="1"/>
  <c r="N760" i="1"/>
  <c r="N759" i="1"/>
  <c r="N905" i="1"/>
  <c r="N758" i="1"/>
  <c r="N757" i="1"/>
  <c r="N904" i="1"/>
  <c r="N756" i="1"/>
  <c r="N903" i="1"/>
  <c r="N755" i="1"/>
  <c r="N754" i="1"/>
  <c r="N902" i="1"/>
  <c r="N753" i="1"/>
  <c r="N901" i="1"/>
  <c r="N752" i="1"/>
  <c r="N900" i="1"/>
  <c r="N751" i="1"/>
  <c r="N899" i="1"/>
  <c r="N750" i="1"/>
  <c r="N749" i="1"/>
  <c r="N898" i="1"/>
  <c r="N671" i="1"/>
  <c r="N897" i="1"/>
  <c r="N896" i="1"/>
  <c r="N895" i="1"/>
  <c r="N748" i="1"/>
  <c r="N894" i="1"/>
  <c r="N747" i="1"/>
  <c r="N893" i="1"/>
  <c r="N746" i="1"/>
  <c r="N892" i="1"/>
  <c r="N891" i="1"/>
  <c r="N890" i="1"/>
  <c r="N745" i="1"/>
  <c r="N889" i="1"/>
  <c r="N744" i="1"/>
  <c r="N888" i="1"/>
  <c r="N887" i="1"/>
  <c r="N743" i="1"/>
  <c r="N742" i="1"/>
  <c r="N741" i="1"/>
  <c r="N886" i="1"/>
  <c r="N6" i="1"/>
  <c r="N885" i="1"/>
  <c r="N670" i="1"/>
  <c r="N669" i="1"/>
  <c r="N668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884" i="1"/>
  <c r="N5" i="1"/>
  <c r="N883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4" i="1"/>
  <c r="N667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882" i="1"/>
  <c r="N698" i="1"/>
  <c r="N697" i="1"/>
  <c r="N696" i="1"/>
  <c r="N881" i="1"/>
  <c r="N695" i="1"/>
  <c r="N694" i="1"/>
  <c r="N880" i="1"/>
  <c r="N879" i="1"/>
  <c r="N693" i="1"/>
  <c r="N878" i="1"/>
  <c r="N877" i="1"/>
  <c r="N692" i="1"/>
  <c r="N876" i="1"/>
  <c r="N875" i="1"/>
  <c r="N691" i="1"/>
  <c r="N874" i="1"/>
  <c r="N690" i="1"/>
  <c r="N873" i="1"/>
  <c r="N689" i="1"/>
  <c r="N688" i="1"/>
  <c r="N872" i="1"/>
  <c r="N871" i="1"/>
  <c r="N687" i="1"/>
  <c r="N870" i="1"/>
  <c r="N686" i="1"/>
  <c r="N869" i="1"/>
  <c r="N868" i="1"/>
  <c r="N867" i="1"/>
  <c r="N3" i="1"/>
  <c r="N866" i="1"/>
  <c r="N666" i="1"/>
  <c r="N665" i="1"/>
  <c r="N2" i="1"/>
  <c r="N865" i="1"/>
  <c r="N664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864" i="1"/>
  <c r="N536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H672" i="1" l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671" i="1"/>
  <c r="H748" i="1"/>
  <c r="H747" i="1"/>
  <c r="H746" i="1"/>
  <c r="H745" i="1"/>
  <c r="H744" i="1"/>
  <c r="H743" i="1"/>
  <c r="H742" i="1"/>
  <c r="H741" i="1"/>
  <c r="H6" i="1"/>
  <c r="H670" i="1"/>
  <c r="H669" i="1"/>
  <c r="H668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5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4" i="1"/>
  <c r="H667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3" i="1"/>
  <c r="H666" i="1"/>
  <c r="H665" i="1"/>
  <c r="H2" i="1"/>
  <c r="H664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536" i="1"/>
  <c r="H807" i="1"/>
  <c r="H806" i="1"/>
  <c r="H805" i="1"/>
  <c r="H804" i="1"/>
  <c r="H803" i="1"/>
  <c r="H802" i="1"/>
  <c r="H801" i="1"/>
  <c r="H800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</calcChain>
</file>

<file path=xl/sharedStrings.xml><?xml version="1.0" encoding="utf-8"?>
<sst xmlns="http://schemas.openxmlformats.org/spreadsheetml/2006/main" count="5860" uniqueCount="422">
  <si>
    <t>FYR</t>
  </si>
  <si>
    <t>CURR_TRNS_</t>
  </si>
  <si>
    <t>1213</t>
  </si>
  <si>
    <t>522</t>
  </si>
  <si>
    <t>264</t>
  </si>
  <si>
    <t>3221</t>
  </si>
  <si>
    <t>0401</t>
  </si>
  <si>
    <t>0424</t>
  </si>
  <si>
    <t>#A</t>
  </si>
  <si>
    <t>#B</t>
  </si>
  <si>
    <t>#G</t>
  </si>
  <si>
    <t>#H</t>
  </si>
  <si>
    <t>#P</t>
  </si>
  <si>
    <t>+1</t>
  </si>
  <si>
    <t>+2</t>
  </si>
  <si>
    <t>+A</t>
  </si>
  <si>
    <t>+G</t>
  </si>
  <si>
    <t>+H</t>
  </si>
  <si>
    <t>+M</t>
  </si>
  <si>
    <t>TN</t>
  </si>
  <si>
    <t>TR</t>
  </si>
  <si>
    <t>0622</t>
  </si>
  <si>
    <t>0782</t>
  </si>
  <si>
    <t>0999</t>
  </si>
  <si>
    <t>E</t>
  </si>
  <si>
    <t>3309</t>
  </si>
  <si>
    <t>AE</t>
  </si>
  <si>
    <t>CA</t>
  </si>
  <si>
    <t>SP</t>
  </si>
  <si>
    <t>B</t>
  </si>
  <si>
    <t>06</t>
  </si>
  <si>
    <t>07</t>
  </si>
  <si>
    <t>30</t>
  </si>
  <si>
    <t>3310</t>
  </si>
  <si>
    <t>0621</t>
  </si>
  <si>
    <t>3312</t>
  </si>
  <si>
    <t>3313</t>
  </si>
  <si>
    <t>3328</t>
  </si>
  <si>
    <t>3329</t>
  </si>
  <si>
    <t>0499</t>
  </si>
  <si>
    <t>7F</t>
  </si>
  <si>
    <t>AD</t>
  </si>
  <si>
    <t>05</t>
  </si>
  <si>
    <t>00</t>
  </si>
  <si>
    <t>G</t>
  </si>
  <si>
    <t>NB</t>
  </si>
  <si>
    <t>3330</t>
  </si>
  <si>
    <t>7E</t>
  </si>
  <si>
    <t>20</t>
  </si>
  <si>
    <t>70</t>
  </si>
  <si>
    <t>3342</t>
  </si>
  <si>
    <t>J</t>
  </si>
  <si>
    <t>3352</t>
  </si>
  <si>
    <t>7P</t>
  </si>
  <si>
    <t>02</t>
  </si>
  <si>
    <t>03</t>
  </si>
  <si>
    <t>AH</t>
  </si>
  <si>
    <t>AK</t>
  </si>
  <si>
    <t>04</t>
  </si>
  <si>
    <t>AU</t>
  </si>
  <si>
    <t>01</t>
  </si>
  <si>
    <t>O1</t>
  </si>
  <si>
    <t>10</t>
  </si>
  <si>
    <t>3353</t>
  </si>
  <si>
    <t>AS</t>
  </si>
  <si>
    <t>3354</t>
  </si>
  <si>
    <t>7H</t>
  </si>
  <si>
    <t>RG</t>
  </si>
  <si>
    <t>3355</t>
  </si>
  <si>
    <t>7C</t>
  </si>
  <si>
    <t>60</t>
  </si>
  <si>
    <t>3356</t>
  </si>
  <si>
    <t>3357</t>
  </si>
  <si>
    <t>7O</t>
  </si>
  <si>
    <t>3360</t>
  </si>
  <si>
    <t>3363</t>
  </si>
  <si>
    <t>40</t>
  </si>
  <si>
    <t>3367</t>
  </si>
  <si>
    <t>3368</t>
  </si>
  <si>
    <t>3369</t>
  </si>
  <si>
    <t>3370</t>
  </si>
  <si>
    <t>7Q</t>
  </si>
  <si>
    <t>AM</t>
  </si>
  <si>
    <t>3372</t>
  </si>
  <si>
    <t>0402</t>
  </si>
  <si>
    <t>7Y</t>
  </si>
  <si>
    <t>3373</t>
  </si>
  <si>
    <t>0430</t>
  </si>
  <si>
    <t>3382</t>
  </si>
  <si>
    <t>3383</t>
  </si>
  <si>
    <t>NZ</t>
  </si>
  <si>
    <t>3399</t>
  </si>
  <si>
    <t>3402</t>
  </si>
  <si>
    <t>3403</t>
  </si>
  <si>
    <t>3404</t>
  </si>
  <si>
    <t>CL</t>
  </si>
  <si>
    <t>CM</t>
  </si>
  <si>
    <t>3405</t>
  </si>
  <si>
    <t>3406</t>
  </si>
  <si>
    <t>OB</t>
  </si>
  <si>
    <t>3407</t>
  </si>
  <si>
    <t>3408</t>
  </si>
  <si>
    <t>3409</t>
  </si>
  <si>
    <t>3410</t>
  </si>
  <si>
    <t>80</t>
  </si>
  <si>
    <t>50</t>
  </si>
  <si>
    <t>3411</t>
  </si>
  <si>
    <t>3412</t>
  </si>
  <si>
    <t>3413</t>
  </si>
  <si>
    <t>3414</t>
  </si>
  <si>
    <t>3415</t>
  </si>
  <si>
    <t>KA</t>
  </si>
  <si>
    <t>3416</t>
  </si>
  <si>
    <t>AP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</si>
  <si>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</si>
  <si>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</si>
  <si>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</si>
  <si>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</si>
  <si>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</si>
  <si>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</si>
  <si>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</si>
  <si>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</si>
  <si>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</si>
  <si>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</si>
  <si>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</si>
  <si>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</si>
  <si>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</si>
  <si>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</si>
  <si>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</si>
  <si>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</si>
  <si>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</si>
  <si>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7Z</t>
  </si>
  <si>
    <t>3435</t>
  </si>
  <si>
    <t>7A</t>
  </si>
  <si>
    <t>3436</t>
  </si>
  <si>
    <t>3437</t>
  </si>
  <si>
    <t>7K</t>
  </si>
  <si>
    <t>3438</t>
  </si>
  <si>
    <t>3439</t>
  </si>
  <si>
    <t>3440</t>
  </si>
  <si>
    <t>3441</t>
  </si>
  <si>
    <t>76</t>
  </si>
  <si>
    <t>3442</t>
  </si>
  <si>
    <t>7W</t>
  </si>
  <si>
    <t>3443</t>
  </si>
  <si>
    <t>7V</t>
  </si>
  <si>
    <t>3445</t>
  </si>
  <si>
    <t>7T</t>
  </si>
  <si>
    <t>0541</t>
  </si>
  <si>
    <t>3446</t>
  </si>
  <si>
    <t>7S</t>
  </si>
  <si>
    <t>3447</t>
  </si>
  <si>
    <t>3448</t>
  </si>
  <si>
    <t>3449</t>
  </si>
  <si>
    <t>3453</t>
  </si>
  <si>
    <t>9J</t>
  </si>
  <si>
    <t>3454</t>
  </si>
  <si>
    <t>9M</t>
  </si>
  <si>
    <t>3455</t>
  </si>
  <si>
    <t>3456</t>
  </si>
  <si>
    <t>3457</t>
  </si>
  <si>
    <t>78</t>
  </si>
  <si>
    <t>3458</t>
  </si>
  <si>
    <t>7M</t>
  </si>
  <si>
    <t>3459</t>
  </si>
  <si>
    <t>3460</t>
  </si>
  <si>
    <t>3461</t>
  </si>
  <si>
    <t>7J</t>
  </si>
  <si>
    <t>3462</t>
  </si>
  <si>
    <t>7I</t>
  </si>
  <si>
    <t>3464</t>
  </si>
  <si>
    <t>7N</t>
  </si>
  <si>
    <t>3465</t>
  </si>
  <si>
    <t>7R</t>
  </si>
  <si>
    <t>SR</t>
  </si>
  <si>
    <t>55</t>
  </si>
  <si>
    <t>3466</t>
  </si>
  <si>
    <t>3467</t>
  </si>
  <si>
    <t>3468</t>
  </si>
  <si>
    <t>3469</t>
  </si>
  <si>
    <t>9O</t>
  </si>
  <si>
    <t>3470</t>
  </si>
  <si>
    <t>7G</t>
  </si>
  <si>
    <t>3471</t>
  </si>
  <si>
    <t>3472</t>
  </si>
  <si>
    <t>3473</t>
  </si>
  <si>
    <t>3474</t>
  </si>
  <si>
    <t>3477</t>
  </si>
  <si>
    <t>3495</t>
  </si>
  <si>
    <t>3496</t>
  </si>
  <si>
    <t>3499</t>
  </si>
  <si>
    <t>APPR</t>
  </si>
  <si>
    <t>PRG</t>
  </si>
  <si>
    <t>ORG</t>
  </si>
  <si>
    <t>SOBJ/SREV</t>
  </si>
  <si>
    <t>SSOBJ/SSREV</t>
  </si>
  <si>
    <t>CATEGORY</t>
  </si>
  <si>
    <t>YTD NET(REV)/EXP</t>
  </si>
  <si>
    <t>0RG/DEPT</t>
  </si>
  <si>
    <t>BUDGET 6/1/2013</t>
  </si>
  <si>
    <t>BALANCE 6/30/2013</t>
  </si>
  <si>
    <t>DIVISION</t>
  </si>
  <si>
    <t>Revenue</t>
  </si>
  <si>
    <t>Exp-Client Svcs Contracts</t>
  </si>
  <si>
    <t>Rev-Intra Fund Transfers</t>
  </si>
  <si>
    <t>Student Funded Programs</t>
  </si>
  <si>
    <t>Grand Total</t>
  </si>
  <si>
    <t>3221   SPEC.BLDG FUND-SFCC</t>
  </si>
  <si>
    <t>3309   IRP CLUB ADVISORS</t>
  </si>
  <si>
    <t>3310   IRP CARRY OVER FUND</t>
  </si>
  <si>
    <t>3312   IRP CONTINGENCY</t>
  </si>
  <si>
    <t>3313   ASTRONOMY CLUB</t>
  </si>
  <si>
    <t>3328   CONCHA CLUB</t>
  </si>
  <si>
    <t>3329   SPEECH &amp; DEBATE CLUB</t>
  </si>
  <si>
    <t>3330   GRAPHIC DESIGN</t>
  </si>
  <si>
    <t>3342   ENGINEERING CLUB</t>
  </si>
  <si>
    <t>3348   SFCC GAMERS</t>
  </si>
  <si>
    <t>3352   REVELERS (DRAMA)</t>
  </si>
  <si>
    <t>3353   ORCHESTRA</t>
  </si>
  <si>
    <t>3354   CONCERT BAND</t>
  </si>
  <si>
    <t>3355   CHORAL MUSIC</t>
  </si>
  <si>
    <t>3356   STAGE BAND/COMBO</t>
  </si>
  <si>
    <t>3357   PHOTO ARTS</t>
  </si>
  <si>
    <t>3360   DEC</t>
  </si>
  <si>
    <t>3363   ART GALLERY &amp; EXHIB</t>
  </si>
  <si>
    <t>3367   RECREATION SOCIETY</t>
  </si>
  <si>
    <t>3368   LITERARY MAGAZINE</t>
  </si>
  <si>
    <t>3369   COMMUNICATOR-NEWSPPR</t>
  </si>
  <si>
    <t>3370   BETA GAMMA KAPPA</t>
  </si>
  <si>
    <t>3372   STDNT PHYS THER ASST</t>
  </si>
  <si>
    <t>3373   STUD OCCUP THERA ASST</t>
  </si>
  <si>
    <t>3382   ATHLETIC SCHOLARSHIP</t>
  </si>
  <si>
    <t>3383   S&amp;A FINANCIAL AID</t>
  </si>
  <si>
    <t>3399   FEE &amp; INT.REV.IRA</t>
  </si>
  <si>
    <t>3402   ASA CARRY OVER FUND</t>
  </si>
  <si>
    <t>3403   PEERS SERVICES</t>
  </si>
  <si>
    <t>3404  MUSIC AUDITORIUM LIGHTS</t>
  </si>
  <si>
    <t>3405   SFC BUS PASS MATCH</t>
  </si>
  <si>
    <t>3406   BUS TICKET CLEARING</t>
  </si>
  <si>
    <t>3407   MLC TUTORING</t>
  </si>
  <si>
    <t>3408   NEW STDT ORIENTATION</t>
  </si>
  <si>
    <t>3409   ASA CLUB ADVISORS</t>
  </si>
  <si>
    <t>3410   ASA GENERAL FUND</t>
  </si>
  <si>
    <t>3411   ADVERTISING/PRINTING</t>
  </si>
  <si>
    <t>3412   ASA CONTINGENCY</t>
  </si>
  <si>
    <t>3413   LEGISLATIVE LIAISON</t>
  </si>
  <si>
    <t>3414   CULTURAL SERIES</t>
  </si>
  <si>
    <t>3415   SUPPLIES</t>
  </si>
  <si>
    <t>3416   WORKSTUDY</t>
  </si>
  <si>
    <t>3417   TRAVEL</t>
  </si>
  <si>
    <t>3418   FOOD BANK</t>
  </si>
  <si>
    <t>3419   HEALTH SERVICES</t>
  </si>
  <si>
    <t>3420   SPECIAL EVENTS</t>
  </si>
  <si>
    <t>3421   CONCERTS/COMEDY</t>
  </si>
  <si>
    <t>3422   MUSIC PERF LICENSE</t>
  </si>
  <si>
    <t>3423   COLLEGE-WIDE THEME</t>
  </si>
  <si>
    <t>3424   SPEAKERS/SEMINARS</t>
  </si>
  <si>
    <t>3425   OUTREACH EDUCATION</t>
  </si>
  <si>
    <t>3426   EQUIPMENT</t>
  </si>
  <si>
    <t>3427   INTERPRETERS SUPPORT</t>
  </si>
  <si>
    <t>3428   SECURITY</t>
  </si>
  <si>
    <t>3429   SUB RENOVATION</t>
  </si>
  <si>
    <t>3430   STUDENT MEDIA LAB</t>
  </si>
  <si>
    <t>3431   PT HOURLY SUPPORT</t>
  </si>
  <si>
    <t>3432   ATHLETICS STADIUM</t>
  </si>
  <si>
    <t>3433   ANIME CLUB</t>
  </si>
  <si>
    <t>3435   BLACK STUDENT UNION</t>
  </si>
  <si>
    <t>3436   ART CLUB</t>
  </si>
  <si>
    <t>3437   SFCC VETS CLUB</t>
  </si>
  <si>
    <t>3438   VIDEO PRODUCTION</t>
  </si>
  <si>
    <t>3439   ASSOC MEN STUDENTS</t>
  </si>
  <si>
    <t>3440  CREATIVE WRITING</t>
  </si>
  <si>
    <t>3441  JAPANESE CLUB</t>
  </si>
  <si>
    <t>3442   ASSOC WOMEN STUDENTS</t>
  </si>
  <si>
    <t>3443   DANCE CLUB</t>
  </si>
  <si>
    <t>3445   ASIAN AMERICAN CLUB</t>
  </si>
  <si>
    <t>3446   SVC LRN</t>
  </si>
  <si>
    <t>3447   FALLS CHRISTIAN FELLOWSHIP</t>
  </si>
  <si>
    <t>3449   LDSSA</t>
  </si>
  <si>
    <t>3453   INTERIOR DESIGN</t>
  </si>
  <si>
    <t>3454   CHINESE CULTURE</t>
  </si>
  <si>
    <t>3455   K.I.S.S.</t>
  </si>
  <si>
    <t>3456   FRENCH CLUB</t>
  </si>
  <si>
    <t>3457   THE ALLIANCE</t>
  </si>
  <si>
    <t>3458   L.U.A. CLUB</t>
  </si>
  <si>
    <t>3459   GERMAN KLUB</t>
  </si>
  <si>
    <t>3460   INTERPRETER TRNG PRG</t>
  </si>
  <si>
    <t>3461   JOURNALISM</t>
  </si>
  <si>
    <t>3462   INTERNATIONAL CLUB</t>
  </si>
  <si>
    <t>3464   JAZZ PRESENTS</t>
  </si>
  <si>
    <t>3465   RED NATIONS ASSOC</t>
  </si>
  <si>
    <t>3466   SPANISH CLUB</t>
  </si>
  <si>
    <t>3467   LITERARY CLUB</t>
  </si>
  <si>
    <t>3468   WELLNESS CLUB</t>
  </si>
  <si>
    <t>3469   CHEER SQUAD</t>
  </si>
  <si>
    <t>3470  ADDICTION STUDIES</t>
  </si>
  <si>
    <t>3471  SECULAR CLUB</t>
  </si>
  <si>
    <t>3472   AUDIO ENGINEER CLUB</t>
  </si>
  <si>
    <t>3473   EARTH CLUB</t>
  </si>
  <si>
    <t>3474   GEOLOGY CLUB</t>
  </si>
  <si>
    <t>3477   APPLIED TECH CLUB</t>
  </si>
  <si>
    <t>3495   EARLY LEARNING CTR</t>
  </si>
  <si>
    <t>3496   FUTURE TEACHERS</t>
  </si>
  <si>
    <t>3499   ASA-FEE &amp; INT REV</t>
  </si>
  <si>
    <t>Carryforward</t>
  </si>
  <si>
    <t>Exp-Goods/Svcs</t>
  </si>
  <si>
    <t>Intraagency Trsfs</t>
  </si>
  <si>
    <t>Exp-Salary &amp; Benefits</t>
  </si>
  <si>
    <t>Exp-Travel</t>
  </si>
  <si>
    <t>Exp-Equipment</t>
  </si>
  <si>
    <t>Exp-Scholarships</t>
  </si>
  <si>
    <t>Exp-Computer Equipment</t>
  </si>
  <si>
    <t>Sum of BUDGET 6/1/2013</t>
  </si>
  <si>
    <t>Sum of YTD NET(REV)/EXP</t>
  </si>
  <si>
    <t>Sum of BALANCE 6/30/2013</t>
  </si>
  <si>
    <t>3221   SPEC.BLDG FUND-SFCC Total</t>
  </si>
  <si>
    <t>3309   IRP CLUB ADVISORS Total</t>
  </si>
  <si>
    <t>3310   IRP CARRY OVER FUND Total</t>
  </si>
  <si>
    <t>3312   IRP CONTINGENCY Total</t>
  </si>
  <si>
    <t>3313   ASTRONOMY CLUB Total</t>
  </si>
  <si>
    <t>3328   CONCHA CLUB Total</t>
  </si>
  <si>
    <t>3329   SPEECH &amp; DEBATE CLUB Total</t>
  </si>
  <si>
    <t>3330   GRAPHIC DESIGN Total</t>
  </si>
  <si>
    <t>3342   ENGINEERING CLUB Total</t>
  </si>
  <si>
    <t>3348   SFCC GAMERS Total</t>
  </si>
  <si>
    <t>3352   REVELERS (DRAMA) Total</t>
  </si>
  <si>
    <t>3353   ORCHESTRA Total</t>
  </si>
  <si>
    <t>3354   CONCERT BAND Total</t>
  </si>
  <si>
    <t>3355   CHORAL MUSIC Total</t>
  </si>
  <si>
    <t>3356   STAGE BAND/COMBO Total</t>
  </si>
  <si>
    <t>3357   PHOTO ARTS Total</t>
  </si>
  <si>
    <t>3360   DEC Total</t>
  </si>
  <si>
    <t>3363   ART GALLERY &amp; EXHIB Total</t>
  </si>
  <si>
    <t>3367   RECREATION SOCIETY Total</t>
  </si>
  <si>
    <t>3368   LITERARY MAGAZINE Total</t>
  </si>
  <si>
    <t>3369   COMMUNICATOR-NEWSPPR Total</t>
  </si>
  <si>
    <t>3370   BETA GAMMA KAPPA Total</t>
  </si>
  <si>
    <t>3372   STDNT PHYS THER ASST Total</t>
  </si>
  <si>
    <t>3373   STUD OCCUP THERA ASST Total</t>
  </si>
  <si>
    <t>3382   ATHLETIC SCHOLARSHIP Total</t>
  </si>
  <si>
    <t>3383   S&amp;A FINANCIAL AID Total</t>
  </si>
  <si>
    <t>3399   FEE &amp; INT.REV.IRA Total</t>
  </si>
  <si>
    <t>3402   ASA CARRY OVER FUND Total</t>
  </si>
  <si>
    <t>3403   PEERS SERVICES Total</t>
  </si>
  <si>
    <t>3404  MUSIC AUDITORIUM LIGHTS Total</t>
  </si>
  <si>
    <t>3405   SFC BUS PASS MATCH Total</t>
  </si>
  <si>
    <t>3406   BUS TICKET CLEARING Total</t>
  </si>
  <si>
    <t>3407   MLC TUTORING Total</t>
  </si>
  <si>
    <t>3408   NEW STDT ORIENTATION Total</t>
  </si>
  <si>
    <t>3409   ASA CLUB ADVISORS Total</t>
  </si>
  <si>
    <t>3410   ASA GENERAL FUND Total</t>
  </si>
  <si>
    <t>3411   ADVERTISING/PRINTING Total</t>
  </si>
  <si>
    <t>3412   ASA CONTINGENCY Total</t>
  </si>
  <si>
    <t>3413   LEGISLATIVE LIAISON Total</t>
  </si>
  <si>
    <t>3414   CULTURAL SERIES Total</t>
  </si>
  <si>
    <t>3415   SUPPLIES Total</t>
  </si>
  <si>
    <t>3416   WORKSTUDY Total</t>
  </si>
  <si>
    <t>3417   TRAVEL Total</t>
  </si>
  <si>
    <t>3418   FOOD BANK Total</t>
  </si>
  <si>
    <t>3419   HEALTH SERVICES Total</t>
  </si>
  <si>
    <t>3420   SPECIAL EVENTS Total</t>
  </si>
  <si>
    <t>3421   CONCERTS/COMEDY Total</t>
  </si>
  <si>
    <t>3422   MUSIC PERF LICENSE Total</t>
  </si>
  <si>
    <t>3423   COLLEGE-WIDE THEME Total</t>
  </si>
  <si>
    <t>3424   SPEAKERS/SEMINARS Total</t>
  </si>
  <si>
    <t>3425   OUTREACH EDUCATION Total</t>
  </si>
  <si>
    <t>3426   EQUIPMENT Total</t>
  </si>
  <si>
    <t>3427   INTERPRETERS SUPPORT Total</t>
  </si>
  <si>
    <t>3428   SECURITY Total</t>
  </si>
  <si>
    <t>3429   SUB RENOVATION Total</t>
  </si>
  <si>
    <t>3430   STUDENT MEDIA LAB Total</t>
  </si>
  <si>
    <t>3431   PT HOURLY SUPPORT Total</t>
  </si>
  <si>
    <t>3432   ATHLETICS STADIUM Total</t>
  </si>
  <si>
    <t>3433   ANIME CLUB Total</t>
  </si>
  <si>
    <t>3435   BLACK STUDENT UNION Total</t>
  </si>
  <si>
    <t>3436   ART CLUB Total</t>
  </si>
  <si>
    <t>3437   SFCC VETS CLUB Total</t>
  </si>
  <si>
    <t>3438   VIDEO PRODUCTION Total</t>
  </si>
  <si>
    <t>3439   ASSOC MEN STUDENTS Total</t>
  </si>
  <si>
    <t>3440  CREATIVE WRITING Total</t>
  </si>
  <si>
    <t>3441  JAPANESE CLUB Total</t>
  </si>
  <si>
    <t>3442   ASSOC WOMEN STUDENTS Total</t>
  </si>
  <si>
    <t>3443   DANCE CLUB Total</t>
  </si>
  <si>
    <t>3445   ASIAN AMERICAN CLUB Total</t>
  </si>
  <si>
    <t>3446   SVC LRN Total</t>
  </si>
  <si>
    <t>3447   FALLS CHRISTIAN FELLOWSHIP Total</t>
  </si>
  <si>
    <t>3449   LDSSA Total</t>
  </si>
  <si>
    <t>3453   INTERIOR DESIGN Total</t>
  </si>
  <si>
    <t>3454   CHINESE CULTURE Total</t>
  </si>
  <si>
    <t>3455   K.I.S.S. Total</t>
  </si>
  <si>
    <t>3456   FRENCH CLUB Total</t>
  </si>
  <si>
    <t>3457   THE ALLIANCE Total</t>
  </si>
  <si>
    <t>3458   L.U.A. CLUB Total</t>
  </si>
  <si>
    <t>3459   GERMAN KLUB Total</t>
  </si>
  <si>
    <t>3460   INTERPRETER TRNG PRG Total</t>
  </si>
  <si>
    <t>3461   JOURNALISM Total</t>
  </si>
  <si>
    <t>3462   INTERNATIONAL CLUB Total</t>
  </si>
  <si>
    <t>3464   JAZZ PRESENTS Total</t>
  </si>
  <si>
    <t>3465   RED NATIONS ASSOC Total</t>
  </si>
  <si>
    <t>3466   SPANISH CLUB Total</t>
  </si>
  <si>
    <t>3467   LITERARY CLUB Total</t>
  </si>
  <si>
    <t>3468   WELLNESS CLUB Total</t>
  </si>
  <si>
    <t>3469   CHEER SQUAD Total</t>
  </si>
  <si>
    <t>3470  ADDICTION STUDIES Total</t>
  </si>
  <si>
    <t>3471  SECULAR CLUB Total</t>
  </si>
  <si>
    <t>3472   AUDIO ENGINEER CLUB Total</t>
  </si>
  <si>
    <t>3473   EARTH CLUB Total</t>
  </si>
  <si>
    <t>3474   GEOLOGY CLUB Total</t>
  </si>
  <si>
    <t>3477   APPLIED TECH CLUB Total</t>
  </si>
  <si>
    <t>3495   EARLY LEARNING CTR Total</t>
  </si>
  <si>
    <t>3496   FUTURE TEACHERS Total</t>
  </si>
  <si>
    <t>3499   ASA-FEE &amp; INT REV Total</t>
  </si>
  <si>
    <t>Student Funded Programs Total</t>
  </si>
  <si>
    <t>YTD CMTS/ACCTS RECEIVABLE</t>
  </si>
  <si>
    <t>Sum of YTD CMTS/ACCTS RECEIVABLE</t>
  </si>
  <si>
    <t>SFCC BUDGET STATUS SUMMARY - STUDENT FUNDED PROGRAMS</t>
  </si>
  <si>
    <t>NOTES:</t>
  </si>
  <si>
    <t>Student Funded Program budgets are primarily funded through student activity fees; specific spending guidelines apply to these funds.</t>
  </si>
  <si>
    <t xml:space="preserve">Fee budgets that are funded through lab &amp; course fees or technology fees have specific spending guidelines.  This report excludes </t>
  </si>
  <si>
    <t>grant and contract budgets managed by the Grants/Contracts staff as those budgets have specific spending and reporting guidelines.</t>
  </si>
  <si>
    <t>for the Period of June 30, 2013</t>
  </si>
  <si>
    <t>ORG/DEPT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</si>
</sst>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(&quot;$&quot;* #,##0_);_(&quot;$&quot;* \(#,##0\);_(&quot;$&quot;* &quot;-&quot;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1" fontId="0" fillId="0" borderId="0" xfId="0" applyNumberFormat="1"/>
    <xf numFmtId="2" fontId="0" fillId="0" borderId="0" xfId="0" applyNumberFormat="1"/>
    <xf numFmtId="1" fontId="16" fillId="0" borderId="0" xfId="0" applyNumberFormat="1" applyFont="1"/>
    <xf numFmtId="1" fontId="18" fillId="0" borderId="0" xfId="0" applyNumberFormat="1" applyFont="1"/>
    <xf numFmtId="2" fontId="18" fillId="0" borderId="10" xfId="0" applyNumberFormat="1" applyFont="1" applyBorder="1" applyAlignment="1">
      <alignment horizontal="center" wrapText="1"/>
    </xf>
    <xf numFmtId="2" fontId="16" fillId="0" borderId="0" xfId="0" applyNumberFormat="1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7" fontId="19" fillId="0" borderId="0" xfId="0" applyNumberFormat="1" applyFont="1" applyAlignment="1">
      <alignment horizontal="centerContinuous"/>
    </xf>
    <xf numFmtId="0" fontId="20" fillId="0" borderId="0" xfId="0" applyFont="1" applyBorder="1" applyAlignment="1" applyProtection="1">
      <alignment horizontal="left"/>
      <protection locked="0"/>
    </xf>
    <xf numFmtId="0" fontId="21" fillId="0" borderId="0" xfId="0" quotePrefix="1" applyFont="1" applyBorder="1" applyAlignment="1" applyProtection="1">
      <alignment horizontal="left"/>
      <protection locked="0"/>
    </xf>
    <xf numFmtId="0" fontId="21" fillId="0" borderId="0" xfId="0" applyFont="1" applyBorder="1" applyAlignment="1" applyProtection="1">
      <alignment horizontal="left"/>
      <protection locked="0"/>
    </xf>
    <xf numFmtId="42" fontId="0" fillId="0" borderId="0" xfId="0" applyNumberFormat="1" applyAlignment="1">
      <alignment horizontal="centerContinuous"/>
    </xf>
    <xf numFmtId="42" fontId="0" fillId="0" borderId="0" xfId="0" applyNumberFormat="1"/>
    <xf numFmtId="42" fontId="0" fillId="0" borderId="0" xfId="0" applyNumberFormat="1" applyAlignment="1">
      <alignment wrapText="1"/>
    </xf>
    <xf numFmtId="42" fontId="0" fillId="33" borderId="0" xfId="0" applyNumberFormat="1" applyFill="1"/>
    <xf numFmtId="42" fontId="0" fillId="33" borderId="0" xfId="0" applyNumberFormat="1" applyFill="1" applyAlignment="1">
      <alignment wrapText="1"/>
    </xf>
    <xf numFmtId="0" fontId="0" fillId="34" borderId="0" xfId="0" applyFill="1"/>
    <xf numFmtId="42" fontId="0" fillId="34" borderId="0" xfId="0" applyNumberFormat="1" applyFill="1" applyAlignment="1">
      <alignment horizontal="center" wrapText="1"/>
    </xf>
    <xf numFmtId="0" fontId="0" fillId="33" borderId="0" xfId="0" applyFill="1" applyAlignment="1">
      <alignment horizontal="left" indent="1"/>
    </xf>
    <xf numFmtId="0" fontId="17" fillId="34" borderId="0" xfId="0" applyFont="1" applyFill="1" applyAlignment="1">
      <alignment horizontal="left"/>
    </xf>
    <xf numFmtId="42" fontId="17" fillId="34" borderId="0" xfId="0" applyNumberFormat="1" applyFont="1" applyFill="1"/>
    <xf numFmtId="42" fontId="17" fillId="34" borderId="0" xfId="0" applyNumberFormat="1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3">
    <dxf>
      <alignment wrapText="1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numFmt numFmtId="6" formatCode="#,##0_);[Red]\(#,##0\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alignment wrapText="1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numFmt numFmtId="6" formatCode="#,##0_);[Red]\(#,##0\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alignment wrapText="1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numFmt numFmtId="6" formatCode="#,##0_);[Red]\(#,##0\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wrapText="1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numFmt numFmtId="6" formatCode="#,##0_);[Red]\(#,##0\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wrapText="1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numFmt numFmtId="6" formatCode="#,##0_);[Red]\(#,##0\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wrapText="1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numFmt numFmtId="6" formatCode="#,##0_);[Red]\(#,##0\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wrapText="1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numFmt numFmtId="6" formatCode="#,##0_);[Red]\(#,##0\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wrapText="1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numFmt numFmtId="6" formatCode="#,##0_);[Red]\(#,##0\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wrapText="1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numFmt numFmtId="6" formatCode="#,##0_);[Red]\(#,##0\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alignment wrapText="1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numFmt numFmtId="6" formatCode="#,##0_);[Red]\(#,##0\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0" formatCode="General"/>
    </dxf>
    <dxf>
      <numFmt numFmtId="0" formatCode="General"/>
    </dxf>
    <dxf>
      <numFmt numFmtId="5" formatCode="#,##0_);\(#,##0\)"/>
    </dxf>
    <dxf>
      <numFmt numFmtId="5" formatCode="#,##0_);\(#,##0\)"/>
    </dxf>
    <dxf>
      <numFmt numFmtId="6" formatCode="#,##0_);[Red]\(#,##0\)"/>
    </dxf>
    <dxf>
      <numFmt numFmtId="6" formatCode="#,##0_);[Red]\(#,##0\)"/>
    </dxf>
    <dxf>
      <numFmt numFmtId="2" formatCode="0.00"/>
    </dxf>
    <dxf>
      <alignment wrapText="1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numFmt numFmtId="6" formatCode="#,##0_);[Red]\(#,##0\)"/>
    </dxf>
    <dxf>
      <numFmt numFmtId="2" formatCode="0.00"/>
    </dxf>
    <dxf>
      <alignment wrapText="1" readingOrder="0"/>
    </dxf>
    <dxf>
      <alignment horizontal="center" readingOrder="0"/>
    </dxf>
    <dxf>
      <alignment wrapText="1" readingOrder="0"/>
    </dxf>
    <dxf>
      <alignment horizontal="center" readingOrder="0"/>
    </dxf>
    <dxf>
      <alignment wrapText="1" readingOrder="0"/>
    </dxf>
    <dxf>
      <alignment horizontal="center" readingOrder="0"/>
    </dxf>
    <dxf>
      <alignment wrapText="1" readingOrder="0"/>
    </dxf>
    <dxf>
      <alignment horizontal="center" readingOrder="0"/>
    </dxf>
    <dxf>
      <alignment wrapText="1" readingOrder="0"/>
    </dxf>
    <dxf>
      <alignment horizontal="center" readingOrder="0"/>
    </dxf>
    <dxf>
      <alignment wrapText="1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pts/BUDGET/SFCC/2013-14/Budget%20Codes/SFCC%20ORG%20INDEX%20LIST.7.31.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epts/BUDGET/SFCC/2006-07/Mthly%20Status%20Rpts/Sept%2006/Non-Operating%20budget%20Status-Sept%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G CODES"/>
    </sheetNames>
    <sheetDataSet>
      <sheetData sheetId="0">
        <row r="1">
          <cell r="A1" t="str">
            <v>SFCC ORGANIZATIONAL BUDGET CODES</v>
          </cell>
          <cell r="C1" t="str">
            <v>AS OF:  7/31/2013</v>
          </cell>
        </row>
        <row r="2">
          <cell r="A2" t="str">
            <v xml:space="preserve"> ORG</v>
          </cell>
          <cell r="B2" t="str">
            <v>DIVISION</v>
          </cell>
          <cell r="C2" t="str">
            <v>DEPT</v>
          </cell>
        </row>
        <row r="3">
          <cell r="A3" t="str">
            <v>3007</v>
          </cell>
          <cell r="B3" t="str">
            <v>Student Services-Print/eCopy Shop Services</v>
          </cell>
          <cell r="C3" t="str">
            <v>3007   SFCC PRINTING EQ BDG</v>
          </cell>
        </row>
        <row r="4">
          <cell r="A4" t="str">
            <v>3008</v>
          </cell>
          <cell r="B4" t="str">
            <v>Student Services-Print/eCopy Shop Services</v>
          </cell>
          <cell r="C4" t="str">
            <v>3008   SF PRINTING-COIN OP</v>
          </cell>
        </row>
        <row r="5">
          <cell r="A5" t="str">
            <v>3109</v>
          </cell>
          <cell r="B5" t="str">
            <v>Admin-Local Funds</v>
          </cell>
          <cell r="C5" t="str">
            <v>3109   MISC REV/NSF/COL CHG</v>
          </cell>
        </row>
        <row r="6">
          <cell r="A6" t="str">
            <v>3120</v>
          </cell>
          <cell r="B6" t="str">
            <v>Student Funded Programs</v>
          </cell>
          <cell r="C6" t="str">
            <v>3120   SNACKBAR-SFCC</v>
          </cell>
        </row>
        <row r="7">
          <cell r="A7" t="str">
            <v>3132</v>
          </cell>
          <cell r="B7" t="str">
            <v>Student Services-Assoc Dean FA/Stud Empl</v>
          </cell>
          <cell r="C7" t="str">
            <v>3132   DISCOVER CONSORTIUM</v>
          </cell>
        </row>
        <row r="8">
          <cell r="A8" t="str">
            <v>3140</v>
          </cell>
          <cell r="B8" t="str">
            <v>Student Funded Programs</v>
          </cell>
          <cell r="C8" t="str">
            <v>3140   BOWLING ALLY/REC CTR</v>
          </cell>
        </row>
        <row r="9">
          <cell r="A9" t="str">
            <v>3155</v>
          </cell>
          <cell r="B9" t="str">
            <v>Admin-Local Funds</v>
          </cell>
          <cell r="C9" t="str">
            <v>3155   CAMPUS IMPRVMNT-LOCAL</v>
          </cell>
        </row>
        <row r="10">
          <cell r="A10" t="str">
            <v>3156</v>
          </cell>
          <cell r="B10" t="str">
            <v>Admin-Local Funds</v>
          </cell>
          <cell r="C10" t="str">
            <v>3156   IMPRVMNTS-LOCAL FUND</v>
          </cell>
        </row>
        <row r="11">
          <cell r="A11" t="str">
            <v>3157</v>
          </cell>
          <cell r="B11" t="str">
            <v>Admin-Local Funds</v>
          </cell>
          <cell r="C11" t="str">
            <v>3157   EMERGENCY PLANNING</v>
          </cell>
        </row>
        <row r="12">
          <cell r="A12" t="str">
            <v>3160</v>
          </cell>
          <cell r="B12" t="str">
            <v>Visual &amp; Performing Arts</v>
          </cell>
          <cell r="C12" t="str">
            <v>3160   PERF ART BLDG RENTAL</v>
          </cell>
        </row>
        <row r="13">
          <cell r="A13" t="str">
            <v>3161</v>
          </cell>
          <cell r="B13" t="str">
            <v>Visual &amp; Performing Arts</v>
          </cell>
          <cell r="C13" t="str">
            <v>3161   PERF ARTS SCHOLARSHIP</v>
          </cell>
        </row>
        <row r="14">
          <cell r="A14" t="str">
            <v>3163</v>
          </cell>
          <cell r="B14" t="str">
            <v>Visual &amp; Performing Arts</v>
          </cell>
          <cell r="C14" t="str">
            <v>3163   RECRDNG STUDIO RENTAL</v>
          </cell>
        </row>
        <row r="15">
          <cell r="A15" t="str">
            <v>3170</v>
          </cell>
          <cell r="B15" t="str">
            <v>Computing, Math and Science</v>
          </cell>
          <cell r="C15" t="str">
            <v>3170   PLANETARIUM</v>
          </cell>
        </row>
        <row r="16">
          <cell r="A16" t="str">
            <v>3175</v>
          </cell>
          <cell r="B16" t="str">
            <v>Computer Svcs</v>
          </cell>
          <cell r="C16" t="str">
            <v>3175   ITFS-REVENUE</v>
          </cell>
        </row>
        <row r="17">
          <cell r="A17" t="str">
            <v>3176</v>
          </cell>
          <cell r="B17" t="str">
            <v>Library &amp; Media Distribution Svcs</v>
          </cell>
          <cell r="C17" t="str">
            <v>3176   ITFS REV - LRC SPT</v>
          </cell>
        </row>
        <row r="18">
          <cell r="A18" t="str">
            <v>3180</v>
          </cell>
          <cell r="B18" t="str">
            <v>Humanities &amp; Academic Intl Ed</v>
          </cell>
          <cell r="C18" t="str">
            <v>3180   INTERNATIONAL FILM FESTIVAL</v>
          </cell>
        </row>
        <row r="19">
          <cell r="A19" t="str">
            <v>3199</v>
          </cell>
          <cell r="B19" t="str">
            <v>Admin-Local Funds</v>
          </cell>
          <cell r="C19" t="str">
            <v>3199   SPRINT TOWER</v>
          </cell>
        </row>
        <row r="20">
          <cell r="A20" t="str">
            <v>3203</v>
          </cell>
          <cell r="B20" t="str">
            <v>Computing, Math and Science</v>
          </cell>
          <cell r="C20" t="str">
            <v>3203   ENGINEERING CONFERENCE</v>
          </cell>
        </row>
        <row r="21">
          <cell r="A21" t="str">
            <v>3204</v>
          </cell>
          <cell r="B21" t="str">
            <v>Student Services-Assoc Dean FA/Stud Empl</v>
          </cell>
          <cell r="C21" t="str">
            <v>3204   SF CAREER FAIR</v>
          </cell>
        </row>
        <row r="22">
          <cell r="A22" t="str">
            <v>3207</v>
          </cell>
          <cell r="B22" t="str">
            <v>Misc Instruction</v>
          </cell>
          <cell r="C22" t="str">
            <v>3207   INSTRUCTION COMMISSN</v>
          </cell>
        </row>
        <row r="23">
          <cell r="A23" t="str">
            <v>3210</v>
          </cell>
          <cell r="B23" t="str">
            <v>Computing, Math and Science</v>
          </cell>
          <cell r="C23" t="str">
            <v>3210   SFCC SCIENCE OLYMPIAD</v>
          </cell>
        </row>
        <row r="24">
          <cell r="A24" t="str">
            <v>3220</v>
          </cell>
          <cell r="B24" t="str">
            <v xml:space="preserve">District Managed </v>
          </cell>
          <cell r="C24" t="str">
            <v>3220   SFCC PARKING</v>
          </cell>
        </row>
        <row r="25">
          <cell r="A25" t="str">
            <v>3221</v>
          </cell>
          <cell r="B25" t="str">
            <v>Student Funded Programs</v>
          </cell>
          <cell r="C25" t="str">
            <v>3221   SPEC.BLDG FUND-SFCC</v>
          </cell>
        </row>
        <row r="26">
          <cell r="A26" t="str">
            <v>3223</v>
          </cell>
          <cell r="B26" t="str">
            <v>Student Funded Programs</v>
          </cell>
          <cell r="C26" t="str">
            <v>3223   STDT UNION EQPT FUND</v>
          </cell>
        </row>
        <row r="27">
          <cell r="A27" t="str">
            <v>3224</v>
          </cell>
          <cell r="B27" t="str">
            <v>Student Funded Programs</v>
          </cell>
          <cell r="C27" t="str">
            <v>3224   MUSIC AUD REFURBISH</v>
          </cell>
        </row>
        <row r="28">
          <cell r="A28" t="str">
            <v>3225</v>
          </cell>
          <cell r="B28" t="str">
            <v>Student Funded Programs</v>
          </cell>
          <cell r="C28" t="str">
            <v>3225   SBF-SFCC-OFFICE RMDL</v>
          </cell>
        </row>
        <row r="29">
          <cell r="A29" t="str">
            <v>3230</v>
          </cell>
          <cell r="B29" t="str">
            <v>Admin-Local Funds</v>
          </cell>
          <cell r="C29" t="str">
            <v>3230   VENDING MACH.REV-SFC</v>
          </cell>
        </row>
        <row r="30">
          <cell r="A30" t="str">
            <v>3235</v>
          </cell>
          <cell r="B30" t="str">
            <v>Student Funded Programs</v>
          </cell>
          <cell r="C30" t="str">
            <v>3235   SMOKING SHELTERS</v>
          </cell>
        </row>
        <row r="31">
          <cell r="A31" t="str">
            <v>3280</v>
          </cell>
          <cell r="B31" t="str">
            <v>Business, Professional Studies &amp; Workforce Ed</v>
          </cell>
          <cell r="C31" t="str">
            <v>3280   ITP TRAINING</v>
          </cell>
        </row>
        <row r="32">
          <cell r="A32" t="str">
            <v>3281</v>
          </cell>
          <cell r="B32" t="str">
            <v>Business, Professional Studies &amp; Workforce Ed</v>
          </cell>
          <cell r="C32" t="str">
            <v>3281   O&amp;P CURRICULM SALES</v>
          </cell>
        </row>
        <row r="33">
          <cell r="A33" t="str">
            <v>3283</v>
          </cell>
          <cell r="B33" t="str">
            <v>Student Services - Security/Parking</v>
          </cell>
          <cell r="C33" t="str">
            <v>3283   SFCC PARK SECURITY</v>
          </cell>
        </row>
        <row r="34">
          <cell r="A34" t="str">
            <v>3285</v>
          </cell>
          <cell r="B34" t="str">
            <v>Admin-Local Funds</v>
          </cell>
          <cell r="C34" t="str">
            <v>3285   SFCC SPECIAL EVENTS</v>
          </cell>
        </row>
        <row r="35">
          <cell r="A35" t="str">
            <v>32A0</v>
          </cell>
          <cell r="B35" t="str">
            <v>Admin-Local Funds</v>
          </cell>
          <cell r="C35" t="str">
            <v>32A0   SFC INTL STUDENT REV</v>
          </cell>
        </row>
        <row r="36">
          <cell r="A36" t="str">
            <v>32A2</v>
          </cell>
          <cell r="B36" t="str">
            <v>Humanities &amp; Academic Intl Ed</v>
          </cell>
          <cell r="C36" t="str">
            <v>32A2   SFC INTL STUDENT OPR</v>
          </cell>
        </row>
        <row r="37">
          <cell r="A37" t="str">
            <v>32A3</v>
          </cell>
          <cell r="B37" t="str">
            <v>Humanities &amp; Academic Intl Ed</v>
          </cell>
          <cell r="C37" t="str">
            <v>32A3   INTL STD INT ENG PRG</v>
          </cell>
        </row>
        <row r="38">
          <cell r="A38" t="str">
            <v>32A5</v>
          </cell>
          <cell r="B38" t="str">
            <v>Admin-Local Funds</v>
          </cell>
          <cell r="C38" t="str">
            <v>32A5   CC-ESD 101 STEP</v>
          </cell>
        </row>
        <row r="39">
          <cell r="A39" t="str">
            <v>32A9</v>
          </cell>
          <cell r="B39" t="str">
            <v>Humanities &amp; Academic Intl Ed</v>
          </cell>
          <cell r="C39" t="str">
            <v>32A9   SF-INTERNATIONAL ED</v>
          </cell>
        </row>
        <row r="40">
          <cell r="A40" t="str">
            <v>32B3</v>
          </cell>
          <cell r="B40" t="str">
            <v>Admin-Local Funds</v>
          </cell>
          <cell r="C40" t="str">
            <v>32B3   STAFF DEV-NON FACULT</v>
          </cell>
        </row>
        <row r="41">
          <cell r="A41" t="str">
            <v>32B4</v>
          </cell>
          <cell r="B41" t="str">
            <v>Admin-Local Funds</v>
          </cell>
          <cell r="C41" t="str">
            <v>32B4   PROFESSIONAL DEV-FAC</v>
          </cell>
        </row>
        <row r="42">
          <cell r="A42" t="str">
            <v>32B5</v>
          </cell>
          <cell r="B42" t="str">
            <v>Admin-Local Funds</v>
          </cell>
          <cell r="C42" t="str">
            <v>32B5   SFCC RESERVES</v>
          </cell>
        </row>
        <row r="43">
          <cell r="A43" t="str">
            <v>32B7</v>
          </cell>
          <cell r="B43" t="str">
            <v>Admin-Local Funds</v>
          </cell>
          <cell r="C43" t="str">
            <v>32B7   SF PRES EMERGENCY/DISCRETIONAR</v>
          </cell>
        </row>
        <row r="44">
          <cell r="A44" t="str">
            <v>3309</v>
          </cell>
          <cell r="B44" t="str">
            <v>Student Funded Programs</v>
          </cell>
          <cell r="C44" t="str">
            <v>3309   IRP CLUB ADVISORS</v>
          </cell>
        </row>
        <row r="45">
          <cell r="A45" t="str">
            <v>3310</v>
          </cell>
          <cell r="B45" t="str">
            <v>Student Funded Programs</v>
          </cell>
          <cell r="C45" t="str">
            <v>3310   IRP CARRY OVER FUND</v>
          </cell>
        </row>
        <row r="46">
          <cell r="A46" t="str">
            <v>3312</v>
          </cell>
          <cell r="B46" t="str">
            <v>Student Funded Programs</v>
          </cell>
          <cell r="C46" t="str">
            <v>3312   IRP CONTINGENCY</v>
          </cell>
        </row>
        <row r="47">
          <cell r="A47" t="str">
            <v>3313</v>
          </cell>
          <cell r="B47" t="str">
            <v>Student Funded Programs</v>
          </cell>
          <cell r="C47" t="str">
            <v>3313   ASTRONOMY CLUB</v>
          </cell>
        </row>
        <row r="48">
          <cell r="A48" t="str">
            <v>3328</v>
          </cell>
          <cell r="B48" t="str">
            <v>Student Funded Programs</v>
          </cell>
          <cell r="C48" t="str">
            <v>3328   CONCHA CLUB</v>
          </cell>
        </row>
        <row r="49">
          <cell r="A49" t="str">
            <v>3329</v>
          </cell>
          <cell r="B49" t="str">
            <v>Student Funded Programs</v>
          </cell>
          <cell r="C49" t="str">
            <v>3329   SPEECH &amp; DEBATE CLUB</v>
          </cell>
        </row>
        <row r="50">
          <cell r="A50" t="str">
            <v>3330</v>
          </cell>
          <cell r="B50" t="str">
            <v>Student Funded Programs</v>
          </cell>
          <cell r="C50" t="str">
            <v>3330   GRAPHIC DESIGN</v>
          </cell>
        </row>
        <row r="51">
          <cell r="A51" t="str">
            <v>3342</v>
          </cell>
          <cell r="B51" t="str">
            <v>Student Funded Programs</v>
          </cell>
          <cell r="C51" t="str">
            <v>3342   ENGINEERING CLUB</v>
          </cell>
        </row>
        <row r="52">
          <cell r="A52" t="str">
            <v>3352</v>
          </cell>
          <cell r="B52" t="str">
            <v>Student Funded Programs</v>
          </cell>
          <cell r="C52" t="str">
            <v>3352   REVELERS (DRAMA)</v>
          </cell>
        </row>
        <row r="53">
          <cell r="A53" t="str">
            <v>3353</v>
          </cell>
          <cell r="B53" t="str">
            <v>Student Funded Programs</v>
          </cell>
          <cell r="C53" t="str">
            <v>3353   ORCHESTRA</v>
          </cell>
        </row>
        <row r="54">
          <cell r="A54" t="str">
            <v>3354</v>
          </cell>
          <cell r="B54" t="str">
            <v>Student Funded Programs</v>
          </cell>
          <cell r="C54" t="str">
            <v>3354   CONCERT BAND</v>
          </cell>
        </row>
        <row r="55">
          <cell r="A55" t="str">
            <v>3355</v>
          </cell>
          <cell r="B55" t="str">
            <v>Student Funded Programs</v>
          </cell>
          <cell r="C55" t="str">
            <v>3355   CHORAL MUSIC</v>
          </cell>
        </row>
        <row r="56">
          <cell r="A56" t="str">
            <v>3356</v>
          </cell>
          <cell r="B56" t="str">
            <v>Student Funded Programs</v>
          </cell>
          <cell r="C56" t="str">
            <v>3356   STAGE BAND/COMBO</v>
          </cell>
        </row>
        <row r="57">
          <cell r="A57" t="str">
            <v>3357</v>
          </cell>
          <cell r="B57" t="str">
            <v>Student Funded Programs</v>
          </cell>
          <cell r="C57" t="str">
            <v>3357   PHOTO ARTS</v>
          </cell>
        </row>
        <row r="58">
          <cell r="A58" t="str">
            <v>3360</v>
          </cell>
          <cell r="B58" t="str">
            <v>Student Funded Programs</v>
          </cell>
          <cell r="C58" t="str">
            <v>3360   DEC</v>
          </cell>
        </row>
        <row r="59">
          <cell r="A59" t="str">
            <v>3363</v>
          </cell>
          <cell r="B59" t="str">
            <v>Student Funded Programs</v>
          </cell>
          <cell r="C59" t="str">
            <v>3363   ART GALLERY &amp; EXHIB</v>
          </cell>
        </row>
        <row r="60">
          <cell r="A60" t="str">
            <v>3367</v>
          </cell>
          <cell r="B60" t="str">
            <v>Student Funded Programs</v>
          </cell>
          <cell r="C60" t="str">
            <v>3367   RECREATION SOCIETY</v>
          </cell>
        </row>
        <row r="61">
          <cell r="A61" t="str">
            <v>3368</v>
          </cell>
          <cell r="B61" t="str">
            <v>Student Funded Programs</v>
          </cell>
          <cell r="C61" t="str">
            <v>3368   LITERARY MAGAZINE</v>
          </cell>
        </row>
        <row r="62">
          <cell r="A62" t="str">
            <v>3369</v>
          </cell>
          <cell r="B62" t="str">
            <v>Student Funded Programs</v>
          </cell>
          <cell r="C62" t="str">
            <v>3369   COMMUNICATOR-NEWSPPR</v>
          </cell>
        </row>
        <row r="63">
          <cell r="A63" t="str">
            <v>3370</v>
          </cell>
          <cell r="B63" t="str">
            <v>Student Funded Programs</v>
          </cell>
          <cell r="C63" t="str">
            <v>3370   BETA GAMMA KAPPA</v>
          </cell>
        </row>
        <row r="64">
          <cell r="A64" t="str">
            <v>3371</v>
          </cell>
          <cell r="B64" t="str">
            <v>Student Funded Programs</v>
          </cell>
          <cell r="C64" t="str">
            <v>3371   P.S.P.S. CLUB</v>
          </cell>
        </row>
        <row r="65">
          <cell r="A65" t="str">
            <v>3372</v>
          </cell>
          <cell r="B65" t="str">
            <v>Student Funded Programs</v>
          </cell>
          <cell r="C65" t="str">
            <v>3372   STDNT PHYS THER ASST</v>
          </cell>
        </row>
        <row r="66">
          <cell r="A66" t="str">
            <v>3373</v>
          </cell>
          <cell r="B66" t="str">
            <v>Student Funded Programs</v>
          </cell>
          <cell r="C66" t="str">
            <v>3373   STUD OCCUP THERA ASST</v>
          </cell>
        </row>
        <row r="67">
          <cell r="A67" t="str">
            <v>3382</v>
          </cell>
          <cell r="B67" t="str">
            <v>Student Funded Programs</v>
          </cell>
          <cell r="C67" t="str">
            <v>3382   ATHLETIC SCHOLARSHIP</v>
          </cell>
        </row>
        <row r="68">
          <cell r="A68" t="str">
            <v>3383</v>
          </cell>
          <cell r="B68" t="str">
            <v>Student Funded Programs</v>
          </cell>
          <cell r="C68" t="str">
            <v>3383   S&amp;A FINANCIAL AID</v>
          </cell>
        </row>
        <row r="69">
          <cell r="A69" t="str">
            <v>3399</v>
          </cell>
          <cell r="B69" t="str">
            <v>Student Funded Programs</v>
          </cell>
          <cell r="C69" t="str">
            <v>3399   FEE &amp; INT.REV.IRA</v>
          </cell>
        </row>
        <row r="70">
          <cell r="A70" t="str">
            <v>3402</v>
          </cell>
          <cell r="B70" t="str">
            <v>Student Funded Programs</v>
          </cell>
          <cell r="C70" t="str">
            <v>3402   ASA CARRY OVER FUND</v>
          </cell>
        </row>
        <row r="71">
          <cell r="A71" t="str">
            <v>3403</v>
          </cell>
          <cell r="B71" t="str">
            <v>Student Funded Programs</v>
          </cell>
          <cell r="C71" t="str">
            <v>3403   PEERS SERVICES</v>
          </cell>
        </row>
        <row r="72">
          <cell r="A72" t="str">
            <v>3404</v>
          </cell>
          <cell r="B72" t="str">
            <v>Student Funded Programs</v>
          </cell>
          <cell r="C72" t="str">
            <v>3404  MUSIC AUDITORIUM LIGHTS</v>
          </cell>
        </row>
        <row r="73">
          <cell r="A73" t="str">
            <v>3405</v>
          </cell>
          <cell r="B73" t="str">
            <v>Student Funded Programs</v>
          </cell>
          <cell r="C73" t="str">
            <v>3405   SFC BUS PASS MATCH</v>
          </cell>
        </row>
        <row r="74">
          <cell r="A74" t="str">
            <v>3406</v>
          </cell>
          <cell r="B74" t="str">
            <v>Student Funded Programs</v>
          </cell>
          <cell r="C74" t="str">
            <v>3406   BUS TICKET CLEARING</v>
          </cell>
        </row>
        <row r="75">
          <cell r="A75" t="str">
            <v>3407</v>
          </cell>
          <cell r="B75" t="str">
            <v>Student Funded Programs</v>
          </cell>
          <cell r="C75" t="str">
            <v>3407   MLC TUTORING</v>
          </cell>
        </row>
        <row r="76">
          <cell r="A76" t="str">
            <v>3408</v>
          </cell>
          <cell r="B76" t="str">
            <v>Student Funded Programs</v>
          </cell>
          <cell r="C76" t="str">
            <v>3408   NEW STDT ORIENTATION</v>
          </cell>
        </row>
        <row r="77">
          <cell r="A77" t="str">
            <v>3409</v>
          </cell>
          <cell r="B77" t="str">
            <v>Student Funded Programs</v>
          </cell>
          <cell r="C77" t="str">
            <v>3409   ASA CLUB ADVISORS</v>
          </cell>
        </row>
        <row r="78">
          <cell r="A78" t="str">
            <v>3410</v>
          </cell>
          <cell r="B78" t="str">
            <v>Student Funded Programs</v>
          </cell>
          <cell r="C78" t="str">
            <v>3410   ASA GENERAL FUND</v>
          </cell>
        </row>
        <row r="79">
          <cell r="A79" t="str">
            <v>3411</v>
          </cell>
          <cell r="B79" t="str">
            <v>Student Funded Programs</v>
          </cell>
          <cell r="C79" t="str">
            <v>3411   ADVERTISING/PRINTING</v>
          </cell>
        </row>
        <row r="80">
          <cell r="A80" t="str">
            <v>3412</v>
          </cell>
          <cell r="B80" t="str">
            <v>Student Funded Programs</v>
          </cell>
          <cell r="C80" t="str">
            <v>3412   ASA CONTINGENCY</v>
          </cell>
        </row>
        <row r="81">
          <cell r="A81" t="str">
            <v>3413</v>
          </cell>
          <cell r="B81" t="str">
            <v>Student Funded Programs</v>
          </cell>
          <cell r="C81" t="str">
            <v>3413   LEGISLATIVE LIAISON</v>
          </cell>
        </row>
        <row r="82">
          <cell r="A82" t="str">
            <v>3414</v>
          </cell>
          <cell r="B82" t="str">
            <v>Student Funded Programs</v>
          </cell>
          <cell r="C82" t="str">
            <v>3414   CULTURAL SERIES</v>
          </cell>
        </row>
        <row r="83">
          <cell r="A83" t="str">
            <v>3415</v>
          </cell>
          <cell r="B83" t="str">
            <v>Student Funded Programs</v>
          </cell>
          <cell r="C83" t="str">
            <v>3415   SUPPLIES</v>
          </cell>
        </row>
        <row r="84">
          <cell r="A84" t="str">
            <v>3416</v>
          </cell>
          <cell r="B84" t="str">
            <v>Student Funded Programs</v>
          </cell>
          <cell r="C84" t="str">
            <v>3416   WORKSTUDY</v>
          </cell>
        </row>
        <row r="85">
          <cell r="A85" t="str">
            <v>3417</v>
          </cell>
          <cell r="B85" t="str">
            <v>Student Funded Programs</v>
          </cell>
          <cell r="C85" t="str">
            <v>3417   TRAVEL</v>
          </cell>
        </row>
        <row r="86">
          <cell r="A86" t="str">
            <v>3418</v>
          </cell>
          <cell r="B86" t="str">
            <v>Student Funded Programs</v>
          </cell>
          <cell r="C86" t="str">
            <v>3418   FOOD BANK</v>
          </cell>
        </row>
        <row r="87">
          <cell r="A87" t="str">
            <v>3419</v>
          </cell>
          <cell r="B87" t="str">
            <v>Student Funded Programs</v>
          </cell>
          <cell r="C87" t="str">
            <v>3419   HEALTH SERVICES</v>
          </cell>
        </row>
        <row r="88">
          <cell r="A88" t="str">
            <v>3420</v>
          </cell>
          <cell r="B88" t="str">
            <v>Student Funded Programs</v>
          </cell>
          <cell r="C88" t="str">
            <v>3420   SPECIAL EVENTS</v>
          </cell>
        </row>
        <row r="89">
          <cell r="A89" t="str">
            <v>3421</v>
          </cell>
          <cell r="B89" t="str">
            <v>Student Funded Programs</v>
          </cell>
          <cell r="C89" t="str">
            <v>3421   CONCERTS/COMEDY</v>
          </cell>
        </row>
        <row r="90">
          <cell r="A90" t="str">
            <v>3422</v>
          </cell>
          <cell r="B90" t="str">
            <v>Student Funded Programs</v>
          </cell>
          <cell r="C90" t="str">
            <v>3422   MUSIC PERF LICENSE</v>
          </cell>
        </row>
        <row r="91">
          <cell r="A91" t="str">
            <v>3423</v>
          </cell>
          <cell r="B91" t="str">
            <v>Student Funded Programs</v>
          </cell>
          <cell r="C91" t="str">
            <v>3423   COLLEGE-WIDE THEME</v>
          </cell>
        </row>
        <row r="92">
          <cell r="A92" t="str">
            <v>3424</v>
          </cell>
          <cell r="B92" t="str">
            <v>Student Funded Programs</v>
          </cell>
          <cell r="C92" t="str">
            <v>3424   SPEAKERS/SEMINARS</v>
          </cell>
        </row>
        <row r="93">
          <cell r="A93" t="str">
            <v>3425</v>
          </cell>
          <cell r="B93" t="str">
            <v>Student Funded Programs</v>
          </cell>
          <cell r="C93" t="str">
            <v>3425   OUTREACH EDUCATION</v>
          </cell>
        </row>
        <row r="94">
          <cell r="A94" t="str">
            <v>3426</v>
          </cell>
          <cell r="B94" t="str">
            <v>Student Funded Programs</v>
          </cell>
          <cell r="C94" t="str">
            <v>3426   EQUIPMENT</v>
          </cell>
        </row>
        <row r="95">
          <cell r="A95" t="str">
            <v>3427</v>
          </cell>
          <cell r="B95" t="str">
            <v>Student Funded Programs</v>
          </cell>
          <cell r="C95" t="str">
            <v>3427   INTERPRETERS SUPPORT</v>
          </cell>
        </row>
        <row r="96">
          <cell r="A96" t="str">
            <v>3428</v>
          </cell>
          <cell r="B96" t="str">
            <v>Student Funded Programs</v>
          </cell>
          <cell r="C96" t="str">
            <v>3428   SECURITY</v>
          </cell>
        </row>
        <row r="97">
          <cell r="A97" t="str">
            <v>3429</v>
          </cell>
          <cell r="B97" t="str">
            <v>Student Funded Programs</v>
          </cell>
          <cell r="C97" t="str">
            <v>3429   SUB RENOVATION</v>
          </cell>
        </row>
        <row r="98">
          <cell r="A98" t="str">
            <v>3430</v>
          </cell>
          <cell r="B98" t="str">
            <v>Student Funded Programs</v>
          </cell>
          <cell r="C98" t="str">
            <v>3430   STUDENT MEDIA LAB</v>
          </cell>
        </row>
        <row r="99">
          <cell r="A99" t="str">
            <v>3431</v>
          </cell>
          <cell r="B99" t="str">
            <v>Student Funded Programs</v>
          </cell>
          <cell r="C99" t="str">
            <v>3431   PT HOURLY SUPPORT</v>
          </cell>
        </row>
        <row r="100">
          <cell r="A100" t="str">
            <v>3432</v>
          </cell>
          <cell r="B100" t="str">
            <v>Student Funded Programs</v>
          </cell>
          <cell r="C100" t="str">
            <v>3432   ATHLETICS STADIUM</v>
          </cell>
        </row>
        <row r="101">
          <cell r="A101" t="str">
            <v>3433</v>
          </cell>
          <cell r="B101" t="str">
            <v>Student Funded Programs</v>
          </cell>
          <cell r="C101" t="str">
            <v>3433   ANIME CLUB</v>
          </cell>
        </row>
        <row r="102">
          <cell r="A102" t="str">
            <v>3434</v>
          </cell>
          <cell r="B102" t="str">
            <v>Student Funded Programs</v>
          </cell>
          <cell r="C102" t="str">
            <v>3434   COMPUTER CLUB</v>
          </cell>
        </row>
        <row r="103">
          <cell r="A103" t="str">
            <v>3435</v>
          </cell>
          <cell r="B103" t="str">
            <v>Student Funded Programs</v>
          </cell>
          <cell r="C103" t="str">
            <v>3435   BLACK STUDENT UNION</v>
          </cell>
        </row>
        <row r="104">
          <cell r="A104" t="str">
            <v>3436</v>
          </cell>
          <cell r="B104" t="str">
            <v>Student Funded Programs</v>
          </cell>
          <cell r="C104" t="str">
            <v>3436   ART CLUB</v>
          </cell>
        </row>
        <row r="105">
          <cell r="A105" t="str">
            <v>3437</v>
          </cell>
          <cell r="B105" t="str">
            <v>Student Funded Programs</v>
          </cell>
          <cell r="C105" t="str">
            <v>3437   SFCC VETS CLUB</v>
          </cell>
        </row>
        <row r="106">
          <cell r="A106" t="str">
            <v>3438</v>
          </cell>
          <cell r="B106" t="str">
            <v>Student Funded Programs</v>
          </cell>
          <cell r="C106" t="str">
            <v>3438   VIDEO PRODUCTION</v>
          </cell>
        </row>
        <row r="107">
          <cell r="A107" t="str">
            <v>3439</v>
          </cell>
          <cell r="B107" t="str">
            <v>Student Funded Programs</v>
          </cell>
          <cell r="C107" t="str">
            <v>3439   ASSOC MEN STUDENTS</v>
          </cell>
        </row>
        <row r="108">
          <cell r="A108" t="str">
            <v>3440</v>
          </cell>
          <cell r="B108" t="str">
            <v>Student Funded Programs</v>
          </cell>
          <cell r="C108" t="str">
            <v>3440  CREATIVE WRITING</v>
          </cell>
        </row>
        <row r="109">
          <cell r="A109" t="str">
            <v>3441</v>
          </cell>
          <cell r="B109" t="str">
            <v>Student Funded Programs</v>
          </cell>
          <cell r="C109" t="str">
            <v>3441  JAPANESE CLUB</v>
          </cell>
        </row>
        <row r="110">
          <cell r="A110" t="str">
            <v>3442</v>
          </cell>
          <cell r="B110" t="str">
            <v>Student Funded Programs</v>
          </cell>
          <cell r="C110" t="str">
            <v>3442   ASSOC WOMEN STUDENTS</v>
          </cell>
        </row>
        <row r="111">
          <cell r="A111" t="str">
            <v>3443</v>
          </cell>
          <cell r="B111" t="str">
            <v>Student Funded Programs</v>
          </cell>
          <cell r="C111" t="str">
            <v>3443   DANCE CLUB</v>
          </cell>
        </row>
        <row r="112">
          <cell r="A112" t="str">
            <v>3444</v>
          </cell>
          <cell r="B112" t="str">
            <v>Student Funded Programs</v>
          </cell>
          <cell r="C112" t="str">
            <v>3444   YOUNG DEMOCRATS</v>
          </cell>
        </row>
        <row r="113">
          <cell r="A113" t="str">
            <v>3445</v>
          </cell>
          <cell r="B113" t="str">
            <v>Student Funded Programs</v>
          </cell>
          <cell r="C113" t="str">
            <v>3445   ASIAN AMERICAN CLUB</v>
          </cell>
        </row>
        <row r="114">
          <cell r="A114" t="str">
            <v>3446</v>
          </cell>
          <cell r="B114" t="str">
            <v>Student Funded Programs</v>
          </cell>
          <cell r="C114" t="str">
            <v>3446   SVC LRN</v>
          </cell>
        </row>
        <row r="115">
          <cell r="A115" t="str">
            <v>3447</v>
          </cell>
          <cell r="B115" t="str">
            <v>Student Funded Programs</v>
          </cell>
          <cell r="C115" t="str">
            <v>3447   FALLS CHRISTIAN FELLOWSHIP</v>
          </cell>
        </row>
        <row r="116">
          <cell r="A116" t="str">
            <v>3448</v>
          </cell>
          <cell r="B116" t="str">
            <v>Student Funded Programs</v>
          </cell>
          <cell r="C116" t="str">
            <v>3348   SFCC GAMERS</v>
          </cell>
        </row>
        <row r="117">
          <cell r="A117" t="str">
            <v>3449</v>
          </cell>
          <cell r="B117" t="str">
            <v>Student Funded Programs</v>
          </cell>
          <cell r="C117" t="str">
            <v>3449   LDSSA</v>
          </cell>
        </row>
        <row r="118">
          <cell r="A118" t="str">
            <v>3453</v>
          </cell>
          <cell r="B118" t="str">
            <v>Student Funded Programs</v>
          </cell>
          <cell r="C118" t="str">
            <v>3453   INTERIOR DESIGN</v>
          </cell>
        </row>
        <row r="119">
          <cell r="A119" t="str">
            <v>3454</v>
          </cell>
          <cell r="B119" t="str">
            <v>Student Funded Programs</v>
          </cell>
          <cell r="C119" t="str">
            <v>3454   CHINESE CULTURE</v>
          </cell>
        </row>
        <row r="120">
          <cell r="A120" t="str">
            <v>3455</v>
          </cell>
          <cell r="B120" t="str">
            <v>Student Funded Programs</v>
          </cell>
          <cell r="C120" t="str">
            <v>3455   K.I.S.S.</v>
          </cell>
        </row>
        <row r="121">
          <cell r="A121" t="str">
            <v>3456</v>
          </cell>
          <cell r="B121" t="str">
            <v>Student Funded Programs</v>
          </cell>
          <cell r="C121" t="str">
            <v>3456   FRENCH CLUB</v>
          </cell>
        </row>
        <row r="122">
          <cell r="A122" t="str">
            <v>3457</v>
          </cell>
          <cell r="B122" t="str">
            <v>Student Funded Programs</v>
          </cell>
          <cell r="C122" t="str">
            <v>3457   THE ALLIANCE</v>
          </cell>
        </row>
        <row r="123">
          <cell r="A123" t="str">
            <v>3458</v>
          </cell>
          <cell r="B123" t="str">
            <v>Student Funded Programs</v>
          </cell>
          <cell r="C123" t="str">
            <v>3458   L.U.A. CLUB</v>
          </cell>
        </row>
        <row r="124">
          <cell r="A124" t="str">
            <v>3459</v>
          </cell>
          <cell r="B124" t="str">
            <v>Student Funded Programs</v>
          </cell>
          <cell r="C124" t="str">
            <v>3459   GERMAN KLUB</v>
          </cell>
        </row>
        <row r="125">
          <cell r="A125" t="str">
            <v>3460</v>
          </cell>
          <cell r="B125" t="str">
            <v>Student Funded Programs</v>
          </cell>
          <cell r="C125" t="str">
            <v>3460   INTERPRETER TRNG PRG</v>
          </cell>
        </row>
        <row r="126">
          <cell r="A126" t="str">
            <v>3461</v>
          </cell>
          <cell r="B126" t="str">
            <v>Student Funded Programs</v>
          </cell>
          <cell r="C126" t="str">
            <v>3461   JOURNALISM</v>
          </cell>
        </row>
        <row r="127">
          <cell r="A127" t="str">
            <v>3462</v>
          </cell>
          <cell r="B127" t="str">
            <v>Student Funded Programs</v>
          </cell>
          <cell r="C127" t="str">
            <v>3462   INTERNATIONAL CLUB</v>
          </cell>
        </row>
        <row r="128">
          <cell r="A128" t="str">
            <v>3463</v>
          </cell>
          <cell r="B128" t="str">
            <v>Student Funded Programs</v>
          </cell>
          <cell r="C128" t="str">
            <v>3463   PHOTO ARTS</v>
          </cell>
        </row>
        <row r="129">
          <cell r="A129" t="str">
            <v>3464</v>
          </cell>
          <cell r="B129" t="str">
            <v>Student Funded Programs</v>
          </cell>
          <cell r="C129" t="str">
            <v>3464   JAZZ PRESENTS</v>
          </cell>
        </row>
        <row r="130">
          <cell r="A130" t="str">
            <v>3465</v>
          </cell>
          <cell r="B130" t="str">
            <v>Student Funded Programs</v>
          </cell>
          <cell r="C130" t="str">
            <v>3465   RED NATIONS ASSOC</v>
          </cell>
        </row>
        <row r="131">
          <cell r="A131" t="str">
            <v>3466</v>
          </cell>
          <cell r="B131" t="str">
            <v>Student Funded Programs</v>
          </cell>
          <cell r="C131" t="str">
            <v>3466   SPANISH CLUB</v>
          </cell>
        </row>
        <row r="132">
          <cell r="A132" t="str">
            <v>3467</v>
          </cell>
          <cell r="B132" t="str">
            <v>Student Funded Programs</v>
          </cell>
          <cell r="C132" t="str">
            <v>3467   LITERARY CLUB</v>
          </cell>
        </row>
        <row r="133">
          <cell r="A133" t="str">
            <v>3468</v>
          </cell>
          <cell r="B133" t="str">
            <v>Student Funded Programs</v>
          </cell>
          <cell r="C133" t="str">
            <v>3468   WELLNESS CLUB</v>
          </cell>
        </row>
        <row r="134">
          <cell r="A134" t="str">
            <v>3469</v>
          </cell>
          <cell r="B134" t="str">
            <v>Student Funded Programs</v>
          </cell>
          <cell r="C134" t="str">
            <v>3469   CHEER SQUAD</v>
          </cell>
        </row>
        <row r="135">
          <cell r="A135" t="str">
            <v>3470</v>
          </cell>
          <cell r="B135" t="str">
            <v>Student Funded Programs</v>
          </cell>
          <cell r="C135" t="str">
            <v>3470  ADDICTION STUDIES</v>
          </cell>
        </row>
        <row r="136">
          <cell r="A136" t="str">
            <v>3471</v>
          </cell>
          <cell r="B136" t="str">
            <v>Student Funded Programs</v>
          </cell>
          <cell r="C136" t="str">
            <v>3471  SECULAR CLUB</v>
          </cell>
        </row>
        <row r="137">
          <cell r="A137" t="str">
            <v>3472</v>
          </cell>
          <cell r="B137" t="str">
            <v>Student Funded Programs</v>
          </cell>
          <cell r="C137" t="str">
            <v>3472   AUDIO ENGINEER CLUB</v>
          </cell>
        </row>
        <row r="138">
          <cell r="A138" t="str">
            <v>3473</v>
          </cell>
          <cell r="B138" t="str">
            <v>Student Funded Programs</v>
          </cell>
          <cell r="C138" t="str">
            <v>3473   EARTH CLUB</v>
          </cell>
        </row>
        <row r="139">
          <cell r="A139" t="str">
            <v>3474</v>
          </cell>
          <cell r="B139" t="str">
            <v>Student Funded Programs</v>
          </cell>
          <cell r="C139" t="str">
            <v>3474   GEOLOGY CLUB</v>
          </cell>
        </row>
        <row r="140">
          <cell r="A140" t="str">
            <v>3477</v>
          </cell>
          <cell r="B140" t="str">
            <v>Student Funded Programs</v>
          </cell>
          <cell r="C140" t="str">
            <v>3477   APPLIED TECH CLUB</v>
          </cell>
        </row>
        <row r="141">
          <cell r="A141" t="str">
            <v>3494</v>
          </cell>
          <cell r="B141" t="str">
            <v>Student Funded Programs</v>
          </cell>
          <cell r="C141" t="str">
            <v>3494   PULLMAN CTR CLUB</v>
          </cell>
        </row>
        <row r="142">
          <cell r="A142" t="str">
            <v>3495</v>
          </cell>
          <cell r="B142" t="str">
            <v>Student Funded Programs</v>
          </cell>
          <cell r="C142" t="str">
            <v>3495   EARLY LEARNING CTR</v>
          </cell>
        </row>
        <row r="143">
          <cell r="A143" t="str">
            <v>3496</v>
          </cell>
          <cell r="B143" t="str">
            <v>Student Funded Programs</v>
          </cell>
          <cell r="C143" t="str">
            <v>3496   FUTURE TEACHERS</v>
          </cell>
        </row>
        <row r="144">
          <cell r="A144" t="str">
            <v>3499</v>
          </cell>
          <cell r="B144" t="str">
            <v>Student Funded Programs</v>
          </cell>
          <cell r="C144" t="str">
            <v>3499   ASA-FEE &amp; INT REV</v>
          </cell>
        </row>
        <row r="145">
          <cell r="A145" t="str">
            <v>3732</v>
          </cell>
          <cell r="B145" t="str">
            <v>Visual &amp; Performing Arts</v>
          </cell>
          <cell r="C145" t="str">
            <v>3732  MUSIC SCHOLARSHIP-VM</v>
          </cell>
        </row>
        <row r="146">
          <cell r="A146" t="str">
            <v>3736</v>
          </cell>
          <cell r="B146" t="str">
            <v>Visual &amp; Performing Arts</v>
          </cell>
          <cell r="C146" t="str">
            <v>3736  MUSCI SCHOLOARHSIP-CR</v>
          </cell>
        </row>
        <row r="147">
          <cell r="A147" t="str">
            <v>3911</v>
          </cell>
          <cell r="B147" t="str">
            <v>Visual &amp; Performing Arts</v>
          </cell>
          <cell r="C147" t="str">
            <v>3911  WAR ON WANT</v>
          </cell>
        </row>
        <row r="148">
          <cell r="A148" t="str">
            <v>3A00</v>
          </cell>
          <cell r="B148" t="str">
            <v xml:space="preserve">Admin-President </v>
          </cell>
          <cell r="C148" t="str">
            <v>3A00   COLLEGE PRESIDENT</v>
          </cell>
        </row>
        <row r="149">
          <cell r="A149" t="str">
            <v>3A01</v>
          </cell>
          <cell r="B149" t="str">
            <v>Admin-Salary Savings</v>
          </cell>
          <cell r="C149" t="str">
            <v>3A01   SALARY SAVINGS</v>
          </cell>
        </row>
        <row r="150">
          <cell r="A150" t="str">
            <v>3A02</v>
          </cell>
          <cell r="B150" t="str">
            <v>Admin-Campus Administration</v>
          </cell>
          <cell r="C150" t="str">
            <v>3A02   CLASSIFIED STAFF DEVELOPMENT</v>
          </cell>
        </row>
        <row r="151">
          <cell r="A151" t="str">
            <v>3A05</v>
          </cell>
          <cell r="B151" t="str">
            <v>Admin-Campus Administration</v>
          </cell>
          <cell r="C151" t="str">
            <v>3A05   PRESIDENT CONTINGENCY</v>
          </cell>
        </row>
        <row r="152">
          <cell r="A152" t="str">
            <v>3A07</v>
          </cell>
          <cell r="B152" t="str">
            <v>Admin-Accreditation</v>
          </cell>
          <cell r="C152" t="str">
            <v>3A07   ACCREDITATION</v>
          </cell>
        </row>
        <row r="153">
          <cell r="A153" t="str">
            <v>3A09</v>
          </cell>
          <cell r="B153" t="str">
            <v>Admin-SFCC Innovation Funds</v>
          </cell>
          <cell r="C153" t="str">
            <v>3A09  SFCC INNOVATIONS FUNDS</v>
          </cell>
        </row>
        <row r="154">
          <cell r="A154" t="str">
            <v>3A10</v>
          </cell>
          <cell r="B154" t="str">
            <v>Admin-Campus Administration</v>
          </cell>
          <cell r="C154" t="str">
            <v>3A10  INSTITUTIONAL MEMBERSHIPS</v>
          </cell>
        </row>
        <row r="155">
          <cell r="A155" t="str">
            <v>3A21</v>
          </cell>
          <cell r="B155" t="str">
            <v>Admin-Marketing</v>
          </cell>
          <cell r="C155" t="str">
            <v>3A21   SFCC MARKETING</v>
          </cell>
        </row>
        <row r="156">
          <cell r="A156" t="str">
            <v>3A45</v>
          </cell>
          <cell r="B156" t="str">
            <v>Institutional Research</v>
          </cell>
          <cell r="C156" t="str">
            <v>3A45   INSTITUTIONAL RESEARCH</v>
          </cell>
        </row>
        <row r="157">
          <cell r="A157" t="str">
            <v>3A50</v>
          </cell>
          <cell r="B157" t="str">
            <v>Admin-Campus Administration</v>
          </cell>
          <cell r="C157" t="str">
            <v>3A50   SFCC GRAPHICS SPT</v>
          </cell>
        </row>
        <row r="158">
          <cell r="A158" t="str">
            <v>3A55</v>
          </cell>
          <cell r="B158" t="str">
            <v>Admin-Printing</v>
          </cell>
          <cell r="C158" t="str">
            <v>3A55   SFCC - PRINTING</v>
          </cell>
        </row>
        <row r="159">
          <cell r="A159" t="str">
            <v>3A56</v>
          </cell>
          <cell r="B159" t="str">
            <v>Admin-Software Licenses</v>
          </cell>
          <cell r="C159" t="str">
            <v>3A56   SOFTWARE LICENSES</v>
          </cell>
        </row>
        <row r="160">
          <cell r="A160" t="str">
            <v>3A57</v>
          </cell>
          <cell r="B160" t="str">
            <v>Admin-SBCTC IT Projects</v>
          </cell>
          <cell r="C160" t="str">
            <v>3A57   SBCTC IT PROJECTS</v>
          </cell>
        </row>
        <row r="161">
          <cell r="A161" t="str">
            <v>3A59</v>
          </cell>
          <cell r="B161" t="str">
            <v>Admin-K-20 Network</v>
          </cell>
          <cell r="C161" t="str">
            <v>3A59   K-20 NETWORK CHARGES</v>
          </cell>
        </row>
        <row r="162">
          <cell r="A162" t="str">
            <v>3A64</v>
          </cell>
          <cell r="B162" t="str">
            <v>Admin-Campus Administration</v>
          </cell>
          <cell r="C162" t="str">
            <v>3A64   LDRSHIP DEVELOP PROG</v>
          </cell>
        </row>
        <row r="163">
          <cell r="A163" t="str">
            <v>3A70</v>
          </cell>
          <cell r="B163" t="str">
            <v>Admin-Equity &amp; Empl Accommodations</v>
          </cell>
          <cell r="C163" t="str">
            <v>3A70   EQUITY &amp; ACCOMMODATN</v>
          </cell>
        </row>
        <row r="164">
          <cell r="A164" t="str">
            <v>3A75</v>
          </cell>
          <cell r="B164" t="str">
            <v>Admin-Diversity Ed Committee</v>
          </cell>
          <cell r="C164" t="str">
            <v>3A75   DIVERSITY ED COMMITTEE</v>
          </cell>
        </row>
        <row r="165">
          <cell r="A165" t="str">
            <v>3A76</v>
          </cell>
          <cell r="B165" t="str">
            <v>Admin-P.O.M.P.</v>
          </cell>
          <cell r="C165" t="str">
            <v>3A76   P.O.M.P.</v>
          </cell>
        </row>
        <row r="166">
          <cell r="A166" t="str">
            <v>3A90</v>
          </cell>
          <cell r="B166" t="str">
            <v>MISC-FTF Turnover for Increments</v>
          </cell>
          <cell r="C166" t="str">
            <v>3A90   SF-09-10 INCREMENTS</v>
          </cell>
        </row>
        <row r="167">
          <cell r="A167" t="str">
            <v>3AL3</v>
          </cell>
          <cell r="B167" t="str">
            <v>Business, Professional Studies &amp; Workforce Ed</v>
          </cell>
          <cell r="C167" t="str">
            <v>3AL3   LEAD BLOCK GRANT 1213</v>
          </cell>
        </row>
        <row r="168">
          <cell r="A168" t="str">
            <v>3AN2</v>
          </cell>
          <cell r="B168" t="str">
            <v>Business, Professional Studies &amp; Workforce Ed</v>
          </cell>
          <cell r="C168" t="str">
            <v>3AN2  SFCC NON TRADE 1112</v>
          </cell>
        </row>
        <row r="169">
          <cell r="A169" t="str">
            <v>3AN3</v>
          </cell>
          <cell r="B169" t="str">
            <v>Business, Professional Studies &amp; Workforce Ed</v>
          </cell>
          <cell r="C169" t="str">
            <v>3AN3  SFCC NON TRADE 1213</v>
          </cell>
        </row>
        <row r="170">
          <cell r="A170" t="str">
            <v>3B08</v>
          </cell>
          <cell r="B170" t="str">
            <v>Admin-Employment Related Costs-Unemployment</v>
          </cell>
          <cell r="C170" t="str">
            <v>3B08   EMPLMT RELATED COSTS</v>
          </cell>
        </row>
        <row r="171">
          <cell r="A171" t="str">
            <v>3B08-1</v>
          </cell>
          <cell r="B171" t="str">
            <v>Admin-Employment Related Costs-DOP Charges</v>
          </cell>
          <cell r="C171" t="str">
            <v>3B08   EMPLMT RELATED COSTS</v>
          </cell>
        </row>
        <row r="172">
          <cell r="A172" t="str">
            <v>3B11</v>
          </cell>
          <cell r="B172" t="str">
            <v>Admin-CDRS (Personnel)</v>
          </cell>
          <cell r="C172" t="str">
            <v>3B11   PERSONNEL SVC CGS</v>
          </cell>
        </row>
        <row r="173">
          <cell r="A173" t="str">
            <v>3B16</v>
          </cell>
          <cell r="B173" t="str">
            <v>Admin-Property Insurance</v>
          </cell>
          <cell r="C173" t="str">
            <v>3B16   INSURANCE PREMIUM</v>
          </cell>
        </row>
        <row r="174">
          <cell r="A174" t="str">
            <v>3B40</v>
          </cell>
          <cell r="B174" t="str">
            <v>Admin-Local Funds</v>
          </cell>
          <cell r="C174" t="str">
            <v>3B40   REG/FINES/FORFEITURE</v>
          </cell>
        </row>
        <row r="175">
          <cell r="A175" t="str">
            <v>3B60</v>
          </cell>
          <cell r="B175" t="str">
            <v>Admin-Mailing Svcs</v>
          </cell>
          <cell r="C175" t="str">
            <v>3B60   MAILING SERVICES</v>
          </cell>
        </row>
        <row r="176">
          <cell r="A176" t="str">
            <v>3BF3</v>
          </cell>
          <cell r="B176" t="str">
            <v>Student Services-Assoc Dean FA/Stud Empl</v>
          </cell>
          <cell r="C176" t="str">
            <v>3BF3  BFET PROGRAM 2012-13</v>
          </cell>
        </row>
        <row r="177">
          <cell r="A177" t="str">
            <v>3C11</v>
          </cell>
          <cell r="B177" t="str">
            <v xml:space="preserve">Admin-Benefits Reserves </v>
          </cell>
          <cell r="C177" t="str">
            <v>3C11   BENEFIT RESERVES/INCREASES</v>
          </cell>
        </row>
        <row r="178">
          <cell r="A178" t="str">
            <v>3C11-1</v>
          </cell>
          <cell r="B178" t="str">
            <v>Admin-Supplemental Funds</v>
          </cell>
          <cell r="C178" t="str">
            <v>3C11   SUPPLEMENTAL FUNDS</v>
          </cell>
        </row>
        <row r="179">
          <cell r="A179" t="str">
            <v>3C41</v>
          </cell>
          <cell r="B179" t="str">
            <v>Admin-Staff Benefits</v>
          </cell>
          <cell r="C179" t="str">
            <v>3C41   STAFF BENEFITS</v>
          </cell>
        </row>
        <row r="180">
          <cell r="A180" t="str">
            <v>3C43</v>
          </cell>
          <cell r="B180" t="str">
            <v>Admin-Staff Benefits</v>
          </cell>
          <cell r="C180" t="str">
            <v>3C43   STAFF BENEFITS</v>
          </cell>
        </row>
        <row r="181">
          <cell r="A181" t="str">
            <v>3C51</v>
          </cell>
          <cell r="B181" t="str">
            <v>Admin-Staff Benefits</v>
          </cell>
          <cell r="C181" t="str">
            <v>3C51   STAFF BENEFITS</v>
          </cell>
        </row>
        <row r="182">
          <cell r="A182" t="str">
            <v>3C61</v>
          </cell>
          <cell r="B182" t="str">
            <v>Admin-Staff Benefits</v>
          </cell>
          <cell r="C182" t="str">
            <v>3C61   STAFF BENEFITS</v>
          </cell>
        </row>
        <row r="183">
          <cell r="A183" t="str">
            <v>3C62</v>
          </cell>
          <cell r="B183" t="str">
            <v>Admin-Staff Benefits</v>
          </cell>
          <cell r="C183" t="str">
            <v>3C62   STAFF BENEFITS</v>
          </cell>
        </row>
        <row r="184">
          <cell r="A184" t="str">
            <v>3C63</v>
          </cell>
          <cell r="B184" t="str">
            <v>Admin-Staff Benefits</v>
          </cell>
          <cell r="C184" t="str">
            <v>3C63   STAFF BENEFITS</v>
          </cell>
        </row>
        <row r="185">
          <cell r="A185" t="str">
            <v>3C64</v>
          </cell>
          <cell r="B185" t="str">
            <v>Admin-Staff Benefits</v>
          </cell>
          <cell r="C185" t="str">
            <v>3C62   STAFF BENEFITS</v>
          </cell>
        </row>
        <row r="186">
          <cell r="A186" t="str">
            <v>3C81</v>
          </cell>
          <cell r="B186" t="str">
            <v>Admin-Credit Adjustment</v>
          </cell>
          <cell r="C186" t="str">
            <v>3C81   CREDIT ADJUSTMENT</v>
          </cell>
        </row>
        <row r="187">
          <cell r="A187" t="str">
            <v>3CB3</v>
          </cell>
          <cell r="B187" t="str">
            <v>Business, Professional Studies &amp; Workforce Ed</v>
          </cell>
          <cell r="C187" t="str">
            <v>3CB3  FVF CONT IMPROV (PERKINS)</v>
          </cell>
        </row>
        <row r="188">
          <cell r="A188" t="str">
            <v>3CC2</v>
          </cell>
          <cell r="B188" t="str">
            <v>Business, Professional Studies &amp; Workforce Ed</v>
          </cell>
          <cell r="C188" t="str">
            <v>3CC2  FVF SPECIAL POPS (PERKINS)</v>
          </cell>
        </row>
        <row r="189">
          <cell r="A189" t="str">
            <v>3CD2</v>
          </cell>
          <cell r="B189" t="str">
            <v>Business, Professional Studies &amp; Workforce Ed</v>
          </cell>
          <cell r="C189" t="str">
            <v>3CD2  FVF PROF TECH (PERKINS)</v>
          </cell>
        </row>
        <row r="190">
          <cell r="A190" t="str">
            <v>3CD3</v>
          </cell>
          <cell r="B190" t="str">
            <v>Business, Professional Studies &amp; Workforce Ed</v>
          </cell>
          <cell r="C190" t="str">
            <v>3CD3  FCVF PROF TECH (PERKINS)</v>
          </cell>
        </row>
        <row r="191">
          <cell r="A191" t="str">
            <v>3CF2</v>
          </cell>
          <cell r="B191" t="str">
            <v>Business, Professional Studies &amp; Workforce Ed</v>
          </cell>
          <cell r="C191" t="str">
            <v>3CF2  FVF ONE STOP (PERKINS)</v>
          </cell>
        </row>
        <row r="192">
          <cell r="A192" t="str">
            <v>3CL2</v>
          </cell>
          <cell r="B192" t="str">
            <v>Business, Professional Studies &amp; Workforce Ed</v>
          </cell>
          <cell r="C192" t="str">
            <v>3CL2  FVF FAC STAFF ADM (PERKINS)</v>
          </cell>
        </row>
        <row r="193">
          <cell r="A193" t="str">
            <v>3CL3</v>
          </cell>
          <cell r="B193" t="str">
            <v>Business, Professional Studies &amp; Workforce Ed</v>
          </cell>
          <cell r="C193" t="str">
            <v>3CL3  FVF FAC STAFF ADM (PERKINS)</v>
          </cell>
        </row>
        <row r="194">
          <cell r="A194" t="str">
            <v>3CM2</v>
          </cell>
          <cell r="B194" t="str">
            <v>Business, Professional Studies &amp; Workforce Ed</v>
          </cell>
          <cell r="C194" t="str">
            <v>3CM2  FVF IMPROV OF QUAL (PERKINS)</v>
          </cell>
        </row>
        <row r="195">
          <cell r="A195" t="str">
            <v>3CM3</v>
          </cell>
          <cell r="B195" t="str">
            <v>Business, Professional Studies &amp; Workforce Ed</v>
          </cell>
          <cell r="C195" t="str">
            <v>3CM3  FVF IMPROV OF QUAL (PERKINS)</v>
          </cell>
        </row>
        <row r="196">
          <cell r="A196" t="str">
            <v>3CP2</v>
          </cell>
          <cell r="B196" t="str">
            <v>Business, Professional Studies &amp; Workforce Ed</v>
          </cell>
          <cell r="C196" t="str">
            <v>3CP2  FVF IMPROV OF QUAL (PERKINS)</v>
          </cell>
        </row>
        <row r="197">
          <cell r="A197" t="str">
            <v>3CP3</v>
          </cell>
          <cell r="B197" t="str">
            <v>Business, Professional Studies &amp; Workforce Ed</v>
          </cell>
          <cell r="C197" t="str">
            <v>3CP3  FVF IMPROV OF QUAL (PERKINS)</v>
          </cell>
        </row>
        <row r="198">
          <cell r="A198" t="str">
            <v>3CS2</v>
          </cell>
          <cell r="B198" t="str">
            <v>Business, Professional Studies &amp; Workforce Ed</v>
          </cell>
          <cell r="C198" t="str">
            <v>3CS2  FVF IMPROV OF QUAL (PERKINS)</v>
          </cell>
        </row>
        <row r="199">
          <cell r="A199" t="str">
            <v>3CS3</v>
          </cell>
          <cell r="B199" t="str">
            <v>Business, Professional Studies &amp; Workforce Ed</v>
          </cell>
          <cell r="C199" t="str">
            <v>3CS3  FVF IMPROV OF QUAL (PERKINS)</v>
          </cell>
        </row>
        <row r="200">
          <cell r="A200" t="str">
            <v>3D00</v>
          </cell>
          <cell r="B200" t="str">
            <v>Student Services-VP Student Services</v>
          </cell>
          <cell r="C200" t="str">
            <v>3D00   VP STUDENT SERVICES</v>
          </cell>
        </row>
        <row r="201">
          <cell r="A201" t="str">
            <v>3D01</v>
          </cell>
          <cell r="B201" t="str">
            <v>Student Services-Assoc Dean Enrollment Svcs</v>
          </cell>
          <cell r="C201" t="str">
            <v>3D01   DEAN OF ADMSNS</v>
          </cell>
        </row>
        <row r="202">
          <cell r="A202" t="str">
            <v>3D05</v>
          </cell>
          <cell r="B202" t="str">
            <v>Student Services-Assoc Dean FA/Stud Empl</v>
          </cell>
          <cell r="C202" t="str">
            <v>3D05   SFCC FINANCIAL AID</v>
          </cell>
        </row>
        <row r="203">
          <cell r="A203" t="str">
            <v>3D06</v>
          </cell>
          <cell r="B203" t="str">
            <v>Student Services-VP Student Services</v>
          </cell>
          <cell r="C203" t="str">
            <v>3D06   CAREER &amp; STUDENT EMPLOYMNT CTR</v>
          </cell>
        </row>
        <row r="204">
          <cell r="A204" t="str">
            <v>3D07</v>
          </cell>
          <cell r="B204" t="str">
            <v>Student Services-Assoc Dean Stu Suc/Couns/Adv</v>
          </cell>
          <cell r="C204" t="str">
            <v>3D07   DISABLED STDNT.SVCS.</v>
          </cell>
        </row>
        <row r="205">
          <cell r="A205" t="str">
            <v>3D08</v>
          </cell>
          <cell r="B205" t="str">
            <v>Student Services-Assoc Dean FA/Stud Empl</v>
          </cell>
          <cell r="C205" t="str">
            <v>3D08   VETERAN SERVICES</v>
          </cell>
        </row>
        <row r="206">
          <cell r="A206" t="str">
            <v>3D09</v>
          </cell>
          <cell r="B206" t="str">
            <v>Student Services-VP Student Services</v>
          </cell>
          <cell r="C206" t="str">
            <v>3D09   WORKSOURCE</v>
          </cell>
        </row>
        <row r="207">
          <cell r="A207" t="str">
            <v>3D10</v>
          </cell>
          <cell r="B207" t="str">
            <v>Student Services-Assoc Dean Stu Suc/Couns/Adv</v>
          </cell>
          <cell r="C207" t="str">
            <v>3D10   GUIDANCE &amp; COUNSEL</v>
          </cell>
        </row>
        <row r="208">
          <cell r="A208" t="str">
            <v>3D11</v>
          </cell>
          <cell r="B208" t="str">
            <v>Student Services-VP Student Services</v>
          </cell>
          <cell r="C208" t="str">
            <v>3D11   RECRUITMENT&amp;OUTREACH</v>
          </cell>
        </row>
        <row r="209">
          <cell r="A209" t="str">
            <v>3D12</v>
          </cell>
          <cell r="B209" t="str">
            <v>Student Services-Assoc Dean FA/Stud Empl</v>
          </cell>
          <cell r="C209" t="str">
            <v>3D12  SFCC/IEL SUPPORT</v>
          </cell>
        </row>
        <row r="210">
          <cell r="A210" t="str">
            <v>3D13</v>
          </cell>
          <cell r="B210" t="str">
            <v>Student Services-Assoc Dean Stu Suc/Couns/Adv</v>
          </cell>
          <cell r="C210" t="str">
            <v>3D13  TESTING &amp; ASSESSMENT</v>
          </cell>
        </row>
        <row r="211">
          <cell r="A211" t="str">
            <v>3D14</v>
          </cell>
          <cell r="B211" t="str">
            <v>Student Services-Assoc Dean Stu Suc/Couns/Adv</v>
          </cell>
          <cell r="C211" t="str">
            <v>3D14  ACADEMIC ADVISING</v>
          </cell>
        </row>
        <row r="212">
          <cell r="A212" t="str">
            <v>3D15</v>
          </cell>
          <cell r="B212" t="str">
            <v>Student Services-Assoc Dean Stu Suc/Couns/Adv</v>
          </cell>
          <cell r="C212" t="str">
            <v>3D15   STUDENT DEV &amp; SUCCESS</v>
          </cell>
        </row>
        <row r="213">
          <cell r="A213" t="str">
            <v>3D16</v>
          </cell>
          <cell r="B213" t="str">
            <v>Student Services-Assoc Dean Stu Suc/Couns/Adv</v>
          </cell>
          <cell r="C213" t="str">
            <v>3D16   PULLMAN COUNSELING</v>
          </cell>
        </row>
        <row r="214">
          <cell r="A214" t="str">
            <v>3D17</v>
          </cell>
          <cell r="B214" t="str">
            <v>Student Services-VP Student Services</v>
          </cell>
          <cell r="C214" t="str">
            <v>3D17   PULLMAN CTR STUD SVCS</v>
          </cell>
        </row>
        <row r="215">
          <cell r="A215" t="str">
            <v>3D19</v>
          </cell>
          <cell r="B215" t="str">
            <v>Student Services-VP Student Services</v>
          </cell>
          <cell r="C215" t="str">
            <v>3D19   MINORITY AFFAIRS #1</v>
          </cell>
        </row>
        <row r="216">
          <cell r="A216" t="str">
            <v>3D20</v>
          </cell>
          <cell r="B216" t="str">
            <v>Student Services-VP Student Services</v>
          </cell>
          <cell r="C216" t="str">
            <v>3D20   STUDENT ACTIVITIES</v>
          </cell>
        </row>
        <row r="217">
          <cell r="A217" t="str">
            <v>3D21</v>
          </cell>
          <cell r="B217" t="str">
            <v>Special Allocation - Students of Color</v>
          </cell>
          <cell r="C217" t="str">
            <v>3D21   MULTICULTURAL</v>
          </cell>
        </row>
        <row r="218">
          <cell r="A218" t="str">
            <v>3D22</v>
          </cell>
          <cell r="B218" t="str">
            <v>Student Services-Assoc Dean FA/Stud Empl</v>
          </cell>
          <cell r="C218" t="str">
            <v>3D22   CAREER ADVISING CTR</v>
          </cell>
        </row>
        <row r="219">
          <cell r="A219" t="str">
            <v>3D23</v>
          </cell>
          <cell r="B219" t="str">
            <v>Special Allocation - Childcare</v>
          </cell>
          <cell r="C219" t="str">
            <v>3D23   SPECIAL CHILDCARE ALLOCATION</v>
          </cell>
        </row>
        <row r="220">
          <cell r="A220" t="str">
            <v>3D31</v>
          </cell>
          <cell r="B220" t="str">
            <v>Special Allocation - Special Disability</v>
          </cell>
          <cell r="C220" t="str">
            <v>3D31   SPECIAL DISABILITY ALLOCATION</v>
          </cell>
        </row>
        <row r="221">
          <cell r="A221" t="str">
            <v>3D32</v>
          </cell>
          <cell r="B221" t="str">
            <v>Special Allocation-Student Persistence</v>
          </cell>
          <cell r="C221" t="str">
            <v>3D32   STUDENT PERSISTENCE</v>
          </cell>
        </row>
        <row r="222">
          <cell r="A222" t="str">
            <v>3D40</v>
          </cell>
          <cell r="B222" t="str">
            <v>WRT-Fin Aid</v>
          </cell>
          <cell r="C222" t="str">
            <v>3D40   WRT- FIN AID</v>
          </cell>
        </row>
        <row r="223">
          <cell r="A223" t="str">
            <v>3D42</v>
          </cell>
          <cell r="B223" t="str">
            <v>WRT-Transport</v>
          </cell>
          <cell r="C223" t="str">
            <v>3D42   WRT-TRANSPORT</v>
          </cell>
        </row>
        <row r="224">
          <cell r="A224" t="str">
            <v>3D44</v>
          </cell>
          <cell r="B224" t="str">
            <v>WRT-TECA</v>
          </cell>
          <cell r="C224" t="str">
            <v>3D44   WRT-TECA</v>
          </cell>
        </row>
        <row r="225">
          <cell r="A225" t="str">
            <v>3D51</v>
          </cell>
          <cell r="B225" t="str">
            <v>Work Based Lrng</v>
          </cell>
          <cell r="C225" t="str">
            <v>3D51   WORK BASED LRNG-INC</v>
          </cell>
        </row>
        <row r="226">
          <cell r="A226" t="str">
            <v>3D60</v>
          </cell>
          <cell r="B226" t="str">
            <v xml:space="preserve">Student Services-Opportunity Grant </v>
          </cell>
          <cell r="C226" t="str">
            <v>3D60   OP GRANT II SUPPORT</v>
          </cell>
        </row>
        <row r="227">
          <cell r="A227" t="str">
            <v>3D61</v>
          </cell>
          <cell r="B227" t="str">
            <v xml:space="preserve">Student Services-Opportunity Grant </v>
          </cell>
          <cell r="C227" t="str">
            <v>3D61   OP GRANT II - TUITION</v>
          </cell>
        </row>
        <row r="228">
          <cell r="A228" t="str">
            <v>3D62</v>
          </cell>
          <cell r="B228" t="str">
            <v xml:space="preserve">Student Services-Opportunity Grant </v>
          </cell>
          <cell r="C228" t="str">
            <v>3D62   OP GRANT II - BOOKS</v>
          </cell>
        </row>
        <row r="229">
          <cell r="A229" t="str">
            <v>3D63</v>
          </cell>
          <cell r="B229" t="str">
            <v xml:space="preserve">Student Services-Opportunity Grant </v>
          </cell>
          <cell r="C229" t="str">
            <v>3D63   OP GRANT II - TOOLS</v>
          </cell>
        </row>
        <row r="230">
          <cell r="A230" t="str">
            <v>3D64</v>
          </cell>
          <cell r="B230" t="str">
            <v xml:space="preserve">Student Services-Opportunity Grant </v>
          </cell>
          <cell r="C230" t="str">
            <v>3D64   OP GRANT II - CHILDCARE</v>
          </cell>
        </row>
        <row r="231">
          <cell r="A231" t="str">
            <v>3D65</v>
          </cell>
          <cell r="B231" t="str">
            <v xml:space="preserve">Student Services-Opportunity Grant </v>
          </cell>
          <cell r="C231" t="str">
            <v>3D65   OP GRANT II - TRANS</v>
          </cell>
        </row>
        <row r="232">
          <cell r="A232" t="str">
            <v>3D66</v>
          </cell>
          <cell r="B232" t="str">
            <v xml:space="preserve">Student Services-Opportunity Grant </v>
          </cell>
          <cell r="C232" t="str">
            <v>3D66   OP GRANT II - OTHER</v>
          </cell>
        </row>
        <row r="233">
          <cell r="A233" t="str">
            <v>3DC2</v>
          </cell>
          <cell r="B233" t="str">
            <v>Computing, Math and Science</v>
          </cell>
          <cell r="C233" t="str">
            <v>3DC2  OPEN COURSE COMM</v>
          </cell>
        </row>
        <row r="234">
          <cell r="A234" t="str">
            <v>3DP2</v>
          </cell>
          <cell r="B234" t="str">
            <v>Computing, Math and Science</v>
          </cell>
          <cell r="C234" t="str">
            <v>3DP2  OPEN COURSE ACTING</v>
          </cell>
        </row>
        <row r="235">
          <cell r="A235" t="str">
            <v>3DS2</v>
          </cell>
          <cell r="B235" t="str">
            <v>Computing, Math and Science</v>
          </cell>
          <cell r="C235" t="str">
            <v>3DS2  OPEN COURSE ANTHROPOLOGY</v>
          </cell>
        </row>
        <row r="236">
          <cell r="A236" t="str">
            <v>3EC3</v>
          </cell>
          <cell r="B236" t="str">
            <v>Computing, Math and Science</v>
          </cell>
          <cell r="C236" t="str">
            <v>3EC3  EDMONDS CC MATH</v>
          </cell>
        </row>
        <row r="237">
          <cell r="A237" t="str">
            <v>3EG8</v>
          </cell>
          <cell r="B237" t="str">
            <v>International Programs</v>
          </cell>
          <cell r="C237" t="str">
            <v>3EG8  SFCC OSAKA HI-TECH</v>
          </cell>
        </row>
        <row r="238">
          <cell r="A238" t="str">
            <v>3ERP</v>
          </cell>
          <cell r="B238" t="str">
            <v xml:space="preserve">Administrative Services-CTC </v>
          </cell>
          <cell r="C238" t="str">
            <v>3ERP  SFCC CTCLINK PROJECT</v>
          </cell>
        </row>
        <row r="239">
          <cell r="A239" t="str">
            <v>3F10</v>
          </cell>
          <cell r="B239" t="str">
            <v>Library &amp; Media Distribution Svcs</v>
          </cell>
          <cell r="C239" t="str">
            <v>3F10   LIBRARY</v>
          </cell>
        </row>
        <row r="240">
          <cell r="A240" t="str">
            <v>3F20</v>
          </cell>
          <cell r="B240" t="str">
            <v>Library &amp; Media Distribution Svcs</v>
          </cell>
          <cell r="C240" t="str">
            <v>3F20   AV &amp; MEDIA OFFICE</v>
          </cell>
        </row>
        <row r="241">
          <cell r="A241" t="str">
            <v>3F30</v>
          </cell>
          <cell r="B241" t="str">
            <v>Student Services-Print/eCopy Shop Services</v>
          </cell>
          <cell r="C241" t="str">
            <v>3F30   PRINTING &amp; DUPLIC</v>
          </cell>
        </row>
        <row r="242">
          <cell r="A242" t="str">
            <v>3F40</v>
          </cell>
          <cell r="B242" t="str">
            <v>Library &amp; Media Distribution Svcs</v>
          </cell>
          <cell r="C242" t="str">
            <v>3F40   GRAPHICS &amp; MEDIA PRODUCTION</v>
          </cell>
        </row>
        <row r="243">
          <cell r="A243" t="str">
            <v>3F41</v>
          </cell>
          <cell r="B243" t="str">
            <v>Library &amp; Media Distribution Svcs</v>
          </cell>
          <cell r="C243" t="str">
            <v>3F41   MEDIA DISTRIBUTION</v>
          </cell>
        </row>
        <row r="244">
          <cell r="A244" t="str">
            <v>3F51</v>
          </cell>
          <cell r="B244" t="str">
            <v>Admin-VP of Learning</v>
          </cell>
          <cell r="C244" t="str">
            <v>3F51   VP OF LEARNING</v>
          </cell>
        </row>
        <row r="245">
          <cell r="A245" t="str">
            <v>3F53</v>
          </cell>
          <cell r="B245" t="str">
            <v>Visual &amp; Performing Arts</v>
          </cell>
          <cell r="C245" t="str">
            <v>3F53   DEAN VISUAL &amp; PERFORMING ARTS</v>
          </cell>
        </row>
        <row r="246">
          <cell r="A246" t="str">
            <v>3F54</v>
          </cell>
          <cell r="B246" t="str">
            <v>Computing, Math and Science</v>
          </cell>
          <cell r="C246" t="str">
            <v>3F54   DEAN CMPT, MATH &amp; SCI</v>
          </cell>
        </row>
        <row r="247">
          <cell r="A247" t="str">
            <v>3F55</v>
          </cell>
          <cell r="B247" t="str">
            <v>Humanities &amp; Academic Intl Ed</v>
          </cell>
          <cell r="C247" t="str">
            <v>3F55   DEAN HUMANITIES &amp; ACADEMIC INTL ED</v>
          </cell>
        </row>
        <row r="248">
          <cell r="A248" t="str">
            <v>3F57</v>
          </cell>
          <cell r="B248" t="str">
            <v>eLearning</v>
          </cell>
          <cell r="C248" t="str">
            <v>3F57   DEAN eLearning</v>
          </cell>
        </row>
        <row r="249">
          <cell r="A249" t="str">
            <v>3F58</v>
          </cell>
          <cell r="B249" t="str">
            <v>Social Science, Philosophy, &amp; Human Svcs</v>
          </cell>
          <cell r="C249" t="str">
            <v>3F58   DEAN SOCIAL SCI &amp; CULTURAL STUDIES</v>
          </cell>
        </row>
        <row r="250">
          <cell r="A250" t="str">
            <v>3F59</v>
          </cell>
          <cell r="B250" t="str">
            <v>Dir Athletics &amp; PE</v>
          </cell>
          <cell r="C250" t="str">
            <v>3F59   DIR ATHLETICS &amp; PE</v>
          </cell>
        </row>
        <row r="251">
          <cell r="A251" t="str">
            <v>3F60</v>
          </cell>
          <cell r="B251" t="str">
            <v>Business, Professional Studies &amp; Workforce Ed</v>
          </cell>
          <cell r="C251" t="str">
            <v>3F60   DEAN BUS,PS,&amp;WKFC ED</v>
          </cell>
        </row>
        <row r="252">
          <cell r="A252" t="str">
            <v>3F80</v>
          </cell>
          <cell r="B252" t="str">
            <v>Admin-Exempt/Admin Turnover</v>
          </cell>
          <cell r="C252" t="str">
            <v>3F80   EXEMPT/ADMIN TURNOVER</v>
          </cell>
        </row>
        <row r="253">
          <cell r="A253" t="str">
            <v>3FA2</v>
          </cell>
          <cell r="B253" t="str">
            <v>Workfirst</v>
          </cell>
          <cell r="C253" t="str">
            <v>3FA2   WorkFirst-SF INTERNAL CONTROL</v>
          </cell>
        </row>
        <row r="254">
          <cell r="A254" t="str">
            <v>3FA3</v>
          </cell>
          <cell r="B254" t="str">
            <v>Workfirst</v>
          </cell>
          <cell r="C254" t="str">
            <v>3FA3  WF SF INTERNAL CONTROL</v>
          </cell>
        </row>
        <row r="255">
          <cell r="A255" t="str">
            <v>3FB7</v>
          </cell>
          <cell r="B255" t="str">
            <v>Workfirst</v>
          </cell>
          <cell r="C255" t="str">
            <v>3FB7  WF COMPUTERS</v>
          </cell>
        </row>
        <row r="256">
          <cell r="A256" t="str">
            <v>3FM2</v>
          </cell>
          <cell r="B256" t="str">
            <v>Workfirst</v>
          </cell>
          <cell r="C256" t="str">
            <v>3FM2  WF SF JOB SKILLS</v>
          </cell>
        </row>
        <row r="257">
          <cell r="A257" t="str">
            <v>3FP2</v>
          </cell>
          <cell r="B257" t="str">
            <v>Workfirst</v>
          </cell>
          <cell r="C257" t="str">
            <v>3FP2  WF PERFORMANCE FUNDS</v>
          </cell>
        </row>
        <row r="258">
          <cell r="A258" t="str">
            <v>3FP3</v>
          </cell>
          <cell r="B258" t="str">
            <v>Workfirst</v>
          </cell>
          <cell r="C258" t="str">
            <v>3FP3  WF PERFORMANCE FUNDS 12-13</v>
          </cell>
        </row>
        <row r="259">
          <cell r="A259" t="str">
            <v>3FT2</v>
          </cell>
          <cell r="B259" t="str">
            <v>Workfirst</v>
          </cell>
          <cell r="C259" t="str">
            <v>3FT2   WorkFirst-SF FIN AID STAFF</v>
          </cell>
        </row>
        <row r="260">
          <cell r="A260" t="str">
            <v>3FT3</v>
          </cell>
          <cell r="B260" t="str">
            <v>Workfirst</v>
          </cell>
          <cell r="C260" t="str">
            <v>3FT3  WF SF FIN AID STAFF</v>
          </cell>
        </row>
        <row r="261">
          <cell r="A261" t="str">
            <v>3FTA</v>
          </cell>
          <cell r="B261" t="str">
            <v>Workfirst</v>
          </cell>
          <cell r="C261" t="str">
            <v>3FTA  WF SF FIN AID</v>
          </cell>
        </row>
        <row r="262">
          <cell r="A262" t="str">
            <v>3FW2</v>
          </cell>
          <cell r="B262" t="str">
            <v>Workfirst</v>
          </cell>
          <cell r="C262" t="str">
            <v>3FW2  WF SF WORKSTUDY</v>
          </cell>
        </row>
        <row r="263">
          <cell r="A263" t="str">
            <v>3FW3</v>
          </cell>
          <cell r="B263" t="str">
            <v>Workfirst</v>
          </cell>
          <cell r="C263" t="str">
            <v>3FW3  WF SF WORKSTUDY</v>
          </cell>
        </row>
        <row r="264">
          <cell r="A264" t="str">
            <v>3FZ2</v>
          </cell>
          <cell r="B264" t="str">
            <v>Workfirst</v>
          </cell>
          <cell r="C264" t="str">
            <v>3FZ2   Workfirst-SF ADMINISTRATION</v>
          </cell>
        </row>
        <row r="265">
          <cell r="A265" t="str">
            <v>3FZ3</v>
          </cell>
          <cell r="B265" t="str">
            <v>Workfirst</v>
          </cell>
          <cell r="C265" t="str">
            <v>3FZ3  WF SF ADMINISTRATION</v>
          </cell>
        </row>
        <row r="266">
          <cell r="A266" t="str">
            <v>3G01</v>
          </cell>
          <cell r="B266" t="str">
            <v>Visual &amp; Performing Arts</v>
          </cell>
          <cell r="C266" t="str">
            <v>3G01  VIS &amp; PERF ARTS OFC</v>
          </cell>
        </row>
        <row r="267">
          <cell r="A267" t="str">
            <v>3G02</v>
          </cell>
          <cell r="B267" t="str">
            <v>Humanities &amp; Academic Intl Ed</v>
          </cell>
          <cell r="C267" t="str">
            <v>3G02   SN-'W'YE-MN BLDG SUPPORT</v>
          </cell>
        </row>
        <row r="268">
          <cell r="A268" t="str">
            <v>3G03</v>
          </cell>
          <cell r="B268" t="str">
            <v>Social Science, Philosophy, &amp; Human Svcs</v>
          </cell>
          <cell r="C268" t="str">
            <v>3G03   SOCIAL SCI DEPT OFC</v>
          </cell>
        </row>
        <row r="269">
          <cell r="A269" t="str">
            <v>3G04</v>
          </cell>
          <cell r="B269" t="str">
            <v>eLearning</v>
          </cell>
          <cell r="C269" t="str">
            <v>3G04   WAOL-OFFICE/OPERATIONS</v>
          </cell>
        </row>
        <row r="270">
          <cell r="A270" t="str">
            <v>3G06</v>
          </cell>
          <cell r="B270" t="str">
            <v>Humanities &amp; Academic Intl Ed</v>
          </cell>
          <cell r="C270" t="str">
            <v>3G06   COMMUNICATIONS DEPT</v>
          </cell>
        </row>
        <row r="271">
          <cell r="A271" t="str">
            <v>3G07</v>
          </cell>
          <cell r="B271" t="str">
            <v>Business, Professional Studies &amp; Workforce Ed</v>
          </cell>
          <cell r="C271" t="str">
            <v>3G07   BUS,PS &amp; WKFRC ED OFC</v>
          </cell>
        </row>
        <row r="272">
          <cell r="A272" t="str">
            <v>3G08</v>
          </cell>
          <cell r="B272" t="str">
            <v>eLearning</v>
          </cell>
          <cell r="C272" t="str">
            <v>3G08   eLEARNING OFFICE</v>
          </cell>
        </row>
        <row r="273">
          <cell r="A273" t="str">
            <v>3G09</v>
          </cell>
          <cell r="B273" t="str">
            <v>Computing, Math and Science</v>
          </cell>
          <cell r="C273" t="str">
            <v>3G09   COMPUTING,MATH&amp;SCI DEPT OFC</v>
          </cell>
        </row>
        <row r="274">
          <cell r="A274" t="str">
            <v>3G29</v>
          </cell>
          <cell r="B274" t="str">
            <v>Misc Instruction-Adjunct Faculty Tng</v>
          </cell>
          <cell r="C274" t="str">
            <v>3G29   ADJUNCT FACULTY TNG</v>
          </cell>
        </row>
        <row r="275">
          <cell r="A275" t="str">
            <v>3G33</v>
          </cell>
          <cell r="B275" t="str">
            <v>IBEST</v>
          </cell>
          <cell r="C275" t="str">
            <v xml:space="preserve">3G33   IBEST </v>
          </cell>
        </row>
        <row r="276">
          <cell r="A276" t="str">
            <v>3G34</v>
          </cell>
          <cell r="B276" t="str">
            <v>Transfer High Demand</v>
          </cell>
          <cell r="C276" t="str">
            <v>3G34   TRANSFER HIGH DEMAND</v>
          </cell>
        </row>
        <row r="277">
          <cell r="A277" t="str">
            <v>3G40</v>
          </cell>
          <cell r="B277" t="str">
            <v>Student Services-Assoc Dean Stu Suc/Couns/Adv</v>
          </cell>
          <cell r="C277" t="str">
            <v>3G40   FIRST YR EXPERIENCE</v>
          </cell>
        </row>
        <row r="278">
          <cell r="A278" t="str">
            <v>3G41</v>
          </cell>
          <cell r="B278" t="str">
            <v>Early Ed/Math/Science</v>
          </cell>
          <cell r="C278" t="str">
            <v>3G41   EARLY ED/MATH SCIENCE</v>
          </cell>
        </row>
        <row r="279">
          <cell r="A279" t="str">
            <v>3G42</v>
          </cell>
          <cell r="B279" t="str">
            <v>Humanities &amp; Academic Intl Ed-ECHS (includes Emmanuel Ctr/NACI)</v>
          </cell>
          <cell r="C279" t="str">
            <v>3G42   ECHS (INCLUDES NACI)</v>
          </cell>
        </row>
        <row r="280">
          <cell r="A280" t="str">
            <v>3G43</v>
          </cell>
          <cell r="B280" t="str">
            <v>Social Science, Philosophy, &amp; Human Svcs-FYI</v>
          </cell>
          <cell r="C280" t="str">
            <v>3G43   FIRST YR INTRO (FYI)</v>
          </cell>
        </row>
        <row r="281">
          <cell r="A281" t="str">
            <v>3G46</v>
          </cell>
          <cell r="B281" t="str">
            <v>Student Services-Fairchild Center</v>
          </cell>
          <cell r="C281" t="str">
            <v>3G46   FAIRCHILD CENTER</v>
          </cell>
        </row>
        <row r="282">
          <cell r="A282" t="str">
            <v>3G50</v>
          </cell>
          <cell r="B282" t="str">
            <v>Humanities &amp; Academic Intl Ed</v>
          </cell>
          <cell r="C282" t="str">
            <v>3G50   SERVICE LEARNING</v>
          </cell>
        </row>
        <row r="283">
          <cell r="A283" t="str">
            <v>3G51</v>
          </cell>
          <cell r="B283" t="str">
            <v>Misc Instruction-Faculty Dev</v>
          </cell>
          <cell r="C283" t="str">
            <v>3G51   FACULTY DEVELOPMENT</v>
          </cell>
        </row>
        <row r="284">
          <cell r="A284" t="str">
            <v>3G52</v>
          </cell>
          <cell r="B284" t="str">
            <v>Misc Instruction-Course&amp;Prg Dev</v>
          </cell>
          <cell r="C284" t="str">
            <v>3G52   COURSE &amp; PROGRAM DEV</v>
          </cell>
        </row>
        <row r="285">
          <cell r="A285" t="str">
            <v>3G53</v>
          </cell>
          <cell r="B285" t="str">
            <v>Humanities &amp; Academic Intl Ed-Learning Communities</v>
          </cell>
          <cell r="C285" t="str">
            <v>3G53   LEARNING COMMUNITIES</v>
          </cell>
        </row>
        <row r="286">
          <cell r="A286" t="str">
            <v>3G54</v>
          </cell>
          <cell r="B286" t="str">
            <v>Social Science, Philosophy, &amp; Human Svcs-General Studies</v>
          </cell>
          <cell r="C286" t="str">
            <v>3G54   GENERAL STUDIES</v>
          </cell>
        </row>
        <row r="287">
          <cell r="A287" t="str">
            <v>3G55</v>
          </cell>
          <cell r="B287" t="str">
            <v>Misc Instruction-Outcomes (ITALICS)</v>
          </cell>
          <cell r="C287" t="str">
            <v>3G55   OUTCOMES ASSESSMENT</v>
          </cell>
        </row>
        <row r="288">
          <cell r="A288" t="str">
            <v>3G57</v>
          </cell>
          <cell r="B288" t="str">
            <v>MISC-FTF Turnover for Increments</v>
          </cell>
          <cell r="C288" t="str">
            <v>3G57   FTF TURNOVER SAVINGS</v>
          </cell>
        </row>
        <row r="289">
          <cell r="A289" t="str">
            <v>3G58</v>
          </cell>
          <cell r="B289" t="str">
            <v>MISC-VP of Lng Contingency</v>
          </cell>
          <cell r="C289" t="str">
            <v>3G58   CONTINGENCY</v>
          </cell>
        </row>
        <row r="290">
          <cell r="A290" t="str">
            <v>3G58-1</v>
          </cell>
          <cell r="B290" t="str">
            <v>MISC-Sabbaticals</v>
          </cell>
          <cell r="C290" t="str">
            <v>3G58   AH/SABBATICALS</v>
          </cell>
        </row>
        <row r="291">
          <cell r="A291" t="str">
            <v>3G59</v>
          </cell>
          <cell r="B291" t="str">
            <v>MISC-Assoc Faculty Stpnds</v>
          </cell>
          <cell r="C291" t="str">
            <v>3G59   MISC-ASSOC FACULTY STIPENDS</v>
          </cell>
        </row>
        <row r="292">
          <cell r="A292" t="str">
            <v>3G60</v>
          </cell>
          <cell r="B292" t="str">
            <v>Worker Retraining</v>
          </cell>
          <cell r="C292" t="str">
            <v>3G60   WRT-SFCC GENERAL-VOC</v>
          </cell>
        </row>
        <row r="293">
          <cell r="A293" t="str">
            <v>3G61</v>
          </cell>
          <cell r="B293" t="str">
            <v>Business, Professional Studies &amp; Workforce Ed</v>
          </cell>
          <cell r="C293" t="str">
            <v>3G61   PHYSICAL THERAPIST</v>
          </cell>
        </row>
        <row r="294">
          <cell r="A294" t="str">
            <v>3G62</v>
          </cell>
          <cell r="B294" t="str">
            <v>Worker Retraining</v>
          </cell>
          <cell r="C294" t="str">
            <v>3G62   WRT-SFCC SKILL UPGRADE</v>
          </cell>
        </row>
        <row r="295">
          <cell r="A295" t="str">
            <v>3G63</v>
          </cell>
          <cell r="B295" t="str">
            <v>Worker Retraining</v>
          </cell>
          <cell r="C295" t="str">
            <v>3G63   WRT-SFCC-GENERAL BMC</v>
          </cell>
        </row>
        <row r="296">
          <cell r="A296" t="str">
            <v>3G64</v>
          </cell>
          <cell r="B296" t="str">
            <v>Worker Retraining</v>
          </cell>
          <cell r="C296" t="str">
            <v>3G64   WRT-SFCC PTA/CHEM DEPENDENCY</v>
          </cell>
        </row>
        <row r="297">
          <cell r="A297" t="str">
            <v>3G65</v>
          </cell>
          <cell r="B297" t="str">
            <v>Worker Retraining</v>
          </cell>
          <cell r="C297" t="str">
            <v>3G65   WRT-HEARING INST SPC</v>
          </cell>
        </row>
        <row r="298">
          <cell r="A298" t="str">
            <v>3G66</v>
          </cell>
          <cell r="B298" t="str">
            <v>Worker Retraining</v>
          </cell>
          <cell r="C298" t="str">
            <v>3G66   WRT-SFCC CIRRICLM DV</v>
          </cell>
        </row>
        <row r="299">
          <cell r="A299" t="str">
            <v>3G67</v>
          </cell>
          <cell r="B299" t="str">
            <v>Worker Retraining</v>
          </cell>
          <cell r="C299" t="str">
            <v>3G67   WRT-SFCC-PC SPECLST</v>
          </cell>
        </row>
        <row r="300">
          <cell r="A300" t="str">
            <v>3G68</v>
          </cell>
          <cell r="B300" t="str">
            <v>Worker Retraining</v>
          </cell>
          <cell r="C300" t="str">
            <v>3G68   WRT-SFCC IS/CS</v>
          </cell>
        </row>
        <row r="301">
          <cell r="A301" t="str">
            <v>3G69</v>
          </cell>
          <cell r="B301" t="str">
            <v>Worker Retraining</v>
          </cell>
          <cell r="C301" t="str">
            <v>3G69   WRT-SFCC-STDT SVCS</v>
          </cell>
        </row>
        <row r="302">
          <cell r="A302" t="str">
            <v>3G70</v>
          </cell>
          <cell r="B302" t="str">
            <v>Admin-Operating Support</v>
          </cell>
          <cell r="C302" t="str">
            <v>3G70   SFCC OPERATING SPT</v>
          </cell>
        </row>
        <row r="303">
          <cell r="A303" t="str">
            <v>3G80</v>
          </cell>
          <cell r="B303" t="str">
            <v>Workforce Development</v>
          </cell>
          <cell r="C303" t="str">
            <v>3G80   WFD-GENERAL(SUPPLEMENTAL)</v>
          </cell>
        </row>
        <row r="304">
          <cell r="A304" t="str">
            <v>3G81</v>
          </cell>
          <cell r="B304" t="str">
            <v>Workforce Development</v>
          </cell>
          <cell r="C304" t="str">
            <v>3G81   WFD-PTA(HEARING AID DISP)</v>
          </cell>
        </row>
        <row r="305">
          <cell r="A305" t="str">
            <v>3G83</v>
          </cell>
          <cell r="B305" t="str">
            <v>Workforce Development</v>
          </cell>
          <cell r="C305" t="str">
            <v>3G83   WFD-AUDIO TECH</v>
          </cell>
        </row>
        <row r="306">
          <cell r="A306" t="str">
            <v>3G84</v>
          </cell>
          <cell r="B306" t="str">
            <v>Workforce Development-Allied Health HEET</v>
          </cell>
          <cell r="C306" t="str">
            <v>3G84   WFD-ALLIED HEALTH HEET</v>
          </cell>
        </row>
        <row r="307">
          <cell r="A307" t="str">
            <v>3G90</v>
          </cell>
          <cell r="B307" t="str">
            <v>Business, Professional Studies &amp; Workforce Ed</v>
          </cell>
          <cell r="C307" t="str">
            <v>3G90   OTA PROGRAM</v>
          </cell>
        </row>
        <row r="308">
          <cell r="A308" t="str">
            <v>3GC2</v>
          </cell>
          <cell r="B308" t="str">
            <v>Humanities &amp; Academic Intl Ed</v>
          </cell>
          <cell r="C308" t="str">
            <v>3GC2  GATEWAY TO COLLEGE</v>
          </cell>
        </row>
        <row r="309">
          <cell r="A309" t="str">
            <v>3GEM</v>
          </cell>
          <cell r="B309" t="str">
            <v>Misc-General Instruction</v>
          </cell>
          <cell r="C309" t="str">
            <v>3GEM  GENERAL ED MOBILE</v>
          </cell>
        </row>
        <row r="310">
          <cell r="A310" t="str">
            <v>3GP3</v>
          </cell>
          <cell r="B310" t="str">
            <v>Admin-VP of Learning</v>
          </cell>
          <cell r="C310" t="str">
            <v>3GP3  GRADUATION PROJECT</v>
          </cell>
        </row>
        <row r="311">
          <cell r="A311" t="str">
            <v>3GV3</v>
          </cell>
          <cell r="B311" t="str">
            <v>Business, Professional Studies &amp; Workforce Ed</v>
          </cell>
          <cell r="C311" t="str">
            <v>3GV3  GTE SITE VISIT TRAVEL</v>
          </cell>
        </row>
        <row r="312">
          <cell r="A312" t="str">
            <v>3GW2</v>
          </cell>
          <cell r="B312" t="str">
            <v>Computing, Math and Science</v>
          </cell>
          <cell r="C312" t="str">
            <v>3GW2  WAOL-OPERATIONS 1112</v>
          </cell>
        </row>
        <row r="313">
          <cell r="A313" t="str">
            <v>3GW3</v>
          </cell>
          <cell r="B313" t="str">
            <v>Computing, Math and Science</v>
          </cell>
          <cell r="C313" t="str">
            <v>3GW3  WAOL-OPERATIONS 1213</v>
          </cell>
        </row>
        <row r="314">
          <cell r="A314" t="str">
            <v>3H11</v>
          </cell>
          <cell r="B314" t="str">
            <v>Computing, Math and Science</v>
          </cell>
          <cell r="C314" t="str">
            <v>3H11   LIFE SCIENCES</v>
          </cell>
        </row>
        <row r="315">
          <cell r="A315" t="str">
            <v>3H26</v>
          </cell>
          <cell r="B315" t="str">
            <v>Social Science, Philosophy, &amp; Human Svcs</v>
          </cell>
          <cell r="C315" t="str">
            <v>3H26   ACCOUNTING</v>
          </cell>
        </row>
        <row r="316">
          <cell r="A316" t="str">
            <v>3H38</v>
          </cell>
          <cell r="B316" t="str">
            <v>Humanities &amp; Academic Intl Ed</v>
          </cell>
          <cell r="C316" t="str">
            <v>3H38   SFCC INTL LIMITED ENG PRG (ILEP)</v>
          </cell>
        </row>
        <row r="317">
          <cell r="A317" t="str">
            <v>3H39</v>
          </cell>
          <cell r="B317" t="str">
            <v>International Programs</v>
          </cell>
          <cell r="C317" t="str">
            <v>3H39   SFCC INTL LEP STUD SVCS (ILEP)</v>
          </cell>
        </row>
        <row r="318">
          <cell r="A318" t="str">
            <v>3H55</v>
          </cell>
          <cell r="B318" t="str">
            <v>Library &amp; Media Distribution Svcs-Continued Ed Spt</v>
          </cell>
          <cell r="C318" t="str">
            <v>3H55   CONTINUING ED-STATE</v>
          </cell>
        </row>
        <row r="319">
          <cell r="A319" t="str">
            <v>3H56</v>
          </cell>
          <cell r="B319" t="str">
            <v>eLearning</v>
          </cell>
          <cell r="C319" t="str">
            <v>3H56   WAOL - SFCC</v>
          </cell>
        </row>
        <row r="320">
          <cell r="A320" t="str">
            <v>3H57</v>
          </cell>
          <cell r="B320" t="str">
            <v>eLearning</v>
          </cell>
          <cell r="C320" t="str">
            <v>3H57   TELECOURSES</v>
          </cell>
        </row>
        <row r="321">
          <cell r="A321" t="str">
            <v>3H58</v>
          </cell>
          <cell r="B321" t="str">
            <v>Visual &amp; Performing Arts</v>
          </cell>
          <cell r="C321" t="str">
            <v>3H58   JOURNALISM</v>
          </cell>
        </row>
        <row r="322">
          <cell r="A322" t="str">
            <v>3H59</v>
          </cell>
          <cell r="B322" t="str">
            <v>eLearning</v>
          </cell>
          <cell r="C322" t="str">
            <v>3H59   ON-LINE/ANGEL</v>
          </cell>
        </row>
        <row r="323">
          <cell r="A323" t="str">
            <v>3H60</v>
          </cell>
          <cell r="B323" t="str">
            <v>Admin-Operating Support/Trfrs</v>
          </cell>
          <cell r="C323" t="str">
            <v>3H60   eLEARNING OPS SPT</v>
          </cell>
        </row>
        <row r="324">
          <cell r="A324" t="str">
            <v>3H78</v>
          </cell>
          <cell r="B324" t="str">
            <v>Computing, Math and Science</v>
          </cell>
          <cell r="C324" t="str">
            <v>3H78   COMPUTER DEPARTMENT</v>
          </cell>
        </row>
        <row r="325">
          <cell r="A325" t="str">
            <v>3HB8</v>
          </cell>
          <cell r="B325" t="str">
            <v>Computing, Math and Science</v>
          </cell>
          <cell r="C325" t="str">
            <v>3HB8  ALGAE BIOMONITORING</v>
          </cell>
        </row>
        <row r="326">
          <cell r="A326" t="str">
            <v>3HC7</v>
          </cell>
          <cell r="B326" t="str">
            <v>Humanities &amp; Academic Intl Ed</v>
          </cell>
          <cell r="C326" t="str">
            <v>3HC7  ANTIOCH CNE</v>
          </cell>
        </row>
        <row r="327">
          <cell r="A327" t="str">
            <v>3HM8</v>
          </cell>
          <cell r="B327" t="str">
            <v>Student Services-Assoc Dean Enrollment Svcs</v>
          </cell>
          <cell r="C327" t="str">
            <v>3HM8  CNE MAKING COLLEGE NORM</v>
          </cell>
        </row>
        <row r="328">
          <cell r="A328" t="str">
            <v>3J29</v>
          </cell>
          <cell r="B328" t="str">
            <v>Computing, Math and Science</v>
          </cell>
          <cell r="C328" t="str">
            <v>3J29   ENGINEERING</v>
          </cell>
        </row>
        <row r="329">
          <cell r="A329" t="str">
            <v>3J49</v>
          </cell>
          <cell r="B329" t="str">
            <v>Visual &amp; Performing Arts</v>
          </cell>
          <cell r="C329" t="str">
            <v>3J49   CBE LAB</v>
          </cell>
        </row>
        <row r="330">
          <cell r="A330" t="str">
            <v>3J50</v>
          </cell>
          <cell r="B330" t="str">
            <v>Visual &amp; Performing Arts</v>
          </cell>
          <cell r="C330" t="str">
            <v>3J50   GRAPHIC DESIGN</v>
          </cell>
        </row>
        <row r="331">
          <cell r="A331" t="str">
            <v>3J51</v>
          </cell>
          <cell r="B331" t="str">
            <v>Visual &amp; Performing Arts</v>
          </cell>
          <cell r="C331" t="str">
            <v>3J51   FINE ARTS</v>
          </cell>
        </row>
        <row r="332">
          <cell r="A332" t="str">
            <v>3J52</v>
          </cell>
          <cell r="B332" t="str">
            <v>Visual &amp; Performing Arts</v>
          </cell>
          <cell r="C332" t="str">
            <v>3J52   PHOTOGRAPHY</v>
          </cell>
        </row>
        <row r="333">
          <cell r="A333" t="str">
            <v>3J53</v>
          </cell>
          <cell r="B333" t="str">
            <v>Visual &amp; Performing Arts</v>
          </cell>
          <cell r="C333" t="str">
            <v>3J53   MUSIC</v>
          </cell>
        </row>
        <row r="334">
          <cell r="A334" t="str">
            <v>3J54</v>
          </cell>
          <cell r="B334" t="str">
            <v>Humanities &amp; Academic Intl Ed</v>
          </cell>
          <cell r="C334" t="str">
            <v>3J54   DRAMA</v>
          </cell>
        </row>
        <row r="335">
          <cell r="A335" t="str">
            <v>3J56</v>
          </cell>
          <cell r="B335" t="str">
            <v>Visual &amp; Performing Arts</v>
          </cell>
          <cell r="C335" t="str">
            <v>3J56   AUDIO TECH PROGRAM</v>
          </cell>
        </row>
        <row r="336">
          <cell r="A336" t="str">
            <v>3J77</v>
          </cell>
          <cell r="B336" t="str">
            <v>Humanities &amp; Academic Intl Ed</v>
          </cell>
          <cell r="C336" t="str">
            <v>3J77   MODERN LANGUAGES</v>
          </cell>
        </row>
        <row r="337">
          <cell r="A337" t="str">
            <v>3J78</v>
          </cell>
          <cell r="B337" t="str">
            <v>Social Science, Philosophy, &amp; Human Svcs-Intl Ed Committee</v>
          </cell>
          <cell r="C337" t="str">
            <v>3J78   INTERNATIONAL ED COMMITTEE</v>
          </cell>
        </row>
        <row r="338">
          <cell r="A338" t="str">
            <v>3J82</v>
          </cell>
          <cell r="B338" t="str">
            <v>Humanities &amp; Academic Intl Ed</v>
          </cell>
          <cell r="C338" t="str">
            <v>3J82   INTL LANGUAGE CTR</v>
          </cell>
        </row>
        <row r="339">
          <cell r="A339" t="str">
            <v>3K76</v>
          </cell>
          <cell r="B339" t="str">
            <v>Humanities &amp; Academic Intl Ed</v>
          </cell>
          <cell r="C339" t="str">
            <v>3K76   WRITING CENTER</v>
          </cell>
        </row>
        <row r="340">
          <cell r="A340" t="str">
            <v>3K77</v>
          </cell>
          <cell r="B340" t="str">
            <v>Humanities &amp; Academic Intl Ed</v>
          </cell>
          <cell r="C340" t="str">
            <v>3K77   HUMANITIES</v>
          </cell>
        </row>
        <row r="341">
          <cell r="A341" t="str">
            <v>3K78</v>
          </cell>
          <cell r="B341" t="str">
            <v>Humanities &amp; Academic Intl Ed</v>
          </cell>
          <cell r="C341" t="str">
            <v>3K78   COMM LRNG CENTER</v>
          </cell>
        </row>
        <row r="342">
          <cell r="A342" t="str">
            <v>3K79</v>
          </cell>
          <cell r="B342" t="str">
            <v>Humanities &amp; Academic Intl Ed</v>
          </cell>
          <cell r="C342" t="str">
            <v>3K79   ENGLISH/LITERATURE</v>
          </cell>
        </row>
        <row r="343">
          <cell r="A343" t="str">
            <v>3K81</v>
          </cell>
          <cell r="B343" t="str">
            <v>Humanities &amp; Academic Intl Ed</v>
          </cell>
          <cell r="C343" t="str">
            <v>3K81   SPEECH</v>
          </cell>
        </row>
        <row r="344">
          <cell r="A344" t="str">
            <v>3K82</v>
          </cell>
          <cell r="B344" t="str">
            <v>Humanities &amp; Academic Intl Ed</v>
          </cell>
          <cell r="C344" t="str">
            <v>3K82   PHILOSOPHY</v>
          </cell>
        </row>
        <row r="345">
          <cell r="A345" t="str">
            <v>3L28</v>
          </cell>
          <cell r="B345" t="str">
            <v>Computing, Math and Science</v>
          </cell>
          <cell r="C345" t="str">
            <v>3L28   MATHEMATICS</v>
          </cell>
        </row>
        <row r="346">
          <cell r="A346" t="str">
            <v>3L82</v>
          </cell>
          <cell r="B346" t="str">
            <v>Computing, Math and Science</v>
          </cell>
          <cell r="C346" t="str">
            <v>3L82   AVIATION</v>
          </cell>
        </row>
        <row r="347">
          <cell r="A347" t="str">
            <v>3L83</v>
          </cell>
          <cell r="B347" t="str">
            <v>Computing, Math and Science</v>
          </cell>
          <cell r="C347" t="str">
            <v>3L83   PHYSICS</v>
          </cell>
        </row>
        <row r="348">
          <cell r="A348" t="str">
            <v>3L84</v>
          </cell>
          <cell r="B348" t="str">
            <v>Computing, Math and Science</v>
          </cell>
          <cell r="C348" t="str">
            <v>3L84   CHEMISTRY</v>
          </cell>
        </row>
        <row r="349">
          <cell r="A349" t="str">
            <v>3L85</v>
          </cell>
          <cell r="B349" t="str">
            <v>Computing, Math and Science</v>
          </cell>
          <cell r="C349" t="str">
            <v>3L85   GEOLOGY</v>
          </cell>
        </row>
        <row r="350">
          <cell r="A350" t="str">
            <v>3L86</v>
          </cell>
          <cell r="B350" t="str">
            <v>Computing, Math and Science</v>
          </cell>
          <cell r="C350" t="str">
            <v>3L86   ASTRONOMY</v>
          </cell>
        </row>
        <row r="351">
          <cell r="A351" t="str">
            <v>3LC2</v>
          </cell>
          <cell r="B351" t="str">
            <v>Misc Instruction</v>
          </cell>
          <cell r="C351" t="str">
            <v>3LC2  FACULTY LNG COM</v>
          </cell>
        </row>
        <row r="352">
          <cell r="A352" t="str">
            <v>3LC3</v>
          </cell>
          <cell r="B352" t="str">
            <v>Misc Instruction</v>
          </cell>
          <cell r="C352" t="str">
            <v>3LC3  FACULTY LNG COM</v>
          </cell>
        </row>
        <row r="353">
          <cell r="A353" t="str">
            <v>3LE8</v>
          </cell>
          <cell r="B353" t="str">
            <v>Misc Instruction</v>
          </cell>
          <cell r="C353" t="str">
            <v>3LE8   TITLE III EDUC ACHV</v>
          </cell>
        </row>
        <row r="354">
          <cell r="A354" t="str">
            <v>3LM6</v>
          </cell>
          <cell r="B354" t="str">
            <v>Misc Instruction</v>
          </cell>
          <cell r="C354" t="str">
            <v>3LM6   TITLE III - PERSONAL SVC CONTR</v>
          </cell>
        </row>
        <row r="355">
          <cell r="A355" t="str">
            <v>3LP8</v>
          </cell>
          <cell r="B355" t="str">
            <v>Misc Instruction</v>
          </cell>
          <cell r="C355" t="str">
            <v>3LP8   TITLE III PROJ MGMT</v>
          </cell>
        </row>
        <row r="356">
          <cell r="A356" t="str">
            <v>3LR8</v>
          </cell>
          <cell r="B356" t="str">
            <v>Student Services-Assoc Dean Stu Suc/Couns/Adv</v>
          </cell>
          <cell r="C356" t="str">
            <v>3LR8  TITLE III RES/ASSESS</v>
          </cell>
        </row>
        <row r="357">
          <cell r="A357" t="str">
            <v>3LS8</v>
          </cell>
          <cell r="B357" t="str">
            <v>Student Services-Assoc Dean Stu Suc/Couns/Adv</v>
          </cell>
          <cell r="C357" t="str">
            <v>3LS8  TITLE III STUDENT PROG</v>
          </cell>
        </row>
        <row r="358">
          <cell r="A358" t="str">
            <v>3M02</v>
          </cell>
          <cell r="B358" t="str">
            <v>Social Science, Philosophy, &amp; Human Svcs</v>
          </cell>
          <cell r="C358" t="str">
            <v>3M02   PSYCHOLOGY</v>
          </cell>
        </row>
        <row r="359">
          <cell r="A359" t="str">
            <v>3M65</v>
          </cell>
          <cell r="B359" t="str">
            <v>Social Science, Philosophy, &amp; Human Svcs</v>
          </cell>
          <cell r="C359" t="str">
            <v>3M65   ANTHROPOLOGY</v>
          </cell>
        </row>
        <row r="360">
          <cell r="A360" t="str">
            <v>3M66</v>
          </cell>
          <cell r="B360" t="str">
            <v>Social Science, Philosophy, &amp; Human Svcs</v>
          </cell>
          <cell r="C360" t="str">
            <v>3M66   ECONOMICS</v>
          </cell>
        </row>
        <row r="361">
          <cell r="A361" t="str">
            <v>3M67</v>
          </cell>
          <cell r="B361" t="str">
            <v>Social Science, Philosophy, &amp; Human Svcs</v>
          </cell>
          <cell r="C361" t="str">
            <v>3M67   HISTORY&amp;POLITICAL SC</v>
          </cell>
        </row>
        <row r="362">
          <cell r="A362" t="str">
            <v>3M68</v>
          </cell>
          <cell r="B362" t="str">
            <v>Social Science, Philosophy, &amp; Human Svcs</v>
          </cell>
          <cell r="C362" t="str">
            <v>3M68   GEOGRAPHY</v>
          </cell>
        </row>
        <row r="363">
          <cell r="A363" t="str">
            <v>3M69</v>
          </cell>
          <cell r="B363" t="str">
            <v>Social Science, Philosophy, &amp; Human Svcs</v>
          </cell>
          <cell r="C363" t="str">
            <v>3M69   SOCIOLOGY</v>
          </cell>
        </row>
        <row r="364">
          <cell r="A364" t="str">
            <v>3MA4</v>
          </cell>
          <cell r="B364" t="str">
            <v>Computing, Math and Science</v>
          </cell>
          <cell r="C364" t="str">
            <v>3MA4  AMP</v>
          </cell>
        </row>
        <row r="365">
          <cell r="A365" t="str">
            <v>3MD2</v>
          </cell>
          <cell r="B365" t="str">
            <v>Computing, Math and Science</v>
          </cell>
          <cell r="C365" t="str">
            <v>3MD2  GATES PRE-COLLEGE 1112</v>
          </cell>
        </row>
        <row r="366">
          <cell r="A366" t="str">
            <v>3MG0</v>
          </cell>
          <cell r="B366" t="str">
            <v>Misc Instruction</v>
          </cell>
          <cell r="C366" t="str">
            <v>3MG0  MUKOGAWA AGREEMENT</v>
          </cell>
        </row>
        <row r="367">
          <cell r="A367" t="str">
            <v>3MP0</v>
          </cell>
          <cell r="B367" t="str">
            <v>Humanities &amp; Academic Intl Ed</v>
          </cell>
          <cell r="C367" t="str">
            <v>3MP0  PROJECT DEGREE</v>
          </cell>
        </row>
        <row r="368">
          <cell r="A368" t="str">
            <v>3P03</v>
          </cell>
          <cell r="B368" t="str">
            <v>Dir Athletics &amp; PE</v>
          </cell>
          <cell r="C368" t="str">
            <v>3P03   PHYSICAL EDUCATION</v>
          </cell>
        </row>
        <row r="369">
          <cell r="A369" t="str">
            <v>3PS0</v>
          </cell>
          <cell r="B369" t="str">
            <v>Social Science, Philosophy &amp; Human Svcs</v>
          </cell>
          <cell r="C369" t="str">
            <v>3PS0  ARRA-SOC SERV TECH</v>
          </cell>
        </row>
        <row r="370">
          <cell r="A370" t="str">
            <v>3PC0</v>
          </cell>
          <cell r="B370" t="str">
            <v>Student Services-Assoc Dean FA/Stud Empl</v>
          </cell>
          <cell r="C370" t="str">
            <v>3PC0  PASSPORT TO COLLEGE-ADMIN</v>
          </cell>
        </row>
        <row r="371">
          <cell r="A371" t="str">
            <v>3Q01</v>
          </cell>
          <cell r="B371" t="str">
            <v>Student Services-Assoc Dean Stu Suc/Couns/Adv</v>
          </cell>
          <cell r="C371" t="str">
            <v>3Q01   SFC ASSESSMENT</v>
          </cell>
        </row>
        <row r="372">
          <cell r="A372" t="str">
            <v>3Q02</v>
          </cell>
          <cell r="B372" t="str">
            <v>Student Services-Assoc Dean Stu Suc/Couns/Adv</v>
          </cell>
          <cell r="C372" t="str">
            <v>3Q02   SFCC SPECIAL TESTING</v>
          </cell>
        </row>
        <row r="373">
          <cell r="A373" t="str">
            <v>3Q03</v>
          </cell>
          <cell r="B373" t="str">
            <v>Student Services-Assoc Dean Enrollment Svcs</v>
          </cell>
          <cell r="C373" t="str">
            <v>3Q03   SFC APPLICATION FEES</v>
          </cell>
        </row>
        <row r="374">
          <cell r="A374" t="str">
            <v>3Q04</v>
          </cell>
          <cell r="B374" t="str">
            <v>Student Services-Assoc Dean Enrollment Svcs</v>
          </cell>
          <cell r="C374" t="str">
            <v>3Q04   SFC REGISTRATION FEE</v>
          </cell>
        </row>
        <row r="375">
          <cell r="A375" t="str">
            <v>3Q05</v>
          </cell>
          <cell r="B375" t="str">
            <v>Student Services-Assoc Dean Stu Suc/Couns/Adv</v>
          </cell>
          <cell r="C375" t="str">
            <v>3Q05   SFCC WOIS/DISCOVER</v>
          </cell>
        </row>
        <row r="376">
          <cell r="A376" t="str">
            <v>3Q06</v>
          </cell>
          <cell r="B376" t="str">
            <v>Student Services-Assoc Dean Stu Suc/Couns/Adv</v>
          </cell>
          <cell r="C376" t="str">
            <v>3Q06   SFC ACADEMIC ADVISING</v>
          </cell>
        </row>
        <row r="377">
          <cell r="A377" t="str">
            <v>3Q07</v>
          </cell>
          <cell r="B377" t="str">
            <v>Student Services-Assoc Dean Enrollment Svcs</v>
          </cell>
          <cell r="C377" t="str">
            <v>3Q07   SFC TRANSCRIPT FEES</v>
          </cell>
        </row>
        <row r="378">
          <cell r="A378" t="str">
            <v>3Q09</v>
          </cell>
          <cell r="B378" t="str">
            <v>Admin-Local Funds</v>
          </cell>
          <cell r="C378" t="str">
            <v>3Q09   SF FORFEITED DEPOSIT</v>
          </cell>
        </row>
        <row r="379">
          <cell r="A379" t="str">
            <v>3Q11</v>
          </cell>
          <cell r="B379" t="str">
            <v>Admin-Local Funds</v>
          </cell>
          <cell r="C379" t="str">
            <v>3Q11   SFC CASHIERING MAINT</v>
          </cell>
        </row>
        <row r="380">
          <cell r="A380" t="str">
            <v>3Q13</v>
          </cell>
          <cell r="B380" t="str">
            <v>Computer Svcs</v>
          </cell>
          <cell r="C380" t="str">
            <v>3Q13   SFC TECHNOLOGY FEE</v>
          </cell>
        </row>
        <row r="381">
          <cell r="A381" t="str">
            <v>3Q14</v>
          </cell>
          <cell r="B381" t="str">
            <v>Library &amp; Media Distribution Svcs</v>
          </cell>
          <cell r="C381" t="str">
            <v>3Q14   ID CARD REPLCMNT FEE</v>
          </cell>
        </row>
        <row r="382">
          <cell r="A382" t="str">
            <v>3Q22</v>
          </cell>
          <cell r="B382" t="str">
            <v xml:space="preserve">Admin-President </v>
          </cell>
          <cell r="C382" t="str">
            <v>3Q22   PRESIDENT Q-DISCRETIONARY</v>
          </cell>
        </row>
        <row r="383">
          <cell r="A383" t="str">
            <v>3Q90</v>
          </cell>
          <cell r="B383" t="str">
            <v>Admin-Operating Support/Trfrs</v>
          </cell>
          <cell r="C383" t="str">
            <v>3Q90   EXCESS ENRLMNT REV</v>
          </cell>
        </row>
        <row r="384">
          <cell r="A384" t="str">
            <v>3R05</v>
          </cell>
          <cell r="B384" t="str">
            <v>Business, Professional Studies &amp; Workforce Ed</v>
          </cell>
          <cell r="C384" t="str">
            <v>3R05   BUS TECHNOLOGY</v>
          </cell>
        </row>
        <row r="385">
          <cell r="A385" t="str">
            <v>3R07</v>
          </cell>
          <cell r="B385" t="str">
            <v>Business, Professional Studies &amp; Workforce Ed</v>
          </cell>
          <cell r="C385" t="str">
            <v>3R07   BUSINESS/MGT</v>
          </cell>
        </row>
        <row r="386">
          <cell r="A386" t="str">
            <v>3R10</v>
          </cell>
          <cell r="B386" t="str">
            <v>Visual &amp; Performing Arts</v>
          </cell>
          <cell r="C386" t="str">
            <v>3R10   INTERIOR DESIGN</v>
          </cell>
        </row>
        <row r="387">
          <cell r="A387" t="str">
            <v>3R14</v>
          </cell>
          <cell r="B387" t="str">
            <v>Social Science, Philosophy, &amp; Human Svcs-Library Tech Asst</v>
          </cell>
          <cell r="C387" t="str">
            <v>3R14   LIBRARY TECH ASST</v>
          </cell>
        </row>
        <row r="388">
          <cell r="A388" t="str">
            <v>3R60</v>
          </cell>
          <cell r="B388" t="str">
            <v>Business, Professional Studies &amp; Workforce Ed</v>
          </cell>
          <cell r="C388" t="str">
            <v>3R60   ORTHOTICS</v>
          </cell>
        </row>
        <row r="389">
          <cell r="A389" t="str">
            <v>3R61</v>
          </cell>
          <cell r="B389" t="str">
            <v>Business, Professional Studies &amp; Workforce Ed</v>
          </cell>
          <cell r="C389" t="str">
            <v>3R61   HEARING INSTRMT DISP</v>
          </cell>
        </row>
        <row r="390">
          <cell r="A390" t="str">
            <v>3RA2</v>
          </cell>
          <cell r="B390" t="str">
            <v>Student Services-Assoc Dean Stu Suc/Couns/Adv</v>
          </cell>
          <cell r="C390" t="str">
            <v>3RA2  ROGERS ASSET TESTING</v>
          </cell>
        </row>
        <row r="391">
          <cell r="A391" t="str">
            <v>3RE2</v>
          </cell>
          <cell r="B391" t="str">
            <v>Misc Instruction</v>
          </cell>
          <cell r="C391" t="str">
            <v>RE2  DBHR RESEARCH/EVAL</v>
          </cell>
        </row>
        <row r="392">
          <cell r="A392" t="str">
            <v>3S61</v>
          </cell>
          <cell r="B392" t="str">
            <v>Business, Professional Studies &amp; Workforce Ed</v>
          </cell>
          <cell r="C392" t="str">
            <v>3S61   PTA ACCREDITATION</v>
          </cell>
        </row>
        <row r="393">
          <cell r="A393" t="str">
            <v>3S68</v>
          </cell>
          <cell r="B393" t="str">
            <v>Social Science, Philosophy, &amp; Human Svcs</v>
          </cell>
          <cell r="C393" t="str">
            <v>3S68   EARLY CHILDHOOD ED</v>
          </cell>
        </row>
        <row r="394">
          <cell r="A394" t="str">
            <v>3S70</v>
          </cell>
          <cell r="B394" t="str">
            <v>Social Science, Philosophy, &amp; Human Svcs</v>
          </cell>
          <cell r="C394" t="str">
            <v>3S70   SOCIAL SERVICES</v>
          </cell>
        </row>
        <row r="395">
          <cell r="A395" t="str">
            <v>3S71</v>
          </cell>
          <cell r="B395" t="str">
            <v>Social Science, Philosophy, &amp; Human Svcs</v>
          </cell>
          <cell r="C395" t="str">
            <v>3S71   EDUCATION</v>
          </cell>
        </row>
        <row r="396">
          <cell r="A396" t="str">
            <v>3S72</v>
          </cell>
          <cell r="B396" t="str">
            <v>Social Science, Philosophy, &amp; Human Svcs</v>
          </cell>
          <cell r="C396" t="str">
            <v>3S72   INTERPRETER TRAINING</v>
          </cell>
        </row>
        <row r="397">
          <cell r="A397" t="str">
            <v>3S73</v>
          </cell>
          <cell r="B397" t="str">
            <v>Social Science, Philosophy, &amp; Human Svcs</v>
          </cell>
          <cell r="C397" t="str">
            <v>3S73   CHEMICAL DEPENDENCY</v>
          </cell>
        </row>
        <row r="398">
          <cell r="A398" t="str">
            <v>3S74</v>
          </cell>
          <cell r="B398" t="str">
            <v>Student Services-Career Planning</v>
          </cell>
          <cell r="C398" t="str">
            <v>3S74   CAREER PLANNING</v>
          </cell>
        </row>
        <row r="399">
          <cell r="A399" t="str">
            <v>3S75</v>
          </cell>
          <cell r="B399" t="str">
            <v>Student Services-College Orientation</v>
          </cell>
          <cell r="C399" t="str">
            <v>3S75   COLLEGE ORIENTATION</v>
          </cell>
        </row>
        <row r="400">
          <cell r="A400" t="str">
            <v>3S76</v>
          </cell>
          <cell r="B400" t="str">
            <v>Social Science, Philosophy, &amp; Human Svcs</v>
          </cell>
          <cell r="C400" t="str">
            <v>3S76   INTERPERSONAL COMM</v>
          </cell>
        </row>
        <row r="401">
          <cell r="A401" t="str">
            <v>3SW3</v>
          </cell>
          <cell r="B401" t="str">
            <v>Computing, Math and Science</v>
          </cell>
          <cell r="C401" t="str">
            <v>3SW3  SFCC COLLEGE SPARK</v>
          </cell>
        </row>
        <row r="402">
          <cell r="A402" t="str">
            <v>3TC3</v>
          </cell>
          <cell r="B402" t="str">
            <v>Computing, Math and Science</v>
          </cell>
          <cell r="C402" t="str">
            <v>3TC3  CORE TO COLLEGE</v>
          </cell>
        </row>
        <row r="403">
          <cell r="A403" t="str">
            <v>3TD1</v>
          </cell>
          <cell r="B403" t="str">
            <v>Student Services-VP Student Services</v>
          </cell>
          <cell r="C403" t="str">
            <v>3TD1  ACHIEVING THE DREAM</v>
          </cell>
        </row>
        <row r="404">
          <cell r="A404" t="str">
            <v>3V02</v>
          </cell>
          <cell r="B404" t="str">
            <v>Student Services-Assoc Dean Enrollment Svcs</v>
          </cell>
          <cell r="C404" t="str">
            <v>3V02   SFC GRADUATION FEE</v>
          </cell>
        </row>
        <row r="405">
          <cell r="A405" t="str">
            <v>3V03</v>
          </cell>
          <cell r="B405" t="str">
            <v>Visual &amp; Performing Arts</v>
          </cell>
          <cell r="C405" t="str">
            <v>3V03   CBE LAB SUPPORT</v>
          </cell>
        </row>
        <row r="406">
          <cell r="A406" t="str">
            <v>3V06</v>
          </cell>
          <cell r="B406" t="str">
            <v>International Programs</v>
          </cell>
          <cell r="C406" t="str">
            <v>3V06   STUDY ABOARD - SPAIN</v>
          </cell>
        </row>
        <row r="407">
          <cell r="A407" t="str">
            <v>3V07</v>
          </cell>
          <cell r="B407" t="str">
            <v>Business, Professional Studies &amp; Workforce Ed</v>
          </cell>
          <cell r="C407" t="str">
            <v>3V07   FEES-GBUS CLASSES</v>
          </cell>
        </row>
        <row r="408">
          <cell r="A408" t="str">
            <v>3V10</v>
          </cell>
          <cell r="B408" t="str">
            <v>Visual &amp; Performing Arts</v>
          </cell>
          <cell r="C408" t="str">
            <v>3V10   FEES-INTERIOR DESIGN</v>
          </cell>
        </row>
        <row r="409">
          <cell r="A409" t="str">
            <v>3V11</v>
          </cell>
          <cell r="B409" t="str">
            <v>Computing, Math and Science</v>
          </cell>
          <cell r="C409" t="str">
            <v>3V11   LIFE SCIENCE FEES</v>
          </cell>
        </row>
        <row r="410">
          <cell r="A410" t="str">
            <v>3V12</v>
          </cell>
          <cell r="B410" t="str">
            <v>Computing, Math and Science</v>
          </cell>
          <cell r="C410" t="str">
            <v>3V12   ECOLOGY FEES</v>
          </cell>
        </row>
        <row r="411">
          <cell r="A411" t="str">
            <v>3V13</v>
          </cell>
          <cell r="B411" t="str">
            <v>Computing, Math and Science</v>
          </cell>
          <cell r="C411" t="str">
            <v>3V13   FEES-CADAVER LAB</v>
          </cell>
        </row>
        <row r="412">
          <cell r="A412" t="str">
            <v>3V15</v>
          </cell>
          <cell r="B412" t="str">
            <v>Business, Professional Studies &amp; Workforce Ed</v>
          </cell>
          <cell r="C412" t="str">
            <v>3V15   FEES-HEARING INST SP</v>
          </cell>
        </row>
        <row r="413">
          <cell r="A413" t="str">
            <v>3V20</v>
          </cell>
          <cell r="B413" t="str">
            <v>Library &amp; Media Distribution Svcs</v>
          </cell>
          <cell r="C413" t="str">
            <v>3V20   SALES-LIBRARY MATERL</v>
          </cell>
        </row>
        <row r="414">
          <cell r="A414" t="str">
            <v>3V21</v>
          </cell>
          <cell r="B414" t="str">
            <v>Library &amp; Media Distribution Svcs</v>
          </cell>
          <cell r="C414" t="str">
            <v>3V21   SALES-VIDEO PRODUCTN</v>
          </cell>
        </row>
        <row r="415">
          <cell r="A415" t="str">
            <v>3V22</v>
          </cell>
          <cell r="B415" t="str">
            <v>Library &amp; Media Distribution Svcs</v>
          </cell>
          <cell r="C415" t="str">
            <v>3V22   SFCC PROCTORING FEES</v>
          </cell>
        </row>
        <row r="416">
          <cell r="A416" t="str">
            <v>3V23</v>
          </cell>
          <cell r="B416" t="str">
            <v>Computing, Math and Science</v>
          </cell>
          <cell r="C416" t="str">
            <v>3V23   FEES-MATH LNG CTR SPT</v>
          </cell>
        </row>
        <row r="417">
          <cell r="A417" t="str">
            <v>3V24</v>
          </cell>
          <cell r="B417" t="str">
            <v>Computing, Math and Science</v>
          </cell>
          <cell r="C417" t="str">
            <v>3V24   SALES-CHEM LAB BOOKS</v>
          </cell>
        </row>
        <row r="418">
          <cell r="A418" t="str">
            <v>3V25</v>
          </cell>
          <cell r="B418" t="str">
            <v>Humanities &amp; Academic Intl Ed</v>
          </cell>
          <cell r="C418" t="str">
            <v>3V25   ENG101 PORTFOLIO FEE</v>
          </cell>
        </row>
        <row r="419">
          <cell r="A419" t="str">
            <v>3V26</v>
          </cell>
          <cell r="B419" t="str">
            <v>Social Science, Philosophy, &amp; Human Svcs</v>
          </cell>
          <cell r="C419" t="str">
            <v>3V26   FEES-ACCOUNTING LAB</v>
          </cell>
        </row>
        <row r="420">
          <cell r="A420" t="str">
            <v>3V27</v>
          </cell>
          <cell r="B420" t="str">
            <v>Social Science, Philosophy, &amp; Human Svcs</v>
          </cell>
          <cell r="C420" t="str">
            <v>3V27   SALES - TXTBK ROYALTIES</v>
          </cell>
        </row>
        <row r="421">
          <cell r="A421" t="str">
            <v>3V28</v>
          </cell>
          <cell r="B421" t="str">
            <v>Computing, Math and Science</v>
          </cell>
          <cell r="C421" t="str">
            <v>3V28   VIDEO TAPE RNTL MLC</v>
          </cell>
        </row>
        <row r="422">
          <cell r="A422" t="str">
            <v>3V29</v>
          </cell>
          <cell r="B422" t="str">
            <v>Computing, Math and Science</v>
          </cell>
          <cell r="C422" t="str">
            <v>3V29   FEES-ENGINEERING</v>
          </cell>
        </row>
        <row r="423">
          <cell r="A423" t="str">
            <v>3V36</v>
          </cell>
          <cell r="B423" t="str">
            <v>Social Science, Philosophy, &amp; Human Svcs</v>
          </cell>
          <cell r="C423" t="str">
            <v>3V36   FEES-CD PROFESSIONAL</v>
          </cell>
        </row>
        <row r="424">
          <cell r="A424" t="str">
            <v>3V37</v>
          </cell>
          <cell r="B424" t="str">
            <v>Social Science, Philosophy, &amp; Human Svcs</v>
          </cell>
          <cell r="C424" t="str">
            <v>3V37   FEES-GERONTOLOGY</v>
          </cell>
        </row>
        <row r="425">
          <cell r="A425" t="str">
            <v>3V38</v>
          </cell>
          <cell r="B425" t="str">
            <v>Social Science, Philosophy, &amp; Human Svcs</v>
          </cell>
          <cell r="C425" t="str">
            <v>3V38   FEES-EDUCATION/SP ED</v>
          </cell>
        </row>
        <row r="426">
          <cell r="A426" t="str">
            <v>3V40</v>
          </cell>
          <cell r="B426" t="str">
            <v>Social Science, Philosophy, &amp; Human Svcs</v>
          </cell>
          <cell r="C426" t="str">
            <v>3V40   MILITARY SCI (ROTC)</v>
          </cell>
        </row>
        <row r="427">
          <cell r="A427" t="str">
            <v>3V41</v>
          </cell>
          <cell r="B427" t="str">
            <v>Business, Professional Studies &amp; Workforce Ed</v>
          </cell>
          <cell r="C427" t="str">
            <v>3V41   FEES-COMPUTING-NC</v>
          </cell>
        </row>
        <row r="428">
          <cell r="A428" t="str">
            <v>3V42</v>
          </cell>
          <cell r="B428" t="str">
            <v>Social Science, Philosophy, &amp; Human Svcs</v>
          </cell>
          <cell r="C428" t="str">
            <v>3V42   FYI FEE</v>
          </cell>
        </row>
        <row r="429">
          <cell r="A429" t="str">
            <v>3V43</v>
          </cell>
          <cell r="B429" t="str">
            <v>Visual &amp; Performing Arts</v>
          </cell>
          <cell r="C429" t="str">
            <v>3V43   FEES-NC-PHOTOGRAPHY</v>
          </cell>
        </row>
        <row r="430">
          <cell r="A430" t="str">
            <v>3V46</v>
          </cell>
          <cell r="B430" t="str">
            <v>Computing, Math and Science</v>
          </cell>
          <cell r="C430" t="str">
            <v>3V46   FEES-ASTRONOMY TEL</v>
          </cell>
        </row>
        <row r="431">
          <cell r="A431" t="str">
            <v>3V48</v>
          </cell>
          <cell r="B431" t="str">
            <v>Visual &amp; Performing Arts</v>
          </cell>
          <cell r="C431" t="str">
            <v>3V48   SALES-CERAMICS</v>
          </cell>
        </row>
        <row r="432">
          <cell r="A432" t="str">
            <v>3V49</v>
          </cell>
          <cell r="B432" t="str">
            <v>Visual &amp; Performing Arts</v>
          </cell>
          <cell r="C432" t="str">
            <v>3V49   APPLIED VISUAL ARTS</v>
          </cell>
        </row>
        <row r="433">
          <cell r="A433" t="str">
            <v>3V50</v>
          </cell>
          <cell r="B433" t="str">
            <v>Visual &amp; Performing Arts</v>
          </cell>
          <cell r="C433" t="str">
            <v>3V50   ART LAB FEES</v>
          </cell>
        </row>
        <row r="434">
          <cell r="A434" t="str">
            <v>3V51</v>
          </cell>
          <cell r="B434" t="str">
            <v>Visual &amp; Performing Arts</v>
          </cell>
          <cell r="C434" t="str">
            <v>3V51   SALES-ART,FINE &amp; COM</v>
          </cell>
        </row>
        <row r="435">
          <cell r="A435" t="str">
            <v>3V52</v>
          </cell>
          <cell r="B435" t="str">
            <v>Visual &amp; Performing Arts</v>
          </cell>
          <cell r="C435" t="str">
            <v>3V52   FEES-PHOTOGRAPHY</v>
          </cell>
        </row>
        <row r="436">
          <cell r="A436" t="str">
            <v>3V53</v>
          </cell>
          <cell r="B436" t="str">
            <v>Visual &amp; Performing Arts</v>
          </cell>
          <cell r="C436" t="str">
            <v>3V53   SFCC CONCERT FUND</v>
          </cell>
        </row>
        <row r="437">
          <cell r="A437" t="str">
            <v>3V54</v>
          </cell>
          <cell r="B437" t="str">
            <v>Humanities &amp; Academic Intl Ed</v>
          </cell>
          <cell r="C437" t="str">
            <v>3V54   DRAMA ADMISSIONS</v>
          </cell>
        </row>
        <row r="438">
          <cell r="A438" t="str">
            <v>3V55</v>
          </cell>
          <cell r="B438" t="str">
            <v>Visual &amp; Performing Arts</v>
          </cell>
          <cell r="C438" t="str">
            <v xml:space="preserve">3V55   FEES-AUDIO ENGINEER </v>
          </cell>
        </row>
        <row r="439">
          <cell r="A439" t="str">
            <v>3V56</v>
          </cell>
          <cell r="B439" t="str">
            <v>Visual &amp; Performing Arts</v>
          </cell>
          <cell r="C439" t="str">
            <v>3V56   PRIVATE MUSIC LESSON</v>
          </cell>
        </row>
        <row r="440">
          <cell r="A440" t="str">
            <v>3V57</v>
          </cell>
          <cell r="B440" t="str">
            <v>Library &amp; Media Distribution Svcs</v>
          </cell>
          <cell r="C440" t="str">
            <v>3V57   FEES-LIBRARY TECH PR</v>
          </cell>
        </row>
        <row r="441">
          <cell r="A441" t="str">
            <v>3V58</v>
          </cell>
          <cell r="B441" t="str">
            <v>Visual &amp; Performing Arts</v>
          </cell>
          <cell r="C441" t="str">
            <v>3V58   SALES-JOURNALISM</v>
          </cell>
        </row>
        <row r="442">
          <cell r="A442" t="str">
            <v>3V60</v>
          </cell>
          <cell r="B442" t="str">
            <v>Business, Professional Studies &amp; Workforce Ed</v>
          </cell>
          <cell r="C442" t="str">
            <v>3V60   FEES-OTA PROGRAM</v>
          </cell>
        </row>
        <row r="443">
          <cell r="A443" t="str">
            <v>3V61</v>
          </cell>
          <cell r="B443" t="str">
            <v>Visual &amp; Performing Arts</v>
          </cell>
          <cell r="C443" t="str">
            <v>3V61   TUXEDO RENTAL</v>
          </cell>
        </row>
        <row r="444">
          <cell r="A444" t="str">
            <v>3V62</v>
          </cell>
          <cell r="B444" t="str">
            <v>Visual &amp; Performing Arts</v>
          </cell>
          <cell r="C444" t="str">
            <v>3V62   COMMUNITY BAND</v>
          </cell>
        </row>
        <row r="445">
          <cell r="A445" t="str">
            <v>3V63</v>
          </cell>
          <cell r="B445" t="str">
            <v>Business, Professional Studies &amp; Workforce Ed</v>
          </cell>
          <cell r="C445" t="str">
            <v>3V63   FEES-ORTHOTICS &amp; PRO</v>
          </cell>
        </row>
        <row r="446">
          <cell r="A446" t="str">
            <v>3V64</v>
          </cell>
          <cell r="B446" t="str">
            <v>Business, Professional Studies &amp; Workforce Ed</v>
          </cell>
          <cell r="C446" t="str">
            <v>3V64   CMPTR LAB-BUSNS</v>
          </cell>
        </row>
        <row r="447">
          <cell r="A447" t="str">
            <v>3V65</v>
          </cell>
          <cell r="B447" t="str">
            <v>Business, Professional Studies &amp; Workforce Ed</v>
          </cell>
          <cell r="C447" t="str">
            <v>3V65   FEES-PHYS THERAPY</v>
          </cell>
        </row>
        <row r="448">
          <cell r="A448" t="str">
            <v>3V66</v>
          </cell>
          <cell r="B448" t="str">
            <v>Computing, Math and Science</v>
          </cell>
          <cell r="C448" t="str">
            <v>3V66   FEES-COMPTR-MATH&amp;SCI</v>
          </cell>
        </row>
        <row r="449">
          <cell r="A449" t="str">
            <v>3V67</v>
          </cell>
          <cell r="B449" t="str">
            <v>Visual &amp; Performing Arts</v>
          </cell>
          <cell r="C449" t="str">
            <v>3V67   FEES-DIGITAL IMAGING(INACTIVE)</v>
          </cell>
        </row>
        <row r="450">
          <cell r="A450" t="str">
            <v>3V68</v>
          </cell>
          <cell r="B450" t="str">
            <v>Business, Professional Studies &amp; Workforce Ed</v>
          </cell>
          <cell r="C450" t="str">
            <v>3V68   FEES-HS INTERPER COM</v>
          </cell>
        </row>
        <row r="451">
          <cell r="A451" t="str">
            <v>3V69</v>
          </cell>
          <cell r="B451" t="str">
            <v>Computing, Math and Science</v>
          </cell>
          <cell r="C451" t="str">
            <v>3V69   FEES-CRC</v>
          </cell>
        </row>
        <row r="452">
          <cell r="A452" t="str">
            <v>3V70</v>
          </cell>
          <cell r="B452" t="str">
            <v>Business, Professional Studies &amp; Workforce Ed</v>
          </cell>
          <cell r="C452" t="str">
            <v>3V70   SP-CHILD CARE LAB</v>
          </cell>
        </row>
        <row r="453">
          <cell r="A453" t="str">
            <v>3V71</v>
          </cell>
          <cell r="B453" t="str">
            <v>Business, Professional Studies &amp; Workforce Ed</v>
          </cell>
          <cell r="C453" t="str">
            <v>3V71   FEES - HOME ECONOMICS</v>
          </cell>
        </row>
        <row r="454">
          <cell r="A454" t="str">
            <v>3V72</v>
          </cell>
          <cell r="B454" t="str">
            <v>Social Science, Philosophy, &amp; Human Svcs</v>
          </cell>
          <cell r="C454" t="str">
            <v>3V72   EARLY CHILDHOOD FEE</v>
          </cell>
        </row>
        <row r="455">
          <cell r="A455" t="str">
            <v>3V73</v>
          </cell>
          <cell r="B455" t="str">
            <v>Social Science, Philosophy, &amp; Human Svcs</v>
          </cell>
          <cell r="C455" t="str">
            <v>3V73   FEES- SOCIAL SERVICES</v>
          </cell>
        </row>
        <row r="456">
          <cell r="A456" t="str">
            <v>3V74</v>
          </cell>
          <cell r="B456" t="str">
            <v>Student Services-Assoc Dean Stu Suc/Couns/Adv</v>
          </cell>
          <cell r="C456" t="str">
            <v>3V74   INTERPRETER SERVICES</v>
          </cell>
        </row>
        <row r="457">
          <cell r="A457" t="str">
            <v>3V75</v>
          </cell>
          <cell r="B457" t="str">
            <v>Social Science, Philosophy, &amp; Human Svcs</v>
          </cell>
          <cell r="C457" t="str">
            <v>3V75   INTERPRETER TRNG FEE</v>
          </cell>
        </row>
        <row r="458">
          <cell r="A458" t="str">
            <v>3V78</v>
          </cell>
          <cell r="B458" t="str">
            <v>Humanities &amp; Academic Intl Ed</v>
          </cell>
          <cell r="C458" t="str">
            <v>3V78   HUMANITIES FEE</v>
          </cell>
        </row>
        <row r="459">
          <cell r="A459" t="str">
            <v>3V79</v>
          </cell>
          <cell r="B459" t="str">
            <v>Humanities &amp; Academic Intl Ed</v>
          </cell>
          <cell r="C459" t="str">
            <v>3V79   HUMANITIES CONCERTS</v>
          </cell>
        </row>
        <row r="460">
          <cell r="A460" t="str">
            <v>3V80</v>
          </cell>
          <cell r="B460" t="str">
            <v>Humanities &amp; Academic Intl Ed</v>
          </cell>
          <cell r="C460" t="str">
            <v>3V80   PULLMAN CTR CLASS FEES</v>
          </cell>
        </row>
        <row r="461">
          <cell r="A461" t="str">
            <v>3V81</v>
          </cell>
          <cell r="B461" t="str">
            <v>Misc Instruction</v>
          </cell>
          <cell r="C461" t="str">
            <v>3V81   DEVELOPMENTAL PROGRM</v>
          </cell>
        </row>
        <row r="462">
          <cell r="A462" t="str">
            <v>3V82</v>
          </cell>
          <cell r="B462" t="str">
            <v>Humanities &amp; Academic Intl Ed</v>
          </cell>
          <cell r="C462" t="str">
            <v>3V82   FEES-FOREIGN LANGUAGE</v>
          </cell>
        </row>
        <row r="463">
          <cell r="A463" t="str">
            <v>3V83</v>
          </cell>
          <cell r="B463" t="str">
            <v>Computing, Math and Science</v>
          </cell>
          <cell r="C463" t="str">
            <v>3V83   PHYSICS FEES</v>
          </cell>
        </row>
        <row r="464">
          <cell r="A464" t="str">
            <v>3V84</v>
          </cell>
          <cell r="B464" t="str">
            <v>Computing, Math and Science</v>
          </cell>
          <cell r="C464" t="str">
            <v>3V84   CHEMISTRY FEES</v>
          </cell>
        </row>
        <row r="465">
          <cell r="A465" t="str">
            <v>3V85</v>
          </cell>
          <cell r="B465" t="str">
            <v>Computing, Math and Science</v>
          </cell>
          <cell r="C465" t="str">
            <v>3V85   GEOLOGY FEES</v>
          </cell>
        </row>
        <row r="466">
          <cell r="A466" t="str">
            <v>3V90</v>
          </cell>
          <cell r="B466" t="str">
            <v>Admin-Local Funds</v>
          </cell>
          <cell r="C466" t="str">
            <v>3V90   CUSTODIAL SRVCS-SFCC</v>
          </cell>
        </row>
        <row r="467">
          <cell r="A467" t="str">
            <v>3V91</v>
          </cell>
          <cell r="B467" t="str">
            <v>Computing, Math and Science</v>
          </cell>
          <cell r="C467" t="str">
            <v>3V91   FACILITY RNTL CMP&amp;SC</v>
          </cell>
        </row>
        <row r="468">
          <cell r="A468" t="str">
            <v>3V92</v>
          </cell>
          <cell r="B468" t="str">
            <v>Social Science, Philosophy, &amp; Human Svcs</v>
          </cell>
          <cell r="C468" t="str">
            <v>3V92   FAC RNTL BLDG 24 SS</v>
          </cell>
        </row>
        <row r="469">
          <cell r="A469" t="str">
            <v>3V93</v>
          </cell>
          <cell r="B469" t="str">
            <v>Business, Professional Studies &amp; Workforce Ed</v>
          </cell>
          <cell r="C469" t="str">
            <v>3V93   FACILITY RNTL HS&amp;PTE</v>
          </cell>
        </row>
        <row r="470">
          <cell r="A470" t="str">
            <v>3V94</v>
          </cell>
          <cell r="B470" t="str">
            <v>Library &amp; Media Distribution Svcs</v>
          </cell>
          <cell r="C470" t="str">
            <v>3V94   FACILITY RNTL LRC</v>
          </cell>
        </row>
        <row r="471">
          <cell r="A471" t="str">
            <v>3V95</v>
          </cell>
          <cell r="B471" t="str">
            <v>Computing, Math and Science</v>
          </cell>
          <cell r="C471" t="str">
            <v>3V95   FAC RNTL BLDG 28-CMS</v>
          </cell>
        </row>
        <row r="472">
          <cell r="A472" t="str">
            <v>3V96</v>
          </cell>
          <cell r="B472" t="str">
            <v>Admin-Local Funds</v>
          </cell>
          <cell r="C472" t="str">
            <v>3V96   FACILITY RNTL ADMIN</v>
          </cell>
        </row>
        <row r="473">
          <cell r="A473" t="str">
            <v>3V97</v>
          </cell>
          <cell r="B473" t="str">
            <v>Visual &amp; Performing Arts</v>
          </cell>
          <cell r="C473" t="str">
            <v>3V97   FACILITY RNTL VIS&amp;PF ARTS</v>
          </cell>
        </row>
        <row r="474">
          <cell r="A474" t="str">
            <v>3V98</v>
          </cell>
          <cell r="B474" t="str">
            <v>Humanities &amp; Academic Intl Ed</v>
          </cell>
          <cell r="C474" t="str">
            <v>3V98   FAC RNTL BLDG 24 NS</v>
          </cell>
        </row>
        <row r="475">
          <cell r="A475" t="str">
            <v>3V99</v>
          </cell>
          <cell r="B475" t="str">
            <v>Visual &amp; Performing Arts</v>
          </cell>
          <cell r="C475" t="str">
            <v>3V99   SPARTAN RENTAL</v>
          </cell>
        </row>
        <row r="476">
          <cell r="A476" t="str">
            <v>3VCC</v>
          </cell>
          <cell r="B476" t="str">
            <v>Student Services-Assoc Dean FA/Stud Empl</v>
          </cell>
          <cell r="C476" t="str">
            <v>3VCC EARLY LRNG CTR (PATTY ALLEN)</v>
          </cell>
        </row>
        <row r="477">
          <cell r="A477" t="str">
            <v>3VD3</v>
          </cell>
          <cell r="B477" t="str">
            <v>Student Services-Assoc Dean FA/Stud Empl</v>
          </cell>
          <cell r="C477" t="str">
            <v>3VD3   VETS REPORTING FEE</v>
          </cell>
        </row>
        <row r="478">
          <cell r="A478" t="str">
            <v>3VET</v>
          </cell>
          <cell r="B478" t="str">
            <v>Student Services-Assoc Dean FA/Stud Empl</v>
          </cell>
          <cell r="C478" t="str">
            <v>3VET   VA TUTORIAL ASSIST</v>
          </cell>
        </row>
        <row r="479">
          <cell r="A479" t="str">
            <v>3W03</v>
          </cell>
          <cell r="B479" t="str">
            <v>Dir Athletics &amp; PE</v>
          </cell>
          <cell r="C479" t="str">
            <v>3W03   S-S ATHLETICS - SFCC</v>
          </cell>
        </row>
        <row r="480">
          <cell r="A480" t="str">
            <v>3W17</v>
          </cell>
          <cell r="B480" t="str">
            <v>International Programs</v>
          </cell>
          <cell r="C480" t="str">
            <v>3W17   STUDY ABOARD - GERMANY</v>
          </cell>
        </row>
        <row r="481">
          <cell r="A481" t="str">
            <v>3W18</v>
          </cell>
          <cell r="B481" t="str">
            <v>International Programs</v>
          </cell>
          <cell r="C481" t="str">
            <v>3W18   STUDY ABOARD - ENGLAND</v>
          </cell>
        </row>
        <row r="482">
          <cell r="A482" t="str">
            <v>3W19</v>
          </cell>
          <cell r="B482" t="str">
            <v>International Programs</v>
          </cell>
          <cell r="C482" t="str">
            <v>3W19  STUDY ABOARD - SPAIN</v>
          </cell>
        </row>
        <row r="483">
          <cell r="A483" t="str">
            <v>3W20</v>
          </cell>
          <cell r="B483" t="str">
            <v>Library &amp; Media Distribution Svcs</v>
          </cell>
          <cell r="C483" t="str">
            <v>3W20   S-S SFCC</v>
          </cell>
        </row>
        <row r="484">
          <cell r="A484" t="str">
            <v>3W21</v>
          </cell>
          <cell r="B484" t="str">
            <v>Social Science, Philosophy, &amp; Human Svcs</v>
          </cell>
          <cell r="C484" t="str">
            <v>3W21   STUDY ABROAD DEVELOPMENT</v>
          </cell>
        </row>
        <row r="485">
          <cell r="A485" t="str">
            <v>3W22</v>
          </cell>
          <cell r="B485" t="str">
            <v>International Programs</v>
          </cell>
          <cell r="C485" t="str">
            <v>3W22   STUDY ABROAD - FRANCE</v>
          </cell>
        </row>
        <row r="486">
          <cell r="A486" t="str">
            <v>3W23</v>
          </cell>
          <cell r="B486" t="str">
            <v>International Programs</v>
          </cell>
          <cell r="C486" t="str">
            <v>3W23   STUDY ABROAD - JAPAN</v>
          </cell>
        </row>
        <row r="487">
          <cell r="A487" t="str">
            <v>3W24</v>
          </cell>
          <cell r="B487" t="str">
            <v>Business, Professional Studies &amp; Workforce Ed</v>
          </cell>
          <cell r="C487" t="str">
            <v>3W24   S-S BUSINESS TECH</v>
          </cell>
        </row>
        <row r="488">
          <cell r="A488" t="str">
            <v>3W25</v>
          </cell>
          <cell r="B488" t="str">
            <v>International Programs</v>
          </cell>
          <cell r="C488" t="str">
            <v>3W25   STUDY ABROAD - TIBET</v>
          </cell>
        </row>
        <row r="489">
          <cell r="A489" t="str">
            <v>3W30</v>
          </cell>
          <cell r="B489" t="str">
            <v>Library &amp; Media Distribution Svcs</v>
          </cell>
          <cell r="C489" t="str">
            <v>3W30   S-S "YOUTH COLLEGE"</v>
          </cell>
        </row>
        <row r="490">
          <cell r="A490" t="str">
            <v>3W50</v>
          </cell>
          <cell r="B490" t="str">
            <v>Misc Instruction</v>
          </cell>
          <cell r="C490" t="str">
            <v>3W50   SS-FIRST YR INTRO</v>
          </cell>
        </row>
        <row r="491">
          <cell r="A491" t="str">
            <v>3W53</v>
          </cell>
          <cell r="B491" t="str">
            <v>Visual &amp; Performing Arts</v>
          </cell>
          <cell r="C491" t="str">
            <v>3W53   SS-COMM BND/ORCH/CHS</v>
          </cell>
        </row>
        <row r="492">
          <cell r="A492" t="str">
            <v>3W56</v>
          </cell>
          <cell r="B492" t="str">
            <v>Visual &amp; Performing Arts</v>
          </cell>
          <cell r="C492" t="str">
            <v>3W56   AUDIO ENG PROG SPT</v>
          </cell>
        </row>
        <row r="493">
          <cell r="A493" t="str">
            <v>3WF0</v>
          </cell>
          <cell r="B493" t="str">
            <v>Student Services-Assoc Dean FA/Stud Empl</v>
          </cell>
          <cell r="C493" t="str">
            <v>3WF0  FEDERAL WORKSTUDY</v>
          </cell>
        </row>
        <row r="494">
          <cell r="A494" t="str">
            <v>3WF1</v>
          </cell>
          <cell r="B494" t="str">
            <v>Student Services-Assoc Dean FA/Stud Empl</v>
          </cell>
          <cell r="C494" t="str">
            <v>3WF1  FEDERAL WORKSTUDY</v>
          </cell>
        </row>
        <row r="495">
          <cell r="A495" t="str">
            <v>3WF2</v>
          </cell>
          <cell r="B495" t="str">
            <v>Student Services-Assoc Dean FA/Stud Empl</v>
          </cell>
          <cell r="C495" t="str">
            <v>3WF2  FEDERAL WORKSTUDY</v>
          </cell>
        </row>
        <row r="496">
          <cell r="A496" t="str">
            <v>3WF3</v>
          </cell>
          <cell r="B496" t="str">
            <v>Student Services-Assoc Dean FA/Stud Empl</v>
          </cell>
          <cell r="C496" t="str">
            <v>3WF3  FEDERAL WORKSTUDY</v>
          </cell>
        </row>
        <row r="497">
          <cell r="A497" t="str">
            <v>3WS0</v>
          </cell>
          <cell r="B497" t="str">
            <v>Student Services-Assoc Dean FA/Stud Empl</v>
          </cell>
          <cell r="C497" t="str">
            <v>3WS0  SFCC WORKSTUDY</v>
          </cell>
        </row>
        <row r="498">
          <cell r="A498" t="str">
            <v>3WS1</v>
          </cell>
          <cell r="B498" t="str">
            <v>Student Services-Assoc Dean FA/Stud Empl</v>
          </cell>
          <cell r="C498" t="str">
            <v>3WS1   SFCC WORKSTUDY</v>
          </cell>
        </row>
        <row r="499">
          <cell r="A499" t="str">
            <v>3WS2</v>
          </cell>
          <cell r="B499" t="str">
            <v>Student Services-Assoc Dean FA/Stud Empl</v>
          </cell>
          <cell r="C499" t="str">
            <v>3WS2   SFCC WORKSTUDY</v>
          </cell>
        </row>
        <row r="500">
          <cell r="A500" t="str">
            <v>3WS3</v>
          </cell>
          <cell r="B500" t="str">
            <v>Student Services-Assoc Dean FA/Stud Empl</v>
          </cell>
          <cell r="C500" t="str">
            <v>3WS3  SFCC WORKSTUDY</v>
          </cell>
        </row>
        <row r="501">
          <cell r="A501" t="str">
            <v>3XA5</v>
          </cell>
          <cell r="B501" t="str">
            <v>Computing, Math and Science</v>
          </cell>
          <cell r="C501" t="str">
            <v>3XA5  CARPENTER ANTS</v>
          </cell>
        </row>
        <row r="502">
          <cell r="A502" t="str">
            <v>3XL4</v>
          </cell>
          <cell r="B502" t="str">
            <v>Admin-Running Start</v>
          </cell>
          <cell r="C502" t="str">
            <v>3XL4   RUNNING STRT-STNT SV</v>
          </cell>
        </row>
        <row r="503">
          <cell r="A503" t="str">
            <v>3XL5</v>
          </cell>
          <cell r="B503" t="str">
            <v>Admin-Running Start</v>
          </cell>
          <cell r="C503" t="str">
            <v>3XL5   RUNNING STRT-IR PROGRAM</v>
          </cell>
        </row>
        <row r="504">
          <cell r="A504" t="str">
            <v>3XO2</v>
          </cell>
          <cell r="B504" t="str">
            <v>Computing, Math and Science</v>
          </cell>
          <cell r="C504" t="str">
            <v>3XO2  WSU-ODOROUS ANTS</v>
          </cell>
        </row>
        <row r="505">
          <cell r="A505" t="str">
            <v>3XR3</v>
          </cell>
          <cell r="B505" t="str">
            <v>Admin-Operating Support/Trfrs</v>
          </cell>
          <cell r="C505" t="str">
            <v>3XR3   SF RUNNING START</v>
          </cell>
        </row>
        <row r="506">
          <cell r="A506" t="str">
            <v>3XV2</v>
          </cell>
          <cell r="B506" t="str">
            <v>Computing, Math and Science</v>
          </cell>
          <cell r="C506" t="str">
            <v>3XV2  WSU-VELVETY/FIRE ANTS</v>
          </cell>
        </row>
        <row r="507">
          <cell r="A507" t="str">
            <v>3XW2</v>
          </cell>
          <cell r="B507" t="str">
            <v>Computing, Math and Science</v>
          </cell>
          <cell r="C507" t="str">
            <v>3XW2  WSCPR-ODOROUS ANTS</v>
          </cell>
        </row>
        <row r="508">
          <cell r="A508" t="str">
            <v>3XX8</v>
          </cell>
          <cell r="B508" t="str">
            <v>Computer Svcs</v>
          </cell>
          <cell r="C508" t="str">
            <v>3XX8   CONTRACTED COMPUTER SPT</v>
          </cell>
        </row>
        <row r="509">
          <cell r="A509" t="str">
            <v>3Y50</v>
          </cell>
          <cell r="B509" t="str">
            <v>Student Services-Institutional Workstudy</v>
          </cell>
          <cell r="C509" t="str">
            <v>3Y50   INSTITUTIONAL WORKSTUDY</v>
          </cell>
        </row>
        <row r="510">
          <cell r="A510" t="str">
            <v>3YD9</v>
          </cell>
          <cell r="B510" t="str">
            <v>Business, Professional Studies &amp; Workforce Ed</v>
          </cell>
          <cell r="C510" t="str">
            <v>3YD9   MICROSOFT TESTING</v>
          </cell>
        </row>
        <row r="511">
          <cell r="A511" t="str">
            <v>3Z96</v>
          </cell>
          <cell r="B511" t="str">
            <v>Special Allocation - Sick Leave Buyout</v>
          </cell>
          <cell r="C511" t="str">
            <v>3Z96   SICK LEAVE BUYOUT</v>
          </cell>
        </row>
        <row r="512">
          <cell r="A512" t="str">
            <v>3ZD1</v>
          </cell>
          <cell r="B512" t="str">
            <v>Student Services-Assoc Dean FA/Stud Empl</v>
          </cell>
          <cell r="C512" t="str">
            <v>3ZD1   SFCC FED/ST FINANCIAL AID</v>
          </cell>
        </row>
        <row r="513">
          <cell r="A513" t="str">
            <v>3ZD2</v>
          </cell>
          <cell r="B513" t="str">
            <v>Student Services-Assoc Dean FA/Stud Empl</v>
          </cell>
          <cell r="C513" t="str">
            <v>3ZD2   SFCC FIN AID ADMIN-FEDERAL</v>
          </cell>
        </row>
        <row r="514">
          <cell r="A514" t="str">
            <v>3ZD3</v>
          </cell>
          <cell r="B514" t="str">
            <v>Student Services-Assoc Dean FA/Stud Empl</v>
          </cell>
          <cell r="C514" t="str">
            <v>3ZD3   SFCC FIN AID ADMIN-STATE</v>
          </cell>
        </row>
        <row r="515">
          <cell r="A515" t="str">
            <v>3ZE1</v>
          </cell>
          <cell r="B515" t="str">
            <v>Admin-Local Funds</v>
          </cell>
          <cell r="C515" t="str">
            <v>3ZE1   SFCC GC OVERHEAD</v>
          </cell>
        </row>
        <row r="516">
          <cell r="A516" t="str">
            <v>3ZE6</v>
          </cell>
          <cell r="B516" t="str">
            <v>Admin-Local Funds</v>
          </cell>
          <cell r="C516" t="str">
            <v>3ZE6   145 INTEREST DISTRBN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Select Division)"/>
      <sheetName val="Summary"/>
      <sheetName val="Sheet3"/>
      <sheetName val="PPBENSUM2E.OCT 06 (2)"/>
      <sheetName val="PPBENSUM2E.OCT 06"/>
      <sheetName val="DX.OTHER.9.30.06 DETAIL"/>
      <sheetName val="DX.OTHER.9.30.06 (3)"/>
      <sheetName val="DX.OTHER.9.30.06 (2)"/>
      <sheetName val="REV NEW ORG INDEXES"/>
      <sheetName val="Sheet1"/>
      <sheetName val="CASSLEDGE.SEPT 06"/>
      <sheetName val="DX.OTHER.9.30.06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SOBJ/SREV</v>
          </cell>
          <cell r="I1" t="str">
            <v>SSOBJ/SSREV</v>
          </cell>
          <cell r="J1" t="str">
            <v>CATEGORY</v>
          </cell>
        </row>
        <row r="2">
          <cell r="H2" t="str">
            <v>AD</v>
          </cell>
          <cell r="I2" t="str">
            <v>01</v>
          </cell>
          <cell r="J2" t="str">
            <v>Exp-Salary &amp; Benefits</v>
          </cell>
        </row>
        <row r="3">
          <cell r="H3" t="str">
            <v>AD</v>
          </cell>
          <cell r="I3" t="str">
            <v>02</v>
          </cell>
          <cell r="J3" t="str">
            <v>Exp-Salary &amp; Benefits</v>
          </cell>
        </row>
        <row r="4">
          <cell r="H4" t="str">
            <v>AD</v>
          </cell>
          <cell r="I4" t="str">
            <v>03</v>
          </cell>
          <cell r="J4" t="str">
            <v>Exp-Salary &amp; Benefits</v>
          </cell>
        </row>
        <row r="5">
          <cell r="H5" t="str">
            <v>AD</v>
          </cell>
          <cell r="I5" t="str">
            <v>05</v>
          </cell>
          <cell r="J5" t="str">
            <v>Exp-Salary &amp; Benefits</v>
          </cell>
        </row>
        <row r="6">
          <cell r="H6" t="str">
            <v>AD</v>
          </cell>
          <cell r="I6" t="str">
            <v>03</v>
          </cell>
          <cell r="J6" t="str">
            <v>Exp-Salary &amp; Benefits</v>
          </cell>
        </row>
        <row r="7">
          <cell r="H7" t="str">
            <v>AD</v>
          </cell>
          <cell r="I7" t="str">
            <v>05</v>
          </cell>
          <cell r="J7" t="str">
            <v>Exp-Salary &amp; Benefits</v>
          </cell>
        </row>
        <row r="8">
          <cell r="H8" t="str">
            <v>AD</v>
          </cell>
          <cell r="I8" t="str">
            <v>05</v>
          </cell>
          <cell r="J8" t="str">
            <v>Exp-Salary &amp; Benefits</v>
          </cell>
        </row>
        <row r="9">
          <cell r="H9" t="str">
            <v>AD</v>
          </cell>
          <cell r="I9" t="str">
            <v>05</v>
          </cell>
          <cell r="J9" t="str">
            <v>Exp-Salary &amp; Benefits</v>
          </cell>
        </row>
        <row r="10">
          <cell r="H10" t="str">
            <v>AD</v>
          </cell>
          <cell r="I10" t="str">
            <v>05</v>
          </cell>
          <cell r="J10" t="str">
            <v>Exp-Salary &amp; Benefits</v>
          </cell>
        </row>
        <row r="11">
          <cell r="H11" t="str">
            <v>AD</v>
          </cell>
          <cell r="I11" t="str">
            <v>05</v>
          </cell>
          <cell r="J11" t="str">
            <v>Exp-Salary &amp; Benefits</v>
          </cell>
        </row>
        <row r="12">
          <cell r="H12" t="str">
            <v>AD</v>
          </cell>
          <cell r="I12" t="str">
            <v>05</v>
          </cell>
          <cell r="J12" t="str">
            <v>Exp-Salary &amp; Benefits</v>
          </cell>
        </row>
        <row r="13">
          <cell r="H13" t="str">
            <v>AD</v>
          </cell>
          <cell r="I13" t="str">
            <v>05</v>
          </cell>
          <cell r="J13" t="str">
            <v>Exp-Salary &amp; Benefits</v>
          </cell>
        </row>
        <row r="14">
          <cell r="H14" t="str">
            <v>AD</v>
          </cell>
          <cell r="I14" t="str">
            <v>05</v>
          </cell>
          <cell r="J14" t="str">
            <v>Exp-Salary &amp; Benefits</v>
          </cell>
        </row>
        <row r="15">
          <cell r="H15" t="str">
            <v>AD</v>
          </cell>
          <cell r="I15" t="str">
            <v>05</v>
          </cell>
          <cell r="J15" t="str">
            <v>Exp-Salary &amp; Benefits</v>
          </cell>
        </row>
        <row r="16">
          <cell r="H16" t="str">
            <v>AD</v>
          </cell>
          <cell r="I16" t="str">
            <v>05</v>
          </cell>
          <cell r="J16" t="str">
            <v>Exp-Salary &amp; Benefits</v>
          </cell>
        </row>
        <row r="17">
          <cell r="H17" t="str">
            <v>AD</v>
          </cell>
          <cell r="I17" t="str">
            <v>05</v>
          </cell>
          <cell r="J17" t="str">
            <v>Exp-Salary &amp; Benefits</v>
          </cell>
        </row>
        <row r="18">
          <cell r="H18" t="str">
            <v>AD</v>
          </cell>
          <cell r="I18" t="str">
            <v>05</v>
          </cell>
          <cell r="J18" t="str">
            <v>Exp-Salary &amp; Benefits</v>
          </cell>
        </row>
        <row r="19">
          <cell r="H19" t="str">
            <v>AD</v>
          </cell>
          <cell r="I19" t="str">
            <v>05</v>
          </cell>
          <cell r="J19" t="str">
            <v>Exp-Salary &amp; Benefits</v>
          </cell>
        </row>
        <row r="20">
          <cell r="H20" t="str">
            <v>AD</v>
          </cell>
          <cell r="I20" t="str">
            <v>05</v>
          </cell>
          <cell r="J20" t="str">
            <v>Exp-Salary &amp; Benefits</v>
          </cell>
        </row>
        <row r="21">
          <cell r="H21" t="str">
            <v>AD</v>
          </cell>
          <cell r="I21" t="str">
            <v>05</v>
          </cell>
          <cell r="J21" t="str">
            <v>Exp-Salary &amp; Benefits</v>
          </cell>
        </row>
        <row r="22">
          <cell r="H22" t="str">
            <v>AD</v>
          </cell>
          <cell r="I22" t="str">
            <v>05</v>
          </cell>
          <cell r="J22" t="str">
            <v>Exp-Salary &amp; Benefits</v>
          </cell>
        </row>
        <row r="23">
          <cell r="H23" t="str">
            <v>AD</v>
          </cell>
          <cell r="I23" t="str">
            <v>05</v>
          </cell>
          <cell r="J23" t="str">
            <v>Exp-Salary &amp; Benefits</v>
          </cell>
        </row>
        <row r="24">
          <cell r="H24" t="str">
            <v>AD</v>
          </cell>
          <cell r="I24" t="str">
            <v>05</v>
          </cell>
          <cell r="J24" t="str">
            <v>Exp-Salary &amp; Benefits</v>
          </cell>
        </row>
        <row r="25">
          <cell r="H25" t="str">
            <v>AD</v>
          </cell>
          <cell r="I25" t="str">
            <v>05</v>
          </cell>
          <cell r="J25" t="str">
            <v>Exp-Salary &amp; Benefits</v>
          </cell>
        </row>
        <row r="26">
          <cell r="H26" t="str">
            <v>AE</v>
          </cell>
          <cell r="I26" t="str">
            <v>06</v>
          </cell>
          <cell r="J26" t="str">
            <v>Exp-Salary &amp; Benefits</v>
          </cell>
        </row>
        <row r="27">
          <cell r="H27" t="str">
            <v>AE</v>
          </cell>
          <cell r="I27" t="str">
            <v>12</v>
          </cell>
          <cell r="J27" t="str">
            <v>Exp-Salary &amp; Benefits</v>
          </cell>
        </row>
        <row r="28">
          <cell r="H28" t="str">
            <v>AE</v>
          </cell>
          <cell r="I28" t="str">
            <v>01</v>
          </cell>
          <cell r="J28" t="str">
            <v>Exp-Salary &amp; Benefits</v>
          </cell>
        </row>
        <row r="29">
          <cell r="H29" t="str">
            <v>AE</v>
          </cell>
          <cell r="I29" t="str">
            <v>12</v>
          </cell>
          <cell r="J29" t="str">
            <v>Exp-Salary &amp; Benefits</v>
          </cell>
        </row>
        <row r="30">
          <cell r="H30" t="str">
            <v>AE</v>
          </cell>
          <cell r="I30" t="str">
            <v>16</v>
          </cell>
          <cell r="J30" t="str">
            <v>Exp-Salary &amp; Benefits</v>
          </cell>
        </row>
        <row r="31">
          <cell r="H31" t="str">
            <v>AE</v>
          </cell>
          <cell r="I31" t="str">
            <v>01</v>
          </cell>
          <cell r="J31" t="str">
            <v>Exp-Salary &amp; Benefits</v>
          </cell>
        </row>
        <row r="32">
          <cell r="H32" t="str">
            <v>AE</v>
          </cell>
          <cell r="I32" t="str">
            <v>02</v>
          </cell>
          <cell r="J32" t="str">
            <v>Exp-Salary &amp; Benefits</v>
          </cell>
        </row>
        <row r="33">
          <cell r="H33" t="str">
            <v>AE</v>
          </cell>
          <cell r="I33" t="str">
            <v>03</v>
          </cell>
          <cell r="J33" t="str">
            <v>Exp-Salary &amp; Benefits</v>
          </cell>
        </row>
        <row r="34">
          <cell r="H34" t="str">
            <v>AE</v>
          </cell>
          <cell r="I34" t="str">
            <v>04</v>
          </cell>
          <cell r="J34" t="str">
            <v>Exp-Salary &amp; Benefits</v>
          </cell>
        </row>
        <row r="35">
          <cell r="H35" t="str">
            <v>AE</v>
          </cell>
          <cell r="I35" t="str">
            <v>01</v>
          </cell>
          <cell r="J35" t="str">
            <v>Exp-Salary &amp; Benefits</v>
          </cell>
        </row>
        <row r="36">
          <cell r="H36" t="str">
            <v>AE</v>
          </cell>
          <cell r="I36" t="str">
            <v>CA</v>
          </cell>
          <cell r="J36" t="str">
            <v>Exp-Salary &amp; Benefits</v>
          </cell>
        </row>
        <row r="37">
          <cell r="H37" t="str">
            <v>AE</v>
          </cell>
          <cell r="I37" t="str">
            <v>CA</v>
          </cell>
          <cell r="J37" t="str">
            <v>Exp-Salary &amp; Benefits</v>
          </cell>
        </row>
        <row r="38">
          <cell r="H38" t="str">
            <v>AE</v>
          </cell>
          <cell r="I38" t="str">
            <v>MP</v>
          </cell>
          <cell r="J38" t="str">
            <v>Exp-Salary &amp; Benefits</v>
          </cell>
        </row>
        <row r="39">
          <cell r="H39" t="str">
            <v>AG</v>
          </cell>
          <cell r="I39" t="str">
            <v>01</v>
          </cell>
          <cell r="J39" t="str">
            <v>Exp-Salary &amp; Benefits</v>
          </cell>
        </row>
        <row r="40">
          <cell r="H40" t="str">
            <v>AG</v>
          </cell>
          <cell r="I40" t="str">
            <v>I</v>
          </cell>
          <cell r="J40" t="str">
            <v>Exp-Salary &amp; Benefits</v>
          </cell>
        </row>
        <row r="41">
          <cell r="H41" t="str">
            <v>AH</v>
          </cell>
          <cell r="I41" t="str">
            <v>04</v>
          </cell>
          <cell r="J41" t="str">
            <v>Exp-Salary &amp; Benefits</v>
          </cell>
        </row>
        <row r="42">
          <cell r="H42" t="str">
            <v>AH</v>
          </cell>
          <cell r="I42" t="str">
            <v>01</v>
          </cell>
          <cell r="J42" t="str">
            <v>Exp-Salary &amp; Benefits</v>
          </cell>
        </row>
        <row r="43">
          <cell r="H43" t="str">
            <v>AH</v>
          </cell>
          <cell r="I43" t="str">
            <v>04</v>
          </cell>
          <cell r="J43" t="str">
            <v>Exp-Salary &amp; Benefits</v>
          </cell>
        </row>
        <row r="44">
          <cell r="H44" t="str">
            <v>AH</v>
          </cell>
          <cell r="I44" t="str">
            <v>C1</v>
          </cell>
          <cell r="J44" t="str">
            <v>Exp-Salary &amp; Benefits</v>
          </cell>
        </row>
        <row r="45">
          <cell r="H45" t="str">
            <v>AH</v>
          </cell>
          <cell r="I45" t="str">
            <v>C3</v>
          </cell>
          <cell r="J45" t="str">
            <v>Exp-Salary &amp; Benefits</v>
          </cell>
        </row>
        <row r="46">
          <cell r="H46" t="str">
            <v>AH</v>
          </cell>
          <cell r="I46" t="str">
            <v>C1</v>
          </cell>
          <cell r="J46" t="str">
            <v>Exp-Salary &amp; Benefits</v>
          </cell>
        </row>
        <row r="47">
          <cell r="H47" t="str">
            <v>AH</v>
          </cell>
          <cell r="I47" t="str">
            <v>C2</v>
          </cell>
          <cell r="J47" t="str">
            <v>Exp-Salary &amp; Benefits</v>
          </cell>
        </row>
        <row r="48">
          <cell r="H48" t="str">
            <v>AH</v>
          </cell>
          <cell r="I48" t="str">
            <v>C3</v>
          </cell>
          <cell r="J48" t="str">
            <v>Exp-Salary &amp; Benefits</v>
          </cell>
        </row>
        <row r="49">
          <cell r="H49" t="str">
            <v>AH</v>
          </cell>
          <cell r="I49" t="str">
            <v>C4</v>
          </cell>
          <cell r="J49" t="str">
            <v>Exp-Salary &amp; Benefits</v>
          </cell>
        </row>
        <row r="50">
          <cell r="H50" t="str">
            <v>AH</v>
          </cell>
          <cell r="I50" t="str">
            <v>01</v>
          </cell>
          <cell r="J50" t="str">
            <v>Exp-Salary &amp; Benefits</v>
          </cell>
        </row>
        <row r="51">
          <cell r="H51" t="str">
            <v>AH</v>
          </cell>
          <cell r="I51" t="str">
            <v>03</v>
          </cell>
          <cell r="J51" t="str">
            <v>Exp-Salary &amp; Benefits</v>
          </cell>
        </row>
        <row r="52">
          <cell r="H52" t="str">
            <v>AH</v>
          </cell>
          <cell r="I52" t="str">
            <v>C3</v>
          </cell>
          <cell r="J52" t="str">
            <v>Exp-Salary &amp; Benefits</v>
          </cell>
        </row>
        <row r="53">
          <cell r="H53" t="str">
            <v>AH</v>
          </cell>
          <cell r="I53" t="str">
            <v>02</v>
          </cell>
          <cell r="J53" t="str">
            <v>Exp-Salary &amp; Benefits</v>
          </cell>
        </row>
        <row r="54">
          <cell r="H54" t="str">
            <v>AH</v>
          </cell>
          <cell r="I54" t="str">
            <v>03</v>
          </cell>
          <cell r="J54" t="str">
            <v>Exp-Salary &amp; Benefits</v>
          </cell>
        </row>
        <row r="55">
          <cell r="H55" t="str">
            <v>AH</v>
          </cell>
          <cell r="I55" t="str">
            <v>03</v>
          </cell>
          <cell r="J55" t="str">
            <v>Exp-Salary &amp; Benefits</v>
          </cell>
        </row>
        <row r="56">
          <cell r="H56" t="str">
            <v>AH</v>
          </cell>
          <cell r="I56" t="str">
            <v>03</v>
          </cell>
          <cell r="J56" t="str">
            <v>Exp-Salary &amp; Benefits</v>
          </cell>
        </row>
        <row r="57">
          <cell r="H57" t="str">
            <v>AH</v>
          </cell>
          <cell r="I57" t="str">
            <v>A</v>
          </cell>
          <cell r="J57" t="str">
            <v>Exp-Salary &amp; Benefits</v>
          </cell>
        </row>
        <row r="58">
          <cell r="H58" t="str">
            <v>AH</v>
          </cell>
          <cell r="I58" t="str">
            <v>01</v>
          </cell>
          <cell r="J58" t="str">
            <v>Exp-Salary &amp; Benefits</v>
          </cell>
        </row>
        <row r="59">
          <cell r="H59" t="str">
            <v>AH</v>
          </cell>
          <cell r="I59" t="str">
            <v>03</v>
          </cell>
          <cell r="J59" t="str">
            <v>Exp-Salary &amp; Benefits</v>
          </cell>
        </row>
        <row r="60">
          <cell r="H60" t="str">
            <v>AH</v>
          </cell>
          <cell r="I60" t="str">
            <v>01</v>
          </cell>
          <cell r="J60" t="str">
            <v>Exp-Salary &amp; Benefits</v>
          </cell>
        </row>
        <row r="61">
          <cell r="H61" t="str">
            <v>AH</v>
          </cell>
          <cell r="I61" t="str">
            <v>02</v>
          </cell>
          <cell r="J61" t="str">
            <v>Exp-Salary &amp; Benefits</v>
          </cell>
        </row>
        <row r="62">
          <cell r="H62" t="str">
            <v>AH</v>
          </cell>
          <cell r="I62" t="str">
            <v>03</v>
          </cell>
          <cell r="J62" t="str">
            <v>Exp-Salary &amp; Benefits</v>
          </cell>
        </row>
        <row r="63">
          <cell r="H63" t="str">
            <v>AH</v>
          </cell>
          <cell r="I63" t="str">
            <v>03</v>
          </cell>
          <cell r="J63" t="str">
            <v>Exp-Salary &amp; Benefits</v>
          </cell>
        </row>
        <row r="64">
          <cell r="H64" t="str">
            <v>AH</v>
          </cell>
          <cell r="I64" t="str">
            <v>01</v>
          </cell>
          <cell r="J64" t="str">
            <v>Exp-Salary &amp; Benefits</v>
          </cell>
        </row>
        <row r="65">
          <cell r="H65" t="str">
            <v>AH</v>
          </cell>
          <cell r="I65" t="str">
            <v>03</v>
          </cell>
          <cell r="J65" t="str">
            <v>Exp-Salary &amp; Benefits</v>
          </cell>
        </row>
        <row r="66">
          <cell r="H66" t="str">
            <v>AH</v>
          </cell>
          <cell r="I66" t="str">
            <v>03</v>
          </cell>
          <cell r="J66" t="str">
            <v>Exp-Salary &amp; Benefits</v>
          </cell>
        </row>
        <row r="67">
          <cell r="H67" t="str">
            <v>AK</v>
          </cell>
          <cell r="I67" t="str">
            <v>01</v>
          </cell>
          <cell r="J67" t="str">
            <v>Exp-Salary &amp; Benefits</v>
          </cell>
        </row>
        <row r="68">
          <cell r="H68" t="str">
            <v>AK</v>
          </cell>
          <cell r="I68" t="str">
            <v>01</v>
          </cell>
          <cell r="J68" t="str">
            <v>Exp-Salary &amp; Benefits</v>
          </cell>
        </row>
        <row r="69">
          <cell r="H69" t="str">
            <v>AK</v>
          </cell>
          <cell r="I69" t="str">
            <v>01</v>
          </cell>
          <cell r="J69" t="str">
            <v>Exp-Salary &amp; Benefits</v>
          </cell>
        </row>
        <row r="70">
          <cell r="H70" t="str">
            <v>AK</v>
          </cell>
          <cell r="I70" t="str">
            <v>05</v>
          </cell>
          <cell r="J70" t="str">
            <v>Exp-Salary &amp; Benefits</v>
          </cell>
        </row>
        <row r="71">
          <cell r="H71" t="str">
            <v>AK</v>
          </cell>
          <cell r="I71" t="str">
            <v>01</v>
          </cell>
          <cell r="J71" t="str">
            <v>Exp-Salary &amp; Benefits</v>
          </cell>
        </row>
        <row r="72">
          <cell r="H72" t="str">
            <v>AK</v>
          </cell>
          <cell r="I72" t="str">
            <v>50</v>
          </cell>
          <cell r="J72" t="str">
            <v>Exp-Salary &amp; Benefits</v>
          </cell>
        </row>
        <row r="73">
          <cell r="H73" t="str">
            <v>AK</v>
          </cell>
          <cell r="I73" t="str">
            <v>01</v>
          </cell>
          <cell r="J73" t="str">
            <v>Exp-Salary &amp; Benefits</v>
          </cell>
        </row>
        <row r="74">
          <cell r="H74" t="str">
            <v>AK</v>
          </cell>
          <cell r="I74" t="str">
            <v>01</v>
          </cell>
          <cell r="J74" t="str">
            <v>Exp-Salary &amp; Benefits</v>
          </cell>
        </row>
        <row r="75">
          <cell r="H75" t="str">
            <v>AM</v>
          </cell>
          <cell r="I75" t="str">
            <v>01</v>
          </cell>
          <cell r="J75" t="str">
            <v>Exp-Salary &amp; Benefits</v>
          </cell>
        </row>
        <row r="76">
          <cell r="H76" t="str">
            <v>AM</v>
          </cell>
          <cell r="I76" t="str">
            <v>01</v>
          </cell>
          <cell r="J76" t="str">
            <v>Exp-Salary &amp; Benefits</v>
          </cell>
        </row>
        <row r="77">
          <cell r="H77" t="str">
            <v>AM</v>
          </cell>
          <cell r="I77" t="str">
            <v>01</v>
          </cell>
          <cell r="J77" t="str">
            <v>Exp-Salary &amp; Benefits</v>
          </cell>
        </row>
        <row r="78">
          <cell r="H78" t="str">
            <v>AM</v>
          </cell>
          <cell r="I78" t="str">
            <v>01</v>
          </cell>
          <cell r="J78" t="str">
            <v>Exp-Salary &amp; Benefits</v>
          </cell>
        </row>
        <row r="79">
          <cell r="H79" t="str">
            <v>AM</v>
          </cell>
          <cell r="I79" t="str">
            <v>01</v>
          </cell>
          <cell r="J79" t="str">
            <v>Exp-Salary &amp; Benefits</v>
          </cell>
        </row>
        <row r="80">
          <cell r="H80" t="str">
            <v>AM</v>
          </cell>
          <cell r="I80" t="str">
            <v>01</v>
          </cell>
          <cell r="J80" t="str">
            <v>Exp-Salary &amp; Benefits</v>
          </cell>
        </row>
        <row r="81">
          <cell r="H81" t="str">
            <v>AM</v>
          </cell>
          <cell r="I81" t="str">
            <v>01</v>
          </cell>
          <cell r="J81" t="str">
            <v>Exp-Salary &amp; Benefits</v>
          </cell>
        </row>
        <row r="82">
          <cell r="H82" t="str">
            <v>AP</v>
          </cell>
          <cell r="I82" t="str">
            <v>01</v>
          </cell>
          <cell r="J82" t="str">
            <v>Exp-Salary &amp; Benefits</v>
          </cell>
        </row>
        <row r="83">
          <cell r="H83" t="str">
            <v>AP</v>
          </cell>
          <cell r="I83" t="str">
            <v>01</v>
          </cell>
          <cell r="J83" t="str">
            <v>Exp-Salary &amp; Benefits</v>
          </cell>
        </row>
        <row r="84">
          <cell r="H84" t="str">
            <v>AP</v>
          </cell>
          <cell r="I84" t="str">
            <v>01</v>
          </cell>
          <cell r="J84" t="str">
            <v>Exp-Salary &amp; Benefits</v>
          </cell>
        </row>
        <row r="85">
          <cell r="H85" t="str">
            <v>AP</v>
          </cell>
          <cell r="I85" t="str">
            <v>01</v>
          </cell>
          <cell r="J85" t="str">
            <v>Exp-Salary &amp; Benefits</v>
          </cell>
        </row>
        <row r="86">
          <cell r="H86" t="str">
            <v>AP</v>
          </cell>
          <cell r="I86" t="str">
            <v>01</v>
          </cell>
          <cell r="J86" t="str">
            <v>Exp-Salary &amp; Benefits</v>
          </cell>
        </row>
        <row r="87">
          <cell r="H87" t="str">
            <v>AP</v>
          </cell>
          <cell r="I87" t="str">
            <v>01</v>
          </cell>
          <cell r="J87" t="str">
            <v>Exp-Salary &amp; Benefits</v>
          </cell>
        </row>
        <row r="88">
          <cell r="H88" t="str">
            <v>AU</v>
          </cell>
          <cell r="I88" t="str">
            <v>01</v>
          </cell>
          <cell r="J88" t="str">
            <v>Exp-Salary &amp; Benefits</v>
          </cell>
        </row>
        <row r="89">
          <cell r="H89" t="str">
            <v>AU</v>
          </cell>
          <cell r="I89" t="str">
            <v>01</v>
          </cell>
          <cell r="J89" t="str">
            <v>Exp-Salary &amp; Benefits</v>
          </cell>
        </row>
        <row r="90">
          <cell r="H90" t="str">
            <v>AU</v>
          </cell>
          <cell r="I90" t="str">
            <v>03</v>
          </cell>
          <cell r="J90" t="str">
            <v>Exp-Salary &amp; Benefits</v>
          </cell>
        </row>
        <row r="91">
          <cell r="H91" t="str">
            <v>AU</v>
          </cell>
          <cell r="I91" t="str">
            <v>05</v>
          </cell>
          <cell r="J91" t="str">
            <v>Exp-Salary &amp; Benefits</v>
          </cell>
        </row>
        <row r="92">
          <cell r="H92" t="str">
            <v>AU</v>
          </cell>
          <cell r="I92" t="str">
            <v>19</v>
          </cell>
          <cell r="J92" t="str">
            <v>Exp-Salary &amp; Benefits</v>
          </cell>
        </row>
        <row r="93">
          <cell r="H93" t="str">
            <v>AU</v>
          </cell>
          <cell r="I93" t="str">
            <v>50</v>
          </cell>
          <cell r="J93" t="str">
            <v>Exp-Salary &amp; Benefits</v>
          </cell>
        </row>
        <row r="94">
          <cell r="H94" t="str">
            <v>AU</v>
          </cell>
          <cell r="I94" t="str">
            <v>60</v>
          </cell>
          <cell r="J94" t="str">
            <v>Exp-Salary &amp; Benefits</v>
          </cell>
        </row>
        <row r="95">
          <cell r="H95" t="str">
            <v>AU</v>
          </cell>
          <cell r="I95" t="str">
            <v>01</v>
          </cell>
          <cell r="J95" t="str">
            <v>Exp-Salary &amp; Benefits</v>
          </cell>
        </row>
        <row r="96">
          <cell r="H96" t="str">
            <v>AU</v>
          </cell>
          <cell r="I96" t="str">
            <v>01</v>
          </cell>
          <cell r="J96" t="str">
            <v>Exp-Salary &amp; Benefits</v>
          </cell>
        </row>
        <row r="97">
          <cell r="H97" t="str">
            <v>AU</v>
          </cell>
          <cell r="I97" t="str">
            <v>01</v>
          </cell>
          <cell r="J97" t="str">
            <v>Exp-Salary &amp; Benefits</v>
          </cell>
        </row>
        <row r="98">
          <cell r="H98" t="str">
            <v>AU</v>
          </cell>
          <cell r="I98" t="str">
            <v>05</v>
          </cell>
          <cell r="J98" t="str">
            <v>Exp-Salary &amp; Benefits</v>
          </cell>
        </row>
        <row r="99">
          <cell r="H99" t="str">
            <v>AU</v>
          </cell>
          <cell r="I99" t="str">
            <v>01</v>
          </cell>
          <cell r="J99" t="str">
            <v>Exp-Salary &amp; Benefits</v>
          </cell>
        </row>
        <row r="100">
          <cell r="H100" t="str">
            <v>AU</v>
          </cell>
          <cell r="I100" t="str">
            <v>01</v>
          </cell>
          <cell r="J100" t="str">
            <v>Exp-Salary &amp; Benefits</v>
          </cell>
        </row>
        <row r="101">
          <cell r="H101" t="str">
            <v>AU</v>
          </cell>
          <cell r="I101" t="str">
            <v>01</v>
          </cell>
          <cell r="J101" t="str">
            <v>Exp-Salary &amp; Benefits</v>
          </cell>
        </row>
        <row r="102">
          <cell r="H102" t="str">
            <v>AU</v>
          </cell>
          <cell r="I102" t="str">
            <v>05</v>
          </cell>
          <cell r="J102" t="str">
            <v>Exp-Salary &amp; Benefits</v>
          </cell>
        </row>
        <row r="103">
          <cell r="H103" t="str">
            <v>B</v>
          </cell>
          <cell r="J103" t="str">
            <v>Exp-Salary &amp; Benefits</v>
          </cell>
        </row>
        <row r="104">
          <cell r="H104" t="str">
            <v>B</v>
          </cell>
          <cell r="J104" t="str">
            <v>Exp-Salary &amp; Benefits</v>
          </cell>
        </row>
        <row r="105">
          <cell r="H105" t="str">
            <v>B</v>
          </cell>
          <cell r="J105" t="str">
            <v>Exp-Salary &amp; Benefits</v>
          </cell>
        </row>
        <row r="106">
          <cell r="H106" t="str">
            <v>B</v>
          </cell>
          <cell r="J106" t="str">
            <v>Exp-Salary &amp; Benefits</v>
          </cell>
        </row>
        <row r="107">
          <cell r="H107" t="str">
            <v>B</v>
          </cell>
          <cell r="J107" t="str">
            <v>Exp-Salary &amp; Benefits</v>
          </cell>
        </row>
        <row r="108">
          <cell r="H108" t="str">
            <v>B</v>
          </cell>
          <cell r="J108" t="str">
            <v>Exp-Salary &amp; Benefits</v>
          </cell>
        </row>
        <row r="109">
          <cell r="H109" t="str">
            <v>B</v>
          </cell>
          <cell r="J109" t="str">
            <v>Exp-Salary &amp; Benefits</v>
          </cell>
        </row>
        <row r="110">
          <cell r="H110" t="str">
            <v>B</v>
          </cell>
          <cell r="J110" t="str">
            <v>Exp-Salary &amp; Benefits</v>
          </cell>
        </row>
        <row r="111">
          <cell r="H111" t="str">
            <v>B</v>
          </cell>
          <cell r="J111" t="str">
            <v>Exp-Salary &amp; Benefits</v>
          </cell>
        </row>
        <row r="112">
          <cell r="H112" t="str">
            <v>B</v>
          </cell>
          <cell r="J112" t="str">
            <v>Exp-Salary &amp; Benefits</v>
          </cell>
        </row>
        <row r="113">
          <cell r="H113" t="str">
            <v>B</v>
          </cell>
          <cell r="J113" t="str">
            <v>Exp-Salary &amp; Benefits</v>
          </cell>
        </row>
        <row r="114">
          <cell r="H114" t="str">
            <v>B</v>
          </cell>
          <cell r="J114" t="str">
            <v>Exp-Salary &amp; Benefits</v>
          </cell>
        </row>
        <row r="115">
          <cell r="H115" t="str">
            <v>B</v>
          </cell>
          <cell r="J115" t="str">
            <v>Exp-Salary &amp; Benefits</v>
          </cell>
        </row>
        <row r="116">
          <cell r="H116" t="str">
            <v>B</v>
          </cell>
          <cell r="J116" t="str">
            <v>Exp-Salary &amp; Benefits</v>
          </cell>
        </row>
        <row r="117">
          <cell r="H117" t="str">
            <v>B</v>
          </cell>
          <cell r="J117" t="str">
            <v>Exp-Salary &amp; Benefits</v>
          </cell>
        </row>
        <row r="118">
          <cell r="H118" t="str">
            <v>B</v>
          </cell>
          <cell r="J118" t="str">
            <v>Exp-Salary &amp; Benefits</v>
          </cell>
        </row>
        <row r="119">
          <cell r="H119" t="str">
            <v>B</v>
          </cell>
          <cell r="J119" t="str">
            <v>Exp-Salary &amp; Benefits</v>
          </cell>
        </row>
        <row r="120">
          <cell r="H120" t="str">
            <v>B</v>
          </cell>
          <cell r="J120" t="str">
            <v>Exp-Salary &amp; Benefits</v>
          </cell>
        </row>
        <row r="121">
          <cell r="H121" t="str">
            <v>B</v>
          </cell>
          <cell r="J121" t="str">
            <v>Exp-Salary &amp; Benefits</v>
          </cell>
        </row>
        <row r="122">
          <cell r="H122" t="str">
            <v>B</v>
          </cell>
          <cell r="J122" t="str">
            <v>Exp-Salary &amp; Benefits</v>
          </cell>
        </row>
        <row r="123">
          <cell r="H123" t="str">
            <v>B</v>
          </cell>
          <cell r="J123" t="str">
            <v>Exp-Salary &amp; Benefits</v>
          </cell>
        </row>
        <row r="124">
          <cell r="H124" t="str">
            <v>B</v>
          </cell>
          <cell r="J124" t="str">
            <v>Exp-Salary &amp; Benefits</v>
          </cell>
        </row>
        <row r="125">
          <cell r="H125" t="str">
            <v>B</v>
          </cell>
          <cell r="J125" t="str">
            <v>Exp-Salary &amp; Benefits</v>
          </cell>
        </row>
        <row r="126">
          <cell r="H126" t="str">
            <v>B</v>
          </cell>
          <cell r="J126" t="str">
            <v>Exp-Salary &amp; Benefits</v>
          </cell>
        </row>
        <row r="127">
          <cell r="H127" t="str">
            <v>B</v>
          </cell>
          <cell r="J127" t="str">
            <v>Exp-Salary &amp; Benefits</v>
          </cell>
        </row>
        <row r="128">
          <cell r="H128" t="str">
            <v>B</v>
          </cell>
          <cell r="J128" t="str">
            <v>Exp-Salary &amp; Benefits</v>
          </cell>
        </row>
        <row r="129">
          <cell r="H129" t="str">
            <v>B</v>
          </cell>
          <cell r="J129" t="str">
            <v>Exp-Salary &amp; Benefits</v>
          </cell>
        </row>
        <row r="130">
          <cell r="H130" t="str">
            <v>B</v>
          </cell>
          <cell r="J130" t="str">
            <v>Exp-Salary &amp; Benefits</v>
          </cell>
        </row>
        <row r="131">
          <cell r="H131" t="str">
            <v>B</v>
          </cell>
          <cell r="J131" t="str">
            <v>Exp-Salary &amp; Benefits</v>
          </cell>
        </row>
        <row r="132">
          <cell r="H132" t="str">
            <v>B</v>
          </cell>
          <cell r="J132" t="str">
            <v>Exp-Salary &amp; Benefits</v>
          </cell>
        </row>
        <row r="133">
          <cell r="H133" t="str">
            <v>B</v>
          </cell>
          <cell r="J133" t="str">
            <v>Exp-Salary &amp; Benefits</v>
          </cell>
        </row>
        <row r="134">
          <cell r="H134" t="str">
            <v>B</v>
          </cell>
          <cell r="J134" t="str">
            <v>Exp-Salary &amp; Benefits</v>
          </cell>
        </row>
        <row r="135">
          <cell r="H135" t="str">
            <v>B</v>
          </cell>
          <cell r="J135" t="str">
            <v>Exp-Salary &amp; Benefits</v>
          </cell>
        </row>
        <row r="136">
          <cell r="H136" t="str">
            <v>B</v>
          </cell>
          <cell r="J136" t="str">
            <v>Exp-Salary &amp; Benefits</v>
          </cell>
        </row>
        <row r="137">
          <cell r="H137" t="str">
            <v>B</v>
          </cell>
          <cell r="J137" t="str">
            <v>Exp-Salary &amp; Benefits</v>
          </cell>
        </row>
        <row r="138">
          <cell r="H138" t="str">
            <v>B</v>
          </cell>
          <cell r="J138" t="str">
            <v>Exp-Salary &amp; Benefits</v>
          </cell>
        </row>
        <row r="139">
          <cell r="H139" t="str">
            <v>B</v>
          </cell>
          <cell r="J139" t="str">
            <v>Exp-Salary &amp; Benefits</v>
          </cell>
        </row>
        <row r="140">
          <cell r="H140" t="str">
            <v>B</v>
          </cell>
          <cell r="J140" t="str">
            <v>Exp-Salary &amp; Benefits</v>
          </cell>
        </row>
        <row r="141">
          <cell r="H141" t="str">
            <v>BA</v>
          </cell>
          <cell r="J141" t="str">
            <v>Exp-Salary &amp; Benefits</v>
          </cell>
        </row>
        <row r="142">
          <cell r="H142" t="str">
            <v>BA</v>
          </cell>
          <cell r="J142" t="str">
            <v>Exp-Salary &amp; Benefits</v>
          </cell>
        </row>
        <row r="143">
          <cell r="H143" t="str">
            <v>BA</v>
          </cell>
          <cell r="J143" t="str">
            <v>Exp-Salary &amp; Benefits</v>
          </cell>
        </row>
        <row r="144">
          <cell r="H144" t="str">
            <v>BA</v>
          </cell>
          <cell r="J144" t="str">
            <v>Exp-Salary &amp; Benefits</v>
          </cell>
        </row>
        <row r="145">
          <cell r="H145" t="str">
            <v>BA</v>
          </cell>
          <cell r="J145" t="str">
            <v>Exp-Salary &amp; Benefits</v>
          </cell>
        </row>
        <row r="146">
          <cell r="H146" t="str">
            <v>BA</v>
          </cell>
          <cell r="J146" t="str">
            <v>Exp-Salary &amp; Benefits</v>
          </cell>
        </row>
        <row r="147">
          <cell r="H147" t="str">
            <v>BA</v>
          </cell>
          <cell r="J147" t="str">
            <v>Exp-Salary &amp; Benefits</v>
          </cell>
        </row>
        <row r="148">
          <cell r="H148" t="str">
            <v>BA</v>
          </cell>
          <cell r="J148" t="str">
            <v>Exp-Salary &amp; Benefits</v>
          </cell>
        </row>
        <row r="149">
          <cell r="H149" t="str">
            <v>BA</v>
          </cell>
          <cell r="J149" t="str">
            <v>Exp-Salary &amp; Benefits</v>
          </cell>
        </row>
        <row r="150">
          <cell r="H150" t="str">
            <v>BA</v>
          </cell>
          <cell r="J150" t="str">
            <v>Exp-Salary &amp; Benefits</v>
          </cell>
        </row>
        <row r="151">
          <cell r="H151" t="str">
            <v>BA</v>
          </cell>
          <cell r="J151" t="str">
            <v>Exp-Salary &amp; Benefits</v>
          </cell>
        </row>
        <row r="152">
          <cell r="H152" t="str">
            <v>BA</v>
          </cell>
          <cell r="J152" t="str">
            <v>Exp-Salary &amp; Benefits</v>
          </cell>
        </row>
        <row r="153">
          <cell r="H153" t="str">
            <v>BA</v>
          </cell>
          <cell r="J153" t="str">
            <v>Exp-Salary &amp; Benefits</v>
          </cell>
        </row>
        <row r="154">
          <cell r="H154" t="str">
            <v>BA</v>
          </cell>
          <cell r="J154" t="str">
            <v>Exp-Salary &amp; Benefits</v>
          </cell>
        </row>
        <row r="155">
          <cell r="H155" t="str">
            <v>BA</v>
          </cell>
          <cell r="J155" t="str">
            <v>Exp-Salary &amp; Benefits</v>
          </cell>
        </row>
        <row r="156">
          <cell r="H156" t="str">
            <v>BA</v>
          </cell>
          <cell r="J156" t="str">
            <v>Exp-Salary &amp; Benefits</v>
          </cell>
        </row>
        <row r="157">
          <cell r="H157" t="str">
            <v>BA</v>
          </cell>
          <cell r="I157" t="str">
            <v>00</v>
          </cell>
          <cell r="J157" t="str">
            <v>Exp-Salary &amp; Benefits</v>
          </cell>
        </row>
        <row r="158">
          <cell r="H158" t="str">
            <v>BA</v>
          </cell>
          <cell r="J158" t="str">
            <v>Exp-Salary &amp; Benefits</v>
          </cell>
        </row>
        <row r="159">
          <cell r="H159" t="str">
            <v>BA</v>
          </cell>
          <cell r="I159" t="str">
            <v>00</v>
          </cell>
          <cell r="J159" t="str">
            <v>Exp-Salary &amp; Benefits</v>
          </cell>
        </row>
        <row r="160">
          <cell r="H160" t="str">
            <v>BA</v>
          </cell>
          <cell r="J160" t="str">
            <v>Exp-Salary &amp; Benefits</v>
          </cell>
        </row>
        <row r="161">
          <cell r="H161" t="str">
            <v>BA</v>
          </cell>
          <cell r="I161" t="str">
            <v>00</v>
          </cell>
          <cell r="J161" t="str">
            <v>Exp-Salary &amp; Benefits</v>
          </cell>
        </row>
        <row r="162">
          <cell r="H162" t="str">
            <v>BA</v>
          </cell>
          <cell r="J162" t="str">
            <v>Exp-Salary &amp; Benefits</v>
          </cell>
        </row>
        <row r="163">
          <cell r="H163" t="str">
            <v>BA</v>
          </cell>
          <cell r="J163" t="str">
            <v>Exp-Salary &amp; Benefits</v>
          </cell>
        </row>
        <row r="164">
          <cell r="H164" t="str">
            <v>BA</v>
          </cell>
          <cell r="I164" t="str">
            <v>00</v>
          </cell>
          <cell r="J164" t="str">
            <v>Exp-Salary &amp; Benefits</v>
          </cell>
        </row>
        <row r="165">
          <cell r="H165" t="str">
            <v>BA</v>
          </cell>
          <cell r="J165" t="str">
            <v>Exp-Salary &amp; Benefits</v>
          </cell>
        </row>
        <row r="166">
          <cell r="H166" t="str">
            <v>BA</v>
          </cell>
          <cell r="J166" t="str">
            <v>Exp-Salary &amp; Benefits</v>
          </cell>
        </row>
        <row r="167">
          <cell r="H167" t="str">
            <v>BA</v>
          </cell>
          <cell r="J167" t="str">
            <v>Exp-Salary &amp; Benefits</v>
          </cell>
        </row>
        <row r="168">
          <cell r="H168" t="str">
            <v>BA</v>
          </cell>
          <cell r="J168" t="str">
            <v>Exp-Salary &amp; Benefits</v>
          </cell>
        </row>
        <row r="169">
          <cell r="H169" t="str">
            <v>BA</v>
          </cell>
          <cell r="J169" t="str">
            <v>Exp-Salary &amp; Benefits</v>
          </cell>
        </row>
        <row r="170">
          <cell r="H170" t="str">
            <v>BA</v>
          </cell>
          <cell r="J170" t="str">
            <v>Exp-Salary &amp; Benefits</v>
          </cell>
        </row>
        <row r="171">
          <cell r="H171" t="str">
            <v>BA</v>
          </cell>
          <cell r="J171" t="str">
            <v>Exp-Salary &amp; Benefits</v>
          </cell>
        </row>
        <row r="172">
          <cell r="H172" t="str">
            <v>BA</v>
          </cell>
          <cell r="J172" t="str">
            <v>Exp-Salary &amp; Benefits</v>
          </cell>
        </row>
        <row r="173">
          <cell r="H173" t="str">
            <v>BA</v>
          </cell>
          <cell r="J173" t="str">
            <v>Exp-Salary &amp; Benefits</v>
          </cell>
        </row>
        <row r="174">
          <cell r="H174" t="str">
            <v>BA</v>
          </cell>
          <cell r="J174" t="str">
            <v>Exp-Salary &amp; Benefits</v>
          </cell>
        </row>
        <row r="175">
          <cell r="H175" t="str">
            <v>BA</v>
          </cell>
          <cell r="J175" t="str">
            <v>Exp-Salary &amp; Benefits</v>
          </cell>
        </row>
        <row r="176">
          <cell r="H176" t="str">
            <v>BB</v>
          </cell>
          <cell r="J176" t="str">
            <v>Exp-Salary &amp; Benefits</v>
          </cell>
        </row>
        <row r="177">
          <cell r="H177" t="str">
            <v>BB</v>
          </cell>
          <cell r="J177" t="str">
            <v>Exp-Salary &amp; Benefits</v>
          </cell>
        </row>
        <row r="178">
          <cell r="H178" t="str">
            <v>BB</v>
          </cell>
          <cell r="J178" t="str">
            <v>Exp-Salary &amp; Benefits</v>
          </cell>
        </row>
        <row r="179">
          <cell r="H179" t="str">
            <v>BB</v>
          </cell>
          <cell r="J179" t="str">
            <v>Exp-Salary &amp; Benefits</v>
          </cell>
        </row>
        <row r="180">
          <cell r="H180" t="str">
            <v>BB</v>
          </cell>
          <cell r="J180" t="str">
            <v>Exp-Salary &amp; Benefits</v>
          </cell>
        </row>
        <row r="181">
          <cell r="H181" t="str">
            <v>BB</v>
          </cell>
          <cell r="J181" t="str">
            <v>Exp-Salary &amp; Benefits</v>
          </cell>
        </row>
        <row r="182">
          <cell r="H182" t="str">
            <v>BB</v>
          </cell>
          <cell r="J182" t="str">
            <v>Exp-Salary &amp; Benefits</v>
          </cell>
        </row>
        <row r="183">
          <cell r="H183" t="str">
            <v>BB</v>
          </cell>
          <cell r="J183" t="str">
            <v>Exp-Salary &amp; Benefits</v>
          </cell>
        </row>
        <row r="184">
          <cell r="H184" t="str">
            <v>BB</v>
          </cell>
          <cell r="J184" t="str">
            <v>Exp-Salary &amp; Benefits</v>
          </cell>
        </row>
        <row r="185">
          <cell r="H185" t="str">
            <v>BB</v>
          </cell>
          <cell r="J185" t="str">
            <v>Exp-Salary &amp; Benefits</v>
          </cell>
        </row>
        <row r="186">
          <cell r="H186" t="str">
            <v>BB</v>
          </cell>
          <cell r="J186" t="str">
            <v>Exp-Salary &amp; Benefits</v>
          </cell>
        </row>
        <row r="187">
          <cell r="H187" t="str">
            <v>BB</v>
          </cell>
          <cell r="J187" t="str">
            <v>Exp-Salary &amp; Benefits</v>
          </cell>
        </row>
        <row r="188">
          <cell r="H188" t="str">
            <v>BB</v>
          </cell>
          <cell r="J188" t="str">
            <v>Exp-Salary &amp; Benefits</v>
          </cell>
        </row>
        <row r="189">
          <cell r="H189" t="str">
            <v>BB</v>
          </cell>
          <cell r="J189" t="str">
            <v>Exp-Salary &amp; Benefits</v>
          </cell>
        </row>
        <row r="190">
          <cell r="H190" t="str">
            <v>BB</v>
          </cell>
          <cell r="J190" t="str">
            <v>Exp-Salary &amp; Benefits</v>
          </cell>
        </row>
        <row r="191">
          <cell r="H191" t="str">
            <v>BB</v>
          </cell>
          <cell r="J191" t="str">
            <v>Exp-Salary &amp; Benefits</v>
          </cell>
        </row>
        <row r="192">
          <cell r="H192" t="str">
            <v>BB</v>
          </cell>
          <cell r="J192" t="str">
            <v>Exp-Salary &amp; Benefits</v>
          </cell>
        </row>
        <row r="193">
          <cell r="H193" t="str">
            <v>BB</v>
          </cell>
          <cell r="J193" t="str">
            <v>Exp-Salary &amp; Benefits</v>
          </cell>
        </row>
        <row r="194">
          <cell r="H194" t="str">
            <v>BB</v>
          </cell>
          <cell r="J194" t="str">
            <v>Exp-Salary &amp; Benefits</v>
          </cell>
        </row>
        <row r="195">
          <cell r="H195" t="str">
            <v>BB</v>
          </cell>
          <cell r="J195" t="str">
            <v>Exp-Salary &amp; Benefits</v>
          </cell>
        </row>
        <row r="196">
          <cell r="H196" t="str">
            <v>BB</v>
          </cell>
          <cell r="J196" t="str">
            <v>Exp-Salary &amp; Benefits</v>
          </cell>
        </row>
        <row r="197">
          <cell r="H197" t="str">
            <v>BC</v>
          </cell>
          <cell r="J197" t="str">
            <v>Exp-Salary &amp; Benefits</v>
          </cell>
        </row>
        <row r="198">
          <cell r="H198" t="str">
            <v>BC</v>
          </cell>
          <cell r="J198" t="str">
            <v>Exp-Salary &amp; Benefits</v>
          </cell>
        </row>
        <row r="199">
          <cell r="H199" t="str">
            <v>BC</v>
          </cell>
          <cell r="J199" t="str">
            <v>Exp-Salary &amp; Benefits</v>
          </cell>
        </row>
        <row r="200">
          <cell r="H200" t="str">
            <v>BC</v>
          </cell>
          <cell r="J200" t="str">
            <v>Exp-Salary &amp; Benefits</v>
          </cell>
        </row>
        <row r="201">
          <cell r="H201" t="str">
            <v>BC</v>
          </cell>
          <cell r="J201" t="str">
            <v>Exp-Salary &amp; Benefits</v>
          </cell>
        </row>
        <row r="202">
          <cell r="H202" t="str">
            <v>BC</v>
          </cell>
          <cell r="J202" t="str">
            <v>Exp-Salary &amp; Benefits</v>
          </cell>
        </row>
        <row r="203">
          <cell r="H203" t="str">
            <v>BC</v>
          </cell>
          <cell r="J203" t="str">
            <v>Exp-Salary &amp; Benefits</v>
          </cell>
        </row>
        <row r="204">
          <cell r="H204" t="str">
            <v>BC</v>
          </cell>
          <cell r="J204" t="str">
            <v>Exp-Salary &amp; Benefits</v>
          </cell>
        </row>
        <row r="205">
          <cell r="H205" t="str">
            <v>BC</v>
          </cell>
          <cell r="J205" t="str">
            <v>Exp-Salary &amp; Benefits</v>
          </cell>
        </row>
        <row r="206">
          <cell r="H206" t="str">
            <v>BC</v>
          </cell>
          <cell r="J206" t="str">
            <v>Exp-Salary &amp; Benefits</v>
          </cell>
        </row>
        <row r="207">
          <cell r="H207" t="str">
            <v>BC</v>
          </cell>
          <cell r="J207" t="str">
            <v>Exp-Salary &amp; Benefits</v>
          </cell>
        </row>
        <row r="208">
          <cell r="H208" t="str">
            <v>BC</v>
          </cell>
          <cell r="J208" t="str">
            <v>Exp-Salary &amp; Benefits</v>
          </cell>
        </row>
        <row r="209">
          <cell r="H209" t="str">
            <v>BC</v>
          </cell>
          <cell r="J209" t="str">
            <v>Exp-Salary &amp; Benefits</v>
          </cell>
        </row>
        <row r="210">
          <cell r="H210" t="str">
            <v>BC</v>
          </cell>
          <cell r="J210" t="str">
            <v>Exp-Salary &amp; Benefits</v>
          </cell>
        </row>
        <row r="211">
          <cell r="H211" t="str">
            <v>BC</v>
          </cell>
          <cell r="J211" t="str">
            <v>Exp-Salary &amp; Benefits</v>
          </cell>
        </row>
        <row r="212">
          <cell r="H212" t="str">
            <v>BC</v>
          </cell>
          <cell r="J212" t="str">
            <v>Exp-Salary &amp; Benefits</v>
          </cell>
        </row>
        <row r="213">
          <cell r="H213" t="str">
            <v>BC</v>
          </cell>
          <cell r="J213" t="str">
            <v>Exp-Salary &amp; Benefits</v>
          </cell>
        </row>
        <row r="214">
          <cell r="H214" t="str">
            <v>BC</v>
          </cell>
          <cell r="J214" t="str">
            <v>Exp-Salary &amp; Benefits</v>
          </cell>
        </row>
        <row r="215">
          <cell r="H215" t="str">
            <v>BC</v>
          </cell>
          <cell r="J215" t="str">
            <v>Exp-Salary &amp; Benefits</v>
          </cell>
        </row>
        <row r="216">
          <cell r="H216" t="str">
            <v>BC</v>
          </cell>
          <cell r="J216" t="str">
            <v>Exp-Salary &amp; Benefits</v>
          </cell>
        </row>
        <row r="217">
          <cell r="H217" t="str">
            <v>BC</v>
          </cell>
          <cell r="J217" t="str">
            <v>Exp-Salary &amp; Benefits</v>
          </cell>
        </row>
        <row r="218">
          <cell r="H218" t="str">
            <v>BC</v>
          </cell>
          <cell r="J218" t="str">
            <v>Exp-Salary &amp; Benefits</v>
          </cell>
        </row>
        <row r="219">
          <cell r="H219" t="str">
            <v>BC</v>
          </cell>
          <cell r="J219" t="str">
            <v>Exp-Salary &amp; Benefits</v>
          </cell>
        </row>
        <row r="220">
          <cell r="H220" t="str">
            <v>BC</v>
          </cell>
          <cell r="J220" t="str">
            <v>Exp-Salary &amp; Benefits</v>
          </cell>
        </row>
        <row r="221">
          <cell r="H221" t="str">
            <v>BC</v>
          </cell>
          <cell r="J221" t="str">
            <v>Exp-Salary &amp; Benefits</v>
          </cell>
        </row>
        <row r="222">
          <cell r="H222" t="str">
            <v>BC</v>
          </cell>
          <cell r="J222" t="str">
            <v>Exp-Salary &amp; Benefits</v>
          </cell>
        </row>
        <row r="223">
          <cell r="H223" t="str">
            <v>BC</v>
          </cell>
          <cell r="J223" t="str">
            <v>Exp-Salary &amp; Benefits</v>
          </cell>
        </row>
        <row r="224">
          <cell r="H224" t="str">
            <v>BC</v>
          </cell>
          <cell r="J224" t="str">
            <v>Exp-Salary &amp; Benefits</v>
          </cell>
        </row>
        <row r="225">
          <cell r="H225" t="str">
            <v>BD</v>
          </cell>
          <cell r="J225" t="str">
            <v>Exp-Salary &amp; Benefits</v>
          </cell>
        </row>
        <row r="226">
          <cell r="H226" t="str">
            <v>BD</v>
          </cell>
          <cell r="J226" t="str">
            <v>Exp-Salary &amp; Benefits</v>
          </cell>
        </row>
        <row r="227">
          <cell r="H227" t="str">
            <v>BD</v>
          </cell>
          <cell r="J227" t="str">
            <v>Exp-Salary &amp; Benefits</v>
          </cell>
        </row>
        <row r="228">
          <cell r="H228" t="str">
            <v>BD</v>
          </cell>
          <cell r="J228" t="str">
            <v>Exp-Salary &amp; Benefits</v>
          </cell>
        </row>
        <row r="229">
          <cell r="H229" t="str">
            <v>BD</v>
          </cell>
          <cell r="J229" t="str">
            <v>Exp-Salary &amp; Benefits</v>
          </cell>
        </row>
        <row r="230">
          <cell r="H230" t="str">
            <v>BD</v>
          </cell>
          <cell r="J230" t="str">
            <v>Exp-Salary &amp; Benefits</v>
          </cell>
        </row>
        <row r="231">
          <cell r="H231" t="str">
            <v>BD</v>
          </cell>
          <cell r="J231" t="str">
            <v>Exp-Salary &amp; Benefits</v>
          </cell>
        </row>
        <row r="232">
          <cell r="H232" t="str">
            <v>BD</v>
          </cell>
          <cell r="J232" t="str">
            <v>Exp-Salary &amp; Benefits</v>
          </cell>
        </row>
        <row r="233">
          <cell r="H233" t="str">
            <v>BD</v>
          </cell>
          <cell r="J233" t="str">
            <v>Exp-Salary &amp; Benefits</v>
          </cell>
        </row>
        <row r="234">
          <cell r="H234" t="str">
            <v>BD</v>
          </cell>
          <cell r="J234" t="str">
            <v>Exp-Salary &amp; Benefits</v>
          </cell>
        </row>
        <row r="235">
          <cell r="H235" t="str">
            <v>BD</v>
          </cell>
          <cell r="J235" t="str">
            <v>Exp-Salary &amp; Benefits</v>
          </cell>
        </row>
        <row r="236">
          <cell r="H236" t="str">
            <v>BF</v>
          </cell>
          <cell r="J236" t="str">
            <v>Exp-Salary &amp; Benefits</v>
          </cell>
        </row>
        <row r="237">
          <cell r="H237" t="str">
            <v>BF</v>
          </cell>
          <cell r="J237" t="str">
            <v>Exp-Salary &amp; Benefits</v>
          </cell>
        </row>
        <row r="238">
          <cell r="H238" t="str">
            <v>BF</v>
          </cell>
          <cell r="J238" t="str">
            <v>Exp-Salary &amp; Benefits</v>
          </cell>
        </row>
        <row r="239">
          <cell r="H239" t="str">
            <v>BF</v>
          </cell>
          <cell r="J239" t="str">
            <v>Exp-Salary &amp; Benefits</v>
          </cell>
        </row>
        <row r="240">
          <cell r="H240" t="str">
            <v>BF</v>
          </cell>
          <cell r="J240" t="str">
            <v>Exp-Salary &amp; Benefits</v>
          </cell>
        </row>
        <row r="241">
          <cell r="H241" t="str">
            <v>BF</v>
          </cell>
          <cell r="J241" t="str">
            <v>Exp-Salary &amp; Benefits</v>
          </cell>
        </row>
        <row r="242">
          <cell r="H242" t="str">
            <v>BF</v>
          </cell>
          <cell r="J242" t="str">
            <v>Exp-Salary &amp; Benefits</v>
          </cell>
        </row>
        <row r="243">
          <cell r="H243" t="str">
            <v>BF</v>
          </cell>
          <cell r="J243" t="str">
            <v>Exp-Salary &amp; Benefits</v>
          </cell>
        </row>
        <row r="244">
          <cell r="H244" t="str">
            <v>BF</v>
          </cell>
          <cell r="J244" t="str">
            <v>Exp-Salary &amp; Benefits</v>
          </cell>
        </row>
        <row r="245">
          <cell r="H245" t="str">
            <v>BF</v>
          </cell>
          <cell r="J245" t="str">
            <v>Exp-Salary &amp; Benefits</v>
          </cell>
        </row>
        <row r="246">
          <cell r="H246" t="str">
            <v>BF</v>
          </cell>
          <cell r="J246" t="str">
            <v>Exp-Salary &amp; Benefits</v>
          </cell>
        </row>
        <row r="247">
          <cell r="H247" t="str">
            <v>BF</v>
          </cell>
          <cell r="J247" t="str">
            <v>Exp-Salary &amp; Benefits</v>
          </cell>
        </row>
        <row r="248">
          <cell r="H248" t="str">
            <v>BF</v>
          </cell>
          <cell r="J248" t="str">
            <v>Exp-Salary &amp; Benefits</v>
          </cell>
        </row>
        <row r="249">
          <cell r="H249" t="str">
            <v>BF</v>
          </cell>
          <cell r="J249" t="str">
            <v>Exp-Salary &amp; Benefits</v>
          </cell>
        </row>
        <row r="250">
          <cell r="H250" t="str">
            <v>BF</v>
          </cell>
          <cell r="J250" t="str">
            <v>Exp-Salary &amp; Benefits</v>
          </cell>
        </row>
        <row r="251">
          <cell r="H251" t="str">
            <v>BF</v>
          </cell>
          <cell r="J251" t="str">
            <v>Exp-Salary &amp; Benefits</v>
          </cell>
        </row>
        <row r="252">
          <cell r="H252" t="str">
            <v>BF</v>
          </cell>
          <cell r="J252" t="str">
            <v>Exp-Salary &amp; Benefits</v>
          </cell>
        </row>
        <row r="253">
          <cell r="H253" t="str">
            <v>BF</v>
          </cell>
          <cell r="J253" t="str">
            <v>Exp-Salary &amp; Benefits</v>
          </cell>
        </row>
        <row r="254">
          <cell r="H254" t="str">
            <v>BF</v>
          </cell>
          <cell r="J254" t="str">
            <v>Exp-Salary &amp; Benefits</v>
          </cell>
        </row>
        <row r="255">
          <cell r="H255" t="str">
            <v>BF</v>
          </cell>
          <cell r="J255" t="str">
            <v>Exp-Salary &amp; Benefits</v>
          </cell>
        </row>
        <row r="256">
          <cell r="H256" t="str">
            <v>C</v>
          </cell>
          <cell r="J256" t="str">
            <v>Exp-PSC</v>
          </cell>
        </row>
        <row r="257">
          <cell r="H257" t="str">
            <v>C</v>
          </cell>
          <cell r="J257" t="str">
            <v>Exp-PSC</v>
          </cell>
        </row>
        <row r="258">
          <cell r="H258" t="str">
            <v>C</v>
          </cell>
          <cell r="J258" t="str">
            <v>Exp-PSC</v>
          </cell>
        </row>
        <row r="259">
          <cell r="H259" t="str">
            <v>C</v>
          </cell>
          <cell r="J259" t="str">
            <v>Exp-PSC</v>
          </cell>
        </row>
        <row r="260">
          <cell r="H260" t="str">
            <v>C</v>
          </cell>
          <cell r="J260" t="str">
            <v>Exp-PSC</v>
          </cell>
        </row>
        <row r="261">
          <cell r="H261" t="str">
            <v>C</v>
          </cell>
          <cell r="J261" t="str">
            <v>Exp-PSC</v>
          </cell>
        </row>
        <row r="262">
          <cell r="H262" t="str">
            <v>C</v>
          </cell>
          <cell r="J262" t="str">
            <v>Exp-PSC</v>
          </cell>
        </row>
        <row r="263">
          <cell r="H263" t="str">
            <v>C</v>
          </cell>
          <cell r="J263" t="str">
            <v>Exp-PSC</v>
          </cell>
        </row>
        <row r="264">
          <cell r="H264" t="str">
            <v>C</v>
          </cell>
          <cell r="J264" t="str">
            <v>Exp-PSC</v>
          </cell>
        </row>
        <row r="265">
          <cell r="H265" t="str">
            <v>C</v>
          </cell>
          <cell r="J265" t="str">
            <v>Exp-PSC</v>
          </cell>
        </row>
        <row r="266">
          <cell r="H266" t="str">
            <v>C</v>
          </cell>
          <cell r="J266" t="str">
            <v>Exp-PSC</v>
          </cell>
        </row>
        <row r="267">
          <cell r="H267" t="str">
            <v>C</v>
          </cell>
          <cell r="J267" t="str">
            <v>Exp-PSC</v>
          </cell>
        </row>
        <row r="268">
          <cell r="H268" t="str">
            <v>C</v>
          </cell>
          <cell r="J268" t="str">
            <v>Exp-PSC</v>
          </cell>
        </row>
        <row r="269">
          <cell r="H269" t="str">
            <v>C</v>
          </cell>
          <cell r="J269" t="str">
            <v>Exp-PSC</v>
          </cell>
        </row>
        <row r="270">
          <cell r="H270" t="str">
            <v>C</v>
          </cell>
          <cell r="J270" t="str">
            <v>Exp-PSC</v>
          </cell>
        </row>
        <row r="271">
          <cell r="H271" t="str">
            <v>C</v>
          </cell>
          <cell r="J271" t="str">
            <v>Exp-PSC</v>
          </cell>
        </row>
        <row r="272">
          <cell r="H272" t="str">
            <v>C</v>
          </cell>
          <cell r="J272" t="str">
            <v>Exp-PSC</v>
          </cell>
        </row>
        <row r="273">
          <cell r="H273" t="str">
            <v>C</v>
          </cell>
          <cell r="J273" t="str">
            <v>Exp-PSC</v>
          </cell>
        </row>
        <row r="274">
          <cell r="H274" t="str">
            <v>C</v>
          </cell>
          <cell r="J274" t="str">
            <v>Exp-PSC</v>
          </cell>
        </row>
        <row r="275">
          <cell r="H275" t="str">
            <v>C</v>
          </cell>
          <cell r="J275" t="str">
            <v>Exp-PSC</v>
          </cell>
        </row>
        <row r="276">
          <cell r="H276" t="str">
            <v>C</v>
          </cell>
          <cell r="J276" t="str">
            <v>Exp-PSC</v>
          </cell>
        </row>
        <row r="277">
          <cell r="H277" t="str">
            <v>C</v>
          </cell>
          <cell r="J277" t="str">
            <v>Exp-PSC</v>
          </cell>
        </row>
        <row r="278">
          <cell r="H278" t="str">
            <v>C</v>
          </cell>
          <cell r="J278" t="str">
            <v>Exp-PSC</v>
          </cell>
        </row>
        <row r="279">
          <cell r="H279" t="str">
            <v>C</v>
          </cell>
          <cell r="J279" t="str">
            <v>Exp-PSC</v>
          </cell>
        </row>
        <row r="280">
          <cell r="H280" t="str">
            <v>C</v>
          </cell>
          <cell r="J280" t="str">
            <v>Exp-PSC</v>
          </cell>
        </row>
        <row r="281">
          <cell r="H281" t="str">
            <v>C</v>
          </cell>
          <cell r="J281" t="str">
            <v>Exp-PSC</v>
          </cell>
        </row>
        <row r="282">
          <cell r="H282" t="str">
            <v>C</v>
          </cell>
          <cell r="J282" t="str">
            <v>Exp-PSC</v>
          </cell>
        </row>
        <row r="283">
          <cell r="H283" t="str">
            <v>C</v>
          </cell>
          <cell r="J283" t="str">
            <v>Exp-PSC</v>
          </cell>
        </row>
        <row r="284">
          <cell r="H284" t="str">
            <v>C</v>
          </cell>
          <cell r="J284" t="str">
            <v>Exp-PSC</v>
          </cell>
        </row>
        <row r="285">
          <cell r="H285" t="str">
            <v>C</v>
          </cell>
          <cell r="J285" t="str">
            <v>Exp-PSC</v>
          </cell>
        </row>
        <row r="286">
          <cell r="H286" t="str">
            <v>C</v>
          </cell>
          <cell r="J286" t="str">
            <v>Exp-PSC</v>
          </cell>
        </row>
        <row r="287">
          <cell r="H287" t="str">
            <v>CZ</v>
          </cell>
          <cell r="I287" t="str">
            <v>00</v>
          </cell>
          <cell r="J287" t="str">
            <v>Exp-PSC</v>
          </cell>
        </row>
        <row r="288">
          <cell r="H288" t="str">
            <v>CZ</v>
          </cell>
          <cell r="I288" t="str">
            <v>00</v>
          </cell>
          <cell r="J288" t="str">
            <v>Exp-PSC</v>
          </cell>
        </row>
        <row r="289">
          <cell r="H289" t="str">
            <v>CZ</v>
          </cell>
          <cell r="I289" t="str">
            <v>00</v>
          </cell>
          <cell r="J289" t="str">
            <v>Exp-PSC</v>
          </cell>
        </row>
        <row r="290">
          <cell r="H290" t="str">
            <v>CZ</v>
          </cell>
          <cell r="I290" t="str">
            <v>00</v>
          </cell>
          <cell r="J290" t="str">
            <v>Exp-PSC</v>
          </cell>
        </row>
        <row r="291">
          <cell r="H291" t="str">
            <v>CZ</v>
          </cell>
          <cell r="I291" t="str">
            <v>00</v>
          </cell>
          <cell r="J291" t="str">
            <v>Exp-PSC</v>
          </cell>
        </row>
        <row r="292">
          <cell r="H292" t="str">
            <v>CZ</v>
          </cell>
          <cell r="I292" t="str">
            <v>00</v>
          </cell>
          <cell r="J292" t="str">
            <v>Exp-PSC</v>
          </cell>
        </row>
        <row r="293">
          <cell r="H293" t="str">
            <v>CZ</v>
          </cell>
          <cell r="I293" t="str">
            <v>00</v>
          </cell>
          <cell r="J293" t="str">
            <v>Exp-PSC</v>
          </cell>
        </row>
        <row r="294">
          <cell r="H294" t="str">
            <v>CZ</v>
          </cell>
          <cell r="I294" t="str">
            <v>00</v>
          </cell>
          <cell r="J294" t="str">
            <v>Exp-PSC</v>
          </cell>
        </row>
        <row r="295">
          <cell r="H295" t="str">
            <v>CZ</v>
          </cell>
          <cell r="I295" t="str">
            <v>00</v>
          </cell>
          <cell r="J295" t="str">
            <v>Exp-PSC</v>
          </cell>
        </row>
        <row r="296">
          <cell r="H296" t="str">
            <v>CZ</v>
          </cell>
          <cell r="I296" t="str">
            <v>00</v>
          </cell>
          <cell r="J296" t="str">
            <v>Exp-PSC</v>
          </cell>
        </row>
        <row r="297">
          <cell r="H297" t="str">
            <v>CZ</v>
          </cell>
          <cell r="I297" t="str">
            <v>00</v>
          </cell>
          <cell r="J297" t="str">
            <v>Exp-PSC</v>
          </cell>
        </row>
        <row r="298">
          <cell r="H298" t="str">
            <v>E</v>
          </cell>
          <cell r="J298" t="str">
            <v>Exp-Goods/Svcs</v>
          </cell>
        </row>
        <row r="299">
          <cell r="H299" t="str">
            <v>E</v>
          </cell>
          <cell r="J299" t="str">
            <v>Exp-Goods/Svcs</v>
          </cell>
        </row>
        <row r="300">
          <cell r="H300" t="str">
            <v>E</v>
          </cell>
          <cell r="J300" t="str">
            <v>Exp-Goods/Svcs</v>
          </cell>
        </row>
        <row r="301">
          <cell r="H301" t="str">
            <v>E</v>
          </cell>
          <cell r="J301" t="str">
            <v>Exp-Goods/Svcs</v>
          </cell>
        </row>
        <row r="302">
          <cell r="H302" t="str">
            <v>E</v>
          </cell>
          <cell r="J302" t="str">
            <v>Exp-Goods/Svcs</v>
          </cell>
        </row>
        <row r="303">
          <cell r="H303" t="str">
            <v>E</v>
          </cell>
          <cell r="J303" t="str">
            <v>Exp-Goods/Svcs</v>
          </cell>
        </row>
        <row r="304">
          <cell r="H304" t="str">
            <v>E</v>
          </cell>
          <cell r="J304" t="str">
            <v>Exp-Goods/Svcs</v>
          </cell>
        </row>
        <row r="305">
          <cell r="H305" t="str">
            <v>E</v>
          </cell>
          <cell r="J305" t="str">
            <v>Exp-Goods/Svcs</v>
          </cell>
        </row>
        <row r="306">
          <cell r="H306" t="str">
            <v>E</v>
          </cell>
          <cell r="J306" t="str">
            <v>Exp-Goods/Svcs</v>
          </cell>
        </row>
        <row r="307">
          <cell r="H307" t="str">
            <v>E</v>
          </cell>
          <cell r="J307" t="str">
            <v>Exp-Goods/Svcs</v>
          </cell>
        </row>
        <row r="308">
          <cell r="H308" t="str">
            <v>E</v>
          </cell>
          <cell r="J308" t="str">
            <v>Exp-Goods/Svcs</v>
          </cell>
        </row>
        <row r="309">
          <cell r="H309" t="str">
            <v>E</v>
          </cell>
          <cell r="J309" t="str">
            <v>Exp-Goods/Svcs</v>
          </cell>
        </row>
        <row r="310">
          <cell r="H310" t="str">
            <v>E</v>
          </cell>
          <cell r="J310" t="str">
            <v>Exp-Goods/Svcs</v>
          </cell>
        </row>
        <row r="311">
          <cell r="H311" t="str">
            <v>E</v>
          </cell>
          <cell r="J311" t="str">
            <v>Exp-Goods/Svcs</v>
          </cell>
        </row>
        <row r="312">
          <cell r="H312" t="str">
            <v>E</v>
          </cell>
          <cell r="J312" t="str">
            <v>Exp-Goods/Svcs</v>
          </cell>
        </row>
        <row r="313">
          <cell r="H313" t="str">
            <v>E</v>
          </cell>
          <cell r="J313" t="str">
            <v>Exp-Goods/Svcs</v>
          </cell>
        </row>
        <row r="314">
          <cell r="H314" t="str">
            <v>E</v>
          </cell>
          <cell r="J314" t="str">
            <v>Exp-Goods/Svcs</v>
          </cell>
        </row>
        <row r="315">
          <cell r="H315" t="str">
            <v>E</v>
          </cell>
          <cell r="J315" t="str">
            <v>Exp-Goods/Svcs</v>
          </cell>
        </row>
        <row r="316">
          <cell r="H316" t="str">
            <v>E</v>
          </cell>
          <cell r="J316" t="str">
            <v>Exp-Goods/Svcs</v>
          </cell>
        </row>
        <row r="317">
          <cell r="H317" t="str">
            <v>E</v>
          </cell>
          <cell r="J317" t="str">
            <v>Exp-Goods/Svcs</v>
          </cell>
        </row>
        <row r="318">
          <cell r="H318" t="str">
            <v>E</v>
          </cell>
          <cell r="J318" t="str">
            <v>Exp-Goods/Svcs</v>
          </cell>
        </row>
        <row r="319">
          <cell r="H319" t="str">
            <v>E</v>
          </cell>
          <cell r="J319" t="str">
            <v>Exp-Goods/Svcs</v>
          </cell>
        </row>
        <row r="320">
          <cell r="H320" t="str">
            <v>E</v>
          </cell>
          <cell r="J320" t="str">
            <v>Exp-Goods/Svcs</v>
          </cell>
        </row>
        <row r="321">
          <cell r="H321" t="str">
            <v>E</v>
          </cell>
          <cell r="J321" t="str">
            <v>Exp-Goods/Svcs</v>
          </cell>
        </row>
        <row r="322">
          <cell r="H322" t="str">
            <v>E</v>
          </cell>
          <cell r="J322" t="str">
            <v>Exp-Goods/Svcs</v>
          </cell>
        </row>
        <row r="323">
          <cell r="H323" t="str">
            <v>E</v>
          </cell>
          <cell r="J323" t="str">
            <v>Exp-Goods/Svcs</v>
          </cell>
        </row>
        <row r="324">
          <cell r="H324" t="str">
            <v>E</v>
          </cell>
          <cell r="J324" t="str">
            <v>Exp-Goods/Svcs</v>
          </cell>
        </row>
        <row r="325">
          <cell r="H325" t="str">
            <v>E</v>
          </cell>
          <cell r="J325" t="str">
            <v>Exp-Goods/Svcs</v>
          </cell>
        </row>
        <row r="326">
          <cell r="H326" t="str">
            <v>E</v>
          </cell>
          <cell r="J326" t="str">
            <v>Exp-Goods/Svcs</v>
          </cell>
        </row>
        <row r="327">
          <cell r="H327" t="str">
            <v>E</v>
          </cell>
          <cell r="J327" t="str">
            <v>Exp-Goods/Svcs</v>
          </cell>
        </row>
        <row r="328">
          <cell r="H328" t="str">
            <v>E</v>
          </cell>
          <cell r="J328" t="str">
            <v>Exp-Goods/Svcs</v>
          </cell>
        </row>
        <row r="329">
          <cell r="H329" t="str">
            <v>E</v>
          </cell>
          <cell r="J329" t="str">
            <v>Exp-Goods/Svcs</v>
          </cell>
        </row>
        <row r="330">
          <cell r="H330" t="str">
            <v>E</v>
          </cell>
          <cell r="J330" t="str">
            <v>Exp-Goods/Svcs</v>
          </cell>
        </row>
        <row r="331">
          <cell r="H331" t="str">
            <v>E</v>
          </cell>
          <cell r="J331" t="str">
            <v>Exp-Goods/Svcs</v>
          </cell>
        </row>
        <row r="332">
          <cell r="H332" t="str">
            <v>E</v>
          </cell>
          <cell r="J332" t="str">
            <v>Exp-Goods/Svcs</v>
          </cell>
        </row>
        <row r="333">
          <cell r="H333" t="str">
            <v>E</v>
          </cell>
          <cell r="J333" t="str">
            <v>Exp-Goods/Svcs</v>
          </cell>
        </row>
        <row r="334">
          <cell r="H334" t="str">
            <v>E</v>
          </cell>
          <cell r="J334" t="str">
            <v>Exp-Goods/Svcs</v>
          </cell>
        </row>
        <row r="335">
          <cell r="H335" t="str">
            <v>E</v>
          </cell>
          <cell r="J335" t="str">
            <v>Exp-Goods/Svcs</v>
          </cell>
        </row>
        <row r="336">
          <cell r="H336" t="str">
            <v>E</v>
          </cell>
          <cell r="J336" t="str">
            <v>Exp-Goods/Svcs</v>
          </cell>
        </row>
        <row r="337">
          <cell r="H337" t="str">
            <v>E</v>
          </cell>
          <cell r="J337" t="str">
            <v>Exp-Goods/Svcs</v>
          </cell>
        </row>
        <row r="338">
          <cell r="H338" t="str">
            <v>E</v>
          </cell>
          <cell r="J338" t="str">
            <v>Exp-Goods/Svcs</v>
          </cell>
        </row>
        <row r="339">
          <cell r="H339" t="str">
            <v>E</v>
          </cell>
          <cell r="J339" t="str">
            <v>Exp-Goods/Svcs</v>
          </cell>
        </row>
        <row r="340">
          <cell r="H340" t="str">
            <v>E</v>
          </cell>
          <cell r="J340" t="str">
            <v>Exp-Goods/Svcs</v>
          </cell>
        </row>
        <row r="341">
          <cell r="H341" t="str">
            <v>E</v>
          </cell>
          <cell r="J341" t="str">
            <v>Exp-Goods/Svcs</v>
          </cell>
        </row>
        <row r="342">
          <cell r="H342" t="str">
            <v>E</v>
          </cell>
          <cell r="J342" t="str">
            <v>Exp-Goods/Svcs</v>
          </cell>
        </row>
        <row r="343">
          <cell r="H343" t="str">
            <v>E</v>
          </cell>
          <cell r="J343" t="str">
            <v>Exp-Goods/Svcs</v>
          </cell>
        </row>
        <row r="344">
          <cell r="H344" t="str">
            <v>E</v>
          </cell>
          <cell r="J344" t="str">
            <v>Exp-Goods/Svcs</v>
          </cell>
        </row>
        <row r="345">
          <cell r="H345" t="str">
            <v>E</v>
          </cell>
          <cell r="J345" t="str">
            <v>Exp-Goods/Svcs</v>
          </cell>
        </row>
        <row r="346">
          <cell r="H346" t="str">
            <v>E</v>
          </cell>
          <cell r="J346" t="str">
            <v>Exp-Goods/Svcs</v>
          </cell>
        </row>
        <row r="347">
          <cell r="H347" t="str">
            <v>E</v>
          </cell>
          <cell r="J347" t="str">
            <v>Exp-Goods/Svcs</v>
          </cell>
        </row>
        <row r="348">
          <cell r="H348" t="str">
            <v>E</v>
          </cell>
          <cell r="J348" t="str">
            <v>Exp-Goods/Svcs</v>
          </cell>
        </row>
        <row r="349">
          <cell r="H349" t="str">
            <v>E</v>
          </cell>
          <cell r="J349" t="str">
            <v>Exp-Goods/Svcs</v>
          </cell>
        </row>
        <row r="350">
          <cell r="H350" t="str">
            <v>E</v>
          </cell>
          <cell r="J350" t="str">
            <v>Exp-Goods/Svcs</v>
          </cell>
        </row>
        <row r="351">
          <cell r="H351" t="str">
            <v>E</v>
          </cell>
          <cell r="J351" t="str">
            <v>Exp-Goods/Svcs</v>
          </cell>
        </row>
        <row r="352">
          <cell r="H352" t="str">
            <v>E</v>
          </cell>
          <cell r="J352" t="str">
            <v>Exp-Goods/Svcs</v>
          </cell>
        </row>
        <row r="353">
          <cell r="H353" t="str">
            <v>E</v>
          </cell>
          <cell r="J353" t="str">
            <v>Exp-Goods/Svcs</v>
          </cell>
        </row>
        <row r="354">
          <cell r="H354" t="str">
            <v>E</v>
          </cell>
          <cell r="J354" t="str">
            <v>Exp-Goods/Svcs</v>
          </cell>
        </row>
        <row r="355">
          <cell r="H355" t="str">
            <v>E</v>
          </cell>
          <cell r="J355" t="str">
            <v>Exp-Goods/Svcs</v>
          </cell>
        </row>
        <row r="356">
          <cell r="H356" t="str">
            <v>E</v>
          </cell>
          <cell r="J356" t="str">
            <v>Exp-Goods/Svcs</v>
          </cell>
        </row>
        <row r="357">
          <cell r="H357" t="str">
            <v>E</v>
          </cell>
          <cell r="J357" t="str">
            <v>Exp-Goods/Svcs</v>
          </cell>
        </row>
        <row r="358">
          <cell r="H358" t="str">
            <v>E</v>
          </cell>
          <cell r="J358" t="str">
            <v>Exp-Goods/Svcs</v>
          </cell>
        </row>
        <row r="359">
          <cell r="H359" t="str">
            <v>E</v>
          </cell>
          <cell r="J359" t="str">
            <v>Exp-Goods/Svcs</v>
          </cell>
        </row>
        <row r="360">
          <cell r="H360" t="str">
            <v>E</v>
          </cell>
          <cell r="J360" t="str">
            <v>Exp-Goods/Svcs</v>
          </cell>
        </row>
        <row r="361">
          <cell r="H361" t="str">
            <v>E</v>
          </cell>
          <cell r="J361" t="str">
            <v>Exp-Goods/Svcs</v>
          </cell>
        </row>
        <row r="362">
          <cell r="H362" t="str">
            <v>E</v>
          </cell>
          <cell r="J362" t="str">
            <v>Exp-Goods/Svcs</v>
          </cell>
        </row>
        <row r="363">
          <cell r="H363" t="str">
            <v>E</v>
          </cell>
          <cell r="J363" t="str">
            <v>Exp-Goods/Svcs</v>
          </cell>
        </row>
        <row r="364">
          <cell r="H364" t="str">
            <v>E</v>
          </cell>
          <cell r="J364" t="str">
            <v>Exp-Goods/Svcs</v>
          </cell>
        </row>
        <row r="365">
          <cell r="H365" t="str">
            <v>E</v>
          </cell>
          <cell r="J365" t="str">
            <v>Exp-Goods/Svcs</v>
          </cell>
        </row>
        <row r="366">
          <cell r="H366" t="str">
            <v>E</v>
          </cell>
          <cell r="J366" t="str">
            <v>Exp-Goods/Svcs</v>
          </cell>
        </row>
        <row r="367">
          <cell r="H367" t="str">
            <v>E</v>
          </cell>
          <cell r="J367" t="str">
            <v>Exp-Goods/Svcs</v>
          </cell>
        </row>
        <row r="368">
          <cell r="H368" t="str">
            <v>E</v>
          </cell>
          <cell r="J368" t="str">
            <v>Exp-Goods/Svcs</v>
          </cell>
        </row>
        <row r="369">
          <cell r="H369" t="str">
            <v>E</v>
          </cell>
          <cell r="J369" t="str">
            <v>Exp-Goods/Svcs</v>
          </cell>
        </row>
        <row r="370">
          <cell r="H370" t="str">
            <v>E</v>
          </cell>
          <cell r="J370" t="str">
            <v>Exp-Goods/Svcs</v>
          </cell>
        </row>
        <row r="371">
          <cell r="H371" t="str">
            <v>E</v>
          </cell>
          <cell r="J371" t="str">
            <v>Exp-Goods/Svcs</v>
          </cell>
        </row>
        <row r="372">
          <cell r="H372" t="str">
            <v>E</v>
          </cell>
          <cell r="J372" t="str">
            <v>Exp-Goods/Svcs</v>
          </cell>
        </row>
        <row r="373">
          <cell r="H373" t="str">
            <v>E</v>
          </cell>
          <cell r="J373" t="str">
            <v>Exp-Goods/Svcs</v>
          </cell>
        </row>
        <row r="374">
          <cell r="H374" t="str">
            <v>E</v>
          </cell>
          <cell r="J374" t="str">
            <v>Exp-Goods/Svcs</v>
          </cell>
        </row>
        <row r="375">
          <cell r="H375" t="str">
            <v>E</v>
          </cell>
          <cell r="J375" t="str">
            <v>Exp-Goods/Svcs</v>
          </cell>
        </row>
        <row r="376">
          <cell r="H376" t="str">
            <v>E</v>
          </cell>
          <cell r="J376" t="str">
            <v>Exp-Goods/Svcs</v>
          </cell>
        </row>
        <row r="377">
          <cell r="H377" t="str">
            <v>E</v>
          </cell>
          <cell r="J377" t="str">
            <v>Exp-Goods/Svcs</v>
          </cell>
        </row>
        <row r="378">
          <cell r="H378" t="str">
            <v>E</v>
          </cell>
          <cell r="J378" t="str">
            <v>Exp-Goods/Svcs</v>
          </cell>
        </row>
        <row r="379">
          <cell r="H379" t="str">
            <v>E</v>
          </cell>
          <cell r="J379" t="str">
            <v>Exp-Goods/Svcs</v>
          </cell>
        </row>
        <row r="380">
          <cell r="H380" t="str">
            <v>E</v>
          </cell>
          <cell r="J380" t="str">
            <v>Exp-Goods/Svcs</v>
          </cell>
        </row>
        <row r="381">
          <cell r="H381" t="str">
            <v>E</v>
          </cell>
          <cell r="J381" t="str">
            <v>Exp-Goods/Svcs</v>
          </cell>
        </row>
        <row r="382">
          <cell r="H382" t="str">
            <v>E</v>
          </cell>
          <cell r="J382" t="str">
            <v>Exp-Goods/Svcs</v>
          </cell>
        </row>
        <row r="383">
          <cell r="H383" t="str">
            <v>E</v>
          </cell>
          <cell r="J383" t="str">
            <v>Exp-Goods/Svcs</v>
          </cell>
        </row>
        <row r="384">
          <cell r="H384" t="str">
            <v>E</v>
          </cell>
          <cell r="J384" t="str">
            <v>Exp-Goods/Svcs</v>
          </cell>
        </row>
        <row r="385">
          <cell r="H385" t="str">
            <v>E</v>
          </cell>
          <cell r="J385" t="str">
            <v>Exp-Goods/Svcs</v>
          </cell>
        </row>
        <row r="386">
          <cell r="H386" t="str">
            <v>E</v>
          </cell>
          <cell r="J386" t="str">
            <v>Exp-Goods/Svcs</v>
          </cell>
        </row>
        <row r="387">
          <cell r="H387" t="str">
            <v>E</v>
          </cell>
          <cell r="J387" t="str">
            <v>Exp-Goods/Svcs</v>
          </cell>
        </row>
        <row r="388">
          <cell r="H388" t="str">
            <v>E</v>
          </cell>
          <cell r="J388" t="str">
            <v>Exp-Goods/Svcs</v>
          </cell>
        </row>
        <row r="389">
          <cell r="H389" t="str">
            <v>E</v>
          </cell>
          <cell r="J389" t="str">
            <v>Exp-Goods/Svcs</v>
          </cell>
        </row>
        <row r="390">
          <cell r="H390" t="str">
            <v>E</v>
          </cell>
          <cell r="J390" t="str">
            <v>Exp-Goods/Svcs</v>
          </cell>
        </row>
        <row r="391">
          <cell r="H391" t="str">
            <v>E</v>
          </cell>
          <cell r="J391" t="str">
            <v>Exp-Goods/Svcs</v>
          </cell>
        </row>
        <row r="392">
          <cell r="H392" t="str">
            <v>E</v>
          </cell>
          <cell r="J392" t="str">
            <v>Exp-Goods/Svcs</v>
          </cell>
        </row>
        <row r="393">
          <cell r="H393" t="str">
            <v>E</v>
          </cell>
          <cell r="J393" t="str">
            <v>Exp-Goods/Svcs</v>
          </cell>
        </row>
        <row r="394">
          <cell r="H394" t="str">
            <v>E</v>
          </cell>
          <cell r="J394" t="str">
            <v>Exp-Goods/Svcs</v>
          </cell>
        </row>
        <row r="395">
          <cell r="H395" t="str">
            <v>E</v>
          </cell>
          <cell r="J395" t="str">
            <v>Exp-Goods/Svcs</v>
          </cell>
        </row>
        <row r="396">
          <cell r="H396" t="str">
            <v>E</v>
          </cell>
          <cell r="J396" t="str">
            <v>Exp-Goods/Svcs</v>
          </cell>
        </row>
        <row r="397">
          <cell r="H397" t="str">
            <v>E</v>
          </cell>
          <cell r="J397" t="str">
            <v>Exp-Goods/Svcs</v>
          </cell>
        </row>
        <row r="398">
          <cell r="H398" t="str">
            <v>E</v>
          </cell>
          <cell r="J398" t="str">
            <v>Exp-Goods/Svcs</v>
          </cell>
        </row>
        <row r="399">
          <cell r="H399" t="str">
            <v>E</v>
          </cell>
          <cell r="J399" t="str">
            <v>Exp-Goods/Svcs</v>
          </cell>
        </row>
        <row r="400">
          <cell r="H400" t="str">
            <v>E</v>
          </cell>
          <cell r="J400" t="str">
            <v>Exp-Goods/Svcs</v>
          </cell>
        </row>
        <row r="401">
          <cell r="H401" t="str">
            <v>E</v>
          </cell>
          <cell r="J401" t="str">
            <v>Exp-Goods/Svcs</v>
          </cell>
        </row>
        <row r="402">
          <cell r="H402" t="str">
            <v>E</v>
          </cell>
          <cell r="J402" t="str">
            <v>Exp-Goods/Svcs</v>
          </cell>
        </row>
        <row r="403">
          <cell r="H403" t="str">
            <v>E</v>
          </cell>
          <cell r="J403" t="str">
            <v>Exp-Goods/Svcs</v>
          </cell>
        </row>
        <row r="404">
          <cell r="H404" t="str">
            <v>E</v>
          </cell>
          <cell r="J404" t="str">
            <v>Exp-Goods/Svcs</v>
          </cell>
        </row>
        <row r="405">
          <cell r="H405" t="str">
            <v>E</v>
          </cell>
          <cell r="J405" t="str">
            <v>Exp-Goods/Svcs</v>
          </cell>
        </row>
        <row r="406">
          <cell r="H406" t="str">
            <v>E</v>
          </cell>
          <cell r="J406" t="str">
            <v>Exp-Goods/Svcs</v>
          </cell>
        </row>
        <row r="407">
          <cell r="H407" t="str">
            <v>E</v>
          </cell>
          <cell r="J407" t="str">
            <v>Exp-Goods/Svcs</v>
          </cell>
        </row>
        <row r="408">
          <cell r="H408" t="str">
            <v>E</v>
          </cell>
          <cell r="J408" t="str">
            <v>Exp-Goods/Svcs</v>
          </cell>
        </row>
        <row r="409">
          <cell r="H409" t="str">
            <v>E</v>
          </cell>
          <cell r="J409" t="str">
            <v>Exp-Goods/Svcs</v>
          </cell>
        </row>
        <row r="410">
          <cell r="H410" t="str">
            <v>E</v>
          </cell>
          <cell r="J410" t="str">
            <v>Exp-Goods/Svcs</v>
          </cell>
        </row>
        <row r="411">
          <cell r="H411" t="str">
            <v>E</v>
          </cell>
          <cell r="J411" t="str">
            <v>Exp-Goods/Svcs</v>
          </cell>
        </row>
        <row r="412">
          <cell r="H412" t="str">
            <v>E</v>
          </cell>
          <cell r="J412" t="str">
            <v>Exp-Goods/Svcs</v>
          </cell>
        </row>
        <row r="413">
          <cell r="H413" t="str">
            <v>E</v>
          </cell>
          <cell r="J413" t="str">
            <v>Exp-Goods/Svcs</v>
          </cell>
        </row>
        <row r="414">
          <cell r="H414" t="str">
            <v>E</v>
          </cell>
          <cell r="J414" t="str">
            <v>Exp-Goods/Svcs</v>
          </cell>
        </row>
        <row r="415">
          <cell r="H415" t="str">
            <v>E</v>
          </cell>
          <cell r="J415" t="str">
            <v>Exp-Goods/Svcs</v>
          </cell>
        </row>
        <row r="416">
          <cell r="H416" t="str">
            <v>E</v>
          </cell>
          <cell r="J416" t="str">
            <v>Exp-Goods/Svcs</v>
          </cell>
        </row>
        <row r="417">
          <cell r="H417" t="str">
            <v>E</v>
          </cell>
          <cell r="J417" t="str">
            <v>Exp-Goods/Svcs</v>
          </cell>
        </row>
        <row r="418">
          <cell r="H418" t="str">
            <v>E</v>
          </cell>
          <cell r="J418" t="str">
            <v>Exp-Goods/Svcs</v>
          </cell>
        </row>
        <row r="419">
          <cell r="H419" t="str">
            <v>E</v>
          </cell>
          <cell r="J419" t="str">
            <v>Exp-Goods/Svcs</v>
          </cell>
        </row>
        <row r="420">
          <cell r="H420" t="str">
            <v>E</v>
          </cell>
          <cell r="J420" t="str">
            <v>Exp-Goods/Svcs</v>
          </cell>
        </row>
        <row r="421">
          <cell r="H421" t="str">
            <v>E</v>
          </cell>
          <cell r="J421" t="str">
            <v>Exp-Goods/Svcs</v>
          </cell>
        </row>
        <row r="422">
          <cell r="H422" t="str">
            <v>E</v>
          </cell>
          <cell r="J422" t="str">
            <v>Exp-Goods/Svcs</v>
          </cell>
        </row>
        <row r="423">
          <cell r="H423" t="str">
            <v>E</v>
          </cell>
          <cell r="J423" t="str">
            <v>Exp-Goods/Svcs</v>
          </cell>
        </row>
        <row r="424">
          <cell r="H424" t="str">
            <v>E</v>
          </cell>
          <cell r="J424" t="str">
            <v>Exp-Goods/Svcs</v>
          </cell>
        </row>
        <row r="425">
          <cell r="H425" t="str">
            <v>EA</v>
          </cell>
          <cell r="I425" t="str">
            <v>00</v>
          </cell>
          <cell r="J425" t="str">
            <v>Exp-Goods/Svcs</v>
          </cell>
        </row>
        <row r="426">
          <cell r="H426" t="str">
            <v>EA</v>
          </cell>
          <cell r="I426" t="str">
            <v>00</v>
          </cell>
          <cell r="J426" t="str">
            <v>Exp-Goods/Svcs</v>
          </cell>
        </row>
        <row r="427">
          <cell r="H427" t="str">
            <v>EA</v>
          </cell>
          <cell r="I427" t="str">
            <v>00</v>
          </cell>
          <cell r="J427" t="str">
            <v>Exp-Goods/Svcs</v>
          </cell>
        </row>
        <row r="428">
          <cell r="H428" t="str">
            <v>EA</v>
          </cell>
          <cell r="I428" t="str">
            <v>00</v>
          </cell>
          <cell r="J428" t="str">
            <v>Exp-Goods/Svcs</v>
          </cell>
        </row>
        <row r="429">
          <cell r="H429" t="str">
            <v>EA</v>
          </cell>
          <cell r="I429" t="str">
            <v>00</v>
          </cell>
          <cell r="J429" t="str">
            <v>Exp-Goods/Svcs</v>
          </cell>
        </row>
        <row r="430">
          <cell r="H430" t="str">
            <v>EA</v>
          </cell>
          <cell r="I430" t="str">
            <v>00</v>
          </cell>
          <cell r="J430" t="str">
            <v>Exp-Goods/Svcs</v>
          </cell>
        </row>
        <row r="431">
          <cell r="H431" t="str">
            <v>EA</v>
          </cell>
          <cell r="I431" t="str">
            <v>00</v>
          </cell>
          <cell r="J431" t="str">
            <v>Exp-Goods/Svcs</v>
          </cell>
        </row>
        <row r="432">
          <cell r="H432" t="str">
            <v>EA</v>
          </cell>
          <cell r="I432" t="str">
            <v>00</v>
          </cell>
          <cell r="J432" t="str">
            <v>Exp-Goods/Svcs</v>
          </cell>
        </row>
        <row r="433">
          <cell r="H433" t="str">
            <v>EA</v>
          </cell>
          <cell r="I433" t="str">
            <v>00</v>
          </cell>
          <cell r="J433" t="str">
            <v>Exp-Goods/Svcs</v>
          </cell>
        </row>
        <row r="434">
          <cell r="H434" t="str">
            <v>EA</v>
          </cell>
          <cell r="I434" t="str">
            <v>00</v>
          </cell>
          <cell r="J434" t="str">
            <v>Exp-Goods/Svcs</v>
          </cell>
        </row>
        <row r="435">
          <cell r="H435" t="str">
            <v>EA</v>
          </cell>
          <cell r="I435" t="str">
            <v>00</v>
          </cell>
          <cell r="J435" t="str">
            <v>Exp-Goods/Svcs</v>
          </cell>
        </row>
        <row r="436">
          <cell r="H436" t="str">
            <v>EA</v>
          </cell>
          <cell r="I436" t="str">
            <v>00</v>
          </cell>
          <cell r="J436" t="str">
            <v>Exp-Goods/Svcs</v>
          </cell>
        </row>
        <row r="437">
          <cell r="H437" t="str">
            <v>EA</v>
          </cell>
          <cell r="I437" t="str">
            <v>00</v>
          </cell>
          <cell r="J437" t="str">
            <v>Exp-Goods/Svcs</v>
          </cell>
        </row>
        <row r="438">
          <cell r="H438" t="str">
            <v>EA</v>
          </cell>
          <cell r="I438" t="str">
            <v>55</v>
          </cell>
          <cell r="J438" t="str">
            <v>Exp-Goods/Svcs</v>
          </cell>
        </row>
        <row r="439">
          <cell r="H439" t="str">
            <v>EA</v>
          </cell>
          <cell r="I439" t="str">
            <v>44</v>
          </cell>
          <cell r="J439" t="str">
            <v>Exp-Goods/Svcs</v>
          </cell>
        </row>
        <row r="440">
          <cell r="H440" t="str">
            <v>EA</v>
          </cell>
          <cell r="I440" t="str">
            <v>00</v>
          </cell>
          <cell r="J440" t="str">
            <v>Exp-Goods/Svcs</v>
          </cell>
        </row>
        <row r="441">
          <cell r="H441" t="str">
            <v>EA</v>
          </cell>
          <cell r="I441" t="str">
            <v>44</v>
          </cell>
          <cell r="J441" t="str">
            <v>Exp-Goods/Svcs</v>
          </cell>
        </row>
        <row r="442">
          <cell r="H442" t="str">
            <v>EA</v>
          </cell>
          <cell r="I442" t="str">
            <v>00</v>
          </cell>
          <cell r="J442" t="str">
            <v>Exp-Goods/Svcs</v>
          </cell>
        </row>
        <row r="443">
          <cell r="H443" t="str">
            <v>EA</v>
          </cell>
          <cell r="I443" t="str">
            <v>00</v>
          </cell>
          <cell r="J443" t="str">
            <v>Exp-Goods/Svcs</v>
          </cell>
        </row>
        <row r="444">
          <cell r="H444" t="str">
            <v>EA</v>
          </cell>
          <cell r="I444" t="str">
            <v>00</v>
          </cell>
          <cell r="J444" t="str">
            <v>Exp-Goods/Svcs</v>
          </cell>
        </row>
        <row r="445">
          <cell r="H445" t="str">
            <v>EA</v>
          </cell>
          <cell r="I445" t="str">
            <v>00</v>
          </cell>
          <cell r="J445" t="str">
            <v>Exp-Goods/Svcs</v>
          </cell>
        </row>
        <row r="446">
          <cell r="H446" t="str">
            <v>EA</v>
          </cell>
          <cell r="I446" t="str">
            <v>00</v>
          </cell>
          <cell r="J446" t="str">
            <v>Exp-Goods/Svcs</v>
          </cell>
        </row>
        <row r="447">
          <cell r="H447" t="str">
            <v>EA</v>
          </cell>
          <cell r="I447" t="str">
            <v>55</v>
          </cell>
          <cell r="J447" t="str">
            <v>Exp-Goods/Svcs</v>
          </cell>
        </row>
        <row r="448">
          <cell r="H448" t="str">
            <v>EA</v>
          </cell>
          <cell r="I448" t="str">
            <v>00</v>
          </cell>
          <cell r="J448" t="str">
            <v>Exp-Goods/Svcs</v>
          </cell>
        </row>
        <row r="449">
          <cell r="H449" t="str">
            <v>EA</v>
          </cell>
          <cell r="I449" t="str">
            <v>00</v>
          </cell>
          <cell r="J449" t="str">
            <v>Exp-Goods/Svcs</v>
          </cell>
        </row>
        <row r="450">
          <cell r="H450" t="str">
            <v>EA</v>
          </cell>
          <cell r="I450" t="str">
            <v>00</v>
          </cell>
          <cell r="J450" t="str">
            <v>Exp-Goods/Svcs</v>
          </cell>
        </row>
        <row r="451">
          <cell r="H451" t="str">
            <v>EA</v>
          </cell>
          <cell r="I451" t="str">
            <v>00</v>
          </cell>
          <cell r="J451" t="str">
            <v>Exp-Goods/Svcs</v>
          </cell>
        </row>
        <row r="452">
          <cell r="H452" t="str">
            <v>EA</v>
          </cell>
          <cell r="I452" t="str">
            <v>00</v>
          </cell>
          <cell r="J452" t="str">
            <v>Exp-Goods/Svcs</v>
          </cell>
        </row>
        <row r="453">
          <cell r="H453" t="str">
            <v>EA</v>
          </cell>
          <cell r="I453" t="str">
            <v>00</v>
          </cell>
          <cell r="J453" t="str">
            <v>Exp-Goods/Svcs</v>
          </cell>
        </row>
        <row r="454">
          <cell r="H454" t="str">
            <v>EA</v>
          </cell>
          <cell r="I454" t="str">
            <v>44</v>
          </cell>
          <cell r="J454" t="str">
            <v>Exp-Goods/Svcs</v>
          </cell>
        </row>
        <row r="455">
          <cell r="H455" t="str">
            <v>EA</v>
          </cell>
          <cell r="I455" t="str">
            <v>00</v>
          </cell>
          <cell r="J455" t="str">
            <v>Exp-Goods/Svcs</v>
          </cell>
        </row>
        <row r="456">
          <cell r="H456" t="str">
            <v>EA</v>
          </cell>
          <cell r="I456" t="str">
            <v>00</v>
          </cell>
          <cell r="J456" t="str">
            <v>Exp-Goods/Svcs</v>
          </cell>
        </row>
        <row r="457">
          <cell r="H457" t="str">
            <v>EA</v>
          </cell>
          <cell r="I457" t="str">
            <v>00</v>
          </cell>
          <cell r="J457" t="str">
            <v>Exp-Goods/Svcs</v>
          </cell>
        </row>
        <row r="458">
          <cell r="H458" t="str">
            <v>EA</v>
          </cell>
          <cell r="I458" t="str">
            <v>00</v>
          </cell>
          <cell r="J458" t="str">
            <v>Exp-Goods/Svcs</v>
          </cell>
        </row>
        <row r="459">
          <cell r="H459" t="str">
            <v>EA</v>
          </cell>
          <cell r="I459" t="str">
            <v>00</v>
          </cell>
          <cell r="J459" t="str">
            <v>Exp-Goods/Svcs</v>
          </cell>
        </row>
        <row r="460">
          <cell r="H460" t="str">
            <v>EA</v>
          </cell>
          <cell r="I460" t="str">
            <v>00</v>
          </cell>
          <cell r="J460" t="str">
            <v>Exp-Goods/Svcs</v>
          </cell>
        </row>
        <row r="461">
          <cell r="H461" t="str">
            <v>EA</v>
          </cell>
          <cell r="I461" t="str">
            <v>00</v>
          </cell>
          <cell r="J461" t="str">
            <v>Exp-Goods/Svcs</v>
          </cell>
        </row>
        <row r="462">
          <cell r="H462" t="str">
            <v>EA</v>
          </cell>
          <cell r="I462" t="str">
            <v>00</v>
          </cell>
          <cell r="J462" t="str">
            <v>Exp-Goods/Svcs</v>
          </cell>
        </row>
        <row r="463">
          <cell r="H463" t="str">
            <v>EA</v>
          </cell>
          <cell r="I463" t="str">
            <v>00</v>
          </cell>
          <cell r="J463" t="str">
            <v>Exp-Goods/Svcs</v>
          </cell>
        </row>
        <row r="464">
          <cell r="H464" t="str">
            <v>EA</v>
          </cell>
          <cell r="I464" t="str">
            <v>00</v>
          </cell>
          <cell r="J464" t="str">
            <v>Exp-Goods/Svcs</v>
          </cell>
        </row>
        <row r="465">
          <cell r="H465" t="str">
            <v>EA</v>
          </cell>
          <cell r="I465" t="str">
            <v>00</v>
          </cell>
          <cell r="J465" t="str">
            <v>Exp-Goods/Svcs</v>
          </cell>
        </row>
        <row r="466">
          <cell r="H466" t="str">
            <v>EA</v>
          </cell>
          <cell r="I466" t="str">
            <v>00</v>
          </cell>
          <cell r="J466" t="str">
            <v>Exp-Goods/Svcs</v>
          </cell>
        </row>
        <row r="467">
          <cell r="H467" t="str">
            <v>EA</v>
          </cell>
          <cell r="I467" t="str">
            <v>00</v>
          </cell>
          <cell r="J467" t="str">
            <v>Exp-Goods/Svcs</v>
          </cell>
        </row>
        <row r="468">
          <cell r="H468" t="str">
            <v>EA</v>
          </cell>
          <cell r="I468" t="str">
            <v>00</v>
          </cell>
          <cell r="J468" t="str">
            <v>Exp-Goods/Svcs</v>
          </cell>
        </row>
        <row r="469">
          <cell r="H469" t="str">
            <v>EA</v>
          </cell>
          <cell r="I469" t="str">
            <v>00</v>
          </cell>
          <cell r="J469" t="str">
            <v>Exp-Goods/Svcs</v>
          </cell>
        </row>
        <row r="470">
          <cell r="H470" t="str">
            <v>EA</v>
          </cell>
          <cell r="I470" t="str">
            <v>00</v>
          </cell>
          <cell r="J470" t="str">
            <v>Exp-Goods/Svcs</v>
          </cell>
        </row>
        <row r="471">
          <cell r="H471" t="str">
            <v>EB</v>
          </cell>
          <cell r="I471" t="str">
            <v>25</v>
          </cell>
          <cell r="J471" t="str">
            <v>Exp-Goods/Svcs</v>
          </cell>
        </row>
        <row r="472">
          <cell r="H472" t="str">
            <v>EB</v>
          </cell>
          <cell r="I472" t="str">
            <v>25</v>
          </cell>
          <cell r="J472" t="str">
            <v>Exp-Goods/Svcs</v>
          </cell>
        </row>
        <row r="473">
          <cell r="H473" t="str">
            <v>EB</v>
          </cell>
          <cell r="I473" t="str">
            <v>40</v>
          </cell>
          <cell r="J473" t="str">
            <v>Exp-Goods/Svcs</v>
          </cell>
        </row>
        <row r="474">
          <cell r="H474" t="str">
            <v>EB</v>
          </cell>
          <cell r="I474" t="str">
            <v>40</v>
          </cell>
          <cell r="J474" t="str">
            <v>Exp-Goods/Svcs</v>
          </cell>
        </row>
        <row r="475">
          <cell r="H475" t="str">
            <v>EB</v>
          </cell>
          <cell r="I475" t="str">
            <v>20</v>
          </cell>
          <cell r="J475" t="str">
            <v>Exp-Goods/Svcs</v>
          </cell>
        </row>
        <row r="476">
          <cell r="H476" t="str">
            <v>EB</v>
          </cell>
          <cell r="I476" t="str">
            <v>40</v>
          </cell>
          <cell r="J476" t="str">
            <v>Exp-Goods/Svcs</v>
          </cell>
        </row>
        <row r="477">
          <cell r="H477" t="str">
            <v>EB</v>
          </cell>
          <cell r="I477" t="str">
            <v>10</v>
          </cell>
          <cell r="J477" t="str">
            <v>Exp-Goods/Svcs</v>
          </cell>
        </row>
        <row r="478">
          <cell r="H478" t="str">
            <v>EB</v>
          </cell>
          <cell r="I478" t="str">
            <v>20</v>
          </cell>
          <cell r="J478" t="str">
            <v>Exp-Goods/Svcs</v>
          </cell>
        </row>
        <row r="479">
          <cell r="H479" t="str">
            <v>EB</v>
          </cell>
          <cell r="I479" t="str">
            <v>10</v>
          </cell>
          <cell r="J479" t="str">
            <v>Exp-Goods/Svcs</v>
          </cell>
        </row>
        <row r="480">
          <cell r="H480" t="str">
            <v>ED</v>
          </cell>
          <cell r="I480" t="str">
            <v>20</v>
          </cell>
          <cell r="J480" t="str">
            <v>Exp-Goods/Svcs</v>
          </cell>
        </row>
        <row r="481">
          <cell r="H481" t="str">
            <v>ED</v>
          </cell>
          <cell r="I481" t="str">
            <v>00</v>
          </cell>
          <cell r="J481" t="str">
            <v>Exp-Goods/Svcs</v>
          </cell>
        </row>
        <row r="482">
          <cell r="H482" t="str">
            <v>ED</v>
          </cell>
          <cell r="I482" t="str">
            <v>00</v>
          </cell>
          <cell r="J482" t="str">
            <v>Exp-Goods/Svcs</v>
          </cell>
        </row>
        <row r="483">
          <cell r="H483" t="str">
            <v>ED</v>
          </cell>
          <cell r="I483" t="str">
            <v>20</v>
          </cell>
          <cell r="J483" t="str">
            <v>Exp-Goods/Svcs</v>
          </cell>
        </row>
        <row r="484">
          <cell r="H484" t="str">
            <v>ED</v>
          </cell>
          <cell r="I484" t="str">
            <v>00</v>
          </cell>
          <cell r="J484" t="str">
            <v>Exp-Goods/Svcs</v>
          </cell>
        </row>
        <row r="485">
          <cell r="H485" t="str">
            <v>ED</v>
          </cell>
          <cell r="I485" t="str">
            <v>20</v>
          </cell>
          <cell r="J485" t="str">
            <v>Exp-Goods/Svcs</v>
          </cell>
        </row>
        <row r="486">
          <cell r="H486" t="str">
            <v>ED</v>
          </cell>
          <cell r="I486" t="str">
            <v>20</v>
          </cell>
          <cell r="J486" t="str">
            <v>Exp-Goods/Svcs</v>
          </cell>
        </row>
        <row r="487">
          <cell r="H487" t="str">
            <v>ED</v>
          </cell>
          <cell r="I487" t="str">
            <v>00</v>
          </cell>
          <cell r="J487" t="str">
            <v>Exp-Goods/Svcs</v>
          </cell>
        </row>
        <row r="488">
          <cell r="H488" t="str">
            <v>ED</v>
          </cell>
          <cell r="I488" t="str">
            <v>30</v>
          </cell>
          <cell r="J488" t="str">
            <v>Exp-Goods/Svcs</v>
          </cell>
        </row>
        <row r="489">
          <cell r="H489" t="str">
            <v>EE</v>
          </cell>
          <cell r="I489" t="str">
            <v>00</v>
          </cell>
          <cell r="J489" t="str">
            <v>Exp-Goods/Svcs</v>
          </cell>
        </row>
        <row r="490">
          <cell r="H490" t="str">
            <v>EE</v>
          </cell>
          <cell r="I490" t="str">
            <v>CL</v>
          </cell>
          <cell r="J490" t="str">
            <v>Exp-Goods/Svcs</v>
          </cell>
        </row>
        <row r="491">
          <cell r="H491" t="str">
            <v>EE</v>
          </cell>
          <cell r="I491" t="str">
            <v>CL</v>
          </cell>
          <cell r="J491" t="str">
            <v>Exp-Goods/Svcs</v>
          </cell>
        </row>
        <row r="492">
          <cell r="H492" t="str">
            <v>EE</v>
          </cell>
          <cell r="I492" t="str">
            <v>CM</v>
          </cell>
          <cell r="J492" t="str">
            <v>Exp-Goods/Svcs</v>
          </cell>
        </row>
        <row r="493">
          <cell r="H493" t="str">
            <v>EE</v>
          </cell>
          <cell r="I493" t="str">
            <v>50</v>
          </cell>
          <cell r="J493" t="str">
            <v>Exp-Goods/Svcs</v>
          </cell>
        </row>
        <row r="494">
          <cell r="H494" t="str">
            <v>EE</v>
          </cell>
          <cell r="I494" t="str">
            <v>CL</v>
          </cell>
          <cell r="J494" t="str">
            <v>Exp-Goods/Svcs</v>
          </cell>
        </row>
        <row r="495">
          <cell r="H495" t="str">
            <v>EE</v>
          </cell>
          <cell r="I495" t="str">
            <v>CL</v>
          </cell>
          <cell r="J495" t="str">
            <v>Exp-Goods/Svcs</v>
          </cell>
        </row>
        <row r="496">
          <cell r="H496" t="str">
            <v>EE</v>
          </cell>
          <cell r="I496" t="str">
            <v>CM</v>
          </cell>
          <cell r="J496" t="str">
            <v>Exp-Goods/Svcs</v>
          </cell>
        </row>
        <row r="497">
          <cell r="H497" t="str">
            <v>EE</v>
          </cell>
          <cell r="I497" t="str">
            <v>CL</v>
          </cell>
          <cell r="J497" t="str">
            <v>Exp-Goods/Svcs</v>
          </cell>
        </row>
        <row r="498">
          <cell r="H498" t="str">
            <v>EE</v>
          </cell>
          <cell r="I498" t="str">
            <v>CM</v>
          </cell>
          <cell r="J498" t="str">
            <v>Exp-Goods/Svcs</v>
          </cell>
        </row>
        <row r="499">
          <cell r="H499" t="str">
            <v>EE</v>
          </cell>
          <cell r="I499" t="str">
            <v>20</v>
          </cell>
          <cell r="J499" t="str">
            <v>Exp-Goods/Svcs</v>
          </cell>
        </row>
        <row r="500">
          <cell r="H500" t="str">
            <v>EE</v>
          </cell>
          <cell r="I500" t="str">
            <v>50</v>
          </cell>
          <cell r="J500" t="str">
            <v>Exp-Goods/Svcs</v>
          </cell>
        </row>
        <row r="501">
          <cell r="H501" t="str">
            <v>EE</v>
          </cell>
          <cell r="I501" t="str">
            <v>50</v>
          </cell>
          <cell r="J501" t="str">
            <v>Exp-Goods/Svcs</v>
          </cell>
        </row>
        <row r="502">
          <cell r="H502" t="str">
            <v>EE</v>
          </cell>
          <cell r="I502" t="str">
            <v>00</v>
          </cell>
          <cell r="J502" t="str">
            <v>Exp-Goods/Svcs</v>
          </cell>
        </row>
        <row r="503">
          <cell r="H503" t="str">
            <v>EE</v>
          </cell>
          <cell r="I503" t="str">
            <v>20</v>
          </cell>
          <cell r="J503" t="str">
            <v>Exp-Goods/Svcs</v>
          </cell>
        </row>
        <row r="504">
          <cell r="H504" t="str">
            <v>EE</v>
          </cell>
          <cell r="I504" t="str">
            <v>CL</v>
          </cell>
          <cell r="J504" t="str">
            <v>Exp-Goods/Svcs</v>
          </cell>
        </row>
        <row r="505">
          <cell r="H505" t="str">
            <v>EE</v>
          </cell>
          <cell r="I505" t="str">
            <v>CM</v>
          </cell>
          <cell r="J505" t="str">
            <v>Exp-Goods/Svcs</v>
          </cell>
        </row>
        <row r="506">
          <cell r="H506" t="str">
            <v>EE</v>
          </cell>
          <cell r="I506" t="str">
            <v>50</v>
          </cell>
          <cell r="J506" t="str">
            <v>Exp-Goods/Svcs</v>
          </cell>
        </row>
        <row r="507">
          <cell r="H507" t="str">
            <v>EE</v>
          </cell>
          <cell r="I507" t="str">
            <v>00</v>
          </cell>
          <cell r="J507" t="str">
            <v>Exp-Goods/Svcs</v>
          </cell>
        </row>
        <row r="508">
          <cell r="H508" t="str">
            <v>EE</v>
          </cell>
          <cell r="I508" t="str">
            <v>CL</v>
          </cell>
          <cell r="J508" t="str">
            <v>Exp-Goods/Svcs</v>
          </cell>
        </row>
        <row r="509">
          <cell r="H509" t="str">
            <v>EE</v>
          </cell>
          <cell r="I509" t="str">
            <v>CM</v>
          </cell>
          <cell r="J509" t="str">
            <v>Exp-Goods/Svcs</v>
          </cell>
        </row>
        <row r="510">
          <cell r="H510" t="str">
            <v>EE</v>
          </cell>
          <cell r="I510" t="str">
            <v>00</v>
          </cell>
          <cell r="J510" t="str">
            <v>Exp-Goods/Svcs</v>
          </cell>
        </row>
        <row r="511">
          <cell r="H511" t="str">
            <v>EE</v>
          </cell>
          <cell r="I511" t="str">
            <v>CL</v>
          </cell>
          <cell r="J511" t="str">
            <v>Exp-Goods/Svcs</v>
          </cell>
        </row>
        <row r="512">
          <cell r="H512" t="str">
            <v>EF</v>
          </cell>
          <cell r="I512" t="str">
            <v>00</v>
          </cell>
          <cell r="J512" t="str">
            <v>Exp-Goods/Svcs</v>
          </cell>
        </row>
        <row r="513">
          <cell r="H513" t="str">
            <v>EF</v>
          </cell>
          <cell r="I513" t="str">
            <v>00</v>
          </cell>
          <cell r="J513" t="str">
            <v>Exp-Goods/Svcs</v>
          </cell>
        </row>
        <row r="514">
          <cell r="H514" t="str">
            <v>EF</v>
          </cell>
          <cell r="I514" t="str">
            <v>00</v>
          </cell>
          <cell r="J514" t="str">
            <v>Exp-Goods/Svcs</v>
          </cell>
        </row>
        <row r="515">
          <cell r="H515" t="str">
            <v>EF</v>
          </cell>
          <cell r="I515" t="str">
            <v>00</v>
          </cell>
          <cell r="J515" t="str">
            <v>Exp-Goods/Svcs</v>
          </cell>
        </row>
        <row r="516">
          <cell r="H516" t="str">
            <v>EG</v>
          </cell>
          <cell r="I516" t="str">
            <v>70</v>
          </cell>
          <cell r="J516" t="str">
            <v>Exp-Goods/Svcs</v>
          </cell>
        </row>
        <row r="517">
          <cell r="H517" t="str">
            <v>EG</v>
          </cell>
          <cell r="I517" t="str">
            <v>60</v>
          </cell>
          <cell r="J517" t="str">
            <v>Exp-Goods/Svcs</v>
          </cell>
        </row>
        <row r="518">
          <cell r="H518" t="str">
            <v>EG</v>
          </cell>
          <cell r="I518" t="str">
            <v>RG</v>
          </cell>
          <cell r="J518" t="str">
            <v>Exp-Goods/Svcs</v>
          </cell>
        </row>
        <row r="519">
          <cell r="H519" t="str">
            <v>EG</v>
          </cell>
          <cell r="I519" t="str">
            <v>RG</v>
          </cell>
          <cell r="J519" t="str">
            <v>Exp-Goods/Svcs</v>
          </cell>
        </row>
        <row r="520">
          <cell r="H520" t="str">
            <v>EG</v>
          </cell>
          <cell r="I520" t="str">
            <v>50</v>
          </cell>
          <cell r="J520" t="str">
            <v>Exp-Goods/Svcs</v>
          </cell>
        </row>
        <row r="521">
          <cell r="H521" t="str">
            <v>EG</v>
          </cell>
          <cell r="I521" t="str">
            <v>60</v>
          </cell>
          <cell r="J521" t="str">
            <v>Exp-Goods/Svcs</v>
          </cell>
        </row>
        <row r="522">
          <cell r="H522" t="str">
            <v>EG</v>
          </cell>
          <cell r="I522" t="str">
            <v>60</v>
          </cell>
          <cell r="J522" t="str">
            <v>Exp-Goods/Svcs</v>
          </cell>
        </row>
        <row r="523">
          <cell r="H523" t="str">
            <v>EG</v>
          </cell>
          <cell r="I523" t="str">
            <v>60</v>
          </cell>
          <cell r="J523" t="str">
            <v>Exp-Goods/Svcs</v>
          </cell>
        </row>
        <row r="524">
          <cell r="H524" t="str">
            <v>EG</v>
          </cell>
          <cell r="I524" t="str">
            <v>50</v>
          </cell>
          <cell r="J524" t="str">
            <v>Exp-Goods/Svcs</v>
          </cell>
        </row>
        <row r="525">
          <cell r="H525" t="str">
            <v>EG</v>
          </cell>
          <cell r="I525" t="str">
            <v>60</v>
          </cell>
          <cell r="J525" t="str">
            <v>Exp-Goods/Svcs</v>
          </cell>
        </row>
        <row r="526">
          <cell r="H526" t="str">
            <v>EG</v>
          </cell>
          <cell r="I526" t="str">
            <v>70</v>
          </cell>
          <cell r="J526" t="str">
            <v>Exp-Goods/Svcs</v>
          </cell>
        </row>
        <row r="527">
          <cell r="H527" t="str">
            <v>EG</v>
          </cell>
          <cell r="I527" t="str">
            <v>60</v>
          </cell>
          <cell r="J527" t="str">
            <v>Exp-Goods/Svcs</v>
          </cell>
        </row>
        <row r="528">
          <cell r="H528" t="str">
            <v>EG</v>
          </cell>
          <cell r="I528" t="str">
            <v>80</v>
          </cell>
          <cell r="J528" t="str">
            <v>Exp-Goods/Svcs</v>
          </cell>
        </row>
        <row r="529">
          <cell r="H529" t="str">
            <v>EG</v>
          </cell>
          <cell r="I529" t="str">
            <v>RG</v>
          </cell>
          <cell r="J529" t="str">
            <v>Exp-Goods/Svcs</v>
          </cell>
        </row>
        <row r="530">
          <cell r="H530" t="str">
            <v>EG</v>
          </cell>
          <cell r="I530" t="str">
            <v>RG</v>
          </cell>
          <cell r="J530" t="str">
            <v>Exp-Goods/Svcs</v>
          </cell>
        </row>
        <row r="531">
          <cell r="H531" t="str">
            <v>EG</v>
          </cell>
          <cell r="I531" t="str">
            <v>00</v>
          </cell>
          <cell r="J531" t="str">
            <v>Exp-Goods/Svcs</v>
          </cell>
        </row>
        <row r="532">
          <cell r="H532" t="str">
            <v>EG</v>
          </cell>
          <cell r="I532" t="str">
            <v>RG</v>
          </cell>
          <cell r="J532" t="str">
            <v>Exp-Goods/Svcs</v>
          </cell>
        </row>
        <row r="533">
          <cell r="H533" t="str">
            <v>EG</v>
          </cell>
          <cell r="I533" t="str">
            <v>60</v>
          </cell>
          <cell r="J533" t="str">
            <v>Exp-Goods/Svcs</v>
          </cell>
        </row>
        <row r="534">
          <cell r="H534" t="str">
            <v>EG</v>
          </cell>
          <cell r="I534" t="str">
            <v>RG</v>
          </cell>
          <cell r="J534" t="str">
            <v>Exp-Goods/Svcs</v>
          </cell>
        </row>
        <row r="535">
          <cell r="H535" t="str">
            <v>EG</v>
          </cell>
          <cell r="I535" t="str">
            <v>RG</v>
          </cell>
          <cell r="J535" t="str">
            <v>Exp-Goods/Svcs</v>
          </cell>
        </row>
        <row r="536">
          <cell r="H536" t="str">
            <v>EJ</v>
          </cell>
          <cell r="I536" t="str">
            <v>00</v>
          </cell>
          <cell r="J536" t="str">
            <v>Exp-Goods/Svcs</v>
          </cell>
        </row>
        <row r="537">
          <cell r="H537" t="str">
            <v>EJ</v>
          </cell>
          <cell r="I537" t="str">
            <v>00</v>
          </cell>
          <cell r="J537" t="str">
            <v>Exp-Goods/Svcs</v>
          </cell>
        </row>
        <row r="538">
          <cell r="H538" t="str">
            <v>EJ</v>
          </cell>
          <cell r="I538" t="str">
            <v>00</v>
          </cell>
          <cell r="J538" t="str">
            <v>Exp-Goods/Svcs</v>
          </cell>
        </row>
        <row r="539">
          <cell r="H539" t="str">
            <v>EK</v>
          </cell>
          <cell r="I539" t="str">
            <v>00</v>
          </cell>
          <cell r="J539" t="str">
            <v>Exp-Goods/Svcs</v>
          </cell>
        </row>
        <row r="540">
          <cell r="H540" t="str">
            <v>EK</v>
          </cell>
          <cell r="I540" t="str">
            <v>00</v>
          </cell>
          <cell r="J540" t="str">
            <v>Exp-Goods/Svcs</v>
          </cell>
        </row>
        <row r="541">
          <cell r="H541" t="str">
            <v>EK</v>
          </cell>
          <cell r="I541" t="str">
            <v>00</v>
          </cell>
          <cell r="J541" t="str">
            <v>Exp-Goods/Svcs</v>
          </cell>
        </row>
        <row r="542">
          <cell r="H542" t="str">
            <v>EN</v>
          </cell>
          <cell r="I542" t="str">
            <v>05</v>
          </cell>
          <cell r="J542" t="str">
            <v>Exp-Goods/Svcs</v>
          </cell>
        </row>
        <row r="543">
          <cell r="H543" t="str">
            <v>EN</v>
          </cell>
          <cell r="I543" t="str">
            <v>06</v>
          </cell>
          <cell r="J543" t="str">
            <v>Exp-Goods/Svcs</v>
          </cell>
        </row>
        <row r="544">
          <cell r="H544" t="str">
            <v>EN</v>
          </cell>
          <cell r="I544" t="str">
            <v>07</v>
          </cell>
          <cell r="J544" t="str">
            <v>Exp-Goods/Svcs</v>
          </cell>
        </row>
        <row r="545">
          <cell r="H545" t="str">
            <v>EN</v>
          </cell>
          <cell r="I545" t="str">
            <v>10</v>
          </cell>
          <cell r="J545" t="str">
            <v>Exp-Goods/Svcs</v>
          </cell>
        </row>
        <row r="546">
          <cell r="H546" t="str">
            <v>EN</v>
          </cell>
          <cell r="I546" t="str">
            <v>05</v>
          </cell>
          <cell r="J546" t="str">
            <v>Exp-Goods/Svcs</v>
          </cell>
        </row>
        <row r="547">
          <cell r="H547" t="str">
            <v>EN</v>
          </cell>
          <cell r="I547" t="str">
            <v>06</v>
          </cell>
          <cell r="J547" t="str">
            <v>Exp-Goods/Svcs</v>
          </cell>
        </row>
        <row r="548">
          <cell r="H548" t="str">
            <v>EN</v>
          </cell>
          <cell r="I548" t="str">
            <v>07</v>
          </cell>
          <cell r="J548" t="str">
            <v>Exp-Goods/Svcs</v>
          </cell>
        </row>
        <row r="549">
          <cell r="H549" t="str">
            <v>EN</v>
          </cell>
          <cell r="I549" t="str">
            <v>10</v>
          </cell>
          <cell r="J549" t="str">
            <v>Exp-Goods/Svcs</v>
          </cell>
        </row>
        <row r="550">
          <cell r="H550" t="str">
            <v>EN</v>
          </cell>
          <cell r="I550" t="str">
            <v>05</v>
          </cell>
          <cell r="J550" t="str">
            <v>Exp-Goods/Svcs</v>
          </cell>
        </row>
        <row r="551">
          <cell r="H551" t="str">
            <v>EN</v>
          </cell>
          <cell r="I551" t="str">
            <v>06</v>
          </cell>
          <cell r="J551" t="str">
            <v>Exp-Goods/Svcs</v>
          </cell>
        </row>
        <row r="552">
          <cell r="H552" t="str">
            <v>EN</v>
          </cell>
          <cell r="I552" t="str">
            <v>07</v>
          </cell>
          <cell r="J552" t="str">
            <v>Exp-Goods/Svcs</v>
          </cell>
        </row>
        <row r="553">
          <cell r="H553" t="str">
            <v>EN</v>
          </cell>
          <cell r="I553" t="str">
            <v>10</v>
          </cell>
          <cell r="J553" t="str">
            <v>Exp-Goods/Svcs</v>
          </cell>
        </row>
        <row r="554">
          <cell r="H554" t="str">
            <v>EN</v>
          </cell>
          <cell r="I554" t="str">
            <v>06</v>
          </cell>
          <cell r="J554" t="str">
            <v>Exp-Goods/Svcs</v>
          </cell>
        </row>
        <row r="555">
          <cell r="H555" t="str">
            <v>EN</v>
          </cell>
          <cell r="I555" t="str">
            <v>06</v>
          </cell>
          <cell r="J555" t="str">
            <v>Exp-Goods/Svcs</v>
          </cell>
        </row>
        <row r="556">
          <cell r="H556" t="str">
            <v>EN</v>
          </cell>
          <cell r="I556" t="str">
            <v>07</v>
          </cell>
          <cell r="J556" t="str">
            <v>Exp-Goods/Svcs</v>
          </cell>
        </row>
        <row r="557">
          <cell r="H557" t="str">
            <v>EN</v>
          </cell>
          <cell r="I557" t="str">
            <v>05</v>
          </cell>
          <cell r="J557" t="str">
            <v>Exp-Goods/Svcs</v>
          </cell>
        </row>
        <row r="558">
          <cell r="H558" t="str">
            <v>EN</v>
          </cell>
          <cell r="I558" t="str">
            <v>06</v>
          </cell>
          <cell r="J558" t="str">
            <v>Exp-Goods/Svcs</v>
          </cell>
        </row>
        <row r="559">
          <cell r="H559" t="str">
            <v>EN</v>
          </cell>
          <cell r="I559" t="str">
            <v>07</v>
          </cell>
          <cell r="J559" t="str">
            <v>Exp-Goods/Svcs</v>
          </cell>
        </row>
        <row r="560">
          <cell r="H560" t="str">
            <v>EN</v>
          </cell>
          <cell r="I560" t="str">
            <v>10</v>
          </cell>
          <cell r="J560" t="str">
            <v>Exp-Goods/Svcs</v>
          </cell>
        </row>
        <row r="561">
          <cell r="H561" t="str">
            <v>EN</v>
          </cell>
          <cell r="I561" t="str">
            <v>05</v>
          </cell>
          <cell r="J561" t="str">
            <v>Exp-Goods/Svcs</v>
          </cell>
        </row>
        <row r="562">
          <cell r="H562" t="str">
            <v>EN</v>
          </cell>
          <cell r="I562" t="str">
            <v>06</v>
          </cell>
          <cell r="J562" t="str">
            <v>Exp-Goods/Svcs</v>
          </cell>
        </row>
        <row r="563">
          <cell r="H563" t="str">
            <v>EN</v>
          </cell>
          <cell r="I563" t="str">
            <v>10</v>
          </cell>
          <cell r="J563" t="str">
            <v>Exp-Goods/Svcs</v>
          </cell>
        </row>
        <row r="564">
          <cell r="H564" t="str">
            <v>EN</v>
          </cell>
          <cell r="I564" t="str">
            <v>06</v>
          </cell>
          <cell r="J564" t="str">
            <v>Exp-Goods/Svcs</v>
          </cell>
        </row>
        <row r="565">
          <cell r="H565" t="str">
            <v>EN</v>
          </cell>
          <cell r="I565" t="str">
            <v>06</v>
          </cell>
          <cell r="J565" t="str">
            <v>Exp-Goods/Svcs</v>
          </cell>
        </row>
        <row r="566">
          <cell r="H566" t="str">
            <v>EN</v>
          </cell>
          <cell r="I566" t="str">
            <v>06</v>
          </cell>
          <cell r="J566" t="str">
            <v>Exp-Goods/Svcs</v>
          </cell>
        </row>
        <row r="567">
          <cell r="H567" t="str">
            <v>EN</v>
          </cell>
          <cell r="I567" t="str">
            <v>07</v>
          </cell>
          <cell r="J567" t="str">
            <v>Exp-Goods/Svcs</v>
          </cell>
        </row>
        <row r="568">
          <cell r="H568" t="str">
            <v>EN</v>
          </cell>
          <cell r="I568" t="str">
            <v>06</v>
          </cell>
          <cell r="J568" t="str">
            <v>Exp-Goods/Svcs</v>
          </cell>
        </row>
        <row r="569">
          <cell r="H569" t="str">
            <v>EN</v>
          </cell>
          <cell r="I569" t="str">
            <v>06</v>
          </cell>
          <cell r="J569" t="str">
            <v>Exp-Goods/Svcs</v>
          </cell>
        </row>
        <row r="570">
          <cell r="H570" t="str">
            <v>EN</v>
          </cell>
          <cell r="I570" t="str">
            <v>05</v>
          </cell>
          <cell r="J570" t="str">
            <v>Exp-Goods/Svcs</v>
          </cell>
        </row>
        <row r="571">
          <cell r="H571" t="str">
            <v>EN</v>
          </cell>
          <cell r="I571" t="str">
            <v>06</v>
          </cell>
          <cell r="J571" t="str">
            <v>Exp-Goods/Svcs</v>
          </cell>
        </row>
        <row r="572">
          <cell r="H572" t="str">
            <v>EN</v>
          </cell>
          <cell r="I572" t="str">
            <v>07</v>
          </cell>
          <cell r="J572" t="str">
            <v>Exp-Goods/Svcs</v>
          </cell>
        </row>
        <row r="573">
          <cell r="H573" t="str">
            <v>EN</v>
          </cell>
          <cell r="I573" t="str">
            <v>10</v>
          </cell>
          <cell r="J573" t="str">
            <v>Exp-Goods/Svcs</v>
          </cell>
        </row>
        <row r="574">
          <cell r="H574" t="str">
            <v>EN</v>
          </cell>
          <cell r="I574" t="str">
            <v>05</v>
          </cell>
          <cell r="J574" t="str">
            <v>Exp-Goods/Svcs</v>
          </cell>
        </row>
        <row r="575">
          <cell r="H575" t="str">
            <v>EN</v>
          </cell>
          <cell r="I575" t="str">
            <v>06</v>
          </cell>
          <cell r="J575" t="str">
            <v>Exp-Goods/Svcs</v>
          </cell>
        </row>
        <row r="576">
          <cell r="H576" t="str">
            <v>EN</v>
          </cell>
          <cell r="I576" t="str">
            <v>07</v>
          </cell>
          <cell r="J576" t="str">
            <v>Exp-Goods/Svcs</v>
          </cell>
        </row>
        <row r="577">
          <cell r="H577" t="str">
            <v>EN</v>
          </cell>
          <cell r="I577" t="str">
            <v>10</v>
          </cell>
          <cell r="J577" t="str">
            <v>Exp-Goods/Svcs</v>
          </cell>
        </row>
        <row r="578">
          <cell r="H578" t="str">
            <v>ER</v>
          </cell>
          <cell r="I578" t="str">
            <v>17</v>
          </cell>
          <cell r="J578" t="str">
            <v>Exp-Goods/Svcs</v>
          </cell>
        </row>
        <row r="579">
          <cell r="H579" t="str">
            <v>ER</v>
          </cell>
          <cell r="I579" t="str">
            <v>18</v>
          </cell>
          <cell r="J579" t="str">
            <v>Exp-Goods/Svcs</v>
          </cell>
        </row>
        <row r="580">
          <cell r="H580" t="str">
            <v>ER</v>
          </cell>
          <cell r="I580" t="str">
            <v>19</v>
          </cell>
          <cell r="J580" t="str">
            <v>Exp-Goods/Svcs</v>
          </cell>
        </row>
        <row r="581">
          <cell r="H581" t="str">
            <v>ER</v>
          </cell>
          <cell r="I581" t="str">
            <v>00</v>
          </cell>
          <cell r="J581" t="str">
            <v>Exp-Goods/Svcs</v>
          </cell>
        </row>
        <row r="582">
          <cell r="H582" t="str">
            <v>ER</v>
          </cell>
          <cell r="I582" t="str">
            <v>00</v>
          </cell>
          <cell r="J582" t="str">
            <v>Exp-Goods/Svcs</v>
          </cell>
        </row>
        <row r="583">
          <cell r="H583" t="str">
            <v>ER</v>
          </cell>
          <cell r="I583" t="str">
            <v>00</v>
          </cell>
          <cell r="J583" t="str">
            <v>Exp-Goods/Svcs</v>
          </cell>
        </row>
        <row r="584">
          <cell r="H584" t="str">
            <v>ER</v>
          </cell>
          <cell r="I584" t="str">
            <v>00</v>
          </cell>
          <cell r="J584" t="str">
            <v>Exp-Goods/Svcs</v>
          </cell>
        </row>
        <row r="585">
          <cell r="H585" t="str">
            <v>ER</v>
          </cell>
          <cell r="I585" t="str">
            <v>00</v>
          </cell>
          <cell r="J585" t="str">
            <v>Exp-Goods/Svcs</v>
          </cell>
        </row>
        <row r="586">
          <cell r="H586" t="str">
            <v>ER</v>
          </cell>
          <cell r="I586" t="str">
            <v>00</v>
          </cell>
          <cell r="J586" t="str">
            <v>Exp-Goods/Svcs</v>
          </cell>
        </row>
        <row r="587">
          <cell r="H587" t="str">
            <v>ER</v>
          </cell>
          <cell r="I587" t="str">
            <v>00</v>
          </cell>
          <cell r="J587" t="str">
            <v>Exp-Goods/Svcs</v>
          </cell>
        </row>
        <row r="588">
          <cell r="H588" t="str">
            <v>ER</v>
          </cell>
          <cell r="I588" t="str">
            <v>00</v>
          </cell>
          <cell r="J588" t="str">
            <v>Exp-Goods/Svcs</v>
          </cell>
        </row>
        <row r="589">
          <cell r="H589" t="str">
            <v>EZ</v>
          </cell>
          <cell r="I589" t="str">
            <v>00</v>
          </cell>
          <cell r="J589" t="str">
            <v>Exp-Goods/Svcs</v>
          </cell>
        </row>
        <row r="590">
          <cell r="H590" t="str">
            <v>EZ</v>
          </cell>
          <cell r="I590" t="str">
            <v>20</v>
          </cell>
          <cell r="J590" t="str">
            <v>Exp-Goods/Svcs</v>
          </cell>
        </row>
        <row r="591">
          <cell r="H591" t="str">
            <v>EZ</v>
          </cell>
          <cell r="I591" t="str">
            <v>30</v>
          </cell>
          <cell r="J591" t="str">
            <v>Exp-Goods/Svcs</v>
          </cell>
        </row>
        <row r="592">
          <cell r="H592" t="str">
            <v>EZ</v>
          </cell>
          <cell r="I592" t="str">
            <v>20</v>
          </cell>
          <cell r="J592" t="str">
            <v>Exp-Goods/Svcs</v>
          </cell>
        </row>
        <row r="593">
          <cell r="H593" t="str">
            <v>EZ</v>
          </cell>
          <cell r="I593" t="str">
            <v>00</v>
          </cell>
          <cell r="J593" t="str">
            <v>Exp-Goods/Svcs</v>
          </cell>
        </row>
        <row r="594">
          <cell r="H594" t="str">
            <v>EZ</v>
          </cell>
          <cell r="I594" t="str">
            <v>20</v>
          </cell>
          <cell r="J594" t="str">
            <v>Exp-Goods/Svcs</v>
          </cell>
        </row>
        <row r="595">
          <cell r="H595" t="str">
            <v>EZ</v>
          </cell>
          <cell r="I595" t="str">
            <v>30</v>
          </cell>
          <cell r="J595" t="str">
            <v>Exp-Goods/Svcs</v>
          </cell>
        </row>
        <row r="596">
          <cell r="H596" t="str">
            <v>EZ</v>
          </cell>
          <cell r="I596" t="str">
            <v>20</v>
          </cell>
          <cell r="J596" t="str">
            <v>Exp-Goods/Svcs</v>
          </cell>
        </row>
        <row r="597">
          <cell r="H597" t="str">
            <v>EZ</v>
          </cell>
          <cell r="I597" t="str">
            <v>20</v>
          </cell>
          <cell r="J597" t="str">
            <v>Exp-Goods/Svcs</v>
          </cell>
        </row>
        <row r="598">
          <cell r="H598" t="str">
            <v>EZ</v>
          </cell>
          <cell r="I598" t="str">
            <v>20</v>
          </cell>
          <cell r="J598" t="str">
            <v>Exp-Goods/Svcs</v>
          </cell>
        </row>
        <row r="599">
          <cell r="H599" t="str">
            <v>EZ</v>
          </cell>
          <cell r="I599" t="str">
            <v>20</v>
          </cell>
          <cell r="J599" t="str">
            <v>Exp-Goods/Svcs</v>
          </cell>
        </row>
        <row r="600">
          <cell r="H600" t="str">
            <v>EZ</v>
          </cell>
          <cell r="I600" t="str">
            <v>00</v>
          </cell>
          <cell r="J600" t="str">
            <v>Exp-Goods/Svcs</v>
          </cell>
        </row>
        <row r="601">
          <cell r="H601" t="str">
            <v>EZ</v>
          </cell>
          <cell r="I601" t="str">
            <v>20</v>
          </cell>
          <cell r="J601" t="str">
            <v>Exp-Goods/Svcs</v>
          </cell>
        </row>
        <row r="602">
          <cell r="H602" t="str">
            <v>EZ</v>
          </cell>
          <cell r="I602" t="str">
            <v>20</v>
          </cell>
          <cell r="J602" t="str">
            <v>Exp-Goods/Svcs</v>
          </cell>
        </row>
        <row r="603">
          <cell r="H603" t="str">
            <v>EZ</v>
          </cell>
          <cell r="I603" t="str">
            <v>30</v>
          </cell>
          <cell r="J603" t="str">
            <v>Exp-Goods/Svcs</v>
          </cell>
        </row>
        <row r="604">
          <cell r="H604" t="str">
            <v>EZ</v>
          </cell>
          <cell r="I604" t="str">
            <v>20</v>
          </cell>
          <cell r="J604" t="str">
            <v>Exp-Goods/Svcs</v>
          </cell>
        </row>
        <row r="605">
          <cell r="H605" t="str">
            <v>EZ</v>
          </cell>
          <cell r="I605" t="str">
            <v>20</v>
          </cell>
          <cell r="J605" t="str">
            <v>Exp-Goods/Svcs</v>
          </cell>
        </row>
        <row r="606">
          <cell r="H606" t="str">
            <v>EZ</v>
          </cell>
          <cell r="I606" t="str">
            <v>20</v>
          </cell>
          <cell r="J606" t="str">
            <v>Exp-Goods/Svcs</v>
          </cell>
        </row>
        <row r="607">
          <cell r="H607" t="str">
            <v>EZ</v>
          </cell>
          <cell r="I607" t="str">
            <v>20</v>
          </cell>
          <cell r="J607" t="str">
            <v>Exp-Goods/Svcs</v>
          </cell>
        </row>
        <row r="608">
          <cell r="H608" t="str">
            <v>EZ</v>
          </cell>
          <cell r="I608" t="str">
            <v>20</v>
          </cell>
          <cell r="J608" t="str">
            <v>Exp-Goods/Svcs</v>
          </cell>
        </row>
        <row r="609">
          <cell r="H609" t="str">
            <v>EZ</v>
          </cell>
          <cell r="I609" t="str">
            <v>20</v>
          </cell>
          <cell r="J609" t="str">
            <v>Exp-Goods/Svcs</v>
          </cell>
        </row>
        <row r="610">
          <cell r="H610" t="str">
            <v>EZ</v>
          </cell>
          <cell r="I610" t="str">
            <v>20</v>
          </cell>
          <cell r="J610" t="str">
            <v>Exp-Goods/Svcs</v>
          </cell>
        </row>
        <row r="611">
          <cell r="H611" t="str">
            <v>EZ</v>
          </cell>
          <cell r="I611" t="str">
            <v>20</v>
          </cell>
          <cell r="J611" t="str">
            <v>Exp-Goods/Svcs</v>
          </cell>
        </row>
        <row r="612">
          <cell r="H612" t="str">
            <v>EZ</v>
          </cell>
          <cell r="I612" t="str">
            <v>20</v>
          </cell>
          <cell r="J612" t="str">
            <v>Exp-Goods/Svcs</v>
          </cell>
        </row>
        <row r="613">
          <cell r="H613" t="str">
            <v>EZ</v>
          </cell>
          <cell r="I613" t="str">
            <v>20</v>
          </cell>
          <cell r="J613" t="str">
            <v>Exp-Goods/Svcs</v>
          </cell>
        </row>
        <row r="614">
          <cell r="H614" t="str">
            <v>EZ</v>
          </cell>
          <cell r="I614" t="str">
            <v>20</v>
          </cell>
          <cell r="J614" t="str">
            <v>Exp-Goods/Svcs</v>
          </cell>
        </row>
        <row r="615">
          <cell r="H615" t="str">
            <v>EZ</v>
          </cell>
          <cell r="I615" t="str">
            <v>20</v>
          </cell>
          <cell r="J615" t="str">
            <v>Exp-Goods/Svcs</v>
          </cell>
        </row>
        <row r="616">
          <cell r="H616" t="str">
            <v>EZ</v>
          </cell>
          <cell r="I616" t="str">
            <v>20</v>
          </cell>
          <cell r="J616" t="str">
            <v>Exp-Goods/Svcs</v>
          </cell>
        </row>
        <row r="617">
          <cell r="H617" t="str">
            <v>EZ</v>
          </cell>
          <cell r="I617" t="str">
            <v>30</v>
          </cell>
          <cell r="J617" t="str">
            <v>Exp-Goods/Svcs</v>
          </cell>
        </row>
        <row r="618">
          <cell r="H618" t="str">
            <v>EZ</v>
          </cell>
          <cell r="I618" t="str">
            <v>20</v>
          </cell>
          <cell r="J618" t="str">
            <v>Exp-Goods/Svcs</v>
          </cell>
        </row>
        <row r="619">
          <cell r="H619" t="str">
            <v>EZ</v>
          </cell>
          <cell r="I619" t="str">
            <v>30</v>
          </cell>
          <cell r="J619" t="str">
            <v>Exp-Goods/Svcs</v>
          </cell>
        </row>
        <row r="620">
          <cell r="H620" t="str">
            <v>EZ</v>
          </cell>
          <cell r="I620" t="str">
            <v>20</v>
          </cell>
          <cell r="J620" t="str">
            <v>Exp-Goods/Svcs</v>
          </cell>
        </row>
        <row r="621">
          <cell r="H621" t="str">
            <v>EZ</v>
          </cell>
          <cell r="I621" t="str">
            <v>20</v>
          </cell>
          <cell r="J621" t="str">
            <v>Exp-Goods/Svcs</v>
          </cell>
        </row>
        <row r="622">
          <cell r="H622" t="str">
            <v>EZ</v>
          </cell>
          <cell r="I622" t="str">
            <v>20</v>
          </cell>
          <cell r="J622" t="str">
            <v>Exp-Goods/Svcs</v>
          </cell>
        </row>
        <row r="623">
          <cell r="H623" t="str">
            <v>EZ</v>
          </cell>
          <cell r="I623" t="str">
            <v>00</v>
          </cell>
          <cell r="J623" t="str">
            <v>Exp-Goods/Svcs</v>
          </cell>
        </row>
        <row r="624">
          <cell r="H624" t="str">
            <v>EZ</v>
          </cell>
          <cell r="I624" t="str">
            <v>00</v>
          </cell>
          <cell r="J624" t="str">
            <v>Exp-Goods/Svcs</v>
          </cell>
        </row>
        <row r="625">
          <cell r="H625" t="str">
            <v>EZ</v>
          </cell>
          <cell r="I625" t="str">
            <v>30</v>
          </cell>
          <cell r="J625" t="str">
            <v>Exp-Goods/Svcs</v>
          </cell>
        </row>
        <row r="626">
          <cell r="H626" t="str">
            <v>EZ</v>
          </cell>
          <cell r="I626" t="str">
            <v>20</v>
          </cell>
          <cell r="J626" t="str">
            <v>Exp-Goods/Svcs</v>
          </cell>
        </row>
        <row r="627">
          <cell r="H627" t="str">
            <v>EZ</v>
          </cell>
          <cell r="I627" t="str">
            <v>40</v>
          </cell>
          <cell r="J627" t="str">
            <v>Exp-Goods/Svcs</v>
          </cell>
        </row>
        <row r="628">
          <cell r="H628" t="str">
            <v>EZ</v>
          </cell>
          <cell r="I628" t="str">
            <v>20</v>
          </cell>
          <cell r="J628" t="str">
            <v>Exp-Goods/Svcs</v>
          </cell>
        </row>
        <row r="629">
          <cell r="H629" t="str">
            <v>EZ</v>
          </cell>
          <cell r="I629" t="str">
            <v>10</v>
          </cell>
          <cell r="J629" t="str">
            <v>Exp-Goods/Svcs</v>
          </cell>
        </row>
        <row r="630">
          <cell r="H630" t="str">
            <v>EZ</v>
          </cell>
          <cell r="I630" t="str">
            <v>20</v>
          </cell>
          <cell r="J630" t="str">
            <v>Exp-Goods/Svcs</v>
          </cell>
        </row>
        <row r="631">
          <cell r="H631" t="str">
            <v>EZ</v>
          </cell>
          <cell r="I631" t="str">
            <v>30</v>
          </cell>
          <cell r="J631" t="str">
            <v>Exp-Goods/Svcs</v>
          </cell>
        </row>
        <row r="632">
          <cell r="H632" t="str">
            <v>EZ</v>
          </cell>
          <cell r="I632" t="str">
            <v>30</v>
          </cell>
          <cell r="J632" t="str">
            <v>Exp-Goods/Svcs</v>
          </cell>
        </row>
        <row r="633">
          <cell r="H633" t="str">
            <v>EZ</v>
          </cell>
          <cell r="I633" t="str">
            <v>30</v>
          </cell>
          <cell r="J633" t="str">
            <v>Exp-Goods/Svcs</v>
          </cell>
        </row>
        <row r="634">
          <cell r="H634" t="str">
            <v>EZ</v>
          </cell>
          <cell r="I634" t="str">
            <v>20</v>
          </cell>
          <cell r="J634" t="str">
            <v>Exp-Goods/Svcs</v>
          </cell>
        </row>
        <row r="635">
          <cell r="H635" t="str">
            <v>EZ</v>
          </cell>
          <cell r="I635" t="str">
            <v>20</v>
          </cell>
          <cell r="J635" t="str">
            <v>Exp-Goods/Svcs</v>
          </cell>
        </row>
        <row r="636">
          <cell r="H636" t="str">
            <v>EZ</v>
          </cell>
          <cell r="I636" t="str">
            <v>30</v>
          </cell>
          <cell r="J636" t="str">
            <v>Exp-Goods/Svcs</v>
          </cell>
        </row>
        <row r="637">
          <cell r="H637" t="str">
            <v>EZ</v>
          </cell>
          <cell r="I637" t="str">
            <v>60</v>
          </cell>
          <cell r="J637" t="str">
            <v>Exp-Goods/Svcs</v>
          </cell>
        </row>
        <row r="638">
          <cell r="H638" t="str">
            <v>EZ</v>
          </cell>
          <cell r="I638" t="str">
            <v>30</v>
          </cell>
          <cell r="J638" t="str">
            <v>Exp-Goods/Svcs</v>
          </cell>
        </row>
        <row r="639">
          <cell r="H639" t="str">
            <v>EZ</v>
          </cell>
          <cell r="I639" t="str">
            <v>20</v>
          </cell>
          <cell r="J639" t="str">
            <v>Exp-Goods/Svcs</v>
          </cell>
        </row>
        <row r="640">
          <cell r="H640" t="str">
            <v>EZ</v>
          </cell>
          <cell r="I640" t="str">
            <v>30</v>
          </cell>
          <cell r="J640" t="str">
            <v>Exp-Goods/Svcs</v>
          </cell>
        </row>
        <row r="641">
          <cell r="H641" t="str">
            <v>EZ</v>
          </cell>
          <cell r="I641" t="str">
            <v>20</v>
          </cell>
          <cell r="J641" t="str">
            <v>Exp-Goods/Svcs</v>
          </cell>
        </row>
        <row r="642">
          <cell r="H642" t="str">
            <v>EZ</v>
          </cell>
          <cell r="I642" t="str">
            <v>30</v>
          </cell>
          <cell r="J642" t="str">
            <v>Exp-Goods/Svcs</v>
          </cell>
        </row>
        <row r="643">
          <cell r="H643" t="str">
            <v>EZ</v>
          </cell>
          <cell r="I643" t="str">
            <v>30</v>
          </cell>
          <cell r="J643" t="str">
            <v>Exp-Goods/Svcs</v>
          </cell>
        </row>
        <row r="644">
          <cell r="H644" t="str">
            <v>EZ</v>
          </cell>
          <cell r="I644" t="str">
            <v>20</v>
          </cell>
          <cell r="J644" t="str">
            <v>Exp-Goods/Svcs</v>
          </cell>
        </row>
        <row r="645">
          <cell r="H645" t="str">
            <v>EZ</v>
          </cell>
          <cell r="I645" t="str">
            <v>30</v>
          </cell>
          <cell r="J645" t="str">
            <v>Exp-Goods/Svcs</v>
          </cell>
        </row>
        <row r="646">
          <cell r="H646" t="str">
            <v>EZ</v>
          </cell>
          <cell r="I646" t="str">
            <v>30</v>
          </cell>
          <cell r="J646" t="str">
            <v>Exp-Goods/Svcs</v>
          </cell>
        </row>
        <row r="647">
          <cell r="H647" t="str">
            <v>EZ</v>
          </cell>
          <cell r="I647" t="str">
            <v>30</v>
          </cell>
          <cell r="J647" t="str">
            <v>Exp-Goods/Svcs</v>
          </cell>
        </row>
        <row r="648">
          <cell r="H648" t="str">
            <v>EZ</v>
          </cell>
          <cell r="I648" t="str">
            <v>30</v>
          </cell>
          <cell r="J648" t="str">
            <v>Exp-Goods/Svcs</v>
          </cell>
        </row>
        <row r="649">
          <cell r="H649" t="str">
            <v>EZ</v>
          </cell>
          <cell r="I649" t="str">
            <v>30</v>
          </cell>
          <cell r="J649" t="str">
            <v>Exp-Goods/Svcs</v>
          </cell>
        </row>
        <row r="650">
          <cell r="H650" t="str">
            <v>EZ</v>
          </cell>
          <cell r="I650" t="str">
            <v>30</v>
          </cell>
          <cell r="J650" t="str">
            <v>Exp-Goods/Svcs</v>
          </cell>
        </row>
        <row r="651">
          <cell r="H651" t="str">
            <v>EZ</v>
          </cell>
          <cell r="I651" t="str">
            <v>20</v>
          </cell>
          <cell r="J651" t="str">
            <v>Exp-Goods/Svcs</v>
          </cell>
        </row>
        <row r="652">
          <cell r="H652" t="str">
            <v>EZ</v>
          </cell>
          <cell r="I652" t="str">
            <v>30</v>
          </cell>
          <cell r="J652" t="str">
            <v>Exp-Goods/Svcs</v>
          </cell>
        </row>
        <row r="653">
          <cell r="H653" t="str">
            <v>EZ</v>
          </cell>
          <cell r="I653" t="str">
            <v>30</v>
          </cell>
          <cell r="J653" t="str">
            <v>Exp-Goods/Svcs</v>
          </cell>
        </row>
        <row r="654">
          <cell r="H654" t="str">
            <v>EZ</v>
          </cell>
          <cell r="I654" t="str">
            <v>20</v>
          </cell>
          <cell r="J654" t="str">
            <v>Exp-Goods/Svcs</v>
          </cell>
        </row>
        <row r="655">
          <cell r="H655" t="str">
            <v>EZ</v>
          </cell>
          <cell r="I655" t="str">
            <v>30</v>
          </cell>
          <cell r="J655" t="str">
            <v>Exp-Goods/Svcs</v>
          </cell>
        </row>
        <row r="656">
          <cell r="H656" t="str">
            <v>EZ</v>
          </cell>
          <cell r="I656" t="str">
            <v>10</v>
          </cell>
          <cell r="J656" t="str">
            <v>Exp-Goods/Svcs</v>
          </cell>
        </row>
        <row r="657">
          <cell r="H657" t="str">
            <v>EZ</v>
          </cell>
          <cell r="I657" t="str">
            <v>20</v>
          </cell>
          <cell r="J657" t="str">
            <v>Exp-Goods/Svcs</v>
          </cell>
        </row>
        <row r="658">
          <cell r="H658" t="str">
            <v>EZ</v>
          </cell>
          <cell r="I658" t="str">
            <v>00</v>
          </cell>
          <cell r="J658" t="str">
            <v>Exp-Goods/Svcs</v>
          </cell>
        </row>
        <row r="659">
          <cell r="H659" t="str">
            <v>EZ</v>
          </cell>
          <cell r="I659" t="str">
            <v>30</v>
          </cell>
          <cell r="J659" t="str">
            <v>Exp-Goods/Svcs</v>
          </cell>
        </row>
        <row r="660">
          <cell r="H660" t="str">
            <v>EZ</v>
          </cell>
          <cell r="I660" t="str">
            <v>30</v>
          </cell>
          <cell r="J660" t="str">
            <v>Exp-Goods/Svcs</v>
          </cell>
        </row>
        <row r="661">
          <cell r="H661" t="str">
            <v>EZ</v>
          </cell>
          <cell r="I661" t="str">
            <v>00</v>
          </cell>
          <cell r="J661" t="str">
            <v>Exp-Goods/Svcs</v>
          </cell>
        </row>
        <row r="662">
          <cell r="H662" t="str">
            <v>EZ</v>
          </cell>
          <cell r="I662" t="str">
            <v>20</v>
          </cell>
          <cell r="J662" t="str">
            <v>Exp-Goods/Svcs</v>
          </cell>
        </row>
        <row r="663">
          <cell r="H663" t="str">
            <v>EZ</v>
          </cell>
          <cell r="I663" t="str">
            <v>00</v>
          </cell>
          <cell r="J663" t="str">
            <v>Exp-Goods/Svcs</v>
          </cell>
        </row>
        <row r="664">
          <cell r="H664" t="str">
            <v>EZ</v>
          </cell>
          <cell r="I664" t="str">
            <v>00</v>
          </cell>
          <cell r="J664" t="str">
            <v>Exp-Goods/Svcs</v>
          </cell>
        </row>
        <row r="665">
          <cell r="H665" t="str">
            <v>EZ</v>
          </cell>
          <cell r="I665" t="str">
            <v>20</v>
          </cell>
          <cell r="J665" t="str">
            <v>Exp-Goods/Svcs</v>
          </cell>
        </row>
        <row r="666">
          <cell r="H666" t="str">
            <v>EZ</v>
          </cell>
          <cell r="I666" t="str">
            <v>00</v>
          </cell>
          <cell r="J666" t="str">
            <v>Exp-Goods/Svcs</v>
          </cell>
        </row>
        <row r="667">
          <cell r="H667" t="str">
            <v>EZ</v>
          </cell>
          <cell r="I667" t="str">
            <v>30</v>
          </cell>
          <cell r="J667" t="str">
            <v>Exp-Goods/Svcs</v>
          </cell>
        </row>
        <row r="668">
          <cell r="H668" t="str">
            <v>EZ</v>
          </cell>
          <cell r="I668" t="str">
            <v>20</v>
          </cell>
          <cell r="J668" t="str">
            <v>Exp-Goods/Svcs</v>
          </cell>
        </row>
        <row r="669">
          <cell r="H669" t="str">
            <v>EZ</v>
          </cell>
          <cell r="I669" t="str">
            <v>30</v>
          </cell>
          <cell r="J669" t="str">
            <v>Exp-Goods/Svcs</v>
          </cell>
        </row>
        <row r="670">
          <cell r="H670" t="str">
            <v>G</v>
          </cell>
          <cell r="J670" t="str">
            <v>Exp-Travel</v>
          </cell>
        </row>
        <row r="671">
          <cell r="H671" t="str">
            <v>G</v>
          </cell>
          <cell r="J671" t="str">
            <v>Exp-Travel</v>
          </cell>
        </row>
        <row r="672">
          <cell r="H672" t="str">
            <v>G</v>
          </cell>
          <cell r="J672" t="str">
            <v>Exp-Travel</v>
          </cell>
        </row>
        <row r="673">
          <cell r="H673" t="str">
            <v>G</v>
          </cell>
          <cell r="J673" t="str">
            <v>Exp-Travel</v>
          </cell>
        </row>
        <row r="674">
          <cell r="H674" t="str">
            <v>G</v>
          </cell>
          <cell r="J674" t="str">
            <v>Exp-Travel</v>
          </cell>
        </row>
        <row r="675">
          <cell r="H675" t="str">
            <v>G</v>
          </cell>
          <cell r="J675" t="str">
            <v>Exp-Travel</v>
          </cell>
        </row>
        <row r="676">
          <cell r="H676" t="str">
            <v>G</v>
          </cell>
          <cell r="J676" t="str">
            <v>Exp-Travel</v>
          </cell>
        </row>
        <row r="677">
          <cell r="H677" t="str">
            <v>G</v>
          </cell>
          <cell r="J677" t="str">
            <v>Exp-Travel</v>
          </cell>
        </row>
        <row r="678">
          <cell r="H678" t="str">
            <v>G</v>
          </cell>
          <cell r="J678" t="str">
            <v>Exp-Travel</v>
          </cell>
        </row>
        <row r="679">
          <cell r="H679" t="str">
            <v>G</v>
          </cell>
          <cell r="J679" t="str">
            <v>Exp-Travel</v>
          </cell>
        </row>
        <row r="680">
          <cell r="H680" t="str">
            <v>G</v>
          </cell>
          <cell r="J680" t="str">
            <v>Exp-Travel</v>
          </cell>
        </row>
        <row r="681">
          <cell r="H681" t="str">
            <v>G</v>
          </cell>
          <cell r="J681" t="str">
            <v>Exp-Travel</v>
          </cell>
        </row>
        <row r="682">
          <cell r="H682" t="str">
            <v>G</v>
          </cell>
          <cell r="J682" t="str">
            <v>Exp-Travel</v>
          </cell>
        </row>
        <row r="683">
          <cell r="H683" t="str">
            <v>G</v>
          </cell>
          <cell r="J683" t="str">
            <v>Exp-Travel</v>
          </cell>
        </row>
        <row r="684">
          <cell r="H684" t="str">
            <v>G</v>
          </cell>
          <cell r="J684" t="str">
            <v>Exp-Travel</v>
          </cell>
        </row>
        <row r="685">
          <cell r="H685" t="str">
            <v>G</v>
          </cell>
          <cell r="J685" t="str">
            <v>Exp-Travel</v>
          </cell>
        </row>
        <row r="686">
          <cell r="H686" t="str">
            <v>G</v>
          </cell>
          <cell r="J686" t="str">
            <v>Exp-Travel</v>
          </cell>
        </row>
        <row r="687">
          <cell r="H687" t="str">
            <v>G</v>
          </cell>
          <cell r="J687" t="str">
            <v>Exp-Travel</v>
          </cell>
        </row>
        <row r="688">
          <cell r="H688" t="str">
            <v>G</v>
          </cell>
          <cell r="J688" t="str">
            <v>Exp-Travel</v>
          </cell>
        </row>
        <row r="689">
          <cell r="H689" t="str">
            <v>G</v>
          </cell>
          <cell r="J689" t="str">
            <v>Exp-Travel</v>
          </cell>
        </row>
        <row r="690">
          <cell r="H690" t="str">
            <v>G</v>
          </cell>
          <cell r="J690" t="str">
            <v>Exp-Travel</v>
          </cell>
        </row>
        <row r="691">
          <cell r="H691" t="str">
            <v>G</v>
          </cell>
          <cell r="J691" t="str">
            <v>Exp-Travel</v>
          </cell>
        </row>
        <row r="692">
          <cell r="H692" t="str">
            <v>G</v>
          </cell>
          <cell r="J692" t="str">
            <v>Exp-Travel</v>
          </cell>
        </row>
        <row r="693">
          <cell r="H693" t="str">
            <v>G</v>
          </cell>
          <cell r="J693" t="str">
            <v>Exp-Travel</v>
          </cell>
        </row>
        <row r="694">
          <cell r="H694" t="str">
            <v>G</v>
          </cell>
          <cell r="J694" t="str">
            <v>Exp-Travel</v>
          </cell>
        </row>
        <row r="695">
          <cell r="H695" t="str">
            <v>G</v>
          </cell>
          <cell r="J695" t="str">
            <v>Exp-Travel</v>
          </cell>
        </row>
        <row r="696">
          <cell r="H696" t="str">
            <v>G</v>
          </cell>
          <cell r="J696" t="str">
            <v>Exp-Travel</v>
          </cell>
        </row>
        <row r="697">
          <cell r="H697" t="str">
            <v>G</v>
          </cell>
          <cell r="J697" t="str">
            <v>Exp-Travel</v>
          </cell>
        </row>
        <row r="698">
          <cell r="H698" t="str">
            <v>G</v>
          </cell>
          <cell r="J698" t="str">
            <v>Exp-Travel</v>
          </cell>
        </row>
        <row r="699">
          <cell r="H699" t="str">
            <v>G</v>
          </cell>
          <cell r="J699" t="str">
            <v>Exp-Travel</v>
          </cell>
        </row>
        <row r="700">
          <cell r="H700" t="str">
            <v>G</v>
          </cell>
          <cell r="J700" t="str">
            <v>Exp-Travel</v>
          </cell>
        </row>
        <row r="701">
          <cell r="H701" t="str">
            <v>G</v>
          </cell>
          <cell r="J701" t="str">
            <v>Exp-Travel</v>
          </cell>
        </row>
        <row r="702">
          <cell r="H702" t="str">
            <v>G</v>
          </cell>
          <cell r="J702" t="str">
            <v>Exp-Travel</v>
          </cell>
        </row>
        <row r="703">
          <cell r="H703" t="str">
            <v>G</v>
          </cell>
          <cell r="J703" t="str">
            <v>Exp-Travel</v>
          </cell>
        </row>
        <row r="704">
          <cell r="H704" t="str">
            <v>G</v>
          </cell>
          <cell r="J704" t="str">
            <v>Exp-Travel</v>
          </cell>
        </row>
        <row r="705">
          <cell r="H705" t="str">
            <v>G</v>
          </cell>
          <cell r="J705" t="str">
            <v>Exp-Travel</v>
          </cell>
        </row>
        <row r="706">
          <cell r="H706" t="str">
            <v>G</v>
          </cell>
          <cell r="J706" t="str">
            <v>Exp-Travel</v>
          </cell>
        </row>
        <row r="707">
          <cell r="H707" t="str">
            <v>G</v>
          </cell>
          <cell r="J707" t="str">
            <v>Exp-Travel</v>
          </cell>
        </row>
        <row r="708">
          <cell r="H708" t="str">
            <v>G</v>
          </cell>
          <cell r="J708" t="str">
            <v>Exp-Travel</v>
          </cell>
        </row>
        <row r="709">
          <cell r="H709" t="str">
            <v>GA</v>
          </cell>
          <cell r="I709" t="str">
            <v>00</v>
          </cell>
          <cell r="J709" t="str">
            <v>Exp-Travel</v>
          </cell>
        </row>
        <row r="710">
          <cell r="H710" t="str">
            <v>GA</v>
          </cell>
          <cell r="I710" t="str">
            <v>00</v>
          </cell>
          <cell r="J710" t="str">
            <v>Exp-Travel</v>
          </cell>
        </row>
        <row r="711">
          <cell r="H711" t="str">
            <v>GA</v>
          </cell>
          <cell r="I711" t="str">
            <v>00</v>
          </cell>
          <cell r="J711" t="str">
            <v>Exp-Travel</v>
          </cell>
        </row>
        <row r="712">
          <cell r="H712" t="str">
            <v>GA</v>
          </cell>
          <cell r="I712" t="str">
            <v>00</v>
          </cell>
          <cell r="J712" t="str">
            <v>Exp-Travel</v>
          </cell>
        </row>
        <row r="713">
          <cell r="H713" t="str">
            <v>GA</v>
          </cell>
          <cell r="I713" t="str">
            <v>00</v>
          </cell>
          <cell r="J713" t="str">
            <v>Exp-Travel</v>
          </cell>
        </row>
        <row r="714">
          <cell r="H714" t="str">
            <v>GA</v>
          </cell>
          <cell r="I714" t="str">
            <v>00</v>
          </cell>
          <cell r="J714" t="str">
            <v>Exp-Travel</v>
          </cell>
        </row>
        <row r="715">
          <cell r="H715" t="str">
            <v>GA</v>
          </cell>
          <cell r="I715" t="str">
            <v>00</v>
          </cell>
          <cell r="J715" t="str">
            <v>Exp-Travel</v>
          </cell>
        </row>
        <row r="716">
          <cell r="H716" t="str">
            <v>GA</v>
          </cell>
          <cell r="I716" t="str">
            <v>00</v>
          </cell>
          <cell r="J716" t="str">
            <v>Exp-Travel</v>
          </cell>
        </row>
        <row r="717">
          <cell r="H717" t="str">
            <v>GA</v>
          </cell>
          <cell r="I717" t="str">
            <v>00</v>
          </cell>
          <cell r="J717" t="str">
            <v>Exp-Travel</v>
          </cell>
        </row>
        <row r="718">
          <cell r="H718" t="str">
            <v>GA</v>
          </cell>
          <cell r="I718" t="str">
            <v>00</v>
          </cell>
          <cell r="J718" t="str">
            <v>Exp-Travel</v>
          </cell>
        </row>
        <row r="719">
          <cell r="H719" t="str">
            <v>GB</v>
          </cell>
          <cell r="I719" t="str">
            <v>00</v>
          </cell>
          <cell r="J719" t="str">
            <v>Exp-Travel</v>
          </cell>
        </row>
        <row r="720">
          <cell r="H720" t="str">
            <v>GB</v>
          </cell>
          <cell r="I720" t="str">
            <v>00</v>
          </cell>
          <cell r="J720" t="str">
            <v>Exp-Travel</v>
          </cell>
        </row>
        <row r="721">
          <cell r="H721" t="str">
            <v>GC</v>
          </cell>
          <cell r="I721" t="str">
            <v>10</v>
          </cell>
          <cell r="J721" t="str">
            <v>Exp-Travel</v>
          </cell>
        </row>
        <row r="722">
          <cell r="H722" t="str">
            <v>GC</v>
          </cell>
          <cell r="I722" t="str">
            <v>10</v>
          </cell>
          <cell r="J722" t="str">
            <v>Exp-Travel</v>
          </cell>
        </row>
        <row r="723">
          <cell r="H723" t="str">
            <v>GC</v>
          </cell>
          <cell r="I723" t="str">
            <v>10</v>
          </cell>
          <cell r="J723" t="str">
            <v>Exp-Travel</v>
          </cell>
        </row>
        <row r="724">
          <cell r="H724" t="str">
            <v>GC</v>
          </cell>
          <cell r="I724" t="str">
            <v>20</v>
          </cell>
          <cell r="J724" t="str">
            <v>Exp-Travel</v>
          </cell>
        </row>
        <row r="725">
          <cell r="H725" t="str">
            <v>GC</v>
          </cell>
          <cell r="I725" t="str">
            <v>10</v>
          </cell>
          <cell r="J725" t="str">
            <v>Exp-Travel</v>
          </cell>
        </row>
        <row r="726">
          <cell r="H726" t="str">
            <v>GD</v>
          </cell>
          <cell r="I726" t="str">
            <v>80</v>
          </cell>
          <cell r="J726" t="str">
            <v>Exp-Travel</v>
          </cell>
        </row>
        <row r="727">
          <cell r="H727" t="str">
            <v>GD</v>
          </cell>
          <cell r="I727" t="str">
            <v>20</v>
          </cell>
          <cell r="J727" t="str">
            <v>Exp-Travel</v>
          </cell>
        </row>
        <row r="728">
          <cell r="H728" t="str">
            <v>GD</v>
          </cell>
          <cell r="I728" t="str">
            <v>10</v>
          </cell>
          <cell r="J728" t="str">
            <v>Exp-Travel</v>
          </cell>
        </row>
        <row r="729">
          <cell r="H729" t="str">
            <v>GD</v>
          </cell>
          <cell r="I729" t="str">
            <v>20</v>
          </cell>
          <cell r="J729" t="str">
            <v>Exp-Travel</v>
          </cell>
        </row>
        <row r="730">
          <cell r="H730" t="str">
            <v>GD</v>
          </cell>
          <cell r="I730" t="str">
            <v>60</v>
          </cell>
          <cell r="J730" t="str">
            <v>Exp-Travel</v>
          </cell>
        </row>
        <row r="731">
          <cell r="H731" t="str">
            <v>GD</v>
          </cell>
          <cell r="I731" t="str">
            <v>00</v>
          </cell>
          <cell r="J731" t="str">
            <v>Exp-Travel</v>
          </cell>
        </row>
        <row r="732">
          <cell r="H732" t="str">
            <v>GD</v>
          </cell>
          <cell r="I732" t="str">
            <v>20</v>
          </cell>
          <cell r="J732" t="str">
            <v>Exp-Travel</v>
          </cell>
        </row>
        <row r="733">
          <cell r="H733" t="str">
            <v>GF</v>
          </cell>
          <cell r="I733" t="str">
            <v>80</v>
          </cell>
          <cell r="J733" t="str">
            <v>Exp-Travel</v>
          </cell>
        </row>
        <row r="734">
          <cell r="H734" t="str">
            <v>GF</v>
          </cell>
          <cell r="I734" t="str">
            <v>00</v>
          </cell>
          <cell r="J734" t="str">
            <v>Exp-Travel</v>
          </cell>
        </row>
        <row r="735">
          <cell r="H735" t="str">
            <v>GF</v>
          </cell>
          <cell r="I735" t="str">
            <v>80</v>
          </cell>
          <cell r="J735" t="str">
            <v>Exp-Travel</v>
          </cell>
        </row>
        <row r="736">
          <cell r="H736" t="str">
            <v>GF</v>
          </cell>
          <cell r="I736" t="str">
            <v>80</v>
          </cell>
          <cell r="J736" t="str">
            <v>Exp-Travel</v>
          </cell>
        </row>
        <row r="737">
          <cell r="H737" t="str">
            <v>GF</v>
          </cell>
          <cell r="I737" t="str">
            <v>00</v>
          </cell>
          <cell r="J737" t="str">
            <v>Exp-Travel</v>
          </cell>
        </row>
        <row r="738">
          <cell r="H738" t="str">
            <v>GF</v>
          </cell>
          <cell r="I738" t="str">
            <v>80</v>
          </cell>
          <cell r="J738" t="str">
            <v>Exp-Travel</v>
          </cell>
        </row>
        <row r="739">
          <cell r="H739" t="str">
            <v>GF</v>
          </cell>
          <cell r="I739" t="str">
            <v>00</v>
          </cell>
          <cell r="J739" t="str">
            <v>Exp-Travel</v>
          </cell>
        </row>
        <row r="740">
          <cell r="H740" t="str">
            <v>GF</v>
          </cell>
          <cell r="I740" t="str">
            <v>00</v>
          </cell>
          <cell r="J740" t="str">
            <v>Exp-Travel</v>
          </cell>
        </row>
        <row r="741">
          <cell r="H741" t="str">
            <v>GF</v>
          </cell>
          <cell r="I741" t="str">
            <v>00</v>
          </cell>
          <cell r="J741" t="str">
            <v>Exp-Travel</v>
          </cell>
        </row>
        <row r="742">
          <cell r="H742" t="str">
            <v>GF</v>
          </cell>
          <cell r="I742" t="str">
            <v>00</v>
          </cell>
          <cell r="J742" t="str">
            <v>Exp-Travel</v>
          </cell>
        </row>
        <row r="743">
          <cell r="H743" t="str">
            <v>GG</v>
          </cell>
          <cell r="I743" t="str">
            <v>00</v>
          </cell>
          <cell r="J743" t="str">
            <v>Exp-Travel</v>
          </cell>
        </row>
        <row r="744">
          <cell r="H744" t="str">
            <v>GG</v>
          </cell>
          <cell r="I744" t="str">
            <v>80</v>
          </cell>
          <cell r="J744" t="str">
            <v>Exp-Travel</v>
          </cell>
        </row>
        <row r="745">
          <cell r="H745" t="str">
            <v>GG</v>
          </cell>
          <cell r="I745" t="str">
            <v>85</v>
          </cell>
          <cell r="J745" t="str">
            <v>Exp-Travel</v>
          </cell>
        </row>
        <row r="746">
          <cell r="H746" t="str">
            <v>GG</v>
          </cell>
          <cell r="I746" t="str">
            <v>00</v>
          </cell>
          <cell r="J746" t="str">
            <v>Exp-Travel</v>
          </cell>
        </row>
        <row r="747">
          <cell r="H747" t="str">
            <v>GG</v>
          </cell>
          <cell r="I747" t="str">
            <v>80</v>
          </cell>
          <cell r="J747" t="str">
            <v>Exp-Travel</v>
          </cell>
        </row>
        <row r="748">
          <cell r="H748" t="str">
            <v>GG</v>
          </cell>
          <cell r="I748" t="str">
            <v>00</v>
          </cell>
          <cell r="J748" t="str">
            <v>Exp-Travel</v>
          </cell>
        </row>
        <row r="749">
          <cell r="H749" t="str">
            <v>GG</v>
          </cell>
          <cell r="I749" t="str">
            <v>00</v>
          </cell>
          <cell r="J749" t="str">
            <v>Exp-Travel</v>
          </cell>
        </row>
        <row r="750">
          <cell r="H750" t="str">
            <v>GG</v>
          </cell>
          <cell r="I750" t="str">
            <v>00</v>
          </cell>
          <cell r="J750" t="str">
            <v>Exp-Travel</v>
          </cell>
        </row>
        <row r="751">
          <cell r="H751" t="str">
            <v>GN</v>
          </cell>
          <cell r="I751" t="str">
            <v>00</v>
          </cell>
          <cell r="J751" t="str">
            <v>Exp-Travel</v>
          </cell>
        </row>
        <row r="752">
          <cell r="H752" t="str">
            <v>GN</v>
          </cell>
          <cell r="I752" t="str">
            <v>00</v>
          </cell>
          <cell r="J752" t="str">
            <v>Exp-Travel</v>
          </cell>
        </row>
        <row r="753">
          <cell r="H753" t="str">
            <v>J</v>
          </cell>
          <cell r="J753" t="str">
            <v>Exp-Equipment</v>
          </cell>
        </row>
        <row r="754">
          <cell r="H754" t="str">
            <v>J</v>
          </cell>
          <cell r="J754" t="str">
            <v>Exp-Equipment</v>
          </cell>
        </row>
        <row r="755">
          <cell r="H755" t="str">
            <v>J</v>
          </cell>
          <cell r="J755" t="str">
            <v>Exp-Equipment</v>
          </cell>
        </row>
        <row r="756">
          <cell r="H756" t="str">
            <v>J</v>
          </cell>
          <cell r="J756" t="str">
            <v>Exp-Equipment</v>
          </cell>
        </row>
        <row r="757">
          <cell r="H757" t="str">
            <v>J</v>
          </cell>
          <cell r="J757" t="str">
            <v>Exp-Equipment</v>
          </cell>
        </row>
        <row r="758">
          <cell r="H758" t="str">
            <v>J</v>
          </cell>
          <cell r="J758" t="str">
            <v>Exp-Equipment</v>
          </cell>
        </row>
        <row r="759">
          <cell r="H759" t="str">
            <v>J</v>
          </cell>
          <cell r="J759" t="str">
            <v>Exp-Equipment</v>
          </cell>
        </row>
        <row r="760">
          <cell r="H760" t="str">
            <v>J</v>
          </cell>
          <cell r="J760" t="str">
            <v>Exp-Equipment</v>
          </cell>
        </row>
        <row r="761">
          <cell r="H761" t="str">
            <v>J</v>
          </cell>
          <cell r="J761" t="str">
            <v>Exp-Equipment</v>
          </cell>
        </row>
        <row r="762">
          <cell r="H762" t="str">
            <v>J</v>
          </cell>
          <cell r="J762" t="str">
            <v>Exp-Equipment</v>
          </cell>
        </row>
        <row r="763">
          <cell r="H763" t="str">
            <v>J</v>
          </cell>
          <cell r="J763" t="str">
            <v>Exp-Equipment</v>
          </cell>
        </row>
        <row r="764">
          <cell r="H764" t="str">
            <v>J</v>
          </cell>
          <cell r="J764" t="str">
            <v>Exp-Equipment</v>
          </cell>
        </row>
        <row r="765">
          <cell r="H765" t="str">
            <v>J</v>
          </cell>
          <cell r="J765" t="str">
            <v>Exp-Equipment</v>
          </cell>
        </row>
        <row r="766">
          <cell r="H766" t="str">
            <v>J</v>
          </cell>
          <cell r="J766" t="str">
            <v>Exp-Equipment</v>
          </cell>
        </row>
        <row r="767">
          <cell r="H767" t="str">
            <v>J</v>
          </cell>
          <cell r="J767" t="str">
            <v>Exp-Equipment</v>
          </cell>
        </row>
        <row r="768">
          <cell r="H768" t="str">
            <v>J</v>
          </cell>
          <cell r="J768" t="str">
            <v>Exp-Equipment</v>
          </cell>
        </row>
        <row r="769">
          <cell r="H769" t="str">
            <v>J</v>
          </cell>
          <cell r="J769" t="str">
            <v>Exp-Equipment</v>
          </cell>
        </row>
        <row r="770">
          <cell r="H770" t="str">
            <v>J</v>
          </cell>
          <cell r="J770" t="str">
            <v>Exp-Equipment</v>
          </cell>
        </row>
        <row r="771">
          <cell r="H771" t="str">
            <v>J</v>
          </cell>
          <cell r="J771" t="str">
            <v>Exp-Equipment</v>
          </cell>
        </row>
        <row r="772">
          <cell r="H772" t="str">
            <v>J</v>
          </cell>
          <cell r="J772" t="str">
            <v>Exp-Equipment</v>
          </cell>
        </row>
        <row r="773">
          <cell r="H773" t="str">
            <v>J</v>
          </cell>
          <cell r="J773" t="str">
            <v>Exp-Equipment</v>
          </cell>
        </row>
        <row r="774">
          <cell r="H774" t="str">
            <v>J</v>
          </cell>
          <cell r="J774" t="str">
            <v>Exp-Equipment</v>
          </cell>
        </row>
        <row r="775">
          <cell r="H775" t="str">
            <v>J</v>
          </cell>
          <cell r="J775" t="str">
            <v>Exp-Equipment</v>
          </cell>
        </row>
        <row r="776">
          <cell r="H776" t="str">
            <v>JA</v>
          </cell>
          <cell r="I776" t="str">
            <v>00</v>
          </cell>
          <cell r="J776" t="str">
            <v>Exp-Equipment</v>
          </cell>
        </row>
        <row r="777">
          <cell r="H777" t="str">
            <v>JA</v>
          </cell>
          <cell r="I777" t="str">
            <v>00</v>
          </cell>
          <cell r="J777" t="str">
            <v>Exp-Equipment</v>
          </cell>
        </row>
        <row r="778">
          <cell r="H778" t="str">
            <v>JA</v>
          </cell>
          <cell r="I778" t="str">
            <v>00</v>
          </cell>
          <cell r="J778" t="str">
            <v>Exp-Equipment</v>
          </cell>
        </row>
        <row r="779">
          <cell r="H779" t="str">
            <v>JA</v>
          </cell>
          <cell r="I779" t="str">
            <v>00</v>
          </cell>
          <cell r="J779" t="str">
            <v>Exp-Equipment</v>
          </cell>
        </row>
        <row r="780">
          <cell r="H780" t="str">
            <v>JA</v>
          </cell>
          <cell r="I780" t="str">
            <v>00</v>
          </cell>
          <cell r="J780" t="str">
            <v>Exp-Equipment</v>
          </cell>
        </row>
        <row r="781">
          <cell r="H781" t="str">
            <v>JA</v>
          </cell>
          <cell r="I781" t="str">
            <v>00</v>
          </cell>
          <cell r="J781" t="str">
            <v>Exp-Equipment</v>
          </cell>
        </row>
        <row r="782">
          <cell r="H782" t="str">
            <v>JA</v>
          </cell>
          <cell r="I782" t="str">
            <v>00</v>
          </cell>
          <cell r="J782" t="str">
            <v>Exp-Equipment</v>
          </cell>
        </row>
        <row r="783">
          <cell r="H783" t="str">
            <v>JA</v>
          </cell>
          <cell r="I783" t="str">
            <v>00</v>
          </cell>
          <cell r="J783" t="str">
            <v>Exp-Equipment</v>
          </cell>
        </row>
        <row r="784">
          <cell r="H784" t="str">
            <v>JA</v>
          </cell>
          <cell r="I784" t="str">
            <v>00</v>
          </cell>
          <cell r="J784" t="str">
            <v>Exp-Equipment</v>
          </cell>
        </row>
        <row r="785">
          <cell r="H785" t="str">
            <v>JA</v>
          </cell>
          <cell r="I785" t="str">
            <v>00</v>
          </cell>
          <cell r="J785" t="str">
            <v>Exp-Equipment</v>
          </cell>
        </row>
        <row r="786">
          <cell r="H786" t="str">
            <v>JA</v>
          </cell>
          <cell r="I786" t="str">
            <v>00</v>
          </cell>
          <cell r="J786" t="str">
            <v>Exp-Equipment</v>
          </cell>
        </row>
        <row r="787">
          <cell r="H787" t="str">
            <v>JA</v>
          </cell>
          <cell r="I787" t="str">
            <v>00</v>
          </cell>
          <cell r="J787" t="str">
            <v>Exp-Equipment</v>
          </cell>
        </row>
        <row r="788">
          <cell r="H788" t="str">
            <v>JA</v>
          </cell>
          <cell r="I788" t="str">
            <v>00</v>
          </cell>
          <cell r="J788" t="str">
            <v>Exp-Equipment</v>
          </cell>
        </row>
        <row r="789">
          <cell r="H789" t="str">
            <v>JC</v>
          </cell>
          <cell r="I789" t="str">
            <v>00</v>
          </cell>
          <cell r="J789" t="str">
            <v>Exp-Equipment</v>
          </cell>
        </row>
        <row r="790">
          <cell r="H790" t="str">
            <v>JC</v>
          </cell>
          <cell r="I790" t="str">
            <v>00</v>
          </cell>
          <cell r="J790" t="str">
            <v>Exp-Equipment</v>
          </cell>
        </row>
        <row r="791">
          <cell r="H791" t="str">
            <v>JC</v>
          </cell>
          <cell r="I791" t="str">
            <v>00</v>
          </cell>
          <cell r="J791" t="str">
            <v>Exp-Equipment</v>
          </cell>
        </row>
        <row r="792">
          <cell r="H792" t="str">
            <v>JD</v>
          </cell>
          <cell r="I792" t="str">
            <v>11</v>
          </cell>
          <cell r="J792" t="str">
            <v>Exp-Equipment</v>
          </cell>
        </row>
        <row r="793">
          <cell r="H793" t="str">
            <v>KA</v>
          </cell>
          <cell r="J793" t="str">
            <v>Exp-Computer Equipment</v>
          </cell>
        </row>
        <row r="794">
          <cell r="H794" t="str">
            <v>KA</v>
          </cell>
          <cell r="J794" t="str">
            <v>Exp-Computer Equipment</v>
          </cell>
        </row>
        <row r="795">
          <cell r="H795" t="str">
            <v>KA</v>
          </cell>
          <cell r="J795" t="str">
            <v>Exp-Computer Equipment</v>
          </cell>
        </row>
        <row r="796">
          <cell r="H796" t="str">
            <v>KA</v>
          </cell>
          <cell r="J796" t="str">
            <v>Exp-Computer Equipment</v>
          </cell>
        </row>
        <row r="797">
          <cell r="H797" t="str">
            <v>KA</v>
          </cell>
          <cell r="J797" t="str">
            <v>Exp-Computer Equipment</v>
          </cell>
        </row>
        <row r="798">
          <cell r="H798" t="str">
            <v>KA</v>
          </cell>
          <cell r="J798" t="str">
            <v>Exp-Computer Equipment</v>
          </cell>
        </row>
        <row r="799">
          <cell r="H799" t="str">
            <v>KA</v>
          </cell>
          <cell r="J799" t="str">
            <v>Exp-Computer Equipment</v>
          </cell>
        </row>
        <row r="800">
          <cell r="H800" t="str">
            <v>KA</v>
          </cell>
          <cell r="J800" t="str">
            <v>Exp-Computer Equipment</v>
          </cell>
        </row>
        <row r="801">
          <cell r="H801" t="str">
            <v>KA</v>
          </cell>
          <cell r="J801" t="str">
            <v>Exp-Computer Equipment</v>
          </cell>
        </row>
        <row r="802">
          <cell r="H802" t="str">
            <v>KB</v>
          </cell>
          <cell r="J802" t="str">
            <v>Exp-Computer Equipment</v>
          </cell>
        </row>
        <row r="803">
          <cell r="H803" t="str">
            <v>KB</v>
          </cell>
          <cell r="J803" t="str">
            <v>Exp-Computer Equipment</v>
          </cell>
        </row>
        <row r="804">
          <cell r="H804" t="str">
            <v>KB</v>
          </cell>
          <cell r="J804" t="str">
            <v>Exp-Computer Equipment</v>
          </cell>
        </row>
        <row r="805">
          <cell r="H805" t="str">
            <v>KB</v>
          </cell>
          <cell r="J805" t="str">
            <v>Exp-Computer Equipment</v>
          </cell>
        </row>
        <row r="806">
          <cell r="H806" t="str">
            <v>KB</v>
          </cell>
          <cell r="J806" t="str">
            <v>Exp-Computer Equipment</v>
          </cell>
        </row>
        <row r="807">
          <cell r="H807" t="str">
            <v>KB</v>
          </cell>
          <cell r="J807" t="str">
            <v>Exp-Computer Equipment</v>
          </cell>
        </row>
        <row r="808">
          <cell r="H808" t="str">
            <v>KB</v>
          </cell>
          <cell r="J808" t="str">
            <v>Exp-Computer Equipment</v>
          </cell>
        </row>
        <row r="809">
          <cell r="H809" t="str">
            <v>KB</v>
          </cell>
          <cell r="J809" t="str">
            <v>Exp-Computer Equipment</v>
          </cell>
        </row>
        <row r="810">
          <cell r="H810" t="str">
            <v>KB</v>
          </cell>
          <cell r="J810" t="str">
            <v>Exp-Computer Equipment</v>
          </cell>
        </row>
        <row r="811">
          <cell r="H811" t="str">
            <v>KB</v>
          </cell>
          <cell r="J811" t="str">
            <v>Exp-Computer Equipment</v>
          </cell>
        </row>
        <row r="812">
          <cell r="H812" t="str">
            <v>KC</v>
          </cell>
          <cell r="J812" t="str">
            <v>Exp-Computer Equipment</v>
          </cell>
        </row>
        <row r="813">
          <cell r="H813" t="str">
            <v>KC</v>
          </cell>
          <cell r="J813" t="str">
            <v>Exp-Computer Equipment</v>
          </cell>
        </row>
        <row r="814">
          <cell r="H814" t="str">
            <v>NZ</v>
          </cell>
          <cell r="J814" t="str">
            <v>Exp-Scholarships</v>
          </cell>
        </row>
        <row r="815">
          <cell r="H815" t="str">
            <v>NZ</v>
          </cell>
          <cell r="I815" t="str">
            <v>00</v>
          </cell>
          <cell r="J815" t="str">
            <v>Exp-Scholarships</v>
          </cell>
        </row>
        <row r="816">
          <cell r="H816" t="str">
            <v>NZ</v>
          </cell>
          <cell r="I816" t="str">
            <v>50</v>
          </cell>
          <cell r="J816" t="str">
            <v>Exp-Scholarships</v>
          </cell>
        </row>
        <row r="817">
          <cell r="H817" t="str">
            <v>NZ</v>
          </cell>
          <cell r="J817" t="str">
            <v>Exp-Scholarships</v>
          </cell>
        </row>
        <row r="818">
          <cell r="H818" t="str">
            <v>NZ</v>
          </cell>
          <cell r="I818" t="str">
            <v>00</v>
          </cell>
          <cell r="J818" t="str">
            <v>Exp-Scholarships</v>
          </cell>
        </row>
        <row r="819">
          <cell r="H819" t="str">
            <v>NZ</v>
          </cell>
          <cell r="I819" t="str">
            <v>50</v>
          </cell>
          <cell r="J819" t="str">
            <v>Exp-Scholarships</v>
          </cell>
        </row>
        <row r="820">
          <cell r="H820" t="str">
            <v>NZ</v>
          </cell>
          <cell r="J820" t="str">
            <v>Exp-Scholarships</v>
          </cell>
        </row>
        <row r="821">
          <cell r="H821" t="str">
            <v>NZ</v>
          </cell>
          <cell r="J821" t="str">
            <v>Exp-Scholarships</v>
          </cell>
        </row>
        <row r="822">
          <cell r="H822" t="str">
            <v>SA</v>
          </cell>
          <cell r="J822" t="str">
            <v>Intragency Trsfs</v>
          </cell>
        </row>
        <row r="823">
          <cell r="H823" t="str">
            <v>SA</v>
          </cell>
          <cell r="J823" t="str">
            <v>Intragency Trsfs</v>
          </cell>
        </row>
        <row r="824">
          <cell r="H824" t="str">
            <v>SX</v>
          </cell>
          <cell r="I824" t="str">
            <v>10</v>
          </cell>
          <cell r="J824" t="str">
            <v>Intragency Trsfs</v>
          </cell>
        </row>
        <row r="825">
          <cell r="H825" t="str">
            <v>SX</v>
          </cell>
          <cell r="I825" t="str">
            <v>16</v>
          </cell>
          <cell r="J825" t="str">
            <v>Intragency Trsfs</v>
          </cell>
        </row>
        <row r="826">
          <cell r="H826" t="str">
            <v>TA</v>
          </cell>
          <cell r="I826" t="str">
            <v>AE</v>
          </cell>
          <cell r="J826" t="str">
            <v>Intragency Trsfs</v>
          </cell>
        </row>
        <row r="827">
          <cell r="H827" t="str">
            <v>TA</v>
          </cell>
          <cell r="J827" t="str">
            <v>Intragency Trsfs</v>
          </cell>
        </row>
        <row r="828">
          <cell r="H828" t="str">
            <v>TA</v>
          </cell>
          <cell r="J828" t="str">
            <v>Intragency Trsfs</v>
          </cell>
        </row>
        <row r="829">
          <cell r="H829" t="str">
            <v>TA</v>
          </cell>
          <cell r="J829" t="str">
            <v>Intragency Trsfs</v>
          </cell>
        </row>
        <row r="830">
          <cell r="H830" t="str">
            <v>TA</v>
          </cell>
          <cell r="I830" t="str">
            <v>AH</v>
          </cell>
          <cell r="J830" t="str">
            <v>Intragency Trsfs</v>
          </cell>
        </row>
        <row r="831">
          <cell r="H831" t="str">
            <v>TA</v>
          </cell>
          <cell r="I831" t="str">
            <v>AK</v>
          </cell>
          <cell r="J831" t="str">
            <v>Intragency Trsfs</v>
          </cell>
        </row>
        <row r="832">
          <cell r="H832" t="str">
            <v>TA</v>
          </cell>
          <cell r="I832" t="str">
            <v>AD</v>
          </cell>
          <cell r="J832" t="str">
            <v>Intragency Trsfs</v>
          </cell>
        </row>
        <row r="833">
          <cell r="H833" t="str">
            <v>TA</v>
          </cell>
          <cell r="I833" t="str">
            <v>AK</v>
          </cell>
          <cell r="J833" t="str">
            <v>Intragency Trsfs</v>
          </cell>
        </row>
        <row r="834">
          <cell r="H834" t="str">
            <v>TA</v>
          </cell>
          <cell r="I834" t="str">
            <v>00</v>
          </cell>
          <cell r="J834" t="str">
            <v>Intragency Trsfs</v>
          </cell>
        </row>
        <row r="835">
          <cell r="H835" t="str">
            <v>TA</v>
          </cell>
          <cell r="I835" t="str">
            <v>AG</v>
          </cell>
          <cell r="J835" t="str">
            <v>Intragency Trsfs</v>
          </cell>
        </row>
        <row r="836">
          <cell r="H836" t="str">
            <v>TA</v>
          </cell>
          <cell r="I836" t="str">
            <v>AH</v>
          </cell>
          <cell r="J836" t="str">
            <v>Intragency Trsfs</v>
          </cell>
        </row>
        <row r="837">
          <cell r="H837" t="str">
            <v>TA</v>
          </cell>
          <cell r="I837" t="str">
            <v>AM</v>
          </cell>
          <cell r="J837" t="str">
            <v>Intragency Trsfs</v>
          </cell>
        </row>
        <row r="838">
          <cell r="H838" t="str">
            <v>TA</v>
          </cell>
          <cell r="I838" t="str">
            <v>AK</v>
          </cell>
          <cell r="J838" t="str">
            <v>Intragency Trsfs</v>
          </cell>
        </row>
        <row r="839">
          <cell r="H839" t="str">
            <v>TA</v>
          </cell>
          <cell r="I839" t="str">
            <v>AM</v>
          </cell>
          <cell r="J839" t="str">
            <v>Intragency Trsfs</v>
          </cell>
        </row>
        <row r="840">
          <cell r="H840" t="str">
            <v>TA</v>
          </cell>
          <cell r="I840" t="str">
            <v>00</v>
          </cell>
          <cell r="J840" t="str">
            <v>Intragency Trsfs</v>
          </cell>
        </row>
        <row r="841">
          <cell r="H841" t="str">
            <v>TA</v>
          </cell>
          <cell r="I841" t="str">
            <v>20</v>
          </cell>
          <cell r="J841" t="str">
            <v>Intragency Trsfs</v>
          </cell>
        </row>
        <row r="842">
          <cell r="H842" t="str">
            <v>TA</v>
          </cell>
          <cell r="I842" t="str">
            <v>00</v>
          </cell>
          <cell r="J842" t="str">
            <v>Intragency Trsfs</v>
          </cell>
        </row>
        <row r="843">
          <cell r="H843" t="str">
            <v>TA</v>
          </cell>
          <cell r="I843" t="str">
            <v>AE</v>
          </cell>
          <cell r="J843" t="str">
            <v>Intragency Trsfs</v>
          </cell>
        </row>
        <row r="844">
          <cell r="H844" t="str">
            <v>TA</v>
          </cell>
          <cell r="I844" t="str">
            <v>ER</v>
          </cell>
          <cell r="J844" t="str">
            <v>Intragency Trsfs</v>
          </cell>
        </row>
        <row r="845">
          <cell r="H845" t="str">
            <v>TA</v>
          </cell>
          <cell r="I845" t="str">
            <v>20</v>
          </cell>
          <cell r="J845" t="str">
            <v>Intragency Trsfs</v>
          </cell>
        </row>
        <row r="846">
          <cell r="H846" t="str">
            <v>TA</v>
          </cell>
          <cell r="I846" t="str">
            <v>30</v>
          </cell>
          <cell r="J846" t="str">
            <v>Intragency Trsfs</v>
          </cell>
        </row>
        <row r="847">
          <cell r="H847" t="str">
            <v>TA</v>
          </cell>
          <cell r="I847" t="str">
            <v>AK</v>
          </cell>
          <cell r="J847" t="str">
            <v>Intragency Trsfs</v>
          </cell>
        </row>
        <row r="848">
          <cell r="H848" t="str">
            <v>TA</v>
          </cell>
          <cell r="I848" t="str">
            <v>AK</v>
          </cell>
          <cell r="J848" t="str">
            <v>Intragency Trsfs</v>
          </cell>
        </row>
        <row r="849">
          <cell r="H849" t="str">
            <v>TA</v>
          </cell>
          <cell r="I849" t="str">
            <v>AD</v>
          </cell>
          <cell r="J849" t="str">
            <v>Intragency Trsfs</v>
          </cell>
        </row>
        <row r="850">
          <cell r="H850" t="str">
            <v>TA</v>
          </cell>
          <cell r="I850" t="str">
            <v>AD</v>
          </cell>
          <cell r="J850" t="str">
            <v>Intragency Trsfs</v>
          </cell>
        </row>
        <row r="851">
          <cell r="H851" t="str">
            <v>TB</v>
          </cell>
          <cell r="I851" t="str">
            <v>AE</v>
          </cell>
          <cell r="J851" t="str">
            <v>Intragency Trsfs</v>
          </cell>
        </row>
        <row r="852">
          <cell r="H852" t="str">
            <v>TB</v>
          </cell>
          <cell r="J852" t="str">
            <v>Intragency Trsfs</v>
          </cell>
        </row>
        <row r="853">
          <cell r="H853" t="str">
            <v>TB</v>
          </cell>
          <cell r="I853" t="str">
            <v>AK</v>
          </cell>
          <cell r="J853" t="str">
            <v>Intragency Trsfs</v>
          </cell>
        </row>
        <row r="854">
          <cell r="H854" t="str">
            <v>TB</v>
          </cell>
          <cell r="I854" t="str">
            <v>00</v>
          </cell>
          <cell r="J854" t="str">
            <v>Intragency Trsfs</v>
          </cell>
        </row>
        <row r="855">
          <cell r="H855" t="str">
            <v>TB</v>
          </cell>
          <cell r="I855" t="str">
            <v>AH</v>
          </cell>
          <cell r="J855" t="str">
            <v>Intragency Trsfs</v>
          </cell>
        </row>
        <row r="856">
          <cell r="H856" t="str">
            <v>TB</v>
          </cell>
          <cell r="I856" t="str">
            <v>AM</v>
          </cell>
          <cell r="J856" t="str">
            <v>Intragency Trsfs</v>
          </cell>
        </row>
        <row r="857">
          <cell r="H857" t="str">
            <v>TB</v>
          </cell>
          <cell r="I857" t="str">
            <v>AE</v>
          </cell>
          <cell r="J857" t="str">
            <v>Intragency Trsfs</v>
          </cell>
        </row>
        <row r="858">
          <cell r="H858" t="str">
            <v>TB</v>
          </cell>
          <cell r="I858" t="str">
            <v>BR</v>
          </cell>
          <cell r="J858" t="str">
            <v>Intragency Trsfs</v>
          </cell>
        </row>
        <row r="859">
          <cell r="H859" t="str">
            <v>TB</v>
          </cell>
          <cell r="I859" t="str">
            <v>AK</v>
          </cell>
          <cell r="J859" t="str">
            <v>Intragency Trsfs</v>
          </cell>
        </row>
        <row r="860">
          <cell r="H860" t="str">
            <v>TB</v>
          </cell>
          <cell r="I860" t="str">
            <v>AK</v>
          </cell>
          <cell r="J860" t="str">
            <v>Intragency Trsfs</v>
          </cell>
        </row>
        <row r="861">
          <cell r="H861" t="str">
            <v>TE</v>
          </cell>
          <cell r="I861" t="str">
            <v>XE</v>
          </cell>
          <cell r="J861" t="str">
            <v>Intragency Trsfs</v>
          </cell>
        </row>
        <row r="862">
          <cell r="H862" t="str">
            <v>TE</v>
          </cell>
          <cell r="I862" t="str">
            <v>00</v>
          </cell>
          <cell r="J862" t="str">
            <v>Intragency Trsfs</v>
          </cell>
        </row>
        <row r="863">
          <cell r="H863" t="str">
            <v>TE</v>
          </cell>
          <cell r="I863" t="str">
            <v>00</v>
          </cell>
          <cell r="J863" t="str">
            <v>Intragency Trsfs</v>
          </cell>
        </row>
        <row r="864">
          <cell r="H864" t="str">
            <v>TE</v>
          </cell>
          <cell r="I864" t="str">
            <v>00</v>
          </cell>
          <cell r="J864" t="str">
            <v>Intragency Trsfs</v>
          </cell>
        </row>
        <row r="865">
          <cell r="H865" t="str">
            <v>TE</v>
          </cell>
          <cell r="I865" t="str">
            <v>TF</v>
          </cell>
          <cell r="J865" t="str">
            <v>Intragency Trsfs</v>
          </cell>
        </row>
        <row r="866">
          <cell r="H866" t="str">
            <v>TE</v>
          </cell>
          <cell r="I866" t="str">
            <v>EI</v>
          </cell>
          <cell r="J866" t="str">
            <v>Intragency Trsfs</v>
          </cell>
        </row>
        <row r="867">
          <cell r="H867" t="str">
            <v>TE</v>
          </cell>
          <cell r="I867" t="str">
            <v>EI</v>
          </cell>
          <cell r="J867" t="str">
            <v>Intragency Trsfs</v>
          </cell>
        </row>
        <row r="868">
          <cell r="H868" t="str">
            <v>TE</v>
          </cell>
          <cell r="I868" t="str">
            <v>EI</v>
          </cell>
          <cell r="J868" t="str">
            <v>Intragency Trsfs</v>
          </cell>
        </row>
        <row r="869">
          <cell r="H869" t="str">
            <v>TE</v>
          </cell>
          <cell r="J869" t="str">
            <v>Intragency Trsfs</v>
          </cell>
        </row>
        <row r="870">
          <cell r="H870" t="str">
            <v>TE</v>
          </cell>
          <cell r="I870" t="str">
            <v>RS</v>
          </cell>
          <cell r="J870" t="str">
            <v>Intragency Trsfs</v>
          </cell>
        </row>
        <row r="871">
          <cell r="H871" t="str">
            <v>TE</v>
          </cell>
          <cell r="I871" t="str">
            <v>00</v>
          </cell>
          <cell r="J871" t="str">
            <v>Intragency Trsfs</v>
          </cell>
        </row>
        <row r="872">
          <cell r="H872" t="str">
            <v>TE</v>
          </cell>
          <cell r="I872" t="str">
            <v>00</v>
          </cell>
          <cell r="J872" t="str">
            <v>Intragency Trsfs</v>
          </cell>
        </row>
        <row r="873">
          <cell r="H873" t="str">
            <v>TE</v>
          </cell>
          <cell r="I873" t="str">
            <v>00</v>
          </cell>
          <cell r="J873" t="str">
            <v>Intragency Trsfs</v>
          </cell>
        </row>
        <row r="874">
          <cell r="H874" t="str">
            <v>TE</v>
          </cell>
          <cell r="I874" t="str">
            <v>00</v>
          </cell>
          <cell r="J874" t="str">
            <v>Intragency Trsfs</v>
          </cell>
        </row>
        <row r="875">
          <cell r="H875" t="str">
            <v>TN</v>
          </cell>
          <cell r="I875" t="str">
            <v>IT</v>
          </cell>
          <cell r="J875" t="str">
            <v>Intragency Trsfs</v>
          </cell>
        </row>
        <row r="876">
          <cell r="H876" t="str">
            <v>TN</v>
          </cell>
          <cell r="I876" t="str">
            <v>00</v>
          </cell>
          <cell r="J876" t="str">
            <v>Intragency Trsfs</v>
          </cell>
        </row>
        <row r="877">
          <cell r="H877" t="str">
            <v>TN</v>
          </cell>
          <cell r="I877" t="str">
            <v>00</v>
          </cell>
          <cell r="J877" t="str">
            <v>Intragency Trsfs</v>
          </cell>
        </row>
        <row r="878">
          <cell r="H878" t="str">
            <v>0430</v>
          </cell>
          <cell r="I878" t="str">
            <v>RH</v>
          </cell>
          <cell r="J878" t="str">
            <v>Revenue</v>
          </cell>
        </row>
        <row r="879">
          <cell r="H879" t="str">
            <v>0430</v>
          </cell>
          <cell r="I879" t="str">
            <v>RW</v>
          </cell>
          <cell r="J879" t="str">
            <v>Revenue</v>
          </cell>
        </row>
        <row r="880">
          <cell r="H880" t="str">
            <v>0999</v>
          </cell>
          <cell r="J880" t="str">
            <v>Carryforward</v>
          </cell>
        </row>
        <row r="881">
          <cell r="H881" t="str">
            <v>0430</v>
          </cell>
          <cell r="I881" t="str">
            <v>RP</v>
          </cell>
          <cell r="J881" t="str">
            <v>Revenue</v>
          </cell>
        </row>
        <row r="882">
          <cell r="H882" t="str">
            <v>0999</v>
          </cell>
          <cell r="J882" t="str">
            <v>Carryforward</v>
          </cell>
        </row>
        <row r="883">
          <cell r="H883" t="str">
            <v>0430</v>
          </cell>
          <cell r="I883" t="str">
            <v>RK</v>
          </cell>
          <cell r="J883" t="str">
            <v>Revenue</v>
          </cell>
        </row>
        <row r="884">
          <cell r="H884" t="str">
            <v>0430</v>
          </cell>
          <cell r="I884" t="str">
            <v>RO</v>
          </cell>
          <cell r="J884" t="str">
            <v>Revenue</v>
          </cell>
        </row>
        <row r="885">
          <cell r="H885" t="str">
            <v>0999</v>
          </cell>
          <cell r="J885" t="str">
            <v>Carryforward</v>
          </cell>
        </row>
        <row r="886">
          <cell r="H886" t="str">
            <v>0999</v>
          </cell>
          <cell r="J886" t="str">
            <v>Carryforward</v>
          </cell>
        </row>
        <row r="887">
          <cell r="H887" t="str">
            <v>0999</v>
          </cell>
          <cell r="J887" t="str">
            <v>Carryforward</v>
          </cell>
        </row>
        <row r="888">
          <cell r="H888" t="str">
            <v>0430</v>
          </cell>
          <cell r="I888" t="str">
            <v>3S</v>
          </cell>
          <cell r="J888" t="str">
            <v>Revenue</v>
          </cell>
        </row>
        <row r="889">
          <cell r="H889" t="str">
            <v>0999</v>
          </cell>
          <cell r="J889" t="str">
            <v>Carryforward</v>
          </cell>
        </row>
        <row r="890">
          <cell r="H890" t="str">
            <v>0430</v>
          </cell>
          <cell r="I890" t="str">
            <v>XA</v>
          </cell>
          <cell r="J890" t="str">
            <v>Revenue</v>
          </cell>
        </row>
        <row r="891">
          <cell r="H891" t="str">
            <v>0999</v>
          </cell>
          <cell r="J891" t="str">
            <v>Carryforward</v>
          </cell>
        </row>
        <row r="892">
          <cell r="H892" t="str">
            <v>0430</v>
          </cell>
          <cell r="J892" t="str">
            <v>Revenue</v>
          </cell>
        </row>
        <row r="893">
          <cell r="H893" t="str">
            <v>0430</v>
          </cell>
          <cell r="I893" t="str">
            <v>XB</v>
          </cell>
          <cell r="J893" t="str">
            <v>Revenue</v>
          </cell>
        </row>
        <row r="894">
          <cell r="H894" t="str">
            <v>0999</v>
          </cell>
          <cell r="J894" t="str">
            <v>Carryforward</v>
          </cell>
        </row>
        <row r="895">
          <cell r="H895" t="str">
            <v>0999</v>
          </cell>
          <cell r="J895" t="str">
            <v>Carryforward</v>
          </cell>
        </row>
        <row r="896">
          <cell r="H896" t="str">
            <v>0999</v>
          </cell>
          <cell r="J896" t="str">
            <v>Carryforward</v>
          </cell>
        </row>
        <row r="897">
          <cell r="H897" t="str">
            <v>0999</v>
          </cell>
          <cell r="J897" t="str">
            <v>Carryforward</v>
          </cell>
        </row>
        <row r="898">
          <cell r="H898" t="str">
            <v>0999</v>
          </cell>
          <cell r="J898" t="str">
            <v>Carryforward</v>
          </cell>
        </row>
        <row r="899">
          <cell r="H899" t="str">
            <v>0430</v>
          </cell>
          <cell r="I899" t="str">
            <v>XC</v>
          </cell>
          <cell r="J899" t="str">
            <v>Revenue</v>
          </cell>
        </row>
        <row r="900">
          <cell r="H900" t="str">
            <v>0999</v>
          </cell>
          <cell r="J900" t="str">
            <v>Carryforward</v>
          </cell>
        </row>
        <row r="901">
          <cell r="H901" t="str">
            <v>0430</v>
          </cell>
          <cell r="J901" t="str">
            <v>Revenue</v>
          </cell>
        </row>
        <row r="902">
          <cell r="H902" t="str">
            <v>0999</v>
          </cell>
          <cell r="J902" t="str">
            <v>Carryforward</v>
          </cell>
        </row>
        <row r="903">
          <cell r="H903" t="str">
            <v>0999</v>
          </cell>
          <cell r="J903" t="str">
            <v>Carryforward</v>
          </cell>
        </row>
        <row r="904">
          <cell r="H904" t="str">
            <v>0402</v>
          </cell>
          <cell r="J904" t="str">
            <v>Revenue</v>
          </cell>
        </row>
        <row r="905">
          <cell r="H905" t="str">
            <v>0999</v>
          </cell>
          <cell r="J905" t="str">
            <v>Carryforward</v>
          </cell>
        </row>
        <row r="906">
          <cell r="H906" t="str">
            <v>0430</v>
          </cell>
          <cell r="I906" t="str">
            <v>AT</v>
          </cell>
          <cell r="J906" t="str">
            <v>Revenue</v>
          </cell>
        </row>
        <row r="907">
          <cell r="H907" t="str">
            <v>0999</v>
          </cell>
          <cell r="J907" t="str">
            <v>Carryforward</v>
          </cell>
        </row>
        <row r="908">
          <cell r="H908" t="str">
            <v>0430</v>
          </cell>
          <cell r="I908" t="str">
            <v>AC</v>
          </cell>
          <cell r="J908" t="str">
            <v>Revenue</v>
          </cell>
        </row>
        <row r="909">
          <cell r="H909" t="str">
            <v>0430</v>
          </cell>
          <cell r="I909" t="str">
            <v>AD</v>
          </cell>
          <cell r="J909" t="str">
            <v>Revenue</v>
          </cell>
        </row>
        <row r="910">
          <cell r="H910" t="str">
            <v>0999</v>
          </cell>
          <cell r="J910" t="str">
            <v>Carryforward</v>
          </cell>
        </row>
        <row r="911">
          <cell r="H911" t="str">
            <v>0431</v>
          </cell>
          <cell r="I911" t="str">
            <v>AE</v>
          </cell>
          <cell r="J911" t="str">
            <v>Revenue</v>
          </cell>
        </row>
        <row r="912">
          <cell r="H912" t="str">
            <v>0431</v>
          </cell>
          <cell r="I912" t="str">
            <v>AF</v>
          </cell>
          <cell r="J912" t="str">
            <v>Revenue</v>
          </cell>
        </row>
        <row r="913">
          <cell r="H913" t="str">
            <v>0999</v>
          </cell>
          <cell r="J913" t="str">
            <v>Carryforward</v>
          </cell>
        </row>
        <row r="914">
          <cell r="H914" t="str">
            <v>0999</v>
          </cell>
          <cell r="J914" t="str">
            <v>Carryforward</v>
          </cell>
        </row>
        <row r="915">
          <cell r="H915" t="str">
            <v>0430</v>
          </cell>
          <cell r="I915" t="str">
            <v>VW</v>
          </cell>
          <cell r="J915" t="str">
            <v>Revenue</v>
          </cell>
        </row>
        <row r="916">
          <cell r="H916" t="str">
            <v>0431</v>
          </cell>
          <cell r="I916" t="str">
            <v>AZ</v>
          </cell>
          <cell r="J916" t="str">
            <v>Revenue</v>
          </cell>
        </row>
        <row r="917">
          <cell r="H917" t="str">
            <v>0431</v>
          </cell>
          <cell r="I917" t="str">
            <v>OT</v>
          </cell>
          <cell r="J917" t="str">
            <v>Revenue</v>
          </cell>
        </row>
        <row r="918">
          <cell r="H918" t="str">
            <v>0999</v>
          </cell>
          <cell r="J918" t="str">
            <v>Carryforward</v>
          </cell>
        </row>
        <row r="919">
          <cell r="H919" t="str">
            <v>0431</v>
          </cell>
          <cell r="I919" t="str">
            <v>QF</v>
          </cell>
          <cell r="J919" t="str">
            <v>Revenue</v>
          </cell>
        </row>
        <row r="920">
          <cell r="H920" t="str">
            <v>0999</v>
          </cell>
          <cell r="J920" t="str">
            <v>Carryforward</v>
          </cell>
        </row>
        <row r="921">
          <cell r="H921" t="str">
            <v>0431</v>
          </cell>
          <cell r="I921" t="str">
            <v>OT</v>
          </cell>
          <cell r="J921" t="str">
            <v>Revenue</v>
          </cell>
        </row>
        <row r="922">
          <cell r="H922" t="str">
            <v>0999</v>
          </cell>
          <cell r="J922" t="str">
            <v>Carryforward</v>
          </cell>
        </row>
        <row r="923">
          <cell r="H923" t="str">
            <v>0431</v>
          </cell>
          <cell r="I923" t="str">
            <v>RT</v>
          </cell>
          <cell r="J923" t="str">
            <v>Revenue</v>
          </cell>
        </row>
        <row r="924">
          <cell r="H924" t="str">
            <v>0999</v>
          </cell>
          <cell r="J924" t="str">
            <v>Carryforward</v>
          </cell>
        </row>
        <row r="925">
          <cell r="H925" t="str">
            <v>0405</v>
          </cell>
          <cell r="I925" t="str">
            <v>OI</v>
          </cell>
          <cell r="J925" t="str">
            <v>Revenue</v>
          </cell>
        </row>
        <row r="926">
          <cell r="H926" t="str">
            <v>0999</v>
          </cell>
          <cell r="J926" t="str">
            <v>Carryforward</v>
          </cell>
        </row>
        <row r="927">
          <cell r="H927" t="str">
            <v>0431</v>
          </cell>
          <cell r="I927" t="str">
            <v>OG</v>
          </cell>
          <cell r="J927" t="str">
            <v>Revenue</v>
          </cell>
        </row>
        <row r="928">
          <cell r="H928" t="str">
            <v>0999</v>
          </cell>
          <cell r="J928" t="str">
            <v>Carryforward</v>
          </cell>
        </row>
        <row r="929">
          <cell r="H929" t="str">
            <v>0431</v>
          </cell>
          <cell r="I929" t="str">
            <v>RT</v>
          </cell>
          <cell r="J929" t="str">
            <v>Revenue</v>
          </cell>
        </row>
        <row r="930">
          <cell r="H930" t="str">
            <v>0999</v>
          </cell>
          <cell r="J930" t="str">
            <v>Carryforward</v>
          </cell>
        </row>
        <row r="931">
          <cell r="H931" t="str">
            <v>0431</v>
          </cell>
          <cell r="I931" t="str">
            <v>MK</v>
          </cell>
          <cell r="J931" t="str">
            <v>Revenue</v>
          </cell>
        </row>
        <row r="932">
          <cell r="H932" t="str">
            <v>0999</v>
          </cell>
          <cell r="J932" t="str">
            <v>Carryforward</v>
          </cell>
        </row>
        <row r="933">
          <cell r="H933" t="str">
            <v>0431</v>
          </cell>
          <cell r="I933" t="str">
            <v>LZ</v>
          </cell>
          <cell r="J933" t="str">
            <v>Revenue</v>
          </cell>
        </row>
        <row r="934">
          <cell r="H934" t="str">
            <v>0999</v>
          </cell>
          <cell r="J934" t="str">
            <v>Carryforward</v>
          </cell>
        </row>
        <row r="935">
          <cell r="H935" t="str">
            <v>0431</v>
          </cell>
          <cell r="I935" t="str">
            <v>MR</v>
          </cell>
          <cell r="J935" t="str">
            <v>Revenue</v>
          </cell>
        </row>
        <row r="936">
          <cell r="H936" t="str">
            <v>0999</v>
          </cell>
          <cell r="J936" t="str">
            <v>Carryforward</v>
          </cell>
        </row>
        <row r="937">
          <cell r="H937" t="str">
            <v>0431</v>
          </cell>
          <cell r="I937" t="str">
            <v>MQ</v>
          </cell>
          <cell r="J937" t="str">
            <v>Revenue</v>
          </cell>
        </row>
        <row r="938">
          <cell r="H938" t="str">
            <v>0999</v>
          </cell>
          <cell r="J938" t="str">
            <v>Carryforward</v>
          </cell>
        </row>
        <row r="939">
          <cell r="H939" t="str">
            <v>0431</v>
          </cell>
          <cell r="I939" t="str">
            <v>LU</v>
          </cell>
          <cell r="J939" t="str">
            <v>Revenue</v>
          </cell>
        </row>
        <row r="940">
          <cell r="H940" t="str">
            <v>0999</v>
          </cell>
          <cell r="J940" t="str">
            <v>Carryforward</v>
          </cell>
        </row>
        <row r="941">
          <cell r="H941" t="str">
            <v>0430</v>
          </cell>
          <cell r="I941" t="str">
            <v>VM</v>
          </cell>
          <cell r="J941" t="str">
            <v>Revenue</v>
          </cell>
        </row>
        <row r="942">
          <cell r="H942" t="str">
            <v>0999</v>
          </cell>
          <cell r="J942" t="str">
            <v>Carryforward</v>
          </cell>
        </row>
        <row r="943">
          <cell r="H943" t="str">
            <v>0421</v>
          </cell>
          <cell r="J943" t="str">
            <v>Revenue</v>
          </cell>
        </row>
        <row r="944">
          <cell r="H944" t="str">
            <v>0430</v>
          </cell>
          <cell r="J944" t="str">
            <v>Revenue</v>
          </cell>
        </row>
        <row r="945">
          <cell r="H945" t="str">
            <v>0430</v>
          </cell>
          <cell r="I945" t="str">
            <v>VV</v>
          </cell>
          <cell r="J945" t="str">
            <v>Revenue</v>
          </cell>
        </row>
        <row r="946">
          <cell r="H946" t="str">
            <v>0430</v>
          </cell>
          <cell r="I946" t="str">
            <v>VY</v>
          </cell>
          <cell r="J946" t="str">
            <v>Revenue</v>
          </cell>
        </row>
        <row r="947">
          <cell r="H947" t="str">
            <v>0541</v>
          </cell>
          <cell r="J947" t="str">
            <v>Revenue</v>
          </cell>
        </row>
        <row r="948">
          <cell r="H948" t="str">
            <v>0999</v>
          </cell>
          <cell r="J948" t="str">
            <v>Carryforward</v>
          </cell>
        </row>
        <row r="949">
          <cell r="H949" t="str">
            <v>0999</v>
          </cell>
          <cell r="J949" t="str">
            <v>Carryforward</v>
          </cell>
        </row>
        <row r="950">
          <cell r="H950" t="str">
            <v>0999</v>
          </cell>
          <cell r="J950" t="str">
            <v>Carryforward</v>
          </cell>
        </row>
        <row r="951">
          <cell r="H951" t="str">
            <v>0999</v>
          </cell>
          <cell r="J951" t="str">
            <v>Carryforward</v>
          </cell>
        </row>
        <row r="952">
          <cell r="H952" t="str">
            <v>0405</v>
          </cell>
          <cell r="I952" t="str">
            <v>VB</v>
          </cell>
          <cell r="J952" t="str">
            <v>Revenue</v>
          </cell>
        </row>
        <row r="953">
          <cell r="H953" t="str">
            <v>0430</v>
          </cell>
          <cell r="I953" t="str">
            <v>VK</v>
          </cell>
          <cell r="J953" t="str">
            <v>Revenue</v>
          </cell>
        </row>
        <row r="954">
          <cell r="H954" t="str">
            <v>0999</v>
          </cell>
          <cell r="J954" t="str">
            <v>Carryforward</v>
          </cell>
        </row>
        <row r="955">
          <cell r="H955" t="str">
            <v>0431</v>
          </cell>
          <cell r="I955" t="str">
            <v>ME</v>
          </cell>
          <cell r="J955" t="str">
            <v>Revenue</v>
          </cell>
        </row>
        <row r="956">
          <cell r="H956" t="str">
            <v>0999</v>
          </cell>
          <cell r="J956" t="str">
            <v>Carryforward</v>
          </cell>
        </row>
        <row r="957">
          <cell r="H957" t="str">
            <v>0431</v>
          </cell>
          <cell r="I957" t="str">
            <v>LL</v>
          </cell>
          <cell r="J957" t="str">
            <v>Revenue</v>
          </cell>
        </row>
        <row r="958">
          <cell r="H958" t="str">
            <v>0999</v>
          </cell>
          <cell r="J958" t="str">
            <v>Carryforward</v>
          </cell>
        </row>
        <row r="959">
          <cell r="H959" t="str">
            <v>0431</v>
          </cell>
          <cell r="I959" t="str">
            <v>LY</v>
          </cell>
          <cell r="J959" t="str">
            <v>Revenue</v>
          </cell>
        </row>
        <row r="960">
          <cell r="H960" t="str">
            <v>0999</v>
          </cell>
          <cell r="J960" t="str">
            <v>Carryforward</v>
          </cell>
        </row>
        <row r="961">
          <cell r="H961" t="str">
            <v>0431</v>
          </cell>
          <cell r="I961" t="str">
            <v>LV</v>
          </cell>
          <cell r="J961" t="str">
            <v>Revenue</v>
          </cell>
        </row>
        <row r="962">
          <cell r="H962" t="str">
            <v>0999</v>
          </cell>
          <cell r="J962" t="str">
            <v>Carryforward</v>
          </cell>
        </row>
        <row r="963">
          <cell r="H963" t="str">
            <v>0431</v>
          </cell>
          <cell r="J963" t="str">
            <v>Revenue</v>
          </cell>
        </row>
        <row r="964">
          <cell r="H964" t="str">
            <v>0431</v>
          </cell>
          <cell r="I964" t="str">
            <v>L2</v>
          </cell>
          <cell r="J964" t="str">
            <v>Revenue</v>
          </cell>
        </row>
        <row r="965">
          <cell r="H965" t="str">
            <v>0999</v>
          </cell>
          <cell r="J965" t="str">
            <v>Carryforward</v>
          </cell>
        </row>
        <row r="966">
          <cell r="H966" t="str">
            <v>0431</v>
          </cell>
          <cell r="I966" t="str">
            <v>L1</v>
          </cell>
          <cell r="J966" t="str">
            <v>Revenue</v>
          </cell>
        </row>
        <row r="967">
          <cell r="H967" t="str">
            <v>0999</v>
          </cell>
          <cell r="J967" t="str">
            <v>Carryforward</v>
          </cell>
        </row>
        <row r="968">
          <cell r="H968" t="str">
            <v>0431</v>
          </cell>
          <cell r="I968" t="str">
            <v>LT</v>
          </cell>
          <cell r="J968" t="str">
            <v>Revenue</v>
          </cell>
        </row>
        <row r="969">
          <cell r="H969" t="str">
            <v>0999</v>
          </cell>
          <cell r="J969" t="str">
            <v>Carryforward</v>
          </cell>
        </row>
        <row r="970">
          <cell r="H970" t="str">
            <v>0999</v>
          </cell>
          <cell r="J970" t="str">
            <v>Carryforward</v>
          </cell>
        </row>
        <row r="971">
          <cell r="H971" t="str">
            <v>0431</v>
          </cell>
          <cell r="I971" t="str">
            <v>MG</v>
          </cell>
          <cell r="J971" t="str">
            <v>Revenue</v>
          </cell>
        </row>
        <row r="972">
          <cell r="H972" t="str">
            <v>0431</v>
          </cell>
          <cell r="I972" t="str">
            <v>OV</v>
          </cell>
          <cell r="J972" t="str">
            <v>Revenue</v>
          </cell>
        </row>
        <row r="973">
          <cell r="H973" t="str">
            <v>0499</v>
          </cell>
          <cell r="I973" t="str">
            <v>OV</v>
          </cell>
          <cell r="J973" t="str">
            <v>Revenue</v>
          </cell>
        </row>
        <row r="974">
          <cell r="H974" t="str">
            <v>0999</v>
          </cell>
          <cell r="J974" t="str">
            <v>Carryforward</v>
          </cell>
        </row>
        <row r="975">
          <cell r="H975" t="str">
            <v>0431</v>
          </cell>
          <cell r="I975" t="str">
            <v>LA</v>
          </cell>
          <cell r="J975" t="str">
            <v>Revenue</v>
          </cell>
        </row>
        <row r="976">
          <cell r="H976" t="str">
            <v>0431</v>
          </cell>
          <cell r="I976" t="str">
            <v>LB</v>
          </cell>
          <cell r="J976" t="str">
            <v>Revenue</v>
          </cell>
        </row>
        <row r="977">
          <cell r="H977" t="str">
            <v>0431</v>
          </cell>
          <cell r="I977" t="str">
            <v>LC</v>
          </cell>
          <cell r="J977" t="str">
            <v>Revenue</v>
          </cell>
        </row>
        <row r="978">
          <cell r="H978" t="str">
            <v>0431</v>
          </cell>
          <cell r="I978" t="str">
            <v>LD</v>
          </cell>
          <cell r="J978" t="str">
            <v>Revenue</v>
          </cell>
        </row>
        <row r="979">
          <cell r="H979" t="str">
            <v>0431</v>
          </cell>
          <cell r="I979" t="str">
            <v>LE</v>
          </cell>
          <cell r="J979" t="str">
            <v>Revenue</v>
          </cell>
        </row>
        <row r="980">
          <cell r="H980" t="str">
            <v>0431</v>
          </cell>
          <cell r="I980" t="str">
            <v>LG</v>
          </cell>
          <cell r="J980" t="str">
            <v>Revenue</v>
          </cell>
        </row>
        <row r="981">
          <cell r="H981" t="str">
            <v>0431</v>
          </cell>
          <cell r="I981" t="str">
            <v>LI</v>
          </cell>
          <cell r="J981" t="str">
            <v>Revenue</v>
          </cell>
        </row>
        <row r="982">
          <cell r="H982" t="str">
            <v>0431</v>
          </cell>
          <cell r="I982" t="str">
            <v>LJ</v>
          </cell>
          <cell r="J982" t="str">
            <v>Revenue</v>
          </cell>
        </row>
        <row r="983">
          <cell r="H983" t="str">
            <v>0431</v>
          </cell>
          <cell r="I983" t="str">
            <v>LK</v>
          </cell>
          <cell r="J983" t="str">
            <v>Revenue</v>
          </cell>
        </row>
        <row r="984">
          <cell r="H984" t="str">
            <v>0999</v>
          </cell>
          <cell r="J984" t="str">
            <v>Carryforward</v>
          </cell>
        </row>
        <row r="985">
          <cell r="H985" t="str">
            <v>0431</v>
          </cell>
          <cell r="I985" t="str">
            <v>MW</v>
          </cell>
          <cell r="J985" t="str">
            <v>Revenue</v>
          </cell>
        </row>
        <row r="986">
          <cell r="H986" t="str">
            <v>0999</v>
          </cell>
          <cell r="J986" t="str">
            <v>Carryforward</v>
          </cell>
        </row>
        <row r="987">
          <cell r="H987" t="str">
            <v>0999</v>
          </cell>
          <cell r="J987" t="str">
            <v>Carryforward</v>
          </cell>
        </row>
        <row r="988">
          <cell r="H988" t="str">
            <v>0999</v>
          </cell>
          <cell r="J988" t="str">
            <v>Carryforward</v>
          </cell>
        </row>
        <row r="989">
          <cell r="H989" t="str">
            <v>0999</v>
          </cell>
          <cell r="J989" t="str">
            <v>Carryforward</v>
          </cell>
        </row>
        <row r="990">
          <cell r="H990" t="str">
            <v>0430</v>
          </cell>
          <cell r="I990" t="str">
            <v>LM</v>
          </cell>
          <cell r="J990" t="str">
            <v>Revenue</v>
          </cell>
        </row>
        <row r="991">
          <cell r="H991" t="str">
            <v>0999</v>
          </cell>
          <cell r="J991" t="str">
            <v>Carryforward</v>
          </cell>
        </row>
        <row r="992">
          <cell r="H992" t="str">
            <v>0431</v>
          </cell>
          <cell r="I992" t="str">
            <v>LP</v>
          </cell>
          <cell r="J992" t="str">
            <v>Revenue</v>
          </cell>
        </row>
        <row r="993">
          <cell r="H993" t="str">
            <v>0999</v>
          </cell>
          <cell r="J993" t="str">
            <v>Carryforward</v>
          </cell>
        </row>
        <row r="994">
          <cell r="H994" t="str">
            <v>0499</v>
          </cell>
          <cell r="J994" t="str">
            <v>Revenue</v>
          </cell>
        </row>
        <row r="995">
          <cell r="H995" t="str">
            <v>0999</v>
          </cell>
          <cell r="J995" t="str">
            <v>Carryforward</v>
          </cell>
        </row>
        <row r="996">
          <cell r="H996" t="str">
            <v>0999</v>
          </cell>
          <cell r="J996" t="str">
            <v>Carryforward</v>
          </cell>
        </row>
        <row r="997">
          <cell r="H997" t="str">
            <v>0999</v>
          </cell>
          <cell r="J997" t="str">
            <v>Carryforward</v>
          </cell>
        </row>
        <row r="998">
          <cell r="H998" t="str">
            <v>0431</v>
          </cell>
          <cell r="I998" t="str">
            <v>LO</v>
          </cell>
          <cell r="J998" t="str">
            <v>Revenue</v>
          </cell>
        </row>
        <row r="999">
          <cell r="H999" t="str">
            <v>0999</v>
          </cell>
          <cell r="J999" t="str">
            <v>Carryforward</v>
          </cell>
        </row>
        <row r="1000">
          <cell r="H1000" t="str">
            <v>0431</v>
          </cell>
          <cell r="I1000" t="str">
            <v>MC</v>
          </cell>
          <cell r="J1000" t="str">
            <v>Revenue</v>
          </cell>
        </row>
        <row r="1001">
          <cell r="H1001" t="str">
            <v>0431</v>
          </cell>
          <cell r="I1001" t="str">
            <v>MJ</v>
          </cell>
          <cell r="J1001" t="str">
            <v>Revenue</v>
          </cell>
        </row>
        <row r="1002">
          <cell r="H1002" t="str">
            <v>0999</v>
          </cell>
          <cell r="J1002" t="str">
            <v>Carryforward</v>
          </cell>
        </row>
        <row r="1003">
          <cell r="H1003" t="str">
            <v>0431</v>
          </cell>
          <cell r="I1003" t="str">
            <v>LQ</v>
          </cell>
          <cell r="J1003" t="str">
            <v>Revenue</v>
          </cell>
        </row>
        <row r="1004">
          <cell r="H1004" t="str">
            <v>0999</v>
          </cell>
          <cell r="J1004" t="str">
            <v>Carryforward</v>
          </cell>
        </row>
        <row r="1005">
          <cell r="H1005" t="str">
            <v>0431</v>
          </cell>
          <cell r="I1005" t="str">
            <v>MB</v>
          </cell>
          <cell r="J1005" t="str">
            <v>Revenue</v>
          </cell>
        </row>
        <row r="1006">
          <cell r="H1006" t="str">
            <v>0431</v>
          </cell>
          <cell r="I1006" t="str">
            <v>MD</v>
          </cell>
          <cell r="J1006" t="str">
            <v>Revenue</v>
          </cell>
        </row>
        <row r="1007">
          <cell r="H1007" t="str">
            <v>0499</v>
          </cell>
          <cell r="I1007" t="str">
            <v>OR</v>
          </cell>
          <cell r="J1007" t="str">
            <v>Revenue</v>
          </cell>
        </row>
        <row r="1008">
          <cell r="H1008" t="str">
            <v>0999</v>
          </cell>
          <cell r="J1008" t="str">
            <v>Carryforward</v>
          </cell>
        </row>
        <row r="1009">
          <cell r="H1009" t="str">
            <v>0999</v>
          </cell>
          <cell r="J1009" t="str">
            <v>Carryforward</v>
          </cell>
        </row>
        <row r="1010">
          <cell r="H1010" t="str">
            <v>0999</v>
          </cell>
          <cell r="J1010" t="str">
            <v>Carryforward</v>
          </cell>
        </row>
        <row r="1011">
          <cell r="H1011" t="str">
            <v>0431</v>
          </cell>
          <cell r="I1011" t="str">
            <v>MD</v>
          </cell>
          <cell r="J1011" t="str">
            <v>Revenue</v>
          </cell>
        </row>
        <row r="1012">
          <cell r="H1012" t="str">
            <v>0431</v>
          </cell>
          <cell r="I1012" t="str">
            <v>MY</v>
          </cell>
          <cell r="J1012" t="str">
            <v>Revenue</v>
          </cell>
        </row>
        <row r="1013">
          <cell r="H1013" t="str">
            <v>0431</v>
          </cell>
          <cell r="I1013" t="str">
            <v>ML</v>
          </cell>
          <cell r="J1013" t="str">
            <v>Revenue</v>
          </cell>
        </row>
        <row r="1014">
          <cell r="H1014" t="str">
            <v>0999</v>
          </cell>
          <cell r="J1014" t="str">
            <v>Carryforward</v>
          </cell>
        </row>
        <row r="1015">
          <cell r="H1015" t="str">
            <v>0431</v>
          </cell>
          <cell r="I1015" t="str">
            <v>MX</v>
          </cell>
          <cell r="J1015" t="str">
            <v>Revenue</v>
          </cell>
        </row>
        <row r="1016">
          <cell r="H1016" t="str">
            <v>0999</v>
          </cell>
          <cell r="J1016" t="str">
            <v>Carryforward</v>
          </cell>
        </row>
        <row r="1017">
          <cell r="H1017" t="str">
            <v>0999</v>
          </cell>
          <cell r="J1017" t="str">
            <v>Carryforward</v>
          </cell>
        </row>
        <row r="1018">
          <cell r="H1018" t="str">
            <v>0431</v>
          </cell>
          <cell r="I1018" t="str">
            <v>MI</v>
          </cell>
          <cell r="J1018" t="str">
            <v>Revenue</v>
          </cell>
        </row>
        <row r="1019">
          <cell r="H1019" t="str">
            <v>0999</v>
          </cell>
          <cell r="J1019" t="str">
            <v>Carryforward</v>
          </cell>
        </row>
        <row r="1020">
          <cell r="H1020" t="str">
            <v>0999</v>
          </cell>
          <cell r="J1020" t="str">
            <v>Carryforward</v>
          </cell>
        </row>
        <row r="1021">
          <cell r="H1021" t="str">
            <v>0430</v>
          </cell>
          <cell r="I1021" t="str">
            <v>VH</v>
          </cell>
          <cell r="J1021" t="str">
            <v>Revenue</v>
          </cell>
        </row>
        <row r="1022">
          <cell r="H1022" t="str">
            <v>0999</v>
          </cell>
          <cell r="J1022" t="str">
            <v>Carryforward</v>
          </cell>
        </row>
        <row r="1023">
          <cell r="H1023" t="str">
            <v>0999</v>
          </cell>
          <cell r="J1023" t="str">
            <v>Carryforward</v>
          </cell>
        </row>
        <row r="1024">
          <cell r="H1024" t="str">
            <v>0431</v>
          </cell>
          <cell r="I1024" t="str">
            <v>LR</v>
          </cell>
          <cell r="J1024" t="str">
            <v>Revenue</v>
          </cell>
        </row>
        <row r="1025">
          <cell r="H1025" t="str">
            <v>0999</v>
          </cell>
          <cell r="J1025" t="str">
            <v>Carryforward</v>
          </cell>
        </row>
        <row r="1026">
          <cell r="H1026" t="str">
            <v>0431</v>
          </cell>
          <cell r="I1026" t="str">
            <v>MT</v>
          </cell>
          <cell r="J1026" t="str">
            <v>Revenue</v>
          </cell>
        </row>
        <row r="1027">
          <cell r="H1027" t="str">
            <v>0999</v>
          </cell>
          <cell r="J1027" t="str">
            <v>Carryforward</v>
          </cell>
        </row>
        <row r="1028">
          <cell r="H1028" t="str">
            <v>0431</v>
          </cell>
          <cell r="I1028" t="str">
            <v>MS</v>
          </cell>
          <cell r="J1028" t="str">
            <v>Revenue</v>
          </cell>
        </row>
        <row r="1029">
          <cell r="H1029" t="str">
            <v>0999</v>
          </cell>
          <cell r="J1029" t="str">
            <v>Carryforward</v>
          </cell>
        </row>
        <row r="1030">
          <cell r="H1030" t="str">
            <v>0431</v>
          </cell>
          <cell r="I1030" t="str">
            <v>MO</v>
          </cell>
          <cell r="J1030" t="str">
            <v>Revenue</v>
          </cell>
        </row>
        <row r="1031">
          <cell r="H1031" t="str">
            <v>0999</v>
          </cell>
          <cell r="J1031" t="str">
            <v>Carryforward</v>
          </cell>
        </row>
        <row r="1032">
          <cell r="H1032" t="str">
            <v>0430</v>
          </cell>
          <cell r="I1032" t="str">
            <v>VE</v>
          </cell>
          <cell r="J1032" t="str">
            <v>Revenue</v>
          </cell>
        </row>
        <row r="1033">
          <cell r="H1033" t="str">
            <v>0999</v>
          </cell>
          <cell r="J1033" t="str">
            <v>Carryforward</v>
          </cell>
        </row>
        <row r="1034">
          <cell r="H1034" t="str">
            <v>0999</v>
          </cell>
          <cell r="J1034" t="str">
            <v>Carryforward</v>
          </cell>
        </row>
        <row r="1035">
          <cell r="H1035" t="str">
            <v>0402</v>
          </cell>
          <cell r="I1035" t="str">
            <v>ZP</v>
          </cell>
          <cell r="J1035" t="str">
            <v>Revenue</v>
          </cell>
        </row>
        <row r="1036">
          <cell r="H1036" t="str">
            <v>0999</v>
          </cell>
          <cell r="J1036" t="str">
            <v>Carryforward</v>
          </cell>
        </row>
        <row r="1037">
          <cell r="H1037" t="str">
            <v>0402</v>
          </cell>
          <cell r="I1037" t="str">
            <v>QQ</v>
          </cell>
          <cell r="J1037" t="str">
            <v>Revenue</v>
          </cell>
        </row>
        <row r="1038">
          <cell r="H1038" t="str">
            <v>0999</v>
          </cell>
          <cell r="J1038" t="str">
            <v>Carryforward</v>
          </cell>
        </row>
        <row r="1039">
          <cell r="H1039" t="str">
            <v>0402</v>
          </cell>
          <cell r="I1039" t="str">
            <v>QR</v>
          </cell>
          <cell r="J1039" t="str">
            <v>Revenue</v>
          </cell>
        </row>
        <row r="1040">
          <cell r="H1040" t="str">
            <v>0999</v>
          </cell>
          <cell r="J1040" t="str">
            <v>Carryforward</v>
          </cell>
        </row>
        <row r="1041">
          <cell r="H1041" t="str">
            <v>0402</v>
          </cell>
          <cell r="I1041" t="str">
            <v>QS</v>
          </cell>
          <cell r="J1041" t="str">
            <v>Revenue</v>
          </cell>
        </row>
        <row r="1042">
          <cell r="H1042" t="str">
            <v>0999</v>
          </cell>
          <cell r="J1042" t="str">
            <v>Carryforward</v>
          </cell>
        </row>
        <row r="1043">
          <cell r="H1043" t="str">
            <v>0999</v>
          </cell>
          <cell r="J1043" t="str">
            <v>Carryforward</v>
          </cell>
        </row>
        <row r="1044">
          <cell r="H1044" t="str">
            <v>0999</v>
          </cell>
          <cell r="J1044" t="str">
            <v>Carryforward</v>
          </cell>
        </row>
        <row r="1045">
          <cell r="H1045" t="str">
            <v>0402</v>
          </cell>
          <cell r="I1045" t="str">
            <v>QK</v>
          </cell>
          <cell r="J1045" t="str">
            <v>Revenue</v>
          </cell>
        </row>
        <row r="1046">
          <cell r="H1046" t="str">
            <v>0405</v>
          </cell>
          <cell r="I1046" t="str">
            <v>OI</v>
          </cell>
          <cell r="J1046" t="str">
            <v>Revenue</v>
          </cell>
        </row>
        <row r="1047">
          <cell r="H1047" t="str">
            <v>0999</v>
          </cell>
          <cell r="J1047" t="str">
            <v>Carryforward</v>
          </cell>
        </row>
        <row r="1048">
          <cell r="H1048" t="str">
            <v>0541</v>
          </cell>
          <cell r="I1048" t="str">
            <v>+I</v>
          </cell>
          <cell r="J1048" t="str">
            <v>Revenue</v>
          </cell>
        </row>
        <row r="1049">
          <cell r="H1049" t="str">
            <v>0541</v>
          </cell>
          <cell r="I1049" t="str">
            <v>0T</v>
          </cell>
          <cell r="J1049" t="str">
            <v>Revenue</v>
          </cell>
        </row>
        <row r="1050">
          <cell r="H1050" t="str">
            <v>0541</v>
          </cell>
          <cell r="I1050" t="str">
            <v>CH</v>
          </cell>
          <cell r="J1050" t="str">
            <v>Revenue</v>
          </cell>
        </row>
        <row r="1051">
          <cell r="H1051" t="str">
            <v>0541</v>
          </cell>
          <cell r="I1051" t="str">
            <v>CI</v>
          </cell>
          <cell r="J1051" t="str">
            <v>Revenue</v>
          </cell>
        </row>
        <row r="1052">
          <cell r="H1052" t="str">
            <v>0541</v>
          </cell>
          <cell r="I1052" t="str">
            <v>CJ</v>
          </cell>
          <cell r="J1052" t="str">
            <v>Revenue</v>
          </cell>
        </row>
        <row r="1053">
          <cell r="H1053" t="str">
            <v>0541</v>
          </cell>
          <cell r="I1053" t="str">
            <v>CK</v>
          </cell>
          <cell r="J1053" t="str">
            <v>Revenue</v>
          </cell>
        </row>
        <row r="1054">
          <cell r="H1054" t="str">
            <v>0541</v>
          </cell>
          <cell r="I1054" t="str">
            <v>CW</v>
          </cell>
          <cell r="J1054" t="str">
            <v>Revenue</v>
          </cell>
        </row>
        <row r="1055">
          <cell r="H1055" t="str">
            <v>0621</v>
          </cell>
          <cell r="J1055" t="str">
            <v>Intraagency Trsfs</v>
          </cell>
        </row>
        <row r="1056">
          <cell r="H1056" t="str">
            <v>0999</v>
          </cell>
          <cell r="J1056" t="str">
            <v>Carryforward</v>
          </cell>
        </row>
        <row r="1057">
          <cell r="H1057" t="str">
            <v>0541</v>
          </cell>
          <cell r="I1057" t="str">
            <v>CL</v>
          </cell>
          <cell r="J1057" t="str">
            <v>Revenue</v>
          </cell>
        </row>
        <row r="1058">
          <cell r="H1058" t="str">
            <v>0999</v>
          </cell>
          <cell r="J1058" t="str">
            <v>Carryforward</v>
          </cell>
        </row>
        <row r="1059">
          <cell r="H1059" t="str">
            <v>0541</v>
          </cell>
          <cell r="J1059" t="str">
            <v>Revenue</v>
          </cell>
        </row>
        <row r="1060">
          <cell r="H1060" t="str">
            <v>0999</v>
          </cell>
          <cell r="J1060" t="str">
            <v>Carryforward</v>
          </cell>
        </row>
        <row r="1061">
          <cell r="H1061" t="str">
            <v>0999</v>
          </cell>
          <cell r="J1061" t="str">
            <v>Carryforward</v>
          </cell>
        </row>
        <row r="1062">
          <cell r="H1062" t="str">
            <v>0999</v>
          </cell>
          <cell r="J1062" t="str">
            <v>Carryforward</v>
          </cell>
        </row>
        <row r="1063">
          <cell r="H1063" t="str">
            <v>0999</v>
          </cell>
          <cell r="J1063" t="str">
            <v>Carryforward</v>
          </cell>
        </row>
        <row r="1064">
          <cell r="H1064" t="str">
            <v>0999</v>
          </cell>
          <cell r="J1064" t="str">
            <v>Carryforward</v>
          </cell>
        </row>
        <row r="1065">
          <cell r="H1065" t="str">
            <v>0999</v>
          </cell>
          <cell r="J1065" t="str">
            <v>Carryforward</v>
          </cell>
        </row>
        <row r="1066">
          <cell r="H1066" t="str">
            <v>0542</v>
          </cell>
          <cell r="J1066" t="str">
            <v>Revenue</v>
          </cell>
        </row>
        <row r="1067">
          <cell r="H1067" t="str">
            <v>0621</v>
          </cell>
          <cell r="J1067" t="str">
            <v>Intraagency Trsfs</v>
          </cell>
        </row>
        <row r="1068">
          <cell r="H1068" t="str">
            <v>0999</v>
          </cell>
          <cell r="J1068" t="str">
            <v>Carryforward</v>
          </cell>
        </row>
        <row r="1069">
          <cell r="H1069" t="str">
            <v>0999</v>
          </cell>
          <cell r="J1069" t="str">
            <v>Carryforward</v>
          </cell>
        </row>
        <row r="1070">
          <cell r="H1070" t="str">
            <v>0999</v>
          </cell>
          <cell r="J1070" t="str">
            <v>Carryforward</v>
          </cell>
        </row>
        <row r="1071">
          <cell r="H1071" t="str">
            <v>0409</v>
          </cell>
          <cell r="J1071" t="str">
            <v>Revenue</v>
          </cell>
        </row>
        <row r="1072">
          <cell r="H1072" t="str">
            <v>0999</v>
          </cell>
          <cell r="J1072" t="str">
            <v>Carryforward</v>
          </cell>
        </row>
        <row r="1073">
          <cell r="H1073" t="str">
            <v>0999</v>
          </cell>
          <cell r="J1073" t="str">
            <v>Carryforward</v>
          </cell>
        </row>
        <row r="1074">
          <cell r="H1074" t="str">
            <v>0999</v>
          </cell>
          <cell r="J1074" t="str">
            <v>Carryforward</v>
          </cell>
        </row>
        <row r="1075">
          <cell r="H1075" t="str">
            <v>0420</v>
          </cell>
          <cell r="J1075" t="str">
            <v>Revenue</v>
          </cell>
        </row>
        <row r="1076">
          <cell r="H1076" t="str">
            <v>0420</v>
          </cell>
          <cell r="I1076" t="str">
            <v>VP</v>
          </cell>
          <cell r="J1076" t="str">
            <v>Revenue</v>
          </cell>
        </row>
        <row r="1077">
          <cell r="H1077" t="str">
            <v>0999</v>
          </cell>
          <cell r="J1077" t="str">
            <v>Carryforward</v>
          </cell>
        </row>
        <row r="1078">
          <cell r="H1078" t="str">
            <v>0430</v>
          </cell>
          <cell r="I1078" t="str">
            <v>VL</v>
          </cell>
          <cell r="J1078" t="str">
            <v>Revenue</v>
          </cell>
        </row>
        <row r="1079">
          <cell r="H1079" t="str">
            <v>0999</v>
          </cell>
          <cell r="J1079" t="str">
            <v>Carryforward</v>
          </cell>
        </row>
        <row r="1080">
          <cell r="H1080" t="str">
            <v>0409</v>
          </cell>
          <cell r="J1080" t="str">
            <v>Revenue</v>
          </cell>
        </row>
        <row r="1081">
          <cell r="H1081" t="str">
            <v>0420</v>
          </cell>
          <cell r="J1081" t="str">
            <v>Revenue</v>
          </cell>
        </row>
        <row r="1082">
          <cell r="H1082" t="str">
            <v>0622</v>
          </cell>
          <cell r="J1082" t="str">
            <v>Intraagency Trsfs</v>
          </cell>
        </row>
        <row r="1083">
          <cell r="H1083" t="str">
            <v>0999</v>
          </cell>
          <cell r="J1083" t="str">
            <v>Carryforward</v>
          </cell>
        </row>
        <row r="1084">
          <cell r="H1084" t="str">
            <v>0409</v>
          </cell>
          <cell r="J1084" t="str">
            <v>Revenue</v>
          </cell>
        </row>
        <row r="1085">
          <cell r="H1085" t="str">
            <v>0424</v>
          </cell>
          <cell r="I1085" t="str">
            <v>#A</v>
          </cell>
          <cell r="J1085" t="str">
            <v>Revenue</v>
          </cell>
        </row>
        <row r="1086">
          <cell r="H1086" t="str">
            <v>0424</v>
          </cell>
          <cell r="I1086" t="str">
            <v>#B</v>
          </cell>
          <cell r="J1086" t="str">
            <v>Revenue</v>
          </cell>
        </row>
        <row r="1087">
          <cell r="H1087" t="str">
            <v>0424</v>
          </cell>
          <cell r="I1087" t="str">
            <v>+1</v>
          </cell>
          <cell r="J1087" t="str">
            <v>Revenue</v>
          </cell>
        </row>
        <row r="1088">
          <cell r="H1088" t="str">
            <v>0424</v>
          </cell>
          <cell r="I1088" t="str">
            <v>+2</v>
          </cell>
          <cell r="J1088" t="str">
            <v>Revenue</v>
          </cell>
        </row>
        <row r="1089">
          <cell r="H1089" t="str">
            <v>0424</v>
          </cell>
          <cell r="I1089" t="str">
            <v>+A</v>
          </cell>
          <cell r="J1089" t="str">
            <v>Revenue</v>
          </cell>
        </row>
        <row r="1090">
          <cell r="H1090" t="str">
            <v>0424</v>
          </cell>
          <cell r="I1090" t="str">
            <v>+G</v>
          </cell>
          <cell r="J1090" t="str">
            <v>Revenue</v>
          </cell>
        </row>
        <row r="1091">
          <cell r="H1091" t="str">
            <v>0424</v>
          </cell>
          <cell r="I1091" t="str">
            <v>+H</v>
          </cell>
          <cell r="J1091" t="str">
            <v>Revenue</v>
          </cell>
        </row>
        <row r="1092">
          <cell r="H1092" t="str">
            <v>0424</v>
          </cell>
          <cell r="I1092" t="str">
            <v>+L</v>
          </cell>
          <cell r="J1092" t="str">
            <v>Revenue</v>
          </cell>
        </row>
        <row r="1093">
          <cell r="H1093" t="str">
            <v>0424</v>
          </cell>
          <cell r="I1093" t="str">
            <v>+M</v>
          </cell>
          <cell r="J1093" t="str">
            <v>Revenue</v>
          </cell>
        </row>
        <row r="1094">
          <cell r="H1094" t="str">
            <v>0424</v>
          </cell>
          <cell r="I1094" t="str">
            <v>0F</v>
          </cell>
          <cell r="J1094" t="str">
            <v>Revenue</v>
          </cell>
        </row>
        <row r="1095">
          <cell r="H1095" t="str">
            <v>0424</v>
          </cell>
          <cell r="I1095" t="str">
            <v>TJ</v>
          </cell>
          <cell r="J1095" t="str">
            <v>Revenue</v>
          </cell>
        </row>
        <row r="1096">
          <cell r="H1096" t="str">
            <v>0424</v>
          </cell>
          <cell r="I1096" t="str">
            <v>TN</v>
          </cell>
          <cell r="J1096" t="str">
            <v>Revenue</v>
          </cell>
        </row>
        <row r="1097">
          <cell r="H1097" t="str">
            <v>0424</v>
          </cell>
          <cell r="I1097" t="str">
            <v>TR</v>
          </cell>
          <cell r="J1097" t="str">
            <v>Revenue</v>
          </cell>
        </row>
        <row r="1098">
          <cell r="H1098" t="str">
            <v>0424</v>
          </cell>
          <cell r="I1098" t="str">
            <v>TV</v>
          </cell>
          <cell r="J1098" t="str">
            <v>Revenue</v>
          </cell>
        </row>
        <row r="1099">
          <cell r="H1099" t="str">
            <v>0424</v>
          </cell>
          <cell r="I1099" t="str">
            <v>TZ</v>
          </cell>
          <cell r="J1099" t="str">
            <v>Revenue</v>
          </cell>
        </row>
        <row r="1100">
          <cell r="H1100" t="str">
            <v>0621</v>
          </cell>
          <cell r="J1100" t="str">
            <v>Intraagency Trsfs</v>
          </cell>
        </row>
        <row r="1101">
          <cell r="H1101" t="str">
            <v>0622</v>
          </cell>
          <cell r="J1101" t="str">
            <v>Intraagency Trsfs</v>
          </cell>
        </row>
        <row r="1102">
          <cell r="H1102" t="str">
            <v>0999</v>
          </cell>
          <cell r="J1102" t="str">
            <v>Carryforward</v>
          </cell>
        </row>
        <row r="1103">
          <cell r="H1103" t="str">
            <v>0999</v>
          </cell>
          <cell r="J1103" t="str">
            <v>Carryforward</v>
          </cell>
        </row>
        <row r="1104">
          <cell r="H1104" t="str">
            <v>0621</v>
          </cell>
          <cell r="J1104" t="str">
            <v>Intraagency Trsfs</v>
          </cell>
        </row>
        <row r="1105">
          <cell r="H1105" t="str">
            <v>0622</v>
          </cell>
          <cell r="J1105" t="str">
            <v>Intraagency Trsfs</v>
          </cell>
        </row>
        <row r="1106">
          <cell r="H1106" t="str">
            <v>0999</v>
          </cell>
          <cell r="J1106" t="str">
            <v>Carryforward</v>
          </cell>
        </row>
        <row r="1107">
          <cell r="H1107" t="str">
            <v>0499</v>
          </cell>
          <cell r="J1107" t="str">
            <v>Revenue</v>
          </cell>
        </row>
        <row r="1108">
          <cell r="H1108" t="str">
            <v>0499</v>
          </cell>
          <cell r="J1108" t="str">
            <v>Revenue</v>
          </cell>
        </row>
        <row r="1109">
          <cell r="H1109" t="str">
            <v>0499</v>
          </cell>
          <cell r="J1109" t="str">
            <v>Revenue</v>
          </cell>
        </row>
        <row r="1110">
          <cell r="H1110" t="str">
            <v>0499</v>
          </cell>
          <cell r="J1110" t="str">
            <v>Revenue</v>
          </cell>
        </row>
        <row r="1111">
          <cell r="H1111" t="str">
            <v>0622</v>
          </cell>
          <cell r="J1111" t="str">
            <v>Intraagency Trsfs</v>
          </cell>
        </row>
        <row r="1112">
          <cell r="H1112" t="str">
            <v>0499</v>
          </cell>
          <cell r="J1112" t="str">
            <v>Revenue</v>
          </cell>
        </row>
        <row r="1113">
          <cell r="H1113" t="str">
            <v>0499</v>
          </cell>
          <cell r="I1113" t="str">
            <v>7C</v>
          </cell>
          <cell r="J1113" t="str">
            <v>Revenue</v>
          </cell>
        </row>
        <row r="1114">
          <cell r="H1114" t="str">
            <v>0499</v>
          </cell>
          <cell r="I1114" t="str">
            <v>7B</v>
          </cell>
          <cell r="J1114" t="str">
            <v>Revenue</v>
          </cell>
        </row>
        <row r="1115">
          <cell r="H1115" t="str">
            <v>0499</v>
          </cell>
          <cell r="J1115" t="str">
            <v>Revenue</v>
          </cell>
        </row>
        <row r="1116">
          <cell r="H1116" t="str">
            <v>0499</v>
          </cell>
          <cell r="I1116" t="str">
            <v>7D</v>
          </cell>
          <cell r="J1116" t="str">
            <v>Revenue</v>
          </cell>
        </row>
        <row r="1117">
          <cell r="H1117" t="str">
            <v>0499</v>
          </cell>
          <cell r="J1117" t="str">
            <v>Revenue</v>
          </cell>
        </row>
        <row r="1118">
          <cell r="H1118" t="str">
            <v>0499</v>
          </cell>
          <cell r="J1118" t="str">
            <v>Revenue</v>
          </cell>
        </row>
        <row r="1119">
          <cell r="H1119" t="str">
            <v>0499</v>
          </cell>
          <cell r="I1119" t="str">
            <v>7L</v>
          </cell>
          <cell r="J1119" t="str">
            <v>Revenue</v>
          </cell>
        </row>
        <row r="1120">
          <cell r="H1120" t="str">
            <v>0499</v>
          </cell>
          <cell r="J1120" t="str">
            <v>Revenue</v>
          </cell>
        </row>
        <row r="1121">
          <cell r="H1121" t="str">
            <v>0499</v>
          </cell>
          <cell r="J1121" t="str">
            <v>Revenue</v>
          </cell>
        </row>
        <row r="1122">
          <cell r="H1122" t="str">
            <v>0499</v>
          </cell>
          <cell r="I1122" t="str">
            <v>7Q</v>
          </cell>
          <cell r="J1122" t="str">
            <v>Revenue</v>
          </cell>
        </row>
        <row r="1123">
          <cell r="H1123" t="str">
            <v>0499</v>
          </cell>
          <cell r="J1123" t="str">
            <v>Revenue</v>
          </cell>
        </row>
        <row r="1124">
          <cell r="H1124" t="str">
            <v>0424</v>
          </cell>
          <cell r="I1124" t="str">
            <v>#A</v>
          </cell>
          <cell r="J1124" t="str">
            <v>Revenue</v>
          </cell>
        </row>
        <row r="1125">
          <cell r="H1125" t="str">
            <v>0424</v>
          </cell>
          <cell r="I1125" t="str">
            <v>#B</v>
          </cell>
          <cell r="J1125" t="str">
            <v>Revenue</v>
          </cell>
        </row>
        <row r="1126">
          <cell r="H1126" t="str">
            <v>0424</v>
          </cell>
          <cell r="I1126" t="str">
            <v>+1</v>
          </cell>
          <cell r="J1126" t="str">
            <v>Revenue</v>
          </cell>
        </row>
        <row r="1127">
          <cell r="H1127" t="str">
            <v>0424</v>
          </cell>
          <cell r="I1127" t="str">
            <v>+2</v>
          </cell>
          <cell r="J1127" t="str">
            <v>Revenue</v>
          </cell>
        </row>
        <row r="1128">
          <cell r="H1128" t="str">
            <v>0424</v>
          </cell>
          <cell r="I1128" t="str">
            <v>+A</v>
          </cell>
          <cell r="J1128" t="str">
            <v>Revenue</v>
          </cell>
        </row>
        <row r="1129">
          <cell r="H1129" t="str">
            <v>0424</v>
          </cell>
          <cell r="I1129" t="str">
            <v>+G</v>
          </cell>
          <cell r="J1129" t="str">
            <v>Revenue</v>
          </cell>
        </row>
        <row r="1130">
          <cell r="H1130" t="str">
            <v>0424</v>
          </cell>
          <cell r="I1130" t="str">
            <v>+H</v>
          </cell>
          <cell r="J1130" t="str">
            <v>Revenue</v>
          </cell>
        </row>
        <row r="1131">
          <cell r="H1131" t="str">
            <v>0424</v>
          </cell>
          <cell r="I1131" t="str">
            <v>+L</v>
          </cell>
          <cell r="J1131" t="str">
            <v>Revenue</v>
          </cell>
        </row>
        <row r="1132">
          <cell r="H1132" t="str">
            <v>0424</v>
          </cell>
          <cell r="I1132" t="str">
            <v>+M</v>
          </cell>
          <cell r="J1132" t="str">
            <v>Revenue</v>
          </cell>
        </row>
        <row r="1133">
          <cell r="H1133" t="str">
            <v>0424</v>
          </cell>
          <cell r="I1133" t="str">
            <v>TJ</v>
          </cell>
          <cell r="J1133" t="str">
            <v>Revenue</v>
          </cell>
        </row>
        <row r="1134">
          <cell r="H1134" t="str">
            <v>0424</v>
          </cell>
          <cell r="I1134" t="str">
            <v>TN</v>
          </cell>
          <cell r="J1134" t="str">
            <v>Revenue</v>
          </cell>
        </row>
        <row r="1135">
          <cell r="H1135" t="str">
            <v>0424</v>
          </cell>
          <cell r="I1135" t="str">
            <v>TR</v>
          </cell>
          <cell r="J1135" t="str">
            <v>Revenue</v>
          </cell>
        </row>
        <row r="1136">
          <cell r="H1136" t="str">
            <v>0424</v>
          </cell>
          <cell r="I1136" t="str">
            <v>TV</v>
          </cell>
          <cell r="J1136" t="str">
            <v>Revenue</v>
          </cell>
        </row>
        <row r="1137">
          <cell r="H1137" t="str">
            <v>0621</v>
          </cell>
          <cell r="J1137" t="str">
            <v>Intraagency Trsfs</v>
          </cell>
        </row>
        <row r="1138">
          <cell r="H1138" t="str">
            <v>0622</v>
          </cell>
          <cell r="J1138" t="str">
            <v>Intraagency Trsfs</v>
          </cell>
        </row>
        <row r="1139">
          <cell r="H1139" t="str">
            <v>0424</v>
          </cell>
          <cell r="I1139" t="str">
            <v>#A</v>
          </cell>
          <cell r="J1139" t="str">
            <v>Revenue</v>
          </cell>
        </row>
        <row r="1140">
          <cell r="H1140" t="str">
            <v>0424</v>
          </cell>
          <cell r="I1140" t="str">
            <v>#B</v>
          </cell>
          <cell r="J1140" t="str">
            <v>Revenue</v>
          </cell>
        </row>
        <row r="1141">
          <cell r="H1141" t="str">
            <v>0424</v>
          </cell>
          <cell r="I1141" t="str">
            <v>+1</v>
          </cell>
          <cell r="J1141" t="str">
            <v>Revenue</v>
          </cell>
        </row>
        <row r="1142">
          <cell r="H1142" t="str">
            <v>0424</v>
          </cell>
          <cell r="I1142" t="str">
            <v>+2</v>
          </cell>
          <cell r="J1142" t="str">
            <v>Revenue</v>
          </cell>
        </row>
        <row r="1143">
          <cell r="H1143" t="str">
            <v>0424</v>
          </cell>
          <cell r="I1143" t="str">
            <v>+A</v>
          </cell>
          <cell r="J1143" t="str">
            <v>Revenue</v>
          </cell>
        </row>
        <row r="1144">
          <cell r="H1144" t="str">
            <v>0424</v>
          </cell>
          <cell r="I1144" t="str">
            <v>+G</v>
          </cell>
          <cell r="J1144" t="str">
            <v>Revenue</v>
          </cell>
        </row>
        <row r="1145">
          <cell r="H1145" t="str">
            <v>0424</v>
          </cell>
          <cell r="I1145" t="str">
            <v>+H</v>
          </cell>
          <cell r="J1145" t="str">
            <v>Revenue</v>
          </cell>
        </row>
        <row r="1146">
          <cell r="H1146" t="str">
            <v>0424</v>
          </cell>
          <cell r="I1146" t="str">
            <v>+M</v>
          </cell>
          <cell r="J1146" t="str">
            <v>Revenue</v>
          </cell>
        </row>
        <row r="1147">
          <cell r="H1147" t="str">
            <v>0424</v>
          </cell>
          <cell r="I1147" t="str">
            <v>TJ</v>
          </cell>
          <cell r="J1147" t="str">
            <v>Revenue</v>
          </cell>
        </row>
        <row r="1148">
          <cell r="H1148" t="str">
            <v>0424</v>
          </cell>
          <cell r="I1148" t="str">
            <v>TN</v>
          </cell>
          <cell r="J1148" t="str">
            <v>Revenue</v>
          </cell>
        </row>
        <row r="1149">
          <cell r="H1149" t="str">
            <v>0424</v>
          </cell>
          <cell r="I1149" t="str">
            <v>TR</v>
          </cell>
          <cell r="J1149" t="str">
            <v>Revenue</v>
          </cell>
        </row>
        <row r="1150">
          <cell r="H1150" t="str">
            <v>0409</v>
          </cell>
          <cell r="J1150" t="str">
            <v>Revenue</v>
          </cell>
        </row>
        <row r="1151">
          <cell r="H1151" t="str">
            <v>0424</v>
          </cell>
          <cell r="I1151" t="str">
            <v>#A</v>
          </cell>
          <cell r="J1151" t="str">
            <v>Revenue</v>
          </cell>
        </row>
        <row r="1152">
          <cell r="H1152" t="str">
            <v>0424</v>
          </cell>
          <cell r="I1152" t="str">
            <v>#B</v>
          </cell>
          <cell r="J1152" t="str">
            <v>Revenue</v>
          </cell>
        </row>
        <row r="1153">
          <cell r="H1153" t="str">
            <v>0424</v>
          </cell>
          <cell r="I1153" t="str">
            <v>+1</v>
          </cell>
          <cell r="J1153" t="str">
            <v>Revenue</v>
          </cell>
        </row>
        <row r="1154">
          <cell r="H1154" t="str">
            <v>0424</v>
          </cell>
          <cell r="I1154" t="str">
            <v>+2</v>
          </cell>
          <cell r="J1154" t="str">
            <v>Revenue</v>
          </cell>
        </row>
        <row r="1155">
          <cell r="H1155" t="str">
            <v>0424</v>
          </cell>
          <cell r="I1155" t="str">
            <v>+A</v>
          </cell>
          <cell r="J1155" t="str">
            <v>Revenue</v>
          </cell>
        </row>
        <row r="1156">
          <cell r="H1156" t="str">
            <v>0424</v>
          </cell>
          <cell r="I1156" t="str">
            <v>+G</v>
          </cell>
          <cell r="J1156" t="str">
            <v>Revenue</v>
          </cell>
        </row>
        <row r="1157">
          <cell r="H1157" t="str">
            <v>0424</v>
          </cell>
          <cell r="I1157" t="str">
            <v>+H</v>
          </cell>
          <cell r="J1157" t="str">
            <v>Revenue</v>
          </cell>
        </row>
        <row r="1158">
          <cell r="H1158" t="str">
            <v>0424</v>
          </cell>
          <cell r="I1158" t="str">
            <v>+L</v>
          </cell>
          <cell r="J1158" t="str">
            <v>Revenue</v>
          </cell>
        </row>
        <row r="1159">
          <cell r="H1159" t="str">
            <v>0424</v>
          </cell>
          <cell r="I1159" t="str">
            <v>+M</v>
          </cell>
          <cell r="J1159" t="str">
            <v>Revenue</v>
          </cell>
        </row>
        <row r="1160">
          <cell r="H1160" t="str">
            <v>0424</v>
          </cell>
          <cell r="I1160" t="str">
            <v>0F</v>
          </cell>
          <cell r="J1160" t="str">
            <v>Revenue</v>
          </cell>
        </row>
        <row r="1161">
          <cell r="H1161" t="str">
            <v>0424</v>
          </cell>
          <cell r="I1161" t="str">
            <v>TJ</v>
          </cell>
          <cell r="J1161" t="str">
            <v>Revenue</v>
          </cell>
        </row>
        <row r="1162">
          <cell r="H1162" t="str">
            <v>0424</v>
          </cell>
          <cell r="I1162" t="str">
            <v>TN</v>
          </cell>
          <cell r="J1162" t="str">
            <v>Revenue</v>
          </cell>
        </row>
        <row r="1163">
          <cell r="H1163" t="str">
            <v>0424</v>
          </cell>
          <cell r="I1163" t="str">
            <v>TR</v>
          </cell>
          <cell r="J1163" t="str">
            <v>Revenue</v>
          </cell>
        </row>
        <row r="1164">
          <cell r="H1164" t="str">
            <v>0424</v>
          </cell>
          <cell r="I1164" t="str">
            <v>TV</v>
          </cell>
          <cell r="J1164" t="str">
            <v>Revenue</v>
          </cell>
        </row>
        <row r="1165">
          <cell r="H1165" t="str">
            <v>0424</v>
          </cell>
          <cell r="I1165" t="str">
            <v>TZ</v>
          </cell>
          <cell r="J1165" t="str">
            <v>Revenue</v>
          </cell>
        </row>
        <row r="1166">
          <cell r="H1166" t="str">
            <v>0621</v>
          </cell>
          <cell r="J1166" t="str">
            <v>Intraagency Trsfs</v>
          </cell>
        </row>
        <row r="1167">
          <cell r="H1167" t="str">
            <v>0621</v>
          </cell>
          <cell r="J1167" t="str">
            <v>Intraagency Trsfs</v>
          </cell>
        </row>
        <row r="1168">
          <cell r="H1168" t="str">
            <v>0622</v>
          </cell>
          <cell r="J1168" t="str">
            <v>Intraagency Trsfs</v>
          </cell>
        </row>
        <row r="1169">
          <cell r="H1169" t="str">
            <v>0999</v>
          </cell>
          <cell r="J1169" t="str">
            <v>Carryforward</v>
          </cell>
        </row>
        <row r="1170">
          <cell r="H1170" t="str">
            <v>0499</v>
          </cell>
          <cell r="J1170" t="str">
            <v>Revenue</v>
          </cell>
        </row>
        <row r="1171">
          <cell r="H1171" t="str">
            <v>0499</v>
          </cell>
          <cell r="I1171" t="str">
            <v>OB</v>
          </cell>
          <cell r="J1171" t="str">
            <v>Revenue</v>
          </cell>
        </row>
        <row r="1172">
          <cell r="H1172" t="str">
            <v>0499</v>
          </cell>
          <cell r="I1172" t="str">
            <v>ON</v>
          </cell>
          <cell r="J1172" t="str">
            <v>Revenue</v>
          </cell>
        </row>
        <row r="1173">
          <cell r="H1173" t="str">
            <v>0499</v>
          </cell>
          <cell r="I1173" t="str">
            <v>OQ</v>
          </cell>
          <cell r="J1173" t="str">
            <v>Revenue</v>
          </cell>
        </row>
        <row r="1174">
          <cell r="H1174" t="str">
            <v>0499</v>
          </cell>
          <cell r="J1174" t="str">
            <v>Revenue</v>
          </cell>
        </row>
        <row r="1175">
          <cell r="H1175" t="str">
            <v>0499</v>
          </cell>
          <cell r="J1175" t="str">
            <v>Revenue</v>
          </cell>
        </row>
        <row r="1176">
          <cell r="H1176" t="str">
            <v>0499</v>
          </cell>
          <cell r="J1176" t="str">
            <v>Revenue</v>
          </cell>
        </row>
        <row r="1177">
          <cell r="H1177" t="str">
            <v>0499</v>
          </cell>
          <cell r="J1177" t="str">
            <v>Revenue</v>
          </cell>
        </row>
        <row r="1178">
          <cell r="H1178" t="str">
            <v>0499</v>
          </cell>
          <cell r="J1178" t="str">
            <v>Revenue</v>
          </cell>
        </row>
        <row r="1179">
          <cell r="H1179" t="str">
            <v>0499</v>
          </cell>
          <cell r="J1179" t="str">
            <v>Revenue</v>
          </cell>
        </row>
        <row r="1180">
          <cell r="H1180" t="str">
            <v>0499</v>
          </cell>
          <cell r="I1180" t="str">
            <v>7X</v>
          </cell>
          <cell r="J1180" t="str">
            <v>Revenue</v>
          </cell>
        </row>
        <row r="1181">
          <cell r="H1181" t="str">
            <v>0499</v>
          </cell>
          <cell r="J1181" t="str">
            <v>Revenue</v>
          </cell>
        </row>
        <row r="1182">
          <cell r="H1182" t="str">
            <v>0499</v>
          </cell>
          <cell r="J1182" t="str">
            <v>Revenue</v>
          </cell>
        </row>
        <row r="1183">
          <cell r="H1183" t="str">
            <v>0499</v>
          </cell>
          <cell r="I1183" t="str">
            <v>7A</v>
          </cell>
          <cell r="J1183" t="str">
            <v>Revenue</v>
          </cell>
        </row>
        <row r="1184">
          <cell r="H1184" t="str">
            <v>0499</v>
          </cell>
          <cell r="J1184" t="str">
            <v>Revenue</v>
          </cell>
        </row>
        <row r="1185">
          <cell r="H1185" t="str">
            <v>0499</v>
          </cell>
          <cell r="I1185" t="str">
            <v>7W</v>
          </cell>
          <cell r="J1185" t="str">
            <v>Revenue</v>
          </cell>
        </row>
        <row r="1186">
          <cell r="H1186" t="str">
            <v>0622</v>
          </cell>
          <cell r="J1186" t="str">
            <v>Intraagency Trsfs</v>
          </cell>
        </row>
        <row r="1187">
          <cell r="H1187" t="str">
            <v>0499</v>
          </cell>
          <cell r="I1187" t="str">
            <v>7V</v>
          </cell>
          <cell r="J1187" t="str">
            <v>Revenue</v>
          </cell>
        </row>
        <row r="1188">
          <cell r="H1188" t="str">
            <v>0499</v>
          </cell>
          <cell r="J1188" t="str">
            <v>Revenue</v>
          </cell>
        </row>
        <row r="1189">
          <cell r="H1189" t="str">
            <v>0499</v>
          </cell>
          <cell r="I1189" t="str">
            <v>7S</v>
          </cell>
          <cell r="J1189" t="str">
            <v>Revenue</v>
          </cell>
        </row>
        <row r="1190">
          <cell r="H1190" t="str">
            <v>0499</v>
          </cell>
          <cell r="J1190" t="str">
            <v>Revenue</v>
          </cell>
        </row>
        <row r="1191">
          <cell r="H1191" t="str">
            <v>0499</v>
          </cell>
          <cell r="J1191" t="str">
            <v>Revenue</v>
          </cell>
        </row>
        <row r="1192">
          <cell r="H1192" t="str">
            <v>0621</v>
          </cell>
          <cell r="J1192" t="str">
            <v>Intraagency Trsfs</v>
          </cell>
        </row>
        <row r="1193">
          <cell r="H1193" t="str">
            <v>0499</v>
          </cell>
          <cell r="J1193" t="str">
            <v>Revenue</v>
          </cell>
        </row>
        <row r="1194">
          <cell r="H1194" t="str">
            <v>0499</v>
          </cell>
          <cell r="I1194" t="str">
            <v>7M</v>
          </cell>
          <cell r="J1194" t="str">
            <v>Revenue</v>
          </cell>
        </row>
        <row r="1195">
          <cell r="H1195" t="str">
            <v>0499</v>
          </cell>
          <cell r="J1195" t="str">
            <v>Revenue</v>
          </cell>
        </row>
        <row r="1196">
          <cell r="H1196" t="str">
            <v>0499</v>
          </cell>
          <cell r="I1196" t="str">
            <v>7G</v>
          </cell>
          <cell r="J1196" t="str">
            <v>Revenue</v>
          </cell>
        </row>
        <row r="1197">
          <cell r="H1197" t="str">
            <v>0499</v>
          </cell>
          <cell r="J1197" t="str">
            <v>Revenue</v>
          </cell>
        </row>
        <row r="1198">
          <cell r="H1198" t="str">
            <v>0499</v>
          </cell>
          <cell r="I1198" t="str">
            <v>7J</v>
          </cell>
          <cell r="J1198" t="str">
            <v>Revenue</v>
          </cell>
        </row>
        <row r="1199">
          <cell r="H1199" t="str">
            <v>0499</v>
          </cell>
          <cell r="J1199" t="str">
            <v>Revenue</v>
          </cell>
        </row>
        <row r="1200">
          <cell r="H1200" t="str">
            <v>0499</v>
          </cell>
          <cell r="I1200" t="str">
            <v>7I</v>
          </cell>
          <cell r="J1200" t="str">
            <v>Revenue</v>
          </cell>
        </row>
        <row r="1201">
          <cell r="H1201" t="str">
            <v>0499</v>
          </cell>
          <cell r="I1201" t="str">
            <v>7O</v>
          </cell>
          <cell r="J1201" t="str">
            <v>Revenue</v>
          </cell>
        </row>
        <row r="1202">
          <cell r="H1202" t="str">
            <v>0499</v>
          </cell>
          <cell r="I1202" t="str">
            <v>7N</v>
          </cell>
          <cell r="J1202" t="str">
            <v>Revenue</v>
          </cell>
        </row>
        <row r="1203">
          <cell r="H1203" t="str">
            <v>0499</v>
          </cell>
          <cell r="J1203" t="str">
            <v>Revenue</v>
          </cell>
        </row>
        <row r="1204">
          <cell r="H1204" t="str">
            <v>0499</v>
          </cell>
          <cell r="I1204" t="str">
            <v>7R</v>
          </cell>
          <cell r="J1204" t="str">
            <v>Revenue</v>
          </cell>
        </row>
        <row r="1205">
          <cell r="H1205" t="str">
            <v>0621</v>
          </cell>
          <cell r="J1205" t="str">
            <v>Intraagency Trsfs</v>
          </cell>
        </row>
        <row r="1206">
          <cell r="H1206" t="str">
            <v>0499</v>
          </cell>
          <cell r="J1206" t="str">
            <v>Revenue</v>
          </cell>
        </row>
        <row r="1207">
          <cell r="H1207" t="str">
            <v>0409</v>
          </cell>
          <cell r="J1207" t="str">
            <v>Revenue</v>
          </cell>
        </row>
        <row r="1208">
          <cell r="H1208" t="str">
            <v>0424</v>
          </cell>
          <cell r="I1208" t="str">
            <v>#A</v>
          </cell>
          <cell r="J1208" t="str">
            <v>Revenue</v>
          </cell>
        </row>
        <row r="1209">
          <cell r="H1209" t="str">
            <v>0424</v>
          </cell>
          <cell r="I1209" t="str">
            <v>#B</v>
          </cell>
          <cell r="J1209" t="str">
            <v>Revenue</v>
          </cell>
        </row>
        <row r="1210">
          <cell r="H1210" t="str">
            <v>0424</v>
          </cell>
          <cell r="I1210" t="str">
            <v>+1</v>
          </cell>
          <cell r="J1210" t="str">
            <v>Revenue</v>
          </cell>
        </row>
        <row r="1211">
          <cell r="H1211" t="str">
            <v>0424</v>
          </cell>
          <cell r="I1211" t="str">
            <v>+2</v>
          </cell>
          <cell r="J1211" t="str">
            <v>Revenue</v>
          </cell>
        </row>
        <row r="1212">
          <cell r="H1212" t="str">
            <v>0424</v>
          </cell>
          <cell r="I1212" t="str">
            <v>+A</v>
          </cell>
          <cell r="J1212" t="str">
            <v>Revenue</v>
          </cell>
        </row>
        <row r="1213">
          <cell r="H1213" t="str">
            <v>0424</v>
          </cell>
          <cell r="I1213" t="str">
            <v>+G</v>
          </cell>
          <cell r="J1213" t="str">
            <v>Revenue</v>
          </cell>
        </row>
        <row r="1214">
          <cell r="H1214" t="str">
            <v>0424</v>
          </cell>
          <cell r="I1214" t="str">
            <v>+H</v>
          </cell>
          <cell r="J1214" t="str">
            <v>Revenue</v>
          </cell>
        </row>
        <row r="1215">
          <cell r="H1215" t="str">
            <v>0424</v>
          </cell>
          <cell r="I1215" t="str">
            <v>+L</v>
          </cell>
          <cell r="J1215" t="str">
            <v>Revenue</v>
          </cell>
        </row>
        <row r="1216">
          <cell r="H1216" t="str">
            <v>0424</v>
          </cell>
          <cell r="I1216" t="str">
            <v>+M</v>
          </cell>
          <cell r="J1216" t="str">
            <v>Revenue</v>
          </cell>
        </row>
        <row r="1217">
          <cell r="H1217" t="str">
            <v>0424</v>
          </cell>
          <cell r="I1217" t="str">
            <v>0F</v>
          </cell>
          <cell r="J1217" t="str">
            <v>Revenue</v>
          </cell>
        </row>
        <row r="1218">
          <cell r="H1218" t="str">
            <v>0424</v>
          </cell>
          <cell r="I1218" t="str">
            <v>TJ</v>
          </cell>
          <cell r="J1218" t="str">
            <v>Revenue</v>
          </cell>
        </row>
        <row r="1219">
          <cell r="H1219" t="str">
            <v>0424</v>
          </cell>
          <cell r="I1219" t="str">
            <v>TN</v>
          </cell>
          <cell r="J1219" t="str">
            <v>Revenue</v>
          </cell>
        </row>
        <row r="1220">
          <cell r="H1220" t="str">
            <v>0424</v>
          </cell>
          <cell r="I1220" t="str">
            <v>TR</v>
          </cell>
          <cell r="J1220" t="str">
            <v>Revenue</v>
          </cell>
        </row>
        <row r="1221">
          <cell r="H1221" t="str">
            <v>0424</v>
          </cell>
          <cell r="I1221" t="str">
            <v>TV</v>
          </cell>
          <cell r="J1221" t="str">
            <v>Revenue</v>
          </cell>
        </row>
        <row r="1222">
          <cell r="H1222" t="str">
            <v>0424</v>
          </cell>
          <cell r="I1222" t="str">
            <v>TZ</v>
          </cell>
          <cell r="J1222" t="str">
            <v>Revenue</v>
          </cell>
        </row>
        <row r="1223">
          <cell r="H1223" t="str">
            <v>0621</v>
          </cell>
          <cell r="J1223" t="str">
            <v>Intraagency Trsfs</v>
          </cell>
        </row>
        <row r="1224">
          <cell r="H1224" t="str">
            <v>0490</v>
          </cell>
          <cell r="J1224" t="str">
            <v>Revenue</v>
          </cell>
        </row>
        <row r="1225">
          <cell r="H1225" t="str">
            <v>0490</v>
          </cell>
          <cell r="I1225" t="str">
            <v>ZS</v>
          </cell>
          <cell r="J1225" t="str">
            <v>Revenue</v>
          </cell>
        </row>
        <row r="1226">
          <cell r="H1226" t="str">
            <v>0499</v>
          </cell>
          <cell r="I1226" t="str">
            <v>ZC</v>
          </cell>
          <cell r="J1226" t="str">
            <v>Revenue</v>
          </cell>
        </row>
        <row r="1227">
          <cell r="H1227" t="str">
            <v>0499</v>
          </cell>
          <cell r="I1227" t="str">
            <v>ZM</v>
          </cell>
          <cell r="J1227" t="str">
            <v>Revenue</v>
          </cell>
        </row>
        <row r="1228">
          <cell r="H1228" t="str">
            <v>0999</v>
          </cell>
          <cell r="J1228" t="str">
            <v>Carryforward</v>
          </cell>
        </row>
        <row r="1229">
          <cell r="H1229" t="str">
            <v>0999</v>
          </cell>
          <cell r="J1229" t="str">
            <v>Carryforward</v>
          </cell>
        </row>
        <row r="1230">
          <cell r="H1230" t="str">
            <v>0409</v>
          </cell>
          <cell r="J1230" t="str">
            <v>Revenue</v>
          </cell>
        </row>
        <row r="1231">
          <cell r="H1231" t="str">
            <v>0431</v>
          </cell>
          <cell r="I1231" t="str">
            <v>MM</v>
          </cell>
          <cell r="J1231" t="str">
            <v>Revenue</v>
          </cell>
        </row>
        <row r="1232">
          <cell r="H1232" t="str">
            <v>0499</v>
          </cell>
          <cell r="I1232" t="str">
            <v>ZD</v>
          </cell>
          <cell r="J1232" t="str">
            <v>Revenue</v>
          </cell>
        </row>
        <row r="1233">
          <cell r="H1233" t="str">
            <v>0499</v>
          </cell>
          <cell r="I1233" t="str">
            <v>ZG</v>
          </cell>
          <cell r="J1233" t="str">
            <v>Revenue</v>
          </cell>
        </row>
        <row r="1234">
          <cell r="H1234" t="str">
            <v>0999</v>
          </cell>
          <cell r="J1234" t="str">
            <v>Carryforward</v>
          </cell>
        </row>
        <row r="1235">
          <cell r="H1235" t="str">
            <v>0999</v>
          </cell>
          <cell r="J1235" t="str">
            <v>Carryforward</v>
          </cell>
        </row>
        <row r="1236">
          <cell r="H1236" t="str">
            <v>0621</v>
          </cell>
          <cell r="J1236" t="str">
            <v>Intraagency Trsfs</v>
          </cell>
        </row>
        <row r="1237">
          <cell r="H1237" t="str">
            <v>0622</v>
          </cell>
          <cell r="J1237" t="str">
            <v>Intraagency Trsfs</v>
          </cell>
        </row>
        <row r="1238">
          <cell r="H1238" t="str">
            <v>0999</v>
          </cell>
          <cell r="J1238" t="str">
            <v>Carryforward</v>
          </cell>
        </row>
        <row r="1239">
          <cell r="H1239" t="str">
            <v>0402</v>
          </cell>
          <cell r="I1239" t="str">
            <v>QP</v>
          </cell>
          <cell r="J1239" t="str">
            <v>Revenue</v>
          </cell>
        </row>
        <row r="1240">
          <cell r="H1240" t="str">
            <v>0999</v>
          </cell>
          <cell r="J1240" t="str">
            <v>Carryforward</v>
          </cell>
        </row>
        <row r="1241">
          <cell r="H1241" t="str">
            <v>0999</v>
          </cell>
          <cell r="J1241" t="str">
            <v>Carryforward</v>
          </cell>
        </row>
        <row r="1242">
          <cell r="H1242" t="str">
            <v>0402</v>
          </cell>
          <cell r="J1242" t="str">
            <v>Revenue</v>
          </cell>
        </row>
        <row r="1243">
          <cell r="H1243" t="str">
            <v>0999</v>
          </cell>
          <cell r="J1243" t="str">
            <v>Carryforward</v>
          </cell>
        </row>
        <row r="1244">
          <cell r="H1244" t="str">
            <v>0999</v>
          </cell>
          <cell r="J1244" t="str">
            <v>Carryforward</v>
          </cell>
        </row>
        <row r="1245">
          <cell r="H1245" t="str">
            <v>0999</v>
          </cell>
          <cell r="J1245" t="str">
            <v>Carryforward</v>
          </cell>
        </row>
        <row r="1246">
          <cell r="H1246" t="str">
            <v>0999</v>
          </cell>
          <cell r="J1246" t="str">
            <v>Carryforward</v>
          </cell>
        </row>
        <row r="1247">
          <cell r="H1247" t="str">
            <v>0999</v>
          </cell>
          <cell r="J1247" t="str">
            <v>Carryforward</v>
          </cell>
        </row>
        <row r="1248">
          <cell r="H1248" t="str">
            <v>0402</v>
          </cell>
          <cell r="I1248" t="str">
            <v>QU</v>
          </cell>
          <cell r="J1248" t="str">
            <v>Revenue</v>
          </cell>
        </row>
        <row r="1249">
          <cell r="H1249" t="str">
            <v>0499</v>
          </cell>
          <cell r="J1249" t="str">
            <v>Revenue</v>
          </cell>
        </row>
        <row r="1250">
          <cell r="H1250" t="str">
            <v>0499</v>
          </cell>
          <cell r="I1250" t="str">
            <v>OL</v>
          </cell>
          <cell r="J1250" t="str">
            <v>Revenue</v>
          </cell>
        </row>
        <row r="1251">
          <cell r="H1251" t="str">
            <v>0999</v>
          </cell>
          <cell r="J1251" t="str">
            <v>Carryforward</v>
          </cell>
        </row>
        <row r="1252">
          <cell r="H1252" t="str">
            <v>0499</v>
          </cell>
          <cell r="I1252" t="str">
            <v>ZV</v>
          </cell>
          <cell r="J1252" t="str">
            <v>Revenue</v>
          </cell>
        </row>
        <row r="1253">
          <cell r="H1253" t="str">
            <v>0622</v>
          </cell>
          <cell r="J1253" t="str">
            <v>Intraagency Trsfs</v>
          </cell>
        </row>
        <row r="1254">
          <cell r="H1254" t="str">
            <v>0999</v>
          </cell>
          <cell r="J1254" t="str">
            <v>Carryforward</v>
          </cell>
        </row>
        <row r="1255">
          <cell r="H1255" t="str">
            <v>0999</v>
          </cell>
          <cell r="J1255" t="str">
            <v>Carryforward</v>
          </cell>
        </row>
        <row r="1256">
          <cell r="H1256" t="str">
            <v>0999</v>
          </cell>
          <cell r="J1256" t="str">
            <v>Carryforward</v>
          </cell>
        </row>
        <row r="1257">
          <cell r="H1257" t="str">
            <v>0621</v>
          </cell>
          <cell r="J1257" t="str">
            <v>Intraagency Trsfs</v>
          </cell>
        </row>
        <row r="1258">
          <cell r="H1258" t="str">
            <v>0622</v>
          </cell>
          <cell r="J1258" t="str">
            <v>Intraagency Trsfs</v>
          </cell>
        </row>
        <row r="1259">
          <cell r="H1259" t="str">
            <v>0999</v>
          </cell>
          <cell r="J1259" t="str">
            <v>Carryforward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hye, Daniel" refreshedDate="41530.460511921294" createdVersion="4" refreshedVersion="4" minRefreshableVersion="3" recordCount="927">
  <cacheSource type="worksheet">
    <worksheetSource ref="A1:N928" sheet="DX"/>
  </cacheSource>
  <cacheFields count="14">
    <cacheField name="DIVISION" numFmtId="0">
      <sharedItems count="2">
        <s v="Student Funded Programs"/>
        <s v="Dir Athletics &amp; PE" u="1"/>
      </sharedItems>
    </cacheField>
    <cacheField name="FYR" numFmtId="1">
      <sharedItems/>
    </cacheField>
    <cacheField name="APPR" numFmtId="1">
      <sharedItems/>
    </cacheField>
    <cacheField name="PRG" numFmtId="1">
      <sharedItems/>
    </cacheField>
    <cacheField name="ORG" numFmtId="1">
      <sharedItems/>
    </cacheField>
    <cacheField name="SOBJ/SREV" numFmtId="1">
      <sharedItems/>
    </cacheField>
    <cacheField name="SSOBJ/SSREV" numFmtId="1">
      <sharedItems containsBlank="1"/>
    </cacheField>
    <cacheField name="CATEGORY" numFmtId="1">
      <sharedItems count="11">
        <s v="Carryforward"/>
        <s v="Exp-Equipment"/>
        <s v="Exp-Goods/Svcs"/>
        <s v="Exp-Salary &amp; Benefits"/>
        <s v="Exp-Scholarships"/>
        <s v="Exp-Travel"/>
        <s v="Intraagency Trsfs"/>
        <s v="Revenue"/>
        <s v="Exp-Computer Equipment"/>
        <s v="Exp-Client Svcs Contracts"/>
        <s v="Rev-Intra Fund Transfers"/>
      </sharedItems>
    </cacheField>
    <cacheField name="BUDGET 6/1/2013" numFmtId="1">
      <sharedItems containsSemiMixedTypes="0" containsString="0" containsNumber="1" containsInteger="1" minValue="0" maxValue="100200"/>
    </cacheField>
    <cacheField name="YTD NET(REV)/EXP" numFmtId="2">
      <sharedItems containsSemiMixedTypes="0" containsString="0" containsNumber="1" minValue="-760685.15" maxValue="350000"/>
    </cacheField>
    <cacheField name="YTD CMTS/ACCTS RECEIVABLE" numFmtId="2">
      <sharedItems containsSemiMixedTypes="0" containsString="0" containsNumber="1" containsInteger="1" minValue="0" maxValue="0"/>
    </cacheField>
    <cacheField name="BALANCE 6/30/2013" numFmtId="2">
      <sharedItems containsSemiMixedTypes="0" containsString="0" containsNumber="1" minValue="-350000" maxValue="760685.15"/>
    </cacheField>
    <cacheField name="CURR_TRNS_" numFmtId="2">
      <sharedItems containsSemiMixedTypes="0" containsString="0" containsNumber="1" minValue="-1079.3499999999999" maxValue="684.74"/>
    </cacheField>
    <cacheField name="0RG/DEPT" numFmtId="1">
      <sharedItems count="97">
        <s v="3221   SPEC.BLDG FUND-SFCC"/>
        <s v="3310   IRP CARRY OVER FUND"/>
        <s v="3382   ATHLETIC SCHOLARSHIP"/>
        <s v="3383   S&amp;A FINANCIAL AID"/>
        <s v="3402   ASA CARRY OVER FUND"/>
        <s v="3342   ENGINEERING CLUB"/>
        <s v="3357   PHOTO ARTS"/>
        <s v="3367   RECREATION SOCIETY"/>
        <s v="3369   COMMUNICATOR-NEWSPPR"/>
        <s v="3404  MUSIC AUDITORIUM LIGHTS"/>
        <s v="3410   ASA GENERAL FUND"/>
        <s v="3414   CULTURAL SERIES"/>
        <s v="3418   FOOD BANK"/>
        <s v="3423   COLLEGE-WIDE THEME"/>
        <s v="3424   SPEAKERS/SEMINARS"/>
        <s v="3426   EQUIPMENT"/>
        <s v="3428   SECURITY"/>
        <s v="3429   SUB RENOVATION"/>
        <s v="3430   STUDENT MEDIA LAB"/>
        <s v="3457   THE ALLIANCE"/>
        <s v="3464   JAZZ PRESENTS"/>
        <s v="3465   RED NATIONS ASSOC"/>
        <s v="3309   IRP CLUB ADVISORS"/>
        <s v="3312   IRP CONTINGENCY"/>
        <s v="3313   ASTRONOMY CLUB"/>
        <s v="3329   SPEECH &amp; DEBATE CLUB"/>
        <s v="3330   GRAPHIC DESIGN"/>
        <s v="3352   REVELERS (DRAMA)"/>
        <s v="3353   ORCHESTRA"/>
        <s v="3354   CONCERT BAND"/>
        <s v="3355   CHORAL MUSIC"/>
        <s v="3356   STAGE BAND/COMBO"/>
        <s v="3363   ART GALLERY &amp; EXHIB"/>
        <s v="3368   LITERARY MAGAZINE"/>
        <s v="3370   BETA GAMMA KAPPA"/>
        <s v="3372   STDNT PHYS THER ASST"/>
        <s v="3373   STUD OCCUP THERA ASST"/>
        <s v="3403   PEERS SERVICES"/>
        <s v="3405   SFC BUS PASS MATCH"/>
        <s v="3406   BUS TICKET CLEARING"/>
        <s v="3408   NEW STDT ORIENTATION"/>
        <s v="3409   ASA CLUB ADVISORS"/>
        <s v="3411   ADVERTISING/PRINTING"/>
        <s v="3412   ASA CONTINGENCY"/>
        <s v="3413   LEGISLATIVE LIAISON"/>
        <s v="3415   SUPPLIES"/>
        <s v="3417   TRAVEL"/>
        <s v="3419   HEALTH SERVICES"/>
        <s v="3420   SPECIAL EVENTS"/>
        <s v="3421   CONCERTS/COMEDY"/>
        <s v="3422   MUSIC PERF LICENSE"/>
        <s v="3425   OUTREACH EDUCATION"/>
        <s v="3427   INTERPRETERS SUPPORT"/>
        <s v="3431   PT HOURLY SUPPORT"/>
        <s v="3432   ATHLETICS STADIUM"/>
        <s v="3433   ANIME CLUB"/>
        <s v="3435   BLACK STUDENT UNION"/>
        <s v="3436   ART CLUB"/>
        <s v="3437   SFCC VETS CLUB"/>
        <s v="3438   VIDEO PRODUCTION"/>
        <s v="3439   ASSOC MEN STUDENTS"/>
        <s v="3440  CREATIVE WRITING"/>
        <s v="3441  JAPANESE CLUB"/>
        <s v="3442   ASSOC WOMEN STUDENTS"/>
        <s v="3443   DANCE CLUB"/>
        <s v="3445   ASIAN AMERICAN CLUB"/>
        <s v="3446   SVC LRN"/>
        <s v="3447   FALLS CHRISTIAN FELLOWSHIP"/>
        <s v="3348   SFCC GAMERS"/>
        <s v="3449   LDSSA"/>
        <s v="3453   INTERIOR DESIGN"/>
        <s v="3454   CHINESE CULTURE"/>
        <s v="3456   FRENCH CLUB"/>
        <s v="3458   L.U.A. CLUB"/>
        <s v="3460   INTERPRETER TRNG PRG"/>
        <s v="3461   JOURNALISM"/>
        <s v="3462   INTERNATIONAL CLUB"/>
        <s v="3466   SPANISH CLUB"/>
        <s v="3467   LITERARY CLUB"/>
        <s v="3468   WELLNESS CLUB"/>
        <s v="3469   CHEER SQUAD"/>
        <s v="3470  ADDICTION STUDIES"/>
        <s v="3471  SECULAR CLUB"/>
        <s v="3472   AUDIO ENGINEER CLUB"/>
        <s v="3473   EARTH CLUB"/>
        <s v="3474   GEOLOGY CLUB"/>
        <s v="3477   APPLIED TECH CLUB"/>
        <s v="3495   EARLY LEARNING CTR"/>
        <s v="3496   FUTURE TEACHERS"/>
        <s v="3416   WORKSTUDY"/>
        <s v="3407   MLC TUTORING"/>
        <s v="3399   FEE &amp; INT.REV.IRA"/>
        <s v="3499   ASA-FEE &amp; INT REV"/>
        <s v="3328   CONCHA CLUB"/>
        <s v="3360   DEC"/>
        <s v="3455   K.I.S.S."/>
        <s v="3459   GERMAN KLU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7">
  <r>
    <x v="0"/>
    <s v="1213"/>
    <s v="522"/>
    <s v="264"/>
    <s v="3221"/>
    <s v="0999"/>
    <m/>
    <x v="0"/>
    <n v="0"/>
    <n v="-760685.15"/>
    <n v="0"/>
    <n v="760685.15"/>
    <n v="0"/>
    <x v="0"/>
  </r>
  <r>
    <x v="0"/>
    <s v="1213"/>
    <s v="522"/>
    <s v="264"/>
    <s v="3310"/>
    <s v="0999"/>
    <m/>
    <x v="0"/>
    <n v="0"/>
    <n v="-324430.62"/>
    <n v="0"/>
    <n v="324430.62"/>
    <n v="0"/>
    <x v="1"/>
  </r>
  <r>
    <x v="0"/>
    <s v="1213"/>
    <s v="522"/>
    <s v="264"/>
    <s v="3382"/>
    <s v="0999"/>
    <m/>
    <x v="0"/>
    <n v="0"/>
    <n v="-1822.6"/>
    <n v="0"/>
    <n v="1822.6"/>
    <n v="0"/>
    <x v="2"/>
  </r>
  <r>
    <x v="0"/>
    <s v="1213"/>
    <s v="522"/>
    <s v="264"/>
    <s v="3383"/>
    <s v="0999"/>
    <m/>
    <x v="0"/>
    <n v="0"/>
    <n v="-17431.2"/>
    <n v="0"/>
    <n v="17431.2"/>
    <n v="0"/>
    <x v="3"/>
  </r>
  <r>
    <x v="0"/>
    <s v="1213"/>
    <s v="522"/>
    <s v="264"/>
    <s v="3402"/>
    <s v="0999"/>
    <m/>
    <x v="0"/>
    <n v="0"/>
    <n v="-233731.4"/>
    <n v="0"/>
    <n v="233731.4"/>
    <n v="0"/>
    <x v="4"/>
  </r>
  <r>
    <x v="0"/>
    <s v="1213"/>
    <s v="522"/>
    <s v="264"/>
    <s v="3342"/>
    <s v="J"/>
    <m/>
    <x v="1"/>
    <n v="0"/>
    <n v="0"/>
    <n v="0"/>
    <n v="0"/>
    <n v="0"/>
    <x v="5"/>
  </r>
  <r>
    <x v="0"/>
    <s v="1213"/>
    <s v="522"/>
    <s v="264"/>
    <s v="3357"/>
    <s v="J"/>
    <m/>
    <x v="1"/>
    <n v="0"/>
    <n v="0"/>
    <n v="0"/>
    <n v="0"/>
    <n v="0"/>
    <x v="6"/>
  </r>
  <r>
    <x v="0"/>
    <s v="1213"/>
    <s v="522"/>
    <s v="264"/>
    <s v="3367"/>
    <s v="J"/>
    <m/>
    <x v="1"/>
    <n v="0"/>
    <n v="0"/>
    <n v="0"/>
    <n v="0"/>
    <n v="0"/>
    <x v="7"/>
  </r>
  <r>
    <x v="0"/>
    <s v="1213"/>
    <s v="522"/>
    <s v="264"/>
    <s v="3369"/>
    <s v="J"/>
    <m/>
    <x v="1"/>
    <n v="0"/>
    <n v="0"/>
    <n v="0"/>
    <n v="0"/>
    <n v="0"/>
    <x v="8"/>
  </r>
  <r>
    <x v="0"/>
    <s v="1213"/>
    <s v="522"/>
    <s v="264"/>
    <s v="3404"/>
    <s v="J"/>
    <m/>
    <x v="1"/>
    <n v="0"/>
    <n v="0"/>
    <n v="0"/>
    <n v="0"/>
    <n v="0"/>
    <x v="9"/>
  </r>
  <r>
    <x v="0"/>
    <s v="1213"/>
    <s v="522"/>
    <s v="264"/>
    <s v="3410"/>
    <s v="J"/>
    <m/>
    <x v="1"/>
    <n v="0"/>
    <n v="0"/>
    <n v="0"/>
    <n v="0"/>
    <n v="0"/>
    <x v="10"/>
  </r>
  <r>
    <x v="0"/>
    <s v="1213"/>
    <s v="522"/>
    <s v="264"/>
    <s v="3414"/>
    <s v="J"/>
    <m/>
    <x v="1"/>
    <n v="0"/>
    <n v="0"/>
    <n v="0"/>
    <n v="0"/>
    <n v="0"/>
    <x v="11"/>
  </r>
  <r>
    <x v="0"/>
    <s v="1213"/>
    <s v="522"/>
    <s v="264"/>
    <s v="3418"/>
    <s v="J"/>
    <m/>
    <x v="1"/>
    <n v="0"/>
    <n v="0"/>
    <n v="0"/>
    <n v="0"/>
    <n v="0"/>
    <x v="12"/>
  </r>
  <r>
    <x v="0"/>
    <s v="1213"/>
    <s v="522"/>
    <s v="264"/>
    <s v="3423"/>
    <s v="J"/>
    <m/>
    <x v="1"/>
    <n v="0"/>
    <n v="0"/>
    <n v="0"/>
    <n v="0"/>
    <n v="0"/>
    <x v="13"/>
  </r>
  <r>
    <x v="0"/>
    <s v="1213"/>
    <s v="522"/>
    <s v="264"/>
    <s v="3424"/>
    <s v="J"/>
    <m/>
    <x v="1"/>
    <n v="0"/>
    <n v="0"/>
    <n v="0"/>
    <n v="0"/>
    <n v="0"/>
    <x v="14"/>
  </r>
  <r>
    <x v="0"/>
    <s v="1213"/>
    <s v="522"/>
    <s v="264"/>
    <s v="3426"/>
    <s v="J"/>
    <m/>
    <x v="1"/>
    <n v="14500"/>
    <n v="0"/>
    <n v="0"/>
    <n v="14500"/>
    <n v="0"/>
    <x v="15"/>
  </r>
  <r>
    <x v="0"/>
    <s v="1213"/>
    <s v="522"/>
    <s v="264"/>
    <s v="3428"/>
    <s v="J"/>
    <m/>
    <x v="1"/>
    <n v="0"/>
    <n v="0"/>
    <n v="0"/>
    <n v="0"/>
    <n v="0"/>
    <x v="16"/>
  </r>
  <r>
    <x v="0"/>
    <s v="1213"/>
    <s v="522"/>
    <s v="264"/>
    <s v="3429"/>
    <s v="J"/>
    <m/>
    <x v="1"/>
    <n v="0"/>
    <n v="0"/>
    <n v="0"/>
    <n v="0"/>
    <n v="0"/>
    <x v="17"/>
  </r>
  <r>
    <x v="0"/>
    <s v="1213"/>
    <s v="522"/>
    <s v="264"/>
    <s v="3430"/>
    <s v="J"/>
    <m/>
    <x v="1"/>
    <n v="0"/>
    <n v="0"/>
    <n v="0"/>
    <n v="0"/>
    <n v="0"/>
    <x v="18"/>
  </r>
  <r>
    <x v="0"/>
    <s v="1213"/>
    <s v="522"/>
    <s v="264"/>
    <s v="3457"/>
    <s v="J"/>
    <m/>
    <x v="1"/>
    <n v="0"/>
    <n v="0"/>
    <n v="0"/>
    <n v="0"/>
    <n v="0"/>
    <x v="19"/>
  </r>
  <r>
    <x v="0"/>
    <s v="1213"/>
    <s v="522"/>
    <s v="264"/>
    <s v="3464"/>
    <s v="J"/>
    <m/>
    <x v="1"/>
    <n v="0"/>
    <n v="0"/>
    <n v="0"/>
    <n v="0"/>
    <n v="0"/>
    <x v="20"/>
  </r>
  <r>
    <x v="0"/>
    <s v="1213"/>
    <s v="522"/>
    <s v="264"/>
    <s v="3465"/>
    <s v="J"/>
    <m/>
    <x v="1"/>
    <n v="0"/>
    <n v="0"/>
    <n v="0"/>
    <n v="0"/>
    <n v="0"/>
    <x v="21"/>
  </r>
  <r>
    <x v="0"/>
    <s v="1213"/>
    <s v="522"/>
    <s v="264"/>
    <s v="3367"/>
    <s v="J"/>
    <s v="00"/>
    <x v="1"/>
    <n v="0"/>
    <n v="2131.4699999999998"/>
    <n v="0"/>
    <n v="-2131.4699999999998"/>
    <n v="0"/>
    <x v="7"/>
  </r>
  <r>
    <x v="0"/>
    <s v="1213"/>
    <s v="522"/>
    <s v="264"/>
    <s v="3369"/>
    <s v="J"/>
    <s v="00"/>
    <x v="1"/>
    <n v="0"/>
    <n v="910.72"/>
    <n v="0"/>
    <n v="-910.72"/>
    <n v="0"/>
    <x v="8"/>
  </r>
  <r>
    <x v="0"/>
    <s v="1213"/>
    <s v="522"/>
    <s v="264"/>
    <s v="3404"/>
    <s v="J"/>
    <s v="00"/>
    <x v="1"/>
    <n v="0"/>
    <n v="16405"/>
    <n v="0"/>
    <n v="-16405"/>
    <n v="0"/>
    <x v="9"/>
  </r>
  <r>
    <x v="0"/>
    <s v="1213"/>
    <s v="522"/>
    <s v="264"/>
    <s v="3410"/>
    <s v="J"/>
    <s v="00"/>
    <x v="1"/>
    <n v="0"/>
    <n v="1723.5"/>
    <n v="0"/>
    <n v="-1723.5"/>
    <n v="0"/>
    <x v="10"/>
  </r>
  <r>
    <x v="0"/>
    <s v="1213"/>
    <s v="522"/>
    <s v="264"/>
    <s v="3418"/>
    <s v="J"/>
    <s v="00"/>
    <x v="1"/>
    <n v="0"/>
    <n v="1912.57"/>
    <n v="0"/>
    <n v="-1912.57"/>
    <n v="0"/>
    <x v="12"/>
  </r>
  <r>
    <x v="0"/>
    <s v="1213"/>
    <s v="522"/>
    <s v="264"/>
    <s v="3423"/>
    <s v="J"/>
    <s v="00"/>
    <x v="1"/>
    <n v="0"/>
    <n v="240.14"/>
    <n v="0"/>
    <n v="-240.14"/>
    <n v="0"/>
    <x v="13"/>
  </r>
  <r>
    <x v="0"/>
    <s v="1213"/>
    <s v="522"/>
    <s v="264"/>
    <s v="3424"/>
    <s v="J"/>
    <s v="00"/>
    <x v="1"/>
    <n v="0"/>
    <n v="0"/>
    <n v="0"/>
    <n v="0"/>
    <n v="0"/>
    <x v="14"/>
  </r>
  <r>
    <x v="0"/>
    <s v="1213"/>
    <s v="522"/>
    <s v="264"/>
    <s v="3426"/>
    <s v="J"/>
    <s v="00"/>
    <x v="1"/>
    <n v="0"/>
    <n v="3604.19"/>
    <n v="0"/>
    <n v="-3604.19"/>
    <n v="0"/>
    <x v="15"/>
  </r>
  <r>
    <x v="0"/>
    <s v="1213"/>
    <s v="522"/>
    <s v="264"/>
    <s v="3428"/>
    <s v="J"/>
    <s v="00"/>
    <x v="1"/>
    <n v="0"/>
    <n v="0"/>
    <n v="0"/>
    <n v="0"/>
    <n v="0"/>
    <x v="16"/>
  </r>
  <r>
    <x v="0"/>
    <s v="1213"/>
    <s v="522"/>
    <s v="264"/>
    <s v="3430"/>
    <s v="J"/>
    <s v="00"/>
    <x v="1"/>
    <n v="0"/>
    <n v="4305.34"/>
    <n v="0"/>
    <n v="-4305.34"/>
    <n v="0"/>
    <x v="18"/>
  </r>
  <r>
    <x v="0"/>
    <s v="1213"/>
    <s v="522"/>
    <s v="264"/>
    <s v="3464"/>
    <s v="J"/>
    <s v="00"/>
    <x v="1"/>
    <n v="0"/>
    <n v="1912.16"/>
    <n v="0"/>
    <n v="-1912.16"/>
    <n v="0"/>
    <x v="20"/>
  </r>
  <r>
    <x v="0"/>
    <s v="1213"/>
    <s v="522"/>
    <s v="264"/>
    <s v="3430"/>
    <s v="J"/>
    <s v="00"/>
    <x v="1"/>
    <n v="0"/>
    <n v="0"/>
    <n v="0"/>
    <n v="0"/>
    <n v="0"/>
    <x v="18"/>
  </r>
  <r>
    <x v="0"/>
    <s v="1213"/>
    <s v="522"/>
    <s v="264"/>
    <s v="3221"/>
    <s v="E"/>
    <m/>
    <x v="2"/>
    <n v="0"/>
    <n v="0"/>
    <n v="0"/>
    <n v="0"/>
    <n v="0"/>
    <x v="0"/>
  </r>
  <r>
    <x v="0"/>
    <s v="1213"/>
    <s v="522"/>
    <s v="264"/>
    <s v="3309"/>
    <s v="E"/>
    <m/>
    <x v="2"/>
    <n v="0"/>
    <n v="0"/>
    <n v="0"/>
    <n v="0"/>
    <n v="0"/>
    <x v="22"/>
  </r>
  <r>
    <x v="0"/>
    <s v="1213"/>
    <s v="522"/>
    <s v="264"/>
    <s v="3310"/>
    <s v="E"/>
    <m/>
    <x v="2"/>
    <n v="0"/>
    <n v="0"/>
    <n v="0"/>
    <n v="0"/>
    <n v="0"/>
    <x v="1"/>
  </r>
  <r>
    <x v="0"/>
    <s v="1213"/>
    <s v="522"/>
    <s v="264"/>
    <s v="3312"/>
    <s v="E"/>
    <m/>
    <x v="2"/>
    <n v="5750"/>
    <n v="0"/>
    <n v="0"/>
    <n v="5750"/>
    <n v="0"/>
    <x v="23"/>
  </r>
  <r>
    <x v="0"/>
    <s v="1213"/>
    <s v="522"/>
    <s v="264"/>
    <s v="3313"/>
    <s v="E"/>
    <m/>
    <x v="2"/>
    <n v="500"/>
    <n v="0"/>
    <n v="0"/>
    <n v="500"/>
    <n v="0"/>
    <x v="24"/>
  </r>
  <r>
    <x v="0"/>
    <s v="1213"/>
    <s v="522"/>
    <s v="264"/>
    <s v="3329"/>
    <s v="E"/>
    <m/>
    <x v="2"/>
    <n v="2000"/>
    <n v="0"/>
    <n v="0"/>
    <n v="2000"/>
    <n v="0"/>
    <x v="25"/>
  </r>
  <r>
    <x v="0"/>
    <s v="1213"/>
    <s v="522"/>
    <s v="264"/>
    <s v="3330"/>
    <s v="E"/>
    <m/>
    <x v="2"/>
    <n v="6000"/>
    <n v="0"/>
    <n v="0"/>
    <n v="6000"/>
    <n v="0"/>
    <x v="26"/>
  </r>
  <r>
    <x v="0"/>
    <s v="1213"/>
    <s v="522"/>
    <s v="264"/>
    <s v="3342"/>
    <s v="E"/>
    <m/>
    <x v="2"/>
    <n v="2800"/>
    <n v="0"/>
    <n v="0"/>
    <n v="2800"/>
    <n v="0"/>
    <x v="5"/>
  </r>
  <r>
    <x v="0"/>
    <s v="1213"/>
    <s v="522"/>
    <s v="264"/>
    <s v="3352"/>
    <s v="E"/>
    <m/>
    <x v="2"/>
    <n v="21900"/>
    <n v="0"/>
    <n v="0"/>
    <n v="21900"/>
    <n v="0"/>
    <x v="27"/>
  </r>
  <r>
    <x v="0"/>
    <s v="1213"/>
    <s v="522"/>
    <s v="264"/>
    <s v="3353"/>
    <s v="E"/>
    <m/>
    <x v="2"/>
    <n v="4000"/>
    <n v="0"/>
    <n v="0"/>
    <n v="4000"/>
    <n v="0"/>
    <x v="28"/>
  </r>
  <r>
    <x v="0"/>
    <s v="1213"/>
    <s v="522"/>
    <s v="264"/>
    <s v="3354"/>
    <s v="E"/>
    <m/>
    <x v="2"/>
    <n v="4069"/>
    <n v="0"/>
    <n v="0"/>
    <n v="4069"/>
    <n v="0"/>
    <x v="29"/>
  </r>
  <r>
    <x v="0"/>
    <s v="1213"/>
    <s v="522"/>
    <s v="264"/>
    <s v="3355"/>
    <s v="E"/>
    <m/>
    <x v="2"/>
    <n v="13780"/>
    <n v="0"/>
    <n v="0"/>
    <n v="13780"/>
    <n v="0"/>
    <x v="30"/>
  </r>
  <r>
    <x v="0"/>
    <s v="1213"/>
    <s v="522"/>
    <s v="264"/>
    <s v="3356"/>
    <s v="E"/>
    <m/>
    <x v="2"/>
    <n v="5250"/>
    <n v="0"/>
    <n v="0"/>
    <n v="5250"/>
    <n v="0"/>
    <x v="31"/>
  </r>
  <r>
    <x v="0"/>
    <s v="1213"/>
    <s v="522"/>
    <s v="264"/>
    <s v="3357"/>
    <s v="E"/>
    <m/>
    <x v="2"/>
    <n v="4590"/>
    <n v="0"/>
    <n v="0"/>
    <n v="4590"/>
    <n v="0"/>
    <x v="6"/>
  </r>
  <r>
    <x v="0"/>
    <s v="1213"/>
    <s v="522"/>
    <s v="264"/>
    <s v="3363"/>
    <s v="E"/>
    <m/>
    <x v="2"/>
    <n v="11200"/>
    <n v="0"/>
    <n v="0"/>
    <n v="11200"/>
    <n v="0"/>
    <x v="32"/>
  </r>
  <r>
    <x v="0"/>
    <s v="1213"/>
    <s v="522"/>
    <s v="264"/>
    <s v="3367"/>
    <s v="E"/>
    <m/>
    <x v="2"/>
    <n v="9040"/>
    <n v="0"/>
    <n v="0"/>
    <n v="9040"/>
    <n v="0"/>
    <x v="7"/>
  </r>
  <r>
    <x v="0"/>
    <s v="1213"/>
    <s v="522"/>
    <s v="264"/>
    <s v="3368"/>
    <s v="E"/>
    <m/>
    <x v="2"/>
    <n v="9124"/>
    <n v="0"/>
    <n v="0"/>
    <n v="9124"/>
    <n v="0"/>
    <x v="33"/>
  </r>
  <r>
    <x v="0"/>
    <s v="1213"/>
    <s v="522"/>
    <s v="264"/>
    <s v="3369"/>
    <s v="E"/>
    <m/>
    <x v="2"/>
    <n v="6540"/>
    <n v="0"/>
    <n v="0"/>
    <n v="6540"/>
    <n v="0"/>
    <x v="8"/>
  </r>
  <r>
    <x v="0"/>
    <s v="1213"/>
    <s v="522"/>
    <s v="264"/>
    <s v="3370"/>
    <s v="E"/>
    <m/>
    <x v="2"/>
    <n v="11060"/>
    <n v="0"/>
    <n v="0"/>
    <n v="11060"/>
    <n v="0"/>
    <x v="34"/>
  </r>
  <r>
    <x v="0"/>
    <s v="1213"/>
    <s v="522"/>
    <s v="264"/>
    <s v="3372"/>
    <s v="E"/>
    <m/>
    <x v="2"/>
    <n v="2085"/>
    <n v="0"/>
    <n v="0"/>
    <n v="2085"/>
    <n v="0"/>
    <x v="35"/>
  </r>
  <r>
    <x v="0"/>
    <s v="1213"/>
    <s v="522"/>
    <s v="264"/>
    <s v="3373"/>
    <s v="E"/>
    <m/>
    <x v="2"/>
    <n v="790"/>
    <n v="0"/>
    <n v="0"/>
    <n v="790"/>
    <n v="0"/>
    <x v="36"/>
  </r>
  <r>
    <x v="0"/>
    <s v="1213"/>
    <s v="522"/>
    <s v="264"/>
    <s v="3402"/>
    <s v="E"/>
    <m/>
    <x v="2"/>
    <n v="0"/>
    <n v="0"/>
    <n v="0"/>
    <n v="0"/>
    <n v="0"/>
    <x v="4"/>
  </r>
  <r>
    <x v="0"/>
    <s v="1213"/>
    <s v="522"/>
    <s v="264"/>
    <s v="3403"/>
    <s v="E"/>
    <m/>
    <x v="2"/>
    <n v="300"/>
    <n v="0"/>
    <n v="0"/>
    <n v="300"/>
    <n v="0"/>
    <x v="37"/>
  </r>
  <r>
    <x v="0"/>
    <s v="1213"/>
    <s v="522"/>
    <s v="264"/>
    <s v="3404"/>
    <s v="E"/>
    <m/>
    <x v="2"/>
    <n v="0"/>
    <n v="0"/>
    <n v="0"/>
    <n v="0"/>
    <n v="0"/>
    <x v="9"/>
  </r>
  <r>
    <x v="0"/>
    <s v="1213"/>
    <s v="522"/>
    <s v="264"/>
    <s v="3405"/>
    <s v="E"/>
    <m/>
    <x v="2"/>
    <n v="39000"/>
    <n v="0"/>
    <n v="0"/>
    <n v="39000"/>
    <n v="0"/>
    <x v="38"/>
  </r>
  <r>
    <x v="0"/>
    <s v="1213"/>
    <s v="522"/>
    <s v="264"/>
    <s v="3406"/>
    <s v="E"/>
    <m/>
    <x v="2"/>
    <n v="0"/>
    <n v="0"/>
    <n v="0"/>
    <n v="0"/>
    <n v="0"/>
    <x v="39"/>
  </r>
  <r>
    <x v="0"/>
    <s v="1213"/>
    <s v="522"/>
    <s v="264"/>
    <s v="3408"/>
    <s v="E"/>
    <m/>
    <x v="2"/>
    <n v="22000"/>
    <n v="0"/>
    <n v="0"/>
    <n v="22000"/>
    <n v="0"/>
    <x v="40"/>
  </r>
  <r>
    <x v="0"/>
    <s v="1213"/>
    <s v="522"/>
    <s v="264"/>
    <s v="3409"/>
    <s v="E"/>
    <m/>
    <x v="2"/>
    <n v="0"/>
    <n v="0"/>
    <n v="0"/>
    <n v="0"/>
    <n v="0"/>
    <x v="41"/>
  </r>
  <r>
    <x v="0"/>
    <s v="1213"/>
    <s v="522"/>
    <s v="264"/>
    <s v="3410"/>
    <s v="E"/>
    <m/>
    <x v="2"/>
    <n v="24000"/>
    <n v="0"/>
    <n v="0"/>
    <n v="24000"/>
    <n v="0"/>
    <x v="10"/>
  </r>
  <r>
    <x v="0"/>
    <s v="1213"/>
    <s v="522"/>
    <s v="264"/>
    <s v="3411"/>
    <s v="E"/>
    <m/>
    <x v="2"/>
    <n v="4900"/>
    <n v="0"/>
    <n v="0"/>
    <n v="4900"/>
    <n v="0"/>
    <x v="42"/>
  </r>
  <r>
    <x v="0"/>
    <s v="1213"/>
    <s v="522"/>
    <s v="264"/>
    <s v="3412"/>
    <s v="E"/>
    <m/>
    <x v="2"/>
    <n v="4259"/>
    <n v="0"/>
    <n v="0"/>
    <n v="4259"/>
    <n v="0"/>
    <x v="43"/>
  </r>
  <r>
    <x v="0"/>
    <s v="1213"/>
    <s v="522"/>
    <s v="264"/>
    <s v="3413"/>
    <s v="E"/>
    <m/>
    <x v="2"/>
    <n v="4475"/>
    <n v="0"/>
    <n v="0"/>
    <n v="4475"/>
    <n v="0"/>
    <x v="44"/>
  </r>
  <r>
    <x v="0"/>
    <s v="1213"/>
    <s v="522"/>
    <s v="264"/>
    <s v="3414"/>
    <s v="E"/>
    <m/>
    <x v="2"/>
    <n v="17000"/>
    <n v="0"/>
    <n v="0"/>
    <n v="17000"/>
    <n v="0"/>
    <x v="11"/>
  </r>
  <r>
    <x v="0"/>
    <s v="1213"/>
    <s v="522"/>
    <s v="264"/>
    <s v="3415"/>
    <s v="E"/>
    <m/>
    <x v="2"/>
    <n v="3100"/>
    <n v="0"/>
    <n v="0"/>
    <n v="3100"/>
    <n v="0"/>
    <x v="45"/>
  </r>
  <r>
    <x v="0"/>
    <s v="1213"/>
    <s v="522"/>
    <s v="264"/>
    <s v="3417"/>
    <s v="E"/>
    <m/>
    <x v="2"/>
    <n v="0"/>
    <n v="0"/>
    <n v="0"/>
    <n v="0"/>
    <n v="0"/>
    <x v="46"/>
  </r>
  <r>
    <x v="0"/>
    <s v="1213"/>
    <s v="522"/>
    <s v="264"/>
    <s v="3418"/>
    <s v="E"/>
    <m/>
    <x v="2"/>
    <n v="20729"/>
    <n v="0"/>
    <n v="0"/>
    <n v="20729"/>
    <n v="0"/>
    <x v="12"/>
  </r>
  <r>
    <x v="0"/>
    <s v="1213"/>
    <s v="522"/>
    <s v="264"/>
    <s v="3419"/>
    <s v="E"/>
    <m/>
    <x v="2"/>
    <n v="8000"/>
    <n v="0"/>
    <n v="0"/>
    <n v="8000"/>
    <n v="0"/>
    <x v="47"/>
  </r>
  <r>
    <x v="0"/>
    <s v="1213"/>
    <s v="522"/>
    <s v="264"/>
    <s v="3420"/>
    <s v="E"/>
    <m/>
    <x v="2"/>
    <n v="11750"/>
    <n v="0"/>
    <n v="0"/>
    <n v="11750"/>
    <n v="0"/>
    <x v="48"/>
  </r>
  <r>
    <x v="0"/>
    <s v="1213"/>
    <s v="522"/>
    <s v="264"/>
    <s v="3421"/>
    <s v="E"/>
    <m/>
    <x v="2"/>
    <n v="9750"/>
    <n v="0"/>
    <n v="0"/>
    <n v="9750"/>
    <n v="0"/>
    <x v="49"/>
  </r>
  <r>
    <x v="0"/>
    <s v="1213"/>
    <s v="522"/>
    <s v="264"/>
    <s v="3422"/>
    <s v="E"/>
    <m/>
    <x v="2"/>
    <n v="5505"/>
    <n v="0"/>
    <n v="0"/>
    <n v="5505"/>
    <n v="0"/>
    <x v="50"/>
  </r>
  <r>
    <x v="0"/>
    <s v="1213"/>
    <s v="522"/>
    <s v="264"/>
    <s v="3423"/>
    <s v="E"/>
    <m/>
    <x v="2"/>
    <n v="8900"/>
    <n v="0"/>
    <n v="0"/>
    <n v="8900"/>
    <n v="0"/>
    <x v="13"/>
  </r>
  <r>
    <x v="0"/>
    <s v="1213"/>
    <s v="522"/>
    <s v="264"/>
    <s v="3424"/>
    <s v="E"/>
    <m/>
    <x v="2"/>
    <n v="9250"/>
    <n v="0"/>
    <n v="0"/>
    <n v="9250"/>
    <n v="0"/>
    <x v="14"/>
  </r>
  <r>
    <x v="0"/>
    <s v="1213"/>
    <s v="522"/>
    <s v="264"/>
    <s v="3425"/>
    <s v="E"/>
    <m/>
    <x v="2"/>
    <n v="11875"/>
    <n v="0"/>
    <n v="0"/>
    <n v="11875"/>
    <n v="0"/>
    <x v="51"/>
  </r>
  <r>
    <x v="0"/>
    <s v="1213"/>
    <s v="522"/>
    <s v="264"/>
    <s v="3426"/>
    <s v="E"/>
    <m/>
    <x v="2"/>
    <n v="6146"/>
    <n v="0"/>
    <n v="0"/>
    <n v="6146"/>
    <n v="0"/>
    <x v="15"/>
  </r>
  <r>
    <x v="0"/>
    <s v="1213"/>
    <s v="522"/>
    <s v="264"/>
    <s v="3427"/>
    <s v="E"/>
    <m/>
    <x v="2"/>
    <n v="2000"/>
    <n v="0"/>
    <n v="0"/>
    <n v="2000"/>
    <n v="0"/>
    <x v="52"/>
  </r>
  <r>
    <x v="0"/>
    <s v="1213"/>
    <s v="522"/>
    <s v="264"/>
    <s v="3428"/>
    <s v="E"/>
    <m/>
    <x v="2"/>
    <n v="27810"/>
    <n v="0"/>
    <n v="0"/>
    <n v="27810"/>
    <n v="0"/>
    <x v="16"/>
  </r>
  <r>
    <x v="0"/>
    <s v="1213"/>
    <s v="522"/>
    <s v="264"/>
    <s v="3429"/>
    <s v="E"/>
    <m/>
    <x v="2"/>
    <n v="0"/>
    <n v="0"/>
    <n v="0"/>
    <n v="0"/>
    <n v="0"/>
    <x v="17"/>
  </r>
  <r>
    <x v="0"/>
    <s v="1213"/>
    <s v="522"/>
    <s v="264"/>
    <s v="3430"/>
    <s v="E"/>
    <m/>
    <x v="2"/>
    <n v="0"/>
    <n v="0"/>
    <n v="0"/>
    <n v="0"/>
    <n v="0"/>
    <x v="18"/>
  </r>
  <r>
    <x v="0"/>
    <s v="1213"/>
    <s v="522"/>
    <s v="264"/>
    <s v="3431"/>
    <s v="E"/>
    <m/>
    <x v="2"/>
    <n v="0"/>
    <n v="0"/>
    <n v="0"/>
    <n v="0"/>
    <n v="0"/>
    <x v="53"/>
  </r>
  <r>
    <x v="0"/>
    <s v="1213"/>
    <s v="522"/>
    <s v="264"/>
    <s v="3432"/>
    <s v="E"/>
    <m/>
    <x v="2"/>
    <n v="0"/>
    <n v="0"/>
    <n v="0"/>
    <n v="0"/>
    <n v="0"/>
    <x v="54"/>
  </r>
  <r>
    <x v="0"/>
    <s v="1213"/>
    <s v="522"/>
    <s v="264"/>
    <s v="3433"/>
    <s v="E"/>
    <m/>
    <x v="2"/>
    <n v="2770"/>
    <n v="0"/>
    <n v="0"/>
    <n v="2770"/>
    <n v="0"/>
    <x v="55"/>
  </r>
  <r>
    <x v="0"/>
    <s v="1213"/>
    <s v="522"/>
    <s v="264"/>
    <s v="3435"/>
    <s v="E"/>
    <m/>
    <x v="2"/>
    <n v="12277"/>
    <n v="0"/>
    <n v="0"/>
    <n v="12277"/>
    <n v="0"/>
    <x v="56"/>
  </r>
  <r>
    <x v="0"/>
    <s v="1213"/>
    <s v="522"/>
    <s v="264"/>
    <s v="3436"/>
    <s v="E"/>
    <m/>
    <x v="2"/>
    <n v="3640"/>
    <n v="0"/>
    <n v="0"/>
    <n v="3640"/>
    <n v="0"/>
    <x v="57"/>
  </r>
  <r>
    <x v="0"/>
    <s v="1213"/>
    <s v="522"/>
    <s v="264"/>
    <s v="3437"/>
    <s v="E"/>
    <m/>
    <x v="2"/>
    <n v="1500"/>
    <n v="0"/>
    <n v="0"/>
    <n v="1500"/>
    <n v="0"/>
    <x v="58"/>
  </r>
  <r>
    <x v="0"/>
    <s v="1213"/>
    <s v="522"/>
    <s v="264"/>
    <s v="3438"/>
    <s v="E"/>
    <m/>
    <x v="2"/>
    <n v="0"/>
    <n v="0"/>
    <n v="0"/>
    <n v="0"/>
    <n v="0"/>
    <x v="59"/>
  </r>
  <r>
    <x v="0"/>
    <s v="1213"/>
    <s v="522"/>
    <s v="264"/>
    <s v="3439"/>
    <s v="E"/>
    <m/>
    <x v="2"/>
    <n v="0"/>
    <n v="0"/>
    <n v="0"/>
    <n v="0"/>
    <n v="0"/>
    <x v="60"/>
  </r>
  <r>
    <x v="0"/>
    <s v="1213"/>
    <s v="522"/>
    <s v="264"/>
    <s v="3440"/>
    <s v="E"/>
    <m/>
    <x v="2"/>
    <n v="940"/>
    <n v="0"/>
    <n v="0"/>
    <n v="940"/>
    <n v="0"/>
    <x v="61"/>
  </r>
  <r>
    <x v="0"/>
    <s v="1213"/>
    <s v="522"/>
    <s v="264"/>
    <s v="3441"/>
    <s v="E"/>
    <m/>
    <x v="2"/>
    <n v="1155"/>
    <n v="0"/>
    <n v="0"/>
    <n v="1155"/>
    <n v="0"/>
    <x v="62"/>
  </r>
  <r>
    <x v="0"/>
    <s v="1213"/>
    <s v="522"/>
    <s v="264"/>
    <s v="3442"/>
    <s v="E"/>
    <m/>
    <x v="2"/>
    <n v="5070"/>
    <n v="0"/>
    <n v="0"/>
    <n v="5070"/>
    <n v="0"/>
    <x v="63"/>
  </r>
  <r>
    <x v="0"/>
    <s v="1213"/>
    <s v="522"/>
    <s v="264"/>
    <s v="3443"/>
    <s v="E"/>
    <m/>
    <x v="2"/>
    <n v="1030"/>
    <n v="0"/>
    <n v="0"/>
    <n v="1030"/>
    <n v="0"/>
    <x v="64"/>
  </r>
  <r>
    <x v="0"/>
    <s v="1213"/>
    <s v="522"/>
    <s v="264"/>
    <s v="3445"/>
    <s v="E"/>
    <m/>
    <x v="2"/>
    <n v="2010"/>
    <n v="0"/>
    <n v="0"/>
    <n v="2010"/>
    <n v="0"/>
    <x v="65"/>
  </r>
  <r>
    <x v="0"/>
    <s v="1213"/>
    <s v="522"/>
    <s v="264"/>
    <s v="3446"/>
    <s v="E"/>
    <m/>
    <x v="2"/>
    <n v="6150"/>
    <n v="0"/>
    <n v="0"/>
    <n v="6150"/>
    <n v="0"/>
    <x v="66"/>
  </r>
  <r>
    <x v="0"/>
    <s v="1213"/>
    <s v="522"/>
    <s v="264"/>
    <s v="3447"/>
    <s v="E"/>
    <m/>
    <x v="2"/>
    <n v="1800"/>
    <n v="0"/>
    <n v="0"/>
    <n v="1800"/>
    <n v="0"/>
    <x v="67"/>
  </r>
  <r>
    <x v="0"/>
    <s v="1213"/>
    <s v="522"/>
    <s v="264"/>
    <s v="3448"/>
    <s v="E"/>
    <m/>
    <x v="2"/>
    <n v="1700"/>
    <n v="0"/>
    <n v="0"/>
    <n v="1700"/>
    <n v="0"/>
    <x v="68"/>
  </r>
  <r>
    <x v="0"/>
    <s v="1213"/>
    <s v="522"/>
    <s v="264"/>
    <s v="3449"/>
    <s v="E"/>
    <m/>
    <x v="2"/>
    <n v="0"/>
    <n v="0"/>
    <n v="0"/>
    <n v="0"/>
    <n v="0"/>
    <x v="69"/>
  </r>
  <r>
    <x v="0"/>
    <s v="1213"/>
    <s v="522"/>
    <s v="264"/>
    <s v="3453"/>
    <s v="E"/>
    <m/>
    <x v="2"/>
    <n v="1100"/>
    <n v="0"/>
    <n v="0"/>
    <n v="1100"/>
    <n v="0"/>
    <x v="70"/>
  </r>
  <r>
    <x v="0"/>
    <s v="1213"/>
    <s v="522"/>
    <s v="264"/>
    <s v="3454"/>
    <s v="E"/>
    <m/>
    <x v="2"/>
    <n v="1200"/>
    <n v="0"/>
    <n v="0"/>
    <n v="1200"/>
    <n v="0"/>
    <x v="71"/>
  </r>
  <r>
    <x v="0"/>
    <s v="1213"/>
    <s v="522"/>
    <s v="264"/>
    <s v="3456"/>
    <s v="E"/>
    <m/>
    <x v="2"/>
    <n v="4850"/>
    <n v="0"/>
    <n v="0"/>
    <n v="4850"/>
    <n v="0"/>
    <x v="72"/>
  </r>
  <r>
    <x v="0"/>
    <s v="1213"/>
    <s v="522"/>
    <s v="264"/>
    <s v="3457"/>
    <s v="E"/>
    <m/>
    <x v="2"/>
    <n v="6390"/>
    <n v="0"/>
    <n v="0"/>
    <n v="6390"/>
    <n v="0"/>
    <x v="19"/>
  </r>
  <r>
    <x v="0"/>
    <s v="1213"/>
    <s v="522"/>
    <s v="264"/>
    <s v="3458"/>
    <s v="E"/>
    <m/>
    <x v="2"/>
    <n v="6923"/>
    <n v="0"/>
    <n v="0"/>
    <n v="6923"/>
    <n v="0"/>
    <x v="73"/>
  </r>
  <r>
    <x v="0"/>
    <s v="1213"/>
    <s v="522"/>
    <s v="264"/>
    <s v="3460"/>
    <s v="E"/>
    <m/>
    <x v="2"/>
    <n v="1250"/>
    <n v="0"/>
    <n v="0"/>
    <n v="1250"/>
    <n v="0"/>
    <x v="74"/>
  </r>
  <r>
    <x v="0"/>
    <s v="1213"/>
    <s v="522"/>
    <s v="264"/>
    <s v="3461"/>
    <s v="E"/>
    <m/>
    <x v="2"/>
    <n v="7900"/>
    <n v="0"/>
    <n v="0"/>
    <n v="7900"/>
    <n v="0"/>
    <x v="75"/>
  </r>
  <r>
    <x v="0"/>
    <s v="1213"/>
    <s v="522"/>
    <s v="264"/>
    <s v="3462"/>
    <s v="E"/>
    <m/>
    <x v="2"/>
    <n v="9024"/>
    <n v="0"/>
    <n v="0"/>
    <n v="9024"/>
    <n v="0"/>
    <x v="76"/>
  </r>
  <r>
    <x v="0"/>
    <s v="1213"/>
    <s v="522"/>
    <s v="264"/>
    <s v="3464"/>
    <s v="E"/>
    <m/>
    <x v="2"/>
    <n v="17945"/>
    <n v="0"/>
    <n v="0"/>
    <n v="17945"/>
    <n v="0"/>
    <x v="20"/>
  </r>
  <r>
    <x v="0"/>
    <s v="1213"/>
    <s v="522"/>
    <s v="264"/>
    <s v="3465"/>
    <s v="E"/>
    <m/>
    <x v="2"/>
    <n v="26058"/>
    <n v="0"/>
    <n v="0"/>
    <n v="26058"/>
    <n v="0"/>
    <x v="21"/>
  </r>
  <r>
    <x v="0"/>
    <s v="1213"/>
    <s v="522"/>
    <s v="264"/>
    <s v="3466"/>
    <s v="E"/>
    <m/>
    <x v="2"/>
    <n v="2155"/>
    <n v="0"/>
    <n v="0"/>
    <n v="2155"/>
    <n v="0"/>
    <x v="77"/>
  </r>
  <r>
    <x v="0"/>
    <s v="1213"/>
    <s v="522"/>
    <s v="264"/>
    <s v="3467"/>
    <s v="E"/>
    <m/>
    <x v="2"/>
    <n v="0"/>
    <n v="0"/>
    <n v="0"/>
    <n v="0"/>
    <n v="0"/>
    <x v="78"/>
  </r>
  <r>
    <x v="0"/>
    <s v="1213"/>
    <s v="522"/>
    <s v="264"/>
    <s v="3468"/>
    <s v="E"/>
    <m/>
    <x v="2"/>
    <n v="1090"/>
    <n v="0"/>
    <n v="0"/>
    <n v="1090"/>
    <n v="0"/>
    <x v="79"/>
  </r>
  <r>
    <x v="0"/>
    <s v="1213"/>
    <s v="522"/>
    <s v="264"/>
    <s v="3469"/>
    <s v="E"/>
    <m/>
    <x v="2"/>
    <n v="1270"/>
    <n v="0"/>
    <n v="0"/>
    <n v="1270"/>
    <n v="0"/>
    <x v="80"/>
  </r>
  <r>
    <x v="0"/>
    <s v="1213"/>
    <s v="522"/>
    <s v="264"/>
    <s v="3470"/>
    <s v="E"/>
    <m/>
    <x v="2"/>
    <n v="500"/>
    <n v="0"/>
    <n v="0"/>
    <n v="500"/>
    <n v="0"/>
    <x v="81"/>
  </r>
  <r>
    <x v="0"/>
    <s v="1213"/>
    <s v="522"/>
    <s v="264"/>
    <s v="3471"/>
    <s v="E"/>
    <m/>
    <x v="2"/>
    <n v="1000"/>
    <n v="0"/>
    <n v="0"/>
    <n v="1000"/>
    <n v="0"/>
    <x v="82"/>
  </r>
  <r>
    <x v="0"/>
    <s v="1213"/>
    <s v="522"/>
    <s v="264"/>
    <s v="3472"/>
    <s v="E"/>
    <m/>
    <x v="2"/>
    <n v="293"/>
    <n v="0"/>
    <n v="0"/>
    <n v="293"/>
    <n v="0"/>
    <x v="83"/>
  </r>
  <r>
    <x v="0"/>
    <s v="1213"/>
    <s v="522"/>
    <s v="264"/>
    <s v="3473"/>
    <s v="E"/>
    <m/>
    <x v="2"/>
    <n v="1000"/>
    <n v="0"/>
    <n v="0"/>
    <n v="1000"/>
    <n v="0"/>
    <x v="84"/>
  </r>
  <r>
    <x v="0"/>
    <s v="1213"/>
    <s v="522"/>
    <s v="264"/>
    <s v="3474"/>
    <s v="E"/>
    <m/>
    <x v="2"/>
    <n v="500"/>
    <n v="0"/>
    <n v="0"/>
    <n v="500"/>
    <n v="0"/>
    <x v="85"/>
  </r>
  <r>
    <x v="0"/>
    <s v="1213"/>
    <s v="522"/>
    <s v="264"/>
    <s v="3477"/>
    <s v="E"/>
    <m/>
    <x v="2"/>
    <n v="380"/>
    <n v="0"/>
    <n v="0"/>
    <n v="380"/>
    <n v="0"/>
    <x v="86"/>
  </r>
  <r>
    <x v="0"/>
    <s v="1213"/>
    <s v="522"/>
    <s v="264"/>
    <s v="3495"/>
    <s v="E"/>
    <m/>
    <x v="2"/>
    <n v="90175"/>
    <n v="0"/>
    <n v="0"/>
    <n v="90175"/>
    <n v="0"/>
    <x v="87"/>
  </r>
  <r>
    <x v="0"/>
    <s v="1213"/>
    <s v="522"/>
    <s v="264"/>
    <s v="3496"/>
    <s v="E"/>
    <m/>
    <x v="2"/>
    <n v="2250"/>
    <n v="0"/>
    <n v="0"/>
    <n v="2250"/>
    <n v="0"/>
    <x v="88"/>
  </r>
  <r>
    <x v="0"/>
    <s v="1213"/>
    <s v="522"/>
    <s v="264"/>
    <s v="3330"/>
    <s v="E"/>
    <s v="00"/>
    <x v="2"/>
    <n v="0"/>
    <n v="1122.26"/>
    <n v="0"/>
    <n v="-1122.26"/>
    <n v="0"/>
    <x v="26"/>
  </r>
  <r>
    <x v="0"/>
    <s v="1213"/>
    <s v="522"/>
    <s v="264"/>
    <s v="3342"/>
    <s v="E"/>
    <s v="00"/>
    <x v="2"/>
    <n v="0"/>
    <n v="1007.7"/>
    <n v="0"/>
    <n v="-1007.7"/>
    <n v="0"/>
    <x v="5"/>
  </r>
  <r>
    <x v="0"/>
    <s v="1213"/>
    <s v="522"/>
    <s v="264"/>
    <s v="3352"/>
    <s v="E"/>
    <s v="00"/>
    <x v="2"/>
    <n v="0"/>
    <n v="4091.65"/>
    <n v="0"/>
    <n v="-4091.65"/>
    <n v="0"/>
    <x v="27"/>
  </r>
  <r>
    <x v="0"/>
    <s v="1213"/>
    <s v="522"/>
    <s v="264"/>
    <s v="3355"/>
    <s v="E"/>
    <s v="00"/>
    <x v="2"/>
    <n v="0"/>
    <n v="1628.45"/>
    <n v="0"/>
    <n v="-1628.45"/>
    <n v="0"/>
    <x v="30"/>
  </r>
  <r>
    <x v="0"/>
    <s v="1213"/>
    <s v="522"/>
    <s v="264"/>
    <s v="3357"/>
    <s v="E"/>
    <s v="00"/>
    <x v="2"/>
    <n v="0"/>
    <n v="1496.02"/>
    <n v="0"/>
    <n v="-1496.02"/>
    <n v="0"/>
    <x v="6"/>
  </r>
  <r>
    <x v="0"/>
    <s v="1213"/>
    <s v="522"/>
    <s v="264"/>
    <s v="3363"/>
    <s v="E"/>
    <s v="00"/>
    <x v="2"/>
    <n v="0"/>
    <n v="3621.63"/>
    <n v="0"/>
    <n v="-3621.63"/>
    <n v="0"/>
    <x v="32"/>
  </r>
  <r>
    <x v="0"/>
    <s v="1213"/>
    <s v="522"/>
    <s v="264"/>
    <s v="3367"/>
    <s v="E"/>
    <s v="00"/>
    <x v="2"/>
    <n v="0"/>
    <n v="2127.67"/>
    <n v="0"/>
    <n v="-2127.67"/>
    <n v="0"/>
    <x v="7"/>
  </r>
  <r>
    <x v="0"/>
    <s v="1213"/>
    <s v="522"/>
    <s v="264"/>
    <s v="3370"/>
    <s v="E"/>
    <s v="00"/>
    <x v="2"/>
    <n v="0"/>
    <n v="836.44"/>
    <n v="0"/>
    <n v="-836.44"/>
    <n v="0"/>
    <x v="34"/>
  </r>
  <r>
    <x v="0"/>
    <s v="1213"/>
    <s v="522"/>
    <s v="264"/>
    <s v="3372"/>
    <s v="E"/>
    <s v="00"/>
    <x v="2"/>
    <n v="0"/>
    <n v="587.04"/>
    <n v="0"/>
    <n v="-587.04"/>
    <n v="0"/>
    <x v="35"/>
  </r>
  <r>
    <x v="0"/>
    <s v="1213"/>
    <s v="522"/>
    <s v="264"/>
    <s v="3373"/>
    <s v="E"/>
    <s v="00"/>
    <x v="2"/>
    <n v="0"/>
    <n v="606.37"/>
    <n v="0"/>
    <n v="-606.37"/>
    <n v="0"/>
    <x v="36"/>
  </r>
  <r>
    <x v="0"/>
    <s v="1213"/>
    <s v="522"/>
    <s v="264"/>
    <s v="3408"/>
    <s v="E"/>
    <s v="00"/>
    <x v="2"/>
    <n v="0"/>
    <n v="18633.68"/>
    <n v="0"/>
    <n v="-18633.68"/>
    <n v="0"/>
    <x v="40"/>
  </r>
  <r>
    <x v="0"/>
    <s v="1213"/>
    <s v="522"/>
    <s v="264"/>
    <s v="3410"/>
    <s v="E"/>
    <s v="00"/>
    <x v="2"/>
    <n v="0"/>
    <n v="8754.4500000000007"/>
    <n v="0"/>
    <n v="-8754.4500000000007"/>
    <n v="0"/>
    <x v="10"/>
  </r>
  <r>
    <x v="0"/>
    <s v="1213"/>
    <s v="522"/>
    <s v="264"/>
    <s v="3411"/>
    <s v="E"/>
    <s v="00"/>
    <x v="2"/>
    <n v="0"/>
    <n v="2958.57"/>
    <n v="0"/>
    <n v="-2958.57"/>
    <n v="0"/>
    <x v="42"/>
  </r>
  <r>
    <x v="0"/>
    <s v="1213"/>
    <s v="522"/>
    <s v="264"/>
    <s v="3413"/>
    <s v="E"/>
    <s v="00"/>
    <x v="2"/>
    <n v="0"/>
    <n v="348.74"/>
    <n v="0"/>
    <n v="-348.74"/>
    <n v="0"/>
    <x v="44"/>
  </r>
  <r>
    <x v="0"/>
    <s v="1213"/>
    <s v="522"/>
    <s v="264"/>
    <s v="3414"/>
    <s v="E"/>
    <s v="00"/>
    <x v="2"/>
    <n v="0"/>
    <n v="309.08"/>
    <n v="0"/>
    <n v="-309.08"/>
    <n v="0"/>
    <x v="11"/>
  </r>
  <r>
    <x v="0"/>
    <s v="1213"/>
    <s v="522"/>
    <s v="264"/>
    <s v="3415"/>
    <s v="E"/>
    <s v="00"/>
    <x v="2"/>
    <n v="0"/>
    <n v="2984.98"/>
    <n v="0"/>
    <n v="-2984.98"/>
    <n v="0"/>
    <x v="45"/>
  </r>
  <r>
    <x v="0"/>
    <s v="1213"/>
    <s v="522"/>
    <s v="264"/>
    <s v="3418"/>
    <s v="E"/>
    <s v="00"/>
    <x v="2"/>
    <n v="0"/>
    <n v="1285.43"/>
    <n v="0"/>
    <n v="-1285.43"/>
    <n v="0"/>
    <x v="12"/>
  </r>
  <r>
    <x v="0"/>
    <s v="1213"/>
    <s v="522"/>
    <s v="264"/>
    <s v="3420"/>
    <s v="E"/>
    <s v="00"/>
    <x v="2"/>
    <n v="0"/>
    <n v="2251.04"/>
    <n v="0"/>
    <n v="-2251.04"/>
    <n v="0"/>
    <x v="48"/>
  </r>
  <r>
    <x v="0"/>
    <s v="1213"/>
    <s v="522"/>
    <s v="264"/>
    <s v="3421"/>
    <s v="E"/>
    <s v="00"/>
    <x v="2"/>
    <n v="0"/>
    <n v="23.15"/>
    <n v="0"/>
    <n v="-23.15"/>
    <n v="0"/>
    <x v="49"/>
  </r>
  <r>
    <x v="0"/>
    <s v="1213"/>
    <s v="522"/>
    <s v="264"/>
    <s v="3423"/>
    <s v="E"/>
    <s v="00"/>
    <x v="2"/>
    <n v="0"/>
    <n v="0"/>
    <n v="0"/>
    <n v="0"/>
    <n v="0"/>
    <x v="13"/>
  </r>
  <r>
    <x v="0"/>
    <s v="1213"/>
    <s v="522"/>
    <s v="264"/>
    <s v="3424"/>
    <s v="E"/>
    <s v="00"/>
    <x v="2"/>
    <n v="0"/>
    <n v="277.60000000000002"/>
    <n v="0"/>
    <n v="-277.60000000000002"/>
    <n v="0"/>
    <x v="14"/>
  </r>
  <r>
    <x v="0"/>
    <s v="1213"/>
    <s v="522"/>
    <s v="264"/>
    <s v="3425"/>
    <s v="E"/>
    <s v="00"/>
    <x v="2"/>
    <n v="0"/>
    <n v="15.03"/>
    <n v="0"/>
    <n v="-15.03"/>
    <n v="0"/>
    <x v="51"/>
  </r>
  <r>
    <x v="0"/>
    <s v="1213"/>
    <s v="522"/>
    <s v="264"/>
    <s v="3426"/>
    <s v="E"/>
    <s v="00"/>
    <x v="2"/>
    <n v="0"/>
    <n v="6133.69"/>
    <n v="0"/>
    <n v="-6133.69"/>
    <n v="0"/>
    <x v="15"/>
  </r>
  <r>
    <x v="0"/>
    <s v="1213"/>
    <s v="522"/>
    <s v="264"/>
    <s v="3428"/>
    <s v="E"/>
    <s v="00"/>
    <x v="2"/>
    <n v="0"/>
    <n v="4288.97"/>
    <n v="0"/>
    <n v="-4288.97"/>
    <n v="0"/>
    <x v="16"/>
  </r>
  <r>
    <x v="0"/>
    <s v="1213"/>
    <s v="522"/>
    <s v="264"/>
    <s v="3430"/>
    <s v="E"/>
    <s v="00"/>
    <x v="2"/>
    <n v="0"/>
    <n v="0"/>
    <n v="0"/>
    <n v="0"/>
    <n v="0"/>
    <x v="18"/>
  </r>
  <r>
    <x v="0"/>
    <s v="1213"/>
    <s v="522"/>
    <s v="264"/>
    <s v="3433"/>
    <s v="E"/>
    <s v="00"/>
    <x v="2"/>
    <n v="0"/>
    <n v="314.29000000000002"/>
    <n v="0"/>
    <n v="-314.29000000000002"/>
    <n v="0"/>
    <x v="55"/>
  </r>
  <r>
    <x v="0"/>
    <s v="1213"/>
    <s v="522"/>
    <s v="264"/>
    <s v="3435"/>
    <s v="E"/>
    <s v="00"/>
    <x v="2"/>
    <n v="0"/>
    <n v="1568.32"/>
    <n v="0"/>
    <n v="-1568.32"/>
    <n v="0"/>
    <x v="56"/>
  </r>
  <r>
    <x v="0"/>
    <s v="1213"/>
    <s v="522"/>
    <s v="264"/>
    <s v="3436"/>
    <s v="E"/>
    <s v="00"/>
    <x v="2"/>
    <n v="0"/>
    <n v="1238.1099999999999"/>
    <n v="0"/>
    <n v="-1238.1099999999999"/>
    <n v="0"/>
    <x v="57"/>
  </r>
  <r>
    <x v="0"/>
    <s v="1213"/>
    <s v="522"/>
    <s v="264"/>
    <s v="3437"/>
    <s v="E"/>
    <s v="00"/>
    <x v="2"/>
    <n v="0"/>
    <n v="459.44"/>
    <n v="0"/>
    <n v="-459.44"/>
    <n v="0"/>
    <x v="58"/>
  </r>
  <r>
    <x v="0"/>
    <s v="1213"/>
    <s v="522"/>
    <s v="264"/>
    <s v="3440"/>
    <s v="E"/>
    <s v="00"/>
    <x v="2"/>
    <n v="0"/>
    <n v="615.74"/>
    <n v="0"/>
    <n v="-615.74"/>
    <n v="0"/>
    <x v="61"/>
  </r>
  <r>
    <x v="0"/>
    <s v="1213"/>
    <s v="522"/>
    <s v="264"/>
    <s v="3441"/>
    <s v="E"/>
    <s v="00"/>
    <x v="2"/>
    <n v="0"/>
    <n v="219.31"/>
    <n v="0"/>
    <n v="-219.31"/>
    <n v="0"/>
    <x v="62"/>
  </r>
  <r>
    <x v="0"/>
    <s v="1213"/>
    <s v="522"/>
    <s v="264"/>
    <s v="3442"/>
    <s v="E"/>
    <s v="00"/>
    <x v="2"/>
    <n v="0"/>
    <n v="1859.6"/>
    <n v="0"/>
    <n v="-1859.6"/>
    <n v="0"/>
    <x v="63"/>
  </r>
  <r>
    <x v="0"/>
    <s v="1213"/>
    <s v="522"/>
    <s v="264"/>
    <s v="3443"/>
    <s v="E"/>
    <s v="00"/>
    <x v="2"/>
    <n v="0"/>
    <n v="1265.45"/>
    <n v="0"/>
    <n v="-1265.45"/>
    <n v="0"/>
    <x v="64"/>
  </r>
  <r>
    <x v="0"/>
    <s v="1213"/>
    <s v="522"/>
    <s v="264"/>
    <s v="3445"/>
    <s v="E"/>
    <s v="00"/>
    <x v="2"/>
    <n v="0"/>
    <n v="630.91999999999996"/>
    <n v="0"/>
    <n v="-630.91999999999996"/>
    <n v="0"/>
    <x v="65"/>
  </r>
  <r>
    <x v="0"/>
    <s v="1213"/>
    <s v="522"/>
    <s v="264"/>
    <s v="3446"/>
    <s v="E"/>
    <s v="00"/>
    <x v="2"/>
    <n v="0"/>
    <n v="116.51"/>
    <n v="0"/>
    <n v="-116.51"/>
    <n v="0"/>
    <x v="66"/>
  </r>
  <r>
    <x v="0"/>
    <s v="1213"/>
    <s v="522"/>
    <s v="264"/>
    <s v="3447"/>
    <s v="E"/>
    <s v="00"/>
    <x v="2"/>
    <n v="0"/>
    <n v="224.51"/>
    <n v="0"/>
    <n v="-224.51"/>
    <n v="0"/>
    <x v="67"/>
  </r>
  <r>
    <x v="0"/>
    <s v="1213"/>
    <s v="522"/>
    <s v="264"/>
    <s v="3448"/>
    <s v="E"/>
    <s v="00"/>
    <x v="2"/>
    <n v="0"/>
    <n v="2129.15"/>
    <n v="0"/>
    <n v="-2129.15"/>
    <n v="0"/>
    <x v="68"/>
  </r>
  <r>
    <x v="0"/>
    <s v="1213"/>
    <s v="522"/>
    <s v="264"/>
    <s v="3453"/>
    <s v="E"/>
    <s v="00"/>
    <x v="2"/>
    <n v="0"/>
    <n v="366.01"/>
    <n v="0"/>
    <n v="-366.01"/>
    <n v="0"/>
    <x v="70"/>
  </r>
  <r>
    <x v="0"/>
    <s v="1213"/>
    <s v="522"/>
    <s v="264"/>
    <s v="3454"/>
    <s v="E"/>
    <s v="00"/>
    <x v="2"/>
    <n v="0"/>
    <n v="475.5"/>
    <n v="0"/>
    <n v="-475.5"/>
    <n v="0"/>
    <x v="71"/>
  </r>
  <r>
    <x v="0"/>
    <s v="1213"/>
    <s v="522"/>
    <s v="264"/>
    <s v="3456"/>
    <s v="E"/>
    <s v="00"/>
    <x v="2"/>
    <n v="0"/>
    <n v="298.38"/>
    <n v="0"/>
    <n v="-298.38"/>
    <n v="0"/>
    <x v="72"/>
  </r>
  <r>
    <x v="0"/>
    <s v="1213"/>
    <s v="522"/>
    <s v="264"/>
    <s v="3457"/>
    <s v="E"/>
    <s v="00"/>
    <x v="2"/>
    <n v="0"/>
    <n v="2088.08"/>
    <n v="0"/>
    <n v="-2088.08"/>
    <n v="0"/>
    <x v="19"/>
  </r>
  <r>
    <x v="0"/>
    <s v="1213"/>
    <s v="522"/>
    <s v="264"/>
    <s v="3458"/>
    <s v="E"/>
    <s v="00"/>
    <x v="2"/>
    <n v="0"/>
    <n v="1372.76"/>
    <n v="0"/>
    <n v="-1372.76"/>
    <n v="0"/>
    <x v="73"/>
  </r>
  <r>
    <x v="0"/>
    <s v="1213"/>
    <s v="522"/>
    <s v="264"/>
    <s v="3460"/>
    <s v="E"/>
    <s v="00"/>
    <x v="2"/>
    <n v="0"/>
    <n v="17.78"/>
    <n v="0"/>
    <n v="-17.78"/>
    <n v="0"/>
    <x v="74"/>
  </r>
  <r>
    <x v="0"/>
    <s v="1213"/>
    <s v="522"/>
    <s v="264"/>
    <s v="3462"/>
    <s v="E"/>
    <s v="00"/>
    <x v="2"/>
    <n v="0"/>
    <n v="723.96"/>
    <n v="0"/>
    <n v="-723.96"/>
    <n v="0"/>
    <x v="76"/>
  </r>
  <r>
    <x v="0"/>
    <s v="1213"/>
    <s v="522"/>
    <s v="264"/>
    <s v="3465"/>
    <s v="E"/>
    <s v="00"/>
    <x v="2"/>
    <n v="0"/>
    <n v="1996.1"/>
    <n v="0"/>
    <n v="-1996.1"/>
    <n v="0"/>
    <x v="21"/>
  </r>
  <r>
    <x v="0"/>
    <s v="1213"/>
    <s v="522"/>
    <s v="264"/>
    <s v="3465"/>
    <s v="E"/>
    <s v="55"/>
    <x v="2"/>
    <n v="0"/>
    <n v="8.77"/>
    <n v="0"/>
    <n v="-8.77"/>
    <n v="0"/>
    <x v="21"/>
  </r>
  <r>
    <x v="0"/>
    <s v="1213"/>
    <s v="522"/>
    <s v="264"/>
    <s v="3466"/>
    <s v="E"/>
    <s v="00"/>
    <x v="2"/>
    <n v="0"/>
    <n v="40.200000000000003"/>
    <n v="0"/>
    <n v="-40.200000000000003"/>
    <n v="0"/>
    <x v="77"/>
  </r>
  <r>
    <x v="0"/>
    <s v="1213"/>
    <s v="522"/>
    <s v="264"/>
    <s v="3468"/>
    <s v="E"/>
    <s v="00"/>
    <x v="2"/>
    <n v="0"/>
    <n v="163"/>
    <n v="0"/>
    <n v="-163"/>
    <n v="0"/>
    <x v="79"/>
  </r>
  <r>
    <x v="0"/>
    <s v="1213"/>
    <s v="522"/>
    <s v="264"/>
    <s v="3469"/>
    <s v="E"/>
    <s v="00"/>
    <x v="2"/>
    <n v="0"/>
    <n v="2166.66"/>
    <n v="0"/>
    <n v="-2166.66"/>
    <n v="0"/>
    <x v="80"/>
  </r>
  <r>
    <x v="0"/>
    <s v="1213"/>
    <s v="522"/>
    <s v="264"/>
    <s v="3470"/>
    <s v="E"/>
    <s v="00"/>
    <x v="2"/>
    <n v="0"/>
    <n v="911.61"/>
    <n v="0"/>
    <n v="-911.61"/>
    <n v="0"/>
    <x v="81"/>
  </r>
  <r>
    <x v="0"/>
    <s v="1213"/>
    <s v="522"/>
    <s v="264"/>
    <s v="3473"/>
    <s v="E"/>
    <s v="00"/>
    <x v="2"/>
    <n v="0"/>
    <n v="504.8"/>
    <n v="0"/>
    <n v="-504.8"/>
    <n v="0"/>
    <x v="84"/>
  </r>
  <r>
    <x v="0"/>
    <s v="1213"/>
    <s v="522"/>
    <s v="264"/>
    <s v="3363"/>
    <s v="E"/>
    <s v="10"/>
    <x v="2"/>
    <n v="0"/>
    <n v="449.48"/>
    <n v="0"/>
    <n v="-449.48"/>
    <n v="0"/>
    <x v="32"/>
  </r>
  <r>
    <x v="0"/>
    <s v="1213"/>
    <s v="522"/>
    <s v="264"/>
    <s v="3363"/>
    <s v="E"/>
    <s v="40"/>
    <x v="2"/>
    <n v="0"/>
    <n v="23.04"/>
    <n v="0"/>
    <n v="-23.04"/>
    <n v="0"/>
    <x v="32"/>
  </r>
  <r>
    <x v="0"/>
    <s v="1213"/>
    <s v="522"/>
    <s v="264"/>
    <s v="3368"/>
    <s v="E"/>
    <s v="40"/>
    <x v="2"/>
    <n v="0"/>
    <n v="77.44"/>
    <n v="0"/>
    <n v="-77.44"/>
    <n v="0"/>
    <x v="33"/>
  </r>
  <r>
    <x v="0"/>
    <s v="1213"/>
    <s v="522"/>
    <s v="264"/>
    <s v="3410"/>
    <s v="E"/>
    <s v="10"/>
    <x v="2"/>
    <n v="0"/>
    <n v="67.25"/>
    <n v="0"/>
    <n v="-67.25"/>
    <n v="0"/>
    <x v="10"/>
  </r>
  <r>
    <x v="0"/>
    <s v="1213"/>
    <s v="522"/>
    <s v="264"/>
    <s v="3430"/>
    <s v="E"/>
    <s v="40"/>
    <x v="2"/>
    <n v="0"/>
    <n v="0"/>
    <n v="0"/>
    <n v="0"/>
    <n v="0"/>
    <x v="18"/>
  </r>
  <r>
    <x v="0"/>
    <s v="1213"/>
    <s v="522"/>
    <s v="264"/>
    <s v="3464"/>
    <s v="E"/>
    <s v="10"/>
    <x v="2"/>
    <n v="0"/>
    <n v="411.02"/>
    <n v="0"/>
    <n v="-411.02"/>
    <n v="0"/>
    <x v="20"/>
  </r>
  <r>
    <x v="0"/>
    <s v="1213"/>
    <s v="522"/>
    <s v="264"/>
    <s v="3330"/>
    <s v="E"/>
    <s v="00"/>
    <x v="2"/>
    <n v="0"/>
    <n v="2700"/>
    <n v="0"/>
    <n v="-2700"/>
    <n v="0"/>
    <x v="26"/>
  </r>
  <r>
    <x v="0"/>
    <s v="1213"/>
    <s v="522"/>
    <s v="264"/>
    <s v="3363"/>
    <s v="E"/>
    <s v="00"/>
    <x v="2"/>
    <n v="0"/>
    <n v="130.79"/>
    <n v="0"/>
    <n v="-130.79"/>
    <n v="0"/>
    <x v="32"/>
  </r>
  <r>
    <x v="0"/>
    <s v="1213"/>
    <s v="522"/>
    <s v="264"/>
    <s v="3410"/>
    <s v="E"/>
    <s v="00"/>
    <x v="2"/>
    <n v="0"/>
    <n v="32"/>
    <n v="0"/>
    <n v="-32"/>
    <n v="0"/>
    <x v="10"/>
  </r>
  <r>
    <x v="0"/>
    <s v="1213"/>
    <s v="522"/>
    <s v="264"/>
    <s v="3414"/>
    <s v="E"/>
    <s v="00"/>
    <x v="2"/>
    <n v="0"/>
    <n v="2400"/>
    <n v="0"/>
    <n v="-2400"/>
    <n v="0"/>
    <x v="11"/>
  </r>
  <r>
    <x v="0"/>
    <s v="1213"/>
    <s v="522"/>
    <s v="264"/>
    <s v="3420"/>
    <s v="E"/>
    <s v="00"/>
    <x v="2"/>
    <n v="0"/>
    <n v="0"/>
    <n v="0"/>
    <n v="0"/>
    <n v="0"/>
    <x v="48"/>
  </r>
  <r>
    <x v="0"/>
    <s v="1213"/>
    <s v="522"/>
    <s v="264"/>
    <s v="3425"/>
    <s v="E"/>
    <s v="00"/>
    <x v="2"/>
    <n v="0"/>
    <n v="7550"/>
    <n v="0"/>
    <n v="-7550"/>
    <n v="0"/>
    <x v="51"/>
  </r>
  <r>
    <x v="0"/>
    <s v="1213"/>
    <s v="522"/>
    <s v="264"/>
    <s v="3437"/>
    <s v="E"/>
    <s v="00"/>
    <x v="2"/>
    <n v="0"/>
    <n v="0"/>
    <n v="0"/>
    <n v="0"/>
    <n v="0"/>
    <x v="58"/>
  </r>
  <r>
    <x v="0"/>
    <s v="1213"/>
    <s v="522"/>
    <s v="264"/>
    <s v="3441"/>
    <s v="E"/>
    <s v="10"/>
    <x v="2"/>
    <n v="0"/>
    <n v="100"/>
    <n v="0"/>
    <n v="-100"/>
    <n v="0"/>
    <x v="62"/>
  </r>
  <r>
    <x v="0"/>
    <s v="1213"/>
    <s v="522"/>
    <s v="264"/>
    <s v="3445"/>
    <s v="E"/>
    <s v="10"/>
    <x v="2"/>
    <n v="0"/>
    <n v="50"/>
    <n v="0"/>
    <n v="-50"/>
    <n v="0"/>
    <x v="65"/>
  </r>
  <r>
    <x v="0"/>
    <s v="1213"/>
    <s v="522"/>
    <s v="264"/>
    <s v="3454"/>
    <s v="E"/>
    <s v="10"/>
    <x v="2"/>
    <n v="0"/>
    <n v="50"/>
    <n v="0"/>
    <n v="-50"/>
    <n v="0"/>
    <x v="71"/>
  </r>
  <r>
    <x v="0"/>
    <s v="1213"/>
    <s v="522"/>
    <s v="264"/>
    <s v="3462"/>
    <s v="E"/>
    <s v="00"/>
    <x v="2"/>
    <n v="0"/>
    <n v="921.76"/>
    <n v="0"/>
    <n v="-921.76"/>
    <n v="0"/>
    <x v="76"/>
  </r>
  <r>
    <x v="0"/>
    <s v="1213"/>
    <s v="522"/>
    <s v="264"/>
    <s v="3462"/>
    <s v="E"/>
    <s v="10"/>
    <x v="2"/>
    <n v="0"/>
    <n v="400"/>
    <n v="0"/>
    <n v="-400"/>
    <n v="0"/>
    <x v="76"/>
  </r>
  <r>
    <x v="0"/>
    <s v="1213"/>
    <s v="522"/>
    <s v="264"/>
    <s v="3352"/>
    <s v="E"/>
    <s v="00"/>
    <x v="2"/>
    <n v="0"/>
    <n v="0"/>
    <n v="0"/>
    <n v="0"/>
    <n v="0"/>
    <x v="27"/>
  </r>
  <r>
    <x v="0"/>
    <s v="1213"/>
    <s v="522"/>
    <s v="264"/>
    <s v="3404"/>
    <s v="E"/>
    <s v="CL"/>
    <x v="2"/>
    <n v="0"/>
    <n v="2233.9699999999998"/>
    <n v="0"/>
    <n v="-2233.9699999999998"/>
    <n v="0"/>
    <x v="9"/>
  </r>
  <r>
    <x v="0"/>
    <s v="1213"/>
    <s v="522"/>
    <s v="264"/>
    <s v="3404"/>
    <s v="E"/>
    <s v="CM"/>
    <x v="2"/>
    <n v="0"/>
    <n v="316.02999999999997"/>
    <n v="0"/>
    <n v="-316.02999999999997"/>
    <n v="0"/>
    <x v="9"/>
  </r>
  <r>
    <x v="0"/>
    <s v="1213"/>
    <s v="522"/>
    <s v="264"/>
    <s v="3410"/>
    <s v="E"/>
    <s v="00"/>
    <x v="2"/>
    <n v="0"/>
    <n v="200"/>
    <n v="0"/>
    <n v="-200"/>
    <n v="0"/>
    <x v="10"/>
  </r>
  <r>
    <x v="0"/>
    <s v="1213"/>
    <s v="522"/>
    <s v="264"/>
    <s v="3412"/>
    <s v="E"/>
    <s v="00"/>
    <x v="2"/>
    <n v="0"/>
    <n v="1500"/>
    <n v="0"/>
    <n v="-1500"/>
    <n v="0"/>
    <x v="43"/>
  </r>
  <r>
    <x v="0"/>
    <s v="1213"/>
    <s v="522"/>
    <s v="264"/>
    <s v="3426"/>
    <s v="E"/>
    <s v="20"/>
    <x v="2"/>
    <n v="0"/>
    <n v="451.11"/>
    <n v="0"/>
    <n v="-451.11"/>
    <n v="0"/>
    <x v="15"/>
  </r>
  <r>
    <x v="0"/>
    <s v="1213"/>
    <s v="522"/>
    <s v="264"/>
    <s v="3430"/>
    <s v="E"/>
    <s v="CL"/>
    <x v="2"/>
    <n v="0"/>
    <n v="0"/>
    <n v="0"/>
    <n v="0"/>
    <n v="0"/>
    <x v="18"/>
  </r>
  <r>
    <x v="0"/>
    <s v="1213"/>
    <s v="522"/>
    <s v="264"/>
    <s v="3430"/>
    <s v="E"/>
    <s v="CM"/>
    <x v="2"/>
    <n v="0"/>
    <n v="0"/>
    <n v="0"/>
    <n v="0"/>
    <n v="0"/>
    <x v="18"/>
  </r>
  <r>
    <x v="0"/>
    <s v="1213"/>
    <s v="522"/>
    <s v="264"/>
    <s v="3465"/>
    <s v="E"/>
    <s v="CL"/>
    <x v="2"/>
    <n v="0"/>
    <n v="5133.6400000000003"/>
    <n v="0"/>
    <n v="-5133.6400000000003"/>
    <n v="0"/>
    <x v="21"/>
  </r>
  <r>
    <x v="0"/>
    <s v="1213"/>
    <s v="522"/>
    <s v="264"/>
    <s v="3465"/>
    <s v="E"/>
    <s v="CM"/>
    <x v="2"/>
    <n v="0"/>
    <n v="104.59"/>
    <n v="0"/>
    <n v="-104.59"/>
    <n v="0"/>
    <x v="21"/>
  </r>
  <r>
    <x v="0"/>
    <s v="1213"/>
    <s v="522"/>
    <s v="264"/>
    <s v="3330"/>
    <s v="E"/>
    <s v="00"/>
    <x v="2"/>
    <n v="0"/>
    <n v="231.53"/>
    <n v="0"/>
    <n v="-231.53"/>
    <n v="0"/>
    <x v="26"/>
  </r>
  <r>
    <x v="0"/>
    <s v="1213"/>
    <s v="522"/>
    <s v="264"/>
    <s v="3368"/>
    <s v="E"/>
    <s v="00"/>
    <x v="2"/>
    <n v="0"/>
    <n v="7861.88"/>
    <n v="0"/>
    <n v="-7861.88"/>
    <n v="0"/>
    <x v="33"/>
  </r>
  <r>
    <x v="0"/>
    <s v="1213"/>
    <s v="522"/>
    <s v="264"/>
    <s v="3369"/>
    <s v="E"/>
    <s v="00"/>
    <x v="2"/>
    <n v="0"/>
    <n v="5499"/>
    <n v="0"/>
    <n v="-5499"/>
    <n v="0"/>
    <x v="8"/>
  </r>
  <r>
    <x v="0"/>
    <s v="1213"/>
    <s v="522"/>
    <s v="264"/>
    <s v="3354"/>
    <s v="E"/>
    <s v="RG"/>
    <x v="2"/>
    <n v="0"/>
    <n v="390"/>
    <n v="0"/>
    <n v="-390"/>
    <n v="0"/>
    <x v="29"/>
  </r>
  <r>
    <x v="0"/>
    <s v="1213"/>
    <s v="522"/>
    <s v="264"/>
    <s v="3355"/>
    <s v="E"/>
    <s v="RG"/>
    <x v="2"/>
    <n v="0"/>
    <n v="500"/>
    <n v="0"/>
    <n v="-500"/>
    <n v="0"/>
    <x v="30"/>
  </r>
  <r>
    <x v="0"/>
    <s v="1213"/>
    <s v="522"/>
    <s v="264"/>
    <s v="3367"/>
    <s v="E"/>
    <s v="RG"/>
    <x v="2"/>
    <n v="0"/>
    <n v="-20"/>
    <n v="0"/>
    <n v="20"/>
    <n v="0"/>
    <x v="7"/>
  </r>
  <r>
    <x v="0"/>
    <s v="1213"/>
    <s v="522"/>
    <s v="264"/>
    <s v="3370"/>
    <s v="E"/>
    <s v="70"/>
    <x v="2"/>
    <n v="0"/>
    <n v="210"/>
    <n v="0"/>
    <n v="-210"/>
    <n v="0"/>
    <x v="34"/>
  </r>
  <r>
    <x v="0"/>
    <s v="1213"/>
    <s v="522"/>
    <s v="264"/>
    <s v="3372"/>
    <s v="E"/>
    <s v="RG"/>
    <x v="2"/>
    <n v="0"/>
    <n v="2751"/>
    <n v="0"/>
    <n v="-2751"/>
    <n v="0"/>
    <x v="35"/>
  </r>
  <r>
    <x v="0"/>
    <s v="1213"/>
    <s v="522"/>
    <s v="264"/>
    <s v="3410"/>
    <s v="E"/>
    <s v="80"/>
    <x v="2"/>
    <n v="0"/>
    <n v="286.75"/>
    <n v="0"/>
    <n v="-286.75"/>
    <n v="0"/>
    <x v="10"/>
  </r>
  <r>
    <x v="0"/>
    <s v="1213"/>
    <s v="522"/>
    <s v="264"/>
    <s v="3413"/>
    <s v="E"/>
    <s v="RG"/>
    <x v="2"/>
    <n v="0"/>
    <n v="868"/>
    <n v="0"/>
    <n v="-868"/>
    <n v="0"/>
    <x v="44"/>
  </r>
  <r>
    <x v="0"/>
    <s v="1213"/>
    <s v="522"/>
    <s v="264"/>
    <s v="3417"/>
    <s v="E"/>
    <s v="RG"/>
    <x v="2"/>
    <n v="0"/>
    <n v="6422"/>
    <n v="0"/>
    <n v="-6422"/>
    <n v="0"/>
    <x v="46"/>
  </r>
  <r>
    <x v="0"/>
    <s v="1213"/>
    <s v="522"/>
    <s v="264"/>
    <s v="3418"/>
    <s v="E"/>
    <s v="RG"/>
    <x v="2"/>
    <n v="0"/>
    <n v="50"/>
    <n v="0"/>
    <n v="-50"/>
    <n v="0"/>
    <x v="12"/>
  </r>
  <r>
    <x v="0"/>
    <s v="1213"/>
    <s v="522"/>
    <s v="264"/>
    <s v="3422"/>
    <s v="E"/>
    <s v="80"/>
    <x v="2"/>
    <n v="0"/>
    <n v="1297.28"/>
    <n v="0"/>
    <n v="-1297.28"/>
    <n v="0"/>
    <x v="50"/>
  </r>
  <r>
    <x v="0"/>
    <s v="1213"/>
    <s v="522"/>
    <s v="264"/>
    <s v="3435"/>
    <s v="E"/>
    <s v="RG"/>
    <x v="2"/>
    <n v="0"/>
    <n v="452.1"/>
    <n v="0"/>
    <n v="-452.1"/>
    <n v="0"/>
    <x v="56"/>
  </r>
  <r>
    <x v="0"/>
    <s v="1213"/>
    <s v="522"/>
    <s v="264"/>
    <s v="3457"/>
    <s v="E"/>
    <s v="RG"/>
    <x v="2"/>
    <n v="0"/>
    <n v="325"/>
    <n v="0"/>
    <n v="-325"/>
    <n v="0"/>
    <x v="19"/>
  </r>
  <r>
    <x v="0"/>
    <s v="1213"/>
    <s v="522"/>
    <s v="264"/>
    <s v="3458"/>
    <s v="E"/>
    <s v="RG"/>
    <x v="2"/>
    <n v="0"/>
    <n v="465.8"/>
    <n v="0"/>
    <n v="-465.8"/>
    <n v="0"/>
    <x v="73"/>
  </r>
  <r>
    <x v="0"/>
    <s v="1213"/>
    <s v="522"/>
    <s v="264"/>
    <s v="3461"/>
    <s v="E"/>
    <s v="RG"/>
    <x v="2"/>
    <n v="0"/>
    <n v="579"/>
    <n v="0"/>
    <n v="-579"/>
    <n v="0"/>
    <x v="75"/>
  </r>
  <r>
    <x v="0"/>
    <s v="1213"/>
    <s v="522"/>
    <s v="264"/>
    <s v="3465"/>
    <s v="E"/>
    <s v="RG"/>
    <x v="2"/>
    <n v="0"/>
    <n v="452.1"/>
    <n v="0"/>
    <n v="-452.1"/>
    <n v="0"/>
    <x v="21"/>
  </r>
  <r>
    <x v="0"/>
    <s v="1213"/>
    <s v="522"/>
    <s v="264"/>
    <s v="3330"/>
    <s v="E"/>
    <s v="20"/>
    <x v="2"/>
    <n v="0"/>
    <n v="169.05"/>
    <n v="0"/>
    <n v="-169.05"/>
    <n v="0"/>
    <x v="26"/>
  </r>
  <r>
    <x v="0"/>
    <s v="1213"/>
    <s v="522"/>
    <s v="264"/>
    <s v="3363"/>
    <s v="E"/>
    <s v="20"/>
    <x v="2"/>
    <n v="0"/>
    <n v="132.13999999999999"/>
    <n v="0"/>
    <n v="-132.13999999999999"/>
    <n v="0"/>
    <x v="32"/>
  </r>
  <r>
    <x v="0"/>
    <s v="1213"/>
    <s v="522"/>
    <s v="264"/>
    <s v="3410"/>
    <s v="E"/>
    <s v="20"/>
    <x v="2"/>
    <n v="0"/>
    <n v="404.54"/>
    <n v="0"/>
    <n v="-404.54"/>
    <n v="0"/>
    <x v="10"/>
  </r>
  <r>
    <x v="0"/>
    <s v="1213"/>
    <s v="522"/>
    <s v="264"/>
    <s v="3410"/>
    <s v="E"/>
    <s v="30"/>
    <x v="2"/>
    <n v="0"/>
    <n v="376.11"/>
    <n v="0"/>
    <n v="-376.11"/>
    <n v="0"/>
    <x v="10"/>
  </r>
  <r>
    <x v="0"/>
    <s v="1213"/>
    <s v="522"/>
    <s v="264"/>
    <s v="3414"/>
    <s v="E"/>
    <s v="20"/>
    <x v="2"/>
    <n v="0"/>
    <n v="603.76"/>
    <n v="0"/>
    <n v="-603.76"/>
    <n v="0"/>
    <x v="11"/>
  </r>
  <r>
    <x v="0"/>
    <s v="1213"/>
    <s v="522"/>
    <s v="264"/>
    <s v="3414"/>
    <s v="E"/>
    <s v="30"/>
    <x v="2"/>
    <n v="0"/>
    <n v="1078.32"/>
    <n v="0"/>
    <n v="-1078.32"/>
    <n v="0"/>
    <x v="11"/>
  </r>
  <r>
    <x v="0"/>
    <s v="1213"/>
    <s v="522"/>
    <s v="264"/>
    <s v="3420"/>
    <s v="E"/>
    <s v="20"/>
    <x v="2"/>
    <n v="0"/>
    <n v="823.51"/>
    <n v="0"/>
    <n v="-823.51"/>
    <n v="0"/>
    <x v="48"/>
  </r>
  <r>
    <x v="0"/>
    <s v="1213"/>
    <s v="522"/>
    <s v="264"/>
    <s v="3420"/>
    <s v="E"/>
    <s v="30"/>
    <x v="2"/>
    <n v="0"/>
    <n v="680.47"/>
    <n v="0"/>
    <n v="-680.47"/>
    <n v="0"/>
    <x v="48"/>
  </r>
  <r>
    <x v="0"/>
    <s v="1213"/>
    <s v="522"/>
    <s v="264"/>
    <s v="3423"/>
    <s v="E"/>
    <s v="30"/>
    <x v="2"/>
    <n v="0"/>
    <n v="240.23"/>
    <n v="0"/>
    <n v="-240.23"/>
    <n v="0"/>
    <x v="13"/>
  </r>
  <r>
    <x v="0"/>
    <s v="1213"/>
    <s v="522"/>
    <s v="264"/>
    <s v="3435"/>
    <s v="E"/>
    <s v="20"/>
    <x v="2"/>
    <n v="0"/>
    <n v="3000"/>
    <n v="0"/>
    <n v="-3000"/>
    <n v="0"/>
    <x v="56"/>
  </r>
  <r>
    <x v="0"/>
    <s v="1213"/>
    <s v="522"/>
    <s v="264"/>
    <s v="3442"/>
    <s v="E"/>
    <s v="20"/>
    <x v="2"/>
    <n v="0"/>
    <n v="31.8"/>
    <n v="0"/>
    <n v="-31.8"/>
    <n v="0"/>
    <x v="63"/>
  </r>
  <r>
    <x v="0"/>
    <s v="1213"/>
    <s v="522"/>
    <s v="264"/>
    <s v="3456"/>
    <s v="E"/>
    <s v="30"/>
    <x v="2"/>
    <n v="0"/>
    <n v="1000"/>
    <n v="0"/>
    <n v="-1000"/>
    <n v="0"/>
    <x v="72"/>
  </r>
  <r>
    <x v="0"/>
    <s v="1213"/>
    <s v="522"/>
    <s v="264"/>
    <s v="3457"/>
    <s v="E"/>
    <s v="30"/>
    <x v="2"/>
    <n v="0"/>
    <n v="950"/>
    <n v="0"/>
    <n v="-950"/>
    <n v="0"/>
    <x v="19"/>
  </r>
  <r>
    <x v="0"/>
    <s v="1213"/>
    <s v="522"/>
    <s v="264"/>
    <s v="3462"/>
    <s v="E"/>
    <s v="20"/>
    <x v="2"/>
    <n v="0"/>
    <n v="70.66"/>
    <n v="0"/>
    <n v="-70.66"/>
    <n v="0"/>
    <x v="76"/>
  </r>
  <r>
    <x v="0"/>
    <s v="1213"/>
    <s v="522"/>
    <s v="264"/>
    <s v="3464"/>
    <s v="E"/>
    <s v="20"/>
    <x v="2"/>
    <n v="0"/>
    <n v="310.79000000000002"/>
    <n v="0"/>
    <n v="-310.79000000000002"/>
    <n v="0"/>
    <x v="20"/>
  </r>
  <r>
    <x v="0"/>
    <s v="1213"/>
    <s v="522"/>
    <s v="264"/>
    <s v="3464"/>
    <s v="E"/>
    <s v="40"/>
    <x v="2"/>
    <n v="0"/>
    <n v="326.10000000000002"/>
    <n v="0"/>
    <n v="-326.10000000000002"/>
    <n v="0"/>
    <x v="20"/>
  </r>
  <r>
    <x v="0"/>
    <s v="1213"/>
    <s v="522"/>
    <s v="264"/>
    <s v="3466"/>
    <s v="E"/>
    <s v="30"/>
    <x v="2"/>
    <n v="0"/>
    <n v="1000"/>
    <n v="0"/>
    <n v="-1000"/>
    <n v="0"/>
    <x v="77"/>
  </r>
  <r>
    <x v="0"/>
    <s v="1213"/>
    <s v="522"/>
    <s v="264"/>
    <s v="3309"/>
    <s v="E"/>
    <s v="06"/>
    <x v="2"/>
    <n v="0"/>
    <n v="4.62"/>
    <n v="0"/>
    <n v="-4.62"/>
    <n v="0"/>
    <x v="22"/>
  </r>
  <r>
    <x v="0"/>
    <s v="1213"/>
    <s v="522"/>
    <s v="264"/>
    <s v="3309"/>
    <s v="E"/>
    <s v="07"/>
    <x v="2"/>
    <n v="0"/>
    <n v="-0.01"/>
    <n v="0"/>
    <n v="0.01"/>
    <n v="0"/>
    <x v="22"/>
  </r>
  <r>
    <x v="0"/>
    <s v="1213"/>
    <s v="522"/>
    <s v="264"/>
    <s v="3352"/>
    <s v="E"/>
    <s v="06"/>
    <x v="2"/>
    <n v="0"/>
    <n v="0.2"/>
    <n v="0"/>
    <n v="-0.2"/>
    <n v="0"/>
    <x v="27"/>
  </r>
  <r>
    <x v="0"/>
    <s v="1213"/>
    <s v="522"/>
    <s v="264"/>
    <s v="3353"/>
    <s v="E"/>
    <s v="06"/>
    <x v="2"/>
    <n v="0"/>
    <n v="0.13"/>
    <n v="0"/>
    <n v="-0.13"/>
    <n v="0"/>
    <x v="28"/>
  </r>
  <r>
    <x v="0"/>
    <s v="1213"/>
    <s v="522"/>
    <s v="264"/>
    <s v="3354"/>
    <s v="E"/>
    <s v="06"/>
    <x v="2"/>
    <n v="0"/>
    <n v="0.02"/>
    <n v="0"/>
    <n v="-0.02"/>
    <n v="0"/>
    <x v="29"/>
  </r>
  <r>
    <x v="0"/>
    <s v="1213"/>
    <s v="522"/>
    <s v="264"/>
    <s v="3356"/>
    <s v="E"/>
    <s v="06"/>
    <x v="2"/>
    <n v="0"/>
    <n v="0.03"/>
    <n v="0"/>
    <n v="-0.03"/>
    <n v="0"/>
    <x v="31"/>
  </r>
  <r>
    <x v="0"/>
    <s v="1213"/>
    <s v="522"/>
    <s v="264"/>
    <s v="3409"/>
    <s v="E"/>
    <s v="06"/>
    <x v="2"/>
    <n v="0"/>
    <n v="8.15"/>
    <n v="0"/>
    <n v="-8.15"/>
    <n v="0"/>
    <x v="41"/>
  </r>
  <r>
    <x v="0"/>
    <s v="1213"/>
    <s v="522"/>
    <s v="264"/>
    <s v="3409"/>
    <s v="E"/>
    <s v="07"/>
    <x v="2"/>
    <n v="0"/>
    <n v="-0.17"/>
    <n v="0"/>
    <n v="0.17"/>
    <n v="0"/>
    <x v="41"/>
  </r>
  <r>
    <x v="0"/>
    <s v="1213"/>
    <s v="522"/>
    <s v="264"/>
    <s v="3426"/>
    <s v="E"/>
    <s v="00"/>
    <x v="2"/>
    <n v="0"/>
    <n v="-97.44"/>
    <n v="0"/>
    <n v="97.44"/>
    <n v="0"/>
    <x v="15"/>
  </r>
  <r>
    <x v="0"/>
    <s v="1213"/>
    <s v="522"/>
    <s v="264"/>
    <s v="3462"/>
    <s v="E"/>
    <s v="06"/>
    <x v="2"/>
    <n v="0"/>
    <n v="0.12"/>
    <n v="0"/>
    <n v="-0.12"/>
    <n v="0"/>
    <x v="76"/>
  </r>
  <r>
    <x v="0"/>
    <s v="1213"/>
    <s v="522"/>
    <s v="264"/>
    <s v="3462"/>
    <s v="E"/>
    <s v="07"/>
    <x v="2"/>
    <n v="0"/>
    <n v="0.03"/>
    <n v="0"/>
    <n v="-0.03"/>
    <n v="0"/>
    <x v="76"/>
  </r>
  <r>
    <x v="0"/>
    <s v="1213"/>
    <s v="522"/>
    <s v="264"/>
    <s v="3464"/>
    <s v="E"/>
    <s v="06"/>
    <x v="2"/>
    <n v="0"/>
    <n v="0.02"/>
    <n v="0"/>
    <n v="-0.02"/>
    <n v="0"/>
    <x v="20"/>
  </r>
  <r>
    <x v="0"/>
    <s v="1213"/>
    <s v="522"/>
    <s v="264"/>
    <s v="3465"/>
    <s v="E"/>
    <s v="06"/>
    <x v="2"/>
    <n v="0"/>
    <n v="0.2"/>
    <n v="0"/>
    <n v="-0.2"/>
    <n v="0"/>
    <x v="21"/>
  </r>
  <r>
    <x v="0"/>
    <s v="1213"/>
    <s v="522"/>
    <s v="264"/>
    <s v="3466"/>
    <s v="E"/>
    <s v="06"/>
    <x v="2"/>
    <n v="0"/>
    <n v="0.03"/>
    <n v="0"/>
    <n v="-0.03"/>
    <n v="0"/>
    <x v="77"/>
  </r>
  <r>
    <x v="0"/>
    <s v="1213"/>
    <s v="522"/>
    <s v="264"/>
    <s v="3466"/>
    <s v="E"/>
    <s v="07"/>
    <x v="2"/>
    <n v="0"/>
    <n v="0.04"/>
    <n v="0"/>
    <n v="-0.04"/>
    <n v="0"/>
    <x v="77"/>
  </r>
  <r>
    <x v="0"/>
    <s v="1213"/>
    <s v="522"/>
    <s v="264"/>
    <s v="3468"/>
    <s v="E"/>
    <s v="06"/>
    <x v="2"/>
    <n v="0"/>
    <n v="0.04"/>
    <n v="0"/>
    <n v="-0.04"/>
    <n v="0"/>
    <x v="79"/>
  </r>
  <r>
    <x v="0"/>
    <s v="1213"/>
    <s v="522"/>
    <s v="264"/>
    <s v="3330"/>
    <s v="E"/>
    <s v="00"/>
    <x v="2"/>
    <n v="0"/>
    <n v="0"/>
    <n v="0"/>
    <n v="0"/>
    <n v="0"/>
    <x v="26"/>
  </r>
  <r>
    <x v="0"/>
    <s v="1213"/>
    <s v="522"/>
    <s v="264"/>
    <s v="3357"/>
    <s v="E"/>
    <s v="00"/>
    <x v="2"/>
    <n v="0"/>
    <n v="31.22"/>
    <n v="0"/>
    <n v="-31.22"/>
    <n v="0"/>
    <x v="6"/>
  </r>
  <r>
    <x v="0"/>
    <s v="1213"/>
    <s v="522"/>
    <s v="264"/>
    <s v="3368"/>
    <s v="E"/>
    <s v="00"/>
    <x v="2"/>
    <n v="0"/>
    <n v="250"/>
    <n v="0"/>
    <n v="-250"/>
    <n v="0"/>
    <x v="33"/>
  </r>
  <r>
    <x v="0"/>
    <s v="1213"/>
    <s v="522"/>
    <s v="264"/>
    <s v="3414"/>
    <s v="E"/>
    <s v="00"/>
    <x v="2"/>
    <n v="0"/>
    <n v="2177.54"/>
    <n v="0"/>
    <n v="-2177.54"/>
    <n v="0"/>
    <x v="11"/>
  </r>
  <r>
    <x v="0"/>
    <s v="1213"/>
    <s v="522"/>
    <s v="264"/>
    <s v="3419"/>
    <s v="E"/>
    <s v="00"/>
    <x v="2"/>
    <n v="0"/>
    <n v="8000"/>
    <n v="0"/>
    <n v="-8000"/>
    <n v="0"/>
    <x v="47"/>
  </r>
  <r>
    <x v="0"/>
    <s v="1213"/>
    <s v="522"/>
    <s v="264"/>
    <s v="3420"/>
    <s v="E"/>
    <s v="00"/>
    <x v="2"/>
    <n v="0"/>
    <n v="2955.47"/>
    <n v="0"/>
    <n v="-2955.47"/>
    <n v="0"/>
    <x v="48"/>
  </r>
  <r>
    <x v="0"/>
    <s v="1213"/>
    <s v="522"/>
    <s v="264"/>
    <s v="3425"/>
    <s v="E"/>
    <s v="00"/>
    <x v="2"/>
    <n v="0"/>
    <n v="755.46"/>
    <n v="0"/>
    <n v="-755.46"/>
    <n v="0"/>
    <x v="51"/>
  </r>
  <r>
    <x v="0"/>
    <s v="1213"/>
    <s v="522"/>
    <s v="264"/>
    <s v="3435"/>
    <s v="E"/>
    <s v="00"/>
    <x v="2"/>
    <n v="0"/>
    <n v="300"/>
    <n v="0"/>
    <n v="-300"/>
    <n v="0"/>
    <x v="56"/>
  </r>
  <r>
    <x v="0"/>
    <s v="1213"/>
    <s v="522"/>
    <s v="264"/>
    <s v="3436"/>
    <s v="E"/>
    <s v="00"/>
    <x v="2"/>
    <n v="0"/>
    <n v="0"/>
    <n v="0"/>
    <n v="0"/>
    <n v="0"/>
    <x v="57"/>
  </r>
  <r>
    <x v="0"/>
    <s v="1213"/>
    <s v="522"/>
    <s v="264"/>
    <s v="3441"/>
    <s v="E"/>
    <s v="00"/>
    <x v="2"/>
    <n v="0"/>
    <n v="210.45"/>
    <n v="0"/>
    <n v="-210.45"/>
    <n v="0"/>
    <x v="62"/>
  </r>
  <r>
    <x v="0"/>
    <s v="1213"/>
    <s v="522"/>
    <s v="264"/>
    <s v="3442"/>
    <s v="E"/>
    <s v="00"/>
    <x v="2"/>
    <n v="0"/>
    <n v="126.27"/>
    <n v="0"/>
    <n v="-126.27"/>
    <n v="0"/>
    <x v="63"/>
  </r>
  <r>
    <x v="0"/>
    <s v="1213"/>
    <s v="522"/>
    <s v="264"/>
    <s v="3457"/>
    <s v="E"/>
    <s v="00"/>
    <x v="2"/>
    <n v="0"/>
    <n v="70.150000000000006"/>
    <n v="0"/>
    <n v="-70.150000000000006"/>
    <n v="0"/>
    <x v="19"/>
  </r>
  <r>
    <x v="0"/>
    <s v="1213"/>
    <s v="522"/>
    <s v="264"/>
    <s v="3458"/>
    <s v="E"/>
    <s v="00"/>
    <x v="2"/>
    <n v="0"/>
    <n v="56.12"/>
    <n v="0"/>
    <n v="-56.12"/>
    <n v="0"/>
    <x v="73"/>
  </r>
  <r>
    <x v="0"/>
    <s v="1213"/>
    <s v="522"/>
    <s v="264"/>
    <s v="3462"/>
    <s v="E"/>
    <s v="00"/>
    <x v="2"/>
    <n v="0"/>
    <n v="458"/>
    <n v="0"/>
    <n v="-458"/>
    <n v="0"/>
    <x v="76"/>
  </r>
  <r>
    <x v="0"/>
    <s v="1213"/>
    <s v="522"/>
    <s v="264"/>
    <s v="3465"/>
    <s v="E"/>
    <s v="00"/>
    <x v="2"/>
    <n v="0"/>
    <n v="650"/>
    <n v="0"/>
    <n v="-650"/>
    <n v="0"/>
    <x v="21"/>
  </r>
  <r>
    <x v="0"/>
    <s v="1213"/>
    <s v="522"/>
    <s v="264"/>
    <s v="3466"/>
    <s v="E"/>
    <s v="00"/>
    <x v="2"/>
    <n v="0"/>
    <n v="200"/>
    <n v="0"/>
    <n v="-200"/>
    <n v="0"/>
    <x v="77"/>
  </r>
  <r>
    <x v="0"/>
    <s v="1213"/>
    <s v="522"/>
    <s v="264"/>
    <s v="3426"/>
    <s v="E"/>
    <s v="00"/>
    <x v="2"/>
    <n v="0"/>
    <n v="-49.49"/>
    <n v="0"/>
    <n v="49.49"/>
    <n v="0"/>
    <x v="15"/>
  </r>
  <r>
    <x v="0"/>
    <s v="1213"/>
    <s v="522"/>
    <s v="264"/>
    <s v="3426"/>
    <s v="E"/>
    <s v="10"/>
    <x v="2"/>
    <n v="0"/>
    <n v="514.57000000000005"/>
    <n v="0"/>
    <n v="-514.57000000000005"/>
    <n v="0"/>
    <x v="15"/>
  </r>
  <r>
    <x v="0"/>
    <s v="1213"/>
    <s v="522"/>
    <s v="264"/>
    <s v="3461"/>
    <s v="E"/>
    <s v="00"/>
    <x v="2"/>
    <n v="0"/>
    <n v="0"/>
    <n v="0"/>
    <n v="0"/>
    <n v="0"/>
    <x v="75"/>
  </r>
  <r>
    <x v="0"/>
    <s v="1213"/>
    <s v="522"/>
    <s v="264"/>
    <s v="3329"/>
    <s v="E"/>
    <s v="00"/>
    <x v="2"/>
    <n v="0"/>
    <n v="0"/>
    <n v="0"/>
    <n v="0"/>
    <n v="0"/>
    <x v="25"/>
  </r>
  <r>
    <x v="0"/>
    <s v="1213"/>
    <s v="522"/>
    <s v="264"/>
    <s v="3369"/>
    <s v="E"/>
    <s v="00"/>
    <x v="2"/>
    <n v="0"/>
    <n v="64.12"/>
    <n v="0"/>
    <n v="-64.12"/>
    <n v="0"/>
    <x v="8"/>
  </r>
  <r>
    <x v="0"/>
    <s v="1213"/>
    <s v="522"/>
    <s v="264"/>
    <s v="3426"/>
    <s v="E"/>
    <s v="00"/>
    <x v="2"/>
    <n v="0"/>
    <n v="3169.1"/>
    <n v="0"/>
    <n v="-3169.1"/>
    <n v="0"/>
    <x v="15"/>
  </r>
  <r>
    <x v="0"/>
    <s v="1213"/>
    <s v="522"/>
    <s v="264"/>
    <s v="3435"/>
    <s v="E"/>
    <s v="00"/>
    <x v="2"/>
    <n v="0"/>
    <n v="107.61"/>
    <n v="0"/>
    <n v="-107.61"/>
    <n v="0"/>
    <x v="56"/>
  </r>
  <r>
    <x v="0"/>
    <s v="1213"/>
    <s v="522"/>
    <s v="264"/>
    <s v="3472"/>
    <s v="E"/>
    <s v="00"/>
    <x v="2"/>
    <n v="0"/>
    <n v="293.48"/>
    <n v="0"/>
    <n v="-293.48"/>
    <n v="0"/>
    <x v="83"/>
  </r>
  <r>
    <x v="0"/>
    <s v="1213"/>
    <s v="522"/>
    <s v="264"/>
    <s v="3477"/>
    <s v="E"/>
    <s v="00"/>
    <x v="2"/>
    <n v="0"/>
    <n v="0"/>
    <n v="0"/>
    <n v="0"/>
    <n v="0"/>
    <x v="86"/>
  </r>
  <r>
    <x v="0"/>
    <s v="1213"/>
    <s v="522"/>
    <s v="264"/>
    <s v="3309"/>
    <s v="E"/>
    <s v="30"/>
    <x v="2"/>
    <n v="0"/>
    <n v="650.88"/>
    <n v="0"/>
    <n v="-650.88"/>
    <n v="0"/>
    <x v="22"/>
  </r>
  <r>
    <x v="0"/>
    <s v="1213"/>
    <s v="522"/>
    <s v="264"/>
    <s v="3313"/>
    <s v="E"/>
    <s v="30"/>
    <x v="2"/>
    <n v="0"/>
    <n v="53.26"/>
    <n v="0"/>
    <n v="-53.26"/>
    <n v="0"/>
    <x v="24"/>
  </r>
  <r>
    <x v="0"/>
    <s v="1213"/>
    <s v="522"/>
    <s v="264"/>
    <s v="3330"/>
    <s v="E"/>
    <s v="00"/>
    <x v="2"/>
    <n v="0"/>
    <n v="1500"/>
    <n v="0"/>
    <n v="-1500"/>
    <n v="0"/>
    <x v="26"/>
  </r>
  <r>
    <x v="0"/>
    <s v="1213"/>
    <s v="522"/>
    <s v="264"/>
    <s v="3330"/>
    <s v="E"/>
    <s v="30"/>
    <x v="2"/>
    <n v="0"/>
    <n v="2047.12"/>
    <n v="0"/>
    <n v="-2047.12"/>
    <n v="0"/>
    <x v="26"/>
  </r>
  <r>
    <x v="0"/>
    <s v="1213"/>
    <s v="522"/>
    <s v="264"/>
    <s v="3342"/>
    <s v="E"/>
    <s v="07"/>
    <x v="2"/>
    <n v="0"/>
    <n v="0"/>
    <n v="0"/>
    <n v="0"/>
    <n v="0"/>
    <x v="5"/>
  </r>
  <r>
    <x v="0"/>
    <s v="1213"/>
    <s v="522"/>
    <s v="264"/>
    <s v="3342"/>
    <s v="E"/>
    <s v="30"/>
    <x v="2"/>
    <n v="0"/>
    <n v="859.03"/>
    <n v="0"/>
    <n v="-859.03"/>
    <n v="0"/>
    <x v="5"/>
  </r>
  <r>
    <x v="0"/>
    <s v="1213"/>
    <s v="522"/>
    <s v="264"/>
    <s v="3352"/>
    <s v="E"/>
    <s v="07"/>
    <x v="2"/>
    <n v="0"/>
    <n v="0"/>
    <n v="0"/>
    <n v="0"/>
    <n v="0"/>
    <x v="27"/>
  </r>
  <r>
    <x v="0"/>
    <s v="1213"/>
    <s v="522"/>
    <s v="264"/>
    <s v="3352"/>
    <s v="E"/>
    <s v="10"/>
    <x v="2"/>
    <n v="0"/>
    <n v="3703.06"/>
    <n v="0"/>
    <n v="-3703.06"/>
    <n v="0"/>
    <x v="27"/>
  </r>
  <r>
    <x v="0"/>
    <s v="1213"/>
    <s v="522"/>
    <s v="264"/>
    <s v="3352"/>
    <s v="E"/>
    <s v="20"/>
    <x v="2"/>
    <n v="0"/>
    <n v="89.53"/>
    <n v="0"/>
    <n v="-89.53"/>
    <n v="-684.74"/>
    <x v="27"/>
  </r>
  <r>
    <x v="0"/>
    <s v="1213"/>
    <s v="522"/>
    <s v="264"/>
    <s v="3355"/>
    <s v="E"/>
    <s v="00"/>
    <x v="2"/>
    <n v="0"/>
    <n v="150"/>
    <n v="0"/>
    <n v="-150"/>
    <n v="0"/>
    <x v="30"/>
  </r>
  <r>
    <x v="0"/>
    <s v="1213"/>
    <s v="522"/>
    <s v="264"/>
    <s v="3355"/>
    <s v="E"/>
    <s v="30"/>
    <x v="2"/>
    <n v="0"/>
    <n v="288.89"/>
    <n v="0"/>
    <n v="-288.89"/>
    <n v="0"/>
    <x v="30"/>
  </r>
  <r>
    <x v="0"/>
    <s v="1213"/>
    <s v="522"/>
    <s v="264"/>
    <s v="3357"/>
    <s v="E"/>
    <s v="30"/>
    <x v="2"/>
    <n v="0"/>
    <n v="405.73"/>
    <n v="0"/>
    <n v="-405.73"/>
    <n v="0"/>
    <x v="6"/>
  </r>
  <r>
    <x v="0"/>
    <s v="1213"/>
    <s v="522"/>
    <s v="264"/>
    <s v="3363"/>
    <s v="E"/>
    <s v="00"/>
    <x v="2"/>
    <n v="0"/>
    <n v="-584.19000000000005"/>
    <n v="0"/>
    <n v="584.19000000000005"/>
    <n v="0"/>
    <x v="32"/>
  </r>
  <r>
    <x v="0"/>
    <s v="1213"/>
    <s v="522"/>
    <s v="264"/>
    <s v="3363"/>
    <s v="E"/>
    <s v="05"/>
    <x v="2"/>
    <n v="0"/>
    <n v="664.4"/>
    <n v="0"/>
    <n v="-664.4"/>
    <n v="0"/>
    <x v="32"/>
  </r>
  <r>
    <x v="0"/>
    <s v="1213"/>
    <s v="522"/>
    <s v="264"/>
    <s v="3363"/>
    <s v="E"/>
    <s v="20"/>
    <x v="2"/>
    <n v="0"/>
    <n v="906.81"/>
    <n v="0"/>
    <n v="-906.81"/>
    <n v="0"/>
    <x v="32"/>
  </r>
  <r>
    <x v="0"/>
    <s v="1213"/>
    <s v="522"/>
    <s v="264"/>
    <s v="3367"/>
    <s v="E"/>
    <s v="30"/>
    <x v="2"/>
    <n v="0"/>
    <n v="63.75"/>
    <n v="0"/>
    <n v="-63.75"/>
    <n v="0"/>
    <x v="7"/>
  </r>
  <r>
    <x v="0"/>
    <s v="1213"/>
    <s v="522"/>
    <s v="264"/>
    <s v="3368"/>
    <s v="E"/>
    <s v="20"/>
    <x v="2"/>
    <n v="0"/>
    <n v="117.96"/>
    <n v="0"/>
    <n v="-117.96"/>
    <n v="0"/>
    <x v="33"/>
  </r>
  <r>
    <x v="0"/>
    <s v="1213"/>
    <s v="522"/>
    <s v="264"/>
    <s v="3368"/>
    <s v="E"/>
    <s v="30"/>
    <x v="2"/>
    <n v="0"/>
    <n v="420.75"/>
    <n v="0"/>
    <n v="-420.75"/>
    <n v="0"/>
    <x v="33"/>
  </r>
  <r>
    <x v="0"/>
    <s v="1213"/>
    <s v="522"/>
    <s v="264"/>
    <s v="3369"/>
    <s v="E"/>
    <s v="20"/>
    <x v="2"/>
    <n v="0"/>
    <n v="152.63"/>
    <n v="0"/>
    <n v="-152.63"/>
    <n v="0"/>
    <x v="8"/>
  </r>
  <r>
    <x v="0"/>
    <s v="1213"/>
    <s v="522"/>
    <s v="264"/>
    <s v="3370"/>
    <s v="E"/>
    <s v="00"/>
    <x v="2"/>
    <n v="0"/>
    <n v="500"/>
    <n v="0"/>
    <n v="-500"/>
    <n v="0"/>
    <x v="34"/>
  </r>
  <r>
    <x v="0"/>
    <s v="1213"/>
    <s v="522"/>
    <s v="264"/>
    <s v="3370"/>
    <s v="E"/>
    <s v="20"/>
    <x v="2"/>
    <n v="0"/>
    <n v="143.96"/>
    <n v="0"/>
    <n v="-143.96"/>
    <n v="0"/>
    <x v="34"/>
  </r>
  <r>
    <x v="0"/>
    <s v="1213"/>
    <s v="522"/>
    <s v="264"/>
    <s v="3370"/>
    <s v="E"/>
    <s v="30"/>
    <x v="2"/>
    <n v="0"/>
    <n v="887.62"/>
    <n v="0"/>
    <n v="-887.62"/>
    <n v="0"/>
    <x v="34"/>
  </r>
  <r>
    <x v="0"/>
    <s v="1213"/>
    <s v="522"/>
    <s v="264"/>
    <s v="3372"/>
    <s v="E"/>
    <s v="00"/>
    <x v="2"/>
    <n v="0"/>
    <n v="1391.95"/>
    <n v="0"/>
    <n v="-1391.95"/>
    <n v="0"/>
    <x v="35"/>
  </r>
  <r>
    <x v="0"/>
    <s v="1213"/>
    <s v="522"/>
    <s v="264"/>
    <s v="3372"/>
    <s v="E"/>
    <s v="30"/>
    <x v="2"/>
    <n v="0"/>
    <n v="130.75"/>
    <n v="0"/>
    <n v="-130.75"/>
    <n v="0"/>
    <x v="35"/>
  </r>
  <r>
    <x v="0"/>
    <s v="1213"/>
    <s v="522"/>
    <s v="264"/>
    <s v="3373"/>
    <s v="E"/>
    <s v="20"/>
    <x v="2"/>
    <n v="0"/>
    <n v="79.94"/>
    <n v="0"/>
    <n v="-79.94"/>
    <n v="0"/>
    <x v="36"/>
  </r>
  <r>
    <x v="0"/>
    <s v="1213"/>
    <s v="522"/>
    <s v="264"/>
    <s v="3373"/>
    <s v="E"/>
    <s v="30"/>
    <x v="2"/>
    <n v="0"/>
    <n v="1393.28"/>
    <n v="0"/>
    <n v="-1393.28"/>
    <n v="0"/>
    <x v="36"/>
  </r>
  <r>
    <x v="0"/>
    <s v="1213"/>
    <s v="522"/>
    <s v="264"/>
    <s v="3373"/>
    <s v="E"/>
    <s v="40"/>
    <x v="2"/>
    <n v="0"/>
    <n v="10"/>
    <n v="0"/>
    <n v="-10"/>
    <n v="0"/>
    <x v="36"/>
  </r>
  <r>
    <x v="0"/>
    <s v="1213"/>
    <s v="522"/>
    <s v="264"/>
    <s v="3403"/>
    <s v="E"/>
    <s v="10"/>
    <x v="2"/>
    <n v="0"/>
    <n v="72"/>
    <n v="0"/>
    <n v="-72"/>
    <n v="0"/>
    <x v="37"/>
  </r>
  <r>
    <x v="0"/>
    <s v="1213"/>
    <s v="522"/>
    <s v="264"/>
    <s v="3405"/>
    <s v="E"/>
    <s v="60"/>
    <x v="2"/>
    <n v="0"/>
    <n v="34582"/>
    <n v="0"/>
    <n v="-34582"/>
    <n v="0"/>
    <x v="38"/>
  </r>
  <r>
    <x v="0"/>
    <s v="1213"/>
    <s v="522"/>
    <s v="264"/>
    <s v="3406"/>
    <s v="E"/>
    <s v="10"/>
    <x v="2"/>
    <n v="0"/>
    <n v="0"/>
    <n v="0"/>
    <n v="0"/>
    <n v="0"/>
    <x v="39"/>
  </r>
  <r>
    <x v="0"/>
    <s v="1213"/>
    <s v="522"/>
    <s v="264"/>
    <s v="3409"/>
    <s v="E"/>
    <s v="30"/>
    <x v="2"/>
    <n v="0"/>
    <n v="650.87"/>
    <n v="0"/>
    <n v="-650.87"/>
    <n v="0"/>
    <x v="41"/>
  </r>
  <r>
    <x v="0"/>
    <s v="1213"/>
    <s v="522"/>
    <s v="264"/>
    <s v="3410"/>
    <s v="E"/>
    <s v="00"/>
    <x v="2"/>
    <n v="0"/>
    <n v="722.21"/>
    <n v="0"/>
    <n v="-722.21"/>
    <n v="0"/>
    <x v="10"/>
  </r>
  <r>
    <x v="0"/>
    <s v="1213"/>
    <s v="522"/>
    <s v="264"/>
    <s v="3410"/>
    <s v="E"/>
    <s v="30"/>
    <x v="2"/>
    <n v="0"/>
    <n v="10028.620000000001"/>
    <n v="0"/>
    <n v="-10028.620000000001"/>
    <n v="0"/>
    <x v="10"/>
  </r>
  <r>
    <x v="0"/>
    <s v="1213"/>
    <s v="522"/>
    <s v="264"/>
    <s v="3410"/>
    <s v="E"/>
    <s v="40"/>
    <x v="2"/>
    <n v="0"/>
    <n v="60"/>
    <n v="0"/>
    <n v="-60"/>
    <n v="0"/>
    <x v="10"/>
  </r>
  <r>
    <x v="0"/>
    <s v="1213"/>
    <s v="522"/>
    <s v="264"/>
    <s v="3411"/>
    <s v="E"/>
    <s v="20"/>
    <x v="2"/>
    <n v="0"/>
    <n v="1543.06"/>
    <n v="0"/>
    <n v="-1543.06"/>
    <n v="0"/>
    <x v="42"/>
  </r>
  <r>
    <x v="0"/>
    <s v="1213"/>
    <s v="522"/>
    <s v="264"/>
    <s v="3413"/>
    <s v="E"/>
    <s v="00"/>
    <x v="2"/>
    <n v="0"/>
    <n v="0"/>
    <n v="0"/>
    <n v="0"/>
    <n v="0"/>
    <x v="44"/>
  </r>
  <r>
    <x v="0"/>
    <s v="1213"/>
    <s v="522"/>
    <s v="264"/>
    <s v="3413"/>
    <s v="E"/>
    <s v="30"/>
    <x v="2"/>
    <n v="0"/>
    <n v="324.88"/>
    <n v="0"/>
    <n v="-324.88"/>
    <n v="0"/>
    <x v="44"/>
  </r>
  <r>
    <x v="0"/>
    <s v="1213"/>
    <s v="522"/>
    <s v="264"/>
    <s v="3414"/>
    <s v="E"/>
    <s v="00"/>
    <x v="2"/>
    <n v="0"/>
    <n v="1504.54"/>
    <n v="0"/>
    <n v="-1504.54"/>
    <n v="0"/>
    <x v="11"/>
  </r>
  <r>
    <x v="0"/>
    <s v="1213"/>
    <s v="522"/>
    <s v="264"/>
    <s v="3414"/>
    <s v="E"/>
    <s v="20"/>
    <x v="2"/>
    <n v="0"/>
    <n v="30.2"/>
    <n v="0"/>
    <n v="-30.2"/>
    <n v="0"/>
    <x v="11"/>
  </r>
  <r>
    <x v="0"/>
    <s v="1213"/>
    <s v="522"/>
    <s v="264"/>
    <s v="3414"/>
    <s v="E"/>
    <s v="30"/>
    <x v="2"/>
    <n v="0"/>
    <n v="1176.31"/>
    <n v="0"/>
    <n v="-1176.31"/>
    <n v="0"/>
    <x v="11"/>
  </r>
  <r>
    <x v="0"/>
    <s v="1213"/>
    <s v="522"/>
    <s v="264"/>
    <s v="3415"/>
    <s v="E"/>
    <s v="20"/>
    <x v="2"/>
    <n v="0"/>
    <n v="1.6"/>
    <n v="0"/>
    <n v="-1.6"/>
    <n v="0"/>
    <x v="45"/>
  </r>
  <r>
    <x v="0"/>
    <s v="1213"/>
    <s v="522"/>
    <s v="264"/>
    <s v="3415"/>
    <s v="E"/>
    <s v="30"/>
    <x v="2"/>
    <n v="0"/>
    <n v="58.59"/>
    <n v="0"/>
    <n v="-58.59"/>
    <n v="0"/>
    <x v="45"/>
  </r>
  <r>
    <x v="0"/>
    <s v="1213"/>
    <s v="522"/>
    <s v="264"/>
    <s v="3417"/>
    <s v="E"/>
    <s v="30"/>
    <x v="2"/>
    <n v="0"/>
    <n v="56.61"/>
    <n v="0"/>
    <n v="-56.61"/>
    <n v="0"/>
    <x v="46"/>
  </r>
  <r>
    <x v="0"/>
    <s v="1213"/>
    <s v="522"/>
    <s v="264"/>
    <s v="3418"/>
    <s v="E"/>
    <s v="20"/>
    <x v="2"/>
    <n v="0"/>
    <n v="27.12"/>
    <n v="0"/>
    <n v="-27.12"/>
    <n v="0"/>
    <x v="12"/>
  </r>
  <r>
    <x v="0"/>
    <s v="1213"/>
    <s v="522"/>
    <s v="264"/>
    <s v="3418"/>
    <s v="E"/>
    <s v="30"/>
    <x v="2"/>
    <n v="0"/>
    <n v="18107.759999999998"/>
    <n v="0"/>
    <n v="-18107.759999999998"/>
    <n v="0"/>
    <x v="12"/>
  </r>
  <r>
    <x v="0"/>
    <s v="1213"/>
    <s v="522"/>
    <s v="264"/>
    <s v="3420"/>
    <s v="E"/>
    <s v="30"/>
    <x v="2"/>
    <n v="0"/>
    <n v="2359.16"/>
    <n v="0"/>
    <n v="-2359.16"/>
    <n v="0"/>
    <x v="48"/>
  </r>
  <r>
    <x v="0"/>
    <s v="1213"/>
    <s v="522"/>
    <s v="264"/>
    <s v="3422"/>
    <s v="E"/>
    <s v="40"/>
    <x v="2"/>
    <n v="0"/>
    <n v="4211.75"/>
    <n v="0"/>
    <n v="-4211.75"/>
    <n v="0"/>
    <x v="50"/>
  </r>
  <r>
    <x v="0"/>
    <s v="1213"/>
    <s v="522"/>
    <s v="264"/>
    <s v="3423"/>
    <s v="E"/>
    <s v="30"/>
    <x v="2"/>
    <n v="0"/>
    <n v="232.25"/>
    <n v="0"/>
    <n v="-232.25"/>
    <n v="0"/>
    <x v="13"/>
  </r>
  <r>
    <x v="0"/>
    <s v="1213"/>
    <s v="522"/>
    <s v="264"/>
    <s v="3424"/>
    <s v="E"/>
    <s v="30"/>
    <x v="2"/>
    <n v="0"/>
    <n v="526.29999999999995"/>
    <n v="0"/>
    <n v="-526.29999999999995"/>
    <n v="0"/>
    <x v="14"/>
  </r>
  <r>
    <x v="0"/>
    <s v="1213"/>
    <s v="522"/>
    <s v="264"/>
    <s v="3425"/>
    <s v="E"/>
    <s v="00"/>
    <x v="2"/>
    <n v="0"/>
    <n v="1598.47"/>
    <n v="0"/>
    <n v="-1598.47"/>
    <n v="0"/>
    <x v="51"/>
  </r>
  <r>
    <x v="0"/>
    <s v="1213"/>
    <s v="522"/>
    <s v="264"/>
    <s v="3425"/>
    <s v="E"/>
    <s v="30"/>
    <x v="2"/>
    <n v="0"/>
    <n v="2549.9699999999998"/>
    <n v="0"/>
    <n v="-2549.9699999999998"/>
    <n v="0"/>
    <x v="51"/>
  </r>
  <r>
    <x v="0"/>
    <s v="1213"/>
    <s v="522"/>
    <s v="264"/>
    <s v="3426"/>
    <s v="E"/>
    <s v="00"/>
    <x v="2"/>
    <n v="0"/>
    <n v="200"/>
    <n v="0"/>
    <n v="-200"/>
    <n v="0"/>
    <x v="15"/>
  </r>
  <r>
    <x v="0"/>
    <s v="1213"/>
    <s v="522"/>
    <s v="264"/>
    <s v="3426"/>
    <s v="E"/>
    <s v="20"/>
    <x v="2"/>
    <n v="0"/>
    <n v="24.4"/>
    <n v="0"/>
    <n v="-24.4"/>
    <n v="0"/>
    <x v="15"/>
  </r>
  <r>
    <x v="0"/>
    <s v="1213"/>
    <s v="522"/>
    <s v="264"/>
    <s v="3426"/>
    <s v="E"/>
    <s v="30"/>
    <x v="2"/>
    <n v="0"/>
    <n v="45.92"/>
    <n v="0"/>
    <n v="-45.92"/>
    <n v="0"/>
    <x v="15"/>
  </r>
  <r>
    <x v="0"/>
    <s v="1213"/>
    <s v="522"/>
    <s v="264"/>
    <s v="3428"/>
    <s v="E"/>
    <s v="20"/>
    <x v="2"/>
    <n v="0"/>
    <n v="34.54"/>
    <n v="0"/>
    <n v="-34.54"/>
    <n v="0"/>
    <x v="16"/>
  </r>
  <r>
    <x v="0"/>
    <s v="1213"/>
    <s v="522"/>
    <s v="264"/>
    <s v="3428"/>
    <s v="E"/>
    <s v="30"/>
    <x v="2"/>
    <n v="0"/>
    <n v="260.26"/>
    <n v="0"/>
    <n v="-260.26"/>
    <n v="0"/>
    <x v="16"/>
  </r>
  <r>
    <x v="0"/>
    <s v="1213"/>
    <s v="522"/>
    <s v="264"/>
    <s v="3431"/>
    <s v="E"/>
    <s v="30"/>
    <x v="2"/>
    <n v="0"/>
    <n v="0"/>
    <n v="0"/>
    <n v="0"/>
    <n v="0"/>
    <x v="53"/>
  </r>
  <r>
    <x v="0"/>
    <s v="1213"/>
    <s v="522"/>
    <s v="264"/>
    <s v="3433"/>
    <s v="E"/>
    <s v="00"/>
    <x v="2"/>
    <n v="0"/>
    <n v="317.13"/>
    <n v="0"/>
    <n v="-317.13"/>
    <n v="0"/>
    <x v="55"/>
  </r>
  <r>
    <x v="0"/>
    <s v="1213"/>
    <s v="522"/>
    <s v="264"/>
    <s v="3433"/>
    <s v="E"/>
    <s v="20"/>
    <x v="2"/>
    <n v="0"/>
    <n v="34.54"/>
    <n v="0"/>
    <n v="-34.54"/>
    <n v="0"/>
    <x v="55"/>
  </r>
  <r>
    <x v="0"/>
    <s v="1213"/>
    <s v="522"/>
    <s v="264"/>
    <s v="3433"/>
    <s v="E"/>
    <s v="30"/>
    <x v="2"/>
    <n v="0"/>
    <n v="384.46"/>
    <n v="0"/>
    <n v="-384.46"/>
    <n v="0"/>
    <x v="55"/>
  </r>
  <r>
    <x v="0"/>
    <s v="1213"/>
    <s v="522"/>
    <s v="264"/>
    <s v="3435"/>
    <s v="E"/>
    <s v="00"/>
    <x v="2"/>
    <n v="0"/>
    <n v="350"/>
    <n v="0"/>
    <n v="-350"/>
    <n v="0"/>
    <x v="56"/>
  </r>
  <r>
    <x v="0"/>
    <s v="1213"/>
    <s v="522"/>
    <s v="264"/>
    <s v="3435"/>
    <s v="E"/>
    <s v="20"/>
    <x v="2"/>
    <n v="0"/>
    <n v="165.13"/>
    <n v="0"/>
    <n v="-165.13"/>
    <n v="0"/>
    <x v="56"/>
  </r>
  <r>
    <x v="0"/>
    <s v="1213"/>
    <s v="522"/>
    <s v="264"/>
    <s v="3435"/>
    <s v="E"/>
    <s v="30"/>
    <x v="2"/>
    <n v="0"/>
    <n v="3323.8"/>
    <n v="0"/>
    <n v="-3323.8"/>
    <n v="0"/>
    <x v="56"/>
  </r>
  <r>
    <x v="0"/>
    <s v="1213"/>
    <s v="522"/>
    <s v="264"/>
    <s v="3436"/>
    <s v="E"/>
    <s v="00"/>
    <x v="2"/>
    <n v="0"/>
    <n v="282.49"/>
    <n v="0"/>
    <n v="-282.49"/>
    <n v="0"/>
    <x v="57"/>
  </r>
  <r>
    <x v="0"/>
    <s v="1213"/>
    <s v="522"/>
    <s v="264"/>
    <s v="3436"/>
    <s v="E"/>
    <s v="30"/>
    <x v="2"/>
    <n v="0"/>
    <n v="1454.8"/>
    <n v="0"/>
    <n v="-1454.8"/>
    <n v="0"/>
    <x v="57"/>
  </r>
  <r>
    <x v="0"/>
    <s v="1213"/>
    <s v="522"/>
    <s v="264"/>
    <s v="3437"/>
    <s v="E"/>
    <s v="00"/>
    <x v="2"/>
    <n v="0"/>
    <n v="348"/>
    <n v="0"/>
    <n v="-348"/>
    <n v="0"/>
    <x v="58"/>
  </r>
  <r>
    <x v="0"/>
    <s v="1213"/>
    <s v="522"/>
    <s v="264"/>
    <s v="3437"/>
    <s v="E"/>
    <s v="20"/>
    <x v="2"/>
    <n v="0"/>
    <n v="21.53"/>
    <n v="0"/>
    <n v="-21.53"/>
    <n v="0"/>
    <x v="58"/>
  </r>
  <r>
    <x v="0"/>
    <s v="1213"/>
    <s v="522"/>
    <s v="264"/>
    <s v="3437"/>
    <s v="E"/>
    <s v="30"/>
    <x v="2"/>
    <n v="0"/>
    <n v="366.36"/>
    <n v="0"/>
    <n v="-366.36"/>
    <n v="0"/>
    <x v="58"/>
  </r>
  <r>
    <x v="0"/>
    <s v="1213"/>
    <s v="522"/>
    <s v="264"/>
    <s v="3440"/>
    <s v="E"/>
    <s v="00"/>
    <x v="2"/>
    <n v="0"/>
    <n v="79"/>
    <n v="0"/>
    <n v="-79"/>
    <n v="0"/>
    <x v="61"/>
  </r>
  <r>
    <x v="0"/>
    <s v="1213"/>
    <s v="522"/>
    <s v="264"/>
    <s v="3440"/>
    <s v="E"/>
    <s v="20"/>
    <x v="2"/>
    <n v="0"/>
    <n v="18.63"/>
    <n v="0"/>
    <n v="-18.63"/>
    <n v="0"/>
    <x v="61"/>
  </r>
  <r>
    <x v="0"/>
    <s v="1213"/>
    <s v="522"/>
    <s v="264"/>
    <s v="3440"/>
    <s v="E"/>
    <s v="30"/>
    <x v="2"/>
    <n v="0"/>
    <n v="212.5"/>
    <n v="0"/>
    <n v="-212.5"/>
    <n v="0"/>
    <x v="61"/>
  </r>
  <r>
    <x v="0"/>
    <s v="1213"/>
    <s v="522"/>
    <s v="264"/>
    <s v="3441"/>
    <s v="E"/>
    <s v="00"/>
    <x v="2"/>
    <n v="0"/>
    <n v="228.02"/>
    <n v="0"/>
    <n v="-228.02"/>
    <n v="0"/>
    <x v="62"/>
  </r>
  <r>
    <x v="0"/>
    <s v="1213"/>
    <s v="522"/>
    <s v="264"/>
    <s v="3441"/>
    <s v="E"/>
    <s v="30"/>
    <x v="2"/>
    <n v="0"/>
    <n v="1522.66"/>
    <n v="0"/>
    <n v="-1522.66"/>
    <n v="0"/>
    <x v="62"/>
  </r>
  <r>
    <x v="0"/>
    <s v="1213"/>
    <s v="522"/>
    <s v="264"/>
    <s v="3442"/>
    <s v="E"/>
    <s v="00"/>
    <x v="2"/>
    <n v="0"/>
    <n v="614.41999999999996"/>
    <n v="0"/>
    <n v="-614.41999999999996"/>
    <n v="0"/>
    <x v="63"/>
  </r>
  <r>
    <x v="0"/>
    <s v="1213"/>
    <s v="522"/>
    <s v="264"/>
    <s v="3442"/>
    <s v="E"/>
    <s v="20"/>
    <x v="2"/>
    <n v="0"/>
    <n v="170.29"/>
    <n v="0"/>
    <n v="-170.29"/>
    <n v="0"/>
    <x v="63"/>
  </r>
  <r>
    <x v="0"/>
    <s v="1213"/>
    <s v="522"/>
    <s v="264"/>
    <s v="3442"/>
    <s v="E"/>
    <s v="30"/>
    <x v="2"/>
    <n v="0"/>
    <n v="2036.48"/>
    <n v="0"/>
    <n v="-2036.48"/>
    <n v="0"/>
    <x v="63"/>
  </r>
  <r>
    <x v="0"/>
    <s v="1213"/>
    <s v="522"/>
    <s v="264"/>
    <s v="3443"/>
    <s v="E"/>
    <s v="20"/>
    <x v="2"/>
    <n v="0"/>
    <n v="4.38"/>
    <n v="0"/>
    <n v="-4.38"/>
    <n v="0"/>
    <x v="64"/>
  </r>
  <r>
    <x v="0"/>
    <s v="1213"/>
    <s v="522"/>
    <s v="264"/>
    <s v="3445"/>
    <s v="E"/>
    <s v="00"/>
    <x v="2"/>
    <n v="0"/>
    <n v="0"/>
    <n v="0"/>
    <n v="0"/>
    <n v="0"/>
    <x v="65"/>
  </r>
  <r>
    <x v="0"/>
    <s v="1213"/>
    <s v="522"/>
    <s v="264"/>
    <s v="3445"/>
    <s v="E"/>
    <s v="20"/>
    <x v="2"/>
    <n v="0"/>
    <n v="45.01"/>
    <n v="0"/>
    <n v="-45.01"/>
    <n v="0"/>
    <x v="65"/>
  </r>
  <r>
    <x v="0"/>
    <s v="1213"/>
    <s v="522"/>
    <s v="264"/>
    <s v="3445"/>
    <s v="E"/>
    <s v="30"/>
    <x v="2"/>
    <n v="0"/>
    <n v="1686.16"/>
    <n v="0"/>
    <n v="-1686.16"/>
    <n v="0"/>
    <x v="65"/>
  </r>
  <r>
    <x v="0"/>
    <s v="1213"/>
    <s v="522"/>
    <s v="264"/>
    <s v="3446"/>
    <s v="E"/>
    <s v="00"/>
    <x v="2"/>
    <n v="0"/>
    <n v="234.19"/>
    <n v="0"/>
    <n v="-234.19"/>
    <n v="0"/>
    <x v="66"/>
  </r>
  <r>
    <x v="0"/>
    <s v="1213"/>
    <s v="522"/>
    <s v="264"/>
    <s v="3446"/>
    <s v="E"/>
    <s v="20"/>
    <x v="2"/>
    <n v="0"/>
    <n v="6.6"/>
    <n v="0"/>
    <n v="-6.6"/>
    <n v="0"/>
    <x v="66"/>
  </r>
  <r>
    <x v="0"/>
    <s v="1213"/>
    <s v="522"/>
    <s v="264"/>
    <s v="3446"/>
    <s v="E"/>
    <s v="30"/>
    <x v="2"/>
    <n v="0"/>
    <n v="656.94"/>
    <n v="0"/>
    <n v="-656.94"/>
    <n v="0"/>
    <x v="66"/>
  </r>
  <r>
    <x v="0"/>
    <s v="1213"/>
    <s v="522"/>
    <s v="264"/>
    <s v="3447"/>
    <s v="E"/>
    <s v="10"/>
    <x v="2"/>
    <n v="0"/>
    <n v="228"/>
    <n v="0"/>
    <n v="-228"/>
    <n v="0"/>
    <x v="67"/>
  </r>
  <r>
    <x v="0"/>
    <s v="1213"/>
    <s v="522"/>
    <s v="264"/>
    <s v="3447"/>
    <s v="E"/>
    <s v="20"/>
    <x v="2"/>
    <n v="0"/>
    <n v="56.78"/>
    <n v="0"/>
    <n v="-56.78"/>
    <n v="0"/>
    <x v="67"/>
  </r>
  <r>
    <x v="0"/>
    <s v="1213"/>
    <s v="522"/>
    <s v="264"/>
    <s v="3447"/>
    <s v="E"/>
    <s v="30"/>
    <x v="2"/>
    <n v="0"/>
    <n v="693.5"/>
    <n v="0"/>
    <n v="-693.5"/>
    <n v="0"/>
    <x v="67"/>
  </r>
  <r>
    <x v="0"/>
    <s v="1213"/>
    <s v="522"/>
    <s v="264"/>
    <s v="3448"/>
    <s v="E"/>
    <s v="00"/>
    <x v="2"/>
    <n v="0"/>
    <n v="0"/>
    <n v="0"/>
    <n v="0"/>
    <n v="0"/>
    <x v="68"/>
  </r>
  <r>
    <x v="0"/>
    <s v="1213"/>
    <s v="522"/>
    <s v="264"/>
    <s v="3448"/>
    <s v="E"/>
    <s v="20"/>
    <x v="2"/>
    <n v="0"/>
    <n v="15.75"/>
    <n v="0"/>
    <n v="-15.75"/>
    <n v="0"/>
    <x v="68"/>
  </r>
  <r>
    <x v="0"/>
    <s v="1213"/>
    <s v="522"/>
    <s v="264"/>
    <s v="3448"/>
    <s v="E"/>
    <s v="30"/>
    <x v="2"/>
    <n v="0"/>
    <n v="581.11"/>
    <n v="0"/>
    <n v="-581.11"/>
    <n v="0"/>
    <x v="68"/>
  </r>
  <r>
    <x v="0"/>
    <s v="1213"/>
    <s v="522"/>
    <s v="264"/>
    <s v="3453"/>
    <s v="E"/>
    <s v="00"/>
    <x v="2"/>
    <n v="0"/>
    <n v="0"/>
    <n v="0"/>
    <n v="0"/>
    <n v="0"/>
    <x v="70"/>
  </r>
  <r>
    <x v="0"/>
    <s v="1213"/>
    <s v="522"/>
    <s v="264"/>
    <s v="3453"/>
    <s v="E"/>
    <s v="30"/>
    <x v="2"/>
    <n v="0"/>
    <n v="197.41"/>
    <n v="0"/>
    <n v="-197.41"/>
    <n v="0"/>
    <x v="70"/>
  </r>
  <r>
    <x v="0"/>
    <s v="1213"/>
    <s v="522"/>
    <s v="264"/>
    <s v="3454"/>
    <s v="E"/>
    <s v="20"/>
    <x v="2"/>
    <n v="0"/>
    <n v="7.15"/>
    <n v="0"/>
    <n v="-7.15"/>
    <n v="0"/>
    <x v="71"/>
  </r>
  <r>
    <x v="0"/>
    <s v="1213"/>
    <s v="522"/>
    <s v="264"/>
    <s v="3454"/>
    <s v="E"/>
    <s v="30"/>
    <x v="2"/>
    <n v="0"/>
    <n v="760.98"/>
    <n v="0"/>
    <n v="-760.98"/>
    <n v="0"/>
    <x v="71"/>
  </r>
  <r>
    <x v="0"/>
    <s v="1213"/>
    <s v="522"/>
    <s v="264"/>
    <s v="3456"/>
    <s v="E"/>
    <s v="00"/>
    <x v="2"/>
    <n v="0"/>
    <n v="269.74"/>
    <n v="0"/>
    <n v="-269.74"/>
    <n v="0"/>
    <x v="72"/>
  </r>
  <r>
    <x v="0"/>
    <s v="1213"/>
    <s v="522"/>
    <s v="264"/>
    <s v="3456"/>
    <s v="E"/>
    <s v="30"/>
    <x v="2"/>
    <n v="0"/>
    <n v="1335.26"/>
    <n v="0"/>
    <n v="-1335.26"/>
    <n v="0"/>
    <x v="72"/>
  </r>
  <r>
    <x v="0"/>
    <s v="1213"/>
    <s v="522"/>
    <s v="264"/>
    <s v="3457"/>
    <s v="E"/>
    <s v="00"/>
    <x v="2"/>
    <n v="0"/>
    <n v="40"/>
    <n v="0"/>
    <n v="-40"/>
    <n v="0"/>
    <x v="19"/>
  </r>
  <r>
    <x v="0"/>
    <s v="1213"/>
    <s v="522"/>
    <s v="264"/>
    <s v="3457"/>
    <s v="E"/>
    <s v="10"/>
    <x v="2"/>
    <n v="0"/>
    <n v="228"/>
    <n v="0"/>
    <n v="-228"/>
    <n v="0"/>
    <x v="19"/>
  </r>
  <r>
    <x v="0"/>
    <s v="1213"/>
    <s v="522"/>
    <s v="264"/>
    <s v="3457"/>
    <s v="E"/>
    <s v="20"/>
    <x v="2"/>
    <n v="0"/>
    <n v="26.95"/>
    <n v="0"/>
    <n v="-26.95"/>
    <n v="0"/>
    <x v="19"/>
  </r>
  <r>
    <x v="0"/>
    <s v="1213"/>
    <s v="522"/>
    <s v="264"/>
    <s v="3457"/>
    <s v="E"/>
    <s v="30"/>
    <x v="2"/>
    <n v="0"/>
    <n v="775.42"/>
    <n v="0"/>
    <n v="-775.42"/>
    <n v="0"/>
    <x v="19"/>
  </r>
  <r>
    <x v="0"/>
    <s v="1213"/>
    <s v="522"/>
    <s v="264"/>
    <s v="3457"/>
    <s v="E"/>
    <s v="40"/>
    <x v="2"/>
    <n v="0"/>
    <n v="85"/>
    <n v="0"/>
    <n v="-85"/>
    <n v="0"/>
    <x v="19"/>
  </r>
  <r>
    <x v="0"/>
    <s v="1213"/>
    <s v="522"/>
    <s v="264"/>
    <s v="3458"/>
    <s v="E"/>
    <s v="00"/>
    <x v="2"/>
    <n v="0"/>
    <n v="270"/>
    <n v="0"/>
    <n v="-270"/>
    <n v="0"/>
    <x v="73"/>
  </r>
  <r>
    <x v="0"/>
    <s v="1213"/>
    <s v="522"/>
    <s v="264"/>
    <s v="3458"/>
    <s v="E"/>
    <s v="20"/>
    <x v="2"/>
    <n v="0"/>
    <n v="26.78"/>
    <n v="0"/>
    <n v="-26.78"/>
    <n v="0"/>
    <x v="73"/>
  </r>
  <r>
    <x v="0"/>
    <s v="1213"/>
    <s v="522"/>
    <s v="264"/>
    <s v="3458"/>
    <s v="E"/>
    <s v="30"/>
    <x v="2"/>
    <n v="0"/>
    <n v="2746.23"/>
    <n v="0"/>
    <n v="-2746.23"/>
    <n v="0"/>
    <x v="73"/>
  </r>
  <r>
    <x v="0"/>
    <s v="1213"/>
    <s v="522"/>
    <s v="264"/>
    <s v="3460"/>
    <s v="E"/>
    <s v="30"/>
    <x v="2"/>
    <n v="0"/>
    <n v="742.65"/>
    <n v="0"/>
    <n v="-742.65"/>
    <n v="0"/>
    <x v="74"/>
  </r>
  <r>
    <x v="0"/>
    <s v="1213"/>
    <s v="522"/>
    <s v="264"/>
    <s v="3462"/>
    <s v="E"/>
    <s v="00"/>
    <x v="2"/>
    <n v="0"/>
    <n v="129.06"/>
    <n v="0"/>
    <n v="-129.06"/>
    <n v="0"/>
    <x v="76"/>
  </r>
  <r>
    <x v="0"/>
    <s v="1213"/>
    <s v="522"/>
    <s v="264"/>
    <s v="3462"/>
    <s v="E"/>
    <s v="20"/>
    <x v="2"/>
    <n v="0"/>
    <n v="507.73"/>
    <n v="0"/>
    <n v="-507.73"/>
    <n v="0"/>
    <x v="76"/>
  </r>
  <r>
    <x v="0"/>
    <s v="1213"/>
    <s v="522"/>
    <s v="264"/>
    <s v="3462"/>
    <s v="E"/>
    <s v="30"/>
    <x v="2"/>
    <n v="0"/>
    <n v="3527.07"/>
    <n v="0"/>
    <n v="-3527.07"/>
    <n v="0"/>
    <x v="76"/>
  </r>
  <r>
    <x v="0"/>
    <s v="1213"/>
    <s v="522"/>
    <s v="264"/>
    <s v="3464"/>
    <s v="E"/>
    <s v="00"/>
    <x v="2"/>
    <n v="0"/>
    <n v="0"/>
    <n v="0"/>
    <n v="0"/>
    <n v="0"/>
    <x v="20"/>
  </r>
  <r>
    <x v="0"/>
    <s v="1213"/>
    <s v="522"/>
    <s v="264"/>
    <s v="3464"/>
    <s v="E"/>
    <s v="10"/>
    <x v="2"/>
    <n v="0"/>
    <n v="2443.6"/>
    <n v="0"/>
    <n v="-2443.6"/>
    <n v="0"/>
    <x v="20"/>
  </r>
  <r>
    <x v="0"/>
    <s v="1213"/>
    <s v="522"/>
    <s v="264"/>
    <s v="3464"/>
    <s v="E"/>
    <s v="20"/>
    <x v="2"/>
    <n v="0"/>
    <n v="368.13"/>
    <n v="0"/>
    <n v="-368.13"/>
    <n v="0"/>
    <x v="20"/>
  </r>
  <r>
    <x v="0"/>
    <s v="1213"/>
    <s v="522"/>
    <s v="264"/>
    <s v="3464"/>
    <s v="E"/>
    <s v="30"/>
    <x v="2"/>
    <n v="0"/>
    <n v="1152.3399999999999"/>
    <n v="0"/>
    <n v="-1152.3399999999999"/>
    <n v="0"/>
    <x v="20"/>
  </r>
  <r>
    <x v="0"/>
    <s v="1213"/>
    <s v="522"/>
    <s v="264"/>
    <s v="3465"/>
    <s v="E"/>
    <s v="00"/>
    <x v="2"/>
    <n v="0"/>
    <n v="15600"/>
    <n v="0"/>
    <n v="-15600"/>
    <n v="0"/>
    <x v="21"/>
  </r>
  <r>
    <x v="0"/>
    <s v="1213"/>
    <s v="522"/>
    <s v="264"/>
    <s v="3465"/>
    <s v="E"/>
    <s v="20"/>
    <x v="2"/>
    <n v="0"/>
    <n v="190.22"/>
    <n v="0"/>
    <n v="-190.22"/>
    <n v="0"/>
    <x v="21"/>
  </r>
  <r>
    <x v="0"/>
    <s v="1213"/>
    <s v="522"/>
    <s v="264"/>
    <s v="3465"/>
    <s v="E"/>
    <s v="30"/>
    <x v="2"/>
    <n v="0"/>
    <n v="6398.27"/>
    <n v="0"/>
    <n v="-6398.27"/>
    <n v="0"/>
    <x v="21"/>
  </r>
  <r>
    <x v="0"/>
    <s v="1213"/>
    <s v="522"/>
    <s v="264"/>
    <s v="3466"/>
    <s v="E"/>
    <s v="20"/>
    <x v="2"/>
    <n v="0"/>
    <n v="66.849999999999994"/>
    <n v="0"/>
    <n v="-66.849999999999994"/>
    <n v="0"/>
    <x v="77"/>
  </r>
  <r>
    <x v="0"/>
    <s v="1213"/>
    <s v="522"/>
    <s v="264"/>
    <s v="3466"/>
    <s v="E"/>
    <s v="30"/>
    <x v="2"/>
    <n v="0"/>
    <n v="209.49"/>
    <n v="0"/>
    <n v="-209.49"/>
    <n v="0"/>
    <x v="77"/>
  </r>
  <r>
    <x v="0"/>
    <s v="1213"/>
    <s v="522"/>
    <s v="264"/>
    <s v="3468"/>
    <s v="E"/>
    <s v="10"/>
    <x v="2"/>
    <n v="0"/>
    <n v="120"/>
    <n v="0"/>
    <n v="-120"/>
    <n v="0"/>
    <x v="79"/>
  </r>
  <r>
    <x v="0"/>
    <s v="1213"/>
    <s v="522"/>
    <s v="264"/>
    <s v="3468"/>
    <s v="E"/>
    <s v="20"/>
    <x v="2"/>
    <n v="0"/>
    <n v="649.4"/>
    <n v="0"/>
    <n v="-649.4"/>
    <n v="0"/>
    <x v="79"/>
  </r>
  <r>
    <x v="0"/>
    <s v="1213"/>
    <s v="522"/>
    <s v="264"/>
    <s v="3469"/>
    <s v="E"/>
    <s v="00"/>
    <x v="2"/>
    <n v="0"/>
    <n v="0"/>
    <n v="0"/>
    <n v="0"/>
    <n v="0"/>
    <x v="80"/>
  </r>
  <r>
    <x v="0"/>
    <s v="1213"/>
    <s v="522"/>
    <s v="264"/>
    <s v="3469"/>
    <s v="E"/>
    <s v="30"/>
    <x v="2"/>
    <n v="0"/>
    <n v="4.99"/>
    <n v="0"/>
    <n v="-4.99"/>
    <n v="0"/>
    <x v="80"/>
  </r>
  <r>
    <x v="0"/>
    <s v="1213"/>
    <s v="522"/>
    <s v="264"/>
    <s v="3470"/>
    <s v="E"/>
    <s v="00"/>
    <x v="2"/>
    <n v="0"/>
    <n v="50"/>
    <n v="0"/>
    <n v="-50"/>
    <n v="0"/>
    <x v="81"/>
  </r>
  <r>
    <x v="0"/>
    <s v="1213"/>
    <s v="522"/>
    <s v="264"/>
    <s v="3470"/>
    <s v="E"/>
    <s v="20"/>
    <x v="2"/>
    <n v="0"/>
    <n v="15.17"/>
    <n v="0"/>
    <n v="-15.17"/>
    <n v="0"/>
    <x v="81"/>
  </r>
  <r>
    <x v="0"/>
    <s v="1213"/>
    <s v="522"/>
    <s v="264"/>
    <s v="3470"/>
    <s v="E"/>
    <s v="30"/>
    <x v="2"/>
    <n v="0"/>
    <n v="217.4"/>
    <n v="0"/>
    <n v="-217.4"/>
    <n v="0"/>
    <x v="81"/>
  </r>
  <r>
    <x v="0"/>
    <s v="1213"/>
    <s v="522"/>
    <s v="264"/>
    <s v="3471"/>
    <s v="E"/>
    <s v="20"/>
    <x v="2"/>
    <n v="0"/>
    <n v="688.24"/>
    <n v="0"/>
    <n v="-688.24"/>
    <n v="684.74"/>
    <x v="82"/>
  </r>
  <r>
    <x v="0"/>
    <s v="1213"/>
    <s v="522"/>
    <s v="264"/>
    <s v="3472"/>
    <s v="E"/>
    <s v="00"/>
    <x v="2"/>
    <n v="0"/>
    <n v="0"/>
    <n v="0"/>
    <n v="0"/>
    <n v="0"/>
    <x v="83"/>
  </r>
  <r>
    <x v="0"/>
    <s v="1213"/>
    <s v="522"/>
    <s v="264"/>
    <s v="3474"/>
    <s v="E"/>
    <s v="20"/>
    <x v="2"/>
    <n v="0"/>
    <n v="17.11"/>
    <n v="0"/>
    <n v="-17.11"/>
    <n v="0"/>
    <x v="85"/>
  </r>
  <r>
    <x v="0"/>
    <s v="1213"/>
    <s v="522"/>
    <s v="264"/>
    <s v="3477"/>
    <s v="E"/>
    <s v="00"/>
    <x v="2"/>
    <n v="0"/>
    <n v="66"/>
    <n v="0"/>
    <n v="-66"/>
    <n v="0"/>
    <x v="86"/>
  </r>
  <r>
    <x v="0"/>
    <s v="1213"/>
    <s v="522"/>
    <s v="264"/>
    <s v="3477"/>
    <s v="E"/>
    <s v="20"/>
    <x v="2"/>
    <n v="0"/>
    <n v="23.49"/>
    <n v="0"/>
    <n v="-23.49"/>
    <n v="0"/>
    <x v="86"/>
  </r>
  <r>
    <x v="0"/>
    <s v="1213"/>
    <s v="522"/>
    <s v="264"/>
    <s v="3495"/>
    <s v="E"/>
    <s v="00"/>
    <x v="2"/>
    <n v="0"/>
    <n v="90174"/>
    <n v="0"/>
    <n v="-90174"/>
    <n v="0"/>
    <x v="87"/>
  </r>
  <r>
    <x v="0"/>
    <s v="1213"/>
    <s v="522"/>
    <s v="264"/>
    <s v="3496"/>
    <s v="E"/>
    <s v="00"/>
    <x v="2"/>
    <n v="0"/>
    <n v="14"/>
    <n v="0"/>
    <n v="-14"/>
    <n v="0"/>
    <x v="88"/>
  </r>
  <r>
    <x v="0"/>
    <s v="1213"/>
    <s v="522"/>
    <s v="264"/>
    <s v="3496"/>
    <s v="E"/>
    <s v="20"/>
    <x v="2"/>
    <n v="0"/>
    <n v="49"/>
    <n v="0"/>
    <n v="-49"/>
    <n v="0"/>
    <x v="88"/>
  </r>
  <r>
    <x v="0"/>
    <s v="1213"/>
    <s v="522"/>
    <s v="264"/>
    <s v="3496"/>
    <s v="E"/>
    <s v="30"/>
    <x v="2"/>
    <n v="0"/>
    <n v="483"/>
    <n v="0"/>
    <n v="-483"/>
    <n v="0"/>
    <x v="88"/>
  </r>
  <r>
    <x v="0"/>
    <s v="1213"/>
    <s v="522"/>
    <s v="264"/>
    <s v="3329"/>
    <s v="AD"/>
    <s v="05"/>
    <x v="3"/>
    <n v="0"/>
    <n v="0"/>
    <n v="0"/>
    <n v="0"/>
    <n v="0"/>
    <x v="25"/>
  </r>
  <r>
    <x v="0"/>
    <s v="1213"/>
    <s v="522"/>
    <s v="264"/>
    <s v="3352"/>
    <s v="AD"/>
    <s v="02"/>
    <x v="3"/>
    <n v="0"/>
    <n v="0"/>
    <n v="0"/>
    <n v="0"/>
    <n v="0"/>
    <x v="27"/>
  </r>
  <r>
    <x v="0"/>
    <s v="1213"/>
    <s v="522"/>
    <s v="264"/>
    <s v="3352"/>
    <s v="AD"/>
    <s v="03"/>
    <x v="3"/>
    <n v="0"/>
    <n v="5060.8100000000004"/>
    <n v="0"/>
    <n v="-5060.8100000000004"/>
    <n v="0"/>
    <x v="27"/>
  </r>
  <r>
    <x v="0"/>
    <s v="1213"/>
    <s v="522"/>
    <s v="264"/>
    <s v="3352"/>
    <s v="AD"/>
    <s v="05"/>
    <x v="3"/>
    <n v="0"/>
    <n v="4533.3100000000004"/>
    <n v="0"/>
    <n v="-4533.3100000000004"/>
    <n v="0"/>
    <x v="27"/>
  </r>
  <r>
    <x v="0"/>
    <s v="1213"/>
    <s v="522"/>
    <s v="264"/>
    <s v="3416"/>
    <s v="AD"/>
    <s v="05"/>
    <x v="3"/>
    <n v="0"/>
    <n v="1898.4"/>
    <n v="0"/>
    <n v="-1898.4"/>
    <n v="0"/>
    <x v="89"/>
  </r>
  <r>
    <x v="0"/>
    <s v="1213"/>
    <s v="522"/>
    <s v="264"/>
    <s v="3424"/>
    <s v="AD"/>
    <s v="05"/>
    <x v="3"/>
    <n v="0"/>
    <n v="0"/>
    <n v="0"/>
    <n v="0"/>
    <n v="0"/>
    <x v="14"/>
  </r>
  <r>
    <x v="0"/>
    <s v="1213"/>
    <s v="522"/>
    <s v="264"/>
    <s v="3427"/>
    <s v="AD"/>
    <s v="05"/>
    <x v="3"/>
    <n v="0"/>
    <n v="1605.37"/>
    <n v="0"/>
    <n v="-1605.37"/>
    <n v="0"/>
    <x v="52"/>
  </r>
  <r>
    <x v="0"/>
    <s v="1213"/>
    <s v="522"/>
    <s v="264"/>
    <s v="3428"/>
    <s v="AD"/>
    <s v="05"/>
    <x v="3"/>
    <n v="0"/>
    <n v="0"/>
    <n v="0"/>
    <n v="0"/>
    <n v="0"/>
    <x v="16"/>
  </r>
  <r>
    <x v="0"/>
    <s v="1213"/>
    <s v="522"/>
    <s v="264"/>
    <s v="3431"/>
    <s v="AD"/>
    <s v="05"/>
    <x v="3"/>
    <n v="15000"/>
    <n v="8972.23"/>
    <n v="0"/>
    <n v="6027.77"/>
    <n v="0"/>
    <x v="53"/>
  </r>
  <r>
    <x v="0"/>
    <s v="1213"/>
    <s v="522"/>
    <s v="264"/>
    <s v="3464"/>
    <s v="AD"/>
    <s v="05"/>
    <x v="3"/>
    <n v="0"/>
    <n v="344.37"/>
    <n v="0"/>
    <n v="-344.37"/>
    <n v="344.37"/>
    <x v="20"/>
  </r>
  <r>
    <x v="0"/>
    <s v="1213"/>
    <s v="522"/>
    <s v="264"/>
    <s v="3309"/>
    <s v="AE"/>
    <s v="CA"/>
    <x v="3"/>
    <n v="0"/>
    <n v="23099.16"/>
    <n v="0"/>
    <n v="-23099.16"/>
    <n v="0"/>
    <x v="22"/>
  </r>
  <r>
    <x v="0"/>
    <s v="1213"/>
    <s v="522"/>
    <s v="264"/>
    <s v="3309"/>
    <s v="AE"/>
    <s v="SP"/>
    <x v="3"/>
    <n v="30000"/>
    <n v="0"/>
    <n v="0"/>
    <n v="30000"/>
    <n v="0"/>
    <x v="22"/>
  </r>
  <r>
    <x v="0"/>
    <s v="1213"/>
    <s v="522"/>
    <s v="264"/>
    <s v="3356"/>
    <s v="AE"/>
    <s v="SP"/>
    <x v="3"/>
    <n v="0"/>
    <n v="0"/>
    <n v="0"/>
    <n v="0"/>
    <n v="0"/>
    <x v="31"/>
  </r>
  <r>
    <x v="0"/>
    <s v="1213"/>
    <s v="522"/>
    <s v="264"/>
    <s v="3409"/>
    <s v="AE"/>
    <s v="CA"/>
    <x v="3"/>
    <n v="0"/>
    <n v="40767"/>
    <n v="0"/>
    <n v="-40767"/>
    <n v="0"/>
    <x v="41"/>
  </r>
  <r>
    <x v="0"/>
    <s v="1213"/>
    <s v="522"/>
    <s v="264"/>
    <s v="3409"/>
    <s v="AE"/>
    <s v="SP"/>
    <x v="3"/>
    <n v="51000"/>
    <n v="0"/>
    <n v="0"/>
    <n v="51000"/>
    <n v="0"/>
    <x v="41"/>
  </r>
  <r>
    <x v="0"/>
    <s v="1213"/>
    <s v="522"/>
    <s v="264"/>
    <s v="3423"/>
    <s v="AE"/>
    <s v="SP"/>
    <x v="3"/>
    <n v="0"/>
    <n v="0"/>
    <n v="0"/>
    <n v="0"/>
    <n v="0"/>
    <x v="13"/>
  </r>
  <r>
    <x v="0"/>
    <s v="1213"/>
    <s v="522"/>
    <s v="264"/>
    <s v="3462"/>
    <s v="AE"/>
    <s v="SP"/>
    <x v="3"/>
    <n v="0"/>
    <n v="100"/>
    <n v="0"/>
    <n v="-100"/>
    <n v="0"/>
    <x v="76"/>
  </r>
  <r>
    <x v="0"/>
    <s v="1213"/>
    <s v="522"/>
    <s v="264"/>
    <s v="3464"/>
    <s v="AE"/>
    <s v="SP"/>
    <x v="3"/>
    <n v="0"/>
    <n v="0"/>
    <n v="0"/>
    <n v="0"/>
    <n v="0"/>
    <x v="20"/>
  </r>
  <r>
    <x v="0"/>
    <s v="1213"/>
    <s v="522"/>
    <s v="264"/>
    <s v="3352"/>
    <s v="AH"/>
    <s v="03"/>
    <x v="3"/>
    <n v="0"/>
    <n v="115.9"/>
    <n v="0"/>
    <n v="-115.9"/>
    <n v="0"/>
    <x v="27"/>
  </r>
  <r>
    <x v="0"/>
    <s v="1213"/>
    <s v="522"/>
    <s v="264"/>
    <s v="3353"/>
    <s v="AH"/>
    <s v="AS"/>
    <x v="3"/>
    <n v="0"/>
    <n v="660"/>
    <n v="0"/>
    <n v="-660"/>
    <n v="0"/>
    <x v="28"/>
  </r>
  <r>
    <x v="0"/>
    <s v="1213"/>
    <s v="522"/>
    <s v="264"/>
    <s v="3354"/>
    <s v="AH"/>
    <s v="AS"/>
    <x v="3"/>
    <n v="0"/>
    <n v="90"/>
    <n v="0"/>
    <n v="-90"/>
    <n v="0"/>
    <x v="29"/>
  </r>
  <r>
    <x v="0"/>
    <s v="1213"/>
    <s v="522"/>
    <s v="264"/>
    <s v="3355"/>
    <s v="AH"/>
    <s v="AS"/>
    <x v="3"/>
    <n v="0"/>
    <n v="0"/>
    <n v="0"/>
    <n v="0"/>
    <n v="0"/>
    <x v="30"/>
  </r>
  <r>
    <x v="0"/>
    <s v="1213"/>
    <s v="522"/>
    <s v="264"/>
    <s v="3356"/>
    <s v="AH"/>
    <s v="03"/>
    <x v="3"/>
    <n v="0"/>
    <n v="150.66999999999999"/>
    <n v="0"/>
    <n v="-150.66999999999999"/>
    <n v="0"/>
    <x v="31"/>
  </r>
  <r>
    <x v="0"/>
    <s v="1213"/>
    <s v="522"/>
    <s v="264"/>
    <s v="3423"/>
    <s v="AH"/>
    <s v="AS"/>
    <x v="3"/>
    <n v="0"/>
    <n v="0"/>
    <n v="0"/>
    <n v="0"/>
    <n v="0"/>
    <x v="13"/>
  </r>
  <r>
    <x v="0"/>
    <s v="1213"/>
    <s v="522"/>
    <s v="264"/>
    <s v="3458"/>
    <s v="AH"/>
    <s v="AS"/>
    <x v="3"/>
    <n v="0"/>
    <n v="0"/>
    <n v="0"/>
    <n v="0"/>
    <n v="0"/>
    <x v="73"/>
  </r>
  <r>
    <x v="0"/>
    <s v="1213"/>
    <s v="522"/>
    <s v="264"/>
    <s v="3462"/>
    <s v="AH"/>
    <s v="AS"/>
    <x v="3"/>
    <n v="0"/>
    <n v="500"/>
    <n v="0"/>
    <n v="-500"/>
    <n v="0"/>
    <x v="76"/>
  </r>
  <r>
    <x v="0"/>
    <s v="1213"/>
    <s v="522"/>
    <s v="264"/>
    <s v="3464"/>
    <s v="AH"/>
    <s v="03"/>
    <x v="3"/>
    <n v="0"/>
    <n v="46.36"/>
    <n v="0"/>
    <n v="-46.36"/>
    <n v="0"/>
    <x v="20"/>
  </r>
  <r>
    <x v="0"/>
    <s v="1213"/>
    <s v="522"/>
    <s v="264"/>
    <s v="3464"/>
    <s v="AH"/>
    <s v="AS"/>
    <x v="3"/>
    <n v="0"/>
    <n v="0"/>
    <n v="0"/>
    <n v="0"/>
    <n v="0"/>
    <x v="20"/>
  </r>
  <r>
    <x v="0"/>
    <s v="1213"/>
    <s v="522"/>
    <s v="264"/>
    <s v="3466"/>
    <s v="AH"/>
    <s v="AS"/>
    <x v="3"/>
    <n v="0"/>
    <n v="150"/>
    <n v="0"/>
    <n v="-150"/>
    <n v="0"/>
    <x v="77"/>
  </r>
  <r>
    <x v="0"/>
    <s v="1213"/>
    <s v="522"/>
    <s v="264"/>
    <s v="3468"/>
    <s v="AH"/>
    <s v="AS"/>
    <x v="3"/>
    <n v="0"/>
    <n v="200"/>
    <n v="0"/>
    <n v="-200"/>
    <n v="0"/>
    <x v="79"/>
  </r>
  <r>
    <x v="0"/>
    <s v="1213"/>
    <s v="522"/>
    <s v="264"/>
    <s v="3352"/>
    <s v="AK"/>
    <s v="04"/>
    <x v="3"/>
    <n v="0"/>
    <n v="0"/>
    <n v="0"/>
    <n v="0"/>
    <n v="0"/>
    <x v="27"/>
  </r>
  <r>
    <x v="0"/>
    <s v="1213"/>
    <s v="522"/>
    <s v="264"/>
    <s v="3431"/>
    <s v="AK"/>
    <s v="01"/>
    <x v="3"/>
    <n v="0"/>
    <n v="0"/>
    <n v="0"/>
    <n v="0"/>
    <n v="0"/>
    <x v="53"/>
  </r>
  <r>
    <x v="0"/>
    <s v="1213"/>
    <s v="522"/>
    <s v="264"/>
    <s v="3370"/>
    <s v="AM"/>
    <s v="01"/>
    <x v="3"/>
    <n v="0"/>
    <n v="0"/>
    <n v="0"/>
    <n v="0"/>
    <n v="0"/>
    <x v="34"/>
  </r>
  <r>
    <x v="0"/>
    <s v="1213"/>
    <s v="522"/>
    <s v="264"/>
    <s v="3403"/>
    <s v="AM"/>
    <s v="01"/>
    <x v="3"/>
    <n v="72000"/>
    <n v="72186.12"/>
    <n v="0"/>
    <n v="-186.12"/>
    <n v="0"/>
    <x v="37"/>
  </r>
  <r>
    <x v="0"/>
    <s v="1213"/>
    <s v="522"/>
    <s v="264"/>
    <s v="3407"/>
    <s v="AM"/>
    <s v="01"/>
    <x v="3"/>
    <n v="3000"/>
    <n v="3285.22"/>
    <n v="0"/>
    <n v="-285.22000000000003"/>
    <n v="0"/>
    <x v="90"/>
  </r>
  <r>
    <x v="0"/>
    <s v="1213"/>
    <s v="522"/>
    <s v="264"/>
    <s v="3416"/>
    <s v="AM"/>
    <s v="01"/>
    <x v="3"/>
    <n v="100200"/>
    <n v="61646.38"/>
    <n v="0"/>
    <n v="38553.620000000003"/>
    <n v="0"/>
    <x v="89"/>
  </r>
  <r>
    <x v="0"/>
    <s v="1213"/>
    <s v="522"/>
    <s v="264"/>
    <s v="3428"/>
    <s v="AM"/>
    <s v="01"/>
    <x v="3"/>
    <n v="0"/>
    <n v="20730.330000000002"/>
    <n v="0"/>
    <n v="-20730.330000000002"/>
    <n v="0"/>
    <x v="16"/>
  </r>
  <r>
    <x v="0"/>
    <s v="1213"/>
    <s v="522"/>
    <s v="264"/>
    <s v="3416"/>
    <s v="AP"/>
    <s v="01"/>
    <x v="3"/>
    <n v="0"/>
    <n v="12000"/>
    <n v="0"/>
    <n v="-12000"/>
    <n v="0"/>
    <x v="89"/>
  </r>
  <r>
    <x v="0"/>
    <s v="1213"/>
    <s v="522"/>
    <s v="264"/>
    <s v="3352"/>
    <s v="AU"/>
    <s v="01"/>
    <x v="3"/>
    <n v="0"/>
    <n v="906.06"/>
    <n v="0"/>
    <n v="-906.06"/>
    <n v="0"/>
    <x v="27"/>
  </r>
  <r>
    <x v="0"/>
    <s v="1213"/>
    <s v="522"/>
    <s v="264"/>
    <s v="3352"/>
    <s v="AU"/>
    <s v="O1"/>
    <x v="3"/>
    <n v="0"/>
    <n v="0"/>
    <n v="0"/>
    <n v="0"/>
    <n v="0"/>
    <x v="27"/>
  </r>
  <r>
    <x v="0"/>
    <s v="1213"/>
    <s v="522"/>
    <s v="264"/>
    <s v="3464"/>
    <s v="AU"/>
    <s v="01"/>
    <x v="3"/>
    <n v="0"/>
    <n v="72.819999999999993"/>
    <n v="0"/>
    <n v="-72.819999999999993"/>
    <n v="0"/>
    <x v="20"/>
  </r>
  <r>
    <x v="0"/>
    <s v="1213"/>
    <s v="522"/>
    <s v="264"/>
    <s v="3465"/>
    <s v="AU"/>
    <s v="00"/>
    <x v="3"/>
    <n v="0"/>
    <n v="-1009.9"/>
    <n v="0"/>
    <n v="1009.9"/>
    <n v="0"/>
    <x v="21"/>
  </r>
  <r>
    <x v="0"/>
    <s v="1213"/>
    <s v="522"/>
    <s v="264"/>
    <s v="3465"/>
    <s v="AU"/>
    <s v="01"/>
    <x v="3"/>
    <n v="0"/>
    <n v="85.56"/>
    <n v="0"/>
    <n v="-85.56"/>
    <n v="0"/>
    <x v="21"/>
  </r>
  <r>
    <x v="0"/>
    <s v="1213"/>
    <s v="522"/>
    <s v="264"/>
    <s v="3465"/>
    <s v="AU"/>
    <s v="50"/>
    <x v="3"/>
    <n v="0"/>
    <n v="20.96"/>
    <n v="0"/>
    <n v="-20.96"/>
    <n v="0"/>
    <x v="21"/>
  </r>
  <r>
    <x v="0"/>
    <s v="1213"/>
    <s v="522"/>
    <s v="264"/>
    <s v="3465"/>
    <s v="AU"/>
    <s v="SR"/>
    <x v="3"/>
    <n v="0"/>
    <n v="872.54"/>
    <n v="0"/>
    <n v="-872.54"/>
    <n v="0"/>
    <x v="21"/>
  </r>
  <r>
    <x v="0"/>
    <s v="1213"/>
    <s v="522"/>
    <s v="264"/>
    <s v="3309"/>
    <s v="B"/>
    <m/>
    <x v="3"/>
    <n v="0"/>
    <n v="0"/>
    <n v="0"/>
    <n v="0"/>
    <n v="0"/>
    <x v="22"/>
  </r>
  <r>
    <x v="0"/>
    <s v="1213"/>
    <s v="522"/>
    <s v="264"/>
    <s v="3329"/>
    <s v="B"/>
    <m/>
    <x v="3"/>
    <n v="0"/>
    <n v="0"/>
    <n v="0"/>
    <n v="0"/>
    <n v="0"/>
    <x v="25"/>
  </r>
  <r>
    <x v="0"/>
    <s v="1213"/>
    <s v="522"/>
    <s v="264"/>
    <s v="3352"/>
    <s v="B"/>
    <m/>
    <x v="3"/>
    <n v="0"/>
    <n v="0"/>
    <n v="0"/>
    <n v="0"/>
    <n v="0"/>
    <x v="27"/>
  </r>
  <r>
    <x v="0"/>
    <s v="1213"/>
    <s v="522"/>
    <s v="264"/>
    <s v="3353"/>
    <s v="B"/>
    <m/>
    <x v="3"/>
    <n v="0"/>
    <n v="0"/>
    <n v="0"/>
    <n v="0"/>
    <n v="0"/>
    <x v="28"/>
  </r>
  <r>
    <x v="0"/>
    <s v="1213"/>
    <s v="522"/>
    <s v="264"/>
    <s v="3354"/>
    <s v="B"/>
    <m/>
    <x v="3"/>
    <n v="0"/>
    <n v="0"/>
    <n v="0"/>
    <n v="0"/>
    <n v="0"/>
    <x v="29"/>
  </r>
  <r>
    <x v="0"/>
    <s v="1213"/>
    <s v="522"/>
    <s v="264"/>
    <s v="3355"/>
    <s v="B"/>
    <m/>
    <x v="3"/>
    <n v="0"/>
    <n v="0"/>
    <n v="0"/>
    <n v="0"/>
    <n v="0"/>
    <x v="30"/>
  </r>
  <r>
    <x v="0"/>
    <s v="1213"/>
    <s v="522"/>
    <s v="264"/>
    <s v="3356"/>
    <s v="B"/>
    <m/>
    <x v="3"/>
    <n v="0"/>
    <n v="0"/>
    <n v="0"/>
    <n v="0"/>
    <n v="0"/>
    <x v="31"/>
  </r>
  <r>
    <x v="0"/>
    <s v="1213"/>
    <s v="522"/>
    <s v="264"/>
    <s v="3370"/>
    <s v="B"/>
    <m/>
    <x v="3"/>
    <n v="0"/>
    <n v="0"/>
    <n v="0"/>
    <n v="0"/>
    <n v="0"/>
    <x v="34"/>
  </r>
  <r>
    <x v="0"/>
    <s v="1213"/>
    <s v="522"/>
    <s v="264"/>
    <s v="3403"/>
    <s v="B"/>
    <m/>
    <x v="3"/>
    <n v="4700"/>
    <n v="0"/>
    <n v="0"/>
    <n v="4700"/>
    <n v="0"/>
    <x v="37"/>
  </r>
  <r>
    <x v="0"/>
    <s v="1213"/>
    <s v="522"/>
    <s v="264"/>
    <s v="3407"/>
    <s v="B"/>
    <m/>
    <x v="3"/>
    <n v="0"/>
    <n v="0"/>
    <n v="0"/>
    <n v="0"/>
    <n v="0"/>
    <x v="90"/>
  </r>
  <r>
    <x v="0"/>
    <s v="1213"/>
    <s v="522"/>
    <s v="264"/>
    <s v="3409"/>
    <s v="B"/>
    <m/>
    <x v="3"/>
    <n v="0"/>
    <n v="0"/>
    <n v="0"/>
    <n v="0"/>
    <n v="0"/>
    <x v="41"/>
  </r>
  <r>
    <x v="0"/>
    <s v="1213"/>
    <s v="522"/>
    <s v="264"/>
    <s v="3416"/>
    <s v="B"/>
    <m/>
    <x v="3"/>
    <n v="0"/>
    <n v="0"/>
    <n v="0"/>
    <n v="0"/>
    <n v="0"/>
    <x v="89"/>
  </r>
  <r>
    <x v="0"/>
    <s v="1213"/>
    <s v="522"/>
    <s v="264"/>
    <s v="3417"/>
    <s v="B"/>
    <m/>
    <x v="3"/>
    <n v="0"/>
    <n v="0"/>
    <n v="0"/>
    <n v="0"/>
    <n v="0"/>
    <x v="46"/>
  </r>
  <r>
    <x v="0"/>
    <s v="1213"/>
    <s v="522"/>
    <s v="264"/>
    <s v="3421"/>
    <s v="B"/>
    <m/>
    <x v="3"/>
    <n v="0"/>
    <n v="0"/>
    <n v="0"/>
    <n v="0"/>
    <n v="0"/>
    <x v="49"/>
  </r>
  <r>
    <x v="0"/>
    <s v="1213"/>
    <s v="522"/>
    <s v="264"/>
    <s v="3423"/>
    <s v="B"/>
    <m/>
    <x v="3"/>
    <n v="0"/>
    <n v="0"/>
    <n v="0"/>
    <n v="0"/>
    <n v="0"/>
    <x v="13"/>
  </r>
  <r>
    <x v="0"/>
    <s v="1213"/>
    <s v="522"/>
    <s v="264"/>
    <s v="3424"/>
    <s v="B"/>
    <m/>
    <x v="3"/>
    <n v="0"/>
    <n v="0"/>
    <n v="0"/>
    <n v="0"/>
    <n v="0"/>
    <x v="14"/>
  </r>
  <r>
    <x v="0"/>
    <s v="1213"/>
    <s v="522"/>
    <s v="264"/>
    <s v="3427"/>
    <s v="B"/>
    <m/>
    <x v="3"/>
    <n v="0"/>
    <n v="0"/>
    <n v="0"/>
    <n v="0"/>
    <n v="0"/>
    <x v="52"/>
  </r>
  <r>
    <x v="0"/>
    <s v="1213"/>
    <s v="522"/>
    <s v="264"/>
    <s v="3428"/>
    <s v="B"/>
    <m/>
    <x v="3"/>
    <n v="0"/>
    <n v="0"/>
    <n v="0"/>
    <n v="0"/>
    <n v="0"/>
    <x v="16"/>
  </r>
  <r>
    <x v="0"/>
    <s v="1213"/>
    <s v="522"/>
    <s v="264"/>
    <s v="3431"/>
    <s v="B"/>
    <m/>
    <x v="3"/>
    <n v="0"/>
    <n v="0"/>
    <n v="0"/>
    <n v="0"/>
    <n v="0"/>
    <x v="53"/>
  </r>
  <r>
    <x v="0"/>
    <s v="1213"/>
    <s v="522"/>
    <s v="264"/>
    <s v="3458"/>
    <s v="B"/>
    <m/>
    <x v="3"/>
    <n v="0"/>
    <n v="0"/>
    <n v="0"/>
    <n v="0"/>
    <n v="0"/>
    <x v="73"/>
  </r>
  <r>
    <x v="0"/>
    <s v="1213"/>
    <s v="522"/>
    <s v="264"/>
    <s v="3462"/>
    <s v="B"/>
    <m/>
    <x v="3"/>
    <n v="0"/>
    <n v="0"/>
    <n v="0"/>
    <n v="0"/>
    <n v="0"/>
    <x v="76"/>
  </r>
  <r>
    <x v="0"/>
    <s v="1213"/>
    <s v="522"/>
    <s v="264"/>
    <s v="3464"/>
    <s v="B"/>
    <m/>
    <x v="3"/>
    <n v="0"/>
    <n v="0"/>
    <n v="0"/>
    <n v="0"/>
    <n v="0"/>
    <x v="20"/>
  </r>
  <r>
    <x v="0"/>
    <s v="1213"/>
    <s v="522"/>
    <s v="264"/>
    <s v="3465"/>
    <s v="B"/>
    <m/>
    <x v="3"/>
    <n v="0"/>
    <n v="0"/>
    <n v="0"/>
    <n v="0"/>
    <n v="0"/>
    <x v="21"/>
  </r>
  <r>
    <x v="0"/>
    <s v="1213"/>
    <s v="522"/>
    <s v="264"/>
    <s v="3466"/>
    <s v="B"/>
    <m/>
    <x v="3"/>
    <n v="0"/>
    <n v="0"/>
    <n v="0"/>
    <n v="0"/>
    <n v="0"/>
    <x v="77"/>
  </r>
  <r>
    <x v="0"/>
    <s v="1213"/>
    <s v="522"/>
    <s v="264"/>
    <s v="3468"/>
    <s v="B"/>
    <m/>
    <x v="3"/>
    <n v="0"/>
    <n v="0"/>
    <n v="0"/>
    <n v="0"/>
    <n v="0"/>
    <x v="79"/>
  </r>
  <r>
    <x v="0"/>
    <s v="1213"/>
    <s v="522"/>
    <s v="264"/>
    <s v="3309"/>
    <s v="B"/>
    <m/>
    <x v="3"/>
    <n v="0"/>
    <n v="1746.83"/>
    <n v="0"/>
    <n v="-1746.83"/>
    <n v="0"/>
    <x v="22"/>
  </r>
  <r>
    <x v="0"/>
    <s v="1213"/>
    <s v="522"/>
    <s v="264"/>
    <s v="3352"/>
    <s v="B"/>
    <m/>
    <x v="3"/>
    <n v="0"/>
    <n v="804.14"/>
    <n v="0"/>
    <n v="-804.14"/>
    <n v="0"/>
    <x v="27"/>
  </r>
  <r>
    <x v="0"/>
    <s v="1213"/>
    <s v="522"/>
    <s v="264"/>
    <s v="3353"/>
    <s v="B"/>
    <m/>
    <x v="3"/>
    <n v="0"/>
    <n v="49.94"/>
    <n v="0"/>
    <n v="-49.94"/>
    <n v="0"/>
    <x v="28"/>
  </r>
  <r>
    <x v="0"/>
    <s v="1213"/>
    <s v="522"/>
    <s v="264"/>
    <s v="3354"/>
    <s v="B"/>
    <m/>
    <x v="3"/>
    <n v="0"/>
    <n v="6.81"/>
    <n v="0"/>
    <n v="-6.81"/>
    <n v="0"/>
    <x v="29"/>
  </r>
  <r>
    <x v="0"/>
    <s v="1213"/>
    <s v="522"/>
    <s v="264"/>
    <s v="3356"/>
    <s v="B"/>
    <m/>
    <x v="3"/>
    <n v="0"/>
    <n v="11.52"/>
    <n v="0"/>
    <n v="-11.52"/>
    <n v="0"/>
    <x v="31"/>
  </r>
  <r>
    <x v="0"/>
    <s v="1213"/>
    <s v="522"/>
    <s v="264"/>
    <s v="3370"/>
    <s v="B"/>
    <m/>
    <x v="3"/>
    <n v="0"/>
    <n v="0.12"/>
    <n v="0"/>
    <n v="-0.12"/>
    <n v="0"/>
    <x v="34"/>
  </r>
  <r>
    <x v="0"/>
    <s v="1213"/>
    <s v="522"/>
    <s v="264"/>
    <s v="3403"/>
    <s v="B"/>
    <m/>
    <x v="3"/>
    <n v="0"/>
    <n v="637.20000000000005"/>
    <n v="0"/>
    <n v="-637.20000000000005"/>
    <n v="0"/>
    <x v="37"/>
  </r>
  <r>
    <x v="0"/>
    <s v="1213"/>
    <s v="522"/>
    <s v="264"/>
    <s v="3409"/>
    <s v="B"/>
    <m/>
    <x v="3"/>
    <n v="0"/>
    <n v="3094.86"/>
    <n v="0"/>
    <n v="-3094.86"/>
    <n v="0"/>
    <x v="41"/>
  </r>
  <r>
    <x v="0"/>
    <s v="1213"/>
    <s v="522"/>
    <s v="264"/>
    <s v="3416"/>
    <s v="B"/>
    <m/>
    <x v="3"/>
    <n v="0"/>
    <n v="145.22"/>
    <n v="0"/>
    <n v="-145.22"/>
    <n v="0"/>
    <x v="89"/>
  </r>
  <r>
    <x v="0"/>
    <s v="1213"/>
    <s v="522"/>
    <s v="264"/>
    <s v="3417"/>
    <s v="B"/>
    <m/>
    <x v="3"/>
    <n v="0"/>
    <n v="3.34"/>
    <n v="0"/>
    <n v="-3.34"/>
    <n v="0"/>
    <x v="46"/>
  </r>
  <r>
    <x v="0"/>
    <s v="1213"/>
    <s v="522"/>
    <s v="264"/>
    <s v="3427"/>
    <s v="B"/>
    <m/>
    <x v="3"/>
    <n v="0"/>
    <n v="123.94"/>
    <n v="0"/>
    <n v="-123.94"/>
    <n v="0"/>
    <x v="52"/>
  </r>
  <r>
    <x v="0"/>
    <s v="1213"/>
    <s v="522"/>
    <s v="264"/>
    <s v="3431"/>
    <s v="B"/>
    <m/>
    <x v="3"/>
    <n v="0"/>
    <n v="686.38"/>
    <n v="0"/>
    <n v="-686.38"/>
    <n v="0"/>
    <x v="53"/>
  </r>
  <r>
    <x v="0"/>
    <s v="1213"/>
    <s v="522"/>
    <s v="264"/>
    <s v="3462"/>
    <s v="B"/>
    <m/>
    <x v="3"/>
    <n v="0"/>
    <n v="36.619999999999997"/>
    <n v="0"/>
    <n v="-36.619999999999997"/>
    <n v="0"/>
    <x v="76"/>
  </r>
  <r>
    <x v="0"/>
    <s v="1213"/>
    <s v="522"/>
    <s v="264"/>
    <s v="3464"/>
    <s v="B"/>
    <m/>
    <x v="3"/>
    <n v="0"/>
    <n v="35.11"/>
    <n v="0"/>
    <n v="-35.11"/>
    <n v="26.35"/>
    <x v="20"/>
  </r>
  <r>
    <x v="0"/>
    <s v="1213"/>
    <s v="522"/>
    <s v="264"/>
    <s v="3465"/>
    <s v="B"/>
    <m/>
    <x v="3"/>
    <n v="0"/>
    <n v="72.95"/>
    <n v="0"/>
    <n v="-72.95"/>
    <n v="0"/>
    <x v="21"/>
  </r>
  <r>
    <x v="0"/>
    <s v="1213"/>
    <s v="522"/>
    <s v="264"/>
    <s v="3466"/>
    <s v="B"/>
    <m/>
    <x v="3"/>
    <n v="0"/>
    <n v="10.38"/>
    <n v="0"/>
    <n v="-10.38"/>
    <n v="0"/>
    <x v="77"/>
  </r>
  <r>
    <x v="0"/>
    <s v="1213"/>
    <s v="522"/>
    <s v="264"/>
    <s v="3468"/>
    <s v="B"/>
    <m/>
    <x v="3"/>
    <n v="0"/>
    <n v="15.3"/>
    <n v="0"/>
    <n v="-15.3"/>
    <n v="0"/>
    <x v="79"/>
  </r>
  <r>
    <x v="0"/>
    <s v="1213"/>
    <s v="522"/>
    <s v="264"/>
    <s v="3309"/>
    <s v="B"/>
    <m/>
    <x v="3"/>
    <n v="0"/>
    <n v="2053.81"/>
    <n v="0"/>
    <n v="-2053.81"/>
    <n v="0"/>
    <x v="22"/>
  </r>
  <r>
    <x v="0"/>
    <s v="1213"/>
    <s v="522"/>
    <s v="264"/>
    <s v="3352"/>
    <s v="B"/>
    <m/>
    <x v="3"/>
    <n v="0"/>
    <n v="77.05"/>
    <n v="0"/>
    <n v="-77.05"/>
    <n v="0"/>
    <x v="27"/>
  </r>
  <r>
    <x v="0"/>
    <s v="1213"/>
    <s v="522"/>
    <s v="264"/>
    <s v="3356"/>
    <s v="B"/>
    <m/>
    <x v="3"/>
    <n v="0"/>
    <n v="10.86"/>
    <n v="0"/>
    <n v="-10.86"/>
    <n v="0"/>
    <x v="31"/>
  </r>
  <r>
    <x v="0"/>
    <s v="1213"/>
    <s v="522"/>
    <s v="264"/>
    <s v="3409"/>
    <s v="B"/>
    <m/>
    <x v="3"/>
    <n v="0"/>
    <n v="3711.79"/>
    <n v="0"/>
    <n v="-3711.79"/>
    <n v="0"/>
    <x v="41"/>
  </r>
  <r>
    <x v="0"/>
    <s v="1213"/>
    <s v="522"/>
    <s v="264"/>
    <s v="3427"/>
    <s v="B"/>
    <m/>
    <x v="3"/>
    <n v="0"/>
    <n v="-0.08"/>
    <n v="0"/>
    <n v="0.08"/>
    <n v="0"/>
    <x v="52"/>
  </r>
  <r>
    <x v="0"/>
    <s v="1213"/>
    <s v="522"/>
    <s v="264"/>
    <s v="3462"/>
    <s v="B"/>
    <m/>
    <x v="3"/>
    <n v="0"/>
    <n v="25.36"/>
    <n v="0"/>
    <n v="-25.36"/>
    <n v="0"/>
    <x v="76"/>
  </r>
  <r>
    <x v="0"/>
    <s v="1213"/>
    <s v="522"/>
    <s v="264"/>
    <s v="3464"/>
    <s v="B"/>
    <m/>
    <x v="3"/>
    <n v="0"/>
    <n v="8.5299999999999994"/>
    <n v="0"/>
    <n v="-8.5299999999999994"/>
    <n v="0"/>
    <x v="20"/>
  </r>
  <r>
    <x v="0"/>
    <s v="1213"/>
    <s v="522"/>
    <s v="264"/>
    <s v="3465"/>
    <s v="B"/>
    <m/>
    <x v="3"/>
    <n v="0"/>
    <n v="70.84"/>
    <n v="0"/>
    <n v="-70.84"/>
    <n v="0"/>
    <x v="21"/>
  </r>
  <r>
    <x v="0"/>
    <s v="1213"/>
    <s v="522"/>
    <s v="264"/>
    <s v="3466"/>
    <s v="B"/>
    <m/>
    <x v="3"/>
    <n v="0"/>
    <n v="7.77"/>
    <n v="0"/>
    <n v="-7.77"/>
    <n v="0"/>
    <x v="77"/>
  </r>
  <r>
    <x v="0"/>
    <s v="1213"/>
    <s v="522"/>
    <s v="264"/>
    <s v="3352"/>
    <s v="B"/>
    <m/>
    <x v="3"/>
    <n v="0"/>
    <n v="233.5"/>
    <n v="0"/>
    <n v="-233.5"/>
    <n v="0"/>
    <x v="27"/>
  </r>
  <r>
    <x v="0"/>
    <s v="1213"/>
    <s v="522"/>
    <s v="264"/>
    <s v="3356"/>
    <s v="B"/>
    <m/>
    <x v="3"/>
    <n v="0"/>
    <n v="2.0099999999999998"/>
    <n v="0"/>
    <n v="-2.0099999999999998"/>
    <n v="0"/>
    <x v="31"/>
  </r>
  <r>
    <x v="0"/>
    <s v="1213"/>
    <s v="522"/>
    <s v="264"/>
    <s v="3403"/>
    <s v="B"/>
    <m/>
    <x v="3"/>
    <n v="0"/>
    <n v="2298.1"/>
    <n v="0"/>
    <n v="-2298.1"/>
    <n v="0"/>
    <x v="37"/>
  </r>
  <r>
    <x v="0"/>
    <s v="1213"/>
    <s v="522"/>
    <s v="264"/>
    <s v="3407"/>
    <s v="B"/>
    <m/>
    <x v="3"/>
    <n v="0"/>
    <n v="109.17"/>
    <n v="0"/>
    <n v="-109.17"/>
    <n v="0"/>
    <x v="90"/>
  </r>
  <r>
    <x v="0"/>
    <s v="1213"/>
    <s v="522"/>
    <s v="264"/>
    <s v="3416"/>
    <s v="B"/>
    <m/>
    <x v="3"/>
    <n v="0"/>
    <n v="1851.88"/>
    <n v="0"/>
    <n v="-1851.88"/>
    <n v="0"/>
    <x v="89"/>
  </r>
  <r>
    <x v="0"/>
    <s v="1213"/>
    <s v="522"/>
    <s v="264"/>
    <s v="3427"/>
    <s v="B"/>
    <m/>
    <x v="3"/>
    <n v="0"/>
    <n v="24.88"/>
    <n v="0"/>
    <n v="-24.88"/>
    <n v="0"/>
    <x v="52"/>
  </r>
  <r>
    <x v="0"/>
    <s v="1213"/>
    <s v="522"/>
    <s v="264"/>
    <s v="3428"/>
    <s v="B"/>
    <m/>
    <x v="3"/>
    <n v="0"/>
    <n v="627.4"/>
    <n v="0"/>
    <n v="-627.4"/>
    <n v="0"/>
    <x v="16"/>
  </r>
  <r>
    <x v="0"/>
    <s v="1213"/>
    <s v="522"/>
    <s v="264"/>
    <s v="3431"/>
    <s v="B"/>
    <m/>
    <x v="3"/>
    <n v="0"/>
    <n v="285.89"/>
    <n v="0"/>
    <n v="-285.89"/>
    <n v="0"/>
    <x v="53"/>
  </r>
  <r>
    <x v="0"/>
    <s v="1213"/>
    <s v="522"/>
    <s v="264"/>
    <s v="3462"/>
    <s v="B"/>
    <m/>
    <x v="3"/>
    <n v="0"/>
    <n v="5.1100000000000003"/>
    <n v="0"/>
    <n v="-5.1100000000000003"/>
    <n v="0"/>
    <x v="76"/>
  </r>
  <r>
    <x v="0"/>
    <s v="1213"/>
    <s v="522"/>
    <s v="264"/>
    <s v="3464"/>
    <s v="B"/>
    <m/>
    <x v="3"/>
    <n v="0"/>
    <n v="7.45"/>
    <n v="0"/>
    <n v="-7.45"/>
    <n v="5.85"/>
    <x v="20"/>
  </r>
  <r>
    <x v="0"/>
    <s v="1213"/>
    <s v="522"/>
    <s v="264"/>
    <s v="3465"/>
    <s v="B"/>
    <m/>
    <x v="3"/>
    <n v="0"/>
    <n v="11.63"/>
    <n v="0"/>
    <n v="-11.63"/>
    <n v="0"/>
    <x v="21"/>
  </r>
  <r>
    <x v="0"/>
    <s v="1213"/>
    <s v="522"/>
    <s v="264"/>
    <s v="3309"/>
    <s v="B"/>
    <m/>
    <x v="3"/>
    <n v="0"/>
    <n v="-11.6"/>
    <n v="0"/>
    <n v="11.6"/>
    <n v="0"/>
    <x v="22"/>
  </r>
  <r>
    <x v="0"/>
    <s v="1213"/>
    <s v="522"/>
    <s v="264"/>
    <s v="3356"/>
    <s v="B"/>
    <m/>
    <x v="3"/>
    <n v="0"/>
    <n v="0"/>
    <n v="0"/>
    <n v="0"/>
    <n v="0"/>
    <x v="31"/>
  </r>
  <r>
    <x v="0"/>
    <s v="1213"/>
    <s v="522"/>
    <s v="264"/>
    <s v="3409"/>
    <s v="B"/>
    <m/>
    <x v="3"/>
    <n v="0"/>
    <n v="-208.35"/>
    <n v="0"/>
    <n v="208.35"/>
    <n v="0"/>
    <x v="41"/>
  </r>
  <r>
    <x v="0"/>
    <s v="1213"/>
    <s v="522"/>
    <s v="264"/>
    <s v="3462"/>
    <s v="B"/>
    <m/>
    <x v="3"/>
    <n v="0"/>
    <n v="44.8"/>
    <n v="0"/>
    <n v="-44.8"/>
    <n v="0"/>
    <x v="76"/>
  </r>
  <r>
    <x v="0"/>
    <s v="1213"/>
    <s v="522"/>
    <s v="264"/>
    <s v="3466"/>
    <s v="B"/>
    <m/>
    <x v="3"/>
    <n v="0"/>
    <n v="44"/>
    <n v="0"/>
    <n v="-44"/>
    <n v="0"/>
    <x v="77"/>
  </r>
  <r>
    <x v="0"/>
    <s v="1213"/>
    <s v="522"/>
    <s v="264"/>
    <s v="3309"/>
    <s v="B"/>
    <m/>
    <x v="3"/>
    <n v="0"/>
    <n v="166.31"/>
    <n v="0"/>
    <n v="-166.31"/>
    <n v="0"/>
    <x v="22"/>
  </r>
  <r>
    <x v="0"/>
    <s v="1213"/>
    <s v="522"/>
    <s v="264"/>
    <s v="3352"/>
    <s v="B"/>
    <m/>
    <x v="3"/>
    <n v="0"/>
    <n v="76.430000000000007"/>
    <n v="0"/>
    <n v="-76.430000000000007"/>
    <n v="0"/>
    <x v="27"/>
  </r>
  <r>
    <x v="0"/>
    <s v="1213"/>
    <s v="522"/>
    <s v="264"/>
    <s v="3353"/>
    <s v="B"/>
    <m/>
    <x v="3"/>
    <n v="0"/>
    <n v="4.75"/>
    <n v="0"/>
    <n v="-4.75"/>
    <n v="0"/>
    <x v="28"/>
  </r>
  <r>
    <x v="0"/>
    <s v="1213"/>
    <s v="522"/>
    <s v="264"/>
    <s v="3354"/>
    <s v="B"/>
    <m/>
    <x v="3"/>
    <n v="0"/>
    <n v="0.65"/>
    <n v="0"/>
    <n v="-0.65"/>
    <n v="0"/>
    <x v="29"/>
  </r>
  <r>
    <x v="0"/>
    <s v="1213"/>
    <s v="522"/>
    <s v="264"/>
    <s v="3356"/>
    <s v="B"/>
    <m/>
    <x v="3"/>
    <n v="0"/>
    <n v="1.08"/>
    <n v="0"/>
    <n v="-1.08"/>
    <n v="0"/>
    <x v="31"/>
  </r>
  <r>
    <x v="0"/>
    <s v="1213"/>
    <s v="522"/>
    <s v="264"/>
    <s v="3409"/>
    <s v="B"/>
    <m/>
    <x v="3"/>
    <n v="0"/>
    <n v="293.52"/>
    <n v="0"/>
    <n v="-293.52"/>
    <n v="0"/>
    <x v="41"/>
  </r>
  <r>
    <x v="0"/>
    <s v="1213"/>
    <s v="522"/>
    <s v="264"/>
    <s v="3416"/>
    <s v="B"/>
    <m/>
    <x v="3"/>
    <n v="0"/>
    <n v="13.66"/>
    <n v="0"/>
    <n v="-13.66"/>
    <n v="0"/>
    <x v="89"/>
  </r>
  <r>
    <x v="0"/>
    <s v="1213"/>
    <s v="522"/>
    <s v="264"/>
    <s v="3427"/>
    <s v="B"/>
    <m/>
    <x v="3"/>
    <n v="0"/>
    <n v="11.56"/>
    <n v="0"/>
    <n v="-11.56"/>
    <n v="0"/>
    <x v="52"/>
  </r>
  <r>
    <x v="0"/>
    <s v="1213"/>
    <s v="522"/>
    <s v="264"/>
    <s v="3431"/>
    <s v="B"/>
    <m/>
    <x v="3"/>
    <n v="0"/>
    <n v="64.59"/>
    <n v="0"/>
    <n v="-64.59"/>
    <n v="0"/>
    <x v="53"/>
  </r>
  <r>
    <x v="0"/>
    <s v="1213"/>
    <s v="522"/>
    <s v="264"/>
    <s v="3462"/>
    <s v="B"/>
    <m/>
    <x v="3"/>
    <n v="0"/>
    <n v="4.32"/>
    <n v="0"/>
    <n v="-4.32"/>
    <n v="0"/>
    <x v="76"/>
  </r>
  <r>
    <x v="0"/>
    <s v="1213"/>
    <s v="522"/>
    <s v="264"/>
    <s v="3464"/>
    <s v="B"/>
    <m/>
    <x v="3"/>
    <n v="0"/>
    <n v="0.85"/>
    <n v="0"/>
    <n v="-0.85"/>
    <n v="0"/>
    <x v="20"/>
  </r>
  <r>
    <x v="0"/>
    <s v="1213"/>
    <s v="522"/>
    <s v="264"/>
    <s v="3465"/>
    <s v="B"/>
    <m/>
    <x v="3"/>
    <n v="0"/>
    <n v="7.05"/>
    <n v="0"/>
    <n v="-7.05"/>
    <n v="0"/>
    <x v="21"/>
  </r>
  <r>
    <x v="0"/>
    <s v="1213"/>
    <s v="522"/>
    <s v="264"/>
    <s v="3466"/>
    <s v="B"/>
    <m/>
    <x v="3"/>
    <n v="0"/>
    <n v="1.08"/>
    <n v="0"/>
    <n v="-1.08"/>
    <n v="0"/>
    <x v="77"/>
  </r>
  <r>
    <x v="0"/>
    <s v="1213"/>
    <s v="522"/>
    <s v="264"/>
    <s v="3468"/>
    <s v="B"/>
    <m/>
    <x v="3"/>
    <n v="0"/>
    <n v="1.44"/>
    <n v="0"/>
    <n v="-1.44"/>
    <n v="0"/>
    <x v="79"/>
  </r>
  <r>
    <x v="0"/>
    <s v="1213"/>
    <s v="522"/>
    <s v="264"/>
    <s v="3383"/>
    <s v="NZ"/>
    <m/>
    <x v="4"/>
    <n v="0"/>
    <n v="65894.5"/>
    <n v="0"/>
    <n v="-65894.5"/>
    <n v="0"/>
    <x v="3"/>
  </r>
  <r>
    <x v="0"/>
    <s v="1213"/>
    <s v="522"/>
    <s v="264"/>
    <s v="3329"/>
    <s v="G"/>
    <m/>
    <x v="5"/>
    <n v="0"/>
    <n v="0"/>
    <n v="0"/>
    <n v="0"/>
    <n v="0"/>
    <x v="25"/>
  </r>
  <r>
    <x v="0"/>
    <s v="1213"/>
    <s v="522"/>
    <s v="264"/>
    <s v="3330"/>
    <s v="G"/>
    <m/>
    <x v="5"/>
    <n v="0"/>
    <n v="0"/>
    <n v="0"/>
    <n v="0"/>
    <n v="0"/>
    <x v="26"/>
  </r>
  <r>
    <x v="0"/>
    <s v="1213"/>
    <s v="522"/>
    <s v="264"/>
    <s v="3354"/>
    <s v="G"/>
    <m/>
    <x v="5"/>
    <n v="0"/>
    <n v="0"/>
    <n v="0"/>
    <n v="0"/>
    <n v="0"/>
    <x v="29"/>
  </r>
  <r>
    <x v="0"/>
    <s v="1213"/>
    <s v="522"/>
    <s v="264"/>
    <s v="3355"/>
    <s v="G"/>
    <m/>
    <x v="5"/>
    <n v="0"/>
    <n v="0"/>
    <n v="0"/>
    <n v="0"/>
    <n v="0"/>
    <x v="30"/>
  </r>
  <r>
    <x v="0"/>
    <s v="1213"/>
    <s v="522"/>
    <s v="264"/>
    <s v="3356"/>
    <s v="G"/>
    <m/>
    <x v="5"/>
    <n v="0"/>
    <n v="0"/>
    <n v="0"/>
    <n v="0"/>
    <n v="0"/>
    <x v="31"/>
  </r>
  <r>
    <x v="0"/>
    <s v="1213"/>
    <s v="522"/>
    <s v="264"/>
    <s v="3357"/>
    <s v="G"/>
    <m/>
    <x v="5"/>
    <n v="0"/>
    <n v="0"/>
    <n v="0"/>
    <n v="0"/>
    <n v="0"/>
    <x v="6"/>
  </r>
  <r>
    <x v="0"/>
    <s v="1213"/>
    <s v="522"/>
    <s v="264"/>
    <s v="3363"/>
    <s v="G"/>
    <m/>
    <x v="5"/>
    <n v="0"/>
    <n v="0"/>
    <n v="0"/>
    <n v="0"/>
    <n v="0"/>
    <x v="32"/>
  </r>
  <r>
    <x v="0"/>
    <s v="1213"/>
    <s v="522"/>
    <s v="264"/>
    <s v="3367"/>
    <s v="G"/>
    <m/>
    <x v="5"/>
    <n v="0"/>
    <n v="0"/>
    <n v="0"/>
    <n v="0"/>
    <n v="0"/>
    <x v="7"/>
  </r>
  <r>
    <x v="0"/>
    <s v="1213"/>
    <s v="522"/>
    <s v="264"/>
    <s v="3369"/>
    <s v="G"/>
    <m/>
    <x v="5"/>
    <n v="0"/>
    <n v="0"/>
    <n v="0"/>
    <n v="0"/>
    <n v="0"/>
    <x v="8"/>
  </r>
  <r>
    <x v="0"/>
    <s v="1213"/>
    <s v="522"/>
    <s v="264"/>
    <s v="3370"/>
    <s v="G"/>
    <m/>
    <x v="5"/>
    <n v="0"/>
    <n v="0"/>
    <n v="0"/>
    <n v="0"/>
    <n v="0"/>
    <x v="34"/>
  </r>
  <r>
    <x v="0"/>
    <s v="1213"/>
    <s v="522"/>
    <s v="264"/>
    <s v="3372"/>
    <s v="G"/>
    <m/>
    <x v="5"/>
    <n v="0"/>
    <n v="0"/>
    <n v="0"/>
    <n v="0"/>
    <n v="0"/>
    <x v="35"/>
  </r>
  <r>
    <x v="0"/>
    <s v="1213"/>
    <s v="522"/>
    <s v="264"/>
    <s v="3402"/>
    <s v="G"/>
    <m/>
    <x v="5"/>
    <n v="0"/>
    <n v="0"/>
    <n v="0"/>
    <n v="0"/>
    <n v="0"/>
    <x v="4"/>
  </r>
  <r>
    <x v="0"/>
    <s v="1213"/>
    <s v="522"/>
    <s v="264"/>
    <s v="3405"/>
    <s v="G"/>
    <m/>
    <x v="5"/>
    <n v="0"/>
    <n v="0"/>
    <n v="0"/>
    <n v="0"/>
    <n v="0"/>
    <x v="38"/>
  </r>
  <r>
    <x v="0"/>
    <s v="1213"/>
    <s v="522"/>
    <s v="264"/>
    <s v="3410"/>
    <s v="G"/>
    <m/>
    <x v="5"/>
    <n v="0"/>
    <n v="0"/>
    <n v="0"/>
    <n v="0"/>
    <n v="0"/>
    <x v="10"/>
  </r>
  <r>
    <x v="0"/>
    <s v="1213"/>
    <s v="522"/>
    <s v="264"/>
    <s v="3413"/>
    <s v="G"/>
    <m/>
    <x v="5"/>
    <n v="378"/>
    <n v="0"/>
    <n v="0"/>
    <n v="378"/>
    <n v="0"/>
    <x v="44"/>
  </r>
  <r>
    <x v="0"/>
    <s v="1213"/>
    <s v="522"/>
    <s v="264"/>
    <s v="3414"/>
    <s v="G"/>
    <m/>
    <x v="5"/>
    <n v="0"/>
    <n v="0"/>
    <n v="0"/>
    <n v="0"/>
    <n v="0"/>
    <x v="11"/>
  </r>
  <r>
    <x v="0"/>
    <s v="1213"/>
    <s v="522"/>
    <s v="264"/>
    <s v="3415"/>
    <s v="G"/>
    <m/>
    <x v="5"/>
    <n v="0"/>
    <n v="0"/>
    <n v="0"/>
    <n v="0"/>
    <n v="0"/>
    <x v="45"/>
  </r>
  <r>
    <x v="0"/>
    <s v="1213"/>
    <s v="522"/>
    <s v="264"/>
    <s v="3416"/>
    <s v="G"/>
    <m/>
    <x v="5"/>
    <n v="0"/>
    <n v="0"/>
    <n v="0"/>
    <n v="0"/>
    <n v="0"/>
    <x v="89"/>
  </r>
  <r>
    <x v="0"/>
    <s v="1213"/>
    <s v="522"/>
    <s v="264"/>
    <s v="3417"/>
    <s v="G"/>
    <m/>
    <x v="5"/>
    <n v="18400"/>
    <n v="0"/>
    <n v="0"/>
    <n v="18400"/>
    <n v="0"/>
    <x v="46"/>
  </r>
  <r>
    <x v="0"/>
    <s v="1213"/>
    <s v="522"/>
    <s v="264"/>
    <s v="3418"/>
    <s v="G"/>
    <m/>
    <x v="5"/>
    <n v="0"/>
    <n v="0"/>
    <n v="0"/>
    <n v="0"/>
    <n v="0"/>
    <x v="12"/>
  </r>
  <r>
    <x v="0"/>
    <s v="1213"/>
    <s v="522"/>
    <s v="264"/>
    <s v="3420"/>
    <s v="G"/>
    <m/>
    <x v="5"/>
    <n v="0"/>
    <n v="0"/>
    <n v="0"/>
    <n v="0"/>
    <n v="0"/>
    <x v="48"/>
  </r>
  <r>
    <x v="0"/>
    <s v="1213"/>
    <s v="522"/>
    <s v="264"/>
    <s v="3421"/>
    <s v="G"/>
    <m/>
    <x v="5"/>
    <n v="0"/>
    <n v="0"/>
    <n v="0"/>
    <n v="0"/>
    <n v="0"/>
    <x v="49"/>
  </r>
  <r>
    <x v="0"/>
    <s v="1213"/>
    <s v="522"/>
    <s v="264"/>
    <s v="3424"/>
    <s v="G"/>
    <m/>
    <x v="5"/>
    <n v="0"/>
    <n v="0"/>
    <n v="0"/>
    <n v="0"/>
    <n v="0"/>
    <x v="14"/>
  </r>
  <r>
    <x v="0"/>
    <s v="1213"/>
    <s v="522"/>
    <s v="264"/>
    <s v="3425"/>
    <s v="G"/>
    <m/>
    <x v="5"/>
    <n v="0"/>
    <n v="0"/>
    <n v="0"/>
    <n v="0"/>
    <n v="0"/>
    <x v="51"/>
  </r>
  <r>
    <x v="0"/>
    <s v="1213"/>
    <s v="522"/>
    <s v="264"/>
    <s v="3426"/>
    <s v="G"/>
    <m/>
    <x v="5"/>
    <n v="0"/>
    <n v="0"/>
    <n v="0"/>
    <n v="0"/>
    <n v="0"/>
    <x v="15"/>
  </r>
  <r>
    <x v="0"/>
    <s v="1213"/>
    <s v="522"/>
    <s v="264"/>
    <s v="3430"/>
    <s v="G"/>
    <m/>
    <x v="5"/>
    <n v="0"/>
    <n v="0"/>
    <n v="0"/>
    <n v="0"/>
    <n v="0"/>
    <x v="18"/>
  </r>
  <r>
    <x v="0"/>
    <s v="1213"/>
    <s v="522"/>
    <s v="264"/>
    <s v="3433"/>
    <s v="G"/>
    <m/>
    <x v="5"/>
    <n v="0"/>
    <n v="0"/>
    <n v="0"/>
    <n v="0"/>
    <n v="0"/>
    <x v="55"/>
  </r>
  <r>
    <x v="0"/>
    <s v="1213"/>
    <s v="522"/>
    <s v="264"/>
    <s v="3435"/>
    <s v="G"/>
    <m/>
    <x v="5"/>
    <n v="0"/>
    <n v="0"/>
    <n v="0"/>
    <n v="0"/>
    <n v="0"/>
    <x v="56"/>
  </r>
  <r>
    <x v="0"/>
    <s v="1213"/>
    <s v="522"/>
    <s v="264"/>
    <s v="3436"/>
    <s v="G"/>
    <m/>
    <x v="5"/>
    <n v="0"/>
    <n v="0"/>
    <n v="0"/>
    <n v="0"/>
    <n v="0"/>
    <x v="57"/>
  </r>
  <r>
    <x v="0"/>
    <s v="1213"/>
    <s v="522"/>
    <s v="264"/>
    <s v="3439"/>
    <s v="G"/>
    <m/>
    <x v="5"/>
    <n v="0"/>
    <n v="0"/>
    <n v="0"/>
    <n v="0"/>
    <n v="0"/>
    <x v="60"/>
  </r>
  <r>
    <x v="0"/>
    <s v="1213"/>
    <s v="522"/>
    <s v="264"/>
    <s v="3441"/>
    <s v="G"/>
    <m/>
    <x v="5"/>
    <n v="0"/>
    <n v="0"/>
    <n v="0"/>
    <n v="0"/>
    <n v="0"/>
    <x v="62"/>
  </r>
  <r>
    <x v="0"/>
    <s v="1213"/>
    <s v="522"/>
    <s v="264"/>
    <s v="3442"/>
    <s v="G"/>
    <m/>
    <x v="5"/>
    <n v="0"/>
    <n v="0"/>
    <n v="0"/>
    <n v="0"/>
    <n v="0"/>
    <x v="63"/>
  </r>
  <r>
    <x v="0"/>
    <s v="1213"/>
    <s v="522"/>
    <s v="264"/>
    <s v="3445"/>
    <s v="G"/>
    <m/>
    <x v="5"/>
    <n v="0"/>
    <n v="0"/>
    <n v="0"/>
    <n v="0"/>
    <n v="0"/>
    <x v="65"/>
  </r>
  <r>
    <x v="0"/>
    <s v="1213"/>
    <s v="522"/>
    <s v="264"/>
    <s v="3446"/>
    <s v="G"/>
    <m/>
    <x v="5"/>
    <n v="0"/>
    <n v="0"/>
    <n v="0"/>
    <n v="0"/>
    <n v="0"/>
    <x v="66"/>
  </r>
  <r>
    <x v="0"/>
    <s v="1213"/>
    <s v="522"/>
    <s v="264"/>
    <s v="3453"/>
    <s v="G"/>
    <m/>
    <x v="5"/>
    <n v="0"/>
    <n v="0"/>
    <n v="0"/>
    <n v="0"/>
    <n v="0"/>
    <x v="70"/>
  </r>
  <r>
    <x v="0"/>
    <s v="1213"/>
    <s v="522"/>
    <s v="264"/>
    <s v="3456"/>
    <s v="G"/>
    <m/>
    <x v="5"/>
    <n v="0"/>
    <n v="0"/>
    <n v="0"/>
    <n v="0"/>
    <n v="0"/>
    <x v="72"/>
  </r>
  <r>
    <x v="0"/>
    <s v="1213"/>
    <s v="522"/>
    <s v="264"/>
    <s v="3457"/>
    <s v="G"/>
    <m/>
    <x v="5"/>
    <n v="0"/>
    <n v="0"/>
    <n v="0"/>
    <n v="0"/>
    <n v="0"/>
    <x v="19"/>
  </r>
  <r>
    <x v="0"/>
    <s v="1213"/>
    <s v="522"/>
    <s v="264"/>
    <s v="3458"/>
    <s v="G"/>
    <m/>
    <x v="5"/>
    <n v="0"/>
    <n v="0"/>
    <n v="0"/>
    <n v="0"/>
    <n v="0"/>
    <x v="73"/>
  </r>
  <r>
    <x v="0"/>
    <s v="1213"/>
    <s v="522"/>
    <s v="264"/>
    <s v="3461"/>
    <s v="G"/>
    <m/>
    <x v="5"/>
    <n v="0"/>
    <n v="0"/>
    <n v="0"/>
    <n v="0"/>
    <n v="0"/>
    <x v="75"/>
  </r>
  <r>
    <x v="0"/>
    <s v="1213"/>
    <s v="522"/>
    <s v="264"/>
    <s v="3462"/>
    <s v="G"/>
    <m/>
    <x v="5"/>
    <n v="0"/>
    <n v="0"/>
    <n v="0"/>
    <n v="0"/>
    <n v="0"/>
    <x v="76"/>
  </r>
  <r>
    <x v="0"/>
    <s v="1213"/>
    <s v="522"/>
    <s v="264"/>
    <s v="3464"/>
    <s v="G"/>
    <m/>
    <x v="5"/>
    <n v="0"/>
    <n v="0"/>
    <n v="0"/>
    <n v="0"/>
    <n v="0"/>
    <x v="20"/>
  </r>
  <r>
    <x v="0"/>
    <s v="1213"/>
    <s v="522"/>
    <s v="264"/>
    <s v="3465"/>
    <s v="G"/>
    <m/>
    <x v="5"/>
    <n v="0"/>
    <n v="0"/>
    <n v="0"/>
    <n v="0"/>
    <n v="0"/>
    <x v="21"/>
  </r>
  <r>
    <x v="0"/>
    <s v="1213"/>
    <s v="522"/>
    <s v="264"/>
    <s v="3330"/>
    <s v="G"/>
    <s v="00"/>
    <x v="5"/>
    <n v="0"/>
    <n v="116.24"/>
    <n v="0"/>
    <n v="-116.24"/>
    <n v="0"/>
    <x v="26"/>
  </r>
  <r>
    <x v="0"/>
    <s v="1213"/>
    <s v="522"/>
    <s v="264"/>
    <s v="3355"/>
    <s v="G"/>
    <s v="00"/>
    <x v="5"/>
    <n v="0"/>
    <n v="2683.86"/>
    <n v="0"/>
    <n v="-2683.86"/>
    <n v="0"/>
    <x v="30"/>
  </r>
  <r>
    <x v="0"/>
    <s v="1213"/>
    <s v="522"/>
    <s v="264"/>
    <s v="3363"/>
    <s v="G"/>
    <s v="00"/>
    <x v="5"/>
    <n v="0"/>
    <n v="844.19"/>
    <n v="0"/>
    <n v="-844.19"/>
    <n v="0"/>
    <x v="32"/>
  </r>
  <r>
    <x v="0"/>
    <s v="1213"/>
    <s v="522"/>
    <s v="264"/>
    <s v="3370"/>
    <s v="G"/>
    <s v="00"/>
    <x v="5"/>
    <n v="0"/>
    <n v="121.22"/>
    <n v="0"/>
    <n v="-121.22"/>
    <n v="0"/>
    <x v="34"/>
  </r>
  <r>
    <x v="0"/>
    <s v="1213"/>
    <s v="522"/>
    <s v="264"/>
    <s v="3413"/>
    <s v="G"/>
    <s v="00"/>
    <x v="5"/>
    <n v="0"/>
    <n v="872.4"/>
    <n v="0"/>
    <n v="-872.4"/>
    <n v="0"/>
    <x v="44"/>
  </r>
  <r>
    <x v="0"/>
    <s v="1213"/>
    <s v="522"/>
    <s v="264"/>
    <s v="3414"/>
    <s v="G"/>
    <s v="00"/>
    <x v="5"/>
    <n v="0"/>
    <n v="99.44"/>
    <n v="0"/>
    <n v="-99.44"/>
    <n v="0"/>
    <x v="11"/>
  </r>
  <r>
    <x v="0"/>
    <s v="1213"/>
    <s v="522"/>
    <s v="264"/>
    <s v="3417"/>
    <s v="G"/>
    <s v="00"/>
    <x v="5"/>
    <n v="0"/>
    <n v="1921.8"/>
    <n v="0"/>
    <n v="-1921.8"/>
    <n v="0"/>
    <x v="46"/>
  </r>
  <r>
    <x v="0"/>
    <s v="1213"/>
    <s v="522"/>
    <s v="264"/>
    <s v="3420"/>
    <s v="G"/>
    <s v="00"/>
    <x v="5"/>
    <n v="0"/>
    <n v="196.62"/>
    <n v="0"/>
    <n v="-196.62"/>
    <n v="0"/>
    <x v="48"/>
  </r>
  <r>
    <x v="0"/>
    <s v="1213"/>
    <s v="522"/>
    <s v="264"/>
    <s v="3433"/>
    <s v="G"/>
    <s v="00"/>
    <x v="5"/>
    <n v="0"/>
    <n v="2191.04"/>
    <n v="0"/>
    <n v="-2191.04"/>
    <n v="0"/>
    <x v="55"/>
  </r>
  <r>
    <x v="0"/>
    <s v="1213"/>
    <s v="522"/>
    <s v="264"/>
    <s v="3435"/>
    <s v="G"/>
    <s v="00"/>
    <x v="5"/>
    <n v="0"/>
    <n v="644.96"/>
    <n v="0"/>
    <n v="-644.96"/>
    <n v="0"/>
    <x v="56"/>
  </r>
  <r>
    <x v="0"/>
    <s v="1213"/>
    <s v="522"/>
    <s v="264"/>
    <s v="3458"/>
    <s v="G"/>
    <s v="00"/>
    <x v="5"/>
    <n v="0"/>
    <n v="481.82"/>
    <n v="0"/>
    <n v="-481.82"/>
    <n v="0"/>
    <x v="73"/>
  </r>
  <r>
    <x v="0"/>
    <s v="1213"/>
    <s v="522"/>
    <s v="264"/>
    <s v="3461"/>
    <s v="G"/>
    <s v="00"/>
    <x v="5"/>
    <n v="0"/>
    <n v="-450"/>
    <n v="0"/>
    <n v="450"/>
    <n v="0"/>
    <x v="75"/>
  </r>
  <r>
    <x v="0"/>
    <s v="1213"/>
    <s v="522"/>
    <s v="264"/>
    <s v="3464"/>
    <s v="G"/>
    <s v="00"/>
    <x v="5"/>
    <n v="0"/>
    <n v="1010.4"/>
    <n v="0"/>
    <n v="-1010.4"/>
    <n v="0"/>
    <x v="20"/>
  </r>
  <r>
    <x v="0"/>
    <s v="1213"/>
    <s v="522"/>
    <s v="264"/>
    <s v="3465"/>
    <s v="G"/>
    <s v="00"/>
    <x v="5"/>
    <n v="0"/>
    <n v="1426.33"/>
    <n v="0"/>
    <n v="-1426.33"/>
    <n v="0"/>
    <x v="21"/>
  </r>
  <r>
    <x v="0"/>
    <s v="1213"/>
    <s v="522"/>
    <s v="264"/>
    <s v="3330"/>
    <s v="G"/>
    <s v="00"/>
    <x v="5"/>
    <n v="0"/>
    <n v="379.6"/>
    <n v="0"/>
    <n v="-379.6"/>
    <n v="0"/>
    <x v="26"/>
  </r>
  <r>
    <x v="0"/>
    <s v="1213"/>
    <s v="522"/>
    <s v="264"/>
    <s v="3363"/>
    <s v="G"/>
    <s v="00"/>
    <x v="5"/>
    <n v="0"/>
    <n v="586.79999999999995"/>
    <n v="0"/>
    <n v="-586.79999999999995"/>
    <n v="0"/>
    <x v="32"/>
  </r>
  <r>
    <x v="0"/>
    <s v="1213"/>
    <s v="522"/>
    <s v="264"/>
    <s v="3370"/>
    <s v="G"/>
    <s v="00"/>
    <x v="5"/>
    <n v="0"/>
    <n v="380.7"/>
    <n v="0"/>
    <n v="-380.7"/>
    <n v="0"/>
    <x v="34"/>
  </r>
  <r>
    <x v="0"/>
    <s v="1213"/>
    <s v="522"/>
    <s v="264"/>
    <s v="3413"/>
    <s v="G"/>
    <s v="00"/>
    <x v="5"/>
    <n v="0"/>
    <n v="1622.6"/>
    <n v="0"/>
    <n v="-1622.6"/>
    <n v="0"/>
    <x v="44"/>
  </r>
  <r>
    <x v="0"/>
    <s v="1213"/>
    <s v="522"/>
    <s v="264"/>
    <s v="3465"/>
    <s v="G"/>
    <s v="00"/>
    <x v="5"/>
    <n v="0"/>
    <n v="231.8"/>
    <n v="0"/>
    <n v="-231.8"/>
    <n v="0"/>
    <x v="21"/>
  </r>
  <r>
    <x v="0"/>
    <s v="1213"/>
    <s v="522"/>
    <s v="264"/>
    <s v="3357"/>
    <s v="G"/>
    <s v="20"/>
    <x v="5"/>
    <n v="0"/>
    <n v="1066.77"/>
    <n v="0"/>
    <n v="-1066.77"/>
    <n v="0"/>
    <x v="6"/>
  </r>
  <r>
    <x v="0"/>
    <s v="1213"/>
    <s v="522"/>
    <s v="264"/>
    <s v="3417"/>
    <s v="G"/>
    <s v="10"/>
    <x v="5"/>
    <n v="0"/>
    <n v="324.89"/>
    <n v="0"/>
    <n v="-324.89"/>
    <n v="0"/>
    <x v="46"/>
  </r>
  <r>
    <x v="0"/>
    <s v="1213"/>
    <s v="522"/>
    <s v="264"/>
    <s v="3433"/>
    <s v="G"/>
    <s v="10"/>
    <x v="5"/>
    <n v="0"/>
    <n v="453.6"/>
    <n v="0"/>
    <n v="-453.6"/>
    <n v="0"/>
    <x v="55"/>
  </r>
  <r>
    <x v="0"/>
    <s v="1213"/>
    <s v="522"/>
    <s v="264"/>
    <s v="3445"/>
    <s v="G"/>
    <s v="10"/>
    <x v="5"/>
    <n v="0"/>
    <n v="37.26"/>
    <n v="0"/>
    <n v="-37.26"/>
    <n v="0"/>
    <x v="65"/>
  </r>
  <r>
    <x v="0"/>
    <s v="1213"/>
    <s v="522"/>
    <s v="264"/>
    <s v="3456"/>
    <s v="G"/>
    <s v="10"/>
    <x v="5"/>
    <n v="0"/>
    <n v="0"/>
    <n v="0"/>
    <n v="0"/>
    <n v="0"/>
    <x v="72"/>
  </r>
  <r>
    <x v="0"/>
    <s v="1213"/>
    <s v="522"/>
    <s v="264"/>
    <s v="3458"/>
    <s v="G"/>
    <s v="10"/>
    <x v="5"/>
    <n v="0"/>
    <n v="7.45"/>
    <n v="0"/>
    <n v="-7.45"/>
    <n v="0"/>
    <x v="73"/>
  </r>
  <r>
    <x v="0"/>
    <s v="1213"/>
    <s v="522"/>
    <s v="264"/>
    <s v="3461"/>
    <s v="G"/>
    <s v="00"/>
    <x v="5"/>
    <n v="0"/>
    <n v="-320"/>
    <n v="0"/>
    <n v="320"/>
    <n v="0"/>
    <x v="75"/>
  </r>
  <r>
    <x v="0"/>
    <s v="1213"/>
    <s v="522"/>
    <s v="264"/>
    <s v="3465"/>
    <s v="G"/>
    <s v="10"/>
    <x v="5"/>
    <n v="0"/>
    <n v="22.36"/>
    <n v="0"/>
    <n v="-22.36"/>
    <n v="0"/>
    <x v="21"/>
  </r>
  <r>
    <x v="0"/>
    <s v="1213"/>
    <s v="522"/>
    <s v="264"/>
    <s v="3330"/>
    <s v="G"/>
    <s v="70"/>
    <x v="5"/>
    <n v="0"/>
    <n v="443.1"/>
    <n v="0"/>
    <n v="-443.1"/>
    <n v="0"/>
    <x v="26"/>
  </r>
  <r>
    <x v="0"/>
    <s v="1213"/>
    <s v="522"/>
    <s v="264"/>
    <s v="3354"/>
    <s v="G"/>
    <s v="70"/>
    <x v="5"/>
    <n v="0"/>
    <n v="403.94"/>
    <n v="0"/>
    <n v="-403.94"/>
    <n v="0"/>
    <x v="29"/>
  </r>
  <r>
    <x v="0"/>
    <s v="1213"/>
    <s v="522"/>
    <s v="264"/>
    <s v="3355"/>
    <s v="G"/>
    <s v="00"/>
    <x v="5"/>
    <n v="0"/>
    <n v="547"/>
    <n v="0"/>
    <n v="-547"/>
    <n v="0"/>
    <x v="30"/>
  </r>
  <r>
    <x v="0"/>
    <s v="1213"/>
    <s v="522"/>
    <s v="264"/>
    <s v="3355"/>
    <s v="G"/>
    <s v="10"/>
    <x v="5"/>
    <n v="0"/>
    <n v="100.36"/>
    <n v="0"/>
    <n v="-100.36"/>
    <n v="0"/>
    <x v="30"/>
  </r>
  <r>
    <x v="0"/>
    <s v="1213"/>
    <s v="522"/>
    <s v="264"/>
    <s v="3355"/>
    <s v="G"/>
    <s v="30"/>
    <x v="5"/>
    <n v="0"/>
    <n v="375.94"/>
    <n v="0"/>
    <n v="-375.94"/>
    <n v="0"/>
    <x v="30"/>
  </r>
  <r>
    <x v="0"/>
    <s v="1213"/>
    <s v="522"/>
    <s v="264"/>
    <s v="3355"/>
    <s v="G"/>
    <s v="60"/>
    <x v="5"/>
    <n v="0"/>
    <n v="150"/>
    <n v="0"/>
    <n v="-150"/>
    <n v="0"/>
    <x v="30"/>
  </r>
  <r>
    <x v="0"/>
    <s v="1213"/>
    <s v="522"/>
    <s v="264"/>
    <s v="3355"/>
    <s v="G"/>
    <s v="70"/>
    <x v="5"/>
    <n v="0"/>
    <n v="341.21"/>
    <n v="0"/>
    <n v="-341.21"/>
    <n v="0"/>
    <x v="30"/>
  </r>
  <r>
    <x v="0"/>
    <s v="1213"/>
    <s v="522"/>
    <s v="264"/>
    <s v="3367"/>
    <s v="G"/>
    <s v="60"/>
    <x v="5"/>
    <n v="0"/>
    <n v="0"/>
    <n v="0"/>
    <n v="0"/>
    <n v="0"/>
    <x v="7"/>
  </r>
  <r>
    <x v="0"/>
    <s v="1213"/>
    <s v="522"/>
    <s v="264"/>
    <s v="3370"/>
    <s v="G"/>
    <s v="10"/>
    <x v="5"/>
    <n v="0"/>
    <n v="7.5"/>
    <n v="0"/>
    <n v="-7.5"/>
    <n v="0"/>
    <x v="34"/>
  </r>
  <r>
    <x v="0"/>
    <s v="1213"/>
    <s v="522"/>
    <s v="264"/>
    <s v="3370"/>
    <s v="G"/>
    <s v="30"/>
    <x v="5"/>
    <n v="0"/>
    <n v="59.86"/>
    <n v="0"/>
    <n v="-59.86"/>
    <n v="0"/>
    <x v="34"/>
  </r>
  <r>
    <x v="0"/>
    <s v="1213"/>
    <s v="522"/>
    <s v="264"/>
    <s v="3410"/>
    <s v="G"/>
    <s v="00"/>
    <x v="5"/>
    <n v="0"/>
    <n v="17.5"/>
    <n v="0"/>
    <n v="-17.5"/>
    <n v="0"/>
    <x v="10"/>
  </r>
  <r>
    <x v="0"/>
    <s v="1213"/>
    <s v="522"/>
    <s v="264"/>
    <s v="3410"/>
    <s v="G"/>
    <s v="10"/>
    <x v="5"/>
    <n v="0"/>
    <n v="8.1"/>
    <n v="0"/>
    <n v="-8.1"/>
    <n v="0"/>
    <x v="10"/>
  </r>
  <r>
    <x v="0"/>
    <s v="1213"/>
    <s v="522"/>
    <s v="264"/>
    <s v="3410"/>
    <s v="G"/>
    <s v="50"/>
    <x v="5"/>
    <n v="0"/>
    <n v="10"/>
    <n v="0"/>
    <n v="-10"/>
    <n v="0"/>
    <x v="10"/>
  </r>
  <r>
    <x v="0"/>
    <s v="1213"/>
    <s v="522"/>
    <s v="264"/>
    <s v="3413"/>
    <s v="G"/>
    <s v="10"/>
    <x v="5"/>
    <n v="0"/>
    <n v="24.93"/>
    <n v="0"/>
    <n v="-24.93"/>
    <n v="0"/>
    <x v="44"/>
  </r>
  <r>
    <x v="0"/>
    <s v="1213"/>
    <s v="522"/>
    <s v="264"/>
    <s v="3413"/>
    <s v="G"/>
    <s v="30"/>
    <x v="5"/>
    <n v="0"/>
    <n v="509.13"/>
    <n v="0"/>
    <n v="-509.13"/>
    <n v="0"/>
    <x v="44"/>
  </r>
  <r>
    <x v="0"/>
    <s v="1213"/>
    <s v="522"/>
    <s v="264"/>
    <s v="3415"/>
    <s v="G"/>
    <s v="00"/>
    <x v="5"/>
    <n v="0"/>
    <n v="28.14"/>
    <n v="0"/>
    <n v="-28.14"/>
    <n v="0"/>
    <x v="45"/>
  </r>
  <r>
    <x v="0"/>
    <s v="1213"/>
    <s v="522"/>
    <s v="264"/>
    <s v="3417"/>
    <s v="G"/>
    <s v="10"/>
    <x v="5"/>
    <n v="0"/>
    <n v="22.5"/>
    <n v="0"/>
    <n v="-22.5"/>
    <n v="0"/>
    <x v="46"/>
  </r>
  <r>
    <x v="0"/>
    <s v="1213"/>
    <s v="522"/>
    <s v="264"/>
    <s v="3417"/>
    <s v="G"/>
    <s v="30"/>
    <x v="5"/>
    <n v="0"/>
    <n v="196.07"/>
    <n v="0"/>
    <n v="-196.07"/>
    <n v="0"/>
    <x v="46"/>
  </r>
  <r>
    <x v="0"/>
    <s v="1213"/>
    <s v="522"/>
    <s v="264"/>
    <s v="3417"/>
    <s v="G"/>
    <s v="60"/>
    <x v="5"/>
    <n v="0"/>
    <n v="182.5"/>
    <n v="0"/>
    <n v="-182.5"/>
    <n v="0"/>
    <x v="46"/>
  </r>
  <r>
    <x v="0"/>
    <s v="1213"/>
    <s v="522"/>
    <s v="264"/>
    <s v="3417"/>
    <s v="G"/>
    <s v="70"/>
    <x v="5"/>
    <n v="0"/>
    <n v="244.81"/>
    <n v="0"/>
    <n v="-244.81"/>
    <n v="0"/>
    <x v="46"/>
  </r>
  <r>
    <x v="0"/>
    <s v="1213"/>
    <s v="522"/>
    <s v="264"/>
    <s v="3424"/>
    <s v="G"/>
    <s v="50"/>
    <x v="5"/>
    <n v="0"/>
    <n v="0"/>
    <n v="0"/>
    <n v="0"/>
    <n v="0"/>
    <x v="14"/>
  </r>
  <r>
    <x v="0"/>
    <s v="1213"/>
    <s v="522"/>
    <s v="264"/>
    <s v="3430"/>
    <s v="G"/>
    <s v="10"/>
    <x v="5"/>
    <n v="0"/>
    <n v="0"/>
    <n v="0"/>
    <n v="0"/>
    <n v="0"/>
    <x v="18"/>
  </r>
  <r>
    <x v="0"/>
    <s v="1213"/>
    <s v="522"/>
    <s v="264"/>
    <s v="3430"/>
    <s v="G"/>
    <s v="60"/>
    <x v="5"/>
    <n v="0"/>
    <n v="43.98"/>
    <n v="0"/>
    <n v="-43.98"/>
    <n v="0"/>
    <x v="18"/>
  </r>
  <r>
    <x v="0"/>
    <s v="1213"/>
    <s v="522"/>
    <s v="264"/>
    <s v="3435"/>
    <s v="G"/>
    <s v="30"/>
    <x v="5"/>
    <n v="0"/>
    <n v="174.03"/>
    <n v="0"/>
    <n v="-174.03"/>
    <n v="0"/>
    <x v="56"/>
  </r>
  <r>
    <x v="0"/>
    <s v="1213"/>
    <s v="522"/>
    <s v="264"/>
    <s v="3436"/>
    <s v="G"/>
    <s v="00"/>
    <x v="5"/>
    <n v="0"/>
    <n v="320"/>
    <n v="0"/>
    <n v="-320"/>
    <n v="0"/>
    <x v="57"/>
  </r>
  <r>
    <x v="0"/>
    <s v="1213"/>
    <s v="522"/>
    <s v="264"/>
    <s v="3436"/>
    <s v="G"/>
    <s v="20"/>
    <x v="5"/>
    <n v="0"/>
    <n v="1900"/>
    <n v="0"/>
    <n v="-1900"/>
    <n v="0"/>
    <x v="57"/>
  </r>
  <r>
    <x v="0"/>
    <s v="1213"/>
    <s v="522"/>
    <s v="264"/>
    <s v="3446"/>
    <s v="G"/>
    <s v="00"/>
    <x v="5"/>
    <n v="0"/>
    <n v="31.01"/>
    <n v="0"/>
    <n v="-31.01"/>
    <n v="0"/>
    <x v="66"/>
  </r>
  <r>
    <x v="0"/>
    <s v="1213"/>
    <s v="522"/>
    <s v="264"/>
    <s v="3446"/>
    <s v="G"/>
    <s v="10"/>
    <x v="5"/>
    <n v="0"/>
    <n v="128.41999999999999"/>
    <n v="0"/>
    <n v="-128.41999999999999"/>
    <n v="0"/>
    <x v="66"/>
  </r>
  <r>
    <x v="0"/>
    <s v="1213"/>
    <s v="522"/>
    <s v="264"/>
    <s v="3446"/>
    <s v="G"/>
    <s v="70"/>
    <x v="5"/>
    <n v="0"/>
    <n v="362.71"/>
    <n v="0"/>
    <n v="-362.71"/>
    <n v="0"/>
    <x v="66"/>
  </r>
  <r>
    <x v="0"/>
    <s v="1213"/>
    <s v="522"/>
    <s v="264"/>
    <s v="3456"/>
    <s v="G"/>
    <s v="10"/>
    <x v="5"/>
    <n v="0"/>
    <n v="11"/>
    <n v="0"/>
    <n v="-11"/>
    <n v="0"/>
    <x v="72"/>
  </r>
  <r>
    <x v="0"/>
    <s v="1213"/>
    <s v="522"/>
    <s v="264"/>
    <s v="3457"/>
    <s v="G"/>
    <s v="10"/>
    <x v="5"/>
    <n v="0"/>
    <n v="18.260000000000002"/>
    <n v="0"/>
    <n v="-18.260000000000002"/>
    <n v="0"/>
    <x v="19"/>
  </r>
  <r>
    <x v="0"/>
    <s v="1213"/>
    <s v="522"/>
    <s v="264"/>
    <s v="3457"/>
    <s v="G"/>
    <s v="50"/>
    <x v="5"/>
    <n v="0"/>
    <n v="25"/>
    <n v="0"/>
    <n v="-25"/>
    <n v="0"/>
    <x v="19"/>
  </r>
  <r>
    <x v="0"/>
    <s v="1213"/>
    <s v="522"/>
    <s v="264"/>
    <s v="3457"/>
    <s v="G"/>
    <s v="70"/>
    <x v="5"/>
    <n v="0"/>
    <n v="339.12"/>
    <n v="0"/>
    <n v="-339.12"/>
    <n v="0"/>
    <x v="19"/>
  </r>
  <r>
    <x v="0"/>
    <s v="1213"/>
    <s v="522"/>
    <s v="264"/>
    <s v="3458"/>
    <s v="G"/>
    <s v="30"/>
    <x v="5"/>
    <n v="0"/>
    <n v="174.04"/>
    <n v="0"/>
    <n v="-174.04"/>
    <n v="0"/>
    <x v="73"/>
  </r>
  <r>
    <x v="0"/>
    <s v="1213"/>
    <s v="522"/>
    <s v="264"/>
    <s v="3461"/>
    <s v="G"/>
    <s v="10"/>
    <x v="5"/>
    <n v="0"/>
    <n v="30"/>
    <n v="0"/>
    <n v="-30"/>
    <n v="0"/>
    <x v="75"/>
  </r>
  <r>
    <x v="0"/>
    <s v="1213"/>
    <s v="522"/>
    <s v="264"/>
    <s v="3461"/>
    <s v="G"/>
    <s v="60"/>
    <x v="5"/>
    <n v="0"/>
    <n v="302"/>
    <n v="0"/>
    <n v="-302"/>
    <n v="0"/>
    <x v="75"/>
  </r>
  <r>
    <x v="0"/>
    <s v="1213"/>
    <s v="522"/>
    <s v="264"/>
    <s v="3462"/>
    <s v="G"/>
    <s v="00"/>
    <x v="5"/>
    <n v="0"/>
    <n v="699.25"/>
    <n v="0"/>
    <n v="-699.25"/>
    <n v="0"/>
    <x v="76"/>
  </r>
  <r>
    <x v="0"/>
    <s v="1213"/>
    <s v="522"/>
    <s v="264"/>
    <s v="3462"/>
    <s v="G"/>
    <s v="50"/>
    <x v="5"/>
    <n v="0"/>
    <n v="5"/>
    <n v="0"/>
    <n v="-5"/>
    <n v="0"/>
    <x v="76"/>
  </r>
  <r>
    <x v="0"/>
    <s v="1213"/>
    <s v="522"/>
    <s v="264"/>
    <s v="3464"/>
    <s v="G"/>
    <s v="10"/>
    <x v="5"/>
    <n v="0"/>
    <n v="-37.96"/>
    <n v="0"/>
    <n v="37.96"/>
    <n v="0"/>
    <x v="20"/>
  </r>
  <r>
    <x v="0"/>
    <s v="1213"/>
    <s v="522"/>
    <s v="264"/>
    <s v="3465"/>
    <s v="G"/>
    <s v="30"/>
    <x v="5"/>
    <n v="0"/>
    <n v="174.04"/>
    <n v="0"/>
    <n v="-174.04"/>
    <n v="0"/>
    <x v="21"/>
  </r>
  <r>
    <x v="0"/>
    <s v="1213"/>
    <s v="522"/>
    <s v="264"/>
    <s v="3330"/>
    <s v="G"/>
    <s v="00"/>
    <x v="5"/>
    <n v="0"/>
    <n v="1471.1"/>
    <n v="0"/>
    <n v="-1471.1"/>
    <n v="0"/>
    <x v="26"/>
  </r>
  <r>
    <x v="0"/>
    <s v="1213"/>
    <s v="522"/>
    <s v="264"/>
    <s v="3354"/>
    <s v="G"/>
    <s v="00"/>
    <x v="5"/>
    <n v="0"/>
    <n v="2776.42"/>
    <n v="0"/>
    <n v="-2776.42"/>
    <n v="0"/>
    <x v="29"/>
  </r>
  <r>
    <x v="0"/>
    <s v="1213"/>
    <s v="522"/>
    <s v="264"/>
    <s v="3355"/>
    <s v="G"/>
    <s v="00"/>
    <x v="5"/>
    <n v="0"/>
    <n v="5199.97"/>
    <n v="0"/>
    <n v="-5199.97"/>
    <n v="0"/>
    <x v="30"/>
  </r>
  <r>
    <x v="0"/>
    <s v="1213"/>
    <s v="522"/>
    <s v="264"/>
    <s v="3357"/>
    <s v="G"/>
    <s v="00"/>
    <x v="5"/>
    <n v="0"/>
    <n v="2955.84"/>
    <n v="0"/>
    <n v="-2955.84"/>
    <n v="0"/>
    <x v="6"/>
  </r>
  <r>
    <x v="0"/>
    <s v="1213"/>
    <s v="522"/>
    <s v="264"/>
    <s v="3367"/>
    <s v="G"/>
    <s v="00"/>
    <x v="5"/>
    <n v="0"/>
    <n v="366.24"/>
    <n v="0"/>
    <n v="-366.24"/>
    <n v="0"/>
    <x v="7"/>
  </r>
  <r>
    <x v="0"/>
    <s v="1213"/>
    <s v="522"/>
    <s v="264"/>
    <s v="3417"/>
    <s v="G"/>
    <s v="00"/>
    <x v="5"/>
    <n v="0"/>
    <n v="3091.75"/>
    <n v="0"/>
    <n v="-3091.75"/>
    <n v="0"/>
    <x v="46"/>
  </r>
  <r>
    <x v="0"/>
    <s v="1213"/>
    <s v="522"/>
    <s v="264"/>
    <s v="3430"/>
    <s v="G"/>
    <s v="00"/>
    <x v="5"/>
    <n v="0"/>
    <n v="1435.19"/>
    <n v="0"/>
    <n v="-1435.19"/>
    <n v="0"/>
    <x v="18"/>
  </r>
  <r>
    <x v="0"/>
    <s v="1213"/>
    <s v="522"/>
    <s v="264"/>
    <s v="3446"/>
    <s v="G"/>
    <s v="00"/>
    <x v="5"/>
    <n v="0"/>
    <n v="1645.89"/>
    <n v="0"/>
    <n v="-1645.89"/>
    <n v="0"/>
    <x v="66"/>
  </r>
  <r>
    <x v="0"/>
    <s v="1213"/>
    <s v="522"/>
    <s v="264"/>
    <s v="3457"/>
    <s v="G"/>
    <s v="00"/>
    <x v="5"/>
    <n v="0"/>
    <n v="829.76"/>
    <n v="0"/>
    <n v="-829.76"/>
    <n v="0"/>
    <x v="19"/>
  </r>
  <r>
    <x v="0"/>
    <s v="1213"/>
    <s v="522"/>
    <s v="264"/>
    <s v="3461"/>
    <s v="G"/>
    <s v="00"/>
    <x v="5"/>
    <n v="0"/>
    <n v="3177.73"/>
    <n v="0"/>
    <n v="-3177.73"/>
    <n v="0"/>
    <x v="75"/>
  </r>
  <r>
    <x v="0"/>
    <s v="1213"/>
    <s v="522"/>
    <s v="264"/>
    <s v="3464"/>
    <s v="G"/>
    <s v="00"/>
    <x v="5"/>
    <n v="0"/>
    <n v="0"/>
    <n v="0"/>
    <n v="0"/>
    <n v="0"/>
    <x v="20"/>
  </r>
  <r>
    <x v="0"/>
    <s v="1213"/>
    <s v="522"/>
    <s v="264"/>
    <s v="3355"/>
    <s v="G"/>
    <s v="00"/>
    <x v="5"/>
    <n v="0"/>
    <n v="612"/>
    <n v="0"/>
    <n v="-612"/>
    <n v="0"/>
    <x v="30"/>
  </r>
  <r>
    <x v="0"/>
    <s v="1213"/>
    <s v="522"/>
    <s v="264"/>
    <s v="3363"/>
    <s v="G"/>
    <s v="00"/>
    <x v="5"/>
    <n v="0"/>
    <n v="435.2"/>
    <n v="0"/>
    <n v="-435.2"/>
    <n v="0"/>
    <x v="32"/>
  </r>
  <r>
    <x v="0"/>
    <s v="1213"/>
    <s v="522"/>
    <s v="264"/>
    <s v="3367"/>
    <s v="G"/>
    <s v="00"/>
    <x v="5"/>
    <n v="0"/>
    <n v="0"/>
    <n v="0"/>
    <n v="0"/>
    <n v="0"/>
    <x v="7"/>
  </r>
  <r>
    <x v="0"/>
    <s v="1213"/>
    <s v="522"/>
    <s v="264"/>
    <s v="3417"/>
    <s v="G"/>
    <s v="00"/>
    <x v="5"/>
    <n v="0"/>
    <n v="4949"/>
    <n v="0"/>
    <n v="-4949"/>
    <n v="0"/>
    <x v="46"/>
  </r>
  <r>
    <x v="0"/>
    <s v="1213"/>
    <s v="522"/>
    <s v="264"/>
    <s v="3430"/>
    <s v="G"/>
    <s v="00"/>
    <x v="5"/>
    <n v="0"/>
    <n v="632.19000000000005"/>
    <n v="0"/>
    <n v="-632.19000000000005"/>
    <n v="0"/>
    <x v="18"/>
  </r>
  <r>
    <x v="0"/>
    <s v="1213"/>
    <s v="522"/>
    <s v="264"/>
    <s v="3446"/>
    <s v="G"/>
    <s v="00"/>
    <x v="5"/>
    <n v="0"/>
    <n v="1853.6"/>
    <n v="0"/>
    <n v="-1853.6"/>
    <n v="0"/>
    <x v="66"/>
  </r>
  <r>
    <x v="0"/>
    <s v="1213"/>
    <s v="522"/>
    <s v="264"/>
    <s v="3461"/>
    <s v="G"/>
    <s v="00"/>
    <x v="5"/>
    <n v="0"/>
    <n v="5179.8"/>
    <n v="0"/>
    <n v="-5179.8"/>
    <n v="0"/>
    <x v="75"/>
  </r>
  <r>
    <x v="0"/>
    <s v="1213"/>
    <s v="522"/>
    <s v="264"/>
    <s v="3221"/>
    <s v="0622"/>
    <m/>
    <x v="6"/>
    <n v="0"/>
    <n v="350000"/>
    <n v="0"/>
    <n v="-350000"/>
    <n v="0"/>
    <x v="0"/>
  </r>
  <r>
    <x v="0"/>
    <s v="1213"/>
    <s v="522"/>
    <s v="264"/>
    <s v="3310"/>
    <s v="0621"/>
    <m/>
    <x v="6"/>
    <n v="0"/>
    <n v="0"/>
    <n v="0"/>
    <n v="0"/>
    <n v="0"/>
    <x v="1"/>
  </r>
  <r>
    <x v="0"/>
    <s v="1213"/>
    <s v="522"/>
    <s v="264"/>
    <s v="3310"/>
    <s v="0622"/>
    <m/>
    <x v="6"/>
    <n v="0"/>
    <n v="59000"/>
    <n v="0"/>
    <n v="-59000"/>
    <n v="0"/>
    <x v="1"/>
  </r>
  <r>
    <x v="0"/>
    <s v="1213"/>
    <s v="522"/>
    <s v="264"/>
    <s v="3382"/>
    <s v="0622"/>
    <m/>
    <x v="6"/>
    <n v="0"/>
    <n v="78973.95"/>
    <n v="0"/>
    <n v="-78973.95"/>
    <n v="0"/>
    <x v="2"/>
  </r>
  <r>
    <x v="0"/>
    <s v="1213"/>
    <s v="522"/>
    <s v="264"/>
    <s v="3399"/>
    <s v="0621"/>
    <m/>
    <x v="6"/>
    <n v="0"/>
    <n v="0"/>
    <n v="0"/>
    <n v="0"/>
    <n v="0"/>
    <x v="91"/>
  </r>
  <r>
    <x v="0"/>
    <s v="1213"/>
    <s v="522"/>
    <s v="264"/>
    <s v="3402"/>
    <s v="0621"/>
    <m/>
    <x v="6"/>
    <n v="0"/>
    <n v="0"/>
    <n v="0"/>
    <n v="0"/>
    <n v="0"/>
    <x v="4"/>
  </r>
  <r>
    <x v="0"/>
    <s v="1213"/>
    <s v="522"/>
    <s v="264"/>
    <s v="3402"/>
    <s v="0622"/>
    <m/>
    <x v="6"/>
    <n v="0"/>
    <n v="25000"/>
    <n v="0"/>
    <n v="-25000"/>
    <n v="0"/>
    <x v="4"/>
  </r>
  <r>
    <x v="0"/>
    <s v="1213"/>
    <s v="522"/>
    <s v="264"/>
    <s v="3432"/>
    <s v="0622"/>
    <m/>
    <x v="6"/>
    <n v="0"/>
    <n v="0"/>
    <n v="0"/>
    <n v="0"/>
    <n v="0"/>
    <x v="54"/>
  </r>
  <r>
    <x v="0"/>
    <s v="1213"/>
    <s v="522"/>
    <s v="264"/>
    <s v="3499"/>
    <s v="0621"/>
    <m/>
    <x v="6"/>
    <n v="0"/>
    <n v="-62100"/>
    <n v="0"/>
    <n v="62100"/>
    <n v="0"/>
    <x v="92"/>
  </r>
  <r>
    <x v="0"/>
    <s v="1213"/>
    <s v="522"/>
    <s v="264"/>
    <s v="3221"/>
    <s v="0424"/>
    <s v="#A"/>
    <x v="7"/>
    <n v="0"/>
    <n v="-299.83"/>
    <n v="0"/>
    <n v="299.83"/>
    <n v="0"/>
    <x v="0"/>
  </r>
  <r>
    <x v="0"/>
    <s v="1213"/>
    <s v="522"/>
    <s v="264"/>
    <s v="3221"/>
    <s v="0424"/>
    <s v="#B"/>
    <x v="7"/>
    <n v="0"/>
    <n v="-253.68"/>
    <n v="0"/>
    <n v="253.68"/>
    <n v="0"/>
    <x v="0"/>
  </r>
  <r>
    <x v="0"/>
    <s v="1213"/>
    <s v="522"/>
    <s v="264"/>
    <s v="3221"/>
    <s v="0424"/>
    <s v="#G"/>
    <x v="7"/>
    <n v="0"/>
    <n v="-1306.47"/>
    <n v="0"/>
    <n v="1306.47"/>
    <n v="0"/>
    <x v="0"/>
  </r>
  <r>
    <x v="0"/>
    <s v="1213"/>
    <s v="522"/>
    <s v="264"/>
    <s v="3221"/>
    <s v="0424"/>
    <s v="#H"/>
    <x v="7"/>
    <n v="0"/>
    <n v="0"/>
    <n v="0"/>
    <n v="0"/>
    <n v="0"/>
    <x v="0"/>
  </r>
  <r>
    <x v="0"/>
    <s v="1213"/>
    <s v="522"/>
    <s v="264"/>
    <s v="3221"/>
    <s v="0424"/>
    <s v="#P"/>
    <x v="7"/>
    <n v="0"/>
    <n v="-374.87"/>
    <n v="0"/>
    <n v="374.87"/>
    <n v="0"/>
    <x v="0"/>
  </r>
  <r>
    <x v="0"/>
    <s v="1213"/>
    <s v="522"/>
    <s v="264"/>
    <s v="3221"/>
    <s v="0424"/>
    <s v="+1"/>
    <x v="7"/>
    <n v="0"/>
    <n v="-46.05"/>
    <n v="0"/>
    <n v="46.05"/>
    <n v="0"/>
    <x v="0"/>
  </r>
  <r>
    <x v="0"/>
    <s v="1213"/>
    <s v="522"/>
    <s v="264"/>
    <s v="3221"/>
    <s v="0424"/>
    <s v="+2"/>
    <x v="7"/>
    <n v="0"/>
    <n v="-32.89"/>
    <n v="0"/>
    <n v="32.89"/>
    <n v="0"/>
    <x v="0"/>
  </r>
  <r>
    <x v="0"/>
    <s v="1213"/>
    <s v="522"/>
    <s v="264"/>
    <s v="3221"/>
    <s v="0424"/>
    <s v="+A"/>
    <x v="7"/>
    <n v="0"/>
    <n v="-7338.55"/>
    <n v="0"/>
    <n v="7338.55"/>
    <n v="0"/>
    <x v="0"/>
  </r>
  <r>
    <x v="0"/>
    <s v="1213"/>
    <s v="522"/>
    <s v="264"/>
    <s v="3221"/>
    <s v="0424"/>
    <s v="+G"/>
    <x v="7"/>
    <n v="0"/>
    <n v="-12158.07"/>
    <n v="0"/>
    <n v="12158.07"/>
    <n v="0"/>
    <x v="0"/>
  </r>
  <r>
    <x v="0"/>
    <s v="1213"/>
    <s v="522"/>
    <s v="264"/>
    <s v="3221"/>
    <s v="0424"/>
    <s v="+H"/>
    <x v="7"/>
    <n v="0"/>
    <n v="-501.13"/>
    <n v="0"/>
    <n v="501.13"/>
    <n v="0"/>
    <x v="0"/>
  </r>
  <r>
    <x v="0"/>
    <s v="1213"/>
    <s v="522"/>
    <s v="264"/>
    <s v="3221"/>
    <s v="0424"/>
    <s v="+M"/>
    <x v="7"/>
    <n v="0"/>
    <n v="-1041.03"/>
    <n v="0"/>
    <n v="1041.03"/>
    <n v="0"/>
    <x v="0"/>
  </r>
  <r>
    <x v="0"/>
    <s v="1213"/>
    <s v="522"/>
    <s v="264"/>
    <s v="3221"/>
    <s v="0424"/>
    <s v="TN"/>
    <x v="7"/>
    <n v="0"/>
    <n v="-3135.56"/>
    <n v="0"/>
    <n v="3135.56"/>
    <n v="0"/>
    <x v="0"/>
  </r>
  <r>
    <x v="0"/>
    <s v="1213"/>
    <s v="522"/>
    <s v="264"/>
    <s v="3221"/>
    <s v="0424"/>
    <s v="TR"/>
    <x v="7"/>
    <n v="0"/>
    <n v="-106763.34"/>
    <n v="0"/>
    <n v="106763.34"/>
    <n v="0"/>
    <x v="0"/>
  </r>
  <r>
    <x v="0"/>
    <s v="1213"/>
    <s v="522"/>
    <s v="264"/>
    <s v="3329"/>
    <s v="0499"/>
    <s v="7F"/>
    <x v="7"/>
    <n v="0"/>
    <n v="0"/>
    <n v="0"/>
    <n v="0"/>
    <n v="0"/>
    <x v="25"/>
  </r>
  <r>
    <x v="0"/>
    <s v="1213"/>
    <s v="522"/>
    <s v="264"/>
    <s v="3330"/>
    <s v="0499"/>
    <s v="7E"/>
    <x v="7"/>
    <n v="0"/>
    <n v="-4435"/>
    <n v="0"/>
    <n v="4435"/>
    <n v="0"/>
    <x v="26"/>
  </r>
  <r>
    <x v="0"/>
    <s v="1213"/>
    <s v="522"/>
    <s v="264"/>
    <s v="3352"/>
    <s v="0499"/>
    <m/>
    <x v="7"/>
    <n v="0"/>
    <n v="0"/>
    <n v="0"/>
    <n v="0"/>
    <n v="0"/>
    <x v="27"/>
  </r>
  <r>
    <x v="0"/>
    <s v="1213"/>
    <s v="522"/>
    <s v="264"/>
    <s v="3352"/>
    <s v="0499"/>
    <s v="7P"/>
    <x v="7"/>
    <n v="0"/>
    <n v="-2000"/>
    <n v="0"/>
    <n v="2000"/>
    <n v="0"/>
    <x v="27"/>
  </r>
  <r>
    <x v="0"/>
    <s v="1213"/>
    <s v="522"/>
    <s v="264"/>
    <s v="3354"/>
    <s v="0499"/>
    <s v="7H"/>
    <x v="7"/>
    <n v="0"/>
    <n v="0"/>
    <n v="0"/>
    <n v="0"/>
    <n v="0"/>
    <x v="29"/>
  </r>
  <r>
    <x v="0"/>
    <s v="1213"/>
    <s v="522"/>
    <s v="264"/>
    <s v="3355"/>
    <s v="0499"/>
    <s v="7C"/>
    <x v="7"/>
    <n v="0"/>
    <n v="-1648.06"/>
    <n v="0"/>
    <n v="1648.06"/>
    <n v="0"/>
    <x v="30"/>
  </r>
  <r>
    <x v="0"/>
    <s v="1213"/>
    <s v="522"/>
    <s v="264"/>
    <s v="3357"/>
    <s v="0499"/>
    <s v="7O"/>
    <x v="7"/>
    <n v="0"/>
    <n v="-774"/>
    <n v="0"/>
    <n v="774"/>
    <n v="0"/>
    <x v="6"/>
  </r>
  <r>
    <x v="0"/>
    <s v="1213"/>
    <s v="522"/>
    <s v="264"/>
    <s v="3367"/>
    <s v="0499"/>
    <m/>
    <x v="7"/>
    <n v="0"/>
    <n v="0"/>
    <n v="0"/>
    <n v="0"/>
    <n v="0"/>
    <x v="7"/>
  </r>
  <r>
    <x v="0"/>
    <s v="1213"/>
    <s v="522"/>
    <s v="264"/>
    <s v="3370"/>
    <s v="0499"/>
    <m/>
    <x v="7"/>
    <n v="0"/>
    <n v="0"/>
    <n v="0"/>
    <n v="0"/>
    <n v="0"/>
    <x v="34"/>
  </r>
  <r>
    <x v="0"/>
    <s v="1213"/>
    <s v="522"/>
    <s v="264"/>
    <s v="3370"/>
    <s v="0499"/>
    <s v="7Q"/>
    <x v="7"/>
    <n v="0"/>
    <n v="-1203"/>
    <n v="0"/>
    <n v="1203"/>
    <n v="0"/>
    <x v="34"/>
  </r>
  <r>
    <x v="0"/>
    <s v="1213"/>
    <s v="522"/>
    <s v="264"/>
    <s v="3372"/>
    <s v="0402"/>
    <m/>
    <x v="7"/>
    <n v="0"/>
    <n v="-25"/>
    <n v="0"/>
    <n v="25"/>
    <n v="0"/>
    <x v="35"/>
  </r>
  <r>
    <x v="0"/>
    <s v="1213"/>
    <s v="522"/>
    <s v="264"/>
    <s v="3372"/>
    <s v="0499"/>
    <m/>
    <x v="7"/>
    <n v="0"/>
    <n v="-1590"/>
    <n v="0"/>
    <n v="1590"/>
    <n v="0"/>
    <x v="35"/>
  </r>
  <r>
    <x v="0"/>
    <s v="1213"/>
    <s v="522"/>
    <s v="264"/>
    <s v="3372"/>
    <s v="0499"/>
    <s v="7Y"/>
    <x v="7"/>
    <n v="0"/>
    <n v="-1309.93"/>
    <n v="0"/>
    <n v="1309.93"/>
    <n v="0"/>
    <x v="35"/>
  </r>
  <r>
    <x v="0"/>
    <s v="1213"/>
    <s v="522"/>
    <s v="264"/>
    <s v="3373"/>
    <s v="0402"/>
    <m/>
    <x v="7"/>
    <n v="0"/>
    <n v="-425"/>
    <n v="0"/>
    <n v="425"/>
    <n v="0"/>
    <x v="36"/>
  </r>
  <r>
    <x v="0"/>
    <s v="1213"/>
    <s v="522"/>
    <s v="264"/>
    <s v="3373"/>
    <s v="0430"/>
    <m/>
    <x v="7"/>
    <n v="0"/>
    <n v="-668"/>
    <n v="0"/>
    <n v="668"/>
    <n v="0"/>
    <x v="36"/>
  </r>
  <r>
    <x v="0"/>
    <s v="1213"/>
    <s v="522"/>
    <s v="264"/>
    <s v="3373"/>
    <s v="0499"/>
    <m/>
    <x v="7"/>
    <n v="0"/>
    <n v="-1881.61"/>
    <n v="0"/>
    <n v="1881.61"/>
    <n v="0"/>
    <x v="36"/>
  </r>
  <r>
    <x v="0"/>
    <s v="1213"/>
    <s v="522"/>
    <s v="264"/>
    <s v="3382"/>
    <s v="0424"/>
    <s v="#A"/>
    <x v="7"/>
    <n v="0"/>
    <n v="-171.28"/>
    <n v="0"/>
    <n v="171.28"/>
    <n v="0"/>
    <x v="2"/>
  </r>
  <r>
    <x v="0"/>
    <s v="1213"/>
    <s v="522"/>
    <s v="264"/>
    <s v="3382"/>
    <s v="0424"/>
    <s v="#B"/>
    <x v="7"/>
    <n v="0"/>
    <n v="-154.27000000000001"/>
    <n v="0"/>
    <n v="154.27000000000001"/>
    <n v="0"/>
    <x v="2"/>
  </r>
  <r>
    <x v="0"/>
    <s v="1213"/>
    <s v="522"/>
    <s v="264"/>
    <s v="3382"/>
    <s v="0424"/>
    <s v="#G"/>
    <x v="7"/>
    <n v="0"/>
    <n v="-708.38"/>
    <n v="0"/>
    <n v="708.38"/>
    <n v="0"/>
    <x v="2"/>
  </r>
  <r>
    <x v="0"/>
    <s v="1213"/>
    <s v="522"/>
    <s v="264"/>
    <s v="3382"/>
    <s v="0424"/>
    <s v="#H"/>
    <x v="7"/>
    <n v="0"/>
    <n v="0"/>
    <n v="0"/>
    <n v="0"/>
    <n v="0"/>
    <x v="2"/>
  </r>
  <r>
    <x v="0"/>
    <s v="1213"/>
    <s v="522"/>
    <s v="264"/>
    <s v="3382"/>
    <s v="0424"/>
    <s v="#P"/>
    <x v="7"/>
    <n v="0"/>
    <n v="-203.26"/>
    <n v="0"/>
    <n v="203.26"/>
    <n v="0"/>
    <x v="2"/>
  </r>
  <r>
    <x v="0"/>
    <s v="1213"/>
    <s v="522"/>
    <s v="264"/>
    <s v="3382"/>
    <s v="0424"/>
    <s v="+1"/>
    <x v="7"/>
    <n v="0"/>
    <n v="-26.58"/>
    <n v="0"/>
    <n v="26.58"/>
    <n v="0"/>
    <x v="2"/>
  </r>
  <r>
    <x v="0"/>
    <s v="1213"/>
    <s v="522"/>
    <s v="264"/>
    <s v="3382"/>
    <s v="0424"/>
    <s v="+2"/>
    <x v="7"/>
    <n v="0"/>
    <n v="-19.82"/>
    <n v="0"/>
    <n v="19.82"/>
    <n v="0"/>
    <x v="2"/>
  </r>
  <r>
    <x v="0"/>
    <s v="1213"/>
    <s v="522"/>
    <s v="264"/>
    <s v="3382"/>
    <s v="0424"/>
    <s v="+A"/>
    <x v="7"/>
    <n v="0"/>
    <n v="-4424.3900000000003"/>
    <n v="0"/>
    <n v="4424.3900000000003"/>
    <n v="0"/>
    <x v="2"/>
  </r>
  <r>
    <x v="0"/>
    <s v="1213"/>
    <s v="522"/>
    <s v="264"/>
    <s v="3382"/>
    <s v="0424"/>
    <s v="+G"/>
    <x v="7"/>
    <n v="0"/>
    <n v="-6976.41"/>
    <n v="0"/>
    <n v="6976.41"/>
    <n v="0"/>
    <x v="2"/>
  </r>
  <r>
    <x v="0"/>
    <s v="1213"/>
    <s v="522"/>
    <s v="264"/>
    <s v="3382"/>
    <s v="0424"/>
    <s v="+H"/>
    <x v="7"/>
    <n v="0"/>
    <n v="-287.41000000000003"/>
    <n v="0"/>
    <n v="287.41000000000003"/>
    <n v="0"/>
    <x v="2"/>
  </r>
  <r>
    <x v="0"/>
    <s v="1213"/>
    <s v="522"/>
    <s v="264"/>
    <s v="3382"/>
    <s v="0424"/>
    <s v="+M"/>
    <x v="7"/>
    <n v="0"/>
    <n v="-620.87"/>
    <n v="0"/>
    <n v="620.87"/>
    <n v="0"/>
    <x v="2"/>
  </r>
  <r>
    <x v="0"/>
    <s v="1213"/>
    <s v="522"/>
    <s v="264"/>
    <s v="3382"/>
    <s v="0424"/>
    <s v="TN"/>
    <x v="7"/>
    <n v="0"/>
    <n v="-1786.59"/>
    <n v="0"/>
    <n v="1786.59"/>
    <n v="0"/>
    <x v="2"/>
  </r>
  <r>
    <x v="0"/>
    <s v="1213"/>
    <s v="522"/>
    <s v="264"/>
    <s v="3382"/>
    <s v="0424"/>
    <s v="TR"/>
    <x v="7"/>
    <n v="0"/>
    <n v="-61680.07"/>
    <n v="0"/>
    <n v="61680.07"/>
    <n v="0"/>
    <x v="2"/>
  </r>
  <r>
    <x v="0"/>
    <s v="1213"/>
    <s v="522"/>
    <s v="264"/>
    <s v="3383"/>
    <s v="0424"/>
    <s v="#A"/>
    <x v="7"/>
    <n v="0"/>
    <n v="-121.3"/>
    <n v="0"/>
    <n v="121.3"/>
    <n v="0"/>
    <x v="3"/>
  </r>
  <r>
    <x v="0"/>
    <s v="1213"/>
    <s v="522"/>
    <s v="264"/>
    <s v="3383"/>
    <s v="0424"/>
    <s v="#B"/>
    <x v="7"/>
    <n v="0"/>
    <n v="-102.64"/>
    <n v="0"/>
    <n v="102.64"/>
    <n v="0"/>
    <x v="3"/>
  </r>
  <r>
    <x v="0"/>
    <s v="1213"/>
    <s v="522"/>
    <s v="264"/>
    <s v="3383"/>
    <s v="0424"/>
    <s v="#G"/>
    <x v="7"/>
    <n v="0"/>
    <n v="-528.63"/>
    <n v="0"/>
    <n v="528.63"/>
    <n v="0"/>
    <x v="3"/>
  </r>
  <r>
    <x v="0"/>
    <s v="1213"/>
    <s v="522"/>
    <s v="264"/>
    <s v="3383"/>
    <s v="0424"/>
    <s v="#H"/>
    <x v="7"/>
    <n v="0"/>
    <n v="0"/>
    <n v="0"/>
    <n v="0"/>
    <n v="0"/>
    <x v="3"/>
  </r>
  <r>
    <x v="0"/>
    <s v="1213"/>
    <s v="522"/>
    <s v="264"/>
    <s v="3383"/>
    <s v="0424"/>
    <s v="#P"/>
    <x v="7"/>
    <n v="0"/>
    <n v="-151.69"/>
    <n v="0"/>
    <n v="151.69"/>
    <n v="0"/>
    <x v="3"/>
  </r>
  <r>
    <x v="0"/>
    <s v="1213"/>
    <s v="522"/>
    <s v="264"/>
    <s v="3383"/>
    <s v="0424"/>
    <s v="+1"/>
    <x v="7"/>
    <n v="0"/>
    <n v="-18.64"/>
    <n v="0"/>
    <n v="18.64"/>
    <n v="0"/>
    <x v="3"/>
  </r>
  <r>
    <x v="0"/>
    <s v="1213"/>
    <s v="522"/>
    <s v="264"/>
    <s v="3383"/>
    <s v="0424"/>
    <s v="+2"/>
    <x v="7"/>
    <n v="0"/>
    <n v="-13.3"/>
    <n v="0"/>
    <n v="13.3"/>
    <n v="0"/>
    <x v="3"/>
  </r>
  <r>
    <x v="0"/>
    <s v="1213"/>
    <s v="522"/>
    <s v="264"/>
    <s v="3383"/>
    <s v="0424"/>
    <s v="+A"/>
    <x v="7"/>
    <n v="0"/>
    <n v="-2969.34"/>
    <n v="0"/>
    <n v="2969.34"/>
    <n v="0"/>
    <x v="3"/>
  </r>
  <r>
    <x v="0"/>
    <s v="1213"/>
    <s v="522"/>
    <s v="264"/>
    <s v="3383"/>
    <s v="0424"/>
    <s v="+G"/>
    <x v="7"/>
    <n v="0"/>
    <n v="-4919.43"/>
    <n v="0"/>
    <n v="4919.43"/>
    <n v="0"/>
    <x v="3"/>
  </r>
  <r>
    <x v="0"/>
    <s v="1213"/>
    <s v="522"/>
    <s v="264"/>
    <s v="3383"/>
    <s v="0424"/>
    <s v="+H"/>
    <x v="7"/>
    <n v="0"/>
    <n v="-202.76"/>
    <n v="0"/>
    <n v="202.76"/>
    <n v="0"/>
    <x v="3"/>
  </r>
  <r>
    <x v="0"/>
    <s v="1213"/>
    <s v="522"/>
    <s v="264"/>
    <s v="3383"/>
    <s v="0424"/>
    <s v="+M"/>
    <x v="7"/>
    <n v="0"/>
    <n v="-421.2"/>
    <n v="0"/>
    <n v="421.2"/>
    <n v="0"/>
    <x v="3"/>
  </r>
  <r>
    <x v="0"/>
    <s v="1213"/>
    <s v="522"/>
    <s v="264"/>
    <s v="3383"/>
    <s v="0424"/>
    <s v="TN"/>
    <x v="7"/>
    <n v="0"/>
    <n v="-1268.67"/>
    <n v="0"/>
    <n v="1268.67"/>
    <n v="0"/>
    <x v="3"/>
  </r>
  <r>
    <x v="0"/>
    <s v="1213"/>
    <s v="522"/>
    <s v="264"/>
    <s v="3383"/>
    <s v="0424"/>
    <s v="TR"/>
    <x v="7"/>
    <n v="0"/>
    <n v="-43199.05"/>
    <n v="0"/>
    <n v="43199.05"/>
    <n v="0"/>
    <x v="3"/>
  </r>
  <r>
    <x v="0"/>
    <s v="1213"/>
    <s v="522"/>
    <s v="264"/>
    <s v="3399"/>
    <s v="0424"/>
    <s v="#A"/>
    <x v="7"/>
    <n v="0"/>
    <n v="-427.73"/>
    <n v="0"/>
    <n v="427.73"/>
    <n v="0"/>
    <x v="91"/>
  </r>
  <r>
    <x v="0"/>
    <s v="1213"/>
    <s v="522"/>
    <s v="264"/>
    <s v="3399"/>
    <s v="0424"/>
    <s v="#B"/>
    <x v="7"/>
    <n v="0"/>
    <n v="-361.87"/>
    <n v="0"/>
    <n v="361.87"/>
    <n v="0"/>
    <x v="91"/>
  </r>
  <r>
    <x v="0"/>
    <s v="1213"/>
    <s v="522"/>
    <s v="264"/>
    <s v="3399"/>
    <s v="0424"/>
    <s v="#G"/>
    <x v="7"/>
    <n v="0"/>
    <n v="-1863.82"/>
    <n v="0"/>
    <n v="1863.82"/>
    <n v="0"/>
    <x v="91"/>
  </r>
  <r>
    <x v="0"/>
    <s v="1213"/>
    <s v="522"/>
    <s v="264"/>
    <s v="3399"/>
    <s v="0424"/>
    <s v="#H"/>
    <x v="7"/>
    <n v="0"/>
    <n v="0"/>
    <n v="0"/>
    <n v="0"/>
    <n v="0"/>
    <x v="91"/>
  </r>
  <r>
    <x v="0"/>
    <s v="1213"/>
    <s v="522"/>
    <s v="264"/>
    <s v="3399"/>
    <s v="0424"/>
    <s v="#P"/>
    <x v="7"/>
    <n v="0"/>
    <n v="-534.80999999999995"/>
    <n v="0"/>
    <n v="534.80999999999995"/>
    <n v="0"/>
    <x v="91"/>
  </r>
  <r>
    <x v="0"/>
    <s v="1213"/>
    <s v="522"/>
    <s v="264"/>
    <s v="3399"/>
    <s v="0424"/>
    <s v="+1"/>
    <x v="7"/>
    <n v="0"/>
    <n v="-65.7"/>
    <n v="0"/>
    <n v="65.7"/>
    <n v="0"/>
    <x v="91"/>
  </r>
  <r>
    <x v="0"/>
    <s v="1213"/>
    <s v="522"/>
    <s v="264"/>
    <s v="3399"/>
    <s v="0424"/>
    <s v="+2"/>
    <x v="7"/>
    <n v="0"/>
    <n v="-46.95"/>
    <n v="0"/>
    <n v="46.95"/>
    <n v="0"/>
    <x v="91"/>
  </r>
  <r>
    <x v="0"/>
    <s v="1213"/>
    <s v="522"/>
    <s v="264"/>
    <s v="3399"/>
    <s v="0424"/>
    <s v="+A"/>
    <x v="7"/>
    <n v="0"/>
    <n v="-10469.120000000001"/>
    <n v="0"/>
    <n v="10469.120000000001"/>
    <n v="0"/>
    <x v="91"/>
  </r>
  <r>
    <x v="0"/>
    <s v="1213"/>
    <s v="522"/>
    <s v="264"/>
    <s v="3399"/>
    <s v="0424"/>
    <s v="+G"/>
    <x v="7"/>
    <n v="0"/>
    <n v="-17344.55"/>
    <n v="0"/>
    <n v="17344.55"/>
    <n v="0"/>
    <x v="91"/>
  </r>
  <r>
    <x v="0"/>
    <s v="1213"/>
    <s v="522"/>
    <s v="264"/>
    <s v="3399"/>
    <s v="0424"/>
    <s v="+H"/>
    <x v="7"/>
    <n v="0"/>
    <n v="-714.9"/>
    <n v="0"/>
    <n v="714.9"/>
    <n v="0"/>
    <x v="91"/>
  </r>
  <r>
    <x v="0"/>
    <s v="1213"/>
    <s v="522"/>
    <s v="264"/>
    <s v="3399"/>
    <s v="0424"/>
    <s v="+M"/>
    <x v="7"/>
    <n v="0"/>
    <n v="-1485.08"/>
    <n v="0"/>
    <n v="1485.08"/>
    <n v="0"/>
    <x v="91"/>
  </r>
  <r>
    <x v="0"/>
    <s v="1213"/>
    <s v="522"/>
    <s v="264"/>
    <s v="3399"/>
    <s v="0424"/>
    <s v="TN"/>
    <x v="7"/>
    <n v="0"/>
    <n v="-4473.16"/>
    <n v="0"/>
    <n v="4473.16"/>
    <n v="0"/>
    <x v="91"/>
  </r>
  <r>
    <x v="0"/>
    <s v="1213"/>
    <s v="522"/>
    <s v="264"/>
    <s v="3399"/>
    <s v="0424"/>
    <s v="TR"/>
    <x v="7"/>
    <n v="0"/>
    <n v="-152307.43"/>
    <n v="0"/>
    <n v="152307.43"/>
    <n v="0"/>
    <x v="91"/>
  </r>
  <r>
    <x v="0"/>
    <s v="1213"/>
    <s v="522"/>
    <s v="264"/>
    <s v="3406"/>
    <s v="0499"/>
    <m/>
    <x v="7"/>
    <n v="0"/>
    <n v="406"/>
    <n v="0"/>
    <n v="-406"/>
    <n v="0"/>
    <x v="39"/>
  </r>
  <r>
    <x v="0"/>
    <s v="1213"/>
    <s v="522"/>
    <s v="264"/>
    <s v="3406"/>
    <s v="0499"/>
    <s v="OB"/>
    <x v="7"/>
    <n v="0"/>
    <n v="-406"/>
    <n v="0"/>
    <n v="406"/>
    <n v="0"/>
    <x v="39"/>
  </r>
  <r>
    <x v="0"/>
    <s v="1213"/>
    <s v="522"/>
    <s v="264"/>
    <s v="3410"/>
    <s v="0499"/>
    <m/>
    <x v="7"/>
    <n v="0"/>
    <n v="0"/>
    <n v="0"/>
    <n v="0"/>
    <n v="0"/>
    <x v="10"/>
  </r>
  <r>
    <x v="0"/>
    <s v="1213"/>
    <s v="522"/>
    <s v="264"/>
    <s v="3418"/>
    <s v="0499"/>
    <m/>
    <x v="7"/>
    <n v="0"/>
    <n v="-510"/>
    <n v="0"/>
    <n v="510"/>
    <n v="0"/>
    <x v="12"/>
  </r>
  <r>
    <x v="0"/>
    <s v="1213"/>
    <s v="522"/>
    <s v="264"/>
    <s v="3420"/>
    <s v="0499"/>
    <m/>
    <x v="7"/>
    <n v="0"/>
    <n v="-12"/>
    <n v="0"/>
    <n v="12"/>
    <n v="0"/>
    <x v="48"/>
  </r>
  <r>
    <x v="0"/>
    <s v="1213"/>
    <s v="522"/>
    <s v="264"/>
    <s v="3425"/>
    <s v="0499"/>
    <m/>
    <x v="7"/>
    <n v="0"/>
    <n v="-375"/>
    <n v="0"/>
    <n v="375"/>
    <n v="0"/>
    <x v="51"/>
  </r>
  <r>
    <x v="0"/>
    <s v="1213"/>
    <s v="522"/>
    <s v="264"/>
    <s v="3426"/>
    <s v="0499"/>
    <m/>
    <x v="7"/>
    <n v="0"/>
    <n v="-503.4"/>
    <n v="0"/>
    <n v="503.4"/>
    <n v="0"/>
    <x v="15"/>
  </r>
  <r>
    <x v="0"/>
    <s v="1213"/>
    <s v="522"/>
    <s v="264"/>
    <s v="3428"/>
    <s v="0499"/>
    <m/>
    <x v="7"/>
    <n v="0"/>
    <n v="-91"/>
    <n v="0"/>
    <n v="91"/>
    <n v="0"/>
    <x v="16"/>
  </r>
  <r>
    <x v="0"/>
    <s v="1213"/>
    <s v="522"/>
    <s v="264"/>
    <s v="3433"/>
    <s v="0499"/>
    <m/>
    <x v="7"/>
    <n v="0"/>
    <n v="0"/>
    <n v="0"/>
    <n v="0"/>
    <n v="0"/>
    <x v="55"/>
  </r>
  <r>
    <x v="0"/>
    <s v="1213"/>
    <s v="522"/>
    <s v="264"/>
    <s v="3433"/>
    <s v="0499"/>
    <s v="7Z"/>
    <x v="7"/>
    <n v="0"/>
    <n v="-1440.75"/>
    <n v="0"/>
    <n v="1440.75"/>
    <n v="0"/>
    <x v="55"/>
  </r>
  <r>
    <x v="0"/>
    <s v="1213"/>
    <s v="522"/>
    <s v="264"/>
    <s v="3435"/>
    <s v="0499"/>
    <s v="7A"/>
    <x v="7"/>
    <n v="0"/>
    <n v="-280"/>
    <n v="0"/>
    <n v="280"/>
    <n v="0"/>
    <x v="56"/>
  </r>
  <r>
    <x v="0"/>
    <s v="1213"/>
    <s v="522"/>
    <s v="264"/>
    <s v="3436"/>
    <s v="0499"/>
    <m/>
    <x v="7"/>
    <n v="0"/>
    <n v="-1520"/>
    <n v="0"/>
    <n v="1520"/>
    <n v="0"/>
    <x v="57"/>
  </r>
  <r>
    <x v="0"/>
    <s v="1213"/>
    <s v="522"/>
    <s v="264"/>
    <s v="3437"/>
    <s v="0499"/>
    <s v="7K"/>
    <x v="7"/>
    <n v="0"/>
    <n v="0"/>
    <n v="0"/>
    <n v="0"/>
    <n v="0"/>
    <x v="58"/>
  </r>
  <r>
    <x v="0"/>
    <s v="1213"/>
    <s v="522"/>
    <s v="264"/>
    <s v="3441"/>
    <s v="0499"/>
    <m/>
    <x v="7"/>
    <n v="0"/>
    <n v="0"/>
    <n v="0"/>
    <n v="0"/>
    <n v="0"/>
    <x v="62"/>
  </r>
  <r>
    <x v="0"/>
    <s v="1213"/>
    <s v="522"/>
    <s v="264"/>
    <s v="3441"/>
    <s v="0499"/>
    <s v="76"/>
    <x v="7"/>
    <n v="0"/>
    <n v="-1158"/>
    <n v="0"/>
    <n v="1158"/>
    <n v="0"/>
    <x v="62"/>
  </r>
  <r>
    <x v="0"/>
    <s v="1213"/>
    <s v="522"/>
    <s v="264"/>
    <s v="3442"/>
    <s v="0499"/>
    <s v="7W"/>
    <x v="7"/>
    <n v="0"/>
    <n v="-160"/>
    <n v="0"/>
    <n v="160"/>
    <n v="0"/>
    <x v="63"/>
  </r>
  <r>
    <x v="0"/>
    <s v="1213"/>
    <s v="522"/>
    <s v="264"/>
    <s v="3443"/>
    <s v="0499"/>
    <m/>
    <x v="7"/>
    <n v="0"/>
    <n v="0"/>
    <n v="0"/>
    <n v="0"/>
    <n v="0"/>
    <x v="64"/>
  </r>
  <r>
    <x v="0"/>
    <s v="1213"/>
    <s v="522"/>
    <s v="264"/>
    <s v="3443"/>
    <s v="0499"/>
    <s v="7V"/>
    <x v="7"/>
    <n v="0"/>
    <n v="0"/>
    <n v="0"/>
    <n v="0"/>
    <n v="0"/>
    <x v="64"/>
  </r>
  <r>
    <x v="0"/>
    <s v="1213"/>
    <s v="522"/>
    <s v="264"/>
    <s v="3445"/>
    <s v="0499"/>
    <m/>
    <x v="7"/>
    <n v="0"/>
    <n v="-1067.75"/>
    <n v="0"/>
    <n v="1067.75"/>
    <n v="0"/>
    <x v="65"/>
  </r>
  <r>
    <x v="0"/>
    <s v="1213"/>
    <s v="522"/>
    <s v="264"/>
    <s v="3445"/>
    <s v="0499"/>
    <s v="7T"/>
    <x v="7"/>
    <n v="0"/>
    <n v="0"/>
    <n v="0"/>
    <n v="0"/>
    <n v="0"/>
    <x v="65"/>
  </r>
  <r>
    <x v="0"/>
    <s v="1213"/>
    <s v="522"/>
    <s v="264"/>
    <s v="3445"/>
    <s v="0541"/>
    <m/>
    <x v="7"/>
    <n v="0"/>
    <n v="0"/>
    <n v="0"/>
    <n v="0"/>
    <n v="0"/>
    <x v="65"/>
  </r>
  <r>
    <x v="0"/>
    <s v="1213"/>
    <s v="522"/>
    <s v="264"/>
    <s v="3446"/>
    <s v="0499"/>
    <s v="7S"/>
    <x v="7"/>
    <n v="0"/>
    <n v="-300"/>
    <n v="0"/>
    <n v="300"/>
    <n v="0"/>
    <x v="66"/>
  </r>
  <r>
    <x v="0"/>
    <s v="1213"/>
    <s v="522"/>
    <s v="264"/>
    <s v="3448"/>
    <s v="0499"/>
    <m/>
    <x v="7"/>
    <n v="0"/>
    <n v="-144"/>
    <n v="0"/>
    <n v="144"/>
    <n v="0"/>
    <x v="68"/>
  </r>
  <r>
    <x v="0"/>
    <s v="1213"/>
    <s v="522"/>
    <s v="264"/>
    <s v="3453"/>
    <s v="0499"/>
    <m/>
    <x v="7"/>
    <n v="0"/>
    <n v="0"/>
    <n v="0"/>
    <n v="0"/>
    <n v="0"/>
    <x v="70"/>
  </r>
  <r>
    <x v="0"/>
    <s v="1213"/>
    <s v="522"/>
    <s v="264"/>
    <s v="3453"/>
    <s v="0499"/>
    <s v="9J"/>
    <x v="7"/>
    <n v="0"/>
    <n v="-1004"/>
    <n v="0"/>
    <n v="1004"/>
    <n v="0"/>
    <x v="70"/>
  </r>
  <r>
    <x v="0"/>
    <s v="1213"/>
    <s v="522"/>
    <s v="264"/>
    <s v="3454"/>
    <s v="0499"/>
    <s v="9M"/>
    <x v="7"/>
    <n v="0"/>
    <n v="0"/>
    <n v="0"/>
    <n v="0"/>
    <n v="0"/>
    <x v="71"/>
  </r>
  <r>
    <x v="0"/>
    <s v="1213"/>
    <s v="522"/>
    <s v="264"/>
    <s v="3456"/>
    <s v="0499"/>
    <m/>
    <x v="7"/>
    <n v="0"/>
    <n v="0"/>
    <n v="0"/>
    <n v="0"/>
    <n v="0"/>
    <x v="72"/>
  </r>
  <r>
    <x v="0"/>
    <s v="1213"/>
    <s v="522"/>
    <s v="264"/>
    <s v="3457"/>
    <s v="0499"/>
    <m/>
    <x v="7"/>
    <n v="0"/>
    <n v="0"/>
    <n v="0"/>
    <n v="0"/>
    <n v="0"/>
    <x v="19"/>
  </r>
  <r>
    <x v="0"/>
    <s v="1213"/>
    <s v="522"/>
    <s v="264"/>
    <s v="3457"/>
    <s v="0499"/>
    <s v="78"/>
    <x v="7"/>
    <n v="0"/>
    <n v="-914.7"/>
    <n v="0"/>
    <n v="914.7"/>
    <n v="0"/>
    <x v="19"/>
  </r>
  <r>
    <x v="0"/>
    <s v="1213"/>
    <s v="522"/>
    <s v="264"/>
    <s v="3457"/>
    <s v="0499"/>
    <s v="7O"/>
    <x v="7"/>
    <n v="0"/>
    <n v="0"/>
    <n v="0"/>
    <n v="0"/>
    <n v="0"/>
    <x v="19"/>
  </r>
  <r>
    <x v="0"/>
    <s v="1213"/>
    <s v="522"/>
    <s v="264"/>
    <s v="3458"/>
    <s v="0499"/>
    <s v="7M"/>
    <x v="7"/>
    <n v="0"/>
    <n v="-546"/>
    <n v="0"/>
    <n v="546"/>
    <n v="0"/>
    <x v="73"/>
  </r>
  <r>
    <x v="0"/>
    <s v="1213"/>
    <s v="522"/>
    <s v="264"/>
    <s v="3460"/>
    <s v="0499"/>
    <m/>
    <x v="7"/>
    <n v="0"/>
    <n v="-162"/>
    <n v="0"/>
    <n v="162"/>
    <n v="0"/>
    <x v="74"/>
  </r>
  <r>
    <x v="0"/>
    <s v="1213"/>
    <s v="522"/>
    <s v="264"/>
    <s v="3461"/>
    <s v="0499"/>
    <s v="7J"/>
    <x v="7"/>
    <n v="0"/>
    <n v="-600"/>
    <n v="0"/>
    <n v="600"/>
    <n v="0"/>
    <x v="75"/>
  </r>
  <r>
    <x v="0"/>
    <s v="1213"/>
    <s v="522"/>
    <s v="264"/>
    <s v="3462"/>
    <s v="0499"/>
    <s v="7I"/>
    <x v="7"/>
    <n v="0"/>
    <n v="-260"/>
    <n v="0"/>
    <n v="260"/>
    <n v="0"/>
    <x v="76"/>
  </r>
  <r>
    <x v="0"/>
    <s v="1213"/>
    <s v="522"/>
    <s v="264"/>
    <s v="3464"/>
    <s v="0499"/>
    <s v="7N"/>
    <x v="7"/>
    <n v="0"/>
    <n v="-2472.5"/>
    <n v="0"/>
    <n v="2472.5"/>
    <n v="0"/>
    <x v="20"/>
  </r>
  <r>
    <x v="0"/>
    <s v="1213"/>
    <s v="522"/>
    <s v="264"/>
    <s v="3465"/>
    <s v="0499"/>
    <s v="7R"/>
    <x v="7"/>
    <n v="0"/>
    <n v="-14242.75"/>
    <n v="0"/>
    <n v="14242.75"/>
    <n v="0"/>
    <x v="21"/>
  </r>
  <r>
    <x v="0"/>
    <s v="1213"/>
    <s v="522"/>
    <s v="264"/>
    <s v="3467"/>
    <s v="0499"/>
    <m/>
    <x v="7"/>
    <n v="0"/>
    <n v="0"/>
    <n v="0"/>
    <n v="0"/>
    <n v="0"/>
    <x v="78"/>
  </r>
  <r>
    <x v="0"/>
    <s v="1213"/>
    <s v="522"/>
    <s v="264"/>
    <s v="3468"/>
    <s v="0499"/>
    <m/>
    <x v="7"/>
    <n v="0"/>
    <n v="-210"/>
    <n v="0"/>
    <n v="210"/>
    <n v="0"/>
    <x v="79"/>
  </r>
  <r>
    <x v="0"/>
    <s v="1213"/>
    <s v="522"/>
    <s v="264"/>
    <s v="3469"/>
    <s v="0499"/>
    <m/>
    <x v="7"/>
    <n v="0"/>
    <n v="0"/>
    <n v="0"/>
    <n v="0"/>
    <n v="0"/>
    <x v="80"/>
  </r>
  <r>
    <x v="0"/>
    <s v="1213"/>
    <s v="522"/>
    <s v="264"/>
    <s v="3469"/>
    <s v="0499"/>
    <s v="9O"/>
    <x v="7"/>
    <n v="0"/>
    <n v="-1209.4000000000001"/>
    <n v="0"/>
    <n v="1209.4000000000001"/>
    <n v="0"/>
    <x v="80"/>
  </r>
  <r>
    <x v="0"/>
    <s v="1213"/>
    <s v="522"/>
    <s v="264"/>
    <s v="3470"/>
    <s v="0499"/>
    <m/>
    <x v="7"/>
    <n v="0"/>
    <n v="-494"/>
    <n v="0"/>
    <n v="494"/>
    <n v="0"/>
    <x v="81"/>
  </r>
  <r>
    <x v="0"/>
    <s v="1213"/>
    <s v="522"/>
    <s v="264"/>
    <s v="3470"/>
    <s v="0499"/>
    <s v="7G"/>
    <x v="7"/>
    <n v="0"/>
    <n v="-1360.5"/>
    <n v="0"/>
    <n v="1360.5"/>
    <n v="0"/>
    <x v="81"/>
  </r>
  <r>
    <x v="0"/>
    <s v="1213"/>
    <s v="522"/>
    <s v="264"/>
    <s v="3472"/>
    <s v="0499"/>
    <m/>
    <x v="7"/>
    <n v="0"/>
    <n v="0"/>
    <n v="0"/>
    <n v="0"/>
    <n v="0"/>
    <x v="83"/>
  </r>
  <r>
    <x v="0"/>
    <s v="1213"/>
    <s v="522"/>
    <s v="264"/>
    <s v="3473"/>
    <s v="0499"/>
    <m/>
    <x v="7"/>
    <n v="0"/>
    <n v="0"/>
    <n v="0"/>
    <n v="0"/>
    <n v="0"/>
    <x v="84"/>
  </r>
  <r>
    <x v="0"/>
    <s v="1213"/>
    <s v="522"/>
    <s v="264"/>
    <s v="3477"/>
    <s v="0499"/>
    <m/>
    <x v="7"/>
    <n v="0"/>
    <n v="-2490"/>
    <n v="0"/>
    <n v="2490"/>
    <n v="0"/>
    <x v="86"/>
  </r>
  <r>
    <x v="0"/>
    <s v="1213"/>
    <s v="522"/>
    <s v="264"/>
    <s v="3496"/>
    <s v="0499"/>
    <m/>
    <x v="7"/>
    <n v="0"/>
    <n v="0"/>
    <n v="0"/>
    <n v="0"/>
    <n v="0"/>
    <x v="88"/>
  </r>
  <r>
    <x v="0"/>
    <s v="1213"/>
    <s v="522"/>
    <s v="264"/>
    <s v="3499"/>
    <s v="0424"/>
    <s v="#A"/>
    <x v="7"/>
    <n v="0"/>
    <n v="-1352.2"/>
    <n v="0"/>
    <n v="1352.2"/>
    <n v="0"/>
    <x v="92"/>
  </r>
  <r>
    <x v="0"/>
    <s v="1213"/>
    <s v="522"/>
    <s v="264"/>
    <s v="3499"/>
    <s v="0424"/>
    <s v="#B"/>
    <x v="7"/>
    <n v="0"/>
    <n v="-1144"/>
    <n v="0"/>
    <n v="1144"/>
    <n v="0"/>
    <x v="92"/>
  </r>
  <r>
    <x v="0"/>
    <s v="1213"/>
    <s v="522"/>
    <s v="264"/>
    <s v="3499"/>
    <s v="0424"/>
    <s v="#G"/>
    <x v="7"/>
    <n v="0"/>
    <n v="-5892.01"/>
    <n v="0"/>
    <n v="5892.01"/>
    <n v="0"/>
    <x v="92"/>
  </r>
  <r>
    <x v="0"/>
    <s v="1213"/>
    <s v="522"/>
    <s v="264"/>
    <s v="3499"/>
    <s v="0424"/>
    <s v="#H"/>
    <x v="7"/>
    <n v="0"/>
    <n v="0"/>
    <n v="0"/>
    <n v="0"/>
    <n v="0"/>
    <x v="92"/>
  </r>
  <r>
    <x v="0"/>
    <s v="1213"/>
    <s v="522"/>
    <s v="264"/>
    <s v="3499"/>
    <s v="0424"/>
    <s v="#P"/>
    <x v="7"/>
    <n v="0"/>
    <n v="-1690.69"/>
    <n v="0"/>
    <n v="1690.69"/>
    <n v="0"/>
    <x v="92"/>
  </r>
  <r>
    <x v="0"/>
    <s v="1213"/>
    <s v="522"/>
    <s v="264"/>
    <s v="3499"/>
    <s v="0424"/>
    <s v="+1"/>
    <x v="7"/>
    <n v="0"/>
    <n v="-207.73"/>
    <n v="0"/>
    <n v="207.73"/>
    <n v="0"/>
    <x v="92"/>
  </r>
  <r>
    <x v="0"/>
    <s v="1213"/>
    <s v="522"/>
    <s v="264"/>
    <s v="3499"/>
    <s v="0424"/>
    <s v="+2"/>
    <x v="7"/>
    <n v="0"/>
    <n v="-148.33000000000001"/>
    <n v="0"/>
    <n v="148.33000000000001"/>
    <n v="0"/>
    <x v="92"/>
  </r>
  <r>
    <x v="0"/>
    <s v="1213"/>
    <s v="522"/>
    <s v="264"/>
    <s v="3499"/>
    <s v="0424"/>
    <s v="+A"/>
    <x v="7"/>
    <n v="0"/>
    <n v="-33095.56"/>
    <n v="0"/>
    <n v="33095.56"/>
    <n v="0"/>
    <x v="92"/>
  </r>
  <r>
    <x v="0"/>
    <s v="1213"/>
    <s v="522"/>
    <s v="264"/>
    <s v="3499"/>
    <s v="0424"/>
    <s v="+G"/>
    <x v="7"/>
    <n v="0"/>
    <n v="-54830.68"/>
    <n v="0"/>
    <n v="54830.68"/>
    <n v="0"/>
    <x v="92"/>
  </r>
  <r>
    <x v="0"/>
    <s v="1213"/>
    <s v="522"/>
    <s v="264"/>
    <s v="3499"/>
    <s v="0424"/>
    <s v="+H"/>
    <x v="7"/>
    <n v="0"/>
    <n v="-2259.9499999999998"/>
    <n v="0"/>
    <n v="2259.9499999999998"/>
    <n v="0"/>
    <x v="92"/>
  </r>
  <r>
    <x v="0"/>
    <s v="1213"/>
    <s v="522"/>
    <s v="264"/>
    <s v="3499"/>
    <s v="0424"/>
    <s v="+M"/>
    <x v="7"/>
    <n v="0"/>
    <n v="-4694.74"/>
    <n v="0"/>
    <n v="4694.74"/>
    <n v="0"/>
    <x v="92"/>
  </r>
  <r>
    <x v="0"/>
    <s v="1213"/>
    <s v="522"/>
    <s v="264"/>
    <s v="3499"/>
    <s v="0424"/>
    <s v="TN"/>
    <x v="7"/>
    <n v="0"/>
    <n v="-14140.88"/>
    <n v="0"/>
    <n v="14140.88"/>
    <n v="0"/>
    <x v="92"/>
  </r>
  <r>
    <x v="0"/>
    <s v="1213"/>
    <s v="522"/>
    <s v="264"/>
    <s v="3499"/>
    <s v="0424"/>
    <s v="TR"/>
    <x v="7"/>
    <n v="0"/>
    <n v="-481484.1"/>
    <n v="0"/>
    <n v="481484.1"/>
    <n v="0"/>
    <x v="92"/>
  </r>
  <r>
    <x v="0"/>
    <s v="1213"/>
    <s v="522"/>
    <s v="264"/>
    <s v="3415"/>
    <s v="KA"/>
    <m/>
    <x v="8"/>
    <n v="0"/>
    <n v="0"/>
    <n v="0"/>
    <n v="0"/>
    <n v="0"/>
    <x v="45"/>
  </r>
  <r>
    <x v="0"/>
    <s v="1213"/>
    <s v="522"/>
    <s v="264"/>
    <s v="3426"/>
    <s v="KA"/>
    <m/>
    <x v="8"/>
    <n v="0"/>
    <n v="6082.85"/>
    <n v="0"/>
    <n v="-6082.85"/>
    <n v="0"/>
    <x v="15"/>
  </r>
  <r>
    <x v="0"/>
    <s v="1213"/>
    <s v="522"/>
    <s v="264"/>
    <s v="3428"/>
    <s v="KA"/>
    <m/>
    <x v="8"/>
    <n v="0"/>
    <n v="0"/>
    <n v="0"/>
    <n v="0"/>
    <n v="0"/>
    <x v="16"/>
  </r>
  <r>
    <x v="0"/>
    <s v="1213"/>
    <s v="522"/>
    <s v="264"/>
    <s v="3430"/>
    <s v="KA"/>
    <m/>
    <x v="8"/>
    <n v="0"/>
    <n v="0"/>
    <n v="0"/>
    <n v="0"/>
    <n v="0"/>
    <x v="18"/>
  </r>
  <r>
    <x v="0"/>
    <s v="1213"/>
    <s v="522"/>
    <s v="264"/>
    <s v="3435"/>
    <s v="KA"/>
    <m/>
    <x v="8"/>
    <n v="0"/>
    <n v="760.9"/>
    <n v="0"/>
    <n v="-760.9"/>
    <n v="0"/>
    <x v="56"/>
  </r>
  <r>
    <x v="0"/>
    <s v="1213"/>
    <s v="522"/>
    <s v="264"/>
    <s v="3457"/>
    <s v="KA"/>
    <m/>
    <x v="8"/>
    <n v="0"/>
    <n v="0"/>
    <n v="0"/>
    <n v="0"/>
    <n v="0"/>
    <x v="19"/>
  </r>
  <r>
    <x v="0"/>
    <s v="1213"/>
    <s v="522"/>
    <s v="264"/>
    <s v="3477"/>
    <s v="KA"/>
    <m/>
    <x v="8"/>
    <n v="0"/>
    <n v="738.92"/>
    <n v="0"/>
    <n v="-738.92"/>
    <n v="0"/>
    <x v="86"/>
  </r>
  <r>
    <x v="0"/>
    <s v="1213"/>
    <s v="522"/>
    <s v="264"/>
    <s v="3426"/>
    <s v="KA"/>
    <m/>
    <x v="8"/>
    <n v="0"/>
    <n v="0"/>
    <n v="0"/>
    <n v="0"/>
    <n v="0"/>
    <x v="15"/>
  </r>
  <r>
    <x v="0"/>
    <s v="1213"/>
    <s v="522"/>
    <s v="264"/>
    <s v="3329"/>
    <s v="NB"/>
    <m/>
    <x v="9"/>
    <n v="0"/>
    <n v="0"/>
    <n v="0"/>
    <n v="0"/>
    <n v="0"/>
    <x v="25"/>
  </r>
  <r>
    <x v="0"/>
    <s v="1213"/>
    <s v="522"/>
    <s v="264"/>
    <s v="3330"/>
    <s v="NB"/>
    <m/>
    <x v="9"/>
    <n v="0"/>
    <n v="0"/>
    <n v="0"/>
    <n v="0"/>
    <n v="0"/>
    <x v="26"/>
  </r>
  <r>
    <x v="0"/>
    <s v="1213"/>
    <s v="522"/>
    <s v="264"/>
    <s v="3330"/>
    <s v="NB"/>
    <s v="00"/>
    <x v="9"/>
    <n v="0"/>
    <n v="356"/>
    <n v="0"/>
    <n v="-356"/>
    <n v="0"/>
    <x v="26"/>
  </r>
  <r>
    <x v="0"/>
    <s v="1213"/>
    <s v="522"/>
    <s v="264"/>
    <s v="3352"/>
    <s v="NB"/>
    <m/>
    <x v="9"/>
    <n v="0"/>
    <n v="0"/>
    <n v="0"/>
    <n v="0"/>
    <n v="0"/>
    <x v="27"/>
  </r>
  <r>
    <x v="0"/>
    <s v="1213"/>
    <s v="522"/>
    <s v="264"/>
    <s v="3353"/>
    <s v="NB"/>
    <m/>
    <x v="9"/>
    <n v="0"/>
    <n v="0"/>
    <n v="0"/>
    <n v="0"/>
    <n v="0"/>
    <x v="28"/>
  </r>
  <r>
    <x v="0"/>
    <s v="1213"/>
    <s v="522"/>
    <s v="264"/>
    <s v="3353"/>
    <s v="NB"/>
    <s v="00"/>
    <x v="9"/>
    <n v="0"/>
    <n v="3010"/>
    <n v="0"/>
    <n v="-3010"/>
    <n v="120"/>
    <x v="28"/>
  </r>
  <r>
    <x v="0"/>
    <s v="1213"/>
    <s v="522"/>
    <s v="264"/>
    <s v="3354"/>
    <s v="NB"/>
    <m/>
    <x v="9"/>
    <n v="0"/>
    <n v="0"/>
    <n v="0"/>
    <n v="0"/>
    <n v="0"/>
    <x v="29"/>
  </r>
  <r>
    <x v="0"/>
    <s v="1213"/>
    <s v="522"/>
    <s v="264"/>
    <s v="3354"/>
    <s v="NB"/>
    <s v="00"/>
    <x v="9"/>
    <n v="0"/>
    <n v="90"/>
    <n v="0"/>
    <n v="-90"/>
    <n v="0"/>
    <x v="29"/>
  </r>
  <r>
    <x v="0"/>
    <s v="1213"/>
    <s v="522"/>
    <s v="264"/>
    <s v="3355"/>
    <s v="NB"/>
    <m/>
    <x v="9"/>
    <n v="0"/>
    <n v="0"/>
    <n v="0"/>
    <n v="0"/>
    <n v="0"/>
    <x v="30"/>
  </r>
  <r>
    <x v="0"/>
    <s v="1213"/>
    <s v="522"/>
    <s v="264"/>
    <s v="3355"/>
    <s v="NB"/>
    <s v="00"/>
    <x v="9"/>
    <n v="0"/>
    <n v="1375"/>
    <n v="0"/>
    <n v="-1375"/>
    <n v="0"/>
    <x v="30"/>
  </r>
  <r>
    <x v="0"/>
    <s v="1213"/>
    <s v="522"/>
    <s v="264"/>
    <s v="3356"/>
    <s v="NB"/>
    <m/>
    <x v="9"/>
    <n v="0"/>
    <n v="0"/>
    <n v="0"/>
    <n v="0"/>
    <n v="0"/>
    <x v="31"/>
  </r>
  <r>
    <x v="0"/>
    <s v="1213"/>
    <s v="522"/>
    <s v="264"/>
    <s v="3356"/>
    <s v="NB"/>
    <s v="00"/>
    <x v="9"/>
    <n v="0"/>
    <n v="4500"/>
    <n v="0"/>
    <n v="-4500"/>
    <n v="0"/>
    <x v="31"/>
  </r>
  <r>
    <x v="0"/>
    <s v="1213"/>
    <s v="522"/>
    <s v="264"/>
    <s v="3363"/>
    <s v="NB"/>
    <m/>
    <x v="9"/>
    <n v="0"/>
    <n v="0"/>
    <n v="0"/>
    <n v="0"/>
    <n v="0"/>
    <x v="32"/>
  </r>
  <r>
    <x v="0"/>
    <s v="1213"/>
    <s v="522"/>
    <s v="264"/>
    <s v="3363"/>
    <s v="NB"/>
    <s v="00"/>
    <x v="9"/>
    <n v="0"/>
    <n v="2296.5300000000002"/>
    <n v="0"/>
    <n v="-2296.5300000000002"/>
    <n v="0"/>
    <x v="32"/>
  </r>
  <r>
    <x v="0"/>
    <s v="1213"/>
    <s v="522"/>
    <s v="264"/>
    <s v="3368"/>
    <s v="NB"/>
    <m/>
    <x v="9"/>
    <n v="0"/>
    <n v="0"/>
    <n v="0"/>
    <n v="0"/>
    <n v="0"/>
    <x v="33"/>
  </r>
  <r>
    <x v="0"/>
    <s v="1213"/>
    <s v="522"/>
    <s v="264"/>
    <s v="3370"/>
    <s v="NB"/>
    <m/>
    <x v="9"/>
    <n v="0"/>
    <n v="0"/>
    <n v="0"/>
    <n v="0"/>
    <n v="0"/>
    <x v="34"/>
  </r>
  <r>
    <x v="0"/>
    <s v="1213"/>
    <s v="522"/>
    <s v="264"/>
    <s v="3370"/>
    <s v="NB"/>
    <s v="00"/>
    <x v="9"/>
    <n v="0"/>
    <n v="827.5"/>
    <n v="0"/>
    <n v="-827.5"/>
    <n v="0"/>
    <x v="34"/>
  </r>
  <r>
    <x v="0"/>
    <s v="1213"/>
    <s v="522"/>
    <s v="264"/>
    <s v="3410"/>
    <s v="NB"/>
    <m/>
    <x v="9"/>
    <n v="0"/>
    <n v="0"/>
    <n v="0"/>
    <n v="0"/>
    <n v="0"/>
    <x v="10"/>
  </r>
  <r>
    <x v="0"/>
    <s v="1213"/>
    <s v="522"/>
    <s v="264"/>
    <s v="3411"/>
    <s v="NB"/>
    <m/>
    <x v="9"/>
    <n v="0"/>
    <n v="0"/>
    <n v="0"/>
    <n v="0"/>
    <n v="0"/>
    <x v="42"/>
  </r>
  <r>
    <x v="0"/>
    <s v="1213"/>
    <s v="522"/>
    <s v="264"/>
    <s v="3413"/>
    <s v="NB"/>
    <m/>
    <x v="9"/>
    <n v="0"/>
    <n v="0"/>
    <n v="0"/>
    <n v="0"/>
    <n v="0"/>
    <x v="44"/>
  </r>
  <r>
    <x v="0"/>
    <s v="1213"/>
    <s v="522"/>
    <s v="264"/>
    <s v="3413"/>
    <s v="NB"/>
    <s v="00"/>
    <x v="9"/>
    <n v="0"/>
    <n v="50"/>
    <n v="0"/>
    <n v="-50"/>
    <n v="0"/>
    <x v="44"/>
  </r>
  <r>
    <x v="0"/>
    <s v="1213"/>
    <s v="522"/>
    <s v="264"/>
    <s v="3414"/>
    <s v="NB"/>
    <m/>
    <x v="9"/>
    <n v="0"/>
    <n v="0"/>
    <n v="0"/>
    <n v="0"/>
    <n v="0"/>
    <x v="11"/>
  </r>
  <r>
    <x v="0"/>
    <s v="1213"/>
    <s v="522"/>
    <s v="264"/>
    <s v="3414"/>
    <s v="NB"/>
    <s v="00"/>
    <x v="9"/>
    <n v="0"/>
    <n v="7200"/>
    <n v="0"/>
    <n v="-7200"/>
    <n v="0"/>
    <x v="11"/>
  </r>
  <r>
    <x v="0"/>
    <s v="1213"/>
    <s v="522"/>
    <s v="264"/>
    <s v="3420"/>
    <s v="NB"/>
    <m/>
    <x v="9"/>
    <n v="0"/>
    <n v="0"/>
    <n v="0"/>
    <n v="0"/>
    <n v="0"/>
    <x v="48"/>
  </r>
  <r>
    <x v="0"/>
    <s v="1213"/>
    <s v="522"/>
    <s v="264"/>
    <s v="3420"/>
    <s v="NB"/>
    <s v="00"/>
    <x v="9"/>
    <n v="0"/>
    <n v="1087"/>
    <n v="0"/>
    <n v="-1087"/>
    <n v="0"/>
    <x v="48"/>
  </r>
  <r>
    <x v="0"/>
    <s v="1213"/>
    <s v="522"/>
    <s v="264"/>
    <s v="3421"/>
    <s v="NB"/>
    <m/>
    <x v="9"/>
    <n v="0"/>
    <n v="0"/>
    <n v="0"/>
    <n v="0"/>
    <n v="0"/>
    <x v="49"/>
  </r>
  <r>
    <x v="0"/>
    <s v="1213"/>
    <s v="522"/>
    <s v="264"/>
    <s v="3421"/>
    <s v="NB"/>
    <s v="00"/>
    <x v="9"/>
    <n v="0"/>
    <n v="9100"/>
    <n v="0"/>
    <n v="-9100"/>
    <n v="0"/>
    <x v="49"/>
  </r>
  <r>
    <x v="0"/>
    <s v="1213"/>
    <s v="522"/>
    <s v="264"/>
    <s v="3423"/>
    <s v="NB"/>
    <m/>
    <x v="9"/>
    <n v="0"/>
    <n v="0"/>
    <n v="0"/>
    <n v="0"/>
    <n v="0"/>
    <x v="13"/>
  </r>
  <r>
    <x v="0"/>
    <s v="1213"/>
    <s v="522"/>
    <s v="264"/>
    <s v="3423"/>
    <s v="NB"/>
    <s v="00"/>
    <x v="9"/>
    <n v="0"/>
    <n v="7500"/>
    <n v="0"/>
    <n v="-7500"/>
    <n v="0"/>
    <x v="13"/>
  </r>
  <r>
    <x v="0"/>
    <s v="1213"/>
    <s v="522"/>
    <s v="264"/>
    <s v="3424"/>
    <s v="NB"/>
    <m/>
    <x v="9"/>
    <n v="0"/>
    <n v="0"/>
    <n v="0"/>
    <n v="0"/>
    <n v="0"/>
    <x v="14"/>
  </r>
  <r>
    <x v="0"/>
    <s v="1213"/>
    <s v="522"/>
    <s v="264"/>
    <s v="3424"/>
    <s v="NB"/>
    <s v="00"/>
    <x v="9"/>
    <n v="0"/>
    <n v="5300"/>
    <n v="0"/>
    <n v="-5300"/>
    <n v="0"/>
    <x v="14"/>
  </r>
  <r>
    <x v="0"/>
    <s v="1213"/>
    <s v="522"/>
    <s v="264"/>
    <s v="3425"/>
    <s v="NB"/>
    <m/>
    <x v="9"/>
    <n v="0"/>
    <n v="0"/>
    <n v="0"/>
    <n v="0"/>
    <n v="0"/>
    <x v="51"/>
  </r>
  <r>
    <x v="0"/>
    <s v="1213"/>
    <s v="522"/>
    <s v="264"/>
    <s v="3435"/>
    <s v="NB"/>
    <m/>
    <x v="9"/>
    <n v="0"/>
    <n v="0"/>
    <n v="0"/>
    <n v="0"/>
    <n v="0"/>
    <x v="56"/>
  </r>
  <r>
    <x v="0"/>
    <s v="1213"/>
    <s v="522"/>
    <s v="264"/>
    <s v="3436"/>
    <s v="NB"/>
    <m/>
    <x v="9"/>
    <n v="0"/>
    <n v="0"/>
    <n v="0"/>
    <n v="0"/>
    <n v="0"/>
    <x v="57"/>
  </r>
  <r>
    <x v="0"/>
    <s v="1213"/>
    <s v="522"/>
    <s v="264"/>
    <s v="3438"/>
    <s v="NB"/>
    <m/>
    <x v="9"/>
    <n v="0"/>
    <n v="0"/>
    <n v="0"/>
    <n v="0"/>
    <n v="0"/>
    <x v="59"/>
  </r>
  <r>
    <x v="0"/>
    <s v="1213"/>
    <s v="522"/>
    <s v="264"/>
    <s v="3441"/>
    <s v="NB"/>
    <m/>
    <x v="9"/>
    <n v="0"/>
    <n v="0"/>
    <n v="0"/>
    <n v="0"/>
    <n v="0"/>
    <x v="62"/>
  </r>
  <r>
    <x v="0"/>
    <s v="1213"/>
    <s v="522"/>
    <s v="264"/>
    <s v="3442"/>
    <s v="NB"/>
    <m/>
    <x v="9"/>
    <n v="0"/>
    <n v="0"/>
    <n v="0"/>
    <n v="0"/>
    <n v="0"/>
    <x v="63"/>
  </r>
  <r>
    <x v="0"/>
    <s v="1213"/>
    <s v="522"/>
    <s v="264"/>
    <s v="3442"/>
    <s v="NB"/>
    <s v="00"/>
    <x v="9"/>
    <n v="0"/>
    <n v="427.5"/>
    <n v="0"/>
    <n v="-427.5"/>
    <n v="0"/>
    <x v="63"/>
  </r>
  <r>
    <x v="0"/>
    <s v="1213"/>
    <s v="522"/>
    <s v="264"/>
    <s v="3445"/>
    <s v="NB"/>
    <m/>
    <x v="9"/>
    <n v="0"/>
    <n v="0"/>
    <n v="0"/>
    <n v="0"/>
    <n v="0"/>
    <x v="65"/>
  </r>
  <r>
    <x v="0"/>
    <s v="1213"/>
    <s v="522"/>
    <s v="264"/>
    <s v="3445"/>
    <s v="NB"/>
    <s v="00"/>
    <x v="9"/>
    <n v="0"/>
    <n v="100"/>
    <n v="0"/>
    <n v="-100"/>
    <n v="0"/>
    <x v="65"/>
  </r>
  <r>
    <x v="0"/>
    <s v="1213"/>
    <s v="522"/>
    <s v="264"/>
    <s v="3446"/>
    <s v="NB"/>
    <m/>
    <x v="9"/>
    <n v="0"/>
    <n v="0"/>
    <n v="0"/>
    <n v="0"/>
    <n v="0"/>
    <x v="66"/>
  </r>
  <r>
    <x v="0"/>
    <s v="1213"/>
    <s v="522"/>
    <s v="264"/>
    <s v="3454"/>
    <s v="NB"/>
    <m/>
    <x v="9"/>
    <n v="0"/>
    <n v="0"/>
    <n v="0"/>
    <n v="0"/>
    <n v="0"/>
    <x v="71"/>
  </r>
  <r>
    <x v="0"/>
    <s v="1213"/>
    <s v="522"/>
    <s v="264"/>
    <s v="3454"/>
    <s v="NB"/>
    <s v="00"/>
    <x v="9"/>
    <n v="0"/>
    <n v="50"/>
    <n v="0"/>
    <n v="-50"/>
    <n v="0"/>
    <x v="71"/>
  </r>
  <r>
    <x v="0"/>
    <s v="1213"/>
    <s v="522"/>
    <s v="264"/>
    <s v="3456"/>
    <s v="NB"/>
    <m/>
    <x v="9"/>
    <n v="0"/>
    <n v="0"/>
    <n v="0"/>
    <n v="0"/>
    <n v="0"/>
    <x v="72"/>
  </r>
  <r>
    <x v="0"/>
    <s v="1213"/>
    <s v="522"/>
    <s v="264"/>
    <s v="3456"/>
    <s v="NB"/>
    <s v="00"/>
    <x v="9"/>
    <n v="0"/>
    <n v="700"/>
    <n v="0"/>
    <n v="-700"/>
    <n v="0"/>
    <x v="72"/>
  </r>
  <r>
    <x v="0"/>
    <s v="1213"/>
    <s v="522"/>
    <s v="264"/>
    <s v="3457"/>
    <s v="NB"/>
    <m/>
    <x v="9"/>
    <n v="0"/>
    <n v="0"/>
    <n v="0"/>
    <n v="0"/>
    <n v="0"/>
    <x v="19"/>
  </r>
  <r>
    <x v="0"/>
    <s v="1213"/>
    <s v="522"/>
    <s v="264"/>
    <s v="3458"/>
    <s v="NB"/>
    <m/>
    <x v="9"/>
    <n v="0"/>
    <n v="0"/>
    <n v="0"/>
    <n v="0"/>
    <n v="0"/>
    <x v="73"/>
  </r>
  <r>
    <x v="0"/>
    <s v="1213"/>
    <s v="522"/>
    <s v="264"/>
    <s v="3458"/>
    <s v="NB"/>
    <s v="00"/>
    <x v="9"/>
    <n v="0"/>
    <n v="2500"/>
    <n v="0"/>
    <n v="-2500"/>
    <n v="0"/>
    <x v="73"/>
  </r>
  <r>
    <x v="0"/>
    <s v="1213"/>
    <s v="522"/>
    <s v="264"/>
    <s v="3462"/>
    <s v="NB"/>
    <m/>
    <x v="9"/>
    <n v="0"/>
    <n v="0"/>
    <n v="0"/>
    <n v="0"/>
    <n v="0"/>
    <x v="76"/>
  </r>
  <r>
    <x v="0"/>
    <s v="1213"/>
    <s v="522"/>
    <s v="264"/>
    <s v="3462"/>
    <s v="NB"/>
    <s v="00"/>
    <x v="9"/>
    <n v="0"/>
    <n v="950"/>
    <n v="0"/>
    <n v="-950"/>
    <n v="0"/>
    <x v="76"/>
  </r>
  <r>
    <x v="0"/>
    <s v="1213"/>
    <s v="522"/>
    <s v="264"/>
    <s v="3464"/>
    <s v="NB"/>
    <m/>
    <x v="9"/>
    <n v="0"/>
    <n v="0"/>
    <n v="0"/>
    <n v="0"/>
    <n v="0"/>
    <x v="20"/>
  </r>
  <r>
    <x v="0"/>
    <s v="1213"/>
    <s v="522"/>
    <s v="264"/>
    <s v="3464"/>
    <s v="NB"/>
    <s v="00"/>
    <x v="9"/>
    <n v="0"/>
    <n v="10200"/>
    <n v="0"/>
    <n v="-10200"/>
    <n v="0"/>
    <x v="20"/>
  </r>
  <r>
    <x v="0"/>
    <s v="1213"/>
    <s v="522"/>
    <s v="264"/>
    <s v="3465"/>
    <s v="NB"/>
    <m/>
    <x v="9"/>
    <n v="0"/>
    <n v="0"/>
    <n v="0"/>
    <n v="0"/>
    <n v="0"/>
    <x v="21"/>
  </r>
  <r>
    <x v="0"/>
    <s v="1213"/>
    <s v="522"/>
    <s v="264"/>
    <s v="3465"/>
    <s v="NB"/>
    <s v="00"/>
    <x v="9"/>
    <n v="0"/>
    <n v="5000"/>
    <n v="0"/>
    <n v="-5000"/>
    <n v="0"/>
    <x v="21"/>
  </r>
  <r>
    <x v="0"/>
    <s v="1213"/>
    <s v="522"/>
    <s v="264"/>
    <s v="3466"/>
    <s v="NB"/>
    <m/>
    <x v="9"/>
    <n v="0"/>
    <n v="0"/>
    <n v="0"/>
    <n v="0"/>
    <n v="0"/>
    <x v="77"/>
  </r>
  <r>
    <x v="0"/>
    <s v="1213"/>
    <s v="522"/>
    <s v="264"/>
    <s v="3466"/>
    <s v="NB"/>
    <s v="00"/>
    <x v="9"/>
    <n v="0"/>
    <n v="600"/>
    <n v="0"/>
    <n v="-600"/>
    <n v="0"/>
    <x v="77"/>
  </r>
  <r>
    <x v="0"/>
    <s v="1213"/>
    <s v="522"/>
    <s v="264"/>
    <s v="3221"/>
    <s v="0401"/>
    <m/>
    <x v="7"/>
    <n v="0"/>
    <n v="-3908.54"/>
    <n v="0"/>
    <n v="3908.54"/>
    <n v="-1079.3499999999999"/>
    <x v="0"/>
  </r>
  <r>
    <x v="0"/>
    <s v="1213"/>
    <s v="522"/>
    <s v="264"/>
    <s v="3221"/>
    <s v="0782"/>
    <m/>
    <x v="10"/>
    <n v="0"/>
    <n v="23408"/>
    <n v="0"/>
    <n v="-23408"/>
    <n v="0"/>
    <x v="0"/>
  </r>
  <r>
    <x v="0"/>
    <s v="1213"/>
    <s v="522"/>
    <s v="264"/>
    <s v="3310"/>
    <s v="0782"/>
    <m/>
    <x v="10"/>
    <n v="0"/>
    <n v="7731"/>
    <n v="0"/>
    <n v="-7731"/>
    <n v="0"/>
    <x v="1"/>
  </r>
  <r>
    <x v="0"/>
    <s v="1213"/>
    <s v="522"/>
    <s v="264"/>
    <s v="3312"/>
    <s v="0782"/>
    <m/>
    <x v="10"/>
    <n v="0"/>
    <n v="-1997"/>
    <n v="0"/>
    <n v="1997"/>
    <n v="0"/>
    <x v="23"/>
  </r>
  <r>
    <x v="0"/>
    <s v="1213"/>
    <s v="522"/>
    <s v="264"/>
    <s v="3313"/>
    <s v="0782"/>
    <m/>
    <x v="10"/>
    <n v="0"/>
    <n v="-356"/>
    <n v="0"/>
    <n v="356"/>
    <n v="0"/>
    <x v="24"/>
  </r>
  <r>
    <x v="0"/>
    <s v="1213"/>
    <s v="522"/>
    <s v="264"/>
    <s v="3328"/>
    <s v="0782"/>
    <m/>
    <x v="10"/>
    <n v="0"/>
    <n v="0"/>
    <n v="0"/>
    <n v="0"/>
    <n v="0"/>
    <x v="93"/>
  </r>
  <r>
    <x v="0"/>
    <s v="1213"/>
    <s v="522"/>
    <s v="264"/>
    <s v="3329"/>
    <s v="0782"/>
    <m/>
    <x v="10"/>
    <n v="0"/>
    <n v="-4278"/>
    <n v="0"/>
    <n v="4278"/>
    <n v="0"/>
    <x v="25"/>
  </r>
  <r>
    <x v="0"/>
    <s v="1213"/>
    <s v="522"/>
    <s v="264"/>
    <s v="3330"/>
    <s v="0782"/>
    <m/>
    <x v="10"/>
    <n v="0"/>
    <n v="-2391"/>
    <n v="0"/>
    <n v="2391"/>
    <n v="0"/>
    <x v="26"/>
  </r>
  <r>
    <x v="0"/>
    <s v="1213"/>
    <s v="522"/>
    <s v="264"/>
    <s v="3342"/>
    <s v="0782"/>
    <m/>
    <x v="10"/>
    <n v="0"/>
    <n v="-13"/>
    <n v="0"/>
    <n v="13"/>
    <n v="0"/>
    <x v="5"/>
  </r>
  <r>
    <x v="0"/>
    <s v="1213"/>
    <s v="522"/>
    <s v="264"/>
    <s v="3352"/>
    <s v="0782"/>
    <m/>
    <x v="10"/>
    <n v="0"/>
    <n v="4208"/>
    <n v="0"/>
    <n v="-4208"/>
    <n v="0"/>
    <x v="27"/>
  </r>
  <r>
    <x v="0"/>
    <s v="1213"/>
    <s v="522"/>
    <s v="264"/>
    <s v="3354"/>
    <s v="0782"/>
    <m/>
    <x v="10"/>
    <n v="0"/>
    <n v="-200"/>
    <n v="0"/>
    <n v="200"/>
    <n v="0"/>
    <x v="29"/>
  </r>
  <r>
    <x v="0"/>
    <s v="1213"/>
    <s v="522"/>
    <s v="264"/>
    <s v="3355"/>
    <s v="0782"/>
    <m/>
    <x v="10"/>
    <n v="0"/>
    <n v="698"/>
    <n v="0"/>
    <n v="-698"/>
    <n v="0"/>
    <x v="30"/>
  </r>
  <r>
    <x v="0"/>
    <s v="1213"/>
    <s v="522"/>
    <s v="264"/>
    <s v="3356"/>
    <s v="0782"/>
    <m/>
    <x v="10"/>
    <n v="0"/>
    <n v="245"/>
    <n v="0"/>
    <n v="-245"/>
    <n v="0"/>
    <x v="31"/>
  </r>
  <r>
    <x v="0"/>
    <s v="1213"/>
    <s v="522"/>
    <s v="264"/>
    <s v="3357"/>
    <s v="0782"/>
    <m/>
    <x v="10"/>
    <n v="0"/>
    <n v="-1433"/>
    <n v="0"/>
    <n v="1433"/>
    <n v="0"/>
    <x v="6"/>
  </r>
  <r>
    <x v="0"/>
    <s v="1213"/>
    <s v="522"/>
    <s v="264"/>
    <s v="3360"/>
    <s v="0782"/>
    <m/>
    <x v="10"/>
    <n v="0"/>
    <n v="0"/>
    <n v="0"/>
    <n v="0"/>
    <n v="0"/>
    <x v="94"/>
  </r>
  <r>
    <x v="0"/>
    <s v="1213"/>
    <s v="522"/>
    <s v="264"/>
    <s v="3367"/>
    <s v="0782"/>
    <m/>
    <x v="10"/>
    <n v="0"/>
    <n v="-246"/>
    <n v="0"/>
    <n v="246"/>
    <n v="0"/>
    <x v="7"/>
  </r>
  <r>
    <x v="0"/>
    <s v="1213"/>
    <s v="522"/>
    <s v="264"/>
    <s v="3368"/>
    <s v="0782"/>
    <m/>
    <x v="10"/>
    <n v="0"/>
    <n v="0"/>
    <n v="0"/>
    <n v="0"/>
    <n v="0"/>
    <x v="33"/>
  </r>
  <r>
    <x v="0"/>
    <s v="1213"/>
    <s v="522"/>
    <s v="264"/>
    <s v="3370"/>
    <s v="0782"/>
    <m/>
    <x v="10"/>
    <n v="0"/>
    <n v="-181"/>
    <n v="0"/>
    <n v="181"/>
    <n v="0"/>
    <x v="34"/>
  </r>
  <r>
    <x v="0"/>
    <s v="1213"/>
    <s v="522"/>
    <s v="264"/>
    <s v="3372"/>
    <s v="0782"/>
    <m/>
    <x v="10"/>
    <n v="0"/>
    <n v="-1787"/>
    <n v="0"/>
    <n v="1787"/>
    <n v="0"/>
    <x v="35"/>
  </r>
  <r>
    <x v="0"/>
    <s v="1213"/>
    <s v="522"/>
    <s v="264"/>
    <s v="3383"/>
    <s v="0782"/>
    <m/>
    <x v="10"/>
    <n v="0"/>
    <n v="0"/>
    <n v="0"/>
    <n v="0"/>
    <n v="0"/>
    <x v="3"/>
  </r>
  <r>
    <x v="0"/>
    <s v="1213"/>
    <s v="522"/>
    <s v="264"/>
    <s v="3399"/>
    <s v="0401"/>
    <m/>
    <x v="10"/>
    <n v="0"/>
    <n v="-2927.29"/>
    <n v="0"/>
    <n v="2927.29"/>
    <n v="-797.95"/>
    <x v="91"/>
  </r>
  <r>
    <x v="0"/>
    <s v="1213"/>
    <s v="522"/>
    <s v="264"/>
    <s v="3402"/>
    <s v="0782"/>
    <m/>
    <x v="10"/>
    <n v="0"/>
    <n v="260442"/>
    <n v="0"/>
    <n v="-260442"/>
    <n v="0"/>
    <x v="4"/>
  </r>
  <r>
    <x v="0"/>
    <s v="1213"/>
    <s v="522"/>
    <s v="264"/>
    <s v="3404"/>
    <s v="0782"/>
    <m/>
    <x v="10"/>
    <n v="0"/>
    <n v="-18955"/>
    <n v="0"/>
    <n v="18955"/>
    <n v="0"/>
    <x v="9"/>
  </r>
  <r>
    <x v="0"/>
    <s v="1213"/>
    <s v="522"/>
    <s v="264"/>
    <s v="3410"/>
    <s v="0782"/>
    <m/>
    <x v="10"/>
    <n v="0"/>
    <n v="-138"/>
    <n v="0"/>
    <n v="138"/>
    <n v="0"/>
    <x v="10"/>
  </r>
  <r>
    <x v="0"/>
    <s v="1213"/>
    <s v="522"/>
    <s v="264"/>
    <s v="3414"/>
    <s v="0782"/>
    <m/>
    <x v="10"/>
    <n v="0"/>
    <n v="-2"/>
    <n v="0"/>
    <n v="2"/>
    <n v="0"/>
    <x v="11"/>
  </r>
  <r>
    <x v="0"/>
    <s v="1213"/>
    <s v="522"/>
    <s v="264"/>
    <s v="3418"/>
    <s v="0782"/>
    <m/>
    <x v="10"/>
    <n v="0"/>
    <n v="-505"/>
    <n v="0"/>
    <n v="505"/>
    <n v="0"/>
    <x v="12"/>
  </r>
  <r>
    <x v="0"/>
    <s v="1213"/>
    <s v="522"/>
    <s v="264"/>
    <s v="3420"/>
    <s v="0782"/>
    <m/>
    <x v="10"/>
    <n v="0"/>
    <n v="-22"/>
    <n v="0"/>
    <n v="22"/>
    <n v="0"/>
    <x v="48"/>
  </r>
  <r>
    <x v="0"/>
    <s v="1213"/>
    <s v="522"/>
    <s v="264"/>
    <s v="3421"/>
    <s v="0782"/>
    <m/>
    <x v="10"/>
    <n v="0"/>
    <n v="-30"/>
    <n v="0"/>
    <n v="30"/>
    <n v="0"/>
    <x v="49"/>
  </r>
  <r>
    <x v="0"/>
    <s v="1213"/>
    <s v="522"/>
    <s v="264"/>
    <s v="3423"/>
    <s v="0782"/>
    <m/>
    <x v="10"/>
    <n v="0"/>
    <n v="0"/>
    <n v="0"/>
    <n v="0"/>
    <n v="0"/>
    <x v="13"/>
  </r>
  <r>
    <x v="0"/>
    <s v="1213"/>
    <s v="522"/>
    <s v="264"/>
    <s v="3425"/>
    <s v="0782"/>
    <m/>
    <x v="10"/>
    <n v="0"/>
    <n v="-219"/>
    <n v="0"/>
    <n v="219"/>
    <n v="0"/>
    <x v="51"/>
  </r>
  <r>
    <x v="0"/>
    <s v="1213"/>
    <s v="522"/>
    <s v="264"/>
    <s v="3426"/>
    <s v="0782"/>
    <m/>
    <x v="10"/>
    <n v="0"/>
    <n v="-4597"/>
    <n v="0"/>
    <n v="4597"/>
    <n v="0"/>
    <x v="15"/>
  </r>
  <r>
    <x v="0"/>
    <s v="1213"/>
    <s v="522"/>
    <s v="264"/>
    <s v="3428"/>
    <s v="0782"/>
    <m/>
    <x v="10"/>
    <n v="0"/>
    <n v="-2293"/>
    <n v="0"/>
    <n v="2293"/>
    <n v="0"/>
    <x v="16"/>
  </r>
  <r>
    <x v="0"/>
    <s v="1213"/>
    <s v="522"/>
    <s v="264"/>
    <s v="3429"/>
    <s v="0782"/>
    <m/>
    <x v="10"/>
    <n v="0"/>
    <n v="-230316"/>
    <n v="0"/>
    <n v="230316"/>
    <n v="0"/>
    <x v="17"/>
  </r>
  <r>
    <x v="0"/>
    <s v="1213"/>
    <s v="522"/>
    <s v="264"/>
    <s v="3430"/>
    <s v="0782"/>
    <m/>
    <x v="10"/>
    <n v="0"/>
    <n v="-6419"/>
    <n v="0"/>
    <n v="6419"/>
    <n v="0"/>
    <x v="18"/>
  </r>
  <r>
    <x v="0"/>
    <s v="1213"/>
    <s v="522"/>
    <s v="264"/>
    <s v="3432"/>
    <s v="0782"/>
    <m/>
    <x v="10"/>
    <n v="0"/>
    <n v="0"/>
    <n v="0"/>
    <n v="0"/>
    <n v="0"/>
    <x v="54"/>
  </r>
  <r>
    <x v="0"/>
    <s v="1213"/>
    <s v="522"/>
    <s v="264"/>
    <s v="3433"/>
    <s v="0782"/>
    <m/>
    <x v="10"/>
    <n v="0"/>
    <n v="-1458"/>
    <n v="0"/>
    <n v="1458"/>
    <n v="0"/>
    <x v="55"/>
  </r>
  <r>
    <x v="0"/>
    <s v="1213"/>
    <s v="522"/>
    <s v="264"/>
    <s v="3435"/>
    <s v="0782"/>
    <m/>
    <x v="10"/>
    <n v="0"/>
    <n v="809"/>
    <n v="0"/>
    <n v="-809"/>
    <n v="0"/>
    <x v="56"/>
  </r>
  <r>
    <x v="0"/>
    <s v="1213"/>
    <s v="522"/>
    <s v="264"/>
    <s v="3436"/>
    <s v="0782"/>
    <m/>
    <x v="10"/>
    <n v="0"/>
    <n v="-536"/>
    <n v="0"/>
    <n v="536"/>
    <n v="0"/>
    <x v="57"/>
  </r>
  <r>
    <x v="0"/>
    <s v="1213"/>
    <s v="522"/>
    <s v="264"/>
    <s v="3437"/>
    <s v="0782"/>
    <m/>
    <x v="10"/>
    <n v="0"/>
    <n v="-418"/>
    <n v="0"/>
    <n v="418"/>
    <n v="0"/>
    <x v="58"/>
  </r>
  <r>
    <x v="0"/>
    <s v="1213"/>
    <s v="522"/>
    <s v="264"/>
    <s v="3441"/>
    <s v="0782"/>
    <m/>
    <x v="10"/>
    <n v="0"/>
    <n v="-1686"/>
    <n v="0"/>
    <n v="1686"/>
    <n v="0"/>
    <x v="62"/>
  </r>
  <r>
    <x v="0"/>
    <s v="1213"/>
    <s v="522"/>
    <s v="264"/>
    <s v="3442"/>
    <s v="0782"/>
    <m/>
    <x v="10"/>
    <n v="0"/>
    <n v="-709"/>
    <n v="0"/>
    <n v="709"/>
    <n v="0"/>
    <x v="63"/>
  </r>
  <r>
    <x v="0"/>
    <s v="1213"/>
    <s v="522"/>
    <s v="264"/>
    <s v="3443"/>
    <s v="0782"/>
    <m/>
    <x v="10"/>
    <n v="0"/>
    <n v="-117"/>
    <n v="0"/>
    <n v="117"/>
    <n v="0"/>
    <x v="64"/>
  </r>
  <r>
    <x v="0"/>
    <s v="1213"/>
    <s v="522"/>
    <s v="264"/>
    <s v="3445"/>
    <s v="0782"/>
    <m/>
    <x v="10"/>
    <n v="0"/>
    <n v="-141.5"/>
    <n v="0"/>
    <n v="141.5"/>
    <n v="0"/>
    <x v="65"/>
  </r>
  <r>
    <x v="0"/>
    <s v="1213"/>
    <s v="522"/>
    <s v="264"/>
    <s v="3446"/>
    <s v="0782"/>
    <m/>
    <x v="10"/>
    <n v="0"/>
    <n v="-34"/>
    <n v="0"/>
    <n v="34"/>
    <n v="0"/>
    <x v="66"/>
  </r>
  <r>
    <x v="0"/>
    <s v="1213"/>
    <s v="522"/>
    <s v="264"/>
    <s v="3447"/>
    <s v="0782"/>
    <m/>
    <x v="10"/>
    <n v="0"/>
    <n v="-47"/>
    <n v="0"/>
    <n v="47"/>
    <n v="0"/>
    <x v="67"/>
  </r>
  <r>
    <x v="0"/>
    <s v="1213"/>
    <s v="522"/>
    <s v="264"/>
    <s v="3448"/>
    <s v="0782"/>
    <m/>
    <x v="10"/>
    <n v="0"/>
    <n v="-1946"/>
    <n v="0"/>
    <n v="1946"/>
    <n v="0"/>
    <x v="68"/>
  </r>
  <r>
    <x v="0"/>
    <s v="1213"/>
    <s v="522"/>
    <s v="264"/>
    <s v="3453"/>
    <s v="0782"/>
    <m/>
    <x v="10"/>
    <n v="0"/>
    <n v="-2017"/>
    <n v="0"/>
    <n v="2017"/>
    <n v="0"/>
    <x v="70"/>
  </r>
  <r>
    <x v="0"/>
    <s v="1213"/>
    <s v="522"/>
    <s v="264"/>
    <s v="3454"/>
    <s v="0782"/>
    <m/>
    <x v="10"/>
    <n v="0"/>
    <n v="-248.5"/>
    <n v="0"/>
    <n v="248.5"/>
    <n v="0"/>
    <x v="71"/>
  </r>
  <r>
    <x v="0"/>
    <s v="1213"/>
    <s v="522"/>
    <s v="264"/>
    <s v="3455"/>
    <s v="0782"/>
    <m/>
    <x v="10"/>
    <n v="0"/>
    <n v="0"/>
    <n v="0"/>
    <n v="0"/>
    <n v="0"/>
    <x v="95"/>
  </r>
  <r>
    <x v="0"/>
    <s v="1213"/>
    <s v="522"/>
    <s v="264"/>
    <s v="3456"/>
    <s v="0782"/>
    <m/>
    <x v="10"/>
    <n v="0"/>
    <n v="-196"/>
    <n v="0"/>
    <n v="196"/>
    <n v="0"/>
    <x v="72"/>
  </r>
  <r>
    <x v="0"/>
    <s v="1213"/>
    <s v="522"/>
    <s v="264"/>
    <s v="3457"/>
    <s v="0782"/>
    <m/>
    <x v="10"/>
    <n v="0"/>
    <n v="-1494"/>
    <n v="0"/>
    <n v="1494"/>
    <n v="0"/>
    <x v="19"/>
  </r>
  <r>
    <x v="0"/>
    <s v="1213"/>
    <s v="522"/>
    <s v="264"/>
    <s v="3458"/>
    <s v="0782"/>
    <m/>
    <x v="10"/>
    <n v="0"/>
    <n v="-706"/>
    <n v="0"/>
    <n v="706"/>
    <n v="0"/>
    <x v="73"/>
  </r>
  <r>
    <x v="0"/>
    <s v="1213"/>
    <s v="522"/>
    <s v="264"/>
    <s v="3459"/>
    <s v="0782"/>
    <m/>
    <x v="10"/>
    <n v="0"/>
    <n v="0"/>
    <n v="0"/>
    <n v="0"/>
    <n v="0"/>
    <x v="96"/>
  </r>
  <r>
    <x v="0"/>
    <s v="1213"/>
    <s v="522"/>
    <s v="264"/>
    <s v="3460"/>
    <s v="0782"/>
    <m/>
    <x v="10"/>
    <n v="0"/>
    <n v="-861"/>
    <n v="0"/>
    <n v="861"/>
    <n v="0"/>
    <x v="74"/>
  </r>
  <r>
    <x v="0"/>
    <s v="1213"/>
    <s v="522"/>
    <s v="264"/>
    <s v="3462"/>
    <s v="0782"/>
    <m/>
    <x v="10"/>
    <n v="0"/>
    <n v="-329"/>
    <n v="0"/>
    <n v="329"/>
    <n v="0"/>
    <x v="76"/>
  </r>
  <r>
    <x v="0"/>
    <s v="1213"/>
    <s v="522"/>
    <s v="264"/>
    <s v="3464"/>
    <s v="0782"/>
    <m/>
    <x v="10"/>
    <n v="0"/>
    <n v="-1798"/>
    <n v="0"/>
    <n v="1798"/>
    <n v="0"/>
    <x v="20"/>
  </r>
  <r>
    <x v="0"/>
    <s v="1213"/>
    <s v="522"/>
    <s v="264"/>
    <s v="3465"/>
    <s v="0782"/>
    <m/>
    <x v="10"/>
    <n v="0"/>
    <n v="-3292"/>
    <n v="0"/>
    <n v="3292"/>
    <n v="0"/>
    <x v="21"/>
  </r>
  <r>
    <x v="0"/>
    <s v="1213"/>
    <s v="522"/>
    <s v="264"/>
    <s v="3466"/>
    <s v="0782"/>
    <m/>
    <x v="10"/>
    <n v="0"/>
    <n v="-51"/>
    <n v="0"/>
    <n v="51"/>
    <n v="0"/>
    <x v="77"/>
  </r>
  <r>
    <x v="0"/>
    <s v="1213"/>
    <s v="522"/>
    <s v="264"/>
    <s v="3467"/>
    <s v="0782"/>
    <m/>
    <x v="10"/>
    <n v="0"/>
    <n v="-170"/>
    <n v="0"/>
    <n v="170"/>
    <n v="0"/>
    <x v="78"/>
  </r>
  <r>
    <x v="0"/>
    <s v="1213"/>
    <s v="522"/>
    <s v="264"/>
    <s v="3468"/>
    <s v="0782"/>
    <m/>
    <x v="10"/>
    <n v="0"/>
    <n v="55"/>
    <n v="0"/>
    <n v="-55"/>
    <n v="0"/>
    <x v="79"/>
  </r>
  <r>
    <x v="0"/>
    <s v="1213"/>
    <s v="522"/>
    <s v="264"/>
    <s v="3469"/>
    <s v="0782"/>
    <m/>
    <x v="10"/>
    <n v="0"/>
    <n v="-1330"/>
    <n v="0"/>
    <n v="1330"/>
    <n v="0"/>
    <x v="80"/>
  </r>
  <r>
    <x v="0"/>
    <s v="1213"/>
    <s v="522"/>
    <s v="264"/>
    <s v="3472"/>
    <s v="0782"/>
    <m/>
    <x v="10"/>
    <n v="0"/>
    <n v="-147"/>
    <n v="0"/>
    <n v="147"/>
    <n v="0"/>
    <x v="83"/>
  </r>
  <r>
    <x v="0"/>
    <s v="1213"/>
    <s v="522"/>
    <s v="264"/>
    <s v="3473"/>
    <s v="0782"/>
    <m/>
    <x v="10"/>
    <n v="0"/>
    <n v="-933"/>
    <n v="0"/>
    <n v="933"/>
    <n v="0"/>
    <x v="84"/>
  </r>
  <r>
    <x v="0"/>
    <s v="1213"/>
    <s v="522"/>
    <s v="264"/>
    <s v="3496"/>
    <s v="0782"/>
    <m/>
    <x v="10"/>
    <n v="0"/>
    <n v="47"/>
    <n v="0"/>
    <n v="-47"/>
    <n v="0"/>
    <x v="88"/>
  </r>
  <r>
    <x v="0"/>
    <s v="1213"/>
    <s v="522"/>
    <s v="264"/>
    <s v="3499"/>
    <s v="0401"/>
    <m/>
    <x v="7"/>
    <n v="0"/>
    <n v="-2409.8200000000002"/>
    <n v="0"/>
    <n v="2409.8200000000002"/>
    <n v="-559.25"/>
    <x v="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0" applyNumberFormats="0" applyBorderFormats="0" applyFontFormats="0" applyPatternFormats="0" applyAlignmentFormats="0" applyWidthHeightFormats="1" dataCaption="Values" updatedVersion="4" minRefreshableVersion="3" itemPrintTitles="1" createdVersion="4" indent="0" outline="1" outlineData="1" multipleFieldFilters="0" rowHeaderCaption="ORG/DEPT">
  <location ref="A8:E543" firstHeaderRow="0" firstDataRow="1" firstDataCol="1"/>
  <pivotFields count="14">
    <pivotField axis="axisRow" subtotalTop="0" showAll="0">
      <items count="3">
        <item m="1" x="1"/>
        <item x="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12">
        <item x="0"/>
        <item x="7"/>
        <item x="10"/>
        <item x="6"/>
        <item x="3"/>
        <item x="9"/>
        <item x="8"/>
        <item x="1"/>
        <item x="2"/>
        <item x="4"/>
        <item x="5"/>
        <item t="default"/>
      </items>
    </pivotField>
    <pivotField dataField="1" numFmtId="1" subtotalTop="0" showAll="0"/>
    <pivotField dataField="1" numFmtId="2" subtotalTop="0" showAll="0"/>
    <pivotField dataField="1" numFmtId="2" showAll="0" defaultSubtotal="0"/>
    <pivotField dataField="1" numFmtId="2" subtotalTop="0" showAll="0"/>
    <pivotField numFmtId="2" subtotalTop="0" showAll="0"/>
    <pivotField axis="axisRow" subtotalTop="0" showAll="0">
      <items count="98">
        <item x="0"/>
        <item x="22"/>
        <item x="1"/>
        <item x="23"/>
        <item x="24"/>
        <item x="93"/>
        <item x="25"/>
        <item x="26"/>
        <item x="5"/>
        <item x="68"/>
        <item x="27"/>
        <item x="28"/>
        <item x="29"/>
        <item x="30"/>
        <item x="31"/>
        <item x="6"/>
        <item x="94"/>
        <item x="32"/>
        <item x="7"/>
        <item x="33"/>
        <item x="8"/>
        <item x="34"/>
        <item x="35"/>
        <item x="36"/>
        <item x="2"/>
        <item x="3"/>
        <item x="91"/>
        <item x="4"/>
        <item x="37"/>
        <item x="9"/>
        <item x="38"/>
        <item x="39"/>
        <item x="90"/>
        <item x="40"/>
        <item x="41"/>
        <item x="10"/>
        <item x="42"/>
        <item x="43"/>
        <item x="44"/>
        <item x="11"/>
        <item x="45"/>
        <item x="89"/>
        <item x="46"/>
        <item x="12"/>
        <item x="47"/>
        <item x="48"/>
        <item x="49"/>
        <item x="50"/>
        <item x="13"/>
        <item x="14"/>
        <item x="51"/>
        <item x="15"/>
        <item x="52"/>
        <item x="16"/>
        <item x="17"/>
        <item x="18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1"/>
        <item x="95"/>
        <item x="72"/>
        <item x="19"/>
        <item x="73"/>
        <item x="96"/>
        <item x="74"/>
        <item x="75"/>
        <item x="76"/>
        <item x="20"/>
        <item x="2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2"/>
        <item t="default"/>
      </items>
    </pivotField>
  </pivotFields>
  <rowFields count="3">
    <field x="0"/>
    <field x="13"/>
    <field x="7"/>
  </rowFields>
  <rowItems count="535">
    <i>
      <x v="1"/>
    </i>
    <i r="1">
      <x/>
    </i>
    <i r="2">
      <x/>
    </i>
    <i r="2">
      <x v="1"/>
    </i>
    <i r="2">
      <x v="2"/>
    </i>
    <i r="2">
      <x v="3"/>
    </i>
    <i r="2">
      <x v="8"/>
    </i>
    <i t="default" r="1">
      <x/>
    </i>
    <i r="1">
      <x v="1"/>
    </i>
    <i r="2">
      <x v="4"/>
    </i>
    <i r="2">
      <x v="8"/>
    </i>
    <i t="default" r="1">
      <x v="1"/>
    </i>
    <i r="1">
      <x v="2"/>
    </i>
    <i r="2">
      <x/>
    </i>
    <i r="2">
      <x v="2"/>
    </i>
    <i r="2">
      <x v="3"/>
    </i>
    <i r="2">
      <x v="8"/>
    </i>
    <i t="default" r="1">
      <x v="2"/>
    </i>
    <i r="1">
      <x v="3"/>
    </i>
    <i r="2">
      <x v="2"/>
    </i>
    <i r="2">
      <x v="8"/>
    </i>
    <i t="default" r="1">
      <x v="3"/>
    </i>
    <i r="1">
      <x v="4"/>
    </i>
    <i r="2">
      <x v="2"/>
    </i>
    <i r="2">
      <x v="8"/>
    </i>
    <i t="default" r="1">
      <x v="4"/>
    </i>
    <i r="1">
      <x v="5"/>
    </i>
    <i r="2">
      <x v="2"/>
    </i>
    <i t="default" r="1">
      <x v="5"/>
    </i>
    <i r="1">
      <x v="6"/>
    </i>
    <i r="2">
      <x v="1"/>
    </i>
    <i r="2">
      <x v="2"/>
    </i>
    <i r="2">
      <x v="4"/>
    </i>
    <i r="2">
      <x v="5"/>
    </i>
    <i r="2">
      <x v="8"/>
    </i>
    <i r="2">
      <x v="10"/>
    </i>
    <i t="default" r="1">
      <x v="6"/>
    </i>
    <i r="1">
      <x v="7"/>
    </i>
    <i r="2">
      <x v="1"/>
    </i>
    <i r="2">
      <x v="2"/>
    </i>
    <i r="2">
      <x v="5"/>
    </i>
    <i r="2">
      <x v="8"/>
    </i>
    <i r="2">
      <x v="10"/>
    </i>
    <i t="default" r="1">
      <x v="7"/>
    </i>
    <i r="1">
      <x v="8"/>
    </i>
    <i r="2">
      <x v="2"/>
    </i>
    <i r="2">
      <x v="7"/>
    </i>
    <i r="2">
      <x v="8"/>
    </i>
    <i t="default" r="1">
      <x v="8"/>
    </i>
    <i r="1">
      <x v="9"/>
    </i>
    <i r="2">
      <x v="1"/>
    </i>
    <i r="2">
      <x v="2"/>
    </i>
    <i r="2">
      <x v="8"/>
    </i>
    <i t="default" r="1">
      <x v="9"/>
    </i>
    <i r="1">
      <x v="10"/>
    </i>
    <i r="2">
      <x v="1"/>
    </i>
    <i r="2">
      <x v="2"/>
    </i>
    <i r="2">
      <x v="4"/>
    </i>
    <i r="2">
      <x v="5"/>
    </i>
    <i r="2">
      <x v="8"/>
    </i>
    <i t="default" r="1">
      <x v="10"/>
    </i>
    <i r="1">
      <x v="11"/>
    </i>
    <i r="2">
      <x v="4"/>
    </i>
    <i r="2">
      <x v="5"/>
    </i>
    <i r="2">
      <x v="8"/>
    </i>
    <i t="default" r="1">
      <x v="11"/>
    </i>
    <i r="1">
      <x v="12"/>
    </i>
    <i r="2">
      <x v="1"/>
    </i>
    <i r="2">
      <x v="2"/>
    </i>
    <i r="2">
      <x v="4"/>
    </i>
    <i r="2">
      <x v="5"/>
    </i>
    <i r="2">
      <x v="8"/>
    </i>
    <i r="2">
      <x v="10"/>
    </i>
    <i t="default" r="1">
      <x v="12"/>
    </i>
    <i r="1">
      <x v="13"/>
    </i>
    <i r="2">
      <x v="1"/>
    </i>
    <i r="2">
      <x v="2"/>
    </i>
    <i r="2">
      <x v="4"/>
    </i>
    <i r="2">
      <x v="5"/>
    </i>
    <i r="2">
      <x v="8"/>
    </i>
    <i r="2">
      <x v="10"/>
    </i>
    <i t="default" r="1">
      <x v="13"/>
    </i>
    <i r="1">
      <x v="14"/>
    </i>
    <i r="2">
      <x v="2"/>
    </i>
    <i r="2">
      <x v="4"/>
    </i>
    <i r="2">
      <x v="5"/>
    </i>
    <i r="2">
      <x v="8"/>
    </i>
    <i r="2">
      <x v="10"/>
    </i>
    <i t="default" r="1">
      <x v="14"/>
    </i>
    <i r="1">
      <x v="15"/>
    </i>
    <i r="2">
      <x v="1"/>
    </i>
    <i r="2">
      <x v="2"/>
    </i>
    <i r="2">
      <x v="7"/>
    </i>
    <i r="2">
      <x v="8"/>
    </i>
    <i r="2">
      <x v="10"/>
    </i>
    <i t="default" r="1">
      <x v="15"/>
    </i>
    <i r="1">
      <x v="16"/>
    </i>
    <i r="2">
      <x v="2"/>
    </i>
    <i t="default" r="1">
      <x v="16"/>
    </i>
    <i r="1">
      <x v="17"/>
    </i>
    <i r="2">
      <x v="5"/>
    </i>
    <i r="2">
      <x v="8"/>
    </i>
    <i r="2">
      <x v="10"/>
    </i>
    <i t="default" r="1">
      <x v="17"/>
    </i>
    <i r="1">
      <x v="18"/>
    </i>
    <i r="2">
      <x v="1"/>
    </i>
    <i r="2">
      <x v="2"/>
    </i>
    <i r="2">
      <x v="7"/>
    </i>
    <i r="2">
      <x v="8"/>
    </i>
    <i r="2">
      <x v="10"/>
    </i>
    <i t="default" r="1">
      <x v="18"/>
    </i>
    <i r="1">
      <x v="19"/>
    </i>
    <i r="2">
      <x v="2"/>
    </i>
    <i r="2">
      <x v="5"/>
    </i>
    <i r="2">
      <x v="8"/>
    </i>
    <i t="default" r="1">
      <x v="19"/>
    </i>
    <i r="1">
      <x v="20"/>
    </i>
    <i r="2">
      <x v="7"/>
    </i>
    <i r="2">
      <x v="8"/>
    </i>
    <i r="2">
      <x v="10"/>
    </i>
    <i t="default" r="1">
      <x v="20"/>
    </i>
    <i r="1">
      <x v="21"/>
    </i>
    <i r="2">
      <x v="1"/>
    </i>
    <i r="2">
      <x v="2"/>
    </i>
    <i r="2">
      <x v="4"/>
    </i>
    <i r="2">
      <x v="5"/>
    </i>
    <i r="2">
      <x v="8"/>
    </i>
    <i r="2">
      <x v="10"/>
    </i>
    <i t="default" r="1">
      <x v="21"/>
    </i>
    <i r="1">
      <x v="22"/>
    </i>
    <i r="2">
      <x v="1"/>
    </i>
    <i r="2">
      <x v="2"/>
    </i>
    <i r="2">
      <x v="8"/>
    </i>
    <i r="2">
      <x v="10"/>
    </i>
    <i t="default" r="1">
      <x v="22"/>
    </i>
    <i r="1">
      <x v="23"/>
    </i>
    <i r="2">
      <x v="1"/>
    </i>
    <i r="2">
      <x v="8"/>
    </i>
    <i t="default" r="1">
      <x v="23"/>
    </i>
    <i r="1">
      <x v="24"/>
    </i>
    <i r="2">
      <x/>
    </i>
    <i r="2">
      <x v="1"/>
    </i>
    <i r="2">
      <x v="3"/>
    </i>
    <i t="default" r="1">
      <x v="24"/>
    </i>
    <i r="1">
      <x v="25"/>
    </i>
    <i r="2">
      <x/>
    </i>
    <i r="2">
      <x v="1"/>
    </i>
    <i r="2">
      <x v="2"/>
    </i>
    <i r="2">
      <x v="9"/>
    </i>
    <i t="default" r="1">
      <x v="25"/>
    </i>
    <i r="1">
      <x v="26"/>
    </i>
    <i r="2">
      <x v="1"/>
    </i>
    <i r="2">
      <x v="2"/>
    </i>
    <i r="2">
      <x v="3"/>
    </i>
    <i t="default" r="1">
      <x v="26"/>
    </i>
    <i r="1">
      <x v="27"/>
    </i>
    <i r="2">
      <x/>
    </i>
    <i r="2">
      <x v="2"/>
    </i>
    <i r="2">
      <x v="3"/>
    </i>
    <i r="2">
      <x v="8"/>
    </i>
    <i r="2">
      <x v="10"/>
    </i>
    <i t="default" r="1">
      <x v="27"/>
    </i>
    <i r="1">
      <x v="28"/>
    </i>
    <i r="2">
      <x v="4"/>
    </i>
    <i r="2">
      <x v="8"/>
    </i>
    <i t="default" r="1">
      <x v="28"/>
    </i>
    <i r="1">
      <x v="29"/>
    </i>
    <i r="2">
      <x v="2"/>
    </i>
    <i r="2">
      <x v="7"/>
    </i>
    <i r="2">
      <x v="8"/>
    </i>
    <i t="default" r="1">
      <x v="29"/>
    </i>
    <i r="1">
      <x v="30"/>
    </i>
    <i r="2">
      <x v="8"/>
    </i>
    <i r="2">
      <x v="10"/>
    </i>
    <i t="default" r="1">
      <x v="30"/>
    </i>
    <i r="1">
      <x v="31"/>
    </i>
    <i r="2">
      <x v="1"/>
    </i>
    <i r="2">
      <x v="8"/>
    </i>
    <i t="default" r="1">
      <x v="31"/>
    </i>
    <i r="1">
      <x v="32"/>
    </i>
    <i r="2">
      <x v="4"/>
    </i>
    <i t="default" r="1">
      <x v="32"/>
    </i>
    <i r="1">
      <x v="33"/>
    </i>
    <i r="2">
      <x v="8"/>
    </i>
    <i t="default" r="1">
      <x v="33"/>
    </i>
    <i r="1">
      <x v="34"/>
    </i>
    <i r="2">
      <x v="4"/>
    </i>
    <i r="2">
      <x v="8"/>
    </i>
    <i t="default" r="1">
      <x v="34"/>
    </i>
    <i r="1">
      <x v="35"/>
    </i>
    <i r="2">
      <x v="1"/>
    </i>
    <i r="2">
      <x v="2"/>
    </i>
    <i r="2">
      <x v="5"/>
    </i>
    <i r="2">
      <x v="7"/>
    </i>
    <i r="2">
      <x v="8"/>
    </i>
    <i r="2">
      <x v="10"/>
    </i>
    <i t="default" r="1">
      <x v="35"/>
    </i>
    <i r="1">
      <x v="36"/>
    </i>
    <i r="2">
      <x v="5"/>
    </i>
    <i r="2">
      <x v="8"/>
    </i>
    <i t="default" r="1">
      <x v="36"/>
    </i>
    <i r="1">
      <x v="37"/>
    </i>
    <i r="2">
      <x v="8"/>
    </i>
    <i t="default" r="1">
      <x v="37"/>
    </i>
    <i r="1">
      <x v="38"/>
    </i>
    <i r="2">
      <x v="5"/>
    </i>
    <i r="2">
      <x v="8"/>
    </i>
    <i r="2">
      <x v="10"/>
    </i>
    <i t="default" r="1">
      <x v="38"/>
    </i>
    <i r="1">
      <x v="39"/>
    </i>
    <i r="2">
      <x v="2"/>
    </i>
    <i r="2">
      <x v="5"/>
    </i>
    <i r="2">
      <x v="7"/>
    </i>
    <i r="2">
      <x v="8"/>
    </i>
    <i r="2">
      <x v="10"/>
    </i>
    <i t="default" r="1">
      <x v="39"/>
    </i>
    <i r="1">
      <x v="40"/>
    </i>
    <i r="2">
      <x v="6"/>
    </i>
    <i r="2">
      <x v="8"/>
    </i>
    <i r="2">
      <x v="10"/>
    </i>
    <i t="default" r="1">
      <x v="40"/>
    </i>
    <i r="1">
      <x v="41"/>
    </i>
    <i r="2">
      <x v="4"/>
    </i>
    <i r="2">
      <x v="10"/>
    </i>
    <i t="default" r="1">
      <x v="41"/>
    </i>
    <i r="1">
      <x v="42"/>
    </i>
    <i r="2">
      <x v="4"/>
    </i>
    <i r="2">
      <x v="8"/>
    </i>
    <i r="2">
      <x v="10"/>
    </i>
    <i t="default" r="1">
      <x v="42"/>
    </i>
    <i r="1">
      <x v="43"/>
    </i>
    <i r="2">
      <x v="1"/>
    </i>
    <i r="2">
      <x v="2"/>
    </i>
    <i r="2">
      <x v="7"/>
    </i>
    <i r="2">
      <x v="8"/>
    </i>
    <i r="2">
      <x v="10"/>
    </i>
    <i t="default" r="1">
      <x v="43"/>
    </i>
    <i r="1">
      <x v="44"/>
    </i>
    <i r="2">
      <x v="8"/>
    </i>
    <i t="default" r="1">
      <x v="44"/>
    </i>
    <i r="1">
      <x v="45"/>
    </i>
    <i r="2">
      <x v="1"/>
    </i>
    <i r="2">
      <x v="2"/>
    </i>
    <i r="2">
      <x v="5"/>
    </i>
    <i r="2">
      <x v="8"/>
    </i>
    <i r="2">
      <x v="10"/>
    </i>
    <i t="default" r="1">
      <x v="45"/>
    </i>
    <i r="1">
      <x v="46"/>
    </i>
    <i r="2">
      <x v="2"/>
    </i>
    <i r="2">
      <x v="4"/>
    </i>
    <i r="2">
      <x v="5"/>
    </i>
    <i r="2">
      <x v="8"/>
    </i>
    <i r="2">
      <x v="10"/>
    </i>
    <i t="default" r="1">
      <x v="46"/>
    </i>
    <i r="1">
      <x v="47"/>
    </i>
    <i r="2">
      <x v="8"/>
    </i>
    <i t="default" r="1">
      <x v="47"/>
    </i>
    <i r="1">
      <x v="48"/>
    </i>
    <i r="2">
      <x v="2"/>
    </i>
    <i r="2">
      <x v="4"/>
    </i>
    <i r="2">
      <x v="5"/>
    </i>
    <i r="2">
      <x v="7"/>
    </i>
    <i r="2">
      <x v="8"/>
    </i>
    <i t="default" r="1">
      <x v="48"/>
    </i>
    <i r="1">
      <x v="49"/>
    </i>
    <i r="2">
      <x v="4"/>
    </i>
    <i r="2">
      <x v="5"/>
    </i>
    <i r="2">
      <x v="7"/>
    </i>
    <i r="2">
      <x v="8"/>
    </i>
    <i r="2">
      <x v="10"/>
    </i>
    <i t="default" r="1">
      <x v="49"/>
    </i>
    <i r="1">
      <x v="50"/>
    </i>
    <i r="2">
      <x v="1"/>
    </i>
    <i r="2">
      <x v="2"/>
    </i>
    <i r="2">
      <x v="5"/>
    </i>
    <i r="2">
      <x v="8"/>
    </i>
    <i r="2">
      <x v="10"/>
    </i>
    <i t="default" r="1">
      <x v="50"/>
    </i>
    <i r="1">
      <x v="51"/>
    </i>
    <i r="2">
      <x v="1"/>
    </i>
    <i r="2">
      <x v="2"/>
    </i>
    <i r="2">
      <x v="6"/>
    </i>
    <i r="2">
      <x v="7"/>
    </i>
    <i r="2">
      <x v="8"/>
    </i>
    <i r="2">
      <x v="10"/>
    </i>
    <i t="default" r="1">
      <x v="51"/>
    </i>
    <i r="1">
      <x v="52"/>
    </i>
    <i r="2">
      <x v="4"/>
    </i>
    <i r="2">
      <x v="8"/>
    </i>
    <i t="default" r="1">
      <x v="52"/>
    </i>
    <i r="1">
      <x v="53"/>
    </i>
    <i r="2">
      <x v="1"/>
    </i>
    <i r="2">
      <x v="2"/>
    </i>
    <i r="2">
      <x v="4"/>
    </i>
    <i r="2">
      <x v="6"/>
    </i>
    <i r="2">
      <x v="7"/>
    </i>
    <i r="2">
      <x v="8"/>
    </i>
    <i t="default" r="1">
      <x v="53"/>
    </i>
    <i r="1">
      <x v="54"/>
    </i>
    <i r="2">
      <x v="2"/>
    </i>
    <i r="2">
      <x v="7"/>
    </i>
    <i r="2">
      <x v="8"/>
    </i>
    <i t="default" r="1">
      <x v="54"/>
    </i>
    <i r="1">
      <x v="55"/>
    </i>
    <i r="2">
      <x v="2"/>
    </i>
    <i r="2">
      <x v="6"/>
    </i>
    <i r="2">
      <x v="7"/>
    </i>
    <i r="2">
      <x v="8"/>
    </i>
    <i r="2">
      <x v="10"/>
    </i>
    <i t="default" r="1">
      <x v="55"/>
    </i>
    <i r="1">
      <x v="56"/>
    </i>
    <i r="2">
      <x v="4"/>
    </i>
    <i r="2">
      <x v="8"/>
    </i>
    <i t="default" r="1">
      <x v="56"/>
    </i>
    <i r="1">
      <x v="57"/>
    </i>
    <i r="2">
      <x v="2"/>
    </i>
    <i r="2">
      <x v="3"/>
    </i>
    <i r="2">
      <x v="8"/>
    </i>
    <i t="default" r="1">
      <x v="57"/>
    </i>
    <i r="1">
      <x v="58"/>
    </i>
    <i r="2">
      <x v="1"/>
    </i>
    <i r="2">
      <x v="2"/>
    </i>
    <i r="2">
      <x v="8"/>
    </i>
    <i r="2">
      <x v="10"/>
    </i>
    <i t="default" r="1">
      <x v="58"/>
    </i>
    <i r="1">
      <x v="59"/>
    </i>
    <i r="2">
      <x v="1"/>
    </i>
    <i r="2">
      <x v="2"/>
    </i>
    <i r="2">
      <x v="5"/>
    </i>
    <i r="2">
      <x v="6"/>
    </i>
    <i r="2">
      <x v="8"/>
    </i>
    <i r="2">
      <x v="10"/>
    </i>
    <i t="default" r="1">
      <x v="59"/>
    </i>
    <i r="1">
      <x v="60"/>
    </i>
    <i r="2">
      <x v="1"/>
    </i>
    <i r="2">
      <x v="2"/>
    </i>
    <i r="2">
      <x v="5"/>
    </i>
    <i r="2">
      <x v="8"/>
    </i>
    <i r="2">
      <x v="10"/>
    </i>
    <i t="default" r="1">
      <x v="60"/>
    </i>
    <i r="1">
      <x v="61"/>
    </i>
    <i r="2">
      <x v="1"/>
    </i>
    <i r="2">
      <x v="2"/>
    </i>
    <i r="2">
      <x v="8"/>
    </i>
    <i t="default" r="1">
      <x v="61"/>
    </i>
    <i r="1">
      <x v="62"/>
    </i>
    <i r="2">
      <x v="5"/>
    </i>
    <i r="2">
      <x v="8"/>
    </i>
    <i t="default" r="1">
      <x v="62"/>
    </i>
    <i r="1">
      <x v="63"/>
    </i>
    <i r="2">
      <x v="8"/>
    </i>
    <i r="2">
      <x v="10"/>
    </i>
    <i t="default" r="1">
      <x v="63"/>
    </i>
    <i r="1">
      <x v="64"/>
    </i>
    <i r="2">
      <x v="8"/>
    </i>
    <i t="default" r="1">
      <x v="64"/>
    </i>
    <i r="1">
      <x v="65"/>
    </i>
    <i r="2">
      <x v="1"/>
    </i>
    <i r="2">
      <x v="2"/>
    </i>
    <i r="2">
      <x v="5"/>
    </i>
    <i r="2">
      <x v="8"/>
    </i>
    <i r="2">
      <x v="10"/>
    </i>
    <i t="default" r="1">
      <x v="65"/>
    </i>
    <i r="1">
      <x v="66"/>
    </i>
    <i r="2">
      <x v="1"/>
    </i>
    <i r="2">
      <x v="2"/>
    </i>
    <i r="2">
      <x v="5"/>
    </i>
    <i r="2">
      <x v="8"/>
    </i>
    <i r="2">
      <x v="10"/>
    </i>
    <i t="default" r="1">
      <x v="66"/>
    </i>
    <i r="1">
      <x v="67"/>
    </i>
    <i r="2">
      <x v="1"/>
    </i>
    <i r="2">
      <x v="2"/>
    </i>
    <i r="2">
      <x v="8"/>
    </i>
    <i t="default" r="1">
      <x v="67"/>
    </i>
    <i r="1">
      <x v="68"/>
    </i>
    <i r="2">
      <x v="1"/>
    </i>
    <i r="2">
      <x v="2"/>
    </i>
    <i r="2">
      <x v="5"/>
    </i>
    <i r="2">
      <x v="8"/>
    </i>
    <i r="2">
      <x v="10"/>
    </i>
    <i t="default" r="1">
      <x v="68"/>
    </i>
    <i r="1">
      <x v="69"/>
    </i>
    <i r="2">
      <x v="1"/>
    </i>
    <i r="2">
      <x v="2"/>
    </i>
    <i r="2">
      <x v="5"/>
    </i>
    <i r="2">
      <x v="8"/>
    </i>
    <i r="2">
      <x v="10"/>
    </i>
    <i t="default" r="1">
      <x v="69"/>
    </i>
    <i r="1">
      <x v="70"/>
    </i>
    <i r="2">
      <x v="2"/>
    </i>
    <i r="2">
      <x v="8"/>
    </i>
    <i t="default" r="1">
      <x v="70"/>
    </i>
    <i r="1">
      <x v="71"/>
    </i>
    <i r="2">
      <x v="8"/>
    </i>
    <i t="default" r="1">
      <x v="71"/>
    </i>
    <i r="1">
      <x v="72"/>
    </i>
    <i r="2">
      <x v="1"/>
    </i>
    <i r="2">
      <x v="2"/>
    </i>
    <i r="2">
      <x v="8"/>
    </i>
    <i r="2">
      <x v="10"/>
    </i>
    <i t="default" r="1">
      <x v="72"/>
    </i>
    <i r="1">
      <x v="73"/>
    </i>
    <i r="2">
      <x v="1"/>
    </i>
    <i r="2">
      <x v="2"/>
    </i>
    <i r="2">
      <x v="5"/>
    </i>
    <i r="2">
      <x v="8"/>
    </i>
    <i t="default" r="1">
      <x v="73"/>
    </i>
    <i r="1">
      <x v="74"/>
    </i>
    <i r="2">
      <x v="2"/>
    </i>
    <i t="default" r="1">
      <x v="74"/>
    </i>
    <i r="1">
      <x v="75"/>
    </i>
    <i r="2">
      <x v="1"/>
    </i>
    <i r="2">
      <x v="2"/>
    </i>
    <i r="2">
      <x v="5"/>
    </i>
    <i r="2">
      <x v="8"/>
    </i>
    <i r="2">
      <x v="10"/>
    </i>
    <i t="default" r="1">
      <x v="75"/>
    </i>
    <i r="1">
      <x v="76"/>
    </i>
    <i r="2">
      <x v="1"/>
    </i>
    <i r="2">
      <x v="2"/>
    </i>
    <i r="2">
      <x v="5"/>
    </i>
    <i r="2">
      <x v="6"/>
    </i>
    <i r="2">
      <x v="7"/>
    </i>
    <i r="2">
      <x v="8"/>
    </i>
    <i r="2">
      <x v="10"/>
    </i>
    <i t="default" r="1">
      <x v="76"/>
    </i>
    <i r="1">
      <x v="77"/>
    </i>
    <i r="2">
      <x v="1"/>
    </i>
    <i r="2">
      <x v="2"/>
    </i>
    <i r="2">
      <x v="4"/>
    </i>
    <i r="2">
      <x v="5"/>
    </i>
    <i r="2">
      <x v="8"/>
    </i>
    <i r="2">
      <x v="10"/>
    </i>
    <i t="default" r="1">
      <x v="77"/>
    </i>
    <i r="1">
      <x v="78"/>
    </i>
    <i r="2">
      <x v="2"/>
    </i>
    <i t="default" r="1">
      <x v="78"/>
    </i>
    <i r="1">
      <x v="79"/>
    </i>
    <i r="2">
      <x v="1"/>
    </i>
    <i r="2">
      <x v="2"/>
    </i>
    <i r="2">
      <x v="8"/>
    </i>
    <i t="default" r="1">
      <x v="79"/>
    </i>
    <i r="1">
      <x v="80"/>
    </i>
    <i r="2">
      <x v="1"/>
    </i>
    <i r="2">
      <x v="8"/>
    </i>
    <i r="2">
      <x v="10"/>
    </i>
    <i t="default" r="1">
      <x v="80"/>
    </i>
    <i r="1">
      <x v="81"/>
    </i>
    <i r="2">
      <x v="1"/>
    </i>
    <i r="2">
      <x v="2"/>
    </i>
    <i r="2">
      <x v="4"/>
    </i>
    <i r="2">
      <x v="5"/>
    </i>
    <i r="2">
      <x v="8"/>
    </i>
    <i r="2">
      <x v="10"/>
    </i>
    <i t="default" r="1">
      <x v="81"/>
    </i>
    <i r="1">
      <x v="82"/>
    </i>
    <i r="2">
      <x v="1"/>
    </i>
    <i r="2">
      <x v="2"/>
    </i>
    <i r="2">
      <x v="4"/>
    </i>
    <i r="2">
      <x v="5"/>
    </i>
    <i r="2">
      <x v="7"/>
    </i>
    <i r="2">
      <x v="8"/>
    </i>
    <i r="2">
      <x v="10"/>
    </i>
    <i t="default" r="1">
      <x v="82"/>
    </i>
    <i r="1">
      <x v="83"/>
    </i>
    <i r="2">
      <x v="1"/>
    </i>
    <i r="2">
      <x v="2"/>
    </i>
    <i r="2">
      <x v="4"/>
    </i>
    <i r="2">
      <x v="5"/>
    </i>
    <i r="2">
      <x v="7"/>
    </i>
    <i r="2">
      <x v="8"/>
    </i>
    <i r="2">
      <x v="10"/>
    </i>
    <i t="default" r="1">
      <x v="83"/>
    </i>
    <i r="1">
      <x v="84"/>
    </i>
    <i r="2">
      <x v="2"/>
    </i>
    <i r="2">
      <x v="4"/>
    </i>
    <i r="2">
      <x v="5"/>
    </i>
    <i r="2">
      <x v="8"/>
    </i>
    <i t="default" r="1">
      <x v="84"/>
    </i>
    <i r="1">
      <x v="85"/>
    </i>
    <i r="2">
      <x v="1"/>
    </i>
    <i r="2">
      <x v="2"/>
    </i>
    <i r="2">
      <x v="8"/>
    </i>
    <i t="default" r="1">
      <x v="85"/>
    </i>
    <i r="1">
      <x v="86"/>
    </i>
    <i r="2">
      <x v="1"/>
    </i>
    <i r="2">
      <x v="2"/>
    </i>
    <i r="2">
      <x v="4"/>
    </i>
    <i r="2">
      <x v="8"/>
    </i>
    <i t="default" r="1">
      <x v="86"/>
    </i>
    <i r="1">
      <x v="87"/>
    </i>
    <i r="2">
      <x v="1"/>
    </i>
    <i r="2">
      <x v="2"/>
    </i>
    <i r="2">
      <x v="8"/>
    </i>
    <i t="default" r="1">
      <x v="87"/>
    </i>
    <i r="1">
      <x v="88"/>
    </i>
    <i r="2">
      <x v="1"/>
    </i>
    <i r="2">
      <x v="8"/>
    </i>
    <i t="default" r="1">
      <x v="88"/>
    </i>
    <i r="1">
      <x v="89"/>
    </i>
    <i r="2">
      <x v="8"/>
    </i>
    <i t="default" r="1">
      <x v="89"/>
    </i>
    <i r="1">
      <x v="90"/>
    </i>
    <i r="2">
      <x v="1"/>
    </i>
    <i r="2">
      <x v="2"/>
    </i>
    <i r="2">
      <x v="8"/>
    </i>
    <i t="default" r="1">
      <x v="90"/>
    </i>
    <i r="1">
      <x v="91"/>
    </i>
    <i r="2">
      <x v="1"/>
    </i>
    <i r="2">
      <x v="2"/>
    </i>
    <i r="2">
      <x v="8"/>
    </i>
    <i t="default" r="1">
      <x v="91"/>
    </i>
    <i r="1">
      <x v="92"/>
    </i>
    <i r="2">
      <x v="8"/>
    </i>
    <i t="default" r="1">
      <x v="92"/>
    </i>
    <i r="1">
      <x v="93"/>
    </i>
    <i r="2">
      <x v="1"/>
    </i>
    <i r="2">
      <x v="6"/>
    </i>
    <i r="2">
      <x v="8"/>
    </i>
    <i t="default" r="1">
      <x v="93"/>
    </i>
    <i r="1">
      <x v="94"/>
    </i>
    <i r="2">
      <x v="8"/>
    </i>
    <i t="default" r="1">
      <x v="94"/>
    </i>
    <i r="1">
      <x v="95"/>
    </i>
    <i r="2">
      <x v="1"/>
    </i>
    <i r="2">
      <x v="2"/>
    </i>
    <i r="2">
      <x v="8"/>
    </i>
    <i t="default" r="1">
      <x v="95"/>
    </i>
    <i r="1">
      <x v="96"/>
    </i>
    <i r="2">
      <x v="1"/>
    </i>
    <i r="2">
      <x v="3"/>
    </i>
    <i t="default" r="1">
      <x v="96"/>
    </i>
    <i t="default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UDGET 6/1/2013" fld="8" baseField="0" baseItem="0"/>
    <dataField name="Sum of YTD NET(REV)/EXP" fld="9" baseField="0" baseItem="0"/>
    <dataField name="Sum of YTD CMTS/ACCTS RECEIVABLE" fld="10" baseField="0" baseItem="0"/>
    <dataField name="Sum of BALANCE 6/30/2013" fld="11" baseField="0" baseItem="0" numFmtId="38"/>
  </dataFields>
  <formats count="24">
    <format dxfId="24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25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0">
      <pivotArea outline="0" collapsedLevelsAreSubtotals="1" fieldPosition="0"/>
    </format>
    <format dxfId="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2">
      <pivotArea collapsedLevelsAreSubtotals="1" fieldPosition="0">
        <references count="1">
          <reference field="0" count="0"/>
        </references>
      </pivotArea>
    </format>
    <format dxfId="33">
      <pivotArea dataOnly="0" labelOnly="1" fieldPosition="0">
        <references count="1">
          <reference field="0" count="0"/>
        </references>
      </pivotArea>
    </format>
    <format dxfId="34">
      <pivotArea field="0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">
      <pivotArea dataOnly="0" fieldPosition="0">
        <references count="1">
          <reference field="13" count="0" defaultSubtotal="1"/>
        </references>
      </pivotArea>
    </format>
    <format dxfId="37">
      <pivotArea collapsedLevelsAreSubtotals="1" fieldPosition="0">
        <references count="1">
          <reference field="0" count="0"/>
        </references>
      </pivotArea>
    </format>
    <format dxfId="38">
      <pivotArea dataOnly="0" labelOnly="1" fieldPosition="0">
        <references count="1">
          <reference field="0" count="0"/>
        </references>
      </pivotArea>
    </format>
    <format dxfId="39">
      <pivotArea collapsedLevelsAreSubtotals="1" fieldPosition="0">
        <references count="1">
          <reference field="0" count="0"/>
        </references>
      </pivotArea>
    </format>
    <format dxfId="40">
      <pivotArea dataOnly="0" labelOnly="1" fieldPosition="0">
        <references count="1">
          <reference field="0" count="0"/>
        </references>
      </pivotArea>
    </format>
    <format dxfId="41">
      <pivotArea field="0" dataOnly="0" grandRow="1" axis="axisRow" fieldPosition="0">
        <references count="1">
          <reference field="0" count="0" defaultSubtotal="1"/>
        </references>
      </pivotArea>
    </format>
    <format dxfId="42">
      <pivotArea field="0" dataOnly="0" grandRow="1" axis="axisRow" fieldPosition="0">
        <references count="1">
          <reference field="0" count="0" defaultSubtotal="1"/>
        </references>
      </pivotArea>
    </format>
    <format dxfId="43">
      <pivotArea collapsedLevelsAreSubtotals="1" fieldPosition="0">
        <references count="1">
          <reference field="0" count="0" defaultSubtotal="1"/>
        </references>
      </pivotArea>
    </format>
    <format dxfId="44">
      <pivotArea dataOnly="0" labelOnly="1" fieldPosition="0">
        <references count="1">
          <reference field="0" count="0" defaultSubtotal="1"/>
        </references>
      </pivotArea>
    </format>
    <format dxfId="45">
      <pivotArea collapsedLevelsAreSubtotals="1" fieldPosition="0">
        <references count="1">
          <reference field="0" count="0" defaultSubtotal="1"/>
        </references>
      </pivotArea>
    </format>
    <format dxfId="46">
      <pivotArea dataOnly="0" labelOnly="1" fieldPosition="0">
        <references count="1">
          <reference field="0" count="0" defaultSubtotal="1"/>
        </references>
      </pivotArea>
    </format>
    <format dxfId="47">
      <pivotArea collapsedLevelsAreSubtotals="1" fieldPosition="0">
        <references count="1">
          <reference field="0" count="0"/>
        </references>
      </pivotArea>
    </format>
  </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3"/>
  <sheetViews>
    <sheetView tabSelected="1" workbookViewId="0">
      <selection activeCell="A14" sqref="A14"/>
    </sheetView>
  </sheetViews>
  <sheetFormatPr defaultRowHeight="15" x14ac:dyDescent="0.25"/>
  <cols>
    <col min="1" max="1" width="39.85546875" customWidth="1"/>
    <col min="2" max="2" width="10" style="14" customWidth="1"/>
    <col min="3" max="3" width="13.5703125" style="14" customWidth="1"/>
    <col min="4" max="4" width="12.42578125" style="15" customWidth="1"/>
    <col min="5" max="5" width="11.5703125" style="14" customWidth="1"/>
  </cols>
  <sheetData>
    <row r="1" spans="1:5" ht="15.75" x14ac:dyDescent="0.25">
      <c r="A1" s="9" t="s">
        <v>415</v>
      </c>
      <c r="B1" s="13"/>
      <c r="C1" s="13"/>
      <c r="D1" s="13"/>
      <c r="E1" s="13"/>
    </row>
    <row r="2" spans="1:5" ht="15.75" x14ac:dyDescent="0.25">
      <c r="A2" s="9" t="s">
        <v>420</v>
      </c>
      <c r="B2" s="13"/>
      <c r="C2" s="13"/>
      <c r="D2" s="13"/>
      <c r="E2" s="13"/>
    </row>
    <row r="3" spans="1:5" x14ac:dyDescent="0.25">
      <c r="A3" s="10" t="s">
        <v>416</v>
      </c>
      <c r="D3" s="14"/>
    </row>
    <row r="4" spans="1:5" x14ac:dyDescent="0.25">
      <c r="A4" s="11" t="s">
        <v>417</v>
      </c>
      <c r="D4" s="14"/>
    </row>
    <row r="5" spans="1:5" x14ac:dyDescent="0.25">
      <c r="A5" s="11" t="s">
        <v>418</v>
      </c>
      <c r="D5" s="14"/>
    </row>
    <row r="6" spans="1:5" x14ac:dyDescent="0.25">
      <c r="A6" s="12" t="s">
        <v>419</v>
      </c>
      <c r="D6" s="14"/>
    </row>
    <row r="8" spans="1:5" ht="45" x14ac:dyDescent="0.25">
      <c r="A8" s="18" t="s">
        <v>421</v>
      </c>
      <c r="B8" s="19" t="s">
        <v>312</v>
      </c>
      <c r="C8" s="19" t="s">
        <v>313</v>
      </c>
      <c r="D8" s="19" t="s">
        <v>414</v>
      </c>
      <c r="E8" s="19" t="s">
        <v>314</v>
      </c>
    </row>
    <row r="9" spans="1:5" x14ac:dyDescent="0.25">
      <c r="A9" s="21" t="s">
        <v>205</v>
      </c>
    </row>
    <row r="10" spans="1:5" x14ac:dyDescent="0.25">
      <c r="A10" s="7" t="s">
        <v>207</v>
      </c>
    </row>
    <row r="11" spans="1:5" x14ac:dyDescent="0.25">
      <c r="A11" s="8" t="s">
        <v>304</v>
      </c>
      <c r="B11" s="14">
        <v>0</v>
      </c>
      <c r="C11" s="14">
        <v>-760685.15</v>
      </c>
      <c r="D11" s="15">
        <v>0</v>
      </c>
      <c r="E11" s="14">
        <v>760685.15</v>
      </c>
    </row>
    <row r="12" spans="1:5" x14ac:dyDescent="0.25">
      <c r="A12" s="8" t="s">
        <v>202</v>
      </c>
      <c r="B12" s="14">
        <v>0</v>
      </c>
      <c r="C12" s="14">
        <v>-137160.01</v>
      </c>
      <c r="D12" s="15">
        <v>0</v>
      </c>
      <c r="E12" s="14">
        <v>137160.01</v>
      </c>
    </row>
    <row r="13" spans="1:5" x14ac:dyDescent="0.25">
      <c r="A13" s="8" t="s">
        <v>204</v>
      </c>
      <c r="B13" s="14">
        <v>0</v>
      </c>
      <c r="C13" s="14">
        <v>23408</v>
      </c>
      <c r="D13" s="15">
        <v>0</v>
      </c>
      <c r="E13" s="14">
        <v>-23408</v>
      </c>
    </row>
    <row r="14" spans="1:5" x14ac:dyDescent="0.25">
      <c r="A14" s="8" t="s">
        <v>306</v>
      </c>
      <c r="B14" s="14">
        <v>0</v>
      </c>
      <c r="C14" s="14">
        <v>350000</v>
      </c>
      <c r="D14" s="15">
        <v>0</v>
      </c>
      <c r="E14" s="14">
        <v>-350000</v>
      </c>
    </row>
    <row r="15" spans="1:5" x14ac:dyDescent="0.25">
      <c r="A15" s="8" t="s">
        <v>305</v>
      </c>
      <c r="B15" s="14">
        <v>0</v>
      </c>
      <c r="C15" s="14">
        <v>0</v>
      </c>
      <c r="D15" s="15">
        <v>0</v>
      </c>
      <c r="E15" s="14">
        <v>0</v>
      </c>
    </row>
    <row r="16" spans="1:5" x14ac:dyDescent="0.25">
      <c r="A16" s="20" t="s">
        <v>315</v>
      </c>
      <c r="B16" s="16">
        <v>0</v>
      </c>
      <c r="C16" s="16">
        <v>-524437.16</v>
      </c>
      <c r="D16" s="17">
        <v>0</v>
      </c>
      <c r="E16" s="16">
        <v>524437.16</v>
      </c>
    </row>
    <row r="17" spans="1:5" x14ac:dyDescent="0.25">
      <c r="A17" s="7" t="s">
        <v>208</v>
      </c>
    </row>
    <row r="18" spans="1:5" x14ac:dyDescent="0.25">
      <c r="A18" s="8" t="s">
        <v>307</v>
      </c>
      <c r="B18" s="14">
        <v>30000</v>
      </c>
      <c r="C18" s="14">
        <v>27054.510000000002</v>
      </c>
      <c r="D18" s="15">
        <v>0</v>
      </c>
      <c r="E18" s="14">
        <v>2945.4900000000002</v>
      </c>
    </row>
    <row r="19" spans="1:5" x14ac:dyDescent="0.25">
      <c r="A19" s="8" t="s">
        <v>305</v>
      </c>
      <c r="B19" s="14">
        <v>0</v>
      </c>
      <c r="C19" s="14">
        <v>655.49</v>
      </c>
      <c r="D19" s="15">
        <v>0</v>
      </c>
      <c r="E19" s="14">
        <v>-655.49</v>
      </c>
    </row>
    <row r="20" spans="1:5" x14ac:dyDescent="0.25">
      <c r="A20" s="20" t="s">
        <v>316</v>
      </c>
      <c r="B20" s="16">
        <v>30000</v>
      </c>
      <c r="C20" s="16">
        <v>27710.000000000004</v>
      </c>
      <c r="D20" s="17">
        <v>0</v>
      </c>
      <c r="E20" s="16">
        <v>2290</v>
      </c>
    </row>
    <row r="21" spans="1:5" x14ac:dyDescent="0.25">
      <c r="A21" s="7" t="s">
        <v>209</v>
      </c>
    </row>
    <row r="22" spans="1:5" x14ac:dyDescent="0.25">
      <c r="A22" s="8" t="s">
        <v>304</v>
      </c>
      <c r="B22" s="14">
        <v>0</v>
      </c>
      <c r="C22" s="14">
        <v>-324430.62</v>
      </c>
      <c r="D22" s="15">
        <v>0</v>
      </c>
      <c r="E22" s="14">
        <v>324430.62</v>
      </c>
    </row>
    <row r="23" spans="1:5" x14ac:dyDescent="0.25">
      <c r="A23" s="8" t="s">
        <v>204</v>
      </c>
      <c r="B23" s="14">
        <v>0</v>
      </c>
      <c r="C23" s="14">
        <v>7731</v>
      </c>
      <c r="D23" s="15">
        <v>0</v>
      </c>
      <c r="E23" s="14">
        <v>-7731</v>
      </c>
    </row>
    <row r="24" spans="1:5" x14ac:dyDescent="0.25">
      <c r="A24" s="8" t="s">
        <v>306</v>
      </c>
      <c r="B24" s="14">
        <v>0</v>
      </c>
      <c r="C24" s="14">
        <v>59000</v>
      </c>
      <c r="D24" s="15">
        <v>0</v>
      </c>
      <c r="E24" s="14">
        <v>-59000</v>
      </c>
    </row>
    <row r="25" spans="1:5" x14ac:dyDescent="0.25">
      <c r="A25" s="8" t="s">
        <v>305</v>
      </c>
      <c r="B25" s="14">
        <v>0</v>
      </c>
      <c r="C25" s="14">
        <v>0</v>
      </c>
      <c r="D25" s="15">
        <v>0</v>
      </c>
      <c r="E25" s="14">
        <v>0</v>
      </c>
    </row>
    <row r="26" spans="1:5" x14ac:dyDescent="0.25">
      <c r="A26" s="20" t="s">
        <v>317</v>
      </c>
      <c r="B26" s="16">
        <v>0</v>
      </c>
      <c r="C26" s="16">
        <v>-257699.62</v>
      </c>
      <c r="D26" s="17">
        <v>0</v>
      </c>
      <c r="E26" s="16">
        <v>257699.62</v>
      </c>
    </row>
    <row r="27" spans="1:5" x14ac:dyDescent="0.25">
      <c r="A27" s="7" t="s">
        <v>210</v>
      </c>
    </row>
    <row r="28" spans="1:5" x14ac:dyDescent="0.25">
      <c r="A28" s="8" t="s">
        <v>204</v>
      </c>
      <c r="B28" s="14">
        <v>0</v>
      </c>
      <c r="C28" s="14">
        <v>-1997</v>
      </c>
      <c r="D28" s="15">
        <v>0</v>
      </c>
      <c r="E28" s="14">
        <v>1997</v>
      </c>
    </row>
    <row r="29" spans="1:5" x14ac:dyDescent="0.25">
      <c r="A29" s="8" t="s">
        <v>305</v>
      </c>
      <c r="B29" s="14">
        <v>5750</v>
      </c>
      <c r="C29" s="14">
        <v>0</v>
      </c>
      <c r="D29" s="15">
        <v>0</v>
      </c>
      <c r="E29" s="14">
        <v>5750</v>
      </c>
    </row>
    <row r="30" spans="1:5" x14ac:dyDescent="0.25">
      <c r="A30" s="20" t="s">
        <v>318</v>
      </c>
      <c r="B30" s="16">
        <v>5750</v>
      </c>
      <c r="C30" s="16">
        <v>-1997</v>
      </c>
      <c r="D30" s="17">
        <v>0</v>
      </c>
      <c r="E30" s="16">
        <v>7747</v>
      </c>
    </row>
    <row r="31" spans="1:5" x14ac:dyDescent="0.25">
      <c r="A31" s="7" t="s">
        <v>211</v>
      </c>
    </row>
    <row r="32" spans="1:5" x14ac:dyDescent="0.25">
      <c r="A32" s="8" t="s">
        <v>204</v>
      </c>
      <c r="B32" s="14">
        <v>0</v>
      </c>
      <c r="C32" s="14">
        <v>-356</v>
      </c>
      <c r="D32" s="15">
        <v>0</v>
      </c>
      <c r="E32" s="14">
        <v>356</v>
      </c>
    </row>
    <row r="33" spans="1:5" x14ac:dyDescent="0.25">
      <c r="A33" s="8" t="s">
        <v>305</v>
      </c>
      <c r="B33" s="14">
        <v>500</v>
      </c>
      <c r="C33" s="14">
        <v>53.26</v>
      </c>
      <c r="D33" s="15">
        <v>0</v>
      </c>
      <c r="E33" s="14">
        <v>446.74</v>
      </c>
    </row>
    <row r="34" spans="1:5" x14ac:dyDescent="0.25">
      <c r="A34" s="20" t="s">
        <v>319</v>
      </c>
      <c r="B34" s="16">
        <v>500</v>
      </c>
      <c r="C34" s="16">
        <v>-302.74</v>
      </c>
      <c r="D34" s="17">
        <v>0</v>
      </c>
      <c r="E34" s="16">
        <v>802.74</v>
      </c>
    </row>
    <row r="35" spans="1:5" x14ac:dyDescent="0.25">
      <c r="A35" s="7" t="s">
        <v>212</v>
      </c>
    </row>
    <row r="36" spans="1:5" x14ac:dyDescent="0.25">
      <c r="A36" s="8" t="s">
        <v>204</v>
      </c>
      <c r="B36" s="14">
        <v>0</v>
      </c>
      <c r="C36" s="14">
        <v>0</v>
      </c>
      <c r="D36" s="15">
        <v>0</v>
      </c>
      <c r="E36" s="14">
        <v>0</v>
      </c>
    </row>
    <row r="37" spans="1:5" x14ac:dyDescent="0.25">
      <c r="A37" s="20" t="s">
        <v>320</v>
      </c>
      <c r="B37" s="16">
        <v>0</v>
      </c>
      <c r="C37" s="16">
        <v>0</v>
      </c>
      <c r="D37" s="17">
        <v>0</v>
      </c>
      <c r="E37" s="16">
        <v>0</v>
      </c>
    </row>
    <row r="38" spans="1:5" x14ac:dyDescent="0.25">
      <c r="A38" s="7" t="s">
        <v>213</v>
      </c>
    </row>
    <row r="39" spans="1:5" x14ac:dyDescent="0.25">
      <c r="A39" s="8" t="s">
        <v>202</v>
      </c>
      <c r="B39" s="14">
        <v>0</v>
      </c>
      <c r="C39" s="14">
        <v>0</v>
      </c>
      <c r="D39" s="15">
        <v>0</v>
      </c>
      <c r="E39" s="14">
        <v>0</v>
      </c>
    </row>
    <row r="40" spans="1:5" x14ac:dyDescent="0.25">
      <c r="A40" s="8" t="s">
        <v>204</v>
      </c>
      <c r="B40" s="14">
        <v>0</v>
      </c>
      <c r="C40" s="14">
        <v>-4278</v>
      </c>
      <c r="D40" s="15">
        <v>0</v>
      </c>
      <c r="E40" s="14">
        <v>4278</v>
      </c>
    </row>
    <row r="41" spans="1:5" x14ac:dyDescent="0.25">
      <c r="A41" s="8" t="s">
        <v>307</v>
      </c>
      <c r="B41" s="14">
        <v>0</v>
      </c>
      <c r="C41" s="14">
        <v>0</v>
      </c>
      <c r="D41" s="15">
        <v>0</v>
      </c>
      <c r="E41" s="14">
        <v>0</v>
      </c>
    </row>
    <row r="42" spans="1:5" x14ac:dyDescent="0.25">
      <c r="A42" s="8" t="s">
        <v>203</v>
      </c>
      <c r="B42" s="14">
        <v>0</v>
      </c>
      <c r="C42" s="14">
        <v>0</v>
      </c>
      <c r="D42" s="15">
        <v>0</v>
      </c>
      <c r="E42" s="14">
        <v>0</v>
      </c>
    </row>
    <row r="43" spans="1:5" x14ac:dyDescent="0.25">
      <c r="A43" s="8" t="s">
        <v>305</v>
      </c>
      <c r="B43" s="14">
        <v>2000</v>
      </c>
      <c r="C43" s="14">
        <v>0</v>
      </c>
      <c r="D43" s="15">
        <v>0</v>
      </c>
      <c r="E43" s="14">
        <v>2000</v>
      </c>
    </row>
    <row r="44" spans="1:5" x14ac:dyDescent="0.25">
      <c r="A44" s="8" t="s">
        <v>308</v>
      </c>
      <c r="B44" s="14">
        <v>0</v>
      </c>
      <c r="C44" s="14">
        <v>0</v>
      </c>
      <c r="D44" s="15">
        <v>0</v>
      </c>
      <c r="E44" s="14">
        <v>0</v>
      </c>
    </row>
    <row r="45" spans="1:5" x14ac:dyDescent="0.25">
      <c r="A45" s="20" t="s">
        <v>321</v>
      </c>
      <c r="B45" s="16">
        <v>2000</v>
      </c>
      <c r="C45" s="16">
        <v>-4278</v>
      </c>
      <c r="D45" s="17">
        <v>0</v>
      </c>
      <c r="E45" s="16">
        <v>6278</v>
      </c>
    </row>
    <row r="46" spans="1:5" x14ac:dyDescent="0.25">
      <c r="A46" s="7" t="s">
        <v>214</v>
      </c>
    </row>
    <row r="47" spans="1:5" x14ac:dyDescent="0.25">
      <c r="A47" s="8" t="s">
        <v>202</v>
      </c>
      <c r="B47" s="14">
        <v>0</v>
      </c>
      <c r="C47" s="14">
        <v>-4435</v>
      </c>
      <c r="D47" s="15">
        <v>0</v>
      </c>
      <c r="E47" s="14">
        <v>4435</v>
      </c>
    </row>
    <row r="48" spans="1:5" x14ac:dyDescent="0.25">
      <c r="A48" s="8" t="s">
        <v>204</v>
      </c>
      <c r="B48" s="14">
        <v>0</v>
      </c>
      <c r="C48" s="14">
        <v>-2391</v>
      </c>
      <c r="D48" s="15">
        <v>0</v>
      </c>
      <c r="E48" s="14">
        <v>2391</v>
      </c>
    </row>
    <row r="49" spans="1:5" x14ac:dyDescent="0.25">
      <c r="A49" s="8" t="s">
        <v>203</v>
      </c>
      <c r="B49" s="14">
        <v>0</v>
      </c>
      <c r="C49" s="14">
        <v>356</v>
      </c>
      <c r="D49" s="15">
        <v>0</v>
      </c>
      <c r="E49" s="14">
        <v>-356</v>
      </c>
    </row>
    <row r="50" spans="1:5" x14ac:dyDescent="0.25">
      <c r="A50" s="8" t="s">
        <v>305</v>
      </c>
      <c r="B50" s="14">
        <v>6000</v>
      </c>
      <c r="C50" s="14">
        <v>7769.96</v>
      </c>
      <c r="D50" s="15">
        <v>0</v>
      </c>
      <c r="E50" s="14">
        <v>-1769.96</v>
      </c>
    </row>
    <row r="51" spans="1:5" x14ac:dyDescent="0.25">
      <c r="A51" s="8" t="s">
        <v>308</v>
      </c>
      <c r="B51" s="14">
        <v>0</v>
      </c>
      <c r="C51" s="14">
        <v>2410.04</v>
      </c>
      <c r="D51" s="15">
        <v>0</v>
      </c>
      <c r="E51" s="14">
        <v>-2410.04</v>
      </c>
    </row>
    <row r="52" spans="1:5" x14ac:dyDescent="0.25">
      <c r="A52" s="20" t="s">
        <v>322</v>
      </c>
      <c r="B52" s="16">
        <v>6000</v>
      </c>
      <c r="C52" s="16">
        <v>3710</v>
      </c>
      <c r="D52" s="17">
        <v>0</v>
      </c>
      <c r="E52" s="16">
        <v>2290</v>
      </c>
    </row>
    <row r="53" spans="1:5" x14ac:dyDescent="0.25">
      <c r="A53" s="7" t="s">
        <v>215</v>
      </c>
    </row>
    <row r="54" spans="1:5" x14ac:dyDescent="0.25">
      <c r="A54" s="8" t="s">
        <v>204</v>
      </c>
      <c r="B54" s="14">
        <v>0</v>
      </c>
      <c r="C54" s="14">
        <v>-13</v>
      </c>
      <c r="D54" s="15">
        <v>0</v>
      </c>
      <c r="E54" s="14">
        <v>13</v>
      </c>
    </row>
    <row r="55" spans="1:5" x14ac:dyDescent="0.25">
      <c r="A55" s="8" t="s">
        <v>309</v>
      </c>
      <c r="B55" s="14">
        <v>0</v>
      </c>
      <c r="C55" s="14">
        <v>0</v>
      </c>
      <c r="D55" s="15">
        <v>0</v>
      </c>
      <c r="E55" s="14">
        <v>0</v>
      </c>
    </row>
    <row r="56" spans="1:5" x14ac:dyDescent="0.25">
      <c r="A56" s="8" t="s">
        <v>305</v>
      </c>
      <c r="B56" s="14">
        <v>2800</v>
      </c>
      <c r="C56" s="14">
        <v>1866.73</v>
      </c>
      <c r="D56" s="15">
        <v>0</v>
      </c>
      <c r="E56" s="14">
        <v>933.27</v>
      </c>
    </row>
    <row r="57" spans="1:5" x14ac:dyDescent="0.25">
      <c r="A57" s="20" t="s">
        <v>323</v>
      </c>
      <c r="B57" s="16">
        <v>2800</v>
      </c>
      <c r="C57" s="16">
        <v>1853.73</v>
      </c>
      <c r="D57" s="17">
        <v>0</v>
      </c>
      <c r="E57" s="16">
        <v>946.27</v>
      </c>
    </row>
    <row r="58" spans="1:5" x14ac:dyDescent="0.25">
      <c r="A58" s="7" t="s">
        <v>216</v>
      </c>
    </row>
    <row r="59" spans="1:5" x14ac:dyDescent="0.25">
      <c r="A59" s="8" t="s">
        <v>202</v>
      </c>
      <c r="B59" s="14">
        <v>0</v>
      </c>
      <c r="C59" s="14">
        <v>-144</v>
      </c>
      <c r="D59" s="15">
        <v>0</v>
      </c>
      <c r="E59" s="14">
        <v>144</v>
      </c>
    </row>
    <row r="60" spans="1:5" x14ac:dyDescent="0.25">
      <c r="A60" s="8" t="s">
        <v>204</v>
      </c>
      <c r="B60" s="14">
        <v>0</v>
      </c>
      <c r="C60" s="14">
        <v>-1946</v>
      </c>
      <c r="D60" s="15">
        <v>0</v>
      </c>
      <c r="E60" s="14">
        <v>1946</v>
      </c>
    </row>
    <row r="61" spans="1:5" x14ac:dyDescent="0.25">
      <c r="A61" s="8" t="s">
        <v>305</v>
      </c>
      <c r="B61" s="14">
        <v>1700</v>
      </c>
      <c r="C61" s="14">
        <v>2726.01</v>
      </c>
      <c r="D61" s="15">
        <v>0</v>
      </c>
      <c r="E61" s="14">
        <v>-1026.0100000000002</v>
      </c>
    </row>
    <row r="62" spans="1:5" x14ac:dyDescent="0.25">
      <c r="A62" s="20" t="s">
        <v>324</v>
      </c>
      <c r="B62" s="16">
        <v>1700</v>
      </c>
      <c r="C62" s="16">
        <v>636.01000000000022</v>
      </c>
      <c r="D62" s="17">
        <v>0</v>
      </c>
      <c r="E62" s="16">
        <v>1063.9899999999998</v>
      </c>
    </row>
    <row r="63" spans="1:5" x14ac:dyDescent="0.25">
      <c r="A63" s="7" t="s">
        <v>217</v>
      </c>
    </row>
    <row r="64" spans="1:5" x14ac:dyDescent="0.25">
      <c r="A64" s="8" t="s">
        <v>202</v>
      </c>
      <c r="B64" s="14">
        <v>0</v>
      </c>
      <c r="C64" s="14">
        <v>-2000</v>
      </c>
      <c r="D64" s="15">
        <v>0</v>
      </c>
      <c r="E64" s="14">
        <v>2000</v>
      </c>
    </row>
    <row r="65" spans="1:5" x14ac:dyDescent="0.25">
      <c r="A65" s="8" t="s">
        <v>204</v>
      </c>
      <c r="B65" s="14">
        <v>0</v>
      </c>
      <c r="C65" s="14">
        <v>4208</v>
      </c>
      <c r="D65" s="15">
        <v>0</v>
      </c>
      <c r="E65" s="14">
        <v>-4208</v>
      </c>
    </row>
    <row r="66" spans="1:5" x14ac:dyDescent="0.25">
      <c r="A66" s="8" t="s">
        <v>307</v>
      </c>
      <c r="B66" s="14">
        <v>0</v>
      </c>
      <c r="C66" s="14">
        <v>11807.199999999999</v>
      </c>
      <c r="D66" s="15">
        <v>0</v>
      </c>
      <c r="E66" s="14">
        <v>-11807.199999999999</v>
      </c>
    </row>
    <row r="67" spans="1:5" x14ac:dyDescent="0.25">
      <c r="A67" s="8" t="s">
        <v>203</v>
      </c>
      <c r="B67" s="14">
        <v>0</v>
      </c>
      <c r="C67" s="14">
        <v>0</v>
      </c>
      <c r="D67" s="15">
        <v>0</v>
      </c>
      <c r="E67" s="14">
        <v>0</v>
      </c>
    </row>
    <row r="68" spans="1:5" x14ac:dyDescent="0.25">
      <c r="A68" s="8" t="s">
        <v>305</v>
      </c>
      <c r="B68" s="14">
        <v>21900</v>
      </c>
      <c r="C68" s="14">
        <v>7884.44</v>
      </c>
      <c r="D68" s="15">
        <v>0</v>
      </c>
      <c r="E68" s="14">
        <v>14015.559999999998</v>
      </c>
    </row>
    <row r="69" spans="1:5" x14ac:dyDescent="0.25">
      <c r="A69" s="20" t="s">
        <v>325</v>
      </c>
      <c r="B69" s="16">
        <v>21900</v>
      </c>
      <c r="C69" s="16">
        <v>21899.64</v>
      </c>
      <c r="D69" s="17">
        <v>0</v>
      </c>
      <c r="E69" s="16">
        <v>0.35999999999876309</v>
      </c>
    </row>
    <row r="70" spans="1:5" x14ac:dyDescent="0.25">
      <c r="A70" s="7" t="s">
        <v>218</v>
      </c>
    </row>
    <row r="71" spans="1:5" x14ac:dyDescent="0.25">
      <c r="A71" s="8" t="s">
        <v>307</v>
      </c>
      <c r="B71" s="14">
        <v>0</v>
      </c>
      <c r="C71" s="14">
        <v>714.69</v>
      </c>
      <c r="D71" s="15">
        <v>0</v>
      </c>
      <c r="E71" s="14">
        <v>-714.69</v>
      </c>
    </row>
    <row r="72" spans="1:5" x14ac:dyDescent="0.25">
      <c r="A72" s="8" t="s">
        <v>203</v>
      </c>
      <c r="B72" s="14">
        <v>0</v>
      </c>
      <c r="C72" s="14">
        <v>3010</v>
      </c>
      <c r="D72" s="15">
        <v>0</v>
      </c>
      <c r="E72" s="14">
        <v>-3010</v>
      </c>
    </row>
    <row r="73" spans="1:5" x14ac:dyDescent="0.25">
      <c r="A73" s="8" t="s">
        <v>305</v>
      </c>
      <c r="B73" s="14">
        <v>4000</v>
      </c>
      <c r="C73" s="14">
        <v>0.13</v>
      </c>
      <c r="D73" s="15">
        <v>0</v>
      </c>
      <c r="E73" s="14">
        <v>3999.87</v>
      </c>
    </row>
    <row r="74" spans="1:5" x14ac:dyDescent="0.25">
      <c r="A74" s="20" t="s">
        <v>326</v>
      </c>
      <c r="B74" s="16">
        <v>4000</v>
      </c>
      <c r="C74" s="16">
        <v>3724.82</v>
      </c>
      <c r="D74" s="17">
        <v>0</v>
      </c>
      <c r="E74" s="16">
        <v>275.17999999999984</v>
      </c>
    </row>
    <row r="75" spans="1:5" x14ac:dyDescent="0.25">
      <c r="A75" s="7" t="s">
        <v>219</v>
      </c>
    </row>
    <row r="76" spans="1:5" x14ac:dyDescent="0.25">
      <c r="A76" s="8" t="s">
        <v>202</v>
      </c>
      <c r="B76" s="14">
        <v>0</v>
      </c>
      <c r="C76" s="14">
        <v>0</v>
      </c>
      <c r="D76" s="15">
        <v>0</v>
      </c>
      <c r="E76" s="14">
        <v>0</v>
      </c>
    </row>
    <row r="77" spans="1:5" x14ac:dyDescent="0.25">
      <c r="A77" s="8" t="s">
        <v>204</v>
      </c>
      <c r="B77" s="14">
        <v>0</v>
      </c>
      <c r="C77" s="14">
        <v>-200</v>
      </c>
      <c r="D77" s="15">
        <v>0</v>
      </c>
      <c r="E77" s="14">
        <v>200</v>
      </c>
    </row>
    <row r="78" spans="1:5" x14ac:dyDescent="0.25">
      <c r="A78" s="8" t="s">
        <v>307</v>
      </c>
      <c r="B78" s="14">
        <v>0</v>
      </c>
      <c r="C78" s="14">
        <v>97.460000000000008</v>
      </c>
      <c r="D78" s="15">
        <v>0</v>
      </c>
      <c r="E78" s="14">
        <v>-97.460000000000008</v>
      </c>
    </row>
    <row r="79" spans="1:5" x14ac:dyDescent="0.25">
      <c r="A79" s="8" t="s">
        <v>203</v>
      </c>
      <c r="B79" s="14">
        <v>0</v>
      </c>
      <c r="C79" s="14">
        <v>90</v>
      </c>
      <c r="D79" s="15">
        <v>0</v>
      </c>
      <c r="E79" s="14">
        <v>-90</v>
      </c>
    </row>
    <row r="80" spans="1:5" x14ac:dyDescent="0.25">
      <c r="A80" s="8" t="s">
        <v>305</v>
      </c>
      <c r="B80" s="14">
        <v>4069</v>
      </c>
      <c r="C80" s="14">
        <v>390.02</v>
      </c>
      <c r="D80" s="15">
        <v>0</v>
      </c>
      <c r="E80" s="14">
        <v>3678.98</v>
      </c>
    </row>
    <row r="81" spans="1:5" x14ac:dyDescent="0.25">
      <c r="A81" s="8" t="s">
        <v>308</v>
      </c>
      <c r="B81" s="14">
        <v>0</v>
      </c>
      <c r="C81" s="14">
        <v>3180.36</v>
      </c>
      <c r="D81" s="15">
        <v>0</v>
      </c>
      <c r="E81" s="14">
        <v>-3180.36</v>
      </c>
    </row>
    <row r="82" spans="1:5" x14ac:dyDescent="0.25">
      <c r="A82" s="20" t="s">
        <v>327</v>
      </c>
      <c r="B82" s="16">
        <v>4069</v>
      </c>
      <c r="C82" s="16">
        <v>3557.84</v>
      </c>
      <c r="D82" s="17">
        <v>0</v>
      </c>
      <c r="E82" s="16">
        <v>511.15999999999985</v>
      </c>
    </row>
    <row r="83" spans="1:5" x14ac:dyDescent="0.25">
      <c r="A83" s="7" t="s">
        <v>220</v>
      </c>
    </row>
    <row r="84" spans="1:5" x14ac:dyDescent="0.25">
      <c r="A84" s="8" t="s">
        <v>202</v>
      </c>
      <c r="B84" s="14">
        <v>0</v>
      </c>
      <c r="C84" s="14">
        <v>-1648.06</v>
      </c>
      <c r="D84" s="15">
        <v>0</v>
      </c>
      <c r="E84" s="14">
        <v>1648.06</v>
      </c>
    </row>
    <row r="85" spans="1:5" x14ac:dyDescent="0.25">
      <c r="A85" s="8" t="s">
        <v>204</v>
      </c>
      <c r="B85" s="14">
        <v>0</v>
      </c>
      <c r="C85" s="14">
        <v>698</v>
      </c>
      <c r="D85" s="15">
        <v>0</v>
      </c>
      <c r="E85" s="14">
        <v>-698</v>
      </c>
    </row>
    <row r="86" spans="1:5" x14ac:dyDescent="0.25">
      <c r="A86" s="8" t="s">
        <v>307</v>
      </c>
      <c r="B86" s="14">
        <v>0</v>
      </c>
      <c r="C86" s="14">
        <v>0</v>
      </c>
      <c r="D86" s="15">
        <v>0</v>
      </c>
      <c r="E86" s="14">
        <v>0</v>
      </c>
    </row>
    <row r="87" spans="1:5" x14ac:dyDescent="0.25">
      <c r="A87" s="8" t="s">
        <v>203</v>
      </c>
      <c r="B87" s="14">
        <v>0</v>
      </c>
      <c r="C87" s="14">
        <v>1375</v>
      </c>
      <c r="D87" s="15">
        <v>0</v>
      </c>
      <c r="E87" s="14">
        <v>-1375</v>
      </c>
    </row>
    <row r="88" spans="1:5" x14ac:dyDescent="0.25">
      <c r="A88" s="8" t="s">
        <v>305</v>
      </c>
      <c r="B88" s="14">
        <v>13780</v>
      </c>
      <c r="C88" s="14">
        <v>2567.3399999999997</v>
      </c>
      <c r="D88" s="15">
        <v>0</v>
      </c>
      <c r="E88" s="14">
        <v>11212.66</v>
      </c>
    </row>
    <row r="89" spans="1:5" x14ac:dyDescent="0.25">
      <c r="A89" s="8" t="s">
        <v>308</v>
      </c>
      <c r="B89" s="14">
        <v>0</v>
      </c>
      <c r="C89" s="14">
        <v>10010.34</v>
      </c>
      <c r="D89" s="15">
        <v>0</v>
      </c>
      <c r="E89" s="14">
        <v>-10010.34</v>
      </c>
    </row>
    <row r="90" spans="1:5" x14ac:dyDescent="0.25">
      <c r="A90" s="20" t="s">
        <v>328</v>
      </c>
      <c r="B90" s="16">
        <v>13780</v>
      </c>
      <c r="C90" s="16">
        <v>13002.619999999999</v>
      </c>
      <c r="D90" s="17">
        <v>0</v>
      </c>
      <c r="E90" s="16">
        <v>777.3799999999992</v>
      </c>
    </row>
    <row r="91" spans="1:5" x14ac:dyDescent="0.25">
      <c r="A91" s="7" t="s">
        <v>221</v>
      </c>
    </row>
    <row r="92" spans="1:5" x14ac:dyDescent="0.25">
      <c r="A92" s="8" t="s">
        <v>204</v>
      </c>
      <c r="B92" s="14">
        <v>0</v>
      </c>
      <c r="C92" s="14">
        <v>245</v>
      </c>
      <c r="D92" s="15">
        <v>0</v>
      </c>
      <c r="E92" s="14">
        <v>-245</v>
      </c>
    </row>
    <row r="93" spans="1:5" x14ac:dyDescent="0.25">
      <c r="A93" s="8" t="s">
        <v>307</v>
      </c>
      <c r="B93" s="14">
        <v>0</v>
      </c>
      <c r="C93" s="14">
        <v>176.14000000000001</v>
      </c>
      <c r="D93" s="15">
        <v>0</v>
      </c>
      <c r="E93" s="14">
        <v>-176.14000000000001</v>
      </c>
    </row>
    <row r="94" spans="1:5" x14ac:dyDescent="0.25">
      <c r="A94" s="8" t="s">
        <v>203</v>
      </c>
      <c r="B94" s="14">
        <v>0</v>
      </c>
      <c r="C94" s="14">
        <v>4500</v>
      </c>
      <c r="D94" s="15">
        <v>0</v>
      </c>
      <c r="E94" s="14">
        <v>-4500</v>
      </c>
    </row>
    <row r="95" spans="1:5" x14ac:dyDescent="0.25">
      <c r="A95" s="8" t="s">
        <v>305</v>
      </c>
      <c r="B95" s="14">
        <v>5250</v>
      </c>
      <c r="C95" s="14">
        <v>0.03</v>
      </c>
      <c r="D95" s="15">
        <v>0</v>
      </c>
      <c r="E95" s="14">
        <v>5249.97</v>
      </c>
    </row>
    <row r="96" spans="1:5" x14ac:dyDescent="0.25">
      <c r="A96" s="8" t="s">
        <v>308</v>
      </c>
      <c r="B96" s="14">
        <v>0</v>
      </c>
      <c r="C96" s="14">
        <v>0</v>
      </c>
      <c r="D96" s="15">
        <v>0</v>
      </c>
      <c r="E96" s="14">
        <v>0</v>
      </c>
    </row>
    <row r="97" spans="1:5" x14ac:dyDescent="0.25">
      <c r="A97" s="20" t="s">
        <v>329</v>
      </c>
      <c r="B97" s="16">
        <v>5250</v>
      </c>
      <c r="C97" s="16">
        <v>4921.17</v>
      </c>
      <c r="D97" s="17">
        <v>0</v>
      </c>
      <c r="E97" s="16">
        <v>328.82999999999993</v>
      </c>
    </row>
    <row r="98" spans="1:5" x14ac:dyDescent="0.25">
      <c r="A98" s="7" t="s">
        <v>222</v>
      </c>
    </row>
    <row r="99" spans="1:5" x14ac:dyDescent="0.25">
      <c r="A99" s="8" t="s">
        <v>202</v>
      </c>
      <c r="B99" s="14">
        <v>0</v>
      </c>
      <c r="C99" s="14">
        <v>-774</v>
      </c>
      <c r="D99" s="15">
        <v>0</v>
      </c>
      <c r="E99" s="14">
        <v>774</v>
      </c>
    </row>
    <row r="100" spans="1:5" x14ac:dyDescent="0.25">
      <c r="A100" s="8" t="s">
        <v>204</v>
      </c>
      <c r="B100" s="14">
        <v>0</v>
      </c>
      <c r="C100" s="14">
        <v>-1433</v>
      </c>
      <c r="D100" s="15">
        <v>0</v>
      </c>
      <c r="E100" s="14">
        <v>1433</v>
      </c>
    </row>
    <row r="101" spans="1:5" x14ac:dyDescent="0.25">
      <c r="A101" s="8" t="s">
        <v>309</v>
      </c>
      <c r="B101" s="14">
        <v>0</v>
      </c>
      <c r="C101" s="14">
        <v>0</v>
      </c>
      <c r="D101" s="15">
        <v>0</v>
      </c>
      <c r="E101" s="14">
        <v>0</v>
      </c>
    </row>
    <row r="102" spans="1:5" x14ac:dyDescent="0.25">
      <c r="A102" s="8" t="s">
        <v>305</v>
      </c>
      <c r="B102" s="14">
        <v>4590</v>
      </c>
      <c r="C102" s="14">
        <v>1932.97</v>
      </c>
      <c r="D102" s="15">
        <v>0</v>
      </c>
      <c r="E102" s="14">
        <v>2657.03</v>
      </c>
    </row>
    <row r="103" spans="1:5" x14ac:dyDescent="0.25">
      <c r="A103" s="8" t="s">
        <v>308</v>
      </c>
      <c r="B103" s="14">
        <v>0</v>
      </c>
      <c r="C103" s="14">
        <v>4022.61</v>
      </c>
      <c r="D103" s="15">
        <v>0</v>
      </c>
      <c r="E103" s="14">
        <v>-4022.61</v>
      </c>
    </row>
    <row r="104" spans="1:5" x14ac:dyDescent="0.25">
      <c r="A104" s="20" t="s">
        <v>330</v>
      </c>
      <c r="B104" s="16">
        <v>4590</v>
      </c>
      <c r="C104" s="16">
        <v>3748.58</v>
      </c>
      <c r="D104" s="17">
        <v>0</v>
      </c>
      <c r="E104" s="16">
        <v>841.42000000000053</v>
      </c>
    </row>
    <row r="105" spans="1:5" x14ac:dyDescent="0.25">
      <c r="A105" s="7" t="s">
        <v>223</v>
      </c>
    </row>
    <row r="106" spans="1:5" x14ac:dyDescent="0.25">
      <c r="A106" s="8" t="s">
        <v>204</v>
      </c>
      <c r="B106" s="14">
        <v>0</v>
      </c>
      <c r="C106" s="14">
        <v>0</v>
      </c>
      <c r="D106" s="15">
        <v>0</v>
      </c>
      <c r="E106" s="14">
        <v>0</v>
      </c>
    </row>
    <row r="107" spans="1:5" x14ac:dyDescent="0.25">
      <c r="A107" s="20" t="s">
        <v>331</v>
      </c>
      <c r="B107" s="16">
        <v>0</v>
      </c>
      <c r="C107" s="16">
        <v>0</v>
      </c>
      <c r="D107" s="17">
        <v>0</v>
      </c>
      <c r="E107" s="16">
        <v>0</v>
      </c>
    </row>
    <row r="108" spans="1:5" x14ac:dyDescent="0.25">
      <c r="A108" s="7" t="s">
        <v>224</v>
      </c>
    </row>
    <row r="109" spans="1:5" x14ac:dyDescent="0.25">
      <c r="A109" s="8" t="s">
        <v>203</v>
      </c>
      <c r="B109" s="14">
        <v>0</v>
      </c>
      <c r="C109" s="14">
        <v>2296.5300000000002</v>
      </c>
      <c r="D109" s="15">
        <v>0</v>
      </c>
      <c r="E109" s="14">
        <v>-2296.5300000000002</v>
      </c>
    </row>
    <row r="110" spans="1:5" x14ac:dyDescent="0.25">
      <c r="A110" s="8" t="s">
        <v>305</v>
      </c>
      <c r="B110" s="14">
        <v>11200</v>
      </c>
      <c r="C110" s="14">
        <v>5344.1</v>
      </c>
      <c r="D110" s="15">
        <v>0</v>
      </c>
      <c r="E110" s="14">
        <v>5855.9</v>
      </c>
    </row>
    <row r="111" spans="1:5" x14ac:dyDescent="0.25">
      <c r="A111" s="8" t="s">
        <v>308</v>
      </c>
      <c r="B111" s="14">
        <v>0</v>
      </c>
      <c r="C111" s="14">
        <v>1866.19</v>
      </c>
      <c r="D111" s="15">
        <v>0</v>
      </c>
      <c r="E111" s="14">
        <v>-1866.19</v>
      </c>
    </row>
    <row r="112" spans="1:5" x14ac:dyDescent="0.25">
      <c r="A112" s="20" t="s">
        <v>332</v>
      </c>
      <c r="B112" s="16">
        <v>11200</v>
      </c>
      <c r="C112" s="16">
        <v>9506.8200000000015</v>
      </c>
      <c r="D112" s="17">
        <v>0</v>
      </c>
      <c r="E112" s="16">
        <v>1693.1799999999994</v>
      </c>
    </row>
    <row r="113" spans="1:5" x14ac:dyDescent="0.25">
      <c r="A113" s="7" t="s">
        <v>225</v>
      </c>
    </row>
    <row r="114" spans="1:5" x14ac:dyDescent="0.25">
      <c r="A114" s="8" t="s">
        <v>202</v>
      </c>
      <c r="B114" s="14">
        <v>0</v>
      </c>
      <c r="C114" s="14">
        <v>0</v>
      </c>
      <c r="D114" s="15">
        <v>0</v>
      </c>
      <c r="E114" s="14">
        <v>0</v>
      </c>
    </row>
    <row r="115" spans="1:5" x14ac:dyDescent="0.25">
      <c r="A115" s="8" t="s">
        <v>204</v>
      </c>
      <c r="B115" s="14">
        <v>0</v>
      </c>
      <c r="C115" s="14">
        <v>-246</v>
      </c>
      <c r="D115" s="15">
        <v>0</v>
      </c>
      <c r="E115" s="14">
        <v>246</v>
      </c>
    </row>
    <row r="116" spans="1:5" x14ac:dyDescent="0.25">
      <c r="A116" s="8" t="s">
        <v>309</v>
      </c>
      <c r="B116" s="14">
        <v>0</v>
      </c>
      <c r="C116" s="14">
        <v>2131.4699999999998</v>
      </c>
      <c r="D116" s="15">
        <v>0</v>
      </c>
      <c r="E116" s="14">
        <v>-2131.4699999999998</v>
      </c>
    </row>
    <row r="117" spans="1:5" x14ac:dyDescent="0.25">
      <c r="A117" s="8" t="s">
        <v>305</v>
      </c>
      <c r="B117" s="14">
        <v>9040</v>
      </c>
      <c r="C117" s="14">
        <v>2171.42</v>
      </c>
      <c r="D117" s="15">
        <v>0</v>
      </c>
      <c r="E117" s="14">
        <v>6868.58</v>
      </c>
    </row>
    <row r="118" spans="1:5" x14ac:dyDescent="0.25">
      <c r="A118" s="8" t="s">
        <v>308</v>
      </c>
      <c r="B118" s="14">
        <v>0</v>
      </c>
      <c r="C118" s="14">
        <v>366.24</v>
      </c>
      <c r="D118" s="15">
        <v>0</v>
      </c>
      <c r="E118" s="14">
        <v>-366.24</v>
      </c>
    </row>
    <row r="119" spans="1:5" x14ac:dyDescent="0.25">
      <c r="A119" s="20" t="s">
        <v>333</v>
      </c>
      <c r="B119" s="16">
        <v>9040</v>
      </c>
      <c r="C119" s="16">
        <v>4423.13</v>
      </c>
      <c r="D119" s="17">
        <v>0</v>
      </c>
      <c r="E119" s="16">
        <v>4616.8700000000008</v>
      </c>
    </row>
    <row r="120" spans="1:5" x14ac:dyDescent="0.25">
      <c r="A120" s="7" t="s">
        <v>226</v>
      </c>
    </row>
    <row r="121" spans="1:5" x14ac:dyDescent="0.25">
      <c r="A121" s="8" t="s">
        <v>204</v>
      </c>
      <c r="B121" s="14">
        <v>0</v>
      </c>
      <c r="C121" s="14">
        <v>0</v>
      </c>
      <c r="D121" s="15">
        <v>0</v>
      </c>
      <c r="E121" s="14">
        <v>0</v>
      </c>
    </row>
    <row r="122" spans="1:5" x14ac:dyDescent="0.25">
      <c r="A122" s="8" t="s">
        <v>203</v>
      </c>
      <c r="B122" s="14">
        <v>0</v>
      </c>
      <c r="C122" s="14">
        <v>0</v>
      </c>
      <c r="D122" s="15">
        <v>0</v>
      </c>
      <c r="E122" s="14">
        <v>0</v>
      </c>
    </row>
    <row r="123" spans="1:5" x14ac:dyDescent="0.25">
      <c r="A123" s="8" t="s">
        <v>305</v>
      </c>
      <c r="B123" s="14">
        <v>9124</v>
      </c>
      <c r="C123" s="14">
        <v>8728.0299999999988</v>
      </c>
      <c r="D123" s="15">
        <v>0</v>
      </c>
      <c r="E123" s="14">
        <v>395.96999999999935</v>
      </c>
    </row>
    <row r="124" spans="1:5" x14ac:dyDescent="0.25">
      <c r="A124" s="20" t="s">
        <v>334</v>
      </c>
      <c r="B124" s="16">
        <v>9124</v>
      </c>
      <c r="C124" s="16">
        <v>8728.0299999999988</v>
      </c>
      <c r="D124" s="17">
        <v>0</v>
      </c>
      <c r="E124" s="16">
        <v>395.96999999999935</v>
      </c>
    </row>
    <row r="125" spans="1:5" x14ac:dyDescent="0.25">
      <c r="A125" s="7" t="s">
        <v>227</v>
      </c>
    </row>
    <row r="126" spans="1:5" x14ac:dyDescent="0.25">
      <c r="A126" s="8" t="s">
        <v>309</v>
      </c>
      <c r="B126" s="14">
        <v>0</v>
      </c>
      <c r="C126" s="14">
        <v>910.72</v>
      </c>
      <c r="D126" s="15">
        <v>0</v>
      </c>
      <c r="E126" s="14">
        <v>-910.72</v>
      </c>
    </row>
    <row r="127" spans="1:5" x14ac:dyDescent="0.25">
      <c r="A127" s="8" t="s">
        <v>305</v>
      </c>
      <c r="B127" s="14">
        <v>6540</v>
      </c>
      <c r="C127" s="14">
        <v>5715.75</v>
      </c>
      <c r="D127" s="15">
        <v>0</v>
      </c>
      <c r="E127" s="14">
        <v>824.25</v>
      </c>
    </row>
    <row r="128" spans="1:5" x14ac:dyDescent="0.25">
      <c r="A128" s="8" t="s">
        <v>308</v>
      </c>
      <c r="B128" s="14">
        <v>0</v>
      </c>
      <c r="C128" s="14">
        <v>0</v>
      </c>
      <c r="D128" s="15">
        <v>0</v>
      </c>
      <c r="E128" s="14">
        <v>0</v>
      </c>
    </row>
    <row r="129" spans="1:5" x14ac:dyDescent="0.25">
      <c r="A129" s="20" t="s">
        <v>335</v>
      </c>
      <c r="B129" s="16">
        <v>6540</v>
      </c>
      <c r="C129" s="16">
        <v>6626.47</v>
      </c>
      <c r="D129" s="17">
        <v>0</v>
      </c>
      <c r="E129" s="16">
        <v>-86.470000000000027</v>
      </c>
    </row>
    <row r="130" spans="1:5" x14ac:dyDescent="0.25">
      <c r="A130" s="7" t="s">
        <v>228</v>
      </c>
    </row>
    <row r="131" spans="1:5" x14ac:dyDescent="0.25">
      <c r="A131" s="8" t="s">
        <v>202</v>
      </c>
      <c r="B131" s="14">
        <v>0</v>
      </c>
      <c r="C131" s="14">
        <v>-1203</v>
      </c>
      <c r="D131" s="15">
        <v>0</v>
      </c>
      <c r="E131" s="14">
        <v>1203</v>
      </c>
    </row>
    <row r="132" spans="1:5" x14ac:dyDescent="0.25">
      <c r="A132" s="8" t="s">
        <v>204</v>
      </c>
      <c r="B132" s="14">
        <v>0</v>
      </c>
      <c r="C132" s="14">
        <v>-181</v>
      </c>
      <c r="D132" s="15">
        <v>0</v>
      </c>
      <c r="E132" s="14">
        <v>181</v>
      </c>
    </row>
    <row r="133" spans="1:5" x14ac:dyDescent="0.25">
      <c r="A133" s="8" t="s">
        <v>307</v>
      </c>
      <c r="B133" s="14">
        <v>0</v>
      </c>
      <c r="C133" s="14">
        <v>0.12</v>
      </c>
      <c r="D133" s="15">
        <v>0</v>
      </c>
      <c r="E133" s="14">
        <v>-0.12</v>
      </c>
    </row>
    <row r="134" spans="1:5" x14ac:dyDescent="0.25">
      <c r="A134" s="8" t="s">
        <v>203</v>
      </c>
      <c r="B134" s="14">
        <v>0</v>
      </c>
      <c r="C134" s="14">
        <v>827.5</v>
      </c>
      <c r="D134" s="15">
        <v>0</v>
      </c>
      <c r="E134" s="14">
        <v>-827.5</v>
      </c>
    </row>
    <row r="135" spans="1:5" x14ac:dyDescent="0.25">
      <c r="A135" s="8" t="s">
        <v>305</v>
      </c>
      <c r="B135" s="14">
        <v>11060</v>
      </c>
      <c r="C135" s="14">
        <v>2578.02</v>
      </c>
      <c r="D135" s="15">
        <v>0</v>
      </c>
      <c r="E135" s="14">
        <v>8481.98</v>
      </c>
    </row>
    <row r="136" spans="1:5" x14ac:dyDescent="0.25">
      <c r="A136" s="8" t="s">
        <v>308</v>
      </c>
      <c r="B136" s="14">
        <v>0</v>
      </c>
      <c r="C136" s="14">
        <v>569.28</v>
      </c>
      <c r="D136" s="15">
        <v>0</v>
      </c>
      <c r="E136" s="14">
        <v>-569.28</v>
      </c>
    </row>
    <row r="137" spans="1:5" x14ac:dyDescent="0.25">
      <c r="A137" s="20" t="s">
        <v>336</v>
      </c>
      <c r="B137" s="16">
        <v>11060</v>
      </c>
      <c r="C137" s="16">
        <v>2590.92</v>
      </c>
      <c r="D137" s="17">
        <v>0</v>
      </c>
      <c r="E137" s="16">
        <v>8469.08</v>
      </c>
    </row>
    <row r="138" spans="1:5" x14ac:dyDescent="0.25">
      <c r="A138" s="7" t="s">
        <v>229</v>
      </c>
    </row>
    <row r="139" spans="1:5" x14ac:dyDescent="0.25">
      <c r="A139" s="8" t="s">
        <v>202</v>
      </c>
      <c r="B139" s="14">
        <v>0</v>
      </c>
      <c r="C139" s="14">
        <v>-2924.9300000000003</v>
      </c>
      <c r="D139" s="15">
        <v>0</v>
      </c>
      <c r="E139" s="14">
        <v>2924.9300000000003</v>
      </c>
    </row>
    <row r="140" spans="1:5" x14ac:dyDescent="0.25">
      <c r="A140" s="8" t="s">
        <v>204</v>
      </c>
      <c r="B140" s="14">
        <v>0</v>
      </c>
      <c r="C140" s="14">
        <v>-1787</v>
      </c>
      <c r="D140" s="15">
        <v>0</v>
      </c>
      <c r="E140" s="14">
        <v>1787</v>
      </c>
    </row>
    <row r="141" spans="1:5" x14ac:dyDescent="0.25">
      <c r="A141" s="8" t="s">
        <v>305</v>
      </c>
      <c r="B141" s="14">
        <v>2085</v>
      </c>
      <c r="C141" s="14">
        <v>4860.74</v>
      </c>
      <c r="D141" s="15">
        <v>0</v>
      </c>
      <c r="E141" s="14">
        <v>-2775.74</v>
      </c>
    </row>
    <row r="142" spans="1:5" x14ac:dyDescent="0.25">
      <c r="A142" s="8" t="s">
        <v>308</v>
      </c>
      <c r="B142" s="14">
        <v>0</v>
      </c>
      <c r="C142" s="14">
        <v>0</v>
      </c>
      <c r="D142" s="15">
        <v>0</v>
      </c>
      <c r="E142" s="14">
        <v>0</v>
      </c>
    </row>
    <row r="143" spans="1:5" x14ac:dyDescent="0.25">
      <c r="A143" s="20" t="s">
        <v>337</v>
      </c>
      <c r="B143" s="16">
        <v>2085</v>
      </c>
      <c r="C143" s="16">
        <v>148.80999999999949</v>
      </c>
      <c r="D143" s="17">
        <v>0</v>
      </c>
      <c r="E143" s="16">
        <v>1936.1900000000005</v>
      </c>
    </row>
    <row r="144" spans="1:5" x14ac:dyDescent="0.25">
      <c r="A144" s="7" t="s">
        <v>230</v>
      </c>
    </row>
    <row r="145" spans="1:5" x14ac:dyDescent="0.25">
      <c r="A145" s="8" t="s">
        <v>202</v>
      </c>
      <c r="B145" s="14">
        <v>0</v>
      </c>
      <c r="C145" s="14">
        <v>-2974.6099999999997</v>
      </c>
      <c r="D145" s="15">
        <v>0</v>
      </c>
      <c r="E145" s="14">
        <v>2974.6099999999997</v>
      </c>
    </row>
    <row r="146" spans="1:5" x14ac:dyDescent="0.25">
      <c r="A146" s="8" t="s">
        <v>305</v>
      </c>
      <c r="B146" s="14">
        <v>790</v>
      </c>
      <c r="C146" s="14">
        <v>2089.59</v>
      </c>
      <c r="D146" s="15">
        <v>0</v>
      </c>
      <c r="E146" s="14">
        <v>-1299.5899999999999</v>
      </c>
    </row>
    <row r="147" spans="1:5" x14ac:dyDescent="0.25">
      <c r="A147" s="20" t="s">
        <v>338</v>
      </c>
      <c r="B147" s="16">
        <v>790</v>
      </c>
      <c r="C147" s="16">
        <v>-885.01999999999953</v>
      </c>
      <c r="D147" s="17">
        <v>0</v>
      </c>
      <c r="E147" s="16">
        <v>1675.0199999999998</v>
      </c>
    </row>
    <row r="148" spans="1:5" x14ac:dyDescent="0.25">
      <c r="A148" s="7" t="s">
        <v>231</v>
      </c>
    </row>
    <row r="149" spans="1:5" x14ac:dyDescent="0.25">
      <c r="A149" s="8" t="s">
        <v>304</v>
      </c>
      <c r="B149" s="14">
        <v>0</v>
      </c>
      <c r="C149" s="14">
        <v>-1822.6</v>
      </c>
      <c r="D149" s="15">
        <v>0</v>
      </c>
      <c r="E149" s="14">
        <v>1822.6</v>
      </c>
    </row>
    <row r="150" spans="1:5" x14ac:dyDescent="0.25">
      <c r="A150" s="8" t="s">
        <v>202</v>
      </c>
      <c r="B150" s="14">
        <v>0</v>
      </c>
      <c r="C150" s="14">
        <v>-77059.33</v>
      </c>
      <c r="D150" s="15">
        <v>0</v>
      </c>
      <c r="E150" s="14">
        <v>77059.33</v>
      </c>
    </row>
    <row r="151" spans="1:5" x14ac:dyDescent="0.25">
      <c r="A151" s="8" t="s">
        <v>306</v>
      </c>
      <c r="B151" s="14">
        <v>0</v>
      </c>
      <c r="C151" s="14">
        <v>78973.95</v>
      </c>
      <c r="D151" s="15">
        <v>0</v>
      </c>
      <c r="E151" s="14">
        <v>-78973.95</v>
      </c>
    </row>
    <row r="152" spans="1:5" x14ac:dyDescent="0.25">
      <c r="A152" s="20" t="s">
        <v>339</v>
      </c>
      <c r="B152" s="16">
        <v>0</v>
      </c>
      <c r="C152" s="16">
        <v>92.019999999989523</v>
      </c>
      <c r="D152" s="17">
        <v>0</v>
      </c>
      <c r="E152" s="16">
        <v>-92.019999999989523</v>
      </c>
    </row>
    <row r="153" spans="1:5" x14ac:dyDescent="0.25">
      <c r="A153" s="7" t="s">
        <v>232</v>
      </c>
    </row>
    <row r="154" spans="1:5" x14ac:dyDescent="0.25">
      <c r="A154" s="8" t="s">
        <v>304</v>
      </c>
      <c r="B154" s="14">
        <v>0</v>
      </c>
      <c r="C154" s="14">
        <v>-17431.2</v>
      </c>
      <c r="D154" s="15">
        <v>0</v>
      </c>
      <c r="E154" s="14">
        <v>17431.2</v>
      </c>
    </row>
    <row r="155" spans="1:5" x14ac:dyDescent="0.25">
      <c r="A155" s="8" t="s">
        <v>202</v>
      </c>
      <c r="B155" s="14">
        <v>0</v>
      </c>
      <c r="C155" s="14">
        <v>-53916.650000000009</v>
      </c>
      <c r="D155" s="15">
        <v>0</v>
      </c>
      <c r="E155" s="14">
        <v>53916.650000000009</v>
      </c>
    </row>
    <row r="156" spans="1:5" x14ac:dyDescent="0.25">
      <c r="A156" s="8" t="s">
        <v>204</v>
      </c>
      <c r="B156" s="14">
        <v>0</v>
      </c>
      <c r="C156" s="14">
        <v>0</v>
      </c>
      <c r="D156" s="15">
        <v>0</v>
      </c>
      <c r="E156" s="14">
        <v>0</v>
      </c>
    </row>
    <row r="157" spans="1:5" x14ac:dyDescent="0.25">
      <c r="A157" s="8" t="s">
        <v>310</v>
      </c>
      <c r="B157" s="14">
        <v>0</v>
      </c>
      <c r="C157" s="14">
        <v>65894.5</v>
      </c>
      <c r="D157" s="15">
        <v>0</v>
      </c>
      <c r="E157" s="14">
        <v>-65894.5</v>
      </c>
    </row>
    <row r="158" spans="1:5" x14ac:dyDescent="0.25">
      <c r="A158" s="20" t="s">
        <v>340</v>
      </c>
      <c r="B158" s="16">
        <v>0</v>
      </c>
      <c r="C158" s="16">
        <v>-5453.3500000000058</v>
      </c>
      <c r="D158" s="17">
        <v>0</v>
      </c>
      <c r="E158" s="16">
        <v>5453.3500000000058</v>
      </c>
    </row>
    <row r="159" spans="1:5" x14ac:dyDescent="0.25">
      <c r="A159" s="7" t="s">
        <v>233</v>
      </c>
    </row>
    <row r="160" spans="1:5" x14ac:dyDescent="0.25">
      <c r="A160" s="8" t="s">
        <v>202</v>
      </c>
      <c r="B160" s="14">
        <v>0</v>
      </c>
      <c r="C160" s="14">
        <v>-190095.12</v>
      </c>
      <c r="D160" s="15">
        <v>0</v>
      </c>
      <c r="E160" s="14">
        <v>190095.12</v>
      </c>
    </row>
    <row r="161" spans="1:5" x14ac:dyDescent="0.25">
      <c r="A161" s="8" t="s">
        <v>204</v>
      </c>
      <c r="B161" s="14">
        <v>0</v>
      </c>
      <c r="C161" s="14">
        <v>-2927.29</v>
      </c>
      <c r="D161" s="15">
        <v>0</v>
      </c>
      <c r="E161" s="14">
        <v>2927.29</v>
      </c>
    </row>
    <row r="162" spans="1:5" x14ac:dyDescent="0.25">
      <c r="A162" s="8" t="s">
        <v>306</v>
      </c>
      <c r="B162" s="14">
        <v>0</v>
      </c>
      <c r="C162" s="14">
        <v>0</v>
      </c>
      <c r="D162" s="15">
        <v>0</v>
      </c>
      <c r="E162" s="14">
        <v>0</v>
      </c>
    </row>
    <row r="163" spans="1:5" x14ac:dyDescent="0.25">
      <c r="A163" s="20" t="s">
        <v>341</v>
      </c>
      <c r="B163" s="16">
        <v>0</v>
      </c>
      <c r="C163" s="16">
        <v>-193022.41</v>
      </c>
      <c r="D163" s="17">
        <v>0</v>
      </c>
      <c r="E163" s="16">
        <v>193022.41</v>
      </c>
    </row>
    <row r="164" spans="1:5" x14ac:dyDescent="0.25">
      <c r="A164" s="7" t="s">
        <v>234</v>
      </c>
    </row>
    <row r="165" spans="1:5" x14ac:dyDescent="0.25">
      <c r="A165" s="8" t="s">
        <v>304</v>
      </c>
      <c r="B165" s="14">
        <v>0</v>
      </c>
      <c r="C165" s="14">
        <v>-233731.4</v>
      </c>
      <c r="D165" s="15">
        <v>0</v>
      </c>
      <c r="E165" s="14">
        <v>233731.4</v>
      </c>
    </row>
    <row r="166" spans="1:5" x14ac:dyDescent="0.25">
      <c r="A166" s="8" t="s">
        <v>204</v>
      </c>
      <c r="B166" s="14">
        <v>0</v>
      </c>
      <c r="C166" s="14">
        <v>260442</v>
      </c>
      <c r="D166" s="15">
        <v>0</v>
      </c>
      <c r="E166" s="14">
        <v>-260442</v>
      </c>
    </row>
    <row r="167" spans="1:5" x14ac:dyDescent="0.25">
      <c r="A167" s="8" t="s">
        <v>306</v>
      </c>
      <c r="B167" s="14">
        <v>0</v>
      </c>
      <c r="C167" s="14">
        <v>25000</v>
      </c>
      <c r="D167" s="15">
        <v>0</v>
      </c>
      <c r="E167" s="14">
        <v>-25000</v>
      </c>
    </row>
    <row r="168" spans="1:5" x14ac:dyDescent="0.25">
      <c r="A168" s="8" t="s">
        <v>305</v>
      </c>
      <c r="B168" s="14">
        <v>0</v>
      </c>
      <c r="C168" s="14">
        <v>0</v>
      </c>
      <c r="D168" s="15">
        <v>0</v>
      </c>
      <c r="E168" s="14">
        <v>0</v>
      </c>
    </row>
    <row r="169" spans="1:5" x14ac:dyDescent="0.25">
      <c r="A169" s="8" t="s">
        <v>308</v>
      </c>
      <c r="B169" s="14">
        <v>0</v>
      </c>
      <c r="C169" s="14">
        <v>0</v>
      </c>
      <c r="D169" s="15">
        <v>0</v>
      </c>
      <c r="E169" s="14">
        <v>0</v>
      </c>
    </row>
    <row r="170" spans="1:5" x14ac:dyDescent="0.25">
      <c r="A170" s="20" t="s">
        <v>342</v>
      </c>
      <c r="B170" s="16">
        <v>0</v>
      </c>
      <c r="C170" s="16">
        <v>51710.600000000006</v>
      </c>
      <c r="D170" s="17">
        <v>0</v>
      </c>
      <c r="E170" s="16">
        <v>-51710.600000000006</v>
      </c>
    </row>
    <row r="171" spans="1:5" x14ac:dyDescent="0.25">
      <c r="A171" s="7" t="s">
        <v>235</v>
      </c>
    </row>
    <row r="172" spans="1:5" x14ac:dyDescent="0.25">
      <c r="A172" s="8" t="s">
        <v>307</v>
      </c>
      <c r="B172" s="14">
        <v>76700</v>
      </c>
      <c r="C172" s="14">
        <v>75121.42</v>
      </c>
      <c r="D172" s="15">
        <v>0</v>
      </c>
      <c r="E172" s="14">
        <v>1578.5800000000004</v>
      </c>
    </row>
    <row r="173" spans="1:5" x14ac:dyDescent="0.25">
      <c r="A173" s="8" t="s">
        <v>305</v>
      </c>
      <c r="B173" s="14">
        <v>300</v>
      </c>
      <c r="C173" s="14">
        <v>72</v>
      </c>
      <c r="D173" s="15">
        <v>0</v>
      </c>
      <c r="E173" s="14">
        <v>228</v>
      </c>
    </row>
    <row r="174" spans="1:5" x14ac:dyDescent="0.25">
      <c r="A174" s="20" t="s">
        <v>343</v>
      </c>
      <c r="B174" s="16">
        <v>77000</v>
      </c>
      <c r="C174" s="16">
        <v>75193.42</v>
      </c>
      <c r="D174" s="17">
        <v>0</v>
      </c>
      <c r="E174" s="16">
        <v>1806.5800000000004</v>
      </c>
    </row>
    <row r="175" spans="1:5" x14ac:dyDescent="0.25">
      <c r="A175" s="7" t="s">
        <v>236</v>
      </c>
    </row>
    <row r="176" spans="1:5" x14ac:dyDescent="0.25">
      <c r="A176" s="8" t="s">
        <v>204</v>
      </c>
      <c r="B176" s="14">
        <v>0</v>
      </c>
      <c r="C176" s="14">
        <v>-18955</v>
      </c>
      <c r="D176" s="15">
        <v>0</v>
      </c>
      <c r="E176" s="14">
        <v>18955</v>
      </c>
    </row>
    <row r="177" spans="1:5" x14ac:dyDescent="0.25">
      <c r="A177" s="8" t="s">
        <v>309</v>
      </c>
      <c r="B177" s="14">
        <v>0</v>
      </c>
      <c r="C177" s="14">
        <v>16405</v>
      </c>
      <c r="D177" s="15">
        <v>0</v>
      </c>
      <c r="E177" s="14">
        <v>-16405</v>
      </c>
    </row>
    <row r="178" spans="1:5" x14ac:dyDescent="0.25">
      <c r="A178" s="8" t="s">
        <v>305</v>
      </c>
      <c r="B178" s="14">
        <v>0</v>
      </c>
      <c r="C178" s="14">
        <v>2550</v>
      </c>
      <c r="D178" s="15">
        <v>0</v>
      </c>
      <c r="E178" s="14">
        <v>-2550</v>
      </c>
    </row>
    <row r="179" spans="1:5" x14ac:dyDescent="0.25">
      <c r="A179" s="20" t="s">
        <v>344</v>
      </c>
      <c r="B179" s="16">
        <v>0</v>
      </c>
      <c r="C179" s="16">
        <v>0</v>
      </c>
      <c r="D179" s="17">
        <v>0</v>
      </c>
      <c r="E179" s="16">
        <v>0</v>
      </c>
    </row>
    <row r="180" spans="1:5" x14ac:dyDescent="0.25">
      <c r="A180" s="7" t="s">
        <v>237</v>
      </c>
    </row>
    <row r="181" spans="1:5" x14ac:dyDescent="0.25">
      <c r="A181" s="8" t="s">
        <v>305</v>
      </c>
      <c r="B181" s="14">
        <v>39000</v>
      </c>
      <c r="C181" s="14">
        <v>34582</v>
      </c>
      <c r="D181" s="15">
        <v>0</v>
      </c>
      <c r="E181" s="14">
        <v>4418</v>
      </c>
    </row>
    <row r="182" spans="1:5" x14ac:dyDescent="0.25">
      <c r="A182" s="8" t="s">
        <v>308</v>
      </c>
      <c r="B182" s="14">
        <v>0</v>
      </c>
      <c r="C182" s="14">
        <v>0</v>
      </c>
      <c r="D182" s="15">
        <v>0</v>
      </c>
      <c r="E182" s="14">
        <v>0</v>
      </c>
    </row>
    <row r="183" spans="1:5" x14ac:dyDescent="0.25">
      <c r="A183" s="20" t="s">
        <v>345</v>
      </c>
      <c r="B183" s="16">
        <v>39000</v>
      </c>
      <c r="C183" s="16">
        <v>34582</v>
      </c>
      <c r="D183" s="17">
        <v>0</v>
      </c>
      <c r="E183" s="16">
        <v>4418</v>
      </c>
    </row>
    <row r="184" spans="1:5" x14ac:dyDescent="0.25">
      <c r="A184" s="7" t="s">
        <v>238</v>
      </c>
    </row>
    <row r="185" spans="1:5" x14ac:dyDescent="0.25">
      <c r="A185" s="8" t="s">
        <v>202</v>
      </c>
      <c r="B185" s="14">
        <v>0</v>
      </c>
      <c r="C185" s="14">
        <v>0</v>
      </c>
      <c r="D185" s="15">
        <v>0</v>
      </c>
      <c r="E185" s="14">
        <v>0</v>
      </c>
    </row>
    <row r="186" spans="1:5" x14ac:dyDescent="0.25">
      <c r="A186" s="8" t="s">
        <v>305</v>
      </c>
      <c r="B186" s="14">
        <v>0</v>
      </c>
      <c r="C186" s="14">
        <v>0</v>
      </c>
      <c r="D186" s="15">
        <v>0</v>
      </c>
      <c r="E186" s="14">
        <v>0</v>
      </c>
    </row>
    <row r="187" spans="1:5" x14ac:dyDescent="0.25">
      <c r="A187" s="20" t="s">
        <v>346</v>
      </c>
      <c r="B187" s="16">
        <v>0</v>
      </c>
      <c r="C187" s="16">
        <v>0</v>
      </c>
      <c r="D187" s="17">
        <v>0</v>
      </c>
      <c r="E187" s="16">
        <v>0</v>
      </c>
    </row>
    <row r="188" spans="1:5" x14ac:dyDescent="0.25">
      <c r="A188" s="7" t="s">
        <v>239</v>
      </c>
    </row>
    <row r="189" spans="1:5" x14ac:dyDescent="0.25">
      <c r="A189" s="8" t="s">
        <v>307</v>
      </c>
      <c r="B189" s="14">
        <v>3000</v>
      </c>
      <c r="C189" s="14">
        <v>3394.39</v>
      </c>
      <c r="D189" s="15">
        <v>0</v>
      </c>
      <c r="E189" s="14">
        <v>-394.39000000000004</v>
      </c>
    </row>
    <row r="190" spans="1:5" x14ac:dyDescent="0.25">
      <c r="A190" s="20" t="s">
        <v>347</v>
      </c>
      <c r="B190" s="16">
        <v>3000</v>
      </c>
      <c r="C190" s="16">
        <v>3394.39</v>
      </c>
      <c r="D190" s="17">
        <v>0</v>
      </c>
      <c r="E190" s="16">
        <v>-394.39000000000004</v>
      </c>
    </row>
    <row r="191" spans="1:5" x14ac:dyDescent="0.25">
      <c r="A191" s="7" t="s">
        <v>240</v>
      </c>
    </row>
    <row r="192" spans="1:5" x14ac:dyDescent="0.25">
      <c r="A192" s="8" t="s">
        <v>305</v>
      </c>
      <c r="B192" s="14">
        <v>22000</v>
      </c>
      <c r="C192" s="14">
        <v>18633.68</v>
      </c>
      <c r="D192" s="15">
        <v>0</v>
      </c>
      <c r="E192" s="14">
        <v>3366.3199999999997</v>
      </c>
    </row>
    <row r="193" spans="1:5" x14ac:dyDescent="0.25">
      <c r="A193" s="20" t="s">
        <v>348</v>
      </c>
      <c r="B193" s="16">
        <v>22000</v>
      </c>
      <c r="C193" s="16">
        <v>18633.68</v>
      </c>
      <c r="D193" s="17">
        <v>0</v>
      </c>
      <c r="E193" s="16">
        <v>3366.3199999999997</v>
      </c>
    </row>
    <row r="194" spans="1:5" x14ac:dyDescent="0.25">
      <c r="A194" s="7" t="s">
        <v>241</v>
      </c>
    </row>
    <row r="195" spans="1:5" x14ac:dyDescent="0.25">
      <c r="A195" s="8" t="s">
        <v>307</v>
      </c>
      <c r="B195" s="14">
        <v>51000</v>
      </c>
      <c r="C195" s="14">
        <v>47658.82</v>
      </c>
      <c r="D195" s="15">
        <v>0</v>
      </c>
      <c r="E195" s="14">
        <v>3341.1799999999994</v>
      </c>
    </row>
    <row r="196" spans="1:5" x14ac:dyDescent="0.25">
      <c r="A196" s="8" t="s">
        <v>305</v>
      </c>
      <c r="B196" s="14">
        <v>0</v>
      </c>
      <c r="C196" s="14">
        <v>658.85</v>
      </c>
      <c r="D196" s="15">
        <v>0</v>
      </c>
      <c r="E196" s="14">
        <v>-658.85</v>
      </c>
    </row>
    <row r="197" spans="1:5" x14ac:dyDescent="0.25">
      <c r="A197" s="20" t="s">
        <v>349</v>
      </c>
      <c r="B197" s="16">
        <v>51000</v>
      </c>
      <c r="C197" s="16">
        <v>48317.67</v>
      </c>
      <c r="D197" s="17">
        <v>0</v>
      </c>
      <c r="E197" s="16">
        <v>2682.3299999999995</v>
      </c>
    </row>
    <row r="198" spans="1:5" x14ac:dyDescent="0.25">
      <c r="A198" s="7" t="s">
        <v>242</v>
      </c>
    </row>
    <row r="199" spans="1:5" x14ac:dyDescent="0.25">
      <c r="A199" s="8" t="s">
        <v>202</v>
      </c>
      <c r="B199" s="14">
        <v>0</v>
      </c>
      <c r="C199" s="14">
        <v>0</v>
      </c>
      <c r="D199" s="15">
        <v>0</v>
      </c>
      <c r="E199" s="14">
        <v>0</v>
      </c>
    </row>
    <row r="200" spans="1:5" x14ac:dyDescent="0.25">
      <c r="A200" s="8" t="s">
        <v>204</v>
      </c>
      <c r="B200" s="14">
        <v>0</v>
      </c>
      <c r="C200" s="14">
        <v>-138</v>
      </c>
      <c r="D200" s="15">
        <v>0</v>
      </c>
      <c r="E200" s="14">
        <v>138</v>
      </c>
    </row>
    <row r="201" spans="1:5" x14ac:dyDescent="0.25">
      <c r="A201" s="8" t="s">
        <v>203</v>
      </c>
      <c r="B201" s="14">
        <v>0</v>
      </c>
      <c r="C201" s="14">
        <v>0</v>
      </c>
      <c r="D201" s="15">
        <v>0</v>
      </c>
      <c r="E201" s="14">
        <v>0</v>
      </c>
    </row>
    <row r="202" spans="1:5" x14ac:dyDescent="0.25">
      <c r="A202" s="8" t="s">
        <v>309</v>
      </c>
      <c r="B202" s="14">
        <v>0</v>
      </c>
      <c r="C202" s="14">
        <v>1723.5</v>
      </c>
      <c r="D202" s="15">
        <v>0</v>
      </c>
      <c r="E202" s="14">
        <v>-1723.5</v>
      </c>
    </row>
    <row r="203" spans="1:5" x14ac:dyDescent="0.25">
      <c r="A203" s="8" t="s">
        <v>305</v>
      </c>
      <c r="B203" s="14">
        <v>24000</v>
      </c>
      <c r="C203" s="14">
        <v>20931.93</v>
      </c>
      <c r="D203" s="15">
        <v>0</v>
      </c>
      <c r="E203" s="14">
        <v>3068.0699999999979</v>
      </c>
    </row>
    <row r="204" spans="1:5" x14ac:dyDescent="0.25">
      <c r="A204" s="8" t="s">
        <v>308</v>
      </c>
      <c r="B204" s="14">
        <v>0</v>
      </c>
      <c r="C204" s="14">
        <v>35.6</v>
      </c>
      <c r="D204" s="15">
        <v>0</v>
      </c>
      <c r="E204" s="14">
        <v>-35.6</v>
      </c>
    </row>
    <row r="205" spans="1:5" x14ac:dyDescent="0.25">
      <c r="A205" s="20" t="s">
        <v>350</v>
      </c>
      <c r="B205" s="16">
        <v>24000</v>
      </c>
      <c r="C205" s="16">
        <v>22553.03</v>
      </c>
      <c r="D205" s="17">
        <v>0</v>
      </c>
      <c r="E205" s="16">
        <v>1446.969999999998</v>
      </c>
    </row>
    <row r="206" spans="1:5" x14ac:dyDescent="0.25">
      <c r="A206" s="7" t="s">
        <v>243</v>
      </c>
    </row>
    <row r="207" spans="1:5" x14ac:dyDescent="0.25">
      <c r="A207" s="8" t="s">
        <v>203</v>
      </c>
      <c r="B207" s="14">
        <v>0</v>
      </c>
      <c r="C207" s="14">
        <v>0</v>
      </c>
      <c r="D207" s="15">
        <v>0</v>
      </c>
      <c r="E207" s="14">
        <v>0</v>
      </c>
    </row>
    <row r="208" spans="1:5" x14ac:dyDescent="0.25">
      <c r="A208" s="8" t="s">
        <v>305</v>
      </c>
      <c r="B208" s="14">
        <v>4900</v>
      </c>
      <c r="C208" s="14">
        <v>4501.63</v>
      </c>
      <c r="D208" s="15">
        <v>0</v>
      </c>
      <c r="E208" s="14">
        <v>398.36999999999989</v>
      </c>
    </row>
    <row r="209" spans="1:5" x14ac:dyDescent="0.25">
      <c r="A209" s="20" t="s">
        <v>351</v>
      </c>
      <c r="B209" s="16">
        <v>4900</v>
      </c>
      <c r="C209" s="16">
        <v>4501.63</v>
      </c>
      <c r="D209" s="17">
        <v>0</v>
      </c>
      <c r="E209" s="16">
        <v>398.36999999999989</v>
      </c>
    </row>
    <row r="210" spans="1:5" x14ac:dyDescent="0.25">
      <c r="A210" s="7" t="s">
        <v>244</v>
      </c>
    </row>
    <row r="211" spans="1:5" x14ac:dyDescent="0.25">
      <c r="A211" s="8" t="s">
        <v>305</v>
      </c>
      <c r="B211" s="14">
        <v>4259</v>
      </c>
      <c r="C211" s="14">
        <v>1500</v>
      </c>
      <c r="D211" s="15">
        <v>0</v>
      </c>
      <c r="E211" s="14">
        <v>2759</v>
      </c>
    </row>
    <row r="212" spans="1:5" x14ac:dyDescent="0.25">
      <c r="A212" s="20" t="s">
        <v>352</v>
      </c>
      <c r="B212" s="16">
        <v>4259</v>
      </c>
      <c r="C212" s="16">
        <v>1500</v>
      </c>
      <c r="D212" s="17">
        <v>0</v>
      </c>
      <c r="E212" s="16">
        <v>2759</v>
      </c>
    </row>
    <row r="213" spans="1:5" x14ac:dyDescent="0.25">
      <c r="A213" s="7" t="s">
        <v>245</v>
      </c>
    </row>
    <row r="214" spans="1:5" x14ac:dyDescent="0.25">
      <c r="A214" s="8" t="s">
        <v>203</v>
      </c>
      <c r="B214" s="14">
        <v>0</v>
      </c>
      <c r="C214" s="14">
        <v>50</v>
      </c>
      <c r="D214" s="15">
        <v>0</v>
      </c>
      <c r="E214" s="14">
        <v>-50</v>
      </c>
    </row>
    <row r="215" spans="1:5" x14ac:dyDescent="0.25">
      <c r="A215" s="8" t="s">
        <v>305</v>
      </c>
      <c r="B215" s="14">
        <v>4475</v>
      </c>
      <c r="C215" s="14">
        <v>1541.62</v>
      </c>
      <c r="D215" s="15">
        <v>0</v>
      </c>
      <c r="E215" s="14">
        <v>2933.38</v>
      </c>
    </row>
    <row r="216" spans="1:5" x14ac:dyDescent="0.25">
      <c r="A216" s="8" t="s">
        <v>308</v>
      </c>
      <c r="B216" s="14">
        <v>378</v>
      </c>
      <c r="C216" s="14">
        <v>3029.06</v>
      </c>
      <c r="D216" s="15">
        <v>0</v>
      </c>
      <c r="E216" s="14">
        <v>-2651.06</v>
      </c>
    </row>
    <row r="217" spans="1:5" x14ac:dyDescent="0.25">
      <c r="A217" s="20" t="s">
        <v>353</v>
      </c>
      <c r="B217" s="16">
        <v>4853</v>
      </c>
      <c r="C217" s="16">
        <v>4620.68</v>
      </c>
      <c r="D217" s="17">
        <v>0</v>
      </c>
      <c r="E217" s="16">
        <v>232.32000000000016</v>
      </c>
    </row>
    <row r="218" spans="1:5" x14ac:dyDescent="0.25">
      <c r="A218" s="7" t="s">
        <v>246</v>
      </c>
    </row>
    <row r="219" spans="1:5" x14ac:dyDescent="0.25">
      <c r="A219" s="8" t="s">
        <v>204</v>
      </c>
      <c r="B219" s="14">
        <v>0</v>
      </c>
      <c r="C219" s="14">
        <v>-2</v>
      </c>
      <c r="D219" s="15">
        <v>0</v>
      </c>
      <c r="E219" s="14">
        <v>2</v>
      </c>
    </row>
    <row r="220" spans="1:5" x14ac:dyDescent="0.25">
      <c r="A220" s="8" t="s">
        <v>203</v>
      </c>
      <c r="B220" s="14">
        <v>0</v>
      </c>
      <c r="C220" s="14">
        <v>7200</v>
      </c>
      <c r="D220" s="15">
        <v>0</v>
      </c>
      <c r="E220" s="14">
        <v>-7200</v>
      </c>
    </row>
    <row r="221" spans="1:5" x14ac:dyDescent="0.25">
      <c r="A221" s="8" t="s">
        <v>309</v>
      </c>
      <c r="B221" s="14">
        <v>0</v>
      </c>
      <c r="C221" s="14">
        <v>0</v>
      </c>
      <c r="D221" s="15">
        <v>0</v>
      </c>
      <c r="E221" s="14">
        <v>0</v>
      </c>
    </row>
    <row r="222" spans="1:5" x14ac:dyDescent="0.25">
      <c r="A222" s="8" t="s">
        <v>305</v>
      </c>
      <c r="B222" s="14">
        <v>17000</v>
      </c>
      <c r="C222" s="14">
        <v>9279.75</v>
      </c>
      <c r="D222" s="15">
        <v>0</v>
      </c>
      <c r="E222" s="14">
        <v>7720.2499999999982</v>
      </c>
    </row>
    <row r="223" spans="1:5" x14ac:dyDescent="0.25">
      <c r="A223" s="8" t="s">
        <v>308</v>
      </c>
      <c r="B223" s="14">
        <v>0</v>
      </c>
      <c r="C223" s="14">
        <v>99.44</v>
      </c>
      <c r="D223" s="15">
        <v>0</v>
      </c>
      <c r="E223" s="14">
        <v>-99.44</v>
      </c>
    </row>
    <row r="224" spans="1:5" x14ac:dyDescent="0.25">
      <c r="A224" s="20" t="s">
        <v>354</v>
      </c>
      <c r="B224" s="16">
        <v>17000</v>
      </c>
      <c r="C224" s="16">
        <v>16577.189999999999</v>
      </c>
      <c r="D224" s="17">
        <v>0</v>
      </c>
      <c r="E224" s="16">
        <v>422.80999999999818</v>
      </c>
    </row>
    <row r="225" spans="1:5" x14ac:dyDescent="0.25">
      <c r="A225" s="7" t="s">
        <v>247</v>
      </c>
    </row>
    <row r="226" spans="1:5" x14ac:dyDescent="0.25">
      <c r="A226" s="8" t="s">
        <v>311</v>
      </c>
      <c r="B226" s="14">
        <v>0</v>
      </c>
      <c r="C226" s="14">
        <v>0</v>
      </c>
      <c r="D226" s="15">
        <v>0</v>
      </c>
      <c r="E226" s="14">
        <v>0</v>
      </c>
    </row>
    <row r="227" spans="1:5" x14ac:dyDescent="0.25">
      <c r="A227" s="8" t="s">
        <v>305</v>
      </c>
      <c r="B227" s="14">
        <v>3100</v>
      </c>
      <c r="C227" s="14">
        <v>3045.17</v>
      </c>
      <c r="D227" s="15">
        <v>0</v>
      </c>
      <c r="E227" s="14">
        <v>54.829999999999984</v>
      </c>
    </row>
    <row r="228" spans="1:5" x14ac:dyDescent="0.25">
      <c r="A228" s="8" t="s">
        <v>308</v>
      </c>
      <c r="B228" s="14">
        <v>0</v>
      </c>
      <c r="C228" s="14">
        <v>28.14</v>
      </c>
      <c r="D228" s="15">
        <v>0</v>
      </c>
      <c r="E228" s="14">
        <v>-28.14</v>
      </c>
    </row>
    <row r="229" spans="1:5" x14ac:dyDescent="0.25">
      <c r="A229" s="20" t="s">
        <v>355</v>
      </c>
      <c r="B229" s="16">
        <v>3100</v>
      </c>
      <c r="C229" s="16">
        <v>3073.31</v>
      </c>
      <c r="D229" s="17">
        <v>0</v>
      </c>
      <c r="E229" s="16">
        <v>26.689999999999984</v>
      </c>
    </row>
    <row r="230" spans="1:5" x14ac:dyDescent="0.25">
      <c r="A230" s="7" t="s">
        <v>248</v>
      </c>
    </row>
    <row r="231" spans="1:5" x14ac:dyDescent="0.25">
      <c r="A231" s="8" t="s">
        <v>307</v>
      </c>
      <c r="B231" s="14">
        <v>100200</v>
      </c>
      <c r="C231" s="14">
        <v>77555.540000000008</v>
      </c>
      <c r="D231" s="15">
        <v>0</v>
      </c>
      <c r="E231" s="14">
        <v>22644.46</v>
      </c>
    </row>
    <row r="232" spans="1:5" x14ac:dyDescent="0.25">
      <c r="A232" s="8" t="s">
        <v>308</v>
      </c>
      <c r="B232" s="14">
        <v>0</v>
      </c>
      <c r="C232" s="14">
        <v>0</v>
      </c>
      <c r="D232" s="15">
        <v>0</v>
      </c>
      <c r="E232" s="14">
        <v>0</v>
      </c>
    </row>
    <row r="233" spans="1:5" x14ac:dyDescent="0.25">
      <c r="A233" s="20" t="s">
        <v>356</v>
      </c>
      <c r="B233" s="16">
        <v>100200</v>
      </c>
      <c r="C233" s="16">
        <v>77555.540000000008</v>
      </c>
      <c r="D233" s="17">
        <v>0</v>
      </c>
      <c r="E233" s="16">
        <v>22644.46</v>
      </c>
    </row>
    <row r="234" spans="1:5" x14ac:dyDescent="0.25">
      <c r="A234" s="7" t="s">
        <v>249</v>
      </c>
    </row>
    <row r="235" spans="1:5" x14ac:dyDescent="0.25">
      <c r="A235" s="8" t="s">
        <v>307</v>
      </c>
      <c r="B235" s="14">
        <v>0</v>
      </c>
      <c r="C235" s="14">
        <v>3.34</v>
      </c>
      <c r="D235" s="15">
        <v>0</v>
      </c>
      <c r="E235" s="14">
        <v>-3.34</v>
      </c>
    </row>
    <row r="236" spans="1:5" x14ac:dyDescent="0.25">
      <c r="A236" s="8" t="s">
        <v>305</v>
      </c>
      <c r="B236" s="14">
        <v>0</v>
      </c>
      <c r="C236" s="14">
        <v>6478.61</v>
      </c>
      <c r="D236" s="15">
        <v>0</v>
      </c>
      <c r="E236" s="14">
        <v>-6478.61</v>
      </c>
    </row>
    <row r="237" spans="1:5" x14ac:dyDescent="0.25">
      <c r="A237" s="8" t="s">
        <v>308</v>
      </c>
      <c r="B237" s="14">
        <v>18400</v>
      </c>
      <c r="C237" s="14">
        <v>10933.32</v>
      </c>
      <c r="D237" s="15">
        <v>0</v>
      </c>
      <c r="E237" s="14">
        <v>7466.6800000000021</v>
      </c>
    </row>
    <row r="238" spans="1:5" x14ac:dyDescent="0.25">
      <c r="A238" s="20" t="s">
        <v>357</v>
      </c>
      <c r="B238" s="16">
        <v>18400</v>
      </c>
      <c r="C238" s="16">
        <v>17415.27</v>
      </c>
      <c r="D238" s="17">
        <v>0</v>
      </c>
      <c r="E238" s="16">
        <v>984.73000000000229</v>
      </c>
    </row>
    <row r="239" spans="1:5" x14ac:dyDescent="0.25">
      <c r="A239" s="7" t="s">
        <v>250</v>
      </c>
    </row>
    <row r="240" spans="1:5" x14ac:dyDescent="0.25">
      <c r="A240" s="8" t="s">
        <v>202</v>
      </c>
      <c r="B240" s="14">
        <v>0</v>
      </c>
      <c r="C240" s="14">
        <v>-510</v>
      </c>
      <c r="D240" s="15">
        <v>0</v>
      </c>
      <c r="E240" s="14">
        <v>510</v>
      </c>
    </row>
    <row r="241" spans="1:5" x14ac:dyDescent="0.25">
      <c r="A241" s="8" t="s">
        <v>204</v>
      </c>
      <c r="B241" s="14">
        <v>0</v>
      </c>
      <c r="C241" s="14">
        <v>-505</v>
      </c>
      <c r="D241" s="15">
        <v>0</v>
      </c>
      <c r="E241" s="14">
        <v>505</v>
      </c>
    </row>
    <row r="242" spans="1:5" x14ac:dyDescent="0.25">
      <c r="A242" s="8" t="s">
        <v>309</v>
      </c>
      <c r="B242" s="14">
        <v>0</v>
      </c>
      <c r="C242" s="14">
        <v>1912.57</v>
      </c>
      <c r="D242" s="15">
        <v>0</v>
      </c>
      <c r="E242" s="14">
        <v>-1912.57</v>
      </c>
    </row>
    <row r="243" spans="1:5" x14ac:dyDescent="0.25">
      <c r="A243" s="8" t="s">
        <v>305</v>
      </c>
      <c r="B243" s="14">
        <v>20729</v>
      </c>
      <c r="C243" s="14">
        <v>19470.309999999998</v>
      </c>
      <c r="D243" s="15">
        <v>0</v>
      </c>
      <c r="E243" s="14">
        <v>1258.6900000000023</v>
      </c>
    </row>
    <row r="244" spans="1:5" x14ac:dyDescent="0.25">
      <c r="A244" s="8" t="s">
        <v>308</v>
      </c>
      <c r="B244" s="14">
        <v>0</v>
      </c>
      <c r="C244" s="14">
        <v>0</v>
      </c>
      <c r="D244" s="15">
        <v>0</v>
      </c>
      <c r="E244" s="14">
        <v>0</v>
      </c>
    </row>
    <row r="245" spans="1:5" x14ac:dyDescent="0.25">
      <c r="A245" s="20" t="s">
        <v>358</v>
      </c>
      <c r="B245" s="16">
        <v>20729</v>
      </c>
      <c r="C245" s="16">
        <v>20367.879999999997</v>
      </c>
      <c r="D245" s="17">
        <v>0</v>
      </c>
      <c r="E245" s="16">
        <v>361.12000000000239</v>
      </c>
    </row>
    <row r="246" spans="1:5" x14ac:dyDescent="0.25">
      <c r="A246" s="7" t="s">
        <v>251</v>
      </c>
    </row>
    <row r="247" spans="1:5" x14ac:dyDescent="0.25">
      <c r="A247" s="8" t="s">
        <v>305</v>
      </c>
      <c r="B247" s="14">
        <v>8000</v>
      </c>
      <c r="C247" s="14">
        <v>8000</v>
      </c>
      <c r="D247" s="15">
        <v>0</v>
      </c>
      <c r="E247" s="14">
        <v>0</v>
      </c>
    </row>
    <row r="248" spans="1:5" x14ac:dyDescent="0.25">
      <c r="A248" s="20" t="s">
        <v>359</v>
      </c>
      <c r="B248" s="16">
        <v>8000</v>
      </c>
      <c r="C248" s="16">
        <v>8000</v>
      </c>
      <c r="D248" s="17">
        <v>0</v>
      </c>
      <c r="E248" s="16">
        <v>0</v>
      </c>
    </row>
    <row r="249" spans="1:5" x14ac:dyDescent="0.25">
      <c r="A249" s="7" t="s">
        <v>252</v>
      </c>
    </row>
    <row r="250" spans="1:5" x14ac:dyDescent="0.25">
      <c r="A250" s="8" t="s">
        <v>202</v>
      </c>
      <c r="B250" s="14">
        <v>0</v>
      </c>
      <c r="C250" s="14">
        <v>-12</v>
      </c>
      <c r="D250" s="15">
        <v>0</v>
      </c>
      <c r="E250" s="14">
        <v>12</v>
      </c>
    </row>
    <row r="251" spans="1:5" x14ac:dyDescent="0.25">
      <c r="A251" s="8" t="s">
        <v>204</v>
      </c>
      <c r="B251" s="14">
        <v>0</v>
      </c>
      <c r="C251" s="14">
        <v>-22</v>
      </c>
      <c r="D251" s="15">
        <v>0</v>
      </c>
      <c r="E251" s="14">
        <v>22</v>
      </c>
    </row>
    <row r="252" spans="1:5" x14ac:dyDescent="0.25">
      <c r="A252" s="8" t="s">
        <v>203</v>
      </c>
      <c r="B252" s="14">
        <v>0</v>
      </c>
      <c r="C252" s="14">
        <v>1087</v>
      </c>
      <c r="D252" s="15">
        <v>0</v>
      </c>
      <c r="E252" s="14">
        <v>-1087</v>
      </c>
    </row>
    <row r="253" spans="1:5" x14ac:dyDescent="0.25">
      <c r="A253" s="8" t="s">
        <v>305</v>
      </c>
      <c r="B253" s="14">
        <v>11750</v>
      </c>
      <c r="C253" s="14">
        <v>9069.65</v>
      </c>
      <c r="D253" s="15">
        <v>0</v>
      </c>
      <c r="E253" s="14">
        <v>2680.3499999999985</v>
      </c>
    </row>
    <row r="254" spans="1:5" x14ac:dyDescent="0.25">
      <c r="A254" s="8" t="s">
        <v>308</v>
      </c>
      <c r="B254" s="14">
        <v>0</v>
      </c>
      <c r="C254" s="14">
        <v>196.62</v>
      </c>
      <c r="D254" s="15">
        <v>0</v>
      </c>
      <c r="E254" s="14">
        <v>-196.62</v>
      </c>
    </row>
    <row r="255" spans="1:5" x14ac:dyDescent="0.25">
      <c r="A255" s="20" t="s">
        <v>360</v>
      </c>
      <c r="B255" s="16">
        <v>11750</v>
      </c>
      <c r="C255" s="16">
        <v>10319.27</v>
      </c>
      <c r="D255" s="17">
        <v>0</v>
      </c>
      <c r="E255" s="16">
        <v>1430.7299999999987</v>
      </c>
    </row>
    <row r="256" spans="1:5" x14ac:dyDescent="0.25">
      <c r="A256" s="7" t="s">
        <v>253</v>
      </c>
    </row>
    <row r="257" spans="1:5" x14ac:dyDescent="0.25">
      <c r="A257" s="8" t="s">
        <v>204</v>
      </c>
      <c r="B257" s="14">
        <v>0</v>
      </c>
      <c r="C257" s="14">
        <v>-30</v>
      </c>
      <c r="D257" s="15">
        <v>0</v>
      </c>
      <c r="E257" s="14">
        <v>30</v>
      </c>
    </row>
    <row r="258" spans="1:5" x14ac:dyDescent="0.25">
      <c r="A258" s="8" t="s">
        <v>307</v>
      </c>
      <c r="B258" s="14">
        <v>0</v>
      </c>
      <c r="C258" s="14">
        <v>0</v>
      </c>
      <c r="D258" s="15">
        <v>0</v>
      </c>
      <c r="E258" s="14">
        <v>0</v>
      </c>
    </row>
    <row r="259" spans="1:5" x14ac:dyDescent="0.25">
      <c r="A259" s="8" t="s">
        <v>203</v>
      </c>
      <c r="B259" s="14">
        <v>0</v>
      </c>
      <c r="C259" s="14">
        <v>9100</v>
      </c>
      <c r="D259" s="15">
        <v>0</v>
      </c>
      <c r="E259" s="14">
        <v>-9100</v>
      </c>
    </row>
    <row r="260" spans="1:5" x14ac:dyDescent="0.25">
      <c r="A260" s="8" t="s">
        <v>305</v>
      </c>
      <c r="B260" s="14">
        <v>9750</v>
      </c>
      <c r="C260" s="14">
        <v>23.15</v>
      </c>
      <c r="D260" s="15">
        <v>0</v>
      </c>
      <c r="E260" s="14">
        <v>9726.85</v>
      </c>
    </row>
    <row r="261" spans="1:5" x14ac:dyDescent="0.25">
      <c r="A261" s="8" t="s">
        <v>308</v>
      </c>
      <c r="B261" s="14">
        <v>0</v>
      </c>
      <c r="C261" s="14">
        <v>0</v>
      </c>
      <c r="D261" s="15">
        <v>0</v>
      </c>
      <c r="E261" s="14">
        <v>0</v>
      </c>
    </row>
    <row r="262" spans="1:5" x14ac:dyDescent="0.25">
      <c r="A262" s="20" t="s">
        <v>361</v>
      </c>
      <c r="B262" s="16">
        <v>9750</v>
      </c>
      <c r="C262" s="16">
        <v>9093.15</v>
      </c>
      <c r="D262" s="17">
        <v>0</v>
      </c>
      <c r="E262" s="16">
        <v>656.85000000000036</v>
      </c>
    </row>
    <row r="263" spans="1:5" x14ac:dyDescent="0.25">
      <c r="A263" s="7" t="s">
        <v>254</v>
      </c>
    </row>
    <row r="264" spans="1:5" x14ac:dyDescent="0.25">
      <c r="A264" s="8" t="s">
        <v>305</v>
      </c>
      <c r="B264" s="14">
        <v>5505</v>
      </c>
      <c r="C264" s="14">
        <v>5509.03</v>
      </c>
      <c r="D264" s="15">
        <v>0</v>
      </c>
      <c r="E264" s="14">
        <v>-4.0299999999997453</v>
      </c>
    </row>
    <row r="265" spans="1:5" x14ac:dyDescent="0.25">
      <c r="A265" s="20" t="s">
        <v>362</v>
      </c>
      <c r="B265" s="16">
        <v>5505</v>
      </c>
      <c r="C265" s="16">
        <v>5509.03</v>
      </c>
      <c r="D265" s="17">
        <v>0</v>
      </c>
      <c r="E265" s="16">
        <v>-4.0299999999997453</v>
      </c>
    </row>
    <row r="266" spans="1:5" x14ac:dyDescent="0.25">
      <c r="A266" s="7" t="s">
        <v>255</v>
      </c>
    </row>
    <row r="267" spans="1:5" x14ac:dyDescent="0.25">
      <c r="A267" s="8" t="s">
        <v>204</v>
      </c>
      <c r="B267" s="14">
        <v>0</v>
      </c>
      <c r="C267" s="14">
        <v>0</v>
      </c>
      <c r="D267" s="15">
        <v>0</v>
      </c>
      <c r="E267" s="14">
        <v>0</v>
      </c>
    </row>
    <row r="268" spans="1:5" x14ac:dyDescent="0.25">
      <c r="A268" s="8" t="s">
        <v>307</v>
      </c>
      <c r="B268" s="14">
        <v>0</v>
      </c>
      <c r="C268" s="14">
        <v>0</v>
      </c>
      <c r="D268" s="15">
        <v>0</v>
      </c>
      <c r="E268" s="14">
        <v>0</v>
      </c>
    </row>
    <row r="269" spans="1:5" x14ac:dyDescent="0.25">
      <c r="A269" s="8" t="s">
        <v>203</v>
      </c>
      <c r="B269" s="14">
        <v>0</v>
      </c>
      <c r="C269" s="14">
        <v>7500</v>
      </c>
      <c r="D269" s="15">
        <v>0</v>
      </c>
      <c r="E269" s="14">
        <v>-7500</v>
      </c>
    </row>
    <row r="270" spans="1:5" x14ac:dyDescent="0.25">
      <c r="A270" s="8" t="s">
        <v>309</v>
      </c>
      <c r="B270" s="14">
        <v>0</v>
      </c>
      <c r="C270" s="14">
        <v>240.14</v>
      </c>
      <c r="D270" s="15">
        <v>0</v>
      </c>
      <c r="E270" s="14">
        <v>-240.14</v>
      </c>
    </row>
    <row r="271" spans="1:5" x14ac:dyDescent="0.25">
      <c r="A271" s="8" t="s">
        <v>305</v>
      </c>
      <c r="B271" s="14">
        <v>8900</v>
      </c>
      <c r="C271" s="14">
        <v>472.48</v>
      </c>
      <c r="D271" s="15">
        <v>0</v>
      </c>
      <c r="E271" s="14">
        <v>8427.52</v>
      </c>
    </row>
    <row r="272" spans="1:5" x14ac:dyDescent="0.25">
      <c r="A272" s="20" t="s">
        <v>363</v>
      </c>
      <c r="B272" s="16">
        <v>8900</v>
      </c>
      <c r="C272" s="16">
        <v>8212.6200000000008</v>
      </c>
      <c r="D272" s="17">
        <v>0</v>
      </c>
      <c r="E272" s="16">
        <v>687.38000000000011</v>
      </c>
    </row>
    <row r="273" spans="1:5" x14ac:dyDescent="0.25">
      <c r="A273" s="7" t="s">
        <v>256</v>
      </c>
    </row>
    <row r="274" spans="1:5" x14ac:dyDescent="0.25">
      <c r="A274" s="8" t="s">
        <v>307</v>
      </c>
      <c r="B274" s="14">
        <v>0</v>
      </c>
      <c r="C274" s="14">
        <v>0</v>
      </c>
      <c r="D274" s="15">
        <v>0</v>
      </c>
      <c r="E274" s="14">
        <v>0</v>
      </c>
    </row>
    <row r="275" spans="1:5" x14ac:dyDescent="0.25">
      <c r="A275" s="8" t="s">
        <v>203</v>
      </c>
      <c r="B275" s="14">
        <v>0</v>
      </c>
      <c r="C275" s="14">
        <v>5300</v>
      </c>
      <c r="D275" s="15">
        <v>0</v>
      </c>
      <c r="E275" s="14">
        <v>-5300</v>
      </c>
    </row>
    <row r="276" spans="1:5" x14ac:dyDescent="0.25">
      <c r="A276" s="8" t="s">
        <v>309</v>
      </c>
      <c r="B276" s="14">
        <v>0</v>
      </c>
      <c r="C276" s="14">
        <v>0</v>
      </c>
      <c r="D276" s="15">
        <v>0</v>
      </c>
      <c r="E276" s="14">
        <v>0</v>
      </c>
    </row>
    <row r="277" spans="1:5" x14ac:dyDescent="0.25">
      <c r="A277" s="8" t="s">
        <v>305</v>
      </c>
      <c r="B277" s="14">
        <v>9250</v>
      </c>
      <c r="C277" s="14">
        <v>803.9</v>
      </c>
      <c r="D277" s="15">
        <v>0</v>
      </c>
      <c r="E277" s="14">
        <v>8446.1</v>
      </c>
    </row>
    <row r="278" spans="1:5" x14ac:dyDescent="0.25">
      <c r="A278" s="8" t="s">
        <v>308</v>
      </c>
      <c r="B278" s="14">
        <v>0</v>
      </c>
      <c r="C278" s="14">
        <v>0</v>
      </c>
      <c r="D278" s="15">
        <v>0</v>
      </c>
      <c r="E278" s="14">
        <v>0</v>
      </c>
    </row>
    <row r="279" spans="1:5" x14ac:dyDescent="0.25">
      <c r="A279" s="20" t="s">
        <v>364</v>
      </c>
      <c r="B279" s="16">
        <v>9250</v>
      </c>
      <c r="C279" s="16">
        <v>6103.9</v>
      </c>
      <c r="D279" s="17">
        <v>0</v>
      </c>
      <c r="E279" s="16">
        <v>3146.1000000000004</v>
      </c>
    </row>
    <row r="280" spans="1:5" x14ac:dyDescent="0.25">
      <c r="A280" s="7" t="s">
        <v>257</v>
      </c>
    </row>
    <row r="281" spans="1:5" x14ac:dyDescent="0.25">
      <c r="A281" s="8" t="s">
        <v>202</v>
      </c>
      <c r="B281" s="14">
        <v>0</v>
      </c>
      <c r="C281" s="14">
        <v>-375</v>
      </c>
      <c r="D281" s="15">
        <v>0</v>
      </c>
      <c r="E281" s="14">
        <v>375</v>
      </c>
    </row>
    <row r="282" spans="1:5" x14ac:dyDescent="0.25">
      <c r="A282" s="8" t="s">
        <v>204</v>
      </c>
      <c r="B282" s="14">
        <v>0</v>
      </c>
      <c r="C282" s="14">
        <v>-219</v>
      </c>
      <c r="D282" s="15">
        <v>0</v>
      </c>
      <c r="E282" s="14">
        <v>219</v>
      </c>
    </row>
    <row r="283" spans="1:5" x14ac:dyDescent="0.25">
      <c r="A283" s="8" t="s">
        <v>203</v>
      </c>
      <c r="B283" s="14">
        <v>0</v>
      </c>
      <c r="C283" s="14">
        <v>0</v>
      </c>
      <c r="D283" s="15">
        <v>0</v>
      </c>
      <c r="E283" s="14">
        <v>0</v>
      </c>
    </row>
    <row r="284" spans="1:5" x14ac:dyDescent="0.25">
      <c r="A284" s="8" t="s">
        <v>305</v>
      </c>
      <c r="B284" s="14">
        <v>11875</v>
      </c>
      <c r="C284" s="14">
        <v>12468.929999999998</v>
      </c>
      <c r="D284" s="15">
        <v>0</v>
      </c>
      <c r="E284" s="14">
        <v>-593.93000000000052</v>
      </c>
    </row>
    <row r="285" spans="1:5" x14ac:dyDescent="0.25">
      <c r="A285" s="8" t="s">
        <v>308</v>
      </c>
      <c r="B285" s="14">
        <v>0</v>
      </c>
      <c r="C285" s="14">
        <v>0</v>
      </c>
      <c r="D285" s="15">
        <v>0</v>
      </c>
      <c r="E285" s="14">
        <v>0</v>
      </c>
    </row>
    <row r="286" spans="1:5" x14ac:dyDescent="0.25">
      <c r="A286" s="20" t="s">
        <v>365</v>
      </c>
      <c r="B286" s="16">
        <v>11875</v>
      </c>
      <c r="C286" s="16">
        <v>11874.929999999998</v>
      </c>
      <c r="D286" s="17">
        <v>0</v>
      </c>
      <c r="E286" s="16">
        <v>6.9999999999481588E-2</v>
      </c>
    </row>
    <row r="287" spans="1:5" x14ac:dyDescent="0.25">
      <c r="A287" s="7" t="s">
        <v>258</v>
      </c>
    </row>
    <row r="288" spans="1:5" x14ac:dyDescent="0.25">
      <c r="A288" s="8" t="s">
        <v>202</v>
      </c>
      <c r="B288" s="14">
        <v>0</v>
      </c>
      <c r="C288" s="14">
        <v>-503.4</v>
      </c>
      <c r="D288" s="15">
        <v>0</v>
      </c>
      <c r="E288" s="14">
        <v>503.4</v>
      </c>
    </row>
    <row r="289" spans="1:5" x14ac:dyDescent="0.25">
      <c r="A289" s="8" t="s">
        <v>204</v>
      </c>
      <c r="B289" s="14">
        <v>0</v>
      </c>
      <c r="C289" s="14">
        <v>-4597</v>
      </c>
      <c r="D289" s="15">
        <v>0</v>
      </c>
      <c r="E289" s="14">
        <v>4597</v>
      </c>
    </row>
    <row r="290" spans="1:5" x14ac:dyDescent="0.25">
      <c r="A290" s="8" t="s">
        <v>311</v>
      </c>
      <c r="B290" s="14">
        <v>0</v>
      </c>
      <c r="C290" s="14">
        <v>6082.85</v>
      </c>
      <c r="D290" s="15">
        <v>0</v>
      </c>
      <c r="E290" s="14">
        <v>-6082.85</v>
      </c>
    </row>
    <row r="291" spans="1:5" x14ac:dyDescent="0.25">
      <c r="A291" s="8" t="s">
        <v>309</v>
      </c>
      <c r="B291" s="14">
        <v>14500</v>
      </c>
      <c r="C291" s="14">
        <v>3604.19</v>
      </c>
      <c r="D291" s="15">
        <v>0</v>
      </c>
      <c r="E291" s="14">
        <v>10895.81</v>
      </c>
    </row>
    <row r="292" spans="1:5" x14ac:dyDescent="0.25">
      <c r="A292" s="8" t="s">
        <v>305</v>
      </c>
      <c r="B292" s="14">
        <v>6146</v>
      </c>
      <c r="C292" s="14">
        <v>10391.859999999999</v>
      </c>
      <c r="D292" s="15">
        <v>0</v>
      </c>
      <c r="E292" s="14">
        <v>-4245.8599999999988</v>
      </c>
    </row>
    <row r="293" spans="1:5" x14ac:dyDescent="0.25">
      <c r="A293" s="8" t="s">
        <v>308</v>
      </c>
      <c r="B293" s="14">
        <v>0</v>
      </c>
      <c r="C293" s="14">
        <v>0</v>
      </c>
      <c r="D293" s="15">
        <v>0</v>
      </c>
      <c r="E293" s="14">
        <v>0</v>
      </c>
    </row>
    <row r="294" spans="1:5" x14ac:dyDescent="0.25">
      <c r="A294" s="20" t="s">
        <v>366</v>
      </c>
      <c r="B294" s="16">
        <v>20646</v>
      </c>
      <c r="C294" s="16">
        <v>14978.5</v>
      </c>
      <c r="D294" s="17">
        <v>0</v>
      </c>
      <c r="E294" s="16">
        <v>5667.5</v>
      </c>
    </row>
    <row r="295" spans="1:5" x14ac:dyDescent="0.25">
      <c r="A295" s="7" t="s">
        <v>259</v>
      </c>
    </row>
    <row r="296" spans="1:5" x14ac:dyDescent="0.25">
      <c r="A296" s="8" t="s">
        <v>307</v>
      </c>
      <c r="B296" s="14">
        <v>0</v>
      </c>
      <c r="C296" s="14">
        <v>1765.67</v>
      </c>
      <c r="D296" s="15">
        <v>0</v>
      </c>
      <c r="E296" s="14">
        <v>-1765.67</v>
      </c>
    </row>
    <row r="297" spans="1:5" x14ac:dyDescent="0.25">
      <c r="A297" s="8" t="s">
        <v>305</v>
      </c>
      <c r="B297" s="14">
        <v>2000</v>
      </c>
      <c r="C297" s="14">
        <v>0</v>
      </c>
      <c r="D297" s="15">
        <v>0</v>
      </c>
      <c r="E297" s="14">
        <v>2000</v>
      </c>
    </row>
    <row r="298" spans="1:5" x14ac:dyDescent="0.25">
      <c r="A298" s="20" t="s">
        <v>367</v>
      </c>
      <c r="B298" s="16">
        <v>2000</v>
      </c>
      <c r="C298" s="16">
        <v>1765.67</v>
      </c>
      <c r="D298" s="17">
        <v>0</v>
      </c>
      <c r="E298" s="16">
        <v>234.32999999999993</v>
      </c>
    </row>
    <row r="299" spans="1:5" x14ac:dyDescent="0.25">
      <c r="A299" s="7" t="s">
        <v>260</v>
      </c>
    </row>
    <row r="300" spans="1:5" x14ac:dyDescent="0.25">
      <c r="A300" s="8" t="s">
        <v>202</v>
      </c>
      <c r="B300" s="14">
        <v>0</v>
      </c>
      <c r="C300" s="14">
        <v>-91</v>
      </c>
      <c r="D300" s="15">
        <v>0</v>
      </c>
      <c r="E300" s="14">
        <v>91</v>
      </c>
    </row>
    <row r="301" spans="1:5" x14ac:dyDescent="0.25">
      <c r="A301" s="8" t="s">
        <v>204</v>
      </c>
      <c r="B301" s="14">
        <v>0</v>
      </c>
      <c r="C301" s="14">
        <v>-2293</v>
      </c>
      <c r="D301" s="15">
        <v>0</v>
      </c>
      <c r="E301" s="14">
        <v>2293</v>
      </c>
    </row>
    <row r="302" spans="1:5" x14ac:dyDescent="0.25">
      <c r="A302" s="8" t="s">
        <v>307</v>
      </c>
      <c r="B302" s="14">
        <v>0</v>
      </c>
      <c r="C302" s="14">
        <v>21357.730000000003</v>
      </c>
      <c r="D302" s="15">
        <v>0</v>
      </c>
      <c r="E302" s="14">
        <v>-21357.730000000003</v>
      </c>
    </row>
    <row r="303" spans="1:5" x14ac:dyDescent="0.25">
      <c r="A303" s="8" t="s">
        <v>311</v>
      </c>
      <c r="B303" s="14">
        <v>0</v>
      </c>
      <c r="C303" s="14">
        <v>0</v>
      </c>
      <c r="D303" s="15">
        <v>0</v>
      </c>
      <c r="E303" s="14">
        <v>0</v>
      </c>
    </row>
    <row r="304" spans="1:5" x14ac:dyDescent="0.25">
      <c r="A304" s="8" t="s">
        <v>309</v>
      </c>
      <c r="B304" s="14">
        <v>0</v>
      </c>
      <c r="C304" s="14">
        <v>0</v>
      </c>
      <c r="D304" s="15">
        <v>0</v>
      </c>
      <c r="E304" s="14">
        <v>0</v>
      </c>
    </row>
    <row r="305" spans="1:5" x14ac:dyDescent="0.25">
      <c r="A305" s="8" t="s">
        <v>305</v>
      </c>
      <c r="B305" s="14">
        <v>27810</v>
      </c>
      <c r="C305" s="14">
        <v>4583.7700000000004</v>
      </c>
      <c r="D305" s="15">
        <v>0</v>
      </c>
      <c r="E305" s="14">
        <v>23226.23</v>
      </c>
    </row>
    <row r="306" spans="1:5" x14ac:dyDescent="0.25">
      <c r="A306" s="20" t="s">
        <v>368</v>
      </c>
      <c r="B306" s="16">
        <v>27810</v>
      </c>
      <c r="C306" s="16">
        <v>23557.500000000004</v>
      </c>
      <c r="D306" s="17">
        <v>0</v>
      </c>
      <c r="E306" s="16">
        <v>4252.4999999999964</v>
      </c>
    </row>
    <row r="307" spans="1:5" x14ac:dyDescent="0.25">
      <c r="A307" s="7" t="s">
        <v>261</v>
      </c>
    </row>
    <row r="308" spans="1:5" x14ac:dyDescent="0.25">
      <c r="A308" s="8" t="s">
        <v>204</v>
      </c>
      <c r="B308" s="14">
        <v>0</v>
      </c>
      <c r="C308" s="14">
        <v>-230316</v>
      </c>
      <c r="D308" s="15">
        <v>0</v>
      </c>
      <c r="E308" s="14">
        <v>230316</v>
      </c>
    </row>
    <row r="309" spans="1:5" x14ac:dyDescent="0.25">
      <c r="A309" s="8" t="s">
        <v>309</v>
      </c>
      <c r="B309" s="14">
        <v>0</v>
      </c>
      <c r="C309" s="14">
        <v>0</v>
      </c>
      <c r="D309" s="15">
        <v>0</v>
      </c>
      <c r="E309" s="14">
        <v>0</v>
      </c>
    </row>
    <row r="310" spans="1:5" x14ac:dyDescent="0.25">
      <c r="A310" s="8" t="s">
        <v>305</v>
      </c>
      <c r="B310" s="14">
        <v>0</v>
      </c>
      <c r="C310" s="14">
        <v>0</v>
      </c>
      <c r="D310" s="15">
        <v>0</v>
      </c>
      <c r="E310" s="14">
        <v>0</v>
      </c>
    </row>
    <row r="311" spans="1:5" x14ac:dyDescent="0.25">
      <c r="A311" s="20" t="s">
        <v>369</v>
      </c>
      <c r="B311" s="16">
        <v>0</v>
      </c>
      <c r="C311" s="16">
        <v>-230316</v>
      </c>
      <c r="D311" s="17">
        <v>0</v>
      </c>
      <c r="E311" s="16">
        <v>230316</v>
      </c>
    </row>
    <row r="312" spans="1:5" x14ac:dyDescent="0.25">
      <c r="A312" s="7" t="s">
        <v>262</v>
      </c>
    </row>
    <row r="313" spans="1:5" x14ac:dyDescent="0.25">
      <c r="A313" s="8" t="s">
        <v>204</v>
      </c>
      <c r="B313" s="14">
        <v>0</v>
      </c>
      <c r="C313" s="14">
        <v>-6419</v>
      </c>
      <c r="D313" s="15">
        <v>0</v>
      </c>
      <c r="E313" s="14">
        <v>6419</v>
      </c>
    </row>
    <row r="314" spans="1:5" x14ac:dyDescent="0.25">
      <c r="A314" s="8" t="s">
        <v>311</v>
      </c>
      <c r="B314" s="14">
        <v>0</v>
      </c>
      <c r="C314" s="14">
        <v>0</v>
      </c>
      <c r="D314" s="15">
        <v>0</v>
      </c>
      <c r="E314" s="14">
        <v>0</v>
      </c>
    </row>
    <row r="315" spans="1:5" x14ac:dyDescent="0.25">
      <c r="A315" s="8" t="s">
        <v>309</v>
      </c>
      <c r="B315" s="14">
        <v>0</v>
      </c>
      <c r="C315" s="14">
        <v>4305.34</v>
      </c>
      <c r="D315" s="15">
        <v>0</v>
      </c>
      <c r="E315" s="14">
        <v>-4305.34</v>
      </c>
    </row>
    <row r="316" spans="1:5" x14ac:dyDescent="0.25">
      <c r="A316" s="8" t="s">
        <v>305</v>
      </c>
      <c r="B316" s="14">
        <v>0</v>
      </c>
      <c r="C316" s="14">
        <v>0</v>
      </c>
      <c r="D316" s="15">
        <v>0</v>
      </c>
      <c r="E316" s="14">
        <v>0</v>
      </c>
    </row>
    <row r="317" spans="1:5" x14ac:dyDescent="0.25">
      <c r="A317" s="8" t="s">
        <v>308</v>
      </c>
      <c r="B317" s="14">
        <v>0</v>
      </c>
      <c r="C317" s="14">
        <v>2111.36</v>
      </c>
      <c r="D317" s="15">
        <v>0</v>
      </c>
      <c r="E317" s="14">
        <v>-2111.36</v>
      </c>
    </row>
    <row r="318" spans="1:5" x14ac:dyDescent="0.25">
      <c r="A318" s="20" t="s">
        <v>370</v>
      </c>
      <c r="B318" s="16">
        <v>0</v>
      </c>
      <c r="C318" s="16">
        <v>-2.2999999999997272</v>
      </c>
      <c r="D318" s="17">
        <v>0</v>
      </c>
      <c r="E318" s="16">
        <v>2.2999999999997272</v>
      </c>
    </row>
    <row r="319" spans="1:5" x14ac:dyDescent="0.25">
      <c r="A319" s="7" t="s">
        <v>263</v>
      </c>
    </row>
    <row r="320" spans="1:5" x14ac:dyDescent="0.25">
      <c r="A320" s="8" t="s">
        <v>307</v>
      </c>
      <c r="B320" s="14">
        <v>15000</v>
      </c>
      <c r="C320" s="14">
        <v>10009.089999999998</v>
      </c>
      <c r="D320" s="15">
        <v>0</v>
      </c>
      <c r="E320" s="14">
        <v>4990.91</v>
      </c>
    </row>
    <row r="321" spans="1:5" x14ac:dyDescent="0.25">
      <c r="A321" s="8" t="s">
        <v>305</v>
      </c>
      <c r="B321" s="14">
        <v>0</v>
      </c>
      <c r="C321" s="14">
        <v>0</v>
      </c>
      <c r="D321" s="15">
        <v>0</v>
      </c>
      <c r="E321" s="14">
        <v>0</v>
      </c>
    </row>
    <row r="322" spans="1:5" x14ac:dyDescent="0.25">
      <c r="A322" s="20" t="s">
        <v>371</v>
      </c>
      <c r="B322" s="16">
        <v>15000</v>
      </c>
      <c r="C322" s="16">
        <v>10009.089999999998</v>
      </c>
      <c r="D322" s="17">
        <v>0</v>
      </c>
      <c r="E322" s="16">
        <v>4990.91</v>
      </c>
    </row>
    <row r="323" spans="1:5" x14ac:dyDescent="0.25">
      <c r="A323" s="7" t="s">
        <v>264</v>
      </c>
    </row>
    <row r="324" spans="1:5" x14ac:dyDescent="0.25">
      <c r="A324" s="8" t="s">
        <v>204</v>
      </c>
      <c r="B324" s="14">
        <v>0</v>
      </c>
      <c r="C324" s="14">
        <v>0</v>
      </c>
      <c r="D324" s="15">
        <v>0</v>
      </c>
      <c r="E324" s="14">
        <v>0</v>
      </c>
    </row>
    <row r="325" spans="1:5" x14ac:dyDescent="0.25">
      <c r="A325" s="8" t="s">
        <v>306</v>
      </c>
      <c r="B325" s="14">
        <v>0</v>
      </c>
      <c r="C325" s="14">
        <v>0</v>
      </c>
      <c r="D325" s="15">
        <v>0</v>
      </c>
      <c r="E325" s="14">
        <v>0</v>
      </c>
    </row>
    <row r="326" spans="1:5" x14ac:dyDescent="0.25">
      <c r="A326" s="8" t="s">
        <v>305</v>
      </c>
      <c r="B326" s="14">
        <v>0</v>
      </c>
      <c r="C326" s="14">
        <v>0</v>
      </c>
      <c r="D326" s="15">
        <v>0</v>
      </c>
      <c r="E326" s="14">
        <v>0</v>
      </c>
    </row>
    <row r="327" spans="1:5" x14ac:dyDescent="0.25">
      <c r="A327" s="20" t="s">
        <v>372</v>
      </c>
      <c r="B327" s="16">
        <v>0</v>
      </c>
      <c r="C327" s="16">
        <v>0</v>
      </c>
      <c r="D327" s="17">
        <v>0</v>
      </c>
      <c r="E327" s="16">
        <v>0</v>
      </c>
    </row>
    <row r="328" spans="1:5" x14ac:dyDescent="0.25">
      <c r="A328" s="7" t="s">
        <v>265</v>
      </c>
    </row>
    <row r="329" spans="1:5" x14ac:dyDescent="0.25">
      <c r="A329" s="8" t="s">
        <v>202</v>
      </c>
      <c r="B329" s="14">
        <v>0</v>
      </c>
      <c r="C329" s="14">
        <v>-1440.75</v>
      </c>
      <c r="D329" s="15">
        <v>0</v>
      </c>
      <c r="E329" s="14">
        <v>1440.75</v>
      </c>
    </row>
    <row r="330" spans="1:5" x14ac:dyDescent="0.25">
      <c r="A330" s="8" t="s">
        <v>204</v>
      </c>
      <c r="B330" s="14">
        <v>0</v>
      </c>
      <c r="C330" s="14">
        <v>-1458</v>
      </c>
      <c r="D330" s="15">
        <v>0</v>
      </c>
      <c r="E330" s="14">
        <v>1458</v>
      </c>
    </row>
    <row r="331" spans="1:5" x14ac:dyDescent="0.25">
      <c r="A331" s="8" t="s">
        <v>305</v>
      </c>
      <c r="B331" s="14">
        <v>2770</v>
      </c>
      <c r="C331" s="14">
        <v>1050.42</v>
      </c>
      <c r="D331" s="15">
        <v>0</v>
      </c>
      <c r="E331" s="14">
        <v>1719.58</v>
      </c>
    </row>
    <row r="332" spans="1:5" x14ac:dyDescent="0.25">
      <c r="A332" s="8" t="s">
        <v>308</v>
      </c>
      <c r="B332" s="14">
        <v>0</v>
      </c>
      <c r="C332" s="14">
        <v>2644.64</v>
      </c>
      <c r="D332" s="15">
        <v>0</v>
      </c>
      <c r="E332" s="14">
        <v>-2644.64</v>
      </c>
    </row>
    <row r="333" spans="1:5" x14ac:dyDescent="0.25">
      <c r="A333" s="20" t="s">
        <v>373</v>
      </c>
      <c r="B333" s="16">
        <v>2770</v>
      </c>
      <c r="C333" s="16">
        <v>796.31</v>
      </c>
      <c r="D333" s="17">
        <v>0</v>
      </c>
      <c r="E333" s="16">
        <v>1973.69</v>
      </c>
    </row>
    <row r="334" spans="1:5" x14ac:dyDescent="0.25">
      <c r="A334" s="7" t="s">
        <v>266</v>
      </c>
    </row>
    <row r="335" spans="1:5" x14ac:dyDescent="0.25">
      <c r="A335" s="8" t="s">
        <v>202</v>
      </c>
      <c r="B335" s="14">
        <v>0</v>
      </c>
      <c r="C335" s="14">
        <v>-280</v>
      </c>
      <c r="D335" s="15">
        <v>0</v>
      </c>
      <c r="E335" s="14">
        <v>280</v>
      </c>
    </row>
    <row r="336" spans="1:5" x14ac:dyDescent="0.25">
      <c r="A336" s="8" t="s">
        <v>204</v>
      </c>
      <c r="B336" s="14">
        <v>0</v>
      </c>
      <c r="C336" s="14">
        <v>809</v>
      </c>
      <c r="D336" s="15">
        <v>0</v>
      </c>
      <c r="E336" s="14">
        <v>-809</v>
      </c>
    </row>
    <row r="337" spans="1:5" x14ac:dyDescent="0.25">
      <c r="A337" s="8" t="s">
        <v>203</v>
      </c>
      <c r="B337" s="14">
        <v>0</v>
      </c>
      <c r="C337" s="14">
        <v>0</v>
      </c>
      <c r="D337" s="15">
        <v>0</v>
      </c>
      <c r="E337" s="14">
        <v>0</v>
      </c>
    </row>
    <row r="338" spans="1:5" x14ac:dyDescent="0.25">
      <c r="A338" s="8" t="s">
        <v>311</v>
      </c>
      <c r="B338" s="14">
        <v>0</v>
      </c>
      <c r="C338" s="14">
        <v>760.9</v>
      </c>
      <c r="D338" s="15">
        <v>0</v>
      </c>
      <c r="E338" s="14">
        <v>-760.9</v>
      </c>
    </row>
    <row r="339" spans="1:5" x14ac:dyDescent="0.25">
      <c r="A339" s="8" t="s">
        <v>305</v>
      </c>
      <c r="B339" s="14">
        <v>12277</v>
      </c>
      <c r="C339" s="14">
        <v>9266.9599999999991</v>
      </c>
      <c r="D339" s="15">
        <v>0</v>
      </c>
      <c r="E339" s="14">
        <v>3010.04</v>
      </c>
    </row>
    <row r="340" spans="1:5" x14ac:dyDescent="0.25">
      <c r="A340" s="8" t="s">
        <v>308</v>
      </c>
      <c r="B340" s="14">
        <v>0</v>
      </c>
      <c r="C340" s="14">
        <v>818.99</v>
      </c>
      <c r="D340" s="15">
        <v>0</v>
      </c>
      <c r="E340" s="14">
        <v>-818.99</v>
      </c>
    </row>
    <row r="341" spans="1:5" x14ac:dyDescent="0.25">
      <c r="A341" s="20" t="s">
        <v>374</v>
      </c>
      <c r="B341" s="16">
        <v>12277</v>
      </c>
      <c r="C341" s="16">
        <v>11375.849999999999</v>
      </c>
      <c r="D341" s="17">
        <v>0</v>
      </c>
      <c r="E341" s="16">
        <v>901.14999999999986</v>
      </c>
    </row>
    <row r="342" spans="1:5" x14ac:dyDescent="0.25">
      <c r="A342" s="7" t="s">
        <v>267</v>
      </c>
    </row>
    <row r="343" spans="1:5" x14ac:dyDescent="0.25">
      <c r="A343" s="8" t="s">
        <v>202</v>
      </c>
      <c r="B343" s="14">
        <v>0</v>
      </c>
      <c r="C343" s="14">
        <v>-1520</v>
      </c>
      <c r="D343" s="15">
        <v>0</v>
      </c>
      <c r="E343" s="14">
        <v>1520</v>
      </c>
    </row>
    <row r="344" spans="1:5" x14ac:dyDescent="0.25">
      <c r="A344" s="8" t="s">
        <v>204</v>
      </c>
      <c r="B344" s="14">
        <v>0</v>
      </c>
      <c r="C344" s="14">
        <v>-536</v>
      </c>
      <c r="D344" s="15">
        <v>0</v>
      </c>
      <c r="E344" s="14">
        <v>536</v>
      </c>
    </row>
    <row r="345" spans="1:5" x14ac:dyDescent="0.25">
      <c r="A345" s="8" t="s">
        <v>203</v>
      </c>
      <c r="B345" s="14">
        <v>0</v>
      </c>
      <c r="C345" s="14">
        <v>0</v>
      </c>
      <c r="D345" s="15">
        <v>0</v>
      </c>
      <c r="E345" s="14">
        <v>0</v>
      </c>
    </row>
    <row r="346" spans="1:5" x14ac:dyDescent="0.25">
      <c r="A346" s="8" t="s">
        <v>305</v>
      </c>
      <c r="B346" s="14">
        <v>3640</v>
      </c>
      <c r="C346" s="14">
        <v>2975.3999999999996</v>
      </c>
      <c r="D346" s="15">
        <v>0</v>
      </c>
      <c r="E346" s="14">
        <v>664.60000000000059</v>
      </c>
    </row>
    <row r="347" spans="1:5" x14ac:dyDescent="0.25">
      <c r="A347" s="8" t="s">
        <v>308</v>
      </c>
      <c r="B347" s="14">
        <v>0</v>
      </c>
      <c r="C347" s="14">
        <v>2220</v>
      </c>
      <c r="D347" s="15">
        <v>0</v>
      </c>
      <c r="E347" s="14">
        <v>-2220</v>
      </c>
    </row>
    <row r="348" spans="1:5" x14ac:dyDescent="0.25">
      <c r="A348" s="20" t="s">
        <v>375</v>
      </c>
      <c r="B348" s="16">
        <v>3640</v>
      </c>
      <c r="C348" s="16">
        <v>3139.3999999999996</v>
      </c>
      <c r="D348" s="17">
        <v>0</v>
      </c>
      <c r="E348" s="16">
        <v>500.60000000000036</v>
      </c>
    </row>
    <row r="349" spans="1:5" x14ac:dyDescent="0.25">
      <c r="A349" s="7" t="s">
        <v>268</v>
      </c>
    </row>
    <row r="350" spans="1:5" x14ac:dyDescent="0.25">
      <c r="A350" s="8" t="s">
        <v>202</v>
      </c>
      <c r="B350" s="14">
        <v>0</v>
      </c>
      <c r="C350" s="14">
        <v>0</v>
      </c>
      <c r="D350" s="15">
        <v>0</v>
      </c>
      <c r="E350" s="14">
        <v>0</v>
      </c>
    </row>
    <row r="351" spans="1:5" x14ac:dyDescent="0.25">
      <c r="A351" s="8" t="s">
        <v>204</v>
      </c>
      <c r="B351" s="14">
        <v>0</v>
      </c>
      <c r="C351" s="14">
        <v>-418</v>
      </c>
      <c r="D351" s="15">
        <v>0</v>
      </c>
      <c r="E351" s="14">
        <v>418</v>
      </c>
    </row>
    <row r="352" spans="1:5" x14ac:dyDescent="0.25">
      <c r="A352" s="8" t="s">
        <v>305</v>
      </c>
      <c r="B352" s="14">
        <v>1500</v>
      </c>
      <c r="C352" s="14">
        <v>1195.33</v>
      </c>
      <c r="D352" s="15">
        <v>0</v>
      </c>
      <c r="E352" s="14">
        <v>304.66999999999996</v>
      </c>
    </row>
    <row r="353" spans="1:5" x14ac:dyDescent="0.25">
      <c r="A353" s="20" t="s">
        <v>376</v>
      </c>
      <c r="B353" s="16">
        <v>1500</v>
      </c>
      <c r="C353" s="16">
        <v>777.32999999999993</v>
      </c>
      <c r="D353" s="17">
        <v>0</v>
      </c>
      <c r="E353" s="16">
        <v>722.67</v>
      </c>
    </row>
    <row r="354" spans="1:5" x14ac:dyDescent="0.25">
      <c r="A354" s="7" t="s">
        <v>269</v>
      </c>
    </row>
    <row r="355" spans="1:5" x14ac:dyDescent="0.25">
      <c r="A355" s="8" t="s">
        <v>203</v>
      </c>
      <c r="B355" s="14">
        <v>0</v>
      </c>
      <c r="C355" s="14">
        <v>0</v>
      </c>
      <c r="D355" s="15">
        <v>0</v>
      </c>
      <c r="E355" s="14">
        <v>0</v>
      </c>
    </row>
    <row r="356" spans="1:5" x14ac:dyDescent="0.25">
      <c r="A356" s="8" t="s">
        <v>305</v>
      </c>
      <c r="B356" s="14">
        <v>0</v>
      </c>
      <c r="C356" s="14">
        <v>0</v>
      </c>
      <c r="D356" s="15">
        <v>0</v>
      </c>
      <c r="E356" s="14">
        <v>0</v>
      </c>
    </row>
    <row r="357" spans="1:5" x14ac:dyDescent="0.25">
      <c r="A357" s="20" t="s">
        <v>377</v>
      </c>
      <c r="B357" s="16">
        <v>0</v>
      </c>
      <c r="C357" s="16">
        <v>0</v>
      </c>
      <c r="D357" s="17">
        <v>0</v>
      </c>
      <c r="E357" s="16">
        <v>0</v>
      </c>
    </row>
    <row r="358" spans="1:5" x14ac:dyDescent="0.25">
      <c r="A358" s="7" t="s">
        <v>270</v>
      </c>
    </row>
    <row r="359" spans="1:5" x14ac:dyDescent="0.25">
      <c r="A359" s="8" t="s">
        <v>305</v>
      </c>
      <c r="B359" s="14">
        <v>0</v>
      </c>
      <c r="C359" s="14">
        <v>0</v>
      </c>
      <c r="D359" s="15">
        <v>0</v>
      </c>
      <c r="E359" s="14">
        <v>0</v>
      </c>
    </row>
    <row r="360" spans="1:5" x14ac:dyDescent="0.25">
      <c r="A360" s="8" t="s">
        <v>308</v>
      </c>
      <c r="B360" s="14">
        <v>0</v>
      </c>
      <c r="C360" s="14">
        <v>0</v>
      </c>
      <c r="D360" s="15">
        <v>0</v>
      </c>
      <c r="E360" s="14">
        <v>0</v>
      </c>
    </row>
    <row r="361" spans="1:5" x14ac:dyDescent="0.25">
      <c r="A361" s="20" t="s">
        <v>378</v>
      </c>
      <c r="B361" s="16">
        <v>0</v>
      </c>
      <c r="C361" s="16">
        <v>0</v>
      </c>
      <c r="D361" s="17">
        <v>0</v>
      </c>
      <c r="E361" s="16">
        <v>0</v>
      </c>
    </row>
    <row r="362" spans="1:5" x14ac:dyDescent="0.25">
      <c r="A362" s="7" t="s">
        <v>271</v>
      </c>
    </row>
    <row r="363" spans="1:5" x14ac:dyDescent="0.25">
      <c r="A363" s="8" t="s">
        <v>305</v>
      </c>
      <c r="B363" s="14">
        <v>940</v>
      </c>
      <c r="C363" s="14">
        <v>925.87</v>
      </c>
      <c r="D363" s="15">
        <v>0</v>
      </c>
      <c r="E363" s="14">
        <v>14.129999999999995</v>
      </c>
    </row>
    <row r="364" spans="1:5" x14ac:dyDescent="0.25">
      <c r="A364" s="20" t="s">
        <v>379</v>
      </c>
      <c r="B364" s="16">
        <v>940</v>
      </c>
      <c r="C364" s="16">
        <v>925.87</v>
      </c>
      <c r="D364" s="17">
        <v>0</v>
      </c>
      <c r="E364" s="16">
        <v>14.129999999999995</v>
      </c>
    </row>
    <row r="365" spans="1:5" x14ac:dyDescent="0.25">
      <c r="A365" s="7" t="s">
        <v>272</v>
      </c>
    </row>
    <row r="366" spans="1:5" x14ac:dyDescent="0.25">
      <c r="A366" s="8" t="s">
        <v>202</v>
      </c>
      <c r="B366" s="14">
        <v>0</v>
      </c>
      <c r="C366" s="14">
        <v>-1158</v>
      </c>
      <c r="D366" s="15">
        <v>0</v>
      </c>
      <c r="E366" s="14">
        <v>1158</v>
      </c>
    </row>
    <row r="367" spans="1:5" x14ac:dyDescent="0.25">
      <c r="A367" s="8" t="s">
        <v>204</v>
      </c>
      <c r="B367" s="14">
        <v>0</v>
      </c>
      <c r="C367" s="14">
        <v>-1686</v>
      </c>
      <c r="D367" s="15">
        <v>0</v>
      </c>
      <c r="E367" s="14">
        <v>1686</v>
      </c>
    </row>
    <row r="368" spans="1:5" x14ac:dyDescent="0.25">
      <c r="A368" s="8" t="s">
        <v>203</v>
      </c>
      <c r="B368" s="14">
        <v>0</v>
      </c>
      <c r="C368" s="14">
        <v>0</v>
      </c>
      <c r="D368" s="15">
        <v>0</v>
      </c>
      <c r="E368" s="14">
        <v>0</v>
      </c>
    </row>
    <row r="369" spans="1:5" x14ac:dyDescent="0.25">
      <c r="A369" s="8" t="s">
        <v>305</v>
      </c>
      <c r="B369" s="14">
        <v>1155</v>
      </c>
      <c r="C369" s="14">
        <v>2280.44</v>
      </c>
      <c r="D369" s="15">
        <v>0</v>
      </c>
      <c r="E369" s="14">
        <v>-1125.44</v>
      </c>
    </row>
    <row r="370" spans="1:5" x14ac:dyDescent="0.25">
      <c r="A370" s="8" t="s">
        <v>308</v>
      </c>
      <c r="B370" s="14">
        <v>0</v>
      </c>
      <c r="C370" s="14">
        <v>0</v>
      </c>
      <c r="D370" s="15">
        <v>0</v>
      </c>
      <c r="E370" s="14">
        <v>0</v>
      </c>
    </row>
    <row r="371" spans="1:5" x14ac:dyDescent="0.25">
      <c r="A371" s="20" t="s">
        <v>380</v>
      </c>
      <c r="B371" s="16">
        <v>1155</v>
      </c>
      <c r="C371" s="16">
        <v>-563.55999999999995</v>
      </c>
      <c r="D371" s="17">
        <v>0</v>
      </c>
      <c r="E371" s="16">
        <v>1718.56</v>
      </c>
    </row>
    <row r="372" spans="1:5" x14ac:dyDescent="0.25">
      <c r="A372" s="7" t="s">
        <v>273</v>
      </c>
    </row>
    <row r="373" spans="1:5" x14ac:dyDescent="0.25">
      <c r="A373" s="8" t="s">
        <v>202</v>
      </c>
      <c r="B373" s="14">
        <v>0</v>
      </c>
      <c r="C373" s="14">
        <v>-160</v>
      </c>
      <c r="D373" s="15">
        <v>0</v>
      </c>
      <c r="E373" s="14">
        <v>160</v>
      </c>
    </row>
    <row r="374" spans="1:5" x14ac:dyDescent="0.25">
      <c r="A374" s="8" t="s">
        <v>204</v>
      </c>
      <c r="B374" s="14">
        <v>0</v>
      </c>
      <c r="C374" s="14">
        <v>-709</v>
      </c>
      <c r="D374" s="15">
        <v>0</v>
      </c>
      <c r="E374" s="14">
        <v>709</v>
      </c>
    </row>
    <row r="375" spans="1:5" x14ac:dyDescent="0.25">
      <c r="A375" s="8" t="s">
        <v>203</v>
      </c>
      <c r="B375" s="14">
        <v>0</v>
      </c>
      <c r="C375" s="14">
        <v>427.5</v>
      </c>
      <c r="D375" s="15">
        <v>0</v>
      </c>
      <c r="E375" s="14">
        <v>-427.5</v>
      </c>
    </row>
    <row r="376" spans="1:5" x14ac:dyDescent="0.25">
      <c r="A376" s="8" t="s">
        <v>305</v>
      </c>
      <c r="B376" s="14">
        <v>5070</v>
      </c>
      <c r="C376" s="14">
        <v>4838.8599999999997</v>
      </c>
      <c r="D376" s="15">
        <v>0</v>
      </c>
      <c r="E376" s="14">
        <v>231.13999999999987</v>
      </c>
    </row>
    <row r="377" spans="1:5" x14ac:dyDescent="0.25">
      <c r="A377" s="8" t="s">
        <v>308</v>
      </c>
      <c r="B377" s="14">
        <v>0</v>
      </c>
      <c r="C377" s="14">
        <v>0</v>
      </c>
      <c r="D377" s="15">
        <v>0</v>
      </c>
      <c r="E377" s="14">
        <v>0</v>
      </c>
    </row>
    <row r="378" spans="1:5" x14ac:dyDescent="0.25">
      <c r="A378" s="20" t="s">
        <v>381</v>
      </c>
      <c r="B378" s="16">
        <v>5070</v>
      </c>
      <c r="C378" s="16">
        <v>4397.3599999999997</v>
      </c>
      <c r="D378" s="17">
        <v>0</v>
      </c>
      <c r="E378" s="16">
        <v>672.63999999999987</v>
      </c>
    </row>
    <row r="379" spans="1:5" x14ac:dyDescent="0.25">
      <c r="A379" s="7" t="s">
        <v>274</v>
      </c>
    </row>
    <row r="380" spans="1:5" x14ac:dyDescent="0.25">
      <c r="A380" s="8" t="s">
        <v>202</v>
      </c>
      <c r="B380" s="14">
        <v>0</v>
      </c>
      <c r="C380" s="14">
        <v>0</v>
      </c>
      <c r="D380" s="15">
        <v>0</v>
      </c>
      <c r="E380" s="14">
        <v>0</v>
      </c>
    </row>
    <row r="381" spans="1:5" x14ac:dyDescent="0.25">
      <c r="A381" s="8" t="s">
        <v>204</v>
      </c>
      <c r="B381" s="14">
        <v>0</v>
      </c>
      <c r="C381" s="14">
        <v>-117</v>
      </c>
      <c r="D381" s="15">
        <v>0</v>
      </c>
      <c r="E381" s="14">
        <v>117</v>
      </c>
    </row>
    <row r="382" spans="1:5" x14ac:dyDescent="0.25">
      <c r="A382" s="8" t="s">
        <v>305</v>
      </c>
      <c r="B382" s="14">
        <v>1030</v>
      </c>
      <c r="C382" s="14">
        <v>1269.8300000000002</v>
      </c>
      <c r="D382" s="15">
        <v>0</v>
      </c>
      <c r="E382" s="14">
        <v>-239.83000000000004</v>
      </c>
    </row>
    <row r="383" spans="1:5" x14ac:dyDescent="0.25">
      <c r="A383" s="20" t="s">
        <v>382</v>
      </c>
      <c r="B383" s="16">
        <v>1030</v>
      </c>
      <c r="C383" s="16">
        <v>1152.8300000000002</v>
      </c>
      <c r="D383" s="17">
        <v>0</v>
      </c>
      <c r="E383" s="16">
        <v>-122.83000000000004</v>
      </c>
    </row>
    <row r="384" spans="1:5" x14ac:dyDescent="0.25">
      <c r="A384" s="7" t="s">
        <v>275</v>
      </c>
    </row>
    <row r="385" spans="1:5" x14ac:dyDescent="0.25">
      <c r="A385" s="8" t="s">
        <v>202</v>
      </c>
      <c r="B385" s="14">
        <v>0</v>
      </c>
      <c r="C385" s="14">
        <v>-1067.75</v>
      </c>
      <c r="D385" s="15">
        <v>0</v>
      </c>
      <c r="E385" s="14">
        <v>1067.75</v>
      </c>
    </row>
    <row r="386" spans="1:5" x14ac:dyDescent="0.25">
      <c r="A386" s="8" t="s">
        <v>204</v>
      </c>
      <c r="B386" s="14">
        <v>0</v>
      </c>
      <c r="C386" s="14">
        <v>-141.5</v>
      </c>
      <c r="D386" s="15">
        <v>0</v>
      </c>
      <c r="E386" s="14">
        <v>141.5</v>
      </c>
    </row>
    <row r="387" spans="1:5" x14ac:dyDescent="0.25">
      <c r="A387" s="8" t="s">
        <v>203</v>
      </c>
      <c r="B387" s="14">
        <v>0</v>
      </c>
      <c r="C387" s="14">
        <v>100</v>
      </c>
      <c r="D387" s="15">
        <v>0</v>
      </c>
      <c r="E387" s="14">
        <v>-100</v>
      </c>
    </row>
    <row r="388" spans="1:5" x14ac:dyDescent="0.25">
      <c r="A388" s="8" t="s">
        <v>305</v>
      </c>
      <c r="B388" s="14">
        <v>2010</v>
      </c>
      <c r="C388" s="14">
        <v>2412.09</v>
      </c>
      <c r="D388" s="15">
        <v>0</v>
      </c>
      <c r="E388" s="14">
        <v>-402.09000000000015</v>
      </c>
    </row>
    <row r="389" spans="1:5" x14ac:dyDescent="0.25">
      <c r="A389" s="8" t="s">
        <v>308</v>
      </c>
      <c r="B389" s="14">
        <v>0</v>
      </c>
      <c r="C389" s="14">
        <v>37.26</v>
      </c>
      <c r="D389" s="15">
        <v>0</v>
      </c>
      <c r="E389" s="14">
        <v>-37.26</v>
      </c>
    </row>
    <row r="390" spans="1:5" x14ac:dyDescent="0.25">
      <c r="A390" s="20" t="s">
        <v>383</v>
      </c>
      <c r="B390" s="16">
        <v>2010</v>
      </c>
      <c r="C390" s="16">
        <v>1340.1000000000001</v>
      </c>
      <c r="D390" s="17">
        <v>0</v>
      </c>
      <c r="E390" s="16">
        <v>669.89999999999986</v>
      </c>
    </row>
    <row r="391" spans="1:5" x14ac:dyDescent="0.25">
      <c r="A391" s="7" t="s">
        <v>276</v>
      </c>
    </row>
    <row r="392" spans="1:5" x14ac:dyDescent="0.25">
      <c r="A392" s="8" t="s">
        <v>202</v>
      </c>
      <c r="B392" s="14">
        <v>0</v>
      </c>
      <c r="C392" s="14">
        <v>-300</v>
      </c>
      <c r="D392" s="15">
        <v>0</v>
      </c>
      <c r="E392" s="14">
        <v>300</v>
      </c>
    </row>
    <row r="393" spans="1:5" x14ac:dyDescent="0.25">
      <c r="A393" s="8" t="s">
        <v>204</v>
      </c>
      <c r="B393" s="14">
        <v>0</v>
      </c>
      <c r="C393" s="14">
        <v>-34</v>
      </c>
      <c r="D393" s="15">
        <v>0</v>
      </c>
      <c r="E393" s="14">
        <v>34</v>
      </c>
    </row>
    <row r="394" spans="1:5" x14ac:dyDescent="0.25">
      <c r="A394" s="8" t="s">
        <v>203</v>
      </c>
      <c r="B394" s="14">
        <v>0</v>
      </c>
      <c r="C394" s="14">
        <v>0</v>
      </c>
      <c r="D394" s="15">
        <v>0</v>
      </c>
      <c r="E394" s="14">
        <v>0</v>
      </c>
    </row>
    <row r="395" spans="1:5" x14ac:dyDescent="0.25">
      <c r="A395" s="8" t="s">
        <v>305</v>
      </c>
      <c r="B395" s="14">
        <v>6150</v>
      </c>
      <c r="C395" s="14">
        <v>1014.24</v>
      </c>
      <c r="D395" s="15">
        <v>0</v>
      </c>
      <c r="E395" s="14">
        <v>5135.76</v>
      </c>
    </row>
    <row r="396" spans="1:5" x14ac:dyDescent="0.25">
      <c r="A396" s="8" t="s">
        <v>308</v>
      </c>
      <c r="B396" s="14">
        <v>0</v>
      </c>
      <c r="C396" s="14">
        <v>4021.63</v>
      </c>
      <c r="D396" s="15">
        <v>0</v>
      </c>
      <c r="E396" s="14">
        <v>-4021.63</v>
      </c>
    </row>
    <row r="397" spans="1:5" x14ac:dyDescent="0.25">
      <c r="A397" s="20" t="s">
        <v>384</v>
      </c>
      <c r="B397" s="16">
        <v>6150</v>
      </c>
      <c r="C397" s="16">
        <v>4701.87</v>
      </c>
      <c r="D397" s="17">
        <v>0</v>
      </c>
      <c r="E397" s="16">
        <v>1448.13</v>
      </c>
    </row>
    <row r="398" spans="1:5" x14ac:dyDescent="0.25">
      <c r="A398" s="7" t="s">
        <v>277</v>
      </c>
    </row>
    <row r="399" spans="1:5" x14ac:dyDescent="0.25">
      <c r="A399" s="8" t="s">
        <v>204</v>
      </c>
      <c r="B399" s="14">
        <v>0</v>
      </c>
      <c r="C399" s="14">
        <v>-47</v>
      </c>
      <c r="D399" s="15">
        <v>0</v>
      </c>
      <c r="E399" s="14">
        <v>47</v>
      </c>
    </row>
    <row r="400" spans="1:5" x14ac:dyDescent="0.25">
      <c r="A400" s="8" t="s">
        <v>305</v>
      </c>
      <c r="B400" s="14">
        <v>1800</v>
      </c>
      <c r="C400" s="14">
        <v>1202.79</v>
      </c>
      <c r="D400" s="15">
        <v>0</v>
      </c>
      <c r="E400" s="14">
        <v>597.21</v>
      </c>
    </row>
    <row r="401" spans="1:5" x14ac:dyDescent="0.25">
      <c r="A401" s="20" t="s">
        <v>385</v>
      </c>
      <c r="B401" s="16">
        <v>1800</v>
      </c>
      <c r="C401" s="16">
        <v>1155.79</v>
      </c>
      <c r="D401" s="17">
        <v>0</v>
      </c>
      <c r="E401" s="16">
        <v>644.21</v>
      </c>
    </row>
    <row r="402" spans="1:5" x14ac:dyDescent="0.25">
      <c r="A402" s="7" t="s">
        <v>278</v>
      </c>
    </row>
    <row r="403" spans="1:5" x14ac:dyDescent="0.25">
      <c r="A403" s="8" t="s">
        <v>305</v>
      </c>
      <c r="B403" s="14">
        <v>0</v>
      </c>
      <c r="C403" s="14">
        <v>0</v>
      </c>
      <c r="D403" s="15">
        <v>0</v>
      </c>
      <c r="E403" s="14">
        <v>0</v>
      </c>
    </row>
    <row r="404" spans="1:5" x14ac:dyDescent="0.25">
      <c r="A404" s="20" t="s">
        <v>386</v>
      </c>
      <c r="B404" s="16">
        <v>0</v>
      </c>
      <c r="C404" s="16">
        <v>0</v>
      </c>
      <c r="D404" s="17">
        <v>0</v>
      </c>
      <c r="E404" s="16">
        <v>0</v>
      </c>
    </row>
    <row r="405" spans="1:5" x14ac:dyDescent="0.25">
      <c r="A405" s="7" t="s">
        <v>279</v>
      </c>
    </row>
    <row r="406" spans="1:5" x14ac:dyDescent="0.25">
      <c r="A406" s="8" t="s">
        <v>202</v>
      </c>
      <c r="B406" s="14">
        <v>0</v>
      </c>
      <c r="C406" s="14">
        <v>-1004</v>
      </c>
      <c r="D406" s="15">
        <v>0</v>
      </c>
      <c r="E406" s="14">
        <v>1004</v>
      </c>
    </row>
    <row r="407" spans="1:5" x14ac:dyDescent="0.25">
      <c r="A407" s="8" t="s">
        <v>204</v>
      </c>
      <c r="B407" s="14">
        <v>0</v>
      </c>
      <c r="C407" s="14">
        <v>-2017</v>
      </c>
      <c r="D407" s="15">
        <v>0</v>
      </c>
      <c r="E407" s="14">
        <v>2017</v>
      </c>
    </row>
    <row r="408" spans="1:5" x14ac:dyDescent="0.25">
      <c r="A408" s="8" t="s">
        <v>305</v>
      </c>
      <c r="B408" s="14">
        <v>1100</v>
      </c>
      <c r="C408" s="14">
        <v>563.41999999999996</v>
      </c>
      <c r="D408" s="15">
        <v>0</v>
      </c>
      <c r="E408" s="14">
        <v>536.58000000000004</v>
      </c>
    </row>
    <row r="409" spans="1:5" x14ac:dyDescent="0.25">
      <c r="A409" s="8" t="s">
        <v>308</v>
      </c>
      <c r="B409" s="14">
        <v>0</v>
      </c>
      <c r="C409" s="14">
        <v>0</v>
      </c>
      <c r="D409" s="15">
        <v>0</v>
      </c>
      <c r="E409" s="14">
        <v>0</v>
      </c>
    </row>
    <row r="410" spans="1:5" x14ac:dyDescent="0.25">
      <c r="A410" s="20" t="s">
        <v>387</v>
      </c>
      <c r="B410" s="16">
        <v>1100</v>
      </c>
      <c r="C410" s="16">
        <v>-2457.58</v>
      </c>
      <c r="D410" s="17">
        <v>0</v>
      </c>
      <c r="E410" s="16">
        <v>3557.58</v>
      </c>
    </row>
    <row r="411" spans="1:5" x14ac:dyDescent="0.25">
      <c r="A411" s="7" t="s">
        <v>280</v>
      </c>
    </row>
    <row r="412" spans="1:5" x14ac:dyDescent="0.25">
      <c r="A412" s="8" t="s">
        <v>202</v>
      </c>
      <c r="B412" s="14">
        <v>0</v>
      </c>
      <c r="C412" s="14">
        <v>0</v>
      </c>
      <c r="D412" s="15">
        <v>0</v>
      </c>
      <c r="E412" s="14">
        <v>0</v>
      </c>
    </row>
    <row r="413" spans="1:5" x14ac:dyDescent="0.25">
      <c r="A413" s="8" t="s">
        <v>204</v>
      </c>
      <c r="B413" s="14">
        <v>0</v>
      </c>
      <c r="C413" s="14">
        <v>-248.5</v>
      </c>
      <c r="D413" s="15">
        <v>0</v>
      </c>
      <c r="E413" s="14">
        <v>248.5</v>
      </c>
    </row>
    <row r="414" spans="1:5" x14ac:dyDescent="0.25">
      <c r="A414" s="8" t="s">
        <v>203</v>
      </c>
      <c r="B414" s="14">
        <v>0</v>
      </c>
      <c r="C414" s="14">
        <v>50</v>
      </c>
      <c r="D414" s="15">
        <v>0</v>
      </c>
      <c r="E414" s="14">
        <v>-50</v>
      </c>
    </row>
    <row r="415" spans="1:5" x14ac:dyDescent="0.25">
      <c r="A415" s="8" t="s">
        <v>305</v>
      </c>
      <c r="B415" s="14">
        <v>1200</v>
      </c>
      <c r="C415" s="14">
        <v>1293.6300000000001</v>
      </c>
      <c r="D415" s="15">
        <v>0</v>
      </c>
      <c r="E415" s="14">
        <v>-93.63</v>
      </c>
    </row>
    <row r="416" spans="1:5" x14ac:dyDescent="0.25">
      <c r="A416" s="20" t="s">
        <v>388</v>
      </c>
      <c r="B416" s="16">
        <v>1200</v>
      </c>
      <c r="C416" s="16">
        <v>1095.1300000000001</v>
      </c>
      <c r="D416" s="17">
        <v>0</v>
      </c>
      <c r="E416" s="16">
        <v>104.87</v>
      </c>
    </row>
    <row r="417" spans="1:5" x14ac:dyDescent="0.25">
      <c r="A417" s="7" t="s">
        <v>281</v>
      </c>
    </row>
    <row r="418" spans="1:5" x14ac:dyDescent="0.25">
      <c r="A418" s="8" t="s">
        <v>204</v>
      </c>
      <c r="B418" s="14">
        <v>0</v>
      </c>
      <c r="C418" s="14">
        <v>0</v>
      </c>
      <c r="D418" s="15">
        <v>0</v>
      </c>
      <c r="E418" s="14">
        <v>0</v>
      </c>
    </row>
    <row r="419" spans="1:5" x14ac:dyDescent="0.25">
      <c r="A419" s="20" t="s">
        <v>389</v>
      </c>
      <c r="B419" s="16">
        <v>0</v>
      </c>
      <c r="C419" s="16">
        <v>0</v>
      </c>
      <c r="D419" s="17">
        <v>0</v>
      </c>
      <c r="E419" s="16">
        <v>0</v>
      </c>
    </row>
    <row r="420" spans="1:5" x14ac:dyDescent="0.25">
      <c r="A420" s="7" t="s">
        <v>282</v>
      </c>
    </row>
    <row r="421" spans="1:5" x14ac:dyDescent="0.25">
      <c r="A421" s="8" t="s">
        <v>202</v>
      </c>
      <c r="B421" s="14">
        <v>0</v>
      </c>
      <c r="C421" s="14">
        <v>0</v>
      </c>
      <c r="D421" s="15">
        <v>0</v>
      </c>
      <c r="E421" s="14">
        <v>0</v>
      </c>
    </row>
    <row r="422" spans="1:5" x14ac:dyDescent="0.25">
      <c r="A422" s="8" t="s">
        <v>204</v>
      </c>
      <c r="B422" s="14">
        <v>0</v>
      </c>
      <c r="C422" s="14">
        <v>-196</v>
      </c>
      <c r="D422" s="15">
        <v>0</v>
      </c>
      <c r="E422" s="14">
        <v>196</v>
      </c>
    </row>
    <row r="423" spans="1:5" x14ac:dyDescent="0.25">
      <c r="A423" s="8" t="s">
        <v>203</v>
      </c>
      <c r="B423" s="14">
        <v>0</v>
      </c>
      <c r="C423" s="14">
        <v>700</v>
      </c>
      <c r="D423" s="15">
        <v>0</v>
      </c>
      <c r="E423" s="14">
        <v>-700</v>
      </c>
    </row>
    <row r="424" spans="1:5" x14ac:dyDescent="0.25">
      <c r="A424" s="8" t="s">
        <v>305</v>
      </c>
      <c r="B424" s="14">
        <v>4850</v>
      </c>
      <c r="C424" s="14">
        <v>2903.38</v>
      </c>
      <c r="D424" s="15">
        <v>0</v>
      </c>
      <c r="E424" s="14">
        <v>1946.6200000000001</v>
      </c>
    </row>
    <row r="425" spans="1:5" x14ac:dyDescent="0.25">
      <c r="A425" s="8" t="s">
        <v>308</v>
      </c>
      <c r="B425" s="14">
        <v>0</v>
      </c>
      <c r="C425" s="14">
        <v>11</v>
      </c>
      <c r="D425" s="15">
        <v>0</v>
      </c>
      <c r="E425" s="14">
        <v>-11</v>
      </c>
    </row>
    <row r="426" spans="1:5" x14ac:dyDescent="0.25">
      <c r="A426" s="20" t="s">
        <v>390</v>
      </c>
      <c r="B426" s="16">
        <v>4850</v>
      </c>
      <c r="C426" s="16">
        <v>3418.38</v>
      </c>
      <c r="D426" s="17">
        <v>0</v>
      </c>
      <c r="E426" s="16">
        <v>1431.6200000000001</v>
      </c>
    </row>
    <row r="427" spans="1:5" x14ac:dyDescent="0.25">
      <c r="A427" s="7" t="s">
        <v>283</v>
      </c>
    </row>
    <row r="428" spans="1:5" x14ac:dyDescent="0.25">
      <c r="A428" s="8" t="s">
        <v>202</v>
      </c>
      <c r="B428" s="14">
        <v>0</v>
      </c>
      <c r="C428" s="14">
        <v>-914.7</v>
      </c>
      <c r="D428" s="15">
        <v>0</v>
      </c>
      <c r="E428" s="14">
        <v>914.7</v>
      </c>
    </row>
    <row r="429" spans="1:5" x14ac:dyDescent="0.25">
      <c r="A429" s="8" t="s">
        <v>204</v>
      </c>
      <c r="B429" s="14">
        <v>0</v>
      </c>
      <c r="C429" s="14">
        <v>-1494</v>
      </c>
      <c r="D429" s="15">
        <v>0</v>
      </c>
      <c r="E429" s="14">
        <v>1494</v>
      </c>
    </row>
    <row r="430" spans="1:5" x14ac:dyDescent="0.25">
      <c r="A430" s="8" t="s">
        <v>203</v>
      </c>
      <c r="B430" s="14">
        <v>0</v>
      </c>
      <c r="C430" s="14">
        <v>0</v>
      </c>
      <c r="D430" s="15">
        <v>0</v>
      </c>
      <c r="E430" s="14">
        <v>0</v>
      </c>
    </row>
    <row r="431" spans="1:5" x14ac:dyDescent="0.25">
      <c r="A431" s="8" t="s">
        <v>311</v>
      </c>
      <c r="B431" s="14">
        <v>0</v>
      </c>
      <c r="C431" s="14">
        <v>0</v>
      </c>
      <c r="D431" s="15">
        <v>0</v>
      </c>
      <c r="E431" s="14">
        <v>0</v>
      </c>
    </row>
    <row r="432" spans="1:5" x14ac:dyDescent="0.25">
      <c r="A432" s="8" t="s">
        <v>309</v>
      </c>
      <c r="B432" s="14">
        <v>0</v>
      </c>
      <c r="C432" s="14">
        <v>0</v>
      </c>
      <c r="D432" s="15">
        <v>0</v>
      </c>
      <c r="E432" s="14">
        <v>0</v>
      </c>
    </row>
    <row r="433" spans="1:5" x14ac:dyDescent="0.25">
      <c r="A433" s="8" t="s">
        <v>305</v>
      </c>
      <c r="B433" s="14">
        <v>6390</v>
      </c>
      <c r="C433" s="14">
        <v>4588.5999999999995</v>
      </c>
      <c r="D433" s="15">
        <v>0</v>
      </c>
      <c r="E433" s="14">
        <v>1801.4</v>
      </c>
    </row>
    <row r="434" spans="1:5" x14ac:dyDescent="0.25">
      <c r="A434" s="8" t="s">
        <v>308</v>
      </c>
      <c r="B434" s="14">
        <v>0</v>
      </c>
      <c r="C434" s="14">
        <v>1212.1399999999999</v>
      </c>
      <c r="D434" s="15">
        <v>0</v>
      </c>
      <c r="E434" s="14">
        <v>-1212.1399999999999</v>
      </c>
    </row>
    <row r="435" spans="1:5" x14ac:dyDescent="0.25">
      <c r="A435" s="20" t="s">
        <v>391</v>
      </c>
      <c r="B435" s="16">
        <v>6390</v>
      </c>
      <c r="C435" s="16">
        <v>3392.0399999999995</v>
      </c>
      <c r="D435" s="17">
        <v>0</v>
      </c>
      <c r="E435" s="16">
        <v>2997.9600000000005</v>
      </c>
    </row>
    <row r="436" spans="1:5" x14ac:dyDescent="0.25">
      <c r="A436" s="7" t="s">
        <v>284</v>
      </c>
    </row>
    <row r="437" spans="1:5" x14ac:dyDescent="0.25">
      <c r="A437" s="8" t="s">
        <v>202</v>
      </c>
      <c r="B437" s="14">
        <v>0</v>
      </c>
      <c r="C437" s="14">
        <v>-546</v>
      </c>
      <c r="D437" s="15">
        <v>0</v>
      </c>
      <c r="E437" s="14">
        <v>546</v>
      </c>
    </row>
    <row r="438" spans="1:5" x14ac:dyDescent="0.25">
      <c r="A438" s="8" t="s">
        <v>204</v>
      </c>
      <c r="B438" s="14">
        <v>0</v>
      </c>
      <c r="C438" s="14">
        <v>-706</v>
      </c>
      <c r="D438" s="15">
        <v>0</v>
      </c>
      <c r="E438" s="14">
        <v>706</v>
      </c>
    </row>
    <row r="439" spans="1:5" x14ac:dyDescent="0.25">
      <c r="A439" s="8" t="s">
        <v>307</v>
      </c>
      <c r="B439" s="14">
        <v>0</v>
      </c>
      <c r="C439" s="14">
        <v>0</v>
      </c>
      <c r="D439" s="15">
        <v>0</v>
      </c>
      <c r="E439" s="14">
        <v>0</v>
      </c>
    </row>
    <row r="440" spans="1:5" x14ac:dyDescent="0.25">
      <c r="A440" s="8" t="s">
        <v>203</v>
      </c>
      <c r="B440" s="14">
        <v>0</v>
      </c>
      <c r="C440" s="14">
        <v>2500</v>
      </c>
      <c r="D440" s="15">
        <v>0</v>
      </c>
      <c r="E440" s="14">
        <v>-2500</v>
      </c>
    </row>
    <row r="441" spans="1:5" x14ac:dyDescent="0.25">
      <c r="A441" s="8" t="s">
        <v>305</v>
      </c>
      <c r="B441" s="14">
        <v>6923</v>
      </c>
      <c r="C441" s="14">
        <v>4937.6900000000005</v>
      </c>
      <c r="D441" s="15">
        <v>0</v>
      </c>
      <c r="E441" s="14">
        <v>1985.31</v>
      </c>
    </row>
    <row r="442" spans="1:5" x14ac:dyDescent="0.25">
      <c r="A442" s="8" t="s">
        <v>308</v>
      </c>
      <c r="B442" s="14">
        <v>0</v>
      </c>
      <c r="C442" s="14">
        <v>663.31</v>
      </c>
      <c r="D442" s="15">
        <v>0</v>
      </c>
      <c r="E442" s="14">
        <v>-663.31</v>
      </c>
    </row>
    <row r="443" spans="1:5" x14ac:dyDescent="0.25">
      <c r="A443" s="20" t="s">
        <v>392</v>
      </c>
      <c r="B443" s="16">
        <v>6923</v>
      </c>
      <c r="C443" s="16">
        <v>6849</v>
      </c>
      <c r="D443" s="17">
        <v>0</v>
      </c>
      <c r="E443" s="16">
        <v>74</v>
      </c>
    </row>
    <row r="444" spans="1:5" x14ac:dyDescent="0.25">
      <c r="A444" s="7" t="s">
        <v>285</v>
      </c>
    </row>
    <row r="445" spans="1:5" x14ac:dyDescent="0.25">
      <c r="A445" s="8" t="s">
        <v>204</v>
      </c>
      <c r="B445" s="14">
        <v>0</v>
      </c>
      <c r="C445" s="14">
        <v>0</v>
      </c>
      <c r="D445" s="15">
        <v>0</v>
      </c>
      <c r="E445" s="14">
        <v>0</v>
      </c>
    </row>
    <row r="446" spans="1:5" x14ac:dyDescent="0.25">
      <c r="A446" s="20" t="s">
        <v>393</v>
      </c>
      <c r="B446" s="16">
        <v>0</v>
      </c>
      <c r="C446" s="16">
        <v>0</v>
      </c>
      <c r="D446" s="17">
        <v>0</v>
      </c>
      <c r="E446" s="16">
        <v>0</v>
      </c>
    </row>
    <row r="447" spans="1:5" x14ac:dyDescent="0.25">
      <c r="A447" s="7" t="s">
        <v>286</v>
      </c>
    </row>
    <row r="448" spans="1:5" x14ac:dyDescent="0.25">
      <c r="A448" s="8" t="s">
        <v>202</v>
      </c>
      <c r="B448" s="14">
        <v>0</v>
      </c>
      <c r="C448" s="14">
        <v>-162</v>
      </c>
      <c r="D448" s="15">
        <v>0</v>
      </c>
      <c r="E448" s="14">
        <v>162</v>
      </c>
    </row>
    <row r="449" spans="1:5" x14ac:dyDescent="0.25">
      <c r="A449" s="8" t="s">
        <v>204</v>
      </c>
      <c r="B449" s="14">
        <v>0</v>
      </c>
      <c r="C449" s="14">
        <v>-861</v>
      </c>
      <c r="D449" s="15">
        <v>0</v>
      </c>
      <c r="E449" s="14">
        <v>861</v>
      </c>
    </row>
    <row r="450" spans="1:5" x14ac:dyDescent="0.25">
      <c r="A450" s="8" t="s">
        <v>305</v>
      </c>
      <c r="B450" s="14">
        <v>1250</v>
      </c>
      <c r="C450" s="14">
        <v>760.43</v>
      </c>
      <c r="D450" s="15">
        <v>0</v>
      </c>
      <c r="E450" s="14">
        <v>489.57000000000005</v>
      </c>
    </row>
    <row r="451" spans="1:5" x14ac:dyDescent="0.25">
      <c r="A451" s="20" t="s">
        <v>394</v>
      </c>
      <c r="B451" s="16">
        <v>1250</v>
      </c>
      <c r="C451" s="16">
        <v>-262.57000000000005</v>
      </c>
      <c r="D451" s="17">
        <v>0</v>
      </c>
      <c r="E451" s="16">
        <v>1512.5700000000002</v>
      </c>
    </row>
    <row r="452" spans="1:5" x14ac:dyDescent="0.25">
      <c r="A452" s="7" t="s">
        <v>287</v>
      </c>
    </row>
    <row r="453" spans="1:5" x14ac:dyDescent="0.25">
      <c r="A453" s="8" t="s">
        <v>202</v>
      </c>
      <c r="B453" s="14">
        <v>0</v>
      </c>
      <c r="C453" s="14">
        <v>-600</v>
      </c>
      <c r="D453" s="15">
        <v>0</v>
      </c>
      <c r="E453" s="14">
        <v>600</v>
      </c>
    </row>
    <row r="454" spans="1:5" x14ac:dyDescent="0.25">
      <c r="A454" s="8" t="s">
        <v>305</v>
      </c>
      <c r="B454" s="14">
        <v>7900</v>
      </c>
      <c r="C454" s="14">
        <v>579</v>
      </c>
      <c r="D454" s="15">
        <v>0</v>
      </c>
      <c r="E454" s="14">
        <v>7321</v>
      </c>
    </row>
    <row r="455" spans="1:5" x14ac:dyDescent="0.25">
      <c r="A455" s="8" t="s">
        <v>308</v>
      </c>
      <c r="B455" s="14">
        <v>0</v>
      </c>
      <c r="C455" s="14">
        <v>7919.5300000000007</v>
      </c>
      <c r="D455" s="15">
        <v>0</v>
      </c>
      <c r="E455" s="14">
        <v>-7919.5300000000007</v>
      </c>
    </row>
    <row r="456" spans="1:5" x14ac:dyDescent="0.25">
      <c r="A456" s="20" t="s">
        <v>395</v>
      </c>
      <c r="B456" s="16">
        <v>7900</v>
      </c>
      <c r="C456" s="16">
        <v>7898.5300000000007</v>
      </c>
      <c r="D456" s="17">
        <v>0</v>
      </c>
      <c r="E456" s="16">
        <v>1.4699999999993452</v>
      </c>
    </row>
    <row r="457" spans="1:5" x14ac:dyDescent="0.25">
      <c r="A457" s="7" t="s">
        <v>288</v>
      </c>
    </row>
    <row r="458" spans="1:5" x14ac:dyDescent="0.25">
      <c r="A458" s="8" t="s">
        <v>202</v>
      </c>
      <c r="B458" s="14">
        <v>0</v>
      </c>
      <c r="C458" s="14">
        <v>-260</v>
      </c>
      <c r="D458" s="15">
        <v>0</v>
      </c>
      <c r="E458" s="14">
        <v>260</v>
      </c>
    </row>
    <row r="459" spans="1:5" x14ac:dyDescent="0.25">
      <c r="A459" s="8" t="s">
        <v>204</v>
      </c>
      <c r="B459" s="14">
        <v>0</v>
      </c>
      <c r="C459" s="14">
        <v>-329</v>
      </c>
      <c r="D459" s="15">
        <v>0</v>
      </c>
      <c r="E459" s="14">
        <v>329</v>
      </c>
    </row>
    <row r="460" spans="1:5" x14ac:dyDescent="0.25">
      <c r="A460" s="8" t="s">
        <v>307</v>
      </c>
      <c r="B460" s="14">
        <v>0</v>
      </c>
      <c r="C460" s="14">
        <v>716.21</v>
      </c>
      <c r="D460" s="15">
        <v>0</v>
      </c>
      <c r="E460" s="14">
        <v>-716.21</v>
      </c>
    </row>
    <row r="461" spans="1:5" x14ac:dyDescent="0.25">
      <c r="A461" s="8" t="s">
        <v>203</v>
      </c>
      <c r="B461" s="14">
        <v>0</v>
      </c>
      <c r="C461" s="14">
        <v>950</v>
      </c>
      <c r="D461" s="15">
        <v>0</v>
      </c>
      <c r="E461" s="14">
        <v>-950</v>
      </c>
    </row>
    <row r="462" spans="1:5" x14ac:dyDescent="0.25">
      <c r="A462" s="8" t="s">
        <v>305</v>
      </c>
      <c r="B462" s="14">
        <v>9024</v>
      </c>
      <c r="C462" s="14">
        <v>6738.39</v>
      </c>
      <c r="D462" s="15">
        <v>0</v>
      </c>
      <c r="E462" s="14">
        <v>2285.61</v>
      </c>
    </row>
    <row r="463" spans="1:5" x14ac:dyDescent="0.25">
      <c r="A463" s="8" t="s">
        <v>308</v>
      </c>
      <c r="B463" s="14">
        <v>0</v>
      </c>
      <c r="C463" s="14">
        <v>704.25</v>
      </c>
      <c r="D463" s="15">
        <v>0</v>
      </c>
      <c r="E463" s="14">
        <v>-704.25</v>
      </c>
    </row>
    <row r="464" spans="1:5" x14ac:dyDescent="0.25">
      <c r="A464" s="20" t="s">
        <v>396</v>
      </c>
      <c r="B464" s="16">
        <v>9024</v>
      </c>
      <c r="C464" s="16">
        <v>8519.85</v>
      </c>
      <c r="D464" s="17">
        <v>0</v>
      </c>
      <c r="E464" s="16">
        <v>504.15000000000009</v>
      </c>
    </row>
    <row r="465" spans="1:5" x14ac:dyDescent="0.25">
      <c r="A465" s="7" t="s">
        <v>289</v>
      </c>
    </row>
    <row r="466" spans="1:5" x14ac:dyDescent="0.25">
      <c r="A466" s="8" t="s">
        <v>202</v>
      </c>
      <c r="B466" s="14">
        <v>0</v>
      </c>
      <c r="C466" s="14">
        <v>-2472.5</v>
      </c>
      <c r="D466" s="15">
        <v>0</v>
      </c>
      <c r="E466" s="14">
        <v>2472.5</v>
      </c>
    </row>
    <row r="467" spans="1:5" x14ac:dyDescent="0.25">
      <c r="A467" s="8" t="s">
        <v>204</v>
      </c>
      <c r="B467" s="14">
        <v>0</v>
      </c>
      <c r="C467" s="14">
        <v>-1798</v>
      </c>
      <c r="D467" s="15">
        <v>0</v>
      </c>
      <c r="E467" s="14">
        <v>1798</v>
      </c>
    </row>
    <row r="468" spans="1:5" x14ac:dyDescent="0.25">
      <c r="A468" s="8" t="s">
        <v>307</v>
      </c>
      <c r="B468" s="14">
        <v>0</v>
      </c>
      <c r="C468" s="14">
        <v>515.49</v>
      </c>
      <c r="D468" s="15">
        <v>0</v>
      </c>
      <c r="E468" s="14">
        <v>-515.49</v>
      </c>
    </row>
    <row r="469" spans="1:5" x14ac:dyDescent="0.25">
      <c r="A469" s="8" t="s">
        <v>203</v>
      </c>
      <c r="B469" s="14">
        <v>0</v>
      </c>
      <c r="C469" s="14">
        <v>10200</v>
      </c>
      <c r="D469" s="15">
        <v>0</v>
      </c>
      <c r="E469" s="14">
        <v>-10200</v>
      </c>
    </row>
    <row r="470" spans="1:5" x14ac:dyDescent="0.25">
      <c r="A470" s="8" t="s">
        <v>309</v>
      </c>
      <c r="B470" s="14">
        <v>0</v>
      </c>
      <c r="C470" s="14">
        <v>1912.16</v>
      </c>
      <c r="D470" s="15">
        <v>0</v>
      </c>
      <c r="E470" s="14">
        <v>-1912.16</v>
      </c>
    </row>
    <row r="471" spans="1:5" x14ac:dyDescent="0.25">
      <c r="A471" s="8" t="s">
        <v>305</v>
      </c>
      <c r="B471" s="14">
        <v>17945</v>
      </c>
      <c r="C471" s="14">
        <v>5012</v>
      </c>
      <c r="D471" s="15">
        <v>0</v>
      </c>
      <c r="E471" s="14">
        <v>12933</v>
      </c>
    </row>
    <row r="472" spans="1:5" x14ac:dyDescent="0.25">
      <c r="A472" s="8" t="s">
        <v>308</v>
      </c>
      <c r="B472" s="14">
        <v>0</v>
      </c>
      <c r="C472" s="14">
        <v>972.43999999999994</v>
      </c>
      <c r="D472" s="15">
        <v>0</v>
      </c>
      <c r="E472" s="14">
        <v>-972.43999999999994</v>
      </c>
    </row>
    <row r="473" spans="1:5" x14ac:dyDescent="0.25">
      <c r="A473" s="20" t="s">
        <v>397</v>
      </c>
      <c r="B473" s="16">
        <v>17945</v>
      </c>
      <c r="C473" s="16">
        <v>14341.59</v>
      </c>
      <c r="D473" s="17">
        <v>0</v>
      </c>
      <c r="E473" s="16">
        <v>3603.4100000000003</v>
      </c>
    </row>
    <row r="474" spans="1:5" x14ac:dyDescent="0.25">
      <c r="A474" s="7" t="s">
        <v>290</v>
      </c>
    </row>
    <row r="475" spans="1:5" x14ac:dyDescent="0.25">
      <c r="A475" s="8" t="s">
        <v>202</v>
      </c>
      <c r="B475" s="14">
        <v>0</v>
      </c>
      <c r="C475" s="14">
        <v>-14242.75</v>
      </c>
      <c r="D475" s="15">
        <v>0</v>
      </c>
      <c r="E475" s="14">
        <v>14242.75</v>
      </c>
    </row>
    <row r="476" spans="1:5" x14ac:dyDescent="0.25">
      <c r="A476" s="8" t="s">
        <v>204</v>
      </c>
      <c r="B476" s="14">
        <v>0</v>
      </c>
      <c r="C476" s="14">
        <v>-3292</v>
      </c>
      <c r="D476" s="15">
        <v>0</v>
      </c>
      <c r="E476" s="14">
        <v>3292</v>
      </c>
    </row>
    <row r="477" spans="1:5" x14ac:dyDescent="0.25">
      <c r="A477" s="8" t="s">
        <v>307</v>
      </c>
      <c r="B477" s="14">
        <v>0</v>
      </c>
      <c r="C477" s="14">
        <v>131.63000000000008</v>
      </c>
      <c r="D477" s="15">
        <v>0</v>
      </c>
      <c r="E477" s="14">
        <v>-131.63000000000008</v>
      </c>
    </row>
    <row r="478" spans="1:5" x14ac:dyDescent="0.25">
      <c r="A478" s="8" t="s">
        <v>203</v>
      </c>
      <c r="B478" s="14">
        <v>0</v>
      </c>
      <c r="C478" s="14">
        <v>5000</v>
      </c>
      <c r="D478" s="15">
        <v>0</v>
      </c>
      <c r="E478" s="14">
        <v>-5000</v>
      </c>
    </row>
    <row r="479" spans="1:5" x14ac:dyDescent="0.25">
      <c r="A479" s="8" t="s">
        <v>309</v>
      </c>
      <c r="B479" s="14">
        <v>0</v>
      </c>
      <c r="C479" s="14">
        <v>0</v>
      </c>
      <c r="D479" s="15">
        <v>0</v>
      </c>
      <c r="E479" s="14">
        <v>0</v>
      </c>
    </row>
    <row r="480" spans="1:5" x14ac:dyDescent="0.25">
      <c r="A480" s="8" t="s">
        <v>305</v>
      </c>
      <c r="B480" s="14">
        <v>26058</v>
      </c>
      <c r="C480" s="14">
        <v>30533.890000000003</v>
      </c>
      <c r="D480" s="15">
        <v>0</v>
      </c>
      <c r="E480" s="14">
        <v>-4475.8899999999985</v>
      </c>
    </row>
    <row r="481" spans="1:5" x14ac:dyDescent="0.25">
      <c r="A481" s="8" t="s">
        <v>308</v>
      </c>
      <c r="B481" s="14">
        <v>0</v>
      </c>
      <c r="C481" s="14">
        <v>1854.5299999999997</v>
      </c>
      <c r="D481" s="15">
        <v>0</v>
      </c>
      <c r="E481" s="14">
        <v>-1854.5299999999997</v>
      </c>
    </row>
    <row r="482" spans="1:5" x14ac:dyDescent="0.25">
      <c r="A482" s="20" t="s">
        <v>398</v>
      </c>
      <c r="B482" s="16">
        <v>26058</v>
      </c>
      <c r="C482" s="16">
        <v>19985.300000000003</v>
      </c>
      <c r="D482" s="17">
        <v>0</v>
      </c>
      <c r="E482" s="16">
        <v>6072.7000000000007</v>
      </c>
    </row>
    <row r="483" spans="1:5" x14ac:dyDescent="0.25">
      <c r="A483" s="7" t="s">
        <v>291</v>
      </c>
    </row>
    <row r="484" spans="1:5" x14ac:dyDescent="0.25">
      <c r="A484" s="8" t="s">
        <v>204</v>
      </c>
      <c r="B484" s="14">
        <v>0</v>
      </c>
      <c r="C484" s="14">
        <v>-51</v>
      </c>
      <c r="D484" s="15">
        <v>0</v>
      </c>
      <c r="E484" s="14">
        <v>51</v>
      </c>
    </row>
    <row r="485" spans="1:5" x14ac:dyDescent="0.25">
      <c r="A485" s="8" t="s">
        <v>307</v>
      </c>
      <c r="B485" s="14">
        <v>0</v>
      </c>
      <c r="C485" s="14">
        <v>213.23000000000002</v>
      </c>
      <c r="D485" s="15">
        <v>0</v>
      </c>
      <c r="E485" s="14">
        <v>-213.23000000000002</v>
      </c>
    </row>
    <row r="486" spans="1:5" x14ac:dyDescent="0.25">
      <c r="A486" s="8" t="s">
        <v>203</v>
      </c>
      <c r="B486" s="14">
        <v>0</v>
      </c>
      <c r="C486" s="14">
        <v>600</v>
      </c>
      <c r="D486" s="15">
        <v>0</v>
      </c>
      <c r="E486" s="14">
        <v>-600</v>
      </c>
    </row>
    <row r="487" spans="1:5" x14ac:dyDescent="0.25">
      <c r="A487" s="8" t="s">
        <v>305</v>
      </c>
      <c r="B487" s="14">
        <v>2155</v>
      </c>
      <c r="C487" s="14">
        <v>1516.61</v>
      </c>
      <c r="D487" s="15">
        <v>0</v>
      </c>
      <c r="E487" s="14">
        <v>638.39000000000021</v>
      </c>
    </row>
    <row r="488" spans="1:5" x14ac:dyDescent="0.25">
      <c r="A488" s="20" t="s">
        <v>399</v>
      </c>
      <c r="B488" s="16">
        <v>2155</v>
      </c>
      <c r="C488" s="16">
        <v>2278.84</v>
      </c>
      <c r="D488" s="17">
        <v>0</v>
      </c>
      <c r="E488" s="16">
        <v>-123.8399999999998</v>
      </c>
    </row>
    <row r="489" spans="1:5" x14ac:dyDescent="0.25">
      <c r="A489" s="7" t="s">
        <v>292</v>
      </c>
    </row>
    <row r="490" spans="1:5" x14ac:dyDescent="0.25">
      <c r="A490" s="8" t="s">
        <v>202</v>
      </c>
      <c r="B490" s="14">
        <v>0</v>
      </c>
      <c r="C490" s="14">
        <v>0</v>
      </c>
      <c r="D490" s="15">
        <v>0</v>
      </c>
      <c r="E490" s="14">
        <v>0</v>
      </c>
    </row>
    <row r="491" spans="1:5" x14ac:dyDescent="0.25">
      <c r="A491" s="8" t="s">
        <v>204</v>
      </c>
      <c r="B491" s="14">
        <v>0</v>
      </c>
      <c r="C491" s="14">
        <v>-170</v>
      </c>
      <c r="D491" s="15">
        <v>0</v>
      </c>
      <c r="E491" s="14">
        <v>170</v>
      </c>
    </row>
    <row r="492" spans="1:5" x14ac:dyDescent="0.25">
      <c r="A492" s="8" t="s">
        <v>305</v>
      </c>
      <c r="B492" s="14">
        <v>0</v>
      </c>
      <c r="C492" s="14">
        <v>0</v>
      </c>
      <c r="D492" s="15">
        <v>0</v>
      </c>
      <c r="E492" s="14">
        <v>0</v>
      </c>
    </row>
    <row r="493" spans="1:5" x14ac:dyDescent="0.25">
      <c r="A493" s="20" t="s">
        <v>400</v>
      </c>
      <c r="B493" s="16">
        <v>0</v>
      </c>
      <c r="C493" s="16">
        <v>-170</v>
      </c>
      <c r="D493" s="17">
        <v>0</v>
      </c>
      <c r="E493" s="16">
        <v>170</v>
      </c>
    </row>
    <row r="494" spans="1:5" x14ac:dyDescent="0.25">
      <c r="A494" s="7" t="s">
        <v>293</v>
      </c>
    </row>
    <row r="495" spans="1:5" x14ac:dyDescent="0.25">
      <c r="A495" s="8" t="s">
        <v>202</v>
      </c>
      <c r="B495" s="14">
        <v>0</v>
      </c>
      <c r="C495" s="14">
        <v>-210</v>
      </c>
      <c r="D495" s="15">
        <v>0</v>
      </c>
      <c r="E495" s="14">
        <v>210</v>
      </c>
    </row>
    <row r="496" spans="1:5" x14ac:dyDescent="0.25">
      <c r="A496" s="8" t="s">
        <v>204</v>
      </c>
      <c r="B496" s="14">
        <v>0</v>
      </c>
      <c r="C496" s="14">
        <v>55</v>
      </c>
      <c r="D496" s="15">
        <v>0</v>
      </c>
      <c r="E496" s="14">
        <v>-55</v>
      </c>
    </row>
    <row r="497" spans="1:5" x14ac:dyDescent="0.25">
      <c r="A497" s="8" t="s">
        <v>307</v>
      </c>
      <c r="B497" s="14">
        <v>0</v>
      </c>
      <c r="C497" s="14">
        <v>216.74</v>
      </c>
      <c r="D497" s="15">
        <v>0</v>
      </c>
      <c r="E497" s="14">
        <v>-216.74</v>
      </c>
    </row>
    <row r="498" spans="1:5" x14ac:dyDescent="0.25">
      <c r="A498" s="8" t="s">
        <v>305</v>
      </c>
      <c r="B498" s="14">
        <v>1090</v>
      </c>
      <c r="C498" s="14">
        <v>932.43999999999994</v>
      </c>
      <c r="D498" s="15">
        <v>0</v>
      </c>
      <c r="E498" s="14">
        <v>157.56000000000006</v>
      </c>
    </row>
    <row r="499" spans="1:5" x14ac:dyDescent="0.25">
      <c r="A499" s="20" t="s">
        <v>401</v>
      </c>
      <c r="B499" s="16">
        <v>1090</v>
      </c>
      <c r="C499" s="16">
        <v>994.18</v>
      </c>
      <c r="D499" s="17">
        <v>0</v>
      </c>
      <c r="E499" s="16">
        <v>95.82000000000005</v>
      </c>
    </row>
    <row r="500" spans="1:5" x14ac:dyDescent="0.25">
      <c r="A500" s="7" t="s">
        <v>294</v>
      </c>
    </row>
    <row r="501" spans="1:5" x14ac:dyDescent="0.25">
      <c r="A501" s="8" t="s">
        <v>202</v>
      </c>
      <c r="B501" s="14">
        <v>0</v>
      </c>
      <c r="C501" s="14">
        <v>-1209.4000000000001</v>
      </c>
      <c r="D501" s="15">
        <v>0</v>
      </c>
      <c r="E501" s="14">
        <v>1209.4000000000001</v>
      </c>
    </row>
    <row r="502" spans="1:5" x14ac:dyDescent="0.25">
      <c r="A502" s="8" t="s">
        <v>204</v>
      </c>
      <c r="B502" s="14">
        <v>0</v>
      </c>
      <c r="C502" s="14">
        <v>-1330</v>
      </c>
      <c r="D502" s="15">
        <v>0</v>
      </c>
      <c r="E502" s="14">
        <v>1330</v>
      </c>
    </row>
    <row r="503" spans="1:5" x14ac:dyDescent="0.25">
      <c r="A503" s="8" t="s">
        <v>305</v>
      </c>
      <c r="B503" s="14">
        <v>1270</v>
      </c>
      <c r="C503" s="14">
        <v>2171.6499999999996</v>
      </c>
      <c r="D503" s="15">
        <v>0</v>
      </c>
      <c r="E503" s="14">
        <v>-901.64999999999986</v>
      </c>
    </row>
    <row r="504" spans="1:5" x14ac:dyDescent="0.25">
      <c r="A504" s="20" t="s">
        <v>402</v>
      </c>
      <c r="B504" s="16">
        <v>1270</v>
      </c>
      <c r="C504" s="16">
        <v>-367.75000000000045</v>
      </c>
      <c r="D504" s="17">
        <v>0</v>
      </c>
      <c r="E504" s="16">
        <v>1637.7500000000002</v>
      </c>
    </row>
    <row r="505" spans="1:5" x14ac:dyDescent="0.25">
      <c r="A505" s="7" t="s">
        <v>295</v>
      </c>
    </row>
    <row r="506" spans="1:5" x14ac:dyDescent="0.25">
      <c r="A506" s="8" t="s">
        <v>202</v>
      </c>
      <c r="B506" s="14">
        <v>0</v>
      </c>
      <c r="C506" s="14">
        <v>-1854.5</v>
      </c>
      <c r="D506" s="15">
        <v>0</v>
      </c>
      <c r="E506" s="14">
        <v>1854.5</v>
      </c>
    </row>
    <row r="507" spans="1:5" x14ac:dyDescent="0.25">
      <c r="A507" s="8" t="s">
        <v>305</v>
      </c>
      <c r="B507" s="14">
        <v>500</v>
      </c>
      <c r="C507" s="14">
        <v>1194.18</v>
      </c>
      <c r="D507" s="15">
        <v>0</v>
      </c>
      <c r="E507" s="14">
        <v>-694.18000000000006</v>
      </c>
    </row>
    <row r="508" spans="1:5" x14ac:dyDescent="0.25">
      <c r="A508" s="20" t="s">
        <v>403</v>
      </c>
      <c r="B508" s="16">
        <v>500</v>
      </c>
      <c r="C508" s="16">
        <v>-660.31999999999994</v>
      </c>
      <c r="D508" s="17">
        <v>0</v>
      </c>
      <c r="E508" s="16">
        <v>1160.32</v>
      </c>
    </row>
    <row r="509" spans="1:5" x14ac:dyDescent="0.25">
      <c r="A509" s="7" t="s">
        <v>296</v>
      </c>
    </row>
    <row r="510" spans="1:5" x14ac:dyDescent="0.25">
      <c r="A510" s="8" t="s">
        <v>305</v>
      </c>
      <c r="B510" s="14">
        <v>1000</v>
      </c>
      <c r="C510" s="14">
        <v>688.24</v>
      </c>
      <c r="D510" s="15">
        <v>0</v>
      </c>
      <c r="E510" s="14">
        <v>311.76</v>
      </c>
    </row>
    <row r="511" spans="1:5" x14ac:dyDescent="0.25">
      <c r="A511" s="20" t="s">
        <v>404</v>
      </c>
      <c r="B511" s="16">
        <v>1000</v>
      </c>
      <c r="C511" s="16">
        <v>688.24</v>
      </c>
      <c r="D511" s="17">
        <v>0</v>
      </c>
      <c r="E511" s="16">
        <v>311.76</v>
      </c>
    </row>
    <row r="512" spans="1:5" x14ac:dyDescent="0.25">
      <c r="A512" s="7" t="s">
        <v>297</v>
      </c>
    </row>
    <row r="513" spans="1:5" x14ac:dyDescent="0.25">
      <c r="A513" s="8" t="s">
        <v>202</v>
      </c>
      <c r="B513" s="14">
        <v>0</v>
      </c>
      <c r="C513" s="14">
        <v>0</v>
      </c>
      <c r="D513" s="15">
        <v>0</v>
      </c>
      <c r="E513" s="14">
        <v>0</v>
      </c>
    </row>
    <row r="514" spans="1:5" x14ac:dyDescent="0.25">
      <c r="A514" s="8" t="s">
        <v>204</v>
      </c>
      <c r="B514" s="14">
        <v>0</v>
      </c>
      <c r="C514" s="14">
        <v>-147</v>
      </c>
      <c r="D514" s="15">
        <v>0</v>
      </c>
      <c r="E514" s="14">
        <v>147</v>
      </c>
    </row>
    <row r="515" spans="1:5" x14ac:dyDescent="0.25">
      <c r="A515" s="8" t="s">
        <v>305</v>
      </c>
      <c r="B515" s="14">
        <v>293</v>
      </c>
      <c r="C515" s="14">
        <v>293.48</v>
      </c>
      <c r="D515" s="15">
        <v>0</v>
      </c>
      <c r="E515" s="14">
        <v>-0.48000000000001819</v>
      </c>
    </row>
    <row r="516" spans="1:5" x14ac:dyDescent="0.25">
      <c r="A516" s="20" t="s">
        <v>405</v>
      </c>
      <c r="B516" s="16">
        <v>293</v>
      </c>
      <c r="C516" s="16">
        <v>146.48000000000002</v>
      </c>
      <c r="D516" s="17">
        <v>0</v>
      </c>
      <c r="E516" s="16">
        <v>146.51999999999998</v>
      </c>
    </row>
    <row r="517" spans="1:5" x14ac:dyDescent="0.25">
      <c r="A517" s="7" t="s">
        <v>298</v>
      </c>
    </row>
    <row r="518" spans="1:5" x14ac:dyDescent="0.25">
      <c r="A518" s="8" t="s">
        <v>202</v>
      </c>
      <c r="B518" s="14">
        <v>0</v>
      </c>
      <c r="C518" s="14">
        <v>0</v>
      </c>
      <c r="D518" s="15">
        <v>0</v>
      </c>
      <c r="E518" s="14">
        <v>0</v>
      </c>
    </row>
    <row r="519" spans="1:5" x14ac:dyDescent="0.25">
      <c r="A519" s="8" t="s">
        <v>204</v>
      </c>
      <c r="B519" s="14">
        <v>0</v>
      </c>
      <c r="C519" s="14">
        <v>-933</v>
      </c>
      <c r="D519" s="15">
        <v>0</v>
      </c>
      <c r="E519" s="14">
        <v>933</v>
      </c>
    </row>
    <row r="520" spans="1:5" x14ac:dyDescent="0.25">
      <c r="A520" s="8" t="s">
        <v>305</v>
      </c>
      <c r="B520" s="14">
        <v>1000</v>
      </c>
      <c r="C520" s="14">
        <v>504.8</v>
      </c>
      <c r="D520" s="15">
        <v>0</v>
      </c>
      <c r="E520" s="14">
        <v>495.2</v>
      </c>
    </row>
    <row r="521" spans="1:5" x14ac:dyDescent="0.25">
      <c r="A521" s="20" t="s">
        <v>406</v>
      </c>
      <c r="B521" s="16">
        <v>1000</v>
      </c>
      <c r="C521" s="16">
        <v>-428.2</v>
      </c>
      <c r="D521" s="17">
        <v>0</v>
      </c>
      <c r="E521" s="16">
        <v>1428.2</v>
      </c>
    </row>
    <row r="522" spans="1:5" x14ac:dyDescent="0.25">
      <c r="A522" s="7" t="s">
        <v>299</v>
      </c>
    </row>
    <row r="523" spans="1:5" x14ac:dyDescent="0.25">
      <c r="A523" s="8" t="s">
        <v>305</v>
      </c>
      <c r="B523" s="14">
        <v>500</v>
      </c>
      <c r="C523" s="14">
        <v>17.11</v>
      </c>
      <c r="D523" s="15">
        <v>0</v>
      </c>
      <c r="E523" s="14">
        <v>482.89</v>
      </c>
    </row>
    <row r="524" spans="1:5" x14ac:dyDescent="0.25">
      <c r="A524" s="20" t="s">
        <v>407</v>
      </c>
      <c r="B524" s="16">
        <v>500</v>
      </c>
      <c r="C524" s="16">
        <v>17.11</v>
      </c>
      <c r="D524" s="17">
        <v>0</v>
      </c>
      <c r="E524" s="16">
        <v>482.89</v>
      </c>
    </row>
    <row r="525" spans="1:5" x14ac:dyDescent="0.25">
      <c r="A525" s="7" t="s">
        <v>300</v>
      </c>
    </row>
    <row r="526" spans="1:5" x14ac:dyDescent="0.25">
      <c r="A526" s="8" t="s">
        <v>202</v>
      </c>
      <c r="B526" s="14">
        <v>0</v>
      </c>
      <c r="C526" s="14">
        <v>-2490</v>
      </c>
      <c r="D526" s="15">
        <v>0</v>
      </c>
      <c r="E526" s="14">
        <v>2490</v>
      </c>
    </row>
    <row r="527" spans="1:5" x14ac:dyDescent="0.25">
      <c r="A527" s="8" t="s">
        <v>311</v>
      </c>
      <c r="B527" s="14">
        <v>0</v>
      </c>
      <c r="C527" s="14">
        <v>738.92</v>
      </c>
      <c r="D527" s="15">
        <v>0</v>
      </c>
      <c r="E527" s="14">
        <v>-738.92</v>
      </c>
    </row>
    <row r="528" spans="1:5" x14ac:dyDescent="0.25">
      <c r="A528" s="8" t="s">
        <v>305</v>
      </c>
      <c r="B528" s="14">
        <v>380</v>
      </c>
      <c r="C528" s="14">
        <v>89.49</v>
      </c>
      <c r="D528" s="15">
        <v>0</v>
      </c>
      <c r="E528" s="14">
        <v>290.51</v>
      </c>
    </row>
    <row r="529" spans="1:5" x14ac:dyDescent="0.25">
      <c r="A529" s="20" t="s">
        <v>408</v>
      </c>
      <c r="B529" s="16">
        <v>380</v>
      </c>
      <c r="C529" s="16">
        <v>-1661.59</v>
      </c>
      <c r="D529" s="17">
        <v>0</v>
      </c>
      <c r="E529" s="16">
        <v>2041.59</v>
      </c>
    </row>
    <row r="530" spans="1:5" x14ac:dyDescent="0.25">
      <c r="A530" s="7" t="s">
        <v>301</v>
      </c>
    </row>
    <row r="531" spans="1:5" x14ac:dyDescent="0.25">
      <c r="A531" s="8" t="s">
        <v>305</v>
      </c>
      <c r="B531" s="14">
        <v>90175</v>
      </c>
      <c r="C531" s="14">
        <v>90174</v>
      </c>
      <c r="D531" s="15">
        <v>0</v>
      </c>
      <c r="E531" s="14">
        <v>1</v>
      </c>
    </row>
    <row r="532" spans="1:5" x14ac:dyDescent="0.25">
      <c r="A532" s="20" t="s">
        <v>409</v>
      </c>
      <c r="B532" s="16">
        <v>90175</v>
      </c>
      <c r="C532" s="16">
        <v>90174</v>
      </c>
      <c r="D532" s="17">
        <v>0</v>
      </c>
      <c r="E532" s="16">
        <v>1</v>
      </c>
    </row>
    <row r="533" spans="1:5" x14ac:dyDescent="0.25">
      <c r="A533" s="7" t="s">
        <v>302</v>
      </c>
    </row>
    <row r="534" spans="1:5" x14ac:dyDescent="0.25">
      <c r="A534" s="8" t="s">
        <v>202</v>
      </c>
      <c r="B534" s="14">
        <v>0</v>
      </c>
      <c r="C534" s="14">
        <v>0</v>
      </c>
      <c r="D534" s="15">
        <v>0</v>
      </c>
      <c r="E534" s="14">
        <v>0</v>
      </c>
    </row>
    <row r="535" spans="1:5" x14ac:dyDescent="0.25">
      <c r="A535" s="8" t="s">
        <v>204</v>
      </c>
      <c r="B535" s="14">
        <v>0</v>
      </c>
      <c r="C535" s="14">
        <v>47</v>
      </c>
      <c r="D535" s="15">
        <v>0</v>
      </c>
      <c r="E535" s="14">
        <v>-47</v>
      </c>
    </row>
    <row r="536" spans="1:5" x14ac:dyDescent="0.25">
      <c r="A536" s="8" t="s">
        <v>305</v>
      </c>
      <c r="B536" s="14">
        <v>2250</v>
      </c>
      <c r="C536" s="14">
        <v>546</v>
      </c>
      <c r="D536" s="15">
        <v>0</v>
      </c>
      <c r="E536" s="14">
        <v>1704</v>
      </c>
    </row>
    <row r="537" spans="1:5" x14ac:dyDescent="0.25">
      <c r="A537" s="20" t="s">
        <v>410</v>
      </c>
      <c r="B537" s="16">
        <v>2250</v>
      </c>
      <c r="C537" s="16">
        <v>593</v>
      </c>
      <c r="D537" s="17">
        <v>0</v>
      </c>
      <c r="E537" s="16">
        <v>1657</v>
      </c>
    </row>
    <row r="538" spans="1:5" x14ac:dyDescent="0.25">
      <c r="A538" s="7" t="s">
        <v>303</v>
      </c>
    </row>
    <row r="539" spans="1:5" x14ac:dyDescent="0.25">
      <c r="A539" s="8" t="s">
        <v>202</v>
      </c>
      <c r="B539" s="14">
        <v>0</v>
      </c>
      <c r="C539" s="14">
        <v>-603350.68999999994</v>
      </c>
      <c r="D539" s="15">
        <v>0</v>
      </c>
      <c r="E539" s="14">
        <v>603350.68999999994</v>
      </c>
    </row>
    <row r="540" spans="1:5" x14ac:dyDescent="0.25">
      <c r="A540" s="8" t="s">
        <v>306</v>
      </c>
      <c r="B540" s="14">
        <v>0</v>
      </c>
      <c r="C540" s="14">
        <v>-62100</v>
      </c>
      <c r="D540" s="15">
        <v>0</v>
      </c>
      <c r="E540" s="14">
        <v>62100</v>
      </c>
    </row>
    <row r="541" spans="1:5" x14ac:dyDescent="0.25">
      <c r="A541" s="20" t="s">
        <v>411</v>
      </c>
      <c r="B541" s="16">
        <v>0</v>
      </c>
      <c r="C541" s="16">
        <v>-665450.68999999994</v>
      </c>
      <c r="D541" s="17">
        <v>0</v>
      </c>
      <c r="E541" s="16">
        <v>665450.68999999994</v>
      </c>
    </row>
    <row r="542" spans="1:5" hidden="1" x14ac:dyDescent="0.25">
      <c r="A542" s="21" t="s">
        <v>412</v>
      </c>
      <c r="B542" s="22">
        <v>893700</v>
      </c>
      <c r="C542" s="22">
        <v>-1073960.92</v>
      </c>
      <c r="D542" s="23">
        <v>0</v>
      </c>
      <c r="E542" s="22">
        <v>1967660.9200000009</v>
      </c>
    </row>
    <row r="543" spans="1:5" x14ac:dyDescent="0.25">
      <c r="A543" s="21" t="s">
        <v>206</v>
      </c>
      <c r="B543" s="22">
        <v>893700</v>
      </c>
      <c r="C543" s="22">
        <v>-1073960.92</v>
      </c>
      <c r="D543" s="23">
        <v>0</v>
      </c>
      <c r="E543" s="22">
        <v>1967660.9200000009</v>
      </c>
    </row>
  </sheetData>
  <printOptions headings="1" gridLines="1"/>
  <pageMargins left="0" right="0" top="0.75" bottom="0.75" header="0.3" footer="0.3"/>
  <pageSetup orientation="portrait" r:id="rId2"/>
  <headerFooter>
    <oddFooter>&amp;L&amp;P &amp;N
6/30/2013
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928"/>
  <sheetViews>
    <sheetView workbookViewId="0">
      <selection activeCell="K4" sqref="K4"/>
    </sheetView>
  </sheetViews>
  <sheetFormatPr defaultRowHeight="15" x14ac:dyDescent="0.25"/>
  <cols>
    <col min="1" max="1" width="22" bestFit="1" customWidth="1"/>
    <col min="2" max="2" width="5" style="1" bestFit="1" customWidth="1"/>
    <col min="3" max="3" width="5.5703125" style="1" bestFit="1" customWidth="1"/>
    <col min="4" max="4" width="4.42578125" style="1" bestFit="1" customWidth="1"/>
    <col min="5" max="5" width="5" style="1" bestFit="1" customWidth="1"/>
    <col min="6" max="6" width="11.5703125" style="1" bestFit="1" customWidth="1"/>
    <col min="7" max="7" width="14.140625" style="1" bestFit="1" customWidth="1"/>
    <col min="8" max="8" width="22.140625" style="1" bestFit="1" customWidth="1"/>
    <col min="9" max="9" width="16.28515625" style="1" bestFit="1" customWidth="1"/>
    <col min="10" max="10" width="10.28515625" style="2" bestFit="1" customWidth="1"/>
    <col min="11" max="11" width="28.5703125" style="2" bestFit="1" customWidth="1"/>
    <col min="12" max="12" width="18.28515625" style="2" bestFit="1" customWidth="1"/>
    <col min="13" max="13" width="12.140625" style="2" bestFit="1" customWidth="1"/>
    <col min="14" max="14" width="24.7109375" style="1" bestFit="1" customWidth="1"/>
  </cols>
  <sheetData>
    <row r="1" spans="1:14" ht="40.15" x14ac:dyDescent="0.3">
      <c r="A1" t="s">
        <v>201</v>
      </c>
      <c r="B1" s="3" t="s">
        <v>0</v>
      </c>
      <c r="C1" s="3" t="s">
        <v>191</v>
      </c>
      <c r="D1" s="3" t="s">
        <v>192</v>
      </c>
      <c r="E1" s="3" t="s">
        <v>193</v>
      </c>
      <c r="F1" s="4" t="s">
        <v>194</v>
      </c>
      <c r="G1" s="4" t="s">
        <v>195</v>
      </c>
      <c r="H1" s="4" t="s">
        <v>196</v>
      </c>
      <c r="I1" s="3" t="s">
        <v>199</v>
      </c>
      <c r="J1" s="5" t="s">
        <v>197</v>
      </c>
      <c r="K1" s="6" t="s">
        <v>413</v>
      </c>
      <c r="L1" s="6" t="s">
        <v>200</v>
      </c>
      <c r="M1" s="6" t="s">
        <v>1</v>
      </c>
      <c r="N1" s="3" t="s">
        <v>198</v>
      </c>
    </row>
    <row r="2" spans="1:14" ht="14.45" hidden="1" x14ac:dyDescent="0.3">
      <c r="A2" t="str">
        <f>VLOOKUP(E2,'[1]ORG CODES'!$A:$B,2,FALSE)</f>
        <v>Student Funded Programs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23</v>
      </c>
      <c r="H2" s="1" t="str">
        <f>VLOOKUP(F2,'[2]DX.OTHER.9.30.06 DETAIL'!$H$1:$J$65536,3,FALSE)</f>
        <v>Carryforward</v>
      </c>
      <c r="I2" s="1">
        <v>0</v>
      </c>
      <c r="J2" s="2">
        <v>-760685.15</v>
      </c>
      <c r="K2" s="2">
        <v>0</v>
      </c>
      <c r="L2" s="2">
        <v>760685.15</v>
      </c>
      <c r="M2" s="2">
        <v>0</v>
      </c>
      <c r="N2" s="1" t="str">
        <f>VLOOKUP(E2,'[1]ORG CODES'!$A:$C,3,FALSE)</f>
        <v>3221   SPEC.BLDG FUND-SFCC</v>
      </c>
    </row>
    <row r="3" spans="1:14" ht="14.45" hidden="1" x14ac:dyDescent="0.3">
      <c r="A3" t="str">
        <f>VLOOKUP(E3,'[1]ORG CODES'!$A:$B,2,FALSE)</f>
        <v>Student Funded Programs</v>
      </c>
      <c r="B3" s="1" t="s">
        <v>2</v>
      </c>
      <c r="C3" s="1" t="s">
        <v>3</v>
      </c>
      <c r="D3" s="1" t="s">
        <v>4</v>
      </c>
      <c r="E3" s="1" t="s">
        <v>33</v>
      </c>
      <c r="F3" s="1" t="s">
        <v>23</v>
      </c>
      <c r="H3" s="1" t="str">
        <f>VLOOKUP(F3,'[2]DX.OTHER.9.30.06 DETAIL'!$H$1:$J$65536,3,FALSE)</f>
        <v>Carryforward</v>
      </c>
      <c r="I3" s="1">
        <v>0</v>
      </c>
      <c r="J3" s="2">
        <v>-324430.62</v>
      </c>
      <c r="K3" s="2">
        <v>0</v>
      </c>
      <c r="L3" s="2">
        <v>324430.62</v>
      </c>
      <c r="M3" s="2">
        <v>0</v>
      </c>
      <c r="N3" s="1" t="str">
        <f>VLOOKUP(E3,'[1]ORG CODES'!$A:$C,3,FALSE)</f>
        <v>3310   IRP CARRY OVER FUND</v>
      </c>
    </row>
    <row r="4" spans="1:14" ht="14.45" x14ac:dyDescent="0.3">
      <c r="A4" t="str">
        <f>VLOOKUP(E4,'[1]ORG CODES'!$A:$B,2,FALSE)</f>
        <v>Student Funded Programs</v>
      </c>
      <c r="B4" s="1" t="s">
        <v>2</v>
      </c>
      <c r="C4" s="1" t="s">
        <v>3</v>
      </c>
      <c r="D4" s="1" t="s">
        <v>4</v>
      </c>
      <c r="E4" s="1" t="s">
        <v>88</v>
      </c>
      <c r="F4" s="1" t="s">
        <v>23</v>
      </c>
      <c r="H4" s="1" t="str">
        <f>VLOOKUP(F4,'[2]DX.OTHER.9.30.06 DETAIL'!$H$1:$J$65536,3,FALSE)</f>
        <v>Carryforward</v>
      </c>
      <c r="I4" s="1">
        <v>0</v>
      </c>
      <c r="J4" s="2">
        <v>-1822.6</v>
      </c>
      <c r="K4" s="2">
        <v>0</v>
      </c>
      <c r="L4" s="2">
        <v>1822.6</v>
      </c>
      <c r="M4" s="2">
        <v>0</v>
      </c>
      <c r="N4" s="1" t="str">
        <f>VLOOKUP(E4,'[1]ORG CODES'!$A:$C,3,FALSE)</f>
        <v>3382   ATHLETIC SCHOLARSHIP</v>
      </c>
    </row>
    <row r="5" spans="1:14" ht="14.45" hidden="1" x14ac:dyDescent="0.3">
      <c r="A5" t="str">
        <f>VLOOKUP(E5,'[1]ORG CODES'!$A:$B,2,FALSE)</f>
        <v>Student Funded Programs</v>
      </c>
      <c r="B5" s="1" t="s">
        <v>2</v>
      </c>
      <c r="C5" s="1" t="s">
        <v>3</v>
      </c>
      <c r="D5" s="1" t="s">
        <v>4</v>
      </c>
      <c r="E5" s="1" t="s">
        <v>89</v>
      </c>
      <c r="F5" s="1" t="s">
        <v>23</v>
      </c>
      <c r="H5" s="1" t="str">
        <f>VLOOKUP(F5,'[2]DX.OTHER.9.30.06 DETAIL'!$H$1:$J$65536,3,FALSE)</f>
        <v>Carryforward</v>
      </c>
      <c r="I5" s="1">
        <v>0</v>
      </c>
      <c r="J5" s="2">
        <v>-17431.2</v>
      </c>
      <c r="K5" s="2">
        <v>0</v>
      </c>
      <c r="L5" s="2">
        <v>17431.2</v>
      </c>
      <c r="M5" s="2">
        <v>0</v>
      </c>
      <c r="N5" s="1" t="str">
        <f>VLOOKUP(E5,'[1]ORG CODES'!$A:$C,3,FALSE)</f>
        <v>3383   S&amp;A FINANCIAL AID</v>
      </c>
    </row>
    <row r="6" spans="1:14" ht="14.45" hidden="1" x14ac:dyDescent="0.3">
      <c r="A6" t="str">
        <f>VLOOKUP(E6,'[1]ORG CODES'!$A:$B,2,FALSE)</f>
        <v>Student Funded Programs</v>
      </c>
      <c r="B6" s="1" t="s">
        <v>2</v>
      </c>
      <c r="C6" s="1" t="s">
        <v>3</v>
      </c>
      <c r="D6" s="1" t="s">
        <v>4</v>
      </c>
      <c r="E6" s="1" t="s">
        <v>92</v>
      </c>
      <c r="F6" s="1" t="s">
        <v>23</v>
      </c>
      <c r="H6" s="1" t="str">
        <f>VLOOKUP(F6,'[2]DX.OTHER.9.30.06 DETAIL'!$H$1:$J$65536,3,FALSE)</f>
        <v>Carryforward</v>
      </c>
      <c r="I6" s="1">
        <v>0</v>
      </c>
      <c r="J6" s="2">
        <v>-233731.4</v>
      </c>
      <c r="K6" s="2">
        <v>0</v>
      </c>
      <c r="L6" s="2">
        <v>233731.4</v>
      </c>
      <c r="M6" s="2">
        <v>0</v>
      </c>
      <c r="N6" s="1" t="str">
        <f>VLOOKUP(E6,'[1]ORG CODES'!$A:$C,3,FALSE)</f>
        <v>3402   ASA CARRY OVER FUND</v>
      </c>
    </row>
    <row r="7" spans="1:14" ht="14.45" hidden="1" x14ac:dyDescent="0.3">
      <c r="A7" t="str">
        <f>VLOOKUP(E7,'[1]ORG CODES'!$A:$B,2,FALSE)</f>
        <v>Student Funded Programs</v>
      </c>
      <c r="B7" s="1" t="s">
        <v>2</v>
      </c>
      <c r="C7" s="1" t="s">
        <v>3</v>
      </c>
      <c r="D7" s="1" t="s">
        <v>4</v>
      </c>
      <c r="E7" s="1" t="s">
        <v>50</v>
      </c>
      <c r="F7" s="1" t="s">
        <v>51</v>
      </c>
      <c r="H7" s="1" t="str">
        <f>VLOOKUP(F7,'[2]DX.OTHER.9.30.06 DETAIL'!$H$1:$J$65536,3,FALSE)</f>
        <v>Exp-Equipment</v>
      </c>
      <c r="I7" s="1">
        <v>0</v>
      </c>
      <c r="J7" s="2">
        <v>0</v>
      </c>
      <c r="K7" s="2">
        <v>0</v>
      </c>
      <c r="L7" s="2">
        <v>0</v>
      </c>
      <c r="M7" s="2">
        <v>0</v>
      </c>
      <c r="N7" s="1" t="str">
        <f>VLOOKUP(E7,'[1]ORG CODES'!$A:$C,3,FALSE)</f>
        <v>3342   ENGINEERING CLUB</v>
      </c>
    </row>
    <row r="8" spans="1:14" ht="14.45" hidden="1" x14ac:dyDescent="0.3">
      <c r="A8" t="str">
        <f>VLOOKUP(E8,'[1]ORG CODES'!$A:$B,2,FALSE)</f>
        <v>Student Funded Programs</v>
      </c>
      <c r="B8" s="1" t="s">
        <v>2</v>
      </c>
      <c r="C8" s="1" t="s">
        <v>3</v>
      </c>
      <c r="D8" s="1" t="s">
        <v>4</v>
      </c>
      <c r="E8" s="1" t="s">
        <v>72</v>
      </c>
      <c r="F8" s="1" t="s">
        <v>51</v>
      </c>
      <c r="H8" s="1" t="str">
        <f>VLOOKUP(F8,'[2]DX.OTHER.9.30.06 DETAIL'!$H$1:$J$65536,3,FALSE)</f>
        <v>Exp-Equipment</v>
      </c>
      <c r="I8" s="1">
        <v>0</v>
      </c>
      <c r="J8" s="2">
        <v>0</v>
      </c>
      <c r="K8" s="2">
        <v>0</v>
      </c>
      <c r="L8" s="2">
        <v>0</v>
      </c>
      <c r="M8" s="2">
        <v>0</v>
      </c>
      <c r="N8" s="1" t="str">
        <f>VLOOKUP(E8,'[1]ORG CODES'!$A:$C,3,FALSE)</f>
        <v>3357   PHOTO ARTS</v>
      </c>
    </row>
    <row r="9" spans="1:14" ht="14.45" hidden="1" x14ac:dyDescent="0.3">
      <c r="A9" t="str">
        <f>VLOOKUP(E9,'[1]ORG CODES'!$A:$B,2,FALSE)</f>
        <v>Student Funded Programs</v>
      </c>
      <c r="B9" s="1" t="s">
        <v>2</v>
      </c>
      <c r="C9" s="1" t="s">
        <v>3</v>
      </c>
      <c r="D9" s="1" t="s">
        <v>4</v>
      </c>
      <c r="E9" s="1" t="s">
        <v>77</v>
      </c>
      <c r="F9" s="1" t="s">
        <v>51</v>
      </c>
      <c r="H9" s="1" t="str">
        <f>VLOOKUP(F9,'[2]DX.OTHER.9.30.06 DETAIL'!$H$1:$J$65536,3,FALSE)</f>
        <v>Exp-Equipment</v>
      </c>
      <c r="I9" s="1">
        <v>0</v>
      </c>
      <c r="J9" s="2">
        <v>0</v>
      </c>
      <c r="K9" s="2">
        <v>0</v>
      </c>
      <c r="L9" s="2">
        <v>0</v>
      </c>
      <c r="M9" s="2">
        <v>0</v>
      </c>
      <c r="N9" s="1" t="str">
        <f>VLOOKUP(E9,'[1]ORG CODES'!$A:$C,3,FALSE)</f>
        <v>3367   RECREATION SOCIETY</v>
      </c>
    </row>
    <row r="10" spans="1:14" ht="14.45" hidden="1" x14ac:dyDescent="0.3">
      <c r="A10" t="str">
        <f>VLOOKUP(E10,'[1]ORG CODES'!$A:$B,2,FALSE)</f>
        <v>Student Funded Programs</v>
      </c>
      <c r="B10" s="1" t="s">
        <v>2</v>
      </c>
      <c r="C10" s="1" t="s">
        <v>3</v>
      </c>
      <c r="D10" s="1" t="s">
        <v>4</v>
      </c>
      <c r="E10" s="1" t="s">
        <v>79</v>
      </c>
      <c r="F10" s="1" t="s">
        <v>51</v>
      </c>
      <c r="H10" s="1" t="str">
        <f>VLOOKUP(F10,'[2]DX.OTHER.9.30.06 DETAIL'!$H$1:$J$65536,3,FALSE)</f>
        <v>Exp-Equipment</v>
      </c>
      <c r="I10" s="1">
        <v>0</v>
      </c>
      <c r="J10" s="2">
        <v>0</v>
      </c>
      <c r="K10" s="2">
        <v>0</v>
      </c>
      <c r="L10" s="2">
        <v>0</v>
      </c>
      <c r="M10" s="2">
        <v>0</v>
      </c>
      <c r="N10" s="1" t="str">
        <f>VLOOKUP(E10,'[1]ORG CODES'!$A:$C,3,FALSE)</f>
        <v>3369   COMMUNICATOR-NEWSPPR</v>
      </c>
    </row>
    <row r="11" spans="1:14" ht="14.45" hidden="1" x14ac:dyDescent="0.3">
      <c r="A11" t="str">
        <f>VLOOKUP(E11,'[1]ORG CODES'!$A:$B,2,FALSE)</f>
        <v>Student Funded Programs</v>
      </c>
      <c r="B11" s="1" t="s">
        <v>2</v>
      </c>
      <c r="C11" s="1" t="s">
        <v>3</v>
      </c>
      <c r="D11" s="1" t="s">
        <v>4</v>
      </c>
      <c r="E11" s="1" t="s">
        <v>94</v>
      </c>
      <c r="F11" s="1" t="s">
        <v>51</v>
      </c>
      <c r="H11" s="1" t="str">
        <f>VLOOKUP(F11,'[2]DX.OTHER.9.30.06 DETAIL'!$H$1:$J$65536,3,FALSE)</f>
        <v>Exp-Equipment</v>
      </c>
      <c r="I11" s="1">
        <v>0</v>
      </c>
      <c r="J11" s="2">
        <v>0</v>
      </c>
      <c r="K11" s="2">
        <v>0</v>
      </c>
      <c r="L11" s="2">
        <v>0</v>
      </c>
      <c r="M11" s="2">
        <v>0</v>
      </c>
      <c r="N11" s="1" t="str">
        <f>VLOOKUP(E11,'[1]ORG CODES'!$A:$C,3,FALSE)</f>
        <v>3404  MUSIC AUDITORIUM LIGHTS</v>
      </c>
    </row>
    <row r="12" spans="1:14" ht="14.45" hidden="1" x14ac:dyDescent="0.3">
      <c r="A12" t="str">
        <f>VLOOKUP(E12,'[1]ORG CODES'!$A:$B,2,FALSE)</f>
        <v>Student Funded Programs</v>
      </c>
      <c r="B12" s="1" t="s">
        <v>2</v>
      </c>
      <c r="C12" s="1" t="s">
        <v>3</v>
      </c>
      <c r="D12" s="1" t="s">
        <v>4</v>
      </c>
      <c r="E12" s="1" t="s">
        <v>103</v>
      </c>
      <c r="F12" s="1" t="s">
        <v>51</v>
      </c>
      <c r="H12" s="1" t="str">
        <f>VLOOKUP(F12,'[2]DX.OTHER.9.30.06 DETAIL'!$H$1:$J$65536,3,FALSE)</f>
        <v>Exp-Equipment</v>
      </c>
      <c r="I12" s="1">
        <v>0</v>
      </c>
      <c r="J12" s="2">
        <v>0</v>
      </c>
      <c r="K12" s="2">
        <v>0</v>
      </c>
      <c r="L12" s="2">
        <v>0</v>
      </c>
      <c r="M12" s="2">
        <v>0</v>
      </c>
      <c r="N12" s="1" t="str">
        <f>VLOOKUP(E12,'[1]ORG CODES'!$A:$C,3,FALSE)</f>
        <v>3410   ASA GENERAL FUND</v>
      </c>
    </row>
    <row r="13" spans="1:14" ht="14.45" hidden="1" x14ac:dyDescent="0.3">
      <c r="A13" t="str">
        <f>VLOOKUP(E13,'[1]ORG CODES'!$A:$B,2,FALSE)</f>
        <v>Student Funded Programs</v>
      </c>
      <c r="B13" s="1" t="s">
        <v>2</v>
      </c>
      <c r="C13" s="1" t="s">
        <v>3</v>
      </c>
      <c r="D13" s="1" t="s">
        <v>4</v>
      </c>
      <c r="E13" s="1" t="s">
        <v>109</v>
      </c>
      <c r="F13" s="1" t="s">
        <v>51</v>
      </c>
      <c r="H13" s="1" t="str">
        <f>VLOOKUP(F13,'[2]DX.OTHER.9.30.06 DETAIL'!$H$1:$J$65536,3,FALSE)</f>
        <v>Exp-Equipment</v>
      </c>
      <c r="I13" s="1">
        <v>0</v>
      </c>
      <c r="J13" s="2">
        <v>0</v>
      </c>
      <c r="K13" s="2">
        <v>0</v>
      </c>
      <c r="L13" s="2">
        <v>0</v>
      </c>
      <c r="M13" s="2">
        <v>0</v>
      </c>
      <c r="N13" s="1" t="str">
        <f>VLOOKUP(E13,'[1]ORG CODES'!$A:$C,3,FALSE)</f>
        <v>3414   CULTURAL SERIES</v>
      </c>
    </row>
    <row r="14" spans="1:14" ht="14.45" hidden="1" x14ac:dyDescent="0.3">
      <c r="A14" t="str">
        <f>VLOOKUP(E14,'[1]ORG CODES'!$A:$B,2,FALSE)</f>
        <v>Student Funded Programs</v>
      </c>
      <c r="B14" s="1" t="s">
        <v>2</v>
      </c>
      <c r="C14" s="1" t="s">
        <v>3</v>
      </c>
      <c r="D14" s="1" t="s">
        <v>4</v>
      </c>
      <c r="E14" s="1" t="s">
        <v>115</v>
      </c>
      <c r="F14" s="1" t="s">
        <v>51</v>
      </c>
      <c r="H14" s="1" t="str">
        <f>VLOOKUP(F14,'[2]DX.OTHER.9.30.06 DETAIL'!$H$1:$J$65536,3,FALSE)</f>
        <v>Exp-Equipment</v>
      </c>
      <c r="I14" s="1">
        <v>0</v>
      </c>
      <c r="J14" s="2">
        <v>0</v>
      </c>
      <c r="K14" s="2">
        <v>0</v>
      </c>
      <c r="L14" s="2">
        <v>0</v>
      </c>
      <c r="M14" s="2">
        <v>0</v>
      </c>
      <c r="N14" s="1" t="str">
        <f>VLOOKUP(E14,'[1]ORG CODES'!$A:$C,3,FALSE)</f>
        <v>3418   FOOD BANK</v>
      </c>
    </row>
    <row r="15" spans="1:14" ht="14.45" hidden="1" x14ac:dyDescent="0.3">
      <c r="A15" t="str">
        <f>VLOOKUP(E15,'[1]ORG CODES'!$A:$B,2,FALSE)</f>
        <v>Student Funded Programs</v>
      </c>
      <c r="B15" s="1" t="s">
        <v>2</v>
      </c>
      <c r="C15" s="1" t="s">
        <v>3</v>
      </c>
      <c r="D15" s="1" t="s">
        <v>4</v>
      </c>
      <c r="E15" s="1" t="s">
        <v>120</v>
      </c>
      <c r="F15" s="1" t="s">
        <v>51</v>
      </c>
      <c r="H15" s="1" t="str">
        <f>VLOOKUP(F15,'[2]DX.OTHER.9.30.06 DETAIL'!$H$1:$J$65536,3,FALSE)</f>
        <v>Exp-Equipment</v>
      </c>
      <c r="I15" s="1">
        <v>0</v>
      </c>
      <c r="J15" s="2">
        <v>0</v>
      </c>
      <c r="K15" s="2">
        <v>0</v>
      </c>
      <c r="L15" s="2">
        <v>0</v>
      </c>
      <c r="M15" s="2">
        <v>0</v>
      </c>
      <c r="N15" s="1" t="str">
        <f>VLOOKUP(E15,'[1]ORG CODES'!$A:$C,3,FALSE)</f>
        <v>3423   COLLEGE-WIDE THEME</v>
      </c>
    </row>
    <row r="16" spans="1:14" ht="14.45" hidden="1" x14ac:dyDescent="0.3">
      <c r="A16" t="str">
        <f>VLOOKUP(E16,'[1]ORG CODES'!$A:$B,2,FALSE)</f>
        <v>Student Funded Programs</v>
      </c>
      <c r="B16" s="1" t="s">
        <v>2</v>
      </c>
      <c r="C16" s="1" t="s">
        <v>3</v>
      </c>
      <c r="D16" s="1" t="s">
        <v>4</v>
      </c>
      <c r="E16" s="1" t="s">
        <v>121</v>
      </c>
      <c r="F16" s="1" t="s">
        <v>51</v>
      </c>
      <c r="H16" s="1" t="str">
        <f>VLOOKUP(F16,'[2]DX.OTHER.9.30.06 DETAIL'!$H$1:$J$65536,3,FALSE)</f>
        <v>Exp-Equipment</v>
      </c>
      <c r="I16" s="1">
        <v>0</v>
      </c>
      <c r="J16" s="2">
        <v>0</v>
      </c>
      <c r="K16" s="2">
        <v>0</v>
      </c>
      <c r="L16" s="2">
        <v>0</v>
      </c>
      <c r="M16" s="2">
        <v>0</v>
      </c>
      <c r="N16" s="1" t="str">
        <f>VLOOKUP(E16,'[1]ORG CODES'!$A:$C,3,FALSE)</f>
        <v>3424   SPEAKERS/SEMINARS</v>
      </c>
    </row>
    <row r="17" spans="1:14" ht="14.45" hidden="1" x14ac:dyDescent="0.3">
      <c r="A17" t="str">
        <f>VLOOKUP(E17,'[1]ORG CODES'!$A:$B,2,FALSE)</f>
        <v>Student Funded Programs</v>
      </c>
      <c r="B17" s="1" t="s">
        <v>2</v>
      </c>
      <c r="C17" s="1" t="s">
        <v>3</v>
      </c>
      <c r="D17" s="1" t="s">
        <v>4</v>
      </c>
      <c r="E17" s="1" t="s">
        <v>123</v>
      </c>
      <c r="F17" s="1" t="s">
        <v>51</v>
      </c>
      <c r="H17" s="1" t="str">
        <f>VLOOKUP(F17,'[2]DX.OTHER.9.30.06 DETAIL'!$H$1:$J$65536,3,FALSE)</f>
        <v>Exp-Equipment</v>
      </c>
      <c r="I17" s="1">
        <v>14500</v>
      </c>
      <c r="J17" s="2">
        <v>0</v>
      </c>
      <c r="K17" s="2">
        <v>0</v>
      </c>
      <c r="L17" s="2">
        <v>14500</v>
      </c>
      <c r="M17" s="2">
        <v>0</v>
      </c>
      <c r="N17" s="1" t="str">
        <f>VLOOKUP(E17,'[1]ORG CODES'!$A:$C,3,FALSE)</f>
        <v>3426   EQUIPMENT</v>
      </c>
    </row>
    <row r="18" spans="1:14" ht="14.45" hidden="1" x14ac:dyDescent="0.3">
      <c r="A18" t="str">
        <f>VLOOKUP(E18,'[1]ORG CODES'!$A:$B,2,FALSE)</f>
        <v>Student Funded Programs</v>
      </c>
      <c r="B18" s="1" t="s">
        <v>2</v>
      </c>
      <c r="C18" s="1" t="s">
        <v>3</v>
      </c>
      <c r="D18" s="1" t="s">
        <v>4</v>
      </c>
      <c r="E18" s="1" t="s">
        <v>125</v>
      </c>
      <c r="F18" s="1" t="s">
        <v>51</v>
      </c>
      <c r="H18" s="1" t="str">
        <f>VLOOKUP(F18,'[2]DX.OTHER.9.30.06 DETAIL'!$H$1:$J$65536,3,FALSE)</f>
        <v>Exp-Equipment</v>
      </c>
      <c r="I18" s="1">
        <v>0</v>
      </c>
      <c r="J18" s="2">
        <v>0</v>
      </c>
      <c r="K18" s="2">
        <v>0</v>
      </c>
      <c r="L18" s="2">
        <v>0</v>
      </c>
      <c r="M18" s="2">
        <v>0</v>
      </c>
      <c r="N18" s="1" t="str">
        <f>VLOOKUP(E18,'[1]ORG CODES'!$A:$C,3,FALSE)</f>
        <v>3428   SECURITY</v>
      </c>
    </row>
    <row r="19" spans="1:14" ht="14.45" hidden="1" x14ac:dyDescent="0.3">
      <c r="A19" t="str">
        <f>VLOOKUP(E19,'[1]ORG CODES'!$A:$B,2,FALSE)</f>
        <v>Student Funded Programs</v>
      </c>
      <c r="B19" s="1" t="s">
        <v>2</v>
      </c>
      <c r="C19" s="1" t="s">
        <v>3</v>
      </c>
      <c r="D19" s="1" t="s">
        <v>4</v>
      </c>
      <c r="E19" s="1" t="s">
        <v>126</v>
      </c>
      <c r="F19" s="1" t="s">
        <v>51</v>
      </c>
      <c r="H19" s="1" t="str">
        <f>VLOOKUP(F19,'[2]DX.OTHER.9.30.06 DETAIL'!$H$1:$J$65536,3,FALSE)</f>
        <v>Exp-Equipment</v>
      </c>
      <c r="I19" s="1">
        <v>0</v>
      </c>
      <c r="J19" s="2">
        <v>0</v>
      </c>
      <c r="K19" s="2">
        <v>0</v>
      </c>
      <c r="L19" s="2">
        <v>0</v>
      </c>
      <c r="M19" s="2">
        <v>0</v>
      </c>
      <c r="N19" s="1" t="str">
        <f>VLOOKUP(E19,'[1]ORG CODES'!$A:$C,3,FALSE)</f>
        <v>3429   SUB RENOVATION</v>
      </c>
    </row>
    <row r="20" spans="1:14" ht="14.45" hidden="1" x14ac:dyDescent="0.3">
      <c r="A20" t="str">
        <f>VLOOKUP(E20,'[1]ORG CODES'!$A:$B,2,FALSE)</f>
        <v>Student Funded Programs</v>
      </c>
      <c r="B20" s="1" t="s">
        <v>2</v>
      </c>
      <c r="C20" s="1" t="s">
        <v>3</v>
      </c>
      <c r="D20" s="1" t="s">
        <v>4</v>
      </c>
      <c r="E20" s="1" t="s">
        <v>127</v>
      </c>
      <c r="F20" s="1" t="s">
        <v>51</v>
      </c>
      <c r="H20" s="1" t="str">
        <f>VLOOKUP(F20,'[2]DX.OTHER.9.30.06 DETAIL'!$H$1:$J$65536,3,FALSE)</f>
        <v>Exp-Equipment</v>
      </c>
      <c r="I20" s="1">
        <v>0</v>
      </c>
      <c r="J20" s="2">
        <v>0</v>
      </c>
      <c r="K20" s="2">
        <v>0</v>
      </c>
      <c r="L20" s="2">
        <v>0</v>
      </c>
      <c r="M20" s="2">
        <v>0</v>
      </c>
      <c r="N20" s="1" t="str">
        <f>VLOOKUP(E20,'[1]ORG CODES'!$A:$C,3,FALSE)</f>
        <v>3430   STUDENT MEDIA LAB</v>
      </c>
    </row>
    <row r="21" spans="1:14" ht="14.45" hidden="1" x14ac:dyDescent="0.3">
      <c r="A21" t="str">
        <f>VLOOKUP(E21,'[1]ORG CODES'!$A:$B,2,FALSE)</f>
        <v>Student Funded Programs</v>
      </c>
      <c r="B21" s="1" t="s">
        <v>2</v>
      </c>
      <c r="C21" s="1" t="s">
        <v>3</v>
      </c>
      <c r="D21" s="1" t="s">
        <v>4</v>
      </c>
      <c r="E21" s="1" t="s">
        <v>160</v>
      </c>
      <c r="F21" s="1" t="s">
        <v>51</v>
      </c>
      <c r="H21" s="1" t="str">
        <f>VLOOKUP(F21,'[2]DX.OTHER.9.30.06 DETAIL'!$H$1:$J$65536,3,FALSE)</f>
        <v>Exp-Equipment</v>
      </c>
      <c r="I21" s="1">
        <v>0</v>
      </c>
      <c r="J21" s="2">
        <v>0</v>
      </c>
      <c r="K21" s="2">
        <v>0</v>
      </c>
      <c r="L21" s="2">
        <v>0</v>
      </c>
      <c r="M21" s="2">
        <v>0</v>
      </c>
      <c r="N21" s="1" t="str">
        <f>VLOOKUP(E21,'[1]ORG CODES'!$A:$C,3,FALSE)</f>
        <v>3457   THE ALLIANCE</v>
      </c>
    </row>
    <row r="22" spans="1:14" ht="14.45" hidden="1" x14ac:dyDescent="0.3">
      <c r="A22" t="str">
        <f>VLOOKUP(E22,'[1]ORG CODES'!$A:$B,2,FALSE)</f>
        <v>Student Funded Programs</v>
      </c>
      <c r="B22" s="1" t="s">
        <v>2</v>
      </c>
      <c r="C22" s="1" t="s">
        <v>3</v>
      </c>
      <c r="D22" s="1" t="s">
        <v>4</v>
      </c>
      <c r="E22" s="1" t="s">
        <v>170</v>
      </c>
      <c r="F22" s="1" t="s">
        <v>51</v>
      </c>
      <c r="H22" s="1" t="str">
        <f>VLOOKUP(F22,'[2]DX.OTHER.9.30.06 DETAIL'!$H$1:$J$65536,3,FALSE)</f>
        <v>Exp-Equipment</v>
      </c>
      <c r="I22" s="1">
        <v>0</v>
      </c>
      <c r="J22" s="2">
        <v>0</v>
      </c>
      <c r="K22" s="2">
        <v>0</v>
      </c>
      <c r="L22" s="2">
        <v>0</v>
      </c>
      <c r="M22" s="2">
        <v>0</v>
      </c>
      <c r="N22" s="1" t="str">
        <f>VLOOKUP(E22,'[1]ORG CODES'!$A:$C,3,FALSE)</f>
        <v>3464   JAZZ PRESENTS</v>
      </c>
    </row>
    <row r="23" spans="1:14" ht="14.45" hidden="1" x14ac:dyDescent="0.3">
      <c r="A23" t="str">
        <f>VLOOKUP(E23,'[1]ORG CODES'!$A:$B,2,FALSE)</f>
        <v>Student Funded Programs</v>
      </c>
      <c r="B23" s="1" t="s">
        <v>2</v>
      </c>
      <c r="C23" s="1" t="s">
        <v>3</v>
      </c>
      <c r="D23" s="1" t="s">
        <v>4</v>
      </c>
      <c r="E23" s="1" t="s">
        <v>172</v>
      </c>
      <c r="F23" s="1" t="s">
        <v>51</v>
      </c>
      <c r="H23" s="1" t="str">
        <f>VLOOKUP(F23,'[2]DX.OTHER.9.30.06 DETAIL'!$H$1:$J$65536,3,FALSE)</f>
        <v>Exp-Equipment</v>
      </c>
      <c r="I23" s="1">
        <v>0</v>
      </c>
      <c r="J23" s="2">
        <v>0</v>
      </c>
      <c r="K23" s="2">
        <v>0</v>
      </c>
      <c r="L23" s="2">
        <v>0</v>
      </c>
      <c r="M23" s="2">
        <v>0</v>
      </c>
      <c r="N23" s="1" t="str">
        <f>VLOOKUP(E23,'[1]ORG CODES'!$A:$C,3,FALSE)</f>
        <v>3465   RED NATIONS ASSOC</v>
      </c>
    </row>
    <row r="24" spans="1:14" ht="14.45" hidden="1" x14ac:dyDescent="0.3">
      <c r="A24" t="str">
        <f>VLOOKUP(E24,'[1]ORG CODES'!$A:$B,2,FALSE)</f>
        <v>Student Funded Programs</v>
      </c>
      <c r="B24" s="1" t="s">
        <v>2</v>
      </c>
      <c r="C24" s="1" t="s">
        <v>3</v>
      </c>
      <c r="D24" s="1" t="s">
        <v>4</v>
      </c>
      <c r="E24" s="1" t="s">
        <v>77</v>
      </c>
      <c r="F24" s="1" t="s">
        <v>51</v>
      </c>
      <c r="G24" s="1" t="s">
        <v>43</v>
      </c>
      <c r="H24" s="1" t="str">
        <f>VLOOKUP(F24,'[2]DX.OTHER.9.30.06 DETAIL'!$H$1:$J$65536,3,FALSE)</f>
        <v>Exp-Equipment</v>
      </c>
      <c r="I24" s="1">
        <v>0</v>
      </c>
      <c r="J24" s="2">
        <v>2131.4699999999998</v>
      </c>
      <c r="K24" s="2">
        <v>0</v>
      </c>
      <c r="L24" s="2">
        <v>-2131.4699999999998</v>
      </c>
      <c r="M24" s="2">
        <v>0</v>
      </c>
      <c r="N24" s="1" t="str">
        <f>VLOOKUP(E24,'[1]ORG CODES'!$A:$C,3,FALSE)</f>
        <v>3367   RECREATION SOCIETY</v>
      </c>
    </row>
    <row r="25" spans="1:14" ht="14.45" hidden="1" x14ac:dyDescent="0.3">
      <c r="A25" t="str">
        <f>VLOOKUP(E25,'[1]ORG CODES'!$A:$B,2,FALSE)</f>
        <v>Student Funded Programs</v>
      </c>
      <c r="B25" s="1" t="s">
        <v>2</v>
      </c>
      <c r="C25" s="1" t="s">
        <v>3</v>
      </c>
      <c r="D25" s="1" t="s">
        <v>4</v>
      </c>
      <c r="E25" s="1" t="s">
        <v>79</v>
      </c>
      <c r="F25" s="1" t="s">
        <v>51</v>
      </c>
      <c r="G25" s="1" t="s">
        <v>43</v>
      </c>
      <c r="H25" s="1" t="str">
        <f>VLOOKUP(F25,'[2]DX.OTHER.9.30.06 DETAIL'!$H$1:$J$65536,3,FALSE)</f>
        <v>Exp-Equipment</v>
      </c>
      <c r="I25" s="1">
        <v>0</v>
      </c>
      <c r="J25" s="2">
        <v>910.72</v>
      </c>
      <c r="K25" s="2">
        <v>0</v>
      </c>
      <c r="L25" s="2">
        <v>-910.72</v>
      </c>
      <c r="M25" s="2">
        <v>0</v>
      </c>
      <c r="N25" s="1" t="str">
        <f>VLOOKUP(E25,'[1]ORG CODES'!$A:$C,3,FALSE)</f>
        <v>3369   COMMUNICATOR-NEWSPPR</v>
      </c>
    </row>
    <row r="26" spans="1:14" ht="14.45" hidden="1" x14ac:dyDescent="0.3">
      <c r="A26" t="str">
        <f>VLOOKUP(E26,'[1]ORG CODES'!$A:$B,2,FALSE)</f>
        <v>Student Funded Programs</v>
      </c>
      <c r="B26" s="1" t="s">
        <v>2</v>
      </c>
      <c r="C26" s="1" t="s">
        <v>3</v>
      </c>
      <c r="D26" s="1" t="s">
        <v>4</v>
      </c>
      <c r="E26" s="1" t="s">
        <v>94</v>
      </c>
      <c r="F26" s="1" t="s">
        <v>51</v>
      </c>
      <c r="G26" s="1" t="s">
        <v>43</v>
      </c>
      <c r="H26" s="1" t="str">
        <f>VLOOKUP(F26,'[2]DX.OTHER.9.30.06 DETAIL'!$H$1:$J$65536,3,FALSE)</f>
        <v>Exp-Equipment</v>
      </c>
      <c r="I26" s="1">
        <v>0</v>
      </c>
      <c r="J26" s="2">
        <v>16405</v>
      </c>
      <c r="K26" s="2">
        <v>0</v>
      </c>
      <c r="L26" s="2">
        <v>-16405</v>
      </c>
      <c r="M26" s="2">
        <v>0</v>
      </c>
      <c r="N26" s="1" t="str">
        <f>VLOOKUP(E26,'[1]ORG CODES'!$A:$C,3,FALSE)</f>
        <v>3404  MUSIC AUDITORIUM LIGHTS</v>
      </c>
    </row>
    <row r="27" spans="1:14" ht="14.45" hidden="1" x14ac:dyDescent="0.3">
      <c r="A27" t="str">
        <f>VLOOKUP(E27,'[1]ORG CODES'!$A:$B,2,FALSE)</f>
        <v>Student Funded Programs</v>
      </c>
      <c r="B27" s="1" t="s">
        <v>2</v>
      </c>
      <c r="C27" s="1" t="s">
        <v>3</v>
      </c>
      <c r="D27" s="1" t="s">
        <v>4</v>
      </c>
      <c r="E27" s="1" t="s">
        <v>103</v>
      </c>
      <c r="F27" s="1" t="s">
        <v>51</v>
      </c>
      <c r="G27" s="1" t="s">
        <v>43</v>
      </c>
      <c r="H27" s="1" t="str">
        <f>VLOOKUP(F27,'[2]DX.OTHER.9.30.06 DETAIL'!$H$1:$J$65536,3,FALSE)</f>
        <v>Exp-Equipment</v>
      </c>
      <c r="I27" s="1">
        <v>0</v>
      </c>
      <c r="J27" s="2">
        <v>1723.5</v>
      </c>
      <c r="K27" s="2">
        <v>0</v>
      </c>
      <c r="L27" s="2">
        <v>-1723.5</v>
      </c>
      <c r="M27" s="2">
        <v>0</v>
      </c>
      <c r="N27" s="1" t="str">
        <f>VLOOKUP(E27,'[1]ORG CODES'!$A:$C,3,FALSE)</f>
        <v>3410   ASA GENERAL FUND</v>
      </c>
    </row>
    <row r="28" spans="1:14" ht="14.45" hidden="1" x14ac:dyDescent="0.3">
      <c r="A28" t="str">
        <f>VLOOKUP(E28,'[1]ORG CODES'!$A:$B,2,FALSE)</f>
        <v>Student Funded Programs</v>
      </c>
      <c r="B28" s="1" t="s">
        <v>2</v>
      </c>
      <c r="C28" s="1" t="s">
        <v>3</v>
      </c>
      <c r="D28" s="1" t="s">
        <v>4</v>
      </c>
      <c r="E28" s="1" t="s">
        <v>115</v>
      </c>
      <c r="F28" s="1" t="s">
        <v>51</v>
      </c>
      <c r="G28" s="1" t="s">
        <v>43</v>
      </c>
      <c r="H28" s="1" t="str">
        <f>VLOOKUP(F28,'[2]DX.OTHER.9.30.06 DETAIL'!$H$1:$J$65536,3,FALSE)</f>
        <v>Exp-Equipment</v>
      </c>
      <c r="I28" s="1">
        <v>0</v>
      </c>
      <c r="J28" s="2">
        <v>1912.57</v>
      </c>
      <c r="K28" s="2">
        <v>0</v>
      </c>
      <c r="L28" s="2">
        <v>-1912.57</v>
      </c>
      <c r="M28" s="2">
        <v>0</v>
      </c>
      <c r="N28" s="1" t="str">
        <f>VLOOKUP(E28,'[1]ORG CODES'!$A:$C,3,FALSE)</f>
        <v>3418   FOOD BANK</v>
      </c>
    </row>
    <row r="29" spans="1:14" ht="14.45" hidden="1" x14ac:dyDescent="0.3">
      <c r="A29" t="str">
        <f>VLOOKUP(E29,'[1]ORG CODES'!$A:$B,2,FALSE)</f>
        <v>Student Funded Programs</v>
      </c>
      <c r="B29" s="1" t="s">
        <v>2</v>
      </c>
      <c r="C29" s="1" t="s">
        <v>3</v>
      </c>
      <c r="D29" s="1" t="s">
        <v>4</v>
      </c>
      <c r="E29" s="1" t="s">
        <v>120</v>
      </c>
      <c r="F29" s="1" t="s">
        <v>51</v>
      </c>
      <c r="G29" s="1" t="s">
        <v>43</v>
      </c>
      <c r="H29" s="1" t="str">
        <f>VLOOKUP(F29,'[2]DX.OTHER.9.30.06 DETAIL'!$H$1:$J$65536,3,FALSE)</f>
        <v>Exp-Equipment</v>
      </c>
      <c r="I29" s="1">
        <v>0</v>
      </c>
      <c r="J29" s="2">
        <v>240.14</v>
      </c>
      <c r="K29" s="2">
        <v>0</v>
      </c>
      <c r="L29" s="2">
        <v>-240.14</v>
      </c>
      <c r="M29" s="2">
        <v>0</v>
      </c>
      <c r="N29" s="1" t="str">
        <f>VLOOKUP(E29,'[1]ORG CODES'!$A:$C,3,FALSE)</f>
        <v>3423   COLLEGE-WIDE THEME</v>
      </c>
    </row>
    <row r="30" spans="1:14" ht="14.45" hidden="1" x14ac:dyDescent="0.3">
      <c r="A30" t="str">
        <f>VLOOKUP(E30,'[1]ORG CODES'!$A:$B,2,FALSE)</f>
        <v>Student Funded Programs</v>
      </c>
      <c r="B30" s="1" t="s">
        <v>2</v>
      </c>
      <c r="C30" s="1" t="s">
        <v>3</v>
      </c>
      <c r="D30" s="1" t="s">
        <v>4</v>
      </c>
      <c r="E30" s="1" t="s">
        <v>121</v>
      </c>
      <c r="F30" s="1" t="s">
        <v>51</v>
      </c>
      <c r="G30" s="1" t="s">
        <v>43</v>
      </c>
      <c r="H30" s="1" t="str">
        <f>VLOOKUP(F30,'[2]DX.OTHER.9.30.06 DETAIL'!$H$1:$J$65536,3,FALSE)</f>
        <v>Exp-Equipment</v>
      </c>
      <c r="I30" s="1">
        <v>0</v>
      </c>
      <c r="J30" s="2">
        <v>0</v>
      </c>
      <c r="K30" s="2">
        <v>0</v>
      </c>
      <c r="L30" s="2">
        <v>0</v>
      </c>
      <c r="M30" s="2">
        <v>0</v>
      </c>
      <c r="N30" s="1" t="str">
        <f>VLOOKUP(E30,'[1]ORG CODES'!$A:$C,3,FALSE)</f>
        <v>3424   SPEAKERS/SEMINARS</v>
      </c>
    </row>
    <row r="31" spans="1:14" ht="14.45" hidden="1" x14ac:dyDescent="0.3">
      <c r="A31" t="str">
        <f>VLOOKUP(E31,'[1]ORG CODES'!$A:$B,2,FALSE)</f>
        <v>Student Funded Programs</v>
      </c>
      <c r="B31" s="1" t="s">
        <v>2</v>
      </c>
      <c r="C31" s="1" t="s">
        <v>3</v>
      </c>
      <c r="D31" s="1" t="s">
        <v>4</v>
      </c>
      <c r="E31" s="1" t="s">
        <v>123</v>
      </c>
      <c r="F31" s="1" t="s">
        <v>51</v>
      </c>
      <c r="G31" s="1" t="s">
        <v>43</v>
      </c>
      <c r="H31" s="1" t="str">
        <f>VLOOKUP(F31,'[2]DX.OTHER.9.30.06 DETAIL'!$H$1:$J$65536,3,FALSE)</f>
        <v>Exp-Equipment</v>
      </c>
      <c r="I31" s="1">
        <v>0</v>
      </c>
      <c r="J31" s="2">
        <v>3604.19</v>
      </c>
      <c r="K31" s="2">
        <v>0</v>
      </c>
      <c r="L31" s="2">
        <v>-3604.19</v>
      </c>
      <c r="M31" s="2">
        <v>0</v>
      </c>
      <c r="N31" s="1" t="str">
        <f>VLOOKUP(E31,'[1]ORG CODES'!$A:$C,3,FALSE)</f>
        <v>3426   EQUIPMENT</v>
      </c>
    </row>
    <row r="32" spans="1:14" ht="14.45" hidden="1" x14ac:dyDescent="0.3">
      <c r="A32" t="str">
        <f>VLOOKUP(E32,'[1]ORG CODES'!$A:$B,2,FALSE)</f>
        <v>Student Funded Programs</v>
      </c>
      <c r="B32" s="1" t="s">
        <v>2</v>
      </c>
      <c r="C32" s="1" t="s">
        <v>3</v>
      </c>
      <c r="D32" s="1" t="s">
        <v>4</v>
      </c>
      <c r="E32" s="1" t="s">
        <v>125</v>
      </c>
      <c r="F32" s="1" t="s">
        <v>51</v>
      </c>
      <c r="G32" s="1" t="s">
        <v>43</v>
      </c>
      <c r="H32" s="1" t="str">
        <f>VLOOKUP(F32,'[2]DX.OTHER.9.30.06 DETAIL'!$H$1:$J$65536,3,FALSE)</f>
        <v>Exp-Equipment</v>
      </c>
      <c r="I32" s="1">
        <v>0</v>
      </c>
      <c r="J32" s="2">
        <v>0</v>
      </c>
      <c r="K32" s="2">
        <v>0</v>
      </c>
      <c r="L32" s="2">
        <v>0</v>
      </c>
      <c r="M32" s="2">
        <v>0</v>
      </c>
      <c r="N32" s="1" t="str">
        <f>VLOOKUP(E32,'[1]ORG CODES'!$A:$C,3,FALSE)</f>
        <v>3428   SECURITY</v>
      </c>
    </row>
    <row r="33" spans="1:14" ht="14.45" hidden="1" x14ac:dyDescent="0.3">
      <c r="A33" t="str">
        <f>VLOOKUP(E33,'[1]ORG CODES'!$A:$B,2,FALSE)</f>
        <v>Student Funded Programs</v>
      </c>
      <c r="B33" s="1" t="s">
        <v>2</v>
      </c>
      <c r="C33" s="1" t="s">
        <v>3</v>
      </c>
      <c r="D33" s="1" t="s">
        <v>4</v>
      </c>
      <c r="E33" s="1" t="s">
        <v>127</v>
      </c>
      <c r="F33" s="1" t="s">
        <v>51</v>
      </c>
      <c r="G33" s="1" t="s">
        <v>43</v>
      </c>
      <c r="H33" s="1" t="str">
        <f>VLOOKUP(F33,'[2]DX.OTHER.9.30.06 DETAIL'!$H$1:$J$65536,3,FALSE)</f>
        <v>Exp-Equipment</v>
      </c>
      <c r="I33" s="1">
        <v>0</v>
      </c>
      <c r="J33" s="2">
        <v>4305.34</v>
      </c>
      <c r="K33" s="2">
        <v>0</v>
      </c>
      <c r="L33" s="2">
        <v>-4305.34</v>
      </c>
      <c r="M33" s="2">
        <v>0</v>
      </c>
      <c r="N33" s="1" t="str">
        <f>VLOOKUP(E33,'[1]ORG CODES'!$A:$C,3,FALSE)</f>
        <v>3430   STUDENT MEDIA LAB</v>
      </c>
    </row>
    <row r="34" spans="1:14" ht="14.45" hidden="1" x14ac:dyDescent="0.3">
      <c r="A34" t="str">
        <f>VLOOKUP(E34,'[1]ORG CODES'!$A:$B,2,FALSE)</f>
        <v>Student Funded Programs</v>
      </c>
      <c r="B34" s="1" t="s">
        <v>2</v>
      </c>
      <c r="C34" s="1" t="s">
        <v>3</v>
      </c>
      <c r="D34" s="1" t="s">
        <v>4</v>
      </c>
      <c r="E34" s="1" t="s">
        <v>170</v>
      </c>
      <c r="F34" s="1" t="s">
        <v>51</v>
      </c>
      <c r="G34" s="1" t="s">
        <v>43</v>
      </c>
      <c r="H34" s="1" t="str">
        <f>VLOOKUP(F34,'[2]DX.OTHER.9.30.06 DETAIL'!$H$1:$J$65536,3,FALSE)</f>
        <v>Exp-Equipment</v>
      </c>
      <c r="I34" s="1">
        <v>0</v>
      </c>
      <c r="J34" s="2">
        <v>1912.16</v>
      </c>
      <c r="K34" s="2">
        <v>0</v>
      </c>
      <c r="L34" s="2">
        <v>-1912.16</v>
      </c>
      <c r="M34" s="2">
        <v>0</v>
      </c>
      <c r="N34" s="1" t="str">
        <f>VLOOKUP(E34,'[1]ORG CODES'!$A:$C,3,FALSE)</f>
        <v>3464   JAZZ PRESENTS</v>
      </c>
    </row>
    <row r="35" spans="1:14" ht="14.45" hidden="1" x14ac:dyDescent="0.3">
      <c r="A35" t="str">
        <f>VLOOKUP(E35,'[1]ORG CODES'!$A:$B,2,FALSE)</f>
        <v>Student Funded Programs</v>
      </c>
      <c r="B35" s="1" t="s">
        <v>2</v>
      </c>
      <c r="C35" s="1" t="s">
        <v>3</v>
      </c>
      <c r="D35" s="1" t="s">
        <v>4</v>
      </c>
      <c r="E35" s="1" t="s">
        <v>127</v>
      </c>
      <c r="F35" s="1" t="s">
        <v>51</v>
      </c>
      <c r="G35" s="1" t="s">
        <v>43</v>
      </c>
      <c r="H35" s="1" t="str">
        <f>VLOOKUP(F35,'[2]DX.OTHER.9.30.06 DETAIL'!$H$1:$J$65536,3,FALSE)</f>
        <v>Exp-Equipment</v>
      </c>
      <c r="I35" s="1">
        <v>0</v>
      </c>
      <c r="J35" s="2">
        <v>0</v>
      </c>
      <c r="K35" s="2">
        <v>0</v>
      </c>
      <c r="L35" s="2">
        <v>0</v>
      </c>
      <c r="M35" s="2">
        <v>0</v>
      </c>
      <c r="N35" s="1" t="str">
        <f>VLOOKUP(E35,'[1]ORG CODES'!$A:$C,3,FALSE)</f>
        <v>3430   STUDENT MEDIA LAB</v>
      </c>
    </row>
    <row r="36" spans="1:14" ht="14.45" hidden="1" x14ac:dyDescent="0.3">
      <c r="A36" t="str">
        <f>VLOOKUP(E36,'[1]ORG CODES'!$A:$B,2,FALSE)</f>
        <v>Student Funded Programs</v>
      </c>
      <c r="B36" s="1" t="s">
        <v>2</v>
      </c>
      <c r="C36" s="1" t="s">
        <v>3</v>
      </c>
      <c r="D36" s="1" t="s">
        <v>4</v>
      </c>
      <c r="E36" s="1" t="s">
        <v>5</v>
      </c>
      <c r="F36" s="1" t="s">
        <v>24</v>
      </c>
      <c r="H36" s="1" t="str">
        <f>VLOOKUP(F36,'[2]DX.OTHER.9.30.06 DETAIL'!$H$1:$J$65536,3,FALSE)</f>
        <v>Exp-Goods/Svcs</v>
      </c>
      <c r="I36" s="1">
        <v>0</v>
      </c>
      <c r="J36" s="2">
        <v>0</v>
      </c>
      <c r="K36" s="2">
        <v>0</v>
      </c>
      <c r="L36" s="2">
        <v>0</v>
      </c>
      <c r="M36" s="2">
        <v>0</v>
      </c>
      <c r="N36" s="1" t="str">
        <f>VLOOKUP(E36,'[1]ORG CODES'!$A:$C,3,FALSE)</f>
        <v>3221   SPEC.BLDG FUND-SFCC</v>
      </c>
    </row>
    <row r="37" spans="1:14" ht="14.45" hidden="1" x14ac:dyDescent="0.3">
      <c r="A37" t="str">
        <f>VLOOKUP(E37,'[1]ORG CODES'!$A:$B,2,FALSE)</f>
        <v>Student Funded Programs</v>
      </c>
      <c r="B37" s="1" t="s">
        <v>2</v>
      </c>
      <c r="C37" s="1" t="s">
        <v>3</v>
      </c>
      <c r="D37" s="1" t="s">
        <v>4</v>
      </c>
      <c r="E37" s="1" t="s">
        <v>25</v>
      </c>
      <c r="F37" s="1" t="s">
        <v>24</v>
      </c>
      <c r="H37" s="1" t="str">
        <f>VLOOKUP(F37,'[2]DX.OTHER.9.30.06 DETAIL'!$H$1:$J$65536,3,FALSE)</f>
        <v>Exp-Goods/Svcs</v>
      </c>
      <c r="I37" s="1">
        <v>0</v>
      </c>
      <c r="J37" s="2">
        <v>0</v>
      </c>
      <c r="K37" s="2">
        <v>0</v>
      </c>
      <c r="L37" s="2">
        <v>0</v>
      </c>
      <c r="M37" s="2">
        <v>0</v>
      </c>
      <c r="N37" s="1" t="str">
        <f>VLOOKUP(E37,'[1]ORG CODES'!$A:$C,3,FALSE)</f>
        <v>3309   IRP CLUB ADVISORS</v>
      </c>
    </row>
    <row r="38" spans="1:14" ht="14.45" hidden="1" x14ac:dyDescent="0.3">
      <c r="A38" t="str">
        <f>VLOOKUP(E38,'[1]ORG CODES'!$A:$B,2,FALSE)</f>
        <v>Student Funded Programs</v>
      </c>
      <c r="B38" s="1" t="s">
        <v>2</v>
      </c>
      <c r="C38" s="1" t="s">
        <v>3</v>
      </c>
      <c r="D38" s="1" t="s">
        <v>4</v>
      </c>
      <c r="E38" s="1" t="s">
        <v>33</v>
      </c>
      <c r="F38" s="1" t="s">
        <v>24</v>
      </c>
      <c r="H38" s="1" t="str">
        <f>VLOOKUP(F38,'[2]DX.OTHER.9.30.06 DETAIL'!$H$1:$J$65536,3,FALSE)</f>
        <v>Exp-Goods/Svcs</v>
      </c>
      <c r="I38" s="1">
        <v>0</v>
      </c>
      <c r="J38" s="2">
        <v>0</v>
      </c>
      <c r="K38" s="2">
        <v>0</v>
      </c>
      <c r="L38" s="2">
        <v>0</v>
      </c>
      <c r="M38" s="2">
        <v>0</v>
      </c>
      <c r="N38" s="1" t="str">
        <f>VLOOKUP(E38,'[1]ORG CODES'!$A:$C,3,FALSE)</f>
        <v>3310   IRP CARRY OVER FUND</v>
      </c>
    </row>
    <row r="39" spans="1:14" ht="14.45" hidden="1" x14ac:dyDescent="0.3">
      <c r="A39" t="str">
        <f>VLOOKUP(E39,'[1]ORG CODES'!$A:$B,2,FALSE)</f>
        <v>Student Funded Programs</v>
      </c>
      <c r="B39" s="1" t="s">
        <v>2</v>
      </c>
      <c r="C39" s="1" t="s">
        <v>3</v>
      </c>
      <c r="D39" s="1" t="s">
        <v>4</v>
      </c>
      <c r="E39" s="1" t="s">
        <v>35</v>
      </c>
      <c r="F39" s="1" t="s">
        <v>24</v>
      </c>
      <c r="H39" s="1" t="str">
        <f>VLOOKUP(F39,'[2]DX.OTHER.9.30.06 DETAIL'!$H$1:$J$65536,3,FALSE)</f>
        <v>Exp-Goods/Svcs</v>
      </c>
      <c r="I39" s="1">
        <v>5750</v>
      </c>
      <c r="J39" s="2">
        <v>0</v>
      </c>
      <c r="K39" s="2">
        <v>0</v>
      </c>
      <c r="L39" s="2">
        <v>5750</v>
      </c>
      <c r="M39" s="2">
        <v>0</v>
      </c>
      <c r="N39" s="1" t="str">
        <f>VLOOKUP(E39,'[1]ORG CODES'!$A:$C,3,FALSE)</f>
        <v>3312   IRP CONTINGENCY</v>
      </c>
    </row>
    <row r="40" spans="1:14" ht="14.45" hidden="1" x14ac:dyDescent="0.3">
      <c r="A40" t="str">
        <f>VLOOKUP(E40,'[1]ORG CODES'!$A:$B,2,FALSE)</f>
        <v>Student Funded Programs</v>
      </c>
      <c r="B40" s="1" t="s">
        <v>2</v>
      </c>
      <c r="C40" s="1" t="s">
        <v>3</v>
      </c>
      <c r="D40" s="1" t="s">
        <v>4</v>
      </c>
      <c r="E40" s="1" t="s">
        <v>36</v>
      </c>
      <c r="F40" s="1" t="s">
        <v>24</v>
      </c>
      <c r="H40" s="1" t="str">
        <f>VLOOKUP(F40,'[2]DX.OTHER.9.30.06 DETAIL'!$H$1:$J$65536,3,FALSE)</f>
        <v>Exp-Goods/Svcs</v>
      </c>
      <c r="I40" s="1">
        <v>500</v>
      </c>
      <c r="J40" s="2">
        <v>0</v>
      </c>
      <c r="K40" s="2">
        <v>0</v>
      </c>
      <c r="L40" s="2">
        <v>500</v>
      </c>
      <c r="M40" s="2">
        <v>0</v>
      </c>
      <c r="N40" s="1" t="str">
        <f>VLOOKUP(E40,'[1]ORG CODES'!$A:$C,3,FALSE)</f>
        <v>3313   ASTRONOMY CLUB</v>
      </c>
    </row>
    <row r="41" spans="1:14" ht="14.45" hidden="1" x14ac:dyDescent="0.3">
      <c r="A41" t="str">
        <f>VLOOKUP(E41,'[1]ORG CODES'!$A:$B,2,FALSE)</f>
        <v>Student Funded Programs</v>
      </c>
      <c r="B41" s="1" t="s">
        <v>2</v>
      </c>
      <c r="C41" s="1" t="s">
        <v>3</v>
      </c>
      <c r="D41" s="1" t="s">
        <v>4</v>
      </c>
      <c r="E41" s="1" t="s">
        <v>38</v>
      </c>
      <c r="F41" s="1" t="s">
        <v>24</v>
      </c>
      <c r="H41" s="1" t="str">
        <f>VLOOKUP(F41,'[2]DX.OTHER.9.30.06 DETAIL'!$H$1:$J$65536,3,FALSE)</f>
        <v>Exp-Goods/Svcs</v>
      </c>
      <c r="I41" s="1">
        <v>2000</v>
      </c>
      <c r="J41" s="2">
        <v>0</v>
      </c>
      <c r="K41" s="2">
        <v>0</v>
      </c>
      <c r="L41" s="2">
        <v>2000</v>
      </c>
      <c r="M41" s="2">
        <v>0</v>
      </c>
      <c r="N41" s="1" t="str">
        <f>VLOOKUP(E41,'[1]ORG CODES'!$A:$C,3,FALSE)</f>
        <v>3329   SPEECH &amp; DEBATE CLUB</v>
      </c>
    </row>
    <row r="42" spans="1:14" ht="14.45" hidden="1" x14ac:dyDescent="0.3">
      <c r="A42" t="str">
        <f>VLOOKUP(E42,'[1]ORG CODES'!$A:$B,2,FALSE)</f>
        <v>Student Funded Programs</v>
      </c>
      <c r="B42" s="1" t="s">
        <v>2</v>
      </c>
      <c r="C42" s="1" t="s">
        <v>3</v>
      </c>
      <c r="D42" s="1" t="s">
        <v>4</v>
      </c>
      <c r="E42" s="1" t="s">
        <v>46</v>
      </c>
      <c r="F42" s="1" t="s">
        <v>24</v>
      </c>
      <c r="H42" s="1" t="str">
        <f>VLOOKUP(F42,'[2]DX.OTHER.9.30.06 DETAIL'!$H$1:$J$65536,3,FALSE)</f>
        <v>Exp-Goods/Svcs</v>
      </c>
      <c r="I42" s="1">
        <v>6000</v>
      </c>
      <c r="J42" s="2">
        <v>0</v>
      </c>
      <c r="K42" s="2">
        <v>0</v>
      </c>
      <c r="L42" s="2">
        <v>6000</v>
      </c>
      <c r="M42" s="2">
        <v>0</v>
      </c>
      <c r="N42" s="1" t="str">
        <f>VLOOKUP(E42,'[1]ORG CODES'!$A:$C,3,FALSE)</f>
        <v>3330   GRAPHIC DESIGN</v>
      </c>
    </row>
    <row r="43" spans="1:14" ht="14.45" hidden="1" x14ac:dyDescent="0.3">
      <c r="A43" t="str">
        <f>VLOOKUP(E43,'[1]ORG CODES'!$A:$B,2,FALSE)</f>
        <v>Student Funded Programs</v>
      </c>
      <c r="B43" s="1" t="s">
        <v>2</v>
      </c>
      <c r="C43" s="1" t="s">
        <v>3</v>
      </c>
      <c r="D43" s="1" t="s">
        <v>4</v>
      </c>
      <c r="E43" s="1" t="s">
        <v>50</v>
      </c>
      <c r="F43" s="1" t="s">
        <v>24</v>
      </c>
      <c r="H43" s="1" t="str">
        <f>VLOOKUP(F43,'[2]DX.OTHER.9.30.06 DETAIL'!$H$1:$J$65536,3,FALSE)</f>
        <v>Exp-Goods/Svcs</v>
      </c>
      <c r="I43" s="1">
        <v>2800</v>
      </c>
      <c r="J43" s="2">
        <v>0</v>
      </c>
      <c r="K43" s="2">
        <v>0</v>
      </c>
      <c r="L43" s="2">
        <v>2800</v>
      </c>
      <c r="M43" s="2">
        <v>0</v>
      </c>
      <c r="N43" s="1" t="str">
        <f>VLOOKUP(E43,'[1]ORG CODES'!$A:$C,3,FALSE)</f>
        <v>3342   ENGINEERING CLUB</v>
      </c>
    </row>
    <row r="44" spans="1:14" ht="14.45" hidden="1" x14ac:dyDescent="0.3">
      <c r="A44" t="str">
        <f>VLOOKUP(E44,'[1]ORG CODES'!$A:$B,2,FALSE)</f>
        <v>Student Funded Programs</v>
      </c>
      <c r="B44" s="1" t="s">
        <v>2</v>
      </c>
      <c r="C44" s="1" t="s">
        <v>3</v>
      </c>
      <c r="D44" s="1" t="s">
        <v>4</v>
      </c>
      <c r="E44" s="1" t="s">
        <v>52</v>
      </c>
      <c r="F44" s="1" t="s">
        <v>24</v>
      </c>
      <c r="H44" s="1" t="str">
        <f>VLOOKUP(F44,'[2]DX.OTHER.9.30.06 DETAIL'!$H$1:$J$65536,3,FALSE)</f>
        <v>Exp-Goods/Svcs</v>
      </c>
      <c r="I44" s="1">
        <v>21900</v>
      </c>
      <c r="J44" s="2">
        <v>0</v>
      </c>
      <c r="K44" s="2">
        <v>0</v>
      </c>
      <c r="L44" s="2">
        <v>21900</v>
      </c>
      <c r="M44" s="2">
        <v>0</v>
      </c>
      <c r="N44" s="1" t="str">
        <f>VLOOKUP(E44,'[1]ORG CODES'!$A:$C,3,FALSE)</f>
        <v>3352   REVELERS (DRAMA)</v>
      </c>
    </row>
    <row r="45" spans="1:14" ht="14.45" hidden="1" x14ac:dyDescent="0.3">
      <c r="A45" t="str">
        <f>VLOOKUP(E45,'[1]ORG CODES'!$A:$B,2,FALSE)</f>
        <v>Student Funded Programs</v>
      </c>
      <c r="B45" s="1" t="s">
        <v>2</v>
      </c>
      <c r="C45" s="1" t="s">
        <v>3</v>
      </c>
      <c r="D45" s="1" t="s">
        <v>4</v>
      </c>
      <c r="E45" s="1" t="s">
        <v>63</v>
      </c>
      <c r="F45" s="1" t="s">
        <v>24</v>
      </c>
      <c r="H45" s="1" t="str">
        <f>VLOOKUP(F45,'[2]DX.OTHER.9.30.06 DETAIL'!$H$1:$J$65536,3,FALSE)</f>
        <v>Exp-Goods/Svcs</v>
      </c>
      <c r="I45" s="1">
        <v>4000</v>
      </c>
      <c r="J45" s="2">
        <v>0</v>
      </c>
      <c r="K45" s="2">
        <v>0</v>
      </c>
      <c r="L45" s="2">
        <v>4000</v>
      </c>
      <c r="M45" s="2">
        <v>0</v>
      </c>
      <c r="N45" s="1" t="str">
        <f>VLOOKUP(E45,'[1]ORG CODES'!$A:$C,3,FALSE)</f>
        <v>3353   ORCHESTRA</v>
      </c>
    </row>
    <row r="46" spans="1:14" ht="14.45" hidden="1" x14ac:dyDescent="0.3">
      <c r="A46" t="str">
        <f>VLOOKUP(E46,'[1]ORG CODES'!$A:$B,2,FALSE)</f>
        <v>Student Funded Programs</v>
      </c>
      <c r="B46" s="1" t="s">
        <v>2</v>
      </c>
      <c r="C46" s="1" t="s">
        <v>3</v>
      </c>
      <c r="D46" s="1" t="s">
        <v>4</v>
      </c>
      <c r="E46" s="1" t="s">
        <v>65</v>
      </c>
      <c r="F46" s="1" t="s">
        <v>24</v>
      </c>
      <c r="H46" s="1" t="str">
        <f>VLOOKUP(F46,'[2]DX.OTHER.9.30.06 DETAIL'!$H$1:$J$65536,3,FALSE)</f>
        <v>Exp-Goods/Svcs</v>
      </c>
      <c r="I46" s="1">
        <v>4069</v>
      </c>
      <c r="J46" s="2">
        <v>0</v>
      </c>
      <c r="K46" s="2">
        <v>0</v>
      </c>
      <c r="L46" s="2">
        <v>4069</v>
      </c>
      <c r="M46" s="2">
        <v>0</v>
      </c>
      <c r="N46" s="1" t="str">
        <f>VLOOKUP(E46,'[1]ORG CODES'!$A:$C,3,FALSE)</f>
        <v>3354   CONCERT BAND</v>
      </c>
    </row>
    <row r="47" spans="1:14" ht="14.45" hidden="1" x14ac:dyDescent="0.3">
      <c r="A47" t="str">
        <f>VLOOKUP(E47,'[1]ORG CODES'!$A:$B,2,FALSE)</f>
        <v>Student Funded Programs</v>
      </c>
      <c r="B47" s="1" t="s">
        <v>2</v>
      </c>
      <c r="C47" s="1" t="s">
        <v>3</v>
      </c>
      <c r="D47" s="1" t="s">
        <v>4</v>
      </c>
      <c r="E47" s="1" t="s">
        <v>68</v>
      </c>
      <c r="F47" s="1" t="s">
        <v>24</v>
      </c>
      <c r="H47" s="1" t="str">
        <f>VLOOKUP(F47,'[2]DX.OTHER.9.30.06 DETAIL'!$H$1:$J$65536,3,FALSE)</f>
        <v>Exp-Goods/Svcs</v>
      </c>
      <c r="I47" s="1">
        <v>13780</v>
      </c>
      <c r="J47" s="2">
        <v>0</v>
      </c>
      <c r="K47" s="2">
        <v>0</v>
      </c>
      <c r="L47" s="2">
        <v>13780</v>
      </c>
      <c r="M47" s="2">
        <v>0</v>
      </c>
      <c r="N47" s="1" t="str">
        <f>VLOOKUP(E47,'[1]ORG CODES'!$A:$C,3,FALSE)</f>
        <v>3355   CHORAL MUSIC</v>
      </c>
    </row>
    <row r="48" spans="1:14" ht="14.45" hidden="1" x14ac:dyDescent="0.3">
      <c r="A48" t="str">
        <f>VLOOKUP(E48,'[1]ORG CODES'!$A:$B,2,FALSE)</f>
        <v>Student Funded Programs</v>
      </c>
      <c r="B48" s="1" t="s">
        <v>2</v>
      </c>
      <c r="C48" s="1" t="s">
        <v>3</v>
      </c>
      <c r="D48" s="1" t="s">
        <v>4</v>
      </c>
      <c r="E48" s="1" t="s">
        <v>71</v>
      </c>
      <c r="F48" s="1" t="s">
        <v>24</v>
      </c>
      <c r="H48" s="1" t="str">
        <f>VLOOKUP(F48,'[2]DX.OTHER.9.30.06 DETAIL'!$H$1:$J$65536,3,FALSE)</f>
        <v>Exp-Goods/Svcs</v>
      </c>
      <c r="I48" s="1">
        <v>5250</v>
      </c>
      <c r="J48" s="2">
        <v>0</v>
      </c>
      <c r="K48" s="2">
        <v>0</v>
      </c>
      <c r="L48" s="2">
        <v>5250</v>
      </c>
      <c r="M48" s="2">
        <v>0</v>
      </c>
      <c r="N48" s="1" t="str">
        <f>VLOOKUP(E48,'[1]ORG CODES'!$A:$C,3,FALSE)</f>
        <v>3356   STAGE BAND/COMBO</v>
      </c>
    </row>
    <row r="49" spans="1:14" ht="14.45" hidden="1" x14ac:dyDescent="0.3">
      <c r="A49" t="str">
        <f>VLOOKUP(E49,'[1]ORG CODES'!$A:$B,2,FALSE)</f>
        <v>Student Funded Programs</v>
      </c>
      <c r="B49" s="1" t="s">
        <v>2</v>
      </c>
      <c r="C49" s="1" t="s">
        <v>3</v>
      </c>
      <c r="D49" s="1" t="s">
        <v>4</v>
      </c>
      <c r="E49" s="1" t="s">
        <v>72</v>
      </c>
      <c r="F49" s="1" t="s">
        <v>24</v>
      </c>
      <c r="H49" s="1" t="str">
        <f>VLOOKUP(F49,'[2]DX.OTHER.9.30.06 DETAIL'!$H$1:$J$65536,3,FALSE)</f>
        <v>Exp-Goods/Svcs</v>
      </c>
      <c r="I49" s="1">
        <v>4590</v>
      </c>
      <c r="J49" s="2">
        <v>0</v>
      </c>
      <c r="K49" s="2">
        <v>0</v>
      </c>
      <c r="L49" s="2">
        <v>4590</v>
      </c>
      <c r="M49" s="2">
        <v>0</v>
      </c>
      <c r="N49" s="1" t="str">
        <f>VLOOKUP(E49,'[1]ORG CODES'!$A:$C,3,FALSE)</f>
        <v>3357   PHOTO ARTS</v>
      </c>
    </row>
    <row r="50" spans="1:14" ht="14.45" hidden="1" x14ac:dyDescent="0.3">
      <c r="A50" t="str">
        <f>VLOOKUP(E50,'[1]ORG CODES'!$A:$B,2,FALSE)</f>
        <v>Student Funded Programs</v>
      </c>
      <c r="B50" s="1" t="s">
        <v>2</v>
      </c>
      <c r="C50" s="1" t="s">
        <v>3</v>
      </c>
      <c r="D50" s="1" t="s">
        <v>4</v>
      </c>
      <c r="E50" s="1" t="s">
        <v>75</v>
      </c>
      <c r="F50" s="1" t="s">
        <v>24</v>
      </c>
      <c r="H50" s="1" t="str">
        <f>VLOOKUP(F50,'[2]DX.OTHER.9.30.06 DETAIL'!$H$1:$J$65536,3,FALSE)</f>
        <v>Exp-Goods/Svcs</v>
      </c>
      <c r="I50" s="1">
        <v>11200</v>
      </c>
      <c r="J50" s="2">
        <v>0</v>
      </c>
      <c r="K50" s="2">
        <v>0</v>
      </c>
      <c r="L50" s="2">
        <v>11200</v>
      </c>
      <c r="M50" s="2">
        <v>0</v>
      </c>
      <c r="N50" s="1" t="str">
        <f>VLOOKUP(E50,'[1]ORG CODES'!$A:$C,3,FALSE)</f>
        <v>3363   ART GALLERY &amp; EXHIB</v>
      </c>
    </row>
    <row r="51" spans="1:14" ht="14.45" hidden="1" x14ac:dyDescent="0.3">
      <c r="A51" t="str">
        <f>VLOOKUP(E51,'[1]ORG CODES'!$A:$B,2,FALSE)</f>
        <v>Student Funded Programs</v>
      </c>
      <c r="B51" s="1" t="s">
        <v>2</v>
      </c>
      <c r="C51" s="1" t="s">
        <v>3</v>
      </c>
      <c r="D51" s="1" t="s">
        <v>4</v>
      </c>
      <c r="E51" s="1" t="s">
        <v>77</v>
      </c>
      <c r="F51" s="1" t="s">
        <v>24</v>
      </c>
      <c r="H51" s="1" t="str">
        <f>VLOOKUP(F51,'[2]DX.OTHER.9.30.06 DETAIL'!$H$1:$J$65536,3,FALSE)</f>
        <v>Exp-Goods/Svcs</v>
      </c>
      <c r="I51" s="1">
        <v>9040</v>
      </c>
      <c r="J51" s="2">
        <v>0</v>
      </c>
      <c r="K51" s="2">
        <v>0</v>
      </c>
      <c r="L51" s="2">
        <v>9040</v>
      </c>
      <c r="M51" s="2">
        <v>0</v>
      </c>
      <c r="N51" s="1" t="str">
        <f>VLOOKUP(E51,'[1]ORG CODES'!$A:$C,3,FALSE)</f>
        <v>3367   RECREATION SOCIETY</v>
      </c>
    </row>
    <row r="52" spans="1:14" ht="14.45" hidden="1" x14ac:dyDescent="0.3">
      <c r="A52" t="str">
        <f>VLOOKUP(E52,'[1]ORG CODES'!$A:$B,2,FALSE)</f>
        <v>Student Funded Programs</v>
      </c>
      <c r="B52" s="1" t="s">
        <v>2</v>
      </c>
      <c r="C52" s="1" t="s">
        <v>3</v>
      </c>
      <c r="D52" s="1" t="s">
        <v>4</v>
      </c>
      <c r="E52" s="1" t="s">
        <v>78</v>
      </c>
      <c r="F52" s="1" t="s">
        <v>24</v>
      </c>
      <c r="H52" s="1" t="str">
        <f>VLOOKUP(F52,'[2]DX.OTHER.9.30.06 DETAIL'!$H$1:$J$65536,3,FALSE)</f>
        <v>Exp-Goods/Svcs</v>
      </c>
      <c r="I52" s="1">
        <v>9124</v>
      </c>
      <c r="J52" s="2">
        <v>0</v>
      </c>
      <c r="K52" s="2">
        <v>0</v>
      </c>
      <c r="L52" s="2">
        <v>9124</v>
      </c>
      <c r="M52" s="2">
        <v>0</v>
      </c>
      <c r="N52" s="1" t="str">
        <f>VLOOKUP(E52,'[1]ORG CODES'!$A:$C,3,FALSE)</f>
        <v>3368   LITERARY MAGAZINE</v>
      </c>
    </row>
    <row r="53" spans="1:14" ht="14.45" hidden="1" x14ac:dyDescent="0.3">
      <c r="A53" t="str">
        <f>VLOOKUP(E53,'[1]ORG CODES'!$A:$B,2,FALSE)</f>
        <v>Student Funded Programs</v>
      </c>
      <c r="B53" s="1" t="s">
        <v>2</v>
      </c>
      <c r="C53" s="1" t="s">
        <v>3</v>
      </c>
      <c r="D53" s="1" t="s">
        <v>4</v>
      </c>
      <c r="E53" s="1" t="s">
        <v>79</v>
      </c>
      <c r="F53" s="1" t="s">
        <v>24</v>
      </c>
      <c r="H53" s="1" t="str">
        <f>VLOOKUP(F53,'[2]DX.OTHER.9.30.06 DETAIL'!$H$1:$J$65536,3,FALSE)</f>
        <v>Exp-Goods/Svcs</v>
      </c>
      <c r="I53" s="1">
        <v>6540</v>
      </c>
      <c r="J53" s="2">
        <v>0</v>
      </c>
      <c r="K53" s="2">
        <v>0</v>
      </c>
      <c r="L53" s="2">
        <v>6540</v>
      </c>
      <c r="M53" s="2">
        <v>0</v>
      </c>
      <c r="N53" s="1" t="str">
        <f>VLOOKUP(E53,'[1]ORG CODES'!$A:$C,3,FALSE)</f>
        <v>3369   COMMUNICATOR-NEWSPPR</v>
      </c>
    </row>
    <row r="54" spans="1:14" ht="14.45" hidden="1" x14ac:dyDescent="0.3">
      <c r="A54" t="str">
        <f>VLOOKUP(E54,'[1]ORG CODES'!$A:$B,2,FALSE)</f>
        <v>Student Funded Programs</v>
      </c>
      <c r="B54" s="1" t="s">
        <v>2</v>
      </c>
      <c r="C54" s="1" t="s">
        <v>3</v>
      </c>
      <c r="D54" s="1" t="s">
        <v>4</v>
      </c>
      <c r="E54" s="1" t="s">
        <v>80</v>
      </c>
      <c r="F54" s="1" t="s">
        <v>24</v>
      </c>
      <c r="H54" s="1" t="str">
        <f>VLOOKUP(F54,'[2]DX.OTHER.9.30.06 DETAIL'!$H$1:$J$65536,3,FALSE)</f>
        <v>Exp-Goods/Svcs</v>
      </c>
      <c r="I54" s="1">
        <v>11060</v>
      </c>
      <c r="J54" s="2">
        <v>0</v>
      </c>
      <c r="K54" s="2">
        <v>0</v>
      </c>
      <c r="L54" s="2">
        <v>11060</v>
      </c>
      <c r="M54" s="2">
        <v>0</v>
      </c>
      <c r="N54" s="1" t="str">
        <f>VLOOKUP(E54,'[1]ORG CODES'!$A:$C,3,FALSE)</f>
        <v>3370   BETA GAMMA KAPPA</v>
      </c>
    </row>
    <row r="55" spans="1:14" ht="14.45" hidden="1" x14ac:dyDescent="0.3">
      <c r="A55" t="str">
        <f>VLOOKUP(E55,'[1]ORG CODES'!$A:$B,2,FALSE)</f>
        <v>Student Funded Programs</v>
      </c>
      <c r="B55" s="1" t="s">
        <v>2</v>
      </c>
      <c r="C55" s="1" t="s">
        <v>3</v>
      </c>
      <c r="D55" s="1" t="s">
        <v>4</v>
      </c>
      <c r="E55" s="1" t="s">
        <v>83</v>
      </c>
      <c r="F55" s="1" t="s">
        <v>24</v>
      </c>
      <c r="H55" s="1" t="str">
        <f>VLOOKUP(F55,'[2]DX.OTHER.9.30.06 DETAIL'!$H$1:$J$65536,3,FALSE)</f>
        <v>Exp-Goods/Svcs</v>
      </c>
      <c r="I55" s="1">
        <v>2085</v>
      </c>
      <c r="J55" s="2">
        <v>0</v>
      </c>
      <c r="K55" s="2">
        <v>0</v>
      </c>
      <c r="L55" s="2">
        <v>2085</v>
      </c>
      <c r="M55" s="2">
        <v>0</v>
      </c>
      <c r="N55" s="1" t="str">
        <f>VLOOKUP(E55,'[1]ORG CODES'!$A:$C,3,FALSE)</f>
        <v>3372   STDNT PHYS THER ASST</v>
      </c>
    </row>
    <row r="56" spans="1:14" ht="14.45" hidden="1" x14ac:dyDescent="0.3">
      <c r="A56" t="str">
        <f>VLOOKUP(E56,'[1]ORG CODES'!$A:$B,2,FALSE)</f>
        <v>Student Funded Programs</v>
      </c>
      <c r="B56" s="1" t="s">
        <v>2</v>
      </c>
      <c r="C56" s="1" t="s">
        <v>3</v>
      </c>
      <c r="D56" s="1" t="s">
        <v>4</v>
      </c>
      <c r="E56" s="1" t="s">
        <v>86</v>
      </c>
      <c r="F56" s="1" t="s">
        <v>24</v>
      </c>
      <c r="H56" s="1" t="str">
        <f>VLOOKUP(F56,'[2]DX.OTHER.9.30.06 DETAIL'!$H$1:$J$65536,3,FALSE)</f>
        <v>Exp-Goods/Svcs</v>
      </c>
      <c r="I56" s="1">
        <v>790</v>
      </c>
      <c r="J56" s="2">
        <v>0</v>
      </c>
      <c r="K56" s="2">
        <v>0</v>
      </c>
      <c r="L56" s="2">
        <v>790</v>
      </c>
      <c r="M56" s="2">
        <v>0</v>
      </c>
      <c r="N56" s="1" t="str">
        <f>VLOOKUP(E56,'[1]ORG CODES'!$A:$C,3,FALSE)</f>
        <v>3373   STUD OCCUP THERA ASST</v>
      </c>
    </row>
    <row r="57" spans="1:14" ht="14.45" hidden="1" x14ac:dyDescent="0.3">
      <c r="A57" t="str">
        <f>VLOOKUP(E57,'[1]ORG CODES'!$A:$B,2,FALSE)</f>
        <v>Student Funded Programs</v>
      </c>
      <c r="B57" s="1" t="s">
        <v>2</v>
      </c>
      <c r="C57" s="1" t="s">
        <v>3</v>
      </c>
      <c r="D57" s="1" t="s">
        <v>4</v>
      </c>
      <c r="E57" s="1" t="s">
        <v>92</v>
      </c>
      <c r="F57" s="1" t="s">
        <v>24</v>
      </c>
      <c r="H57" s="1" t="str">
        <f>VLOOKUP(F57,'[2]DX.OTHER.9.30.06 DETAIL'!$H$1:$J$65536,3,FALSE)</f>
        <v>Exp-Goods/Svcs</v>
      </c>
      <c r="I57" s="1">
        <v>0</v>
      </c>
      <c r="J57" s="2">
        <v>0</v>
      </c>
      <c r="K57" s="2">
        <v>0</v>
      </c>
      <c r="L57" s="2">
        <v>0</v>
      </c>
      <c r="M57" s="2">
        <v>0</v>
      </c>
      <c r="N57" s="1" t="str">
        <f>VLOOKUP(E57,'[1]ORG CODES'!$A:$C,3,FALSE)</f>
        <v>3402   ASA CARRY OVER FUND</v>
      </c>
    </row>
    <row r="58" spans="1:14" ht="14.45" hidden="1" x14ac:dyDescent="0.3">
      <c r="A58" t="str">
        <f>VLOOKUP(E58,'[1]ORG CODES'!$A:$B,2,FALSE)</f>
        <v>Student Funded Programs</v>
      </c>
      <c r="B58" s="1" t="s">
        <v>2</v>
      </c>
      <c r="C58" s="1" t="s">
        <v>3</v>
      </c>
      <c r="D58" s="1" t="s">
        <v>4</v>
      </c>
      <c r="E58" s="1" t="s">
        <v>93</v>
      </c>
      <c r="F58" s="1" t="s">
        <v>24</v>
      </c>
      <c r="H58" s="1" t="str">
        <f>VLOOKUP(F58,'[2]DX.OTHER.9.30.06 DETAIL'!$H$1:$J$65536,3,FALSE)</f>
        <v>Exp-Goods/Svcs</v>
      </c>
      <c r="I58" s="1">
        <v>300</v>
      </c>
      <c r="J58" s="2">
        <v>0</v>
      </c>
      <c r="K58" s="2">
        <v>0</v>
      </c>
      <c r="L58" s="2">
        <v>300</v>
      </c>
      <c r="M58" s="2">
        <v>0</v>
      </c>
      <c r="N58" s="1" t="str">
        <f>VLOOKUP(E58,'[1]ORG CODES'!$A:$C,3,FALSE)</f>
        <v>3403   PEERS SERVICES</v>
      </c>
    </row>
    <row r="59" spans="1:14" ht="14.45" hidden="1" x14ac:dyDescent="0.3">
      <c r="A59" t="str">
        <f>VLOOKUP(E59,'[1]ORG CODES'!$A:$B,2,FALSE)</f>
        <v>Student Funded Programs</v>
      </c>
      <c r="B59" s="1" t="s">
        <v>2</v>
      </c>
      <c r="C59" s="1" t="s">
        <v>3</v>
      </c>
      <c r="D59" s="1" t="s">
        <v>4</v>
      </c>
      <c r="E59" s="1" t="s">
        <v>94</v>
      </c>
      <c r="F59" s="1" t="s">
        <v>24</v>
      </c>
      <c r="H59" s="1" t="str">
        <f>VLOOKUP(F59,'[2]DX.OTHER.9.30.06 DETAIL'!$H$1:$J$65536,3,FALSE)</f>
        <v>Exp-Goods/Svcs</v>
      </c>
      <c r="I59" s="1">
        <v>0</v>
      </c>
      <c r="J59" s="2">
        <v>0</v>
      </c>
      <c r="K59" s="2">
        <v>0</v>
      </c>
      <c r="L59" s="2">
        <v>0</v>
      </c>
      <c r="M59" s="2">
        <v>0</v>
      </c>
      <c r="N59" s="1" t="str">
        <f>VLOOKUP(E59,'[1]ORG CODES'!$A:$C,3,FALSE)</f>
        <v>3404  MUSIC AUDITORIUM LIGHTS</v>
      </c>
    </row>
    <row r="60" spans="1:14" ht="14.45" hidden="1" x14ac:dyDescent="0.3">
      <c r="A60" t="str">
        <f>VLOOKUP(E60,'[1]ORG CODES'!$A:$B,2,FALSE)</f>
        <v>Student Funded Programs</v>
      </c>
      <c r="B60" s="1" t="s">
        <v>2</v>
      </c>
      <c r="C60" s="1" t="s">
        <v>3</v>
      </c>
      <c r="D60" s="1" t="s">
        <v>4</v>
      </c>
      <c r="E60" s="1" t="s">
        <v>97</v>
      </c>
      <c r="F60" s="1" t="s">
        <v>24</v>
      </c>
      <c r="H60" s="1" t="str">
        <f>VLOOKUP(F60,'[2]DX.OTHER.9.30.06 DETAIL'!$H$1:$J$65536,3,FALSE)</f>
        <v>Exp-Goods/Svcs</v>
      </c>
      <c r="I60" s="1">
        <v>39000</v>
      </c>
      <c r="J60" s="2">
        <v>0</v>
      </c>
      <c r="K60" s="2">
        <v>0</v>
      </c>
      <c r="L60" s="2">
        <v>39000</v>
      </c>
      <c r="M60" s="2">
        <v>0</v>
      </c>
      <c r="N60" s="1" t="str">
        <f>VLOOKUP(E60,'[1]ORG CODES'!$A:$C,3,FALSE)</f>
        <v>3405   SFC BUS PASS MATCH</v>
      </c>
    </row>
    <row r="61" spans="1:14" ht="14.45" hidden="1" x14ac:dyDescent="0.3">
      <c r="A61" t="str">
        <f>VLOOKUP(E61,'[1]ORG CODES'!$A:$B,2,FALSE)</f>
        <v>Student Funded Programs</v>
      </c>
      <c r="B61" s="1" t="s">
        <v>2</v>
      </c>
      <c r="C61" s="1" t="s">
        <v>3</v>
      </c>
      <c r="D61" s="1" t="s">
        <v>4</v>
      </c>
      <c r="E61" s="1" t="s">
        <v>98</v>
      </c>
      <c r="F61" s="1" t="s">
        <v>24</v>
      </c>
      <c r="H61" s="1" t="str">
        <f>VLOOKUP(F61,'[2]DX.OTHER.9.30.06 DETAIL'!$H$1:$J$65536,3,FALSE)</f>
        <v>Exp-Goods/Svcs</v>
      </c>
      <c r="I61" s="1">
        <v>0</v>
      </c>
      <c r="J61" s="2">
        <v>0</v>
      </c>
      <c r="K61" s="2">
        <v>0</v>
      </c>
      <c r="L61" s="2">
        <v>0</v>
      </c>
      <c r="M61" s="2">
        <v>0</v>
      </c>
      <c r="N61" s="1" t="str">
        <f>VLOOKUP(E61,'[1]ORG CODES'!$A:$C,3,FALSE)</f>
        <v>3406   BUS TICKET CLEARING</v>
      </c>
    </row>
    <row r="62" spans="1:14" ht="14.45" hidden="1" x14ac:dyDescent="0.3">
      <c r="A62" t="str">
        <f>VLOOKUP(E62,'[1]ORG CODES'!$A:$B,2,FALSE)</f>
        <v>Student Funded Programs</v>
      </c>
      <c r="B62" s="1" t="s">
        <v>2</v>
      </c>
      <c r="C62" s="1" t="s">
        <v>3</v>
      </c>
      <c r="D62" s="1" t="s">
        <v>4</v>
      </c>
      <c r="E62" s="1" t="s">
        <v>101</v>
      </c>
      <c r="F62" s="1" t="s">
        <v>24</v>
      </c>
      <c r="H62" s="1" t="str">
        <f>VLOOKUP(F62,'[2]DX.OTHER.9.30.06 DETAIL'!$H$1:$J$65536,3,FALSE)</f>
        <v>Exp-Goods/Svcs</v>
      </c>
      <c r="I62" s="1">
        <v>22000</v>
      </c>
      <c r="J62" s="2">
        <v>0</v>
      </c>
      <c r="K62" s="2">
        <v>0</v>
      </c>
      <c r="L62" s="2">
        <v>22000</v>
      </c>
      <c r="M62" s="2">
        <v>0</v>
      </c>
      <c r="N62" s="1" t="str">
        <f>VLOOKUP(E62,'[1]ORG CODES'!$A:$C,3,FALSE)</f>
        <v>3408   NEW STDT ORIENTATION</v>
      </c>
    </row>
    <row r="63" spans="1:14" ht="14.45" hidden="1" x14ac:dyDescent="0.3">
      <c r="A63" t="str">
        <f>VLOOKUP(E63,'[1]ORG CODES'!$A:$B,2,FALSE)</f>
        <v>Student Funded Programs</v>
      </c>
      <c r="B63" s="1" t="s">
        <v>2</v>
      </c>
      <c r="C63" s="1" t="s">
        <v>3</v>
      </c>
      <c r="D63" s="1" t="s">
        <v>4</v>
      </c>
      <c r="E63" s="1" t="s">
        <v>102</v>
      </c>
      <c r="F63" s="1" t="s">
        <v>24</v>
      </c>
      <c r="H63" s="1" t="str">
        <f>VLOOKUP(F63,'[2]DX.OTHER.9.30.06 DETAIL'!$H$1:$J$65536,3,FALSE)</f>
        <v>Exp-Goods/Svcs</v>
      </c>
      <c r="I63" s="1">
        <v>0</v>
      </c>
      <c r="J63" s="2">
        <v>0</v>
      </c>
      <c r="K63" s="2">
        <v>0</v>
      </c>
      <c r="L63" s="2">
        <v>0</v>
      </c>
      <c r="M63" s="2">
        <v>0</v>
      </c>
      <c r="N63" s="1" t="str">
        <f>VLOOKUP(E63,'[1]ORG CODES'!$A:$C,3,FALSE)</f>
        <v>3409   ASA CLUB ADVISORS</v>
      </c>
    </row>
    <row r="64" spans="1:14" ht="14.45" hidden="1" x14ac:dyDescent="0.3">
      <c r="A64" t="str">
        <f>VLOOKUP(E64,'[1]ORG CODES'!$A:$B,2,FALSE)</f>
        <v>Student Funded Programs</v>
      </c>
      <c r="B64" s="1" t="s">
        <v>2</v>
      </c>
      <c r="C64" s="1" t="s">
        <v>3</v>
      </c>
      <c r="D64" s="1" t="s">
        <v>4</v>
      </c>
      <c r="E64" s="1" t="s">
        <v>103</v>
      </c>
      <c r="F64" s="1" t="s">
        <v>24</v>
      </c>
      <c r="H64" s="1" t="str">
        <f>VLOOKUP(F64,'[2]DX.OTHER.9.30.06 DETAIL'!$H$1:$J$65536,3,FALSE)</f>
        <v>Exp-Goods/Svcs</v>
      </c>
      <c r="I64" s="1">
        <v>24000</v>
      </c>
      <c r="J64" s="2">
        <v>0</v>
      </c>
      <c r="K64" s="2">
        <v>0</v>
      </c>
      <c r="L64" s="2">
        <v>24000</v>
      </c>
      <c r="M64" s="2">
        <v>0</v>
      </c>
      <c r="N64" s="1" t="str">
        <f>VLOOKUP(E64,'[1]ORG CODES'!$A:$C,3,FALSE)</f>
        <v>3410   ASA GENERAL FUND</v>
      </c>
    </row>
    <row r="65" spans="1:14" ht="14.45" hidden="1" x14ac:dyDescent="0.3">
      <c r="A65" t="str">
        <f>VLOOKUP(E65,'[1]ORG CODES'!$A:$B,2,FALSE)</f>
        <v>Student Funded Programs</v>
      </c>
      <c r="B65" s="1" t="s">
        <v>2</v>
      </c>
      <c r="C65" s="1" t="s">
        <v>3</v>
      </c>
      <c r="D65" s="1" t="s">
        <v>4</v>
      </c>
      <c r="E65" s="1" t="s">
        <v>106</v>
      </c>
      <c r="F65" s="1" t="s">
        <v>24</v>
      </c>
      <c r="H65" s="1" t="str">
        <f>VLOOKUP(F65,'[2]DX.OTHER.9.30.06 DETAIL'!$H$1:$J$65536,3,FALSE)</f>
        <v>Exp-Goods/Svcs</v>
      </c>
      <c r="I65" s="1">
        <v>4900</v>
      </c>
      <c r="J65" s="2">
        <v>0</v>
      </c>
      <c r="K65" s="2">
        <v>0</v>
      </c>
      <c r="L65" s="2">
        <v>4900</v>
      </c>
      <c r="M65" s="2">
        <v>0</v>
      </c>
      <c r="N65" s="1" t="str">
        <f>VLOOKUP(E65,'[1]ORG CODES'!$A:$C,3,FALSE)</f>
        <v>3411   ADVERTISING/PRINTING</v>
      </c>
    </row>
    <row r="66" spans="1:14" ht="14.45" hidden="1" x14ac:dyDescent="0.3">
      <c r="A66" t="str">
        <f>VLOOKUP(E66,'[1]ORG CODES'!$A:$B,2,FALSE)</f>
        <v>Student Funded Programs</v>
      </c>
      <c r="B66" s="1" t="s">
        <v>2</v>
      </c>
      <c r="C66" s="1" t="s">
        <v>3</v>
      </c>
      <c r="D66" s="1" t="s">
        <v>4</v>
      </c>
      <c r="E66" s="1" t="s">
        <v>107</v>
      </c>
      <c r="F66" s="1" t="s">
        <v>24</v>
      </c>
      <c r="H66" s="1" t="str">
        <f>VLOOKUP(F66,'[2]DX.OTHER.9.30.06 DETAIL'!$H$1:$J$65536,3,FALSE)</f>
        <v>Exp-Goods/Svcs</v>
      </c>
      <c r="I66" s="1">
        <v>4259</v>
      </c>
      <c r="J66" s="2">
        <v>0</v>
      </c>
      <c r="K66" s="2">
        <v>0</v>
      </c>
      <c r="L66" s="2">
        <v>4259</v>
      </c>
      <c r="M66" s="2">
        <v>0</v>
      </c>
      <c r="N66" s="1" t="str">
        <f>VLOOKUP(E66,'[1]ORG CODES'!$A:$C,3,FALSE)</f>
        <v>3412   ASA CONTINGENCY</v>
      </c>
    </row>
    <row r="67" spans="1:14" ht="14.45" hidden="1" x14ac:dyDescent="0.3">
      <c r="A67" t="str">
        <f>VLOOKUP(E67,'[1]ORG CODES'!$A:$B,2,FALSE)</f>
        <v>Student Funded Programs</v>
      </c>
      <c r="B67" s="1" t="s">
        <v>2</v>
      </c>
      <c r="C67" s="1" t="s">
        <v>3</v>
      </c>
      <c r="D67" s="1" t="s">
        <v>4</v>
      </c>
      <c r="E67" s="1" t="s">
        <v>108</v>
      </c>
      <c r="F67" s="1" t="s">
        <v>24</v>
      </c>
      <c r="H67" s="1" t="str">
        <f>VLOOKUP(F67,'[2]DX.OTHER.9.30.06 DETAIL'!$H$1:$J$65536,3,FALSE)</f>
        <v>Exp-Goods/Svcs</v>
      </c>
      <c r="I67" s="1">
        <v>4475</v>
      </c>
      <c r="J67" s="2">
        <v>0</v>
      </c>
      <c r="K67" s="2">
        <v>0</v>
      </c>
      <c r="L67" s="2">
        <v>4475</v>
      </c>
      <c r="M67" s="2">
        <v>0</v>
      </c>
      <c r="N67" s="1" t="str">
        <f>VLOOKUP(E67,'[1]ORG CODES'!$A:$C,3,FALSE)</f>
        <v>3413   LEGISLATIVE LIAISON</v>
      </c>
    </row>
    <row r="68" spans="1:14" ht="14.45" hidden="1" x14ac:dyDescent="0.3">
      <c r="A68" t="str">
        <f>VLOOKUP(E68,'[1]ORG CODES'!$A:$B,2,FALSE)</f>
        <v>Student Funded Programs</v>
      </c>
      <c r="B68" s="1" t="s">
        <v>2</v>
      </c>
      <c r="C68" s="1" t="s">
        <v>3</v>
      </c>
      <c r="D68" s="1" t="s">
        <v>4</v>
      </c>
      <c r="E68" s="1" t="s">
        <v>109</v>
      </c>
      <c r="F68" s="1" t="s">
        <v>24</v>
      </c>
      <c r="H68" s="1" t="str">
        <f>VLOOKUP(F68,'[2]DX.OTHER.9.30.06 DETAIL'!$H$1:$J$65536,3,FALSE)</f>
        <v>Exp-Goods/Svcs</v>
      </c>
      <c r="I68" s="1">
        <v>17000</v>
      </c>
      <c r="J68" s="2">
        <v>0</v>
      </c>
      <c r="K68" s="2">
        <v>0</v>
      </c>
      <c r="L68" s="2">
        <v>17000</v>
      </c>
      <c r="M68" s="2">
        <v>0</v>
      </c>
      <c r="N68" s="1" t="str">
        <f>VLOOKUP(E68,'[1]ORG CODES'!$A:$C,3,FALSE)</f>
        <v>3414   CULTURAL SERIES</v>
      </c>
    </row>
    <row r="69" spans="1:14" ht="14.45" hidden="1" x14ac:dyDescent="0.3">
      <c r="A69" t="str">
        <f>VLOOKUP(E69,'[1]ORG CODES'!$A:$B,2,FALSE)</f>
        <v>Student Funded Programs</v>
      </c>
      <c r="B69" s="1" t="s">
        <v>2</v>
      </c>
      <c r="C69" s="1" t="s">
        <v>3</v>
      </c>
      <c r="D69" s="1" t="s">
        <v>4</v>
      </c>
      <c r="E69" s="1" t="s">
        <v>110</v>
      </c>
      <c r="F69" s="1" t="s">
        <v>24</v>
      </c>
      <c r="H69" s="1" t="str">
        <f>VLOOKUP(F69,'[2]DX.OTHER.9.30.06 DETAIL'!$H$1:$J$65536,3,FALSE)</f>
        <v>Exp-Goods/Svcs</v>
      </c>
      <c r="I69" s="1">
        <v>3100</v>
      </c>
      <c r="J69" s="2">
        <v>0</v>
      </c>
      <c r="K69" s="2">
        <v>0</v>
      </c>
      <c r="L69" s="2">
        <v>3100</v>
      </c>
      <c r="M69" s="2">
        <v>0</v>
      </c>
      <c r="N69" s="1" t="str">
        <f>VLOOKUP(E69,'[1]ORG CODES'!$A:$C,3,FALSE)</f>
        <v>3415   SUPPLIES</v>
      </c>
    </row>
    <row r="70" spans="1:14" ht="14.45" hidden="1" x14ac:dyDescent="0.3">
      <c r="A70" t="str">
        <f>VLOOKUP(E70,'[1]ORG CODES'!$A:$B,2,FALSE)</f>
        <v>Student Funded Programs</v>
      </c>
      <c r="B70" s="1" t="s">
        <v>2</v>
      </c>
      <c r="C70" s="1" t="s">
        <v>3</v>
      </c>
      <c r="D70" s="1" t="s">
        <v>4</v>
      </c>
      <c r="E70" s="1" t="s">
        <v>114</v>
      </c>
      <c r="F70" s="1" t="s">
        <v>24</v>
      </c>
      <c r="H70" s="1" t="str">
        <f>VLOOKUP(F70,'[2]DX.OTHER.9.30.06 DETAIL'!$H$1:$J$65536,3,FALSE)</f>
        <v>Exp-Goods/Svcs</v>
      </c>
      <c r="I70" s="1">
        <v>0</v>
      </c>
      <c r="J70" s="2">
        <v>0</v>
      </c>
      <c r="K70" s="2">
        <v>0</v>
      </c>
      <c r="L70" s="2">
        <v>0</v>
      </c>
      <c r="M70" s="2">
        <v>0</v>
      </c>
      <c r="N70" s="1" t="str">
        <f>VLOOKUP(E70,'[1]ORG CODES'!$A:$C,3,FALSE)</f>
        <v>3417   TRAVEL</v>
      </c>
    </row>
    <row r="71" spans="1:14" ht="14.45" hidden="1" x14ac:dyDescent="0.3">
      <c r="A71" t="str">
        <f>VLOOKUP(E71,'[1]ORG CODES'!$A:$B,2,FALSE)</f>
        <v>Student Funded Programs</v>
      </c>
      <c r="B71" s="1" t="s">
        <v>2</v>
      </c>
      <c r="C71" s="1" t="s">
        <v>3</v>
      </c>
      <c r="D71" s="1" t="s">
        <v>4</v>
      </c>
      <c r="E71" s="1" t="s">
        <v>115</v>
      </c>
      <c r="F71" s="1" t="s">
        <v>24</v>
      </c>
      <c r="H71" s="1" t="str">
        <f>VLOOKUP(F71,'[2]DX.OTHER.9.30.06 DETAIL'!$H$1:$J$65536,3,FALSE)</f>
        <v>Exp-Goods/Svcs</v>
      </c>
      <c r="I71" s="1">
        <v>20729</v>
      </c>
      <c r="J71" s="2">
        <v>0</v>
      </c>
      <c r="K71" s="2">
        <v>0</v>
      </c>
      <c r="L71" s="2">
        <v>20729</v>
      </c>
      <c r="M71" s="2">
        <v>0</v>
      </c>
      <c r="N71" s="1" t="str">
        <f>VLOOKUP(E71,'[1]ORG CODES'!$A:$C,3,FALSE)</f>
        <v>3418   FOOD BANK</v>
      </c>
    </row>
    <row r="72" spans="1:14" ht="14.45" hidden="1" x14ac:dyDescent="0.3">
      <c r="A72" t="str">
        <f>VLOOKUP(E72,'[1]ORG CODES'!$A:$B,2,FALSE)</f>
        <v>Student Funded Programs</v>
      </c>
      <c r="B72" s="1" t="s">
        <v>2</v>
      </c>
      <c r="C72" s="1" t="s">
        <v>3</v>
      </c>
      <c r="D72" s="1" t="s">
        <v>4</v>
      </c>
      <c r="E72" s="1" t="s">
        <v>116</v>
      </c>
      <c r="F72" s="1" t="s">
        <v>24</v>
      </c>
      <c r="H72" s="1" t="str">
        <f>VLOOKUP(F72,'[2]DX.OTHER.9.30.06 DETAIL'!$H$1:$J$65536,3,FALSE)</f>
        <v>Exp-Goods/Svcs</v>
      </c>
      <c r="I72" s="1">
        <v>8000</v>
      </c>
      <c r="J72" s="2">
        <v>0</v>
      </c>
      <c r="K72" s="2">
        <v>0</v>
      </c>
      <c r="L72" s="2">
        <v>8000</v>
      </c>
      <c r="M72" s="2">
        <v>0</v>
      </c>
      <c r="N72" s="1" t="str">
        <f>VLOOKUP(E72,'[1]ORG CODES'!$A:$C,3,FALSE)</f>
        <v>3419   HEALTH SERVICES</v>
      </c>
    </row>
    <row r="73" spans="1:14" ht="14.45" hidden="1" x14ac:dyDescent="0.3">
      <c r="A73" t="str">
        <f>VLOOKUP(E73,'[1]ORG CODES'!$A:$B,2,FALSE)</f>
        <v>Student Funded Programs</v>
      </c>
      <c r="B73" s="1" t="s">
        <v>2</v>
      </c>
      <c r="C73" s="1" t="s">
        <v>3</v>
      </c>
      <c r="D73" s="1" t="s">
        <v>4</v>
      </c>
      <c r="E73" s="1" t="s">
        <v>117</v>
      </c>
      <c r="F73" s="1" t="s">
        <v>24</v>
      </c>
      <c r="H73" s="1" t="str">
        <f>VLOOKUP(F73,'[2]DX.OTHER.9.30.06 DETAIL'!$H$1:$J$65536,3,FALSE)</f>
        <v>Exp-Goods/Svcs</v>
      </c>
      <c r="I73" s="1">
        <v>11750</v>
      </c>
      <c r="J73" s="2">
        <v>0</v>
      </c>
      <c r="K73" s="2">
        <v>0</v>
      </c>
      <c r="L73" s="2">
        <v>11750</v>
      </c>
      <c r="M73" s="2">
        <v>0</v>
      </c>
      <c r="N73" s="1" t="str">
        <f>VLOOKUP(E73,'[1]ORG CODES'!$A:$C,3,FALSE)</f>
        <v>3420   SPECIAL EVENTS</v>
      </c>
    </row>
    <row r="74" spans="1:14" ht="14.45" hidden="1" x14ac:dyDescent="0.3">
      <c r="A74" t="str">
        <f>VLOOKUP(E74,'[1]ORG CODES'!$A:$B,2,FALSE)</f>
        <v>Student Funded Programs</v>
      </c>
      <c r="B74" s="1" t="s">
        <v>2</v>
      </c>
      <c r="C74" s="1" t="s">
        <v>3</v>
      </c>
      <c r="D74" s="1" t="s">
        <v>4</v>
      </c>
      <c r="E74" s="1" t="s">
        <v>118</v>
      </c>
      <c r="F74" s="1" t="s">
        <v>24</v>
      </c>
      <c r="H74" s="1" t="str">
        <f>VLOOKUP(F74,'[2]DX.OTHER.9.30.06 DETAIL'!$H$1:$J$65536,3,FALSE)</f>
        <v>Exp-Goods/Svcs</v>
      </c>
      <c r="I74" s="1">
        <v>9750</v>
      </c>
      <c r="J74" s="2">
        <v>0</v>
      </c>
      <c r="K74" s="2">
        <v>0</v>
      </c>
      <c r="L74" s="2">
        <v>9750</v>
      </c>
      <c r="M74" s="2">
        <v>0</v>
      </c>
      <c r="N74" s="1" t="str">
        <f>VLOOKUP(E74,'[1]ORG CODES'!$A:$C,3,FALSE)</f>
        <v>3421   CONCERTS/COMEDY</v>
      </c>
    </row>
    <row r="75" spans="1:14" ht="14.45" hidden="1" x14ac:dyDescent="0.3">
      <c r="A75" t="str">
        <f>VLOOKUP(E75,'[1]ORG CODES'!$A:$B,2,FALSE)</f>
        <v>Student Funded Programs</v>
      </c>
      <c r="B75" s="1" t="s">
        <v>2</v>
      </c>
      <c r="C75" s="1" t="s">
        <v>3</v>
      </c>
      <c r="D75" s="1" t="s">
        <v>4</v>
      </c>
      <c r="E75" s="1" t="s">
        <v>119</v>
      </c>
      <c r="F75" s="1" t="s">
        <v>24</v>
      </c>
      <c r="H75" s="1" t="str">
        <f>VLOOKUP(F75,'[2]DX.OTHER.9.30.06 DETAIL'!$H$1:$J$65536,3,FALSE)</f>
        <v>Exp-Goods/Svcs</v>
      </c>
      <c r="I75" s="1">
        <v>5505</v>
      </c>
      <c r="J75" s="2">
        <v>0</v>
      </c>
      <c r="K75" s="2">
        <v>0</v>
      </c>
      <c r="L75" s="2">
        <v>5505</v>
      </c>
      <c r="M75" s="2">
        <v>0</v>
      </c>
      <c r="N75" s="1" t="str">
        <f>VLOOKUP(E75,'[1]ORG CODES'!$A:$C,3,FALSE)</f>
        <v>3422   MUSIC PERF LICENSE</v>
      </c>
    </row>
    <row r="76" spans="1:14" ht="14.45" hidden="1" x14ac:dyDescent="0.3">
      <c r="A76" t="str">
        <f>VLOOKUP(E76,'[1]ORG CODES'!$A:$B,2,FALSE)</f>
        <v>Student Funded Programs</v>
      </c>
      <c r="B76" s="1" t="s">
        <v>2</v>
      </c>
      <c r="C76" s="1" t="s">
        <v>3</v>
      </c>
      <c r="D76" s="1" t="s">
        <v>4</v>
      </c>
      <c r="E76" s="1" t="s">
        <v>120</v>
      </c>
      <c r="F76" s="1" t="s">
        <v>24</v>
      </c>
      <c r="H76" s="1" t="str">
        <f>VLOOKUP(F76,'[2]DX.OTHER.9.30.06 DETAIL'!$H$1:$J$65536,3,FALSE)</f>
        <v>Exp-Goods/Svcs</v>
      </c>
      <c r="I76" s="1">
        <v>8900</v>
      </c>
      <c r="J76" s="2">
        <v>0</v>
      </c>
      <c r="K76" s="2">
        <v>0</v>
      </c>
      <c r="L76" s="2">
        <v>8900</v>
      </c>
      <c r="M76" s="2">
        <v>0</v>
      </c>
      <c r="N76" s="1" t="str">
        <f>VLOOKUP(E76,'[1]ORG CODES'!$A:$C,3,FALSE)</f>
        <v>3423   COLLEGE-WIDE THEME</v>
      </c>
    </row>
    <row r="77" spans="1:14" ht="14.45" hidden="1" x14ac:dyDescent="0.3">
      <c r="A77" t="str">
        <f>VLOOKUP(E77,'[1]ORG CODES'!$A:$B,2,FALSE)</f>
        <v>Student Funded Programs</v>
      </c>
      <c r="B77" s="1" t="s">
        <v>2</v>
      </c>
      <c r="C77" s="1" t="s">
        <v>3</v>
      </c>
      <c r="D77" s="1" t="s">
        <v>4</v>
      </c>
      <c r="E77" s="1" t="s">
        <v>121</v>
      </c>
      <c r="F77" s="1" t="s">
        <v>24</v>
      </c>
      <c r="H77" s="1" t="str">
        <f>VLOOKUP(F77,'[2]DX.OTHER.9.30.06 DETAIL'!$H$1:$J$65536,3,FALSE)</f>
        <v>Exp-Goods/Svcs</v>
      </c>
      <c r="I77" s="1">
        <v>9250</v>
      </c>
      <c r="J77" s="2">
        <v>0</v>
      </c>
      <c r="K77" s="2">
        <v>0</v>
      </c>
      <c r="L77" s="2">
        <v>9250</v>
      </c>
      <c r="M77" s="2">
        <v>0</v>
      </c>
      <c r="N77" s="1" t="str">
        <f>VLOOKUP(E77,'[1]ORG CODES'!$A:$C,3,FALSE)</f>
        <v>3424   SPEAKERS/SEMINARS</v>
      </c>
    </row>
    <row r="78" spans="1:14" ht="14.45" hidden="1" x14ac:dyDescent="0.3">
      <c r="A78" t="str">
        <f>VLOOKUP(E78,'[1]ORG CODES'!$A:$B,2,FALSE)</f>
        <v>Student Funded Programs</v>
      </c>
      <c r="B78" s="1" t="s">
        <v>2</v>
      </c>
      <c r="C78" s="1" t="s">
        <v>3</v>
      </c>
      <c r="D78" s="1" t="s">
        <v>4</v>
      </c>
      <c r="E78" s="1" t="s">
        <v>122</v>
      </c>
      <c r="F78" s="1" t="s">
        <v>24</v>
      </c>
      <c r="H78" s="1" t="str">
        <f>VLOOKUP(F78,'[2]DX.OTHER.9.30.06 DETAIL'!$H$1:$J$65536,3,FALSE)</f>
        <v>Exp-Goods/Svcs</v>
      </c>
      <c r="I78" s="1">
        <v>11875</v>
      </c>
      <c r="J78" s="2">
        <v>0</v>
      </c>
      <c r="K78" s="2">
        <v>0</v>
      </c>
      <c r="L78" s="2">
        <v>11875</v>
      </c>
      <c r="M78" s="2">
        <v>0</v>
      </c>
      <c r="N78" s="1" t="str">
        <f>VLOOKUP(E78,'[1]ORG CODES'!$A:$C,3,FALSE)</f>
        <v>3425   OUTREACH EDUCATION</v>
      </c>
    </row>
    <row r="79" spans="1:14" ht="14.45" hidden="1" x14ac:dyDescent="0.3">
      <c r="A79" t="str">
        <f>VLOOKUP(E79,'[1]ORG CODES'!$A:$B,2,FALSE)</f>
        <v>Student Funded Programs</v>
      </c>
      <c r="B79" s="1" t="s">
        <v>2</v>
      </c>
      <c r="C79" s="1" t="s">
        <v>3</v>
      </c>
      <c r="D79" s="1" t="s">
        <v>4</v>
      </c>
      <c r="E79" s="1" t="s">
        <v>123</v>
      </c>
      <c r="F79" s="1" t="s">
        <v>24</v>
      </c>
      <c r="H79" s="1" t="str">
        <f>VLOOKUP(F79,'[2]DX.OTHER.9.30.06 DETAIL'!$H$1:$J$65536,3,FALSE)</f>
        <v>Exp-Goods/Svcs</v>
      </c>
      <c r="I79" s="1">
        <v>6146</v>
      </c>
      <c r="J79" s="2">
        <v>0</v>
      </c>
      <c r="K79" s="2">
        <v>0</v>
      </c>
      <c r="L79" s="2">
        <v>6146</v>
      </c>
      <c r="M79" s="2">
        <v>0</v>
      </c>
      <c r="N79" s="1" t="str">
        <f>VLOOKUP(E79,'[1]ORG CODES'!$A:$C,3,FALSE)</f>
        <v>3426   EQUIPMENT</v>
      </c>
    </row>
    <row r="80" spans="1:14" ht="14.45" hidden="1" x14ac:dyDescent="0.3">
      <c r="A80" t="str">
        <f>VLOOKUP(E80,'[1]ORG CODES'!$A:$B,2,FALSE)</f>
        <v>Student Funded Programs</v>
      </c>
      <c r="B80" s="1" t="s">
        <v>2</v>
      </c>
      <c r="C80" s="1" t="s">
        <v>3</v>
      </c>
      <c r="D80" s="1" t="s">
        <v>4</v>
      </c>
      <c r="E80" s="1" t="s">
        <v>124</v>
      </c>
      <c r="F80" s="1" t="s">
        <v>24</v>
      </c>
      <c r="H80" s="1" t="str">
        <f>VLOOKUP(F80,'[2]DX.OTHER.9.30.06 DETAIL'!$H$1:$J$65536,3,FALSE)</f>
        <v>Exp-Goods/Svcs</v>
      </c>
      <c r="I80" s="1">
        <v>2000</v>
      </c>
      <c r="J80" s="2">
        <v>0</v>
      </c>
      <c r="K80" s="2">
        <v>0</v>
      </c>
      <c r="L80" s="2">
        <v>2000</v>
      </c>
      <c r="M80" s="2">
        <v>0</v>
      </c>
      <c r="N80" s="1" t="str">
        <f>VLOOKUP(E80,'[1]ORG CODES'!$A:$C,3,FALSE)</f>
        <v>3427   INTERPRETERS SUPPORT</v>
      </c>
    </row>
    <row r="81" spans="1:14" ht="14.45" hidden="1" x14ac:dyDescent="0.3">
      <c r="A81" t="str">
        <f>VLOOKUP(E81,'[1]ORG CODES'!$A:$B,2,FALSE)</f>
        <v>Student Funded Programs</v>
      </c>
      <c r="B81" s="1" t="s">
        <v>2</v>
      </c>
      <c r="C81" s="1" t="s">
        <v>3</v>
      </c>
      <c r="D81" s="1" t="s">
        <v>4</v>
      </c>
      <c r="E81" s="1" t="s">
        <v>125</v>
      </c>
      <c r="F81" s="1" t="s">
        <v>24</v>
      </c>
      <c r="H81" s="1" t="str">
        <f>VLOOKUP(F81,'[2]DX.OTHER.9.30.06 DETAIL'!$H$1:$J$65536,3,FALSE)</f>
        <v>Exp-Goods/Svcs</v>
      </c>
      <c r="I81" s="1">
        <v>27810</v>
      </c>
      <c r="J81" s="2">
        <v>0</v>
      </c>
      <c r="K81" s="2">
        <v>0</v>
      </c>
      <c r="L81" s="2">
        <v>27810</v>
      </c>
      <c r="M81" s="2">
        <v>0</v>
      </c>
      <c r="N81" s="1" t="str">
        <f>VLOOKUP(E81,'[1]ORG CODES'!$A:$C,3,FALSE)</f>
        <v>3428   SECURITY</v>
      </c>
    </row>
    <row r="82" spans="1:14" ht="14.45" hidden="1" x14ac:dyDescent="0.3">
      <c r="A82" t="str">
        <f>VLOOKUP(E82,'[1]ORG CODES'!$A:$B,2,FALSE)</f>
        <v>Student Funded Programs</v>
      </c>
      <c r="B82" s="1" t="s">
        <v>2</v>
      </c>
      <c r="C82" s="1" t="s">
        <v>3</v>
      </c>
      <c r="D82" s="1" t="s">
        <v>4</v>
      </c>
      <c r="E82" s="1" t="s">
        <v>126</v>
      </c>
      <c r="F82" s="1" t="s">
        <v>24</v>
      </c>
      <c r="H82" s="1" t="str">
        <f>VLOOKUP(F82,'[2]DX.OTHER.9.30.06 DETAIL'!$H$1:$J$65536,3,FALSE)</f>
        <v>Exp-Goods/Svcs</v>
      </c>
      <c r="I82" s="1">
        <v>0</v>
      </c>
      <c r="J82" s="2">
        <v>0</v>
      </c>
      <c r="K82" s="2">
        <v>0</v>
      </c>
      <c r="L82" s="2">
        <v>0</v>
      </c>
      <c r="M82" s="2">
        <v>0</v>
      </c>
      <c r="N82" s="1" t="str">
        <f>VLOOKUP(E82,'[1]ORG CODES'!$A:$C,3,FALSE)</f>
        <v>3429   SUB RENOVATION</v>
      </c>
    </row>
    <row r="83" spans="1:14" ht="14.45" hidden="1" x14ac:dyDescent="0.3">
      <c r="A83" t="str">
        <f>VLOOKUP(E83,'[1]ORG CODES'!$A:$B,2,FALSE)</f>
        <v>Student Funded Programs</v>
      </c>
      <c r="B83" s="1" t="s">
        <v>2</v>
      </c>
      <c r="C83" s="1" t="s">
        <v>3</v>
      </c>
      <c r="D83" s="1" t="s">
        <v>4</v>
      </c>
      <c r="E83" s="1" t="s">
        <v>127</v>
      </c>
      <c r="F83" s="1" t="s">
        <v>24</v>
      </c>
      <c r="H83" s="1" t="str">
        <f>VLOOKUP(F83,'[2]DX.OTHER.9.30.06 DETAIL'!$H$1:$J$65536,3,FALSE)</f>
        <v>Exp-Goods/Svcs</v>
      </c>
      <c r="I83" s="1">
        <v>0</v>
      </c>
      <c r="J83" s="2">
        <v>0</v>
      </c>
      <c r="K83" s="2">
        <v>0</v>
      </c>
      <c r="L83" s="2">
        <v>0</v>
      </c>
      <c r="M83" s="2">
        <v>0</v>
      </c>
      <c r="N83" s="1" t="str">
        <f>VLOOKUP(E83,'[1]ORG CODES'!$A:$C,3,FALSE)</f>
        <v>3430   STUDENT MEDIA LAB</v>
      </c>
    </row>
    <row r="84" spans="1:14" ht="14.45" hidden="1" x14ac:dyDescent="0.3">
      <c r="A84" t="str">
        <f>VLOOKUP(E84,'[1]ORG CODES'!$A:$B,2,FALSE)</f>
        <v>Student Funded Programs</v>
      </c>
      <c r="B84" s="1" t="s">
        <v>2</v>
      </c>
      <c r="C84" s="1" t="s">
        <v>3</v>
      </c>
      <c r="D84" s="1" t="s">
        <v>4</v>
      </c>
      <c r="E84" s="1" t="s">
        <v>128</v>
      </c>
      <c r="F84" s="1" t="s">
        <v>24</v>
      </c>
      <c r="H84" s="1" t="str">
        <f>VLOOKUP(F84,'[2]DX.OTHER.9.30.06 DETAIL'!$H$1:$J$65536,3,FALSE)</f>
        <v>Exp-Goods/Svcs</v>
      </c>
      <c r="I84" s="1">
        <v>0</v>
      </c>
      <c r="J84" s="2">
        <v>0</v>
      </c>
      <c r="K84" s="2">
        <v>0</v>
      </c>
      <c r="L84" s="2">
        <v>0</v>
      </c>
      <c r="M84" s="2">
        <v>0</v>
      </c>
      <c r="N84" s="1" t="str">
        <f>VLOOKUP(E84,'[1]ORG CODES'!$A:$C,3,FALSE)</f>
        <v>3431   PT HOURLY SUPPORT</v>
      </c>
    </row>
    <row r="85" spans="1:14" ht="14.45" hidden="1" x14ac:dyDescent="0.3">
      <c r="A85" t="str">
        <f>VLOOKUP(E85,'[1]ORG CODES'!$A:$B,2,FALSE)</f>
        <v>Student Funded Programs</v>
      </c>
      <c r="B85" s="1" t="s">
        <v>2</v>
      </c>
      <c r="C85" s="1" t="s">
        <v>3</v>
      </c>
      <c r="D85" s="1" t="s">
        <v>4</v>
      </c>
      <c r="E85" s="1" t="s">
        <v>129</v>
      </c>
      <c r="F85" s="1" t="s">
        <v>24</v>
      </c>
      <c r="H85" s="1" t="str">
        <f>VLOOKUP(F85,'[2]DX.OTHER.9.30.06 DETAIL'!$H$1:$J$65536,3,FALSE)</f>
        <v>Exp-Goods/Svcs</v>
      </c>
      <c r="I85" s="1">
        <v>0</v>
      </c>
      <c r="J85" s="2">
        <v>0</v>
      </c>
      <c r="K85" s="2">
        <v>0</v>
      </c>
      <c r="L85" s="2">
        <v>0</v>
      </c>
      <c r="M85" s="2">
        <v>0</v>
      </c>
      <c r="N85" s="1" t="str">
        <f>VLOOKUP(E85,'[1]ORG CODES'!$A:$C,3,FALSE)</f>
        <v>3432   ATHLETICS STADIUM</v>
      </c>
    </row>
    <row r="86" spans="1:14" ht="14.45" hidden="1" x14ac:dyDescent="0.3">
      <c r="A86" t="str">
        <f>VLOOKUP(E86,'[1]ORG CODES'!$A:$B,2,FALSE)</f>
        <v>Student Funded Programs</v>
      </c>
      <c r="B86" s="1" t="s">
        <v>2</v>
      </c>
      <c r="C86" s="1" t="s">
        <v>3</v>
      </c>
      <c r="D86" s="1" t="s">
        <v>4</v>
      </c>
      <c r="E86" s="1" t="s">
        <v>130</v>
      </c>
      <c r="F86" s="1" t="s">
        <v>24</v>
      </c>
      <c r="H86" s="1" t="str">
        <f>VLOOKUP(F86,'[2]DX.OTHER.9.30.06 DETAIL'!$H$1:$J$65536,3,FALSE)</f>
        <v>Exp-Goods/Svcs</v>
      </c>
      <c r="I86" s="1">
        <v>2770</v>
      </c>
      <c r="J86" s="2">
        <v>0</v>
      </c>
      <c r="K86" s="2">
        <v>0</v>
      </c>
      <c r="L86" s="2">
        <v>2770</v>
      </c>
      <c r="M86" s="2">
        <v>0</v>
      </c>
      <c r="N86" s="1" t="str">
        <f>VLOOKUP(E86,'[1]ORG CODES'!$A:$C,3,FALSE)</f>
        <v>3433   ANIME CLUB</v>
      </c>
    </row>
    <row r="87" spans="1:14" ht="14.45" hidden="1" x14ac:dyDescent="0.3">
      <c r="A87" t="str">
        <f>VLOOKUP(E87,'[1]ORG CODES'!$A:$B,2,FALSE)</f>
        <v>Student Funded Programs</v>
      </c>
      <c r="B87" s="1" t="s">
        <v>2</v>
      </c>
      <c r="C87" s="1" t="s">
        <v>3</v>
      </c>
      <c r="D87" s="1" t="s">
        <v>4</v>
      </c>
      <c r="E87" s="1" t="s">
        <v>132</v>
      </c>
      <c r="F87" s="1" t="s">
        <v>24</v>
      </c>
      <c r="H87" s="1" t="str">
        <f>VLOOKUP(F87,'[2]DX.OTHER.9.30.06 DETAIL'!$H$1:$J$65536,3,FALSE)</f>
        <v>Exp-Goods/Svcs</v>
      </c>
      <c r="I87" s="1">
        <v>12277</v>
      </c>
      <c r="J87" s="2">
        <v>0</v>
      </c>
      <c r="K87" s="2">
        <v>0</v>
      </c>
      <c r="L87" s="2">
        <v>12277</v>
      </c>
      <c r="M87" s="2">
        <v>0</v>
      </c>
      <c r="N87" s="1" t="str">
        <f>VLOOKUP(E87,'[1]ORG CODES'!$A:$C,3,FALSE)</f>
        <v>3435   BLACK STUDENT UNION</v>
      </c>
    </row>
    <row r="88" spans="1:14" ht="14.45" hidden="1" x14ac:dyDescent="0.3">
      <c r="A88" t="str">
        <f>VLOOKUP(E88,'[1]ORG CODES'!$A:$B,2,FALSE)</f>
        <v>Student Funded Programs</v>
      </c>
      <c r="B88" s="1" t="s">
        <v>2</v>
      </c>
      <c r="C88" s="1" t="s">
        <v>3</v>
      </c>
      <c r="D88" s="1" t="s">
        <v>4</v>
      </c>
      <c r="E88" s="1" t="s">
        <v>134</v>
      </c>
      <c r="F88" s="1" t="s">
        <v>24</v>
      </c>
      <c r="H88" s="1" t="str">
        <f>VLOOKUP(F88,'[2]DX.OTHER.9.30.06 DETAIL'!$H$1:$J$65536,3,FALSE)</f>
        <v>Exp-Goods/Svcs</v>
      </c>
      <c r="I88" s="1">
        <v>3640</v>
      </c>
      <c r="J88" s="2">
        <v>0</v>
      </c>
      <c r="K88" s="2">
        <v>0</v>
      </c>
      <c r="L88" s="2">
        <v>3640</v>
      </c>
      <c r="M88" s="2">
        <v>0</v>
      </c>
      <c r="N88" s="1" t="str">
        <f>VLOOKUP(E88,'[1]ORG CODES'!$A:$C,3,FALSE)</f>
        <v>3436   ART CLUB</v>
      </c>
    </row>
    <row r="89" spans="1:14" ht="14.45" hidden="1" x14ac:dyDescent="0.3">
      <c r="A89" t="str">
        <f>VLOOKUP(E89,'[1]ORG CODES'!$A:$B,2,FALSE)</f>
        <v>Student Funded Programs</v>
      </c>
      <c r="B89" s="1" t="s">
        <v>2</v>
      </c>
      <c r="C89" s="1" t="s">
        <v>3</v>
      </c>
      <c r="D89" s="1" t="s">
        <v>4</v>
      </c>
      <c r="E89" s="1" t="s">
        <v>135</v>
      </c>
      <c r="F89" s="1" t="s">
        <v>24</v>
      </c>
      <c r="H89" s="1" t="str">
        <f>VLOOKUP(F89,'[2]DX.OTHER.9.30.06 DETAIL'!$H$1:$J$65536,3,FALSE)</f>
        <v>Exp-Goods/Svcs</v>
      </c>
      <c r="I89" s="1">
        <v>1500</v>
      </c>
      <c r="J89" s="2">
        <v>0</v>
      </c>
      <c r="K89" s="2">
        <v>0</v>
      </c>
      <c r="L89" s="2">
        <v>1500</v>
      </c>
      <c r="M89" s="2">
        <v>0</v>
      </c>
      <c r="N89" s="1" t="str">
        <f>VLOOKUP(E89,'[1]ORG CODES'!$A:$C,3,FALSE)</f>
        <v>3437   SFCC VETS CLUB</v>
      </c>
    </row>
    <row r="90" spans="1:14" ht="14.45" hidden="1" x14ac:dyDescent="0.3">
      <c r="A90" t="str">
        <f>VLOOKUP(E90,'[1]ORG CODES'!$A:$B,2,FALSE)</f>
        <v>Student Funded Programs</v>
      </c>
      <c r="B90" s="1" t="s">
        <v>2</v>
      </c>
      <c r="C90" s="1" t="s">
        <v>3</v>
      </c>
      <c r="D90" s="1" t="s">
        <v>4</v>
      </c>
      <c r="E90" s="1" t="s">
        <v>137</v>
      </c>
      <c r="F90" s="1" t="s">
        <v>24</v>
      </c>
      <c r="H90" s="1" t="str">
        <f>VLOOKUP(F90,'[2]DX.OTHER.9.30.06 DETAIL'!$H$1:$J$65536,3,FALSE)</f>
        <v>Exp-Goods/Svcs</v>
      </c>
      <c r="I90" s="1">
        <v>0</v>
      </c>
      <c r="J90" s="2">
        <v>0</v>
      </c>
      <c r="K90" s="2">
        <v>0</v>
      </c>
      <c r="L90" s="2">
        <v>0</v>
      </c>
      <c r="M90" s="2">
        <v>0</v>
      </c>
      <c r="N90" s="1" t="str">
        <f>VLOOKUP(E90,'[1]ORG CODES'!$A:$C,3,FALSE)</f>
        <v>3438   VIDEO PRODUCTION</v>
      </c>
    </row>
    <row r="91" spans="1:14" ht="14.45" hidden="1" x14ac:dyDescent="0.3">
      <c r="A91" t="str">
        <f>VLOOKUP(E91,'[1]ORG CODES'!$A:$B,2,FALSE)</f>
        <v>Student Funded Programs</v>
      </c>
      <c r="B91" s="1" t="s">
        <v>2</v>
      </c>
      <c r="C91" s="1" t="s">
        <v>3</v>
      </c>
      <c r="D91" s="1" t="s">
        <v>4</v>
      </c>
      <c r="E91" s="1" t="s">
        <v>138</v>
      </c>
      <c r="F91" s="1" t="s">
        <v>24</v>
      </c>
      <c r="H91" s="1" t="str">
        <f>VLOOKUP(F91,'[2]DX.OTHER.9.30.06 DETAIL'!$H$1:$J$65536,3,FALSE)</f>
        <v>Exp-Goods/Svcs</v>
      </c>
      <c r="I91" s="1">
        <v>0</v>
      </c>
      <c r="J91" s="2">
        <v>0</v>
      </c>
      <c r="K91" s="2">
        <v>0</v>
      </c>
      <c r="L91" s="2">
        <v>0</v>
      </c>
      <c r="M91" s="2">
        <v>0</v>
      </c>
      <c r="N91" s="1" t="str">
        <f>VLOOKUP(E91,'[1]ORG CODES'!$A:$C,3,FALSE)</f>
        <v>3439   ASSOC MEN STUDENTS</v>
      </c>
    </row>
    <row r="92" spans="1:14" ht="14.45" hidden="1" x14ac:dyDescent="0.3">
      <c r="A92" t="str">
        <f>VLOOKUP(E92,'[1]ORG CODES'!$A:$B,2,FALSE)</f>
        <v>Student Funded Programs</v>
      </c>
      <c r="B92" s="1" t="s">
        <v>2</v>
      </c>
      <c r="C92" s="1" t="s">
        <v>3</v>
      </c>
      <c r="D92" s="1" t="s">
        <v>4</v>
      </c>
      <c r="E92" s="1" t="s">
        <v>139</v>
      </c>
      <c r="F92" s="1" t="s">
        <v>24</v>
      </c>
      <c r="H92" s="1" t="str">
        <f>VLOOKUP(F92,'[2]DX.OTHER.9.30.06 DETAIL'!$H$1:$J$65536,3,FALSE)</f>
        <v>Exp-Goods/Svcs</v>
      </c>
      <c r="I92" s="1">
        <v>940</v>
      </c>
      <c r="J92" s="2">
        <v>0</v>
      </c>
      <c r="K92" s="2">
        <v>0</v>
      </c>
      <c r="L92" s="2">
        <v>940</v>
      </c>
      <c r="M92" s="2">
        <v>0</v>
      </c>
      <c r="N92" s="1" t="str">
        <f>VLOOKUP(E92,'[1]ORG CODES'!$A:$C,3,FALSE)</f>
        <v>3440  CREATIVE WRITING</v>
      </c>
    </row>
    <row r="93" spans="1:14" ht="14.45" hidden="1" x14ac:dyDescent="0.3">
      <c r="A93" t="str">
        <f>VLOOKUP(E93,'[1]ORG CODES'!$A:$B,2,FALSE)</f>
        <v>Student Funded Programs</v>
      </c>
      <c r="B93" s="1" t="s">
        <v>2</v>
      </c>
      <c r="C93" s="1" t="s">
        <v>3</v>
      </c>
      <c r="D93" s="1" t="s">
        <v>4</v>
      </c>
      <c r="E93" s="1" t="s">
        <v>140</v>
      </c>
      <c r="F93" s="1" t="s">
        <v>24</v>
      </c>
      <c r="H93" s="1" t="str">
        <f>VLOOKUP(F93,'[2]DX.OTHER.9.30.06 DETAIL'!$H$1:$J$65536,3,FALSE)</f>
        <v>Exp-Goods/Svcs</v>
      </c>
      <c r="I93" s="1">
        <v>1155</v>
      </c>
      <c r="J93" s="2">
        <v>0</v>
      </c>
      <c r="K93" s="2">
        <v>0</v>
      </c>
      <c r="L93" s="2">
        <v>1155</v>
      </c>
      <c r="M93" s="2">
        <v>0</v>
      </c>
      <c r="N93" s="1" t="str">
        <f>VLOOKUP(E93,'[1]ORG CODES'!$A:$C,3,FALSE)</f>
        <v>3441  JAPANESE CLUB</v>
      </c>
    </row>
    <row r="94" spans="1:14" ht="14.45" hidden="1" x14ac:dyDescent="0.3">
      <c r="A94" t="str">
        <f>VLOOKUP(E94,'[1]ORG CODES'!$A:$B,2,FALSE)</f>
        <v>Student Funded Programs</v>
      </c>
      <c r="B94" s="1" t="s">
        <v>2</v>
      </c>
      <c r="C94" s="1" t="s">
        <v>3</v>
      </c>
      <c r="D94" s="1" t="s">
        <v>4</v>
      </c>
      <c r="E94" s="1" t="s">
        <v>142</v>
      </c>
      <c r="F94" s="1" t="s">
        <v>24</v>
      </c>
      <c r="H94" s="1" t="str">
        <f>VLOOKUP(F94,'[2]DX.OTHER.9.30.06 DETAIL'!$H$1:$J$65536,3,FALSE)</f>
        <v>Exp-Goods/Svcs</v>
      </c>
      <c r="I94" s="1">
        <v>5070</v>
      </c>
      <c r="J94" s="2">
        <v>0</v>
      </c>
      <c r="K94" s="2">
        <v>0</v>
      </c>
      <c r="L94" s="2">
        <v>5070</v>
      </c>
      <c r="M94" s="2">
        <v>0</v>
      </c>
      <c r="N94" s="1" t="str">
        <f>VLOOKUP(E94,'[1]ORG CODES'!$A:$C,3,FALSE)</f>
        <v>3442   ASSOC WOMEN STUDENTS</v>
      </c>
    </row>
    <row r="95" spans="1:14" ht="14.45" hidden="1" x14ac:dyDescent="0.3">
      <c r="A95" t="str">
        <f>VLOOKUP(E95,'[1]ORG CODES'!$A:$B,2,FALSE)</f>
        <v>Student Funded Programs</v>
      </c>
      <c r="B95" s="1" t="s">
        <v>2</v>
      </c>
      <c r="C95" s="1" t="s">
        <v>3</v>
      </c>
      <c r="D95" s="1" t="s">
        <v>4</v>
      </c>
      <c r="E95" s="1" t="s">
        <v>144</v>
      </c>
      <c r="F95" s="1" t="s">
        <v>24</v>
      </c>
      <c r="H95" s="1" t="str">
        <f>VLOOKUP(F95,'[2]DX.OTHER.9.30.06 DETAIL'!$H$1:$J$65536,3,FALSE)</f>
        <v>Exp-Goods/Svcs</v>
      </c>
      <c r="I95" s="1">
        <v>1030</v>
      </c>
      <c r="J95" s="2">
        <v>0</v>
      </c>
      <c r="K95" s="2">
        <v>0</v>
      </c>
      <c r="L95" s="2">
        <v>1030</v>
      </c>
      <c r="M95" s="2">
        <v>0</v>
      </c>
      <c r="N95" s="1" t="str">
        <f>VLOOKUP(E95,'[1]ORG CODES'!$A:$C,3,FALSE)</f>
        <v>3443   DANCE CLUB</v>
      </c>
    </row>
    <row r="96" spans="1:14" ht="14.45" hidden="1" x14ac:dyDescent="0.3">
      <c r="A96" t="str">
        <f>VLOOKUP(E96,'[1]ORG CODES'!$A:$B,2,FALSE)</f>
        <v>Student Funded Programs</v>
      </c>
      <c r="B96" s="1" t="s">
        <v>2</v>
      </c>
      <c r="C96" s="1" t="s">
        <v>3</v>
      </c>
      <c r="D96" s="1" t="s">
        <v>4</v>
      </c>
      <c r="E96" s="1" t="s">
        <v>146</v>
      </c>
      <c r="F96" s="1" t="s">
        <v>24</v>
      </c>
      <c r="H96" s="1" t="str">
        <f>VLOOKUP(F96,'[2]DX.OTHER.9.30.06 DETAIL'!$H$1:$J$65536,3,FALSE)</f>
        <v>Exp-Goods/Svcs</v>
      </c>
      <c r="I96" s="1">
        <v>2010</v>
      </c>
      <c r="J96" s="2">
        <v>0</v>
      </c>
      <c r="K96" s="2">
        <v>0</v>
      </c>
      <c r="L96" s="2">
        <v>2010</v>
      </c>
      <c r="M96" s="2">
        <v>0</v>
      </c>
      <c r="N96" s="1" t="str">
        <f>VLOOKUP(E96,'[1]ORG CODES'!$A:$C,3,FALSE)</f>
        <v>3445   ASIAN AMERICAN CLUB</v>
      </c>
    </row>
    <row r="97" spans="1:14" ht="14.45" hidden="1" x14ac:dyDescent="0.3">
      <c r="A97" t="str">
        <f>VLOOKUP(E97,'[1]ORG CODES'!$A:$B,2,FALSE)</f>
        <v>Student Funded Programs</v>
      </c>
      <c r="B97" s="1" t="s">
        <v>2</v>
      </c>
      <c r="C97" s="1" t="s">
        <v>3</v>
      </c>
      <c r="D97" s="1" t="s">
        <v>4</v>
      </c>
      <c r="E97" s="1" t="s">
        <v>149</v>
      </c>
      <c r="F97" s="1" t="s">
        <v>24</v>
      </c>
      <c r="H97" s="1" t="str">
        <f>VLOOKUP(F97,'[2]DX.OTHER.9.30.06 DETAIL'!$H$1:$J$65536,3,FALSE)</f>
        <v>Exp-Goods/Svcs</v>
      </c>
      <c r="I97" s="1">
        <v>6150</v>
      </c>
      <c r="J97" s="2">
        <v>0</v>
      </c>
      <c r="K97" s="2">
        <v>0</v>
      </c>
      <c r="L97" s="2">
        <v>6150</v>
      </c>
      <c r="M97" s="2">
        <v>0</v>
      </c>
      <c r="N97" s="1" t="str">
        <f>VLOOKUP(E97,'[1]ORG CODES'!$A:$C,3,FALSE)</f>
        <v>3446   SVC LRN</v>
      </c>
    </row>
    <row r="98" spans="1:14" ht="14.45" hidden="1" x14ac:dyDescent="0.3">
      <c r="A98" t="str">
        <f>VLOOKUP(E98,'[1]ORG CODES'!$A:$B,2,FALSE)</f>
        <v>Student Funded Programs</v>
      </c>
      <c r="B98" s="1" t="s">
        <v>2</v>
      </c>
      <c r="C98" s="1" t="s">
        <v>3</v>
      </c>
      <c r="D98" s="1" t="s">
        <v>4</v>
      </c>
      <c r="E98" s="1" t="s">
        <v>151</v>
      </c>
      <c r="F98" s="1" t="s">
        <v>24</v>
      </c>
      <c r="H98" s="1" t="str">
        <f>VLOOKUP(F98,'[2]DX.OTHER.9.30.06 DETAIL'!$H$1:$J$65536,3,FALSE)</f>
        <v>Exp-Goods/Svcs</v>
      </c>
      <c r="I98" s="1">
        <v>1800</v>
      </c>
      <c r="J98" s="2">
        <v>0</v>
      </c>
      <c r="K98" s="2">
        <v>0</v>
      </c>
      <c r="L98" s="2">
        <v>1800</v>
      </c>
      <c r="M98" s="2">
        <v>0</v>
      </c>
      <c r="N98" s="1" t="str">
        <f>VLOOKUP(E98,'[1]ORG CODES'!$A:$C,3,FALSE)</f>
        <v>3447   FALLS CHRISTIAN FELLOWSHIP</v>
      </c>
    </row>
    <row r="99" spans="1:14" ht="14.45" hidden="1" x14ac:dyDescent="0.3">
      <c r="A99" t="str">
        <f>VLOOKUP(E99,'[1]ORG CODES'!$A:$B,2,FALSE)</f>
        <v>Student Funded Programs</v>
      </c>
      <c r="B99" s="1" t="s">
        <v>2</v>
      </c>
      <c r="C99" s="1" t="s">
        <v>3</v>
      </c>
      <c r="D99" s="1" t="s">
        <v>4</v>
      </c>
      <c r="E99" s="1" t="s">
        <v>152</v>
      </c>
      <c r="F99" s="1" t="s">
        <v>24</v>
      </c>
      <c r="H99" s="1" t="str">
        <f>VLOOKUP(F99,'[2]DX.OTHER.9.30.06 DETAIL'!$H$1:$J$65536,3,FALSE)</f>
        <v>Exp-Goods/Svcs</v>
      </c>
      <c r="I99" s="1">
        <v>1700</v>
      </c>
      <c r="J99" s="2">
        <v>0</v>
      </c>
      <c r="K99" s="2">
        <v>0</v>
      </c>
      <c r="L99" s="2">
        <v>1700</v>
      </c>
      <c r="M99" s="2">
        <v>0</v>
      </c>
      <c r="N99" s="1" t="str">
        <f>VLOOKUP(E99,'[1]ORG CODES'!$A:$C,3,FALSE)</f>
        <v>3348   SFCC GAMERS</v>
      </c>
    </row>
    <row r="100" spans="1:14" ht="14.45" hidden="1" x14ac:dyDescent="0.3">
      <c r="A100" t="str">
        <f>VLOOKUP(E100,'[1]ORG CODES'!$A:$B,2,FALSE)</f>
        <v>Student Funded Programs</v>
      </c>
      <c r="B100" s="1" t="s">
        <v>2</v>
      </c>
      <c r="C100" s="1" t="s">
        <v>3</v>
      </c>
      <c r="D100" s="1" t="s">
        <v>4</v>
      </c>
      <c r="E100" s="1" t="s">
        <v>153</v>
      </c>
      <c r="F100" s="1" t="s">
        <v>24</v>
      </c>
      <c r="H100" s="1" t="str">
        <f>VLOOKUP(F100,'[2]DX.OTHER.9.30.06 DETAIL'!$H$1:$J$65536,3,FALSE)</f>
        <v>Exp-Goods/Svcs</v>
      </c>
      <c r="I100" s="1">
        <v>0</v>
      </c>
      <c r="J100" s="2">
        <v>0</v>
      </c>
      <c r="K100" s="2">
        <v>0</v>
      </c>
      <c r="L100" s="2">
        <v>0</v>
      </c>
      <c r="M100" s="2">
        <v>0</v>
      </c>
      <c r="N100" s="1" t="str">
        <f>VLOOKUP(E100,'[1]ORG CODES'!$A:$C,3,FALSE)</f>
        <v>3449   LDSSA</v>
      </c>
    </row>
    <row r="101" spans="1:14" ht="14.45" hidden="1" x14ac:dyDescent="0.3">
      <c r="A101" t="str">
        <f>VLOOKUP(E101,'[1]ORG CODES'!$A:$B,2,FALSE)</f>
        <v>Student Funded Programs</v>
      </c>
      <c r="B101" s="1" t="s">
        <v>2</v>
      </c>
      <c r="C101" s="1" t="s">
        <v>3</v>
      </c>
      <c r="D101" s="1" t="s">
        <v>4</v>
      </c>
      <c r="E101" s="1" t="s">
        <v>154</v>
      </c>
      <c r="F101" s="1" t="s">
        <v>24</v>
      </c>
      <c r="H101" s="1" t="str">
        <f>VLOOKUP(F101,'[2]DX.OTHER.9.30.06 DETAIL'!$H$1:$J$65536,3,FALSE)</f>
        <v>Exp-Goods/Svcs</v>
      </c>
      <c r="I101" s="1">
        <v>1100</v>
      </c>
      <c r="J101" s="2">
        <v>0</v>
      </c>
      <c r="K101" s="2">
        <v>0</v>
      </c>
      <c r="L101" s="2">
        <v>1100</v>
      </c>
      <c r="M101" s="2">
        <v>0</v>
      </c>
      <c r="N101" s="1" t="str">
        <f>VLOOKUP(E101,'[1]ORG CODES'!$A:$C,3,FALSE)</f>
        <v>3453   INTERIOR DESIGN</v>
      </c>
    </row>
    <row r="102" spans="1:14" ht="14.45" hidden="1" x14ac:dyDescent="0.3">
      <c r="A102" t="str">
        <f>VLOOKUP(E102,'[1]ORG CODES'!$A:$B,2,FALSE)</f>
        <v>Student Funded Programs</v>
      </c>
      <c r="B102" s="1" t="s">
        <v>2</v>
      </c>
      <c r="C102" s="1" t="s">
        <v>3</v>
      </c>
      <c r="D102" s="1" t="s">
        <v>4</v>
      </c>
      <c r="E102" s="1" t="s">
        <v>156</v>
      </c>
      <c r="F102" s="1" t="s">
        <v>24</v>
      </c>
      <c r="H102" s="1" t="str">
        <f>VLOOKUP(F102,'[2]DX.OTHER.9.30.06 DETAIL'!$H$1:$J$65536,3,FALSE)</f>
        <v>Exp-Goods/Svcs</v>
      </c>
      <c r="I102" s="1">
        <v>1200</v>
      </c>
      <c r="J102" s="2">
        <v>0</v>
      </c>
      <c r="K102" s="2">
        <v>0</v>
      </c>
      <c r="L102" s="2">
        <v>1200</v>
      </c>
      <c r="M102" s="2">
        <v>0</v>
      </c>
      <c r="N102" s="1" t="str">
        <f>VLOOKUP(E102,'[1]ORG CODES'!$A:$C,3,FALSE)</f>
        <v>3454   CHINESE CULTURE</v>
      </c>
    </row>
    <row r="103" spans="1:14" ht="14.45" hidden="1" x14ac:dyDescent="0.3">
      <c r="A103" t="str">
        <f>VLOOKUP(E103,'[1]ORG CODES'!$A:$B,2,FALSE)</f>
        <v>Student Funded Programs</v>
      </c>
      <c r="B103" s="1" t="s">
        <v>2</v>
      </c>
      <c r="C103" s="1" t="s">
        <v>3</v>
      </c>
      <c r="D103" s="1" t="s">
        <v>4</v>
      </c>
      <c r="E103" s="1" t="s">
        <v>159</v>
      </c>
      <c r="F103" s="1" t="s">
        <v>24</v>
      </c>
      <c r="H103" s="1" t="str">
        <f>VLOOKUP(F103,'[2]DX.OTHER.9.30.06 DETAIL'!$H$1:$J$65536,3,FALSE)</f>
        <v>Exp-Goods/Svcs</v>
      </c>
      <c r="I103" s="1">
        <v>4850</v>
      </c>
      <c r="J103" s="2">
        <v>0</v>
      </c>
      <c r="K103" s="2">
        <v>0</v>
      </c>
      <c r="L103" s="2">
        <v>4850</v>
      </c>
      <c r="M103" s="2">
        <v>0</v>
      </c>
      <c r="N103" s="1" t="str">
        <f>VLOOKUP(E103,'[1]ORG CODES'!$A:$C,3,FALSE)</f>
        <v>3456   FRENCH CLUB</v>
      </c>
    </row>
    <row r="104" spans="1:14" ht="14.45" hidden="1" x14ac:dyDescent="0.3">
      <c r="A104" t="str">
        <f>VLOOKUP(E104,'[1]ORG CODES'!$A:$B,2,FALSE)</f>
        <v>Student Funded Programs</v>
      </c>
      <c r="B104" s="1" t="s">
        <v>2</v>
      </c>
      <c r="C104" s="1" t="s">
        <v>3</v>
      </c>
      <c r="D104" s="1" t="s">
        <v>4</v>
      </c>
      <c r="E104" s="1" t="s">
        <v>160</v>
      </c>
      <c r="F104" s="1" t="s">
        <v>24</v>
      </c>
      <c r="H104" s="1" t="str">
        <f>VLOOKUP(F104,'[2]DX.OTHER.9.30.06 DETAIL'!$H$1:$J$65536,3,FALSE)</f>
        <v>Exp-Goods/Svcs</v>
      </c>
      <c r="I104" s="1">
        <v>6390</v>
      </c>
      <c r="J104" s="2">
        <v>0</v>
      </c>
      <c r="K104" s="2">
        <v>0</v>
      </c>
      <c r="L104" s="2">
        <v>6390</v>
      </c>
      <c r="M104" s="2">
        <v>0</v>
      </c>
      <c r="N104" s="1" t="str">
        <f>VLOOKUP(E104,'[1]ORG CODES'!$A:$C,3,FALSE)</f>
        <v>3457   THE ALLIANCE</v>
      </c>
    </row>
    <row r="105" spans="1:14" ht="14.45" hidden="1" x14ac:dyDescent="0.3">
      <c r="A105" t="str">
        <f>VLOOKUP(E105,'[1]ORG CODES'!$A:$B,2,FALSE)</f>
        <v>Student Funded Programs</v>
      </c>
      <c r="B105" s="1" t="s">
        <v>2</v>
      </c>
      <c r="C105" s="1" t="s">
        <v>3</v>
      </c>
      <c r="D105" s="1" t="s">
        <v>4</v>
      </c>
      <c r="E105" s="1" t="s">
        <v>162</v>
      </c>
      <c r="F105" s="1" t="s">
        <v>24</v>
      </c>
      <c r="H105" s="1" t="str">
        <f>VLOOKUP(F105,'[2]DX.OTHER.9.30.06 DETAIL'!$H$1:$J$65536,3,FALSE)</f>
        <v>Exp-Goods/Svcs</v>
      </c>
      <c r="I105" s="1">
        <v>6923</v>
      </c>
      <c r="J105" s="2">
        <v>0</v>
      </c>
      <c r="K105" s="2">
        <v>0</v>
      </c>
      <c r="L105" s="2">
        <v>6923</v>
      </c>
      <c r="M105" s="2">
        <v>0</v>
      </c>
      <c r="N105" s="1" t="str">
        <f>VLOOKUP(E105,'[1]ORG CODES'!$A:$C,3,FALSE)</f>
        <v>3458   L.U.A. CLUB</v>
      </c>
    </row>
    <row r="106" spans="1:14" ht="14.45" hidden="1" x14ac:dyDescent="0.3">
      <c r="A106" t="str">
        <f>VLOOKUP(E106,'[1]ORG CODES'!$A:$B,2,FALSE)</f>
        <v>Student Funded Programs</v>
      </c>
      <c r="B106" s="1" t="s">
        <v>2</v>
      </c>
      <c r="C106" s="1" t="s">
        <v>3</v>
      </c>
      <c r="D106" s="1" t="s">
        <v>4</v>
      </c>
      <c r="E106" s="1" t="s">
        <v>165</v>
      </c>
      <c r="F106" s="1" t="s">
        <v>24</v>
      </c>
      <c r="H106" s="1" t="str">
        <f>VLOOKUP(F106,'[2]DX.OTHER.9.30.06 DETAIL'!$H$1:$J$65536,3,FALSE)</f>
        <v>Exp-Goods/Svcs</v>
      </c>
      <c r="I106" s="1">
        <v>1250</v>
      </c>
      <c r="J106" s="2">
        <v>0</v>
      </c>
      <c r="K106" s="2">
        <v>0</v>
      </c>
      <c r="L106" s="2">
        <v>1250</v>
      </c>
      <c r="M106" s="2">
        <v>0</v>
      </c>
      <c r="N106" s="1" t="str">
        <f>VLOOKUP(E106,'[1]ORG CODES'!$A:$C,3,FALSE)</f>
        <v>3460   INTERPRETER TRNG PRG</v>
      </c>
    </row>
    <row r="107" spans="1:14" ht="14.45" hidden="1" x14ac:dyDescent="0.3">
      <c r="A107" t="str">
        <f>VLOOKUP(E107,'[1]ORG CODES'!$A:$B,2,FALSE)</f>
        <v>Student Funded Programs</v>
      </c>
      <c r="B107" s="1" t="s">
        <v>2</v>
      </c>
      <c r="C107" s="1" t="s">
        <v>3</v>
      </c>
      <c r="D107" s="1" t="s">
        <v>4</v>
      </c>
      <c r="E107" s="1" t="s">
        <v>166</v>
      </c>
      <c r="F107" s="1" t="s">
        <v>24</v>
      </c>
      <c r="H107" s="1" t="str">
        <f>VLOOKUP(F107,'[2]DX.OTHER.9.30.06 DETAIL'!$H$1:$J$65536,3,FALSE)</f>
        <v>Exp-Goods/Svcs</v>
      </c>
      <c r="I107" s="1">
        <v>7900</v>
      </c>
      <c r="J107" s="2">
        <v>0</v>
      </c>
      <c r="K107" s="2">
        <v>0</v>
      </c>
      <c r="L107" s="2">
        <v>7900</v>
      </c>
      <c r="M107" s="2">
        <v>0</v>
      </c>
      <c r="N107" s="1" t="str">
        <f>VLOOKUP(E107,'[1]ORG CODES'!$A:$C,3,FALSE)</f>
        <v>3461   JOURNALISM</v>
      </c>
    </row>
    <row r="108" spans="1:14" ht="14.45" hidden="1" x14ac:dyDescent="0.3">
      <c r="A108" t="str">
        <f>VLOOKUP(E108,'[1]ORG CODES'!$A:$B,2,FALSE)</f>
        <v>Student Funded Programs</v>
      </c>
      <c r="B108" s="1" t="s">
        <v>2</v>
      </c>
      <c r="C108" s="1" t="s">
        <v>3</v>
      </c>
      <c r="D108" s="1" t="s">
        <v>4</v>
      </c>
      <c r="E108" s="1" t="s">
        <v>168</v>
      </c>
      <c r="F108" s="1" t="s">
        <v>24</v>
      </c>
      <c r="H108" s="1" t="str">
        <f>VLOOKUP(F108,'[2]DX.OTHER.9.30.06 DETAIL'!$H$1:$J$65536,3,FALSE)</f>
        <v>Exp-Goods/Svcs</v>
      </c>
      <c r="I108" s="1">
        <v>9024</v>
      </c>
      <c r="J108" s="2">
        <v>0</v>
      </c>
      <c r="K108" s="2">
        <v>0</v>
      </c>
      <c r="L108" s="2">
        <v>9024</v>
      </c>
      <c r="M108" s="2">
        <v>0</v>
      </c>
      <c r="N108" s="1" t="str">
        <f>VLOOKUP(E108,'[1]ORG CODES'!$A:$C,3,FALSE)</f>
        <v>3462   INTERNATIONAL CLUB</v>
      </c>
    </row>
    <row r="109" spans="1:14" ht="14.45" hidden="1" x14ac:dyDescent="0.3">
      <c r="A109" t="str">
        <f>VLOOKUP(E109,'[1]ORG CODES'!$A:$B,2,FALSE)</f>
        <v>Student Funded Programs</v>
      </c>
      <c r="B109" s="1" t="s">
        <v>2</v>
      </c>
      <c r="C109" s="1" t="s">
        <v>3</v>
      </c>
      <c r="D109" s="1" t="s">
        <v>4</v>
      </c>
      <c r="E109" s="1" t="s">
        <v>170</v>
      </c>
      <c r="F109" s="1" t="s">
        <v>24</v>
      </c>
      <c r="H109" s="1" t="str">
        <f>VLOOKUP(F109,'[2]DX.OTHER.9.30.06 DETAIL'!$H$1:$J$65536,3,FALSE)</f>
        <v>Exp-Goods/Svcs</v>
      </c>
      <c r="I109" s="1">
        <v>17945</v>
      </c>
      <c r="J109" s="2">
        <v>0</v>
      </c>
      <c r="K109" s="2">
        <v>0</v>
      </c>
      <c r="L109" s="2">
        <v>17945</v>
      </c>
      <c r="M109" s="2">
        <v>0</v>
      </c>
      <c r="N109" s="1" t="str">
        <f>VLOOKUP(E109,'[1]ORG CODES'!$A:$C,3,FALSE)</f>
        <v>3464   JAZZ PRESENTS</v>
      </c>
    </row>
    <row r="110" spans="1:14" ht="14.45" hidden="1" x14ac:dyDescent="0.3">
      <c r="A110" t="str">
        <f>VLOOKUP(E110,'[1]ORG CODES'!$A:$B,2,FALSE)</f>
        <v>Student Funded Programs</v>
      </c>
      <c r="B110" s="1" t="s">
        <v>2</v>
      </c>
      <c r="C110" s="1" t="s">
        <v>3</v>
      </c>
      <c r="D110" s="1" t="s">
        <v>4</v>
      </c>
      <c r="E110" s="1" t="s">
        <v>172</v>
      </c>
      <c r="F110" s="1" t="s">
        <v>24</v>
      </c>
      <c r="H110" s="1" t="str">
        <f>VLOOKUP(F110,'[2]DX.OTHER.9.30.06 DETAIL'!$H$1:$J$65536,3,FALSE)</f>
        <v>Exp-Goods/Svcs</v>
      </c>
      <c r="I110" s="1">
        <v>26058</v>
      </c>
      <c r="J110" s="2">
        <v>0</v>
      </c>
      <c r="K110" s="2">
        <v>0</v>
      </c>
      <c r="L110" s="2">
        <v>26058</v>
      </c>
      <c r="M110" s="2">
        <v>0</v>
      </c>
      <c r="N110" s="1" t="str">
        <f>VLOOKUP(E110,'[1]ORG CODES'!$A:$C,3,FALSE)</f>
        <v>3465   RED NATIONS ASSOC</v>
      </c>
    </row>
    <row r="111" spans="1:14" ht="14.45" hidden="1" x14ac:dyDescent="0.3">
      <c r="A111" t="str">
        <f>VLOOKUP(E111,'[1]ORG CODES'!$A:$B,2,FALSE)</f>
        <v>Student Funded Programs</v>
      </c>
      <c r="B111" s="1" t="s">
        <v>2</v>
      </c>
      <c r="C111" s="1" t="s">
        <v>3</v>
      </c>
      <c r="D111" s="1" t="s">
        <v>4</v>
      </c>
      <c r="E111" s="1" t="s">
        <v>176</v>
      </c>
      <c r="F111" s="1" t="s">
        <v>24</v>
      </c>
      <c r="H111" s="1" t="str">
        <f>VLOOKUP(F111,'[2]DX.OTHER.9.30.06 DETAIL'!$H$1:$J$65536,3,FALSE)</f>
        <v>Exp-Goods/Svcs</v>
      </c>
      <c r="I111" s="1">
        <v>2155</v>
      </c>
      <c r="J111" s="2">
        <v>0</v>
      </c>
      <c r="K111" s="2">
        <v>0</v>
      </c>
      <c r="L111" s="2">
        <v>2155</v>
      </c>
      <c r="M111" s="2">
        <v>0</v>
      </c>
      <c r="N111" s="1" t="str">
        <f>VLOOKUP(E111,'[1]ORG CODES'!$A:$C,3,FALSE)</f>
        <v>3466   SPANISH CLUB</v>
      </c>
    </row>
    <row r="112" spans="1:14" ht="14.45" hidden="1" x14ac:dyDescent="0.3">
      <c r="A112" t="str">
        <f>VLOOKUP(E112,'[1]ORG CODES'!$A:$B,2,FALSE)</f>
        <v>Student Funded Programs</v>
      </c>
      <c r="B112" s="1" t="s">
        <v>2</v>
      </c>
      <c r="C112" s="1" t="s">
        <v>3</v>
      </c>
      <c r="D112" s="1" t="s">
        <v>4</v>
      </c>
      <c r="E112" s="1" t="s">
        <v>177</v>
      </c>
      <c r="F112" s="1" t="s">
        <v>24</v>
      </c>
      <c r="H112" s="1" t="str">
        <f>VLOOKUP(F112,'[2]DX.OTHER.9.30.06 DETAIL'!$H$1:$J$65536,3,FALSE)</f>
        <v>Exp-Goods/Svcs</v>
      </c>
      <c r="I112" s="1">
        <v>0</v>
      </c>
      <c r="J112" s="2">
        <v>0</v>
      </c>
      <c r="K112" s="2">
        <v>0</v>
      </c>
      <c r="L112" s="2">
        <v>0</v>
      </c>
      <c r="M112" s="2">
        <v>0</v>
      </c>
      <c r="N112" s="1" t="str">
        <f>VLOOKUP(E112,'[1]ORG CODES'!$A:$C,3,FALSE)</f>
        <v>3467   LITERARY CLUB</v>
      </c>
    </row>
    <row r="113" spans="1:14" ht="14.45" hidden="1" x14ac:dyDescent="0.3">
      <c r="A113" t="str">
        <f>VLOOKUP(E113,'[1]ORG CODES'!$A:$B,2,FALSE)</f>
        <v>Student Funded Programs</v>
      </c>
      <c r="B113" s="1" t="s">
        <v>2</v>
      </c>
      <c r="C113" s="1" t="s">
        <v>3</v>
      </c>
      <c r="D113" s="1" t="s">
        <v>4</v>
      </c>
      <c r="E113" s="1" t="s">
        <v>178</v>
      </c>
      <c r="F113" s="1" t="s">
        <v>24</v>
      </c>
      <c r="H113" s="1" t="str">
        <f>VLOOKUP(F113,'[2]DX.OTHER.9.30.06 DETAIL'!$H$1:$J$65536,3,FALSE)</f>
        <v>Exp-Goods/Svcs</v>
      </c>
      <c r="I113" s="1">
        <v>1090</v>
      </c>
      <c r="J113" s="2">
        <v>0</v>
      </c>
      <c r="K113" s="2">
        <v>0</v>
      </c>
      <c r="L113" s="2">
        <v>1090</v>
      </c>
      <c r="M113" s="2">
        <v>0</v>
      </c>
      <c r="N113" s="1" t="str">
        <f>VLOOKUP(E113,'[1]ORG CODES'!$A:$C,3,FALSE)</f>
        <v>3468   WELLNESS CLUB</v>
      </c>
    </row>
    <row r="114" spans="1:14" ht="14.45" hidden="1" x14ac:dyDescent="0.3">
      <c r="A114" t="str">
        <f>VLOOKUP(E114,'[1]ORG CODES'!$A:$B,2,FALSE)</f>
        <v>Student Funded Programs</v>
      </c>
      <c r="B114" s="1" t="s">
        <v>2</v>
      </c>
      <c r="C114" s="1" t="s">
        <v>3</v>
      </c>
      <c r="D114" s="1" t="s">
        <v>4</v>
      </c>
      <c r="E114" s="1" t="s">
        <v>179</v>
      </c>
      <c r="F114" s="1" t="s">
        <v>24</v>
      </c>
      <c r="H114" s="1" t="str">
        <f>VLOOKUP(F114,'[2]DX.OTHER.9.30.06 DETAIL'!$H$1:$J$65536,3,FALSE)</f>
        <v>Exp-Goods/Svcs</v>
      </c>
      <c r="I114" s="1">
        <v>1270</v>
      </c>
      <c r="J114" s="2">
        <v>0</v>
      </c>
      <c r="K114" s="2">
        <v>0</v>
      </c>
      <c r="L114" s="2">
        <v>1270</v>
      </c>
      <c r="M114" s="2">
        <v>0</v>
      </c>
      <c r="N114" s="1" t="str">
        <f>VLOOKUP(E114,'[1]ORG CODES'!$A:$C,3,FALSE)</f>
        <v>3469   CHEER SQUAD</v>
      </c>
    </row>
    <row r="115" spans="1:14" ht="14.45" hidden="1" x14ac:dyDescent="0.3">
      <c r="A115" t="str">
        <f>VLOOKUP(E115,'[1]ORG CODES'!$A:$B,2,FALSE)</f>
        <v>Student Funded Programs</v>
      </c>
      <c r="B115" s="1" t="s">
        <v>2</v>
      </c>
      <c r="C115" s="1" t="s">
        <v>3</v>
      </c>
      <c r="D115" s="1" t="s">
        <v>4</v>
      </c>
      <c r="E115" s="1" t="s">
        <v>181</v>
      </c>
      <c r="F115" s="1" t="s">
        <v>24</v>
      </c>
      <c r="H115" s="1" t="str">
        <f>VLOOKUP(F115,'[2]DX.OTHER.9.30.06 DETAIL'!$H$1:$J$65536,3,FALSE)</f>
        <v>Exp-Goods/Svcs</v>
      </c>
      <c r="I115" s="1">
        <v>500</v>
      </c>
      <c r="J115" s="2">
        <v>0</v>
      </c>
      <c r="K115" s="2">
        <v>0</v>
      </c>
      <c r="L115" s="2">
        <v>500</v>
      </c>
      <c r="M115" s="2">
        <v>0</v>
      </c>
      <c r="N115" s="1" t="str">
        <f>VLOOKUP(E115,'[1]ORG CODES'!$A:$C,3,FALSE)</f>
        <v>3470  ADDICTION STUDIES</v>
      </c>
    </row>
    <row r="116" spans="1:14" ht="14.45" hidden="1" x14ac:dyDescent="0.3">
      <c r="A116" t="str">
        <f>VLOOKUP(E116,'[1]ORG CODES'!$A:$B,2,FALSE)</f>
        <v>Student Funded Programs</v>
      </c>
      <c r="B116" s="1" t="s">
        <v>2</v>
      </c>
      <c r="C116" s="1" t="s">
        <v>3</v>
      </c>
      <c r="D116" s="1" t="s">
        <v>4</v>
      </c>
      <c r="E116" s="1" t="s">
        <v>183</v>
      </c>
      <c r="F116" s="1" t="s">
        <v>24</v>
      </c>
      <c r="H116" s="1" t="str">
        <f>VLOOKUP(F116,'[2]DX.OTHER.9.30.06 DETAIL'!$H$1:$J$65536,3,FALSE)</f>
        <v>Exp-Goods/Svcs</v>
      </c>
      <c r="I116" s="1">
        <v>1000</v>
      </c>
      <c r="J116" s="2">
        <v>0</v>
      </c>
      <c r="K116" s="2">
        <v>0</v>
      </c>
      <c r="L116" s="2">
        <v>1000</v>
      </c>
      <c r="M116" s="2">
        <v>0</v>
      </c>
      <c r="N116" s="1" t="str">
        <f>VLOOKUP(E116,'[1]ORG CODES'!$A:$C,3,FALSE)</f>
        <v>3471  SECULAR CLUB</v>
      </c>
    </row>
    <row r="117" spans="1:14" ht="14.45" hidden="1" x14ac:dyDescent="0.3">
      <c r="A117" t="str">
        <f>VLOOKUP(E117,'[1]ORG CODES'!$A:$B,2,FALSE)</f>
        <v>Student Funded Programs</v>
      </c>
      <c r="B117" s="1" t="s">
        <v>2</v>
      </c>
      <c r="C117" s="1" t="s">
        <v>3</v>
      </c>
      <c r="D117" s="1" t="s">
        <v>4</v>
      </c>
      <c r="E117" s="1" t="s">
        <v>184</v>
      </c>
      <c r="F117" s="1" t="s">
        <v>24</v>
      </c>
      <c r="H117" s="1" t="str">
        <f>VLOOKUP(F117,'[2]DX.OTHER.9.30.06 DETAIL'!$H$1:$J$65536,3,FALSE)</f>
        <v>Exp-Goods/Svcs</v>
      </c>
      <c r="I117" s="1">
        <v>293</v>
      </c>
      <c r="J117" s="2">
        <v>0</v>
      </c>
      <c r="K117" s="2">
        <v>0</v>
      </c>
      <c r="L117" s="2">
        <v>293</v>
      </c>
      <c r="M117" s="2">
        <v>0</v>
      </c>
      <c r="N117" s="1" t="str">
        <f>VLOOKUP(E117,'[1]ORG CODES'!$A:$C,3,FALSE)</f>
        <v>3472   AUDIO ENGINEER CLUB</v>
      </c>
    </row>
    <row r="118" spans="1:14" ht="14.45" hidden="1" x14ac:dyDescent="0.3">
      <c r="A118" t="str">
        <f>VLOOKUP(E118,'[1]ORG CODES'!$A:$B,2,FALSE)</f>
        <v>Student Funded Programs</v>
      </c>
      <c r="B118" s="1" t="s">
        <v>2</v>
      </c>
      <c r="C118" s="1" t="s">
        <v>3</v>
      </c>
      <c r="D118" s="1" t="s">
        <v>4</v>
      </c>
      <c r="E118" s="1" t="s">
        <v>185</v>
      </c>
      <c r="F118" s="1" t="s">
        <v>24</v>
      </c>
      <c r="H118" s="1" t="str">
        <f>VLOOKUP(F118,'[2]DX.OTHER.9.30.06 DETAIL'!$H$1:$J$65536,3,FALSE)</f>
        <v>Exp-Goods/Svcs</v>
      </c>
      <c r="I118" s="1">
        <v>1000</v>
      </c>
      <c r="J118" s="2">
        <v>0</v>
      </c>
      <c r="K118" s="2">
        <v>0</v>
      </c>
      <c r="L118" s="2">
        <v>1000</v>
      </c>
      <c r="M118" s="2">
        <v>0</v>
      </c>
      <c r="N118" s="1" t="str">
        <f>VLOOKUP(E118,'[1]ORG CODES'!$A:$C,3,FALSE)</f>
        <v>3473   EARTH CLUB</v>
      </c>
    </row>
    <row r="119" spans="1:14" ht="14.45" hidden="1" x14ac:dyDescent="0.3">
      <c r="A119" t="str">
        <f>VLOOKUP(E119,'[1]ORG CODES'!$A:$B,2,FALSE)</f>
        <v>Student Funded Programs</v>
      </c>
      <c r="B119" s="1" t="s">
        <v>2</v>
      </c>
      <c r="C119" s="1" t="s">
        <v>3</v>
      </c>
      <c r="D119" s="1" t="s">
        <v>4</v>
      </c>
      <c r="E119" s="1" t="s">
        <v>186</v>
      </c>
      <c r="F119" s="1" t="s">
        <v>24</v>
      </c>
      <c r="H119" s="1" t="str">
        <f>VLOOKUP(F119,'[2]DX.OTHER.9.30.06 DETAIL'!$H$1:$J$65536,3,FALSE)</f>
        <v>Exp-Goods/Svcs</v>
      </c>
      <c r="I119" s="1">
        <v>500</v>
      </c>
      <c r="J119" s="2">
        <v>0</v>
      </c>
      <c r="K119" s="2">
        <v>0</v>
      </c>
      <c r="L119" s="2">
        <v>500</v>
      </c>
      <c r="M119" s="2">
        <v>0</v>
      </c>
      <c r="N119" s="1" t="str">
        <f>VLOOKUP(E119,'[1]ORG CODES'!$A:$C,3,FALSE)</f>
        <v>3474   GEOLOGY CLUB</v>
      </c>
    </row>
    <row r="120" spans="1:14" ht="14.45" hidden="1" x14ac:dyDescent="0.3">
      <c r="A120" t="str">
        <f>VLOOKUP(E120,'[1]ORG CODES'!$A:$B,2,FALSE)</f>
        <v>Student Funded Programs</v>
      </c>
      <c r="B120" s="1" t="s">
        <v>2</v>
      </c>
      <c r="C120" s="1" t="s">
        <v>3</v>
      </c>
      <c r="D120" s="1" t="s">
        <v>4</v>
      </c>
      <c r="E120" s="1" t="s">
        <v>187</v>
      </c>
      <c r="F120" s="1" t="s">
        <v>24</v>
      </c>
      <c r="H120" s="1" t="str">
        <f>VLOOKUP(F120,'[2]DX.OTHER.9.30.06 DETAIL'!$H$1:$J$65536,3,FALSE)</f>
        <v>Exp-Goods/Svcs</v>
      </c>
      <c r="I120" s="1">
        <v>380</v>
      </c>
      <c r="J120" s="2">
        <v>0</v>
      </c>
      <c r="K120" s="2">
        <v>0</v>
      </c>
      <c r="L120" s="2">
        <v>380</v>
      </c>
      <c r="M120" s="2">
        <v>0</v>
      </c>
      <c r="N120" s="1" t="str">
        <f>VLOOKUP(E120,'[1]ORG CODES'!$A:$C,3,FALSE)</f>
        <v>3477   APPLIED TECH CLUB</v>
      </c>
    </row>
    <row r="121" spans="1:14" ht="14.45" hidden="1" x14ac:dyDescent="0.3">
      <c r="A121" t="str">
        <f>VLOOKUP(E121,'[1]ORG CODES'!$A:$B,2,FALSE)</f>
        <v>Student Funded Programs</v>
      </c>
      <c r="B121" s="1" t="s">
        <v>2</v>
      </c>
      <c r="C121" s="1" t="s">
        <v>3</v>
      </c>
      <c r="D121" s="1" t="s">
        <v>4</v>
      </c>
      <c r="E121" s="1" t="s">
        <v>188</v>
      </c>
      <c r="F121" s="1" t="s">
        <v>24</v>
      </c>
      <c r="H121" s="1" t="str">
        <f>VLOOKUP(F121,'[2]DX.OTHER.9.30.06 DETAIL'!$H$1:$J$65536,3,FALSE)</f>
        <v>Exp-Goods/Svcs</v>
      </c>
      <c r="I121" s="1">
        <v>90175</v>
      </c>
      <c r="J121" s="2">
        <v>0</v>
      </c>
      <c r="K121" s="2">
        <v>0</v>
      </c>
      <c r="L121" s="2">
        <v>90175</v>
      </c>
      <c r="M121" s="2">
        <v>0</v>
      </c>
      <c r="N121" s="1" t="str">
        <f>VLOOKUP(E121,'[1]ORG CODES'!$A:$C,3,FALSE)</f>
        <v>3495   EARLY LEARNING CTR</v>
      </c>
    </row>
    <row r="122" spans="1:14" ht="14.45" hidden="1" x14ac:dyDescent="0.3">
      <c r="A122" t="str">
        <f>VLOOKUP(E122,'[1]ORG CODES'!$A:$B,2,FALSE)</f>
        <v>Student Funded Programs</v>
      </c>
      <c r="B122" s="1" t="s">
        <v>2</v>
      </c>
      <c r="C122" s="1" t="s">
        <v>3</v>
      </c>
      <c r="D122" s="1" t="s">
        <v>4</v>
      </c>
      <c r="E122" s="1" t="s">
        <v>189</v>
      </c>
      <c r="F122" s="1" t="s">
        <v>24</v>
      </c>
      <c r="H122" s="1" t="str">
        <f>VLOOKUP(F122,'[2]DX.OTHER.9.30.06 DETAIL'!$H$1:$J$65536,3,FALSE)</f>
        <v>Exp-Goods/Svcs</v>
      </c>
      <c r="I122" s="1">
        <v>2250</v>
      </c>
      <c r="J122" s="2">
        <v>0</v>
      </c>
      <c r="K122" s="2">
        <v>0</v>
      </c>
      <c r="L122" s="2">
        <v>2250</v>
      </c>
      <c r="M122" s="2">
        <v>0</v>
      </c>
      <c r="N122" s="1" t="str">
        <f>VLOOKUP(E122,'[1]ORG CODES'!$A:$C,3,FALSE)</f>
        <v>3496   FUTURE TEACHERS</v>
      </c>
    </row>
    <row r="123" spans="1:14" ht="14.45" hidden="1" x14ac:dyDescent="0.3">
      <c r="A123" t="str">
        <f>VLOOKUP(E123,'[1]ORG CODES'!$A:$B,2,FALSE)</f>
        <v>Student Funded Programs</v>
      </c>
      <c r="B123" s="1" t="s">
        <v>2</v>
      </c>
      <c r="C123" s="1" t="s">
        <v>3</v>
      </c>
      <c r="D123" s="1" t="s">
        <v>4</v>
      </c>
      <c r="E123" s="1" t="s">
        <v>46</v>
      </c>
      <c r="F123" s="1" t="s">
        <v>24</v>
      </c>
      <c r="G123" s="1" t="s">
        <v>43</v>
      </c>
      <c r="H123" s="1" t="str">
        <f>VLOOKUP(F123,'[2]DX.OTHER.9.30.06 DETAIL'!$H$1:$J$65536,3,FALSE)</f>
        <v>Exp-Goods/Svcs</v>
      </c>
      <c r="I123" s="1">
        <v>0</v>
      </c>
      <c r="J123" s="2">
        <v>1122.26</v>
      </c>
      <c r="K123" s="2">
        <v>0</v>
      </c>
      <c r="L123" s="2">
        <v>-1122.26</v>
      </c>
      <c r="M123" s="2">
        <v>0</v>
      </c>
      <c r="N123" s="1" t="str">
        <f>VLOOKUP(E123,'[1]ORG CODES'!$A:$C,3,FALSE)</f>
        <v>3330   GRAPHIC DESIGN</v>
      </c>
    </row>
    <row r="124" spans="1:14" ht="14.45" hidden="1" x14ac:dyDescent="0.3">
      <c r="A124" t="str">
        <f>VLOOKUP(E124,'[1]ORG CODES'!$A:$B,2,FALSE)</f>
        <v>Student Funded Programs</v>
      </c>
      <c r="B124" s="1" t="s">
        <v>2</v>
      </c>
      <c r="C124" s="1" t="s">
        <v>3</v>
      </c>
      <c r="D124" s="1" t="s">
        <v>4</v>
      </c>
      <c r="E124" s="1" t="s">
        <v>50</v>
      </c>
      <c r="F124" s="1" t="s">
        <v>24</v>
      </c>
      <c r="G124" s="1" t="s">
        <v>43</v>
      </c>
      <c r="H124" s="1" t="str">
        <f>VLOOKUP(F124,'[2]DX.OTHER.9.30.06 DETAIL'!$H$1:$J$65536,3,FALSE)</f>
        <v>Exp-Goods/Svcs</v>
      </c>
      <c r="I124" s="1">
        <v>0</v>
      </c>
      <c r="J124" s="2">
        <v>1007.7</v>
      </c>
      <c r="K124" s="2">
        <v>0</v>
      </c>
      <c r="L124" s="2">
        <v>-1007.7</v>
      </c>
      <c r="M124" s="2">
        <v>0</v>
      </c>
      <c r="N124" s="1" t="str">
        <f>VLOOKUP(E124,'[1]ORG CODES'!$A:$C,3,FALSE)</f>
        <v>3342   ENGINEERING CLUB</v>
      </c>
    </row>
    <row r="125" spans="1:14" ht="14.45" hidden="1" x14ac:dyDescent="0.3">
      <c r="A125" t="str">
        <f>VLOOKUP(E125,'[1]ORG CODES'!$A:$B,2,FALSE)</f>
        <v>Student Funded Programs</v>
      </c>
      <c r="B125" s="1" t="s">
        <v>2</v>
      </c>
      <c r="C125" s="1" t="s">
        <v>3</v>
      </c>
      <c r="D125" s="1" t="s">
        <v>4</v>
      </c>
      <c r="E125" s="1" t="s">
        <v>52</v>
      </c>
      <c r="F125" s="1" t="s">
        <v>24</v>
      </c>
      <c r="G125" s="1" t="s">
        <v>43</v>
      </c>
      <c r="H125" s="1" t="str">
        <f>VLOOKUP(F125,'[2]DX.OTHER.9.30.06 DETAIL'!$H$1:$J$65536,3,FALSE)</f>
        <v>Exp-Goods/Svcs</v>
      </c>
      <c r="I125" s="1">
        <v>0</v>
      </c>
      <c r="J125" s="2">
        <v>4091.65</v>
      </c>
      <c r="K125" s="2">
        <v>0</v>
      </c>
      <c r="L125" s="2">
        <v>-4091.65</v>
      </c>
      <c r="M125" s="2">
        <v>0</v>
      </c>
      <c r="N125" s="1" t="str">
        <f>VLOOKUP(E125,'[1]ORG CODES'!$A:$C,3,FALSE)</f>
        <v>3352   REVELERS (DRAMA)</v>
      </c>
    </row>
    <row r="126" spans="1:14" ht="14.45" hidden="1" x14ac:dyDescent="0.3">
      <c r="A126" t="str">
        <f>VLOOKUP(E126,'[1]ORG CODES'!$A:$B,2,FALSE)</f>
        <v>Student Funded Programs</v>
      </c>
      <c r="B126" s="1" t="s">
        <v>2</v>
      </c>
      <c r="C126" s="1" t="s">
        <v>3</v>
      </c>
      <c r="D126" s="1" t="s">
        <v>4</v>
      </c>
      <c r="E126" s="1" t="s">
        <v>68</v>
      </c>
      <c r="F126" s="1" t="s">
        <v>24</v>
      </c>
      <c r="G126" s="1" t="s">
        <v>43</v>
      </c>
      <c r="H126" s="1" t="str">
        <f>VLOOKUP(F126,'[2]DX.OTHER.9.30.06 DETAIL'!$H$1:$J$65536,3,FALSE)</f>
        <v>Exp-Goods/Svcs</v>
      </c>
      <c r="I126" s="1">
        <v>0</v>
      </c>
      <c r="J126" s="2">
        <v>1628.45</v>
      </c>
      <c r="K126" s="2">
        <v>0</v>
      </c>
      <c r="L126" s="2">
        <v>-1628.45</v>
      </c>
      <c r="M126" s="2">
        <v>0</v>
      </c>
      <c r="N126" s="1" t="str">
        <f>VLOOKUP(E126,'[1]ORG CODES'!$A:$C,3,FALSE)</f>
        <v>3355   CHORAL MUSIC</v>
      </c>
    </row>
    <row r="127" spans="1:14" ht="14.45" hidden="1" x14ac:dyDescent="0.3">
      <c r="A127" t="str">
        <f>VLOOKUP(E127,'[1]ORG CODES'!$A:$B,2,FALSE)</f>
        <v>Student Funded Programs</v>
      </c>
      <c r="B127" s="1" t="s">
        <v>2</v>
      </c>
      <c r="C127" s="1" t="s">
        <v>3</v>
      </c>
      <c r="D127" s="1" t="s">
        <v>4</v>
      </c>
      <c r="E127" s="1" t="s">
        <v>72</v>
      </c>
      <c r="F127" s="1" t="s">
        <v>24</v>
      </c>
      <c r="G127" s="1" t="s">
        <v>43</v>
      </c>
      <c r="H127" s="1" t="str">
        <f>VLOOKUP(F127,'[2]DX.OTHER.9.30.06 DETAIL'!$H$1:$J$65536,3,FALSE)</f>
        <v>Exp-Goods/Svcs</v>
      </c>
      <c r="I127" s="1">
        <v>0</v>
      </c>
      <c r="J127" s="2">
        <v>1496.02</v>
      </c>
      <c r="K127" s="2">
        <v>0</v>
      </c>
      <c r="L127" s="2">
        <v>-1496.02</v>
      </c>
      <c r="M127" s="2">
        <v>0</v>
      </c>
      <c r="N127" s="1" t="str">
        <f>VLOOKUP(E127,'[1]ORG CODES'!$A:$C,3,FALSE)</f>
        <v>3357   PHOTO ARTS</v>
      </c>
    </row>
    <row r="128" spans="1:14" ht="14.45" hidden="1" x14ac:dyDescent="0.3">
      <c r="A128" t="str">
        <f>VLOOKUP(E128,'[1]ORG CODES'!$A:$B,2,FALSE)</f>
        <v>Student Funded Programs</v>
      </c>
      <c r="B128" s="1" t="s">
        <v>2</v>
      </c>
      <c r="C128" s="1" t="s">
        <v>3</v>
      </c>
      <c r="D128" s="1" t="s">
        <v>4</v>
      </c>
      <c r="E128" s="1" t="s">
        <v>75</v>
      </c>
      <c r="F128" s="1" t="s">
        <v>24</v>
      </c>
      <c r="G128" s="1" t="s">
        <v>43</v>
      </c>
      <c r="H128" s="1" t="str">
        <f>VLOOKUP(F128,'[2]DX.OTHER.9.30.06 DETAIL'!$H$1:$J$65536,3,FALSE)</f>
        <v>Exp-Goods/Svcs</v>
      </c>
      <c r="I128" s="1">
        <v>0</v>
      </c>
      <c r="J128" s="2">
        <v>3621.63</v>
      </c>
      <c r="K128" s="2">
        <v>0</v>
      </c>
      <c r="L128" s="2">
        <v>-3621.63</v>
      </c>
      <c r="M128" s="2">
        <v>0</v>
      </c>
      <c r="N128" s="1" t="str">
        <f>VLOOKUP(E128,'[1]ORG CODES'!$A:$C,3,FALSE)</f>
        <v>3363   ART GALLERY &amp; EXHIB</v>
      </c>
    </row>
    <row r="129" spans="1:14" ht="14.45" hidden="1" x14ac:dyDescent="0.3">
      <c r="A129" t="str">
        <f>VLOOKUP(E129,'[1]ORG CODES'!$A:$B,2,FALSE)</f>
        <v>Student Funded Programs</v>
      </c>
      <c r="B129" s="1" t="s">
        <v>2</v>
      </c>
      <c r="C129" s="1" t="s">
        <v>3</v>
      </c>
      <c r="D129" s="1" t="s">
        <v>4</v>
      </c>
      <c r="E129" s="1" t="s">
        <v>77</v>
      </c>
      <c r="F129" s="1" t="s">
        <v>24</v>
      </c>
      <c r="G129" s="1" t="s">
        <v>43</v>
      </c>
      <c r="H129" s="1" t="str">
        <f>VLOOKUP(F129,'[2]DX.OTHER.9.30.06 DETAIL'!$H$1:$J$65536,3,FALSE)</f>
        <v>Exp-Goods/Svcs</v>
      </c>
      <c r="I129" s="1">
        <v>0</v>
      </c>
      <c r="J129" s="2">
        <v>2127.67</v>
      </c>
      <c r="K129" s="2">
        <v>0</v>
      </c>
      <c r="L129" s="2">
        <v>-2127.67</v>
      </c>
      <c r="M129" s="2">
        <v>0</v>
      </c>
      <c r="N129" s="1" t="str">
        <f>VLOOKUP(E129,'[1]ORG CODES'!$A:$C,3,FALSE)</f>
        <v>3367   RECREATION SOCIETY</v>
      </c>
    </row>
    <row r="130" spans="1:14" ht="14.45" hidden="1" x14ac:dyDescent="0.3">
      <c r="A130" t="str">
        <f>VLOOKUP(E130,'[1]ORG CODES'!$A:$B,2,FALSE)</f>
        <v>Student Funded Programs</v>
      </c>
      <c r="B130" s="1" t="s">
        <v>2</v>
      </c>
      <c r="C130" s="1" t="s">
        <v>3</v>
      </c>
      <c r="D130" s="1" t="s">
        <v>4</v>
      </c>
      <c r="E130" s="1" t="s">
        <v>80</v>
      </c>
      <c r="F130" s="1" t="s">
        <v>24</v>
      </c>
      <c r="G130" s="1" t="s">
        <v>43</v>
      </c>
      <c r="H130" s="1" t="str">
        <f>VLOOKUP(F130,'[2]DX.OTHER.9.30.06 DETAIL'!$H$1:$J$65536,3,FALSE)</f>
        <v>Exp-Goods/Svcs</v>
      </c>
      <c r="I130" s="1">
        <v>0</v>
      </c>
      <c r="J130" s="2">
        <v>836.44</v>
      </c>
      <c r="K130" s="2">
        <v>0</v>
      </c>
      <c r="L130" s="2">
        <v>-836.44</v>
      </c>
      <c r="M130" s="2">
        <v>0</v>
      </c>
      <c r="N130" s="1" t="str">
        <f>VLOOKUP(E130,'[1]ORG CODES'!$A:$C,3,FALSE)</f>
        <v>3370   BETA GAMMA KAPPA</v>
      </c>
    </row>
    <row r="131" spans="1:14" ht="14.45" hidden="1" x14ac:dyDescent="0.3">
      <c r="A131" t="str">
        <f>VLOOKUP(E131,'[1]ORG CODES'!$A:$B,2,FALSE)</f>
        <v>Student Funded Programs</v>
      </c>
      <c r="B131" s="1" t="s">
        <v>2</v>
      </c>
      <c r="C131" s="1" t="s">
        <v>3</v>
      </c>
      <c r="D131" s="1" t="s">
        <v>4</v>
      </c>
      <c r="E131" s="1" t="s">
        <v>83</v>
      </c>
      <c r="F131" s="1" t="s">
        <v>24</v>
      </c>
      <c r="G131" s="1" t="s">
        <v>43</v>
      </c>
      <c r="H131" s="1" t="str">
        <f>VLOOKUP(F131,'[2]DX.OTHER.9.30.06 DETAIL'!$H$1:$J$65536,3,FALSE)</f>
        <v>Exp-Goods/Svcs</v>
      </c>
      <c r="I131" s="1">
        <v>0</v>
      </c>
      <c r="J131" s="2">
        <v>587.04</v>
      </c>
      <c r="K131" s="2">
        <v>0</v>
      </c>
      <c r="L131" s="2">
        <v>-587.04</v>
      </c>
      <c r="M131" s="2">
        <v>0</v>
      </c>
      <c r="N131" s="1" t="str">
        <f>VLOOKUP(E131,'[1]ORG CODES'!$A:$C,3,FALSE)</f>
        <v>3372   STDNT PHYS THER ASST</v>
      </c>
    </row>
    <row r="132" spans="1:14" ht="14.45" hidden="1" x14ac:dyDescent="0.3">
      <c r="A132" t="str">
        <f>VLOOKUP(E132,'[1]ORG CODES'!$A:$B,2,FALSE)</f>
        <v>Student Funded Programs</v>
      </c>
      <c r="B132" s="1" t="s">
        <v>2</v>
      </c>
      <c r="C132" s="1" t="s">
        <v>3</v>
      </c>
      <c r="D132" s="1" t="s">
        <v>4</v>
      </c>
      <c r="E132" s="1" t="s">
        <v>86</v>
      </c>
      <c r="F132" s="1" t="s">
        <v>24</v>
      </c>
      <c r="G132" s="1" t="s">
        <v>43</v>
      </c>
      <c r="H132" s="1" t="str">
        <f>VLOOKUP(F132,'[2]DX.OTHER.9.30.06 DETAIL'!$H$1:$J$65536,3,FALSE)</f>
        <v>Exp-Goods/Svcs</v>
      </c>
      <c r="I132" s="1">
        <v>0</v>
      </c>
      <c r="J132" s="2">
        <v>606.37</v>
      </c>
      <c r="K132" s="2">
        <v>0</v>
      </c>
      <c r="L132" s="2">
        <v>-606.37</v>
      </c>
      <c r="M132" s="2">
        <v>0</v>
      </c>
      <c r="N132" s="1" t="str">
        <f>VLOOKUP(E132,'[1]ORG CODES'!$A:$C,3,FALSE)</f>
        <v>3373   STUD OCCUP THERA ASST</v>
      </c>
    </row>
    <row r="133" spans="1:14" ht="14.45" hidden="1" x14ac:dyDescent="0.3">
      <c r="A133" t="str">
        <f>VLOOKUP(E133,'[1]ORG CODES'!$A:$B,2,FALSE)</f>
        <v>Student Funded Programs</v>
      </c>
      <c r="B133" s="1" t="s">
        <v>2</v>
      </c>
      <c r="C133" s="1" t="s">
        <v>3</v>
      </c>
      <c r="D133" s="1" t="s">
        <v>4</v>
      </c>
      <c r="E133" s="1" t="s">
        <v>101</v>
      </c>
      <c r="F133" s="1" t="s">
        <v>24</v>
      </c>
      <c r="G133" s="1" t="s">
        <v>43</v>
      </c>
      <c r="H133" s="1" t="str">
        <f>VLOOKUP(F133,'[2]DX.OTHER.9.30.06 DETAIL'!$H$1:$J$65536,3,FALSE)</f>
        <v>Exp-Goods/Svcs</v>
      </c>
      <c r="I133" s="1">
        <v>0</v>
      </c>
      <c r="J133" s="2">
        <v>18633.68</v>
      </c>
      <c r="K133" s="2">
        <v>0</v>
      </c>
      <c r="L133" s="2">
        <v>-18633.68</v>
      </c>
      <c r="M133" s="2">
        <v>0</v>
      </c>
      <c r="N133" s="1" t="str">
        <f>VLOOKUP(E133,'[1]ORG CODES'!$A:$C,3,FALSE)</f>
        <v>3408   NEW STDT ORIENTATION</v>
      </c>
    </row>
    <row r="134" spans="1:14" ht="14.45" hidden="1" x14ac:dyDescent="0.3">
      <c r="A134" t="str">
        <f>VLOOKUP(E134,'[1]ORG CODES'!$A:$B,2,FALSE)</f>
        <v>Student Funded Programs</v>
      </c>
      <c r="B134" s="1" t="s">
        <v>2</v>
      </c>
      <c r="C134" s="1" t="s">
        <v>3</v>
      </c>
      <c r="D134" s="1" t="s">
        <v>4</v>
      </c>
      <c r="E134" s="1" t="s">
        <v>103</v>
      </c>
      <c r="F134" s="1" t="s">
        <v>24</v>
      </c>
      <c r="G134" s="1" t="s">
        <v>43</v>
      </c>
      <c r="H134" s="1" t="str">
        <f>VLOOKUP(F134,'[2]DX.OTHER.9.30.06 DETAIL'!$H$1:$J$65536,3,FALSE)</f>
        <v>Exp-Goods/Svcs</v>
      </c>
      <c r="I134" s="1">
        <v>0</v>
      </c>
      <c r="J134" s="2">
        <v>8754.4500000000007</v>
      </c>
      <c r="K134" s="2">
        <v>0</v>
      </c>
      <c r="L134" s="2">
        <v>-8754.4500000000007</v>
      </c>
      <c r="M134" s="2">
        <v>0</v>
      </c>
      <c r="N134" s="1" t="str">
        <f>VLOOKUP(E134,'[1]ORG CODES'!$A:$C,3,FALSE)</f>
        <v>3410   ASA GENERAL FUND</v>
      </c>
    </row>
    <row r="135" spans="1:14" ht="14.45" hidden="1" x14ac:dyDescent="0.3">
      <c r="A135" t="str">
        <f>VLOOKUP(E135,'[1]ORG CODES'!$A:$B,2,FALSE)</f>
        <v>Student Funded Programs</v>
      </c>
      <c r="B135" s="1" t="s">
        <v>2</v>
      </c>
      <c r="C135" s="1" t="s">
        <v>3</v>
      </c>
      <c r="D135" s="1" t="s">
        <v>4</v>
      </c>
      <c r="E135" s="1" t="s">
        <v>106</v>
      </c>
      <c r="F135" s="1" t="s">
        <v>24</v>
      </c>
      <c r="G135" s="1" t="s">
        <v>43</v>
      </c>
      <c r="H135" s="1" t="str">
        <f>VLOOKUP(F135,'[2]DX.OTHER.9.30.06 DETAIL'!$H$1:$J$65536,3,FALSE)</f>
        <v>Exp-Goods/Svcs</v>
      </c>
      <c r="I135" s="1">
        <v>0</v>
      </c>
      <c r="J135" s="2">
        <v>2958.57</v>
      </c>
      <c r="K135" s="2">
        <v>0</v>
      </c>
      <c r="L135" s="2">
        <v>-2958.57</v>
      </c>
      <c r="M135" s="2">
        <v>0</v>
      </c>
      <c r="N135" s="1" t="str">
        <f>VLOOKUP(E135,'[1]ORG CODES'!$A:$C,3,FALSE)</f>
        <v>3411   ADVERTISING/PRINTING</v>
      </c>
    </row>
    <row r="136" spans="1:14" ht="14.45" hidden="1" x14ac:dyDescent="0.3">
      <c r="A136" t="str">
        <f>VLOOKUP(E136,'[1]ORG CODES'!$A:$B,2,FALSE)</f>
        <v>Student Funded Programs</v>
      </c>
      <c r="B136" s="1" t="s">
        <v>2</v>
      </c>
      <c r="C136" s="1" t="s">
        <v>3</v>
      </c>
      <c r="D136" s="1" t="s">
        <v>4</v>
      </c>
      <c r="E136" s="1" t="s">
        <v>108</v>
      </c>
      <c r="F136" s="1" t="s">
        <v>24</v>
      </c>
      <c r="G136" s="1" t="s">
        <v>43</v>
      </c>
      <c r="H136" s="1" t="str">
        <f>VLOOKUP(F136,'[2]DX.OTHER.9.30.06 DETAIL'!$H$1:$J$65536,3,FALSE)</f>
        <v>Exp-Goods/Svcs</v>
      </c>
      <c r="I136" s="1">
        <v>0</v>
      </c>
      <c r="J136" s="2">
        <v>348.74</v>
      </c>
      <c r="K136" s="2">
        <v>0</v>
      </c>
      <c r="L136" s="2">
        <v>-348.74</v>
      </c>
      <c r="M136" s="2">
        <v>0</v>
      </c>
      <c r="N136" s="1" t="str">
        <f>VLOOKUP(E136,'[1]ORG CODES'!$A:$C,3,FALSE)</f>
        <v>3413   LEGISLATIVE LIAISON</v>
      </c>
    </row>
    <row r="137" spans="1:14" ht="14.45" hidden="1" x14ac:dyDescent="0.3">
      <c r="A137" t="str">
        <f>VLOOKUP(E137,'[1]ORG CODES'!$A:$B,2,FALSE)</f>
        <v>Student Funded Programs</v>
      </c>
      <c r="B137" s="1" t="s">
        <v>2</v>
      </c>
      <c r="C137" s="1" t="s">
        <v>3</v>
      </c>
      <c r="D137" s="1" t="s">
        <v>4</v>
      </c>
      <c r="E137" s="1" t="s">
        <v>109</v>
      </c>
      <c r="F137" s="1" t="s">
        <v>24</v>
      </c>
      <c r="G137" s="1" t="s">
        <v>43</v>
      </c>
      <c r="H137" s="1" t="str">
        <f>VLOOKUP(F137,'[2]DX.OTHER.9.30.06 DETAIL'!$H$1:$J$65536,3,FALSE)</f>
        <v>Exp-Goods/Svcs</v>
      </c>
      <c r="I137" s="1">
        <v>0</v>
      </c>
      <c r="J137" s="2">
        <v>309.08</v>
      </c>
      <c r="K137" s="2">
        <v>0</v>
      </c>
      <c r="L137" s="2">
        <v>-309.08</v>
      </c>
      <c r="M137" s="2">
        <v>0</v>
      </c>
      <c r="N137" s="1" t="str">
        <f>VLOOKUP(E137,'[1]ORG CODES'!$A:$C,3,FALSE)</f>
        <v>3414   CULTURAL SERIES</v>
      </c>
    </row>
    <row r="138" spans="1:14" ht="14.45" hidden="1" x14ac:dyDescent="0.3">
      <c r="A138" t="str">
        <f>VLOOKUP(E138,'[1]ORG CODES'!$A:$B,2,FALSE)</f>
        <v>Student Funded Programs</v>
      </c>
      <c r="B138" s="1" t="s">
        <v>2</v>
      </c>
      <c r="C138" s="1" t="s">
        <v>3</v>
      </c>
      <c r="D138" s="1" t="s">
        <v>4</v>
      </c>
      <c r="E138" s="1" t="s">
        <v>110</v>
      </c>
      <c r="F138" s="1" t="s">
        <v>24</v>
      </c>
      <c r="G138" s="1" t="s">
        <v>43</v>
      </c>
      <c r="H138" s="1" t="str">
        <f>VLOOKUP(F138,'[2]DX.OTHER.9.30.06 DETAIL'!$H$1:$J$65536,3,FALSE)</f>
        <v>Exp-Goods/Svcs</v>
      </c>
      <c r="I138" s="1">
        <v>0</v>
      </c>
      <c r="J138" s="2">
        <v>2984.98</v>
      </c>
      <c r="K138" s="2">
        <v>0</v>
      </c>
      <c r="L138" s="2">
        <v>-2984.98</v>
      </c>
      <c r="M138" s="2">
        <v>0</v>
      </c>
      <c r="N138" s="1" t="str">
        <f>VLOOKUP(E138,'[1]ORG CODES'!$A:$C,3,FALSE)</f>
        <v>3415   SUPPLIES</v>
      </c>
    </row>
    <row r="139" spans="1:14" ht="14.45" hidden="1" x14ac:dyDescent="0.3">
      <c r="A139" t="str">
        <f>VLOOKUP(E139,'[1]ORG CODES'!$A:$B,2,FALSE)</f>
        <v>Student Funded Programs</v>
      </c>
      <c r="B139" s="1" t="s">
        <v>2</v>
      </c>
      <c r="C139" s="1" t="s">
        <v>3</v>
      </c>
      <c r="D139" s="1" t="s">
        <v>4</v>
      </c>
      <c r="E139" s="1" t="s">
        <v>115</v>
      </c>
      <c r="F139" s="1" t="s">
        <v>24</v>
      </c>
      <c r="G139" s="1" t="s">
        <v>43</v>
      </c>
      <c r="H139" s="1" t="str">
        <f>VLOOKUP(F139,'[2]DX.OTHER.9.30.06 DETAIL'!$H$1:$J$65536,3,FALSE)</f>
        <v>Exp-Goods/Svcs</v>
      </c>
      <c r="I139" s="1">
        <v>0</v>
      </c>
      <c r="J139" s="2">
        <v>1285.43</v>
      </c>
      <c r="K139" s="2">
        <v>0</v>
      </c>
      <c r="L139" s="2">
        <v>-1285.43</v>
      </c>
      <c r="M139" s="2">
        <v>0</v>
      </c>
      <c r="N139" s="1" t="str">
        <f>VLOOKUP(E139,'[1]ORG CODES'!$A:$C,3,FALSE)</f>
        <v>3418   FOOD BANK</v>
      </c>
    </row>
    <row r="140" spans="1:14" ht="14.45" hidden="1" x14ac:dyDescent="0.3">
      <c r="A140" t="str">
        <f>VLOOKUP(E140,'[1]ORG CODES'!$A:$B,2,FALSE)</f>
        <v>Student Funded Programs</v>
      </c>
      <c r="B140" s="1" t="s">
        <v>2</v>
      </c>
      <c r="C140" s="1" t="s">
        <v>3</v>
      </c>
      <c r="D140" s="1" t="s">
        <v>4</v>
      </c>
      <c r="E140" s="1" t="s">
        <v>117</v>
      </c>
      <c r="F140" s="1" t="s">
        <v>24</v>
      </c>
      <c r="G140" s="1" t="s">
        <v>43</v>
      </c>
      <c r="H140" s="1" t="str">
        <f>VLOOKUP(F140,'[2]DX.OTHER.9.30.06 DETAIL'!$H$1:$J$65536,3,FALSE)</f>
        <v>Exp-Goods/Svcs</v>
      </c>
      <c r="I140" s="1">
        <v>0</v>
      </c>
      <c r="J140" s="2">
        <v>2251.04</v>
      </c>
      <c r="K140" s="2">
        <v>0</v>
      </c>
      <c r="L140" s="2">
        <v>-2251.04</v>
      </c>
      <c r="M140" s="2">
        <v>0</v>
      </c>
      <c r="N140" s="1" t="str">
        <f>VLOOKUP(E140,'[1]ORG CODES'!$A:$C,3,FALSE)</f>
        <v>3420   SPECIAL EVENTS</v>
      </c>
    </row>
    <row r="141" spans="1:14" ht="14.45" hidden="1" x14ac:dyDescent="0.3">
      <c r="A141" t="str">
        <f>VLOOKUP(E141,'[1]ORG CODES'!$A:$B,2,FALSE)</f>
        <v>Student Funded Programs</v>
      </c>
      <c r="B141" s="1" t="s">
        <v>2</v>
      </c>
      <c r="C141" s="1" t="s">
        <v>3</v>
      </c>
      <c r="D141" s="1" t="s">
        <v>4</v>
      </c>
      <c r="E141" s="1" t="s">
        <v>118</v>
      </c>
      <c r="F141" s="1" t="s">
        <v>24</v>
      </c>
      <c r="G141" s="1" t="s">
        <v>43</v>
      </c>
      <c r="H141" s="1" t="str">
        <f>VLOOKUP(F141,'[2]DX.OTHER.9.30.06 DETAIL'!$H$1:$J$65536,3,FALSE)</f>
        <v>Exp-Goods/Svcs</v>
      </c>
      <c r="I141" s="1">
        <v>0</v>
      </c>
      <c r="J141" s="2">
        <v>23.15</v>
      </c>
      <c r="K141" s="2">
        <v>0</v>
      </c>
      <c r="L141" s="2">
        <v>-23.15</v>
      </c>
      <c r="M141" s="2">
        <v>0</v>
      </c>
      <c r="N141" s="1" t="str">
        <f>VLOOKUP(E141,'[1]ORG CODES'!$A:$C,3,FALSE)</f>
        <v>3421   CONCERTS/COMEDY</v>
      </c>
    </row>
    <row r="142" spans="1:14" ht="14.45" hidden="1" x14ac:dyDescent="0.3">
      <c r="A142" t="str">
        <f>VLOOKUP(E142,'[1]ORG CODES'!$A:$B,2,FALSE)</f>
        <v>Student Funded Programs</v>
      </c>
      <c r="B142" s="1" t="s">
        <v>2</v>
      </c>
      <c r="C142" s="1" t="s">
        <v>3</v>
      </c>
      <c r="D142" s="1" t="s">
        <v>4</v>
      </c>
      <c r="E142" s="1" t="s">
        <v>120</v>
      </c>
      <c r="F142" s="1" t="s">
        <v>24</v>
      </c>
      <c r="G142" s="1" t="s">
        <v>43</v>
      </c>
      <c r="H142" s="1" t="str">
        <f>VLOOKUP(F142,'[2]DX.OTHER.9.30.06 DETAIL'!$H$1:$J$65536,3,FALSE)</f>
        <v>Exp-Goods/Svcs</v>
      </c>
      <c r="I142" s="1">
        <v>0</v>
      </c>
      <c r="J142" s="2">
        <v>0</v>
      </c>
      <c r="K142" s="2">
        <v>0</v>
      </c>
      <c r="L142" s="2">
        <v>0</v>
      </c>
      <c r="M142" s="2">
        <v>0</v>
      </c>
      <c r="N142" s="1" t="str">
        <f>VLOOKUP(E142,'[1]ORG CODES'!$A:$C,3,FALSE)</f>
        <v>3423   COLLEGE-WIDE THEME</v>
      </c>
    </row>
    <row r="143" spans="1:14" ht="14.45" hidden="1" x14ac:dyDescent="0.3">
      <c r="A143" t="str">
        <f>VLOOKUP(E143,'[1]ORG CODES'!$A:$B,2,FALSE)</f>
        <v>Student Funded Programs</v>
      </c>
      <c r="B143" s="1" t="s">
        <v>2</v>
      </c>
      <c r="C143" s="1" t="s">
        <v>3</v>
      </c>
      <c r="D143" s="1" t="s">
        <v>4</v>
      </c>
      <c r="E143" s="1" t="s">
        <v>121</v>
      </c>
      <c r="F143" s="1" t="s">
        <v>24</v>
      </c>
      <c r="G143" s="1" t="s">
        <v>43</v>
      </c>
      <c r="H143" s="1" t="str">
        <f>VLOOKUP(F143,'[2]DX.OTHER.9.30.06 DETAIL'!$H$1:$J$65536,3,FALSE)</f>
        <v>Exp-Goods/Svcs</v>
      </c>
      <c r="I143" s="1">
        <v>0</v>
      </c>
      <c r="J143" s="2">
        <v>277.60000000000002</v>
      </c>
      <c r="K143" s="2">
        <v>0</v>
      </c>
      <c r="L143" s="2">
        <v>-277.60000000000002</v>
      </c>
      <c r="M143" s="2">
        <v>0</v>
      </c>
      <c r="N143" s="1" t="str">
        <f>VLOOKUP(E143,'[1]ORG CODES'!$A:$C,3,FALSE)</f>
        <v>3424   SPEAKERS/SEMINARS</v>
      </c>
    </row>
    <row r="144" spans="1:14" ht="14.45" hidden="1" x14ac:dyDescent="0.3">
      <c r="A144" t="str">
        <f>VLOOKUP(E144,'[1]ORG CODES'!$A:$B,2,FALSE)</f>
        <v>Student Funded Programs</v>
      </c>
      <c r="B144" s="1" t="s">
        <v>2</v>
      </c>
      <c r="C144" s="1" t="s">
        <v>3</v>
      </c>
      <c r="D144" s="1" t="s">
        <v>4</v>
      </c>
      <c r="E144" s="1" t="s">
        <v>122</v>
      </c>
      <c r="F144" s="1" t="s">
        <v>24</v>
      </c>
      <c r="G144" s="1" t="s">
        <v>43</v>
      </c>
      <c r="H144" s="1" t="str">
        <f>VLOOKUP(F144,'[2]DX.OTHER.9.30.06 DETAIL'!$H$1:$J$65536,3,FALSE)</f>
        <v>Exp-Goods/Svcs</v>
      </c>
      <c r="I144" s="1">
        <v>0</v>
      </c>
      <c r="J144" s="2">
        <v>15.03</v>
      </c>
      <c r="K144" s="2">
        <v>0</v>
      </c>
      <c r="L144" s="2">
        <v>-15.03</v>
      </c>
      <c r="M144" s="2">
        <v>0</v>
      </c>
      <c r="N144" s="1" t="str">
        <f>VLOOKUP(E144,'[1]ORG CODES'!$A:$C,3,FALSE)</f>
        <v>3425   OUTREACH EDUCATION</v>
      </c>
    </row>
    <row r="145" spans="1:14" ht="14.45" hidden="1" x14ac:dyDescent="0.3">
      <c r="A145" t="str">
        <f>VLOOKUP(E145,'[1]ORG CODES'!$A:$B,2,FALSE)</f>
        <v>Student Funded Programs</v>
      </c>
      <c r="B145" s="1" t="s">
        <v>2</v>
      </c>
      <c r="C145" s="1" t="s">
        <v>3</v>
      </c>
      <c r="D145" s="1" t="s">
        <v>4</v>
      </c>
      <c r="E145" s="1" t="s">
        <v>123</v>
      </c>
      <c r="F145" s="1" t="s">
        <v>24</v>
      </c>
      <c r="G145" s="1" t="s">
        <v>43</v>
      </c>
      <c r="H145" s="1" t="str">
        <f>VLOOKUP(F145,'[2]DX.OTHER.9.30.06 DETAIL'!$H$1:$J$65536,3,FALSE)</f>
        <v>Exp-Goods/Svcs</v>
      </c>
      <c r="I145" s="1">
        <v>0</v>
      </c>
      <c r="J145" s="2">
        <v>6133.69</v>
      </c>
      <c r="K145" s="2">
        <v>0</v>
      </c>
      <c r="L145" s="2">
        <v>-6133.69</v>
      </c>
      <c r="M145" s="2">
        <v>0</v>
      </c>
      <c r="N145" s="1" t="str">
        <f>VLOOKUP(E145,'[1]ORG CODES'!$A:$C,3,FALSE)</f>
        <v>3426   EQUIPMENT</v>
      </c>
    </row>
    <row r="146" spans="1:14" ht="14.45" hidden="1" x14ac:dyDescent="0.3">
      <c r="A146" t="str">
        <f>VLOOKUP(E146,'[1]ORG CODES'!$A:$B,2,FALSE)</f>
        <v>Student Funded Programs</v>
      </c>
      <c r="B146" s="1" t="s">
        <v>2</v>
      </c>
      <c r="C146" s="1" t="s">
        <v>3</v>
      </c>
      <c r="D146" s="1" t="s">
        <v>4</v>
      </c>
      <c r="E146" s="1" t="s">
        <v>125</v>
      </c>
      <c r="F146" s="1" t="s">
        <v>24</v>
      </c>
      <c r="G146" s="1" t="s">
        <v>43</v>
      </c>
      <c r="H146" s="1" t="str">
        <f>VLOOKUP(F146,'[2]DX.OTHER.9.30.06 DETAIL'!$H$1:$J$65536,3,FALSE)</f>
        <v>Exp-Goods/Svcs</v>
      </c>
      <c r="I146" s="1">
        <v>0</v>
      </c>
      <c r="J146" s="2">
        <v>4288.97</v>
      </c>
      <c r="K146" s="2">
        <v>0</v>
      </c>
      <c r="L146" s="2">
        <v>-4288.97</v>
      </c>
      <c r="M146" s="2">
        <v>0</v>
      </c>
      <c r="N146" s="1" t="str">
        <f>VLOOKUP(E146,'[1]ORG CODES'!$A:$C,3,FALSE)</f>
        <v>3428   SECURITY</v>
      </c>
    </row>
    <row r="147" spans="1:14" ht="14.45" hidden="1" x14ac:dyDescent="0.3">
      <c r="A147" t="str">
        <f>VLOOKUP(E147,'[1]ORG CODES'!$A:$B,2,FALSE)</f>
        <v>Student Funded Programs</v>
      </c>
      <c r="B147" s="1" t="s">
        <v>2</v>
      </c>
      <c r="C147" s="1" t="s">
        <v>3</v>
      </c>
      <c r="D147" s="1" t="s">
        <v>4</v>
      </c>
      <c r="E147" s="1" t="s">
        <v>127</v>
      </c>
      <c r="F147" s="1" t="s">
        <v>24</v>
      </c>
      <c r="G147" s="1" t="s">
        <v>43</v>
      </c>
      <c r="H147" s="1" t="str">
        <f>VLOOKUP(F147,'[2]DX.OTHER.9.30.06 DETAIL'!$H$1:$J$65536,3,FALSE)</f>
        <v>Exp-Goods/Svcs</v>
      </c>
      <c r="I147" s="1">
        <v>0</v>
      </c>
      <c r="J147" s="2">
        <v>0</v>
      </c>
      <c r="K147" s="2">
        <v>0</v>
      </c>
      <c r="L147" s="2">
        <v>0</v>
      </c>
      <c r="M147" s="2">
        <v>0</v>
      </c>
      <c r="N147" s="1" t="str">
        <f>VLOOKUP(E147,'[1]ORG CODES'!$A:$C,3,FALSE)</f>
        <v>3430   STUDENT MEDIA LAB</v>
      </c>
    </row>
    <row r="148" spans="1:14" ht="14.45" hidden="1" x14ac:dyDescent="0.3">
      <c r="A148" t="str">
        <f>VLOOKUP(E148,'[1]ORG CODES'!$A:$B,2,FALSE)</f>
        <v>Student Funded Programs</v>
      </c>
      <c r="B148" s="1" t="s">
        <v>2</v>
      </c>
      <c r="C148" s="1" t="s">
        <v>3</v>
      </c>
      <c r="D148" s="1" t="s">
        <v>4</v>
      </c>
      <c r="E148" s="1" t="s">
        <v>130</v>
      </c>
      <c r="F148" s="1" t="s">
        <v>24</v>
      </c>
      <c r="G148" s="1" t="s">
        <v>43</v>
      </c>
      <c r="H148" s="1" t="str">
        <f>VLOOKUP(F148,'[2]DX.OTHER.9.30.06 DETAIL'!$H$1:$J$65536,3,FALSE)</f>
        <v>Exp-Goods/Svcs</v>
      </c>
      <c r="I148" s="1">
        <v>0</v>
      </c>
      <c r="J148" s="2">
        <v>314.29000000000002</v>
      </c>
      <c r="K148" s="2">
        <v>0</v>
      </c>
      <c r="L148" s="2">
        <v>-314.29000000000002</v>
      </c>
      <c r="M148" s="2">
        <v>0</v>
      </c>
      <c r="N148" s="1" t="str">
        <f>VLOOKUP(E148,'[1]ORG CODES'!$A:$C,3,FALSE)</f>
        <v>3433   ANIME CLUB</v>
      </c>
    </row>
    <row r="149" spans="1:14" ht="14.45" hidden="1" x14ac:dyDescent="0.3">
      <c r="A149" t="str">
        <f>VLOOKUP(E149,'[1]ORG CODES'!$A:$B,2,FALSE)</f>
        <v>Student Funded Programs</v>
      </c>
      <c r="B149" s="1" t="s">
        <v>2</v>
      </c>
      <c r="C149" s="1" t="s">
        <v>3</v>
      </c>
      <c r="D149" s="1" t="s">
        <v>4</v>
      </c>
      <c r="E149" s="1" t="s">
        <v>132</v>
      </c>
      <c r="F149" s="1" t="s">
        <v>24</v>
      </c>
      <c r="G149" s="1" t="s">
        <v>43</v>
      </c>
      <c r="H149" s="1" t="str">
        <f>VLOOKUP(F149,'[2]DX.OTHER.9.30.06 DETAIL'!$H$1:$J$65536,3,FALSE)</f>
        <v>Exp-Goods/Svcs</v>
      </c>
      <c r="I149" s="1">
        <v>0</v>
      </c>
      <c r="J149" s="2">
        <v>1568.32</v>
      </c>
      <c r="K149" s="2">
        <v>0</v>
      </c>
      <c r="L149" s="2">
        <v>-1568.32</v>
      </c>
      <c r="M149" s="2">
        <v>0</v>
      </c>
      <c r="N149" s="1" t="str">
        <f>VLOOKUP(E149,'[1]ORG CODES'!$A:$C,3,FALSE)</f>
        <v>3435   BLACK STUDENT UNION</v>
      </c>
    </row>
    <row r="150" spans="1:14" ht="14.45" hidden="1" x14ac:dyDescent="0.3">
      <c r="A150" t="str">
        <f>VLOOKUP(E150,'[1]ORG CODES'!$A:$B,2,FALSE)</f>
        <v>Student Funded Programs</v>
      </c>
      <c r="B150" s="1" t="s">
        <v>2</v>
      </c>
      <c r="C150" s="1" t="s">
        <v>3</v>
      </c>
      <c r="D150" s="1" t="s">
        <v>4</v>
      </c>
      <c r="E150" s="1" t="s">
        <v>134</v>
      </c>
      <c r="F150" s="1" t="s">
        <v>24</v>
      </c>
      <c r="G150" s="1" t="s">
        <v>43</v>
      </c>
      <c r="H150" s="1" t="str">
        <f>VLOOKUP(F150,'[2]DX.OTHER.9.30.06 DETAIL'!$H$1:$J$65536,3,FALSE)</f>
        <v>Exp-Goods/Svcs</v>
      </c>
      <c r="I150" s="1">
        <v>0</v>
      </c>
      <c r="J150" s="2">
        <v>1238.1099999999999</v>
      </c>
      <c r="K150" s="2">
        <v>0</v>
      </c>
      <c r="L150" s="2">
        <v>-1238.1099999999999</v>
      </c>
      <c r="M150" s="2">
        <v>0</v>
      </c>
      <c r="N150" s="1" t="str">
        <f>VLOOKUP(E150,'[1]ORG CODES'!$A:$C,3,FALSE)</f>
        <v>3436   ART CLUB</v>
      </c>
    </row>
    <row r="151" spans="1:14" ht="14.45" hidden="1" x14ac:dyDescent="0.3">
      <c r="A151" t="str">
        <f>VLOOKUP(E151,'[1]ORG CODES'!$A:$B,2,FALSE)</f>
        <v>Student Funded Programs</v>
      </c>
      <c r="B151" s="1" t="s">
        <v>2</v>
      </c>
      <c r="C151" s="1" t="s">
        <v>3</v>
      </c>
      <c r="D151" s="1" t="s">
        <v>4</v>
      </c>
      <c r="E151" s="1" t="s">
        <v>135</v>
      </c>
      <c r="F151" s="1" t="s">
        <v>24</v>
      </c>
      <c r="G151" s="1" t="s">
        <v>43</v>
      </c>
      <c r="H151" s="1" t="str">
        <f>VLOOKUP(F151,'[2]DX.OTHER.9.30.06 DETAIL'!$H$1:$J$65536,3,FALSE)</f>
        <v>Exp-Goods/Svcs</v>
      </c>
      <c r="I151" s="1">
        <v>0</v>
      </c>
      <c r="J151" s="2">
        <v>459.44</v>
      </c>
      <c r="K151" s="2">
        <v>0</v>
      </c>
      <c r="L151" s="2">
        <v>-459.44</v>
      </c>
      <c r="M151" s="2">
        <v>0</v>
      </c>
      <c r="N151" s="1" t="str">
        <f>VLOOKUP(E151,'[1]ORG CODES'!$A:$C,3,FALSE)</f>
        <v>3437   SFCC VETS CLUB</v>
      </c>
    </row>
    <row r="152" spans="1:14" ht="14.45" hidden="1" x14ac:dyDescent="0.3">
      <c r="A152" t="str">
        <f>VLOOKUP(E152,'[1]ORG CODES'!$A:$B,2,FALSE)</f>
        <v>Student Funded Programs</v>
      </c>
      <c r="B152" s="1" t="s">
        <v>2</v>
      </c>
      <c r="C152" s="1" t="s">
        <v>3</v>
      </c>
      <c r="D152" s="1" t="s">
        <v>4</v>
      </c>
      <c r="E152" s="1" t="s">
        <v>139</v>
      </c>
      <c r="F152" s="1" t="s">
        <v>24</v>
      </c>
      <c r="G152" s="1" t="s">
        <v>43</v>
      </c>
      <c r="H152" s="1" t="str">
        <f>VLOOKUP(F152,'[2]DX.OTHER.9.30.06 DETAIL'!$H$1:$J$65536,3,FALSE)</f>
        <v>Exp-Goods/Svcs</v>
      </c>
      <c r="I152" s="1">
        <v>0</v>
      </c>
      <c r="J152" s="2">
        <v>615.74</v>
      </c>
      <c r="K152" s="2">
        <v>0</v>
      </c>
      <c r="L152" s="2">
        <v>-615.74</v>
      </c>
      <c r="M152" s="2">
        <v>0</v>
      </c>
      <c r="N152" s="1" t="str">
        <f>VLOOKUP(E152,'[1]ORG CODES'!$A:$C,3,FALSE)</f>
        <v>3440  CREATIVE WRITING</v>
      </c>
    </row>
    <row r="153" spans="1:14" ht="14.45" hidden="1" x14ac:dyDescent="0.3">
      <c r="A153" t="str">
        <f>VLOOKUP(E153,'[1]ORG CODES'!$A:$B,2,FALSE)</f>
        <v>Student Funded Programs</v>
      </c>
      <c r="B153" s="1" t="s">
        <v>2</v>
      </c>
      <c r="C153" s="1" t="s">
        <v>3</v>
      </c>
      <c r="D153" s="1" t="s">
        <v>4</v>
      </c>
      <c r="E153" s="1" t="s">
        <v>140</v>
      </c>
      <c r="F153" s="1" t="s">
        <v>24</v>
      </c>
      <c r="G153" s="1" t="s">
        <v>43</v>
      </c>
      <c r="H153" s="1" t="str">
        <f>VLOOKUP(F153,'[2]DX.OTHER.9.30.06 DETAIL'!$H$1:$J$65536,3,FALSE)</f>
        <v>Exp-Goods/Svcs</v>
      </c>
      <c r="I153" s="1">
        <v>0</v>
      </c>
      <c r="J153" s="2">
        <v>219.31</v>
      </c>
      <c r="K153" s="2">
        <v>0</v>
      </c>
      <c r="L153" s="2">
        <v>-219.31</v>
      </c>
      <c r="M153" s="2">
        <v>0</v>
      </c>
      <c r="N153" s="1" t="str">
        <f>VLOOKUP(E153,'[1]ORG CODES'!$A:$C,3,FALSE)</f>
        <v>3441  JAPANESE CLUB</v>
      </c>
    </row>
    <row r="154" spans="1:14" ht="14.45" hidden="1" x14ac:dyDescent="0.3">
      <c r="A154" t="str">
        <f>VLOOKUP(E154,'[1]ORG CODES'!$A:$B,2,FALSE)</f>
        <v>Student Funded Programs</v>
      </c>
      <c r="B154" s="1" t="s">
        <v>2</v>
      </c>
      <c r="C154" s="1" t="s">
        <v>3</v>
      </c>
      <c r="D154" s="1" t="s">
        <v>4</v>
      </c>
      <c r="E154" s="1" t="s">
        <v>142</v>
      </c>
      <c r="F154" s="1" t="s">
        <v>24</v>
      </c>
      <c r="G154" s="1" t="s">
        <v>43</v>
      </c>
      <c r="H154" s="1" t="str">
        <f>VLOOKUP(F154,'[2]DX.OTHER.9.30.06 DETAIL'!$H$1:$J$65536,3,FALSE)</f>
        <v>Exp-Goods/Svcs</v>
      </c>
      <c r="I154" s="1">
        <v>0</v>
      </c>
      <c r="J154" s="2">
        <v>1859.6</v>
      </c>
      <c r="K154" s="2">
        <v>0</v>
      </c>
      <c r="L154" s="2">
        <v>-1859.6</v>
      </c>
      <c r="M154" s="2">
        <v>0</v>
      </c>
      <c r="N154" s="1" t="str">
        <f>VLOOKUP(E154,'[1]ORG CODES'!$A:$C,3,FALSE)</f>
        <v>3442   ASSOC WOMEN STUDENTS</v>
      </c>
    </row>
    <row r="155" spans="1:14" ht="14.45" hidden="1" x14ac:dyDescent="0.3">
      <c r="A155" t="str">
        <f>VLOOKUP(E155,'[1]ORG CODES'!$A:$B,2,FALSE)</f>
        <v>Student Funded Programs</v>
      </c>
      <c r="B155" s="1" t="s">
        <v>2</v>
      </c>
      <c r="C155" s="1" t="s">
        <v>3</v>
      </c>
      <c r="D155" s="1" t="s">
        <v>4</v>
      </c>
      <c r="E155" s="1" t="s">
        <v>144</v>
      </c>
      <c r="F155" s="1" t="s">
        <v>24</v>
      </c>
      <c r="G155" s="1" t="s">
        <v>43</v>
      </c>
      <c r="H155" s="1" t="str">
        <f>VLOOKUP(F155,'[2]DX.OTHER.9.30.06 DETAIL'!$H$1:$J$65536,3,FALSE)</f>
        <v>Exp-Goods/Svcs</v>
      </c>
      <c r="I155" s="1">
        <v>0</v>
      </c>
      <c r="J155" s="2">
        <v>1265.45</v>
      </c>
      <c r="K155" s="2">
        <v>0</v>
      </c>
      <c r="L155" s="2">
        <v>-1265.45</v>
      </c>
      <c r="M155" s="2">
        <v>0</v>
      </c>
      <c r="N155" s="1" t="str">
        <f>VLOOKUP(E155,'[1]ORG CODES'!$A:$C,3,FALSE)</f>
        <v>3443   DANCE CLUB</v>
      </c>
    </row>
    <row r="156" spans="1:14" ht="14.45" hidden="1" x14ac:dyDescent="0.3">
      <c r="A156" t="str">
        <f>VLOOKUP(E156,'[1]ORG CODES'!$A:$B,2,FALSE)</f>
        <v>Student Funded Programs</v>
      </c>
      <c r="B156" s="1" t="s">
        <v>2</v>
      </c>
      <c r="C156" s="1" t="s">
        <v>3</v>
      </c>
      <c r="D156" s="1" t="s">
        <v>4</v>
      </c>
      <c r="E156" s="1" t="s">
        <v>146</v>
      </c>
      <c r="F156" s="1" t="s">
        <v>24</v>
      </c>
      <c r="G156" s="1" t="s">
        <v>43</v>
      </c>
      <c r="H156" s="1" t="str">
        <f>VLOOKUP(F156,'[2]DX.OTHER.9.30.06 DETAIL'!$H$1:$J$65536,3,FALSE)</f>
        <v>Exp-Goods/Svcs</v>
      </c>
      <c r="I156" s="1">
        <v>0</v>
      </c>
      <c r="J156" s="2">
        <v>630.91999999999996</v>
      </c>
      <c r="K156" s="2">
        <v>0</v>
      </c>
      <c r="L156" s="2">
        <v>-630.91999999999996</v>
      </c>
      <c r="M156" s="2">
        <v>0</v>
      </c>
      <c r="N156" s="1" t="str">
        <f>VLOOKUP(E156,'[1]ORG CODES'!$A:$C,3,FALSE)</f>
        <v>3445   ASIAN AMERICAN CLUB</v>
      </c>
    </row>
    <row r="157" spans="1:14" ht="14.45" hidden="1" x14ac:dyDescent="0.3">
      <c r="A157" t="str">
        <f>VLOOKUP(E157,'[1]ORG CODES'!$A:$B,2,FALSE)</f>
        <v>Student Funded Programs</v>
      </c>
      <c r="B157" s="1" t="s">
        <v>2</v>
      </c>
      <c r="C157" s="1" t="s">
        <v>3</v>
      </c>
      <c r="D157" s="1" t="s">
        <v>4</v>
      </c>
      <c r="E157" s="1" t="s">
        <v>149</v>
      </c>
      <c r="F157" s="1" t="s">
        <v>24</v>
      </c>
      <c r="G157" s="1" t="s">
        <v>43</v>
      </c>
      <c r="H157" s="1" t="str">
        <f>VLOOKUP(F157,'[2]DX.OTHER.9.30.06 DETAIL'!$H$1:$J$65536,3,FALSE)</f>
        <v>Exp-Goods/Svcs</v>
      </c>
      <c r="I157" s="1">
        <v>0</v>
      </c>
      <c r="J157" s="2">
        <v>116.51</v>
      </c>
      <c r="K157" s="2">
        <v>0</v>
      </c>
      <c r="L157" s="2">
        <v>-116.51</v>
      </c>
      <c r="M157" s="2">
        <v>0</v>
      </c>
      <c r="N157" s="1" t="str">
        <f>VLOOKUP(E157,'[1]ORG CODES'!$A:$C,3,FALSE)</f>
        <v>3446   SVC LRN</v>
      </c>
    </row>
    <row r="158" spans="1:14" ht="14.45" hidden="1" x14ac:dyDescent="0.3">
      <c r="A158" t="str">
        <f>VLOOKUP(E158,'[1]ORG CODES'!$A:$B,2,FALSE)</f>
        <v>Student Funded Programs</v>
      </c>
      <c r="B158" s="1" t="s">
        <v>2</v>
      </c>
      <c r="C158" s="1" t="s">
        <v>3</v>
      </c>
      <c r="D158" s="1" t="s">
        <v>4</v>
      </c>
      <c r="E158" s="1" t="s">
        <v>151</v>
      </c>
      <c r="F158" s="1" t="s">
        <v>24</v>
      </c>
      <c r="G158" s="1" t="s">
        <v>43</v>
      </c>
      <c r="H158" s="1" t="str">
        <f>VLOOKUP(F158,'[2]DX.OTHER.9.30.06 DETAIL'!$H$1:$J$65536,3,FALSE)</f>
        <v>Exp-Goods/Svcs</v>
      </c>
      <c r="I158" s="1">
        <v>0</v>
      </c>
      <c r="J158" s="2">
        <v>224.51</v>
      </c>
      <c r="K158" s="2">
        <v>0</v>
      </c>
      <c r="L158" s="2">
        <v>-224.51</v>
      </c>
      <c r="M158" s="2">
        <v>0</v>
      </c>
      <c r="N158" s="1" t="str">
        <f>VLOOKUP(E158,'[1]ORG CODES'!$A:$C,3,FALSE)</f>
        <v>3447   FALLS CHRISTIAN FELLOWSHIP</v>
      </c>
    </row>
    <row r="159" spans="1:14" ht="14.45" hidden="1" x14ac:dyDescent="0.3">
      <c r="A159" t="str">
        <f>VLOOKUP(E159,'[1]ORG CODES'!$A:$B,2,FALSE)</f>
        <v>Student Funded Programs</v>
      </c>
      <c r="B159" s="1" t="s">
        <v>2</v>
      </c>
      <c r="C159" s="1" t="s">
        <v>3</v>
      </c>
      <c r="D159" s="1" t="s">
        <v>4</v>
      </c>
      <c r="E159" s="1" t="s">
        <v>152</v>
      </c>
      <c r="F159" s="1" t="s">
        <v>24</v>
      </c>
      <c r="G159" s="1" t="s">
        <v>43</v>
      </c>
      <c r="H159" s="1" t="str">
        <f>VLOOKUP(F159,'[2]DX.OTHER.9.30.06 DETAIL'!$H$1:$J$65536,3,FALSE)</f>
        <v>Exp-Goods/Svcs</v>
      </c>
      <c r="I159" s="1">
        <v>0</v>
      </c>
      <c r="J159" s="2">
        <v>2129.15</v>
      </c>
      <c r="K159" s="2">
        <v>0</v>
      </c>
      <c r="L159" s="2">
        <v>-2129.15</v>
      </c>
      <c r="M159" s="2">
        <v>0</v>
      </c>
      <c r="N159" s="1" t="str">
        <f>VLOOKUP(E159,'[1]ORG CODES'!$A:$C,3,FALSE)</f>
        <v>3348   SFCC GAMERS</v>
      </c>
    </row>
    <row r="160" spans="1:14" ht="14.45" hidden="1" x14ac:dyDescent="0.3">
      <c r="A160" t="str">
        <f>VLOOKUP(E160,'[1]ORG CODES'!$A:$B,2,FALSE)</f>
        <v>Student Funded Programs</v>
      </c>
      <c r="B160" s="1" t="s">
        <v>2</v>
      </c>
      <c r="C160" s="1" t="s">
        <v>3</v>
      </c>
      <c r="D160" s="1" t="s">
        <v>4</v>
      </c>
      <c r="E160" s="1" t="s">
        <v>154</v>
      </c>
      <c r="F160" s="1" t="s">
        <v>24</v>
      </c>
      <c r="G160" s="1" t="s">
        <v>43</v>
      </c>
      <c r="H160" s="1" t="str">
        <f>VLOOKUP(F160,'[2]DX.OTHER.9.30.06 DETAIL'!$H$1:$J$65536,3,FALSE)</f>
        <v>Exp-Goods/Svcs</v>
      </c>
      <c r="I160" s="1">
        <v>0</v>
      </c>
      <c r="J160" s="2">
        <v>366.01</v>
      </c>
      <c r="K160" s="2">
        <v>0</v>
      </c>
      <c r="L160" s="2">
        <v>-366.01</v>
      </c>
      <c r="M160" s="2">
        <v>0</v>
      </c>
      <c r="N160" s="1" t="str">
        <f>VLOOKUP(E160,'[1]ORG CODES'!$A:$C,3,FALSE)</f>
        <v>3453   INTERIOR DESIGN</v>
      </c>
    </row>
    <row r="161" spans="1:14" ht="14.45" hidden="1" x14ac:dyDescent="0.3">
      <c r="A161" t="str">
        <f>VLOOKUP(E161,'[1]ORG CODES'!$A:$B,2,FALSE)</f>
        <v>Student Funded Programs</v>
      </c>
      <c r="B161" s="1" t="s">
        <v>2</v>
      </c>
      <c r="C161" s="1" t="s">
        <v>3</v>
      </c>
      <c r="D161" s="1" t="s">
        <v>4</v>
      </c>
      <c r="E161" s="1" t="s">
        <v>156</v>
      </c>
      <c r="F161" s="1" t="s">
        <v>24</v>
      </c>
      <c r="G161" s="1" t="s">
        <v>43</v>
      </c>
      <c r="H161" s="1" t="str">
        <f>VLOOKUP(F161,'[2]DX.OTHER.9.30.06 DETAIL'!$H$1:$J$65536,3,FALSE)</f>
        <v>Exp-Goods/Svcs</v>
      </c>
      <c r="I161" s="1">
        <v>0</v>
      </c>
      <c r="J161" s="2">
        <v>475.5</v>
      </c>
      <c r="K161" s="2">
        <v>0</v>
      </c>
      <c r="L161" s="2">
        <v>-475.5</v>
      </c>
      <c r="M161" s="2">
        <v>0</v>
      </c>
      <c r="N161" s="1" t="str">
        <f>VLOOKUP(E161,'[1]ORG CODES'!$A:$C,3,FALSE)</f>
        <v>3454   CHINESE CULTURE</v>
      </c>
    </row>
    <row r="162" spans="1:14" ht="14.45" hidden="1" x14ac:dyDescent="0.3">
      <c r="A162" t="str">
        <f>VLOOKUP(E162,'[1]ORG CODES'!$A:$B,2,FALSE)</f>
        <v>Student Funded Programs</v>
      </c>
      <c r="B162" s="1" t="s">
        <v>2</v>
      </c>
      <c r="C162" s="1" t="s">
        <v>3</v>
      </c>
      <c r="D162" s="1" t="s">
        <v>4</v>
      </c>
      <c r="E162" s="1" t="s">
        <v>159</v>
      </c>
      <c r="F162" s="1" t="s">
        <v>24</v>
      </c>
      <c r="G162" s="1" t="s">
        <v>43</v>
      </c>
      <c r="H162" s="1" t="str">
        <f>VLOOKUP(F162,'[2]DX.OTHER.9.30.06 DETAIL'!$H$1:$J$65536,3,FALSE)</f>
        <v>Exp-Goods/Svcs</v>
      </c>
      <c r="I162" s="1">
        <v>0</v>
      </c>
      <c r="J162" s="2">
        <v>298.38</v>
      </c>
      <c r="K162" s="2">
        <v>0</v>
      </c>
      <c r="L162" s="2">
        <v>-298.38</v>
      </c>
      <c r="M162" s="2">
        <v>0</v>
      </c>
      <c r="N162" s="1" t="str">
        <f>VLOOKUP(E162,'[1]ORG CODES'!$A:$C,3,FALSE)</f>
        <v>3456   FRENCH CLUB</v>
      </c>
    </row>
    <row r="163" spans="1:14" ht="14.45" hidden="1" x14ac:dyDescent="0.3">
      <c r="A163" t="str">
        <f>VLOOKUP(E163,'[1]ORG CODES'!$A:$B,2,FALSE)</f>
        <v>Student Funded Programs</v>
      </c>
      <c r="B163" s="1" t="s">
        <v>2</v>
      </c>
      <c r="C163" s="1" t="s">
        <v>3</v>
      </c>
      <c r="D163" s="1" t="s">
        <v>4</v>
      </c>
      <c r="E163" s="1" t="s">
        <v>160</v>
      </c>
      <c r="F163" s="1" t="s">
        <v>24</v>
      </c>
      <c r="G163" s="1" t="s">
        <v>43</v>
      </c>
      <c r="H163" s="1" t="str">
        <f>VLOOKUP(F163,'[2]DX.OTHER.9.30.06 DETAIL'!$H$1:$J$65536,3,FALSE)</f>
        <v>Exp-Goods/Svcs</v>
      </c>
      <c r="I163" s="1">
        <v>0</v>
      </c>
      <c r="J163" s="2">
        <v>2088.08</v>
      </c>
      <c r="K163" s="2">
        <v>0</v>
      </c>
      <c r="L163" s="2">
        <v>-2088.08</v>
      </c>
      <c r="M163" s="2">
        <v>0</v>
      </c>
      <c r="N163" s="1" t="str">
        <f>VLOOKUP(E163,'[1]ORG CODES'!$A:$C,3,FALSE)</f>
        <v>3457   THE ALLIANCE</v>
      </c>
    </row>
    <row r="164" spans="1:14" ht="14.45" hidden="1" x14ac:dyDescent="0.3">
      <c r="A164" t="str">
        <f>VLOOKUP(E164,'[1]ORG CODES'!$A:$B,2,FALSE)</f>
        <v>Student Funded Programs</v>
      </c>
      <c r="B164" s="1" t="s">
        <v>2</v>
      </c>
      <c r="C164" s="1" t="s">
        <v>3</v>
      </c>
      <c r="D164" s="1" t="s">
        <v>4</v>
      </c>
      <c r="E164" s="1" t="s">
        <v>162</v>
      </c>
      <c r="F164" s="1" t="s">
        <v>24</v>
      </c>
      <c r="G164" s="1" t="s">
        <v>43</v>
      </c>
      <c r="H164" s="1" t="str">
        <f>VLOOKUP(F164,'[2]DX.OTHER.9.30.06 DETAIL'!$H$1:$J$65536,3,FALSE)</f>
        <v>Exp-Goods/Svcs</v>
      </c>
      <c r="I164" s="1">
        <v>0</v>
      </c>
      <c r="J164" s="2">
        <v>1372.76</v>
      </c>
      <c r="K164" s="2">
        <v>0</v>
      </c>
      <c r="L164" s="2">
        <v>-1372.76</v>
      </c>
      <c r="M164" s="2">
        <v>0</v>
      </c>
      <c r="N164" s="1" t="str">
        <f>VLOOKUP(E164,'[1]ORG CODES'!$A:$C,3,FALSE)</f>
        <v>3458   L.U.A. CLUB</v>
      </c>
    </row>
    <row r="165" spans="1:14" ht="14.45" hidden="1" x14ac:dyDescent="0.3">
      <c r="A165" t="str">
        <f>VLOOKUP(E165,'[1]ORG CODES'!$A:$B,2,FALSE)</f>
        <v>Student Funded Programs</v>
      </c>
      <c r="B165" s="1" t="s">
        <v>2</v>
      </c>
      <c r="C165" s="1" t="s">
        <v>3</v>
      </c>
      <c r="D165" s="1" t="s">
        <v>4</v>
      </c>
      <c r="E165" s="1" t="s">
        <v>165</v>
      </c>
      <c r="F165" s="1" t="s">
        <v>24</v>
      </c>
      <c r="G165" s="1" t="s">
        <v>43</v>
      </c>
      <c r="H165" s="1" t="str">
        <f>VLOOKUP(F165,'[2]DX.OTHER.9.30.06 DETAIL'!$H$1:$J$65536,3,FALSE)</f>
        <v>Exp-Goods/Svcs</v>
      </c>
      <c r="I165" s="1">
        <v>0</v>
      </c>
      <c r="J165" s="2">
        <v>17.78</v>
      </c>
      <c r="K165" s="2">
        <v>0</v>
      </c>
      <c r="L165" s="2">
        <v>-17.78</v>
      </c>
      <c r="M165" s="2">
        <v>0</v>
      </c>
      <c r="N165" s="1" t="str">
        <f>VLOOKUP(E165,'[1]ORG CODES'!$A:$C,3,FALSE)</f>
        <v>3460   INTERPRETER TRNG PRG</v>
      </c>
    </row>
    <row r="166" spans="1:14" ht="14.45" hidden="1" x14ac:dyDescent="0.3">
      <c r="A166" t="str">
        <f>VLOOKUP(E166,'[1]ORG CODES'!$A:$B,2,FALSE)</f>
        <v>Student Funded Programs</v>
      </c>
      <c r="B166" s="1" t="s">
        <v>2</v>
      </c>
      <c r="C166" s="1" t="s">
        <v>3</v>
      </c>
      <c r="D166" s="1" t="s">
        <v>4</v>
      </c>
      <c r="E166" s="1" t="s">
        <v>168</v>
      </c>
      <c r="F166" s="1" t="s">
        <v>24</v>
      </c>
      <c r="G166" s="1" t="s">
        <v>43</v>
      </c>
      <c r="H166" s="1" t="str">
        <f>VLOOKUP(F166,'[2]DX.OTHER.9.30.06 DETAIL'!$H$1:$J$65536,3,FALSE)</f>
        <v>Exp-Goods/Svcs</v>
      </c>
      <c r="I166" s="1">
        <v>0</v>
      </c>
      <c r="J166" s="2">
        <v>723.96</v>
      </c>
      <c r="K166" s="2">
        <v>0</v>
      </c>
      <c r="L166" s="2">
        <v>-723.96</v>
      </c>
      <c r="M166" s="2">
        <v>0</v>
      </c>
      <c r="N166" s="1" t="str">
        <f>VLOOKUP(E166,'[1]ORG CODES'!$A:$C,3,FALSE)</f>
        <v>3462   INTERNATIONAL CLUB</v>
      </c>
    </row>
    <row r="167" spans="1:14" ht="14.45" hidden="1" x14ac:dyDescent="0.3">
      <c r="A167" t="str">
        <f>VLOOKUP(E167,'[1]ORG CODES'!$A:$B,2,FALSE)</f>
        <v>Student Funded Programs</v>
      </c>
      <c r="B167" s="1" t="s">
        <v>2</v>
      </c>
      <c r="C167" s="1" t="s">
        <v>3</v>
      </c>
      <c r="D167" s="1" t="s">
        <v>4</v>
      </c>
      <c r="E167" s="1" t="s">
        <v>172</v>
      </c>
      <c r="F167" s="1" t="s">
        <v>24</v>
      </c>
      <c r="G167" s="1" t="s">
        <v>43</v>
      </c>
      <c r="H167" s="1" t="str">
        <f>VLOOKUP(F167,'[2]DX.OTHER.9.30.06 DETAIL'!$H$1:$J$65536,3,FALSE)</f>
        <v>Exp-Goods/Svcs</v>
      </c>
      <c r="I167" s="1">
        <v>0</v>
      </c>
      <c r="J167" s="2">
        <v>1996.1</v>
      </c>
      <c r="K167" s="2">
        <v>0</v>
      </c>
      <c r="L167" s="2">
        <v>-1996.1</v>
      </c>
      <c r="M167" s="2">
        <v>0</v>
      </c>
      <c r="N167" s="1" t="str">
        <f>VLOOKUP(E167,'[1]ORG CODES'!$A:$C,3,FALSE)</f>
        <v>3465   RED NATIONS ASSOC</v>
      </c>
    </row>
    <row r="168" spans="1:14" ht="14.45" hidden="1" x14ac:dyDescent="0.3">
      <c r="A168" t="str">
        <f>VLOOKUP(E168,'[1]ORG CODES'!$A:$B,2,FALSE)</f>
        <v>Student Funded Programs</v>
      </c>
      <c r="B168" s="1" t="s">
        <v>2</v>
      </c>
      <c r="C168" s="1" t="s">
        <v>3</v>
      </c>
      <c r="D168" s="1" t="s">
        <v>4</v>
      </c>
      <c r="E168" s="1" t="s">
        <v>172</v>
      </c>
      <c r="F168" s="1" t="s">
        <v>24</v>
      </c>
      <c r="G168" s="1" t="s">
        <v>175</v>
      </c>
      <c r="H168" s="1" t="str">
        <f>VLOOKUP(F168,'[2]DX.OTHER.9.30.06 DETAIL'!$H$1:$J$65536,3,FALSE)</f>
        <v>Exp-Goods/Svcs</v>
      </c>
      <c r="I168" s="1">
        <v>0</v>
      </c>
      <c r="J168" s="2">
        <v>8.77</v>
      </c>
      <c r="K168" s="2">
        <v>0</v>
      </c>
      <c r="L168" s="2">
        <v>-8.77</v>
      </c>
      <c r="M168" s="2">
        <v>0</v>
      </c>
      <c r="N168" s="1" t="str">
        <f>VLOOKUP(E168,'[1]ORG CODES'!$A:$C,3,FALSE)</f>
        <v>3465   RED NATIONS ASSOC</v>
      </c>
    </row>
    <row r="169" spans="1:14" ht="14.45" hidden="1" x14ac:dyDescent="0.3">
      <c r="A169" t="str">
        <f>VLOOKUP(E169,'[1]ORG CODES'!$A:$B,2,FALSE)</f>
        <v>Student Funded Programs</v>
      </c>
      <c r="B169" s="1" t="s">
        <v>2</v>
      </c>
      <c r="C169" s="1" t="s">
        <v>3</v>
      </c>
      <c r="D169" s="1" t="s">
        <v>4</v>
      </c>
      <c r="E169" s="1" t="s">
        <v>176</v>
      </c>
      <c r="F169" s="1" t="s">
        <v>24</v>
      </c>
      <c r="G169" s="1" t="s">
        <v>43</v>
      </c>
      <c r="H169" s="1" t="str">
        <f>VLOOKUP(F169,'[2]DX.OTHER.9.30.06 DETAIL'!$H$1:$J$65536,3,FALSE)</f>
        <v>Exp-Goods/Svcs</v>
      </c>
      <c r="I169" s="1">
        <v>0</v>
      </c>
      <c r="J169" s="2">
        <v>40.200000000000003</v>
      </c>
      <c r="K169" s="2">
        <v>0</v>
      </c>
      <c r="L169" s="2">
        <v>-40.200000000000003</v>
      </c>
      <c r="M169" s="2">
        <v>0</v>
      </c>
      <c r="N169" s="1" t="str">
        <f>VLOOKUP(E169,'[1]ORG CODES'!$A:$C,3,FALSE)</f>
        <v>3466   SPANISH CLUB</v>
      </c>
    </row>
    <row r="170" spans="1:14" ht="14.45" hidden="1" x14ac:dyDescent="0.3">
      <c r="A170" t="str">
        <f>VLOOKUP(E170,'[1]ORG CODES'!$A:$B,2,FALSE)</f>
        <v>Student Funded Programs</v>
      </c>
      <c r="B170" s="1" t="s">
        <v>2</v>
      </c>
      <c r="C170" s="1" t="s">
        <v>3</v>
      </c>
      <c r="D170" s="1" t="s">
        <v>4</v>
      </c>
      <c r="E170" s="1" t="s">
        <v>178</v>
      </c>
      <c r="F170" s="1" t="s">
        <v>24</v>
      </c>
      <c r="G170" s="1" t="s">
        <v>43</v>
      </c>
      <c r="H170" s="1" t="str">
        <f>VLOOKUP(F170,'[2]DX.OTHER.9.30.06 DETAIL'!$H$1:$J$65536,3,FALSE)</f>
        <v>Exp-Goods/Svcs</v>
      </c>
      <c r="I170" s="1">
        <v>0</v>
      </c>
      <c r="J170" s="2">
        <v>163</v>
      </c>
      <c r="K170" s="2">
        <v>0</v>
      </c>
      <c r="L170" s="2">
        <v>-163</v>
      </c>
      <c r="M170" s="2">
        <v>0</v>
      </c>
      <c r="N170" s="1" t="str">
        <f>VLOOKUP(E170,'[1]ORG CODES'!$A:$C,3,FALSE)</f>
        <v>3468   WELLNESS CLUB</v>
      </c>
    </row>
    <row r="171" spans="1:14" ht="14.45" hidden="1" x14ac:dyDescent="0.3">
      <c r="A171" t="str">
        <f>VLOOKUP(E171,'[1]ORG CODES'!$A:$B,2,FALSE)</f>
        <v>Student Funded Programs</v>
      </c>
      <c r="B171" s="1" t="s">
        <v>2</v>
      </c>
      <c r="C171" s="1" t="s">
        <v>3</v>
      </c>
      <c r="D171" s="1" t="s">
        <v>4</v>
      </c>
      <c r="E171" s="1" t="s">
        <v>179</v>
      </c>
      <c r="F171" s="1" t="s">
        <v>24</v>
      </c>
      <c r="G171" s="1" t="s">
        <v>43</v>
      </c>
      <c r="H171" s="1" t="str">
        <f>VLOOKUP(F171,'[2]DX.OTHER.9.30.06 DETAIL'!$H$1:$J$65536,3,FALSE)</f>
        <v>Exp-Goods/Svcs</v>
      </c>
      <c r="I171" s="1">
        <v>0</v>
      </c>
      <c r="J171" s="2">
        <v>2166.66</v>
      </c>
      <c r="K171" s="2">
        <v>0</v>
      </c>
      <c r="L171" s="2">
        <v>-2166.66</v>
      </c>
      <c r="M171" s="2">
        <v>0</v>
      </c>
      <c r="N171" s="1" t="str">
        <f>VLOOKUP(E171,'[1]ORG CODES'!$A:$C,3,FALSE)</f>
        <v>3469   CHEER SQUAD</v>
      </c>
    </row>
    <row r="172" spans="1:14" ht="14.45" hidden="1" x14ac:dyDescent="0.3">
      <c r="A172" t="str">
        <f>VLOOKUP(E172,'[1]ORG CODES'!$A:$B,2,FALSE)</f>
        <v>Student Funded Programs</v>
      </c>
      <c r="B172" s="1" t="s">
        <v>2</v>
      </c>
      <c r="C172" s="1" t="s">
        <v>3</v>
      </c>
      <c r="D172" s="1" t="s">
        <v>4</v>
      </c>
      <c r="E172" s="1" t="s">
        <v>181</v>
      </c>
      <c r="F172" s="1" t="s">
        <v>24</v>
      </c>
      <c r="G172" s="1" t="s">
        <v>43</v>
      </c>
      <c r="H172" s="1" t="str">
        <f>VLOOKUP(F172,'[2]DX.OTHER.9.30.06 DETAIL'!$H$1:$J$65536,3,FALSE)</f>
        <v>Exp-Goods/Svcs</v>
      </c>
      <c r="I172" s="1">
        <v>0</v>
      </c>
      <c r="J172" s="2">
        <v>911.61</v>
      </c>
      <c r="K172" s="2">
        <v>0</v>
      </c>
      <c r="L172" s="2">
        <v>-911.61</v>
      </c>
      <c r="M172" s="2">
        <v>0</v>
      </c>
      <c r="N172" s="1" t="str">
        <f>VLOOKUP(E172,'[1]ORG CODES'!$A:$C,3,FALSE)</f>
        <v>3470  ADDICTION STUDIES</v>
      </c>
    </row>
    <row r="173" spans="1:14" ht="14.45" hidden="1" x14ac:dyDescent="0.3">
      <c r="A173" t="str">
        <f>VLOOKUP(E173,'[1]ORG CODES'!$A:$B,2,FALSE)</f>
        <v>Student Funded Programs</v>
      </c>
      <c r="B173" s="1" t="s">
        <v>2</v>
      </c>
      <c r="C173" s="1" t="s">
        <v>3</v>
      </c>
      <c r="D173" s="1" t="s">
        <v>4</v>
      </c>
      <c r="E173" s="1" t="s">
        <v>185</v>
      </c>
      <c r="F173" s="1" t="s">
        <v>24</v>
      </c>
      <c r="G173" s="1" t="s">
        <v>43</v>
      </c>
      <c r="H173" s="1" t="str">
        <f>VLOOKUP(F173,'[2]DX.OTHER.9.30.06 DETAIL'!$H$1:$J$65536,3,FALSE)</f>
        <v>Exp-Goods/Svcs</v>
      </c>
      <c r="I173" s="1">
        <v>0</v>
      </c>
      <c r="J173" s="2">
        <v>504.8</v>
      </c>
      <c r="K173" s="2">
        <v>0</v>
      </c>
      <c r="L173" s="2">
        <v>-504.8</v>
      </c>
      <c r="M173" s="2">
        <v>0</v>
      </c>
      <c r="N173" s="1" t="str">
        <f>VLOOKUP(E173,'[1]ORG CODES'!$A:$C,3,FALSE)</f>
        <v>3473   EARTH CLUB</v>
      </c>
    </row>
    <row r="174" spans="1:14" ht="14.45" hidden="1" x14ac:dyDescent="0.3">
      <c r="A174" t="str">
        <f>VLOOKUP(E174,'[1]ORG CODES'!$A:$B,2,FALSE)</f>
        <v>Student Funded Programs</v>
      </c>
      <c r="B174" s="1" t="s">
        <v>2</v>
      </c>
      <c r="C174" s="1" t="s">
        <v>3</v>
      </c>
      <c r="D174" s="1" t="s">
        <v>4</v>
      </c>
      <c r="E174" s="1" t="s">
        <v>75</v>
      </c>
      <c r="F174" s="1" t="s">
        <v>24</v>
      </c>
      <c r="G174" s="1" t="s">
        <v>62</v>
      </c>
      <c r="H174" s="1" t="str">
        <f>VLOOKUP(F174,'[2]DX.OTHER.9.30.06 DETAIL'!$H$1:$J$65536,3,FALSE)</f>
        <v>Exp-Goods/Svcs</v>
      </c>
      <c r="I174" s="1">
        <v>0</v>
      </c>
      <c r="J174" s="2">
        <v>449.48</v>
      </c>
      <c r="K174" s="2">
        <v>0</v>
      </c>
      <c r="L174" s="2">
        <v>-449.48</v>
      </c>
      <c r="M174" s="2">
        <v>0</v>
      </c>
      <c r="N174" s="1" t="str">
        <f>VLOOKUP(E174,'[1]ORG CODES'!$A:$C,3,FALSE)</f>
        <v>3363   ART GALLERY &amp; EXHIB</v>
      </c>
    </row>
    <row r="175" spans="1:14" ht="14.45" hidden="1" x14ac:dyDescent="0.3">
      <c r="A175" t="str">
        <f>VLOOKUP(E175,'[1]ORG CODES'!$A:$B,2,FALSE)</f>
        <v>Student Funded Programs</v>
      </c>
      <c r="B175" s="1" t="s">
        <v>2</v>
      </c>
      <c r="C175" s="1" t="s">
        <v>3</v>
      </c>
      <c r="D175" s="1" t="s">
        <v>4</v>
      </c>
      <c r="E175" s="1" t="s">
        <v>75</v>
      </c>
      <c r="F175" s="1" t="s">
        <v>24</v>
      </c>
      <c r="G175" s="1" t="s">
        <v>76</v>
      </c>
      <c r="H175" s="1" t="str">
        <f>VLOOKUP(F175,'[2]DX.OTHER.9.30.06 DETAIL'!$H$1:$J$65536,3,FALSE)</f>
        <v>Exp-Goods/Svcs</v>
      </c>
      <c r="I175" s="1">
        <v>0</v>
      </c>
      <c r="J175" s="2">
        <v>23.04</v>
      </c>
      <c r="K175" s="2">
        <v>0</v>
      </c>
      <c r="L175" s="2">
        <v>-23.04</v>
      </c>
      <c r="M175" s="2">
        <v>0</v>
      </c>
      <c r="N175" s="1" t="str">
        <f>VLOOKUP(E175,'[1]ORG CODES'!$A:$C,3,FALSE)</f>
        <v>3363   ART GALLERY &amp; EXHIB</v>
      </c>
    </row>
    <row r="176" spans="1:14" ht="14.45" hidden="1" x14ac:dyDescent="0.3">
      <c r="A176" t="str">
        <f>VLOOKUP(E176,'[1]ORG CODES'!$A:$B,2,FALSE)</f>
        <v>Student Funded Programs</v>
      </c>
      <c r="B176" s="1" t="s">
        <v>2</v>
      </c>
      <c r="C176" s="1" t="s">
        <v>3</v>
      </c>
      <c r="D176" s="1" t="s">
        <v>4</v>
      </c>
      <c r="E176" s="1" t="s">
        <v>78</v>
      </c>
      <c r="F176" s="1" t="s">
        <v>24</v>
      </c>
      <c r="G176" s="1" t="s">
        <v>76</v>
      </c>
      <c r="H176" s="1" t="str">
        <f>VLOOKUP(F176,'[2]DX.OTHER.9.30.06 DETAIL'!$H$1:$J$65536,3,FALSE)</f>
        <v>Exp-Goods/Svcs</v>
      </c>
      <c r="I176" s="1">
        <v>0</v>
      </c>
      <c r="J176" s="2">
        <v>77.44</v>
      </c>
      <c r="K176" s="2">
        <v>0</v>
      </c>
      <c r="L176" s="2">
        <v>-77.44</v>
      </c>
      <c r="M176" s="2">
        <v>0</v>
      </c>
      <c r="N176" s="1" t="str">
        <f>VLOOKUP(E176,'[1]ORG CODES'!$A:$C,3,FALSE)</f>
        <v>3368   LITERARY MAGAZINE</v>
      </c>
    </row>
    <row r="177" spans="1:14" ht="14.45" hidden="1" x14ac:dyDescent="0.3">
      <c r="A177" t="str">
        <f>VLOOKUP(E177,'[1]ORG CODES'!$A:$B,2,FALSE)</f>
        <v>Student Funded Programs</v>
      </c>
      <c r="B177" s="1" t="s">
        <v>2</v>
      </c>
      <c r="C177" s="1" t="s">
        <v>3</v>
      </c>
      <c r="D177" s="1" t="s">
        <v>4</v>
      </c>
      <c r="E177" s="1" t="s">
        <v>103</v>
      </c>
      <c r="F177" s="1" t="s">
        <v>24</v>
      </c>
      <c r="G177" s="1" t="s">
        <v>62</v>
      </c>
      <c r="H177" s="1" t="str">
        <f>VLOOKUP(F177,'[2]DX.OTHER.9.30.06 DETAIL'!$H$1:$J$65536,3,FALSE)</f>
        <v>Exp-Goods/Svcs</v>
      </c>
      <c r="I177" s="1">
        <v>0</v>
      </c>
      <c r="J177" s="2">
        <v>67.25</v>
      </c>
      <c r="K177" s="2">
        <v>0</v>
      </c>
      <c r="L177" s="2">
        <v>-67.25</v>
      </c>
      <c r="M177" s="2">
        <v>0</v>
      </c>
      <c r="N177" s="1" t="str">
        <f>VLOOKUP(E177,'[1]ORG CODES'!$A:$C,3,FALSE)</f>
        <v>3410   ASA GENERAL FUND</v>
      </c>
    </row>
    <row r="178" spans="1:14" ht="14.45" hidden="1" x14ac:dyDescent="0.3">
      <c r="A178" t="str">
        <f>VLOOKUP(E178,'[1]ORG CODES'!$A:$B,2,FALSE)</f>
        <v>Student Funded Programs</v>
      </c>
      <c r="B178" s="1" t="s">
        <v>2</v>
      </c>
      <c r="C178" s="1" t="s">
        <v>3</v>
      </c>
      <c r="D178" s="1" t="s">
        <v>4</v>
      </c>
      <c r="E178" s="1" t="s">
        <v>127</v>
      </c>
      <c r="F178" s="1" t="s">
        <v>24</v>
      </c>
      <c r="G178" s="1" t="s">
        <v>76</v>
      </c>
      <c r="H178" s="1" t="str">
        <f>VLOOKUP(F178,'[2]DX.OTHER.9.30.06 DETAIL'!$H$1:$J$65536,3,FALSE)</f>
        <v>Exp-Goods/Svcs</v>
      </c>
      <c r="I178" s="1">
        <v>0</v>
      </c>
      <c r="J178" s="2">
        <v>0</v>
      </c>
      <c r="K178" s="2">
        <v>0</v>
      </c>
      <c r="L178" s="2">
        <v>0</v>
      </c>
      <c r="M178" s="2">
        <v>0</v>
      </c>
      <c r="N178" s="1" t="str">
        <f>VLOOKUP(E178,'[1]ORG CODES'!$A:$C,3,FALSE)</f>
        <v>3430   STUDENT MEDIA LAB</v>
      </c>
    </row>
    <row r="179" spans="1:14" ht="14.45" hidden="1" x14ac:dyDescent="0.3">
      <c r="A179" t="str">
        <f>VLOOKUP(E179,'[1]ORG CODES'!$A:$B,2,FALSE)</f>
        <v>Student Funded Programs</v>
      </c>
      <c r="B179" s="1" t="s">
        <v>2</v>
      </c>
      <c r="C179" s="1" t="s">
        <v>3</v>
      </c>
      <c r="D179" s="1" t="s">
        <v>4</v>
      </c>
      <c r="E179" s="1" t="s">
        <v>170</v>
      </c>
      <c r="F179" s="1" t="s">
        <v>24</v>
      </c>
      <c r="G179" s="1" t="s">
        <v>62</v>
      </c>
      <c r="H179" s="1" t="str">
        <f>VLOOKUP(F179,'[2]DX.OTHER.9.30.06 DETAIL'!$H$1:$J$65536,3,FALSE)</f>
        <v>Exp-Goods/Svcs</v>
      </c>
      <c r="I179" s="1">
        <v>0</v>
      </c>
      <c r="J179" s="2">
        <v>411.02</v>
      </c>
      <c r="K179" s="2">
        <v>0</v>
      </c>
      <c r="L179" s="2">
        <v>-411.02</v>
      </c>
      <c r="M179" s="2">
        <v>0</v>
      </c>
      <c r="N179" s="1" t="str">
        <f>VLOOKUP(E179,'[1]ORG CODES'!$A:$C,3,FALSE)</f>
        <v>3464   JAZZ PRESENTS</v>
      </c>
    </row>
    <row r="180" spans="1:14" ht="14.45" hidden="1" x14ac:dyDescent="0.3">
      <c r="A180" t="str">
        <f>VLOOKUP(E180,'[1]ORG CODES'!$A:$B,2,FALSE)</f>
        <v>Student Funded Programs</v>
      </c>
      <c r="B180" s="1" t="s">
        <v>2</v>
      </c>
      <c r="C180" s="1" t="s">
        <v>3</v>
      </c>
      <c r="D180" s="1" t="s">
        <v>4</v>
      </c>
      <c r="E180" s="1" t="s">
        <v>46</v>
      </c>
      <c r="F180" s="1" t="s">
        <v>24</v>
      </c>
      <c r="G180" s="1" t="s">
        <v>43</v>
      </c>
      <c r="H180" s="1" t="str">
        <f>VLOOKUP(F180,'[2]DX.OTHER.9.30.06 DETAIL'!$H$1:$J$65536,3,FALSE)</f>
        <v>Exp-Goods/Svcs</v>
      </c>
      <c r="I180" s="1">
        <v>0</v>
      </c>
      <c r="J180" s="2">
        <v>2700</v>
      </c>
      <c r="K180" s="2">
        <v>0</v>
      </c>
      <c r="L180" s="2">
        <v>-2700</v>
      </c>
      <c r="M180" s="2">
        <v>0</v>
      </c>
      <c r="N180" s="1" t="str">
        <f>VLOOKUP(E180,'[1]ORG CODES'!$A:$C,3,FALSE)</f>
        <v>3330   GRAPHIC DESIGN</v>
      </c>
    </row>
    <row r="181" spans="1:14" ht="14.45" hidden="1" x14ac:dyDescent="0.3">
      <c r="A181" t="str">
        <f>VLOOKUP(E181,'[1]ORG CODES'!$A:$B,2,FALSE)</f>
        <v>Student Funded Programs</v>
      </c>
      <c r="B181" s="1" t="s">
        <v>2</v>
      </c>
      <c r="C181" s="1" t="s">
        <v>3</v>
      </c>
      <c r="D181" s="1" t="s">
        <v>4</v>
      </c>
      <c r="E181" s="1" t="s">
        <v>75</v>
      </c>
      <c r="F181" s="1" t="s">
        <v>24</v>
      </c>
      <c r="G181" s="1" t="s">
        <v>43</v>
      </c>
      <c r="H181" s="1" t="str">
        <f>VLOOKUP(F181,'[2]DX.OTHER.9.30.06 DETAIL'!$H$1:$J$65536,3,FALSE)</f>
        <v>Exp-Goods/Svcs</v>
      </c>
      <c r="I181" s="1">
        <v>0</v>
      </c>
      <c r="J181" s="2">
        <v>130.79</v>
      </c>
      <c r="K181" s="2">
        <v>0</v>
      </c>
      <c r="L181" s="2">
        <v>-130.79</v>
      </c>
      <c r="M181" s="2">
        <v>0</v>
      </c>
      <c r="N181" s="1" t="str">
        <f>VLOOKUP(E181,'[1]ORG CODES'!$A:$C,3,FALSE)</f>
        <v>3363   ART GALLERY &amp; EXHIB</v>
      </c>
    </row>
    <row r="182" spans="1:14" ht="14.45" hidden="1" x14ac:dyDescent="0.3">
      <c r="A182" t="str">
        <f>VLOOKUP(E182,'[1]ORG CODES'!$A:$B,2,FALSE)</f>
        <v>Student Funded Programs</v>
      </c>
      <c r="B182" s="1" t="s">
        <v>2</v>
      </c>
      <c r="C182" s="1" t="s">
        <v>3</v>
      </c>
      <c r="D182" s="1" t="s">
        <v>4</v>
      </c>
      <c r="E182" s="1" t="s">
        <v>103</v>
      </c>
      <c r="F182" s="1" t="s">
        <v>24</v>
      </c>
      <c r="G182" s="1" t="s">
        <v>43</v>
      </c>
      <c r="H182" s="1" t="str">
        <f>VLOOKUP(F182,'[2]DX.OTHER.9.30.06 DETAIL'!$H$1:$J$65536,3,FALSE)</f>
        <v>Exp-Goods/Svcs</v>
      </c>
      <c r="I182" s="1">
        <v>0</v>
      </c>
      <c r="J182" s="2">
        <v>32</v>
      </c>
      <c r="K182" s="2">
        <v>0</v>
      </c>
      <c r="L182" s="2">
        <v>-32</v>
      </c>
      <c r="M182" s="2">
        <v>0</v>
      </c>
      <c r="N182" s="1" t="str">
        <f>VLOOKUP(E182,'[1]ORG CODES'!$A:$C,3,FALSE)</f>
        <v>3410   ASA GENERAL FUND</v>
      </c>
    </row>
    <row r="183" spans="1:14" ht="14.45" hidden="1" x14ac:dyDescent="0.3">
      <c r="A183" t="str">
        <f>VLOOKUP(E183,'[1]ORG CODES'!$A:$B,2,FALSE)</f>
        <v>Student Funded Programs</v>
      </c>
      <c r="B183" s="1" t="s">
        <v>2</v>
      </c>
      <c r="C183" s="1" t="s">
        <v>3</v>
      </c>
      <c r="D183" s="1" t="s">
        <v>4</v>
      </c>
      <c r="E183" s="1" t="s">
        <v>109</v>
      </c>
      <c r="F183" s="1" t="s">
        <v>24</v>
      </c>
      <c r="G183" s="1" t="s">
        <v>43</v>
      </c>
      <c r="H183" s="1" t="str">
        <f>VLOOKUP(F183,'[2]DX.OTHER.9.30.06 DETAIL'!$H$1:$J$65536,3,FALSE)</f>
        <v>Exp-Goods/Svcs</v>
      </c>
      <c r="I183" s="1">
        <v>0</v>
      </c>
      <c r="J183" s="2">
        <v>2400</v>
      </c>
      <c r="K183" s="2">
        <v>0</v>
      </c>
      <c r="L183" s="2">
        <v>-2400</v>
      </c>
      <c r="M183" s="2">
        <v>0</v>
      </c>
      <c r="N183" s="1" t="str">
        <f>VLOOKUP(E183,'[1]ORG CODES'!$A:$C,3,FALSE)</f>
        <v>3414   CULTURAL SERIES</v>
      </c>
    </row>
    <row r="184" spans="1:14" ht="14.45" hidden="1" x14ac:dyDescent="0.3">
      <c r="A184" t="str">
        <f>VLOOKUP(E184,'[1]ORG CODES'!$A:$B,2,FALSE)</f>
        <v>Student Funded Programs</v>
      </c>
      <c r="B184" s="1" t="s">
        <v>2</v>
      </c>
      <c r="C184" s="1" t="s">
        <v>3</v>
      </c>
      <c r="D184" s="1" t="s">
        <v>4</v>
      </c>
      <c r="E184" s="1" t="s">
        <v>117</v>
      </c>
      <c r="F184" s="1" t="s">
        <v>24</v>
      </c>
      <c r="G184" s="1" t="s">
        <v>43</v>
      </c>
      <c r="H184" s="1" t="str">
        <f>VLOOKUP(F184,'[2]DX.OTHER.9.30.06 DETAIL'!$H$1:$J$65536,3,FALSE)</f>
        <v>Exp-Goods/Svcs</v>
      </c>
      <c r="I184" s="1">
        <v>0</v>
      </c>
      <c r="J184" s="2">
        <v>0</v>
      </c>
      <c r="K184" s="2">
        <v>0</v>
      </c>
      <c r="L184" s="2">
        <v>0</v>
      </c>
      <c r="M184" s="2">
        <v>0</v>
      </c>
      <c r="N184" s="1" t="str">
        <f>VLOOKUP(E184,'[1]ORG CODES'!$A:$C,3,FALSE)</f>
        <v>3420   SPECIAL EVENTS</v>
      </c>
    </row>
    <row r="185" spans="1:14" ht="14.45" hidden="1" x14ac:dyDescent="0.3">
      <c r="A185" t="str">
        <f>VLOOKUP(E185,'[1]ORG CODES'!$A:$B,2,FALSE)</f>
        <v>Student Funded Programs</v>
      </c>
      <c r="B185" s="1" t="s">
        <v>2</v>
      </c>
      <c r="C185" s="1" t="s">
        <v>3</v>
      </c>
      <c r="D185" s="1" t="s">
        <v>4</v>
      </c>
      <c r="E185" s="1" t="s">
        <v>122</v>
      </c>
      <c r="F185" s="1" t="s">
        <v>24</v>
      </c>
      <c r="G185" s="1" t="s">
        <v>43</v>
      </c>
      <c r="H185" s="1" t="str">
        <f>VLOOKUP(F185,'[2]DX.OTHER.9.30.06 DETAIL'!$H$1:$J$65536,3,FALSE)</f>
        <v>Exp-Goods/Svcs</v>
      </c>
      <c r="I185" s="1">
        <v>0</v>
      </c>
      <c r="J185" s="2">
        <v>7550</v>
      </c>
      <c r="K185" s="2">
        <v>0</v>
      </c>
      <c r="L185" s="2">
        <v>-7550</v>
      </c>
      <c r="M185" s="2">
        <v>0</v>
      </c>
      <c r="N185" s="1" t="str">
        <f>VLOOKUP(E185,'[1]ORG CODES'!$A:$C,3,FALSE)</f>
        <v>3425   OUTREACH EDUCATION</v>
      </c>
    </row>
    <row r="186" spans="1:14" ht="14.45" hidden="1" x14ac:dyDescent="0.3">
      <c r="A186" t="str">
        <f>VLOOKUP(E186,'[1]ORG CODES'!$A:$B,2,FALSE)</f>
        <v>Student Funded Programs</v>
      </c>
      <c r="B186" s="1" t="s">
        <v>2</v>
      </c>
      <c r="C186" s="1" t="s">
        <v>3</v>
      </c>
      <c r="D186" s="1" t="s">
        <v>4</v>
      </c>
      <c r="E186" s="1" t="s">
        <v>135</v>
      </c>
      <c r="F186" s="1" t="s">
        <v>24</v>
      </c>
      <c r="G186" s="1" t="s">
        <v>43</v>
      </c>
      <c r="H186" s="1" t="str">
        <f>VLOOKUP(F186,'[2]DX.OTHER.9.30.06 DETAIL'!$H$1:$J$65536,3,FALSE)</f>
        <v>Exp-Goods/Svcs</v>
      </c>
      <c r="I186" s="1">
        <v>0</v>
      </c>
      <c r="J186" s="2">
        <v>0</v>
      </c>
      <c r="K186" s="2">
        <v>0</v>
      </c>
      <c r="L186" s="2">
        <v>0</v>
      </c>
      <c r="M186" s="2">
        <v>0</v>
      </c>
      <c r="N186" s="1" t="str">
        <f>VLOOKUP(E186,'[1]ORG CODES'!$A:$C,3,FALSE)</f>
        <v>3437   SFCC VETS CLUB</v>
      </c>
    </row>
    <row r="187" spans="1:14" ht="14.45" hidden="1" x14ac:dyDescent="0.3">
      <c r="A187" t="str">
        <f>VLOOKUP(E187,'[1]ORG CODES'!$A:$B,2,FALSE)</f>
        <v>Student Funded Programs</v>
      </c>
      <c r="B187" s="1" t="s">
        <v>2</v>
      </c>
      <c r="C187" s="1" t="s">
        <v>3</v>
      </c>
      <c r="D187" s="1" t="s">
        <v>4</v>
      </c>
      <c r="E187" s="1" t="s">
        <v>140</v>
      </c>
      <c r="F187" s="1" t="s">
        <v>24</v>
      </c>
      <c r="G187" s="1" t="s">
        <v>62</v>
      </c>
      <c r="H187" s="1" t="str">
        <f>VLOOKUP(F187,'[2]DX.OTHER.9.30.06 DETAIL'!$H$1:$J$65536,3,FALSE)</f>
        <v>Exp-Goods/Svcs</v>
      </c>
      <c r="I187" s="1">
        <v>0</v>
      </c>
      <c r="J187" s="2">
        <v>100</v>
      </c>
      <c r="K187" s="2">
        <v>0</v>
      </c>
      <c r="L187" s="2">
        <v>-100</v>
      </c>
      <c r="M187" s="2">
        <v>0</v>
      </c>
      <c r="N187" s="1" t="str">
        <f>VLOOKUP(E187,'[1]ORG CODES'!$A:$C,3,FALSE)</f>
        <v>3441  JAPANESE CLUB</v>
      </c>
    </row>
    <row r="188" spans="1:14" ht="14.45" hidden="1" x14ac:dyDescent="0.3">
      <c r="A188" t="str">
        <f>VLOOKUP(E188,'[1]ORG CODES'!$A:$B,2,FALSE)</f>
        <v>Student Funded Programs</v>
      </c>
      <c r="B188" s="1" t="s">
        <v>2</v>
      </c>
      <c r="C188" s="1" t="s">
        <v>3</v>
      </c>
      <c r="D188" s="1" t="s">
        <v>4</v>
      </c>
      <c r="E188" s="1" t="s">
        <v>146</v>
      </c>
      <c r="F188" s="1" t="s">
        <v>24</v>
      </c>
      <c r="G188" s="1" t="s">
        <v>62</v>
      </c>
      <c r="H188" s="1" t="str">
        <f>VLOOKUP(F188,'[2]DX.OTHER.9.30.06 DETAIL'!$H$1:$J$65536,3,FALSE)</f>
        <v>Exp-Goods/Svcs</v>
      </c>
      <c r="I188" s="1">
        <v>0</v>
      </c>
      <c r="J188" s="2">
        <v>50</v>
      </c>
      <c r="K188" s="2">
        <v>0</v>
      </c>
      <c r="L188" s="2">
        <v>-50</v>
      </c>
      <c r="M188" s="2">
        <v>0</v>
      </c>
      <c r="N188" s="1" t="str">
        <f>VLOOKUP(E188,'[1]ORG CODES'!$A:$C,3,FALSE)</f>
        <v>3445   ASIAN AMERICAN CLUB</v>
      </c>
    </row>
    <row r="189" spans="1:14" ht="14.45" hidden="1" x14ac:dyDescent="0.3">
      <c r="A189" t="str">
        <f>VLOOKUP(E189,'[1]ORG CODES'!$A:$B,2,FALSE)</f>
        <v>Student Funded Programs</v>
      </c>
      <c r="B189" s="1" t="s">
        <v>2</v>
      </c>
      <c r="C189" s="1" t="s">
        <v>3</v>
      </c>
      <c r="D189" s="1" t="s">
        <v>4</v>
      </c>
      <c r="E189" s="1" t="s">
        <v>156</v>
      </c>
      <c r="F189" s="1" t="s">
        <v>24</v>
      </c>
      <c r="G189" s="1" t="s">
        <v>62</v>
      </c>
      <c r="H189" s="1" t="str">
        <f>VLOOKUP(F189,'[2]DX.OTHER.9.30.06 DETAIL'!$H$1:$J$65536,3,FALSE)</f>
        <v>Exp-Goods/Svcs</v>
      </c>
      <c r="I189" s="1">
        <v>0</v>
      </c>
      <c r="J189" s="2">
        <v>50</v>
      </c>
      <c r="K189" s="2">
        <v>0</v>
      </c>
      <c r="L189" s="2">
        <v>-50</v>
      </c>
      <c r="M189" s="2">
        <v>0</v>
      </c>
      <c r="N189" s="1" t="str">
        <f>VLOOKUP(E189,'[1]ORG CODES'!$A:$C,3,FALSE)</f>
        <v>3454   CHINESE CULTURE</v>
      </c>
    </row>
    <row r="190" spans="1:14" ht="14.45" hidden="1" x14ac:dyDescent="0.3">
      <c r="A190" t="str">
        <f>VLOOKUP(E190,'[1]ORG CODES'!$A:$B,2,FALSE)</f>
        <v>Student Funded Programs</v>
      </c>
      <c r="B190" s="1" t="s">
        <v>2</v>
      </c>
      <c r="C190" s="1" t="s">
        <v>3</v>
      </c>
      <c r="D190" s="1" t="s">
        <v>4</v>
      </c>
      <c r="E190" s="1" t="s">
        <v>168</v>
      </c>
      <c r="F190" s="1" t="s">
        <v>24</v>
      </c>
      <c r="G190" s="1" t="s">
        <v>43</v>
      </c>
      <c r="H190" s="1" t="str">
        <f>VLOOKUP(F190,'[2]DX.OTHER.9.30.06 DETAIL'!$H$1:$J$65536,3,FALSE)</f>
        <v>Exp-Goods/Svcs</v>
      </c>
      <c r="I190" s="1">
        <v>0</v>
      </c>
      <c r="J190" s="2">
        <v>921.76</v>
      </c>
      <c r="K190" s="2">
        <v>0</v>
      </c>
      <c r="L190" s="2">
        <v>-921.76</v>
      </c>
      <c r="M190" s="2">
        <v>0</v>
      </c>
      <c r="N190" s="1" t="str">
        <f>VLOOKUP(E190,'[1]ORG CODES'!$A:$C,3,FALSE)</f>
        <v>3462   INTERNATIONAL CLUB</v>
      </c>
    </row>
    <row r="191" spans="1:14" ht="14.45" hidden="1" x14ac:dyDescent="0.3">
      <c r="A191" t="str">
        <f>VLOOKUP(E191,'[1]ORG CODES'!$A:$B,2,FALSE)</f>
        <v>Student Funded Programs</v>
      </c>
      <c r="B191" s="1" t="s">
        <v>2</v>
      </c>
      <c r="C191" s="1" t="s">
        <v>3</v>
      </c>
      <c r="D191" s="1" t="s">
        <v>4</v>
      </c>
      <c r="E191" s="1" t="s">
        <v>168</v>
      </c>
      <c r="F191" s="1" t="s">
        <v>24</v>
      </c>
      <c r="G191" s="1" t="s">
        <v>62</v>
      </c>
      <c r="H191" s="1" t="str">
        <f>VLOOKUP(F191,'[2]DX.OTHER.9.30.06 DETAIL'!$H$1:$J$65536,3,FALSE)</f>
        <v>Exp-Goods/Svcs</v>
      </c>
      <c r="I191" s="1">
        <v>0</v>
      </c>
      <c r="J191" s="2">
        <v>400</v>
      </c>
      <c r="K191" s="2">
        <v>0</v>
      </c>
      <c r="L191" s="2">
        <v>-400</v>
      </c>
      <c r="M191" s="2">
        <v>0</v>
      </c>
      <c r="N191" s="1" t="str">
        <f>VLOOKUP(E191,'[1]ORG CODES'!$A:$C,3,FALSE)</f>
        <v>3462   INTERNATIONAL CLUB</v>
      </c>
    </row>
    <row r="192" spans="1:14" ht="14.45" hidden="1" x14ac:dyDescent="0.3">
      <c r="A192" t="str">
        <f>VLOOKUP(E192,'[1]ORG CODES'!$A:$B,2,FALSE)</f>
        <v>Student Funded Programs</v>
      </c>
      <c r="B192" s="1" t="s">
        <v>2</v>
      </c>
      <c r="C192" s="1" t="s">
        <v>3</v>
      </c>
      <c r="D192" s="1" t="s">
        <v>4</v>
      </c>
      <c r="E192" s="1" t="s">
        <v>52</v>
      </c>
      <c r="F192" s="1" t="s">
        <v>24</v>
      </c>
      <c r="G192" s="1" t="s">
        <v>43</v>
      </c>
      <c r="H192" s="1" t="str">
        <f>VLOOKUP(F192,'[2]DX.OTHER.9.30.06 DETAIL'!$H$1:$J$65536,3,FALSE)</f>
        <v>Exp-Goods/Svcs</v>
      </c>
      <c r="I192" s="1">
        <v>0</v>
      </c>
      <c r="J192" s="2">
        <v>0</v>
      </c>
      <c r="K192" s="2">
        <v>0</v>
      </c>
      <c r="L192" s="2">
        <v>0</v>
      </c>
      <c r="M192" s="2">
        <v>0</v>
      </c>
      <c r="N192" s="1" t="str">
        <f>VLOOKUP(E192,'[1]ORG CODES'!$A:$C,3,FALSE)</f>
        <v>3352   REVELERS (DRAMA)</v>
      </c>
    </row>
    <row r="193" spans="1:14" ht="14.45" hidden="1" x14ac:dyDescent="0.3">
      <c r="A193" t="str">
        <f>VLOOKUP(E193,'[1]ORG CODES'!$A:$B,2,FALSE)</f>
        <v>Student Funded Programs</v>
      </c>
      <c r="B193" s="1" t="s">
        <v>2</v>
      </c>
      <c r="C193" s="1" t="s">
        <v>3</v>
      </c>
      <c r="D193" s="1" t="s">
        <v>4</v>
      </c>
      <c r="E193" s="1" t="s">
        <v>94</v>
      </c>
      <c r="F193" s="1" t="s">
        <v>24</v>
      </c>
      <c r="G193" s="1" t="s">
        <v>95</v>
      </c>
      <c r="H193" s="1" t="str">
        <f>VLOOKUP(F193,'[2]DX.OTHER.9.30.06 DETAIL'!$H$1:$J$65536,3,FALSE)</f>
        <v>Exp-Goods/Svcs</v>
      </c>
      <c r="I193" s="1">
        <v>0</v>
      </c>
      <c r="J193" s="2">
        <v>2233.9699999999998</v>
      </c>
      <c r="K193" s="2">
        <v>0</v>
      </c>
      <c r="L193" s="2">
        <v>-2233.9699999999998</v>
      </c>
      <c r="M193" s="2">
        <v>0</v>
      </c>
      <c r="N193" s="1" t="str">
        <f>VLOOKUP(E193,'[1]ORG CODES'!$A:$C,3,FALSE)</f>
        <v>3404  MUSIC AUDITORIUM LIGHTS</v>
      </c>
    </row>
    <row r="194" spans="1:14" ht="14.45" hidden="1" x14ac:dyDescent="0.3">
      <c r="A194" t="str">
        <f>VLOOKUP(E194,'[1]ORG CODES'!$A:$B,2,FALSE)</f>
        <v>Student Funded Programs</v>
      </c>
      <c r="B194" s="1" t="s">
        <v>2</v>
      </c>
      <c r="C194" s="1" t="s">
        <v>3</v>
      </c>
      <c r="D194" s="1" t="s">
        <v>4</v>
      </c>
      <c r="E194" s="1" t="s">
        <v>94</v>
      </c>
      <c r="F194" s="1" t="s">
        <v>24</v>
      </c>
      <c r="G194" s="1" t="s">
        <v>96</v>
      </c>
      <c r="H194" s="1" t="str">
        <f>VLOOKUP(F194,'[2]DX.OTHER.9.30.06 DETAIL'!$H$1:$J$65536,3,FALSE)</f>
        <v>Exp-Goods/Svcs</v>
      </c>
      <c r="I194" s="1">
        <v>0</v>
      </c>
      <c r="J194" s="2">
        <v>316.02999999999997</v>
      </c>
      <c r="K194" s="2">
        <v>0</v>
      </c>
      <c r="L194" s="2">
        <v>-316.02999999999997</v>
      </c>
      <c r="M194" s="2">
        <v>0</v>
      </c>
      <c r="N194" s="1" t="str">
        <f>VLOOKUP(E194,'[1]ORG CODES'!$A:$C,3,FALSE)</f>
        <v>3404  MUSIC AUDITORIUM LIGHTS</v>
      </c>
    </row>
    <row r="195" spans="1:14" ht="14.45" hidden="1" x14ac:dyDescent="0.3">
      <c r="A195" t="str">
        <f>VLOOKUP(E195,'[1]ORG CODES'!$A:$B,2,FALSE)</f>
        <v>Student Funded Programs</v>
      </c>
      <c r="B195" s="1" t="s">
        <v>2</v>
      </c>
      <c r="C195" s="1" t="s">
        <v>3</v>
      </c>
      <c r="D195" s="1" t="s">
        <v>4</v>
      </c>
      <c r="E195" s="1" t="s">
        <v>103</v>
      </c>
      <c r="F195" s="1" t="s">
        <v>24</v>
      </c>
      <c r="G195" s="1" t="s">
        <v>43</v>
      </c>
      <c r="H195" s="1" t="str">
        <f>VLOOKUP(F195,'[2]DX.OTHER.9.30.06 DETAIL'!$H$1:$J$65536,3,FALSE)</f>
        <v>Exp-Goods/Svcs</v>
      </c>
      <c r="I195" s="1">
        <v>0</v>
      </c>
      <c r="J195" s="2">
        <v>200</v>
      </c>
      <c r="K195" s="2">
        <v>0</v>
      </c>
      <c r="L195" s="2">
        <v>-200</v>
      </c>
      <c r="M195" s="2">
        <v>0</v>
      </c>
      <c r="N195" s="1" t="str">
        <f>VLOOKUP(E195,'[1]ORG CODES'!$A:$C,3,FALSE)</f>
        <v>3410   ASA GENERAL FUND</v>
      </c>
    </row>
    <row r="196" spans="1:14" ht="14.45" hidden="1" x14ac:dyDescent="0.3">
      <c r="A196" t="str">
        <f>VLOOKUP(E196,'[1]ORG CODES'!$A:$B,2,FALSE)</f>
        <v>Student Funded Programs</v>
      </c>
      <c r="B196" s="1" t="s">
        <v>2</v>
      </c>
      <c r="C196" s="1" t="s">
        <v>3</v>
      </c>
      <c r="D196" s="1" t="s">
        <v>4</v>
      </c>
      <c r="E196" s="1" t="s">
        <v>107</v>
      </c>
      <c r="F196" s="1" t="s">
        <v>24</v>
      </c>
      <c r="G196" s="1" t="s">
        <v>43</v>
      </c>
      <c r="H196" s="1" t="str">
        <f>VLOOKUP(F196,'[2]DX.OTHER.9.30.06 DETAIL'!$H$1:$J$65536,3,FALSE)</f>
        <v>Exp-Goods/Svcs</v>
      </c>
      <c r="I196" s="1">
        <v>0</v>
      </c>
      <c r="J196" s="2">
        <v>1500</v>
      </c>
      <c r="K196" s="2">
        <v>0</v>
      </c>
      <c r="L196" s="2">
        <v>-1500</v>
      </c>
      <c r="M196" s="2">
        <v>0</v>
      </c>
      <c r="N196" s="1" t="str">
        <f>VLOOKUP(E196,'[1]ORG CODES'!$A:$C,3,FALSE)</f>
        <v>3412   ASA CONTINGENCY</v>
      </c>
    </row>
    <row r="197" spans="1:14" ht="14.45" hidden="1" x14ac:dyDescent="0.3">
      <c r="A197" t="str">
        <f>VLOOKUP(E197,'[1]ORG CODES'!$A:$B,2,FALSE)</f>
        <v>Student Funded Programs</v>
      </c>
      <c r="B197" s="1" t="s">
        <v>2</v>
      </c>
      <c r="C197" s="1" t="s">
        <v>3</v>
      </c>
      <c r="D197" s="1" t="s">
        <v>4</v>
      </c>
      <c r="E197" s="1" t="s">
        <v>123</v>
      </c>
      <c r="F197" s="1" t="s">
        <v>24</v>
      </c>
      <c r="G197" s="1" t="s">
        <v>48</v>
      </c>
      <c r="H197" s="1" t="str">
        <f>VLOOKUP(F197,'[2]DX.OTHER.9.30.06 DETAIL'!$H$1:$J$65536,3,FALSE)</f>
        <v>Exp-Goods/Svcs</v>
      </c>
      <c r="I197" s="1">
        <v>0</v>
      </c>
      <c r="J197" s="2">
        <v>451.11</v>
      </c>
      <c r="K197" s="2">
        <v>0</v>
      </c>
      <c r="L197" s="2">
        <v>-451.11</v>
      </c>
      <c r="M197" s="2">
        <v>0</v>
      </c>
      <c r="N197" s="1" t="str">
        <f>VLOOKUP(E197,'[1]ORG CODES'!$A:$C,3,FALSE)</f>
        <v>3426   EQUIPMENT</v>
      </c>
    </row>
    <row r="198" spans="1:14" ht="14.45" hidden="1" x14ac:dyDescent="0.3">
      <c r="A198" t="str">
        <f>VLOOKUP(E198,'[1]ORG CODES'!$A:$B,2,FALSE)</f>
        <v>Student Funded Programs</v>
      </c>
      <c r="B198" s="1" t="s">
        <v>2</v>
      </c>
      <c r="C198" s="1" t="s">
        <v>3</v>
      </c>
      <c r="D198" s="1" t="s">
        <v>4</v>
      </c>
      <c r="E198" s="1" t="s">
        <v>127</v>
      </c>
      <c r="F198" s="1" t="s">
        <v>24</v>
      </c>
      <c r="G198" s="1" t="s">
        <v>95</v>
      </c>
      <c r="H198" s="1" t="str">
        <f>VLOOKUP(F198,'[2]DX.OTHER.9.30.06 DETAIL'!$H$1:$J$65536,3,FALSE)</f>
        <v>Exp-Goods/Svcs</v>
      </c>
      <c r="I198" s="1">
        <v>0</v>
      </c>
      <c r="J198" s="2">
        <v>0</v>
      </c>
      <c r="K198" s="2">
        <v>0</v>
      </c>
      <c r="L198" s="2">
        <v>0</v>
      </c>
      <c r="M198" s="2">
        <v>0</v>
      </c>
      <c r="N198" s="1" t="str">
        <f>VLOOKUP(E198,'[1]ORG CODES'!$A:$C,3,FALSE)</f>
        <v>3430   STUDENT MEDIA LAB</v>
      </c>
    </row>
    <row r="199" spans="1:14" ht="14.45" hidden="1" x14ac:dyDescent="0.3">
      <c r="A199" t="str">
        <f>VLOOKUP(E199,'[1]ORG CODES'!$A:$B,2,FALSE)</f>
        <v>Student Funded Programs</v>
      </c>
      <c r="B199" s="1" t="s">
        <v>2</v>
      </c>
      <c r="C199" s="1" t="s">
        <v>3</v>
      </c>
      <c r="D199" s="1" t="s">
        <v>4</v>
      </c>
      <c r="E199" s="1" t="s">
        <v>127</v>
      </c>
      <c r="F199" s="1" t="s">
        <v>24</v>
      </c>
      <c r="G199" s="1" t="s">
        <v>96</v>
      </c>
      <c r="H199" s="1" t="str">
        <f>VLOOKUP(F199,'[2]DX.OTHER.9.30.06 DETAIL'!$H$1:$J$65536,3,FALSE)</f>
        <v>Exp-Goods/Svcs</v>
      </c>
      <c r="I199" s="1">
        <v>0</v>
      </c>
      <c r="J199" s="2">
        <v>0</v>
      </c>
      <c r="K199" s="2">
        <v>0</v>
      </c>
      <c r="L199" s="2">
        <v>0</v>
      </c>
      <c r="M199" s="2">
        <v>0</v>
      </c>
      <c r="N199" s="1" t="str">
        <f>VLOOKUP(E199,'[1]ORG CODES'!$A:$C,3,FALSE)</f>
        <v>3430   STUDENT MEDIA LAB</v>
      </c>
    </row>
    <row r="200" spans="1:14" ht="14.45" hidden="1" x14ac:dyDescent="0.3">
      <c r="A200" t="str">
        <f>VLOOKUP(E200,'[1]ORG CODES'!$A:$B,2,FALSE)</f>
        <v>Student Funded Programs</v>
      </c>
      <c r="B200" s="1" t="s">
        <v>2</v>
      </c>
      <c r="C200" s="1" t="s">
        <v>3</v>
      </c>
      <c r="D200" s="1" t="s">
        <v>4</v>
      </c>
      <c r="E200" s="1" t="s">
        <v>172</v>
      </c>
      <c r="F200" s="1" t="s">
        <v>24</v>
      </c>
      <c r="G200" s="1" t="s">
        <v>95</v>
      </c>
      <c r="H200" s="1" t="str">
        <f>VLOOKUP(F200,'[2]DX.OTHER.9.30.06 DETAIL'!$H$1:$J$65536,3,FALSE)</f>
        <v>Exp-Goods/Svcs</v>
      </c>
      <c r="I200" s="1">
        <v>0</v>
      </c>
      <c r="J200" s="2">
        <v>5133.6400000000003</v>
      </c>
      <c r="K200" s="2">
        <v>0</v>
      </c>
      <c r="L200" s="2">
        <v>-5133.6400000000003</v>
      </c>
      <c r="M200" s="2">
        <v>0</v>
      </c>
      <c r="N200" s="1" t="str">
        <f>VLOOKUP(E200,'[1]ORG CODES'!$A:$C,3,FALSE)</f>
        <v>3465   RED NATIONS ASSOC</v>
      </c>
    </row>
    <row r="201" spans="1:14" ht="14.45" hidden="1" x14ac:dyDescent="0.3">
      <c r="A201" t="str">
        <f>VLOOKUP(E201,'[1]ORG CODES'!$A:$B,2,FALSE)</f>
        <v>Student Funded Programs</v>
      </c>
      <c r="B201" s="1" t="s">
        <v>2</v>
      </c>
      <c r="C201" s="1" t="s">
        <v>3</v>
      </c>
      <c r="D201" s="1" t="s">
        <v>4</v>
      </c>
      <c r="E201" s="1" t="s">
        <v>172</v>
      </c>
      <c r="F201" s="1" t="s">
        <v>24</v>
      </c>
      <c r="G201" s="1" t="s">
        <v>96</v>
      </c>
      <c r="H201" s="1" t="str">
        <f>VLOOKUP(F201,'[2]DX.OTHER.9.30.06 DETAIL'!$H$1:$J$65536,3,FALSE)</f>
        <v>Exp-Goods/Svcs</v>
      </c>
      <c r="I201" s="1">
        <v>0</v>
      </c>
      <c r="J201" s="2">
        <v>104.59</v>
      </c>
      <c r="K201" s="2">
        <v>0</v>
      </c>
      <c r="L201" s="2">
        <v>-104.59</v>
      </c>
      <c r="M201" s="2">
        <v>0</v>
      </c>
      <c r="N201" s="1" t="str">
        <f>VLOOKUP(E201,'[1]ORG CODES'!$A:$C,3,FALSE)</f>
        <v>3465   RED NATIONS ASSOC</v>
      </c>
    </row>
    <row r="202" spans="1:14" ht="14.45" hidden="1" x14ac:dyDescent="0.3">
      <c r="A202" t="str">
        <f>VLOOKUP(E202,'[1]ORG CODES'!$A:$B,2,FALSE)</f>
        <v>Student Funded Programs</v>
      </c>
      <c r="B202" s="1" t="s">
        <v>2</v>
      </c>
      <c r="C202" s="1" t="s">
        <v>3</v>
      </c>
      <c r="D202" s="1" t="s">
        <v>4</v>
      </c>
      <c r="E202" s="1" t="s">
        <v>46</v>
      </c>
      <c r="F202" s="1" t="s">
        <v>24</v>
      </c>
      <c r="G202" s="1" t="s">
        <v>43</v>
      </c>
      <c r="H202" s="1" t="str">
        <f>VLOOKUP(F202,'[2]DX.OTHER.9.30.06 DETAIL'!$H$1:$J$65536,3,FALSE)</f>
        <v>Exp-Goods/Svcs</v>
      </c>
      <c r="I202" s="1">
        <v>0</v>
      </c>
      <c r="J202" s="2">
        <v>231.53</v>
      </c>
      <c r="K202" s="2">
        <v>0</v>
      </c>
      <c r="L202" s="2">
        <v>-231.53</v>
      </c>
      <c r="M202" s="2">
        <v>0</v>
      </c>
      <c r="N202" s="1" t="str">
        <f>VLOOKUP(E202,'[1]ORG CODES'!$A:$C,3,FALSE)</f>
        <v>3330   GRAPHIC DESIGN</v>
      </c>
    </row>
    <row r="203" spans="1:14" ht="14.45" hidden="1" x14ac:dyDescent="0.3">
      <c r="A203" t="str">
        <f>VLOOKUP(E203,'[1]ORG CODES'!$A:$B,2,FALSE)</f>
        <v>Student Funded Programs</v>
      </c>
      <c r="B203" s="1" t="s">
        <v>2</v>
      </c>
      <c r="C203" s="1" t="s">
        <v>3</v>
      </c>
      <c r="D203" s="1" t="s">
        <v>4</v>
      </c>
      <c r="E203" s="1" t="s">
        <v>78</v>
      </c>
      <c r="F203" s="1" t="s">
        <v>24</v>
      </c>
      <c r="G203" s="1" t="s">
        <v>43</v>
      </c>
      <c r="H203" s="1" t="str">
        <f>VLOOKUP(F203,'[2]DX.OTHER.9.30.06 DETAIL'!$H$1:$J$65536,3,FALSE)</f>
        <v>Exp-Goods/Svcs</v>
      </c>
      <c r="I203" s="1">
        <v>0</v>
      </c>
      <c r="J203" s="2">
        <v>7861.88</v>
      </c>
      <c r="K203" s="2">
        <v>0</v>
      </c>
      <c r="L203" s="2">
        <v>-7861.88</v>
      </c>
      <c r="M203" s="2">
        <v>0</v>
      </c>
      <c r="N203" s="1" t="str">
        <f>VLOOKUP(E203,'[1]ORG CODES'!$A:$C,3,FALSE)</f>
        <v>3368   LITERARY MAGAZINE</v>
      </c>
    </row>
    <row r="204" spans="1:14" ht="14.45" hidden="1" x14ac:dyDescent="0.3">
      <c r="A204" t="str">
        <f>VLOOKUP(E204,'[1]ORG CODES'!$A:$B,2,FALSE)</f>
        <v>Student Funded Programs</v>
      </c>
      <c r="B204" s="1" t="s">
        <v>2</v>
      </c>
      <c r="C204" s="1" t="s">
        <v>3</v>
      </c>
      <c r="D204" s="1" t="s">
        <v>4</v>
      </c>
      <c r="E204" s="1" t="s">
        <v>79</v>
      </c>
      <c r="F204" s="1" t="s">
        <v>24</v>
      </c>
      <c r="G204" s="1" t="s">
        <v>43</v>
      </c>
      <c r="H204" s="1" t="str">
        <f>VLOOKUP(F204,'[2]DX.OTHER.9.30.06 DETAIL'!$H$1:$J$65536,3,FALSE)</f>
        <v>Exp-Goods/Svcs</v>
      </c>
      <c r="I204" s="1">
        <v>0</v>
      </c>
      <c r="J204" s="2">
        <v>5499</v>
      </c>
      <c r="K204" s="2">
        <v>0</v>
      </c>
      <c r="L204" s="2">
        <v>-5499</v>
      </c>
      <c r="M204" s="2">
        <v>0</v>
      </c>
      <c r="N204" s="1" t="str">
        <f>VLOOKUP(E204,'[1]ORG CODES'!$A:$C,3,FALSE)</f>
        <v>3369   COMMUNICATOR-NEWSPPR</v>
      </c>
    </row>
    <row r="205" spans="1:14" ht="14.45" hidden="1" x14ac:dyDescent="0.3">
      <c r="A205" t="str">
        <f>VLOOKUP(E205,'[1]ORG CODES'!$A:$B,2,FALSE)</f>
        <v>Student Funded Programs</v>
      </c>
      <c r="B205" s="1" t="s">
        <v>2</v>
      </c>
      <c r="C205" s="1" t="s">
        <v>3</v>
      </c>
      <c r="D205" s="1" t="s">
        <v>4</v>
      </c>
      <c r="E205" s="1" t="s">
        <v>65</v>
      </c>
      <c r="F205" s="1" t="s">
        <v>24</v>
      </c>
      <c r="G205" s="1" t="s">
        <v>67</v>
      </c>
      <c r="H205" s="1" t="str">
        <f>VLOOKUP(F205,'[2]DX.OTHER.9.30.06 DETAIL'!$H$1:$J$65536,3,FALSE)</f>
        <v>Exp-Goods/Svcs</v>
      </c>
      <c r="I205" s="1">
        <v>0</v>
      </c>
      <c r="J205" s="2">
        <v>390</v>
      </c>
      <c r="K205" s="2">
        <v>0</v>
      </c>
      <c r="L205" s="2">
        <v>-390</v>
      </c>
      <c r="M205" s="2">
        <v>0</v>
      </c>
      <c r="N205" s="1" t="str">
        <f>VLOOKUP(E205,'[1]ORG CODES'!$A:$C,3,FALSE)</f>
        <v>3354   CONCERT BAND</v>
      </c>
    </row>
    <row r="206" spans="1:14" ht="14.45" hidden="1" x14ac:dyDescent="0.3">
      <c r="A206" t="str">
        <f>VLOOKUP(E206,'[1]ORG CODES'!$A:$B,2,FALSE)</f>
        <v>Student Funded Programs</v>
      </c>
      <c r="B206" s="1" t="s">
        <v>2</v>
      </c>
      <c r="C206" s="1" t="s">
        <v>3</v>
      </c>
      <c r="D206" s="1" t="s">
        <v>4</v>
      </c>
      <c r="E206" s="1" t="s">
        <v>68</v>
      </c>
      <c r="F206" s="1" t="s">
        <v>24</v>
      </c>
      <c r="G206" s="1" t="s">
        <v>67</v>
      </c>
      <c r="H206" s="1" t="str">
        <f>VLOOKUP(F206,'[2]DX.OTHER.9.30.06 DETAIL'!$H$1:$J$65536,3,FALSE)</f>
        <v>Exp-Goods/Svcs</v>
      </c>
      <c r="I206" s="1">
        <v>0</v>
      </c>
      <c r="J206" s="2">
        <v>500</v>
      </c>
      <c r="K206" s="2">
        <v>0</v>
      </c>
      <c r="L206" s="2">
        <v>-500</v>
      </c>
      <c r="M206" s="2">
        <v>0</v>
      </c>
      <c r="N206" s="1" t="str">
        <f>VLOOKUP(E206,'[1]ORG CODES'!$A:$C,3,FALSE)</f>
        <v>3355   CHORAL MUSIC</v>
      </c>
    </row>
    <row r="207" spans="1:14" ht="14.45" hidden="1" x14ac:dyDescent="0.3">
      <c r="A207" t="str">
        <f>VLOOKUP(E207,'[1]ORG CODES'!$A:$B,2,FALSE)</f>
        <v>Student Funded Programs</v>
      </c>
      <c r="B207" s="1" t="s">
        <v>2</v>
      </c>
      <c r="C207" s="1" t="s">
        <v>3</v>
      </c>
      <c r="D207" s="1" t="s">
        <v>4</v>
      </c>
      <c r="E207" s="1" t="s">
        <v>77</v>
      </c>
      <c r="F207" s="1" t="s">
        <v>24</v>
      </c>
      <c r="G207" s="1" t="s">
        <v>67</v>
      </c>
      <c r="H207" s="1" t="str">
        <f>VLOOKUP(F207,'[2]DX.OTHER.9.30.06 DETAIL'!$H$1:$J$65536,3,FALSE)</f>
        <v>Exp-Goods/Svcs</v>
      </c>
      <c r="I207" s="1">
        <v>0</v>
      </c>
      <c r="J207" s="2">
        <v>-20</v>
      </c>
      <c r="K207" s="2">
        <v>0</v>
      </c>
      <c r="L207" s="2">
        <v>20</v>
      </c>
      <c r="M207" s="2">
        <v>0</v>
      </c>
      <c r="N207" s="1" t="str">
        <f>VLOOKUP(E207,'[1]ORG CODES'!$A:$C,3,FALSE)</f>
        <v>3367   RECREATION SOCIETY</v>
      </c>
    </row>
    <row r="208" spans="1:14" ht="14.45" hidden="1" x14ac:dyDescent="0.3">
      <c r="A208" t="str">
        <f>VLOOKUP(E208,'[1]ORG CODES'!$A:$B,2,FALSE)</f>
        <v>Student Funded Programs</v>
      </c>
      <c r="B208" s="1" t="s">
        <v>2</v>
      </c>
      <c r="C208" s="1" t="s">
        <v>3</v>
      </c>
      <c r="D208" s="1" t="s">
        <v>4</v>
      </c>
      <c r="E208" s="1" t="s">
        <v>80</v>
      </c>
      <c r="F208" s="1" t="s">
        <v>24</v>
      </c>
      <c r="G208" s="1" t="s">
        <v>49</v>
      </c>
      <c r="H208" s="1" t="str">
        <f>VLOOKUP(F208,'[2]DX.OTHER.9.30.06 DETAIL'!$H$1:$J$65536,3,FALSE)</f>
        <v>Exp-Goods/Svcs</v>
      </c>
      <c r="I208" s="1">
        <v>0</v>
      </c>
      <c r="J208" s="2">
        <v>210</v>
      </c>
      <c r="K208" s="2">
        <v>0</v>
      </c>
      <c r="L208" s="2">
        <v>-210</v>
      </c>
      <c r="M208" s="2">
        <v>0</v>
      </c>
      <c r="N208" s="1" t="str">
        <f>VLOOKUP(E208,'[1]ORG CODES'!$A:$C,3,FALSE)</f>
        <v>3370   BETA GAMMA KAPPA</v>
      </c>
    </row>
    <row r="209" spans="1:14" ht="14.45" hidden="1" x14ac:dyDescent="0.3">
      <c r="A209" t="str">
        <f>VLOOKUP(E209,'[1]ORG CODES'!$A:$B,2,FALSE)</f>
        <v>Student Funded Programs</v>
      </c>
      <c r="B209" s="1" t="s">
        <v>2</v>
      </c>
      <c r="C209" s="1" t="s">
        <v>3</v>
      </c>
      <c r="D209" s="1" t="s">
        <v>4</v>
      </c>
      <c r="E209" s="1" t="s">
        <v>83</v>
      </c>
      <c r="F209" s="1" t="s">
        <v>24</v>
      </c>
      <c r="G209" s="1" t="s">
        <v>67</v>
      </c>
      <c r="H209" s="1" t="str">
        <f>VLOOKUP(F209,'[2]DX.OTHER.9.30.06 DETAIL'!$H$1:$J$65536,3,FALSE)</f>
        <v>Exp-Goods/Svcs</v>
      </c>
      <c r="I209" s="1">
        <v>0</v>
      </c>
      <c r="J209" s="2">
        <v>2751</v>
      </c>
      <c r="K209" s="2">
        <v>0</v>
      </c>
      <c r="L209" s="2">
        <v>-2751</v>
      </c>
      <c r="M209" s="2">
        <v>0</v>
      </c>
      <c r="N209" s="1" t="str">
        <f>VLOOKUP(E209,'[1]ORG CODES'!$A:$C,3,FALSE)</f>
        <v>3372   STDNT PHYS THER ASST</v>
      </c>
    </row>
    <row r="210" spans="1:14" ht="14.45" hidden="1" x14ac:dyDescent="0.3">
      <c r="A210" t="str">
        <f>VLOOKUP(E210,'[1]ORG CODES'!$A:$B,2,FALSE)</f>
        <v>Student Funded Programs</v>
      </c>
      <c r="B210" s="1" t="s">
        <v>2</v>
      </c>
      <c r="C210" s="1" t="s">
        <v>3</v>
      </c>
      <c r="D210" s="1" t="s">
        <v>4</v>
      </c>
      <c r="E210" s="1" t="s">
        <v>103</v>
      </c>
      <c r="F210" s="1" t="s">
        <v>24</v>
      </c>
      <c r="G210" s="1" t="s">
        <v>104</v>
      </c>
      <c r="H210" s="1" t="str">
        <f>VLOOKUP(F210,'[2]DX.OTHER.9.30.06 DETAIL'!$H$1:$J$65536,3,FALSE)</f>
        <v>Exp-Goods/Svcs</v>
      </c>
      <c r="I210" s="1">
        <v>0</v>
      </c>
      <c r="J210" s="2">
        <v>286.75</v>
      </c>
      <c r="K210" s="2">
        <v>0</v>
      </c>
      <c r="L210" s="2">
        <v>-286.75</v>
      </c>
      <c r="M210" s="2">
        <v>0</v>
      </c>
      <c r="N210" s="1" t="str">
        <f>VLOOKUP(E210,'[1]ORG CODES'!$A:$C,3,FALSE)</f>
        <v>3410   ASA GENERAL FUND</v>
      </c>
    </row>
    <row r="211" spans="1:14" ht="14.45" hidden="1" x14ac:dyDescent="0.3">
      <c r="A211" t="str">
        <f>VLOOKUP(E211,'[1]ORG CODES'!$A:$B,2,FALSE)</f>
        <v>Student Funded Programs</v>
      </c>
      <c r="B211" s="1" t="s">
        <v>2</v>
      </c>
      <c r="C211" s="1" t="s">
        <v>3</v>
      </c>
      <c r="D211" s="1" t="s">
        <v>4</v>
      </c>
      <c r="E211" s="1" t="s">
        <v>108</v>
      </c>
      <c r="F211" s="1" t="s">
        <v>24</v>
      </c>
      <c r="G211" s="1" t="s">
        <v>67</v>
      </c>
      <c r="H211" s="1" t="str">
        <f>VLOOKUP(F211,'[2]DX.OTHER.9.30.06 DETAIL'!$H$1:$J$65536,3,FALSE)</f>
        <v>Exp-Goods/Svcs</v>
      </c>
      <c r="I211" s="1">
        <v>0</v>
      </c>
      <c r="J211" s="2">
        <v>868</v>
      </c>
      <c r="K211" s="2">
        <v>0</v>
      </c>
      <c r="L211" s="2">
        <v>-868</v>
      </c>
      <c r="M211" s="2">
        <v>0</v>
      </c>
      <c r="N211" s="1" t="str">
        <f>VLOOKUP(E211,'[1]ORG CODES'!$A:$C,3,FALSE)</f>
        <v>3413   LEGISLATIVE LIAISON</v>
      </c>
    </row>
    <row r="212" spans="1:14" ht="14.45" hidden="1" x14ac:dyDescent="0.3">
      <c r="A212" t="str">
        <f>VLOOKUP(E212,'[1]ORG CODES'!$A:$B,2,FALSE)</f>
        <v>Student Funded Programs</v>
      </c>
      <c r="B212" s="1" t="s">
        <v>2</v>
      </c>
      <c r="C212" s="1" t="s">
        <v>3</v>
      </c>
      <c r="D212" s="1" t="s">
        <v>4</v>
      </c>
      <c r="E212" s="1" t="s">
        <v>114</v>
      </c>
      <c r="F212" s="1" t="s">
        <v>24</v>
      </c>
      <c r="G212" s="1" t="s">
        <v>67</v>
      </c>
      <c r="H212" s="1" t="str">
        <f>VLOOKUP(F212,'[2]DX.OTHER.9.30.06 DETAIL'!$H$1:$J$65536,3,FALSE)</f>
        <v>Exp-Goods/Svcs</v>
      </c>
      <c r="I212" s="1">
        <v>0</v>
      </c>
      <c r="J212" s="2">
        <v>6422</v>
      </c>
      <c r="K212" s="2">
        <v>0</v>
      </c>
      <c r="L212" s="2">
        <v>-6422</v>
      </c>
      <c r="M212" s="2">
        <v>0</v>
      </c>
      <c r="N212" s="1" t="str">
        <f>VLOOKUP(E212,'[1]ORG CODES'!$A:$C,3,FALSE)</f>
        <v>3417   TRAVEL</v>
      </c>
    </row>
    <row r="213" spans="1:14" ht="14.45" hidden="1" x14ac:dyDescent="0.3">
      <c r="A213" t="str">
        <f>VLOOKUP(E213,'[1]ORG CODES'!$A:$B,2,FALSE)</f>
        <v>Student Funded Programs</v>
      </c>
      <c r="B213" s="1" t="s">
        <v>2</v>
      </c>
      <c r="C213" s="1" t="s">
        <v>3</v>
      </c>
      <c r="D213" s="1" t="s">
        <v>4</v>
      </c>
      <c r="E213" s="1" t="s">
        <v>115</v>
      </c>
      <c r="F213" s="1" t="s">
        <v>24</v>
      </c>
      <c r="G213" s="1" t="s">
        <v>67</v>
      </c>
      <c r="H213" s="1" t="str">
        <f>VLOOKUP(F213,'[2]DX.OTHER.9.30.06 DETAIL'!$H$1:$J$65536,3,FALSE)</f>
        <v>Exp-Goods/Svcs</v>
      </c>
      <c r="I213" s="1">
        <v>0</v>
      </c>
      <c r="J213" s="2">
        <v>50</v>
      </c>
      <c r="K213" s="2">
        <v>0</v>
      </c>
      <c r="L213" s="2">
        <v>-50</v>
      </c>
      <c r="M213" s="2">
        <v>0</v>
      </c>
      <c r="N213" s="1" t="str">
        <f>VLOOKUP(E213,'[1]ORG CODES'!$A:$C,3,FALSE)</f>
        <v>3418   FOOD BANK</v>
      </c>
    </row>
    <row r="214" spans="1:14" ht="14.45" hidden="1" x14ac:dyDescent="0.3">
      <c r="A214" t="str">
        <f>VLOOKUP(E214,'[1]ORG CODES'!$A:$B,2,FALSE)</f>
        <v>Student Funded Programs</v>
      </c>
      <c r="B214" s="1" t="s">
        <v>2</v>
      </c>
      <c r="C214" s="1" t="s">
        <v>3</v>
      </c>
      <c r="D214" s="1" t="s">
        <v>4</v>
      </c>
      <c r="E214" s="1" t="s">
        <v>119</v>
      </c>
      <c r="F214" s="1" t="s">
        <v>24</v>
      </c>
      <c r="G214" s="1" t="s">
        <v>104</v>
      </c>
      <c r="H214" s="1" t="str">
        <f>VLOOKUP(F214,'[2]DX.OTHER.9.30.06 DETAIL'!$H$1:$J$65536,3,FALSE)</f>
        <v>Exp-Goods/Svcs</v>
      </c>
      <c r="I214" s="1">
        <v>0</v>
      </c>
      <c r="J214" s="2">
        <v>1297.28</v>
      </c>
      <c r="K214" s="2">
        <v>0</v>
      </c>
      <c r="L214" s="2">
        <v>-1297.28</v>
      </c>
      <c r="M214" s="2">
        <v>0</v>
      </c>
      <c r="N214" s="1" t="str">
        <f>VLOOKUP(E214,'[1]ORG CODES'!$A:$C,3,FALSE)</f>
        <v>3422   MUSIC PERF LICENSE</v>
      </c>
    </row>
    <row r="215" spans="1:14" ht="14.45" hidden="1" x14ac:dyDescent="0.3">
      <c r="A215" t="str">
        <f>VLOOKUP(E215,'[1]ORG CODES'!$A:$B,2,FALSE)</f>
        <v>Student Funded Programs</v>
      </c>
      <c r="B215" s="1" t="s">
        <v>2</v>
      </c>
      <c r="C215" s="1" t="s">
        <v>3</v>
      </c>
      <c r="D215" s="1" t="s">
        <v>4</v>
      </c>
      <c r="E215" s="1" t="s">
        <v>132</v>
      </c>
      <c r="F215" s="1" t="s">
        <v>24</v>
      </c>
      <c r="G215" s="1" t="s">
        <v>67</v>
      </c>
      <c r="H215" s="1" t="str">
        <f>VLOOKUP(F215,'[2]DX.OTHER.9.30.06 DETAIL'!$H$1:$J$65536,3,FALSE)</f>
        <v>Exp-Goods/Svcs</v>
      </c>
      <c r="I215" s="1">
        <v>0</v>
      </c>
      <c r="J215" s="2">
        <v>452.1</v>
      </c>
      <c r="K215" s="2">
        <v>0</v>
      </c>
      <c r="L215" s="2">
        <v>-452.1</v>
      </c>
      <c r="M215" s="2">
        <v>0</v>
      </c>
      <c r="N215" s="1" t="str">
        <f>VLOOKUP(E215,'[1]ORG CODES'!$A:$C,3,FALSE)</f>
        <v>3435   BLACK STUDENT UNION</v>
      </c>
    </row>
    <row r="216" spans="1:14" ht="14.45" hidden="1" x14ac:dyDescent="0.3">
      <c r="A216" t="str">
        <f>VLOOKUP(E216,'[1]ORG CODES'!$A:$B,2,FALSE)</f>
        <v>Student Funded Programs</v>
      </c>
      <c r="B216" s="1" t="s">
        <v>2</v>
      </c>
      <c r="C216" s="1" t="s">
        <v>3</v>
      </c>
      <c r="D216" s="1" t="s">
        <v>4</v>
      </c>
      <c r="E216" s="1" t="s">
        <v>160</v>
      </c>
      <c r="F216" s="1" t="s">
        <v>24</v>
      </c>
      <c r="G216" s="1" t="s">
        <v>67</v>
      </c>
      <c r="H216" s="1" t="str">
        <f>VLOOKUP(F216,'[2]DX.OTHER.9.30.06 DETAIL'!$H$1:$J$65536,3,FALSE)</f>
        <v>Exp-Goods/Svcs</v>
      </c>
      <c r="I216" s="1">
        <v>0</v>
      </c>
      <c r="J216" s="2">
        <v>325</v>
      </c>
      <c r="K216" s="2">
        <v>0</v>
      </c>
      <c r="L216" s="2">
        <v>-325</v>
      </c>
      <c r="M216" s="2">
        <v>0</v>
      </c>
      <c r="N216" s="1" t="str">
        <f>VLOOKUP(E216,'[1]ORG CODES'!$A:$C,3,FALSE)</f>
        <v>3457   THE ALLIANCE</v>
      </c>
    </row>
    <row r="217" spans="1:14" ht="14.45" hidden="1" x14ac:dyDescent="0.3">
      <c r="A217" t="str">
        <f>VLOOKUP(E217,'[1]ORG CODES'!$A:$B,2,FALSE)</f>
        <v>Student Funded Programs</v>
      </c>
      <c r="B217" s="1" t="s">
        <v>2</v>
      </c>
      <c r="C217" s="1" t="s">
        <v>3</v>
      </c>
      <c r="D217" s="1" t="s">
        <v>4</v>
      </c>
      <c r="E217" s="1" t="s">
        <v>162</v>
      </c>
      <c r="F217" s="1" t="s">
        <v>24</v>
      </c>
      <c r="G217" s="1" t="s">
        <v>67</v>
      </c>
      <c r="H217" s="1" t="str">
        <f>VLOOKUP(F217,'[2]DX.OTHER.9.30.06 DETAIL'!$H$1:$J$65536,3,FALSE)</f>
        <v>Exp-Goods/Svcs</v>
      </c>
      <c r="I217" s="1">
        <v>0</v>
      </c>
      <c r="J217" s="2">
        <v>465.8</v>
      </c>
      <c r="K217" s="2">
        <v>0</v>
      </c>
      <c r="L217" s="2">
        <v>-465.8</v>
      </c>
      <c r="M217" s="2">
        <v>0</v>
      </c>
      <c r="N217" s="1" t="str">
        <f>VLOOKUP(E217,'[1]ORG CODES'!$A:$C,3,FALSE)</f>
        <v>3458   L.U.A. CLUB</v>
      </c>
    </row>
    <row r="218" spans="1:14" ht="14.45" hidden="1" x14ac:dyDescent="0.3">
      <c r="A218" t="str">
        <f>VLOOKUP(E218,'[1]ORG CODES'!$A:$B,2,FALSE)</f>
        <v>Student Funded Programs</v>
      </c>
      <c r="B218" s="1" t="s">
        <v>2</v>
      </c>
      <c r="C218" s="1" t="s">
        <v>3</v>
      </c>
      <c r="D218" s="1" t="s">
        <v>4</v>
      </c>
      <c r="E218" s="1" t="s">
        <v>166</v>
      </c>
      <c r="F218" s="1" t="s">
        <v>24</v>
      </c>
      <c r="G218" s="1" t="s">
        <v>67</v>
      </c>
      <c r="H218" s="1" t="str">
        <f>VLOOKUP(F218,'[2]DX.OTHER.9.30.06 DETAIL'!$H$1:$J$65536,3,FALSE)</f>
        <v>Exp-Goods/Svcs</v>
      </c>
      <c r="I218" s="1">
        <v>0</v>
      </c>
      <c r="J218" s="2">
        <v>579</v>
      </c>
      <c r="K218" s="2">
        <v>0</v>
      </c>
      <c r="L218" s="2">
        <v>-579</v>
      </c>
      <c r="M218" s="2">
        <v>0</v>
      </c>
      <c r="N218" s="1" t="str">
        <f>VLOOKUP(E218,'[1]ORG CODES'!$A:$C,3,FALSE)</f>
        <v>3461   JOURNALISM</v>
      </c>
    </row>
    <row r="219" spans="1:14" ht="14.45" hidden="1" x14ac:dyDescent="0.3">
      <c r="A219" t="str">
        <f>VLOOKUP(E219,'[1]ORG CODES'!$A:$B,2,FALSE)</f>
        <v>Student Funded Programs</v>
      </c>
      <c r="B219" s="1" t="s">
        <v>2</v>
      </c>
      <c r="C219" s="1" t="s">
        <v>3</v>
      </c>
      <c r="D219" s="1" t="s">
        <v>4</v>
      </c>
      <c r="E219" s="1" t="s">
        <v>172</v>
      </c>
      <c r="F219" s="1" t="s">
        <v>24</v>
      </c>
      <c r="G219" s="1" t="s">
        <v>67</v>
      </c>
      <c r="H219" s="1" t="str">
        <f>VLOOKUP(F219,'[2]DX.OTHER.9.30.06 DETAIL'!$H$1:$J$65536,3,FALSE)</f>
        <v>Exp-Goods/Svcs</v>
      </c>
      <c r="I219" s="1">
        <v>0</v>
      </c>
      <c r="J219" s="2">
        <v>452.1</v>
      </c>
      <c r="K219" s="2">
        <v>0</v>
      </c>
      <c r="L219" s="2">
        <v>-452.1</v>
      </c>
      <c r="M219" s="2">
        <v>0</v>
      </c>
      <c r="N219" s="1" t="str">
        <f>VLOOKUP(E219,'[1]ORG CODES'!$A:$C,3,FALSE)</f>
        <v>3465   RED NATIONS ASSOC</v>
      </c>
    </row>
    <row r="220" spans="1:14" ht="14.45" hidden="1" x14ac:dyDescent="0.3">
      <c r="A220" t="str">
        <f>VLOOKUP(E220,'[1]ORG CODES'!$A:$B,2,FALSE)</f>
        <v>Student Funded Programs</v>
      </c>
      <c r="B220" s="1" t="s">
        <v>2</v>
      </c>
      <c r="C220" s="1" t="s">
        <v>3</v>
      </c>
      <c r="D220" s="1" t="s">
        <v>4</v>
      </c>
      <c r="E220" s="1" t="s">
        <v>46</v>
      </c>
      <c r="F220" s="1" t="s">
        <v>24</v>
      </c>
      <c r="G220" s="1" t="s">
        <v>48</v>
      </c>
      <c r="H220" s="1" t="str">
        <f>VLOOKUP(F220,'[2]DX.OTHER.9.30.06 DETAIL'!$H$1:$J$65536,3,FALSE)</f>
        <v>Exp-Goods/Svcs</v>
      </c>
      <c r="I220" s="1">
        <v>0</v>
      </c>
      <c r="J220" s="2">
        <v>169.05</v>
      </c>
      <c r="K220" s="2">
        <v>0</v>
      </c>
      <c r="L220" s="2">
        <v>-169.05</v>
      </c>
      <c r="M220" s="2">
        <v>0</v>
      </c>
      <c r="N220" s="1" t="str">
        <f>VLOOKUP(E220,'[1]ORG CODES'!$A:$C,3,FALSE)</f>
        <v>3330   GRAPHIC DESIGN</v>
      </c>
    </row>
    <row r="221" spans="1:14" ht="14.45" hidden="1" x14ac:dyDescent="0.3">
      <c r="A221" t="str">
        <f>VLOOKUP(E221,'[1]ORG CODES'!$A:$B,2,FALSE)</f>
        <v>Student Funded Programs</v>
      </c>
      <c r="B221" s="1" t="s">
        <v>2</v>
      </c>
      <c r="C221" s="1" t="s">
        <v>3</v>
      </c>
      <c r="D221" s="1" t="s">
        <v>4</v>
      </c>
      <c r="E221" s="1" t="s">
        <v>75</v>
      </c>
      <c r="F221" s="1" t="s">
        <v>24</v>
      </c>
      <c r="G221" s="1" t="s">
        <v>48</v>
      </c>
      <c r="H221" s="1" t="str">
        <f>VLOOKUP(F221,'[2]DX.OTHER.9.30.06 DETAIL'!$H$1:$J$65536,3,FALSE)</f>
        <v>Exp-Goods/Svcs</v>
      </c>
      <c r="I221" s="1">
        <v>0</v>
      </c>
      <c r="J221" s="2">
        <v>132.13999999999999</v>
      </c>
      <c r="K221" s="2">
        <v>0</v>
      </c>
      <c r="L221" s="2">
        <v>-132.13999999999999</v>
      </c>
      <c r="M221" s="2">
        <v>0</v>
      </c>
      <c r="N221" s="1" t="str">
        <f>VLOOKUP(E221,'[1]ORG CODES'!$A:$C,3,FALSE)</f>
        <v>3363   ART GALLERY &amp; EXHIB</v>
      </c>
    </row>
    <row r="222" spans="1:14" ht="14.45" hidden="1" x14ac:dyDescent="0.3">
      <c r="A222" t="str">
        <f>VLOOKUP(E222,'[1]ORG CODES'!$A:$B,2,FALSE)</f>
        <v>Student Funded Programs</v>
      </c>
      <c r="B222" s="1" t="s">
        <v>2</v>
      </c>
      <c r="C222" s="1" t="s">
        <v>3</v>
      </c>
      <c r="D222" s="1" t="s">
        <v>4</v>
      </c>
      <c r="E222" s="1" t="s">
        <v>103</v>
      </c>
      <c r="F222" s="1" t="s">
        <v>24</v>
      </c>
      <c r="G222" s="1" t="s">
        <v>48</v>
      </c>
      <c r="H222" s="1" t="str">
        <f>VLOOKUP(F222,'[2]DX.OTHER.9.30.06 DETAIL'!$H$1:$J$65536,3,FALSE)</f>
        <v>Exp-Goods/Svcs</v>
      </c>
      <c r="I222" s="1">
        <v>0</v>
      </c>
      <c r="J222" s="2">
        <v>404.54</v>
      </c>
      <c r="K222" s="2">
        <v>0</v>
      </c>
      <c r="L222" s="2">
        <v>-404.54</v>
      </c>
      <c r="M222" s="2">
        <v>0</v>
      </c>
      <c r="N222" s="1" t="str">
        <f>VLOOKUP(E222,'[1]ORG CODES'!$A:$C,3,FALSE)</f>
        <v>3410   ASA GENERAL FUND</v>
      </c>
    </row>
    <row r="223" spans="1:14" ht="14.45" hidden="1" x14ac:dyDescent="0.3">
      <c r="A223" t="str">
        <f>VLOOKUP(E223,'[1]ORG CODES'!$A:$B,2,FALSE)</f>
        <v>Student Funded Programs</v>
      </c>
      <c r="B223" s="1" t="s">
        <v>2</v>
      </c>
      <c r="C223" s="1" t="s">
        <v>3</v>
      </c>
      <c r="D223" s="1" t="s">
        <v>4</v>
      </c>
      <c r="E223" s="1" t="s">
        <v>103</v>
      </c>
      <c r="F223" s="1" t="s">
        <v>24</v>
      </c>
      <c r="G223" s="1" t="s">
        <v>32</v>
      </c>
      <c r="H223" s="1" t="str">
        <f>VLOOKUP(F223,'[2]DX.OTHER.9.30.06 DETAIL'!$H$1:$J$65536,3,FALSE)</f>
        <v>Exp-Goods/Svcs</v>
      </c>
      <c r="I223" s="1">
        <v>0</v>
      </c>
      <c r="J223" s="2">
        <v>376.11</v>
      </c>
      <c r="K223" s="2">
        <v>0</v>
      </c>
      <c r="L223" s="2">
        <v>-376.11</v>
      </c>
      <c r="M223" s="2">
        <v>0</v>
      </c>
      <c r="N223" s="1" t="str">
        <f>VLOOKUP(E223,'[1]ORG CODES'!$A:$C,3,FALSE)</f>
        <v>3410   ASA GENERAL FUND</v>
      </c>
    </row>
    <row r="224" spans="1:14" ht="14.45" hidden="1" x14ac:dyDescent="0.3">
      <c r="A224" t="str">
        <f>VLOOKUP(E224,'[1]ORG CODES'!$A:$B,2,FALSE)</f>
        <v>Student Funded Programs</v>
      </c>
      <c r="B224" s="1" t="s">
        <v>2</v>
      </c>
      <c r="C224" s="1" t="s">
        <v>3</v>
      </c>
      <c r="D224" s="1" t="s">
        <v>4</v>
      </c>
      <c r="E224" s="1" t="s">
        <v>109</v>
      </c>
      <c r="F224" s="1" t="s">
        <v>24</v>
      </c>
      <c r="G224" s="1" t="s">
        <v>48</v>
      </c>
      <c r="H224" s="1" t="str">
        <f>VLOOKUP(F224,'[2]DX.OTHER.9.30.06 DETAIL'!$H$1:$J$65536,3,FALSE)</f>
        <v>Exp-Goods/Svcs</v>
      </c>
      <c r="I224" s="1">
        <v>0</v>
      </c>
      <c r="J224" s="2">
        <v>603.76</v>
      </c>
      <c r="K224" s="2">
        <v>0</v>
      </c>
      <c r="L224" s="2">
        <v>-603.76</v>
      </c>
      <c r="M224" s="2">
        <v>0</v>
      </c>
      <c r="N224" s="1" t="str">
        <f>VLOOKUP(E224,'[1]ORG CODES'!$A:$C,3,FALSE)</f>
        <v>3414   CULTURAL SERIES</v>
      </c>
    </row>
    <row r="225" spans="1:14" ht="14.45" hidden="1" x14ac:dyDescent="0.3">
      <c r="A225" t="str">
        <f>VLOOKUP(E225,'[1]ORG CODES'!$A:$B,2,FALSE)</f>
        <v>Student Funded Programs</v>
      </c>
      <c r="B225" s="1" t="s">
        <v>2</v>
      </c>
      <c r="C225" s="1" t="s">
        <v>3</v>
      </c>
      <c r="D225" s="1" t="s">
        <v>4</v>
      </c>
      <c r="E225" s="1" t="s">
        <v>109</v>
      </c>
      <c r="F225" s="1" t="s">
        <v>24</v>
      </c>
      <c r="G225" s="1" t="s">
        <v>32</v>
      </c>
      <c r="H225" s="1" t="str">
        <f>VLOOKUP(F225,'[2]DX.OTHER.9.30.06 DETAIL'!$H$1:$J$65536,3,FALSE)</f>
        <v>Exp-Goods/Svcs</v>
      </c>
      <c r="I225" s="1">
        <v>0</v>
      </c>
      <c r="J225" s="2">
        <v>1078.32</v>
      </c>
      <c r="K225" s="2">
        <v>0</v>
      </c>
      <c r="L225" s="2">
        <v>-1078.32</v>
      </c>
      <c r="M225" s="2">
        <v>0</v>
      </c>
      <c r="N225" s="1" t="str">
        <f>VLOOKUP(E225,'[1]ORG CODES'!$A:$C,3,FALSE)</f>
        <v>3414   CULTURAL SERIES</v>
      </c>
    </row>
    <row r="226" spans="1:14" ht="14.45" hidden="1" x14ac:dyDescent="0.3">
      <c r="A226" t="str">
        <f>VLOOKUP(E226,'[1]ORG CODES'!$A:$B,2,FALSE)</f>
        <v>Student Funded Programs</v>
      </c>
      <c r="B226" s="1" t="s">
        <v>2</v>
      </c>
      <c r="C226" s="1" t="s">
        <v>3</v>
      </c>
      <c r="D226" s="1" t="s">
        <v>4</v>
      </c>
      <c r="E226" s="1" t="s">
        <v>117</v>
      </c>
      <c r="F226" s="1" t="s">
        <v>24</v>
      </c>
      <c r="G226" s="1" t="s">
        <v>48</v>
      </c>
      <c r="H226" s="1" t="str">
        <f>VLOOKUP(F226,'[2]DX.OTHER.9.30.06 DETAIL'!$H$1:$J$65536,3,FALSE)</f>
        <v>Exp-Goods/Svcs</v>
      </c>
      <c r="I226" s="1">
        <v>0</v>
      </c>
      <c r="J226" s="2">
        <v>823.51</v>
      </c>
      <c r="K226" s="2">
        <v>0</v>
      </c>
      <c r="L226" s="2">
        <v>-823.51</v>
      </c>
      <c r="M226" s="2">
        <v>0</v>
      </c>
      <c r="N226" s="1" t="str">
        <f>VLOOKUP(E226,'[1]ORG CODES'!$A:$C,3,FALSE)</f>
        <v>3420   SPECIAL EVENTS</v>
      </c>
    </row>
    <row r="227" spans="1:14" ht="14.45" hidden="1" x14ac:dyDescent="0.3">
      <c r="A227" t="str">
        <f>VLOOKUP(E227,'[1]ORG CODES'!$A:$B,2,FALSE)</f>
        <v>Student Funded Programs</v>
      </c>
      <c r="B227" s="1" t="s">
        <v>2</v>
      </c>
      <c r="C227" s="1" t="s">
        <v>3</v>
      </c>
      <c r="D227" s="1" t="s">
        <v>4</v>
      </c>
      <c r="E227" s="1" t="s">
        <v>117</v>
      </c>
      <c r="F227" s="1" t="s">
        <v>24</v>
      </c>
      <c r="G227" s="1" t="s">
        <v>32</v>
      </c>
      <c r="H227" s="1" t="str">
        <f>VLOOKUP(F227,'[2]DX.OTHER.9.30.06 DETAIL'!$H$1:$J$65536,3,FALSE)</f>
        <v>Exp-Goods/Svcs</v>
      </c>
      <c r="I227" s="1">
        <v>0</v>
      </c>
      <c r="J227" s="2">
        <v>680.47</v>
      </c>
      <c r="K227" s="2">
        <v>0</v>
      </c>
      <c r="L227" s="2">
        <v>-680.47</v>
      </c>
      <c r="M227" s="2">
        <v>0</v>
      </c>
      <c r="N227" s="1" t="str">
        <f>VLOOKUP(E227,'[1]ORG CODES'!$A:$C,3,FALSE)</f>
        <v>3420   SPECIAL EVENTS</v>
      </c>
    </row>
    <row r="228" spans="1:14" ht="14.45" hidden="1" x14ac:dyDescent="0.3">
      <c r="A228" t="str">
        <f>VLOOKUP(E228,'[1]ORG CODES'!$A:$B,2,FALSE)</f>
        <v>Student Funded Programs</v>
      </c>
      <c r="B228" s="1" t="s">
        <v>2</v>
      </c>
      <c r="C228" s="1" t="s">
        <v>3</v>
      </c>
      <c r="D228" s="1" t="s">
        <v>4</v>
      </c>
      <c r="E228" s="1" t="s">
        <v>120</v>
      </c>
      <c r="F228" s="1" t="s">
        <v>24</v>
      </c>
      <c r="G228" s="1" t="s">
        <v>32</v>
      </c>
      <c r="H228" s="1" t="str">
        <f>VLOOKUP(F228,'[2]DX.OTHER.9.30.06 DETAIL'!$H$1:$J$65536,3,FALSE)</f>
        <v>Exp-Goods/Svcs</v>
      </c>
      <c r="I228" s="1">
        <v>0</v>
      </c>
      <c r="J228" s="2">
        <v>240.23</v>
      </c>
      <c r="K228" s="2">
        <v>0</v>
      </c>
      <c r="L228" s="2">
        <v>-240.23</v>
      </c>
      <c r="M228" s="2">
        <v>0</v>
      </c>
      <c r="N228" s="1" t="str">
        <f>VLOOKUP(E228,'[1]ORG CODES'!$A:$C,3,FALSE)</f>
        <v>3423   COLLEGE-WIDE THEME</v>
      </c>
    </row>
    <row r="229" spans="1:14" ht="14.45" hidden="1" x14ac:dyDescent="0.3">
      <c r="A229" t="str">
        <f>VLOOKUP(E229,'[1]ORG CODES'!$A:$B,2,FALSE)</f>
        <v>Student Funded Programs</v>
      </c>
      <c r="B229" s="1" t="s">
        <v>2</v>
      </c>
      <c r="C229" s="1" t="s">
        <v>3</v>
      </c>
      <c r="D229" s="1" t="s">
        <v>4</v>
      </c>
      <c r="E229" s="1" t="s">
        <v>132</v>
      </c>
      <c r="F229" s="1" t="s">
        <v>24</v>
      </c>
      <c r="G229" s="1" t="s">
        <v>48</v>
      </c>
      <c r="H229" s="1" t="str">
        <f>VLOOKUP(F229,'[2]DX.OTHER.9.30.06 DETAIL'!$H$1:$J$65536,3,FALSE)</f>
        <v>Exp-Goods/Svcs</v>
      </c>
      <c r="I229" s="1">
        <v>0</v>
      </c>
      <c r="J229" s="2">
        <v>3000</v>
      </c>
      <c r="K229" s="2">
        <v>0</v>
      </c>
      <c r="L229" s="2">
        <v>-3000</v>
      </c>
      <c r="M229" s="2">
        <v>0</v>
      </c>
      <c r="N229" s="1" t="str">
        <f>VLOOKUP(E229,'[1]ORG CODES'!$A:$C,3,FALSE)</f>
        <v>3435   BLACK STUDENT UNION</v>
      </c>
    </row>
    <row r="230" spans="1:14" ht="14.45" hidden="1" x14ac:dyDescent="0.3">
      <c r="A230" t="str">
        <f>VLOOKUP(E230,'[1]ORG CODES'!$A:$B,2,FALSE)</f>
        <v>Student Funded Programs</v>
      </c>
      <c r="B230" s="1" t="s">
        <v>2</v>
      </c>
      <c r="C230" s="1" t="s">
        <v>3</v>
      </c>
      <c r="D230" s="1" t="s">
        <v>4</v>
      </c>
      <c r="E230" s="1" t="s">
        <v>142</v>
      </c>
      <c r="F230" s="1" t="s">
        <v>24</v>
      </c>
      <c r="G230" s="1" t="s">
        <v>48</v>
      </c>
      <c r="H230" s="1" t="str">
        <f>VLOOKUP(F230,'[2]DX.OTHER.9.30.06 DETAIL'!$H$1:$J$65536,3,FALSE)</f>
        <v>Exp-Goods/Svcs</v>
      </c>
      <c r="I230" s="1">
        <v>0</v>
      </c>
      <c r="J230" s="2">
        <v>31.8</v>
      </c>
      <c r="K230" s="2">
        <v>0</v>
      </c>
      <c r="L230" s="2">
        <v>-31.8</v>
      </c>
      <c r="M230" s="2">
        <v>0</v>
      </c>
      <c r="N230" s="1" t="str">
        <f>VLOOKUP(E230,'[1]ORG CODES'!$A:$C,3,FALSE)</f>
        <v>3442   ASSOC WOMEN STUDENTS</v>
      </c>
    </row>
    <row r="231" spans="1:14" ht="14.45" hidden="1" x14ac:dyDescent="0.3">
      <c r="A231" t="str">
        <f>VLOOKUP(E231,'[1]ORG CODES'!$A:$B,2,FALSE)</f>
        <v>Student Funded Programs</v>
      </c>
      <c r="B231" s="1" t="s">
        <v>2</v>
      </c>
      <c r="C231" s="1" t="s">
        <v>3</v>
      </c>
      <c r="D231" s="1" t="s">
        <v>4</v>
      </c>
      <c r="E231" s="1" t="s">
        <v>159</v>
      </c>
      <c r="F231" s="1" t="s">
        <v>24</v>
      </c>
      <c r="G231" s="1" t="s">
        <v>32</v>
      </c>
      <c r="H231" s="1" t="str">
        <f>VLOOKUP(F231,'[2]DX.OTHER.9.30.06 DETAIL'!$H$1:$J$65536,3,FALSE)</f>
        <v>Exp-Goods/Svcs</v>
      </c>
      <c r="I231" s="1">
        <v>0</v>
      </c>
      <c r="J231" s="2">
        <v>1000</v>
      </c>
      <c r="K231" s="2">
        <v>0</v>
      </c>
      <c r="L231" s="2">
        <v>-1000</v>
      </c>
      <c r="M231" s="2">
        <v>0</v>
      </c>
      <c r="N231" s="1" t="str">
        <f>VLOOKUP(E231,'[1]ORG CODES'!$A:$C,3,FALSE)</f>
        <v>3456   FRENCH CLUB</v>
      </c>
    </row>
    <row r="232" spans="1:14" ht="14.45" hidden="1" x14ac:dyDescent="0.3">
      <c r="A232" t="str">
        <f>VLOOKUP(E232,'[1]ORG CODES'!$A:$B,2,FALSE)</f>
        <v>Student Funded Programs</v>
      </c>
      <c r="B232" s="1" t="s">
        <v>2</v>
      </c>
      <c r="C232" s="1" t="s">
        <v>3</v>
      </c>
      <c r="D232" s="1" t="s">
        <v>4</v>
      </c>
      <c r="E232" s="1" t="s">
        <v>160</v>
      </c>
      <c r="F232" s="1" t="s">
        <v>24</v>
      </c>
      <c r="G232" s="1" t="s">
        <v>32</v>
      </c>
      <c r="H232" s="1" t="str">
        <f>VLOOKUP(F232,'[2]DX.OTHER.9.30.06 DETAIL'!$H$1:$J$65536,3,FALSE)</f>
        <v>Exp-Goods/Svcs</v>
      </c>
      <c r="I232" s="1">
        <v>0</v>
      </c>
      <c r="J232" s="2">
        <v>950</v>
      </c>
      <c r="K232" s="2">
        <v>0</v>
      </c>
      <c r="L232" s="2">
        <v>-950</v>
      </c>
      <c r="M232" s="2">
        <v>0</v>
      </c>
      <c r="N232" s="1" t="str">
        <f>VLOOKUP(E232,'[1]ORG CODES'!$A:$C,3,FALSE)</f>
        <v>3457   THE ALLIANCE</v>
      </c>
    </row>
    <row r="233" spans="1:14" ht="14.45" hidden="1" x14ac:dyDescent="0.3">
      <c r="A233" t="str">
        <f>VLOOKUP(E233,'[1]ORG CODES'!$A:$B,2,FALSE)</f>
        <v>Student Funded Programs</v>
      </c>
      <c r="B233" s="1" t="s">
        <v>2</v>
      </c>
      <c r="C233" s="1" t="s">
        <v>3</v>
      </c>
      <c r="D233" s="1" t="s">
        <v>4</v>
      </c>
      <c r="E233" s="1" t="s">
        <v>168</v>
      </c>
      <c r="F233" s="1" t="s">
        <v>24</v>
      </c>
      <c r="G233" s="1" t="s">
        <v>48</v>
      </c>
      <c r="H233" s="1" t="str">
        <f>VLOOKUP(F233,'[2]DX.OTHER.9.30.06 DETAIL'!$H$1:$J$65536,3,FALSE)</f>
        <v>Exp-Goods/Svcs</v>
      </c>
      <c r="I233" s="1">
        <v>0</v>
      </c>
      <c r="J233" s="2">
        <v>70.66</v>
      </c>
      <c r="K233" s="2">
        <v>0</v>
      </c>
      <c r="L233" s="2">
        <v>-70.66</v>
      </c>
      <c r="M233" s="2">
        <v>0</v>
      </c>
      <c r="N233" s="1" t="str">
        <f>VLOOKUP(E233,'[1]ORG CODES'!$A:$C,3,FALSE)</f>
        <v>3462   INTERNATIONAL CLUB</v>
      </c>
    </row>
    <row r="234" spans="1:14" ht="14.45" hidden="1" x14ac:dyDescent="0.3">
      <c r="A234" t="str">
        <f>VLOOKUP(E234,'[1]ORG CODES'!$A:$B,2,FALSE)</f>
        <v>Student Funded Programs</v>
      </c>
      <c r="B234" s="1" t="s">
        <v>2</v>
      </c>
      <c r="C234" s="1" t="s">
        <v>3</v>
      </c>
      <c r="D234" s="1" t="s">
        <v>4</v>
      </c>
      <c r="E234" s="1" t="s">
        <v>170</v>
      </c>
      <c r="F234" s="1" t="s">
        <v>24</v>
      </c>
      <c r="G234" s="1" t="s">
        <v>48</v>
      </c>
      <c r="H234" s="1" t="str">
        <f>VLOOKUP(F234,'[2]DX.OTHER.9.30.06 DETAIL'!$H$1:$J$65536,3,FALSE)</f>
        <v>Exp-Goods/Svcs</v>
      </c>
      <c r="I234" s="1">
        <v>0</v>
      </c>
      <c r="J234" s="2">
        <v>310.79000000000002</v>
      </c>
      <c r="K234" s="2">
        <v>0</v>
      </c>
      <c r="L234" s="2">
        <v>-310.79000000000002</v>
      </c>
      <c r="M234" s="2">
        <v>0</v>
      </c>
      <c r="N234" s="1" t="str">
        <f>VLOOKUP(E234,'[1]ORG CODES'!$A:$C,3,FALSE)</f>
        <v>3464   JAZZ PRESENTS</v>
      </c>
    </row>
    <row r="235" spans="1:14" ht="14.45" hidden="1" x14ac:dyDescent="0.3">
      <c r="A235" t="str">
        <f>VLOOKUP(E235,'[1]ORG CODES'!$A:$B,2,FALSE)</f>
        <v>Student Funded Programs</v>
      </c>
      <c r="B235" s="1" t="s">
        <v>2</v>
      </c>
      <c r="C235" s="1" t="s">
        <v>3</v>
      </c>
      <c r="D235" s="1" t="s">
        <v>4</v>
      </c>
      <c r="E235" s="1" t="s">
        <v>170</v>
      </c>
      <c r="F235" s="1" t="s">
        <v>24</v>
      </c>
      <c r="G235" s="1" t="s">
        <v>76</v>
      </c>
      <c r="H235" s="1" t="str">
        <f>VLOOKUP(F235,'[2]DX.OTHER.9.30.06 DETAIL'!$H$1:$J$65536,3,FALSE)</f>
        <v>Exp-Goods/Svcs</v>
      </c>
      <c r="I235" s="1">
        <v>0</v>
      </c>
      <c r="J235" s="2">
        <v>326.10000000000002</v>
      </c>
      <c r="K235" s="2">
        <v>0</v>
      </c>
      <c r="L235" s="2">
        <v>-326.10000000000002</v>
      </c>
      <c r="M235" s="2">
        <v>0</v>
      </c>
      <c r="N235" s="1" t="str">
        <f>VLOOKUP(E235,'[1]ORG CODES'!$A:$C,3,FALSE)</f>
        <v>3464   JAZZ PRESENTS</v>
      </c>
    </row>
    <row r="236" spans="1:14" ht="14.45" hidden="1" x14ac:dyDescent="0.3">
      <c r="A236" t="str">
        <f>VLOOKUP(E236,'[1]ORG CODES'!$A:$B,2,FALSE)</f>
        <v>Student Funded Programs</v>
      </c>
      <c r="B236" s="1" t="s">
        <v>2</v>
      </c>
      <c r="C236" s="1" t="s">
        <v>3</v>
      </c>
      <c r="D236" s="1" t="s">
        <v>4</v>
      </c>
      <c r="E236" s="1" t="s">
        <v>176</v>
      </c>
      <c r="F236" s="1" t="s">
        <v>24</v>
      </c>
      <c r="G236" s="1" t="s">
        <v>32</v>
      </c>
      <c r="H236" s="1" t="str">
        <f>VLOOKUP(F236,'[2]DX.OTHER.9.30.06 DETAIL'!$H$1:$J$65536,3,FALSE)</f>
        <v>Exp-Goods/Svcs</v>
      </c>
      <c r="I236" s="1">
        <v>0</v>
      </c>
      <c r="J236" s="2">
        <v>1000</v>
      </c>
      <c r="K236" s="2">
        <v>0</v>
      </c>
      <c r="L236" s="2">
        <v>-1000</v>
      </c>
      <c r="M236" s="2">
        <v>0</v>
      </c>
      <c r="N236" s="1" t="str">
        <f>VLOOKUP(E236,'[1]ORG CODES'!$A:$C,3,FALSE)</f>
        <v>3466   SPANISH CLUB</v>
      </c>
    </row>
    <row r="237" spans="1:14" ht="14.45" hidden="1" x14ac:dyDescent="0.3">
      <c r="A237" t="str">
        <f>VLOOKUP(E237,'[1]ORG CODES'!$A:$B,2,FALSE)</f>
        <v>Student Funded Programs</v>
      </c>
      <c r="B237" s="1" t="s">
        <v>2</v>
      </c>
      <c r="C237" s="1" t="s">
        <v>3</v>
      </c>
      <c r="D237" s="1" t="s">
        <v>4</v>
      </c>
      <c r="E237" s="1" t="s">
        <v>25</v>
      </c>
      <c r="F237" s="1" t="s">
        <v>24</v>
      </c>
      <c r="G237" s="1" t="s">
        <v>30</v>
      </c>
      <c r="H237" s="1" t="str">
        <f>VLOOKUP(F237,'[2]DX.OTHER.9.30.06 DETAIL'!$H$1:$J$65536,3,FALSE)</f>
        <v>Exp-Goods/Svcs</v>
      </c>
      <c r="I237" s="1">
        <v>0</v>
      </c>
      <c r="J237" s="2">
        <v>4.62</v>
      </c>
      <c r="K237" s="2">
        <v>0</v>
      </c>
      <c r="L237" s="2">
        <v>-4.62</v>
      </c>
      <c r="M237" s="2">
        <v>0</v>
      </c>
      <c r="N237" s="1" t="str">
        <f>VLOOKUP(E237,'[1]ORG CODES'!$A:$C,3,FALSE)</f>
        <v>3309   IRP CLUB ADVISORS</v>
      </c>
    </row>
    <row r="238" spans="1:14" ht="14.45" hidden="1" x14ac:dyDescent="0.3">
      <c r="A238" t="str">
        <f>VLOOKUP(E238,'[1]ORG CODES'!$A:$B,2,FALSE)</f>
        <v>Student Funded Programs</v>
      </c>
      <c r="B238" s="1" t="s">
        <v>2</v>
      </c>
      <c r="C238" s="1" t="s">
        <v>3</v>
      </c>
      <c r="D238" s="1" t="s">
        <v>4</v>
      </c>
      <c r="E238" s="1" t="s">
        <v>25</v>
      </c>
      <c r="F238" s="1" t="s">
        <v>24</v>
      </c>
      <c r="G238" s="1" t="s">
        <v>31</v>
      </c>
      <c r="H238" s="1" t="str">
        <f>VLOOKUP(F238,'[2]DX.OTHER.9.30.06 DETAIL'!$H$1:$J$65536,3,FALSE)</f>
        <v>Exp-Goods/Svcs</v>
      </c>
      <c r="I238" s="1">
        <v>0</v>
      </c>
      <c r="J238" s="2">
        <v>-0.01</v>
      </c>
      <c r="K238" s="2">
        <v>0</v>
      </c>
      <c r="L238" s="2">
        <v>0.01</v>
      </c>
      <c r="M238" s="2">
        <v>0</v>
      </c>
      <c r="N238" s="1" t="str">
        <f>VLOOKUP(E238,'[1]ORG CODES'!$A:$C,3,FALSE)</f>
        <v>3309   IRP CLUB ADVISORS</v>
      </c>
    </row>
    <row r="239" spans="1:14" ht="14.45" hidden="1" x14ac:dyDescent="0.3">
      <c r="A239" t="str">
        <f>VLOOKUP(E239,'[1]ORG CODES'!$A:$B,2,FALSE)</f>
        <v>Student Funded Programs</v>
      </c>
      <c r="B239" s="1" t="s">
        <v>2</v>
      </c>
      <c r="C239" s="1" t="s">
        <v>3</v>
      </c>
      <c r="D239" s="1" t="s">
        <v>4</v>
      </c>
      <c r="E239" s="1" t="s">
        <v>52</v>
      </c>
      <c r="F239" s="1" t="s">
        <v>24</v>
      </c>
      <c r="G239" s="1" t="s">
        <v>30</v>
      </c>
      <c r="H239" s="1" t="str">
        <f>VLOOKUP(F239,'[2]DX.OTHER.9.30.06 DETAIL'!$H$1:$J$65536,3,FALSE)</f>
        <v>Exp-Goods/Svcs</v>
      </c>
      <c r="I239" s="1">
        <v>0</v>
      </c>
      <c r="J239" s="2">
        <v>0.2</v>
      </c>
      <c r="K239" s="2">
        <v>0</v>
      </c>
      <c r="L239" s="2">
        <v>-0.2</v>
      </c>
      <c r="M239" s="2">
        <v>0</v>
      </c>
      <c r="N239" s="1" t="str">
        <f>VLOOKUP(E239,'[1]ORG CODES'!$A:$C,3,FALSE)</f>
        <v>3352   REVELERS (DRAMA)</v>
      </c>
    </row>
    <row r="240" spans="1:14" ht="14.45" hidden="1" x14ac:dyDescent="0.3">
      <c r="A240" t="str">
        <f>VLOOKUP(E240,'[1]ORG CODES'!$A:$B,2,FALSE)</f>
        <v>Student Funded Programs</v>
      </c>
      <c r="B240" s="1" t="s">
        <v>2</v>
      </c>
      <c r="C240" s="1" t="s">
        <v>3</v>
      </c>
      <c r="D240" s="1" t="s">
        <v>4</v>
      </c>
      <c r="E240" s="1" t="s">
        <v>63</v>
      </c>
      <c r="F240" s="1" t="s">
        <v>24</v>
      </c>
      <c r="G240" s="1" t="s">
        <v>30</v>
      </c>
      <c r="H240" s="1" t="str">
        <f>VLOOKUP(F240,'[2]DX.OTHER.9.30.06 DETAIL'!$H$1:$J$65536,3,FALSE)</f>
        <v>Exp-Goods/Svcs</v>
      </c>
      <c r="I240" s="1">
        <v>0</v>
      </c>
      <c r="J240" s="2">
        <v>0.13</v>
      </c>
      <c r="K240" s="2">
        <v>0</v>
      </c>
      <c r="L240" s="2">
        <v>-0.13</v>
      </c>
      <c r="M240" s="2">
        <v>0</v>
      </c>
      <c r="N240" s="1" t="str">
        <f>VLOOKUP(E240,'[1]ORG CODES'!$A:$C,3,FALSE)</f>
        <v>3353   ORCHESTRA</v>
      </c>
    </row>
    <row r="241" spans="1:14" ht="14.45" hidden="1" x14ac:dyDescent="0.3">
      <c r="A241" t="str">
        <f>VLOOKUP(E241,'[1]ORG CODES'!$A:$B,2,FALSE)</f>
        <v>Student Funded Programs</v>
      </c>
      <c r="B241" s="1" t="s">
        <v>2</v>
      </c>
      <c r="C241" s="1" t="s">
        <v>3</v>
      </c>
      <c r="D241" s="1" t="s">
        <v>4</v>
      </c>
      <c r="E241" s="1" t="s">
        <v>65</v>
      </c>
      <c r="F241" s="1" t="s">
        <v>24</v>
      </c>
      <c r="G241" s="1" t="s">
        <v>30</v>
      </c>
      <c r="H241" s="1" t="str">
        <f>VLOOKUP(F241,'[2]DX.OTHER.9.30.06 DETAIL'!$H$1:$J$65536,3,FALSE)</f>
        <v>Exp-Goods/Svcs</v>
      </c>
      <c r="I241" s="1">
        <v>0</v>
      </c>
      <c r="J241" s="2">
        <v>0.02</v>
      </c>
      <c r="K241" s="2">
        <v>0</v>
      </c>
      <c r="L241" s="2">
        <v>-0.02</v>
      </c>
      <c r="M241" s="2">
        <v>0</v>
      </c>
      <c r="N241" s="1" t="str">
        <f>VLOOKUP(E241,'[1]ORG CODES'!$A:$C,3,FALSE)</f>
        <v>3354   CONCERT BAND</v>
      </c>
    </row>
    <row r="242" spans="1:14" ht="14.45" hidden="1" x14ac:dyDescent="0.3">
      <c r="A242" t="str">
        <f>VLOOKUP(E242,'[1]ORG CODES'!$A:$B,2,FALSE)</f>
        <v>Student Funded Programs</v>
      </c>
      <c r="B242" s="1" t="s">
        <v>2</v>
      </c>
      <c r="C242" s="1" t="s">
        <v>3</v>
      </c>
      <c r="D242" s="1" t="s">
        <v>4</v>
      </c>
      <c r="E242" s="1" t="s">
        <v>71</v>
      </c>
      <c r="F242" s="1" t="s">
        <v>24</v>
      </c>
      <c r="G242" s="1" t="s">
        <v>30</v>
      </c>
      <c r="H242" s="1" t="str">
        <f>VLOOKUP(F242,'[2]DX.OTHER.9.30.06 DETAIL'!$H$1:$J$65536,3,FALSE)</f>
        <v>Exp-Goods/Svcs</v>
      </c>
      <c r="I242" s="1">
        <v>0</v>
      </c>
      <c r="J242" s="2">
        <v>0.03</v>
      </c>
      <c r="K242" s="2">
        <v>0</v>
      </c>
      <c r="L242" s="2">
        <v>-0.03</v>
      </c>
      <c r="M242" s="2">
        <v>0</v>
      </c>
      <c r="N242" s="1" t="str">
        <f>VLOOKUP(E242,'[1]ORG CODES'!$A:$C,3,FALSE)</f>
        <v>3356   STAGE BAND/COMBO</v>
      </c>
    </row>
    <row r="243" spans="1:14" ht="14.45" hidden="1" x14ac:dyDescent="0.3">
      <c r="A243" t="str">
        <f>VLOOKUP(E243,'[1]ORG CODES'!$A:$B,2,FALSE)</f>
        <v>Student Funded Programs</v>
      </c>
      <c r="B243" s="1" t="s">
        <v>2</v>
      </c>
      <c r="C243" s="1" t="s">
        <v>3</v>
      </c>
      <c r="D243" s="1" t="s">
        <v>4</v>
      </c>
      <c r="E243" s="1" t="s">
        <v>102</v>
      </c>
      <c r="F243" s="1" t="s">
        <v>24</v>
      </c>
      <c r="G243" s="1" t="s">
        <v>30</v>
      </c>
      <c r="H243" s="1" t="str">
        <f>VLOOKUP(F243,'[2]DX.OTHER.9.30.06 DETAIL'!$H$1:$J$65536,3,FALSE)</f>
        <v>Exp-Goods/Svcs</v>
      </c>
      <c r="I243" s="1">
        <v>0</v>
      </c>
      <c r="J243" s="2">
        <v>8.15</v>
      </c>
      <c r="K243" s="2">
        <v>0</v>
      </c>
      <c r="L243" s="2">
        <v>-8.15</v>
      </c>
      <c r="M243" s="2">
        <v>0</v>
      </c>
      <c r="N243" s="1" t="str">
        <f>VLOOKUP(E243,'[1]ORG CODES'!$A:$C,3,FALSE)</f>
        <v>3409   ASA CLUB ADVISORS</v>
      </c>
    </row>
    <row r="244" spans="1:14" ht="14.45" hidden="1" x14ac:dyDescent="0.3">
      <c r="A244" t="str">
        <f>VLOOKUP(E244,'[1]ORG CODES'!$A:$B,2,FALSE)</f>
        <v>Student Funded Programs</v>
      </c>
      <c r="B244" s="1" t="s">
        <v>2</v>
      </c>
      <c r="C244" s="1" t="s">
        <v>3</v>
      </c>
      <c r="D244" s="1" t="s">
        <v>4</v>
      </c>
      <c r="E244" s="1" t="s">
        <v>102</v>
      </c>
      <c r="F244" s="1" t="s">
        <v>24</v>
      </c>
      <c r="G244" s="1" t="s">
        <v>31</v>
      </c>
      <c r="H244" s="1" t="str">
        <f>VLOOKUP(F244,'[2]DX.OTHER.9.30.06 DETAIL'!$H$1:$J$65536,3,FALSE)</f>
        <v>Exp-Goods/Svcs</v>
      </c>
      <c r="I244" s="1">
        <v>0</v>
      </c>
      <c r="J244" s="2">
        <v>-0.17</v>
      </c>
      <c r="K244" s="2">
        <v>0</v>
      </c>
      <c r="L244" s="2">
        <v>0.17</v>
      </c>
      <c r="M244" s="2">
        <v>0</v>
      </c>
      <c r="N244" s="1" t="str">
        <f>VLOOKUP(E244,'[1]ORG CODES'!$A:$C,3,FALSE)</f>
        <v>3409   ASA CLUB ADVISORS</v>
      </c>
    </row>
    <row r="245" spans="1:14" ht="14.45" hidden="1" x14ac:dyDescent="0.3">
      <c r="A245" t="str">
        <f>VLOOKUP(E245,'[1]ORG CODES'!$A:$B,2,FALSE)</f>
        <v>Student Funded Programs</v>
      </c>
      <c r="B245" s="1" t="s">
        <v>2</v>
      </c>
      <c r="C245" s="1" t="s">
        <v>3</v>
      </c>
      <c r="D245" s="1" t="s">
        <v>4</v>
      </c>
      <c r="E245" s="1" t="s">
        <v>123</v>
      </c>
      <c r="F245" s="1" t="s">
        <v>24</v>
      </c>
      <c r="G245" s="1" t="s">
        <v>43</v>
      </c>
      <c r="H245" s="1" t="str">
        <f>VLOOKUP(F245,'[2]DX.OTHER.9.30.06 DETAIL'!$H$1:$J$65536,3,FALSE)</f>
        <v>Exp-Goods/Svcs</v>
      </c>
      <c r="I245" s="1">
        <v>0</v>
      </c>
      <c r="J245" s="2">
        <v>-97.44</v>
      </c>
      <c r="K245" s="2">
        <v>0</v>
      </c>
      <c r="L245" s="2">
        <v>97.44</v>
      </c>
      <c r="M245" s="2">
        <v>0</v>
      </c>
      <c r="N245" s="1" t="str">
        <f>VLOOKUP(E245,'[1]ORG CODES'!$A:$C,3,FALSE)</f>
        <v>3426   EQUIPMENT</v>
      </c>
    </row>
    <row r="246" spans="1:14" ht="14.45" hidden="1" x14ac:dyDescent="0.3">
      <c r="A246" t="str">
        <f>VLOOKUP(E246,'[1]ORG CODES'!$A:$B,2,FALSE)</f>
        <v>Student Funded Programs</v>
      </c>
      <c r="B246" s="1" t="s">
        <v>2</v>
      </c>
      <c r="C246" s="1" t="s">
        <v>3</v>
      </c>
      <c r="D246" s="1" t="s">
        <v>4</v>
      </c>
      <c r="E246" s="1" t="s">
        <v>168</v>
      </c>
      <c r="F246" s="1" t="s">
        <v>24</v>
      </c>
      <c r="G246" s="1" t="s">
        <v>30</v>
      </c>
      <c r="H246" s="1" t="str">
        <f>VLOOKUP(F246,'[2]DX.OTHER.9.30.06 DETAIL'!$H$1:$J$65536,3,FALSE)</f>
        <v>Exp-Goods/Svcs</v>
      </c>
      <c r="I246" s="1">
        <v>0</v>
      </c>
      <c r="J246" s="2">
        <v>0.12</v>
      </c>
      <c r="K246" s="2">
        <v>0</v>
      </c>
      <c r="L246" s="2">
        <v>-0.12</v>
      </c>
      <c r="M246" s="2">
        <v>0</v>
      </c>
      <c r="N246" s="1" t="str">
        <f>VLOOKUP(E246,'[1]ORG CODES'!$A:$C,3,FALSE)</f>
        <v>3462   INTERNATIONAL CLUB</v>
      </c>
    </row>
    <row r="247" spans="1:14" ht="14.45" hidden="1" x14ac:dyDescent="0.3">
      <c r="A247" t="str">
        <f>VLOOKUP(E247,'[1]ORG CODES'!$A:$B,2,FALSE)</f>
        <v>Student Funded Programs</v>
      </c>
      <c r="B247" s="1" t="s">
        <v>2</v>
      </c>
      <c r="C247" s="1" t="s">
        <v>3</v>
      </c>
      <c r="D247" s="1" t="s">
        <v>4</v>
      </c>
      <c r="E247" s="1" t="s">
        <v>168</v>
      </c>
      <c r="F247" s="1" t="s">
        <v>24</v>
      </c>
      <c r="G247" s="1" t="s">
        <v>31</v>
      </c>
      <c r="H247" s="1" t="str">
        <f>VLOOKUP(F247,'[2]DX.OTHER.9.30.06 DETAIL'!$H$1:$J$65536,3,FALSE)</f>
        <v>Exp-Goods/Svcs</v>
      </c>
      <c r="I247" s="1">
        <v>0</v>
      </c>
      <c r="J247" s="2">
        <v>0.03</v>
      </c>
      <c r="K247" s="2">
        <v>0</v>
      </c>
      <c r="L247" s="2">
        <v>-0.03</v>
      </c>
      <c r="M247" s="2">
        <v>0</v>
      </c>
      <c r="N247" s="1" t="str">
        <f>VLOOKUP(E247,'[1]ORG CODES'!$A:$C,3,FALSE)</f>
        <v>3462   INTERNATIONAL CLUB</v>
      </c>
    </row>
    <row r="248" spans="1:14" ht="14.45" hidden="1" x14ac:dyDescent="0.3">
      <c r="A248" t="str">
        <f>VLOOKUP(E248,'[1]ORG CODES'!$A:$B,2,FALSE)</f>
        <v>Student Funded Programs</v>
      </c>
      <c r="B248" s="1" t="s">
        <v>2</v>
      </c>
      <c r="C248" s="1" t="s">
        <v>3</v>
      </c>
      <c r="D248" s="1" t="s">
        <v>4</v>
      </c>
      <c r="E248" s="1" t="s">
        <v>170</v>
      </c>
      <c r="F248" s="1" t="s">
        <v>24</v>
      </c>
      <c r="G248" s="1" t="s">
        <v>30</v>
      </c>
      <c r="H248" s="1" t="str">
        <f>VLOOKUP(F248,'[2]DX.OTHER.9.30.06 DETAIL'!$H$1:$J$65536,3,FALSE)</f>
        <v>Exp-Goods/Svcs</v>
      </c>
      <c r="I248" s="1">
        <v>0</v>
      </c>
      <c r="J248" s="2">
        <v>0.02</v>
      </c>
      <c r="K248" s="2">
        <v>0</v>
      </c>
      <c r="L248" s="2">
        <v>-0.02</v>
      </c>
      <c r="M248" s="2">
        <v>0</v>
      </c>
      <c r="N248" s="1" t="str">
        <f>VLOOKUP(E248,'[1]ORG CODES'!$A:$C,3,FALSE)</f>
        <v>3464   JAZZ PRESENTS</v>
      </c>
    </row>
    <row r="249" spans="1:14" ht="14.45" hidden="1" x14ac:dyDescent="0.3">
      <c r="A249" t="str">
        <f>VLOOKUP(E249,'[1]ORG CODES'!$A:$B,2,FALSE)</f>
        <v>Student Funded Programs</v>
      </c>
      <c r="B249" s="1" t="s">
        <v>2</v>
      </c>
      <c r="C249" s="1" t="s">
        <v>3</v>
      </c>
      <c r="D249" s="1" t="s">
        <v>4</v>
      </c>
      <c r="E249" s="1" t="s">
        <v>172</v>
      </c>
      <c r="F249" s="1" t="s">
        <v>24</v>
      </c>
      <c r="G249" s="1" t="s">
        <v>30</v>
      </c>
      <c r="H249" s="1" t="str">
        <f>VLOOKUP(F249,'[2]DX.OTHER.9.30.06 DETAIL'!$H$1:$J$65536,3,FALSE)</f>
        <v>Exp-Goods/Svcs</v>
      </c>
      <c r="I249" s="1">
        <v>0</v>
      </c>
      <c r="J249" s="2">
        <v>0.2</v>
      </c>
      <c r="K249" s="2">
        <v>0</v>
      </c>
      <c r="L249" s="2">
        <v>-0.2</v>
      </c>
      <c r="M249" s="2">
        <v>0</v>
      </c>
      <c r="N249" s="1" t="str">
        <f>VLOOKUP(E249,'[1]ORG CODES'!$A:$C,3,FALSE)</f>
        <v>3465   RED NATIONS ASSOC</v>
      </c>
    </row>
    <row r="250" spans="1:14" ht="14.45" hidden="1" x14ac:dyDescent="0.3">
      <c r="A250" t="str">
        <f>VLOOKUP(E250,'[1]ORG CODES'!$A:$B,2,FALSE)</f>
        <v>Student Funded Programs</v>
      </c>
      <c r="B250" s="1" t="s">
        <v>2</v>
      </c>
      <c r="C250" s="1" t="s">
        <v>3</v>
      </c>
      <c r="D250" s="1" t="s">
        <v>4</v>
      </c>
      <c r="E250" s="1" t="s">
        <v>176</v>
      </c>
      <c r="F250" s="1" t="s">
        <v>24</v>
      </c>
      <c r="G250" s="1" t="s">
        <v>30</v>
      </c>
      <c r="H250" s="1" t="str">
        <f>VLOOKUP(F250,'[2]DX.OTHER.9.30.06 DETAIL'!$H$1:$J$65536,3,FALSE)</f>
        <v>Exp-Goods/Svcs</v>
      </c>
      <c r="I250" s="1">
        <v>0</v>
      </c>
      <c r="J250" s="2">
        <v>0.03</v>
      </c>
      <c r="K250" s="2">
        <v>0</v>
      </c>
      <c r="L250" s="2">
        <v>-0.03</v>
      </c>
      <c r="M250" s="2">
        <v>0</v>
      </c>
      <c r="N250" s="1" t="str">
        <f>VLOOKUP(E250,'[1]ORG CODES'!$A:$C,3,FALSE)</f>
        <v>3466   SPANISH CLUB</v>
      </c>
    </row>
    <row r="251" spans="1:14" ht="14.45" hidden="1" x14ac:dyDescent="0.3">
      <c r="A251" t="str">
        <f>VLOOKUP(E251,'[1]ORG CODES'!$A:$B,2,FALSE)</f>
        <v>Student Funded Programs</v>
      </c>
      <c r="B251" s="1" t="s">
        <v>2</v>
      </c>
      <c r="C251" s="1" t="s">
        <v>3</v>
      </c>
      <c r="D251" s="1" t="s">
        <v>4</v>
      </c>
      <c r="E251" s="1" t="s">
        <v>176</v>
      </c>
      <c r="F251" s="1" t="s">
        <v>24</v>
      </c>
      <c r="G251" s="1" t="s">
        <v>31</v>
      </c>
      <c r="H251" s="1" t="str">
        <f>VLOOKUP(F251,'[2]DX.OTHER.9.30.06 DETAIL'!$H$1:$J$65536,3,FALSE)</f>
        <v>Exp-Goods/Svcs</v>
      </c>
      <c r="I251" s="1">
        <v>0</v>
      </c>
      <c r="J251" s="2">
        <v>0.04</v>
      </c>
      <c r="K251" s="2">
        <v>0</v>
      </c>
      <c r="L251" s="2">
        <v>-0.04</v>
      </c>
      <c r="M251" s="2">
        <v>0</v>
      </c>
      <c r="N251" s="1" t="str">
        <f>VLOOKUP(E251,'[1]ORG CODES'!$A:$C,3,FALSE)</f>
        <v>3466   SPANISH CLUB</v>
      </c>
    </row>
    <row r="252" spans="1:14" ht="14.45" hidden="1" x14ac:dyDescent="0.3">
      <c r="A252" t="str">
        <f>VLOOKUP(E252,'[1]ORG CODES'!$A:$B,2,FALSE)</f>
        <v>Student Funded Programs</v>
      </c>
      <c r="B252" s="1" t="s">
        <v>2</v>
      </c>
      <c r="C252" s="1" t="s">
        <v>3</v>
      </c>
      <c r="D252" s="1" t="s">
        <v>4</v>
      </c>
      <c r="E252" s="1" t="s">
        <v>178</v>
      </c>
      <c r="F252" s="1" t="s">
        <v>24</v>
      </c>
      <c r="G252" s="1" t="s">
        <v>30</v>
      </c>
      <c r="H252" s="1" t="str">
        <f>VLOOKUP(F252,'[2]DX.OTHER.9.30.06 DETAIL'!$H$1:$J$65536,3,FALSE)</f>
        <v>Exp-Goods/Svcs</v>
      </c>
      <c r="I252" s="1">
        <v>0</v>
      </c>
      <c r="J252" s="2">
        <v>0.04</v>
      </c>
      <c r="K252" s="2">
        <v>0</v>
      </c>
      <c r="L252" s="2">
        <v>-0.04</v>
      </c>
      <c r="M252" s="2">
        <v>0</v>
      </c>
      <c r="N252" s="1" t="str">
        <f>VLOOKUP(E252,'[1]ORG CODES'!$A:$C,3,FALSE)</f>
        <v>3468   WELLNESS CLUB</v>
      </c>
    </row>
    <row r="253" spans="1:14" ht="14.45" hidden="1" x14ac:dyDescent="0.3">
      <c r="A253" t="str">
        <f>VLOOKUP(E253,'[1]ORG CODES'!$A:$B,2,FALSE)</f>
        <v>Student Funded Programs</v>
      </c>
      <c r="B253" s="1" t="s">
        <v>2</v>
      </c>
      <c r="C253" s="1" t="s">
        <v>3</v>
      </c>
      <c r="D253" s="1" t="s">
        <v>4</v>
      </c>
      <c r="E253" s="1" t="s">
        <v>46</v>
      </c>
      <c r="F253" s="1" t="s">
        <v>24</v>
      </c>
      <c r="G253" s="1" t="s">
        <v>43</v>
      </c>
      <c r="H253" s="1" t="str">
        <f>VLOOKUP(F253,'[2]DX.OTHER.9.30.06 DETAIL'!$H$1:$J$65536,3,FALSE)</f>
        <v>Exp-Goods/Svcs</v>
      </c>
      <c r="I253" s="1">
        <v>0</v>
      </c>
      <c r="J253" s="2">
        <v>0</v>
      </c>
      <c r="K253" s="2">
        <v>0</v>
      </c>
      <c r="L253" s="2">
        <v>0</v>
      </c>
      <c r="M253" s="2">
        <v>0</v>
      </c>
      <c r="N253" s="1" t="str">
        <f>VLOOKUP(E253,'[1]ORG CODES'!$A:$C,3,FALSE)</f>
        <v>3330   GRAPHIC DESIGN</v>
      </c>
    </row>
    <row r="254" spans="1:14" ht="14.45" hidden="1" x14ac:dyDescent="0.3">
      <c r="A254" t="str">
        <f>VLOOKUP(E254,'[1]ORG CODES'!$A:$B,2,FALSE)</f>
        <v>Student Funded Programs</v>
      </c>
      <c r="B254" s="1" t="s">
        <v>2</v>
      </c>
      <c r="C254" s="1" t="s">
        <v>3</v>
      </c>
      <c r="D254" s="1" t="s">
        <v>4</v>
      </c>
      <c r="E254" s="1" t="s">
        <v>72</v>
      </c>
      <c r="F254" s="1" t="s">
        <v>24</v>
      </c>
      <c r="G254" s="1" t="s">
        <v>43</v>
      </c>
      <c r="H254" s="1" t="str">
        <f>VLOOKUP(F254,'[2]DX.OTHER.9.30.06 DETAIL'!$H$1:$J$65536,3,FALSE)</f>
        <v>Exp-Goods/Svcs</v>
      </c>
      <c r="I254" s="1">
        <v>0</v>
      </c>
      <c r="J254" s="2">
        <v>31.22</v>
      </c>
      <c r="K254" s="2">
        <v>0</v>
      </c>
      <c r="L254" s="2">
        <v>-31.22</v>
      </c>
      <c r="M254" s="2">
        <v>0</v>
      </c>
      <c r="N254" s="1" t="str">
        <f>VLOOKUP(E254,'[1]ORG CODES'!$A:$C,3,FALSE)</f>
        <v>3357   PHOTO ARTS</v>
      </c>
    </row>
    <row r="255" spans="1:14" ht="14.45" hidden="1" x14ac:dyDescent="0.3">
      <c r="A255" t="str">
        <f>VLOOKUP(E255,'[1]ORG CODES'!$A:$B,2,FALSE)</f>
        <v>Student Funded Programs</v>
      </c>
      <c r="B255" s="1" t="s">
        <v>2</v>
      </c>
      <c r="C255" s="1" t="s">
        <v>3</v>
      </c>
      <c r="D255" s="1" t="s">
        <v>4</v>
      </c>
      <c r="E255" s="1" t="s">
        <v>78</v>
      </c>
      <c r="F255" s="1" t="s">
        <v>24</v>
      </c>
      <c r="G255" s="1" t="s">
        <v>43</v>
      </c>
      <c r="H255" s="1" t="str">
        <f>VLOOKUP(F255,'[2]DX.OTHER.9.30.06 DETAIL'!$H$1:$J$65536,3,FALSE)</f>
        <v>Exp-Goods/Svcs</v>
      </c>
      <c r="I255" s="1">
        <v>0</v>
      </c>
      <c r="J255" s="2">
        <v>250</v>
      </c>
      <c r="K255" s="2">
        <v>0</v>
      </c>
      <c r="L255" s="2">
        <v>-250</v>
      </c>
      <c r="M255" s="2">
        <v>0</v>
      </c>
      <c r="N255" s="1" t="str">
        <f>VLOOKUP(E255,'[1]ORG CODES'!$A:$C,3,FALSE)</f>
        <v>3368   LITERARY MAGAZINE</v>
      </c>
    </row>
    <row r="256" spans="1:14" ht="14.45" hidden="1" x14ac:dyDescent="0.3">
      <c r="A256" t="str">
        <f>VLOOKUP(E256,'[1]ORG CODES'!$A:$B,2,FALSE)</f>
        <v>Student Funded Programs</v>
      </c>
      <c r="B256" s="1" t="s">
        <v>2</v>
      </c>
      <c r="C256" s="1" t="s">
        <v>3</v>
      </c>
      <c r="D256" s="1" t="s">
        <v>4</v>
      </c>
      <c r="E256" s="1" t="s">
        <v>109</v>
      </c>
      <c r="F256" s="1" t="s">
        <v>24</v>
      </c>
      <c r="G256" s="1" t="s">
        <v>43</v>
      </c>
      <c r="H256" s="1" t="str">
        <f>VLOOKUP(F256,'[2]DX.OTHER.9.30.06 DETAIL'!$H$1:$J$65536,3,FALSE)</f>
        <v>Exp-Goods/Svcs</v>
      </c>
      <c r="I256" s="1">
        <v>0</v>
      </c>
      <c r="J256" s="2">
        <v>2177.54</v>
      </c>
      <c r="K256" s="2">
        <v>0</v>
      </c>
      <c r="L256" s="2">
        <v>-2177.54</v>
      </c>
      <c r="M256" s="2">
        <v>0</v>
      </c>
      <c r="N256" s="1" t="str">
        <f>VLOOKUP(E256,'[1]ORG CODES'!$A:$C,3,FALSE)</f>
        <v>3414   CULTURAL SERIES</v>
      </c>
    </row>
    <row r="257" spans="1:14" ht="14.45" hidden="1" x14ac:dyDescent="0.3">
      <c r="A257" t="str">
        <f>VLOOKUP(E257,'[1]ORG CODES'!$A:$B,2,FALSE)</f>
        <v>Student Funded Programs</v>
      </c>
      <c r="B257" s="1" t="s">
        <v>2</v>
      </c>
      <c r="C257" s="1" t="s">
        <v>3</v>
      </c>
      <c r="D257" s="1" t="s">
        <v>4</v>
      </c>
      <c r="E257" s="1" t="s">
        <v>116</v>
      </c>
      <c r="F257" s="1" t="s">
        <v>24</v>
      </c>
      <c r="G257" s="1" t="s">
        <v>43</v>
      </c>
      <c r="H257" s="1" t="str">
        <f>VLOOKUP(F257,'[2]DX.OTHER.9.30.06 DETAIL'!$H$1:$J$65536,3,FALSE)</f>
        <v>Exp-Goods/Svcs</v>
      </c>
      <c r="I257" s="1">
        <v>0</v>
      </c>
      <c r="J257" s="2">
        <v>8000</v>
      </c>
      <c r="K257" s="2">
        <v>0</v>
      </c>
      <c r="L257" s="2">
        <v>-8000</v>
      </c>
      <c r="M257" s="2">
        <v>0</v>
      </c>
      <c r="N257" s="1" t="str">
        <f>VLOOKUP(E257,'[1]ORG CODES'!$A:$C,3,FALSE)</f>
        <v>3419   HEALTH SERVICES</v>
      </c>
    </row>
    <row r="258" spans="1:14" ht="14.45" hidden="1" x14ac:dyDescent="0.3">
      <c r="A258" t="str">
        <f>VLOOKUP(E258,'[1]ORG CODES'!$A:$B,2,FALSE)</f>
        <v>Student Funded Programs</v>
      </c>
      <c r="B258" s="1" t="s">
        <v>2</v>
      </c>
      <c r="C258" s="1" t="s">
        <v>3</v>
      </c>
      <c r="D258" s="1" t="s">
        <v>4</v>
      </c>
      <c r="E258" s="1" t="s">
        <v>117</v>
      </c>
      <c r="F258" s="1" t="s">
        <v>24</v>
      </c>
      <c r="G258" s="1" t="s">
        <v>43</v>
      </c>
      <c r="H258" s="1" t="str">
        <f>VLOOKUP(F258,'[2]DX.OTHER.9.30.06 DETAIL'!$H$1:$J$65536,3,FALSE)</f>
        <v>Exp-Goods/Svcs</v>
      </c>
      <c r="I258" s="1">
        <v>0</v>
      </c>
      <c r="J258" s="2">
        <v>2955.47</v>
      </c>
      <c r="K258" s="2">
        <v>0</v>
      </c>
      <c r="L258" s="2">
        <v>-2955.47</v>
      </c>
      <c r="M258" s="2">
        <v>0</v>
      </c>
      <c r="N258" s="1" t="str">
        <f>VLOOKUP(E258,'[1]ORG CODES'!$A:$C,3,FALSE)</f>
        <v>3420   SPECIAL EVENTS</v>
      </c>
    </row>
    <row r="259" spans="1:14" ht="14.45" hidden="1" x14ac:dyDescent="0.3">
      <c r="A259" t="str">
        <f>VLOOKUP(E259,'[1]ORG CODES'!$A:$B,2,FALSE)</f>
        <v>Student Funded Programs</v>
      </c>
      <c r="B259" s="1" t="s">
        <v>2</v>
      </c>
      <c r="C259" s="1" t="s">
        <v>3</v>
      </c>
      <c r="D259" s="1" t="s">
        <v>4</v>
      </c>
      <c r="E259" s="1" t="s">
        <v>122</v>
      </c>
      <c r="F259" s="1" t="s">
        <v>24</v>
      </c>
      <c r="G259" s="1" t="s">
        <v>43</v>
      </c>
      <c r="H259" s="1" t="str">
        <f>VLOOKUP(F259,'[2]DX.OTHER.9.30.06 DETAIL'!$H$1:$J$65536,3,FALSE)</f>
        <v>Exp-Goods/Svcs</v>
      </c>
      <c r="I259" s="1">
        <v>0</v>
      </c>
      <c r="J259" s="2">
        <v>755.46</v>
      </c>
      <c r="K259" s="2">
        <v>0</v>
      </c>
      <c r="L259" s="2">
        <v>-755.46</v>
      </c>
      <c r="M259" s="2">
        <v>0</v>
      </c>
      <c r="N259" s="1" t="str">
        <f>VLOOKUP(E259,'[1]ORG CODES'!$A:$C,3,FALSE)</f>
        <v>3425   OUTREACH EDUCATION</v>
      </c>
    </row>
    <row r="260" spans="1:14" ht="14.45" hidden="1" x14ac:dyDescent="0.3">
      <c r="A260" t="str">
        <f>VLOOKUP(E260,'[1]ORG CODES'!$A:$B,2,FALSE)</f>
        <v>Student Funded Programs</v>
      </c>
      <c r="B260" s="1" t="s">
        <v>2</v>
      </c>
      <c r="C260" s="1" t="s">
        <v>3</v>
      </c>
      <c r="D260" s="1" t="s">
        <v>4</v>
      </c>
      <c r="E260" s="1" t="s">
        <v>132</v>
      </c>
      <c r="F260" s="1" t="s">
        <v>24</v>
      </c>
      <c r="G260" s="1" t="s">
        <v>43</v>
      </c>
      <c r="H260" s="1" t="str">
        <f>VLOOKUP(F260,'[2]DX.OTHER.9.30.06 DETAIL'!$H$1:$J$65536,3,FALSE)</f>
        <v>Exp-Goods/Svcs</v>
      </c>
      <c r="I260" s="1">
        <v>0</v>
      </c>
      <c r="J260" s="2">
        <v>300</v>
      </c>
      <c r="K260" s="2">
        <v>0</v>
      </c>
      <c r="L260" s="2">
        <v>-300</v>
      </c>
      <c r="M260" s="2">
        <v>0</v>
      </c>
      <c r="N260" s="1" t="str">
        <f>VLOOKUP(E260,'[1]ORG CODES'!$A:$C,3,FALSE)</f>
        <v>3435   BLACK STUDENT UNION</v>
      </c>
    </row>
    <row r="261" spans="1:14" ht="14.45" hidden="1" x14ac:dyDescent="0.3">
      <c r="A261" t="str">
        <f>VLOOKUP(E261,'[1]ORG CODES'!$A:$B,2,FALSE)</f>
        <v>Student Funded Programs</v>
      </c>
      <c r="B261" s="1" t="s">
        <v>2</v>
      </c>
      <c r="C261" s="1" t="s">
        <v>3</v>
      </c>
      <c r="D261" s="1" t="s">
        <v>4</v>
      </c>
      <c r="E261" s="1" t="s">
        <v>134</v>
      </c>
      <c r="F261" s="1" t="s">
        <v>24</v>
      </c>
      <c r="G261" s="1" t="s">
        <v>43</v>
      </c>
      <c r="H261" s="1" t="str">
        <f>VLOOKUP(F261,'[2]DX.OTHER.9.30.06 DETAIL'!$H$1:$J$65536,3,FALSE)</f>
        <v>Exp-Goods/Svcs</v>
      </c>
      <c r="I261" s="1">
        <v>0</v>
      </c>
      <c r="J261" s="2">
        <v>0</v>
      </c>
      <c r="K261" s="2">
        <v>0</v>
      </c>
      <c r="L261" s="2">
        <v>0</v>
      </c>
      <c r="M261" s="2">
        <v>0</v>
      </c>
      <c r="N261" s="1" t="str">
        <f>VLOOKUP(E261,'[1]ORG CODES'!$A:$C,3,FALSE)</f>
        <v>3436   ART CLUB</v>
      </c>
    </row>
    <row r="262" spans="1:14" ht="14.45" hidden="1" x14ac:dyDescent="0.3">
      <c r="A262" t="str">
        <f>VLOOKUP(E262,'[1]ORG CODES'!$A:$B,2,FALSE)</f>
        <v>Student Funded Programs</v>
      </c>
      <c r="B262" s="1" t="s">
        <v>2</v>
      </c>
      <c r="C262" s="1" t="s">
        <v>3</v>
      </c>
      <c r="D262" s="1" t="s">
        <v>4</v>
      </c>
      <c r="E262" s="1" t="s">
        <v>140</v>
      </c>
      <c r="F262" s="1" t="s">
        <v>24</v>
      </c>
      <c r="G262" s="1" t="s">
        <v>43</v>
      </c>
      <c r="H262" s="1" t="str">
        <f>VLOOKUP(F262,'[2]DX.OTHER.9.30.06 DETAIL'!$H$1:$J$65536,3,FALSE)</f>
        <v>Exp-Goods/Svcs</v>
      </c>
      <c r="I262" s="1">
        <v>0</v>
      </c>
      <c r="J262" s="2">
        <v>210.45</v>
      </c>
      <c r="K262" s="2">
        <v>0</v>
      </c>
      <c r="L262" s="2">
        <v>-210.45</v>
      </c>
      <c r="M262" s="2">
        <v>0</v>
      </c>
      <c r="N262" s="1" t="str">
        <f>VLOOKUP(E262,'[1]ORG CODES'!$A:$C,3,FALSE)</f>
        <v>3441  JAPANESE CLUB</v>
      </c>
    </row>
    <row r="263" spans="1:14" ht="14.45" hidden="1" x14ac:dyDescent="0.3">
      <c r="A263" t="str">
        <f>VLOOKUP(E263,'[1]ORG CODES'!$A:$B,2,FALSE)</f>
        <v>Student Funded Programs</v>
      </c>
      <c r="B263" s="1" t="s">
        <v>2</v>
      </c>
      <c r="C263" s="1" t="s">
        <v>3</v>
      </c>
      <c r="D263" s="1" t="s">
        <v>4</v>
      </c>
      <c r="E263" s="1" t="s">
        <v>142</v>
      </c>
      <c r="F263" s="1" t="s">
        <v>24</v>
      </c>
      <c r="G263" s="1" t="s">
        <v>43</v>
      </c>
      <c r="H263" s="1" t="str">
        <f>VLOOKUP(F263,'[2]DX.OTHER.9.30.06 DETAIL'!$H$1:$J$65536,3,FALSE)</f>
        <v>Exp-Goods/Svcs</v>
      </c>
      <c r="I263" s="1">
        <v>0</v>
      </c>
      <c r="J263" s="2">
        <v>126.27</v>
      </c>
      <c r="K263" s="2">
        <v>0</v>
      </c>
      <c r="L263" s="2">
        <v>-126.27</v>
      </c>
      <c r="M263" s="2">
        <v>0</v>
      </c>
      <c r="N263" s="1" t="str">
        <f>VLOOKUP(E263,'[1]ORG CODES'!$A:$C,3,FALSE)</f>
        <v>3442   ASSOC WOMEN STUDENTS</v>
      </c>
    </row>
    <row r="264" spans="1:14" ht="14.45" hidden="1" x14ac:dyDescent="0.3">
      <c r="A264" t="str">
        <f>VLOOKUP(E264,'[1]ORG CODES'!$A:$B,2,FALSE)</f>
        <v>Student Funded Programs</v>
      </c>
      <c r="B264" s="1" t="s">
        <v>2</v>
      </c>
      <c r="C264" s="1" t="s">
        <v>3</v>
      </c>
      <c r="D264" s="1" t="s">
        <v>4</v>
      </c>
      <c r="E264" s="1" t="s">
        <v>160</v>
      </c>
      <c r="F264" s="1" t="s">
        <v>24</v>
      </c>
      <c r="G264" s="1" t="s">
        <v>43</v>
      </c>
      <c r="H264" s="1" t="str">
        <f>VLOOKUP(F264,'[2]DX.OTHER.9.30.06 DETAIL'!$H$1:$J$65536,3,FALSE)</f>
        <v>Exp-Goods/Svcs</v>
      </c>
      <c r="I264" s="1">
        <v>0</v>
      </c>
      <c r="J264" s="2">
        <v>70.150000000000006</v>
      </c>
      <c r="K264" s="2">
        <v>0</v>
      </c>
      <c r="L264" s="2">
        <v>-70.150000000000006</v>
      </c>
      <c r="M264" s="2">
        <v>0</v>
      </c>
      <c r="N264" s="1" t="str">
        <f>VLOOKUP(E264,'[1]ORG CODES'!$A:$C,3,FALSE)</f>
        <v>3457   THE ALLIANCE</v>
      </c>
    </row>
    <row r="265" spans="1:14" ht="14.45" hidden="1" x14ac:dyDescent="0.3">
      <c r="A265" t="str">
        <f>VLOOKUP(E265,'[1]ORG CODES'!$A:$B,2,FALSE)</f>
        <v>Student Funded Programs</v>
      </c>
      <c r="B265" s="1" t="s">
        <v>2</v>
      </c>
      <c r="C265" s="1" t="s">
        <v>3</v>
      </c>
      <c r="D265" s="1" t="s">
        <v>4</v>
      </c>
      <c r="E265" s="1" t="s">
        <v>162</v>
      </c>
      <c r="F265" s="1" t="s">
        <v>24</v>
      </c>
      <c r="G265" s="1" t="s">
        <v>43</v>
      </c>
      <c r="H265" s="1" t="str">
        <f>VLOOKUP(F265,'[2]DX.OTHER.9.30.06 DETAIL'!$H$1:$J$65536,3,FALSE)</f>
        <v>Exp-Goods/Svcs</v>
      </c>
      <c r="I265" s="1">
        <v>0</v>
      </c>
      <c r="J265" s="2">
        <v>56.12</v>
      </c>
      <c r="K265" s="2">
        <v>0</v>
      </c>
      <c r="L265" s="2">
        <v>-56.12</v>
      </c>
      <c r="M265" s="2">
        <v>0</v>
      </c>
      <c r="N265" s="1" t="str">
        <f>VLOOKUP(E265,'[1]ORG CODES'!$A:$C,3,FALSE)</f>
        <v>3458   L.U.A. CLUB</v>
      </c>
    </row>
    <row r="266" spans="1:14" ht="14.45" hidden="1" x14ac:dyDescent="0.3">
      <c r="A266" t="str">
        <f>VLOOKUP(E266,'[1]ORG CODES'!$A:$B,2,FALSE)</f>
        <v>Student Funded Programs</v>
      </c>
      <c r="B266" s="1" t="s">
        <v>2</v>
      </c>
      <c r="C266" s="1" t="s">
        <v>3</v>
      </c>
      <c r="D266" s="1" t="s">
        <v>4</v>
      </c>
      <c r="E266" s="1" t="s">
        <v>168</v>
      </c>
      <c r="F266" s="1" t="s">
        <v>24</v>
      </c>
      <c r="G266" s="1" t="s">
        <v>43</v>
      </c>
      <c r="H266" s="1" t="str">
        <f>VLOOKUP(F266,'[2]DX.OTHER.9.30.06 DETAIL'!$H$1:$J$65536,3,FALSE)</f>
        <v>Exp-Goods/Svcs</v>
      </c>
      <c r="I266" s="1">
        <v>0</v>
      </c>
      <c r="J266" s="2">
        <v>458</v>
      </c>
      <c r="K266" s="2">
        <v>0</v>
      </c>
      <c r="L266" s="2">
        <v>-458</v>
      </c>
      <c r="M266" s="2">
        <v>0</v>
      </c>
      <c r="N266" s="1" t="str">
        <f>VLOOKUP(E266,'[1]ORG CODES'!$A:$C,3,FALSE)</f>
        <v>3462   INTERNATIONAL CLUB</v>
      </c>
    </row>
    <row r="267" spans="1:14" ht="14.45" hidden="1" x14ac:dyDescent="0.3">
      <c r="A267" t="str">
        <f>VLOOKUP(E267,'[1]ORG CODES'!$A:$B,2,FALSE)</f>
        <v>Student Funded Programs</v>
      </c>
      <c r="B267" s="1" t="s">
        <v>2</v>
      </c>
      <c r="C267" s="1" t="s">
        <v>3</v>
      </c>
      <c r="D267" s="1" t="s">
        <v>4</v>
      </c>
      <c r="E267" s="1" t="s">
        <v>172</v>
      </c>
      <c r="F267" s="1" t="s">
        <v>24</v>
      </c>
      <c r="G267" s="1" t="s">
        <v>43</v>
      </c>
      <c r="H267" s="1" t="str">
        <f>VLOOKUP(F267,'[2]DX.OTHER.9.30.06 DETAIL'!$H$1:$J$65536,3,FALSE)</f>
        <v>Exp-Goods/Svcs</v>
      </c>
      <c r="I267" s="1">
        <v>0</v>
      </c>
      <c r="J267" s="2">
        <v>650</v>
      </c>
      <c r="K267" s="2">
        <v>0</v>
      </c>
      <c r="L267" s="2">
        <v>-650</v>
      </c>
      <c r="M267" s="2">
        <v>0</v>
      </c>
      <c r="N267" s="1" t="str">
        <f>VLOOKUP(E267,'[1]ORG CODES'!$A:$C,3,FALSE)</f>
        <v>3465   RED NATIONS ASSOC</v>
      </c>
    </row>
    <row r="268" spans="1:14" ht="14.45" hidden="1" x14ac:dyDescent="0.3">
      <c r="A268" t="str">
        <f>VLOOKUP(E268,'[1]ORG CODES'!$A:$B,2,FALSE)</f>
        <v>Student Funded Programs</v>
      </c>
      <c r="B268" s="1" t="s">
        <v>2</v>
      </c>
      <c r="C268" s="1" t="s">
        <v>3</v>
      </c>
      <c r="D268" s="1" t="s">
        <v>4</v>
      </c>
      <c r="E268" s="1" t="s">
        <v>176</v>
      </c>
      <c r="F268" s="1" t="s">
        <v>24</v>
      </c>
      <c r="G268" s="1" t="s">
        <v>43</v>
      </c>
      <c r="H268" s="1" t="str">
        <f>VLOOKUP(F268,'[2]DX.OTHER.9.30.06 DETAIL'!$H$1:$J$65536,3,FALSE)</f>
        <v>Exp-Goods/Svcs</v>
      </c>
      <c r="I268" s="1">
        <v>0</v>
      </c>
      <c r="J268" s="2">
        <v>200</v>
      </c>
      <c r="K268" s="2">
        <v>0</v>
      </c>
      <c r="L268" s="2">
        <v>-200</v>
      </c>
      <c r="M268" s="2">
        <v>0</v>
      </c>
      <c r="N268" s="1" t="str">
        <f>VLOOKUP(E268,'[1]ORG CODES'!$A:$C,3,FALSE)</f>
        <v>3466   SPANISH CLUB</v>
      </c>
    </row>
    <row r="269" spans="1:14" ht="14.45" hidden="1" x14ac:dyDescent="0.3">
      <c r="A269" t="str">
        <f>VLOOKUP(E269,'[1]ORG CODES'!$A:$B,2,FALSE)</f>
        <v>Student Funded Programs</v>
      </c>
      <c r="B269" s="1" t="s">
        <v>2</v>
      </c>
      <c r="C269" s="1" t="s">
        <v>3</v>
      </c>
      <c r="D269" s="1" t="s">
        <v>4</v>
      </c>
      <c r="E269" s="1" t="s">
        <v>123</v>
      </c>
      <c r="F269" s="1" t="s">
        <v>24</v>
      </c>
      <c r="G269" s="1" t="s">
        <v>43</v>
      </c>
      <c r="H269" s="1" t="str">
        <f>VLOOKUP(F269,'[2]DX.OTHER.9.30.06 DETAIL'!$H$1:$J$65536,3,FALSE)</f>
        <v>Exp-Goods/Svcs</v>
      </c>
      <c r="I269" s="1">
        <v>0</v>
      </c>
      <c r="J269" s="2">
        <v>-49.49</v>
      </c>
      <c r="K269" s="2">
        <v>0</v>
      </c>
      <c r="L269" s="2">
        <v>49.49</v>
      </c>
      <c r="M269" s="2">
        <v>0</v>
      </c>
      <c r="N269" s="1" t="str">
        <f>VLOOKUP(E269,'[1]ORG CODES'!$A:$C,3,FALSE)</f>
        <v>3426   EQUIPMENT</v>
      </c>
    </row>
    <row r="270" spans="1:14" ht="14.45" hidden="1" x14ac:dyDescent="0.3">
      <c r="A270" t="str">
        <f>VLOOKUP(E270,'[1]ORG CODES'!$A:$B,2,FALSE)</f>
        <v>Student Funded Programs</v>
      </c>
      <c r="B270" s="1" t="s">
        <v>2</v>
      </c>
      <c r="C270" s="1" t="s">
        <v>3</v>
      </c>
      <c r="D270" s="1" t="s">
        <v>4</v>
      </c>
      <c r="E270" s="1" t="s">
        <v>123</v>
      </c>
      <c r="F270" s="1" t="s">
        <v>24</v>
      </c>
      <c r="G270" s="1" t="s">
        <v>62</v>
      </c>
      <c r="H270" s="1" t="str">
        <f>VLOOKUP(F270,'[2]DX.OTHER.9.30.06 DETAIL'!$H$1:$J$65536,3,FALSE)</f>
        <v>Exp-Goods/Svcs</v>
      </c>
      <c r="I270" s="1">
        <v>0</v>
      </c>
      <c r="J270" s="2">
        <v>514.57000000000005</v>
      </c>
      <c r="K270" s="2">
        <v>0</v>
      </c>
      <c r="L270" s="2">
        <v>-514.57000000000005</v>
      </c>
      <c r="M270" s="2">
        <v>0</v>
      </c>
      <c r="N270" s="1" t="str">
        <f>VLOOKUP(E270,'[1]ORG CODES'!$A:$C,3,FALSE)</f>
        <v>3426   EQUIPMENT</v>
      </c>
    </row>
    <row r="271" spans="1:14" ht="14.45" hidden="1" x14ac:dyDescent="0.3">
      <c r="A271" t="str">
        <f>VLOOKUP(E271,'[1]ORG CODES'!$A:$B,2,FALSE)</f>
        <v>Student Funded Programs</v>
      </c>
      <c r="B271" s="1" t="s">
        <v>2</v>
      </c>
      <c r="C271" s="1" t="s">
        <v>3</v>
      </c>
      <c r="D271" s="1" t="s">
        <v>4</v>
      </c>
      <c r="E271" s="1" t="s">
        <v>166</v>
      </c>
      <c r="F271" s="1" t="s">
        <v>24</v>
      </c>
      <c r="G271" s="1" t="s">
        <v>43</v>
      </c>
      <c r="H271" s="1" t="str">
        <f>VLOOKUP(F271,'[2]DX.OTHER.9.30.06 DETAIL'!$H$1:$J$65536,3,FALSE)</f>
        <v>Exp-Goods/Svcs</v>
      </c>
      <c r="I271" s="1">
        <v>0</v>
      </c>
      <c r="J271" s="2">
        <v>0</v>
      </c>
      <c r="K271" s="2">
        <v>0</v>
      </c>
      <c r="L271" s="2">
        <v>0</v>
      </c>
      <c r="M271" s="2">
        <v>0</v>
      </c>
      <c r="N271" s="1" t="str">
        <f>VLOOKUP(E271,'[1]ORG CODES'!$A:$C,3,FALSE)</f>
        <v>3461   JOURNALISM</v>
      </c>
    </row>
    <row r="272" spans="1:14" ht="14.45" hidden="1" x14ac:dyDescent="0.3">
      <c r="A272" t="str">
        <f>VLOOKUP(E272,'[1]ORG CODES'!$A:$B,2,FALSE)</f>
        <v>Student Funded Programs</v>
      </c>
      <c r="B272" s="1" t="s">
        <v>2</v>
      </c>
      <c r="C272" s="1" t="s">
        <v>3</v>
      </c>
      <c r="D272" s="1" t="s">
        <v>4</v>
      </c>
      <c r="E272" s="1" t="s">
        <v>38</v>
      </c>
      <c r="F272" s="1" t="s">
        <v>24</v>
      </c>
      <c r="G272" s="1" t="s">
        <v>43</v>
      </c>
      <c r="H272" s="1" t="str">
        <f>VLOOKUP(F272,'[2]DX.OTHER.9.30.06 DETAIL'!$H$1:$J$65536,3,FALSE)</f>
        <v>Exp-Goods/Svcs</v>
      </c>
      <c r="I272" s="1">
        <v>0</v>
      </c>
      <c r="J272" s="2">
        <v>0</v>
      </c>
      <c r="K272" s="2">
        <v>0</v>
      </c>
      <c r="L272" s="2">
        <v>0</v>
      </c>
      <c r="M272" s="2">
        <v>0</v>
      </c>
      <c r="N272" s="1" t="str">
        <f>VLOOKUP(E272,'[1]ORG CODES'!$A:$C,3,FALSE)</f>
        <v>3329   SPEECH &amp; DEBATE CLUB</v>
      </c>
    </row>
    <row r="273" spans="1:14" ht="14.45" hidden="1" x14ac:dyDescent="0.3">
      <c r="A273" t="str">
        <f>VLOOKUP(E273,'[1]ORG CODES'!$A:$B,2,FALSE)</f>
        <v>Student Funded Programs</v>
      </c>
      <c r="B273" s="1" t="s">
        <v>2</v>
      </c>
      <c r="C273" s="1" t="s">
        <v>3</v>
      </c>
      <c r="D273" s="1" t="s">
        <v>4</v>
      </c>
      <c r="E273" s="1" t="s">
        <v>79</v>
      </c>
      <c r="F273" s="1" t="s">
        <v>24</v>
      </c>
      <c r="G273" s="1" t="s">
        <v>43</v>
      </c>
      <c r="H273" s="1" t="str">
        <f>VLOOKUP(F273,'[2]DX.OTHER.9.30.06 DETAIL'!$H$1:$J$65536,3,FALSE)</f>
        <v>Exp-Goods/Svcs</v>
      </c>
      <c r="I273" s="1">
        <v>0</v>
      </c>
      <c r="J273" s="2">
        <v>64.12</v>
      </c>
      <c r="K273" s="2">
        <v>0</v>
      </c>
      <c r="L273" s="2">
        <v>-64.12</v>
      </c>
      <c r="M273" s="2">
        <v>0</v>
      </c>
      <c r="N273" s="1" t="str">
        <f>VLOOKUP(E273,'[1]ORG CODES'!$A:$C,3,FALSE)</f>
        <v>3369   COMMUNICATOR-NEWSPPR</v>
      </c>
    </row>
    <row r="274" spans="1:14" ht="14.45" hidden="1" x14ac:dyDescent="0.3">
      <c r="A274" t="str">
        <f>VLOOKUP(E274,'[1]ORG CODES'!$A:$B,2,FALSE)</f>
        <v>Student Funded Programs</v>
      </c>
      <c r="B274" s="1" t="s">
        <v>2</v>
      </c>
      <c r="C274" s="1" t="s">
        <v>3</v>
      </c>
      <c r="D274" s="1" t="s">
        <v>4</v>
      </c>
      <c r="E274" s="1" t="s">
        <v>123</v>
      </c>
      <c r="F274" s="1" t="s">
        <v>24</v>
      </c>
      <c r="G274" s="1" t="s">
        <v>43</v>
      </c>
      <c r="H274" s="1" t="str">
        <f>VLOOKUP(F274,'[2]DX.OTHER.9.30.06 DETAIL'!$H$1:$J$65536,3,FALSE)</f>
        <v>Exp-Goods/Svcs</v>
      </c>
      <c r="I274" s="1">
        <v>0</v>
      </c>
      <c r="J274" s="2">
        <v>3169.1</v>
      </c>
      <c r="K274" s="2">
        <v>0</v>
      </c>
      <c r="L274" s="2">
        <v>-3169.1</v>
      </c>
      <c r="M274" s="2">
        <v>0</v>
      </c>
      <c r="N274" s="1" t="str">
        <f>VLOOKUP(E274,'[1]ORG CODES'!$A:$C,3,FALSE)</f>
        <v>3426   EQUIPMENT</v>
      </c>
    </row>
    <row r="275" spans="1:14" ht="14.45" hidden="1" x14ac:dyDescent="0.3">
      <c r="A275" t="str">
        <f>VLOOKUP(E275,'[1]ORG CODES'!$A:$B,2,FALSE)</f>
        <v>Student Funded Programs</v>
      </c>
      <c r="B275" s="1" t="s">
        <v>2</v>
      </c>
      <c r="C275" s="1" t="s">
        <v>3</v>
      </c>
      <c r="D275" s="1" t="s">
        <v>4</v>
      </c>
      <c r="E275" s="1" t="s">
        <v>132</v>
      </c>
      <c r="F275" s="1" t="s">
        <v>24</v>
      </c>
      <c r="G275" s="1" t="s">
        <v>43</v>
      </c>
      <c r="H275" s="1" t="str">
        <f>VLOOKUP(F275,'[2]DX.OTHER.9.30.06 DETAIL'!$H$1:$J$65536,3,FALSE)</f>
        <v>Exp-Goods/Svcs</v>
      </c>
      <c r="I275" s="1">
        <v>0</v>
      </c>
      <c r="J275" s="2">
        <v>107.61</v>
      </c>
      <c r="K275" s="2">
        <v>0</v>
      </c>
      <c r="L275" s="2">
        <v>-107.61</v>
      </c>
      <c r="M275" s="2">
        <v>0</v>
      </c>
      <c r="N275" s="1" t="str">
        <f>VLOOKUP(E275,'[1]ORG CODES'!$A:$C,3,FALSE)</f>
        <v>3435   BLACK STUDENT UNION</v>
      </c>
    </row>
    <row r="276" spans="1:14" ht="14.45" hidden="1" x14ac:dyDescent="0.3">
      <c r="A276" t="str">
        <f>VLOOKUP(E276,'[1]ORG CODES'!$A:$B,2,FALSE)</f>
        <v>Student Funded Programs</v>
      </c>
      <c r="B276" s="1" t="s">
        <v>2</v>
      </c>
      <c r="C276" s="1" t="s">
        <v>3</v>
      </c>
      <c r="D276" s="1" t="s">
        <v>4</v>
      </c>
      <c r="E276" s="1" t="s">
        <v>184</v>
      </c>
      <c r="F276" s="1" t="s">
        <v>24</v>
      </c>
      <c r="G276" s="1" t="s">
        <v>43</v>
      </c>
      <c r="H276" s="1" t="str">
        <f>VLOOKUP(F276,'[2]DX.OTHER.9.30.06 DETAIL'!$H$1:$J$65536,3,FALSE)</f>
        <v>Exp-Goods/Svcs</v>
      </c>
      <c r="I276" s="1">
        <v>0</v>
      </c>
      <c r="J276" s="2">
        <v>293.48</v>
      </c>
      <c r="K276" s="2">
        <v>0</v>
      </c>
      <c r="L276" s="2">
        <v>-293.48</v>
      </c>
      <c r="M276" s="2">
        <v>0</v>
      </c>
      <c r="N276" s="1" t="str">
        <f>VLOOKUP(E276,'[1]ORG CODES'!$A:$C,3,FALSE)</f>
        <v>3472   AUDIO ENGINEER CLUB</v>
      </c>
    </row>
    <row r="277" spans="1:14" ht="14.45" hidden="1" x14ac:dyDescent="0.3">
      <c r="A277" t="str">
        <f>VLOOKUP(E277,'[1]ORG CODES'!$A:$B,2,FALSE)</f>
        <v>Student Funded Programs</v>
      </c>
      <c r="B277" s="1" t="s">
        <v>2</v>
      </c>
      <c r="C277" s="1" t="s">
        <v>3</v>
      </c>
      <c r="D277" s="1" t="s">
        <v>4</v>
      </c>
      <c r="E277" s="1" t="s">
        <v>187</v>
      </c>
      <c r="F277" s="1" t="s">
        <v>24</v>
      </c>
      <c r="G277" s="1" t="s">
        <v>43</v>
      </c>
      <c r="H277" s="1" t="str">
        <f>VLOOKUP(F277,'[2]DX.OTHER.9.30.06 DETAIL'!$H$1:$J$65536,3,FALSE)</f>
        <v>Exp-Goods/Svcs</v>
      </c>
      <c r="I277" s="1">
        <v>0</v>
      </c>
      <c r="J277" s="2">
        <v>0</v>
      </c>
      <c r="K277" s="2">
        <v>0</v>
      </c>
      <c r="L277" s="2">
        <v>0</v>
      </c>
      <c r="M277" s="2">
        <v>0</v>
      </c>
      <c r="N277" s="1" t="str">
        <f>VLOOKUP(E277,'[1]ORG CODES'!$A:$C,3,FALSE)</f>
        <v>3477   APPLIED TECH CLUB</v>
      </c>
    </row>
    <row r="278" spans="1:14" ht="14.45" hidden="1" x14ac:dyDescent="0.3">
      <c r="A278" t="str">
        <f>VLOOKUP(E278,'[1]ORG CODES'!$A:$B,2,FALSE)</f>
        <v>Student Funded Programs</v>
      </c>
      <c r="B278" s="1" t="s">
        <v>2</v>
      </c>
      <c r="C278" s="1" t="s">
        <v>3</v>
      </c>
      <c r="D278" s="1" t="s">
        <v>4</v>
      </c>
      <c r="E278" s="1" t="s">
        <v>25</v>
      </c>
      <c r="F278" s="1" t="s">
        <v>24</v>
      </c>
      <c r="G278" s="1" t="s">
        <v>32</v>
      </c>
      <c r="H278" s="1" t="str">
        <f>VLOOKUP(F278,'[2]DX.OTHER.9.30.06 DETAIL'!$H$1:$J$65536,3,FALSE)</f>
        <v>Exp-Goods/Svcs</v>
      </c>
      <c r="I278" s="1">
        <v>0</v>
      </c>
      <c r="J278" s="2">
        <v>650.88</v>
      </c>
      <c r="K278" s="2">
        <v>0</v>
      </c>
      <c r="L278" s="2">
        <v>-650.88</v>
      </c>
      <c r="M278" s="2">
        <v>0</v>
      </c>
      <c r="N278" s="1" t="str">
        <f>VLOOKUP(E278,'[1]ORG CODES'!$A:$C,3,FALSE)</f>
        <v>3309   IRP CLUB ADVISORS</v>
      </c>
    </row>
    <row r="279" spans="1:14" ht="14.45" hidden="1" x14ac:dyDescent="0.3">
      <c r="A279" t="str">
        <f>VLOOKUP(E279,'[1]ORG CODES'!$A:$B,2,FALSE)</f>
        <v>Student Funded Programs</v>
      </c>
      <c r="B279" s="1" t="s">
        <v>2</v>
      </c>
      <c r="C279" s="1" t="s">
        <v>3</v>
      </c>
      <c r="D279" s="1" t="s">
        <v>4</v>
      </c>
      <c r="E279" s="1" t="s">
        <v>36</v>
      </c>
      <c r="F279" s="1" t="s">
        <v>24</v>
      </c>
      <c r="G279" s="1" t="s">
        <v>32</v>
      </c>
      <c r="H279" s="1" t="str">
        <f>VLOOKUP(F279,'[2]DX.OTHER.9.30.06 DETAIL'!$H$1:$J$65536,3,FALSE)</f>
        <v>Exp-Goods/Svcs</v>
      </c>
      <c r="I279" s="1">
        <v>0</v>
      </c>
      <c r="J279" s="2">
        <v>53.26</v>
      </c>
      <c r="K279" s="2">
        <v>0</v>
      </c>
      <c r="L279" s="2">
        <v>-53.26</v>
      </c>
      <c r="M279" s="2">
        <v>0</v>
      </c>
      <c r="N279" s="1" t="str">
        <f>VLOOKUP(E279,'[1]ORG CODES'!$A:$C,3,FALSE)</f>
        <v>3313   ASTRONOMY CLUB</v>
      </c>
    </row>
    <row r="280" spans="1:14" ht="14.45" hidden="1" x14ac:dyDescent="0.3">
      <c r="A280" t="str">
        <f>VLOOKUP(E280,'[1]ORG CODES'!$A:$B,2,FALSE)</f>
        <v>Student Funded Programs</v>
      </c>
      <c r="B280" s="1" t="s">
        <v>2</v>
      </c>
      <c r="C280" s="1" t="s">
        <v>3</v>
      </c>
      <c r="D280" s="1" t="s">
        <v>4</v>
      </c>
      <c r="E280" s="1" t="s">
        <v>46</v>
      </c>
      <c r="F280" s="1" t="s">
        <v>24</v>
      </c>
      <c r="G280" s="1" t="s">
        <v>43</v>
      </c>
      <c r="H280" s="1" t="str">
        <f>VLOOKUP(F280,'[2]DX.OTHER.9.30.06 DETAIL'!$H$1:$J$65536,3,FALSE)</f>
        <v>Exp-Goods/Svcs</v>
      </c>
      <c r="I280" s="1">
        <v>0</v>
      </c>
      <c r="J280" s="2">
        <v>1500</v>
      </c>
      <c r="K280" s="2">
        <v>0</v>
      </c>
      <c r="L280" s="2">
        <v>-1500</v>
      </c>
      <c r="M280" s="2">
        <v>0</v>
      </c>
      <c r="N280" s="1" t="str">
        <f>VLOOKUP(E280,'[1]ORG CODES'!$A:$C,3,FALSE)</f>
        <v>3330   GRAPHIC DESIGN</v>
      </c>
    </row>
    <row r="281" spans="1:14" ht="14.45" hidden="1" x14ac:dyDescent="0.3">
      <c r="A281" t="str">
        <f>VLOOKUP(E281,'[1]ORG CODES'!$A:$B,2,FALSE)</f>
        <v>Student Funded Programs</v>
      </c>
      <c r="B281" s="1" t="s">
        <v>2</v>
      </c>
      <c r="C281" s="1" t="s">
        <v>3</v>
      </c>
      <c r="D281" s="1" t="s">
        <v>4</v>
      </c>
      <c r="E281" s="1" t="s">
        <v>46</v>
      </c>
      <c r="F281" s="1" t="s">
        <v>24</v>
      </c>
      <c r="G281" s="1" t="s">
        <v>32</v>
      </c>
      <c r="H281" s="1" t="str">
        <f>VLOOKUP(F281,'[2]DX.OTHER.9.30.06 DETAIL'!$H$1:$J$65536,3,FALSE)</f>
        <v>Exp-Goods/Svcs</v>
      </c>
      <c r="I281" s="1">
        <v>0</v>
      </c>
      <c r="J281" s="2">
        <v>2047.12</v>
      </c>
      <c r="K281" s="2">
        <v>0</v>
      </c>
      <c r="L281" s="2">
        <v>-2047.12</v>
      </c>
      <c r="M281" s="2">
        <v>0</v>
      </c>
      <c r="N281" s="1" t="str">
        <f>VLOOKUP(E281,'[1]ORG CODES'!$A:$C,3,FALSE)</f>
        <v>3330   GRAPHIC DESIGN</v>
      </c>
    </row>
    <row r="282" spans="1:14" ht="14.45" hidden="1" x14ac:dyDescent="0.3">
      <c r="A282" t="str">
        <f>VLOOKUP(E282,'[1]ORG CODES'!$A:$B,2,FALSE)</f>
        <v>Student Funded Programs</v>
      </c>
      <c r="B282" s="1" t="s">
        <v>2</v>
      </c>
      <c r="C282" s="1" t="s">
        <v>3</v>
      </c>
      <c r="D282" s="1" t="s">
        <v>4</v>
      </c>
      <c r="E282" s="1" t="s">
        <v>50</v>
      </c>
      <c r="F282" s="1" t="s">
        <v>24</v>
      </c>
      <c r="G282" s="1" t="s">
        <v>31</v>
      </c>
      <c r="H282" s="1" t="str">
        <f>VLOOKUP(F282,'[2]DX.OTHER.9.30.06 DETAIL'!$H$1:$J$65536,3,FALSE)</f>
        <v>Exp-Goods/Svcs</v>
      </c>
      <c r="I282" s="1">
        <v>0</v>
      </c>
      <c r="J282" s="2">
        <v>0</v>
      </c>
      <c r="K282" s="2">
        <v>0</v>
      </c>
      <c r="L282" s="2">
        <v>0</v>
      </c>
      <c r="M282" s="2">
        <v>0</v>
      </c>
      <c r="N282" s="1" t="str">
        <f>VLOOKUP(E282,'[1]ORG CODES'!$A:$C,3,FALSE)</f>
        <v>3342   ENGINEERING CLUB</v>
      </c>
    </row>
    <row r="283" spans="1:14" ht="14.45" hidden="1" x14ac:dyDescent="0.3">
      <c r="A283" t="str">
        <f>VLOOKUP(E283,'[1]ORG CODES'!$A:$B,2,FALSE)</f>
        <v>Student Funded Programs</v>
      </c>
      <c r="B283" s="1" t="s">
        <v>2</v>
      </c>
      <c r="C283" s="1" t="s">
        <v>3</v>
      </c>
      <c r="D283" s="1" t="s">
        <v>4</v>
      </c>
      <c r="E283" s="1" t="s">
        <v>50</v>
      </c>
      <c r="F283" s="1" t="s">
        <v>24</v>
      </c>
      <c r="G283" s="1" t="s">
        <v>32</v>
      </c>
      <c r="H283" s="1" t="str">
        <f>VLOOKUP(F283,'[2]DX.OTHER.9.30.06 DETAIL'!$H$1:$J$65536,3,FALSE)</f>
        <v>Exp-Goods/Svcs</v>
      </c>
      <c r="I283" s="1">
        <v>0</v>
      </c>
      <c r="J283" s="2">
        <v>859.03</v>
      </c>
      <c r="K283" s="2">
        <v>0</v>
      </c>
      <c r="L283" s="2">
        <v>-859.03</v>
      </c>
      <c r="M283" s="2">
        <v>0</v>
      </c>
      <c r="N283" s="1" t="str">
        <f>VLOOKUP(E283,'[1]ORG CODES'!$A:$C,3,FALSE)</f>
        <v>3342   ENGINEERING CLUB</v>
      </c>
    </row>
    <row r="284" spans="1:14" ht="14.45" hidden="1" x14ac:dyDescent="0.3">
      <c r="A284" t="str">
        <f>VLOOKUP(E284,'[1]ORG CODES'!$A:$B,2,FALSE)</f>
        <v>Student Funded Programs</v>
      </c>
      <c r="B284" s="1" t="s">
        <v>2</v>
      </c>
      <c r="C284" s="1" t="s">
        <v>3</v>
      </c>
      <c r="D284" s="1" t="s">
        <v>4</v>
      </c>
      <c r="E284" s="1" t="s">
        <v>52</v>
      </c>
      <c r="F284" s="1" t="s">
        <v>24</v>
      </c>
      <c r="G284" s="1" t="s">
        <v>31</v>
      </c>
      <c r="H284" s="1" t="str">
        <f>VLOOKUP(F284,'[2]DX.OTHER.9.30.06 DETAIL'!$H$1:$J$65536,3,FALSE)</f>
        <v>Exp-Goods/Svcs</v>
      </c>
      <c r="I284" s="1">
        <v>0</v>
      </c>
      <c r="J284" s="2">
        <v>0</v>
      </c>
      <c r="K284" s="2">
        <v>0</v>
      </c>
      <c r="L284" s="2">
        <v>0</v>
      </c>
      <c r="M284" s="2">
        <v>0</v>
      </c>
      <c r="N284" s="1" t="str">
        <f>VLOOKUP(E284,'[1]ORG CODES'!$A:$C,3,FALSE)</f>
        <v>3352   REVELERS (DRAMA)</v>
      </c>
    </row>
    <row r="285" spans="1:14" ht="14.45" hidden="1" x14ac:dyDescent="0.3">
      <c r="A285" t="str">
        <f>VLOOKUP(E285,'[1]ORG CODES'!$A:$B,2,FALSE)</f>
        <v>Student Funded Programs</v>
      </c>
      <c r="B285" s="1" t="s">
        <v>2</v>
      </c>
      <c r="C285" s="1" t="s">
        <v>3</v>
      </c>
      <c r="D285" s="1" t="s">
        <v>4</v>
      </c>
      <c r="E285" s="1" t="s">
        <v>52</v>
      </c>
      <c r="F285" s="1" t="s">
        <v>24</v>
      </c>
      <c r="G285" s="1" t="s">
        <v>62</v>
      </c>
      <c r="H285" s="1" t="str">
        <f>VLOOKUP(F285,'[2]DX.OTHER.9.30.06 DETAIL'!$H$1:$J$65536,3,FALSE)</f>
        <v>Exp-Goods/Svcs</v>
      </c>
      <c r="I285" s="1">
        <v>0</v>
      </c>
      <c r="J285" s="2">
        <v>3703.06</v>
      </c>
      <c r="K285" s="2">
        <v>0</v>
      </c>
      <c r="L285" s="2">
        <v>-3703.06</v>
      </c>
      <c r="M285" s="2">
        <v>0</v>
      </c>
      <c r="N285" s="1" t="str">
        <f>VLOOKUP(E285,'[1]ORG CODES'!$A:$C,3,FALSE)</f>
        <v>3352   REVELERS (DRAMA)</v>
      </c>
    </row>
    <row r="286" spans="1:14" ht="14.45" hidden="1" x14ac:dyDescent="0.3">
      <c r="A286" t="str">
        <f>VLOOKUP(E286,'[1]ORG CODES'!$A:$B,2,FALSE)</f>
        <v>Student Funded Programs</v>
      </c>
      <c r="B286" s="1" t="s">
        <v>2</v>
      </c>
      <c r="C286" s="1" t="s">
        <v>3</v>
      </c>
      <c r="D286" s="1" t="s">
        <v>4</v>
      </c>
      <c r="E286" s="1" t="s">
        <v>52</v>
      </c>
      <c r="F286" s="1" t="s">
        <v>24</v>
      </c>
      <c r="G286" s="1" t="s">
        <v>48</v>
      </c>
      <c r="H286" s="1" t="str">
        <f>VLOOKUP(F286,'[2]DX.OTHER.9.30.06 DETAIL'!$H$1:$J$65536,3,FALSE)</f>
        <v>Exp-Goods/Svcs</v>
      </c>
      <c r="I286" s="1">
        <v>0</v>
      </c>
      <c r="J286" s="2">
        <v>89.53</v>
      </c>
      <c r="K286" s="2">
        <v>0</v>
      </c>
      <c r="L286" s="2">
        <v>-89.53</v>
      </c>
      <c r="M286" s="2">
        <v>-684.74</v>
      </c>
      <c r="N286" s="1" t="str">
        <f>VLOOKUP(E286,'[1]ORG CODES'!$A:$C,3,FALSE)</f>
        <v>3352   REVELERS (DRAMA)</v>
      </c>
    </row>
    <row r="287" spans="1:14" ht="14.45" hidden="1" x14ac:dyDescent="0.3">
      <c r="A287" t="str">
        <f>VLOOKUP(E287,'[1]ORG CODES'!$A:$B,2,FALSE)</f>
        <v>Student Funded Programs</v>
      </c>
      <c r="B287" s="1" t="s">
        <v>2</v>
      </c>
      <c r="C287" s="1" t="s">
        <v>3</v>
      </c>
      <c r="D287" s="1" t="s">
        <v>4</v>
      </c>
      <c r="E287" s="1" t="s">
        <v>68</v>
      </c>
      <c r="F287" s="1" t="s">
        <v>24</v>
      </c>
      <c r="G287" s="1" t="s">
        <v>43</v>
      </c>
      <c r="H287" s="1" t="str">
        <f>VLOOKUP(F287,'[2]DX.OTHER.9.30.06 DETAIL'!$H$1:$J$65536,3,FALSE)</f>
        <v>Exp-Goods/Svcs</v>
      </c>
      <c r="I287" s="1">
        <v>0</v>
      </c>
      <c r="J287" s="2">
        <v>150</v>
      </c>
      <c r="K287" s="2">
        <v>0</v>
      </c>
      <c r="L287" s="2">
        <v>-150</v>
      </c>
      <c r="M287" s="2">
        <v>0</v>
      </c>
      <c r="N287" s="1" t="str">
        <f>VLOOKUP(E287,'[1]ORG CODES'!$A:$C,3,FALSE)</f>
        <v>3355   CHORAL MUSIC</v>
      </c>
    </row>
    <row r="288" spans="1:14" ht="14.45" hidden="1" x14ac:dyDescent="0.3">
      <c r="A288" t="str">
        <f>VLOOKUP(E288,'[1]ORG CODES'!$A:$B,2,FALSE)</f>
        <v>Student Funded Programs</v>
      </c>
      <c r="B288" s="1" t="s">
        <v>2</v>
      </c>
      <c r="C288" s="1" t="s">
        <v>3</v>
      </c>
      <c r="D288" s="1" t="s">
        <v>4</v>
      </c>
      <c r="E288" s="1" t="s">
        <v>68</v>
      </c>
      <c r="F288" s="1" t="s">
        <v>24</v>
      </c>
      <c r="G288" s="1" t="s">
        <v>32</v>
      </c>
      <c r="H288" s="1" t="str">
        <f>VLOOKUP(F288,'[2]DX.OTHER.9.30.06 DETAIL'!$H$1:$J$65536,3,FALSE)</f>
        <v>Exp-Goods/Svcs</v>
      </c>
      <c r="I288" s="1">
        <v>0</v>
      </c>
      <c r="J288" s="2">
        <v>288.89</v>
      </c>
      <c r="K288" s="2">
        <v>0</v>
      </c>
      <c r="L288" s="2">
        <v>-288.89</v>
      </c>
      <c r="M288" s="2">
        <v>0</v>
      </c>
      <c r="N288" s="1" t="str">
        <f>VLOOKUP(E288,'[1]ORG CODES'!$A:$C,3,FALSE)</f>
        <v>3355   CHORAL MUSIC</v>
      </c>
    </row>
    <row r="289" spans="1:14" ht="14.45" hidden="1" x14ac:dyDescent="0.3">
      <c r="A289" t="str">
        <f>VLOOKUP(E289,'[1]ORG CODES'!$A:$B,2,FALSE)</f>
        <v>Student Funded Programs</v>
      </c>
      <c r="B289" s="1" t="s">
        <v>2</v>
      </c>
      <c r="C289" s="1" t="s">
        <v>3</v>
      </c>
      <c r="D289" s="1" t="s">
        <v>4</v>
      </c>
      <c r="E289" s="1" t="s">
        <v>72</v>
      </c>
      <c r="F289" s="1" t="s">
        <v>24</v>
      </c>
      <c r="G289" s="1" t="s">
        <v>32</v>
      </c>
      <c r="H289" s="1" t="str">
        <f>VLOOKUP(F289,'[2]DX.OTHER.9.30.06 DETAIL'!$H$1:$J$65536,3,FALSE)</f>
        <v>Exp-Goods/Svcs</v>
      </c>
      <c r="I289" s="1">
        <v>0</v>
      </c>
      <c r="J289" s="2">
        <v>405.73</v>
      </c>
      <c r="K289" s="2">
        <v>0</v>
      </c>
      <c r="L289" s="2">
        <v>-405.73</v>
      </c>
      <c r="M289" s="2">
        <v>0</v>
      </c>
      <c r="N289" s="1" t="str">
        <f>VLOOKUP(E289,'[1]ORG CODES'!$A:$C,3,FALSE)</f>
        <v>3357   PHOTO ARTS</v>
      </c>
    </row>
    <row r="290" spans="1:14" ht="14.45" hidden="1" x14ac:dyDescent="0.3">
      <c r="A290" t="str">
        <f>VLOOKUP(E290,'[1]ORG CODES'!$A:$B,2,FALSE)</f>
        <v>Student Funded Programs</v>
      </c>
      <c r="B290" s="1" t="s">
        <v>2</v>
      </c>
      <c r="C290" s="1" t="s">
        <v>3</v>
      </c>
      <c r="D290" s="1" t="s">
        <v>4</v>
      </c>
      <c r="E290" s="1" t="s">
        <v>75</v>
      </c>
      <c r="F290" s="1" t="s">
        <v>24</v>
      </c>
      <c r="G290" s="1" t="s">
        <v>43</v>
      </c>
      <c r="H290" s="1" t="str">
        <f>VLOOKUP(F290,'[2]DX.OTHER.9.30.06 DETAIL'!$H$1:$J$65536,3,FALSE)</f>
        <v>Exp-Goods/Svcs</v>
      </c>
      <c r="I290" s="1">
        <v>0</v>
      </c>
      <c r="J290" s="2">
        <v>-584.19000000000005</v>
      </c>
      <c r="K290" s="2">
        <v>0</v>
      </c>
      <c r="L290" s="2">
        <v>584.19000000000005</v>
      </c>
      <c r="M290" s="2">
        <v>0</v>
      </c>
      <c r="N290" s="1" t="str">
        <f>VLOOKUP(E290,'[1]ORG CODES'!$A:$C,3,FALSE)</f>
        <v>3363   ART GALLERY &amp; EXHIB</v>
      </c>
    </row>
    <row r="291" spans="1:14" ht="14.45" hidden="1" x14ac:dyDescent="0.3">
      <c r="A291" t="str">
        <f>VLOOKUP(E291,'[1]ORG CODES'!$A:$B,2,FALSE)</f>
        <v>Student Funded Programs</v>
      </c>
      <c r="B291" s="1" t="s">
        <v>2</v>
      </c>
      <c r="C291" s="1" t="s">
        <v>3</v>
      </c>
      <c r="D291" s="1" t="s">
        <v>4</v>
      </c>
      <c r="E291" s="1" t="s">
        <v>75</v>
      </c>
      <c r="F291" s="1" t="s">
        <v>24</v>
      </c>
      <c r="G291" s="1" t="s">
        <v>42</v>
      </c>
      <c r="H291" s="1" t="str">
        <f>VLOOKUP(F291,'[2]DX.OTHER.9.30.06 DETAIL'!$H$1:$J$65536,3,FALSE)</f>
        <v>Exp-Goods/Svcs</v>
      </c>
      <c r="I291" s="1">
        <v>0</v>
      </c>
      <c r="J291" s="2">
        <v>664.4</v>
      </c>
      <c r="K291" s="2">
        <v>0</v>
      </c>
      <c r="L291" s="2">
        <v>-664.4</v>
      </c>
      <c r="M291" s="2">
        <v>0</v>
      </c>
      <c r="N291" s="1" t="str">
        <f>VLOOKUP(E291,'[1]ORG CODES'!$A:$C,3,FALSE)</f>
        <v>3363   ART GALLERY &amp; EXHIB</v>
      </c>
    </row>
    <row r="292" spans="1:14" ht="14.45" hidden="1" x14ac:dyDescent="0.3">
      <c r="A292" t="str">
        <f>VLOOKUP(E292,'[1]ORG CODES'!$A:$B,2,FALSE)</f>
        <v>Student Funded Programs</v>
      </c>
      <c r="B292" s="1" t="s">
        <v>2</v>
      </c>
      <c r="C292" s="1" t="s">
        <v>3</v>
      </c>
      <c r="D292" s="1" t="s">
        <v>4</v>
      </c>
      <c r="E292" s="1" t="s">
        <v>75</v>
      </c>
      <c r="F292" s="1" t="s">
        <v>24</v>
      </c>
      <c r="G292" s="1" t="s">
        <v>48</v>
      </c>
      <c r="H292" s="1" t="str">
        <f>VLOOKUP(F292,'[2]DX.OTHER.9.30.06 DETAIL'!$H$1:$J$65536,3,FALSE)</f>
        <v>Exp-Goods/Svcs</v>
      </c>
      <c r="I292" s="1">
        <v>0</v>
      </c>
      <c r="J292" s="2">
        <v>906.81</v>
      </c>
      <c r="K292" s="2">
        <v>0</v>
      </c>
      <c r="L292" s="2">
        <v>-906.81</v>
      </c>
      <c r="M292" s="2">
        <v>0</v>
      </c>
      <c r="N292" s="1" t="str">
        <f>VLOOKUP(E292,'[1]ORG CODES'!$A:$C,3,FALSE)</f>
        <v>3363   ART GALLERY &amp; EXHIB</v>
      </c>
    </row>
    <row r="293" spans="1:14" ht="14.45" hidden="1" x14ac:dyDescent="0.3">
      <c r="A293" t="str">
        <f>VLOOKUP(E293,'[1]ORG CODES'!$A:$B,2,FALSE)</f>
        <v>Student Funded Programs</v>
      </c>
      <c r="B293" s="1" t="s">
        <v>2</v>
      </c>
      <c r="C293" s="1" t="s">
        <v>3</v>
      </c>
      <c r="D293" s="1" t="s">
        <v>4</v>
      </c>
      <c r="E293" s="1" t="s">
        <v>77</v>
      </c>
      <c r="F293" s="1" t="s">
        <v>24</v>
      </c>
      <c r="G293" s="1" t="s">
        <v>32</v>
      </c>
      <c r="H293" s="1" t="str">
        <f>VLOOKUP(F293,'[2]DX.OTHER.9.30.06 DETAIL'!$H$1:$J$65536,3,FALSE)</f>
        <v>Exp-Goods/Svcs</v>
      </c>
      <c r="I293" s="1">
        <v>0</v>
      </c>
      <c r="J293" s="2">
        <v>63.75</v>
      </c>
      <c r="K293" s="2">
        <v>0</v>
      </c>
      <c r="L293" s="2">
        <v>-63.75</v>
      </c>
      <c r="M293" s="2">
        <v>0</v>
      </c>
      <c r="N293" s="1" t="str">
        <f>VLOOKUP(E293,'[1]ORG CODES'!$A:$C,3,FALSE)</f>
        <v>3367   RECREATION SOCIETY</v>
      </c>
    </row>
    <row r="294" spans="1:14" ht="14.45" hidden="1" x14ac:dyDescent="0.3">
      <c r="A294" t="str">
        <f>VLOOKUP(E294,'[1]ORG CODES'!$A:$B,2,FALSE)</f>
        <v>Student Funded Programs</v>
      </c>
      <c r="B294" s="1" t="s">
        <v>2</v>
      </c>
      <c r="C294" s="1" t="s">
        <v>3</v>
      </c>
      <c r="D294" s="1" t="s">
        <v>4</v>
      </c>
      <c r="E294" s="1" t="s">
        <v>78</v>
      </c>
      <c r="F294" s="1" t="s">
        <v>24</v>
      </c>
      <c r="G294" s="1" t="s">
        <v>48</v>
      </c>
      <c r="H294" s="1" t="str">
        <f>VLOOKUP(F294,'[2]DX.OTHER.9.30.06 DETAIL'!$H$1:$J$65536,3,FALSE)</f>
        <v>Exp-Goods/Svcs</v>
      </c>
      <c r="I294" s="1">
        <v>0</v>
      </c>
      <c r="J294" s="2">
        <v>117.96</v>
      </c>
      <c r="K294" s="2">
        <v>0</v>
      </c>
      <c r="L294" s="2">
        <v>-117.96</v>
      </c>
      <c r="M294" s="2">
        <v>0</v>
      </c>
      <c r="N294" s="1" t="str">
        <f>VLOOKUP(E294,'[1]ORG CODES'!$A:$C,3,FALSE)</f>
        <v>3368   LITERARY MAGAZINE</v>
      </c>
    </row>
    <row r="295" spans="1:14" ht="14.45" hidden="1" x14ac:dyDescent="0.3">
      <c r="A295" t="str">
        <f>VLOOKUP(E295,'[1]ORG CODES'!$A:$B,2,FALSE)</f>
        <v>Student Funded Programs</v>
      </c>
      <c r="B295" s="1" t="s">
        <v>2</v>
      </c>
      <c r="C295" s="1" t="s">
        <v>3</v>
      </c>
      <c r="D295" s="1" t="s">
        <v>4</v>
      </c>
      <c r="E295" s="1" t="s">
        <v>78</v>
      </c>
      <c r="F295" s="1" t="s">
        <v>24</v>
      </c>
      <c r="G295" s="1" t="s">
        <v>32</v>
      </c>
      <c r="H295" s="1" t="str">
        <f>VLOOKUP(F295,'[2]DX.OTHER.9.30.06 DETAIL'!$H$1:$J$65536,3,FALSE)</f>
        <v>Exp-Goods/Svcs</v>
      </c>
      <c r="I295" s="1">
        <v>0</v>
      </c>
      <c r="J295" s="2">
        <v>420.75</v>
      </c>
      <c r="K295" s="2">
        <v>0</v>
      </c>
      <c r="L295" s="2">
        <v>-420.75</v>
      </c>
      <c r="M295" s="2">
        <v>0</v>
      </c>
      <c r="N295" s="1" t="str">
        <f>VLOOKUP(E295,'[1]ORG CODES'!$A:$C,3,FALSE)</f>
        <v>3368   LITERARY MAGAZINE</v>
      </c>
    </row>
    <row r="296" spans="1:14" ht="14.45" hidden="1" x14ac:dyDescent="0.3">
      <c r="A296" t="str">
        <f>VLOOKUP(E296,'[1]ORG CODES'!$A:$B,2,FALSE)</f>
        <v>Student Funded Programs</v>
      </c>
      <c r="B296" s="1" t="s">
        <v>2</v>
      </c>
      <c r="C296" s="1" t="s">
        <v>3</v>
      </c>
      <c r="D296" s="1" t="s">
        <v>4</v>
      </c>
      <c r="E296" s="1" t="s">
        <v>79</v>
      </c>
      <c r="F296" s="1" t="s">
        <v>24</v>
      </c>
      <c r="G296" s="1" t="s">
        <v>48</v>
      </c>
      <c r="H296" s="1" t="str">
        <f>VLOOKUP(F296,'[2]DX.OTHER.9.30.06 DETAIL'!$H$1:$J$65536,3,FALSE)</f>
        <v>Exp-Goods/Svcs</v>
      </c>
      <c r="I296" s="1">
        <v>0</v>
      </c>
      <c r="J296" s="2">
        <v>152.63</v>
      </c>
      <c r="K296" s="2">
        <v>0</v>
      </c>
      <c r="L296" s="2">
        <v>-152.63</v>
      </c>
      <c r="M296" s="2">
        <v>0</v>
      </c>
      <c r="N296" s="1" t="str">
        <f>VLOOKUP(E296,'[1]ORG CODES'!$A:$C,3,FALSE)</f>
        <v>3369   COMMUNICATOR-NEWSPPR</v>
      </c>
    </row>
    <row r="297" spans="1:14" ht="14.45" hidden="1" x14ac:dyDescent="0.3">
      <c r="A297" t="str">
        <f>VLOOKUP(E297,'[1]ORG CODES'!$A:$B,2,FALSE)</f>
        <v>Student Funded Programs</v>
      </c>
      <c r="B297" s="1" t="s">
        <v>2</v>
      </c>
      <c r="C297" s="1" t="s">
        <v>3</v>
      </c>
      <c r="D297" s="1" t="s">
        <v>4</v>
      </c>
      <c r="E297" s="1" t="s">
        <v>80</v>
      </c>
      <c r="F297" s="1" t="s">
        <v>24</v>
      </c>
      <c r="G297" s="1" t="s">
        <v>43</v>
      </c>
      <c r="H297" s="1" t="str">
        <f>VLOOKUP(F297,'[2]DX.OTHER.9.30.06 DETAIL'!$H$1:$J$65536,3,FALSE)</f>
        <v>Exp-Goods/Svcs</v>
      </c>
      <c r="I297" s="1">
        <v>0</v>
      </c>
      <c r="J297" s="2">
        <v>500</v>
      </c>
      <c r="K297" s="2">
        <v>0</v>
      </c>
      <c r="L297" s="2">
        <v>-500</v>
      </c>
      <c r="M297" s="2">
        <v>0</v>
      </c>
      <c r="N297" s="1" t="str">
        <f>VLOOKUP(E297,'[1]ORG CODES'!$A:$C,3,FALSE)</f>
        <v>3370   BETA GAMMA KAPPA</v>
      </c>
    </row>
    <row r="298" spans="1:14" ht="14.45" hidden="1" x14ac:dyDescent="0.3">
      <c r="A298" t="str">
        <f>VLOOKUP(E298,'[1]ORG CODES'!$A:$B,2,FALSE)</f>
        <v>Student Funded Programs</v>
      </c>
      <c r="B298" s="1" t="s">
        <v>2</v>
      </c>
      <c r="C298" s="1" t="s">
        <v>3</v>
      </c>
      <c r="D298" s="1" t="s">
        <v>4</v>
      </c>
      <c r="E298" s="1" t="s">
        <v>80</v>
      </c>
      <c r="F298" s="1" t="s">
        <v>24</v>
      </c>
      <c r="G298" s="1" t="s">
        <v>48</v>
      </c>
      <c r="H298" s="1" t="str">
        <f>VLOOKUP(F298,'[2]DX.OTHER.9.30.06 DETAIL'!$H$1:$J$65536,3,FALSE)</f>
        <v>Exp-Goods/Svcs</v>
      </c>
      <c r="I298" s="1">
        <v>0</v>
      </c>
      <c r="J298" s="2">
        <v>143.96</v>
      </c>
      <c r="K298" s="2">
        <v>0</v>
      </c>
      <c r="L298" s="2">
        <v>-143.96</v>
      </c>
      <c r="M298" s="2">
        <v>0</v>
      </c>
      <c r="N298" s="1" t="str">
        <f>VLOOKUP(E298,'[1]ORG CODES'!$A:$C,3,FALSE)</f>
        <v>3370   BETA GAMMA KAPPA</v>
      </c>
    </row>
    <row r="299" spans="1:14" ht="14.45" hidden="1" x14ac:dyDescent="0.3">
      <c r="A299" t="str">
        <f>VLOOKUP(E299,'[1]ORG CODES'!$A:$B,2,FALSE)</f>
        <v>Student Funded Programs</v>
      </c>
      <c r="B299" s="1" t="s">
        <v>2</v>
      </c>
      <c r="C299" s="1" t="s">
        <v>3</v>
      </c>
      <c r="D299" s="1" t="s">
        <v>4</v>
      </c>
      <c r="E299" s="1" t="s">
        <v>80</v>
      </c>
      <c r="F299" s="1" t="s">
        <v>24</v>
      </c>
      <c r="G299" s="1" t="s">
        <v>32</v>
      </c>
      <c r="H299" s="1" t="str">
        <f>VLOOKUP(F299,'[2]DX.OTHER.9.30.06 DETAIL'!$H$1:$J$65536,3,FALSE)</f>
        <v>Exp-Goods/Svcs</v>
      </c>
      <c r="I299" s="1">
        <v>0</v>
      </c>
      <c r="J299" s="2">
        <v>887.62</v>
      </c>
      <c r="K299" s="2">
        <v>0</v>
      </c>
      <c r="L299" s="2">
        <v>-887.62</v>
      </c>
      <c r="M299" s="2">
        <v>0</v>
      </c>
      <c r="N299" s="1" t="str">
        <f>VLOOKUP(E299,'[1]ORG CODES'!$A:$C,3,FALSE)</f>
        <v>3370   BETA GAMMA KAPPA</v>
      </c>
    </row>
    <row r="300" spans="1:14" ht="14.45" hidden="1" x14ac:dyDescent="0.3">
      <c r="A300" t="str">
        <f>VLOOKUP(E300,'[1]ORG CODES'!$A:$B,2,FALSE)</f>
        <v>Student Funded Programs</v>
      </c>
      <c r="B300" s="1" t="s">
        <v>2</v>
      </c>
      <c r="C300" s="1" t="s">
        <v>3</v>
      </c>
      <c r="D300" s="1" t="s">
        <v>4</v>
      </c>
      <c r="E300" s="1" t="s">
        <v>83</v>
      </c>
      <c r="F300" s="1" t="s">
        <v>24</v>
      </c>
      <c r="G300" s="1" t="s">
        <v>43</v>
      </c>
      <c r="H300" s="1" t="str">
        <f>VLOOKUP(F300,'[2]DX.OTHER.9.30.06 DETAIL'!$H$1:$J$65536,3,FALSE)</f>
        <v>Exp-Goods/Svcs</v>
      </c>
      <c r="I300" s="1">
        <v>0</v>
      </c>
      <c r="J300" s="2">
        <v>1391.95</v>
      </c>
      <c r="K300" s="2">
        <v>0</v>
      </c>
      <c r="L300" s="2">
        <v>-1391.95</v>
      </c>
      <c r="M300" s="2">
        <v>0</v>
      </c>
      <c r="N300" s="1" t="str">
        <f>VLOOKUP(E300,'[1]ORG CODES'!$A:$C,3,FALSE)</f>
        <v>3372   STDNT PHYS THER ASST</v>
      </c>
    </row>
    <row r="301" spans="1:14" ht="14.45" hidden="1" x14ac:dyDescent="0.3">
      <c r="A301" t="str">
        <f>VLOOKUP(E301,'[1]ORG CODES'!$A:$B,2,FALSE)</f>
        <v>Student Funded Programs</v>
      </c>
      <c r="B301" s="1" t="s">
        <v>2</v>
      </c>
      <c r="C301" s="1" t="s">
        <v>3</v>
      </c>
      <c r="D301" s="1" t="s">
        <v>4</v>
      </c>
      <c r="E301" s="1" t="s">
        <v>83</v>
      </c>
      <c r="F301" s="1" t="s">
        <v>24</v>
      </c>
      <c r="G301" s="1" t="s">
        <v>32</v>
      </c>
      <c r="H301" s="1" t="str">
        <f>VLOOKUP(F301,'[2]DX.OTHER.9.30.06 DETAIL'!$H$1:$J$65536,3,FALSE)</f>
        <v>Exp-Goods/Svcs</v>
      </c>
      <c r="I301" s="1">
        <v>0</v>
      </c>
      <c r="J301" s="2">
        <v>130.75</v>
      </c>
      <c r="K301" s="2">
        <v>0</v>
      </c>
      <c r="L301" s="2">
        <v>-130.75</v>
      </c>
      <c r="M301" s="2">
        <v>0</v>
      </c>
      <c r="N301" s="1" t="str">
        <f>VLOOKUP(E301,'[1]ORG CODES'!$A:$C,3,FALSE)</f>
        <v>3372   STDNT PHYS THER ASST</v>
      </c>
    </row>
    <row r="302" spans="1:14" ht="14.45" hidden="1" x14ac:dyDescent="0.3">
      <c r="A302" t="str">
        <f>VLOOKUP(E302,'[1]ORG CODES'!$A:$B,2,FALSE)</f>
        <v>Student Funded Programs</v>
      </c>
      <c r="B302" s="1" t="s">
        <v>2</v>
      </c>
      <c r="C302" s="1" t="s">
        <v>3</v>
      </c>
      <c r="D302" s="1" t="s">
        <v>4</v>
      </c>
      <c r="E302" s="1" t="s">
        <v>86</v>
      </c>
      <c r="F302" s="1" t="s">
        <v>24</v>
      </c>
      <c r="G302" s="1" t="s">
        <v>48</v>
      </c>
      <c r="H302" s="1" t="str">
        <f>VLOOKUP(F302,'[2]DX.OTHER.9.30.06 DETAIL'!$H$1:$J$65536,3,FALSE)</f>
        <v>Exp-Goods/Svcs</v>
      </c>
      <c r="I302" s="1">
        <v>0</v>
      </c>
      <c r="J302" s="2">
        <v>79.94</v>
      </c>
      <c r="K302" s="2">
        <v>0</v>
      </c>
      <c r="L302" s="2">
        <v>-79.94</v>
      </c>
      <c r="M302" s="2">
        <v>0</v>
      </c>
      <c r="N302" s="1" t="str">
        <f>VLOOKUP(E302,'[1]ORG CODES'!$A:$C,3,FALSE)</f>
        <v>3373   STUD OCCUP THERA ASST</v>
      </c>
    </row>
    <row r="303" spans="1:14" ht="14.45" hidden="1" x14ac:dyDescent="0.3">
      <c r="A303" t="str">
        <f>VLOOKUP(E303,'[1]ORG CODES'!$A:$B,2,FALSE)</f>
        <v>Student Funded Programs</v>
      </c>
      <c r="B303" s="1" t="s">
        <v>2</v>
      </c>
      <c r="C303" s="1" t="s">
        <v>3</v>
      </c>
      <c r="D303" s="1" t="s">
        <v>4</v>
      </c>
      <c r="E303" s="1" t="s">
        <v>86</v>
      </c>
      <c r="F303" s="1" t="s">
        <v>24</v>
      </c>
      <c r="G303" s="1" t="s">
        <v>32</v>
      </c>
      <c r="H303" s="1" t="str">
        <f>VLOOKUP(F303,'[2]DX.OTHER.9.30.06 DETAIL'!$H$1:$J$65536,3,FALSE)</f>
        <v>Exp-Goods/Svcs</v>
      </c>
      <c r="I303" s="1">
        <v>0</v>
      </c>
      <c r="J303" s="2">
        <v>1393.28</v>
      </c>
      <c r="K303" s="2">
        <v>0</v>
      </c>
      <c r="L303" s="2">
        <v>-1393.28</v>
      </c>
      <c r="M303" s="2">
        <v>0</v>
      </c>
      <c r="N303" s="1" t="str">
        <f>VLOOKUP(E303,'[1]ORG CODES'!$A:$C,3,FALSE)</f>
        <v>3373   STUD OCCUP THERA ASST</v>
      </c>
    </row>
    <row r="304" spans="1:14" ht="14.45" hidden="1" x14ac:dyDescent="0.3">
      <c r="A304" t="str">
        <f>VLOOKUP(E304,'[1]ORG CODES'!$A:$B,2,FALSE)</f>
        <v>Student Funded Programs</v>
      </c>
      <c r="B304" s="1" t="s">
        <v>2</v>
      </c>
      <c r="C304" s="1" t="s">
        <v>3</v>
      </c>
      <c r="D304" s="1" t="s">
        <v>4</v>
      </c>
      <c r="E304" s="1" t="s">
        <v>86</v>
      </c>
      <c r="F304" s="1" t="s">
        <v>24</v>
      </c>
      <c r="G304" s="1" t="s">
        <v>76</v>
      </c>
      <c r="H304" s="1" t="str">
        <f>VLOOKUP(F304,'[2]DX.OTHER.9.30.06 DETAIL'!$H$1:$J$65536,3,FALSE)</f>
        <v>Exp-Goods/Svcs</v>
      </c>
      <c r="I304" s="1">
        <v>0</v>
      </c>
      <c r="J304" s="2">
        <v>10</v>
      </c>
      <c r="K304" s="2">
        <v>0</v>
      </c>
      <c r="L304" s="2">
        <v>-10</v>
      </c>
      <c r="M304" s="2">
        <v>0</v>
      </c>
      <c r="N304" s="1" t="str">
        <f>VLOOKUP(E304,'[1]ORG CODES'!$A:$C,3,FALSE)</f>
        <v>3373   STUD OCCUP THERA ASST</v>
      </c>
    </row>
    <row r="305" spans="1:14" ht="14.45" hidden="1" x14ac:dyDescent="0.3">
      <c r="A305" t="str">
        <f>VLOOKUP(E305,'[1]ORG CODES'!$A:$B,2,FALSE)</f>
        <v>Student Funded Programs</v>
      </c>
      <c r="B305" s="1" t="s">
        <v>2</v>
      </c>
      <c r="C305" s="1" t="s">
        <v>3</v>
      </c>
      <c r="D305" s="1" t="s">
        <v>4</v>
      </c>
      <c r="E305" s="1" t="s">
        <v>93</v>
      </c>
      <c r="F305" s="1" t="s">
        <v>24</v>
      </c>
      <c r="G305" s="1" t="s">
        <v>62</v>
      </c>
      <c r="H305" s="1" t="str">
        <f>VLOOKUP(F305,'[2]DX.OTHER.9.30.06 DETAIL'!$H$1:$J$65536,3,FALSE)</f>
        <v>Exp-Goods/Svcs</v>
      </c>
      <c r="I305" s="1">
        <v>0</v>
      </c>
      <c r="J305" s="2">
        <v>72</v>
      </c>
      <c r="K305" s="2">
        <v>0</v>
      </c>
      <c r="L305" s="2">
        <v>-72</v>
      </c>
      <c r="M305" s="2">
        <v>0</v>
      </c>
      <c r="N305" s="1" t="str">
        <f>VLOOKUP(E305,'[1]ORG CODES'!$A:$C,3,FALSE)</f>
        <v>3403   PEERS SERVICES</v>
      </c>
    </row>
    <row r="306" spans="1:14" ht="14.45" hidden="1" x14ac:dyDescent="0.3">
      <c r="A306" t="str">
        <f>VLOOKUP(E306,'[1]ORG CODES'!$A:$B,2,FALSE)</f>
        <v>Student Funded Programs</v>
      </c>
      <c r="B306" s="1" t="s">
        <v>2</v>
      </c>
      <c r="C306" s="1" t="s">
        <v>3</v>
      </c>
      <c r="D306" s="1" t="s">
        <v>4</v>
      </c>
      <c r="E306" s="1" t="s">
        <v>97</v>
      </c>
      <c r="F306" s="1" t="s">
        <v>24</v>
      </c>
      <c r="G306" s="1" t="s">
        <v>70</v>
      </c>
      <c r="H306" s="1" t="str">
        <f>VLOOKUP(F306,'[2]DX.OTHER.9.30.06 DETAIL'!$H$1:$J$65536,3,FALSE)</f>
        <v>Exp-Goods/Svcs</v>
      </c>
      <c r="I306" s="1">
        <v>0</v>
      </c>
      <c r="J306" s="2">
        <v>34582</v>
      </c>
      <c r="K306" s="2">
        <v>0</v>
      </c>
      <c r="L306" s="2">
        <v>-34582</v>
      </c>
      <c r="M306" s="2">
        <v>0</v>
      </c>
      <c r="N306" s="1" t="str">
        <f>VLOOKUP(E306,'[1]ORG CODES'!$A:$C,3,FALSE)</f>
        <v>3405   SFC BUS PASS MATCH</v>
      </c>
    </row>
    <row r="307" spans="1:14" ht="14.45" hidden="1" x14ac:dyDescent="0.3">
      <c r="A307" t="str">
        <f>VLOOKUP(E307,'[1]ORG CODES'!$A:$B,2,FALSE)</f>
        <v>Student Funded Programs</v>
      </c>
      <c r="B307" s="1" t="s">
        <v>2</v>
      </c>
      <c r="C307" s="1" t="s">
        <v>3</v>
      </c>
      <c r="D307" s="1" t="s">
        <v>4</v>
      </c>
      <c r="E307" s="1" t="s">
        <v>98</v>
      </c>
      <c r="F307" s="1" t="s">
        <v>24</v>
      </c>
      <c r="G307" s="1" t="s">
        <v>62</v>
      </c>
      <c r="H307" s="1" t="str">
        <f>VLOOKUP(F307,'[2]DX.OTHER.9.30.06 DETAIL'!$H$1:$J$65536,3,FALSE)</f>
        <v>Exp-Goods/Svcs</v>
      </c>
      <c r="I307" s="1">
        <v>0</v>
      </c>
      <c r="J307" s="2">
        <v>0</v>
      </c>
      <c r="K307" s="2">
        <v>0</v>
      </c>
      <c r="L307" s="2">
        <v>0</v>
      </c>
      <c r="M307" s="2">
        <v>0</v>
      </c>
      <c r="N307" s="1" t="str">
        <f>VLOOKUP(E307,'[1]ORG CODES'!$A:$C,3,FALSE)</f>
        <v>3406   BUS TICKET CLEARING</v>
      </c>
    </row>
    <row r="308" spans="1:14" ht="14.45" hidden="1" x14ac:dyDescent="0.3">
      <c r="A308" t="str">
        <f>VLOOKUP(E308,'[1]ORG CODES'!$A:$B,2,FALSE)</f>
        <v>Student Funded Programs</v>
      </c>
      <c r="B308" s="1" t="s">
        <v>2</v>
      </c>
      <c r="C308" s="1" t="s">
        <v>3</v>
      </c>
      <c r="D308" s="1" t="s">
        <v>4</v>
      </c>
      <c r="E308" s="1" t="s">
        <v>102</v>
      </c>
      <c r="F308" s="1" t="s">
        <v>24</v>
      </c>
      <c r="G308" s="1" t="s">
        <v>32</v>
      </c>
      <c r="H308" s="1" t="str">
        <f>VLOOKUP(F308,'[2]DX.OTHER.9.30.06 DETAIL'!$H$1:$J$65536,3,FALSE)</f>
        <v>Exp-Goods/Svcs</v>
      </c>
      <c r="I308" s="1">
        <v>0</v>
      </c>
      <c r="J308" s="2">
        <v>650.87</v>
      </c>
      <c r="K308" s="2">
        <v>0</v>
      </c>
      <c r="L308" s="2">
        <v>-650.87</v>
      </c>
      <c r="M308" s="2">
        <v>0</v>
      </c>
      <c r="N308" s="1" t="str">
        <f>VLOOKUP(E308,'[1]ORG CODES'!$A:$C,3,FALSE)</f>
        <v>3409   ASA CLUB ADVISORS</v>
      </c>
    </row>
    <row r="309" spans="1:14" ht="14.45" hidden="1" x14ac:dyDescent="0.3">
      <c r="A309" t="str">
        <f>VLOOKUP(E309,'[1]ORG CODES'!$A:$B,2,FALSE)</f>
        <v>Student Funded Programs</v>
      </c>
      <c r="B309" s="1" t="s">
        <v>2</v>
      </c>
      <c r="C309" s="1" t="s">
        <v>3</v>
      </c>
      <c r="D309" s="1" t="s">
        <v>4</v>
      </c>
      <c r="E309" s="1" t="s">
        <v>103</v>
      </c>
      <c r="F309" s="1" t="s">
        <v>24</v>
      </c>
      <c r="G309" s="1" t="s">
        <v>43</v>
      </c>
      <c r="H309" s="1" t="str">
        <f>VLOOKUP(F309,'[2]DX.OTHER.9.30.06 DETAIL'!$H$1:$J$65536,3,FALSE)</f>
        <v>Exp-Goods/Svcs</v>
      </c>
      <c r="I309" s="1">
        <v>0</v>
      </c>
      <c r="J309" s="2">
        <v>722.21</v>
      </c>
      <c r="K309" s="2">
        <v>0</v>
      </c>
      <c r="L309" s="2">
        <v>-722.21</v>
      </c>
      <c r="M309" s="2">
        <v>0</v>
      </c>
      <c r="N309" s="1" t="str">
        <f>VLOOKUP(E309,'[1]ORG CODES'!$A:$C,3,FALSE)</f>
        <v>3410   ASA GENERAL FUND</v>
      </c>
    </row>
    <row r="310" spans="1:14" ht="14.45" hidden="1" x14ac:dyDescent="0.3">
      <c r="A310" t="str">
        <f>VLOOKUP(E310,'[1]ORG CODES'!$A:$B,2,FALSE)</f>
        <v>Student Funded Programs</v>
      </c>
      <c r="B310" s="1" t="s">
        <v>2</v>
      </c>
      <c r="C310" s="1" t="s">
        <v>3</v>
      </c>
      <c r="D310" s="1" t="s">
        <v>4</v>
      </c>
      <c r="E310" s="1" t="s">
        <v>103</v>
      </c>
      <c r="F310" s="1" t="s">
        <v>24</v>
      </c>
      <c r="G310" s="1" t="s">
        <v>32</v>
      </c>
      <c r="H310" s="1" t="str">
        <f>VLOOKUP(F310,'[2]DX.OTHER.9.30.06 DETAIL'!$H$1:$J$65536,3,FALSE)</f>
        <v>Exp-Goods/Svcs</v>
      </c>
      <c r="I310" s="1">
        <v>0</v>
      </c>
      <c r="J310" s="2">
        <v>10028.620000000001</v>
      </c>
      <c r="K310" s="2">
        <v>0</v>
      </c>
      <c r="L310" s="2">
        <v>-10028.620000000001</v>
      </c>
      <c r="M310" s="2">
        <v>0</v>
      </c>
      <c r="N310" s="1" t="str">
        <f>VLOOKUP(E310,'[1]ORG CODES'!$A:$C,3,FALSE)</f>
        <v>3410   ASA GENERAL FUND</v>
      </c>
    </row>
    <row r="311" spans="1:14" ht="14.45" hidden="1" x14ac:dyDescent="0.3">
      <c r="A311" t="str">
        <f>VLOOKUP(E311,'[1]ORG CODES'!$A:$B,2,FALSE)</f>
        <v>Student Funded Programs</v>
      </c>
      <c r="B311" s="1" t="s">
        <v>2</v>
      </c>
      <c r="C311" s="1" t="s">
        <v>3</v>
      </c>
      <c r="D311" s="1" t="s">
        <v>4</v>
      </c>
      <c r="E311" s="1" t="s">
        <v>103</v>
      </c>
      <c r="F311" s="1" t="s">
        <v>24</v>
      </c>
      <c r="G311" s="1" t="s">
        <v>76</v>
      </c>
      <c r="H311" s="1" t="str">
        <f>VLOOKUP(F311,'[2]DX.OTHER.9.30.06 DETAIL'!$H$1:$J$65536,3,FALSE)</f>
        <v>Exp-Goods/Svcs</v>
      </c>
      <c r="I311" s="1">
        <v>0</v>
      </c>
      <c r="J311" s="2">
        <v>60</v>
      </c>
      <c r="K311" s="2">
        <v>0</v>
      </c>
      <c r="L311" s="2">
        <v>-60</v>
      </c>
      <c r="M311" s="2">
        <v>0</v>
      </c>
      <c r="N311" s="1" t="str">
        <f>VLOOKUP(E311,'[1]ORG CODES'!$A:$C,3,FALSE)</f>
        <v>3410   ASA GENERAL FUND</v>
      </c>
    </row>
    <row r="312" spans="1:14" ht="14.45" hidden="1" x14ac:dyDescent="0.3">
      <c r="A312" t="str">
        <f>VLOOKUP(E312,'[1]ORG CODES'!$A:$B,2,FALSE)</f>
        <v>Student Funded Programs</v>
      </c>
      <c r="B312" s="1" t="s">
        <v>2</v>
      </c>
      <c r="C312" s="1" t="s">
        <v>3</v>
      </c>
      <c r="D312" s="1" t="s">
        <v>4</v>
      </c>
      <c r="E312" s="1" t="s">
        <v>106</v>
      </c>
      <c r="F312" s="1" t="s">
        <v>24</v>
      </c>
      <c r="G312" s="1" t="s">
        <v>48</v>
      </c>
      <c r="H312" s="1" t="str">
        <f>VLOOKUP(F312,'[2]DX.OTHER.9.30.06 DETAIL'!$H$1:$J$65536,3,FALSE)</f>
        <v>Exp-Goods/Svcs</v>
      </c>
      <c r="I312" s="1">
        <v>0</v>
      </c>
      <c r="J312" s="2">
        <v>1543.06</v>
      </c>
      <c r="K312" s="2">
        <v>0</v>
      </c>
      <c r="L312" s="2">
        <v>-1543.06</v>
      </c>
      <c r="M312" s="2">
        <v>0</v>
      </c>
      <c r="N312" s="1" t="str">
        <f>VLOOKUP(E312,'[1]ORG CODES'!$A:$C,3,FALSE)</f>
        <v>3411   ADVERTISING/PRINTING</v>
      </c>
    </row>
    <row r="313" spans="1:14" ht="14.45" hidden="1" x14ac:dyDescent="0.3">
      <c r="A313" t="str">
        <f>VLOOKUP(E313,'[1]ORG CODES'!$A:$B,2,FALSE)</f>
        <v>Student Funded Programs</v>
      </c>
      <c r="B313" s="1" t="s">
        <v>2</v>
      </c>
      <c r="C313" s="1" t="s">
        <v>3</v>
      </c>
      <c r="D313" s="1" t="s">
        <v>4</v>
      </c>
      <c r="E313" s="1" t="s">
        <v>108</v>
      </c>
      <c r="F313" s="1" t="s">
        <v>24</v>
      </c>
      <c r="G313" s="1" t="s">
        <v>43</v>
      </c>
      <c r="H313" s="1" t="str">
        <f>VLOOKUP(F313,'[2]DX.OTHER.9.30.06 DETAIL'!$H$1:$J$65536,3,FALSE)</f>
        <v>Exp-Goods/Svcs</v>
      </c>
      <c r="I313" s="1">
        <v>0</v>
      </c>
      <c r="J313" s="2">
        <v>0</v>
      </c>
      <c r="K313" s="2">
        <v>0</v>
      </c>
      <c r="L313" s="2">
        <v>0</v>
      </c>
      <c r="M313" s="2">
        <v>0</v>
      </c>
      <c r="N313" s="1" t="str">
        <f>VLOOKUP(E313,'[1]ORG CODES'!$A:$C,3,FALSE)</f>
        <v>3413   LEGISLATIVE LIAISON</v>
      </c>
    </row>
    <row r="314" spans="1:14" ht="14.45" hidden="1" x14ac:dyDescent="0.3">
      <c r="A314" t="str">
        <f>VLOOKUP(E314,'[1]ORG CODES'!$A:$B,2,FALSE)</f>
        <v>Student Funded Programs</v>
      </c>
      <c r="B314" s="1" t="s">
        <v>2</v>
      </c>
      <c r="C314" s="1" t="s">
        <v>3</v>
      </c>
      <c r="D314" s="1" t="s">
        <v>4</v>
      </c>
      <c r="E314" s="1" t="s">
        <v>108</v>
      </c>
      <c r="F314" s="1" t="s">
        <v>24</v>
      </c>
      <c r="G314" s="1" t="s">
        <v>32</v>
      </c>
      <c r="H314" s="1" t="str">
        <f>VLOOKUP(F314,'[2]DX.OTHER.9.30.06 DETAIL'!$H$1:$J$65536,3,FALSE)</f>
        <v>Exp-Goods/Svcs</v>
      </c>
      <c r="I314" s="1">
        <v>0</v>
      </c>
      <c r="J314" s="2">
        <v>324.88</v>
      </c>
      <c r="K314" s="2">
        <v>0</v>
      </c>
      <c r="L314" s="2">
        <v>-324.88</v>
      </c>
      <c r="M314" s="2">
        <v>0</v>
      </c>
      <c r="N314" s="1" t="str">
        <f>VLOOKUP(E314,'[1]ORG CODES'!$A:$C,3,FALSE)</f>
        <v>3413   LEGISLATIVE LIAISON</v>
      </c>
    </row>
    <row r="315" spans="1:14" ht="14.45" hidden="1" x14ac:dyDescent="0.3">
      <c r="A315" t="str">
        <f>VLOOKUP(E315,'[1]ORG CODES'!$A:$B,2,FALSE)</f>
        <v>Student Funded Programs</v>
      </c>
      <c r="B315" s="1" t="s">
        <v>2</v>
      </c>
      <c r="C315" s="1" t="s">
        <v>3</v>
      </c>
      <c r="D315" s="1" t="s">
        <v>4</v>
      </c>
      <c r="E315" s="1" t="s">
        <v>109</v>
      </c>
      <c r="F315" s="1" t="s">
        <v>24</v>
      </c>
      <c r="G315" s="1" t="s">
        <v>43</v>
      </c>
      <c r="H315" s="1" t="str">
        <f>VLOOKUP(F315,'[2]DX.OTHER.9.30.06 DETAIL'!$H$1:$J$65536,3,FALSE)</f>
        <v>Exp-Goods/Svcs</v>
      </c>
      <c r="I315" s="1">
        <v>0</v>
      </c>
      <c r="J315" s="2">
        <v>1504.54</v>
      </c>
      <c r="K315" s="2">
        <v>0</v>
      </c>
      <c r="L315" s="2">
        <v>-1504.54</v>
      </c>
      <c r="M315" s="2">
        <v>0</v>
      </c>
      <c r="N315" s="1" t="str">
        <f>VLOOKUP(E315,'[1]ORG CODES'!$A:$C,3,FALSE)</f>
        <v>3414   CULTURAL SERIES</v>
      </c>
    </row>
    <row r="316" spans="1:14" ht="14.45" hidden="1" x14ac:dyDescent="0.3">
      <c r="A316" t="str">
        <f>VLOOKUP(E316,'[1]ORG CODES'!$A:$B,2,FALSE)</f>
        <v>Student Funded Programs</v>
      </c>
      <c r="B316" s="1" t="s">
        <v>2</v>
      </c>
      <c r="C316" s="1" t="s">
        <v>3</v>
      </c>
      <c r="D316" s="1" t="s">
        <v>4</v>
      </c>
      <c r="E316" s="1" t="s">
        <v>109</v>
      </c>
      <c r="F316" s="1" t="s">
        <v>24</v>
      </c>
      <c r="G316" s="1" t="s">
        <v>48</v>
      </c>
      <c r="H316" s="1" t="str">
        <f>VLOOKUP(F316,'[2]DX.OTHER.9.30.06 DETAIL'!$H$1:$J$65536,3,FALSE)</f>
        <v>Exp-Goods/Svcs</v>
      </c>
      <c r="I316" s="1">
        <v>0</v>
      </c>
      <c r="J316" s="2">
        <v>30.2</v>
      </c>
      <c r="K316" s="2">
        <v>0</v>
      </c>
      <c r="L316" s="2">
        <v>-30.2</v>
      </c>
      <c r="M316" s="2">
        <v>0</v>
      </c>
      <c r="N316" s="1" t="str">
        <f>VLOOKUP(E316,'[1]ORG CODES'!$A:$C,3,FALSE)</f>
        <v>3414   CULTURAL SERIES</v>
      </c>
    </row>
    <row r="317" spans="1:14" ht="14.45" hidden="1" x14ac:dyDescent="0.3">
      <c r="A317" t="str">
        <f>VLOOKUP(E317,'[1]ORG CODES'!$A:$B,2,FALSE)</f>
        <v>Student Funded Programs</v>
      </c>
      <c r="B317" s="1" t="s">
        <v>2</v>
      </c>
      <c r="C317" s="1" t="s">
        <v>3</v>
      </c>
      <c r="D317" s="1" t="s">
        <v>4</v>
      </c>
      <c r="E317" s="1" t="s">
        <v>109</v>
      </c>
      <c r="F317" s="1" t="s">
        <v>24</v>
      </c>
      <c r="G317" s="1" t="s">
        <v>32</v>
      </c>
      <c r="H317" s="1" t="str">
        <f>VLOOKUP(F317,'[2]DX.OTHER.9.30.06 DETAIL'!$H$1:$J$65536,3,FALSE)</f>
        <v>Exp-Goods/Svcs</v>
      </c>
      <c r="I317" s="1">
        <v>0</v>
      </c>
      <c r="J317" s="2">
        <v>1176.31</v>
      </c>
      <c r="K317" s="2">
        <v>0</v>
      </c>
      <c r="L317" s="2">
        <v>-1176.31</v>
      </c>
      <c r="M317" s="2">
        <v>0</v>
      </c>
      <c r="N317" s="1" t="str">
        <f>VLOOKUP(E317,'[1]ORG CODES'!$A:$C,3,FALSE)</f>
        <v>3414   CULTURAL SERIES</v>
      </c>
    </row>
    <row r="318" spans="1:14" ht="14.45" hidden="1" x14ac:dyDescent="0.3">
      <c r="A318" t="str">
        <f>VLOOKUP(E318,'[1]ORG CODES'!$A:$B,2,FALSE)</f>
        <v>Student Funded Programs</v>
      </c>
      <c r="B318" s="1" t="s">
        <v>2</v>
      </c>
      <c r="C318" s="1" t="s">
        <v>3</v>
      </c>
      <c r="D318" s="1" t="s">
        <v>4</v>
      </c>
      <c r="E318" s="1" t="s">
        <v>110</v>
      </c>
      <c r="F318" s="1" t="s">
        <v>24</v>
      </c>
      <c r="G318" s="1" t="s">
        <v>48</v>
      </c>
      <c r="H318" s="1" t="str">
        <f>VLOOKUP(F318,'[2]DX.OTHER.9.30.06 DETAIL'!$H$1:$J$65536,3,FALSE)</f>
        <v>Exp-Goods/Svcs</v>
      </c>
      <c r="I318" s="1">
        <v>0</v>
      </c>
      <c r="J318" s="2">
        <v>1.6</v>
      </c>
      <c r="K318" s="2">
        <v>0</v>
      </c>
      <c r="L318" s="2">
        <v>-1.6</v>
      </c>
      <c r="M318" s="2">
        <v>0</v>
      </c>
      <c r="N318" s="1" t="str">
        <f>VLOOKUP(E318,'[1]ORG CODES'!$A:$C,3,FALSE)</f>
        <v>3415   SUPPLIES</v>
      </c>
    </row>
    <row r="319" spans="1:14" ht="14.45" hidden="1" x14ac:dyDescent="0.3">
      <c r="A319" t="str">
        <f>VLOOKUP(E319,'[1]ORG CODES'!$A:$B,2,FALSE)</f>
        <v>Student Funded Programs</v>
      </c>
      <c r="B319" s="1" t="s">
        <v>2</v>
      </c>
      <c r="C319" s="1" t="s">
        <v>3</v>
      </c>
      <c r="D319" s="1" t="s">
        <v>4</v>
      </c>
      <c r="E319" s="1" t="s">
        <v>110</v>
      </c>
      <c r="F319" s="1" t="s">
        <v>24</v>
      </c>
      <c r="G319" s="1" t="s">
        <v>32</v>
      </c>
      <c r="H319" s="1" t="str">
        <f>VLOOKUP(F319,'[2]DX.OTHER.9.30.06 DETAIL'!$H$1:$J$65536,3,FALSE)</f>
        <v>Exp-Goods/Svcs</v>
      </c>
      <c r="I319" s="1">
        <v>0</v>
      </c>
      <c r="J319" s="2">
        <v>58.59</v>
      </c>
      <c r="K319" s="2">
        <v>0</v>
      </c>
      <c r="L319" s="2">
        <v>-58.59</v>
      </c>
      <c r="M319" s="2">
        <v>0</v>
      </c>
      <c r="N319" s="1" t="str">
        <f>VLOOKUP(E319,'[1]ORG CODES'!$A:$C,3,FALSE)</f>
        <v>3415   SUPPLIES</v>
      </c>
    </row>
    <row r="320" spans="1:14" ht="14.45" hidden="1" x14ac:dyDescent="0.3">
      <c r="A320" t="str">
        <f>VLOOKUP(E320,'[1]ORG CODES'!$A:$B,2,FALSE)</f>
        <v>Student Funded Programs</v>
      </c>
      <c r="B320" s="1" t="s">
        <v>2</v>
      </c>
      <c r="C320" s="1" t="s">
        <v>3</v>
      </c>
      <c r="D320" s="1" t="s">
        <v>4</v>
      </c>
      <c r="E320" s="1" t="s">
        <v>114</v>
      </c>
      <c r="F320" s="1" t="s">
        <v>24</v>
      </c>
      <c r="G320" s="1" t="s">
        <v>32</v>
      </c>
      <c r="H320" s="1" t="str">
        <f>VLOOKUP(F320,'[2]DX.OTHER.9.30.06 DETAIL'!$H$1:$J$65536,3,FALSE)</f>
        <v>Exp-Goods/Svcs</v>
      </c>
      <c r="I320" s="1">
        <v>0</v>
      </c>
      <c r="J320" s="2">
        <v>56.61</v>
      </c>
      <c r="K320" s="2">
        <v>0</v>
      </c>
      <c r="L320" s="2">
        <v>-56.61</v>
      </c>
      <c r="M320" s="2">
        <v>0</v>
      </c>
      <c r="N320" s="1" t="str">
        <f>VLOOKUP(E320,'[1]ORG CODES'!$A:$C,3,FALSE)</f>
        <v>3417   TRAVEL</v>
      </c>
    </row>
    <row r="321" spans="1:14" ht="14.45" hidden="1" x14ac:dyDescent="0.3">
      <c r="A321" t="str">
        <f>VLOOKUP(E321,'[1]ORG CODES'!$A:$B,2,FALSE)</f>
        <v>Student Funded Programs</v>
      </c>
      <c r="B321" s="1" t="s">
        <v>2</v>
      </c>
      <c r="C321" s="1" t="s">
        <v>3</v>
      </c>
      <c r="D321" s="1" t="s">
        <v>4</v>
      </c>
      <c r="E321" s="1" t="s">
        <v>115</v>
      </c>
      <c r="F321" s="1" t="s">
        <v>24</v>
      </c>
      <c r="G321" s="1" t="s">
        <v>48</v>
      </c>
      <c r="H321" s="1" t="str">
        <f>VLOOKUP(F321,'[2]DX.OTHER.9.30.06 DETAIL'!$H$1:$J$65536,3,FALSE)</f>
        <v>Exp-Goods/Svcs</v>
      </c>
      <c r="I321" s="1">
        <v>0</v>
      </c>
      <c r="J321" s="2">
        <v>27.12</v>
      </c>
      <c r="K321" s="2">
        <v>0</v>
      </c>
      <c r="L321" s="2">
        <v>-27.12</v>
      </c>
      <c r="M321" s="2">
        <v>0</v>
      </c>
      <c r="N321" s="1" t="str">
        <f>VLOOKUP(E321,'[1]ORG CODES'!$A:$C,3,FALSE)</f>
        <v>3418   FOOD BANK</v>
      </c>
    </row>
    <row r="322" spans="1:14" ht="14.45" hidden="1" x14ac:dyDescent="0.3">
      <c r="A322" t="str">
        <f>VLOOKUP(E322,'[1]ORG CODES'!$A:$B,2,FALSE)</f>
        <v>Student Funded Programs</v>
      </c>
      <c r="B322" s="1" t="s">
        <v>2</v>
      </c>
      <c r="C322" s="1" t="s">
        <v>3</v>
      </c>
      <c r="D322" s="1" t="s">
        <v>4</v>
      </c>
      <c r="E322" s="1" t="s">
        <v>115</v>
      </c>
      <c r="F322" s="1" t="s">
        <v>24</v>
      </c>
      <c r="G322" s="1" t="s">
        <v>32</v>
      </c>
      <c r="H322" s="1" t="str">
        <f>VLOOKUP(F322,'[2]DX.OTHER.9.30.06 DETAIL'!$H$1:$J$65536,3,FALSE)</f>
        <v>Exp-Goods/Svcs</v>
      </c>
      <c r="I322" s="1">
        <v>0</v>
      </c>
      <c r="J322" s="2">
        <v>18107.759999999998</v>
      </c>
      <c r="K322" s="2">
        <v>0</v>
      </c>
      <c r="L322" s="2">
        <v>-18107.759999999998</v>
      </c>
      <c r="M322" s="2">
        <v>0</v>
      </c>
      <c r="N322" s="1" t="str">
        <f>VLOOKUP(E322,'[1]ORG CODES'!$A:$C,3,FALSE)</f>
        <v>3418   FOOD BANK</v>
      </c>
    </row>
    <row r="323" spans="1:14" ht="14.45" hidden="1" x14ac:dyDescent="0.3">
      <c r="A323" t="str">
        <f>VLOOKUP(E323,'[1]ORG CODES'!$A:$B,2,FALSE)</f>
        <v>Student Funded Programs</v>
      </c>
      <c r="B323" s="1" t="s">
        <v>2</v>
      </c>
      <c r="C323" s="1" t="s">
        <v>3</v>
      </c>
      <c r="D323" s="1" t="s">
        <v>4</v>
      </c>
      <c r="E323" s="1" t="s">
        <v>117</v>
      </c>
      <c r="F323" s="1" t="s">
        <v>24</v>
      </c>
      <c r="G323" s="1" t="s">
        <v>32</v>
      </c>
      <c r="H323" s="1" t="str">
        <f>VLOOKUP(F323,'[2]DX.OTHER.9.30.06 DETAIL'!$H$1:$J$65536,3,FALSE)</f>
        <v>Exp-Goods/Svcs</v>
      </c>
      <c r="I323" s="1">
        <v>0</v>
      </c>
      <c r="J323" s="2">
        <v>2359.16</v>
      </c>
      <c r="K323" s="2">
        <v>0</v>
      </c>
      <c r="L323" s="2">
        <v>-2359.16</v>
      </c>
      <c r="M323" s="2">
        <v>0</v>
      </c>
      <c r="N323" s="1" t="str">
        <f>VLOOKUP(E323,'[1]ORG CODES'!$A:$C,3,FALSE)</f>
        <v>3420   SPECIAL EVENTS</v>
      </c>
    </row>
    <row r="324" spans="1:14" ht="14.45" hidden="1" x14ac:dyDescent="0.3">
      <c r="A324" t="str">
        <f>VLOOKUP(E324,'[1]ORG CODES'!$A:$B,2,FALSE)</f>
        <v>Student Funded Programs</v>
      </c>
      <c r="B324" s="1" t="s">
        <v>2</v>
      </c>
      <c r="C324" s="1" t="s">
        <v>3</v>
      </c>
      <c r="D324" s="1" t="s">
        <v>4</v>
      </c>
      <c r="E324" s="1" t="s">
        <v>119</v>
      </c>
      <c r="F324" s="1" t="s">
        <v>24</v>
      </c>
      <c r="G324" s="1" t="s">
        <v>76</v>
      </c>
      <c r="H324" s="1" t="str">
        <f>VLOOKUP(F324,'[2]DX.OTHER.9.30.06 DETAIL'!$H$1:$J$65536,3,FALSE)</f>
        <v>Exp-Goods/Svcs</v>
      </c>
      <c r="I324" s="1">
        <v>0</v>
      </c>
      <c r="J324" s="2">
        <v>4211.75</v>
      </c>
      <c r="K324" s="2">
        <v>0</v>
      </c>
      <c r="L324" s="2">
        <v>-4211.75</v>
      </c>
      <c r="M324" s="2">
        <v>0</v>
      </c>
      <c r="N324" s="1" t="str">
        <f>VLOOKUP(E324,'[1]ORG CODES'!$A:$C,3,FALSE)</f>
        <v>3422   MUSIC PERF LICENSE</v>
      </c>
    </row>
    <row r="325" spans="1:14" ht="14.45" hidden="1" x14ac:dyDescent="0.3">
      <c r="A325" t="str">
        <f>VLOOKUP(E325,'[1]ORG CODES'!$A:$B,2,FALSE)</f>
        <v>Student Funded Programs</v>
      </c>
      <c r="B325" s="1" t="s">
        <v>2</v>
      </c>
      <c r="C325" s="1" t="s">
        <v>3</v>
      </c>
      <c r="D325" s="1" t="s">
        <v>4</v>
      </c>
      <c r="E325" s="1" t="s">
        <v>120</v>
      </c>
      <c r="F325" s="1" t="s">
        <v>24</v>
      </c>
      <c r="G325" s="1" t="s">
        <v>32</v>
      </c>
      <c r="H325" s="1" t="str">
        <f>VLOOKUP(F325,'[2]DX.OTHER.9.30.06 DETAIL'!$H$1:$J$65536,3,FALSE)</f>
        <v>Exp-Goods/Svcs</v>
      </c>
      <c r="I325" s="1">
        <v>0</v>
      </c>
      <c r="J325" s="2">
        <v>232.25</v>
      </c>
      <c r="K325" s="2">
        <v>0</v>
      </c>
      <c r="L325" s="2">
        <v>-232.25</v>
      </c>
      <c r="M325" s="2">
        <v>0</v>
      </c>
      <c r="N325" s="1" t="str">
        <f>VLOOKUP(E325,'[1]ORG CODES'!$A:$C,3,FALSE)</f>
        <v>3423   COLLEGE-WIDE THEME</v>
      </c>
    </row>
    <row r="326" spans="1:14" ht="14.45" hidden="1" x14ac:dyDescent="0.3">
      <c r="A326" t="str">
        <f>VLOOKUP(E326,'[1]ORG CODES'!$A:$B,2,FALSE)</f>
        <v>Student Funded Programs</v>
      </c>
      <c r="B326" s="1" t="s">
        <v>2</v>
      </c>
      <c r="C326" s="1" t="s">
        <v>3</v>
      </c>
      <c r="D326" s="1" t="s">
        <v>4</v>
      </c>
      <c r="E326" s="1" t="s">
        <v>121</v>
      </c>
      <c r="F326" s="1" t="s">
        <v>24</v>
      </c>
      <c r="G326" s="1" t="s">
        <v>32</v>
      </c>
      <c r="H326" s="1" t="str">
        <f>VLOOKUP(F326,'[2]DX.OTHER.9.30.06 DETAIL'!$H$1:$J$65536,3,FALSE)</f>
        <v>Exp-Goods/Svcs</v>
      </c>
      <c r="I326" s="1">
        <v>0</v>
      </c>
      <c r="J326" s="2">
        <v>526.29999999999995</v>
      </c>
      <c r="K326" s="2">
        <v>0</v>
      </c>
      <c r="L326" s="2">
        <v>-526.29999999999995</v>
      </c>
      <c r="M326" s="2">
        <v>0</v>
      </c>
      <c r="N326" s="1" t="str">
        <f>VLOOKUP(E326,'[1]ORG CODES'!$A:$C,3,FALSE)</f>
        <v>3424   SPEAKERS/SEMINARS</v>
      </c>
    </row>
    <row r="327" spans="1:14" ht="14.45" hidden="1" x14ac:dyDescent="0.3">
      <c r="A327" t="str">
        <f>VLOOKUP(E327,'[1]ORG CODES'!$A:$B,2,FALSE)</f>
        <v>Student Funded Programs</v>
      </c>
      <c r="B327" s="1" t="s">
        <v>2</v>
      </c>
      <c r="C327" s="1" t="s">
        <v>3</v>
      </c>
      <c r="D327" s="1" t="s">
        <v>4</v>
      </c>
      <c r="E327" s="1" t="s">
        <v>122</v>
      </c>
      <c r="F327" s="1" t="s">
        <v>24</v>
      </c>
      <c r="G327" s="1" t="s">
        <v>43</v>
      </c>
      <c r="H327" s="1" t="str">
        <f>VLOOKUP(F327,'[2]DX.OTHER.9.30.06 DETAIL'!$H$1:$J$65536,3,FALSE)</f>
        <v>Exp-Goods/Svcs</v>
      </c>
      <c r="I327" s="1">
        <v>0</v>
      </c>
      <c r="J327" s="2">
        <v>1598.47</v>
      </c>
      <c r="K327" s="2">
        <v>0</v>
      </c>
      <c r="L327" s="2">
        <v>-1598.47</v>
      </c>
      <c r="M327" s="2">
        <v>0</v>
      </c>
      <c r="N327" s="1" t="str">
        <f>VLOOKUP(E327,'[1]ORG CODES'!$A:$C,3,FALSE)</f>
        <v>3425   OUTREACH EDUCATION</v>
      </c>
    </row>
    <row r="328" spans="1:14" ht="14.45" hidden="1" x14ac:dyDescent="0.3">
      <c r="A328" t="str">
        <f>VLOOKUP(E328,'[1]ORG CODES'!$A:$B,2,FALSE)</f>
        <v>Student Funded Programs</v>
      </c>
      <c r="B328" s="1" t="s">
        <v>2</v>
      </c>
      <c r="C328" s="1" t="s">
        <v>3</v>
      </c>
      <c r="D328" s="1" t="s">
        <v>4</v>
      </c>
      <c r="E328" s="1" t="s">
        <v>122</v>
      </c>
      <c r="F328" s="1" t="s">
        <v>24</v>
      </c>
      <c r="G328" s="1" t="s">
        <v>32</v>
      </c>
      <c r="H328" s="1" t="str">
        <f>VLOOKUP(F328,'[2]DX.OTHER.9.30.06 DETAIL'!$H$1:$J$65536,3,FALSE)</f>
        <v>Exp-Goods/Svcs</v>
      </c>
      <c r="I328" s="1">
        <v>0</v>
      </c>
      <c r="J328" s="2">
        <v>2549.9699999999998</v>
      </c>
      <c r="K328" s="2">
        <v>0</v>
      </c>
      <c r="L328" s="2">
        <v>-2549.9699999999998</v>
      </c>
      <c r="M328" s="2">
        <v>0</v>
      </c>
      <c r="N328" s="1" t="str">
        <f>VLOOKUP(E328,'[1]ORG CODES'!$A:$C,3,FALSE)</f>
        <v>3425   OUTREACH EDUCATION</v>
      </c>
    </row>
    <row r="329" spans="1:14" ht="14.45" hidden="1" x14ac:dyDescent="0.3">
      <c r="A329" t="str">
        <f>VLOOKUP(E329,'[1]ORG CODES'!$A:$B,2,FALSE)</f>
        <v>Student Funded Programs</v>
      </c>
      <c r="B329" s="1" t="s">
        <v>2</v>
      </c>
      <c r="C329" s="1" t="s">
        <v>3</v>
      </c>
      <c r="D329" s="1" t="s">
        <v>4</v>
      </c>
      <c r="E329" s="1" t="s">
        <v>123</v>
      </c>
      <c r="F329" s="1" t="s">
        <v>24</v>
      </c>
      <c r="G329" s="1" t="s">
        <v>43</v>
      </c>
      <c r="H329" s="1" t="str">
        <f>VLOOKUP(F329,'[2]DX.OTHER.9.30.06 DETAIL'!$H$1:$J$65536,3,FALSE)</f>
        <v>Exp-Goods/Svcs</v>
      </c>
      <c r="I329" s="1">
        <v>0</v>
      </c>
      <c r="J329" s="2">
        <v>200</v>
      </c>
      <c r="K329" s="2">
        <v>0</v>
      </c>
      <c r="L329" s="2">
        <v>-200</v>
      </c>
      <c r="M329" s="2">
        <v>0</v>
      </c>
      <c r="N329" s="1" t="str">
        <f>VLOOKUP(E329,'[1]ORG CODES'!$A:$C,3,FALSE)</f>
        <v>3426   EQUIPMENT</v>
      </c>
    </row>
    <row r="330" spans="1:14" ht="14.45" hidden="1" x14ac:dyDescent="0.3">
      <c r="A330" t="str">
        <f>VLOOKUP(E330,'[1]ORG CODES'!$A:$B,2,FALSE)</f>
        <v>Student Funded Programs</v>
      </c>
      <c r="B330" s="1" t="s">
        <v>2</v>
      </c>
      <c r="C330" s="1" t="s">
        <v>3</v>
      </c>
      <c r="D330" s="1" t="s">
        <v>4</v>
      </c>
      <c r="E330" s="1" t="s">
        <v>123</v>
      </c>
      <c r="F330" s="1" t="s">
        <v>24</v>
      </c>
      <c r="G330" s="1" t="s">
        <v>48</v>
      </c>
      <c r="H330" s="1" t="str">
        <f>VLOOKUP(F330,'[2]DX.OTHER.9.30.06 DETAIL'!$H$1:$J$65536,3,FALSE)</f>
        <v>Exp-Goods/Svcs</v>
      </c>
      <c r="I330" s="1">
        <v>0</v>
      </c>
      <c r="J330" s="2">
        <v>24.4</v>
      </c>
      <c r="K330" s="2">
        <v>0</v>
      </c>
      <c r="L330" s="2">
        <v>-24.4</v>
      </c>
      <c r="M330" s="2">
        <v>0</v>
      </c>
      <c r="N330" s="1" t="str">
        <f>VLOOKUP(E330,'[1]ORG CODES'!$A:$C,3,FALSE)</f>
        <v>3426   EQUIPMENT</v>
      </c>
    </row>
    <row r="331" spans="1:14" ht="14.45" hidden="1" x14ac:dyDescent="0.3">
      <c r="A331" t="str">
        <f>VLOOKUP(E331,'[1]ORG CODES'!$A:$B,2,FALSE)</f>
        <v>Student Funded Programs</v>
      </c>
      <c r="B331" s="1" t="s">
        <v>2</v>
      </c>
      <c r="C331" s="1" t="s">
        <v>3</v>
      </c>
      <c r="D331" s="1" t="s">
        <v>4</v>
      </c>
      <c r="E331" s="1" t="s">
        <v>123</v>
      </c>
      <c r="F331" s="1" t="s">
        <v>24</v>
      </c>
      <c r="G331" s="1" t="s">
        <v>32</v>
      </c>
      <c r="H331" s="1" t="str">
        <f>VLOOKUP(F331,'[2]DX.OTHER.9.30.06 DETAIL'!$H$1:$J$65536,3,FALSE)</f>
        <v>Exp-Goods/Svcs</v>
      </c>
      <c r="I331" s="1">
        <v>0</v>
      </c>
      <c r="J331" s="2">
        <v>45.92</v>
      </c>
      <c r="K331" s="2">
        <v>0</v>
      </c>
      <c r="L331" s="2">
        <v>-45.92</v>
      </c>
      <c r="M331" s="2">
        <v>0</v>
      </c>
      <c r="N331" s="1" t="str">
        <f>VLOOKUP(E331,'[1]ORG CODES'!$A:$C,3,FALSE)</f>
        <v>3426   EQUIPMENT</v>
      </c>
    </row>
    <row r="332" spans="1:14" ht="14.45" hidden="1" x14ac:dyDescent="0.3">
      <c r="A332" t="str">
        <f>VLOOKUP(E332,'[1]ORG CODES'!$A:$B,2,FALSE)</f>
        <v>Student Funded Programs</v>
      </c>
      <c r="B332" s="1" t="s">
        <v>2</v>
      </c>
      <c r="C332" s="1" t="s">
        <v>3</v>
      </c>
      <c r="D332" s="1" t="s">
        <v>4</v>
      </c>
      <c r="E332" s="1" t="s">
        <v>125</v>
      </c>
      <c r="F332" s="1" t="s">
        <v>24</v>
      </c>
      <c r="G332" s="1" t="s">
        <v>48</v>
      </c>
      <c r="H332" s="1" t="str">
        <f>VLOOKUP(F332,'[2]DX.OTHER.9.30.06 DETAIL'!$H$1:$J$65536,3,FALSE)</f>
        <v>Exp-Goods/Svcs</v>
      </c>
      <c r="I332" s="1">
        <v>0</v>
      </c>
      <c r="J332" s="2">
        <v>34.54</v>
      </c>
      <c r="K332" s="2">
        <v>0</v>
      </c>
      <c r="L332" s="2">
        <v>-34.54</v>
      </c>
      <c r="M332" s="2">
        <v>0</v>
      </c>
      <c r="N332" s="1" t="str">
        <f>VLOOKUP(E332,'[1]ORG CODES'!$A:$C,3,FALSE)</f>
        <v>3428   SECURITY</v>
      </c>
    </row>
    <row r="333" spans="1:14" ht="14.45" hidden="1" x14ac:dyDescent="0.3">
      <c r="A333" t="str">
        <f>VLOOKUP(E333,'[1]ORG CODES'!$A:$B,2,FALSE)</f>
        <v>Student Funded Programs</v>
      </c>
      <c r="B333" s="1" t="s">
        <v>2</v>
      </c>
      <c r="C333" s="1" t="s">
        <v>3</v>
      </c>
      <c r="D333" s="1" t="s">
        <v>4</v>
      </c>
      <c r="E333" s="1" t="s">
        <v>125</v>
      </c>
      <c r="F333" s="1" t="s">
        <v>24</v>
      </c>
      <c r="G333" s="1" t="s">
        <v>32</v>
      </c>
      <c r="H333" s="1" t="str">
        <f>VLOOKUP(F333,'[2]DX.OTHER.9.30.06 DETAIL'!$H$1:$J$65536,3,FALSE)</f>
        <v>Exp-Goods/Svcs</v>
      </c>
      <c r="I333" s="1">
        <v>0</v>
      </c>
      <c r="J333" s="2">
        <v>260.26</v>
      </c>
      <c r="K333" s="2">
        <v>0</v>
      </c>
      <c r="L333" s="2">
        <v>-260.26</v>
      </c>
      <c r="M333" s="2">
        <v>0</v>
      </c>
      <c r="N333" s="1" t="str">
        <f>VLOOKUP(E333,'[1]ORG CODES'!$A:$C,3,FALSE)</f>
        <v>3428   SECURITY</v>
      </c>
    </row>
    <row r="334" spans="1:14" ht="14.45" hidden="1" x14ac:dyDescent="0.3">
      <c r="A334" t="str">
        <f>VLOOKUP(E334,'[1]ORG CODES'!$A:$B,2,FALSE)</f>
        <v>Student Funded Programs</v>
      </c>
      <c r="B334" s="1" t="s">
        <v>2</v>
      </c>
      <c r="C334" s="1" t="s">
        <v>3</v>
      </c>
      <c r="D334" s="1" t="s">
        <v>4</v>
      </c>
      <c r="E334" s="1" t="s">
        <v>128</v>
      </c>
      <c r="F334" s="1" t="s">
        <v>24</v>
      </c>
      <c r="G334" s="1" t="s">
        <v>32</v>
      </c>
      <c r="H334" s="1" t="str">
        <f>VLOOKUP(F334,'[2]DX.OTHER.9.30.06 DETAIL'!$H$1:$J$65536,3,FALSE)</f>
        <v>Exp-Goods/Svcs</v>
      </c>
      <c r="I334" s="1">
        <v>0</v>
      </c>
      <c r="J334" s="2">
        <v>0</v>
      </c>
      <c r="K334" s="2">
        <v>0</v>
      </c>
      <c r="L334" s="2">
        <v>0</v>
      </c>
      <c r="M334" s="2">
        <v>0</v>
      </c>
      <c r="N334" s="1" t="str">
        <f>VLOOKUP(E334,'[1]ORG CODES'!$A:$C,3,FALSE)</f>
        <v>3431   PT HOURLY SUPPORT</v>
      </c>
    </row>
    <row r="335" spans="1:14" ht="14.45" hidden="1" x14ac:dyDescent="0.3">
      <c r="A335" t="str">
        <f>VLOOKUP(E335,'[1]ORG CODES'!$A:$B,2,FALSE)</f>
        <v>Student Funded Programs</v>
      </c>
      <c r="B335" s="1" t="s">
        <v>2</v>
      </c>
      <c r="C335" s="1" t="s">
        <v>3</v>
      </c>
      <c r="D335" s="1" t="s">
        <v>4</v>
      </c>
      <c r="E335" s="1" t="s">
        <v>130</v>
      </c>
      <c r="F335" s="1" t="s">
        <v>24</v>
      </c>
      <c r="G335" s="1" t="s">
        <v>43</v>
      </c>
      <c r="H335" s="1" t="str">
        <f>VLOOKUP(F335,'[2]DX.OTHER.9.30.06 DETAIL'!$H$1:$J$65536,3,FALSE)</f>
        <v>Exp-Goods/Svcs</v>
      </c>
      <c r="I335" s="1">
        <v>0</v>
      </c>
      <c r="J335" s="2">
        <v>317.13</v>
      </c>
      <c r="K335" s="2">
        <v>0</v>
      </c>
      <c r="L335" s="2">
        <v>-317.13</v>
      </c>
      <c r="M335" s="2">
        <v>0</v>
      </c>
      <c r="N335" s="1" t="str">
        <f>VLOOKUP(E335,'[1]ORG CODES'!$A:$C,3,FALSE)</f>
        <v>3433   ANIME CLUB</v>
      </c>
    </row>
    <row r="336" spans="1:14" ht="14.45" hidden="1" x14ac:dyDescent="0.3">
      <c r="A336" t="str">
        <f>VLOOKUP(E336,'[1]ORG CODES'!$A:$B,2,FALSE)</f>
        <v>Student Funded Programs</v>
      </c>
      <c r="B336" s="1" t="s">
        <v>2</v>
      </c>
      <c r="C336" s="1" t="s">
        <v>3</v>
      </c>
      <c r="D336" s="1" t="s">
        <v>4</v>
      </c>
      <c r="E336" s="1" t="s">
        <v>130</v>
      </c>
      <c r="F336" s="1" t="s">
        <v>24</v>
      </c>
      <c r="G336" s="1" t="s">
        <v>48</v>
      </c>
      <c r="H336" s="1" t="str">
        <f>VLOOKUP(F336,'[2]DX.OTHER.9.30.06 DETAIL'!$H$1:$J$65536,3,FALSE)</f>
        <v>Exp-Goods/Svcs</v>
      </c>
      <c r="I336" s="1">
        <v>0</v>
      </c>
      <c r="J336" s="2">
        <v>34.54</v>
      </c>
      <c r="K336" s="2">
        <v>0</v>
      </c>
      <c r="L336" s="2">
        <v>-34.54</v>
      </c>
      <c r="M336" s="2">
        <v>0</v>
      </c>
      <c r="N336" s="1" t="str">
        <f>VLOOKUP(E336,'[1]ORG CODES'!$A:$C,3,FALSE)</f>
        <v>3433   ANIME CLUB</v>
      </c>
    </row>
    <row r="337" spans="1:14" ht="14.45" hidden="1" x14ac:dyDescent="0.3">
      <c r="A337" t="str">
        <f>VLOOKUP(E337,'[1]ORG CODES'!$A:$B,2,FALSE)</f>
        <v>Student Funded Programs</v>
      </c>
      <c r="B337" s="1" t="s">
        <v>2</v>
      </c>
      <c r="C337" s="1" t="s">
        <v>3</v>
      </c>
      <c r="D337" s="1" t="s">
        <v>4</v>
      </c>
      <c r="E337" s="1" t="s">
        <v>130</v>
      </c>
      <c r="F337" s="1" t="s">
        <v>24</v>
      </c>
      <c r="G337" s="1" t="s">
        <v>32</v>
      </c>
      <c r="H337" s="1" t="str">
        <f>VLOOKUP(F337,'[2]DX.OTHER.9.30.06 DETAIL'!$H$1:$J$65536,3,FALSE)</f>
        <v>Exp-Goods/Svcs</v>
      </c>
      <c r="I337" s="1">
        <v>0</v>
      </c>
      <c r="J337" s="2">
        <v>384.46</v>
      </c>
      <c r="K337" s="2">
        <v>0</v>
      </c>
      <c r="L337" s="2">
        <v>-384.46</v>
      </c>
      <c r="M337" s="2">
        <v>0</v>
      </c>
      <c r="N337" s="1" t="str">
        <f>VLOOKUP(E337,'[1]ORG CODES'!$A:$C,3,FALSE)</f>
        <v>3433   ANIME CLUB</v>
      </c>
    </row>
    <row r="338" spans="1:14" ht="14.45" hidden="1" x14ac:dyDescent="0.3">
      <c r="A338" t="str">
        <f>VLOOKUP(E338,'[1]ORG CODES'!$A:$B,2,FALSE)</f>
        <v>Student Funded Programs</v>
      </c>
      <c r="B338" s="1" t="s">
        <v>2</v>
      </c>
      <c r="C338" s="1" t="s">
        <v>3</v>
      </c>
      <c r="D338" s="1" t="s">
        <v>4</v>
      </c>
      <c r="E338" s="1" t="s">
        <v>132</v>
      </c>
      <c r="F338" s="1" t="s">
        <v>24</v>
      </c>
      <c r="G338" s="1" t="s">
        <v>43</v>
      </c>
      <c r="H338" s="1" t="str">
        <f>VLOOKUP(F338,'[2]DX.OTHER.9.30.06 DETAIL'!$H$1:$J$65536,3,FALSE)</f>
        <v>Exp-Goods/Svcs</v>
      </c>
      <c r="I338" s="1">
        <v>0</v>
      </c>
      <c r="J338" s="2">
        <v>350</v>
      </c>
      <c r="K338" s="2">
        <v>0</v>
      </c>
      <c r="L338" s="2">
        <v>-350</v>
      </c>
      <c r="M338" s="2">
        <v>0</v>
      </c>
      <c r="N338" s="1" t="str">
        <f>VLOOKUP(E338,'[1]ORG CODES'!$A:$C,3,FALSE)</f>
        <v>3435   BLACK STUDENT UNION</v>
      </c>
    </row>
    <row r="339" spans="1:14" ht="14.45" hidden="1" x14ac:dyDescent="0.3">
      <c r="A339" t="str">
        <f>VLOOKUP(E339,'[1]ORG CODES'!$A:$B,2,FALSE)</f>
        <v>Student Funded Programs</v>
      </c>
      <c r="B339" s="1" t="s">
        <v>2</v>
      </c>
      <c r="C339" s="1" t="s">
        <v>3</v>
      </c>
      <c r="D339" s="1" t="s">
        <v>4</v>
      </c>
      <c r="E339" s="1" t="s">
        <v>132</v>
      </c>
      <c r="F339" s="1" t="s">
        <v>24</v>
      </c>
      <c r="G339" s="1" t="s">
        <v>48</v>
      </c>
      <c r="H339" s="1" t="str">
        <f>VLOOKUP(F339,'[2]DX.OTHER.9.30.06 DETAIL'!$H$1:$J$65536,3,FALSE)</f>
        <v>Exp-Goods/Svcs</v>
      </c>
      <c r="I339" s="1">
        <v>0</v>
      </c>
      <c r="J339" s="2">
        <v>165.13</v>
      </c>
      <c r="K339" s="2">
        <v>0</v>
      </c>
      <c r="L339" s="2">
        <v>-165.13</v>
      </c>
      <c r="M339" s="2">
        <v>0</v>
      </c>
      <c r="N339" s="1" t="str">
        <f>VLOOKUP(E339,'[1]ORG CODES'!$A:$C,3,FALSE)</f>
        <v>3435   BLACK STUDENT UNION</v>
      </c>
    </row>
    <row r="340" spans="1:14" ht="14.45" hidden="1" x14ac:dyDescent="0.3">
      <c r="A340" t="str">
        <f>VLOOKUP(E340,'[1]ORG CODES'!$A:$B,2,FALSE)</f>
        <v>Student Funded Programs</v>
      </c>
      <c r="B340" s="1" t="s">
        <v>2</v>
      </c>
      <c r="C340" s="1" t="s">
        <v>3</v>
      </c>
      <c r="D340" s="1" t="s">
        <v>4</v>
      </c>
      <c r="E340" s="1" t="s">
        <v>132</v>
      </c>
      <c r="F340" s="1" t="s">
        <v>24</v>
      </c>
      <c r="G340" s="1" t="s">
        <v>32</v>
      </c>
      <c r="H340" s="1" t="str">
        <f>VLOOKUP(F340,'[2]DX.OTHER.9.30.06 DETAIL'!$H$1:$J$65536,3,FALSE)</f>
        <v>Exp-Goods/Svcs</v>
      </c>
      <c r="I340" s="1">
        <v>0</v>
      </c>
      <c r="J340" s="2">
        <v>3323.8</v>
      </c>
      <c r="K340" s="2">
        <v>0</v>
      </c>
      <c r="L340" s="2">
        <v>-3323.8</v>
      </c>
      <c r="M340" s="2">
        <v>0</v>
      </c>
      <c r="N340" s="1" t="str">
        <f>VLOOKUP(E340,'[1]ORG CODES'!$A:$C,3,FALSE)</f>
        <v>3435   BLACK STUDENT UNION</v>
      </c>
    </row>
    <row r="341" spans="1:14" ht="14.45" hidden="1" x14ac:dyDescent="0.3">
      <c r="A341" t="str">
        <f>VLOOKUP(E341,'[1]ORG CODES'!$A:$B,2,FALSE)</f>
        <v>Student Funded Programs</v>
      </c>
      <c r="B341" s="1" t="s">
        <v>2</v>
      </c>
      <c r="C341" s="1" t="s">
        <v>3</v>
      </c>
      <c r="D341" s="1" t="s">
        <v>4</v>
      </c>
      <c r="E341" s="1" t="s">
        <v>134</v>
      </c>
      <c r="F341" s="1" t="s">
        <v>24</v>
      </c>
      <c r="G341" s="1" t="s">
        <v>43</v>
      </c>
      <c r="H341" s="1" t="str">
        <f>VLOOKUP(F341,'[2]DX.OTHER.9.30.06 DETAIL'!$H$1:$J$65536,3,FALSE)</f>
        <v>Exp-Goods/Svcs</v>
      </c>
      <c r="I341" s="1">
        <v>0</v>
      </c>
      <c r="J341" s="2">
        <v>282.49</v>
      </c>
      <c r="K341" s="2">
        <v>0</v>
      </c>
      <c r="L341" s="2">
        <v>-282.49</v>
      </c>
      <c r="M341" s="2">
        <v>0</v>
      </c>
      <c r="N341" s="1" t="str">
        <f>VLOOKUP(E341,'[1]ORG CODES'!$A:$C,3,FALSE)</f>
        <v>3436   ART CLUB</v>
      </c>
    </row>
    <row r="342" spans="1:14" ht="14.45" hidden="1" x14ac:dyDescent="0.3">
      <c r="A342" t="str">
        <f>VLOOKUP(E342,'[1]ORG CODES'!$A:$B,2,FALSE)</f>
        <v>Student Funded Programs</v>
      </c>
      <c r="B342" s="1" t="s">
        <v>2</v>
      </c>
      <c r="C342" s="1" t="s">
        <v>3</v>
      </c>
      <c r="D342" s="1" t="s">
        <v>4</v>
      </c>
      <c r="E342" s="1" t="s">
        <v>134</v>
      </c>
      <c r="F342" s="1" t="s">
        <v>24</v>
      </c>
      <c r="G342" s="1" t="s">
        <v>32</v>
      </c>
      <c r="H342" s="1" t="str">
        <f>VLOOKUP(F342,'[2]DX.OTHER.9.30.06 DETAIL'!$H$1:$J$65536,3,FALSE)</f>
        <v>Exp-Goods/Svcs</v>
      </c>
      <c r="I342" s="1">
        <v>0</v>
      </c>
      <c r="J342" s="2">
        <v>1454.8</v>
      </c>
      <c r="K342" s="2">
        <v>0</v>
      </c>
      <c r="L342" s="2">
        <v>-1454.8</v>
      </c>
      <c r="M342" s="2">
        <v>0</v>
      </c>
      <c r="N342" s="1" t="str">
        <f>VLOOKUP(E342,'[1]ORG CODES'!$A:$C,3,FALSE)</f>
        <v>3436   ART CLUB</v>
      </c>
    </row>
    <row r="343" spans="1:14" ht="14.45" hidden="1" x14ac:dyDescent="0.3">
      <c r="A343" t="str">
        <f>VLOOKUP(E343,'[1]ORG CODES'!$A:$B,2,FALSE)</f>
        <v>Student Funded Programs</v>
      </c>
      <c r="B343" s="1" t="s">
        <v>2</v>
      </c>
      <c r="C343" s="1" t="s">
        <v>3</v>
      </c>
      <c r="D343" s="1" t="s">
        <v>4</v>
      </c>
      <c r="E343" s="1" t="s">
        <v>135</v>
      </c>
      <c r="F343" s="1" t="s">
        <v>24</v>
      </c>
      <c r="G343" s="1" t="s">
        <v>43</v>
      </c>
      <c r="H343" s="1" t="str">
        <f>VLOOKUP(F343,'[2]DX.OTHER.9.30.06 DETAIL'!$H$1:$J$65536,3,FALSE)</f>
        <v>Exp-Goods/Svcs</v>
      </c>
      <c r="I343" s="1">
        <v>0</v>
      </c>
      <c r="J343" s="2">
        <v>348</v>
      </c>
      <c r="K343" s="2">
        <v>0</v>
      </c>
      <c r="L343" s="2">
        <v>-348</v>
      </c>
      <c r="M343" s="2">
        <v>0</v>
      </c>
      <c r="N343" s="1" t="str">
        <f>VLOOKUP(E343,'[1]ORG CODES'!$A:$C,3,FALSE)</f>
        <v>3437   SFCC VETS CLUB</v>
      </c>
    </row>
    <row r="344" spans="1:14" ht="14.45" hidden="1" x14ac:dyDescent="0.3">
      <c r="A344" t="str">
        <f>VLOOKUP(E344,'[1]ORG CODES'!$A:$B,2,FALSE)</f>
        <v>Student Funded Programs</v>
      </c>
      <c r="B344" s="1" t="s">
        <v>2</v>
      </c>
      <c r="C344" s="1" t="s">
        <v>3</v>
      </c>
      <c r="D344" s="1" t="s">
        <v>4</v>
      </c>
      <c r="E344" s="1" t="s">
        <v>135</v>
      </c>
      <c r="F344" s="1" t="s">
        <v>24</v>
      </c>
      <c r="G344" s="1" t="s">
        <v>48</v>
      </c>
      <c r="H344" s="1" t="str">
        <f>VLOOKUP(F344,'[2]DX.OTHER.9.30.06 DETAIL'!$H$1:$J$65536,3,FALSE)</f>
        <v>Exp-Goods/Svcs</v>
      </c>
      <c r="I344" s="1">
        <v>0</v>
      </c>
      <c r="J344" s="2">
        <v>21.53</v>
      </c>
      <c r="K344" s="2">
        <v>0</v>
      </c>
      <c r="L344" s="2">
        <v>-21.53</v>
      </c>
      <c r="M344" s="2">
        <v>0</v>
      </c>
      <c r="N344" s="1" t="str">
        <f>VLOOKUP(E344,'[1]ORG CODES'!$A:$C,3,FALSE)</f>
        <v>3437   SFCC VETS CLUB</v>
      </c>
    </row>
    <row r="345" spans="1:14" ht="14.45" hidden="1" x14ac:dyDescent="0.3">
      <c r="A345" t="str">
        <f>VLOOKUP(E345,'[1]ORG CODES'!$A:$B,2,FALSE)</f>
        <v>Student Funded Programs</v>
      </c>
      <c r="B345" s="1" t="s">
        <v>2</v>
      </c>
      <c r="C345" s="1" t="s">
        <v>3</v>
      </c>
      <c r="D345" s="1" t="s">
        <v>4</v>
      </c>
      <c r="E345" s="1" t="s">
        <v>135</v>
      </c>
      <c r="F345" s="1" t="s">
        <v>24</v>
      </c>
      <c r="G345" s="1" t="s">
        <v>32</v>
      </c>
      <c r="H345" s="1" t="str">
        <f>VLOOKUP(F345,'[2]DX.OTHER.9.30.06 DETAIL'!$H$1:$J$65536,3,FALSE)</f>
        <v>Exp-Goods/Svcs</v>
      </c>
      <c r="I345" s="1">
        <v>0</v>
      </c>
      <c r="J345" s="2">
        <v>366.36</v>
      </c>
      <c r="K345" s="2">
        <v>0</v>
      </c>
      <c r="L345" s="2">
        <v>-366.36</v>
      </c>
      <c r="M345" s="2">
        <v>0</v>
      </c>
      <c r="N345" s="1" t="str">
        <f>VLOOKUP(E345,'[1]ORG CODES'!$A:$C,3,FALSE)</f>
        <v>3437   SFCC VETS CLUB</v>
      </c>
    </row>
    <row r="346" spans="1:14" ht="14.45" hidden="1" x14ac:dyDescent="0.3">
      <c r="A346" t="str">
        <f>VLOOKUP(E346,'[1]ORG CODES'!$A:$B,2,FALSE)</f>
        <v>Student Funded Programs</v>
      </c>
      <c r="B346" s="1" t="s">
        <v>2</v>
      </c>
      <c r="C346" s="1" t="s">
        <v>3</v>
      </c>
      <c r="D346" s="1" t="s">
        <v>4</v>
      </c>
      <c r="E346" s="1" t="s">
        <v>139</v>
      </c>
      <c r="F346" s="1" t="s">
        <v>24</v>
      </c>
      <c r="G346" s="1" t="s">
        <v>43</v>
      </c>
      <c r="H346" s="1" t="str">
        <f>VLOOKUP(F346,'[2]DX.OTHER.9.30.06 DETAIL'!$H$1:$J$65536,3,FALSE)</f>
        <v>Exp-Goods/Svcs</v>
      </c>
      <c r="I346" s="1">
        <v>0</v>
      </c>
      <c r="J346" s="2">
        <v>79</v>
      </c>
      <c r="K346" s="2">
        <v>0</v>
      </c>
      <c r="L346" s="2">
        <v>-79</v>
      </c>
      <c r="M346" s="2">
        <v>0</v>
      </c>
      <c r="N346" s="1" t="str">
        <f>VLOOKUP(E346,'[1]ORG CODES'!$A:$C,3,FALSE)</f>
        <v>3440  CREATIVE WRITING</v>
      </c>
    </row>
    <row r="347" spans="1:14" ht="14.45" hidden="1" x14ac:dyDescent="0.3">
      <c r="A347" t="str">
        <f>VLOOKUP(E347,'[1]ORG CODES'!$A:$B,2,FALSE)</f>
        <v>Student Funded Programs</v>
      </c>
      <c r="B347" s="1" t="s">
        <v>2</v>
      </c>
      <c r="C347" s="1" t="s">
        <v>3</v>
      </c>
      <c r="D347" s="1" t="s">
        <v>4</v>
      </c>
      <c r="E347" s="1" t="s">
        <v>139</v>
      </c>
      <c r="F347" s="1" t="s">
        <v>24</v>
      </c>
      <c r="G347" s="1" t="s">
        <v>48</v>
      </c>
      <c r="H347" s="1" t="str">
        <f>VLOOKUP(F347,'[2]DX.OTHER.9.30.06 DETAIL'!$H$1:$J$65536,3,FALSE)</f>
        <v>Exp-Goods/Svcs</v>
      </c>
      <c r="I347" s="1">
        <v>0</v>
      </c>
      <c r="J347" s="2">
        <v>18.63</v>
      </c>
      <c r="K347" s="2">
        <v>0</v>
      </c>
      <c r="L347" s="2">
        <v>-18.63</v>
      </c>
      <c r="M347" s="2">
        <v>0</v>
      </c>
      <c r="N347" s="1" t="str">
        <f>VLOOKUP(E347,'[1]ORG CODES'!$A:$C,3,FALSE)</f>
        <v>3440  CREATIVE WRITING</v>
      </c>
    </row>
    <row r="348" spans="1:14" ht="14.45" hidden="1" x14ac:dyDescent="0.3">
      <c r="A348" t="str">
        <f>VLOOKUP(E348,'[1]ORG CODES'!$A:$B,2,FALSE)</f>
        <v>Student Funded Programs</v>
      </c>
      <c r="B348" s="1" t="s">
        <v>2</v>
      </c>
      <c r="C348" s="1" t="s">
        <v>3</v>
      </c>
      <c r="D348" s="1" t="s">
        <v>4</v>
      </c>
      <c r="E348" s="1" t="s">
        <v>139</v>
      </c>
      <c r="F348" s="1" t="s">
        <v>24</v>
      </c>
      <c r="G348" s="1" t="s">
        <v>32</v>
      </c>
      <c r="H348" s="1" t="str">
        <f>VLOOKUP(F348,'[2]DX.OTHER.9.30.06 DETAIL'!$H$1:$J$65536,3,FALSE)</f>
        <v>Exp-Goods/Svcs</v>
      </c>
      <c r="I348" s="1">
        <v>0</v>
      </c>
      <c r="J348" s="2">
        <v>212.5</v>
      </c>
      <c r="K348" s="2">
        <v>0</v>
      </c>
      <c r="L348" s="2">
        <v>-212.5</v>
      </c>
      <c r="M348" s="2">
        <v>0</v>
      </c>
      <c r="N348" s="1" t="str">
        <f>VLOOKUP(E348,'[1]ORG CODES'!$A:$C,3,FALSE)</f>
        <v>3440  CREATIVE WRITING</v>
      </c>
    </row>
    <row r="349" spans="1:14" ht="14.45" hidden="1" x14ac:dyDescent="0.3">
      <c r="A349" t="str">
        <f>VLOOKUP(E349,'[1]ORG CODES'!$A:$B,2,FALSE)</f>
        <v>Student Funded Programs</v>
      </c>
      <c r="B349" s="1" t="s">
        <v>2</v>
      </c>
      <c r="C349" s="1" t="s">
        <v>3</v>
      </c>
      <c r="D349" s="1" t="s">
        <v>4</v>
      </c>
      <c r="E349" s="1" t="s">
        <v>140</v>
      </c>
      <c r="F349" s="1" t="s">
        <v>24</v>
      </c>
      <c r="G349" s="1" t="s">
        <v>43</v>
      </c>
      <c r="H349" s="1" t="str">
        <f>VLOOKUP(F349,'[2]DX.OTHER.9.30.06 DETAIL'!$H$1:$J$65536,3,FALSE)</f>
        <v>Exp-Goods/Svcs</v>
      </c>
      <c r="I349" s="1">
        <v>0</v>
      </c>
      <c r="J349" s="2">
        <v>228.02</v>
      </c>
      <c r="K349" s="2">
        <v>0</v>
      </c>
      <c r="L349" s="2">
        <v>-228.02</v>
      </c>
      <c r="M349" s="2">
        <v>0</v>
      </c>
      <c r="N349" s="1" t="str">
        <f>VLOOKUP(E349,'[1]ORG CODES'!$A:$C,3,FALSE)</f>
        <v>3441  JAPANESE CLUB</v>
      </c>
    </row>
    <row r="350" spans="1:14" ht="14.45" hidden="1" x14ac:dyDescent="0.3">
      <c r="A350" t="str">
        <f>VLOOKUP(E350,'[1]ORG CODES'!$A:$B,2,FALSE)</f>
        <v>Student Funded Programs</v>
      </c>
      <c r="B350" s="1" t="s">
        <v>2</v>
      </c>
      <c r="C350" s="1" t="s">
        <v>3</v>
      </c>
      <c r="D350" s="1" t="s">
        <v>4</v>
      </c>
      <c r="E350" s="1" t="s">
        <v>140</v>
      </c>
      <c r="F350" s="1" t="s">
        <v>24</v>
      </c>
      <c r="G350" s="1" t="s">
        <v>32</v>
      </c>
      <c r="H350" s="1" t="str">
        <f>VLOOKUP(F350,'[2]DX.OTHER.9.30.06 DETAIL'!$H$1:$J$65536,3,FALSE)</f>
        <v>Exp-Goods/Svcs</v>
      </c>
      <c r="I350" s="1">
        <v>0</v>
      </c>
      <c r="J350" s="2">
        <v>1522.66</v>
      </c>
      <c r="K350" s="2">
        <v>0</v>
      </c>
      <c r="L350" s="2">
        <v>-1522.66</v>
      </c>
      <c r="M350" s="2">
        <v>0</v>
      </c>
      <c r="N350" s="1" t="str">
        <f>VLOOKUP(E350,'[1]ORG CODES'!$A:$C,3,FALSE)</f>
        <v>3441  JAPANESE CLUB</v>
      </c>
    </row>
    <row r="351" spans="1:14" ht="14.45" hidden="1" x14ac:dyDescent="0.3">
      <c r="A351" t="str">
        <f>VLOOKUP(E351,'[1]ORG CODES'!$A:$B,2,FALSE)</f>
        <v>Student Funded Programs</v>
      </c>
      <c r="B351" s="1" t="s">
        <v>2</v>
      </c>
      <c r="C351" s="1" t="s">
        <v>3</v>
      </c>
      <c r="D351" s="1" t="s">
        <v>4</v>
      </c>
      <c r="E351" s="1" t="s">
        <v>142</v>
      </c>
      <c r="F351" s="1" t="s">
        <v>24</v>
      </c>
      <c r="G351" s="1" t="s">
        <v>43</v>
      </c>
      <c r="H351" s="1" t="str">
        <f>VLOOKUP(F351,'[2]DX.OTHER.9.30.06 DETAIL'!$H$1:$J$65536,3,FALSE)</f>
        <v>Exp-Goods/Svcs</v>
      </c>
      <c r="I351" s="1">
        <v>0</v>
      </c>
      <c r="J351" s="2">
        <v>614.41999999999996</v>
      </c>
      <c r="K351" s="2">
        <v>0</v>
      </c>
      <c r="L351" s="2">
        <v>-614.41999999999996</v>
      </c>
      <c r="M351" s="2">
        <v>0</v>
      </c>
      <c r="N351" s="1" t="str">
        <f>VLOOKUP(E351,'[1]ORG CODES'!$A:$C,3,FALSE)</f>
        <v>3442   ASSOC WOMEN STUDENTS</v>
      </c>
    </row>
    <row r="352" spans="1:14" ht="14.45" hidden="1" x14ac:dyDescent="0.3">
      <c r="A352" t="str">
        <f>VLOOKUP(E352,'[1]ORG CODES'!$A:$B,2,FALSE)</f>
        <v>Student Funded Programs</v>
      </c>
      <c r="B352" s="1" t="s">
        <v>2</v>
      </c>
      <c r="C352" s="1" t="s">
        <v>3</v>
      </c>
      <c r="D352" s="1" t="s">
        <v>4</v>
      </c>
      <c r="E352" s="1" t="s">
        <v>142</v>
      </c>
      <c r="F352" s="1" t="s">
        <v>24</v>
      </c>
      <c r="G352" s="1" t="s">
        <v>48</v>
      </c>
      <c r="H352" s="1" t="str">
        <f>VLOOKUP(F352,'[2]DX.OTHER.9.30.06 DETAIL'!$H$1:$J$65536,3,FALSE)</f>
        <v>Exp-Goods/Svcs</v>
      </c>
      <c r="I352" s="1">
        <v>0</v>
      </c>
      <c r="J352" s="2">
        <v>170.29</v>
      </c>
      <c r="K352" s="2">
        <v>0</v>
      </c>
      <c r="L352" s="2">
        <v>-170.29</v>
      </c>
      <c r="M352" s="2">
        <v>0</v>
      </c>
      <c r="N352" s="1" t="str">
        <f>VLOOKUP(E352,'[1]ORG CODES'!$A:$C,3,FALSE)</f>
        <v>3442   ASSOC WOMEN STUDENTS</v>
      </c>
    </row>
    <row r="353" spans="1:14" ht="14.45" hidden="1" x14ac:dyDescent="0.3">
      <c r="A353" t="str">
        <f>VLOOKUP(E353,'[1]ORG CODES'!$A:$B,2,FALSE)</f>
        <v>Student Funded Programs</v>
      </c>
      <c r="B353" s="1" t="s">
        <v>2</v>
      </c>
      <c r="C353" s="1" t="s">
        <v>3</v>
      </c>
      <c r="D353" s="1" t="s">
        <v>4</v>
      </c>
      <c r="E353" s="1" t="s">
        <v>142</v>
      </c>
      <c r="F353" s="1" t="s">
        <v>24</v>
      </c>
      <c r="G353" s="1" t="s">
        <v>32</v>
      </c>
      <c r="H353" s="1" t="str">
        <f>VLOOKUP(F353,'[2]DX.OTHER.9.30.06 DETAIL'!$H$1:$J$65536,3,FALSE)</f>
        <v>Exp-Goods/Svcs</v>
      </c>
      <c r="I353" s="1">
        <v>0</v>
      </c>
      <c r="J353" s="2">
        <v>2036.48</v>
      </c>
      <c r="K353" s="2">
        <v>0</v>
      </c>
      <c r="L353" s="2">
        <v>-2036.48</v>
      </c>
      <c r="M353" s="2">
        <v>0</v>
      </c>
      <c r="N353" s="1" t="str">
        <f>VLOOKUP(E353,'[1]ORG CODES'!$A:$C,3,FALSE)</f>
        <v>3442   ASSOC WOMEN STUDENTS</v>
      </c>
    </row>
    <row r="354" spans="1:14" ht="14.45" hidden="1" x14ac:dyDescent="0.3">
      <c r="A354" t="str">
        <f>VLOOKUP(E354,'[1]ORG CODES'!$A:$B,2,FALSE)</f>
        <v>Student Funded Programs</v>
      </c>
      <c r="B354" s="1" t="s">
        <v>2</v>
      </c>
      <c r="C354" s="1" t="s">
        <v>3</v>
      </c>
      <c r="D354" s="1" t="s">
        <v>4</v>
      </c>
      <c r="E354" s="1" t="s">
        <v>144</v>
      </c>
      <c r="F354" s="1" t="s">
        <v>24</v>
      </c>
      <c r="G354" s="1" t="s">
        <v>48</v>
      </c>
      <c r="H354" s="1" t="str">
        <f>VLOOKUP(F354,'[2]DX.OTHER.9.30.06 DETAIL'!$H$1:$J$65536,3,FALSE)</f>
        <v>Exp-Goods/Svcs</v>
      </c>
      <c r="I354" s="1">
        <v>0</v>
      </c>
      <c r="J354" s="2">
        <v>4.38</v>
      </c>
      <c r="K354" s="2">
        <v>0</v>
      </c>
      <c r="L354" s="2">
        <v>-4.38</v>
      </c>
      <c r="M354" s="2">
        <v>0</v>
      </c>
      <c r="N354" s="1" t="str">
        <f>VLOOKUP(E354,'[1]ORG CODES'!$A:$C,3,FALSE)</f>
        <v>3443   DANCE CLUB</v>
      </c>
    </row>
    <row r="355" spans="1:14" ht="14.45" hidden="1" x14ac:dyDescent="0.3">
      <c r="A355" t="str">
        <f>VLOOKUP(E355,'[1]ORG CODES'!$A:$B,2,FALSE)</f>
        <v>Student Funded Programs</v>
      </c>
      <c r="B355" s="1" t="s">
        <v>2</v>
      </c>
      <c r="C355" s="1" t="s">
        <v>3</v>
      </c>
      <c r="D355" s="1" t="s">
        <v>4</v>
      </c>
      <c r="E355" s="1" t="s">
        <v>146</v>
      </c>
      <c r="F355" s="1" t="s">
        <v>24</v>
      </c>
      <c r="G355" s="1" t="s">
        <v>43</v>
      </c>
      <c r="H355" s="1" t="str">
        <f>VLOOKUP(F355,'[2]DX.OTHER.9.30.06 DETAIL'!$H$1:$J$65536,3,FALSE)</f>
        <v>Exp-Goods/Svcs</v>
      </c>
      <c r="I355" s="1">
        <v>0</v>
      </c>
      <c r="J355" s="2">
        <v>0</v>
      </c>
      <c r="K355" s="2">
        <v>0</v>
      </c>
      <c r="L355" s="2">
        <v>0</v>
      </c>
      <c r="M355" s="2">
        <v>0</v>
      </c>
      <c r="N355" s="1" t="str">
        <f>VLOOKUP(E355,'[1]ORG CODES'!$A:$C,3,FALSE)</f>
        <v>3445   ASIAN AMERICAN CLUB</v>
      </c>
    </row>
    <row r="356" spans="1:14" ht="14.45" hidden="1" x14ac:dyDescent="0.3">
      <c r="A356" t="str">
        <f>VLOOKUP(E356,'[1]ORG CODES'!$A:$B,2,FALSE)</f>
        <v>Student Funded Programs</v>
      </c>
      <c r="B356" s="1" t="s">
        <v>2</v>
      </c>
      <c r="C356" s="1" t="s">
        <v>3</v>
      </c>
      <c r="D356" s="1" t="s">
        <v>4</v>
      </c>
      <c r="E356" s="1" t="s">
        <v>146</v>
      </c>
      <c r="F356" s="1" t="s">
        <v>24</v>
      </c>
      <c r="G356" s="1" t="s">
        <v>48</v>
      </c>
      <c r="H356" s="1" t="str">
        <f>VLOOKUP(F356,'[2]DX.OTHER.9.30.06 DETAIL'!$H$1:$J$65536,3,FALSE)</f>
        <v>Exp-Goods/Svcs</v>
      </c>
      <c r="I356" s="1">
        <v>0</v>
      </c>
      <c r="J356" s="2">
        <v>45.01</v>
      </c>
      <c r="K356" s="2">
        <v>0</v>
      </c>
      <c r="L356" s="2">
        <v>-45.01</v>
      </c>
      <c r="M356" s="2">
        <v>0</v>
      </c>
      <c r="N356" s="1" t="str">
        <f>VLOOKUP(E356,'[1]ORG CODES'!$A:$C,3,FALSE)</f>
        <v>3445   ASIAN AMERICAN CLUB</v>
      </c>
    </row>
    <row r="357" spans="1:14" ht="14.45" hidden="1" x14ac:dyDescent="0.3">
      <c r="A357" t="str">
        <f>VLOOKUP(E357,'[1]ORG CODES'!$A:$B,2,FALSE)</f>
        <v>Student Funded Programs</v>
      </c>
      <c r="B357" s="1" t="s">
        <v>2</v>
      </c>
      <c r="C357" s="1" t="s">
        <v>3</v>
      </c>
      <c r="D357" s="1" t="s">
        <v>4</v>
      </c>
      <c r="E357" s="1" t="s">
        <v>146</v>
      </c>
      <c r="F357" s="1" t="s">
        <v>24</v>
      </c>
      <c r="G357" s="1" t="s">
        <v>32</v>
      </c>
      <c r="H357" s="1" t="str">
        <f>VLOOKUP(F357,'[2]DX.OTHER.9.30.06 DETAIL'!$H$1:$J$65536,3,FALSE)</f>
        <v>Exp-Goods/Svcs</v>
      </c>
      <c r="I357" s="1">
        <v>0</v>
      </c>
      <c r="J357" s="2">
        <v>1686.16</v>
      </c>
      <c r="K357" s="2">
        <v>0</v>
      </c>
      <c r="L357" s="2">
        <v>-1686.16</v>
      </c>
      <c r="M357" s="2">
        <v>0</v>
      </c>
      <c r="N357" s="1" t="str">
        <f>VLOOKUP(E357,'[1]ORG CODES'!$A:$C,3,FALSE)</f>
        <v>3445   ASIAN AMERICAN CLUB</v>
      </c>
    </row>
    <row r="358" spans="1:14" ht="14.45" hidden="1" x14ac:dyDescent="0.3">
      <c r="A358" t="str">
        <f>VLOOKUP(E358,'[1]ORG CODES'!$A:$B,2,FALSE)</f>
        <v>Student Funded Programs</v>
      </c>
      <c r="B358" s="1" t="s">
        <v>2</v>
      </c>
      <c r="C358" s="1" t="s">
        <v>3</v>
      </c>
      <c r="D358" s="1" t="s">
        <v>4</v>
      </c>
      <c r="E358" s="1" t="s">
        <v>149</v>
      </c>
      <c r="F358" s="1" t="s">
        <v>24</v>
      </c>
      <c r="G358" s="1" t="s">
        <v>43</v>
      </c>
      <c r="H358" s="1" t="str">
        <f>VLOOKUP(F358,'[2]DX.OTHER.9.30.06 DETAIL'!$H$1:$J$65536,3,FALSE)</f>
        <v>Exp-Goods/Svcs</v>
      </c>
      <c r="I358" s="1">
        <v>0</v>
      </c>
      <c r="J358" s="2">
        <v>234.19</v>
      </c>
      <c r="K358" s="2">
        <v>0</v>
      </c>
      <c r="L358" s="2">
        <v>-234.19</v>
      </c>
      <c r="M358" s="2">
        <v>0</v>
      </c>
      <c r="N358" s="1" t="str">
        <f>VLOOKUP(E358,'[1]ORG CODES'!$A:$C,3,FALSE)</f>
        <v>3446   SVC LRN</v>
      </c>
    </row>
    <row r="359" spans="1:14" ht="14.45" hidden="1" x14ac:dyDescent="0.3">
      <c r="A359" t="str">
        <f>VLOOKUP(E359,'[1]ORG CODES'!$A:$B,2,FALSE)</f>
        <v>Student Funded Programs</v>
      </c>
      <c r="B359" s="1" t="s">
        <v>2</v>
      </c>
      <c r="C359" s="1" t="s">
        <v>3</v>
      </c>
      <c r="D359" s="1" t="s">
        <v>4</v>
      </c>
      <c r="E359" s="1" t="s">
        <v>149</v>
      </c>
      <c r="F359" s="1" t="s">
        <v>24</v>
      </c>
      <c r="G359" s="1" t="s">
        <v>48</v>
      </c>
      <c r="H359" s="1" t="str">
        <f>VLOOKUP(F359,'[2]DX.OTHER.9.30.06 DETAIL'!$H$1:$J$65536,3,FALSE)</f>
        <v>Exp-Goods/Svcs</v>
      </c>
      <c r="I359" s="1">
        <v>0</v>
      </c>
      <c r="J359" s="2">
        <v>6.6</v>
      </c>
      <c r="K359" s="2">
        <v>0</v>
      </c>
      <c r="L359" s="2">
        <v>-6.6</v>
      </c>
      <c r="M359" s="2">
        <v>0</v>
      </c>
      <c r="N359" s="1" t="str">
        <f>VLOOKUP(E359,'[1]ORG CODES'!$A:$C,3,FALSE)</f>
        <v>3446   SVC LRN</v>
      </c>
    </row>
    <row r="360" spans="1:14" ht="14.45" hidden="1" x14ac:dyDescent="0.3">
      <c r="A360" t="str">
        <f>VLOOKUP(E360,'[1]ORG CODES'!$A:$B,2,FALSE)</f>
        <v>Student Funded Programs</v>
      </c>
      <c r="B360" s="1" t="s">
        <v>2</v>
      </c>
      <c r="C360" s="1" t="s">
        <v>3</v>
      </c>
      <c r="D360" s="1" t="s">
        <v>4</v>
      </c>
      <c r="E360" s="1" t="s">
        <v>149</v>
      </c>
      <c r="F360" s="1" t="s">
        <v>24</v>
      </c>
      <c r="G360" s="1" t="s">
        <v>32</v>
      </c>
      <c r="H360" s="1" t="str">
        <f>VLOOKUP(F360,'[2]DX.OTHER.9.30.06 DETAIL'!$H$1:$J$65536,3,FALSE)</f>
        <v>Exp-Goods/Svcs</v>
      </c>
      <c r="I360" s="1">
        <v>0</v>
      </c>
      <c r="J360" s="2">
        <v>656.94</v>
      </c>
      <c r="K360" s="2">
        <v>0</v>
      </c>
      <c r="L360" s="2">
        <v>-656.94</v>
      </c>
      <c r="M360" s="2">
        <v>0</v>
      </c>
      <c r="N360" s="1" t="str">
        <f>VLOOKUP(E360,'[1]ORG CODES'!$A:$C,3,FALSE)</f>
        <v>3446   SVC LRN</v>
      </c>
    </row>
    <row r="361" spans="1:14" ht="14.45" hidden="1" x14ac:dyDescent="0.3">
      <c r="A361" t="str">
        <f>VLOOKUP(E361,'[1]ORG CODES'!$A:$B,2,FALSE)</f>
        <v>Student Funded Programs</v>
      </c>
      <c r="B361" s="1" t="s">
        <v>2</v>
      </c>
      <c r="C361" s="1" t="s">
        <v>3</v>
      </c>
      <c r="D361" s="1" t="s">
        <v>4</v>
      </c>
      <c r="E361" s="1" t="s">
        <v>151</v>
      </c>
      <c r="F361" s="1" t="s">
        <v>24</v>
      </c>
      <c r="G361" s="1" t="s">
        <v>62</v>
      </c>
      <c r="H361" s="1" t="str">
        <f>VLOOKUP(F361,'[2]DX.OTHER.9.30.06 DETAIL'!$H$1:$J$65536,3,FALSE)</f>
        <v>Exp-Goods/Svcs</v>
      </c>
      <c r="I361" s="1">
        <v>0</v>
      </c>
      <c r="J361" s="2">
        <v>228</v>
      </c>
      <c r="K361" s="2">
        <v>0</v>
      </c>
      <c r="L361" s="2">
        <v>-228</v>
      </c>
      <c r="M361" s="2">
        <v>0</v>
      </c>
      <c r="N361" s="1" t="str">
        <f>VLOOKUP(E361,'[1]ORG CODES'!$A:$C,3,FALSE)</f>
        <v>3447   FALLS CHRISTIAN FELLOWSHIP</v>
      </c>
    </row>
    <row r="362" spans="1:14" ht="14.45" hidden="1" x14ac:dyDescent="0.3">
      <c r="A362" t="str">
        <f>VLOOKUP(E362,'[1]ORG CODES'!$A:$B,2,FALSE)</f>
        <v>Student Funded Programs</v>
      </c>
      <c r="B362" s="1" t="s">
        <v>2</v>
      </c>
      <c r="C362" s="1" t="s">
        <v>3</v>
      </c>
      <c r="D362" s="1" t="s">
        <v>4</v>
      </c>
      <c r="E362" s="1" t="s">
        <v>151</v>
      </c>
      <c r="F362" s="1" t="s">
        <v>24</v>
      </c>
      <c r="G362" s="1" t="s">
        <v>48</v>
      </c>
      <c r="H362" s="1" t="str">
        <f>VLOOKUP(F362,'[2]DX.OTHER.9.30.06 DETAIL'!$H$1:$J$65536,3,FALSE)</f>
        <v>Exp-Goods/Svcs</v>
      </c>
      <c r="I362" s="1">
        <v>0</v>
      </c>
      <c r="J362" s="2">
        <v>56.78</v>
      </c>
      <c r="K362" s="2">
        <v>0</v>
      </c>
      <c r="L362" s="2">
        <v>-56.78</v>
      </c>
      <c r="M362" s="2">
        <v>0</v>
      </c>
      <c r="N362" s="1" t="str">
        <f>VLOOKUP(E362,'[1]ORG CODES'!$A:$C,3,FALSE)</f>
        <v>3447   FALLS CHRISTIAN FELLOWSHIP</v>
      </c>
    </row>
    <row r="363" spans="1:14" ht="14.45" hidden="1" x14ac:dyDescent="0.3">
      <c r="A363" t="str">
        <f>VLOOKUP(E363,'[1]ORG CODES'!$A:$B,2,FALSE)</f>
        <v>Student Funded Programs</v>
      </c>
      <c r="B363" s="1" t="s">
        <v>2</v>
      </c>
      <c r="C363" s="1" t="s">
        <v>3</v>
      </c>
      <c r="D363" s="1" t="s">
        <v>4</v>
      </c>
      <c r="E363" s="1" t="s">
        <v>151</v>
      </c>
      <c r="F363" s="1" t="s">
        <v>24</v>
      </c>
      <c r="G363" s="1" t="s">
        <v>32</v>
      </c>
      <c r="H363" s="1" t="str">
        <f>VLOOKUP(F363,'[2]DX.OTHER.9.30.06 DETAIL'!$H$1:$J$65536,3,FALSE)</f>
        <v>Exp-Goods/Svcs</v>
      </c>
      <c r="I363" s="1">
        <v>0</v>
      </c>
      <c r="J363" s="2">
        <v>693.5</v>
      </c>
      <c r="K363" s="2">
        <v>0</v>
      </c>
      <c r="L363" s="2">
        <v>-693.5</v>
      </c>
      <c r="M363" s="2">
        <v>0</v>
      </c>
      <c r="N363" s="1" t="str">
        <f>VLOOKUP(E363,'[1]ORG CODES'!$A:$C,3,FALSE)</f>
        <v>3447   FALLS CHRISTIAN FELLOWSHIP</v>
      </c>
    </row>
    <row r="364" spans="1:14" ht="14.45" hidden="1" x14ac:dyDescent="0.3">
      <c r="A364" t="str">
        <f>VLOOKUP(E364,'[1]ORG CODES'!$A:$B,2,FALSE)</f>
        <v>Student Funded Programs</v>
      </c>
      <c r="B364" s="1" t="s">
        <v>2</v>
      </c>
      <c r="C364" s="1" t="s">
        <v>3</v>
      </c>
      <c r="D364" s="1" t="s">
        <v>4</v>
      </c>
      <c r="E364" s="1" t="s">
        <v>152</v>
      </c>
      <c r="F364" s="1" t="s">
        <v>24</v>
      </c>
      <c r="G364" s="1" t="s">
        <v>43</v>
      </c>
      <c r="H364" s="1" t="str">
        <f>VLOOKUP(F364,'[2]DX.OTHER.9.30.06 DETAIL'!$H$1:$J$65536,3,FALSE)</f>
        <v>Exp-Goods/Svcs</v>
      </c>
      <c r="I364" s="1">
        <v>0</v>
      </c>
      <c r="J364" s="2">
        <v>0</v>
      </c>
      <c r="K364" s="2">
        <v>0</v>
      </c>
      <c r="L364" s="2">
        <v>0</v>
      </c>
      <c r="M364" s="2">
        <v>0</v>
      </c>
      <c r="N364" s="1" t="str">
        <f>VLOOKUP(E364,'[1]ORG CODES'!$A:$C,3,FALSE)</f>
        <v>3348   SFCC GAMERS</v>
      </c>
    </row>
    <row r="365" spans="1:14" ht="14.45" hidden="1" x14ac:dyDescent="0.3">
      <c r="A365" t="str">
        <f>VLOOKUP(E365,'[1]ORG CODES'!$A:$B,2,FALSE)</f>
        <v>Student Funded Programs</v>
      </c>
      <c r="B365" s="1" t="s">
        <v>2</v>
      </c>
      <c r="C365" s="1" t="s">
        <v>3</v>
      </c>
      <c r="D365" s="1" t="s">
        <v>4</v>
      </c>
      <c r="E365" s="1" t="s">
        <v>152</v>
      </c>
      <c r="F365" s="1" t="s">
        <v>24</v>
      </c>
      <c r="G365" s="1" t="s">
        <v>48</v>
      </c>
      <c r="H365" s="1" t="str">
        <f>VLOOKUP(F365,'[2]DX.OTHER.9.30.06 DETAIL'!$H$1:$J$65536,3,FALSE)</f>
        <v>Exp-Goods/Svcs</v>
      </c>
      <c r="I365" s="1">
        <v>0</v>
      </c>
      <c r="J365" s="2">
        <v>15.75</v>
      </c>
      <c r="K365" s="2">
        <v>0</v>
      </c>
      <c r="L365" s="2">
        <v>-15.75</v>
      </c>
      <c r="M365" s="2">
        <v>0</v>
      </c>
      <c r="N365" s="1" t="str">
        <f>VLOOKUP(E365,'[1]ORG CODES'!$A:$C,3,FALSE)</f>
        <v>3348   SFCC GAMERS</v>
      </c>
    </row>
    <row r="366" spans="1:14" ht="14.45" hidden="1" x14ac:dyDescent="0.3">
      <c r="A366" t="str">
        <f>VLOOKUP(E366,'[1]ORG CODES'!$A:$B,2,FALSE)</f>
        <v>Student Funded Programs</v>
      </c>
      <c r="B366" s="1" t="s">
        <v>2</v>
      </c>
      <c r="C366" s="1" t="s">
        <v>3</v>
      </c>
      <c r="D366" s="1" t="s">
        <v>4</v>
      </c>
      <c r="E366" s="1" t="s">
        <v>152</v>
      </c>
      <c r="F366" s="1" t="s">
        <v>24</v>
      </c>
      <c r="G366" s="1" t="s">
        <v>32</v>
      </c>
      <c r="H366" s="1" t="str">
        <f>VLOOKUP(F366,'[2]DX.OTHER.9.30.06 DETAIL'!$H$1:$J$65536,3,FALSE)</f>
        <v>Exp-Goods/Svcs</v>
      </c>
      <c r="I366" s="1">
        <v>0</v>
      </c>
      <c r="J366" s="2">
        <v>581.11</v>
      </c>
      <c r="K366" s="2">
        <v>0</v>
      </c>
      <c r="L366" s="2">
        <v>-581.11</v>
      </c>
      <c r="M366" s="2">
        <v>0</v>
      </c>
      <c r="N366" s="1" t="str">
        <f>VLOOKUP(E366,'[1]ORG CODES'!$A:$C,3,FALSE)</f>
        <v>3348   SFCC GAMERS</v>
      </c>
    </row>
    <row r="367" spans="1:14" ht="14.45" hidden="1" x14ac:dyDescent="0.3">
      <c r="A367" t="str">
        <f>VLOOKUP(E367,'[1]ORG CODES'!$A:$B,2,FALSE)</f>
        <v>Student Funded Programs</v>
      </c>
      <c r="B367" s="1" t="s">
        <v>2</v>
      </c>
      <c r="C367" s="1" t="s">
        <v>3</v>
      </c>
      <c r="D367" s="1" t="s">
        <v>4</v>
      </c>
      <c r="E367" s="1" t="s">
        <v>154</v>
      </c>
      <c r="F367" s="1" t="s">
        <v>24</v>
      </c>
      <c r="G367" s="1" t="s">
        <v>43</v>
      </c>
      <c r="H367" s="1" t="str">
        <f>VLOOKUP(F367,'[2]DX.OTHER.9.30.06 DETAIL'!$H$1:$J$65536,3,FALSE)</f>
        <v>Exp-Goods/Svcs</v>
      </c>
      <c r="I367" s="1">
        <v>0</v>
      </c>
      <c r="J367" s="2">
        <v>0</v>
      </c>
      <c r="K367" s="2">
        <v>0</v>
      </c>
      <c r="L367" s="2">
        <v>0</v>
      </c>
      <c r="M367" s="2">
        <v>0</v>
      </c>
      <c r="N367" s="1" t="str">
        <f>VLOOKUP(E367,'[1]ORG CODES'!$A:$C,3,FALSE)</f>
        <v>3453   INTERIOR DESIGN</v>
      </c>
    </row>
    <row r="368" spans="1:14" ht="14.45" hidden="1" x14ac:dyDescent="0.3">
      <c r="A368" t="str">
        <f>VLOOKUP(E368,'[1]ORG CODES'!$A:$B,2,FALSE)</f>
        <v>Student Funded Programs</v>
      </c>
      <c r="B368" s="1" t="s">
        <v>2</v>
      </c>
      <c r="C368" s="1" t="s">
        <v>3</v>
      </c>
      <c r="D368" s="1" t="s">
        <v>4</v>
      </c>
      <c r="E368" s="1" t="s">
        <v>154</v>
      </c>
      <c r="F368" s="1" t="s">
        <v>24</v>
      </c>
      <c r="G368" s="1" t="s">
        <v>32</v>
      </c>
      <c r="H368" s="1" t="str">
        <f>VLOOKUP(F368,'[2]DX.OTHER.9.30.06 DETAIL'!$H$1:$J$65536,3,FALSE)</f>
        <v>Exp-Goods/Svcs</v>
      </c>
      <c r="I368" s="1">
        <v>0</v>
      </c>
      <c r="J368" s="2">
        <v>197.41</v>
      </c>
      <c r="K368" s="2">
        <v>0</v>
      </c>
      <c r="L368" s="2">
        <v>-197.41</v>
      </c>
      <c r="M368" s="2">
        <v>0</v>
      </c>
      <c r="N368" s="1" t="str">
        <f>VLOOKUP(E368,'[1]ORG CODES'!$A:$C,3,FALSE)</f>
        <v>3453   INTERIOR DESIGN</v>
      </c>
    </row>
    <row r="369" spans="1:14" ht="14.45" hidden="1" x14ac:dyDescent="0.3">
      <c r="A369" t="str">
        <f>VLOOKUP(E369,'[1]ORG CODES'!$A:$B,2,FALSE)</f>
        <v>Student Funded Programs</v>
      </c>
      <c r="B369" s="1" t="s">
        <v>2</v>
      </c>
      <c r="C369" s="1" t="s">
        <v>3</v>
      </c>
      <c r="D369" s="1" t="s">
        <v>4</v>
      </c>
      <c r="E369" s="1" t="s">
        <v>156</v>
      </c>
      <c r="F369" s="1" t="s">
        <v>24</v>
      </c>
      <c r="G369" s="1" t="s">
        <v>48</v>
      </c>
      <c r="H369" s="1" t="str">
        <f>VLOOKUP(F369,'[2]DX.OTHER.9.30.06 DETAIL'!$H$1:$J$65536,3,FALSE)</f>
        <v>Exp-Goods/Svcs</v>
      </c>
      <c r="I369" s="1">
        <v>0</v>
      </c>
      <c r="J369" s="2">
        <v>7.15</v>
      </c>
      <c r="K369" s="2">
        <v>0</v>
      </c>
      <c r="L369" s="2">
        <v>-7.15</v>
      </c>
      <c r="M369" s="2">
        <v>0</v>
      </c>
      <c r="N369" s="1" t="str">
        <f>VLOOKUP(E369,'[1]ORG CODES'!$A:$C,3,FALSE)</f>
        <v>3454   CHINESE CULTURE</v>
      </c>
    </row>
    <row r="370" spans="1:14" ht="14.45" hidden="1" x14ac:dyDescent="0.3">
      <c r="A370" t="str">
        <f>VLOOKUP(E370,'[1]ORG CODES'!$A:$B,2,FALSE)</f>
        <v>Student Funded Programs</v>
      </c>
      <c r="B370" s="1" t="s">
        <v>2</v>
      </c>
      <c r="C370" s="1" t="s">
        <v>3</v>
      </c>
      <c r="D370" s="1" t="s">
        <v>4</v>
      </c>
      <c r="E370" s="1" t="s">
        <v>156</v>
      </c>
      <c r="F370" s="1" t="s">
        <v>24</v>
      </c>
      <c r="G370" s="1" t="s">
        <v>32</v>
      </c>
      <c r="H370" s="1" t="str">
        <f>VLOOKUP(F370,'[2]DX.OTHER.9.30.06 DETAIL'!$H$1:$J$65536,3,FALSE)</f>
        <v>Exp-Goods/Svcs</v>
      </c>
      <c r="I370" s="1">
        <v>0</v>
      </c>
      <c r="J370" s="2">
        <v>760.98</v>
      </c>
      <c r="K370" s="2">
        <v>0</v>
      </c>
      <c r="L370" s="2">
        <v>-760.98</v>
      </c>
      <c r="M370" s="2">
        <v>0</v>
      </c>
      <c r="N370" s="1" t="str">
        <f>VLOOKUP(E370,'[1]ORG CODES'!$A:$C,3,FALSE)</f>
        <v>3454   CHINESE CULTURE</v>
      </c>
    </row>
    <row r="371" spans="1:14" ht="14.45" hidden="1" x14ac:dyDescent="0.3">
      <c r="A371" t="str">
        <f>VLOOKUP(E371,'[1]ORG CODES'!$A:$B,2,FALSE)</f>
        <v>Student Funded Programs</v>
      </c>
      <c r="B371" s="1" t="s">
        <v>2</v>
      </c>
      <c r="C371" s="1" t="s">
        <v>3</v>
      </c>
      <c r="D371" s="1" t="s">
        <v>4</v>
      </c>
      <c r="E371" s="1" t="s">
        <v>159</v>
      </c>
      <c r="F371" s="1" t="s">
        <v>24</v>
      </c>
      <c r="G371" s="1" t="s">
        <v>43</v>
      </c>
      <c r="H371" s="1" t="str">
        <f>VLOOKUP(F371,'[2]DX.OTHER.9.30.06 DETAIL'!$H$1:$J$65536,3,FALSE)</f>
        <v>Exp-Goods/Svcs</v>
      </c>
      <c r="I371" s="1">
        <v>0</v>
      </c>
      <c r="J371" s="2">
        <v>269.74</v>
      </c>
      <c r="K371" s="2">
        <v>0</v>
      </c>
      <c r="L371" s="2">
        <v>-269.74</v>
      </c>
      <c r="M371" s="2">
        <v>0</v>
      </c>
      <c r="N371" s="1" t="str">
        <f>VLOOKUP(E371,'[1]ORG CODES'!$A:$C,3,FALSE)</f>
        <v>3456   FRENCH CLUB</v>
      </c>
    </row>
    <row r="372" spans="1:14" ht="14.45" hidden="1" x14ac:dyDescent="0.3">
      <c r="A372" t="str">
        <f>VLOOKUP(E372,'[1]ORG CODES'!$A:$B,2,FALSE)</f>
        <v>Student Funded Programs</v>
      </c>
      <c r="B372" s="1" t="s">
        <v>2</v>
      </c>
      <c r="C372" s="1" t="s">
        <v>3</v>
      </c>
      <c r="D372" s="1" t="s">
        <v>4</v>
      </c>
      <c r="E372" s="1" t="s">
        <v>159</v>
      </c>
      <c r="F372" s="1" t="s">
        <v>24</v>
      </c>
      <c r="G372" s="1" t="s">
        <v>32</v>
      </c>
      <c r="H372" s="1" t="str">
        <f>VLOOKUP(F372,'[2]DX.OTHER.9.30.06 DETAIL'!$H$1:$J$65536,3,FALSE)</f>
        <v>Exp-Goods/Svcs</v>
      </c>
      <c r="I372" s="1">
        <v>0</v>
      </c>
      <c r="J372" s="2">
        <v>1335.26</v>
      </c>
      <c r="K372" s="2">
        <v>0</v>
      </c>
      <c r="L372" s="2">
        <v>-1335.26</v>
      </c>
      <c r="M372" s="2">
        <v>0</v>
      </c>
      <c r="N372" s="1" t="str">
        <f>VLOOKUP(E372,'[1]ORG CODES'!$A:$C,3,FALSE)</f>
        <v>3456   FRENCH CLUB</v>
      </c>
    </row>
    <row r="373" spans="1:14" ht="14.45" hidden="1" x14ac:dyDescent="0.3">
      <c r="A373" t="str">
        <f>VLOOKUP(E373,'[1]ORG CODES'!$A:$B,2,FALSE)</f>
        <v>Student Funded Programs</v>
      </c>
      <c r="B373" s="1" t="s">
        <v>2</v>
      </c>
      <c r="C373" s="1" t="s">
        <v>3</v>
      </c>
      <c r="D373" s="1" t="s">
        <v>4</v>
      </c>
      <c r="E373" s="1" t="s">
        <v>160</v>
      </c>
      <c r="F373" s="1" t="s">
        <v>24</v>
      </c>
      <c r="G373" s="1" t="s">
        <v>43</v>
      </c>
      <c r="H373" s="1" t="str">
        <f>VLOOKUP(F373,'[2]DX.OTHER.9.30.06 DETAIL'!$H$1:$J$65536,3,FALSE)</f>
        <v>Exp-Goods/Svcs</v>
      </c>
      <c r="I373" s="1">
        <v>0</v>
      </c>
      <c r="J373" s="2">
        <v>40</v>
      </c>
      <c r="K373" s="2">
        <v>0</v>
      </c>
      <c r="L373" s="2">
        <v>-40</v>
      </c>
      <c r="M373" s="2">
        <v>0</v>
      </c>
      <c r="N373" s="1" t="str">
        <f>VLOOKUP(E373,'[1]ORG CODES'!$A:$C,3,FALSE)</f>
        <v>3457   THE ALLIANCE</v>
      </c>
    </row>
    <row r="374" spans="1:14" ht="14.45" hidden="1" x14ac:dyDescent="0.3">
      <c r="A374" t="str">
        <f>VLOOKUP(E374,'[1]ORG CODES'!$A:$B,2,FALSE)</f>
        <v>Student Funded Programs</v>
      </c>
      <c r="B374" s="1" t="s">
        <v>2</v>
      </c>
      <c r="C374" s="1" t="s">
        <v>3</v>
      </c>
      <c r="D374" s="1" t="s">
        <v>4</v>
      </c>
      <c r="E374" s="1" t="s">
        <v>160</v>
      </c>
      <c r="F374" s="1" t="s">
        <v>24</v>
      </c>
      <c r="G374" s="1" t="s">
        <v>62</v>
      </c>
      <c r="H374" s="1" t="str">
        <f>VLOOKUP(F374,'[2]DX.OTHER.9.30.06 DETAIL'!$H$1:$J$65536,3,FALSE)</f>
        <v>Exp-Goods/Svcs</v>
      </c>
      <c r="I374" s="1">
        <v>0</v>
      </c>
      <c r="J374" s="2">
        <v>228</v>
      </c>
      <c r="K374" s="2">
        <v>0</v>
      </c>
      <c r="L374" s="2">
        <v>-228</v>
      </c>
      <c r="M374" s="2">
        <v>0</v>
      </c>
      <c r="N374" s="1" t="str">
        <f>VLOOKUP(E374,'[1]ORG CODES'!$A:$C,3,FALSE)</f>
        <v>3457   THE ALLIANCE</v>
      </c>
    </row>
    <row r="375" spans="1:14" ht="14.45" hidden="1" x14ac:dyDescent="0.3">
      <c r="A375" t="str">
        <f>VLOOKUP(E375,'[1]ORG CODES'!$A:$B,2,FALSE)</f>
        <v>Student Funded Programs</v>
      </c>
      <c r="B375" s="1" t="s">
        <v>2</v>
      </c>
      <c r="C375" s="1" t="s">
        <v>3</v>
      </c>
      <c r="D375" s="1" t="s">
        <v>4</v>
      </c>
      <c r="E375" s="1" t="s">
        <v>160</v>
      </c>
      <c r="F375" s="1" t="s">
        <v>24</v>
      </c>
      <c r="G375" s="1" t="s">
        <v>48</v>
      </c>
      <c r="H375" s="1" t="str">
        <f>VLOOKUP(F375,'[2]DX.OTHER.9.30.06 DETAIL'!$H$1:$J$65536,3,FALSE)</f>
        <v>Exp-Goods/Svcs</v>
      </c>
      <c r="I375" s="1">
        <v>0</v>
      </c>
      <c r="J375" s="2">
        <v>26.95</v>
      </c>
      <c r="K375" s="2">
        <v>0</v>
      </c>
      <c r="L375" s="2">
        <v>-26.95</v>
      </c>
      <c r="M375" s="2">
        <v>0</v>
      </c>
      <c r="N375" s="1" t="str">
        <f>VLOOKUP(E375,'[1]ORG CODES'!$A:$C,3,FALSE)</f>
        <v>3457   THE ALLIANCE</v>
      </c>
    </row>
    <row r="376" spans="1:14" ht="14.45" hidden="1" x14ac:dyDescent="0.3">
      <c r="A376" t="str">
        <f>VLOOKUP(E376,'[1]ORG CODES'!$A:$B,2,FALSE)</f>
        <v>Student Funded Programs</v>
      </c>
      <c r="B376" s="1" t="s">
        <v>2</v>
      </c>
      <c r="C376" s="1" t="s">
        <v>3</v>
      </c>
      <c r="D376" s="1" t="s">
        <v>4</v>
      </c>
      <c r="E376" s="1" t="s">
        <v>160</v>
      </c>
      <c r="F376" s="1" t="s">
        <v>24</v>
      </c>
      <c r="G376" s="1" t="s">
        <v>32</v>
      </c>
      <c r="H376" s="1" t="str">
        <f>VLOOKUP(F376,'[2]DX.OTHER.9.30.06 DETAIL'!$H$1:$J$65536,3,FALSE)</f>
        <v>Exp-Goods/Svcs</v>
      </c>
      <c r="I376" s="1">
        <v>0</v>
      </c>
      <c r="J376" s="2">
        <v>775.42</v>
      </c>
      <c r="K376" s="2">
        <v>0</v>
      </c>
      <c r="L376" s="2">
        <v>-775.42</v>
      </c>
      <c r="M376" s="2">
        <v>0</v>
      </c>
      <c r="N376" s="1" t="str">
        <f>VLOOKUP(E376,'[1]ORG CODES'!$A:$C,3,FALSE)</f>
        <v>3457   THE ALLIANCE</v>
      </c>
    </row>
    <row r="377" spans="1:14" ht="14.45" hidden="1" x14ac:dyDescent="0.3">
      <c r="A377" t="str">
        <f>VLOOKUP(E377,'[1]ORG CODES'!$A:$B,2,FALSE)</f>
        <v>Student Funded Programs</v>
      </c>
      <c r="B377" s="1" t="s">
        <v>2</v>
      </c>
      <c r="C377" s="1" t="s">
        <v>3</v>
      </c>
      <c r="D377" s="1" t="s">
        <v>4</v>
      </c>
      <c r="E377" s="1" t="s">
        <v>160</v>
      </c>
      <c r="F377" s="1" t="s">
        <v>24</v>
      </c>
      <c r="G377" s="1" t="s">
        <v>76</v>
      </c>
      <c r="H377" s="1" t="str">
        <f>VLOOKUP(F377,'[2]DX.OTHER.9.30.06 DETAIL'!$H$1:$J$65536,3,FALSE)</f>
        <v>Exp-Goods/Svcs</v>
      </c>
      <c r="I377" s="1">
        <v>0</v>
      </c>
      <c r="J377" s="2">
        <v>85</v>
      </c>
      <c r="K377" s="2">
        <v>0</v>
      </c>
      <c r="L377" s="2">
        <v>-85</v>
      </c>
      <c r="M377" s="2">
        <v>0</v>
      </c>
      <c r="N377" s="1" t="str">
        <f>VLOOKUP(E377,'[1]ORG CODES'!$A:$C,3,FALSE)</f>
        <v>3457   THE ALLIANCE</v>
      </c>
    </row>
    <row r="378" spans="1:14" ht="14.45" hidden="1" x14ac:dyDescent="0.3">
      <c r="A378" t="str">
        <f>VLOOKUP(E378,'[1]ORG CODES'!$A:$B,2,FALSE)</f>
        <v>Student Funded Programs</v>
      </c>
      <c r="B378" s="1" t="s">
        <v>2</v>
      </c>
      <c r="C378" s="1" t="s">
        <v>3</v>
      </c>
      <c r="D378" s="1" t="s">
        <v>4</v>
      </c>
      <c r="E378" s="1" t="s">
        <v>162</v>
      </c>
      <c r="F378" s="1" t="s">
        <v>24</v>
      </c>
      <c r="G378" s="1" t="s">
        <v>43</v>
      </c>
      <c r="H378" s="1" t="str">
        <f>VLOOKUP(F378,'[2]DX.OTHER.9.30.06 DETAIL'!$H$1:$J$65536,3,FALSE)</f>
        <v>Exp-Goods/Svcs</v>
      </c>
      <c r="I378" s="1">
        <v>0</v>
      </c>
      <c r="J378" s="2">
        <v>270</v>
      </c>
      <c r="K378" s="2">
        <v>0</v>
      </c>
      <c r="L378" s="2">
        <v>-270</v>
      </c>
      <c r="M378" s="2">
        <v>0</v>
      </c>
      <c r="N378" s="1" t="str">
        <f>VLOOKUP(E378,'[1]ORG CODES'!$A:$C,3,FALSE)</f>
        <v>3458   L.U.A. CLUB</v>
      </c>
    </row>
    <row r="379" spans="1:14" ht="14.45" hidden="1" x14ac:dyDescent="0.3">
      <c r="A379" t="str">
        <f>VLOOKUP(E379,'[1]ORG CODES'!$A:$B,2,FALSE)</f>
        <v>Student Funded Programs</v>
      </c>
      <c r="B379" s="1" t="s">
        <v>2</v>
      </c>
      <c r="C379" s="1" t="s">
        <v>3</v>
      </c>
      <c r="D379" s="1" t="s">
        <v>4</v>
      </c>
      <c r="E379" s="1" t="s">
        <v>162</v>
      </c>
      <c r="F379" s="1" t="s">
        <v>24</v>
      </c>
      <c r="G379" s="1" t="s">
        <v>48</v>
      </c>
      <c r="H379" s="1" t="str">
        <f>VLOOKUP(F379,'[2]DX.OTHER.9.30.06 DETAIL'!$H$1:$J$65536,3,FALSE)</f>
        <v>Exp-Goods/Svcs</v>
      </c>
      <c r="I379" s="1">
        <v>0</v>
      </c>
      <c r="J379" s="2">
        <v>26.78</v>
      </c>
      <c r="K379" s="2">
        <v>0</v>
      </c>
      <c r="L379" s="2">
        <v>-26.78</v>
      </c>
      <c r="M379" s="2">
        <v>0</v>
      </c>
      <c r="N379" s="1" t="str">
        <f>VLOOKUP(E379,'[1]ORG CODES'!$A:$C,3,FALSE)</f>
        <v>3458   L.U.A. CLUB</v>
      </c>
    </row>
    <row r="380" spans="1:14" ht="14.45" hidden="1" x14ac:dyDescent="0.3">
      <c r="A380" t="str">
        <f>VLOOKUP(E380,'[1]ORG CODES'!$A:$B,2,FALSE)</f>
        <v>Student Funded Programs</v>
      </c>
      <c r="B380" s="1" t="s">
        <v>2</v>
      </c>
      <c r="C380" s="1" t="s">
        <v>3</v>
      </c>
      <c r="D380" s="1" t="s">
        <v>4</v>
      </c>
      <c r="E380" s="1" t="s">
        <v>162</v>
      </c>
      <c r="F380" s="1" t="s">
        <v>24</v>
      </c>
      <c r="G380" s="1" t="s">
        <v>32</v>
      </c>
      <c r="H380" s="1" t="str">
        <f>VLOOKUP(F380,'[2]DX.OTHER.9.30.06 DETAIL'!$H$1:$J$65536,3,FALSE)</f>
        <v>Exp-Goods/Svcs</v>
      </c>
      <c r="I380" s="1">
        <v>0</v>
      </c>
      <c r="J380" s="2">
        <v>2746.23</v>
      </c>
      <c r="K380" s="2">
        <v>0</v>
      </c>
      <c r="L380" s="2">
        <v>-2746.23</v>
      </c>
      <c r="M380" s="2">
        <v>0</v>
      </c>
      <c r="N380" s="1" t="str">
        <f>VLOOKUP(E380,'[1]ORG CODES'!$A:$C,3,FALSE)</f>
        <v>3458   L.U.A. CLUB</v>
      </c>
    </row>
    <row r="381" spans="1:14" ht="14.45" hidden="1" x14ac:dyDescent="0.3">
      <c r="A381" t="str">
        <f>VLOOKUP(E381,'[1]ORG CODES'!$A:$B,2,FALSE)</f>
        <v>Student Funded Programs</v>
      </c>
      <c r="B381" s="1" t="s">
        <v>2</v>
      </c>
      <c r="C381" s="1" t="s">
        <v>3</v>
      </c>
      <c r="D381" s="1" t="s">
        <v>4</v>
      </c>
      <c r="E381" s="1" t="s">
        <v>165</v>
      </c>
      <c r="F381" s="1" t="s">
        <v>24</v>
      </c>
      <c r="G381" s="1" t="s">
        <v>32</v>
      </c>
      <c r="H381" s="1" t="str">
        <f>VLOOKUP(F381,'[2]DX.OTHER.9.30.06 DETAIL'!$H$1:$J$65536,3,FALSE)</f>
        <v>Exp-Goods/Svcs</v>
      </c>
      <c r="I381" s="1">
        <v>0</v>
      </c>
      <c r="J381" s="2">
        <v>742.65</v>
      </c>
      <c r="K381" s="2">
        <v>0</v>
      </c>
      <c r="L381" s="2">
        <v>-742.65</v>
      </c>
      <c r="M381" s="2">
        <v>0</v>
      </c>
      <c r="N381" s="1" t="str">
        <f>VLOOKUP(E381,'[1]ORG CODES'!$A:$C,3,FALSE)</f>
        <v>3460   INTERPRETER TRNG PRG</v>
      </c>
    </row>
    <row r="382" spans="1:14" ht="14.45" hidden="1" x14ac:dyDescent="0.3">
      <c r="A382" t="str">
        <f>VLOOKUP(E382,'[1]ORG CODES'!$A:$B,2,FALSE)</f>
        <v>Student Funded Programs</v>
      </c>
      <c r="B382" s="1" t="s">
        <v>2</v>
      </c>
      <c r="C382" s="1" t="s">
        <v>3</v>
      </c>
      <c r="D382" s="1" t="s">
        <v>4</v>
      </c>
      <c r="E382" s="1" t="s">
        <v>168</v>
      </c>
      <c r="F382" s="1" t="s">
        <v>24</v>
      </c>
      <c r="G382" s="1" t="s">
        <v>43</v>
      </c>
      <c r="H382" s="1" t="str">
        <f>VLOOKUP(F382,'[2]DX.OTHER.9.30.06 DETAIL'!$H$1:$J$65536,3,FALSE)</f>
        <v>Exp-Goods/Svcs</v>
      </c>
      <c r="I382" s="1">
        <v>0</v>
      </c>
      <c r="J382" s="2">
        <v>129.06</v>
      </c>
      <c r="K382" s="2">
        <v>0</v>
      </c>
      <c r="L382" s="2">
        <v>-129.06</v>
      </c>
      <c r="M382" s="2">
        <v>0</v>
      </c>
      <c r="N382" s="1" t="str">
        <f>VLOOKUP(E382,'[1]ORG CODES'!$A:$C,3,FALSE)</f>
        <v>3462   INTERNATIONAL CLUB</v>
      </c>
    </row>
    <row r="383" spans="1:14" ht="14.45" hidden="1" x14ac:dyDescent="0.3">
      <c r="A383" t="str">
        <f>VLOOKUP(E383,'[1]ORG CODES'!$A:$B,2,FALSE)</f>
        <v>Student Funded Programs</v>
      </c>
      <c r="B383" s="1" t="s">
        <v>2</v>
      </c>
      <c r="C383" s="1" t="s">
        <v>3</v>
      </c>
      <c r="D383" s="1" t="s">
        <v>4</v>
      </c>
      <c r="E383" s="1" t="s">
        <v>168</v>
      </c>
      <c r="F383" s="1" t="s">
        <v>24</v>
      </c>
      <c r="G383" s="1" t="s">
        <v>48</v>
      </c>
      <c r="H383" s="1" t="str">
        <f>VLOOKUP(F383,'[2]DX.OTHER.9.30.06 DETAIL'!$H$1:$J$65536,3,FALSE)</f>
        <v>Exp-Goods/Svcs</v>
      </c>
      <c r="I383" s="1">
        <v>0</v>
      </c>
      <c r="J383" s="2">
        <v>507.73</v>
      </c>
      <c r="K383" s="2">
        <v>0</v>
      </c>
      <c r="L383" s="2">
        <v>-507.73</v>
      </c>
      <c r="M383" s="2">
        <v>0</v>
      </c>
      <c r="N383" s="1" t="str">
        <f>VLOOKUP(E383,'[1]ORG CODES'!$A:$C,3,FALSE)</f>
        <v>3462   INTERNATIONAL CLUB</v>
      </c>
    </row>
    <row r="384" spans="1:14" ht="14.45" hidden="1" x14ac:dyDescent="0.3">
      <c r="A384" t="str">
        <f>VLOOKUP(E384,'[1]ORG CODES'!$A:$B,2,FALSE)</f>
        <v>Student Funded Programs</v>
      </c>
      <c r="B384" s="1" t="s">
        <v>2</v>
      </c>
      <c r="C384" s="1" t="s">
        <v>3</v>
      </c>
      <c r="D384" s="1" t="s">
        <v>4</v>
      </c>
      <c r="E384" s="1" t="s">
        <v>168</v>
      </c>
      <c r="F384" s="1" t="s">
        <v>24</v>
      </c>
      <c r="G384" s="1" t="s">
        <v>32</v>
      </c>
      <c r="H384" s="1" t="str">
        <f>VLOOKUP(F384,'[2]DX.OTHER.9.30.06 DETAIL'!$H$1:$J$65536,3,FALSE)</f>
        <v>Exp-Goods/Svcs</v>
      </c>
      <c r="I384" s="1">
        <v>0</v>
      </c>
      <c r="J384" s="2">
        <v>3527.07</v>
      </c>
      <c r="K384" s="2">
        <v>0</v>
      </c>
      <c r="L384" s="2">
        <v>-3527.07</v>
      </c>
      <c r="M384" s="2">
        <v>0</v>
      </c>
      <c r="N384" s="1" t="str">
        <f>VLOOKUP(E384,'[1]ORG CODES'!$A:$C,3,FALSE)</f>
        <v>3462   INTERNATIONAL CLUB</v>
      </c>
    </row>
    <row r="385" spans="1:14" ht="14.45" hidden="1" x14ac:dyDescent="0.3">
      <c r="A385" t="str">
        <f>VLOOKUP(E385,'[1]ORG CODES'!$A:$B,2,FALSE)</f>
        <v>Student Funded Programs</v>
      </c>
      <c r="B385" s="1" t="s">
        <v>2</v>
      </c>
      <c r="C385" s="1" t="s">
        <v>3</v>
      </c>
      <c r="D385" s="1" t="s">
        <v>4</v>
      </c>
      <c r="E385" s="1" t="s">
        <v>170</v>
      </c>
      <c r="F385" s="1" t="s">
        <v>24</v>
      </c>
      <c r="G385" s="1" t="s">
        <v>43</v>
      </c>
      <c r="H385" s="1" t="str">
        <f>VLOOKUP(F385,'[2]DX.OTHER.9.30.06 DETAIL'!$H$1:$J$65536,3,FALSE)</f>
        <v>Exp-Goods/Svcs</v>
      </c>
      <c r="I385" s="1">
        <v>0</v>
      </c>
      <c r="J385" s="2">
        <v>0</v>
      </c>
      <c r="K385" s="2">
        <v>0</v>
      </c>
      <c r="L385" s="2">
        <v>0</v>
      </c>
      <c r="M385" s="2">
        <v>0</v>
      </c>
      <c r="N385" s="1" t="str">
        <f>VLOOKUP(E385,'[1]ORG CODES'!$A:$C,3,FALSE)</f>
        <v>3464   JAZZ PRESENTS</v>
      </c>
    </row>
    <row r="386" spans="1:14" ht="14.45" hidden="1" x14ac:dyDescent="0.3">
      <c r="A386" t="str">
        <f>VLOOKUP(E386,'[1]ORG CODES'!$A:$B,2,FALSE)</f>
        <v>Student Funded Programs</v>
      </c>
      <c r="B386" s="1" t="s">
        <v>2</v>
      </c>
      <c r="C386" s="1" t="s">
        <v>3</v>
      </c>
      <c r="D386" s="1" t="s">
        <v>4</v>
      </c>
      <c r="E386" s="1" t="s">
        <v>170</v>
      </c>
      <c r="F386" s="1" t="s">
        <v>24</v>
      </c>
      <c r="G386" s="1" t="s">
        <v>62</v>
      </c>
      <c r="H386" s="1" t="str">
        <f>VLOOKUP(F386,'[2]DX.OTHER.9.30.06 DETAIL'!$H$1:$J$65536,3,FALSE)</f>
        <v>Exp-Goods/Svcs</v>
      </c>
      <c r="I386" s="1">
        <v>0</v>
      </c>
      <c r="J386" s="2">
        <v>2443.6</v>
      </c>
      <c r="K386" s="2">
        <v>0</v>
      </c>
      <c r="L386" s="2">
        <v>-2443.6</v>
      </c>
      <c r="M386" s="2">
        <v>0</v>
      </c>
      <c r="N386" s="1" t="str">
        <f>VLOOKUP(E386,'[1]ORG CODES'!$A:$C,3,FALSE)</f>
        <v>3464   JAZZ PRESENTS</v>
      </c>
    </row>
    <row r="387" spans="1:14" ht="14.45" hidden="1" x14ac:dyDescent="0.3">
      <c r="A387" t="str">
        <f>VLOOKUP(E387,'[1]ORG CODES'!$A:$B,2,FALSE)</f>
        <v>Student Funded Programs</v>
      </c>
      <c r="B387" s="1" t="s">
        <v>2</v>
      </c>
      <c r="C387" s="1" t="s">
        <v>3</v>
      </c>
      <c r="D387" s="1" t="s">
        <v>4</v>
      </c>
      <c r="E387" s="1" t="s">
        <v>170</v>
      </c>
      <c r="F387" s="1" t="s">
        <v>24</v>
      </c>
      <c r="G387" s="1" t="s">
        <v>48</v>
      </c>
      <c r="H387" s="1" t="str">
        <f>VLOOKUP(F387,'[2]DX.OTHER.9.30.06 DETAIL'!$H$1:$J$65536,3,FALSE)</f>
        <v>Exp-Goods/Svcs</v>
      </c>
      <c r="I387" s="1">
        <v>0</v>
      </c>
      <c r="J387" s="2">
        <v>368.13</v>
      </c>
      <c r="K387" s="2">
        <v>0</v>
      </c>
      <c r="L387" s="2">
        <v>-368.13</v>
      </c>
      <c r="M387" s="2">
        <v>0</v>
      </c>
      <c r="N387" s="1" t="str">
        <f>VLOOKUP(E387,'[1]ORG CODES'!$A:$C,3,FALSE)</f>
        <v>3464   JAZZ PRESENTS</v>
      </c>
    </row>
    <row r="388" spans="1:14" ht="14.45" hidden="1" x14ac:dyDescent="0.3">
      <c r="A388" t="str">
        <f>VLOOKUP(E388,'[1]ORG CODES'!$A:$B,2,FALSE)</f>
        <v>Student Funded Programs</v>
      </c>
      <c r="B388" s="1" t="s">
        <v>2</v>
      </c>
      <c r="C388" s="1" t="s">
        <v>3</v>
      </c>
      <c r="D388" s="1" t="s">
        <v>4</v>
      </c>
      <c r="E388" s="1" t="s">
        <v>170</v>
      </c>
      <c r="F388" s="1" t="s">
        <v>24</v>
      </c>
      <c r="G388" s="1" t="s">
        <v>32</v>
      </c>
      <c r="H388" s="1" t="str">
        <f>VLOOKUP(F388,'[2]DX.OTHER.9.30.06 DETAIL'!$H$1:$J$65536,3,FALSE)</f>
        <v>Exp-Goods/Svcs</v>
      </c>
      <c r="I388" s="1">
        <v>0</v>
      </c>
      <c r="J388" s="2">
        <v>1152.3399999999999</v>
      </c>
      <c r="K388" s="2">
        <v>0</v>
      </c>
      <c r="L388" s="2">
        <v>-1152.3399999999999</v>
      </c>
      <c r="M388" s="2">
        <v>0</v>
      </c>
      <c r="N388" s="1" t="str">
        <f>VLOOKUP(E388,'[1]ORG CODES'!$A:$C,3,FALSE)</f>
        <v>3464   JAZZ PRESENTS</v>
      </c>
    </row>
    <row r="389" spans="1:14" ht="14.45" hidden="1" x14ac:dyDescent="0.3">
      <c r="A389" t="str">
        <f>VLOOKUP(E389,'[1]ORG CODES'!$A:$B,2,FALSE)</f>
        <v>Student Funded Programs</v>
      </c>
      <c r="B389" s="1" t="s">
        <v>2</v>
      </c>
      <c r="C389" s="1" t="s">
        <v>3</v>
      </c>
      <c r="D389" s="1" t="s">
        <v>4</v>
      </c>
      <c r="E389" s="1" t="s">
        <v>172</v>
      </c>
      <c r="F389" s="1" t="s">
        <v>24</v>
      </c>
      <c r="G389" s="1" t="s">
        <v>43</v>
      </c>
      <c r="H389" s="1" t="str">
        <f>VLOOKUP(F389,'[2]DX.OTHER.9.30.06 DETAIL'!$H$1:$J$65536,3,FALSE)</f>
        <v>Exp-Goods/Svcs</v>
      </c>
      <c r="I389" s="1">
        <v>0</v>
      </c>
      <c r="J389" s="2">
        <v>15600</v>
      </c>
      <c r="K389" s="2">
        <v>0</v>
      </c>
      <c r="L389" s="2">
        <v>-15600</v>
      </c>
      <c r="M389" s="2">
        <v>0</v>
      </c>
      <c r="N389" s="1" t="str">
        <f>VLOOKUP(E389,'[1]ORG CODES'!$A:$C,3,FALSE)</f>
        <v>3465   RED NATIONS ASSOC</v>
      </c>
    </row>
    <row r="390" spans="1:14" ht="14.45" hidden="1" x14ac:dyDescent="0.3">
      <c r="A390" t="str">
        <f>VLOOKUP(E390,'[1]ORG CODES'!$A:$B,2,FALSE)</f>
        <v>Student Funded Programs</v>
      </c>
      <c r="B390" s="1" t="s">
        <v>2</v>
      </c>
      <c r="C390" s="1" t="s">
        <v>3</v>
      </c>
      <c r="D390" s="1" t="s">
        <v>4</v>
      </c>
      <c r="E390" s="1" t="s">
        <v>172</v>
      </c>
      <c r="F390" s="1" t="s">
        <v>24</v>
      </c>
      <c r="G390" s="1" t="s">
        <v>48</v>
      </c>
      <c r="H390" s="1" t="str">
        <f>VLOOKUP(F390,'[2]DX.OTHER.9.30.06 DETAIL'!$H$1:$J$65536,3,FALSE)</f>
        <v>Exp-Goods/Svcs</v>
      </c>
      <c r="I390" s="1">
        <v>0</v>
      </c>
      <c r="J390" s="2">
        <v>190.22</v>
      </c>
      <c r="K390" s="2">
        <v>0</v>
      </c>
      <c r="L390" s="2">
        <v>-190.22</v>
      </c>
      <c r="M390" s="2">
        <v>0</v>
      </c>
      <c r="N390" s="1" t="str">
        <f>VLOOKUP(E390,'[1]ORG CODES'!$A:$C,3,FALSE)</f>
        <v>3465   RED NATIONS ASSOC</v>
      </c>
    </row>
    <row r="391" spans="1:14" ht="14.45" hidden="1" x14ac:dyDescent="0.3">
      <c r="A391" t="str">
        <f>VLOOKUP(E391,'[1]ORG CODES'!$A:$B,2,FALSE)</f>
        <v>Student Funded Programs</v>
      </c>
      <c r="B391" s="1" t="s">
        <v>2</v>
      </c>
      <c r="C391" s="1" t="s">
        <v>3</v>
      </c>
      <c r="D391" s="1" t="s">
        <v>4</v>
      </c>
      <c r="E391" s="1" t="s">
        <v>172</v>
      </c>
      <c r="F391" s="1" t="s">
        <v>24</v>
      </c>
      <c r="G391" s="1" t="s">
        <v>32</v>
      </c>
      <c r="H391" s="1" t="str">
        <f>VLOOKUP(F391,'[2]DX.OTHER.9.30.06 DETAIL'!$H$1:$J$65536,3,FALSE)</f>
        <v>Exp-Goods/Svcs</v>
      </c>
      <c r="I391" s="1">
        <v>0</v>
      </c>
      <c r="J391" s="2">
        <v>6398.27</v>
      </c>
      <c r="K391" s="2">
        <v>0</v>
      </c>
      <c r="L391" s="2">
        <v>-6398.27</v>
      </c>
      <c r="M391" s="2">
        <v>0</v>
      </c>
      <c r="N391" s="1" t="str">
        <f>VLOOKUP(E391,'[1]ORG CODES'!$A:$C,3,FALSE)</f>
        <v>3465   RED NATIONS ASSOC</v>
      </c>
    </row>
    <row r="392" spans="1:14" ht="14.45" hidden="1" x14ac:dyDescent="0.3">
      <c r="A392" t="str">
        <f>VLOOKUP(E392,'[1]ORG CODES'!$A:$B,2,FALSE)</f>
        <v>Student Funded Programs</v>
      </c>
      <c r="B392" s="1" t="s">
        <v>2</v>
      </c>
      <c r="C392" s="1" t="s">
        <v>3</v>
      </c>
      <c r="D392" s="1" t="s">
        <v>4</v>
      </c>
      <c r="E392" s="1" t="s">
        <v>176</v>
      </c>
      <c r="F392" s="1" t="s">
        <v>24</v>
      </c>
      <c r="G392" s="1" t="s">
        <v>48</v>
      </c>
      <c r="H392" s="1" t="str">
        <f>VLOOKUP(F392,'[2]DX.OTHER.9.30.06 DETAIL'!$H$1:$J$65536,3,FALSE)</f>
        <v>Exp-Goods/Svcs</v>
      </c>
      <c r="I392" s="1">
        <v>0</v>
      </c>
      <c r="J392" s="2">
        <v>66.849999999999994</v>
      </c>
      <c r="K392" s="2">
        <v>0</v>
      </c>
      <c r="L392" s="2">
        <v>-66.849999999999994</v>
      </c>
      <c r="M392" s="2">
        <v>0</v>
      </c>
      <c r="N392" s="1" t="str">
        <f>VLOOKUP(E392,'[1]ORG CODES'!$A:$C,3,FALSE)</f>
        <v>3466   SPANISH CLUB</v>
      </c>
    </row>
    <row r="393" spans="1:14" ht="14.45" hidden="1" x14ac:dyDescent="0.3">
      <c r="A393" t="str">
        <f>VLOOKUP(E393,'[1]ORG CODES'!$A:$B,2,FALSE)</f>
        <v>Student Funded Programs</v>
      </c>
      <c r="B393" s="1" t="s">
        <v>2</v>
      </c>
      <c r="C393" s="1" t="s">
        <v>3</v>
      </c>
      <c r="D393" s="1" t="s">
        <v>4</v>
      </c>
      <c r="E393" s="1" t="s">
        <v>176</v>
      </c>
      <c r="F393" s="1" t="s">
        <v>24</v>
      </c>
      <c r="G393" s="1" t="s">
        <v>32</v>
      </c>
      <c r="H393" s="1" t="str">
        <f>VLOOKUP(F393,'[2]DX.OTHER.9.30.06 DETAIL'!$H$1:$J$65536,3,FALSE)</f>
        <v>Exp-Goods/Svcs</v>
      </c>
      <c r="I393" s="1">
        <v>0</v>
      </c>
      <c r="J393" s="2">
        <v>209.49</v>
      </c>
      <c r="K393" s="2">
        <v>0</v>
      </c>
      <c r="L393" s="2">
        <v>-209.49</v>
      </c>
      <c r="M393" s="2">
        <v>0</v>
      </c>
      <c r="N393" s="1" t="str">
        <f>VLOOKUP(E393,'[1]ORG CODES'!$A:$C,3,FALSE)</f>
        <v>3466   SPANISH CLUB</v>
      </c>
    </row>
    <row r="394" spans="1:14" ht="14.45" hidden="1" x14ac:dyDescent="0.3">
      <c r="A394" t="str">
        <f>VLOOKUP(E394,'[1]ORG CODES'!$A:$B,2,FALSE)</f>
        <v>Student Funded Programs</v>
      </c>
      <c r="B394" s="1" t="s">
        <v>2</v>
      </c>
      <c r="C394" s="1" t="s">
        <v>3</v>
      </c>
      <c r="D394" s="1" t="s">
        <v>4</v>
      </c>
      <c r="E394" s="1" t="s">
        <v>178</v>
      </c>
      <c r="F394" s="1" t="s">
        <v>24</v>
      </c>
      <c r="G394" s="1" t="s">
        <v>62</v>
      </c>
      <c r="H394" s="1" t="str">
        <f>VLOOKUP(F394,'[2]DX.OTHER.9.30.06 DETAIL'!$H$1:$J$65536,3,FALSE)</f>
        <v>Exp-Goods/Svcs</v>
      </c>
      <c r="I394" s="1">
        <v>0</v>
      </c>
      <c r="J394" s="2">
        <v>120</v>
      </c>
      <c r="K394" s="2">
        <v>0</v>
      </c>
      <c r="L394" s="2">
        <v>-120</v>
      </c>
      <c r="M394" s="2">
        <v>0</v>
      </c>
      <c r="N394" s="1" t="str">
        <f>VLOOKUP(E394,'[1]ORG CODES'!$A:$C,3,FALSE)</f>
        <v>3468   WELLNESS CLUB</v>
      </c>
    </row>
    <row r="395" spans="1:14" ht="14.45" hidden="1" x14ac:dyDescent="0.3">
      <c r="A395" t="str">
        <f>VLOOKUP(E395,'[1]ORG CODES'!$A:$B,2,FALSE)</f>
        <v>Student Funded Programs</v>
      </c>
      <c r="B395" s="1" t="s">
        <v>2</v>
      </c>
      <c r="C395" s="1" t="s">
        <v>3</v>
      </c>
      <c r="D395" s="1" t="s">
        <v>4</v>
      </c>
      <c r="E395" s="1" t="s">
        <v>178</v>
      </c>
      <c r="F395" s="1" t="s">
        <v>24</v>
      </c>
      <c r="G395" s="1" t="s">
        <v>48</v>
      </c>
      <c r="H395" s="1" t="str">
        <f>VLOOKUP(F395,'[2]DX.OTHER.9.30.06 DETAIL'!$H$1:$J$65536,3,FALSE)</f>
        <v>Exp-Goods/Svcs</v>
      </c>
      <c r="I395" s="1">
        <v>0</v>
      </c>
      <c r="J395" s="2">
        <v>649.4</v>
      </c>
      <c r="K395" s="2">
        <v>0</v>
      </c>
      <c r="L395" s="2">
        <v>-649.4</v>
      </c>
      <c r="M395" s="2">
        <v>0</v>
      </c>
      <c r="N395" s="1" t="str">
        <f>VLOOKUP(E395,'[1]ORG CODES'!$A:$C,3,FALSE)</f>
        <v>3468   WELLNESS CLUB</v>
      </c>
    </row>
    <row r="396" spans="1:14" ht="14.45" hidden="1" x14ac:dyDescent="0.3">
      <c r="A396" t="str">
        <f>VLOOKUP(E396,'[1]ORG CODES'!$A:$B,2,FALSE)</f>
        <v>Student Funded Programs</v>
      </c>
      <c r="B396" s="1" t="s">
        <v>2</v>
      </c>
      <c r="C396" s="1" t="s">
        <v>3</v>
      </c>
      <c r="D396" s="1" t="s">
        <v>4</v>
      </c>
      <c r="E396" s="1" t="s">
        <v>179</v>
      </c>
      <c r="F396" s="1" t="s">
        <v>24</v>
      </c>
      <c r="G396" s="1" t="s">
        <v>43</v>
      </c>
      <c r="H396" s="1" t="str">
        <f>VLOOKUP(F396,'[2]DX.OTHER.9.30.06 DETAIL'!$H$1:$J$65536,3,FALSE)</f>
        <v>Exp-Goods/Svcs</v>
      </c>
      <c r="I396" s="1">
        <v>0</v>
      </c>
      <c r="J396" s="2">
        <v>0</v>
      </c>
      <c r="K396" s="2">
        <v>0</v>
      </c>
      <c r="L396" s="2">
        <v>0</v>
      </c>
      <c r="M396" s="2">
        <v>0</v>
      </c>
      <c r="N396" s="1" t="str">
        <f>VLOOKUP(E396,'[1]ORG CODES'!$A:$C,3,FALSE)</f>
        <v>3469   CHEER SQUAD</v>
      </c>
    </row>
    <row r="397" spans="1:14" ht="14.45" hidden="1" x14ac:dyDescent="0.3">
      <c r="A397" t="str">
        <f>VLOOKUP(E397,'[1]ORG CODES'!$A:$B,2,FALSE)</f>
        <v>Student Funded Programs</v>
      </c>
      <c r="B397" s="1" t="s">
        <v>2</v>
      </c>
      <c r="C397" s="1" t="s">
        <v>3</v>
      </c>
      <c r="D397" s="1" t="s">
        <v>4</v>
      </c>
      <c r="E397" s="1" t="s">
        <v>179</v>
      </c>
      <c r="F397" s="1" t="s">
        <v>24</v>
      </c>
      <c r="G397" s="1" t="s">
        <v>32</v>
      </c>
      <c r="H397" s="1" t="str">
        <f>VLOOKUP(F397,'[2]DX.OTHER.9.30.06 DETAIL'!$H$1:$J$65536,3,FALSE)</f>
        <v>Exp-Goods/Svcs</v>
      </c>
      <c r="I397" s="1">
        <v>0</v>
      </c>
      <c r="J397" s="2">
        <v>4.99</v>
      </c>
      <c r="K397" s="2">
        <v>0</v>
      </c>
      <c r="L397" s="2">
        <v>-4.99</v>
      </c>
      <c r="M397" s="2">
        <v>0</v>
      </c>
      <c r="N397" s="1" t="str">
        <f>VLOOKUP(E397,'[1]ORG CODES'!$A:$C,3,FALSE)</f>
        <v>3469   CHEER SQUAD</v>
      </c>
    </row>
    <row r="398" spans="1:14" ht="14.45" hidden="1" x14ac:dyDescent="0.3">
      <c r="A398" t="str">
        <f>VLOOKUP(E398,'[1]ORG CODES'!$A:$B,2,FALSE)</f>
        <v>Student Funded Programs</v>
      </c>
      <c r="B398" s="1" t="s">
        <v>2</v>
      </c>
      <c r="C398" s="1" t="s">
        <v>3</v>
      </c>
      <c r="D398" s="1" t="s">
        <v>4</v>
      </c>
      <c r="E398" s="1" t="s">
        <v>181</v>
      </c>
      <c r="F398" s="1" t="s">
        <v>24</v>
      </c>
      <c r="G398" s="1" t="s">
        <v>43</v>
      </c>
      <c r="H398" s="1" t="str">
        <f>VLOOKUP(F398,'[2]DX.OTHER.9.30.06 DETAIL'!$H$1:$J$65536,3,FALSE)</f>
        <v>Exp-Goods/Svcs</v>
      </c>
      <c r="I398" s="1">
        <v>0</v>
      </c>
      <c r="J398" s="2">
        <v>50</v>
      </c>
      <c r="K398" s="2">
        <v>0</v>
      </c>
      <c r="L398" s="2">
        <v>-50</v>
      </c>
      <c r="M398" s="2">
        <v>0</v>
      </c>
      <c r="N398" s="1" t="str">
        <f>VLOOKUP(E398,'[1]ORG CODES'!$A:$C,3,FALSE)</f>
        <v>3470  ADDICTION STUDIES</v>
      </c>
    </row>
    <row r="399" spans="1:14" ht="14.45" hidden="1" x14ac:dyDescent="0.3">
      <c r="A399" t="str">
        <f>VLOOKUP(E399,'[1]ORG CODES'!$A:$B,2,FALSE)</f>
        <v>Student Funded Programs</v>
      </c>
      <c r="B399" s="1" t="s">
        <v>2</v>
      </c>
      <c r="C399" s="1" t="s">
        <v>3</v>
      </c>
      <c r="D399" s="1" t="s">
        <v>4</v>
      </c>
      <c r="E399" s="1" t="s">
        <v>181</v>
      </c>
      <c r="F399" s="1" t="s">
        <v>24</v>
      </c>
      <c r="G399" s="1" t="s">
        <v>48</v>
      </c>
      <c r="H399" s="1" t="str">
        <f>VLOOKUP(F399,'[2]DX.OTHER.9.30.06 DETAIL'!$H$1:$J$65536,3,FALSE)</f>
        <v>Exp-Goods/Svcs</v>
      </c>
      <c r="I399" s="1">
        <v>0</v>
      </c>
      <c r="J399" s="2">
        <v>15.17</v>
      </c>
      <c r="K399" s="2">
        <v>0</v>
      </c>
      <c r="L399" s="2">
        <v>-15.17</v>
      </c>
      <c r="M399" s="2">
        <v>0</v>
      </c>
      <c r="N399" s="1" t="str">
        <f>VLOOKUP(E399,'[1]ORG CODES'!$A:$C,3,FALSE)</f>
        <v>3470  ADDICTION STUDIES</v>
      </c>
    </row>
    <row r="400" spans="1:14" ht="14.45" hidden="1" x14ac:dyDescent="0.3">
      <c r="A400" t="str">
        <f>VLOOKUP(E400,'[1]ORG CODES'!$A:$B,2,FALSE)</f>
        <v>Student Funded Programs</v>
      </c>
      <c r="B400" s="1" t="s">
        <v>2</v>
      </c>
      <c r="C400" s="1" t="s">
        <v>3</v>
      </c>
      <c r="D400" s="1" t="s">
        <v>4</v>
      </c>
      <c r="E400" s="1" t="s">
        <v>181</v>
      </c>
      <c r="F400" s="1" t="s">
        <v>24</v>
      </c>
      <c r="G400" s="1" t="s">
        <v>32</v>
      </c>
      <c r="H400" s="1" t="str">
        <f>VLOOKUP(F400,'[2]DX.OTHER.9.30.06 DETAIL'!$H$1:$J$65536,3,FALSE)</f>
        <v>Exp-Goods/Svcs</v>
      </c>
      <c r="I400" s="1">
        <v>0</v>
      </c>
      <c r="J400" s="2">
        <v>217.4</v>
      </c>
      <c r="K400" s="2">
        <v>0</v>
      </c>
      <c r="L400" s="2">
        <v>-217.4</v>
      </c>
      <c r="M400" s="2">
        <v>0</v>
      </c>
      <c r="N400" s="1" t="str">
        <f>VLOOKUP(E400,'[1]ORG CODES'!$A:$C,3,FALSE)</f>
        <v>3470  ADDICTION STUDIES</v>
      </c>
    </row>
    <row r="401" spans="1:14" ht="14.45" hidden="1" x14ac:dyDescent="0.3">
      <c r="A401" t="str">
        <f>VLOOKUP(E401,'[1]ORG CODES'!$A:$B,2,FALSE)</f>
        <v>Student Funded Programs</v>
      </c>
      <c r="B401" s="1" t="s">
        <v>2</v>
      </c>
      <c r="C401" s="1" t="s">
        <v>3</v>
      </c>
      <c r="D401" s="1" t="s">
        <v>4</v>
      </c>
      <c r="E401" s="1" t="s">
        <v>183</v>
      </c>
      <c r="F401" s="1" t="s">
        <v>24</v>
      </c>
      <c r="G401" s="1" t="s">
        <v>48</v>
      </c>
      <c r="H401" s="1" t="str">
        <f>VLOOKUP(F401,'[2]DX.OTHER.9.30.06 DETAIL'!$H$1:$J$65536,3,FALSE)</f>
        <v>Exp-Goods/Svcs</v>
      </c>
      <c r="I401" s="1">
        <v>0</v>
      </c>
      <c r="J401" s="2">
        <v>688.24</v>
      </c>
      <c r="K401" s="2">
        <v>0</v>
      </c>
      <c r="L401" s="2">
        <v>-688.24</v>
      </c>
      <c r="M401" s="2">
        <v>684.74</v>
      </c>
      <c r="N401" s="1" t="str">
        <f>VLOOKUP(E401,'[1]ORG CODES'!$A:$C,3,FALSE)</f>
        <v>3471  SECULAR CLUB</v>
      </c>
    </row>
    <row r="402" spans="1:14" ht="14.45" hidden="1" x14ac:dyDescent="0.3">
      <c r="A402" t="str">
        <f>VLOOKUP(E402,'[1]ORG CODES'!$A:$B,2,FALSE)</f>
        <v>Student Funded Programs</v>
      </c>
      <c r="B402" s="1" t="s">
        <v>2</v>
      </c>
      <c r="C402" s="1" t="s">
        <v>3</v>
      </c>
      <c r="D402" s="1" t="s">
        <v>4</v>
      </c>
      <c r="E402" s="1" t="s">
        <v>184</v>
      </c>
      <c r="F402" s="1" t="s">
        <v>24</v>
      </c>
      <c r="G402" s="1" t="s">
        <v>43</v>
      </c>
      <c r="H402" s="1" t="str">
        <f>VLOOKUP(F402,'[2]DX.OTHER.9.30.06 DETAIL'!$H$1:$J$65536,3,FALSE)</f>
        <v>Exp-Goods/Svcs</v>
      </c>
      <c r="I402" s="1">
        <v>0</v>
      </c>
      <c r="J402" s="2">
        <v>0</v>
      </c>
      <c r="K402" s="2">
        <v>0</v>
      </c>
      <c r="L402" s="2">
        <v>0</v>
      </c>
      <c r="M402" s="2">
        <v>0</v>
      </c>
      <c r="N402" s="1" t="str">
        <f>VLOOKUP(E402,'[1]ORG CODES'!$A:$C,3,FALSE)</f>
        <v>3472   AUDIO ENGINEER CLUB</v>
      </c>
    </row>
    <row r="403" spans="1:14" ht="14.45" hidden="1" x14ac:dyDescent="0.3">
      <c r="A403" t="str">
        <f>VLOOKUP(E403,'[1]ORG CODES'!$A:$B,2,FALSE)</f>
        <v>Student Funded Programs</v>
      </c>
      <c r="B403" s="1" t="s">
        <v>2</v>
      </c>
      <c r="C403" s="1" t="s">
        <v>3</v>
      </c>
      <c r="D403" s="1" t="s">
        <v>4</v>
      </c>
      <c r="E403" s="1" t="s">
        <v>186</v>
      </c>
      <c r="F403" s="1" t="s">
        <v>24</v>
      </c>
      <c r="G403" s="1" t="s">
        <v>48</v>
      </c>
      <c r="H403" s="1" t="str">
        <f>VLOOKUP(F403,'[2]DX.OTHER.9.30.06 DETAIL'!$H$1:$J$65536,3,FALSE)</f>
        <v>Exp-Goods/Svcs</v>
      </c>
      <c r="I403" s="1">
        <v>0</v>
      </c>
      <c r="J403" s="2">
        <v>17.11</v>
      </c>
      <c r="K403" s="2">
        <v>0</v>
      </c>
      <c r="L403" s="2">
        <v>-17.11</v>
      </c>
      <c r="M403" s="2">
        <v>0</v>
      </c>
      <c r="N403" s="1" t="str">
        <f>VLOOKUP(E403,'[1]ORG CODES'!$A:$C,3,FALSE)</f>
        <v>3474   GEOLOGY CLUB</v>
      </c>
    </row>
    <row r="404" spans="1:14" ht="14.45" hidden="1" x14ac:dyDescent="0.3">
      <c r="A404" t="str">
        <f>VLOOKUP(E404,'[1]ORG CODES'!$A:$B,2,FALSE)</f>
        <v>Student Funded Programs</v>
      </c>
      <c r="B404" s="1" t="s">
        <v>2</v>
      </c>
      <c r="C404" s="1" t="s">
        <v>3</v>
      </c>
      <c r="D404" s="1" t="s">
        <v>4</v>
      </c>
      <c r="E404" s="1" t="s">
        <v>187</v>
      </c>
      <c r="F404" s="1" t="s">
        <v>24</v>
      </c>
      <c r="G404" s="1" t="s">
        <v>43</v>
      </c>
      <c r="H404" s="1" t="str">
        <f>VLOOKUP(F404,'[2]DX.OTHER.9.30.06 DETAIL'!$H$1:$J$65536,3,FALSE)</f>
        <v>Exp-Goods/Svcs</v>
      </c>
      <c r="I404" s="1">
        <v>0</v>
      </c>
      <c r="J404" s="2">
        <v>66</v>
      </c>
      <c r="K404" s="2">
        <v>0</v>
      </c>
      <c r="L404" s="2">
        <v>-66</v>
      </c>
      <c r="M404" s="2">
        <v>0</v>
      </c>
      <c r="N404" s="1" t="str">
        <f>VLOOKUP(E404,'[1]ORG CODES'!$A:$C,3,FALSE)</f>
        <v>3477   APPLIED TECH CLUB</v>
      </c>
    </row>
    <row r="405" spans="1:14" ht="14.45" hidden="1" x14ac:dyDescent="0.3">
      <c r="A405" t="str">
        <f>VLOOKUP(E405,'[1]ORG CODES'!$A:$B,2,FALSE)</f>
        <v>Student Funded Programs</v>
      </c>
      <c r="B405" s="1" t="s">
        <v>2</v>
      </c>
      <c r="C405" s="1" t="s">
        <v>3</v>
      </c>
      <c r="D405" s="1" t="s">
        <v>4</v>
      </c>
      <c r="E405" s="1" t="s">
        <v>187</v>
      </c>
      <c r="F405" s="1" t="s">
        <v>24</v>
      </c>
      <c r="G405" s="1" t="s">
        <v>48</v>
      </c>
      <c r="H405" s="1" t="str">
        <f>VLOOKUP(F405,'[2]DX.OTHER.9.30.06 DETAIL'!$H$1:$J$65536,3,FALSE)</f>
        <v>Exp-Goods/Svcs</v>
      </c>
      <c r="I405" s="1">
        <v>0</v>
      </c>
      <c r="J405" s="2">
        <v>23.49</v>
      </c>
      <c r="K405" s="2">
        <v>0</v>
      </c>
      <c r="L405" s="2">
        <v>-23.49</v>
      </c>
      <c r="M405" s="2">
        <v>0</v>
      </c>
      <c r="N405" s="1" t="str">
        <f>VLOOKUP(E405,'[1]ORG CODES'!$A:$C,3,FALSE)</f>
        <v>3477   APPLIED TECH CLUB</v>
      </c>
    </row>
    <row r="406" spans="1:14" ht="14.45" hidden="1" x14ac:dyDescent="0.3">
      <c r="A406" t="str">
        <f>VLOOKUP(E406,'[1]ORG CODES'!$A:$B,2,FALSE)</f>
        <v>Student Funded Programs</v>
      </c>
      <c r="B406" s="1" t="s">
        <v>2</v>
      </c>
      <c r="C406" s="1" t="s">
        <v>3</v>
      </c>
      <c r="D406" s="1" t="s">
        <v>4</v>
      </c>
      <c r="E406" s="1" t="s">
        <v>188</v>
      </c>
      <c r="F406" s="1" t="s">
        <v>24</v>
      </c>
      <c r="G406" s="1" t="s">
        <v>43</v>
      </c>
      <c r="H406" s="1" t="str">
        <f>VLOOKUP(F406,'[2]DX.OTHER.9.30.06 DETAIL'!$H$1:$J$65536,3,FALSE)</f>
        <v>Exp-Goods/Svcs</v>
      </c>
      <c r="I406" s="1">
        <v>0</v>
      </c>
      <c r="J406" s="2">
        <v>90174</v>
      </c>
      <c r="K406" s="2">
        <v>0</v>
      </c>
      <c r="L406" s="2">
        <v>-90174</v>
      </c>
      <c r="M406" s="2">
        <v>0</v>
      </c>
      <c r="N406" s="1" t="str">
        <f>VLOOKUP(E406,'[1]ORG CODES'!$A:$C,3,FALSE)</f>
        <v>3495   EARLY LEARNING CTR</v>
      </c>
    </row>
    <row r="407" spans="1:14" ht="14.45" hidden="1" x14ac:dyDescent="0.3">
      <c r="A407" t="str">
        <f>VLOOKUP(E407,'[1]ORG CODES'!$A:$B,2,FALSE)</f>
        <v>Student Funded Programs</v>
      </c>
      <c r="B407" s="1" t="s">
        <v>2</v>
      </c>
      <c r="C407" s="1" t="s">
        <v>3</v>
      </c>
      <c r="D407" s="1" t="s">
        <v>4</v>
      </c>
      <c r="E407" s="1" t="s">
        <v>189</v>
      </c>
      <c r="F407" s="1" t="s">
        <v>24</v>
      </c>
      <c r="G407" s="1" t="s">
        <v>43</v>
      </c>
      <c r="H407" s="1" t="str">
        <f>VLOOKUP(F407,'[2]DX.OTHER.9.30.06 DETAIL'!$H$1:$J$65536,3,FALSE)</f>
        <v>Exp-Goods/Svcs</v>
      </c>
      <c r="I407" s="1">
        <v>0</v>
      </c>
      <c r="J407" s="2">
        <v>14</v>
      </c>
      <c r="K407" s="2">
        <v>0</v>
      </c>
      <c r="L407" s="2">
        <v>-14</v>
      </c>
      <c r="M407" s="2">
        <v>0</v>
      </c>
      <c r="N407" s="1" t="str">
        <f>VLOOKUP(E407,'[1]ORG CODES'!$A:$C,3,FALSE)</f>
        <v>3496   FUTURE TEACHERS</v>
      </c>
    </row>
    <row r="408" spans="1:14" ht="14.45" hidden="1" x14ac:dyDescent="0.3">
      <c r="A408" t="str">
        <f>VLOOKUP(E408,'[1]ORG CODES'!$A:$B,2,FALSE)</f>
        <v>Student Funded Programs</v>
      </c>
      <c r="B408" s="1" t="s">
        <v>2</v>
      </c>
      <c r="C408" s="1" t="s">
        <v>3</v>
      </c>
      <c r="D408" s="1" t="s">
        <v>4</v>
      </c>
      <c r="E408" s="1" t="s">
        <v>189</v>
      </c>
      <c r="F408" s="1" t="s">
        <v>24</v>
      </c>
      <c r="G408" s="1" t="s">
        <v>48</v>
      </c>
      <c r="H408" s="1" t="str">
        <f>VLOOKUP(F408,'[2]DX.OTHER.9.30.06 DETAIL'!$H$1:$J$65536,3,FALSE)</f>
        <v>Exp-Goods/Svcs</v>
      </c>
      <c r="I408" s="1">
        <v>0</v>
      </c>
      <c r="J408" s="2">
        <v>49</v>
      </c>
      <c r="K408" s="2">
        <v>0</v>
      </c>
      <c r="L408" s="2">
        <v>-49</v>
      </c>
      <c r="M408" s="2">
        <v>0</v>
      </c>
      <c r="N408" s="1" t="str">
        <f>VLOOKUP(E408,'[1]ORG CODES'!$A:$C,3,FALSE)</f>
        <v>3496   FUTURE TEACHERS</v>
      </c>
    </row>
    <row r="409" spans="1:14" ht="14.45" hidden="1" x14ac:dyDescent="0.3">
      <c r="A409" t="str">
        <f>VLOOKUP(E409,'[1]ORG CODES'!$A:$B,2,FALSE)</f>
        <v>Student Funded Programs</v>
      </c>
      <c r="B409" s="1" t="s">
        <v>2</v>
      </c>
      <c r="C409" s="1" t="s">
        <v>3</v>
      </c>
      <c r="D409" s="1" t="s">
        <v>4</v>
      </c>
      <c r="E409" s="1" t="s">
        <v>189</v>
      </c>
      <c r="F409" s="1" t="s">
        <v>24</v>
      </c>
      <c r="G409" s="1" t="s">
        <v>32</v>
      </c>
      <c r="H409" s="1" t="str">
        <f>VLOOKUP(F409,'[2]DX.OTHER.9.30.06 DETAIL'!$H$1:$J$65536,3,FALSE)</f>
        <v>Exp-Goods/Svcs</v>
      </c>
      <c r="I409" s="1">
        <v>0</v>
      </c>
      <c r="J409" s="2">
        <v>483</v>
      </c>
      <c r="K409" s="2">
        <v>0</v>
      </c>
      <c r="L409" s="2">
        <v>-483</v>
      </c>
      <c r="M409" s="2">
        <v>0</v>
      </c>
      <c r="N409" s="1" t="str">
        <f>VLOOKUP(E409,'[1]ORG CODES'!$A:$C,3,FALSE)</f>
        <v>3496   FUTURE TEACHERS</v>
      </c>
    </row>
    <row r="410" spans="1:14" ht="14.45" hidden="1" x14ac:dyDescent="0.3">
      <c r="A410" t="str">
        <f>VLOOKUP(E410,'[1]ORG CODES'!$A:$B,2,FALSE)</f>
        <v>Student Funded Programs</v>
      </c>
      <c r="B410" s="1" t="s">
        <v>2</v>
      </c>
      <c r="C410" s="1" t="s">
        <v>3</v>
      </c>
      <c r="D410" s="1" t="s">
        <v>4</v>
      </c>
      <c r="E410" s="1" t="s">
        <v>38</v>
      </c>
      <c r="F410" s="1" t="s">
        <v>41</v>
      </c>
      <c r="G410" s="1" t="s">
        <v>42</v>
      </c>
      <c r="H410" s="1" t="str">
        <f>VLOOKUP(F410,'[2]DX.OTHER.9.30.06 DETAIL'!$H$1:$J$65536,3,FALSE)</f>
        <v>Exp-Salary &amp; Benefits</v>
      </c>
      <c r="I410" s="1">
        <v>0</v>
      </c>
      <c r="J410" s="2">
        <v>0</v>
      </c>
      <c r="K410" s="2">
        <v>0</v>
      </c>
      <c r="L410" s="2">
        <v>0</v>
      </c>
      <c r="M410" s="2">
        <v>0</v>
      </c>
      <c r="N410" s="1" t="str">
        <f>VLOOKUP(E410,'[1]ORG CODES'!$A:$C,3,FALSE)</f>
        <v>3329   SPEECH &amp; DEBATE CLUB</v>
      </c>
    </row>
    <row r="411" spans="1:14" ht="14.45" hidden="1" x14ac:dyDescent="0.3">
      <c r="A411" t="str">
        <f>VLOOKUP(E411,'[1]ORG CODES'!$A:$B,2,FALSE)</f>
        <v>Student Funded Programs</v>
      </c>
      <c r="B411" s="1" t="s">
        <v>2</v>
      </c>
      <c r="C411" s="1" t="s">
        <v>3</v>
      </c>
      <c r="D411" s="1" t="s">
        <v>4</v>
      </c>
      <c r="E411" s="1" t="s">
        <v>52</v>
      </c>
      <c r="F411" s="1" t="s">
        <v>41</v>
      </c>
      <c r="G411" s="1" t="s">
        <v>54</v>
      </c>
      <c r="H411" s="1" t="str">
        <f>VLOOKUP(F411,'[2]DX.OTHER.9.30.06 DETAIL'!$H$1:$J$65536,3,FALSE)</f>
        <v>Exp-Salary &amp; Benefits</v>
      </c>
      <c r="I411" s="1">
        <v>0</v>
      </c>
      <c r="J411" s="2">
        <v>0</v>
      </c>
      <c r="K411" s="2">
        <v>0</v>
      </c>
      <c r="L411" s="2">
        <v>0</v>
      </c>
      <c r="M411" s="2">
        <v>0</v>
      </c>
      <c r="N411" s="1" t="str">
        <f>VLOOKUP(E411,'[1]ORG CODES'!$A:$C,3,FALSE)</f>
        <v>3352   REVELERS (DRAMA)</v>
      </c>
    </row>
    <row r="412" spans="1:14" ht="14.45" hidden="1" x14ac:dyDescent="0.3">
      <c r="A412" t="str">
        <f>VLOOKUP(E412,'[1]ORG CODES'!$A:$B,2,FALSE)</f>
        <v>Student Funded Programs</v>
      </c>
      <c r="B412" s="1" t="s">
        <v>2</v>
      </c>
      <c r="C412" s="1" t="s">
        <v>3</v>
      </c>
      <c r="D412" s="1" t="s">
        <v>4</v>
      </c>
      <c r="E412" s="1" t="s">
        <v>52</v>
      </c>
      <c r="F412" s="1" t="s">
        <v>41</v>
      </c>
      <c r="G412" s="1" t="s">
        <v>55</v>
      </c>
      <c r="H412" s="1" t="str">
        <f>VLOOKUP(F412,'[2]DX.OTHER.9.30.06 DETAIL'!$H$1:$J$65536,3,FALSE)</f>
        <v>Exp-Salary &amp; Benefits</v>
      </c>
      <c r="I412" s="1">
        <v>0</v>
      </c>
      <c r="J412" s="2">
        <v>5060.8100000000004</v>
      </c>
      <c r="K412" s="2">
        <v>0</v>
      </c>
      <c r="L412" s="2">
        <v>-5060.8100000000004</v>
      </c>
      <c r="M412" s="2">
        <v>0</v>
      </c>
      <c r="N412" s="1" t="str">
        <f>VLOOKUP(E412,'[1]ORG CODES'!$A:$C,3,FALSE)</f>
        <v>3352   REVELERS (DRAMA)</v>
      </c>
    </row>
    <row r="413" spans="1:14" ht="14.45" hidden="1" x14ac:dyDescent="0.3">
      <c r="A413" t="str">
        <f>VLOOKUP(E413,'[1]ORG CODES'!$A:$B,2,FALSE)</f>
        <v>Student Funded Programs</v>
      </c>
      <c r="B413" s="1" t="s">
        <v>2</v>
      </c>
      <c r="C413" s="1" t="s">
        <v>3</v>
      </c>
      <c r="D413" s="1" t="s">
        <v>4</v>
      </c>
      <c r="E413" s="1" t="s">
        <v>52</v>
      </c>
      <c r="F413" s="1" t="s">
        <v>41</v>
      </c>
      <c r="G413" s="1" t="s">
        <v>42</v>
      </c>
      <c r="H413" s="1" t="str">
        <f>VLOOKUP(F413,'[2]DX.OTHER.9.30.06 DETAIL'!$H$1:$J$65536,3,FALSE)</f>
        <v>Exp-Salary &amp; Benefits</v>
      </c>
      <c r="I413" s="1">
        <v>0</v>
      </c>
      <c r="J413" s="2">
        <v>4533.3100000000004</v>
      </c>
      <c r="K413" s="2">
        <v>0</v>
      </c>
      <c r="L413" s="2">
        <v>-4533.3100000000004</v>
      </c>
      <c r="M413" s="2">
        <v>0</v>
      </c>
      <c r="N413" s="1" t="str">
        <f>VLOOKUP(E413,'[1]ORG CODES'!$A:$C,3,FALSE)</f>
        <v>3352   REVELERS (DRAMA)</v>
      </c>
    </row>
    <row r="414" spans="1:14" ht="14.45" hidden="1" x14ac:dyDescent="0.3">
      <c r="A414" t="str">
        <f>VLOOKUP(E414,'[1]ORG CODES'!$A:$B,2,FALSE)</f>
        <v>Student Funded Programs</v>
      </c>
      <c r="B414" s="1" t="s">
        <v>2</v>
      </c>
      <c r="C414" s="1" t="s">
        <v>3</v>
      </c>
      <c r="D414" s="1" t="s">
        <v>4</v>
      </c>
      <c r="E414" s="1" t="s">
        <v>112</v>
      </c>
      <c r="F414" s="1" t="s">
        <v>41</v>
      </c>
      <c r="G414" s="1" t="s">
        <v>42</v>
      </c>
      <c r="H414" s="1" t="str">
        <f>VLOOKUP(F414,'[2]DX.OTHER.9.30.06 DETAIL'!$H$1:$J$65536,3,FALSE)</f>
        <v>Exp-Salary &amp; Benefits</v>
      </c>
      <c r="I414" s="1">
        <v>0</v>
      </c>
      <c r="J414" s="2">
        <v>1898.4</v>
      </c>
      <c r="K414" s="2">
        <v>0</v>
      </c>
      <c r="L414" s="2">
        <v>-1898.4</v>
      </c>
      <c r="M414" s="2">
        <v>0</v>
      </c>
      <c r="N414" s="1" t="str">
        <f>VLOOKUP(E414,'[1]ORG CODES'!$A:$C,3,FALSE)</f>
        <v>3416   WORKSTUDY</v>
      </c>
    </row>
    <row r="415" spans="1:14" ht="14.45" hidden="1" x14ac:dyDescent="0.3">
      <c r="A415" t="str">
        <f>VLOOKUP(E415,'[1]ORG CODES'!$A:$B,2,FALSE)</f>
        <v>Student Funded Programs</v>
      </c>
      <c r="B415" s="1" t="s">
        <v>2</v>
      </c>
      <c r="C415" s="1" t="s">
        <v>3</v>
      </c>
      <c r="D415" s="1" t="s">
        <v>4</v>
      </c>
      <c r="E415" s="1" t="s">
        <v>121</v>
      </c>
      <c r="F415" s="1" t="s">
        <v>41</v>
      </c>
      <c r="G415" s="1" t="s">
        <v>42</v>
      </c>
      <c r="H415" s="1" t="str">
        <f>VLOOKUP(F415,'[2]DX.OTHER.9.30.06 DETAIL'!$H$1:$J$65536,3,FALSE)</f>
        <v>Exp-Salary &amp; Benefits</v>
      </c>
      <c r="I415" s="1">
        <v>0</v>
      </c>
      <c r="J415" s="2">
        <v>0</v>
      </c>
      <c r="K415" s="2">
        <v>0</v>
      </c>
      <c r="L415" s="2">
        <v>0</v>
      </c>
      <c r="M415" s="2">
        <v>0</v>
      </c>
      <c r="N415" s="1" t="str">
        <f>VLOOKUP(E415,'[1]ORG CODES'!$A:$C,3,FALSE)</f>
        <v>3424   SPEAKERS/SEMINARS</v>
      </c>
    </row>
    <row r="416" spans="1:14" ht="14.45" hidden="1" x14ac:dyDescent="0.3">
      <c r="A416" t="str">
        <f>VLOOKUP(E416,'[1]ORG CODES'!$A:$B,2,FALSE)</f>
        <v>Student Funded Programs</v>
      </c>
      <c r="B416" s="1" t="s">
        <v>2</v>
      </c>
      <c r="C416" s="1" t="s">
        <v>3</v>
      </c>
      <c r="D416" s="1" t="s">
        <v>4</v>
      </c>
      <c r="E416" s="1" t="s">
        <v>124</v>
      </c>
      <c r="F416" s="1" t="s">
        <v>41</v>
      </c>
      <c r="G416" s="1" t="s">
        <v>42</v>
      </c>
      <c r="H416" s="1" t="str">
        <f>VLOOKUP(F416,'[2]DX.OTHER.9.30.06 DETAIL'!$H$1:$J$65536,3,FALSE)</f>
        <v>Exp-Salary &amp; Benefits</v>
      </c>
      <c r="I416" s="1">
        <v>0</v>
      </c>
      <c r="J416" s="2">
        <v>1605.37</v>
      </c>
      <c r="K416" s="2">
        <v>0</v>
      </c>
      <c r="L416" s="2">
        <v>-1605.37</v>
      </c>
      <c r="M416" s="2">
        <v>0</v>
      </c>
      <c r="N416" s="1" t="str">
        <f>VLOOKUP(E416,'[1]ORG CODES'!$A:$C,3,FALSE)</f>
        <v>3427   INTERPRETERS SUPPORT</v>
      </c>
    </row>
    <row r="417" spans="1:14" ht="14.45" hidden="1" x14ac:dyDescent="0.3">
      <c r="A417" t="str">
        <f>VLOOKUP(E417,'[1]ORG CODES'!$A:$B,2,FALSE)</f>
        <v>Student Funded Programs</v>
      </c>
      <c r="B417" s="1" t="s">
        <v>2</v>
      </c>
      <c r="C417" s="1" t="s">
        <v>3</v>
      </c>
      <c r="D417" s="1" t="s">
        <v>4</v>
      </c>
      <c r="E417" s="1" t="s">
        <v>125</v>
      </c>
      <c r="F417" s="1" t="s">
        <v>41</v>
      </c>
      <c r="G417" s="1" t="s">
        <v>42</v>
      </c>
      <c r="H417" s="1" t="str">
        <f>VLOOKUP(F417,'[2]DX.OTHER.9.30.06 DETAIL'!$H$1:$J$65536,3,FALSE)</f>
        <v>Exp-Salary &amp; Benefits</v>
      </c>
      <c r="I417" s="1">
        <v>0</v>
      </c>
      <c r="J417" s="2">
        <v>0</v>
      </c>
      <c r="K417" s="2">
        <v>0</v>
      </c>
      <c r="L417" s="2">
        <v>0</v>
      </c>
      <c r="M417" s="2">
        <v>0</v>
      </c>
      <c r="N417" s="1" t="str">
        <f>VLOOKUP(E417,'[1]ORG CODES'!$A:$C,3,FALSE)</f>
        <v>3428   SECURITY</v>
      </c>
    </row>
    <row r="418" spans="1:14" ht="14.45" hidden="1" x14ac:dyDescent="0.3">
      <c r="A418" t="str">
        <f>VLOOKUP(E418,'[1]ORG CODES'!$A:$B,2,FALSE)</f>
        <v>Student Funded Programs</v>
      </c>
      <c r="B418" s="1" t="s">
        <v>2</v>
      </c>
      <c r="C418" s="1" t="s">
        <v>3</v>
      </c>
      <c r="D418" s="1" t="s">
        <v>4</v>
      </c>
      <c r="E418" s="1" t="s">
        <v>128</v>
      </c>
      <c r="F418" s="1" t="s">
        <v>41</v>
      </c>
      <c r="G418" s="1" t="s">
        <v>42</v>
      </c>
      <c r="H418" s="1" t="str">
        <f>VLOOKUP(F418,'[2]DX.OTHER.9.30.06 DETAIL'!$H$1:$J$65536,3,FALSE)</f>
        <v>Exp-Salary &amp; Benefits</v>
      </c>
      <c r="I418" s="1">
        <v>15000</v>
      </c>
      <c r="J418" s="2">
        <v>8972.23</v>
      </c>
      <c r="K418" s="2">
        <v>0</v>
      </c>
      <c r="L418" s="2">
        <v>6027.77</v>
      </c>
      <c r="M418" s="2">
        <v>0</v>
      </c>
      <c r="N418" s="1" t="str">
        <f>VLOOKUP(E418,'[1]ORG CODES'!$A:$C,3,FALSE)</f>
        <v>3431   PT HOURLY SUPPORT</v>
      </c>
    </row>
    <row r="419" spans="1:14" ht="14.45" hidden="1" x14ac:dyDescent="0.3">
      <c r="A419" t="str">
        <f>VLOOKUP(E419,'[1]ORG CODES'!$A:$B,2,FALSE)</f>
        <v>Student Funded Programs</v>
      </c>
      <c r="B419" s="1" t="s">
        <v>2</v>
      </c>
      <c r="C419" s="1" t="s">
        <v>3</v>
      </c>
      <c r="D419" s="1" t="s">
        <v>4</v>
      </c>
      <c r="E419" s="1" t="s">
        <v>170</v>
      </c>
      <c r="F419" s="1" t="s">
        <v>41</v>
      </c>
      <c r="G419" s="1" t="s">
        <v>42</v>
      </c>
      <c r="H419" s="1" t="str">
        <f>VLOOKUP(F419,'[2]DX.OTHER.9.30.06 DETAIL'!$H$1:$J$65536,3,FALSE)</f>
        <v>Exp-Salary &amp; Benefits</v>
      </c>
      <c r="I419" s="1">
        <v>0</v>
      </c>
      <c r="J419" s="2">
        <v>344.37</v>
      </c>
      <c r="K419" s="2">
        <v>0</v>
      </c>
      <c r="L419" s="2">
        <v>-344.37</v>
      </c>
      <c r="M419" s="2">
        <v>344.37</v>
      </c>
      <c r="N419" s="1" t="str">
        <f>VLOOKUP(E419,'[1]ORG CODES'!$A:$C,3,FALSE)</f>
        <v>3464   JAZZ PRESENTS</v>
      </c>
    </row>
    <row r="420" spans="1:14" ht="14.45" hidden="1" x14ac:dyDescent="0.3">
      <c r="A420" t="str">
        <f>VLOOKUP(E420,'[1]ORG CODES'!$A:$B,2,FALSE)</f>
        <v>Student Funded Programs</v>
      </c>
      <c r="B420" s="1" t="s">
        <v>2</v>
      </c>
      <c r="C420" s="1" t="s">
        <v>3</v>
      </c>
      <c r="D420" s="1" t="s">
        <v>4</v>
      </c>
      <c r="E420" s="1" t="s">
        <v>25</v>
      </c>
      <c r="F420" s="1" t="s">
        <v>26</v>
      </c>
      <c r="G420" s="1" t="s">
        <v>27</v>
      </c>
      <c r="H420" s="1" t="str">
        <f>VLOOKUP(F420,'[2]DX.OTHER.9.30.06 DETAIL'!$H$1:$J$65536,3,FALSE)</f>
        <v>Exp-Salary &amp; Benefits</v>
      </c>
      <c r="I420" s="1">
        <v>0</v>
      </c>
      <c r="J420" s="2">
        <v>23099.16</v>
      </c>
      <c r="K420" s="2">
        <v>0</v>
      </c>
      <c r="L420" s="2">
        <v>-23099.16</v>
      </c>
      <c r="M420" s="2">
        <v>0</v>
      </c>
      <c r="N420" s="1" t="str">
        <f>VLOOKUP(E420,'[1]ORG CODES'!$A:$C,3,FALSE)</f>
        <v>3309   IRP CLUB ADVISORS</v>
      </c>
    </row>
    <row r="421" spans="1:14" ht="14.45" hidden="1" x14ac:dyDescent="0.3">
      <c r="A421" t="str">
        <f>VLOOKUP(E421,'[1]ORG CODES'!$A:$B,2,FALSE)</f>
        <v>Student Funded Programs</v>
      </c>
      <c r="B421" s="1" t="s">
        <v>2</v>
      </c>
      <c r="C421" s="1" t="s">
        <v>3</v>
      </c>
      <c r="D421" s="1" t="s">
        <v>4</v>
      </c>
      <c r="E421" s="1" t="s">
        <v>25</v>
      </c>
      <c r="F421" s="1" t="s">
        <v>26</v>
      </c>
      <c r="G421" s="1" t="s">
        <v>28</v>
      </c>
      <c r="H421" s="1" t="str">
        <f>VLOOKUP(F421,'[2]DX.OTHER.9.30.06 DETAIL'!$H$1:$J$65536,3,FALSE)</f>
        <v>Exp-Salary &amp; Benefits</v>
      </c>
      <c r="I421" s="1">
        <v>30000</v>
      </c>
      <c r="J421" s="2">
        <v>0</v>
      </c>
      <c r="K421" s="2">
        <v>0</v>
      </c>
      <c r="L421" s="2">
        <v>30000</v>
      </c>
      <c r="M421" s="2">
        <v>0</v>
      </c>
      <c r="N421" s="1" t="str">
        <f>VLOOKUP(E421,'[1]ORG CODES'!$A:$C,3,FALSE)</f>
        <v>3309   IRP CLUB ADVISORS</v>
      </c>
    </row>
    <row r="422" spans="1:14" ht="14.45" hidden="1" x14ac:dyDescent="0.3">
      <c r="A422" t="str">
        <f>VLOOKUP(E422,'[1]ORG CODES'!$A:$B,2,FALSE)</f>
        <v>Student Funded Programs</v>
      </c>
      <c r="B422" s="1" t="s">
        <v>2</v>
      </c>
      <c r="C422" s="1" t="s">
        <v>3</v>
      </c>
      <c r="D422" s="1" t="s">
        <v>4</v>
      </c>
      <c r="E422" s="1" t="s">
        <v>71</v>
      </c>
      <c r="F422" s="1" t="s">
        <v>26</v>
      </c>
      <c r="G422" s="1" t="s">
        <v>28</v>
      </c>
      <c r="H422" s="1" t="str">
        <f>VLOOKUP(F422,'[2]DX.OTHER.9.30.06 DETAIL'!$H$1:$J$65536,3,FALSE)</f>
        <v>Exp-Salary &amp; Benefits</v>
      </c>
      <c r="I422" s="1">
        <v>0</v>
      </c>
      <c r="J422" s="2">
        <v>0</v>
      </c>
      <c r="K422" s="2">
        <v>0</v>
      </c>
      <c r="L422" s="2">
        <v>0</v>
      </c>
      <c r="M422" s="2">
        <v>0</v>
      </c>
      <c r="N422" s="1" t="str">
        <f>VLOOKUP(E422,'[1]ORG CODES'!$A:$C,3,FALSE)</f>
        <v>3356   STAGE BAND/COMBO</v>
      </c>
    </row>
    <row r="423" spans="1:14" ht="14.45" hidden="1" x14ac:dyDescent="0.3">
      <c r="A423" t="str">
        <f>VLOOKUP(E423,'[1]ORG CODES'!$A:$B,2,FALSE)</f>
        <v>Student Funded Programs</v>
      </c>
      <c r="B423" s="1" t="s">
        <v>2</v>
      </c>
      <c r="C423" s="1" t="s">
        <v>3</v>
      </c>
      <c r="D423" s="1" t="s">
        <v>4</v>
      </c>
      <c r="E423" s="1" t="s">
        <v>102</v>
      </c>
      <c r="F423" s="1" t="s">
        <v>26</v>
      </c>
      <c r="G423" s="1" t="s">
        <v>27</v>
      </c>
      <c r="H423" s="1" t="str">
        <f>VLOOKUP(F423,'[2]DX.OTHER.9.30.06 DETAIL'!$H$1:$J$65536,3,FALSE)</f>
        <v>Exp-Salary &amp; Benefits</v>
      </c>
      <c r="I423" s="1">
        <v>0</v>
      </c>
      <c r="J423" s="2">
        <v>40767</v>
      </c>
      <c r="K423" s="2">
        <v>0</v>
      </c>
      <c r="L423" s="2">
        <v>-40767</v>
      </c>
      <c r="M423" s="2">
        <v>0</v>
      </c>
      <c r="N423" s="1" t="str">
        <f>VLOOKUP(E423,'[1]ORG CODES'!$A:$C,3,FALSE)</f>
        <v>3409   ASA CLUB ADVISORS</v>
      </c>
    </row>
    <row r="424" spans="1:14" ht="14.45" hidden="1" x14ac:dyDescent="0.3">
      <c r="A424" t="str">
        <f>VLOOKUP(E424,'[1]ORG CODES'!$A:$B,2,FALSE)</f>
        <v>Student Funded Programs</v>
      </c>
      <c r="B424" s="1" t="s">
        <v>2</v>
      </c>
      <c r="C424" s="1" t="s">
        <v>3</v>
      </c>
      <c r="D424" s="1" t="s">
        <v>4</v>
      </c>
      <c r="E424" s="1" t="s">
        <v>102</v>
      </c>
      <c r="F424" s="1" t="s">
        <v>26</v>
      </c>
      <c r="G424" s="1" t="s">
        <v>28</v>
      </c>
      <c r="H424" s="1" t="str">
        <f>VLOOKUP(F424,'[2]DX.OTHER.9.30.06 DETAIL'!$H$1:$J$65536,3,FALSE)</f>
        <v>Exp-Salary &amp; Benefits</v>
      </c>
      <c r="I424" s="1">
        <v>51000</v>
      </c>
      <c r="J424" s="2">
        <v>0</v>
      </c>
      <c r="K424" s="2">
        <v>0</v>
      </c>
      <c r="L424" s="2">
        <v>51000</v>
      </c>
      <c r="M424" s="2">
        <v>0</v>
      </c>
      <c r="N424" s="1" t="str">
        <f>VLOOKUP(E424,'[1]ORG CODES'!$A:$C,3,FALSE)</f>
        <v>3409   ASA CLUB ADVISORS</v>
      </c>
    </row>
    <row r="425" spans="1:14" ht="14.45" hidden="1" x14ac:dyDescent="0.3">
      <c r="A425" t="str">
        <f>VLOOKUP(E425,'[1]ORG CODES'!$A:$B,2,FALSE)</f>
        <v>Student Funded Programs</v>
      </c>
      <c r="B425" s="1" t="s">
        <v>2</v>
      </c>
      <c r="C425" s="1" t="s">
        <v>3</v>
      </c>
      <c r="D425" s="1" t="s">
        <v>4</v>
      </c>
      <c r="E425" s="1" t="s">
        <v>120</v>
      </c>
      <c r="F425" s="1" t="s">
        <v>26</v>
      </c>
      <c r="G425" s="1" t="s">
        <v>28</v>
      </c>
      <c r="H425" s="1" t="str">
        <f>VLOOKUP(F425,'[2]DX.OTHER.9.30.06 DETAIL'!$H$1:$J$65536,3,FALSE)</f>
        <v>Exp-Salary &amp; Benefits</v>
      </c>
      <c r="I425" s="1">
        <v>0</v>
      </c>
      <c r="J425" s="2">
        <v>0</v>
      </c>
      <c r="K425" s="2">
        <v>0</v>
      </c>
      <c r="L425" s="2">
        <v>0</v>
      </c>
      <c r="M425" s="2">
        <v>0</v>
      </c>
      <c r="N425" s="1" t="str">
        <f>VLOOKUP(E425,'[1]ORG CODES'!$A:$C,3,FALSE)</f>
        <v>3423   COLLEGE-WIDE THEME</v>
      </c>
    </row>
    <row r="426" spans="1:14" ht="14.45" hidden="1" x14ac:dyDescent="0.3">
      <c r="A426" t="str">
        <f>VLOOKUP(E426,'[1]ORG CODES'!$A:$B,2,FALSE)</f>
        <v>Student Funded Programs</v>
      </c>
      <c r="B426" s="1" t="s">
        <v>2</v>
      </c>
      <c r="C426" s="1" t="s">
        <v>3</v>
      </c>
      <c r="D426" s="1" t="s">
        <v>4</v>
      </c>
      <c r="E426" s="1" t="s">
        <v>168</v>
      </c>
      <c r="F426" s="1" t="s">
        <v>26</v>
      </c>
      <c r="G426" s="1" t="s">
        <v>28</v>
      </c>
      <c r="H426" s="1" t="str">
        <f>VLOOKUP(F426,'[2]DX.OTHER.9.30.06 DETAIL'!$H$1:$J$65536,3,FALSE)</f>
        <v>Exp-Salary &amp; Benefits</v>
      </c>
      <c r="I426" s="1">
        <v>0</v>
      </c>
      <c r="J426" s="2">
        <v>100</v>
      </c>
      <c r="K426" s="2">
        <v>0</v>
      </c>
      <c r="L426" s="2">
        <v>-100</v>
      </c>
      <c r="M426" s="2">
        <v>0</v>
      </c>
      <c r="N426" s="1" t="str">
        <f>VLOOKUP(E426,'[1]ORG CODES'!$A:$C,3,FALSE)</f>
        <v>3462   INTERNATIONAL CLUB</v>
      </c>
    </row>
    <row r="427" spans="1:14" ht="14.45" hidden="1" x14ac:dyDescent="0.3">
      <c r="A427" t="str">
        <f>VLOOKUP(E427,'[1]ORG CODES'!$A:$B,2,FALSE)</f>
        <v>Student Funded Programs</v>
      </c>
      <c r="B427" s="1" t="s">
        <v>2</v>
      </c>
      <c r="C427" s="1" t="s">
        <v>3</v>
      </c>
      <c r="D427" s="1" t="s">
        <v>4</v>
      </c>
      <c r="E427" s="1" t="s">
        <v>170</v>
      </c>
      <c r="F427" s="1" t="s">
        <v>26</v>
      </c>
      <c r="G427" s="1" t="s">
        <v>28</v>
      </c>
      <c r="H427" s="1" t="str">
        <f>VLOOKUP(F427,'[2]DX.OTHER.9.30.06 DETAIL'!$H$1:$J$65536,3,FALSE)</f>
        <v>Exp-Salary &amp; Benefits</v>
      </c>
      <c r="I427" s="1">
        <v>0</v>
      </c>
      <c r="J427" s="2">
        <v>0</v>
      </c>
      <c r="K427" s="2">
        <v>0</v>
      </c>
      <c r="L427" s="2">
        <v>0</v>
      </c>
      <c r="M427" s="2">
        <v>0</v>
      </c>
      <c r="N427" s="1" t="str">
        <f>VLOOKUP(E427,'[1]ORG CODES'!$A:$C,3,FALSE)</f>
        <v>3464   JAZZ PRESENTS</v>
      </c>
    </row>
    <row r="428" spans="1:14" ht="14.45" hidden="1" x14ac:dyDescent="0.3">
      <c r="A428" t="str">
        <f>VLOOKUP(E428,'[1]ORG CODES'!$A:$B,2,FALSE)</f>
        <v>Student Funded Programs</v>
      </c>
      <c r="B428" s="1" t="s">
        <v>2</v>
      </c>
      <c r="C428" s="1" t="s">
        <v>3</v>
      </c>
      <c r="D428" s="1" t="s">
        <v>4</v>
      </c>
      <c r="E428" s="1" t="s">
        <v>52</v>
      </c>
      <c r="F428" s="1" t="s">
        <v>56</v>
      </c>
      <c r="G428" s="1" t="s">
        <v>55</v>
      </c>
      <c r="H428" s="1" t="str">
        <f>VLOOKUP(F428,'[2]DX.OTHER.9.30.06 DETAIL'!$H$1:$J$65536,3,FALSE)</f>
        <v>Exp-Salary &amp; Benefits</v>
      </c>
      <c r="I428" s="1">
        <v>0</v>
      </c>
      <c r="J428" s="2">
        <v>115.9</v>
      </c>
      <c r="K428" s="2">
        <v>0</v>
      </c>
      <c r="L428" s="2">
        <v>-115.9</v>
      </c>
      <c r="M428" s="2">
        <v>0</v>
      </c>
      <c r="N428" s="1" t="str">
        <f>VLOOKUP(E428,'[1]ORG CODES'!$A:$C,3,FALSE)</f>
        <v>3352   REVELERS (DRAMA)</v>
      </c>
    </row>
    <row r="429" spans="1:14" ht="14.45" hidden="1" x14ac:dyDescent="0.3">
      <c r="A429" t="str">
        <f>VLOOKUP(E429,'[1]ORG CODES'!$A:$B,2,FALSE)</f>
        <v>Student Funded Programs</v>
      </c>
      <c r="B429" s="1" t="s">
        <v>2</v>
      </c>
      <c r="C429" s="1" t="s">
        <v>3</v>
      </c>
      <c r="D429" s="1" t="s">
        <v>4</v>
      </c>
      <c r="E429" s="1" t="s">
        <v>63</v>
      </c>
      <c r="F429" s="1" t="s">
        <v>56</v>
      </c>
      <c r="G429" s="1" t="s">
        <v>64</v>
      </c>
      <c r="H429" s="1" t="str">
        <f>VLOOKUP(F429,'[2]DX.OTHER.9.30.06 DETAIL'!$H$1:$J$65536,3,FALSE)</f>
        <v>Exp-Salary &amp; Benefits</v>
      </c>
      <c r="I429" s="1">
        <v>0</v>
      </c>
      <c r="J429" s="2">
        <v>660</v>
      </c>
      <c r="K429" s="2">
        <v>0</v>
      </c>
      <c r="L429" s="2">
        <v>-660</v>
      </c>
      <c r="M429" s="2">
        <v>0</v>
      </c>
      <c r="N429" s="1" t="str">
        <f>VLOOKUP(E429,'[1]ORG CODES'!$A:$C,3,FALSE)</f>
        <v>3353   ORCHESTRA</v>
      </c>
    </row>
    <row r="430" spans="1:14" ht="14.45" hidden="1" x14ac:dyDescent="0.3">
      <c r="A430" t="str">
        <f>VLOOKUP(E430,'[1]ORG CODES'!$A:$B,2,FALSE)</f>
        <v>Student Funded Programs</v>
      </c>
      <c r="B430" s="1" t="s">
        <v>2</v>
      </c>
      <c r="C430" s="1" t="s">
        <v>3</v>
      </c>
      <c r="D430" s="1" t="s">
        <v>4</v>
      </c>
      <c r="E430" s="1" t="s">
        <v>65</v>
      </c>
      <c r="F430" s="1" t="s">
        <v>56</v>
      </c>
      <c r="G430" s="1" t="s">
        <v>64</v>
      </c>
      <c r="H430" s="1" t="str">
        <f>VLOOKUP(F430,'[2]DX.OTHER.9.30.06 DETAIL'!$H$1:$J$65536,3,FALSE)</f>
        <v>Exp-Salary &amp; Benefits</v>
      </c>
      <c r="I430" s="1">
        <v>0</v>
      </c>
      <c r="J430" s="2">
        <v>90</v>
      </c>
      <c r="K430" s="2">
        <v>0</v>
      </c>
      <c r="L430" s="2">
        <v>-90</v>
      </c>
      <c r="M430" s="2">
        <v>0</v>
      </c>
      <c r="N430" s="1" t="str">
        <f>VLOOKUP(E430,'[1]ORG CODES'!$A:$C,3,FALSE)</f>
        <v>3354   CONCERT BAND</v>
      </c>
    </row>
    <row r="431" spans="1:14" ht="14.45" hidden="1" x14ac:dyDescent="0.3">
      <c r="A431" t="str">
        <f>VLOOKUP(E431,'[1]ORG CODES'!$A:$B,2,FALSE)</f>
        <v>Student Funded Programs</v>
      </c>
      <c r="B431" s="1" t="s">
        <v>2</v>
      </c>
      <c r="C431" s="1" t="s">
        <v>3</v>
      </c>
      <c r="D431" s="1" t="s">
        <v>4</v>
      </c>
      <c r="E431" s="1" t="s">
        <v>68</v>
      </c>
      <c r="F431" s="1" t="s">
        <v>56</v>
      </c>
      <c r="G431" s="1" t="s">
        <v>64</v>
      </c>
      <c r="H431" s="1" t="str">
        <f>VLOOKUP(F431,'[2]DX.OTHER.9.30.06 DETAIL'!$H$1:$J$65536,3,FALSE)</f>
        <v>Exp-Salary &amp; Benefits</v>
      </c>
      <c r="I431" s="1">
        <v>0</v>
      </c>
      <c r="J431" s="2">
        <v>0</v>
      </c>
      <c r="K431" s="2">
        <v>0</v>
      </c>
      <c r="L431" s="2">
        <v>0</v>
      </c>
      <c r="M431" s="2">
        <v>0</v>
      </c>
      <c r="N431" s="1" t="str">
        <f>VLOOKUP(E431,'[1]ORG CODES'!$A:$C,3,FALSE)</f>
        <v>3355   CHORAL MUSIC</v>
      </c>
    </row>
    <row r="432" spans="1:14" ht="14.45" hidden="1" x14ac:dyDescent="0.3">
      <c r="A432" t="str">
        <f>VLOOKUP(E432,'[1]ORG CODES'!$A:$B,2,FALSE)</f>
        <v>Student Funded Programs</v>
      </c>
      <c r="B432" s="1" t="s">
        <v>2</v>
      </c>
      <c r="C432" s="1" t="s">
        <v>3</v>
      </c>
      <c r="D432" s="1" t="s">
        <v>4</v>
      </c>
      <c r="E432" s="1" t="s">
        <v>71</v>
      </c>
      <c r="F432" s="1" t="s">
        <v>56</v>
      </c>
      <c r="G432" s="1" t="s">
        <v>55</v>
      </c>
      <c r="H432" s="1" t="str">
        <f>VLOOKUP(F432,'[2]DX.OTHER.9.30.06 DETAIL'!$H$1:$J$65536,3,FALSE)</f>
        <v>Exp-Salary &amp; Benefits</v>
      </c>
      <c r="I432" s="1">
        <v>0</v>
      </c>
      <c r="J432" s="2">
        <v>150.66999999999999</v>
      </c>
      <c r="K432" s="2">
        <v>0</v>
      </c>
      <c r="L432" s="2">
        <v>-150.66999999999999</v>
      </c>
      <c r="M432" s="2">
        <v>0</v>
      </c>
      <c r="N432" s="1" t="str">
        <f>VLOOKUP(E432,'[1]ORG CODES'!$A:$C,3,FALSE)</f>
        <v>3356   STAGE BAND/COMBO</v>
      </c>
    </row>
    <row r="433" spans="1:14" ht="14.45" hidden="1" x14ac:dyDescent="0.3">
      <c r="A433" t="str">
        <f>VLOOKUP(E433,'[1]ORG CODES'!$A:$B,2,FALSE)</f>
        <v>Student Funded Programs</v>
      </c>
      <c r="B433" s="1" t="s">
        <v>2</v>
      </c>
      <c r="C433" s="1" t="s">
        <v>3</v>
      </c>
      <c r="D433" s="1" t="s">
        <v>4</v>
      </c>
      <c r="E433" s="1" t="s">
        <v>120</v>
      </c>
      <c r="F433" s="1" t="s">
        <v>56</v>
      </c>
      <c r="G433" s="1" t="s">
        <v>64</v>
      </c>
      <c r="H433" s="1" t="str">
        <f>VLOOKUP(F433,'[2]DX.OTHER.9.30.06 DETAIL'!$H$1:$J$65536,3,FALSE)</f>
        <v>Exp-Salary &amp; Benefits</v>
      </c>
      <c r="I433" s="1">
        <v>0</v>
      </c>
      <c r="J433" s="2">
        <v>0</v>
      </c>
      <c r="K433" s="2">
        <v>0</v>
      </c>
      <c r="L433" s="2">
        <v>0</v>
      </c>
      <c r="M433" s="2">
        <v>0</v>
      </c>
      <c r="N433" s="1" t="str">
        <f>VLOOKUP(E433,'[1]ORG CODES'!$A:$C,3,FALSE)</f>
        <v>3423   COLLEGE-WIDE THEME</v>
      </c>
    </row>
    <row r="434" spans="1:14" ht="14.45" hidden="1" x14ac:dyDescent="0.3">
      <c r="A434" t="str">
        <f>VLOOKUP(E434,'[1]ORG CODES'!$A:$B,2,FALSE)</f>
        <v>Student Funded Programs</v>
      </c>
      <c r="B434" s="1" t="s">
        <v>2</v>
      </c>
      <c r="C434" s="1" t="s">
        <v>3</v>
      </c>
      <c r="D434" s="1" t="s">
        <v>4</v>
      </c>
      <c r="E434" s="1" t="s">
        <v>162</v>
      </c>
      <c r="F434" s="1" t="s">
        <v>56</v>
      </c>
      <c r="G434" s="1" t="s">
        <v>64</v>
      </c>
      <c r="H434" s="1" t="str">
        <f>VLOOKUP(F434,'[2]DX.OTHER.9.30.06 DETAIL'!$H$1:$J$65536,3,FALSE)</f>
        <v>Exp-Salary &amp; Benefits</v>
      </c>
      <c r="I434" s="1">
        <v>0</v>
      </c>
      <c r="J434" s="2">
        <v>0</v>
      </c>
      <c r="K434" s="2">
        <v>0</v>
      </c>
      <c r="L434" s="2">
        <v>0</v>
      </c>
      <c r="M434" s="2">
        <v>0</v>
      </c>
      <c r="N434" s="1" t="str">
        <f>VLOOKUP(E434,'[1]ORG CODES'!$A:$C,3,FALSE)</f>
        <v>3458   L.U.A. CLUB</v>
      </c>
    </row>
    <row r="435" spans="1:14" ht="14.45" hidden="1" x14ac:dyDescent="0.3">
      <c r="A435" t="str">
        <f>VLOOKUP(E435,'[1]ORG CODES'!$A:$B,2,FALSE)</f>
        <v>Student Funded Programs</v>
      </c>
      <c r="B435" s="1" t="s">
        <v>2</v>
      </c>
      <c r="C435" s="1" t="s">
        <v>3</v>
      </c>
      <c r="D435" s="1" t="s">
        <v>4</v>
      </c>
      <c r="E435" s="1" t="s">
        <v>168</v>
      </c>
      <c r="F435" s="1" t="s">
        <v>56</v>
      </c>
      <c r="G435" s="1" t="s">
        <v>64</v>
      </c>
      <c r="H435" s="1" t="str">
        <f>VLOOKUP(F435,'[2]DX.OTHER.9.30.06 DETAIL'!$H$1:$J$65536,3,FALSE)</f>
        <v>Exp-Salary &amp; Benefits</v>
      </c>
      <c r="I435" s="1">
        <v>0</v>
      </c>
      <c r="J435" s="2">
        <v>500</v>
      </c>
      <c r="K435" s="2">
        <v>0</v>
      </c>
      <c r="L435" s="2">
        <v>-500</v>
      </c>
      <c r="M435" s="2">
        <v>0</v>
      </c>
      <c r="N435" s="1" t="str">
        <f>VLOOKUP(E435,'[1]ORG CODES'!$A:$C,3,FALSE)</f>
        <v>3462   INTERNATIONAL CLUB</v>
      </c>
    </row>
    <row r="436" spans="1:14" ht="14.45" hidden="1" x14ac:dyDescent="0.3">
      <c r="A436" t="str">
        <f>VLOOKUP(E436,'[1]ORG CODES'!$A:$B,2,FALSE)</f>
        <v>Student Funded Programs</v>
      </c>
      <c r="B436" s="1" t="s">
        <v>2</v>
      </c>
      <c r="C436" s="1" t="s">
        <v>3</v>
      </c>
      <c r="D436" s="1" t="s">
        <v>4</v>
      </c>
      <c r="E436" s="1" t="s">
        <v>170</v>
      </c>
      <c r="F436" s="1" t="s">
        <v>56</v>
      </c>
      <c r="G436" s="1" t="s">
        <v>55</v>
      </c>
      <c r="H436" s="1" t="str">
        <f>VLOOKUP(F436,'[2]DX.OTHER.9.30.06 DETAIL'!$H$1:$J$65536,3,FALSE)</f>
        <v>Exp-Salary &amp; Benefits</v>
      </c>
      <c r="I436" s="1">
        <v>0</v>
      </c>
      <c r="J436" s="2">
        <v>46.36</v>
      </c>
      <c r="K436" s="2">
        <v>0</v>
      </c>
      <c r="L436" s="2">
        <v>-46.36</v>
      </c>
      <c r="M436" s="2">
        <v>0</v>
      </c>
      <c r="N436" s="1" t="str">
        <f>VLOOKUP(E436,'[1]ORG CODES'!$A:$C,3,FALSE)</f>
        <v>3464   JAZZ PRESENTS</v>
      </c>
    </row>
    <row r="437" spans="1:14" ht="14.45" hidden="1" x14ac:dyDescent="0.3">
      <c r="A437" t="str">
        <f>VLOOKUP(E437,'[1]ORG CODES'!$A:$B,2,FALSE)</f>
        <v>Student Funded Programs</v>
      </c>
      <c r="B437" s="1" t="s">
        <v>2</v>
      </c>
      <c r="C437" s="1" t="s">
        <v>3</v>
      </c>
      <c r="D437" s="1" t="s">
        <v>4</v>
      </c>
      <c r="E437" s="1" t="s">
        <v>170</v>
      </c>
      <c r="F437" s="1" t="s">
        <v>56</v>
      </c>
      <c r="G437" s="1" t="s">
        <v>64</v>
      </c>
      <c r="H437" s="1" t="str">
        <f>VLOOKUP(F437,'[2]DX.OTHER.9.30.06 DETAIL'!$H$1:$J$65536,3,FALSE)</f>
        <v>Exp-Salary &amp; Benefits</v>
      </c>
      <c r="I437" s="1">
        <v>0</v>
      </c>
      <c r="J437" s="2">
        <v>0</v>
      </c>
      <c r="K437" s="2">
        <v>0</v>
      </c>
      <c r="L437" s="2">
        <v>0</v>
      </c>
      <c r="M437" s="2">
        <v>0</v>
      </c>
      <c r="N437" s="1" t="str">
        <f>VLOOKUP(E437,'[1]ORG CODES'!$A:$C,3,FALSE)</f>
        <v>3464   JAZZ PRESENTS</v>
      </c>
    </row>
    <row r="438" spans="1:14" ht="14.45" hidden="1" x14ac:dyDescent="0.3">
      <c r="A438" t="str">
        <f>VLOOKUP(E438,'[1]ORG CODES'!$A:$B,2,FALSE)</f>
        <v>Student Funded Programs</v>
      </c>
      <c r="B438" s="1" t="s">
        <v>2</v>
      </c>
      <c r="C438" s="1" t="s">
        <v>3</v>
      </c>
      <c r="D438" s="1" t="s">
        <v>4</v>
      </c>
      <c r="E438" s="1" t="s">
        <v>176</v>
      </c>
      <c r="F438" s="1" t="s">
        <v>56</v>
      </c>
      <c r="G438" s="1" t="s">
        <v>64</v>
      </c>
      <c r="H438" s="1" t="str">
        <f>VLOOKUP(F438,'[2]DX.OTHER.9.30.06 DETAIL'!$H$1:$J$65536,3,FALSE)</f>
        <v>Exp-Salary &amp; Benefits</v>
      </c>
      <c r="I438" s="1">
        <v>0</v>
      </c>
      <c r="J438" s="2">
        <v>150</v>
      </c>
      <c r="K438" s="2">
        <v>0</v>
      </c>
      <c r="L438" s="2">
        <v>-150</v>
      </c>
      <c r="M438" s="2">
        <v>0</v>
      </c>
      <c r="N438" s="1" t="str">
        <f>VLOOKUP(E438,'[1]ORG CODES'!$A:$C,3,FALSE)</f>
        <v>3466   SPANISH CLUB</v>
      </c>
    </row>
    <row r="439" spans="1:14" ht="14.45" hidden="1" x14ac:dyDescent="0.3">
      <c r="A439" t="str">
        <f>VLOOKUP(E439,'[1]ORG CODES'!$A:$B,2,FALSE)</f>
        <v>Student Funded Programs</v>
      </c>
      <c r="B439" s="1" t="s">
        <v>2</v>
      </c>
      <c r="C439" s="1" t="s">
        <v>3</v>
      </c>
      <c r="D439" s="1" t="s">
        <v>4</v>
      </c>
      <c r="E439" s="1" t="s">
        <v>178</v>
      </c>
      <c r="F439" s="1" t="s">
        <v>56</v>
      </c>
      <c r="G439" s="1" t="s">
        <v>64</v>
      </c>
      <c r="H439" s="1" t="str">
        <f>VLOOKUP(F439,'[2]DX.OTHER.9.30.06 DETAIL'!$H$1:$J$65536,3,FALSE)</f>
        <v>Exp-Salary &amp; Benefits</v>
      </c>
      <c r="I439" s="1">
        <v>0</v>
      </c>
      <c r="J439" s="2">
        <v>200</v>
      </c>
      <c r="K439" s="2">
        <v>0</v>
      </c>
      <c r="L439" s="2">
        <v>-200</v>
      </c>
      <c r="M439" s="2">
        <v>0</v>
      </c>
      <c r="N439" s="1" t="str">
        <f>VLOOKUP(E439,'[1]ORG CODES'!$A:$C,3,FALSE)</f>
        <v>3468   WELLNESS CLUB</v>
      </c>
    </row>
    <row r="440" spans="1:14" ht="14.45" hidden="1" x14ac:dyDescent="0.3">
      <c r="A440" t="str">
        <f>VLOOKUP(E440,'[1]ORG CODES'!$A:$B,2,FALSE)</f>
        <v>Student Funded Programs</v>
      </c>
      <c r="B440" s="1" t="s">
        <v>2</v>
      </c>
      <c r="C440" s="1" t="s">
        <v>3</v>
      </c>
      <c r="D440" s="1" t="s">
        <v>4</v>
      </c>
      <c r="E440" s="1" t="s">
        <v>52</v>
      </c>
      <c r="F440" s="1" t="s">
        <v>57</v>
      </c>
      <c r="G440" s="1" t="s">
        <v>58</v>
      </c>
      <c r="H440" s="1" t="str">
        <f>VLOOKUP(F440,'[2]DX.OTHER.9.30.06 DETAIL'!$H$1:$J$65536,3,FALSE)</f>
        <v>Exp-Salary &amp; Benefits</v>
      </c>
      <c r="I440" s="1">
        <v>0</v>
      </c>
      <c r="J440" s="2">
        <v>0</v>
      </c>
      <c r="K440" s="2">
        <v>0</v>
      </c>
      <c r="L440" s="2">
        <v>0</v>
      </c>
      <c r="M440" s="2">
        <v>0</v>
      </c>
      <c r="N440" s="1" t="str">
        <f>VLOOKUP(E440,'[1]ORG CODES'!$A:$C,3,FALSE)</f>
        <v>3352   REVELERS (DRAMA)</v>
      </c>
    </row>
    <row r="441" spans="1:14" ht="14.45" hidden="1" x14ac:dyDescent="0.3">
      <c r="A441" t="str">
        <f>VLOOKUP(E441,'[1]ORG CODES'!$A:$B,2,FALSE)</f>
        <v>Student Funded Programs</v>
      </c>
      <c r="B441" s="1" t="s">
        <v>2</v>
      </c>
      <c r="C441" s="1" t="s">
        <v>3</v>
      </c>
      <c r="D441" s="1" t="s">
        <v>4</v>
      </c>
      <c r="E441" s="1" t="s">
        <v>128</v>
      </c>
      <c r="F441" s="1" t="s">
        <v>57</v>
      </c>
      <c r="G441" s="1" t="s">
        <v>60</v>
      </c>
      <c r="H441" s="1" t="str">
        <f>VLOOKUP(F441,'[2]DX.OTHER.9.30.06 DETAIL'!$H$1:$J$65536,3,FALSE)</f>
        <v>Exp-Salary &amp; Benefits</v>
      </c>
      <c r="I441" s="1">
        <v>0</v>
      </c>
      <c r="J441" s="2">
        <v>0</v>
      </c>
      <c r="K441" s="2">
        <v>0</v>
      </c>
      <c r="L441" s="2">
        <v>0</v>
      </c>
      <c r="M441" s="2">
        <v>0</v>
      </c>
      <c r="N441" s="1" t="str">
        <f>VLOOKUP(E441,'[1]ORG CODES'!$A:$C,3,FALSE)</f>
        <v>3431   PT HOURLY SUPPORT</v>
      </c>
    </row>
    <row r="442" spans="1:14" ht="14.45" hidden="1" x14ac:dyDescent="0.3">
      <c r="A442" t="str">
        <f>VLOOKUP(E442,'[1]ORG CODES'!$A:$B,2,FALSE)</f>
        <v>Student Funded Programs</v>
      </c>
      <c r="B442" s="1" t="s">
        <v>2</v>
      </c>
      <c r="C442" s="1" t="s">
        <v>3</v>
      </c>
      <c r="D442" s="1" t="s">
        <v>4</v>
      </c>
      <c r="E442" s="1" t="s">
        <v>80</v>
      </c>
      <c r="F442" s="1" t="s">
        <v>82</v>
      </c>
      <c r="G442" s="1" t="s">
        <v>60</v>
      </c>
      <c r="H442" s="1" t="str">
        <f>VLOOKUP(F442,'[2]DX.OTHER.9.30.06 DETAIL'!$H$1:$J$65536,3,FALSE)</f>
        <v>Exp-Salary &amp; Benefits</v>
      </c>
      <c r="I442" s="1">
        <v>0</v>
      </c>
      <c r="J442" s="2">
        <v>0</v>
      </c>
      <c r="K442" s="2">
        <v>0</v>
      </c>
      <c r="L442" s="2">
        <v>0</v>
      </c>
      <c r="M442" s="2">
        <v>0</v>
      </c>
      <c r="N442" s="1" t="str">
        <f>VLOOKUP(E442,'[1]ORG CODES'!$A:$C,3,FALSE)</f>
        <v>3370   BETA GAMMA KAPPA</v>
      </c>
    </row>
    <row r="443" spans="1:14" ht="14.45" hidden="1" x14ac:dyDescent="0.3">
      <c r="A443" t="str">
        <f>VLOOKUP(E443,'[1]ORG CODES'!$A:$B,2,FALSE)</f>
        <v>Student Funded Programs</v>
      </c>
      <c r="B443" s="1" t="s">
        <v>2</v>
      </c>
      <c r="C443" s="1" t="s">
        <v>3</v>
      </c>
      <c r="D443" s="1" t="s">
        <v>4</v>
      </c>
      <c r="E443" s="1" t="s">
        <v>93</v>
      </c>
      <c r="F443" s="1" t="s">
        <v>82</v>
      </c>
      <c r="G443" s="1" t="s">
        <v>60</v>
      </c>
      <c r="H443" s="1" t="str">
        <f>VLOOKUP(F443,'[2]DX.OTHER.9.30.06 DETAIL'!$H$1:$J$65536,3,FALSE)</f>
        <v>Exp-Salary &amp; Benefits</v>
      </c>
      <c r="I443" s="1">
        <v>72000</v>
      </c>
      <c r="J443" s="2">
        <v>72186.12</v>
      </c>
      <c r="K443" s="2">
        <v>0</v>
      </c>
      <c r="L443" s="2">
        <v>-186.12</v>
      </c>
      <c r="M443" s="2">
        <v>0</v>
      </c>
      <c r="N443" s="1" t="str">
        <f>VLOOKUP(E443,'[1]ORG CODES'!$A:$C,3,FALSE)</f>
        <v>3403   PEERS SERVICES</v>
      </c>
    </row>
    <row r="444" spans="1:14" ht="14.45" hidden="1" x14ac:dyDescent="0.3">
      <c r="A444" t="str">
        <f>VLOOKUP(E444,'[1]ORG CODES'!$A:$B,2,FALSE)</f>
        <v>Student Funded Programs</v>
      </c>
      <c r="B444" s="1" t="s">
        <v>2</v>
      </c>
      <c r="C444" s="1" t="s">
        <v>3</v>
      </c>
      <c r="D444" s="1" t="s">
        <v>4</v>
      </c>
      <c r="E444" s="1" t="s">
        <v>100</v>
      </c>
      <c r="F444" s="1" t="s">
        <v>82</v>
      </c>
      <c r="G444" s="1" t="s">
        <v>60</v>
      </c>
      <c r="H444" s="1" t="str">
        <f>VLOOKUP(F444,'[2]DX.OTHER.9.30.06 DETAIL'!$H$1:$J$65536,3,FALSE)</f>
        <v>Exp-Salary &amp; Benefits</v>
      </c>
      <c r="I444" s="1">
        <v>3000</v>
      </c>
      <c r="J444" s="2">
        <v>3285.22</v>
      </c>
      <c r="K444" s="2">
        <v>0</v>
      </c>
      <c r="L444" s="2">
        <v>-285.22000000000003</v>
      </c>
      <c r="M444" s="2">
        <v>0</v>
      </c>
      <c r="N444" s="1" t="str">
        <f>VLOOKUP(E444,'[1]ORG CODES'!$A:$C,3,FALSE)</f>
        <v>3407   MLC TUTORING</v>
      </c>
    </row>
    <row r="445" spans="1:14" ht="14.45" hidden="1" x14ac:dyDescent="0.3">
      <c r="A445" t="str">
        <f>VLOOKUP(E445,'[1]ORG CODES'!$A:$B,2,FALSE)</f>
        <v>Student Funded Programs</v>
      </c>
      <c r="B445" s="1" t="s">
        <v>2</v>
      </c>
      <c r="C445" s="1" t="s">
        <v>3</v>
      </c>
      <c r="D445" s="1" t="s">
        <v>4</v>
      </c>
      <c r="E445" s="1" t="s">
        <v>112</v>
      </c>
      <c r="F445" s="1" t="s">
        <v>82</v>
      </c>
      <c r="G445" s="1" t="s">
        <v>60</v>
      </c>
      <c r="H445" s="1" t="str">
        <f>VLOOKUP(F445,'[2]DX.OTHER.9.30.06 DETAIL'!$H$1:$J$65536,3,FALSE)</f>
        <v>Exp-Salary &amp; Benefits</v>
      </c>
      <c r="I445" s="1">
        <v>100200</v>
      </c>
      <c r="J445" s="2">
        <v>61646.38</v>
      </c>
      <c r="K445" s="2">
        <v>0</v>
      </c>
      <c r="L445" s="2">
        <v>38553.620000000003</v>
      </c>
      <c r="M445" s="2">
        <v>0</v>
      </c>
      <c r="N445" s="1" t="str">
        <f>VLOOKUP(E445,'[1]ORG CODES'!$A:$C,3,FALSE)</f>
        <v>3416   WORKSTUDY</v>
      </c>
    </row>
    <row r="446" spans="1:14" ht="14.45" hidden="1" x14ac:dyDescent="0.3">
      <c r="A446" t="str">
        <f>VLOOKUP(E446,'[1]ORG CODES'!$A:$B,2,FALSE)</f>
        <v>Student Funded Programs</v>
      </c>
      <c r="B446" s="1" t="s">
        <v>2</v>
      </c>
      <c r="C446" s="1" t="s">
        <v>3</v>
      </c>
      <c r="D446" s="1" t="s">
        <v>4</v>
      </c>
      <c r="E446" s="1" t="s">
        <v>125</v>
      </c>
      <c r="F446" s="1" t="s">
        <v>82</v>
      </c>
      <c r="G446" s="1" t="s">
        <v>60</v>
      </c>
      <c r="H446" s="1" t="str">
        <f>VLOOKUP(F446,'[2]DX.OTHER.9.30.06 DETAIL'!$H$1:$J$65536,3,FALSE)</f>
        <v>Exp-Salary &amp; Benefits</v>
      </c>
      <c r="I446" s="1">
        <v>0</v>
      </c>
      <c r="J446" s="2">
        <v>20730.330000000002</v>
      </c>
      <c r="K446" s="2">
        <v>0</v>
      </c>
      <c r="L446" s="2">
        <v>-20730.330000000002</v>
      </c>
      <c r="M446" s="2">
        <v>0</v>
      </c>
      <c r="N446" s="1" t="str">
        <f>VLOOKUP(E446,'[1]ORG CODES'!$A:$C,3,FALSE)</f>
        <v>3428   SECURITY</v>
      </c>
    </row>
    <row r="447" spans="1:14" ht="14.45" hidden="1" x14ac:dyDescent="0.3">
      <c r="A447" t="str">
        <f>VLOOKUP(E447,'[1]ORG CODES'!$A:$B,2,FALSE)</f>
        <v>Student Funded Programs</v>
      </c>
      <c r="B447" s="1" t="s">
        <v>2</v>
      </c>
      <c r="C447" s="1" t="s">
        <v>3</v>
      </c>
      <c r="D447" s="1" t="s">
        <v>4</v>
      </c>
      <c r="E447" s="1" t="s">
        <v>112</v>
      </c>
      <c r="F447" s="1" t="s">
        <v>113</v>
      </c>
      <c r="G447" s="1" t="s">
        <v>60</v>
      </c>
      <c r="H447" s="1" t="str">
        <f>VLOOKUP(F447,'[2]DX.OTHER.9.30.06 DETAIL'!$H$1:$J$65536,3,FALSE)</f>
        <v>Exp-Salary &amp; Benefits</v>
      </c>
      <c r="I447" s="1">
        <v>0</v>
      </c>
      <c r="J447" s="2">
        <v>12000</v>
      </c>
      <c r="K447" s="2">
        <v>0</v>
      </c>
      <c r="L447" s="2">
        <v>-12000</v>
      </c>
      <c r="M447" s="2">
        <v>0</v>
      </c>
      <c r="N447" s="1" t="str">
        <f>VLOOKUP(E447,'[1]ORG CODES'!$A:$C,3,FALSE)</f>
        <v>3416   WORKSTUDY</v>
      </c>
    </row>
    <row r="448" spans="1:14" ht="14.45" hidden="1" x14ac:dyDescent="0.3">
      <c r="A448" t="str">
        <f>VLOOKUP(E448,'[1]ORG CODES'!$A:$B,2,FALSE)</f>
        <v>Student Funded Programs</v>
      </c>
      <c r="B448" s="1" t="s">
        <v>2</v>
      </c>
      <c r="C448" s="1" t="s">
        <v>3</v>
      </c>
      <c r="D448" s="1" t="s">
        <v>4</v>
      </c>
      <c r="E448" s="1" t="s">
        <v>52</v>
      </c>
      <c r="F448" s="1" t="s">
        <v>59</v>
      </c>
      <c r="G448" s="1" t="s">
        <v>60</v>
      </c>
      <c r="H448" s="1" t="str">
        <f>VLOOKUP(F448,'[2]DX.OTHER.9.30.06 DETAIL'!$H$1:$J$65536,3,FALSE)</f>
        <v>Exp-Salary &amp; Benefits</v>
      </c>
      <c r="I448" s="1">
        <v>0</v>
      </c>
      <c r="J448" s="2">
        <v>906.06</v>
      </c>
      <c r="K448" s="2">
        <v>0</v>
      </c>
      <c r="L448" s="2">
        <v>-906.06</v>
      </c>
      <c r="M448" s="2">
        <v>0</v>
      </c>
      <c r="N448" s="1" t="str">
        <f>VLOOKUP(E448,'[1]ORG CODES'!$A:$C,3,FALSE)</f>
        <v>3352   REVELERS (DRAMA)</v>
      </c>
    </row>
    <row r="449" spans="1:14" ht="14.45" hidden="1" x14ac:dyDescent="0.3">
      <c r="A449" t="str">
        <f>VLOOKUP(E449,'[1]ORG CODES'!$A:$B,2,FALSE)</f>
        <v>Student Funded Programs</v>
      </c>
      <c r="B449" s="1" t="s">
        <v>2</v>
      </c>
      <c r="C449" s="1" t="s">
        <v>3</v>
      </c>
      <c r="D449" s="1" t="s">
        <v>4</v>
      </c>
      <c r="E449" s="1" t="s">
        <v>52</v>
      </c>
      <c r="F449" s="1" t="s">
        <v>59</v>
      </c>
      <c r="G449" s="1" t="s">
        <v>61</v>
      </c>
      <c r="H449" s="1" t="str">
        <f>VLOOKUP(F449,'[2]DX.OTHER.9.30.06 DETAIL'!$H$1:$J$65536,3,FALSE)</f>
        <v>Exp-Salary &amp; Benefits</v>
      </c>
      <c r="I449" s="1">
        <v>0</v>
      </c>
      <c r="J449" s="2">
        <v>0</v>
      </c>
      <c r="K449" s="2">
        <v>0</v>
      </c>
      <c r="L449" s="2">
        <v>0</v>
      </c>
      <c r="M449" s="2">
        <v>0</v>
      </c>
      <c r="N449" s="1" t="str">
        <f>VLOOKUP(E449,'[1]ORG CODES'!$A:$C,3,FALSE)</f>
        <v>3352   REVELERS (DRAMA)</v>
      </c>
    </row>
    <row r="450" spans="1:14" ht="14.45" hidden="1" x14ac:dyDescent="0.3">
      <c r="A450" t="str">
        <f>VLOOKUP(E450,'[1]ORG CODES'!$A:$B,2,FALSE)</f>
        <v>Student Funded Programs</v>
      </c>
      <c r="B450" s="1" t="s">
        <v>2</v>
      </c>
      <c r="C450" s="1" t="s">
        <v>3</v>
      </c>
      <c r="D450" s="1" t="s">
        <v>4</v>
      </c>
      <c r="E450" s="1" t="s">
        <v>170</v>
      </c>
      <c r="F450" s="1" t="s">
        <v>59</v>
      </c>
      <c r="G450" s="1" t="s">
        <v>60</v>
      </c>
      <c r="H450" s="1" t="str">
        <f>VLOOKUP(F450,'[2]DX.OTHER.9.30.06 DETAIL'!$H$1:$J$65536,3,FALSE)</f>
        <v>Exp-Salary &amp; Benefits</v>
      </c>
      <c r="I450" s="1">
        <v>0</v>
      </c>
      <c r="J450" s="2">
        <v>72.819999999999993</v>
      </c>
      <c r="K450" s="2">
        <v>0</v>
      </c>
      <c r="L450" s="2">
        <v>-72.819999999999993</v>
      </c>
      <c r="M450" s="2">
        <v>0</v>
      </c>
      <c r="N450" s="1" t="str">
        <f>VLOOKUP(E450,'[1]ORG CODES'!$A:$C,3,FALSE)</f>
        <v>3464   JAZZ PRESENTS</v>
      </c>
    </row>
    <row r="451" spans="1:14" ht="14.45" hidden="1" x14ac:dyDescent="0.3">
      <c r="A451" t="str">
        <f>VLOOKUP(E451,'[1]ORG CODES'!$A:$B,2,FALSE)</f>
        <v>Student Funded Programs</v>
      </c>
      <c r="B451" s="1" t="s">
        <v>2</v>
      </c>
      <c r="C451" s="1" t="s">
        <v>3</v>
      </c>
      <c r="D451" s="1" t="s">
        <v>4</v>
      </c>
      <c r="E451" s="1" t="s">
        <v>172</v>
      </c>
      <c r="F451" s="1" t="s">
        <v>59</v>
      </c>
      <c r="G451" s="1" t="s">
        <v>43</v>
      </c>
      <c r="H451" s="1" t="str">
        <f>VLOOKUP(F451,'[2]DX.OTHER.9.30.06 DETAIL'!$H$1:$J$65536,3,FALSE)</f>
        <v>Exp-Salary &amp; Benefits</v>
      </c>
      <c r="I451" s="1">
        <v>0</v>
      </c>
      <c r="J451" s="2">
        <v>-1009.9</v>
      </c>
      <c r="K451" s="2">
        <v>0</v>
      </c>
      <c r="L451" s="2">
        <v>1009.9</v>
      </c>
      <c r="M451" s="2">
        <v>0</v>
      </c>
      <c r="N451" s="1" t="str">
        <f>VLOOKUP(E451,'[1]ORG CODES'!$A:$C,3,FALSE)</f>
        <v>3465   RED NATIONS ASSOC</v>
      </c>
    </row>
    <row r="452" spans="1:14" ht="14.45" hidden="1" x14ac:dyDescent="0.3">
      <c r="A452" t="str">
        <f>VLOOKUP(E452,'[1]ORG CODES'!$A:$B,2,FALSE)</f>
        <v>Student Funded Programs</v>
      </c>
      <c r="B452" s="1" t="s">
        <v>2</v>
      </c>
      <c r="C452" s="1" t="s">
        <v>3</v>
      </c>
      <c r="D452" s="1" t="s">
        <v>4</v>
      </c>
      <c r="E452" s="1" t="s">
        <v>172</v>
      </c>
      <c r="F452" s="1" t="s">
        <v>59</v>
      </c>
      <c r="G452" s="1" t="s">
        <v>60</v>
      </c>
      <c r="H452" s="1" t="str">
        <f>VLOOKUP(F452,'[2]DX.OTHER.9.30.06 DETAIL'!$H$1:$J$65536,3,FALSE)</f>
        <v>Exp-Salary &amp; Benefits</v>
      </c>
      <c r="I452" s="1">
        <v>0</v>
      </c>
      <c r="J452" s="2">
        <v>85.56</v>
      </c>
      <c r="K452" s="2">
        <v>0</v>
      </c>
      <c r="L452" s="2">
        <v>-85.56</v>
      </c>
      <c r="M452" s="2">
        <v>0</v>
      </c>
      <c r="N452" s="1" t="str">
        <f>VLOOKUP(E452,'[1]ORG CODES'!$A:$C,3,FALSE)</f>
        <v>3465   RED NATIONS ASSOC</v>
      </c>
    </row>
    <row r="453" spans="1:14" ht="14.45" hidden="1" x14ac:dyDescent="0.3">
      <c r="A453" t="str">
        <f>VLOOKUP(E453,'[1]ORG CODES'!$A:$B,2,FALSE)</f>
        <v>Student Funded Programs</v>
      </c>
      <c r="B453" s="1" t="s">
        <v>2</v>
      </c>
      <c r="C453" s="1" t="s">
        <v>3</v>
      </c>
      <c r="D453" s="1" t="s">
        <v>4</v>
      </c>
      <c r="E453" s="1" t="s">
        <v>172</v>
      </c>
      <c r="F453" s="1" t="s">
        <v>59</v>
      </c>
      <c r="G453" s="1" t="s">
        <v>105</v>
      </c>
      <c r="H453" s="1" t="str">
        <f>VLOOKUP(F453,'[2]DX.OTHER.9.30.06 DETAIL'!$H$1:$J$65536,3,FALSE)</f>
        <v>Exp-Salary &amp; Benefits</v>
      </c>
      <c r="I453" s="1">
        <v>0</v>
      </c>
      <c r="J453" s="2">
        <v>20.96</v>
      </c>
      <c r="K453" s="2">
        <v>0</v>
      </c>
      <c r="L453" s="2">
        <v>-20.96</v>
      </c>
      <c r="M453" s="2">
        <v>0</v>
      </c>
      <c r="N453" s="1" t="str">
        <f>VLOOKUP(E453,'[1]ORG CODES'!$A:$C,3,FALSE)</f>
        <v>3465   RED NATIONS ASSOC</v>
      </c>
    </row>
    <row r="454" spans="1:14" ht="14.45" hidden="1" x14ac:dyDescent="0.3">
      <c r="A454" t="str">
        <f>VLOOKUP(E454,'[1]ORG CODES'!$A:$B,2,FALSE)</f>
        <v>Student Funded Programs</v>
      </c>
      <c r="B454" s="1" t="s">
        <v>2</v>
      </c>
      <c r="C454" s="1" t="s">
        <v>3</v>
      </c>
      <c r="D454" s="1" t="s">
        <v>4</v>
      </c>
      <c r="E454" s="1" t="s">
        <v>172</v>
      </c>
      <c r="F454" s="1" t="s">
        <v>59</v>
      </c>
      <c r="G454" s="1" t="s">
        <v>174</v>
      </c>
      <c r="H454" s="1" t="str">
        <f>VLOOKUP(F454,'[2]DX.OTHER.9.30.06 DETAIL'!$H$1:$J$65536,3,FALSE)</f>
        <v>Exp-Salary &amp; Benefits</v>
      </c>
      <c r="I454" s="1">
        <v>0</v>
      </c>
      <c r="J454" s="2">
        <v>872.54</v>
      </c>
      <c r="K454" s="2">
        <v>0</v>
      </c>
      <c r="L454" s="2">
        <v>-872.54</v>
      </c>
      <c r="M454" s="2">
        <v>0</v>
      </c>
      <c r="N454" s="1" t="str">
        <f>VLOOKUP(E454,'[1]ORG CODES'!$A:$C,3,FALSE)</f>
        <v>3465   RED NATIONS ASSOC</v>
      </c>
    </row>
    <row r="455" spans="1:14" ht="14.45" hidden="1" x14ac:dyDescent="0.3">
      <c r="A455" t="str">
        <f>VLOOKUP(E455,'[1]ORG CODES'!$A:$B,2,FALSE)</f>
        <v>Student Funded Programs</v>
      </c>
      <c r="B455" s="1" t="s">
        <v>2</v>
      </c>
      <c r="C455" s="1" t="s">
        <v>3</v>
      </c>
      <c r="D455" s="1" t="s">
        <v>4</v>
      </c>
      <c r="E455" s="1" t="s">
        <v>25</v>
      </c>
      <c r="F455" s="1" t="s">
        <v>29</v>
      </c>
      <c r="H455" s="1" t="str">
        <f>VLOOKUP(F455,'[2]DX.OTHER.9.30.06 DETAIL'!$H$1:$J$65536,3,FALSE)</f>
        <v>Exp-Salary &amp; Benefits</v>
      </c>
      <c r="I455" s="1">
        <v>0</v>
      </c>
      <c r="J455" s="2">
        <v>0</v>
      </c>
      <c r="K455" s="2">
        <v>0</v>
      </c>
      <c r="L455" s="2">
        <v>0</v>
      </c>
      <c r="M455" s="2">
        <v>0</v>
      </c>
      <c r="N455" s="1" t="str">
        <f>VLOOKUP(E455,'[1]ORG CODES'!$A:$C,3,FALSE)</f>
        <v>3309   IRP CLUB ADVISORS</v>
      </c>
    </row>
    <row r="456" spans="1:14" ht="14.45" hidden="1" x14ac:dyDescent="0.3">
      <c r="A456" t="str">
        <f>VLOOKUP(E456,'[1]ORG CODES'!$A:$B,2,FALSE)</f>
        <v>Student Funded Programs</v>
      </c>
      <c r="B456" s="1" t="s">
        <v>2</v>
      </c>
      <c r="C456" s="1" t="s">
        <v>3</v>
      </c>
      <c r="D456" s="1" t="s">
        <v>4</v>
      </c>
      <c r="E456" s="1" t="s">
        <v>38</v>
      </c>
      <c r="F456" s="1" t="s">
        <v>29</v>
      </c>
      <c r="H456" s="1" t="str">
        <f>VLOOKUP(F456,'[2]DX.OTHER.9.30.06 DETAIL'!$H$1:$J$65536,3,FALSE)</f>
        <v>Exp-Salary &amp; Benefits</v>
      </c>
      <c r="I456" s="1">
        <v>0</v>
      </c>
      <c r="J456" s="2">
        <v>0</v>
      </c>
      <c r="K456" s="2">
        <v>0</v>
      </c>
      <c r="L456" s="2">
        <v>0</v>
      </c>
      <c r="M456" s="2">
        <v>0</v>
      </c>
      <c r="N456" s="1" t="str">
        <f>VLOOKUP(E456,'[1]ORG CODES'!$A:$C,3,FALSE)</f>
        <v>3329   SPEECH &amp; DEBATE CLUB</v>
      </c>
    </row>
    <row r="457" spans="1:14" ht="14.45" hidden="1" x14ac:dyDescent="0.3">
      <c r="A457" t="str">
        <f>VLOOKUP(E457,'[1]ORG CODES'!$A:$B,2,FALSE)</f>
        <v>Student Funded Programs</v>
      </c>
      <c r="B457" s="1" t="s">
        <v>2</v>
      </c>
      <c r="C457" s="1" t="s">
        <v>3</v>
      </c>
      <c r="D457" s="1" t="s">
        <v>4</v>
      </c>
      <c r="E457" s="1" t="s">
        <v>52</v>
      </c>
      <c r="F457" s="1" t="s">
        <v>29</v>
      </c>
      <c r="H457" s="1" t="str">
        <f>VLOOKUP(F457,'[2]DX.OTHER.9.30.06 DETAIL'!$H$1:$J$65536,3,FALSE)</f>
        <v>Exp-Salary &amp; Benefits</v>
      </c>
      <c r="I457" s="1">
        <v>0</v>
      </c>
      <c r="J457" s="2">
        <v>0</v>
      </c>
      <c r="K457" s="2">
        <v>0</v>
      </c>
      <c r="L457" s="2">
        <v>0</v>
      </c>
      <c r="M457" s="2">
        <v>0</v>
      </c>
      <c r="N457" s="1" t="str">
        <f>VLOOKUP(E457,'[1]ORG CODES'!$A:$C,3,FALSE)</f>
        <v>3352   REVELERS (DRAMA)</v>
      </c>
    </row>
    <row r="458" spans="1:14" ht="14.45" hidden="1" x14ac:dyDescent="0.3">
      <c r="A458" t="str">
        <f>VLOOKUP(E458,'[1]ORG CODES'!$A:$B,2,FALSE)</f>
        <v>Student Funded Programs</v>
      </c>
      <c r="B458" s="1" t="s">
        <v>2</v>
      </c>
      <c r="C458" s="1" t="s">
        <v>3</v>
      </c>
      <c r="D458" s="1" t="s">
        <v>4</v>
      </c>
      <c r="E458" s="1" t="s">
        <v>63</v>
      </c>
      <c r="F458" s="1" t="s">
        <v>29</v>
      </c>
      <c r="H458" s="1" t="str">
        <f>VLOOKUP(F458,'[2]DX.OTHER.9.30.06 DETAIL'!$H$1:$J$65536,3,FALSE)</f>
        <v>Exp-Salary &amp; Benefits</v>
      </c>
      <c r="I458" s="1">
        <v>0</v>
      </c>
      <c r="J458" s="2">
        <v>0</v>
      </c>
      <c r="K458" s="2">
        <v>0</v>
      </c>
      <c r="L458" s="2">
        <v>0</v>
      </c>
      <c r="M458" s="2">
        <v>0</v>
      </c>
      <c r="N458" s="1" t="str">
        <f>VLOOKUP(E458,'[1]ORG CODES'!$A:$C,3,FALSE)</f>
        <v>3353   ORCHESTRA</v>
      </c>
    </row>
    <row r="459" spans="1:14" ht="14.45" hidden="1" x14ac:dyDescent="0.3">
      <c r="A459" t="str">
        <f>VLOOKUP(E459,'[1]ORG CODES'!$A:$B,2,FALSE)</f>
        <v>Student Funded Programs</v>
      </c>
      <c r="B459" s="1" t="s">
        <v>2</v>
      </c>
      <c r="C459" s="1" t="s">
        <v>3</v>
      </c>
      <c r="D459" s="1" t="s">
        <v>4</v>
      </c>
      <c r="E459" s="1" t="s">
        <v>65</v>
      </c>
      <c r="F459" s="1" t="s">
        <v>29</v>
      </c>
      <c r="H459" s="1" t="str">
        <f>VLOOKUP(F459,'[2]DX.OTHER.9.30.06 DETAIL'!$H$1:$J$65536,3,FALSE)</f>
        <v>Exp-Salary &amp; Benefits</v>
      </c>
      <c r="I459" s="1">
        <v>0</v>
      </c>
      <c r="J459" s="2">
        <v>0</v>
      </c>
      <c r="K459" s="2">
        <v>0</v>
      </c>
      <c r="L459" s="2">
        <v>0</v>
      </c>
      <c r="M459" s="2">
        <v>0</v>
      </c>
      <c r="N459" s="1" t="str">
        <f>VLOOKUP(E459,'[1]ORG CODES'!$A:$C,3,FALSE)</f>
        <v>3354   CONCERT BAND</v>
      </c>
    </row>
    <row r="460" spans="1:14" ht="14.45" hidden="1" x14ac:dyDescent="0.3">
      <c r="A460" t="str">
        <f>VLOOKUP(E460,'[1]ORG CODES'!$A:$B,2,FALSE)</f>
        <v>Student Funded Programs</v>
      </c>
      <c r="B460" s="1" t="s">
        <v>2</v>
      </c>
      <c r="C460" s="1" t="s">
        <v>3</v>
      </c>
      <c r="D460" s="1" t="s">
        <v>4</v>
      </c>
      <c r="E460" s="1" t="s">
        <v>68</v>
      </c>
      <c r="F460" s="1" t="s">
        <v>29</v>
      </c>
      <c r="H460" s="1" t="str">
        <f>VLOOKUP(F460,'[2]DX.OTHER.9.30.06 DETAIL'!$H$1:$J$65536,3,FALSE)</f>
        <v>Exp-Salary &amp; Benefits</v>
      </c>
      <c r="I460" s="1">
        <v>0</v>
      </c>
      <c r="J460" s="2">
        <v>0</v>
      </c>
      <c r="K460" s="2">
        <v>0</v>
      </c>
      <c r="L460" s="2">
        <v>0</v>
      </c>
      <c r="M460" s="2">
        <v>0</v>
      </c>
      <c r="N460" s="1" t="str">
        <f>VLOOKUP(E460,'[1]ORG CODES'!$A:$C,3,FALSE)</f>
        <v>3355   CHORAL MUSIC</v>
      </c>
    </row>
    <row r="461" spans="1:14" ht="14.45" hidden="1" x14ac:dyDescent="0.3">
      <c r="A461" t="str">
        <f>VLOOKUP(E461,'[1]ORG CODES'!$A:$B,2,FALSE)</f>
        <v>Student Funded Programs</v>
      </c>
      <c r="B461" s="1" t="s">
        <v>2</v>
      </c>
      <c r="C461" s="1" t="s">
        <v>3</v>
      </c>
      <c r="D461" s="1" t="s">
        <v>4</v>
      </c>
      <c r="E461" s="1" t="s">
        <v>71</v>
      </c>
      <c r="F461" s="1" t="s">
        <v>29</v>
      </c>
      <c r="H461" s="1" t="str">
        <f>VLOOKUP(F461,'[2]DX.OTHER.9.30.06 DETAIL'!$H$1:$J$65536,3,FALSE)</f>
        <v>Exp-Salary &amp; Benefits</v>
      </c>
      <c r="I461" s="1">
        <v>0</v>
      </c>
      <c r="J461" s="2">
        <v>0</v>
      </c>
      <c r="K461" s="2">
        <v>0</v>
      </c>
      <c r="L461" s="2">
        <v>0</v>
      </c>
      <c r="M461" s="2">
        <v>0</v>
      </c>
      <c r="N461" s="1" t="str">
        <f>VLOOKUP(E461,'[1]ORG CODES'!$A:$C,3,FALSE)</f>
        <v>3356   STAGE BAND/COMBO</v>
      </c>
    </row>
    <row r="462" spans="1:14" ht="14.45" hidden="1" x14ac:dyDescent="0.3">
      <c r="A462" t="str">
        <f>VLOOKUP(E462,'[1]ORG CODES'!$A:$B,2,FALSE)</f>
        <v>Student Funded Programs</v>
      </c>
      <c r="B462" s="1" t="s">
        <v>2</v>
      </c>
      <c r="C462" s="1" t="s">
        <v>3</v>
      </c>
      <c r="D462" s="1" t="s">
        <v>4</v>
      </c>
      <c r="E462" s="1" t="s">
        <v>80</v>
      </c>
      <c r="F462" s="1" t="s">
        <v>29</v>
      </c>
      <c r="H462" s="1" t="str">
        <f>VLOOKUP(F462,'[2]DX.OTHER.9.30.06 DETAIL'!$H$1:$J$65536,3,FALSE)</f>
        <v>Exp-Salary &amp; Benefits</v>
      </c>
      <c r="I462" s="1">
        <v>0</v>
      </c>
      <c r="J462" s="2">
        <v>0</v>
      </c>
      <c r="K462" s="2">
        <v>0</v>
      </c>
      <c r="L462" s="2">
        <v>0</v>
      </c>
      <c r="M462" s="2">
        <v>0</v>
      </c>
      <c r="N462" s="1" t="str">
        <f>VLOOKUP(E462,'[1]ORG CODES'!$A:$C,3,FALSE)</f>
        <v>3370   BETA GAMMA KAPPA</v>
      </c>
    </row>
    <row r="463" spans="1:14" ht="14.45" hidden="1" x14ac:dyDescent="0.3">
      <c r="A463" t="str">
        <f>VLOOKUP(E463,'[1]ORG CODES'!$A:$B,2,FALSE)</f>
        <v>Student Funded Programs</v>
      </c>
      <c r="B463" s="1" t="s">
        <v>2</v>
      </c>
      <c r="C463" s="1" t="s">
        <v>3</v>
      </c>
      <c r="D463" s="1" t="s">
        <v>4</v>
      </c>
      <c r="E463" s="1" t="s">
        <v>93</v>
      </c>
      <c r="F463" s="1" t="s">
        <v>29</v>
      </c>
      <c r="H463" s="1" t="str">
        <f>VLOOKUP(F463,'[2]DX.OTHER.9.30.06 DETAIL'!$H$1:$J$65536,3,FALSE)</f>
        <v>Exp-Salary &amp; Benefits</v>
      </c>
      <c r="I463" s="1">
        <v>4700</v>
      </c>
      <c r="J463" s="2">
        <v>0</v>
      </c>
      <c r="K463" s="2">
        <v>0</v>
      </c>
      <c r="L463" s="2">
        <v>4700</v>
      </c>
      <c r="M463" s="2">
        <v>0</v>
      </c>
      <c r="N463" s="1" t="str">
        <f>VLOOKUP(E463,'[1]ORG CODES'!$A:$C,3,FALSE)</f>
        <v>3403   PEERS SERVICES</v>
      </c>
    </row>
    <row r="464" spans="1:14" ht="14.45" hidden="1" x14ac:dyDescent="0.3">
      <c r="A464" t="str">
        <f>VLOOKUP(E464,'[1]ORG CODES'!$A:$B,2,FALSE)</f>
        <v>Student Funded Programs</v>
      </c>
      <c r="B464" s="1" t="s">
        <v>2</v>
      </c>
      <c r="C464" s="1" t="s">
        <v>3</v>
      </c>
      <c r="D464" s="1" t="s">
        <v>4</v>
      </c>
      <c r="E464" s="1" t="s">
        <v>100</v>
      </c>
      <c r="F464" s="1" t="s">
        <v>29</v>
      </c>
      <c r="H464" s="1" t="str">
        <f>VLOOKUP(F464,'[2]DX.OTHER.9.30.06 DETAIL'!$H$1:$J$65536,3,FALSE)</f>
        <v>Exp-Salary &amp; Benefits</v>
      </c>
      <c r="I464" s="1">
        <v>0</v>
      </c>
      <c r="J464" s="2">
        <v>0</v>
      </c>
      <c r="K464" s="2">
        <v>0</v>
      </c>
      <c r="L464" s="2">
        <v>0</v>
      </c>
      <c r="M464" s="2">
        <v>0</v>
      </c>
      <c r="N464" s="1" t="str">
        <f>VLOOKUP(E464,'[1]ORG CODES'!$A:$C,3,FALSE)</f>
        <v>3407   MLC TUTORING</v>
      </c>
    </row>
    <row r="465" spans="1:14" ht="14.45" hidden="1" x14ac:dyDescent="0.3">
      <c r="A465" t="str">
        <f>VLOOKUP(E465,'[1]ORG CODES'!$A:$B,2,FALSE)</f>
        <v>Student Funded Programs</v>
      </c>
      <c r="B465" s="1" t="s">
        <v>2</v>
      </c>
      <c r="C465" s="1" t="s">
        <v>3</v>
      </c>
      <c r="D465" s="1" t="s">
        <v>4</v>
      </c>
      <c r="E465" s="1" t="s">
        <v>102</v>
      </c>
      <c r="F465" s="1" t="s">
        <v>29</v>
      </c>
      <c r="H465" s="1" t="str">
        <f>VLOOKUP(F465,'[2]DX.OTHER.9.30.06 DETAIL'!$H$1:$J$65536,3,FALSE)</f>
        <v>Exp-Salary &amp; Benefits</v>
      </c>
      <c r="I465" s="1">
        <v>0</v>
      </c>
      <c r="J465" s="2">
        <v>0</v>
      </c>
      <c r="K465" s="2">
        <v>0</v>
      </c>
      <c r="L465" s="2">
        <v>0</v>
      </c>
      <c r="M465" s="2">
        <v>0</v>
      </c>
      <c r="N465" s="1" t="str">
        <f>VLOOKUP(E465,'[1]ORG CODES'!$A:$C,3,FALSE)</f>
        <v>3409   ASA CLUB ADVISORS</v>
      </c>
    </row>
    <row r="466" spans="1:14" ht="14.45" hidden="1" x14ac:dyDescent="0.3">
      <c r="A466" t="str">
        <f>VLOOKUP(E466,'[1]ORG CODES'!$A:$B,2,FALSE)</f>
        <v>Student Funded Programs</v>
      </c>
      <c r="B466" s="1" t="s">
        <v>2</v>
      </c>
      <c r="C466" s="1" t="s">
        <v>3</v>
      </c>
      <c r="D466" s="1" t="s">
        <v>4</v>
      </c>
      <c r="E466" s="1" t="s">
        <v>112</v>
      </c>
      <c r="F466" s="1" t="s">
        <v>29</v>
      </c>
      <c r="H466" s="1" t="str">
        <f>VLOOKUP(F466,'[2]DX.OTHER.9.30.06 DETAIL'!$H$1:$J$65536,3,FALSE)</f>
        <v>Exp-Salary &amp; Benefits</v>
      </c>
      <c r="I466" s="1">
        <v>0</v>
      </c>
      <c r="J466" s="2">
        <v>0</v>
      </c>
      <c r="K466" s="2">
        <v>0</v>
      </c>
      <c r="L466" s="2">
        <v>0</v>
      </c>
      <c r="M466" s="2">
        <v>0</v>
      </c>
      <c r="N466" s="1" t="str">
        <f>VLOOKUP(E466,'[1]ORG CODES'!$A:$C,3,FALSE)</f>
        <v>3416   WORKSTUDY</v>
      </c>
    </row>
    <row r="467" spans="1:14" ht="14.45" hidden="1" x14ac:dyDescent="0.3">
      <c r="A467" t="str">
        <f>VLOOKUP(E467,'[1]ORG CODES'!$A:$B,2,FALSE)</f>
        <v>Student Funded Programs</v>
      </c>
      <c r="B467" s="1" t="s">
        <v>2</v>
      </c>
      <c r="C467" s="1" t="s">
        <v>3</v>
      </c>
      <c r="D467" s="1" t="s">
        <v>4</v>
      </c>
      <c r="E467" s="1" t="s">
        <v>114</v>
      </c>
      <c r="F467" s="1" t="s">
        <v>29</v>
      </c>
      <c r="H467" s="1" t="str">
        <f>VLOOKUP(F467,'[2]DX.OTHER.9.30.06 DETAIL'!$H$1:$J$65536,3,FALSE)</f>
        <v>Exp-Salary &amp; Benefits</v>
      </c>
      <c r="I467" s="1">
        <v>0</v>
      </c>
      <c r="J467" s="2">
        <v>0</v>
      </c>
      <c r="K467" s="2">
        <v>0</v>
      </c>
      <c r="L467" s="2">
        <v>0</v>
      </c>
      <c r="M467" s="2">
        <v>0</v>
      </c>
      <c r="N467" s="1" t="str">
        <f>VLOOKUP(E467,'[1]ORG CODES'!$A:$C,3,FALSE)</f>
        <v>3417   TRAVEL</v>
      </c>
    </row>
    <row r="468" spans="1:14" ht="14.45" hidden="1" x14ac:dyDescent="0.3">
      <c r="A468" t="str">
        <f>VLOOKUP(E468,'[1]ORG CODES'!$A:$B,2,FALSE)</f>
        <v>Student Funded Programs</v>
      </c>
      <c r="B468" s="1" t="s">
        <v>2</v>
      </c>
      <c r="C468" s="1" t="s">
        <v>3</v>
      </c>
      <c r="D468" s="1" t="s">
        <v>4</v>
      </c>
      <c r="E468" s="1" t="s">
        <v>118</v>
      </c>
      <c r="F468" s="1" t="s">
        <v>29</v>
      </c>
      <c r="H468" s="1" t="str">
        <f>VLOOKUP(F468,'[2]DX.OTHER.9.30.06 DETAIL'!$H$1:$J$65536,3,FALSE)</f>
        <v>Exp-Salary &amp; Benefits</v>
      </c>
      <c r="I468" s="1">
        <v>0</v>
      </c>
      <c r="J468" s="2">
        <v>0</v>
      </c>
      <c r="K468" s="2">
        <v>0</v>
      </c>
      <c r="L468" s="2">
        <v>0</v>
      </c>
      <c r="M468" s="2">
        <v>0</v>
      </c>
      <c r="N468" s="1" t="str">
        <f>VLOOKUP(E468,'[1]ORG CODES'!$A:$C,3,FALSE)</f>
        <v>3421   CONCERTS/COMEDY</v>
      </c>
    </row>
    <row r="469" spans="1:14" ht="14.45" hidden="1" x14ac:dyDescent="0.3">
      <c r="A469" t="str">
        <f>VLOOKUP(E469,'[1]ORG CODES'!$A:$B,2,FALSE)</f>
        <v>Student Funded Programs</v>
      </c>
      <c r="B469" s="1" t="s">
        <v>2</v>
      </c>
      <c r="C469" s="1" t="s">
        <v>3</v>
      </c>
      <c r="D469" s="1" t="s">
        <v>4</v>
      </c>
      <c r="E469" s="1" t="s">
        <v>120</v>
      </c>
      <c r="F469" s="1" t="s">
        <v>29</v>
      </c>
      <c r="H469" s="1" t="str">
        <f>VLOOKUP(F469,'[2]DX.OTHER.9.30.06 DETAIL'!$H$1:$J$65536,3,FALSE)</f>
        <v>Exp-Salary &amp; Benefits</v>
      </c>
      <c r="I469" s="1">
        <v>0</v>
      </c>
      <c r="J469" s="2">
        <v>0</v>
      </c>
      <c r="K469" s="2">
        <v>0</v>
      </c>
      <c r="L469" s="2">
        <v>0</v>
      </c>
      <c r="M469" s="2">
        <v>0</v>
      </c>
      <c r="N469" s="1" t="str">
        <f>VLOOKUP(E469,'[1]ORG CODES'!$A:$C,3,FALSE)</f>
        <v>3423   COLLEGE-WIDE THEME</v>
      </c>
    </row>
    <row r="470" spans="1:14" ht="14.45" hidden="1" x14ac:dyDescent="0.3">
      <c r="A470" t="str">
        <f>VLOOKUP(E470,'[1]ORG CODES'!$A:$B,2,FALSE)</f>
        <v>Student Funded Programs</v>
      </c>
      <c r="B470" s="1" t="s">
        <v>2</v>
      </c>
      <c r="C470" s="1" t="s">
        <v>3</v>
      </c>
      <c r="D470" s="1" t="s">
        <v>4</v>
      </c>
      <c r="E470" s="1" t="s">
        <v>121</v>
      </c>
      <c r="F470" s="1" t="s">
        <v>29</v>
      </c>
      <c r="H470" s="1" t="str">
        <f>VLOOKUP(F470,'[2]DX.OTHER.9.30.06 DETAIL'!$H$1:$J$65536,3,FALSE)</f>
        <v>Exp-Salary &amp; Benefits</v>
      </c>
      <c r="I470" s="1">
        <v>0</v>
      </c>
      <c r="J470" s="2">
        <v>0</v>
      </c>
      <c r="K470" s="2">
        <v>0</v>
      </c>
      <c r="L470" s="2">
        <v>0</v>
      </c>
      <c r="M470" s="2">
        <v>0</v>
      </c>
      <c r="N470" s="1" t="str">
        <f>VLOOKUP(E470,'[1]ORG CODES'!$A:$C,3,FALSE)</f>
        <v>3424   SPEAKERS/SEMINARS</v>
      </c>
    </row>
    <row r="471" spans="1:14" ht="14.45" hidden="1" x14ac:dyDescent="0.3">
      <c r="A471" t="str">
        <f>VLOOKUP(E471,'[1]ORG CODES'!$A:$B,2,FALSE)</f>
        <v>Student Funded Programs</v>
      </c>
      <c r="B471" s="1" t="s">
        <v>2</v>
      </c>
      <c r="C471" s="1" t="s">
        <v>3</v>
      </c>
      <c r="D471" s="1" t="s">
        <v>4</v>
      </c>
      <c r="E471" s="1" t="s">
        <v>124</v>
      </c>
      <c r="F471" s="1" t="s">
        <v>29</v>
      </c>
      <c r="H471" s="1" t="str">
        <f>VLOOKUP(F471,'[2]DX.OTHER.9.30.06 DETAIL'!$H$1:$J$65536,3,FALSE)</f>
        <v>Exp-Salary &amp; Benefits</v>
      </c>
      <c r="I471" s="1">
        <v>0</v>
      </c>
      <c r="J471" s="2">
        <v>0</v>
      </c>
      <c r="K471" s="2">
        <v>0</v>
      </c>
      <c r="L471" s="2">
        <v>0</v>
      </c>
      <c r="M471" s="2">
        <v>0</v>
      </c>
      <c r="N471" s="1" t="str">
        <f>VLOOKUP(E471,'[1]ORG CODES'!$A:$C,3,FALSE)</f>
        <v>3427   INTERPRETERS SUPPORT</v>
      </c>
    </row>
    <row r="472" spans="1:14" ht="14.45" hidden="1" x14ac:dyDescent="0.3">
      <c r="A472" t="str">
        <f>VLOOKUP(E472,'[1]ORG CODES'!$A:$B,2,FALSE)</f>
        <v>Student Funded Programs</v>
      </c>
      <c r="B472" s="1" t="s">
        <v>2</v>
      </c>
      <c r="C472" s="1" t="s">
        <v>3</v>
      </c>
      <c r="D472" s="1" t="s">
        <v>4</v>
      </c>
      <c r="E472" s="1" t="s">
        <v>125</v>
      </c>
      <c r="F472" s="1" t="s">
        <v>29</v>
      </c>
      <c r="H472" s="1" t="str">
        <f>VLOOKUP(F472,'[2]DX.OTHER.9.30.06 DETAIL'!$H$1:$J$65536,3,FALSE)</f>
        <v>Exp-Salary &amp; Benefits</v>
      </c>
      <c r="I472" s="1">
        <v>0</v>
      </c>
      <c r="J472" s="2">
        <v>0</v>
      </c>
      <c r="K472" s="2">
        <v>0</v>
      </c>
      <c r="L472" s="2">
        <v>0</v>
      </c>
      <c r="M472" s="2">
        <v>0</v>
      </c>
      <c r="N472" s="1" t="str">
        <f>VLOOKUP(E472,'[1]ORG CODES'!$A:$C,3,FALSE)</f>
        <v>3428   SECURITY</v>
      </c>
    </row>
    <row r="473" spans="1:14" ht="14.45" hidden="1" x14ac:dyDescent="0.3">
      <c r="A473" t="str">
        <f>VLOOKUP(E473,'[1]ORG CODES'!$A:$B,2,FALSE)</f>
        <v>Student Funded Programs</v>
      </c>
      <c r="B473" s="1" t="s">
        <v>2</v>
      </c>
      <c r="C473" s="1" t="s">
        <v>3</v>
      </c>
      <c r="D473" s="1" t="s">
        <v>4</v>
      </c>
      <c r="E473" s="1" t="s">
        <v>128</v>
      </c>
      <c r="F473" s="1" t="s">
        <v>29</v>
      </c>
      <c r="H473" s="1" t="str">
        <f>VLOOKUP(F473,'[2]DX.OTHER.9.30.06 DETAIL'!$H$1:$J$65536,3,FALSE)</f>
        <v>Exp-Salary &amp; Benefits</v>
      </c>
      <c r="I473" s="1">
        <v>0</v>
      </c>
      <c r="J473" s="2">
        <v>0</v>
      </c>
      <c r="K473" s="2">
        <v>0</v>
      </c>
      <c r="L473" s="2">
        <v>0</v>
      </c>
      <c r="M473" s="2">
        <v>0</v>
      </c>
      <c r="N473" s="1" t="str">
        <f>VLOOKUP(E473,'[1]ORG CODES'!$A:$C,3,FALSE)</f>
        <v>3431   PT HOURLY SUPPORT</v>
      </c>
    </row>
    <row r="474" spans="1:14" ht="14.45" hidden="1" x14ac:dyDescent="0.3">
      <c r="A474" t="str">
        <f>VLOOKUP(E474,'[1]ORG CODES'!$A:$B,2,FALSE)</f>
        <v>Student Funded Programs</v>
      </c>
      <c r="B474" s="1" t="s">
        <v>2</v>
      </c>
      <c r="C474" s="1" t="s">
        <v>3</v>
      </c>
      <c r="D474" s="1" t="s">
        <v>4</v>
      </c>
      <c r="E474" s="1" t="s">
        <v>162</v>
      </c>
      <c r="F474" s="1" t="s">
        <v>29</v>
      </c>
      <c r="H474" s="1" t="str">
        <f>VLOOKUP(F474,'[2]DX.OTHER.9.30.06 DETAIL'!$H$1:$J$65536,3,FALSE)</f>
        <v>Exp-Salary &amp; Benefits</v>
      </c>
      <c r="I474" s="1">
        <v>0</v>
      </c>
      <c r="J474" s="2">
        <v>0</v>
      </c>
      <c r="K474" s="2">
        <v>0</v>
      </c>
      <c r="L474" s="2">
        <v>0</v>
      </c>
      <c r="M474" s="2">
        <v>0</v>
      </c>
      <c r="N474" s="1" t="str">
        <f>VLOOKUP(E474,'[1]ORG CODES'!$A:$C,3,FALSE)</f>
        <v>3458   L.U.A. CLUB</v>
      </c>
    </row>
    <row r="475" spans="1:14" ht="14.45" hidden="1" x14ac:dyDescent="0.3">
      <c r="A475" t="str">
        <f>VLOOKUP(E475,'[1]ORG CODES'!$A:$B,2,FALSE)</f>
        <v>Student Funded Programs</v>
      </c>
      <c r="B475" s="1" t="s">
        <v>2</v>
      </c>
      <c r="C475" s="1" t="s">
        <v>3</v>
      </c>
      <c r="D475" s="1" t="s">
        <v>4</v>
      </c>
      <c r="E475" s="1" t="s">
        <v>168</v>
      </c>
      <c r="F475" s="1" t="s">
        <v>29</v>
      </c>
      <c r="H475" s="1" t="str">
        <f>VLOOKUP(F475,'[2]DX.OTHER.9.30.06 DETAIL'!$H$1:$J$65536,3,FALSE)</f>
        <v>Exp-Salary &amp; Benefits</v>
      </c>
      <c r="I475" s="1">
        <v>0</v>
      </c>
      <c r="J475" s="2">
        <v>0</v>
      </c>
      <c r="K475" s="2">
        <v>0</v>
      </c>
      <c r="L475" s="2">
        <v>0</v>
      </c>
      <c r="M475" s="2">
        <v>0</v>
      </c>
      <c r="N475" s="1" t="str">
        <f>VLOOKUP(E475,'[1]ORG CODES'!$A:$C,3,FALSE)</f>
        <v>3462   INTERNATIONAL CLUB</v>
      </c>
    </row>
    <row r="476" spans="1:14" ht="14.45" hidden="1" x14ac:dyDescent="0.3">
      <c r="A476" t="str">
        <f>VLOOKUP(E476,'[1]ORG CODES'!$A:$B,2,FALSE)</f>
        <v>Student Funded Programs</v>
      </c>
      <c r="B476" s="1" t="s">
        <v>2</v>
      </c>
      <c r="C476" s="1" t="s">
        <v>3</v>
      </c>
      <c r="D476" s="1" t="s">
        <v>4</v>
      </c>
      <c r="E476" s="1" t="s">
        <v>170</v>
      </c>
      <c r="F476" s="1" t="s">
        <v>29</v>
      </c>
      <c r="H476" s="1" t="str">
        <f>VLOOKUP(F476,'[2]DX.OTHER.9.30.06 DETAIL'!$H$1:$J$65536,3,FALSE)</f>
        <v>Exp-Salary &amp; Benefits</v>
      </c>
      <c r="I476" s="1">
        <v>0</v>
      </c>
      <c r="J476" s="2">
        <v>0</v>
      </c>
      <c r="K476" s="2">
        <v>0</v>
      </c>
      <c r="L476" s="2">
        <v>0</v>
      </c>
      <c r="M476" s="2">
        <v>0</v>
      </c>
      <c r="N476" s="1" t="str">
        <f>VLOOKUP(E476,'[1]ORG CODES'!$A:$C,3,FALSE)</f>
        <v>3464   JAZZ PRESENTS</v>
      </c>
    </row>
    <row r="477" spans="1:14" ht="14.45" hidden="1" x14ac:dyDescent="0.3">
      <c r="A477" t="str">
        <f>VLOOKUP(E477,'[1]ORG CODES'!$A:$B,2,FALSE)</f>
        <v>Student Funded Programs</v>
      </c>
      <c r="B477" s="1" t="s">
        <v>2</v>
      </c>
      <c r="C477" s="1" t="s">
        <v>3</v>
      </c>
      <c r="D477" s="1" t="s">
        <v>4</v>
      </c>
      <c r="E477" s="1" t="s">
        <v>172</v>
      </c>
      <c r="F477" s="1" t="s">
        <v>29</v>
      </c>
      <c r="H477" s="1" t="str">
        <f>VLOOKUP(F477,'[2]DX.OTHER.9.30.06 DETAIL'!$H$1:$J$65536,3,FALSE)</f>
        <v>Exp-Salary &amp; Benefits</v>
      </c>
      <c r="I477" s="1">
        <v>0</v>
      </c>
      <c r="J477" s="2">
        <v>0</v>
      </c>
      <c r="K477" s="2">
        <v>0</v>
      </c>
      <c r="L477" s="2">
        <v>0</v>
      </c>
      <c r="M477" s="2">
        <v>0</v>
      </c>
      <c r="N477" s="1" t="str">
        <f>VLOOKUP(E477,'[1]ORG CODES'!$A:$C,3,FALSE)</f>
        <v>3465   RED NATIONS ASSOC</v>
      </c>
    </row>
    <row r="478" spans="1:14" ht="14.45" hidden="1" x14ac:dyDescent="0.3">
      <c r="A478" t="str">
        <f>VLOOKUP(E478,'[1]ORG CODES'!$A:$B,2,FALSE)</f>
        <v>Student Funded Programs</v>
      </c>
      <c r="B478" s="1" t="s">
        <v>2</v>
      </c>
      <c r="C478" s="1" t="s">
        <v>3</v>
      </c>
      <c r="D478" s="1" t="s">
        <v>4</v>
      </c>
      <c r="E478" s="1" t="s">
        <v>176</v>
      </c>
      <c r="F478" s="1" t="s">
        <v>29</v>
      </c>
      <c r="H478" s="1" t="str">
        <f>VLOOKUP(F478,'[2]DX.OTHER.9.30.06 DETAIL'!$H$1:$J$65536,3,FALSE)</f>
        <v>Exp-Salary &amp; Benefits</v>
      </c>
      <c r="I478" s="1">
        <v>0</v>
      </c>
      <c r="J478" s="2">
        <v>0</v>
      </c>
      <c r="K478" s="2">
        <v>0</v>
      </c>
      <c r="L478" s="2">
        <v>0</v>
      </c>
      <c r="M478" s="2">
        <v>0</v>
      </c>
      <c r="N478" s="1" t="str">
        <f>VLOOKUP(E478,'[1]ORG CODES'!$A:$C,3,FALSE)</f>
        <v>3466   SPANISH CLUB</v>
      </c>
    </row>
    <row r="479" spans="1:14" ht="14.45" hidden="1" x14ac:dyDescent="0.3">
      <c r="A479" t="str">
        <f>VLOOKUP(E479,'[1]ORG CODES'!$A:$B,2,FALSE)</f>
        <v>Student Funded Programs</v>
      </c>
      <c r="B479" s="1" t="s">
        <v>2</v>
      </c>
      <c r="C479" s="1" t="s">
        <v>3</v>
      </c>
      <c r="D479" s="1" t="s">
        <v>4</v>
      </c>
      <c r="E479" s="1" t="s">
        <v>178</v>
      </c>
      <c r="F479" s="1" t="s">
        <v>29</v>
      </c>
      <c r="H479" s="1" t="str">
        <f>VLOOKUP(F479,'[2]DX.OTHER.9.30.06 DETAIL'!$H$1:$J$65536,3,FALSE)</f>
        <v>Exp-Salary &amp; Benefits</v>
      </c>
      <c r="I479" s="1">
        <v>0</v>
      </c>
      <c r="J479" s="2">
        <v>0</v>
      </c>
      <c r="K479" s="2">
        <v>0</v>
      </c>
      <c r="L479" s="2">
        <v>0</v>
      </c>
      <c r="M479" s="2">
        <v>0</v>
      </c>
      <c r="N479" s="1" t="str">
        <f>VLOOKUP(E479,'[1]ORG CODES'!$A:$C,3,FALSE)</f>
        <v>3468   WELLNESS CLUB</v>
      </c>
    </row>
    <row r="480" spans="1:14" ht="14.45" hidden="1" x14ac:dyDescent="0.3">
      <c r="A480" t="str">
        <f>VLOOKUP(E480,'[1]ORG CODES'!$A:$B,2,FALSE)</f>
        <v>Student Funded Programs</v>
      </c>
      <c r="B480" s="1" t="s">
        <v>2</v>
      </c>
      <c r="C480" s="1" t="s">
        <v>3</v>
      </c>
      <c r="D480" s="1" t="s">
        <v>4</v>
      </c>
      <c r="E480" s="1" t="s">
        <v>25</v>
      </c>
      <c r="F480" s="1" t="s">
        <v>29</v>
      </c>
      <c r="H480" s="1" t="str">
        <f>VLOOKUP(F480,'[2]DX.OTHER.9.30.06 DETAIL'!$H$1:$J$65536,3,FALSE)</f>
        <v>Exp-Salary &amp; Benefits</v>
      </c>
      <c r="I480" s="1">
        <v>0</v>
      </c>
      <c r="J480" s="2">
        <v>1746.83</v>
      </c>
      <c r="K480" s="2">
        <v>0</v>
      </c>
      <c r="L480" s="2">
        <v>-1746.83</v>
      </c>
      <c r="M480" s="2">
        <v>0</v>
      </c>
      <c r="N480" s="1" t="str">
        <f>VLOOKUP(E480,'[1]ORG CODES'!$A:$C,3,FALSE)</f>
        <v>3309   IRP CLUB ADVISORS</v>
      </c>
    </row>
    <row r="481" spans="1:14" ht="14.45" hidden="1" x14ac:dyDescent="0.3">
      <c r="A481" t="str">
        <f>VLOOKUP(E481,'[1]ORG CODES'!$A:$B,2,FALSE)</f>
        <v>Student Funded Programs</v>
      </c>
      <c r="B481" s="1" t="s">
        <v>2</v>
      </c>
      <c r="C481" s="1" t="s">
        <v>3</v>
      </c>
      <c r="D481" s="1" t="s">
        <v>4</v>
      </c>
      <c r="E481" s="1" t="s">
        <v>52</v>
      </c>
      <c r="F481" s="1" t="s">
        <v>29</v>
      </c>
      <c r="H481" s="1" t="str">
        <f>VLOOKUP(F481,'[2]DX.OTHER.9.30.06 DETAIL'!$H$1:$J$65536,3,FALSE)</f>
        <v>Exp-Salary &amp; Benefits</v>
      </c>
      <c r="I481" s="1">
        <v>0</v>
      </c>
      <c r="J481" s="2">
        <v>804.14</v>
      </c>
      <c r="K481" s="2">
        <v>0</v>
      </c>
      <c r="L481" s="2">
        <v>-804.14</v>
      </c>
      <c r="M481" s="2">
        <v>0</v>
      </c>
      <c r="N481" s="1" t="str">
        <f>VLOOKUP(E481,'[1]ORG CODES'!$A:$C,3,FALSE)</f>
        <v>3352   REVELERS (DRAMA)</v>
      </c>
    </row>
    <row r="482" spans="1:14" ht="14.45" hidden="1" x14ac:dyDescent="0.3">
      <c r="A482" t="str">
        <f>VLOOKUP(E482,'[1]ORG CODES'!$A:$B,2,FALSE)</f>
        <v>Student Funded Programs</v>
      </c>
      <c r="B482" s="1" t="s">
        <v>2</v>
      </c>
      <c r="C482" s="1" t="s">
        <v>3</v>
      </c>
      <c r="D482" s="1" t="s">
        <v>4</v>
      </c>
      <c r="E482" s="1" t="s">
        <v>63</v>
      </c>
      <c r="F482" s="1" t="s">
        <v>29</v>
      </c>
      <c r="H482" s="1" t="str">
        <f>VLOOKUP(F482,'[2]DX.OTHER.9.30.06 DETAIL'!$H$1:$J$65536,3,FALSE)</f>
        <v>Exp-Salary &amp; Benefits</v>
      </c>
      <c r="I482" s="1">
        <v>0</v>
      </c>
      <c r="J482" s="2">
        <v>49.94</v>
      </c>
      <c r="K482" s="2">
        <v>0</v>
      </c>
      <c r="L482" s="2">
        <v>-49.94</v>
      </c>
      <c r="M482" s="2">
        <v>0</v>
      </c>
      <c r="N482" s="1" t="str">
        <f>VLOOKUP(E482,'[1]ORG CODES'!$A:$C,3,FALSE)</f>
        <v>3353   ORCHESTRA</v>
      </c>
    </row>
    <row r="483" spans="1:14" ht="14.45" hidden="1" x14ac:dyDescent="0.3">
      <c r="A483" t="str">
        <f>VLOOKUP(E483,'[1]ORG CODES'!$A:$B,2,FALSE)</f>
        <v>Student Funded Programs</v>
      </c>
      <c r="B483" s="1" t="s">
        <v>2</v>
      </c>
      <c r="C483" s="1" t="s">
        <v>3</v>
      </c>
      <c r="D483" s="1" t="s">
        <v>4</v>
      </c>
      <c r="E483" s="1" t="s">
        <v>65</v>
      </c>
      <c r="F483" s="1" t="s">
        <v>29</v>
      </c>
      <c r="H483" s="1" t="str">
        <f>VLOOKUP(F483,'[2]DX.OTHER.9.30.06 DETAIL'!$H$1:$J$65536,3,FALSE)</f>
        <v>Exp-Salary &amp; Benefits</v>
      </c>
      <c r="I483" s="1">
        <v>0</v>
      </c>
      <c r="J483" s="2">
        <v>6.81</v>
      </c>
      <c r="K483" s="2">
        <v>0</v>
      </c>
      <c r="L483" s="2">
        <v>-6.81</v>
      </c>
      <c r="M483" s="2">
        <v>0</v>
      </c>
      <c r="N483" s="1" t="str">
        <f>VLOOKUP(E483,'[1]ORG CODES'!$A:$C,3,FALSE)</f>
        <v>3354   CONCERT BAND</v>
      </c>
    </row>
    <row r="484" spans="1:14" ht="14.45" hidden="1" x14ac:dyDescent="0.3">
      <c r="A484" t="str">
        <f>VLOOKUP(E484,'[1]ORG CODES'!$A:$B,2,FALSE)</f>
        <v>Student Funded Programs</v>
      </c>
      <c r="B484" s="1" t="s">
        <v>2</v>
      </c>
      <c r="C484" s="1" t="s">
        <v>3</v>
      </c>
      <c r="D484" s="1" t="s">
        <v>4</v>
      </c>
      <c r="E484" s="1" t="s">
        <v>71</v>
      </c>
      <c r="F484" s="1" t="s">
        <v>29</v>
      </c>
      <c r="H484" s="1" t="str">
        <f>VLOOKUP(F484,'[2]DX.OTHER.9.30.06 DETAIL'!$H$1:$J$65536,3,FALSE)</f>
        <v>Exp-Salary &amp; Benefits</v>
      </c>
      <c r="I484" s="1">
        <v>0</v>
      </c>
      <c r="J484" s="2">
        <v>11.52</v>
      </c>
      <c r="K484" s="2">
        <v>0</v>
      </c>
      <c r="L484" s="2">
        <v>-11.52</v>
      </c>
      <c r="M484" s="2">
        <v>0</v>
      </c>
      <c r="N484" s="1" t="str">
        <f>VLOOKUP(E484,'[1]ORG CODES'!$A:$C,3,FALSE)</f>
        <v>3356   STAGE BAND/COMBO</v>
      </c>
    </row>
    <row r="485" spans="1:14" ht="14.45" hidden="1" x14ac:dyDescent="0.3">
      <c r="A485" t="str">
        <f>VLOOKUP(E485,'[1]ORG CODES'!$A:$B,2,FALSE)</f>
        <v>Student Funded Programs</v>
      </c>
      <c r="B485" s="1" t="s">
        <v>2</v>
      </c>
      <c r="C485" s="1" t="s">
        <v>3</v>
      </c>
      <c r="D485" s="1" t="s">
        <v>4</v>
      </c>
      <c r="E485" s="1" t="s">
        <v>80</v>
      </c>
      <c r="F485" s="1" t="s">
        <v>29</v>
      </c>
      <c r="H485" s="1" t="str">
        <f>VLOOKUP(F485,'[2]DX.OTHER.9.30.06 DETAIL'!$H$1:$J$65536,3,FALSE)</f>
        <v>Exp-Salary &amp; Benefits</v>
      </c>
      <c r="I485" s="1">
        <v>0</v>
      </c>
      <c r="J485" s="2">
        <v>0.12</v>
      </c>
      <c r="K485" s="2">
        <v>0</v>
      </c>
      <c r="L485" s="2">
        <v>-0.12</v>
      </c>
      <c r="M485" s="2">
        <v>0</v>
      </c>
      <c r="N485" s="1" t="str">
        <f>VLOOKUP(E485,'[1]ORG CODES'!$A:$C,3,FALSE)</f>
        <v>3370   BETA GAMMA KAPPA</v>
      </c>
    </row>
    <row r="486" spans="1:14" ht="14.45" hidden="1" x14ac:dyDescent="0.3">
      <c r="A486" t="str">
        <f>VLOOKUP(E486,'[1]ORG CODES'!$A:$B,2,FALSE)</f>
        <v>Student Funded Programs</v>
      </c>
      <c r="B486" s="1" t="s">
        <v>2</v>
      </c>
      <c r="C486" s="1" t="s">
        <v>3</v>
      </c>
      <c r="D486" s="1" t="s">
        <v>4</v>
      </c>
      <c r="E486" s="1" t="s">
        <v>93</v>
      </c>
      <c r="F486" s="1" t="s">
        <v>29</v>
      </c>
      <c r="H486" s="1" t="str">
        <f>VLOOKUP(F486,'[2]DX.OTHER.9.30.06 DETAIL'!$H$1:$J$65536,3,FALSE)</f>
        <v>Exp-Salary &amp; Benefits</v>
      </c>
      <c r="I486" s="1">
        <v>0</v>
      </c>
      <c r="J486" s="2">
        <v>637.20000000000005</v>
      </c>
      <c r="K486" s="2">
        <v>0</v>
      </c>
      <c r="L486" s="2">
        <v>-637.20000000000005</v>
      </c>
      <c r="M486" s="2">
        <v>0</v>
      </c>
      <c r="N486" s="1" t="str">
        <f>VLOOKUP(E486,'[1]ORG CODES'!$A:$C,3,FALSE)</f>
        <v>3403   PEERS SERVICES</v>
      </c>
    </row>
    <row r="487" spans="1:14" ht="14.45" hidden="1" x14ac:dyDescent="0.3">
      <c r="A487" t="str">
        <f>VLOOKUP(E487,'[1]ORG CODES'!$A:$B,2,FALSE)</f>
        <v>Student Funded Programs</v>
      </c>
      <c r="B487" s="1" t="s">
        <v>2</v>
      </c>
      <c r="C487" s="1" t="s">
        <v>3</v>
      </c>
      <c r="D487" s="1" t="s">
        <v>4</v>
      </c>
      <c r="E487" s="1" t="s">
        <v>102</v>
      </c>
      <c r="F487" s="1" t="s">
        <v>29</v>
      </c>
      <c r="H487" s="1" t="str">
        <f>VLOOKUP(F487,'[2]DX.OTHER.9.30.06 DETAIL'!$H$1:$J$65536,3,FALSE)</f>
        <v>Exp-Salary &amp; Benefits</v>
      </c>
      <c r="I487" s="1">
        <v>0</v>
      </c>
      <c r="J487" s="2">
        <v>3094.86</v>
      </c>
      <c r="K487" s="2">
        <v>0</v>
      </c>
      <c r="L487" s="2">
        <v>-3094.86</v>
      </c>
      <c r="M487" s="2">
        <v>0</v>
      </c>
      <c r="N487" s="1" t="str">
        <f>VLOOKUP(E487,'[1]ORG CODES'!$A:$C,3,FALSE)</f>
        <v>3409   ASA CLUB ADVISORS</v>
      </c>
    </row>
    <row r="488" spans="1:14" ht="14.45" hidden="1" x14ac:dyDescent="0.3">
      <c r="A488" t="str">
        <f>VLOOKUP(E488,'[1]ORG CODES'!$A:$B,2,FALSE)</f>
        <v>Student Funded Programs</v>
      </c>
      <c r="B488" s="1" t="s">
        <v>2</v>
      </c>
      <c r="C488" s="1" t="s">
        <v>3</v>
      </c>
      <c r="D488" s="1" t="s">
        <v>4</v>
      </c>
      <c r="E488" s="1" t="s">
        <v>112</v>
      </c>
      <c r="F488" s="1" t="s">
        <v>29</v>
      </c>
      <c r="H488" s="1" t="str">
        <f>VLOOKUP(F488,'[2]DX.OTHER.9.30.06 DETAIL'!$H$1:$J$65536,3,FALSE)</f>
        <v>Exp-Salary &amp; Benefits</v>
      </c>
      <c r="I488" s="1">
        <v>0</v>
      </c>
      <c r="J488" s="2">
        <v>145.22</v>
      </c>
      <c r="K488" s="2">
        <v>0</v>
      </c>
      <c r="L488" s="2">
        <v>-145.22</v>
      </c>
      <c r="M488" s="2">
        <v>0</v>
      </c>
      <c r="N488" s="1" t="str">
        <f>VLOOKUP(E488,'[1]ORG CODES'!$A:$C,3,FALSE)</f>
        <v>3416   WORKSTUDY</v>
      </c>
    </row>
    <row r="489" spans="1:14" ht="14.45" hidden="1" x14ac:dyDescent="0.3">
      <c r="A489" t="str">
        <f>VLOOKUP(E489,'[1]ORG CODES'!$A:$B,2,FALSE)</f>
        <v>Student Funded Programs</v>
      </c>
      <c r="B489" s="1" t="s">
        <v>2</v>
      </c>
      <c r="C489" s="1" t="s">
        <v>3</v>
      </c>
      <c r="D489" s="1" t="s">
        <v>4</v>
      </c>
      <c r="E489" s="1" t="s">
        <v>114</v>
      </c>
      <c r="F489" s="1" t="s">
        <v>29</v>
      </c>
      <c r="H489" s="1" t="str">
        <f>VLOOKUP(F489,'[2]DX.OTHER.9.30.06 DETAIL'!$H$1:$J$65536,3,FALSE)</f>
        <v>Exp-Salary &amp; Benefits</v>
      </c>
      <c r="I489" s="1">
        <v>0</v>
      </c>
      <c r="J489" s="2">
        <v>3.34</v>
      </c>
      <c r="K489" s="2">
        <v>0</v>
      </c>
      <c r="L489" s="2">
        <v>-3.34</v>
      </c>
      <c r="M489" s="2">
        <v>0</v>
      </c>
      <c r="N489" s="1" t="str">
        <f>VLOOKUP(E489,'[1]ORG CODES'!$A:$C,3,FALSE)</f>
        <v>3417   TRAVEL</v>
      </c>
    </row>
    <row r="490" spans="1:14" ht="14.45" hidden="1" x14ac:dyDescent="0.3">
      <c r="A490" t="str">
        <f>VLOOKUP(E490,'[1]ORG CODES'!$A:$B,2,FALSE)</f>
        <v>Student Funded Programs</v>
      </c>
      <c r="B490" s="1" t="s">
        <v>2</v>
      </c>
      <c r="C490" s="1" t="s">
        <v>3</v>
      </c>
      <c r="D490" s="1" t="s">
        <v>4</v>
      </c>
      <c r="E490" s="1" t="s">
        <v>124</v>
      </c>
      <c r="F490" s="1" t="s">
        <v>29</v>
      </c>
      <c r="H490" s="1" t="str">
        <f>VLOOKUP(F490,'[2]DX.OTHER.9.30.06 DETAIL'!$H$1:$J$65536,3,FALSE)</f>
        <v>Exp-Salary &amp; Benefits</v>
      </c>
      <c r="I490" s="1">
        <v>0</v>
      </c>
      <c r="J490" s="2">
        <v>123.94</v>
      </c>
      <c r="K490" s="2">
        <v>0</v>
      </c>
      <c r="L490" s="2">
        <v>-123.94</v>
      </c>
      <c r="M490" s="2">
        <v>0</v>
      </c>
      <c r="N490" s="1" t="str">
        <f>VLOOKUP(E490,'[1]ORG CODES'!$A:$C,3,FALSE)</f>
        <v>3427   INTERPRETERS SUPPORT</v>
      </c>
    </row>
    <row r="491" spans="1:14" ht="14.45" hidden="1" x14ac:dyDescent="0.3">
      <c r="A491" t="str">
        <f>VLOOKUP(E491,'[1]ORG CODES'!$A:$B,2,FALSE)</f>
        <v>Student Funded Programs</v>
      </c>
      <c r="B491" s="1" t="s">
        <v>2</v>
      </c>
      <c r="C491" s="1" t="s">
        <v>3</v>
      </c>
      <c r="D491" s="1" t="s">
        <v>4</v>
      </c>
      <c r="E491" s="1" t="s">
        <v>128</v>
      </c>
      <c r="F491" s="1" t="s">
        <v>29</v>
      </c>
      <c r="H491" s="1" t="str">
        <f>VLOOKUP(F491,'[2]DX.OTHER.9.30.06 DETAIL'!$H$1:$J$65536,3,FALSE)</f>
        <v>Exp-Salary &amp; Benefits</v>
      </c>
      <c r="I491" s="1">
        <v>0</v>
      </c>
      <c r="J491" s="2">
        <v>686.38</v>
      </c>
      <c r="K491" s="2">
        <v>0</v>
      </c>
      <c r="L491" s="2">
        <v>-686.38</v>
      </c>
      <c r="M491" s="2">
        <v>0</v>
      </c>
      <c r="N491" s="1" t="str">
        <f>VLOOKUP(E491,'[1]ORG CODES'!$A:$C,3,FALSE)</f>
        <v>3431   PT HOURLY SUPPORT</v>
      </c>
    </row>
    <row r="492" spans="1:14" ht="14.45" hidden="1" x14ac:dyDescent="0.3">
      <c r="A492" t="str">
        <f>VLOOKUP(E492,'[1]ORG CODES'!$A:$B,2,FALSE)</f>
        <v>Student Funded Programs</v>
      </c>
      <c r="B492" s="1" t="s">
        <v>2</v>
      </c>
      <c r="C492" s="1" t="s">
        <v>3</v>
      </c>
      <c r="D492" s="1" t="s">
        <v>4</v>
      </c>
      <c r="E492" s="1" t="s">
        <v>168</v>
      </c>
      <c r="F492" s="1" t="s">
        <v>29</v>
      </c>
      <c r="H492" s="1" t="str">
        <f>VLOOKUP(F492,'[2]DX.OTHER.9.30.06 DETAIL'!$H$1:$J$65536,3,FALSE)</f>
        <v>Exp-Salary &amp; Benefits</v>
      </c>
      <c r="I492" s="1">
        <v>0</v>
      </c>
      <c r="J492" s="2">
        <v>36.619999999999997</v>
      </c>
      <c r="K492" s="2">
        <v>0</v>
      </c>
      <c r="L492" s="2">
        <v>-36.619999999999997</v>
      </c>
      <c r="M492" s="2">
        <v>0</v>
      </c>
      <c r="N492" s="1" t="str">
        <f>VLOOKUP(E492,'[1]ORG CODES'!$A:$C,3,FALSE)</f>
        <v>3462   INTERNATIONAL CLUB</v>
      </c>
    </row>
    <row r="493" spans="1:14" ht="14.45" hidden="1" x14ac:dyDescent="0.3">
      <c r="A493" t="str">
        <f>VLOOKUP(E493,'[1]ORG CODES'!$A:$B,2,FALSE)</f>
        <v>Student Funded Programs</v>
      </c>
      <c r="B493" s="1" t="s">
        <v>2</v>
      </c>
      <c r="C493" s="1" t="s">
        <v>3</v>
      </c>
      <c r="D493" s="1" t="s">
        <v>4</v>
      </c>
      <c r="E493" s="1" t="s">
        <v>170</v>
      </c>
      <c r="F493" s="1" t="s">
        <v>29</v>
      </c>
      <c r="H493" s="1" t="str">
        <f>VLOOKUP(F493,'[2]DX.OTHER.9.30.06 DETAIL'!$H$1:$J$65536,3,FALSE)</f>
        <v>Exp-Salary &amp; Benefits</v>
      </c>
      <c r="I493" s="1">
        <v>0</v>
      </c>
      <c r="J493" s="2">
        <v>35.11</v>
      </c>
      <c r="K493" s="2">
        <v>0</v>
      </c>
      <c r="L493" s="2">
        <v>-35.11</v>
      </c>
      <c r="M493" s="2">
        <v>26.35</v>
      </c>
      <c r="N493" s="1" t="str">
        <f>VLOOKUP(E493,'[1]ORG CODES'!$A:$C,3,FALSE)</f>
        <v>3464   JAZZ PRESENTS</v>
      </c>
    </row>
    <row r="494" spans="1:14" ht="14.45" hidden="1" x14ac:dyDescent="0.3">
      <c r="A494" t="str">
        <f>VLOOKUP(E494,'[1]ORG CODES'!$A:$B,2,FALSE)</f>
        <v>Student Funded Programs</v>
      </c>
      <c r="B494" s="1" t="s">
        <v>2</v>
      </c>
      <c r="C494" s="1" t="s">
        <v>3</v>
      </c>
      <c r="D494" s="1" t="s">
        <v>4</v>
      </c>
      <c r="E494" s="1" t="s">
        <v>172</v>
      </c>
      <c r="F494" s="1" t="s">
        <v>29</v>
      </c>
      <c r="H494" s="1" t="str">
        <f>VLOOKUP(F494,'[2]DX.OTHER.9.30.06 DETAIL'!$H$1:$J$65536,3,FALSE)</f>
        <v>Exp-Salary &amp; Benefits</v>
      </c>
      <c r="I494" s="1">
        <v>0</v>
      </c>
      <c r="J494" s="2">
        <v>72.95</v>
      </c>
      <c r="K494" s="2">
        <v>0</v>
      </c>
      <c r="L494" s="2">
        <v>-72.95</v>
      </c>
      <c r="M494" s="2">
        <v>0</v>
      </c>
      <c r="N494" s="1" t="str">
        <f>VLOOKUP(E494,'[1]ORG CODES'!$A:$C,3,FALSE)</f>
        <v>3465   RED NATIONS ASSOC</v>
      </c>
    </row>
    <row r="495" spans="1:14" ht="14.45" hidden="1" x14ac:dyDescent="0.3">
      <c r="A495" t="str">
        <f>VLOOKUP(E495,'[1]ORG CODES'!$A:$B,2,FALSE)</f>
        <v>Student Funded Programs</v>
      </c>
      <c r="B495" s="1" t="s">
        <v>2</v>
      </c>
      <c r="C495" s="1" t="s">
        <v>3</v>
      </c>
      <c r="D495" s="1" t="s">
        <v>4</v>
      </c>
      <c r="E495" s="1" t="s">
        <v>176</v>
      </c>
      <c r="F495" s="1" t="s">
        <v>29</v>
      </c>
      <c r="H495" s="1" t="str">
        <f>VLOOKUP(F495,'[2]DX.OTHER.9.30.06 DETAIL'!$H$1:$J$65536,3,FALSE)</f>
        <v>Exp-Salary &amp; Benefits</v>
      </c>
      <c r="I495" s="1">
        <v>0</v>
      </c>
      <c r="J495" s="2">
        <v>10.38</v>
      </c>
      <c r="K495" s="2">
        <v>0</v>
      </c>
      <c r="L495" s="2">
        <v>-10.38</v>
      </c>
      <c r="M495" s="2">
        <v>0</v>
      </c>
      <c r="N495" s="1" t="str">
        <f>VLOOKUP(E495,'[1]ORG CODES'!$A:$C,3,FALSE)</f>
        <v>3466   SPANISH CLUB</v>
      </c>
    </row>
    <row r="496" spans="1:14" ht="14.45" hidden="1" x14ac:dyDescent="0.3">
      <c r="A496" t="str">
        <f>VLOOKUP(E496,'[1]ORG CODES'!$A:$B,2,FALSE)</f>
        <v>Student Funded Programs</v>
      </c>
      <c r="B496" s="1" t="s">
        <v>2</v>
      </c>
      <c r="C496" s="1" t="s">
        <v>3</v>
      </c>
      <c r="D496" s="1" t="s">
        <v>4</v>
      </c>
      <c r="E496" s="1" t="s">
        <v>178</v>
      </c>
      <c r="F496" s="1" t="s">
        <v>29</v>
      </c>
      <c r="H496" s="1" t="str">
        <f>VLOOKUP(F496,'[2]DX.OTHER.9.30.06 DETAIL'!$H$1:$J$65536,3,FALSE)</f>
        <v>Exp-Salary &amp; Benefits</v>
      </c>
      <c r="I496" s="1">
        <v>0</v>
      </c>
      <c r="J496" s="2">
        <v>15.3</v>
      </c>
      <c r="K496" s="2">
        <v>0</v>
      </c>
      <c r="L496" s="2">
        <v>-15.3</v>
      </c>
      <c r="M496" s="2">
        <v>0</v>
      </c>
      <c r="N496" s="1" t="str">
        <f>VLOOKUP(E496,'[1]ORG CODES'!$A:$C,3,FALSE)</f>
        <v>3468   WELLNESS CLUB</v>
      </c>
    </row>
    <row r="497" spans="1:14" ht="14.45" hidden="1" x14ac:dyDescent="0.3">
      <c r="A497" t="str">
        <f>VLOOKUP(E497,'[1]ORG CODES'!$A:$B,2,FALSE)</f>
        <v>Student Funded Programs</v>
      </c>
      <c r="B497" s="1" t="s">
        <v>2</v>
      </c>
      <c r="C497" s="1" t="s">
        <v>3</v>
      </c>
      <c r="D497" s="1" t="s">
        <v>4</v>
      </c>
      <c r="E497" s="1" t="s">
        <v>25</v>
      </c>
      <c r="F497" s="1" t="s">
        <v>29</v>
      </c>
      <c r="H497" s="1" t="str">
        <f>VLOOKUP(F497,'[2]DX.OTHER.9.30.06 DETAIL'!$H$1:$J$65536,3,FALSE)</f>
        <v>Exp-Salary &amp; Benefits</v>
      </c>
      <c r="I497" s="1">
        <v>0</v>
      </c>
      <c r="J497" s="2">
        <v>2053.81</v>
      </c>
      <c r="K497" s="2">
        <v>0</v>
      </c>
      <c r="L497" s="2">
        <v>-2053.81</v>
      </c>
      <c r="M497" s="2">
        <v>0</v>
      </c>
      <c r="N497" s="1" t="str">
        <f>VLOOKUP(E497,'[1]ORG CODES'!$A:$C,3,FALSE)</f>
        <v>3309   IRP CLUB ADVISORS</v>
      </c>
    </row>
    <row r="498" spans="1:14" ht="14.45" hidden="1" x14ac:dyDescent="0.3">
      <c r="A498" t="str">
        <f>VLOOKUP(E498,'[1]ORG CODES'!$A:$B,2,FALSE)</f>
        <v>Student Funded Programs</v>
      </c>
      <c r="B498" s="1" t="s">
        <v>2</v>
      </c>
      <c r="C498" s="1" t="s">
        <v>3</v>
      </c>
      <c r="D498" s="1" t="s">
        <v>4</v>
      </c>
      <c r="E498" s="1" t="s">
        <v>52</v>
      </c>
      <c r="F498" s="1" t="s">
        <v>29</v>
      </c>
      <c r="H498" s="1" t="str">
        <f>VLOOKUP(F498,'[2]DX.OTHER.9.30.06 DETAIL'!$H$1:$J$65536,3,FALSE)</f>
        <v>Exp-Salary &amp; Benefits</v>
      </c>
      <c r="I498" s="1">
        <v>0</v>
      </c>
      <c r="J498" s="2">
        <v>77.05</v>
      </c>
      <c r="K498" s="2">
        <v>0</v>
      </c>
      <c r="L498" s="2">
        <v>-77.05</v>
      </c>
      <c r="M498" s="2">
        <v>0</v>
      </c>
      <c r="N498" s="1" t="str">
        <f>VLOOKUP(E498,'[1]ORG CODES'!$A:$C,3,FALSE)</f>
        <v>3352   REVELERS (DRAMA)</v>
      </c>
    </row>
    <row r="499" spans="1:14" ht="14.45" hidden="1" x14ac:dyDescent="0.3">
      <c r="A499" t="str">
        <f>VLOOKUP(E499,'[1]ORG CODES'!$A:$B,2,FALSE)</f>
        <v>Student Funded Programs</v>
      </c>
      <c r="B499" s="1" t="s">
        <v>2</v>
      </c>
      <c r="C499" s="1" t="s">
        <v>3</v>
      </c>
      <c r="D499" s="1" t="s">
        <v>4</v>
      </c>
      <c r="E499" s="1" t="s">
        <v>71</v>
      </c>
      <c r="F499" s="1" t="s">
        <v>29</v>
      </c>
      <c r="H499" s="1" t="str">
        <f>VLOOKUP(F499,'[2]DX.OTHER.9.30.06 DETAIL'!$H$1:$J$65536,3,FALSE)</f>
        <v>Exp-Salary &amp; Benefits</v>
      </c>
      <c r="I499" s="1">
        <v>0</v>
      </c>
      <c r="J499" s="2">
        <v>10.86</v>
      </c>
      <c r="K499" s="2">
        <v>0</v>
      </c>
      <c r="L499" s="2">
        <v>-10.86</v>
      </c>
      <c r="M499" s="2">
        <v>0</v>
      </c>
      <c r="N499" s="1" t="str">
        <f>VLOOKUP(E499,'[1]ORG CODES'!$A:$C,3,FALSE)</f>
        <v>3356   STAGE BAND/COMBO</v>
      </c>
    </row>
    <row r="500" spans="1:14" ht="14.45" hidden="1" x14ac:dyDescent="0.3">
      <c r="A500" t="str">
        <f>VLOOKUP(E500,'[1]ORG CODES'!$A:$B,2,FALSE)</f>
        <v>Student Funded Programs</v>
      </c>
      <c r="B500" s="1" t="s">
        <v>2</v>
      </c>
      <c r="C500" s="1" t="s">
        <v>3</v>
      </c>
      <c r="D500" s="1" t="s">
        <v>4</v>
      </c>
      <c r="E500" s="1" t="s">
        <v>102</v>
      </c>
      <c r="F500" s="1" t="s">
        <v>29</v>
      </c>
      <c r="H500" s="1" t="str">
        <f>VLOOKUP(F500,'[2]DX.OTHER.9.30.06 DETAIL'!$H$1:$J$65536,3,FALSE)</f>
        <v>Exp-Salary &amp; Benefits</v>
      </c>
      <c r="I500" s="1">
        <v>0</v>
      </c>
      <c r="J500" s="2">
        <v>3711.79</v>
      </c>
      <c r="K500" s="2">
        <v>0</v>
      </c>
      <c r="L500" s="2">
        <v>-3711.79</v>
      </c>
      <c r="M500" s="2">
        <v>0</v>
      </c>
      <c r="N500" s="1" t="str">
        <f>VLOOKUP(E500,'[1]ORG CODES'!$A:$C,3,FALSE)</f>
        <v>3409   ASA CLUB ADVISORS</v>
      </c>
    </row>
    <row r="501" spans="1:14" ht="14.45" hidden="1" x14ac:dyDescent="0.3">
      <c r="A501" t="str">
        <f>VLOOKUP(E501,'[1]ORG CODES'!$A:$B,2,FALSE)</f>
        <v>Student Funded Programs</v>
      </c>
      <c r="B501" s="1" t="s">
        <v>2</v>
      </c>
      <c r="C501" s="1" t="s">
        <v>3</v>
      </c>
      <c r="D501" s="1" t="s">
        <v>4</v>
      </c>
      <c r="E501" s="1" t="s">
        <v>124</v>
      </c>
      <c r="F501" s="1" t="s">
        <v>29</v>
      </c>
      <c r="H501" s="1" t="str">
        <f>VLOOKUP(F501,'[2]DX.OTHER.9.30.06 DETAIL'!$H$1:$J$65536,3,FALSE)</f>
        <v>Exp-Salary &amp; Benefits</v>
      </c>
      <c r="I501" s="1">
        <v>0</v>
      </c>
      <c r="J501" s="2">
        <v>-0.08</v>
      </c>
      <c r="K501" s="2">
        <v>0</v>
      </c>
      <c r="L501" s="2">
        <v>0.08</v>
      </c>
      <c r="M501" s="2">
        <v>0</v>
      </c>
      <c r="N501" s="1" t="str">
        <f>VLOOKUP(E501,'[1]ORG CODES'!$A:$C,3,FALSE)</f>
        <v>3427   INTERPRETERS SUPPORT</v>
      </c>
    </row>
    <row r="502" spans="1:14" ht="14.45" hidden="1" x14ac:dyDescent="0.3">
      <c r="A502" t="str">
        <f>VLOOKUP(E502,'[1]ORG CODES'!$A:$B,2,FALSE)</f>
        <v>Student Funded Programs</v>
      </c>
      <c r="B502" s="1" t="s">
        <v>2</v>
      </c>
      <c r="C502" s="1" t="s">
        <v>3</v>
      </c>
      <c r="D502" s="1" t="s">
        <v>4</v>
      </c>
      <c r="E502" s="1" t="s">
        <v>168</v>
      </c>
      <c r="F502" s="1" t="s">
        <v>29</v>
      </c>
      <c r="H502" s="1" t="str">
        <f>VLOOKUP(F502,'[2]DX.OTHER.9.30.06 DETAIL'!$H$1:$J$65536,3,FALSE)</f>
        <v>Exp-Salary &amp; Benefits</v>
      </c>
      <c r="I502" s="1">
        <v>0</v>
      </c>
      <c r="J502" s="2">
        <v>25.36</v>
      </c>
      <c r="K502" s="2">
        <v>0</v>
      </c>
      <c r="L502" s="2">
        <v>-25.36</v>
      </c>
      <c r="M502" s="2">
        <v>0</v>
      </c>
      <c r="N502" s="1" t="str">
        <f>VLOOKUP(E502,'[1]ORG CODES'!$A:$C,3,FALSE)</f>
        <v>3462   INTERNATIONAL CLUB</v>
      </c>
    </row>
    <row r="503" spans="1:14" ht="14.45" hidden="1" x14ac:dyDescent="0.3">
      <c r="A503" t="str">
        <f>VLOOKUP(E503,'[1]ORG CODES'!$A:$B,2,FALSE)</f>
        <v>Student Funded Programs</v>
      </c>
      <c r="B503" s="1" t="s">
        <v>2</v>
      </c>
      <c r="C503" s="1" t="s">
        <v>3</v>
      </c>
      <c r="D503" s="1" t="s">
        <v>4</v>
      </c>
      <c r="E503" s="1" t="s">
        <v>170</v>
      </c>
      <c r="F503" s="1" t="s">
        <v>29</v>
      </c>
      <c r="H503" s="1" t="str">
        <f>VLOOKUP(F503,'[2]DX.OTHER.9.30.06 DETAIL'!$H$1:$J$65536,3,FALSE)</f>
        <v>Exp-Salary &amp; Benefits</v>
      </c>
      <c r="I503" s="1">
        <v>0</v>
      </c>
      <c r="J503" s="2">
        <v>8.5299999999999994</v>
      </c>
      <c r="K503" s="2">
        <v>0</v>
      </c>
      <c r="L503" s="2">
        <v>-8.5299999999999994</v>
      </c>
      <c r="M503" s="2">
        <v>0</v>
      </c>
      <c r="N503" s="1" t="str">
        <f>VLOOKUP(E503,'[1]ORG CODES'!$A:$C,3,FALSE)</f>
        <v>3464   JAZZ PRESENTS</v>
      </c>
    </row>
    <row r="504" spans="1:14" ht="14.45" hidden="1" x14ac:dyDescent="0.3">
      <c r="A504" t="str">
        <f>VLOOKUP(E504,'[1]ORG CODES'!$A:$B,2,FALSE)</f>
        <v>Student Funded Programs</v>
      </c>
      <c r="B504" s="1" t="s">
        <v>2</v>
      </c>
      <c r="C504" s="1" t="s">
        <v>3</v>
      </c>
      <c r="D504" s="1" t="s">
        <v>4</v>
      </c>
      <c r="E504" s="1" t="s">
        <v>172</v>
      </c>
      <c r="F504" s="1" t="s">
        <v>29</v>
      </c>
      <c r="H504" s="1" t="str">
        <f>VLOOKUP(F504,'[2]DX.OTHER.9.30.06 DETAIL'!$H$1:$J$65536,3,FALSE)</f>
        <v>Exp-Salary &amp; Benefits</v>
      </c>
      <c r="I504" s="1">
        <v>0</v>
      </c>
      <c r="J504" s="2">
        <v>70.84</v>
      </c>
      <c r="K504" s="2">
        <v>0</v>
      </c>
      <c r="L504" s="2">
        <v>-70.84</v>
      </c>
      <c r="M504" s="2">
        <v>0</v>
      </c>
      <c r="N504" s="1" t="str">
        <f>VLOOKUP(E504,'[1]ORG CODES'!$A:$C,3,FALSE)</f>
        <v>3465   RED NATIONS ASSOC</v>
      </c>
    </row>
    <row r="505" spans="1:14" ht="14.45" hidden="1" x14ac:dyDescent="0.3">
      <c r="A505" t="str">
        <f>VLOOKUP(E505,'[1]ORG CODES'!$A:$B,2,FALSE)</f>
        <v>Student Funded Programs</v>
      </c>
      <c r="B505" s="1" t="s">
        <v>2</v>
      </c>
      <c r="C505" s="1" t="s">
        <v>3</v>
      </c>
      <c r="D505" s="1" t="s">
        <v>4</v>
      </c>
      <c r="E505" s="1" t="s">
        <v>176</v>
      </c>
      <c r="F505" s="1" t="s">
        <v>29</v>
      </c>
      <c r="H505" s="1" t="str">
        <f>VLOOKUP(F505,'[2]DX.OTHER.9.30.06 DETAIL'!$H$1:$J$65536,3,FALSE)</f>
        <v>Exp-Salary &amp; Benefits</v>
      </c>
      <c r="I505" s="1">
        <v>0</v>
      </c>
      <c r="J505" s="2">
        <v>7.77</v>
      </c>
      <c r="K505" s="2">
        <v>0</v>
      </c>
      <c r="L505" s="2">
        <v>-7.77</v>
      </c>
      <c r="M505" s="2">
        <v>0</v>
      </c>
      <c r="N505" s="1" t="str">
        <f>VLOOKUP(E505,'[1]ORG CODES'!$A:$C,3,FALSE)</f>
        <v>3466   SPANISH CLUB</v>
      </c>
    </row>
    <row r="506" spans="1:14" ht="14.45" hidden="1" x14ac:dyDescent="0.3">
      <c r="A506" t="str">
        <f>VLOOKUP(E506,'[1]ORG CODES'!$A:$B,2,FALSE)</f>
        <v>Student Funded Programs</v>
      </c>
      <c r="B506" s="1" t="s">
        <v>2</v>
      </c>
      <c r="C506" s="1" t="s">
        <v>3</v>
      </c>
      <c r="D506" s="1" t="s">
        <v>4</v>
      </c>
      <c r="E506" s="1" t="s">
        <v>52</v>
      </c>
      <c r="F506" s="1" t="s">
        <v>29</v>
      </c>
      <c r="H506" s="1" t="str">
        <f>VLOOKUP(F506,'[2]DX.OTHER.9.30.06 DETAIL'!$H$1:$J$65536,3,FALSE)</f>
        <v>Exp-Salary &amp; Benefits</v>
      </c>
      <c r="I506" s="1">
        <v>0</v>
      </c>
      <c r="J506" s="2">
        <v>233.5</v>
      </c>
      <c r="K506" s="2">
        <v>0</v>
      </c>
      <c r="L506" s="2">
        <v>-233.5</v>
      </c>
      <c r="M506" s="2">
        <v>0</v>
      </c>
      <c r="N506" s="1" t="str">
        <f>VLOOKUP(E506,'[1]ORG CODES'!$A:$C,3,FALSE)</f>
        <v>3352   REVELERS (DRAMA)</v>
      </c>
    </row>
    <row r="507" spans="1:14" ht="14.45" hidden="1" x14ac:dyDescent="0.3">
      <c r="A507" t="str">
        <f>VLOOKUP(E507,'[1]ORG CODES'!$A:$B,2,FALSE)</f>
        <v>Student Funded Programs</v>
      </c>
      <c r="B507" s="1" t="s">
        <v>2</v>
      </c>
      <c r="C507" s="1" t="s">
        <v>3</v>
      </c>
      <c r="D507" s="1" t="s">
        <v>4</v>
      </c>
      <c r="E507" s="1" t="s">
        <v>71</v>
      </c>
      <c r="F507" s="1" t="s">
        <v>29</v>
      </c>
      <c r="H507" s="1" t="str">
        <f>VLOOKUP(F507,'[2]DX.OTHER.9.30.06 DETAIL'!$H$1:$J$65536,3,FALSE)</f>
        <v>Exp-Salary &amp; Benefits</v>
      </c>
      <c r="I507" s="1">
        <v>0</v>
      </c>
      <c r="J507" s="2">
        <v>2.0099999999999998</v>
      </c>
      <c r="K507" s="2">
        <v>0</v>
      </c>
      <c r="L507" s="2">
        <v>-2.0099999999999998</v>
      </c>
      <c r="M507" s="2">
        <v>0</v>
      </c>
      <c r="N507" s="1" t="str">
        <f>VLOOKUP(E507,'[1]ORG CODES'!$A:$C,3,FALSE)</f>
        <v>3356   STAGE BAND/COMBO</v>
      </c>
    </row>
    <row r="508" spans="1:14" ht="14.45" hidden="1" x14ac:dyDescent="0.3">
      <c r="A508" t="str">
        <f>VLOOKUP(E508,'[1]ORG CODES'!$A:$B,2,FALSE)</f>
        <v>Student Funded Programs</v>
      </c>
      <c r="B508" s="1" t="s">
        <v>2</v>
      </c>
      <c r="C508" s="1" t="s">
        <v>3</v>
      </c>
      <c r="D508" s="1" t="s">
        <v>4</v>
      </c>
      <c r="E508" s="1" t="s">
        <v>93</v>
      </c>
      <c r="F508" s="1" t="s">
        <v>29</v>
      </c>
      <c r="H508" s="1" t="str">
        <f>VLOOKUP(F508,'[2]DX.OTHER.9.30.06 DETAIL'!$H$1:$J$65536,3,FALSE)</f>
        <v>Exp-Salary &amp; Benefits</v>
      </c>
      <c r="I508" s="1">
        <v>0</v>
      </c>
      <c r="J508" s="2">
        <v>2298.1</v>
      </c>
      <c r="K508" s="2">
        <v>0</v>
      </c>
      <c r="L508" s="2">
        <v>-2298.1</v>
      </c>
      <c r="M508" s="2">
        <v>0</v>
      </c>
      <c r="N508" s="1" t="str">
        <f>VLOOKUP(E508,'[1]ORG CODES'!$A:$C,3,FALSE)</f>
        <v>3403   PEERS SERVICES</v>
      </c>
    </row>
    <row r="509" spans="1:14" ht="14.45" hidden="1" x14ac:dyDescent="0.3">
      <c r="A509" t="str">
        <f>VLOOKUP(E509,'[1]ORG CODES'!$A:$B,2,FALSE)</f>
        <v>Student Funded Programs</v>
      </c>
      <c r="B509" s="1" t="s">
        <v>2</v>
      </c>
      <c r="C509" s="1" t="s">
        <v>3</v>
      </c>
      <c r="D509" s="1" t="s">
        <v>4</v>
      </c>
      <c r="E509" s="1" t="s">
        <v>100</v>
      </c>
      <c r="F509" s="1" t="s">
        <v>29</v>
      </c>
      <c r="H509" s="1" t="str">
        <f>VLOOKUP(F509,'[2]DX.OTHER.9.30.06 DETAIL'!$H$1:$J$65536,3,FALSE)</f>
        <v>Exp-Salary &amp; Benefits</v>
      </c>
      <c r="I509" s="1">
        <v>0</v>
      </c>
      <c r="J509" s="2">
        <v>109.17</v>
      </c>
      <c r="K509" s="2">
        <v>0</v>
      </c>
      <c r="L509" s="2">
        <v>-109.17</v>
      </c>
      <c r="M509" s="2">
        <v>0</v>
      </c>
      <c r="N509" s="1" t="str">
        <f>VLOOKUP(E509,'[1]ORG CODES'!$A:$C,3,FALSE)</f>
        <v>3407   MLC TUTORING</v>
      </c>
    </row>
    <row r="510" spans="1:14" ht="14.45" hidden="1" x14ac:dyDescent="0.3">
      <c r="A510" t="str">
        <f>VLOOKUP(E510,'[1]ORG CODES'!$A:$B,2,FALSE)</f>
        <v>Student Funded Programs</v>
      </c>
      <c r="B510" s="1" t="s">
        <v>2</v>
      </c>
      <c r="C510" s="1" t="s">
        <v>3</v>
      </c>
      <c r="D510" s="1" t="s">
        <v>4</v>
      </c>
      <c r="E510" s="1" t="s">
        <v>112</v>
      </c>
      <c r="F510" s="1" t="s">
        <v>29</v>
      </c>
      <c r="H510" s="1" t="str">
        <f>VLOOKUP(F510,'[2]DX.OTHER.9.30.06 DETAIL'!$H$1:$J$65536,3,FALSE)</f>
        <v>Exp-Salary &amp; Benefits</v>
      </c>
      <c r="I510" s="1">
        <v>0</v>
      </c>
      <c r="J510" s="2">
        <v>1851.88</v>
      </c>
      <c r="K510" s="2">
        <v>0</v>
      </c>
      <c r="L510" s="2">
        <v>-1851.88</v>
      </c>
      <c r="M510" s="2">
        <v>0</v>
      </c>
      <c r="N510" s="1" t="str">
        <f>VLOOKUP(E510,'[1]ORG CODES'!$A:$C,3,FALSE)</f>
        <v>3416   WORKSTUDY</v>
      </c>
    </row>
    <row r="511" spans="1:14" ht="14.45" hidden="1" x14ac:dyDescent="0.3">
      <c r="A511" t="str">
        <f>VLOOKUP(E511,'[1]ORG CODES'!$A:$B,2,FALSE)</f>
        <v>Student Funded Programs</v>
      </c>
      <c r="B511" s="1" t="s">
        <v>2</v>
      </c>
      <c r="C511" s="1" t="s">
        <v>3</v>
      </c>
      <c r="D511" s="1" t="s">
        <v>4</v>
      </c>
      <c r="E511" s="1" t="s">
        <v>124</v>
      </c>
      <c r="F511" s="1" t="s">
        <v>29</v>
      </c>
      <c r="H511" s="1" t="str">
        <f>VLOOKUP(F511,'[2]DX.OTHER.9.30.06 DETAIL'!$H$1:$J$65536,3,FALSE)</f>
        <v>Exp-Salary &amp; Benefits</v>
      </c>
      <c r="I511" s="1">
        <v>0</v>
      </c>
      <c r="J511" s="2">
        <v>24.88</v>
      </c>
      <c r="K511" s="2">
        <v>0</v>
      </c>
      <c r="L511" s="2">
        <v>-24.88</v>
      </c>
      <c r="M511" s="2">
        <v>0</v>
      </c>
      <c r="N511" s="1" t="str">
        <f>VLOOKUP(E511,'[1]ORG CODES'!$A:$C,3,FALSE)</f>
        <v>3427   INTERPRETERS SUPPORT</v>
      </c>
    </row>
    <row r="512" spans="1:14" ht="14.45" hidden="1" x14ac:dyDescent="0.3">
      <c r="A512" t="str">
        <f>VLOOKUP(E512,'[1]ORG CODES'!$A:$B,2,FALSE)</f>
        <v>Student Funded Programs</v>
      </c>
      <c r="B512" s="1" t="s">
        <v>2</v>
      </c>
      <c r="C512" s="1" t="s">
        <v>3</v>
      </c>
      <c r="D512" s="1" t="s">
        <v>4</v>
      </c>
      <c r="E512" s="1" t="s">
        <v>125</v>
      </c>
      <c r="F512" s="1" t="s">
        <v>29</v>
      </c>
      <c r="H512" s="1" t="str">
        <f>VLOOKUP(F512,'[2]DX.OTHER.9.30.06 DETAIL'!$H$1:$J$65536,3,FALSE)</f>
        <v>Exp-Salary &amp; Benefits</v>
      </c>
      <c r="I512" s="1">
        <v>0</v>
      </c>
      <c r="J512" s="2">
        <v>627.4</v>
      </c>
      <c r="K512" s="2">
        <v>0</v>
      </c>
      <c r="L512" s="2">
        <v>-627.4</v>
      </c>
      <c r="M512" s="2">
        <v>0</v>
      </c>
      <c r="N512" s="1" t="str">
        <f>VLOOKUP(E512,'[1]ORG CODES'!$A:$C,3,FALSE)</f>
        <v>3428   SECURITY</v>
      </c>
    </row>
    <row r="513" spans="1:14" ht="14.45" hidden="1" x14ac:dyDescent="0.3">
      <c r="A513" t="str">
        <f>VLOOKUP(E513,'[1]ORG CODES'!$A:$B,2,FALSE)</f>
        <v>Student Funded Programs</v>
      </c>
      <c r="B513" s="1" t="s">
        <v>2</v>
      </c>
      <c r="C513" s="1" t="s">
        <v>3</v>
      </c>
      <c r="D513" s="1" t="s">
        <v>4</v>
      </c>
      <c r="E513" s="1" t="s">
        <v>128</v>
      </c>
      <c r="F513" s="1" t="s">
        <v>29</v>
      </c>
      <c r="H513" s="1" t="str">
        <f>VLOOKUP(F513,'[2]DX.OTHER.9.30.06 DETAIL'!$H$1:$J$65536,3,FALSE)</f>
        <v>Exp-Salary &amp; Benefits</v>
      </c>
      <c r="I513" s="1">
        <v>0</v>
      </c>
      <c r="J513" s="2">
        <v>285.89</v>
      </c>
      <c r="K513" s="2">
        <v>0</v>
      </c>
      <c r="L513" s="2">
        <v>-285.89</v>
      </c>
      <c r="M513" s="2">
        <v>0</v>
      </c>
      <c r="N513" s="1" t="str">
        <f>VLOOKUP(E513,'[1]ORG CODES'!$A:$C,3,FALSE)</f>
        <v>3431   PT HOURLY SUPPORT</v>
      </c>
    </row>
    <row r="514" spans="1:14" ht="14.45" hidden="1" x14ac:dyDescent="0.3">
      <c r="A514" t="str">
        <f>VLOOKUP(E514,'[1]ORG CODES'!$A:$B,2,FALSE)</f>
        <v>Student Funded Programs</v>
      </c>
      <c r="B514" s="1" t="s">
        <v>2</v>
      </c>
      <c r="C514" s="1" t="s">
        <v>3</v>
      </c>
      <c r="D514" s="1" t="s">
        <v>4</v>
      </c>
      <c r="E514" s="1" t="s">
        <v>168</v>
      </c>
      <c r="F514" s="1" t="s">
        <v>29</v>
      </c>
      <c r="H514" s="1" t="str">
        <f>VLOOKUP(F514,'[2]DX.OTHER.9.30.06 DETAIL'!$H$1:$J$65536,3,FALSE)</f>
        <v>Exp-Salary &amp; Benefits</v>
      </c>
      <c r="I514" s="1">
        <v>0</v>
      </c>
      <c r="J514" s="2">
        <v>5.1100000000000003</v>
      </c>
      <c r="K514" s="2">
        <v>0</v>
      </c>
      <c r="L514" s="2">
        <v>-5.1100000000000003</v>
      </c>
      <c r="M514" s="2">
        <v>0</v>
      </c>
      <c r="N514" s="1" t="str">
        <f>VLOOKUP(E514,'[1]ORG CODES'!$A:$C,3,FALSE)</f>
        <v>3462   INTERNATIONAL CLUB</v>
      </c>
    </row>
    <row r="515" spans="1:14" ht="14.45" hidden="1" x14ac:dyDescent="0.3">
      <c r="A515" t="str">
        <f>VLOOKUP(E515,'[1]ORG CODES'!$A:$B,2,FALSE)</f>
        <v>Student Funded Programs</v>
      </c>
      <c r="B515" s="1" t="s">
        <v>2</v>
      </c>
      <c r="C515" s="1" t="s">
        <v>3</v>
      </c>
      <c r="D515" s="1" t="s">
        <v>4</v>
      </c>
      <c r="E515" s="1" t="s">
        <v>170</v>
      </c>
      <c r="F515" s="1" t="s">
        <v>29</v>
      </c>
      <c r="H515" s="1" t="str">
        <f>VLOOKUP(F515,'[2]DX.OTHER.9.30.06 DETAIL'!$H$1:$J$65536,3,FALSE)</f>
        <v>Exp-Salary &amp; Benefits</v>
      </c>
      <c r="I515" s="1">
        <v>0</v>
      </c>
      <c r="J515" s="2">
        <v>7.45</v>
      </c>
      <c r="K515" s="2">
        <v>0</v>
      </c>
      <c r="L515" s="2">
        <v>-7.45</v>
      </c>
      <c r="M515" s="2">
        <v>5.85</v>
      </c>
      <c r="N515" s="1" t="str">
        <f>VLOOKUP(E515,'[1]ORG CODES'!$A:$C,3,FALSE)</f>
        <v>3464   JAZZ PRESENTS</v>
      </c>
    </row>
    <row r="516" spans="1:14" ht="14.45" hidden="1" x14ac:dyDescent="0.3">
      <c r="A516" t="str">
        <f>VLOOKUP(E516,'[1]ORG CODES'!$A:$B,2,FALSE)</f>
        <v>Student Funded Programs</v>
      </c>
      <c r="B516" s="1" t="s">
        <v>2</v>
      </c>
      <c r="C516" s="1" t="s">
        <v>3</v>
      </c>
      <c r="D516" s="1" t="s">
        <v>4</v>
      </c>
      <c r="E516" s="1" t="s">
        <v>172</v>
      </c>
      <c r="F516" s="1" t="s">
        <v>29</v>
      </c>
      <c r="H516" s="1" t="str">
        <f>VLOOKUP(F516,'[2]DX.OTHER.9.30.06 DETAIL'!$H$1:$J$65536,3,FALSE)</f>
        <v>Exp-Salary &amp; Benefits</v>
      </c>
      <c r="I516" s="1">
        <v>0</v>
      </c>
      <c r="J516" s="2">
        <v>11.63</v>
      </c>
      <c r="K516" s="2">
        <v>0</v>
      </c>
      <c r="L516" s="2">
        <v>-11.63</v>
      </c>
      <c r="M516" s="2">
        <v>0</v>
      </c>
      <c r="N516" s="1" t="str">
        <f>VLOOKUP(E516,'[1]ORG CODES'!$A:$C,3,FALSE)</f>
        <v>3465   RED NATIONS ASSOC</v>
      </c>
    </row>
    <row r="517" spans="1:14" ht="14.45" hidden="1" x14ac:dyDescent="0.3">
      <c r="A517" t="str">
        <f>VLOOKUP(E517,'[1]ORG CODES'!$A:$B,2,FALSE)</f>
        <v>Student Funded Programs</v>
      </c>
      <c r="B517" s="1" t="s">
        <v>2</v>
      </c>
      <c r="C517" s="1" t="s">
        <v>3</v>
      </c>
      <c r="D517" s="1" t="s">
        <v>4</v>
      </c>
      <c r="E517" s="1" t="s">
        <v>25</v>
      </c>
      <c r="F517" s="1" t="s">
        <v>29</v>
      </c>
      <c r="H517" s="1" t="str">
        <f>VLOOKUP(F517,'[2]DX.OTHER.9.30.06 DETAIL'!$H$1:$J$65536,3,FALSE)</f>
        <v>Exp-Salary &amp; Benefits</v>
      </c>
      <c r="I517" s="1">
        <v>0</v>
      </c>
      <c r="J517" s="2">
        <v>-11.6</v>
      </c>
      <c r="K517" s="2">
        <v>0</v>
      </c>
      <c r="L517" s="2">
        <v>11.6</v>
      </c>
      <c r="M517" s="2">
        <v>0</v>
      </c>
      <c r="N517" s="1" t="str">
        <f>VLOOKUP(E517,'[1]ORG CODES'!$A:$C,3,FALSE)</f>
        <v>3309   IRP CLUB ADVISORS</v>
      </c>
    </row>
    <row r="518" spans="1:14" ht="14.45" hidden="1" x14ac:dyDescent="0.3">
      <c r="A518" t="str">
        <f>VLOOKUP(E518,'[1]ORG CODES'!$A:$B,2,FALSE)</f>
        <v>Student Funded Programs</v>
      </c>
      <c r="B518" s="1" t="s">
        <v>2</v>
      </c>
      <c r="C518" s="1" t="s">
        <v>3</v>
      </c>
      <c r="D518" s="1" t="s">
        <v>4</v>
      </c>
      <c r="E518" s="1" t="s">
        <v>71</v>
      </c>
      <c r="F518" s="1" t="s">
        <v>29</v>
      </c>
      <c r="H518" s="1" t="str">
        <f>VLOOKUP(F518,'[2]DX.OTHER.9.30.06 DETAIL'!$H$1:$J$65536,3,FALSE)</f>
        <v>Exp-Salary &amp; Benefits</v>
      </c>
      <c r="I518" s="1">
        <v>0</v>
      </c>
      <c r="J518" s="2">
        <v>0</v>
      </c>
      <c r="K518" s="2">
        <v>0</v>
      </c>
      <c r="L518" s="2">
        <v>0</v>
      </c>
      <c r="M518" s="2">
        <v>0</v>
      </c>
      <c r="N518" s="1" t="str">
        <f>VLOOKUP(E518,'[1]ORG CODES'!$A:$C,3,FALSE)</f>
        <v>3356   STAGE BAND/COMBO</v>
      </c>
    </row>
    <row r="519" spans="1:14" ht="14.45" hidden="1" x14ac:dyDescent="0.3">
      <c r="A519" t="str">
        <f>VLOOKUP(E519,'[1]ORG CODES'!$A:$B,2,FALSE)</f>
        <v>Student Funded Programs</v>
      </c>
      <c r="B519" s="1" t="s">
        <v>2</v>
      </c>
      <c r="C519" s="1" t="s">
        <v>3</v>
      </c>
      <c r="D519" s="1" t="s">
        <v>4</v>
      </c>
      <c r="E519" s="1" t="s">
        <v>102</v>
      </c>
      <c r="F519" s="1" t="s">
        <v>29</v>
      </c>
      <c r="H519" s="1" t="str">
        <f>VLOOKUP(F519,'[2]DX.OTHER.9.30.06 DETAIL'!$H$1:$J$65536,3,FALSE)</f>
        <v>Exp-Salary &amp; Benefits</v>
      </c>
      <c r="I519" s="1">
        <v>0</v>
      </c>
      <c r="J519" s="2">
        <v>-208.35</v>
      </c>
      <c r="K519" s="2">
        <v>0</v>
      </c>
      <c r="L519" s="2">
        <v>208.35</v>
      </c>
      <c r="M519" s="2">
        <v>0</v>
      </c>
      <c r="N519" s="1" t="str">
        <f>VLOOKUP(E519,'[1]ORG CODES'!$A:$C,3,FALSE)</f>
        <v>3409   ASA CLUB ADVISORS</v>
      </c>
    </row>
    <row r="520" spans="1:14" ht="14.45" hidden="1" x14ac:dyDescent="0.3">
      <c r="A520" t="str">
        <f>VLOOKUP(E520,'[1]ORG CODES'!$A:$B,2,FALSE)</f>
        <v>Student Funded Programs</v>
      </c>
      <c r="B520" s="1" t="s">
        <v>2</v>
      </c>
      <c r="C520" s="1" t="s">
        <v>3</v>
      </c>
      <c r="D520" s="1" t="s">
        <v>4</v>
      </c>
      <c r="E520" s="1" t="s">
        <v>168</v>
      </c>
      <c r="F520" s="1" t="s">
        <v>29</v>
      </c>
      <c r="H520" s="1" t="str">
        <f>VLOOKUP(F520,'[2]DX.OTHER.9.30.06 DETAIL'!$H$1:$J$65536,3,FALSE)</f>
        <v>Exp-Salary &amp; Benefits</v>
      </c>
      <c r="I520" s="1">
        <v>0</v>
      </c>
      <c r="J520" s="2">
        <v>44.8</v>
      </c>
      <c r="K520" s="2">
        <v>0</v>
      </c>
      <c r="L520" s="2">
        <v>-44.8</v>
      </c>
      <c r="M520" s="2">
        <v>0</v>
      </c>
      <c r="N520" s="1" t="str">
        <f>VLOOKUP(E520,'[1]ORG CODES'!$A:$C,3,FALSE)</f>
        <v>3462   INTERNATIONAL CLUB</v>
      </c>
    </row>
    <row r="521" spans="1:14" ht="14.45" hidden="1" x14ac:dyDescent="0.3">
      <c r="A521" t="str">
        <f>VLOOKUP(E521,'[1]ORG CODES'!$A:$B,2,FALSE)</f>
        <v>Student Funded Programs</v>
      </c>
      <c r="B521" s="1" t="s">
        <v>2</v>
      </c>
      <c r="C521" s="1" t="s">
        <v>3</v>
      </c>
      <c r="D521" s="1" t="s">
        <v>4</v>
      </c>
      <c r="E521" s="1" t="s">
        <v>176</v>
      </c>
      <c r="F521" s="1" t="s">
        <v>29</v>
      </c>
      <c r="H521" s="1" t="str">
        <f>VLOOKUP(F521,'[2]DX.OTHER.9.30.06 DETAIL'!$H$1:$J$65536,3,FALSE)</f>
        <v>Exp-Salary &amp; Benefits</v>
      </c>
      <c r="I521" s="1">
        <v>0</v>
      </c>
      <c r="J521" s="2">
        <v>44</v>
      </c>
      <c r="K521" s="2">
        <v>0</v>
      </c>
      <c r="L521" s="2">
        <v>-44</v>
      </c>
      <c r="M521" s="2">
        <v>0</v>
      </c>
      <c r="N521" s="1" t="str">
        <f>VLOOKUP(E521,'[1]ORG CODES'!$A:$C,3,FALSE)</f>
        <v>3466   SPANISH CLUB</v>
      </c>
    </row>
    <row r="522" spans="1:14" ht="14.45" hidden="1" x14ac:dyDescent="0.3">
      <c r="A522" t="str">
        <f>VLOOKUP(E522,'[1]ORG CODES'!$A:$B,2,FALSE)</f>
        <v>Student Funded Programs</v>
      </c>
      <c r="B522" s="1" t="s">
        <v>2</v>
      </c>
      <c r="C522" s="1" t="s">
        <v>3</v>
      </c>
      <c r="D522" s="1" t="s">
        <v>4</v>
      </c>
      <c r="E522" s="1" t="s">
        <v>25</v>
      </c>
      <c r="F522" s="1" t="s">
        <v>29</v>
      </c>
      <c r="H522" s="1" t="str">
        <f>VLOOKUP(F522,'[2]DX.OTHER.9.30.06 DETAIL'!$H$1:$J$65536,3,FALSE)</f>
        <v>Exp-Salary &amp; Benefits</v>
      </c>
      <c r="I522" s="1">
        <v>0</v>
      </c>
      <c r="J522" s="2">
        <v>166.31</v>
      </c>
      <c r="K522" s="2">
        <v>0</v>
      </c>
      <c r="L522" s="2">
        <v>-166.31</v>
      </c>
      <c r="M522" s="2">
        <v>0</v>
      </c>
      <c r="N522" s="1" t="str">
        <f>VLOOKUP(E522,'[1]ORG CODES'!$A:$C,3,FALSE)</f>
        <v>3309   IRP CLUB ADVISORS</v>
      </c>
    </row>
    <row r="523" spans="1:14" ht="14.45" hidden="1" x14ac:dyDescent="0.3">
      <c r="A523" t="str">
        <f>VLOOKUP(E523,'[1]ORG CODES'!$A:$B,2,FALSE)</f>
        <v>Student Funded Programs</v>
      </c>
      <c r="B523" s="1" t="s">
        <v>2</v>
      </c>
      <c r="C523" s="1" t="s">
        <v>3</v>
      </c>
      <c r="D523" s="1" t="s">
        <v>4</v>
      </c>
      <c r="E523" s="1" t="s">
        <v>52</v>
      </c>
      <c r="F523" s="1" t="s">
        <v>29</v>
      </c>
      <c r="H523" s="1" t="str">
        <f>VLOOKUP(F523,'[2]DX.OTHER.9.30.06 DETAIL'!$H$1:$J$65536,3,FALSE)</f>
        <v>Exp-Salary &amp; Benefits</v>
      </c>
      <c r="I523" s="1">
        <v>0</v>
      </c>
      <c r="J523" s="2">
        <v>76.430000000000007</v>
      </c>
      <c r="K523" s="2">
        <v>0</v>
      </c>
      <c r="L523" s="2">
        <v>-76.430000000000007</v>
      </c>
      <c r="M523" s="2">
        <v>0</v>
      </c>
      <c r="N523" s="1" t="str">
        <f>VLOOKUP(E523,'[1]ORG CODES'!$A:$C,3,FALSE)</f>
        <v>3352   REVELERS (DRAMA)</v>
      </c>
    </row>
    <row r="524" spans="1:14" ht="14.45" hidden="1" x14ac:dyDescent="0.3">
      <c r="A524" t="str">
        <f>VLOOKUP(E524,'[1]ORG CODES'!$A:$B,2,FALSE)</f>
        <v>Student Funded Programs</v>
      </c>
      <c r="B524" s="1" t="s">
        <v>2</v>
      </c>
      <c r="C524" s="1" t="s">
        <v>3</v>
      </c>
      <c r="D524" s="1" t="s">
        <v>4</v>
      </c>
      <c r="E524" s="1" t="s">
        <v>63</v>
      </c>
      <c r="F524" s="1" t="s">
        <v>29</v>
      </c>
      <c r="H524" s="1" t="str">
        <f>VLOOKUP(F524,'[2]DX.OTHER.9.30.06 DETAIL'!$H$1:$J$65536,3,FALSE)</f>
        <v>Exp-Salary &amp; Benefits</v>
      </c>
      <c r="I524" s="1">
        <v>0</v>
      </c>
      <c r="J524" s="2">
        <v>4.75</v>
      </c>
      <c r="K524" s="2">
        <v>0</v>
      </c>
      <c r="L524" s="2">
        <v>-4.75</v>
      </c>
      <c r="M524" s="2">
        <v>0</v>
      </c>
      <c r="N524" s="1" t="str">
        <f>VLOOKUP(E524,'[1]ORG CODES'!$A:$C,3,FALSE)</f>
        <v>3353   ORCHESTRA</v>
      </c>
    </row>
    <row r="525" spans="1:14" ht="14.45" hidden="1" x14ac:dyDescent="0.3">
      <c r="A525" t="str">
        <f>VLOOKUP(E525,'[1]ORG CODES'!$A:$B,2,FALSE)</f>
        <v>Student Funded Programs</v>
      </c>
      <c r="B525" s="1" t="s">
        <v>2</v>
      </c>
      <c r="C525" s="1" t="s">
        <v>3</v>
      </c>
      <c r="D525" s="1" t="s">
        <v>4</v>
      </c>
      <c r="E525" s="1" t="s">
        <v>65</v>
      </c>
      <c r="F525" s="1" t="s">
        <v>29</v>
      </c>
      <c r="H525" s="1" t="str">
        <f>VLOOKUP(F525,'[2]DX.OTHER.9.30.06 DETAIL'!$H$1:$J$65536,3,FALSE)</f>
        <v>Exp-Salary &amp; Benefits</v>
      </c>
      <c r="I525" s="1">
        <v>0</v>
      </c>
      <c r="J525" s="2">
        <v>0.65</v>
      </c>
      <c r="K525" s="2">
        <v>0</v>
      </c>
      <c r="L525" s="2">
        <v>-0.65</v>
      </c>
      <c r="M525" s="2">
        <v>0</v>
      </c>
      <c r="N525" s="1" t="str">
        <f>VLOOKUP(E525,'[1]ORG CODES'!$A:$C,3,FALSE)</f>
        <v>3354   CONCERT BAND</v>
      </c>
    </row>
    <row r="526" spans="1:14" ht="14.45" hidden="1" x14ac:dyDescent="0.3">
      <c r="A526" t="str">
        <f>VLOOKUP(E526,'[1]ORG CODES'!$A:$B,2,FALSE)</f>
        <v>Student Funded Programs</v>
      </c>
      <c r="B526" s="1" t="s">
        <v>2</v>
      </c>
      <c r="C526" s="1" t="s">
        <v>3</v>
      </c>
      <c r="D526" s="1" t="s">
        <v>4</v>
      </c>
      <c r="E526" s="1" t="s">
        <v>71</v>
      </c>
      <c r="F526" s="1" t="s">
        <v>29</v>
      </c>
      <c r="H526" s="1" t="str">
        <f>VLOOKUP(F526,'[2]DX.OTHER.9.30.06 DETAIL'!$H$1:$J$65536,3,FALSE)</f>
        <v>Exp-Salary &amp; Benefits</v>
      </c>
      <c r="I526" s="1">
        <v>0</v>
      </c>
      <c r="J526" s="2">
        <v>1.08</v>
      </c>
      <c r="K526" s="2">
        <v>0</v>
      </c>
      <c r="L526" s="2">
        <v>-1.08</v>
      </c>
      <c r="M526" s="2">
        <v>0</v>
      </c>
      <c r="N526" s="1" t="str">
        <f>VLOOKUP(E526,'[1]ORG CODES'!$A:$C,3,FALSE)</f>
        <v>3356   STAGE BAND/COMBO</v>
      </c>
    </row>
    <row r="527" spans="1:14" ht="14.45" hidden="1" x14ac:dyDescent="0.3">
      <c r="A527" t="str">
        <f>VLOOKUP(E527,'[1]ORG CODES'!$A:$B,2,FALSE)</f>
        <v>Student Funded Programs</v>
      </c>
      <c r="B527" s="1" t="s">
        <v>2</v>
      </c>
      <c r="C527" s="1" t="s">
        <v>3</v>
      </c>
      <c r="D527" s="1" t="s">
        <v>4</v>
      </c>
      <c r="E527" s="1" t="s">
        <v>102</v>
      </c>
      <c r="F527" s="1" t="s">
        <v>29</v>
      </c>
      <c r="H527" s="1" t="str">
        <f>VLOOKUP(F527,'[2]DX.OTHER.9.30.06 DETAIL'!$H$1:$J$65536,3,FALSE)</f>
        <v>Exp-Salary &amp; Benefits</v>
      </c>
      <c r="I527" s="1">
        <v>0</v>
      </c>
      <c r="J527" s="2">
        <v>293.52</v>
      </c>
      <c r="K527" s="2">
        <v>0</v>
      </c>
      <c r="L527" s="2">
        <v>-293.52</v>
      </c>
      <c r="M527" s="2">
        <v>0</v>
      </c>
      <c r="N527" s="1" t="str">
        <f>VLOOKUP(E527,'[1]ORG CODES'!$A:$C,3,FALSE)</f>
        <v>3409   ASA CLUB ADVISORS</v>
      </c>
    </row>
    <row r="528" spans="1:14" ht="14.45" hidden="1" x14ac:dyDescent="0.3">
      <c r="A528" t="str">
        <f>VLOOKUP(E528,'[1]ORG CODES'!$A:$B,2,FALSE)</f>
        <v>Student Funded Programs</v>
      </c>
      <c r="B528" s="1" t="s">
        <v>2</v>
      </c>
      <c r="C528" s="1" t="s">
        <v>3</v>
      </c>
      <c r="D528" s="1" t="s">
        <v>4</v>
      </c>
      <c r="E528" s="1" t="s">
        <v>112</v>
      </c>
      <c r="F528" s="1" t="s">
        <v>29</v>
      </c>
      <c r="H528" s="1" t="str">
        <f>VLOOKUP(F528,'[2]DX.OTHER.9.30.06 DETAIL'!$H$1:$J$65536,3,FALSE)</f>
        <v>Exp-Salary &amp; Benefits</v>
      </c>
      <c r="I528" s="1">
        <v>0</v>
      </c>
      <c r="J528" s="2">
        <v>13.66</v>
      </c>
      <c r="K528" s="2">
        <v>0</v>
      </c>
      <c r="L528" s="2">
        <v>-13.66</v>
      </c>
      <c r="M528" s="2">
        <v>0</v>
      </c>
      <c r="N528" s="1" t="str">
        <f>VLOOKUP(E528,'[1]ORG CODES'!$A:$C,3,FALSE)</f>
        <v>3416   WORKSTUDY</v>
      </c>
    </row>
    <row r="529" spans="1:14" ht="14.45" hidden="1" x14ac:dyDescent="0.3">
      <c r="A529" t="str">
        <f>VLOOKUP(E529,'[1]ORG CODES'!$A:$B,2,FALSE)</f>
        <v>Student Funded Programs</v>
      </c>
      <c r="B529" s="1" t="s">
        <v>2</v>
      </c>
      <c r="C529" s="1" t="s">
        <v>3</v>
      </c>
      <c r="D529" s="1" t="s">
        <v>4</v>
      </c>
      <c r="E529" s="1" t="s">
        <v>124</v>
      </c>
      <c r="F529" s="1" t="s">
        <v>29</v>
      </c>
      <c r="H529" s="1" t="str">
        <f>VLOOKUP(F529,'[2]DX.OTHER.9.30.06 DETAIL'!$H$1:$J$65536,3,FALSE)</f>
        <v>Exp-Salary &amp; Benefits</v>
      </c>
      <c r="I529" s="1">
        <v>0</v>
      </c>
      <c r="J529" s="2">
        <v>11.56</v>
      </c>
      <c r="K529" s="2">
        <v>0</v>
      </c>
      <c r="L529" s="2">
        <v>-11.56</v>
      </c>
      <c r="M529" s="2">
        <v>0</v>
      </c>
      <c r="N529" s="1" t="str">
        <f>VLOOKUP(E529,'[1]ORG CODES'!$A:$C,3,FALSE)</f>
        <v>3427   INTERPRETERS SUPPORT</v>
      </c>
    </row>
    <row r="530" spans="1:14" ht="14.45" hidden="1" x14ac:dyDescent="0.3">
      <c r="A530" t="str">
        <f>VLOOKUP(E530,'[1]ORG CODES'!$A:$B,2,FALSE)</f>
        <v>Student Funded Programs</v>
      </c>
      <c r="B530" s="1" t="s">
        <v>2</v>
      </c>
      <c r="C530" s="1" t="s">
        <v>3</v>
      </c>
      <c r="D530" s="1" t="s">
        <v>4</v>
      </c>
      <c r="E530" s="1" t="s">
        <v>128</v>
      </c>
      <c r="F530" s="1" t="s">
        <v>29</v>
      </c>
      <c r="H530" s="1" t="str">
        <f>VLOOKUP(F530,'[2]DX.OTHER.9.30.06 DETAIL'!$H$1:$J$65536,3,FALSE)</f>
        <v>Exp-Salary &amp; Benefits</v>
      </c>
      <c r="I530" s="1">
        <v>0</v>
      </c>
      <c r="J530" s="2">
        <v>64.59</v>
      </c>
      <c r="K530" s="2">
        <v>0</v>
      </c>
      <c r="L530" s="2">
        <v>-64.59</v>
      </c>
      <c r="M530" s="2">
        <v>0</v>
      </c>
      <c r="N530" s="1" t="str">
        <f>VLOOKUP(E530,'[1]ORG CODES'!$A:$C,3,FALSE)</f>
        <v>3431   PT HOURLY SUPPORT</v>
      </c>
    </row>
    <row r="531" spans="1:14" ht="14.45" hidden="1" x14ac:dyDescent="0.3">
      <c r="A531" t="str">
        <f>VLOOKUP(E531,'[1]ORG CODES'!$A:$B,2,FALSE)</f>
        <v>Student Funded Programs</v>
      </c>
      <c r="B531" s="1" t="s">
        <v>2</v>
      </c>
      <c r="C531" s="1" t="s">
        <v>3</v>
      </c>
      <c r="D531" s="1" t="s">
        <v>4</v>
      </c>
      <c r="E531" s="1" t="s">
        <v>168</v>
      </c>
      <c r="F531" s="1" t="s">
        <v>29</v>
      </c>
      <c r="H531" s="1" t="str">
        <f>VLOOKUP(F531,'[2]DX.OTHER.9.30.06 DETAIL'!$H$1:$J$65536,3,FALSE)</f>
        <v>Exp-Salary &amp; Benefits</v>
      </c>
      <c r="I531" s="1">
        <v>0</v>
      </c>
      <c r="J531" s="2">
        <v>4.32</v>
      </c>
      <c r="K531" s="2">
        <v>0</v>
      </c>
      <c r="L531" s="2">
        <v>-4.32</v>
      </c>
      <c r="M531" s="2">
        <v>0</v>
      </c>
      <c r="N531" s="1" t="str">
        <f>VLOOKUP(E531,'[1]ORG CODES'!$A:$C,3,FALSE)</f>
        <v>3462   INTERNATIONAL CLUB</v>
      </c>
    </row>
    <row r="532" spans="1:14" ht="14.45" hidden="1" x14ac:dyDescent="0.3">
      <c r="A532" t="str">
        <f>VLOOKUP(E532,'[1]ORG CODES'!$A:$B,2,FALSE)</f>
        <v>Student Funded Programs</v>
      </c>
      <c r="B532" s="1" t="s">
        <v>2</v>
      </c>
      <c r="C532" s="1" t="s">
        <v>3</v>
      </c>
      <c r="D532" s="1" t="s">
        <v>4</v>
      </c>
      <c r="E532" s="1" t="s">
        <v>170</v>
      </c>
      <c r="F532" s="1" t="s">
        <v>29</v>
      </c>
      <c r="H532" s="1" t="str">
        <f>VLOOKUP(F532,'[2]DX.OTHER.9.30.06 DETAIL'!$H$1:$J$65536,3,FALSE)</f>
        <v>Exp-Salary &amp; Benefits</v>
      </c>
      <c r="I532" s="1">
        <v>0</v>
      </c>
      <c r="J532" s="2">
        <v>0.85</v>
      </c>
      <c r="K532" s="2">
        <v>0</v>
      </c>
      <c r="L532" s="2">
        <v>-0.85</v>
      </c>
      <c r="M532" s="2">
        <v>0</v>
      </c>
      <c r="N532" s="1" t="str">
        <f>VLOOKUP(E532,'[1]ORG CODES'!$A:$C,3,FALSE)</f>
        <v>3464   JAZZ PRESENTS</v>
      </c>
    </row>
    <row r="533" spans="1:14" ht="14.45" hidden="1" x14ac:dyDescent="0.3">
      <c r="A533" t="str">
        <f>VLOOKUP(E533,'[1]ORG CODES'!$A:$B,2,FALSE)</f>
        <v>Student Funded Programs</v>
      </c>
      <c r="B533" s="1" t="s">
        <v>2</v>
      </c>
      <c r="C533" s="1" t="s">
        <v>3</v>
      </c>
      <c r="D533" s="1" t="s">
        <v>4</v>
      </c>
      <c r="E533" s="1" t="s">
        <v>172</v>
      </c>
      <c r="F533" s="1" t="s">
        <v>29</v>
      </c>
      <c r="H533" s="1" t="str">
        <f>VLOOKUP(F533,'[2]DX.OTHER.9.30.06 DETAIL'!$H$1:$J$65536,3,FALSE)</f>
        <v>Exp-Salary &amp; Benefits</v>
      </c>
      <c r="I533" s="1">
        <v>0</v>
      </c>
      <c r="J533" s="2">
        <v>7.05</v>
      </c>
      <c r="K533" s="2">
        <v>0</v>
      </c>
      <c r="L533" s="2">
        <v>-7.05</v>
      </c>
      <c r="M533" s="2">
        <v>0</v>
      </c>
      <c r="N533" s="1" t="str">
        <f>VLOOKUP(E533,'[1]ORG CODES'!$A:$C,3,FALSE)</f>
        <v>3465   RED NATIONS ASSOC</v>
      </c>
    </row>
    <row r="534" spans="1:14" ht="14.45" hidden="1" x14ac:dyDescent="0.3">
      <c r="A534" t="str">
        <f>VLOOKUP(E534,'[1]ORG CODES'!$A:$B,2,FALSE)</f>
        <v>Student Funded Programs</v>
      </c>
      <c r="B534" s="1" t="s">
        <v>2</v>
      </c>
      <c r="C534" s="1" t="s">
        <v>3</v>
      </c>
      <c r="D534" s="1" t="s">
        <v>4</v>
      </c>
      <c r="E534" s="1" t="s">
        <v>176</v>
      </c>
      <c r="F534" s="1" t="s">
        <v>29</v>
      </c>
      <c r="H534" s="1" t="str">
        <f>VLOOKUP(F534,'[2]DX.OTHER.9.30.06 DETAIL'!$H$1:$J$65536,3,FALSE)</f>
        <v>Exp-Salary &amp; Benefits</v>
      </c>
      <c r="I534" s="1">
        <v>0</v>
      </c>
      <c r="J534" s="2">
        <v>1.08</v>
      </c>
      <c r="K534" s="2">
        <v>0</v>
      </c>
      <c r="L534" s="2">
        <v>-1.08</v>
      </c>
      <c r="M534" s="2">
        <v>0</v>
      </c>
      <c r="N534" s="1" t="str">
        <f>VLOOKUP(E534,'[1]ORG CODES'!$A:$C,3,FALSE)</f>
        <v>3466   SPANISH CLUB</v>
      </c>
    </row>
    <row r="535" spans="1:14" ht="14.45" hidden="1" x14ac:dyDescent="0.3">
      <c r="A535" t="str">
        <f>VLOOKUP(E535,'[1]ORG CODES'!$A:$B,2,FALSE)</f>
        <v>Student Funded Programs</v>
      </c>
      <c r="B535" s="1" t="s">
        <v>2</v>
      </c>
      <c r="C535" s="1" t="s">
        <v>3</v>
      </c>
      <c r="D535" s="1" t="s">
        <v>4</v>
      </c>
      <c r="E535" s="1" t="s">
        <v>178</v>
      </c>
      <c r="F535" s="1" t="s">
        <v>29</v>
      </c>
      <c r="H535" s="1" t="str">
        <f>VLOOKUP(F535,'[2]DX.OTHER.9.30.06 DETAIL'!$H$1:$J$65536,3,FALSE)</f>
        <v>Exp-Salary &amp; Benefits</v>
      </c>
      <c r="I535" s="1">
        <v>0</v>
      </c>
      <c r="J535" s="2">
        <v>1.44</v>
      </c>
      <c r="K535" s="2">
        <v>0</v>
      </c>
      <c r="L535" s="2">
        <v>-1.44</v>
      </c>
      <c r="M535" s="2">
        <v>0</v>
      </c>
      <c r="N535" s="1" t="str">
        <f>VLOOKUP(E535,'[1]ORG CODES'!$A:$C,3,FALSE)</f>
        <v>3468   WELLNESS CLUB</v>
      </c>
    </row>
    <row r="536" spans="1:14" ht="14.45" hidden="1" x14ac:dyDescent="0.3">
      <c r="A536" t="str">
        <f>VLOOKUP(E536,'[1]ORG CODES'!$A:$B,2,FALSE)</f>
        <v>Student Funded Programs</v>
      </c>
      <c r="B536" s="1" t="s">
        <v>2</v>
      </c>
      <c r="C536" s="1" t="s">
        <v>3</v>
      </c>
      <c r="D536" s="1" t="s">
        <v>4</v>
      </c>
      <c r="E536" s="1" t="s">
        <v>89</v>
      </c>
      <c r="F536" s="1" t="s">
        <v>90</v>
      </c>
      <c r="H536" s="1" t="str">
        <f>VLOOKUP(F536,'[2]DX.OTHER.9.30.06 DETAIL'!$H$1:$J$65536,3,FALSE)</f>
        <v>Exp-Scholarships</v>
      </c>
      <c r="I536" s="1">
        <v>0</v>
      </c>
      <c r="J536" s="2">
        <v>65894.5</v>
      </c>
      <c r="K536" s="2">
        <v>0</v>
      </c>
      <c r="L536" s="2">
        <v>-65894.5</v>
      </c>
      <c r="M536" s="2">
        <v>0</v>
      </c>
      <c r="N536" s="1" t="str">
        <f>VLOOKUP(E536,'[1]ORG CODES'!$A:$C,3,FALSE)</f>
        <v>3383   S&amp;A FINANCIAL AID</v>
      </c>
    </row>
    <row r="537" spans="1:14" ht="14.45" hidden="1" x14ac:dyDescent="0.3">
      <c r="A537" t="str">
        <f>VLOOKUP(E537,'[1]ORG CODES'!$A:$B,2,FALSE)</f>
        <v>Student Funded Programs</v>
      </c>
      <c r="B537" s="1" t="s">
        <v>2</v>
      </c>
      <c r="C537" s="1" t="s">
        <v>3</v>
      </c>
      <c r="D537" s="1" t="s">
        <v>4</v>
      </c>
      <c r="E537" s="1" t="s">
        <v>38</v>
      </c>
      <c r="F537" s="1" t="s">
        <v>44</v>
      </c>
      <c r="H537" s="1" t="str">
        <f>VLOOKUP(F537,'[2]DX.OTHER.9.30.06 DETAIL'!$H$1:$J$65536,3,FALSE)</f>
        <v>Exp-Travel</v>
      </c>
      <c r="I537" s="1">
        <v>0</v>
      </c>
      <c r="J537" s="2">
        <v>0</v>
      </c>
      <c r="K537" s="2">
        <v>0</v>
      </c>
      <c r="L537" s="2">
        <v>0</v>
      </c>
      <c r="M537" s="2">
        <v>0</v>
      </c>
      <c r="N537" s="1" t="str">
        <f>VLOOKUP(E537,'[1]ORG CODES'!$A:$C,3,FALSE)</f>
        <v>3329   SPEECH &amp; DEBATE CLUB</v>
      </c>
    </row>
    <row r="538" spans="1:14" ht="14.45" hidden="1" x14ac:dyDescent="0.3">
      <c r="A538" t="str">
        <f>VLOOKUP(E538,'[1]ORG CODES'!$A:$B,2,FALSE)</f>
        <v>Student Funded Programs</v>
      </c>
      <c r="B538" s="1" t="s">
        <v>2</v>
      </c>
      <c r="C538" s="1" t="s">
        <v>3</v>
      </c>
      <c r="D538" s="1" t="s">
        <v>4</v>
      </c>
      <c r="E538" s="1" t="s">
        <v>46</v>
      </c>
      <c r="F538" s="1" t="s">
        <v>44</v>
      </c>
      <c r="H538" s="1" t="str">
        <f>VLOOKUP(F538,'[2]DX.OTHER.9.30.06 DETAIL'!$H$1:$J$65536,3,FALSE)</f>
        <v>Exp-Travel</v>
      </c>
      <c r="I538" s="1">
        <v>0</v>
      </c>
      <c r="J538" s="2">
        <v>0</v>
      </c>
      <c r="K538" s="2">
        <v>0</v>
      </c>
      <c r="L538" s="2">
        <v>0</v>
      </c>
      <c r="M538" s="2">
        <v>0</v>
      </c>
      <c r="N538" s="1" t="str">
        <f>VLOOKUP(E538,'[1]ORG CODES'!$A:$C,3,FALSE)</f>
        <v>3330   GRAPHIC DESIGN</v>
      </c>
    </row>
    <row r="539" spans="1:14" ht="14.45" hidden="1" x14ac:dyDescent="0.3">
      <c r="A539" t="str">
        <f>VLOOKUP(E539,'[1]ORG CODES'!$A:$B,2,FALSE)</f>
        <v>Student Funded Programs</v>
      </c>
      <c r="B539" s="1" t="s">
        <v>2</v>
      </c>
      <c r="C539" s="1" t="s">
        <v>3</v>
      </c>
      <c r="D539" s="1" t="s">
        <v>4</v>
      </c>
      <c r="E539" s="1" t="s">
        <v>65</v>
      </c>
      <c r="F539" s="1" t="s">
        <v>44</v>
      </c>
      <c r="H539" s="1" t="str">
        <f>VLOOKUP(F539,'[2]DX.OTHER.9.30.06 DETAIL'!$H$1:$J$65536,3,FALSE)</f>
        <v>Exp-Travel</v>
      </c>
      <c r="I539" s="1">
        <v>0</v>
      </c>
      <c r="J539" s="2">
        <v>0</v>
      </c>
      <c r="K539" s="2">
        <v>0</v>
      </c>
      <c r="L539" s="2">
        <v>0</v>
      </c>
      <c r="M539" s="2">
        <v>0</v>
      </c>
      <c r="N539" s="1" t="str">
        <f>VLOOKUP(E539,'[1]ORG CODES'!$A:$C,3,FALSE)</f>
        <v>3354   CONCERT BAND</v>
      </c>
    </row>
    <row r="540" spans="1:14" ht="14.45" hidden="1" x14ac:dyDescent="0.3">
      <c r="A540" t="str">
        <f>VLOOKUP(E540,'[1]ORG CODES'!$A:$B,2,FALSE)</f>
        <v>Student Funded Programs</v>
      </c>
      <c r="B540" s="1" t="s">
        <v>2</v>
      </c>
      <c r="C540" s="1" t="s">
        <v>3</v>
      </c>
      <c r="D540" s="1" t="s">
        <v>4</v>
      </c>
      <c r="E540" s="1" t="s">
        <v>68</v>
      </c>
      <c r="F540" s="1" t="s">
        <v>44</v>
      </c>
      <c r="H540" s="1" t="str">
        <f>VLOOKUP(F540,'[2]DX.OTHER.9.30.06 DETAIL'!$H$1:$J$65536,3,FALSE)</f>
        <v>Exp-Travel</v>
      </c>
      <c r="I540" s="1">
        <v>0</v>
      </c>
      <c r="J540" s="2">
        <v>0</v>
      </c>
      <c r="K540" s="2">
        <v>0</v>
      </c>
      <c r="L540" s="2">
        <v>0</v>
      </c>
      <c r="M540" s="2">
        <v>0</v>
      </c>
      <c r="N540" s="1" t="str">
        <f>VLOOKUP(E540,'[1]ORG CODES'!$A:$C,3,FALSE)</f>
        <v>3355   CHORAL MUSIC</v>
      </c>
    </row>
    <row r="541" spans="1:14" ht="14.45" hidden="1" x14ac:dyDescent="0.3">
      <c r="A541" t="str">
        <f>VLOOKUP(E541,'[1]ORG CODES'!$A:$B,2,FALSE)</f>
        <v>Student Funded Programs</v>
      </c>
      <c r="B541" s="1" t="s">
        <v>2</v>
      </c>
      <c r="C541" s="1" t="s">
        <v>3</v>
      </c>
      <c r="D541" s="1" t="s">
        <v>4</v>
      </c>
      <c r="E541" s="1" t="s">
        <v>71</v>
      </c>
      <c r="F541" s="1" t="s">
        <v>44</v>
      </c>
      <c r="H541" s="1" t="str">
        <f>VLOOKUP(F541,'[2]DX.OTHER.9.30.06 DETAIL'!$H$1:$J$65536,3,FALSE)</f>
        <v>Exp-Travel</v>
      </c>
      <c r="I541" s="1">
        <v>0</v>
      </c>
      <c r="J541" s="2">
        <v>0</v>
      </c>
      <c r="K541" s="2">
        <v>0</v>
      </c>
      <c r="L541" s="2">
        <v>0</v>
      </c>
      <c r="M541" s="2">
        <v>0</v>
      </c>
      <c r="N541" s="1" t="str">
        <f>VLOOKUP(E541,'[1]ORG CODES'!$A:$C,3,FALSE)</f>
        <v>3356   STAGE BAND/COMBO</v>
      </c>
    </row>
    <row r="542" spans="1:14" ht="14.45" hidden="1" x14ac:dyDescent="0.3">
      <c r="A542" t="str">
        <f>VLOOKUP(E542,'[1]ORG CODES'!$A:$B,2,FALSE)</f>
        <v>Student Funded Programs</v>
      </c>
      <c r="B542" s="1" t="s">
        <v>2</v>
      </c>
      <c r="C542" s="1" t="s">
        <v>3</v>
      </c>
      <c r="D542" s="1" t="s">
        <v>4</v>
      </c>
      <c r="E542" s="1" t="s">
        <v>72</v>
      </c>
      <c r="F542" s="1" t="s">
        <v>44</v>
      </c>
      <c r="H542" s="1" t="str">
        <f>VLOOKUP(F542,'[2]DX.OTHER.9.30.06 DETAIL'!$H$1:$J$65536,3,FALSE)</f>
        <v>Exp-Travel</v>
      </c>
      <c r="I542" s="1">
        <v>0</v>
      </c>
      <c r="J542" s="2">
        <v>0</v>
      </c>
      <c r="K542" s="2">
        <v>0</v>
      </c>
      <c r="L542" s="2">
        <v>0</v>
      </c>
      <c r="M542" s="2">
        <v>0</v>
      </c>
      <c r="N542" s="1" t="str">
        <f>VLOOKUP(E542,'[1]ORG CODES'!$A:$C,3,FALSE)</f>
        <v>3357   PHOTO ARTS</v>
      </c>
    </row>
    <row r="543" spans="1:14" ht="14.45" hidden="1" x14ac:dyDescent="0.3">
      <c r="A543" t="str">
        <f>VLOOKUP(E543,'[1]ORG CODES'!$A:$B,2,FALSE)</f>
        <v>Student Funded Programs</v>
      </c>
      <c r="B543" s="1" t="s">
        <v>2</v>
      </c>
      <c r="C543" s="1" t="s">
        <v>3</v>
      </c>
      <c r="D543" s="1" t="s">
        <v>4</v>
      </c>
      <c r="E543" s="1" t="s">
        <v>75</v>
      </c>
      <c r="F543" s="1" t="s">
        <v>44</v>
      </c>
      <c r="H543" s="1" t="str">
        <f>VLOOKUP(F543,'[2]DX.OTHER.9.30.06 DETAIL'!$H$1:$J$65536,3,FALSE)</f>
        <v>Exp-Travel</v>
      </c>
      <c r="I543" s="1">
        <v>0</v>
      </c>
      <c r="J543" s="2">
        <v>0</v>
      </c>
      <c r="K543" s="2">
        <v>0</v>
      </c>
      <c r="L543" s="2">
        <v>0</v>
      </c>
      <c r="M543" s="2">
        <v>0</v>
      </c>
      <c r="N543" s="1" t="str">
        <f>VLOOKUP(E543,'[1]ORG CODES'!$A:$C,3,FALSE)</f>
        <v>3363   ART GALLERY &amp; EXHIB</v>
      </c>
    </row>
    <row r="544" spans="1:14" ht="14.45" hidden="1" x14ac:dyDescent="0.3">
      <c r="A544" t="str">
        <f>VLOOKUP(E544,'[1]ORG CODES'!$A:$B,2,FALSE)</f>
        <v>Student Funded Programs</v>
      </c>
      <c r="B544" s="1" t="s">
        <v>2</v>
      </c>
      <c r="C544" s="1" t="s">
        <v>3</v>
      </c>
      <c r="D544" s="1" t="s">
        <v>4</v>
      </c>
      <c r="E544" s="1" t="s">
        <v>77</v>
      </c>
      <c r="F544" s="1" t="s">
        <v>44</v>
      </c>
      <c r="H544" s="1" t="str">
        <f>VLOOKUP(F544,'[2]DX.OTHER.9.30.06 DETAIL'!$H$1:$J$65536,3,FALSE)</f>
        <v>Exp-Travel</v>
      </c>
      <c r="I544" s="1">
        <v>0</v>
      </c>
      <c r="J544" s="2">
        <v>0</v>
      </c>
      <c r="K544" s="2">
        <v>0</v>
      </c>
      <c r="L544" s="2">
        <v>0</v>
      </c>
      <c r="M544" s="2">
        <v>0</v>
      </c>
      <c r="N544" s="1" t="str">
        <f>VLOOKUP(E544,'[1]ORG CODES'!$A:$C,3,FALSE)</f>
        <v>3367   RECREATION SOCIETY</v>
      </c>
    </row>
    <row r="545" spans="1:14" ht="14.45" hidden="1" x14ac:dyDescent="0.3">
      <c r="A545" t="str">
        <f>VLOOKUP(E545,'[1]ORG CODES'!$A:$B,2,FALSE)</f>
        <v>Student Funded Programs</v>
      </c>
      <c r="B545" s="1" t="s">
        <v>2</v>
      </c>
      <c r="C545" s="1" t="s">
        <v>3</v>
      </c>
      <c r="D545" s="1" t="s">
        <v>4</v>
      </c>
      <c r="E545" s="1" t="s">
        <v>79</v>
      </c>
      <c r="F545" s="1" t="s">
        <v>44</v>
      </c>
      <c r="H545" s="1" t="str">
        <f>VLOOKUP(F545,'[2]DX.OTHER.9.30.06 DETAIL'!$H$1:$J$65536,3,FALSE)</f>
        <v>Exp-Travel</v>
      </c>
      <c r="I545" s="1">
        <v>0</v>
      </c>
      <c r="J545" s="2">
        <v>0</v>
      </c>
      <c r="K545" s="2">
        <v>0</v>
      </c>
      <c r="L545" s="2">
        <v>0</v>
      </c>
      <c r="M545" s="2">
        <v>0</v>
      </c>
      <c r="N545" s="1" t="str">
        <f>VLOOKUP(E545,'[1]ORG CODES'!$A:$C,3,FALSE)</f>
        <v>3369   COMMUNICATOR-NEWSPPR</v>
      </c>
    </row>
    <row r="546" spans="1:14" ht="14.45" hidden="1" x14ac:dyDescent="0.3">
      <c r="A546" t="str">
        <f>VLOOKUP(E546,'[1]ORG CODES'!$A:$B,2,FALSE)</f>
        <v>Student Funded Programs</v>
      </c>
      <c r="B546" s="1" t="s">
        <v>2</v>
      </c>
      <c r="C546" s="1" t="s">
        <v>3</v>
      </c>
      <c r="D546" s="1" t="s">
        <v>4</v>
      </c>
      <c r="E546" s="1" t="s">
        <v>80</v>
      </c>
      <c r="F546" s="1" t="s">
        <v>44</v>
      </c>
      <c r="H546" s="1" t="str">
        <f>VLOOKUP(F546,'[2]DX.OTHER.9.30.06 DETAIL'!$H$1:$J$65536,3,FALSE)</f>
        <v>Exp-Travel</v>
      </c>
      <c r="I546" s="1">
        <v>0</v>
      </c>
      <c r="J546" s="2">
        <v>0</v>
      </c>
      <c r="K546" s="2">
        <v>0</v>
      </c>
      <c r="L546" s="2">
        <v>0</v>
      </c>
      <c r="M546" s="2">
        <v>0</v>
      </c>
      <c r="N546" s="1" t="str">
        <f>VLOOKUP(E546,'[1]ORG CODES'!$A:$C,3,FALSE)</f>
        <v>3370   BETA GAMMA KAPPA</v>
      </c>
    </row>
    <row r="547" spans="1:14" ht="14.45" hidden="1" x14ac:dyDescent="0.3">
      <c r="A547" t="str">
        <f>VLOOKUP(E547,'[1]ORG CODES'!$A:$B,2,FALSE)</f>
        <v>Student Funded Programs</v>
      </c>
      <c r="B547" s="1" t="s">
        <v>2</v>
      </c>
      <c r="C547" s="1" t="s">
        <v>3</v>
      </c>
      <c r="D547" s="1" t="s">
        <v>4</v>
      </c>
      <c r="E547" s="1" t="s">
        <v>83</v>
      </c>
      <c r="F547" s="1" t="s">
        <v>44</v>
      </c>
      <c r="H547" s="1" t="str">
        <f>VLOOKUP(F547,'[2]DX.OTHER.9.30.06 DETAIL'!$H$1:$J$65536,3,FALSE)</f>
        <v>Exp-Travel</v>
      </c>
      <c r="I547" s="1">
        <v>0</v>
      </c>
      <c r="J547" s="2">
        <v>0</v>
      </c>
      <c r="K547" s="2">
        <v>0</v>
      </c>
      <c r="L547" s="2">
        <v>0</v>
      </c>
      <c r="M547" s="2">
        <v>0</v>
      </c>
      <c r="N547" s="1" t="str">
        <f>VLOOKUP(E547,'[1]ORG CODES'!$A:$C,3,FALSE)</f>
        <v>3372   STDNT PHYS THER ASST</v>
      </c>
    </row>
    <row r="548" spans="1:14" ht="14.45" hidden="1" x14ac:dyDescent="0.3">
      <c r="A548" t="str">
        <f>VLOOKUP(E548,'[1]ORG CODES'!$A:$B,2,FALSE)</f>
        <v>Student Funded Programs</v>
      </c>
      <c r="B548" s="1" t="s">
        <v>2</v>
      </c>
      <c r="C548" s="1" t="s">
        <v>3</v>
      </c>
      <c r="D548" s="1" t="s">
        <v>4</v>
      </c>
      <c r="E548" s="1" t="s">
        <v>92</v>
      </c>
      <c r="F548" s="1" t="s">
        <v>44</v>
      </c>
      <c r="H548" s="1" t="str">
        <f>VLOOKUP(F548,'[2]DX.OTHER.9.30.06 DETAIL'!$H$1:$J$65536,3,FALSE)</f>
        <v>Exp-Travel</v>
      </c>
      <c r="I548" s="1">
        <v>0</v>
      </c>
      <c r="J548" s="2">
        <v>0</v>
      </c>
      <c r="K548" s="2">
        <v>0</v>
      </c>
      <c r="L548" s="2">
        <v>0</v>
      </c>
      <c r="M548" s="2">
        <v>0</v>
      </c>
      <c r="N548" s="1" t="str">
        <f>VLOOKUP(E548,'[1]ORG CODES'!$A:$C,3,FALSE)</f>
        <v>3402   ASA CARRY OVER FUND</v>
      </c>
    </row>
    <row r="549" spans="1:14" ht="14.45" hidden="1" x14ac:dyDescent="0.3">
      <c r="A549" t="str">
        <f>VLOOKUP(E549,'[1]ORG CODES'!$A:$B,2,FALSE)</f>
        <v>Student Funded Programs</v>
      </c>
      <c r="B549" s="1" t="s">
        <v>2</v>
      </c>
      <c r="C549" s="1" t="s">
        <v>3</v>
      </c>
      <c r="D549" s="1" t="s">
        <v>4</v>
      </c>
      <c r="E549" s="1" t="s">
        <v>97</v>
      </c>
      <c r="F549" s="1" t="s">
        <v>44</v>
      </c>
      <c r="H549" s="1" t="str">
        <f>VLOOKUP(F549,'[2]DX.OTHER.9.30.06 DETAIL'!$H$1:$J$65536,3,FALSE)</f>
        <v>Exp-Travel</v>
      </c>
      <c r="I549" s="1">
        <v>0</v>
      </c>
      <c r="J549" s="2">
        <v>0</v>
      </c>
      <c r="K549" s="2">
        <v>0</v>
      </c>
      <c r="L549" s="2">
        <v>0</v>
      </c>
      <c r="M549" s="2">
        <v>0</v>
      </c>
      <c r="N549" s="1" t="str">
        <f>VLOOKUP(E549,'[1]ORG CODES'!$A:$C,3,FALSE)</f>
        <v>3405   SFC BUS PASS MATCH</v>
      </c>
    </row>
    <row r="550" spans="1:14" ht="14.45" hidden="1" x14ac:dyDescent="0.3">
      <c r="A550" t="str">
        <f>VLOOKUP(E550,'[1]ORG CODES'!$A:$B,2,FALSE)</f>
        <v>Student Funded Programs</v>
      </c>
      <c r="B550" s="1" t="s">
        <v>2</v>
      </c>
      <c r="C550" s="1" t="s">
        <v>3</v>
      </c>
      <c r="D550" s="1" t="s">
        <v>4</v>
      </c>
      <c r="E550" s="1" t="s">
        <v>103</v>
      </c>
      <c r="F550" s="1" t="s">
        <v>44</v>
      </c>
      <c r="H550" s="1" t="str">
        <f>VLOOKUP(F550,'[2]DX.OTHER.9.30.06 DETAIL'!$H$1:$J$65536,3,FALSE)</f>
        <v>Exp-Travel</v>
      </c>
      <c r="I550" s="1">
        <v>0</v>
      </c>
      <c r="J550" s="2">
        <v>0</v>
      </c>
      <c r="K550" s="2">
        <v>0</v>
      </c>
      <c r="L550" s="2">
        <v>0</v>
      </c>
      <c r="M550" s="2">
        <v>0</v>
      </c>
      <c r="N550" s="1" t="str">
        <f>VLOOKUP(E550,'[1]ORG CODES'!$A:$C,3,FALSE)</f>
        <v>3410   ASA GENERAL FUND</v>
      </c>
    </row>
    <row r="551" spans="1:14" ht="14.45" hidden="1" x14ac:dyDescent="0.3">
      <c r="A551" t="str">
        <f>VLOOKUP(E551,'[1]ORG CODES'!$A:$B,2,FALSE)</f>
        <v>Student Funded Programs</v>
      </c>
      <c r="B551" s="1" t="s">
        <v>2</v>
      </c>
      <c r="C551" s="1" t="s">
        <v>3</v>
      </c>
      <c r="D551" s="1" t="s">
        <v>4</v>
      </c>
      <c r="E551" s="1" t="s">
        <v>108</v>
      </c>
      <c r="F551" s="1" t="s">
        <v>44</v>
      </c>
      <c r="H551" s="1" t="str">
        <f>VLOOKUP(F551,'[2]DX.OTHER.9.30.06 DETAIL'!$H$1:$J$65536,3,FALSE)</f>
        <v>Exp-Travel</v>
      </c>
      <c r="I551" s="1">
        <v>378</v>
      </c>
      <c r="J551" s="2">
        <v>0</v>
      </c>
      <c r="K551" s="2">
        <v>0</v>
      </c>
      <c r="L551" s="2">
        <v>378</v>
      </c>
      <c r="M551" s="2">
        <v>0</v>
      </c>
      <c r="N551" s="1" t="str">
        <f>VLOOKUP(E551,'[1]ORG CODES'!$A:$C,3,FALSE)</f>
        <v>3413   LEGISLATIVE LIAISON</v>
      </c>
    </row>
    <row r="552" spans="1:14" ht="14.45" hidden="1" x14ac:dyDescent="0.3">
      <c r="A552" t="str">
        <f>VLOOKUP(E552,'[1]ORG CODES'!$A:$B,2,FALSE)</f>
        <v>Student Funded Programs</v>
      </c>
      <c r="B552" s="1" t="s">
        <v>2</v>
      </c>
      <c r="C552" s="1" t="s">
        <v>3</v>
      </c>
      <c r="D552" s="1" t="s">
        <v>4</v>
      </c>
      <c r="E552" s="1" t="s">
        <v>109</v>
      </c>
      <c r="F552" s="1" t="s">
        <v>44</v>
      </c>
      <c r="H552" s="1" t="str">
        <f>VLOOKUP(F552,'[2]DX.OTHER.9.30.06 DETAIL'!$H$1:$J$65536,3,FALSE)</f>
        <v>Exp-Travel</v>
      </c>
      <c r="I552" s="1">
        <v>0</v>
      </c>
      <c r="J552" s="2">
        <v>0</v>
      </c>
      <c r="K552" s="2">
        <v>0</v>
      </c>
      <c r="L552" s="2">
        <v>0</v>
      </c>
      <c r="M552" s="2">
        <v>0</v>
      </c>
      <c r="N552" s="1" t="str">
        <f>VLOOKUP(E552,'[1]ORG CODES'!$A:$C,3,FALSE)</f>
        <v>3414   CULTURAL SERIES</v>
      </c>
    </row>
    <row r="553" spans="1:14" ht="14.45" hidden="1" x14ac:dyDescent="0.3">
      <c r="A553" t="str">
        <f>VLOOKUP(E553,'[1]ORG CODES'!$A:$B,2,FALSE)</f>
        <v>Student Funded Programs</v>
      </c>
      <c r="B553" s="1" t="s">
        <v>2</v>
      </c>
      <c r="C553" s="1" t="s">
        <v>3</v>
      </c>
      <c r="D553" s="1" t="s">
        <v>4</v>
      </c>
      <c r="E553" s="1" t="s">
        <v>110</v>
      </c>
      <c r="F553" s="1" t="s">
        <v>44</v>
      </c>
      <c r="H553" s="1" t="str">
        <f>VLOOKUP(F553,'[2]DX.OTHER.9.30.06 DETAIL'!$H$1:$J$65536,3,FALSE)</f>
        <v>Exp-Travel</v>
      </c>
      <c r="I553" s="1">
        <v>0</v>
      </c>
      <c r="J553" s="2">
        <v>0</v>
      </c>
      <c r="K553" s="2">
        <v>0</v>
      </c>
      <c r="L553" s="2">
        <v>0</v>
      </c>
      <c r="M553" s="2">
        <v>0</v>
      </c>
      <c r="N553" s="1" t="str">
        <f>VLOOKUP(E553,'[1]ORG CODES'!$A:$C,3,FALSE)</f>
        <v>3415   SUPPLIES</v>
      </c>
    </row>
    <row r="554" spans="1:14" ht="14.45" hidden="1" x14ac:dyDescent="0.3">
      <c r="A554" t="str">
        <f>VLOOKUP(E554,'[1]ORG CODES'!$A:$B,2,FALSE)</f>
        <v>Student Funded Programs</v>
      </c>
      <c r="B554" s="1" t="s">
        <v>2</v>
      </c>
      <c r="C554" s="1" t="s">
        <v>3</v>
      </c>
      <c r="D554" s="1" t="s">
        <v>4</v>
      </c>
      <c r="E554" s="1" t="s">
        <v>112</v>
      </c>
      <c r="F554" s="1" t="s">
        <v>44</v>
      </c>
      <c r="H554" s="1" t="str">
        <f>VLOOKUP(F554,'[2]DX.OTHER.9.30.06 DETAIL'!$H$1:$J$65536,3,FALSE)</f>
        <v>Exp-Travel</v>
      </c>
      <c r="I554" s="1">
        <v>0</v>
      </c>
      <c r="J554" s="2">
        <v>0</v>
      </c>
      <c r="K554" s="2">
        <v>0</v>
      </c>
      <c r="L554" s="2">
        <v>0</v>
      </c>
      <c r="M554" s="2">
        <v>0</v>
      </c>
      <c r="N554" s="1" t="str">
        <f>VLOOKUP(E554,'[1]ORG CODES'!$A:$C,3,FALSE)</f>
        <v>3416   WORKSTUDY</v>
      </c>
    </row>
    <row r="555" spans="1:14" ht="14.45" hidden="1" x14ac:dyDescent="0.3">
      <c r="A555" t="str">
        <f>VLOOKUP(E555,'[1]ORG CODES'!$A:$B,2,FALSE)</f>
        <v>Student Funded Programs</v>
      </c>
      <c r="B555" s="1" t="s">
        <v>2</v>
      </c>
      <c r="C555" s="1" t="s">
        <v>3</v>
      </c>
      <c r="D555" s="1" t="s">
        <v>4</v>
      </c>
      <c r="E555" s="1" t="s">
        <v>114</v>
      </c>
      <c r="F555" s="1" t="s">
        <v>44</v>
      </c>
      <c r="H555" s="1" t="str">
        <f>VLOOKUP(F555,'[2]DX.OTHER.9.30.06 DETAIL'!$H$1:$J$65536,3,FALSE)</f>
        <v>Exp-Travel</v>
      </c>
      <c r="I555" s="1">
        <v>18400</v>
      </c>
      <c r="J555" s="2">
        <v>0</v>
      </c>
      <c r="K555" s="2">
        <v>0</v>
      </c>
      <c r="L555" s="2">
        <v>18400</v>
      </c>
      <c r="M555" s="2">
        <v>0</v>
      </c>
      <c r="N555" s="1" t="str">
        <f>VLOOKUP(E555,'[1]ORG CODES'!$A:$C,3,FALSE)</f>
        <v>3417   TRAVEL</v>
      </c>
    </row>
    <row r="556" spans="1:14" ht="14.45" hidden="1" x14ac:dyDescent="0.3">
      <c r="A556" t="str">
        <f>VLOOKUP(E556,'[1]ORG CODES'!$A:$B,2,FALSE)</f>
        <v>Student Funded Programs</v>
      </c>
      <c r="B556" s="1" t="s">
        <v>2</v>
      </c>
      <c r="C556" s="1" t="s">
        <v>3</v>
      </c>
      <c r="D556" s="1" t="s">
        <v>4</v>
      </c>
      <c r="E556" s="1" t="s">
        <v>115</v>
      </c>
      <c r="F556" s="1" t="s">
        <v>44</v>
      </c>
      <c r="H556" s="1" t="str">
        <f>VLOOKUP(F556,'[2]DX.OTHER.9.30.06 DETAIL'!$H$1:$J$65536,3,FALSE)</f>
        <v>Exp-Travel</v>
      </c>
      <c r="I556" s="1">
        <v>0</v>
      </c>
      <c r="J556" s="2">
        <v>0</v>
      </c>
      <c r="K556" s="2">
        <v>0</v>
      </c>
      <c r="L556" s="2">
        <v>0</v>
      </c>
      <c r="M556" s="2">
        <v>0</v>
      </c>
      <c r="N556" s="1" t="str">
        <f>VLOOKUP(E556,'[1]ORG CODES'!$A:$C,3,FALSE)</f>
        <v>3418   FOOD BANK</v>
      </c>
    </row>
    <row r="557" spans="1:14" ht="14.45" hidden="1" x14ac:dyDescent="0.3">
      <c r="A557" t="str">
        <f>VLOOKUP(E557,'[1]ORG CODES'!$A:$B,2,FALSE)</f>
        <v>Student Funded Programs</v>
      </c>
      <c r="B557" s="1" t="s">
        <v>2</v>
      </c>
      <c r="C557" s="1" t="s">
        <v>3</v>
      </c>
      <c r="D557" s="1" t="s">
        <v>4</v>
      </c>
      <c r="E557" s="1" t="s">
        <v>117</v>
      </c>
      <c r="F557" s="1" t="s">
        <v>44</v>
      </c>
      <c r="H557" s="1" t="str">
        <f>VLOOKUP(F557,'[2]DX.OTHER.9.30.06 DETAIL'!$H$1:$J$65536,3,FALSE)</f>
        <v>Exp-Travel</v>
      </c>
      <c r="I557" s="1">
        <v>0</v>
      </c>
      <c r="J557" s="2">
        <v>0</v>
      </c>
      <c r="K557" s="2">
        <v>0</v>
      </c>
      <c r="L557" s="2">
        <v>0</v>
      </c>
      <c r="M557" s="2">
        <v>0</v>
      </c>
      <c r="N557" s="1" t="str">
        <f>VLOOKUP(E557,'[1]ORG CODES'!$A:$C,3,FALSE)</f>
        <v>3420   SPECIAL EVENTS</v>
      </c>
    </row>
    <row r="558" spans="1:14" ht="14.45" hidden="1" x14ac:dyDescent="0.3">
      <c r="A558" t="str">
        <f>VLOOKUP(E558,'[1]ORG CODES'!$A:$B,2,FALSE)</f>
        <v>Student Funded Programs</v>
      </c>
      <c r="B558" s="1" t="s">
        <v>2</v>
      </c>
      <c r="C558" s="1" t="s">
        <v>3</v>
      </c>
      <c r="D558" s="1" t="s">
        <v>4</v>
      </c>
      <c r="E558" s="1" t="s">
        <v>118</v>
      </c>
      <c r="F558" s="1" t="s">
        <v>44</v>
      </c>
      <c r="H558" s="1" t="str">
        <f>VLOOKUP(F558,'[2]DX.OTHER.9.30.06 DETAIL'!$H$1:$J$65536,3,FALSE)</f>
        <v>Exp-Travel</v>
      </c>
      <c r="I558" s="1">
        <v>0</v>
      </c>
      <c r="J558" s="2">
        <v>0</v>
      </c>
      <c r="K558" s="2">
        <v>0</v>
      </c>
      <c r="L558" s="2">
        <v>0</v>
      </c>
      <c r="M558" s="2">
        <v>0</v>
      </c>
      <c r="N558" s="1" t="str">
        <f>VLOOKUP(E558,'[1]ORG CODES'!$A:$C,3,FALSE)</f>
        <v>3421   CONCERTS/COMEDY</v>
      </c>
    </row>
    <row r="559" spans="1:14" ht="14.45" hidden="1" x14ac:dyDescent="0.3">
      <c r="A559" t="str">
        <f>VLOOKUP(E559,'[1]ORG CODES'!$A:$B,2,FALSE)</f>
        <v>Student Funded Programs</v>
      </c>
      <c r="B559" s="1" t="s">
        <v>2</v>
      </c>
      <c r="C559" s="1" t="s">
        <v>3</v>
      </c>
      <c r="D559" s="1" t="s">
        <v>4</v>
      </c>
      <c r="E559" s="1" t="s">
        <v>121</v>
      </c>
      <c r="F559" s="1" t="s">
        <v>44</v>
      </c>
      <c r="H559" s="1" t="str">
        <f>VLOOKUP(F559,'[2]DX.OTHER.9.30.06 DETAIL'!$H$1:$J$65536,3,FALSE)</f>
        <v>Exp-Travel</v>
      </c>
      <c r="I559" s="1">
        <v>0</v>
      </c>
      <c r="J559" s="2">
        <v>0</v>
      </c>
      <c r="K559" s="2">
        <v>0</v>
      </c>
      <c r="L559" s="2">
        <v>0</v>
      </c>
      <c r="M559" s="2">
        <v>0</v>
      </c>
      <c r="N559" s="1" t="str">
        <f>VLOOKUP(E559,'[1]ORG CODES'!$A:$C,3,FALSE)</f>
        <v>3424   SPEAKERS/SEMINARS</v>
      </c>
    </row>
    <row r="560" spans="1:14" ht="14.45" hidden="1" x14ac:dyDescent="0.3">
      <c r="A560" t="str">
        <f>VLOOKUP(E560,'[1]ORG CODES'!$A:$B,2,FALSE)</f>
        <v>Student Funded Programs</v>
      </c>
      <c r="B560" s="1" t="s">
        <v>2</v>
      </c>
      <c r="C560" s="1" t="s">
        <v>3</v>
      </c>
      <c r="D560" s="1" t="s">
        <v>4</v>
      </c>
      <c r="E560" s="1" t="s">
        <v>122</v>
      </c>
      <c r="F560" s="1" t="s">
        <v>44</v>
      </c>
      <c r="H560" s="1" t="str">
        <f>VLOOKUP(F560,'[2]DX.OTHER.9.30.06 DETAIL'!$H$1:$J$65536,3,FALSE)</f>
        <v>Exp-Travel</v>
      </c>
      <c r="I560" s="1">
        <v>0</v>
      </c>
      <c r="J560" s="2">
        <v>0</v>
      </c>
      <c r="K560" s="2">
        <v>0</v>
      </c>
      <c r="L560" s="2">
        <v>0</v>
      </c>
      <c r="M560" s="2">
        <v>0</v>
      </c>
      <c r="N560" s="1" t="str">
        <f>VLOOKUP(E560,'[1]ORG CODES'!$A:$C,3,FALSE)</f>
        <v>3425   OUTREACH EDUCATION</v>
      </c>
    </row>
    <row r="561" spans="1:14" ht="14.45" hidden="1" x14ac:dyDescent="0.3">
      <c r="A561" t="str">
        <f>VLOOKUP(E561,'[1]ORG CODES'!$A:$B,2,FALSE)</f>
        <v>Student Funded Programs</v>
      </c>
      <c r="B561" s="1" t="s">
        <v>2</v>
      </c>
      <c r="C561" s="1" t="s">
        <v>3</v>
      </c>
      <c r="D561" s="1" t="s">
        <v>4</v>
      </c>
      <c r="E561" s="1" t="s">
        <v>123</v>
      </c>
      <c r="F561" s="1" t="s">
        <v>44</v>
      </c>
      <c r="H561" s="1" t="str">
        <f>VLOOKUP(F561,'[2]DX.OTHER.9.30.06 DETAIL'!$H$1:$J$65536,3,FALSE)</f>
        <v>Exp-Travel</v>
      </c>
      <c r="I561" s="1">
        <v>0</v>
      </c>
      <c r="J561" s="2">
        <v>0</v>
      </c>
      <c r="K561" s="2">
        <v>0</v>
      </c>
      <c r="L561" s="2">
        <v>0</v>
      </c>
      <c r="M561" s="2">
        <v>0</v>
      </c>
      <c r="N561" s="1" t="str">
        <f>VLOOKUP(E561,'[1]ORG CODES'!$A:$C,3,FALSE)</f>
        <v>3426   EQUIPMENT</v>
      </c>
    </row>
    <row r="562" spans="1:14" ht="14.45" hidden="1" x14ac:dyDescent="0.3">
      <c r="A562" t="str">
        <f>VLOOKUP(E562,'[1]ORG CODES'!$A:$B,2,FALSE)</f>
        <v>Student Funded Programs</v>
      </c>
      <c r="B562" s="1" t="s">
        <v>2</v>
      </c>
      <c r="C562" s="1" t="s">
        <v>3</v>
      </c>
      <c r="D562" s="1" t="s">
        <v>4</v>
      </c>
      <c r="E562" s="1" t="s">
        <v>127</v>
      </c>
      <c r="F562" s="1" t="s">
        <v>44</v>
      </c>
      <c r="H562" s="1" t="str">
        <f>VLOOKUP(F562,'[2]DX.OTHER.9.30.06 DETAIL'!$H$1:$J$65536,3,FALSE)</f>
        <v>Exp-Travel</v>
      </c>
      <c r="I562" s="1">
        <v>0</v>
      </c>
      <c r="J562" s="2">
        <v>0</v>
      </c>
      <c r="K562" s="2">
        <v>0</v>
      </c>
      <c r="L562" s="2">
        <v>0</v>
      </c>
      <c r="M562" s="2">
        <v>0</v>
      </c>
      <c r="N562" s="1" t="str">
        <f>VLOOKUP(E562,'[1]ORG CODES'!$A:$C,3,FALSE)</f>
        <v>3430   STUDENT MEDIA LAB</v>
      </c>
    </row>
    <row r="563" spans="1:14" ht="14.45" hidden="1" x14ac:dyDescent="0.3">
      <c r="A563" t="str">
        <f>VLOOKUP(E563,'[1]ORG CODES'!$A:$B,2,FALSE)</f>
        <v>Student Funded Programs</v>
      </c>
      <c r="B563" s="1" t="s">
        <v>2</v>
      </c>
      <c r="C563" s="1" t="s">
        <v>3</v>
      </c>
      <c r="D563" s="1" t="s">
        <v>4</v>
      </c>
      <c r="E563" s="1" t="s">
        <v>130</v>
      </c>
      <c r="F563" s="1" t="s">
        <v>44</v>
      </c>
      <c r="H563" s="1" t="str">
        <f>VLOOKUP(F563,'[2]DX.OTHER.9.30.06 DETAIL'!$H$1:$J$65536,3,FALSE)</f>
        <v>Exp-Travel</v>
      </c>
      <c r="I563" s="1">
        <v>0</v>
      </c>
      <c r="J563" s="2">
        <v>0</v>
      </c>
      <c r="K563" s="2">
        <v>0</v>
      </c>
      <c r="L563" s="2">
        <v>0</v>
      </c>
      <c r="M563" s="2">
        <v>0</v>
      </c>
      <c r="N563" s="1" t="str">
        <f>VLOOKUP(E563,'[1]ORG CODES'!$A:$C,3,FALSE)</f>
        <v>3433   ANIME CLUB</v>
      </c>
    </row>
    <row r="564" spans="1:14" ht="14.45" hidden="1" x14ac:dyDescent="0.3">
      <c r="A564" t="str">
        <f>VLOOKUP(E564,'[1]ORG CODES'!$A:$B,2,FALSE)</f>
        <v>Student Funded Programs</v>
      </c>
      <c r="B564" s="1" t="s">
        <v>2</v>
      </c>
      <c r="C564" s="1" t="s">
        <v>3</v>
      </c>
      <c r="D564" s="1" t="s">
        <v>4</v>
      </c>
      <c r="E564" s="1" t="s">
        <v>132</v>
      </c>
      <c r="F564" s="1" t="s">
        <v>44</v>
      </c>
      <c r="H564" s="1" t="str">
        <f>VLOOKUP(F564,'[2]DX.OTHER.9.30.06 DETAIL'!$H$1:$J$65536,3,FALSE)</f>
        <v>Exp-Travel</v>
      </c>
      <c r="I564" s="1">
        <v>0</v>
      </c>
      <c r="J564" s="2">
        <v>0</v>
      </c>
      <c r="K564" s="2">
        <v>0</v>
      </c>
      <c r="L564" s="2">
        <v>0</v>
      </c>
      <c r="M564" s="2">
        <v>0</v>
      </c>
      <c r="N564" s="1" t="str">
        <f>VLOOKUP(E564,'[1]ORG CODES'!$A:$C,3,FALSE)</f>
        <v>3435   BLACK STUDENT UNION</v>
      </c>
    </row>
    <row r="565" spans="1:14" ht="14.45" hidden="1" x14ac:dyDescent="0.3">
      <c r="A565" t="str">
        <f>VLOOKUP(E565,'[1]ORG CODES'!$A:$B,2,FALSE)</f>
        <v>Student Funded Programs</v>
      </c>
      <c r="B565" s="1" t="s">
        <v>2</v>
      </c>
      <c r="C565" s="1" t="s">
        <v>3</v>
      </c>
      <c r="D565" s="1" t="s">
        <v>4</v>
      </c>
      <c r="E565" s="1" t="s">
        <v>134</v>
      </c>
      <c r="F565" s="1" t="s">
        <v>44</v>
      </c>
      <c r="H565" s="1" t="str">
        <f>VLOOKUP(F565,'[2]DX.OTHER.9.30.06 DETAIL'!$H$1:$J$65536,3,FALSE)</f>
        <v>Exp-Travel</v>
      </c>
      <c r="I565" s="1">
        <v>0</v>
      </c>
      <c r="J565" s="2">
        <v>0</v>
      </c>
      <c r="K565" s="2">
        <v>0</v>
      </c>
      <c r="L565" s="2">
        <v>0</v>
      </c>
      <c r="M565" s="2">
        <v>0</v>
      </c>
      <c r="N565" s="1" t="str">
        <f>VLOOKUP(E565,'[1]ORG CODES'!$A:$C,3,FALSE)</f>
        <v>3436   ART CLUB</v>
      </c>
    </row>
    <row r="566" spans="1:14" ht="14.45" hidden="1" x14ac:dyDescent="0.3">
      <c r="A566" t="str">
        <f>VLOOKUP(E566,'[1]ORG CODES'!$A:$B,2,FALSE)</f>
        <v>Student Funded Programs</v>
      </c>
      <c r="B566" s="1" t="s">
        <v>2</v>
      </c>
      <c r="C566" s="1" t="s">
        <v>3</v>
      </c>
      <c r="D566" s="1" t="s">
        <v>4</v>
      </c>
      <c r="E566" s="1" t="s">
        <v>138</v>
      </c>
      <c r="F566" s="1" t="s">
        <v>44</v>
      </c>
      <c r="H566" s="1" t="str">
        <f>VLOOKUP(F566,'[2]DX.OTHER.9.30.06 DETAIL'!$H$1:$J$65536,3,FALSE)</f>
        <v>Exp-Travel</v>
      </c>
      <c r="I566" s="1">
        <v>0</v>
      </c>
      <c r="J566" s="2">
        <v>0</v>
      </c>
      <c r="K566" s="2">
        <v>0</v>
      </c>
      <c r="L566" s="2">
        <v>0</v>
      </c>
      <c r="M566" s="2">
        <v>0</v>
      </c>
      <c r="N566" s="1" t="str">
        <f>VLOOKUP(E566,'[1]ORG CODES'!$A:$C,3,FALSE)</f>
        <v>3439   ASSOC MEN STUDENTS</v>
      </c>
    </row>
    <row r="567" spans="1:14" ht="14.45" hidden="1" x14ac:dyDescent="0.3">
      <c r="A567" t="str">
        <f>VLOOKUP(E567,'[1]ORG CODES'!$A:$B,2,FALSE)</f>
        <v>Student Funded Programs</v>
      </c>
      <c r="B567" s="1" t="s">
        <v>2</v>
      </c>
      <c r="C567" s="1" t="s">
        <v>3</v>
      </c>
      <c r="D567" s="1" t="s">
        <v>4</v>
      </c>
      <c r="E567" s="1" t="s">
        <v>140</v>
      </c>
      <c r="F567" s="1" t="s">
        <v>44</v>
      </c>
      <c r="H567" s="1" t="str">
        <f>VLOOKUP(F567,'[2]DX.OTHER.9.30.06 DETAIL'!$H$1:$J$65536,3,FALSE)</f>
        <v>Exp-Travel</v>
      </c>
      <c r="I567" s="1">
        <v>0</v>
      </c>
      <c r="J567" s="2">
        <v>0</v>
      </c>
      <c r="K567" s="2">
        <v>0</v>
      </c>
      <c r="L567" s="2">
        <v>0</v>
      </c>
      <c r="M567" s="2">
        <v>0</v>
      </c>
      <c r="N567" s="1" t="str">
        <f>VLOOKUP(E567,'[1]ORG CODES'!$A:$C,3,FALSE)</f>
        <v>3441  JAPANESE CLUB</v>
      </c>
    </row>
    <row r="568" spans="1:14" ht="14.45" hidden="1" x14ac:dyDescent="0.3">
      <c r="A568" t="str">
        <f>VLOOKUP(E568,'[1]ORG CODES'!$A:$B,2,FALSE)</f>
        <v>Student Funded Programs</v>
      </c>
      <c r="B568" s="1" t="s">
        <v>2</v>
      </c>
      <c r="C568" s="1" t="s">
        <v>3</v>
      </c>
      <c r="D568" s="1" t="s">
        <v>4</v>
      </c>
      <c r="E568" s="1" t="s">
        <v>142</v>
      </c>
      <c r="F568" s="1" t="s">
        <v>44</v>
      </c>
      <c r="H568" s="1" t="str">
        <f>VLOOKUP(F568,'[2]DX.OTHER.9.30.06 DETAIL'!$H$1:$J$65536,3,FALSE)</f>
        <v>Exp-Travel</v>
      </c>
      <c r="I568" s="1">
        <v>0</v>
      </c>
      <c r="J568" s="2">
        <v>0</v>
      </c>
      <c r="K568" s="2">
        <v>0</v>
      </c>
      <c r="L568" s="2">
        <v>0</v>
      </c>
      <c r="M568" s="2">
        <v>0</v>
      </c>
      <c r="N568" s="1" t="str">
        <f>VLOOKUP(E568,'[1]ORG CODES'!$A:$C,3,FALSE)</f>
        <v>3442   ASSOC WOMEN STUDENTS</v>
      </c>
    </row>
    <row r="569" spans="1:14" ht="14.45" hidden="1" x14ac:dyDescent="0.3">
      <c r="A569" t="str">
        <f>VLOOKUP(E569,'[1]ORG CODES'!$A:$B,2,FALSE)</f>
        <v>Student Funded Programs</v>
      </c>
      <c r="B569" s="1" t="s">
        <v>2</v>
      </c>
      <c r="C569" s="1" t="s">
        <v>3</v>
      </c>
      <c r="D569" s="1" t="s">
        <v>4</v>
      </c>
      <c r="E569" s="1" t="s">
        <v>146</v>
      </c>
      <c r="F569" s="1" t="s">
        <v>44</v>
      </c>
      <c r="H569" s="1" t="str">
        <f>VLOOKUP(F569,'[2]DX.OTHER.9.30.06 DETAIL'!$H$1:$J$65536,3,FALSE)</f>
        <v>Exp-Travel</v>
      </c>
      <c r="I569" s="1">
        <v>0</v>
      </c>
      <c r="J569" s="2">
        <v>0</v>
      </c>
      <c r="K569" s="2">
        <v>0</v>
      </c>
      <c r="L569" s="2">
        <v>0</v>
      </c>
      <c r="M569" s="2">
        <v>0</v>
      </c>
      <c r="N569" s="1" t="str">
        <f>VLOOKUP(E569,'[1]ORG CODES'!$A:$C,3,FALSE)</f>
        <v>3445   ASIAN AMERICAN CLUB</v>
      </c>
    </row>
    <row r="570" spans="1:14" ht="14.45" hidden="1" x14ac:dyDescent="0.3">
      <c r="A570" t="str">
        <f>VLOOKUP(E570,'[1]ORG CODES'!$A:$B,2,FALSE)</f>
        <v>Student Funded Programs</v>
      </c>
      <c r="B570" s="1" t="s">
        <v>2</v>
      </c>
      <c r="C570" s="1" t="s">
        <v>3</v>
      </c>
      <c r="D570" s="1" t="s">
        <v>4</v>
      </c>
      <c r="E570" s="1" t="s">
        <v>149</v>
      </c>
      <c r="F570" s="1" t="s">
        <v>44</v>
      </c>
      <c r="H570" s="1" t="str">
        <f>VLOOKUP(F570,'[2]DX.OTHER.9.30.06 DETAIL'!$H$1:$J$65536,3,FALSE)</f>
        <v>Exp-Travel</v>
      </c>
      <c r="I570" s="1">
        <v>0</v>
      </c>
      <c r="J570" s="2">
        <v>0</v>
      </c>
      <c r="K570" s="2">
        <v>0</v>
      </c>
      <c r="L570" s="2">
        <v>0</v>
      </c>
      <c r="M570" s="2">
        <v>0</v>
      </c>
      <c r="N570" s="1" t="str">
        <f>VLOOKUP(E570,'[1]ORG CODES'!$A:$C,3,FALSE)</f>
        <v>3446   SVC LRN</v>
      </c>
    </row>
    <row r="571" spans="1:14" ht="14.45" hidden="1" x14ac:dyDescent="0.3">
      <c r="A571" t="str">
        <f>VLOOKUP(E571,'[1]ORG CODES'!$A:$B,2,FALSE)</f>
        <v>Student Funded Programs</v>
      </c>
      <c r="B571" s="1" t="s">
        <v>2</v>
      </c>
      <c r="C571" s="1" t="s">
        <v>3</v>
      </c>
      <c r="D571" s="1" t="s">
        <v>4</v>
      </c>
      <c r="E571" s="1" t="s">
        <v>154</v>
      </c>
      <c r="F571" s="1" t="s">
        <v>44</v>
      </c>
      <c r="H571" s="1" t="str">
        <f>VLOOKUP(F571,'[2]DX.OTHER.9.30.06 DETAIL'!$H$1:$J$65536,3,FALSE)</f>
        <v>Exp-Travel</v>
      </c>
      <c r="I571" s="1">
        <v>0</v>
      </c>
      <c r="J571" s="2">
        <v>0</v>
      </c>
      <c r="K571" s="2">
        <v>0</v>
      </c>
      <c r="L571" s="2">
        <v>0</v>
      </c>
      <c r="M571" s="2">
        <v>0</v>
      </c>
      <c r="N571" s="1" t="str">
        <f>VLOOKUP(E571,'[1]ORG CODES'!$A:$C,3,FALSE)</f>
        <v>3453   INTERIOR DESIGN</v>
      </c>
    </row>
    <row r="572" spans="1:14" ht="14.45" hidden="1" x14ac:dyDescent="0.3">
      <c r="A572" t="str">
        <f>VLOOKUP(E572,'[1]ORG CODES'!$A:$B,2,FALSE)</f>
        <v>Student Funded Programs</v>
      </c>
      <c r="B572" s="1" t="s">
        <v>2</v>
      </c>
      <c r="C572" s="1" t="s">
        <v>3</v>
      </c>
      <c r="D572" s="1" t="s">
        <v>4</v>
      </c>
      <c r="E572" s="1" t="s">
        <v>159</v>
      </c>
      <c r="F572" s="1" t="s">
        <v>44</v>
      </c>
      <c r="H572" s="1" t="str">
        <f>VLOOKUP(F572,'[2]DX.OTHER.9.30.06 DETAIL'!$H$1:$J$65536,3,FALSE)</f>
        <v>Exp-Travel</v>
      </c>
      <c r="I572" s="1">
        <v>0</v>
      </c>
      <c r="J572" s="2">
        <v>0</v>
      </c>
      <c r="K572" s="2">
        <v>0</v>
      </c>
      <c r="L572" s="2">
        <v>0</v>
      </c>
      <c r="M572" s="2">
        <v>0</v>
      </c>
      <c r="N572" s="1" t="str">
        <f>VLOOKUP(E572,'[1]ORG CODES'!$A:$C,3,FALSE)</f>
        <v>3456   FRENCH CLUB</v>
      </c>
    </row>
    <row r="573" spans="1:14" ht="14.45" hidden="1" x14ac:dyDescent="0.3">
      <c r="A573" t="str">
        <f>VLOOKUP(E573,'[1]ORG CODES'!$A:$B,2,FALSE)</f>
        <v>Student Funded Programs</v>
      </c>
      <c r="B573" s="1" t="s">
        <v>2</v>
      </c>
      <c r="C573" s="1" t="s">
        <v>3</v>
      </c>
      <c r="D573" s="1" t="s">
        <v>4</v>
      </c>
      <c r="E573" s="1" t="s">
        <v>160</v>
      </c>
      <c r="F573" s="1" t="s">
        <v>44</v>
      </c>
      <c r="H573" s="1" t="str">
        <f>VLOOKUP(F573,'[2]DX.OTHER.9.30.06 DETAIL'!$H$1:$J$65536,3,FALSE)</f>
        <v>Exp-Travel</v>
      </c>
      <c r="I573" s="1">
        <v>0</v>
      </c>
      <c r="J573" s="2">
        <v>0</v>
      </c>
      <c r="K573" s="2">
        <v>0</v>
      </c>
      <c r="L573" s="2">
        <v>0</v>
      </c>
      <c r="M573" s="2">
        <v>0</v>
      </c>
      <c r="N573" s="1" t="str">
        <f>VLOOKUP(E573,'[1]ORG CODES'!$A:$C,3,FALSE)</f>
        <v>3457   THE ALLIANCE</v>
      </c>
    </row>
    <row r="574" spans="1:14" ht="14.45" hidden="1" x14ac:dyDescent="0.3">
      <c r="A574" t="str">
        <f>VLOOKUP(E574,'[1]ORG CODES'!$A:$B,2,FALSE)</f>
        <v>Student Funded Programs</v>
      </c>
      <c r="B574" s="1" t="s">
        <v>2</v>
      </c>
      <c r="C574" s="1" t="s">
        <v>3</v>
      </c>
      <c r="D574" s="1" t="s">
        <v>4</v>
      </c>
      <c r="E574" s="1" t="s">
        <v>162</v>
      </c>
      <c r="F574" s="1" t="s">
        <v>44</v>
      </c>
      <c r="H574" s="1" t="str">
        <f>VLOOKUP(F574,'[2]DX.OTHER.9.30.06 DETAIL'!$H$1:$J$65536,3,FALSE)</f>
        <v>Exp-Travel</v>
      </c>
      <c r="I574" s="1">
        <v>0</v>
      </c>
      <c r="J574" s="2">
        <v>0</v>
      </c>
      <c r="K574" s="2">
        <v>0</v>
      </c>
      <c r="L574" s="2">
        <v>0</v>
      </c>
      <c r="M574" s="2">
        <v>0</v>
      </c>
      <c r="N574" s="1" t="str">
        <f>VLOOKUP(E574,'[1]ORG CODES'!$A:$C,3,FALSE)</f>
        <v>3458   L.U.A. CLUB</v>
      </c>
    </row>
    <row r="575" spans="1:14" ht="14.45" hidden="1" x14ac:dyDescent="0.3">
      <c r="A575" t="str">
        <f>VLOOKUP(E575,'[1]ORG CODES'!$A:$B,2,FALSE)</f>
        <v>Student Funded Programs</v>
      </c>
      <c r="B575" s="1" t="s">
        <v>2</v>
      </c>
      <c r="C575" s="1" t="s">
        <v>3</v>
      </c>
      <c r="D575" s="1" t="s">
        <v>4</v>
      </c>
      <c r="E575" s="1" t="s">
        <v>166</v>
      </c>
      <c r="F575" s="1" t="s">
        <v>44</v>
      </c>
      <c r="H575" s="1" t="str">
        <f>VLOOKUP(F575,'[2]DX.OTHER.9.30.06 DETAIL'!$H$1:$J$65536,3,FALSE)</f>
        <v>Exp-Travel</v>
      </c>
      <c r="I575" s="1">
        <v>0</v>
      </c>
      <c r="J575" s="2">
        <v>0</v>
      </c>
      <c r="K575" s="2">
        <v>0</v>
      </c>
      <c r="L575" s="2">
        <v>0</v>
      </c>
      <c r="M575" s="2">
        <v>0</v>
      </c>
      <c r="N575" s="1" t="str">
        <f>VLOOKUP(E575,'[1]ORG CODES'!$A:$C,3,FALSE)</f>
        <v>3461   JOURNALISM</v>
      </c>
    </row>
    <row r="576" spans="1:14" ht="14.45" hidden="1" x14ac:dyDescent="0.3">
      <c r="A576" t="str">
        <f>VLOOKUP(E576,'[1]ORG CODES'!$A:$B,2,FALSE)</f>
        <v>Student Funded Programs</v>
      </c>
      <c r="B576" s="1" t="s">
        <v>2</v>
      </c>
      <c r="C576" s="1" t="s">
        <v>3</v>
      </c>
      <c r="D576" s="1" t="s">
        <v>4</v>
      </c>
      <c r="E576" s="1" t="s">
        <v>168</v>
      </c>
      <c r="F576" s="1" t="s">
        <v>44</v>
      </c>
      <c r="H576" s="1" t="str">
        <f>VLOOKUP(F576,'[2]DX.OTHER.9.30.06 DETAIL'!$H$1:$J$65536,3,FALSE)</f>
        <v>Exp-Travel</v>
      </c>
      <c r="I576" s="1">
        <v>0</v>
      </c>
      <c r="J576" s="2">
        <v>0</v>
      </c>
      <c r="K576" s="2">
        <v>0</v>
      </c>
      <c r="L576" s="2">
        <v>0</v>
      </c>
      <c r="M576" s="2">
        <v>0</v>
      </c>
      <c r="N576" s="1" t="str">
        <f>VLOOKUP(E576,'[1]ORG CODES'!$A:$C,3,FALSE)</f>
        <v>3462   INTERNATIONAL CLUB</v>
      </c>
    </row>
    <row r="577" spans="1:14" ht="14.45" hidden="1" x14ac:dyDescent="0.3">
      <c r="A577" t="str">
        <f>VLOOKUP(E577,'[1]ORG CODES'!$A:$B,2,FALSE)</f>
        <v>Student Funded Programs</v>
      </c>
      <c r="B577" s="1" t="s">
        <v>2</v>
      </c>
      <c r="C577" s="1" t="s">
        <v>3</v>
      </c>
      <c r="D577" s="1" t="s">
        <v>4</v>
      </c>
      <c r="E577" s="1" t="s">
        <v>170</v>
      </c>
      <c r="F577" s="1" t="s">
        <v>44</v>
      </c>
      <c r="H577" s="1" t="str">
        <f>VLOOKUP(F577,'[2]DX.OTHER.9.30.06 DETAIL'!$H$1:$J$65536,3,FALSE)</f>
        <v>Exp-Travel</v>
      </c>
      <c r="I577" s="1">
        <v>0</v>
      </c>
      <c r="J577" s="2">
        <v>0</v>
      </c>
      <c r="K577" s="2">
        <v>0</v>
      </c>
      <c r="L577" s="2">
        <v>0</v>
      </c>
      <c r="M577" s="2">
        <v>0</v>
      </c>
      <c r="N577" s="1" t="str">
        <f>VLOOKUP(E577,'[1]ORG CODES'!$A:$C,3,FALSE)</f>
        <v>3464   JAZZ PRESENTS</v>
      </c>
    </row>
    <row r="578" spans="1:14" ht="14.45" hidden="1" x14ac:dyDescent="0.3">
      <c r="A578" t="str">
        <f>VLOOKUP(E578,'[1]ORG CODES'!$A:$B,2,FALSE)</f>
        <v>Student Funded Programs</v>
      </c>
      <c r="B578" s="1" t="s">
        <v>2</v>
      </c>
      <c r="C578" s="1" t="s">
        <v>3</v>
      </c>
      <c r="D578" s="1" t="s">
        <v>4</v>
      </c>
      <c r="E578" s="1" t="s">
        <v>172</v>
      </c>
      <c r="F578" s="1" t="s">
        <v>44</v>
      </c>
      <c r="H578" s="1" t="str">
        <f>VLOOKUP(F578,'[2]DX.OTHER.9.30.06 DETAIL'!$H$1:$J$65536,3,FALSE)</f>
        <v>Exp-Travel</v>
      </c>
      <c r="I578" s="1">
        <v>0</v>
      </c>
      <c r="J578" s="2">
        <v>0</v>
      </c>
      <c r="K578" s="2">
        <v>0</v>
      </c>
      <c r="L578" s="2">
        <v>0</v>
      </c>
      <c r="M578" s="2">
        <v>0</v>
      </c>
      <c r="N578" s="1" t="str">
        <f>VLOOKUP(E578,'[1]ORG CODES'!$A:$C,3,FALSE)</f>
        <v>3465   RED NATIONS ASSOC</v>
      </c>
    </row>
    <row r="579" spans="1:14" ht="14.45" hidden="1" x14ac:dyDescent="0.3">
      <c r="A579" t="str">
        <f>VLOOKUP(E579,'[1]ORG CODES'!$A:$B,2,FALSE)</f>
        <v>Student Funded Programs</v>
      </c>
      <c r="B579" s="1" t="s">
        <v>2</v>
      </c>
      <c r="C579" s="1" t="s">
        <v>3</v>
      </c>
      <c r="D579" s="1" t="s">
        <v>4</v>
      </c>
      <c r="E579" s="1" t="s">
        <v>46</v>
      </c>
      <c r="F579" s="1" t="s">
        <v>44</v>
      </c>
      <c r="G579" s="1" t="s">
        <v>43</v>
      </c>
      <c r="H579" s="1" t="str">
        <f>VLOOKUP(F579,'[2]DX.OTHER.9.30.06 DETAIL'!$H$1:$J$65536,3,FALSE)</f>
        <v>Exp-Travel</v>
      </c>
      <c r="I579" s="1">
        <v>0</v>
      </c>
      <c r="J579" s="2">
        <v>116.24</v>
      </c>
      <c r="K579" s="2">
        <v>0</v>
      </c>
      <c r="L579" s="2">
        <v>-116.24</v>
      </c>
      <c r="M579" s="2">
        <v>0</v>
      </c>
      <c r="N579" s="1" t="str">
        <f>VLOOKUP(E579,'[1]ORG CODES'!$A:$C,3,FALSE)</f>
        <v>3330   GRAPHIC DESIGN</v>
      </c>
    </row>
    <row r="580" spans="1:14" ht="14.45" hidden="1" x14ac:dyDescent="0.3">
      <c r="A580" t="str">
        <f>VLOOKUP(E580,'[1]ORG CODES'!$A:$B,2,FALSE)</f>
        <v>Student Funded Programs</v>
      </c>
      <c r="B580" s="1" t="s">
        <v>2</v>
      </c>
      <c r="C580" s="1" t="s">
        <v>3</v>
      </c>
      <c r="D580" s="1" t="s">
        <v>4</v>
      </c>
      <c r="E580" s="1" t="s">
        <v>68</v>
      </c>
      <c r="F580" s="1" t="s">
        <v>44</v>
      </c>
      <c r="G580" s="1" t="s">
        <v>43</v>
      </c>
      <c r="H580" s="1" t="str">
        <f>VLOOKUP(F580,'[2]DX.OTHER.9.30.06 DETAIL'!$H$1:$J$65536,3,FALSE)</f>
        <v>Exp-Travel</v>
      </c>
      <c r="I580" s="1">
        <v>0</v>
      </c>
      <c r="J580" s="2">
        <v>2683.86</v>
      </c>
      <c r="K580" s="2">
        <v>0</v>
      </c>
      <c r="L580" s="2">
        <v>-2683.86</v>
      </c>
      <c r="M580" s="2">
        <v>0</v>
      </c>
      <c r="N580" s="1" t="str">
        <f>VLOOKUP(E580,'[1]ORG CODES'!$A:$C,3,FALSE)</f>
        <v>3355   CHORAL MUSIC</v>
      </c>
    </row>
    <row r="581" spans="1:14" ht="14.45" hidden="1" x14ac:dyDescent="0.3">
      <c r="A581" t="str">
        <f>VLOOKUP(E581,'[1]ORG CODES'!$A:$B,2,FALSE)</f>
        <v>Student Funded Programs</v>
      </c>
      <c r="B581" s="1" t="s">
        <v>2</v>
      </c>
      <c r="C581" s="1" t="s">
        <v>3</v>
      </c>
      <c r="D581" s="1" t="s">
        <v>4</v>
      </c>
      <c r="E581" s="1" t="s">
        <v>75</v>
      </c>
      <c r="F581" s="1" t="s">
        <v>44</v>
      </c>
      <c r="G581" s="1" t="s">
        <v>43</v>
      </c>
      <c r="H581" s="1" t="str">
        <f>VLOOKUP(F581,'[2]DX.OTHER.9.30.06 DETAIL'!$H$1:$J$65536,3,FALSE)</f>
        <v>Exp-Travel</v>
      </c>
      <c r="I581" s="1">
        <v>0</v>
      </c>
      <c r="J581" s="2">
        <v>844.19</v>
      </c>
      <c r="K581" s="2">
        <v>0</v>
      </c>
      <c r="L581" s="2">
        <v>-844.19</v>
      </c>
      <c r="M581" s="2">
        <v>0</v>
      </c>
      <c r="N581" s="1" t="str">
        <f>VLOOKUP(E581,'[1]ORG CODES'!$A:$C,3,FALSE)</f>
        <v>3363   ART GALLERY &amp; EXHIB</v>
      </c>
    </row>
    <row r="582" spans="1:14" ht="14.45" hidden="1" x14ac:dyDescent="0.3">
      <c r="A582" t="str">
        <f>VLOOKUP(E582,'[1]ORG CODES'!$A:$B,2,FALSE)</f>
        <v>Student Funded Programs</v>
      </c>
      <c r="B582" s="1" t="s">
        <v>2</v>
      </c>
      <c r="C582" s="1" t="s">
        <v>3</v>
      </c>
      <c r="D582" s="1" t="s">
        <v>4</v>
      </c>
      <c r="E582" s="1" t="s">
        <v>80</v>
      </c>
      <c r="F582" s="1" t="s">
        <v>44</v>
      </c>
      <c r="G582" s="1" t="s">
        <v>43</v>
      </c>
      <c r="H582" s="1" t="str">
        <f>VLOOKUP(F582,'[2]DX.OTHER.9.30.06 DETAIL'!$H$1:$J$65536,3,FALSE)</f>
        <v>Exp-Travel</v>
      </c>
      <c r="I582" s="1">
        <v>0</v>
      </c>
      <c r="J582" s="2">
        <v>121.22</v>
      </c>
      <c r="K582" s="2">
        <v>0</v>
      </c>
      <c r="L582" s="2">
        <v>-121.22</v>
      </c>
      <c r="M582" s="2">
        <v>0</v>
      </c>
      <c r="N582" s="1" t="str">
        <f>VLOOKUP(E582,'[1]ORG CODES'!$A:$C,3,FALSE)</f>
        <v>3370   BETA GAMMA KAPPA</v>
      </c>
    </row>
    <row r="583" spans="1:14" ht="14.45" hidden="1" x14ac:dyDescent="0.3">
      <c r="A583" t="str">
        <f>VLOOKUP(E583,'[1]ORG CODES'!$A:$B,2,FALSE)</f>
        <v>Student Funded Programs</v>
      </c>
      <c r="B583" s="1" t="s">
        <v>2</v>
      </c>
      <c r="C583" s="1" t="s">
        <v>3</v>
      </c>
      <c r="D583" s="1" t="s">
        <v>4</v>
      </c>
      <c r="E583" s="1" t="s">
        <v>108</v>
      </c>
      <c r="F583" s="1" t="s">
        <v>44</v>
      </c>
      <c r="G583" s="1" t="s">
        <v>43</v>
      </c>
      <c r="H583" s="1" t="str">
        <f>VLOOKUP(F583,'[2]DX.OTHER.9.30.06 DETAIL'!$H$1:$J$65536,3,FALSE)</f>
        <v>Exp-Travel</v>
      </c>
      <c r="I583" s="1">
        <v>0</v>
      </c>
      <c r="J583" s="2">
        <v>872.4</v>
      </c>
      <c r="K583" s="2">
        <v>0</v>
      </c>
      <c r="L583" s="2">
        <v>-872.4</v>
      </c>
      <c r="M583" s="2">
        <v>0</v>
      </c>
      <c r="N583" s="1" t="str">
        <f>VLOOKUP(E583,'[1]ORG CODES'!$A:$C,3,FALSE)</f>
        <v>3413   LEGISLATIVE LIAISON</v>
      </c>
    </row>
    <row r="584" spans="1:14" ht="14.45" hidden="1" x14ac:dyDescent="0.3">
      <c r="A584" t="str">
        <f>VLOOKUP(E584,'[1]ORG CODES'!$A:$B,2,FALSE)</f>
        <v>Student Funded Programs</v>
      </c>
      <c r="B584" s="1" t="s">
        <v>2</v>
      </c>
      <c r="C584" s="1" t="s">
        <v>3</v>
      </c>
      <c r="D584" s="1" t="s">
        <v>4</v>
      </c>
      <c r="E584" s="1" t="s">
        <v>109</v>
      </c>
      <c r="F584" s="1" t="s">
        <v>44</v>
      </c>
      <c r="G584" s="1" t="s">
        <v>43</v>
      </c>
      <c r="H584" s="1" t="str">
        <f>VLOOKUP(F584,'[2]DX.OTHER.9.30.06 DETAIL'!$H$1:$J$65536,3,FALSE)</f>
        <v>Exp-Travel</v>
      </c>
      <c r="I584" s="1">
        <v>0</v>
      </c>
      <c r="J584" s="2">
        <v>99.44</v>
      </c>
      <c r="K584" s="2">
        <v>0</v>
      </c>
      <c r="L584" s="2">
        <v>-99.44</v>
      </c>
      <c r="M584" s="2">
        <v>0</v>
      </c>
      <c r="N584" s="1" t="str">
        <f>VLOOKUP(E584,'[1]ORG CODES'!$A:$C,3,FALSE)</f>
        <v>3414   CULTURAL SERIES</v>
      </c>
    </row>
    <row r="585" spans="1:14" ht="14.45" hidden="1" x14ac:dyDescent="0.3">
      <c r="A585" t="str">
        <f>VLOOKUP(E585,'[1]ORG CODES'!$A:$B,2,FALSE)</f>
        <v>Student Funded Programs</v>
      </c>
      <c r="B585" s="1" t="s">
        <v>2</v>
      </c>
      <c r="C585" s="1" t="s">
        <v>3</v>
      </c>
      <c r="D585" s="1" t="s">
        <v>4</v>
      </c>
      <c r="E585" s="1" t="s">
        <v>114</v>
      </c>
      <c r="F585" s="1" t="s">
        <v>44</v>
      </c>
      <c r="G585" s="1" t="s">
        <v>43</v>
      </c>
      <c r="H585" s="1" t="str">
        <f>VLOOKUP(F585,'[2]DX.OTHER.9.30.06 DETAIL'!$H$1:$J$65536,3,FALSE)</f>
        <v>Exp-Travel</v>
      </c>
      <c r="I585" s="1">
        <v>0</v>
      </c>
      <c r="J585" s="2">
        <v>1921.8</v>
      </c>
      <c r="K585" s="2">
        <v>0</v>
      </c>
      <c r="L585" s="2">
        <v>-1921.8</v>
      </c>
      <c r="M585" s="2">
        <v>0</v>
      </c>
      <c r="N585" s="1" t="str">
        <f>VLOOKUP(E585,'[1]ORG CODES'!$A:$C,3,FALSE)</f>
        <v>3417   TRAVEL</v>
      </c>
    </row>
    <row r="586" spans="1:14" ht="14.45" hidden="1" x14ac:dyDescent="0.3">
      <c r="A586" t="str">
        <f>VLOOKUP(E586,'[1]ORG CODES'!$A:$B,2,FALSE)</f>
        <v>Student Funded Programs</v>
      </c>
      <c r="B586" s="1" t="s">
        <v>2</v>
      </c>
      <c r="C586" s="1" t="s">
        <v>3</v>
      </c>
      <c r="D586" s="1" t="s">
        <v>4</v>
      </c>
      <c r="E586" s="1" t="s">
        <v>117</v>
      </c>
      <c r="F586" s="1" t="s">
        <v>44</v>
      </c>
      <c r="G586" s="1" t="s">
        <v>43</v>
      </c>
      <c r="H586" s="1" t="str">
        <f>VLOOKUP(F586,'[2]DX.OTHER.9.30.06 DETAIL'!$H$1:$J$65536,3,FALSE)</f>
        <v>Exp-Travel</v>
      </c>
      <c r="I586" s="1">
        <v>0</v>
      </c>
      <c r="J586" s="2">
        <v>196.62</v>
      </c>
      <c r="K586" s="2">
        <v>0</v>
      </c>
      <c r="L586" s="2">
        <v>-196.62</v>
      </c>
      <c r="M586" s="2">
        <v>0</v>
      </c>
      <c r="N586" s="1" t="str">
        <f>VLOOKUP(E586,'[1]ORG CODES'!$A:$C,3,FALSE)</f>
        <v>3420   SPECIAL EVENTS</v>
      </c>
    </row>
    <row r="587" spans="1:14" ht="14.45" hidden="1" x14ac:dyDescent="0.3">
      <c r="A587" t="str">
        <f>VLOOKUP(E587,'[1]ORG CODES'!$A:$B,2,FALSE)</f>
        <v>Student Funded Programs</v>
      </c>
      <c r="B587" s="1" t="s">
        <v>2</v>
      </c>
      <c r="C587" s="1" t="s">
        <v>3</v>
      </c>
      <c r="D587" s="1" t="s">
        <v>4</v>
      </c>
      <c r="E587" s="1" t="s">
        <v>130</v>
      </c>
      <c r="F587" s="1" t="s">
        <v>44</v>
      </c>
      <c r="G587" s="1" t="s">
        <v>43</v>
      </c>
      <c r="H587" s="1" t="str">
        <f>VLOOKUP(F587,'[2]DX.OTHER.9.30.06 DETAIL'!$H$1:$J$65536,3,FALSE)</f>
        <v>Exp-Travel</v>
      </c>
      <c r="I587" s="1">
        <v>0</v>
      </c>
      <c r="J587" s="2">
        <v>2191.04</v>
      </c>
      <c r="K587" s="2">
        <v>0</v>
      </c>
      <c r="L587" s="2">
        <v>-2191.04</v>
      </c>
      <c r="M587" s="2">
        <v>0</v>
      </c>
      <c r="N587" s="1" t="str">
        <f>VLOOKUP(E587,'[1]ORG CODES'!$A:$C,3,FALSE)</f>
        <v>3433   ANIME CLUB</v>
      </c>
    </row>
    <row r="588" spans="1:14" ht="14.45" hidden="1" x14ac:dyDescent="0.3">
      <c r="A588" t="str">
        <f>VLOOKUP(E588,'[1]ORG CODES'!$A:$B,2,FALSE)</f>
        <v>Student Funded Programs</v>
      </c>
      <c r="B588" s="1" t="s">
        <v>2</v>
      </c>
      <c r="C588" s="1" t="s">
        <v>3</v>
      </c>
      <c r="D588" s="1" t="s">
        <v>4</v>
      </c>
      <c r="E588" s="1" t="s">
        <v>132</v>
      </c>
      <c r="F588" s="1" t="s">
        <v>44</v>
      </c>
      <c r="G588" s="1" t="s">
        <v>43</v>
      </c>
      <c r="H588" s="1" t="str">
        <f>VLOOKUP(F588,'[2]DX.OTHER.9.30.06 DETAIL'!$H$1:$J$65536,3,FALSE)</f>
        <v>Exp-Travel</v>
      </c>
      <c r="I588" s="1">
        <v>0</v>
      </c>
      <c r="J588" s="2">
        <v>644.96</v>
      </c>
      <c r="K588" s="2">
        <v>0</v>
      </c>
      <c r="L588" s="2">
        <v>-644.96</v>
      </c>
      <c r="M588" s="2">
        <v>0</v>
      </c>
      <c r="N588" s="1" t="str">
        <f>VLOOKUP(E588,'[1]ORG CODES'!$A:$C,3,FALSE)</f>
        <v>3435   BLACK STUDENT UNION</v>
      </c>
    </row>
    <row r="589" spans="1:14" ht="14.45" hidden="1" x14ac:dyDescent="0.3">
      <c r="A589" t="str">
        <f>VLOOKUP(E589,'[1]ORG CODES'!$A:$B,2,FALSE)</f>
        <v>Student Funded Programs</v>
      </c>
      <c r="B589" s="1" t="s">
        <v>2</v>
      </c>
      <c r="C589" s="1" t="s">
        <v>3</v>
      </c>
      <c r="D589" s="1" t="s">
        <v>4</v>
      </c>
      <c r="E589" s="1" t="s">
        <v>162</v>
      </c>
      <c r="F589" s="1" t="s">
        <v>44</v>
      </c>
      <c r="G589" s="1" t="s">
        <v>43</v>
      </c>
      <c r="H589" s="1" t="str">
        <f>VLOOKUP(F589,'[2]DX.OTHER.9.30.06 DETAIL'!$H$1:$J$65536,3,FALSE)</f>
        <v>Exp-Travel</v>
      </c>
      <c r="I589" s="1">
        <v>0</v>
      </c>
      <c r="J589" s="2">
        <v>481.82</v>
      </c>
      <c r="K589" s="2">
        <v>0</v>
      </c>
      <c r="L589" s="2">
        <v>-481.82</v>
      </c>
      <c r="M589" s="2">
        <v>0</v>
      </c>
      <c r="N589" s="1" t="str">
        <f>VLOOKUP(E589,'[1]ORG CODES'!$A:$C,3,FALSE)</f>
        <v>3458   L.U.A. CLUB</v>
      </c>
    </row>
    <row r="590" spans="1:14" ht="14.45" hidden="1" x14ac:dyDescent="0.3">
      <c r="A590" t="str">
        <f>VLOOKUP(E590,'[1]ORG CODES'!$A:$B,2,FALSE)</f>
        <v>Student Funded Programs</v>
      </c>
      <c r="B590" s="1" t="s">
        <v>2</v>
      </c>
      <c r="C590" s="1" t="s">
        <v>3</v>
      </c>
      <c r="D590" s="1" t="s">
        <v>4</v>
      </c>
      <c r="E590" s="1" t="s">
        <v>166</v>
      </c>
      <c r="F590" s="1" t="s">
        <v>44</v>
      </c>
      <c r="G590" s="1" t="s">
        <v>43</v>
      </c>
      <c r="H590" s="1" t="str">
        <f>VLOOKUP(F590,'[2]DX.OTHER.9.30.06 DETAIL'!$H$1:$J$65536,3,FALSE)</f>
        <v>Exp-Travel</v>
      </c>
      <c r="I590" s="1">
        <v>0</v>
      </c>
      <c r="J590" s="2">
        <v>-450</v>
      </c>
      <c r="K590" s="2">
        <v>0</v>
      </c>
      <c r="L590" s="2">
        <v>450</v>
      </c>
      <c r="M590" s="2">
        <v>0</v>
      </c>
      <c r="N590" s="1" t="str">
        <f>VLOOKUP(E590,'[1]ORG CODES'!$A:$C,3,FALSE)</f>
        <v>3461   JOURNALISM</v>
      </c>
    </row>
    <row r="591" spans="1:14" ht="14.45" hidden="1" x14ac:dyDescent="0.3">
      <c r="A591" t="str">
        <f>VLOOKUP(E591,'[1]ORG CODES'!$A:$B,2,FALSE)</f>
        <v>Student Funded Programs</v>
      </c>
      <c r="B591" s="1" t="s">
        <v>2</v>
      </c>
      <c r="C591" s="1" t="s">
        <v>3</v>
      </c>
      <c r="D591" s="1" t="s">
        <v>4</v>
      </c>
      <c r="E591" s="1" t="s">
        <v>170</v>
      </c>
      <c r="F591" s="1" t="s">
        <v>44</v>
      </c>
      <c r="G591" s="1" t="s">
        <v>43</v>
      </c>
      <c r="H591" s="1" t="str">
        <f>VLOOKUP(F591,'[2]DX.OTHER.9.30.06 DETAIL'!$H$1:$J$65536,3,FALSE)</f>
        <v>Exp-Travel</v>
      </c>
      <c r="I591" s="1">
        <v>0</v>
      </c>
      <c r="J591" s="2">
        <v>1010.4</v>
      </c>
      <c r="K591" s="2">
        <v>0</v>
      </c>
      <c r="L591" s="2">
        <v>-1010.4</v>
      </c>
      <c r="M591" s="2">
        <v>0</v>
      </c>
      <c r="N591" s="1" t="str">
        <f>VLOOKUP(E591,'[1]ORG CODES'!$A:$C,3,FALSE)</f>
        <v>3464   JAZZ PRESENTS</v>
      </c>
    </row>
    <row r="592" spans="1:14" ht="14.45" hidden="1" x14ac:dyDescent="0.3">
      <c r="A592" t="str">
        <f>VLOOKUP(E592,'[1]ORG CODES'!$A:$B,2,FALSE)</f>
        <v>Student Funded Programs</v>
      </c>
      <c r="B592" s="1" t="s">
        <v>2</v>
      </c>
      <c r="C592" s="1" t="s">
        <v>3</v>
      </c>
      <c r="D592" s="1" t="s">
        <v>4</v>
      </c>
      <c r="E592" s="1" t="s">
        <v>172</v>
      </c>
      <c r="F592" s="1" t="s">
        <v>44</v>
      </c>
      <c r="G592" s="1" t="s">
        <v>43</v>
      </c>
      <c r="H592" s="1" t="str">
        <f>VLOOKUP(F592,'[2]DX.OTHER.9.30.06 DETAIL'!$H$1:$J$65536,3,FALSE)</f>
        <v>Exp-Travel</v>
      </c>
      <c r="I592" s="1">
        <v>0</v>
      </c>
      <c r="J592" s="2">
        <v>1426.33</v>
      </c>
      <c r="K592" s="2">
        <v>0</v>
      </c>
      <c r="L592" s="2">
        <v>-1426.33</v>
      </c>
      <c r="M592" s="2">
        <v>0</v>
      </c>
      <c r="N592" s="1" t="str">
        <f>VLOOKUP(E592,'[1]ORG CODES'!$A:$C,3,FALSE)</f>
        <v>3465   RED NATIONS ASSOC</v>
      </c>
    </row>
    <row r="593" spans="1:14" ht="14.45" hidden="1" x14ac:dyDescent="0.3">
      <c r="A593" t="str">
        <f>VLOOKUP(E593,'[1]ORG CODES'!$A:$B,2,FALSE)</f>
        <v>Student Funded Programs</v>
      </c>
      <c r="B593" s="1" t="s">
        <v>2</v>
      </c>
      <c r="C593" s="1" t="s">
        <v>3</v>
      </c>
      <c r="D593" s="1" t="s">
        <v>4</v>
      </c>
      <c r="E593" s="1" t="s">
        <v>46</v>
      </c>
      <c r="F593" s="1" t="s">
        <v>44</v>
      </c>
      <c r="G593" s="1" t="s">
        <v>43</v>
      </c>
      <c r="H593" s="1" t="str">
        <f>VLOOKUP(F593,'[2]DX.OTHER.9.30.06 DETAIL'!$H$1:$J$65536,3,FALSE)</f>
        <v>Exp-Travel</v>
      </c>
      <c r="I593" s="1">
        <v>0</v>
      </c>
      <c r="J593" s="2">
        <v>379.6</v>
      </c>
      <c r="K593" s="2">
        <v>0</v>
      </c>
      <c r="L593" s="2">
        <v>-379.6</v>
      </c>
      <c r="M593" s="2">
        <v>0</v>
      </c>
      <c r="N593" s="1" t="str">
        <f>VLOOKUP(E593,'[1]ORG CODES'!$A:$C,3,FALSE)</f>
        <v>3330   GRAPHIC DESIGN</v>
      </c>
    </row>
    <row r="594" spans="1:14" ht="14.45" hidden="1" x14ac:dyDescent="0.3">
      <c r="A594" t="str">
        <f>VLOOKUP(E594,'[1]ORG CODES'!$A:$B,2,FALSE)</f>
        <v>Student Funded Programs</v>
      </c>
      <c r="B594" s="1" t="s">
        <v>2</v>
      </c>
      <c r="C594" s="1" t="s">
        <v>3</v>
      </c>
      <c r="D594" s="1" t="s">
        <v>4</v>
      </c>
      <c r="E594" s="1" t="s">
        <v>75</v>
      </c>
      <c r="F594" s="1" t="s">
        <v>44</v>
      </c>
      <c r="G594" s="1" t="s">
        <v>43</v>
      </c>
      <c r="H594" s="1" t="str">
        <f>VLOOKUP(F594,'[2]DX.OTHER.9.30.06 DETAIL'!$H$1:$J$65536,3,FALSE)</f>
        <v>Exp-Travel</v>
      </c>
      <c r="I594" s="1">
        <v>0</v>
      </c>
      <c r="J594" s="2">
        <v>586.79999999999995</v>
      </c>
      <c r="K594" s="2">
        <v>0</v>
      </c>
      <c r="L594" s="2">
        <v>-586.79999999999995</v>
      </c>
      <c r="M594" s="2">
        <v>0</v>
      </c>
      <c r="N594" s="1" t="str">
        <f>VLOOKUP(E594,'[1]ORG CODES'!$A:$C,3,FALSE)</f>
        <v>3363   ART GALLERY &amp; EXHIB</v>
      </c>
    </row>
    <row r="595" spans="1:14" ht="14.45" hidden="1" x14ac:dyDescent="0.3">
      <c r="A595" t="str">
        <f>VLOOKUP(E595,'[1]ORG CODES'!$A:$B,2,FALSE)</f>
        <v>Student Funded Programs</v>
      </c>
      <c r="B595" s="1" t="s">
        <v>2</v>
      </c>
      <c r="C595" s="1" t="s">
        <v>3</v>
      </c>
      <c r="D595" s="1" t="s">
        <v>4</v>
      </c>
      <c r="E595" s="1" t="s">
        <v>80</v>
      </c>
      <c r="F595" s="1" t="s">
        <v>44</v>
      </c>
      <c r="G595" s="1" t="s">
        <v>43</v>
      </c>
      <c r="H595" s="1" t="str">
        <f>VLOOKUP(F595,'[2]DX.OTHER.9.30.06 DETAIL'!$H$1:$J$65536,3,FALSE)</f>
        <v>Exp-Travel</v>
      </c>
      <c r="I595" s="1">
        <v>0</v>
      </c>
      <c r="J595" s="2">
        <v>380.7</v>
      </c>
      <c r="K595" s="2">
        <v>0</v>
      </c>
      <c r="L595" s="2">
        <v>-380.7</v>
      </c>
      <c r="M595" s="2">
        <v>0</v>
      </c>
      <c r="N595" s="1" t="str">
        <f>VLOOKUP(E595,'[1]ORG CODES'!$A:$C,3,FALSE)</f>
        <v>3370   BETA GAMMA KAPPA</v>
      </c>
    </row>
    <row r="596" spans="1:14" ht="14.45" hidden="1" x14ac:dyDescent="0.3">
      <c r="A596" t="str">
        <f>VLOOKUP(E596,'[1]ORG CODES'!$A:$B,2,FALSE)</f>
        <v>Student Funded Programs</v>
      </c>
      <c r="B596" s="1" t="s">
        <v>2</v>
      </c>
      <c r="C596" s="1" t="s">
        <v>3</v>
      </c>
      <c r="D596" s="1" t="s">
        <v>4</v>
      </c>
      <c r="E596" s="1" t="s">
        <v>108</v>
      </c>
      <c r="F596" s="1" t="s">
        <v>44</v>
      </c>
      <c r="G596" s="1" t="s">
        <v>43</v>
      </c>
      <c r="H596" s="1" t="str">
        <f>VLOOKUP(F596,'[2]DX.OTHER.9.30.06 DETAIL'!$H$1:$J$65536,3,FALSE)</f>
        <v>Exp-Travel</v>
      </c>
      <c r="I596" s="1">
        <v>0</v>
      </c>
      <c r="J596" s="2">
        <v>1622.6</v>
      </c>
      <c r="K596" s="2">
        <v>0</v>
      </c>
      <c r="L596" s="2">
        <v>-1622.6</v>
      </c>
      <c r="M596" s="2">
        <v>0</v>
      </c>
      <c r="N596" s="1" t="str">
        <f>VLOOKUP(E596,'[1]ORG CODES'!$A:$C,3,FALSE)</f>
        <v>3413   LEGISLATIVE LIAISON</v>
      </c>
    </row>
    <row r="597" spans="1:14" ht="14.45" hidden="1" x14ac:dyDescent="0.3">
      <c r="A597" t="str">
        <f>VLOOKUP(E597,'[1]ORG CODES'!$A:$B,2,FALSE)</f>
        <v>Student Funded Programs</v>
      </c>
      <c r="B597" s="1" t="s">
        <v>2</v>
      </c>
      <c r="C597" s="1" t="s">
        <v>3</v>
      </c>
      <c r="D597" s="1" t="s">
        <v>4</v>
      </c>
      <c r="E597" s="1" t="s">
        <v>172</v>
      </c>
      <c r="F597" s="1" t="s">
        <v>44</v>
      </c>
      <c r="G597" s="1" t="s">
        <v>43</v>
      </c>
      <c r="H597" s="1" t="str">
        <f>VLOOKUP(F597,'[2]DX.OTHER.9.30.06 DETAIL'!$H$1:$J$65536,3,FALSE)</f>
        <v>Exp-Travel</v>
      </c>
      <c r="I597" s="1">
        <v>0</v>
      </c>
      <c r="J597" s="2">
        <v>231.8</v>
      </c>
      <c r="K597" s="2">
        <v>0</v>
      </c>
      <c r="L597" s="2">
        <v>-231.8</v>
      </c>
      <c r="M597" s="2">
        <v>0</v>
      </c>
      <c r="N597" s="1" t="str">
        <f>VLOOKUP(E597,'[1]ORG CODES'!$A:$C,3,FALSE)</f>
        <v>3465   RED NATIONS ASSOC</v>
      </c>
    </row>
    <row r="598" spans="1:14" ht="14.45" hidden="1" x14ac:dyDescent="0.3">
      <c r="A598" t="str">
        <f>VLOOKUP(E598,'[1]ORG CODES'!$A:$B,2,FALSE)</f>
        <v>Student Funded Programs</v>
      </c>
      <c r="B598" s="1" t="s">
        <v>2</v>
      </c>
      <c r="C598" s="1" t="s">
        <v>3</v>
      </c>
      <c r="D598" s="1" t="s">
        <v>4</v>
      </c>
      <c r="E598" s="1" t="s">
        <v>72</v>
      </c>
      <c r="F598" s="1" t="s">
        <v>44</v>
      </c>
      <c r="G598" s="1" t="s">
        <v>48</v>
      </c>
      <c r="H598" s="1" t="str">
        <f>VLOOKUP(F598,'[2]DX.OTHER.9.30.06 DETAIL'!$H$1:$J$65536,3,FALSE)</f>
        <v>Exp-Travel</v>
      </c>
      <c r="I598" s="1">
        <v>0</v>
      </c>
      <c r="J598" s="2">
        <v>1066.77</v>
      </c>
      <c r="K598" s="2">
        <v>0</v>
      </c>
      <c r="L598" s="2">
        <v>-1066.77</v>
      </c>
      <c r="M598" s="2">
        <v>0</v>
      </c>
      <c r="N598" s="1" t="str">
        <f>VLOOKUP(E598,'[1]ORG CODES'!$A:$C,3,FALSE)</f>
        <v>3357   PHOTO ARTS</v>
      </c>
    </row>
    <row r="599" spans="1:14" ht="14.45" hidden="1" x14ac:dyDescent="0.3">
      <c r="A599" t="str">
        <f>VLOOKUP(E599,'[1]ORG CODES'!$A:$B,2,FALSE)</f>
        <v>Student Funded Programs</v>
      </c>
      <c r="B599" s="1" t="s">
        <v>2</v>
      </c>
      <c r="C599" s="1" t="s">
        <v>3</v>
      </c>
      <c r="D599" s="1" t="s">
        <v>4</v>
      </c>
      <c r="E599" s="1" t="s">
        <v>114</v>
      </c>
      <c r="F599" s="1" t="s">
        <v>44</v>
      </c>
      <c r="G599" s="1" t="s">
        <v>62</v>
      </c>
      <c r="H599" s="1" t="str">
        <f>VLOOKUP(F599,'[2]DX.OTHER.9.30.06 DETAIL'!$H$1:$J$65536,3,FALSE)</f>
        <v>Exp-Travel</v>
      </c>
      <c r="I599" s="1">
        <v>0</v>
      </c>
      <c r="J599" s="2">
        <v>324.89</v>
      </c>
      <c r="K599" s="2">
        <v>0</v>
      </c>
      <c r="L599" s="2">
        <v>-324.89</v>
      </c>
      <c r="M599" s="2">
        <v>0</v>
      </c>
      <c r="N599" s="1" t="str">
        <f>VLOOKUP(E599,'[1]ORG CODES'!$A:$C,3,FALSE)</f>
        <v>3417   TRAVEL</v>
      </c>
    </row>
    <row r="600" spans="1:14" ht="14.45" hidden="1" x14ac:dyDescent="0.3">
      <c r="A600" t="str">
        <f>VLOOKUP(E600,'[1]ORG CODES'!$A:$B,2,FALSE)</f>
        <v>Student Funded Programs</v>
      </c>
      <c r="B600" s="1" t="s">
        <v>2</v>
      </c>
      <c r="C600" s="1" t="s">
        <v>3</v>
      </c>
      <c r="D600" s="1" t="s">
        <v>4</v>
      </c>
      <c r="E600" s="1" t="s">
        <v>130</v>
      </c>
      <c r="F600" s="1" t="s">
        <v>44</v>
      </c>
      <c r="G600" s="1" t="s">
        <v>62</v>
      </c>
      <c r="H600" s="1" t="str">
        <f>VLOOKUP(F600,'[2]DX.OTHER.9.30.06 DETAIL'!$H$1:$J$65536,3,FALSE)</f>
        <v>Exp-Travel</v>
      </c>
      <c r="I600" s="1">
        <v>0</v>
      </c>
      <c r="J600" s="2">
        <v>453.6</v>
      </c>
      <c r="K600" s="2">
        <v>0</v>
      </c>
      <c r="L600" s="2">
        <v>-453.6</v>
      </c>
      <c r="M600" s="2">
        <v>0</v>
      </c>
      <c r="N600" s="1" t="str">
        <f>VLOOKUP(E600,'[1]ORG CODES'!$A:$C,3,FALSE)</f>
        <v>3433   ANIME CLUB</v>
      </c>
    </row>
    <row r="601" spans="1:14" ht="14.45" hidden="1" x14ac:dyDescent="0.3">
      <c r="A601" t="str">
        <f>VLOOKUP(E601,'[1]ORG CODES'!$A:$B,2,FALSE)</f>
        <v>Student Funded Programs</v>
      </c>
      <c r="B601" s="1" t="s">
        <v>2</v>
      </c>
      <c r="C601" s="1" t="s">
        <v>3</v>
      </c>
      <c r="D601" s="1" t="s">
        <v>4</v>
      </c>
      <c r="E601" s="1" t="s">
        <v>146</v>
      </c>
      <c r="F601" s="1" t="s">
        <v>44</v>
      </c>
      <c r="G601" s="1" t="s">
        <v>62</v>
      </c>
      <c r="H601" s="1" t="str">
        <f>VLOOKUP(F601,'[2]DX.OTHER.9.30.06 DETAIL'!$H$1:$J$65536,3,FALSE)</f>
        <v>Exp-Travel</v>
      </c>
      <c r="I601" s="1">
        <v>0</v>
      </c>
      <c r="J601" s="2">
        <v>37.26</v>
      </c>
      <c r="K601" s="2">
        <v>0</v>
      </c>
      <c r="L601" s="2">
        <v>-37.26</v>
      </c>
      <c r="M601" s="2">
        <v>0</v>
      </c>
      <c r="N601" s="1" t="str">
        <f>VLOOKUP(E601,'[1]ORG CODES'!$A:$C,3,FALSE)</f>
        <v>3445   ASIAN AMERICAN CLUB</v>
      </c>
    </row>
    <row r="602" spans="1:14" ht="14.45" hidden="1" x14ac:dyDescent="0.3">
      <c r="A602" t="str">
        <f>VLOOKUP(E602,'[1]ORG CODES'!$A:$B,2,FALSE)</f>
        <v>Student Funded Programs</v>
      </c>
      <c r="B602" s="1" t="s">
        <v>2</v>
      </c>
      <c r="C602" s="1" t="s">
        <v>3</v>
      </c>
      <c r="D602" s="1" t="s">
        <v>4</v>
      </c>
      <c r="E602" s="1" t="s">
        <v>159</v>
      </c>
      <c r="F602" s="1" t="s">
        <v>44</v>
      </c>
      <c r="G602" s="1" t="s">
        <v>62</v>
      </c>
      <c r="H602" s="1" t="str">
        <f>VLOOKUP(F602,'[2]DX.OTHER.9.30.06 DETAIL'!$H$1:$J$65536,3,FALSE)</f>
        <v>Exp-Travel</v>
      </c>
      <c r="I602" s="1">
        <v>0</v>
      </c>
      <c r="J602" s="2">
        <v>0</v>
      </c>
      <c r="K602" s="2">
        <v>0</v>
      </c>
      <c r="L602" s="2">
        <v>0</v>
      </c>
      <c r="M602" s="2">
        <v>0</v>
      </c>
      <c r="N602" s="1" t="str">
        <f>VLOOKUP(E602,'[1]ORG CODES'!$A:$C,3,FALSE)</f>
        <v>3456   FRENCH CLUB</v>
      </c>
    </row>
    <row r="603" spans="1:14" ht="14.45" hidden="1" x14ac:dyDescent="0.3">
      <c r="A603" t="str">
        <f>VLOOKUP(E603,'[1]ORG CODES'!$A:$B,2,FALSE)</f>
        <v>Student Funded Programs</v>
      </c>
      <c r="B603" s="1" t="s">
        <v>2</v>
      </c>
      <c r="C603" s="1" t="s">
        <v>3</v>
      </c>
      <c r="D603" s="1" t="s">
        <v>4</v>
      </c>
      <c r="E603" s="1" t="s">
        <v>162</v>
      </c>
      <c r="F603" s="1" t="s">
        <v>44</v>
      </c>
      <c r="G603" s="1" t="s">
        <v>62</v>
      </c>
      <c r="H603" s="1" t="str">
        <f>VLOOKUP(F603,'[2]DX.OTHER.9.30.06 DETAIL'!$H$1:$J$65536,3,FALSE)</f>
        <v>Exp-Travel</v>
      </c>
      <c r="I603" s="1">
        <v>0</v>
      </c>
      <c r="J603" s="2">
        <v>7.45</v>
      </c>
      <c r="K603" s="2">
        <v>0</v>
      </c>
      <c r="L603" s="2">
        <v>-7.45</v>
      </c>
      <c r="M603" s="2">
        <v>0</v>
      </c>
      <c r="N603" s="1" t="str">
        <f>VLOOKUP(E603,'[1]ORG CODES'!$A:$C,3,FALSE)</f>
        <v>3458   L.U.A. CLUB</v>
      </c>
    </row>
    <row r="604" spans="1:14" ht="14.45" hidden="1" x14ac:dyDescent="0.3">
      <c r="A604" t="str">
        <f>VLOOKUP(E604,'[1]ORG CODES'!$A:$B,2,FALSE)</f>
        <v>Student Funded Programs</v>
      </c>
      <c r="B604" s="1" t="s">
        <v>2</v>
      </c>
      <c r="C604" s="1" t="s">
        <v>3</v>
      </c>
      <c r="D604" s="1" t="s">
        <v>4</v>
      </c>
      <c r="E604" s="1" t="s">
        <v>166</v>
      </c>
      <c r="F604" s="1" t="s">
        <v>44</v>
      </c>
      <c r="G604" s="1" t="s">
        <v>43</v>
      </c>
      <c r="H604" s="1" t="str">
        <f>VLOOKUP(F604,'[2]DX.OTHER.9.30.06 DETAIL'!$H$1:$J$65536,3,FALSE)</f>
        <v>Exp-Travel</v>
      </c>
      <c r="I604" s="1">
        <v>0</v>
      </c>
      <c r="J604" s="2">
        <v>-320</v>
      </c>
      <c r="K604" s="2">
        <v>0</v>
      </c>
      <c r="L604" s="2">
        <v>320</v>
      </c>
      <c r="M604" s="2">
        <v>0</v>
      </c>
      <c r="N604" s="1" t="str">
        <f>VLOOKUP(E604,'[1]ORG CODES'!$A:$C,3,FALSE)</f>
        <v>3461   JOURNALISM</v>
      </c>
    </row>
    <row r="605" spans="1:14" ht="14.45" hidden="1" x14ac:dyDescent="0.3">
      <c r="A605" t="str">
        <f>VLOOKUP(E605,'[1]ORG CODES'!$A:$B,2,FALSE)</f>
        <v>Student Funded Programs</v>
      </c>
      <c r="B605" s="1" t="s">
        <v>2</v>
      </c>
      <c r="C605" s="1" t="s">
        <v>3</v>
      </c>
      <c r="D605" s="1" t="s">
        <v>4</v>
      </c>
      <c r="E605" s="1" t="s">
        <v>172</v>
      </c>
      <c r="F605" s="1" t="s">
        <v>44</v>
      </c>
      <c r="G605" s="1" t="s">
        <v>62</v>
      </c>
      <c r="H605" s="1" t="str">
        <f>VLOOKUP(F605,'[2]DX.OTHER.9.30.06 DETAIL'!$H$1:$J$65536,3,FALSE)</f>
        <v>Exp-Travel</v>
      </c>
      <c r="I605" s="1">
        <v>0</v>
      </c>
      <c r="J605" s="2">
        <v>22.36</v>
      </c>
      <c r="K605" s="2">
        <v>0</v>
      </c>
      <c r="L605" s="2">
        <v>-22.36</v>
      </c>
      <c r="M605" s="2">
        <v>0</v>
      </c>
      <c r="N605" s="1" t="str">
        <f>VLOOKUP(E605,'[1]ORG CODES'!$A:$C,3,FALSE)</f>
        <v>3465   RED NATIONS ASSOC</v>
      </c>
    </row>
    <row r="606" spans="1:14" ht="14.45" hidden="1" x14ac:dyDescent="0.3">
      <c r="A606" t="str">
        <f>VLOOKUP(E606,'[1]ORG CODES'!$A:$B,2,FALSE)</f>
        <v>Student Funded Programs</v>
      </c>
      <c r="B606" s="1" t="s">
        <v>2</v>
      </c>
      <c r="C606" s="1" t="s">
        <v>3</v>
      </c>
      <c r="D606" s="1" t="s">
        <v>4</v>
      </c>
      <c r="E606" s="1" t="s">
        <v>46</v>
      </c>
      <c r="F606" s="1" t="s">
        <v>44</v>
      </c>
      <c r="G606" s="1" t="s">
        <v>49</v>
      </c>
      <c r="H606" s="1" t="str">
        <f>VLOOKUP(F606,'[2]DX.OTHER.9.30.06 DETAIL'!$H$1:$J$65536,3,FALSE)</f>
        <v>Exp-Travel</v>
      </c>
      <c r="I606" s="1">
        <v>0</v>
      </c>
      <c r="J606" s="2">
        <v>443.1</v>
      </c>
      <c r="K606" s="2">
        <v>0</v>
      </c>
      <c r="L606" s="2">
        <v>-443.1</v>
      </c>
      <c r="M606" s="2">
        <v>0</v>
      </c>
      <c r="N606" s="1" t="str">
        <f>VLOOKUP(E606,'[1]ORG CODES'!$A:$C,3,FALSE)</f>
        <v>3330   GRAPHIC DESIGN</v>
      </c>
    </row>
    <row r="607" spans="1:14" ht="14.45" hidden="1" x14ac:dyDescent="0.3">
      <c r="A607" t="str">
        <f>VLOOKUP(E607,'[1]ORG CODES'!$A:$B,2,FALSE)</f>
        <v>Student Funded Programs</v>
      </c>
      <c r="B607" s="1" t="s">
        <v>2</v>
      </c>
      <c r="C607" s="1" t="s">
        <v>3</v>
      </c>
      <c r="D607" s="1" t="s">
        <v>4</v>
      </c>
      <c r="E607" s="1" t="s">
        <v>65</v>
      </c>
      <c r="F607" s="1" t="s">
        <v>44</v>
      </c>
      <c r="G607" s="1" t="s">
        <v>49</v>
      </c>
      <c r="H607" s="1" t="str">
        <f>VLOOKUP(F607,'[2]DX.OTHER.9.30.06 DETAIL'!$H$1:$J$65536,3,FALSE)</f>
        <v>Exp-Travel</v>
      </c>
      <c r="I607" s="1">
        <v>0</v>
      </c>
      <c r="J607" s="2">
        <v>403.94</v>
      </c>
      <c r="K607" s="2">
        <v>0</v>
      </c>
      <c r="L607" s="2">
        <v>-403.94</v>
      </c>
      <c r="M607" s="2">
        <v>0</v>
      </c>
      <c r="N607" s="1" t="str">
        <f>VLOOKUP(E607,'[1]ORG CODES'!$A:$C,3,FALSE)</f>
        <v>3354   CONCERT BAND</v>
      </c>
    </row>
    <row r="608" spans="1:14" ht="14.45" hidden="1" x14ac:dyDescent="0.3">
      <c r="A608" t="str">
        <f>VLOOKUP(E608,'[1]ORG CODES'!$A:$B,2,FALSE)</f>
        <v>Student Funded Programs</v>
      </c>
      <c r="B608" s="1" t="s">
        <v>2</v>
      </c>
      <c r="C608" s="1" t="s">
        <v>3</v>
      </c>
      <c r="D608" s="1" t="s">
        <v>4</v>
      </c>
      <c r="E608" s="1" t="s">
        <v>68</v>
      </c>
      <c r="F608" s="1" t="s">
        <v>44</v>
      </c>
      <c r="G608" s="1" t="s">
        <v>43</v>
      </c>
      <c r="H608" s="1" t="str">
        <f>VLOOKUP(F608,'[2]DX.OTHER.9.30.06 DETAIL'!$H$1:$J$65536,3,FALSE)</f>
        <v>Exp-Travel</v>
      </c>
      <c r="I608" s="1">
        <v>0</v>
      </c>
      <c r="J608" s="2">
        <v>547</v>
      </c>
      <c r="K608" s="2">
        <v>0</v>
      </c>
      <c r="L608" s="2">
        <v>-547</v>
      </c>
      <c r="M608" s="2">
        <v>0</v>
      </c>
      <c r="N608" s="1" t="str">
        <f>VLOOKUP(E608,'[1]ORG CODES'!$A:$C,3,FALSE)</f>
        <v>3355   CHORAL MUSIC</v>
      </c>
    </row>
    <row r="609" spans="1:14" ht="14.45" hidden="1" x14ac:dyDescent="0.3">
      <c r="A609" t="str">
        <f>VLOOKUP(E609,'[1]ORG CODES'!$A:$B,2,FALSE)</f>
        <v>Student Funded Programs</v>
      </c>
      <c r="B609" s="1" t="s">
        <v>2</v>
      </c>
      <c r="C609" s="1" t="s">
        <v>3</v>
      </c>
      <c r="D609" s="1" t="s">
        <v>4</v>
      </c>
      <c r="E609" s="1" t="s">
        <v>68</v>
      </c>
      <c r="F609" s="1" t="s">
        <v>44</v>
      </c>
      <c r="G609" s="1" t="s">
        <v>62</v>
      </c>
      <c r="H609" s="1" t="str">
        <f>VLOOKUP(F609,'[2]DX.OTHER.9.30.06 DETAIL'!$H$1:$J$65536,3,FALSE)</f>
        <v>Exp-Travel</v>
      </c>
      <c r="I609" s="1">
        <v>0</v>
      </c>
      <c r="J609" s="2">
        <v>100.36</v>
      </c>
      <c r="K609" s="2">
        <v>0</v>
      </c>
      <c r="L609" s="2">
        <v>-100.36</v>
      </c>
      <c r="M609" s="2">
        <v>0</v>
      </c>
      <c r="N609" s="1" t="str">
        <f>VLOOKUP(E609,'[1]ORG CODES'!$A:$C,3,FALSE)</f>
        <v>3355   CHORAL MUSIC</v>
      </c>
    </row>
    <row r="610" spans="1:14" ht="14.45" hidden="1" x14ac:dyDescent="0.3">
      <c r="A610" t="str">
        <f>VLOOKUP(E610,'[1]ORG CODES'!$A:$B,2,FALSE)</f>
        <v>Student Funded Programs</v>
      </c>
      <c r="B610" s="1" t="s">
        <v>2</v>
      </c>
      <c r="C610" s="1" t="s">
        <v>3</v>
      </c>
      <c r="D610" s="1" t="s">
        <v>4</v>
      </c>
      <c r="E610" s="1" t="s">
        <v>68</v>
      </c>
      <c r="F610" s="1" t="s">
        <v>44</v>
      </c>
      <c r="G610" s="1" t="s">
        <v>32</v>
      </c>
      <c r="H610" s="1" t="str">
        <f>VLOOKUP(F610,'[2]DX.OTHER.9.30.06 DETAIL'!$H$1:$J$65536,3,FALSE)</f>
        <v>Exp-Travel</v>
      </c>
      <c r="I610" s="1">
        <v>0</v>
      </c>
      <c r="J610" s="2">
        <v>375.94</v>
      </c>
      <c r="K610" s="2">
        <v>0</v>
      </c>
      <c r="L610" s="2">
        <v>-375.94</v>
      </c>
      <c r="M610" s="2">
        <v>0</v>
      </c>
      <c r="N610" s="1" t="str">
        <f>VLOOKUP(E610,'[1]ORG CODES'!$A:$C,3,FALSE)</f>
        <v>3355   CHORAL MUSIC</v>
      </c>
    </row>
    <row r="611" spans="1:14" ht="14.45" hidden="1" x14ac:dyDescent="0.3">
      <c r="A611" t="str">
        <f>VLOOKUP(E611,'[1]ORG CODES'!$A:$B,2,FALSE)</f>
        <v>Student Funded Programs</v>
      </c>
      <c r="B611" s="1" t="s">
        <v>2</v>
      </c>
      <c r="C611" s="1" t="s">
        <v>3</v>
      </c>
      <c r="D611" s="1" t="s">
        <v>4</v>
      </c>
      <c r="E611" s="1" t="s">
        <v>68</v>
      </c>
      <c r="F611" s="1" t="s">
        <v>44</v>
      </c>
      <c r="G611" s="1" t="s">
        <v>70</v>
      </c>
      <c r="H611" s="1" t="str">
        <f>VLOOKUP(F611,'[2]DX.OTHER.9.30.06 DETAIL'!$H$1:$J$65536,3,FALSE)</f>
        <v>Exp-Travel</v>
      </c>
      <c r="I611" s="1">
        <v>0</v>
      </c>
      <c r="J611" s="2">
        <v>150</v>
      </c>
      <c r="K611" s="2">
        <v>0</v>
      </c>
      <c r="L611" s="2">
        <v>-150</v>
      </c>
      <c r="M611" s="2">
        <v>0</v>
      </c>
      <c r="N611" s="1" t="str">
        <f>VLOOKUP(E611,'[1]ORG CODES'!$A:$C,3,FALSE)</f>
        <v>3355   CHORAL MUSIC</v>
      </c>
    </row>
    <row r="612" spans="1:14" ht="14.45" hidden="1" x14ac:dyDescent="0.3">
      <c r="A612" t="str">
        <f>VLOOKUP(E612,'[1]ORG CODES'!$A:$B,2,FALSE)</f>
        <v>Student Funded Programs</v>
      </c>
      <c r="B612" s="1" t="s">
        <v>2</v>
      </c>
      <c r="C612" s="1" t="s">
        <v>3</v>
      </c>
      <c r="D612" s="1" t="s">
        <v>4</v>
      </c>
      <c r="E612" s="1" t="s">
        <v>68</v>
      </c>
      <c r="F612" s="1" t="s">
        <v>44</v>
      </c>
      <c r="G612" s="1" t="s">
        <v>49</v>
      </c>
      <c r="H612" s="1" t="str">
        <f>VLOOKUP(F612,'[2]DX.OTHER.9.30.06 DETAIL'!$H$1:$J$65536,3,FALSE)</f>
        <v>Exp-Travel</v>
      </c>
      <c r="I612" s="1">
        <v>0</v>
      </c>
      <c r="J612" s="2">
        <v>341.21</v>
      </c>
      <c r="K612" s="2">
        <v>0</v>
      </c>
      <c r="L612" s="2">
        <v>-341.21</v>
      </c>
      <c r="M612" s="2">
        <v>0</v>
      </c>
      <c r="N612" s="1" t="str">
        <f>VLOOKUP(E612,'[1]ORG CODES'!$A:$C,3,FALSE)</f>
        <v>3355   CHORAL MUSIC</v>
      </c>
    </row>
    <row r="613" spans="1:14" ht="14.45" hidden="1" x14ac:dyDescent="0.3">
      <c r="A613" t="str">
        <f>VLOOKUP(E613,'[1]ORG CODES'!$A:$B,2,FALSE)</f>
        <v>Student Funded Programs</v>
      </c>
      <c r="B613" s="1" t="s">
        <v>2</v>
      </c>
      <c r="C613" s="1" t="s">
        <v>3</v>
      </c>
      <c r="D613" s="1" t="s">
        <v>4</v>
      </c>
      <c r="E613" s="1" t="s">
        <v>77</v>
      </c>
      <c r="F613" s="1" t="s">
        <v>44</v>
      </c>
      <c r="G613" s="1" t="s">
        <v>70</v>
      </c>
      <c r="H613" s="1" t="str">
        <f>VLOOKUP(F613,'[2]DX.OTHER.9.30.06 DETAIL'!$H$1:$J$65536,3,FALSE)</f>
        <v>Exp-Travel</v>
      </c>
      <c r="I613" s="1">
        <v>0</v>
      </c>
      <c r="J613" s="2">
        <v>0</v>
      </c>
      <c r="K613" s="2">
        <v>0</v>
      </c>
      <c r="L613" s="2">
        <v>0</v>
      </c>
      <c r="M613" s="2">
        <v>0</v>
      </c>
      <c r="N613" s="1" t="str">
        <f>VLOOKUP(E613,'[1]ORG CODES'!$A:$C,3,FALSE)</f>
        <v>3367   RECREATION SOCIETY</v>
      </c>
    </row>
    <row r="614" spans="1:14" ht="14.45" hidden="1" x14ac:dyDescent="0.3">
      <c r="A614" t="str">
        <f>VLOOKUP(E614,'[1]ORG CODES'!$A:$B,2,FALSE)</f>
        <v>Student Funded Programs</v>
      </c>
      <c r="B614" s="1" t="s">
        <v>2</v>
      </c>
      <c r="C614" s="1" t="s">
        <v>3</v>
      </c>
      <c r="D614" s="1" t="s">
        <v>4</v>
      </c>
      <c r="E614" s="1" t="s">
        <v>80</v>
      </c>
      <c r="F614" s="1" t="s">
        <v>44</v>
      </c>
      <c r="G614" s="1" t="s">
        <v>62</v>
      </c>
      <c r="H614" s="1" t="str">
        <f>VLOOKUP(F614,'[2]DX.OTHER.9.30.06 DETAIL'!$H$1:$J$65536,3,FALSE)</f>
        <v>Exp-Travel</v>
      </c>
      <c r="I614" s="1">
        <v>0</v>
      </c>
      <c r="J614" s="2">
        <v>7.5</v>
      </c>
      <c r="K614" s="2">
        <v>0</v>
      </c>
      <c r="L614" s="2">
        <v>-7.5</v>
      </c>
      <c r="M614" s="2">
        <v>0</v>
      </c>
      <c r="N614" s="1" t="str">
        <f>VLOOKUP(E614,'[1]ORG CODES'!$A:$C,3,FALSE)</f>
        <v>3370   BETA GAMMA KAPPA</v>
      </c>
    </row>
    <row r="615" spans="1:14" ht="14.45" hidden="1" x14ac:dyDescent="0.3">
      <c r="A615" t="str">
        <f>VLOOKUP(E615,'[1]ORG CODES'!$A:$B,2,FALSE)</f>
        <v>Student Funded Programs</v>
      </c>
      <c r="B615" s="1" t="s">
        <v>2</v>
      </c>
      <c r="C615" s="1" t="s">
        <v>3</v>
      </c>
      <c r="D615" s="1" t="s">
        <v>4</v>
      </c>
      <c r="E615" s="1" t="s">
        <v>80</v>
      </c>
      <c r="F615" s="1" t="s">
        <v>44</v>
      </c>
      <c r="G615" s="1" t="s">
        <v>32</v>
      </c>
      <c r="H615" s="1" t="str">
        <f>VLOOKUP(F615,'[2]DX.OTHER.9.30.06 DETAIL'!$H$1:$J$65536,3,FALSE)</f>
        <v>Exp-Travel</v>
      </c>
      <c r="I615" s="1">
        <v>0</v>
      </c>
      <c r="J615" s="2">
        <v>59.86</v>
      </c>
      <c r="K615" s="2">
        <v>0</v>
      </c>
      <c r="L615" s="2">
        <v>-59.86</v>
      </c>
      <c r="M615" s="2">
        <v>0</v>
      </c>
      <c r="N615" s="1" t="str">
        <f>VLOOKUP(E615,'[1]ORG CODES'!$A:$C,3,FALSE)</f>
        <v>3370   BETA GAMMA KAPPA</v>
      </c>
    </row>
    <row r="616" spans="1:14" ht="14.45" hidden="1" x14ac:dyDescent="0.3">
      <c r="A616" t="str">
        <f>VLOOKUP(E616,'[1]ORG CODES'!$A:$B,2,FALSE)</f>
        <v>Student Funded Programs</v>
      </c>
      <c r="B616" s="1" t="s">
        <v>2</v>
      </c>
      <c r="C616" s="1" t="s">
        <v>3</v>
      </c>
      <c r="D616" s="1" t="s">
        <v>4</v>
      </c>
      <c r="E616" s="1" t="s">
        <v>103</v>
      </c>
      <c r="F616" s="1" t="s">
        <v>44</v>
      </c>
      <c r="G616" s="1" t="s">
        <v>43</v>
      </c>
      <c r="H616" s="1" t="str">
        <f>VLOOKUP(F616,'[2]DX.OTHER.9.30.06 DETAIL'!$H$1:$J$65536,3,FALSE)</f>
        <v>Exp-Travel</v>
      </c>
      <c r="I616" s="1">
        <v>0</v>
      </c>
      <c r="J616" s="2">
        <v>17.5</v>
      </c>
      <c r="K616" s="2">
        <v>0</v>
      </c>
      <c r="L616" s="2">
        <v>-17.5</v>
      </c>
      <c r="M616" s="2">
        <v>0</v>
      </c>
      <c r="N616" s="1" t="str">
        <f>VLOOKUP(E616,'[1]ORG CODES'!$A:$C,3,FALSE)</f>
        <v>3410   ASA GENERAL FUND</v>
      </c>
    </row>
    <row r="617" spans="1:14" ht="14.45" hidden="1" x14ac:dyDescent="0.3">
      <c r="A617" t="str">
        <f>VLOOKUP(E617,'[1]ORG CODES'!$A:$B,2,FALSE)</f>
        <v>Student Funded Programs</v>
      </c>
      <c r="B617" s="1" t="s">
        <v>2</v>
      </c>
      <c r="C617" s="1" t="s">
        <v>3</v>
      </c>
      <c r="D617" s="1" t="s">
        <v>4</v>
      </c>
      <c r="E617" s="1" t="s">
        <v>103</v>
      </c>
      <c r="F617" s="1" t="s">
        <v>44</v>
      </c>
      <c r="G617" s="1" t="s">
        <v>62</v>
      </c>
      <c r="H617" s="1" t="str">
        <f>VLOOKUP(F617,'[2]DX.OTHER.9.30.06 DETAIL'!$H$1:$J$65536,3,FALSE)</f>
        <v>Exp-Travel</v>
      </c>
      <c r="I617" s="1">
        <v>0</v>
      </c>
      <c r="J617" s="2">
        <v>8.1</v>
      </c>
      <c r="K617" s="2">
        <v>0</v>
      </c>
      <c r="L617" s="2">
        <v>-8.1</v>
      </c>
      <c r="M617" s="2">
        <v>0</v>
      </c>
      <c r="N617" s="1" t="str">
        <f>VLOOKUP(E617,'[1]ORG CODES'!$A:$C,3,FALSE)</f>
        <v>3410   ASA GENERAL FUND</v>
      </c>
    </row>
    <row r="618" spans="1:14" ht="14.45" hidden="1" x14ac:dyDescent="0.3">
      <c r="A618" t="str">
        <f>VLOOKUP(E618,'[1]ORG CODES'!$A:$B,2,FALSE)</f>
        <v>Student Funded Programs</v>
      </c>
      <c r="B618" s="1" t="s">
        <v>2</v>
      </c>
      <c r="C618" s="1" t="s">
        <v>3</v>
      </c>
      <c r="D618" s="1" t="s">
        <v>4</v>
      </c>
      <c r="E618" s="1" t="s">
        <v>103</v>
      </c>
      <c r="F618" s="1" t="s">
        <v>44</v>
      </c>
      <c r="G618" s="1" t="s">
        <v>105</v>
      </c>
      <c r="H618" s="1" t="str">
        <f>VLOOKUP(F618,'[2]DX.OTHER.9.30.06 DETAIL'!$H$1:$J$65536,3,FALSE)</f>
        <v>Exp-Travel</v>
      </c>
      <c r="I618" s="1">
        <v>0</v>
      </c>
      <c r="J618" s="2">
        <v>10</v>
      </c>
      <c r="K618" s="2">
        <v>0</v>
      </c>
      <c r="L618" s="2">
        <v>-10</v>
      </c>
      <c r="M618" s="2">
        <v>0</v>
      </c>
      <c r="N618" s="1" t="str">
        <f>VLOOKUP(E618,'[1]ORG CODES'!$A:$C,3,FALSE)</f>
        <v>3410   ASA GENERAL FUND</v>
      </c>
    </row>
    <row r="619" spans="1:14" ht="14.45" hidden="1" x14ac:dyDescent="0.3">
      <c r="A619" t="str">
        <f>VLOOKUP(E619,'[1]ORG CODES'!$A:$B,2,FALSE)</f>
        <v>Student Funded Programs</v>
      </c>
      <c r="B619" s="1" t="s">
        <v>2</v>
      </c>
      <c r="C619" s="1" t="s">
        <v>3</v>
      </c>
      <c r="D619" s="1" t="s">
        <v>4</v>
      </c>
      <c r="E619" s="1" t="s">
        <v>108</v>
      </c>
      <c r="F619" s="1" t="s">
        <v>44</v>
      </c>
      <c r="G619" s="1" t="s">
        <v>62</v>
      </c>
      <c r="H619" s="1" t="str">
        <f>VLOOKUP(F619,'[2]DX.OTHER.9.30.06 DETAIL'!$H$1:$J$65536,3,FALSE)</f>
        <v>Exp-Travel</v>
      </c>
      <c r="I619" s="1">
        <v>0</v>
      </c>
      <c r="J619" s="2">
        <v>24.93</v>
      </c>
      <c r="K619" s="2">
        <v>0</v>
      </c>
      <c r="L619" s="2">
        <v>-24.93</v>
      </c>
      <c r="M619" s="2">
        <v>0</v>
      </c>
      <c r="N619" s="1" t="str">
        <f>VLOOKUP(E619,'[1]ORG CODES'!$A:$C,3,FALSE)</f>
        <v>3413   LEGISLATIVE LIAISON</v>
      </c>
    </row>
    <row r="620" spans="1:14" ht="14.45" hidden="1" x14ac:dyDescent="0.3">
      <c r="A620" t="str">
        <f>VLOOKUP(E620,'[1]ORG CODES'!$A:$B,2,FALSE)</f>
        <v>Student Funded Programs</v>
      </c>
      <c r="B620" s="1" t="s">
        <v>2</v>
      </c>
      <c r="C620" s="1" t="s">
        <v>3</v>
      </c>
      <c r="D620" s="1" t="s">
        <v>4</v>
      </c>
      <c r="E620" s="1" t="s">
        <v>108</v>
      </c>
      <c r="F620" s="1" t="s">
        <v>44</v>
      </c>
      <c r="G620" s="1" t="s">
        <v>32</v>
      </c>
      <c r="H620" s="1" t="str">
        <f>VLOOKUP(F620,'[2]DX.OTHER.9.30.06 DETAIL'!$H$1:$J$65536,3,FALSE)</f>
        <v>Exp-Travel</v>
      </c>
      <c r="I620" s="1">
        <v>0</v>
      </c>
      <c r="J620" s="2">
        <v>509.13</v>
      </c>
      <c r="K620" s="2">
        <v>0</v>
      </c>
      <c r="L620" s="2">
        <v>-509.13</v>
      </c>
      <c r="M620" s="2">
        <v>0</v>
      </c>
      <c r="N620" s="1" t="str">
        <f>VLOOKUP(E620,'[1]ORG CODES'!$A:$C,3,FALSE)</f>
        <v>3413   LEGISLATIVE LIAISON</v>
      </c>
    </row>
    <row r="621" spans="1:14" ht="14.45" hidden="1" x14ac:dyDescent="0.3">
      <c r="A621" t="str">
        <f>VLOOKUP(E621,'[1]ORG CODES'!$A:$B,2,FALSE)</f>
        <v>Student Funded Programs</v>
      </c>
      <c r="B621" s="1" t="s">
        <v>2</v>
      </c>
      <c r="C621" s="1" t="s">
        <v>3</v>
      </c>
      <c r="D621" s="1" t="s">
        <v>4</v>
      </c>
      <c r="E621" s="1" t="s">
        <v>110</v>
      </c>
      <c r="F621" s="1" t="s">
        <v>44</v>
      </c>
      <c r="G621" s="1" t="s">
        <v>43</v>
      </c>
      <c r="H621" s="1" t="str">
        <f>VLOOKUP(F621,'[2]DX.OTHER.9.30.06 DETAIL'!$H$1:$J$65536,3,FALSE)</f>
        <v>Exp-Travel</v>
      </c>
      <c r="I621" s="1">
        <v>0</v>
      </c>
      <c r="J621" s="2">
        <v>28.14</v>
      </c>
      <c r="K621" s="2">
        <v>0</v>
      </c>
      <c r="L621" s="2">
        <v>-28.14</v>
      </c>
      <c r="M621" s="2">
        <v>0</v>
      </c>
      <c r="N621" s="1" t="str">
        <f>VLOOKUP(E621,'[1]ORG CODES'!$A:$C,3,FALSE)</f>
        <v>3415   SUPPLIES</v>
      </c>
    </row>
    <row r="622" spans="1:14" ht="14.45" hidden="1" x14ac:dyDescent="0.3">
      <c r="A622" t="str">
        <f>VLOOKUP(E622,'[1]ORG CODES'!$A:$B,2,FALSE)</f>
        <v>Student Funded Programs</v>
      </c>
      <c r="B622" s="1" t="s">
        <v>2</v>
      </c>
      <c r="C622" s="1" t="s">
        <v>3</v>
      </c>
      <c r="D622" s="1" t="s">
        <v>4</v>
      </c>
      <c r="E622" s="1" t="s">
        <v>114</v>
      </c>
      <c r="F622" s="1" t="s">
        <v>44</v>
      </c>
      <c r="G622" s="1" t="s">
        <v>62</v>
      </c>
      <c r="H622" s="1" t="str">
        <f>VLOOKUP(F622,'[2]DX.OTHER.9.30.06 DETAIL'!$H$1:$J$65536,3,FALSE)</f>
        <v>Exp-Travel</v>
      </c>
      <c r="I622" s="1">
        <v>0</v>
      </c>
      <c r="J622" s="2">
        <v>22.5</v>
      </c>
      <c r="K622" s="2">
        <v>0</v>
      </c>
      <c r="L622" s="2">
        <v>-22.5</v>
      </c>
      <c r="M622" s="2">
        <v>0</v>
      </c>
      <c r="N622" s="1" t="str">
        <f>VLOOKUP(E622,'[1]ORG CODES'!$A:$C,3,FALSE)</f>
        <v>3417   TRAVEL</v>
      </c>
    </row>
    <row r="623" spans="1:14" ht="14.45" hidden="1" x14ac:dyDescent="0.3">
      <c r="A623" t="str">
        <f>VLOOKUP(E623,'[1]ORG CODES'!$A:$B,2,FALSE)</f>
        <v>Student Funded Programs</v>
      </c>
      <c r="B623" s="1" t="s">
        <v>2</v>
      </c>
      <c r="C623" s="1" t="s">
        <v>3</v>
      </c>
      <c r="D623" s="1" t="s">
        <v>4</v>
      </c>
      <c r="E623" s="1" t="s">
        <v>114</v>
      </c>
      <c r="F623" s="1" t="s">
        <v>44</v>
      </c>
      <c r="G623" s="1" t="s">
        <v>32</v>
      </c>
      <c r="H623" s="1" t="str">
        <f>VLOOKUP(F623,'[2]DX.OTHER.9.30.06 DETAIL'!$H$1:$J$65536,3,FALSE)</f>
        <v>Exp-Travel</v>
      </c>
      <c r="I623" s="1">
        <v>0</v>
      </c>
      <c r="J623" s="2">
        <v>196.07</v>
      </c>
      <c r="K623" s="2">
        <v>0</v>
      </c>
      <c r="L623" s="2">
        <v>-196.07</v>
      </c>
      <c r="M623" s="2">
        <v>0</v>
      </c>
      <c r="N623" s="1" t="str">
        <f>VLOOKUP(E623,'[1]ORG CODES'!$A:$C,3,FALSE)</f>
        <v>3417   TRAVEL</v>
      </c>
    </row>
    <row r="624" spans="1:14" ht="14.45" hidden="1" x14ac:dyDescent="0.3">
      <c r="A624" t="str">
        <f>VLOOKUP(E624,'[1]ORG CODES'!$A:$B,2,FALSE)</f>
        <v>Student Funded Programs</v>
      </c>
      <c r="B624" s="1" t="s">
        <v>2</v>
      </c>
      <c r="C624" s="1" t="s">
        <v>3</v>
      </c>
      <c r="D624" s="1" t="s">
        <v>4</v>
      </c>
      <c r="E624" s="1" t="s">
        <v>114</v>
      </c>
      <c r="F624" s="1" t="s">
        <v>44</v>
      </c>
      <c r="G624" s="1" t="s">
        <v>70</v>
      </c>
      <c r="H624" s="1" t="str">
        <f>VLOOKUP(F624,'[2]DX.OTHER.9.30.06 DETAIL'!$H$1:$J$65536,3,FALSE)</f>
        <v>Exp-Travel</v>
      </c>
      <c r="I624" s="1">
        <v>0</v>
      </c>
      <c r="J624" s="2">
        <v>182.5</v>
      </c>
      <c r="K624" s="2">
        <v>0</v>
      </c>
      <c r="L624" s="2">
        <v>-182.5</v>
      </c>
      <c r="M624" s="2">
        <v>0</v>
      </c>
      <c r="N624" s="1" t="str">
        <f>VLOOKUP(E624,'[1]ORG CODES'!$A:$C,3,FALSE)</f>
        <v>3417   TRAVEL</v>
      </c>
    </row>
    <row r="625" spans="1:14" ht="14.45" hidden="1" x14ac:dyDescent="0.3">
      <c r="A625" t="str">
        <f>VLOOKUP(E625,'[1]ORG CODES'!$A:$B,2,FALSE)</f>
        <v>Student Funded Programs</v>
      </c>
      <c r="B625" s="1" t="s">
        <v>2</v>
      </c>
      <c r="C625" s="1" t="s">
        <v>3</v>
      </c>
      <c r="D625" s="1" t="s">
        <v>4</v>
      </c>
      <c r="E625" s="1" t="s">
        <v>114</v>
      </c>
      <c r="F625" s="1" t="s">
        <v>44</v>
      </c>
      <c r="G625" s="1" t="s">
        <v>49</v>
      </c>
      <c r="H625" s="1" t="str">
        <f>VLOOKUP(F625,'[2]DX.OTHER.9.30.06 DETAIL'!$H$1:$J$65536,3,FALSE)</f>
        <v>Exp-Travel</v>
      </c>
      <c r="I625" s="1">
        <v>0</v>
      </c>
      <c r="J625" s="2">
        <v>244.81</v>
      </c>
      <c r="K625" s="2">
        <v>0</v>
      </c>
      <c r="L625" s="2">
        <v>-244.81</v>
      </c>
      <c r="M625" s="2">
        <v>0</v>
      </c>
      <c r="N625" s="1" t="str">
        <f>VLOOKUP(E625,'[1]ORG CODES'!$A:$C,3,FALSE)</f>
        <v>3417   TRAVEL</v>
      </c>
    </row>
    <row r="626" spans="1:14" ht="14.45" hidden="1" x14ac:dyDescent="0.3">
      <c r="A626" t="str">
        <f>VLOOKUP(E626,'[1]ORG CODES'!$A:$B,2,FALSE)</f>
        <v>Student Funded Programs</v>
      </c>
      <c r="B626" s="1" t="s">
        <v>2</v>
      </c>
      <c r="C626" s="1" t="s">
        <v>3</v>
      </c>
      <c r="D626" s="1" t="s">
        <v>4</v>
      </c>
      <c r="E626" s="1" t="s">
        <v>121</v>
      </c>
      <c r="F626" s="1" t="s">
        <v>44</v>
      </c>
      <c r="G626" s="1" t="s">
        <v>105</v>
      </c>
      <c r="H626" s="1" t="str">
        <f>VLOOKUP(F626,'[2]DX.OTHER.9.30.06 DETAIL'!$H$1:$J$65536,3,FALSE)</f>
        <v>Exp-Travel</v>
      </c>
      <c r="I626" s="1">
        <v>0</v>
      </c>
      <c r="J626" s="2">
        <v>0</v>
      </c>
      <c r="K626" s="2">
        <v>0</v>
      </c>
      <c r="L626" s="2">
        <v>0</v>
      </c>
      <c r="M626" s="2">
        <v>0</v>
      </c>
      <c r="N626" s="1" t="str">
        <f>VLOOKUP(E626,'[1]ORG CODES'!$A:$C,3,FALSE)</f>
        <v>3424   SPEAKERS/SEMINARS</v>
      </c>
    </row>
    <row r="627" spans="1:14" ht="14.45" hidden="1" x14ac:dyDescent="0.3">
      <c r="A627" t="str">
        <f>VLOOKUP(E627,'[1]ORG CODES'!$A:$B,2,FALSE)</f>
        <v>Student Funded Programs</v>
      </c>
      <c r="B627" s="1" t="s">
        <v>2</v>
      </c>
      <c r="C627" s="1" t="s">
        <v>3</v>
      </c>
      <c r="D627" s="1" t="s">
        <v>4</v>
      </c>
      <c r="E627" s="1" t="s">
        <v>127</v>
      </c>
      <c r="F627" s="1" t="s">
        <v>44</v>
      </c>
      <c r="G627" s="1" t="s">
        <v>62</v>
      </c>
      <c r="H627" s="1" t="str">
        <f>VLOOKUP(F627,'[2]DX.OTHER.9.30.06 DETAIL'!$H$1:$J$65536,3,FALSE)</f>
        <v>Exp-Travel</v>
      </c>
      <c r="I627" s="1">
        <v>0</v>
      </c>
      <c r="J627" s="2">
        <v>0</v>
      </c>
      <c r="K627" s="2">
        <v>0</v>
      </c>
      <c r="L627" s="2">
        <v>0</v>
      </c>
      <c r="M627" s="2">
        <v>0</v>
      </c>
      <c r="N627" s="1" t="str">
        <f>VLOOKUP(E627,'[1]ORG CODES'!$A:$C,3,FALSE)</f>
        <v>3430   STUDENT MEDIA LAB</v>
      </c>
    </row>
    <row r="628" spans="1:14" ht="14.45" hidden="1" x14ac:dyDescent="0.3">
      <c r="A628" t="str">
        <f>VLOOKUP(E628,'[1]ORG CODES'!$A:$B,2,FALSE)</f>
        <v>Student Funded Programs</v>
      </c>
      <c r="B628" s="1" t="s">
        <v>2</v>
      </c>
      <c r="C628" s="1" t="s">
        <v>3</v>
      </c>
      <c r="D628" s="1" t="s">
        <v>4</v>
      </c>
      <c r="E628" s="1" t="s">
        <v>127</v>
      </c>
      <c r="F628" s="1" t="s">
        <v>44</v>
      </c>
      <c r="G628" s="1" t="s">
        <v>70</v>
      </c>
      <c r="H628" s="1" t="str">
        <f>VLOOKUP(F628,'[2]DX.OTHER.9.30.06 DETAIL'!$H$1:$J$65536,3,FALSE)</f>
        <v>Exp-Travel</v>
      </c>
      <c r="I628" s="1">
        <v>0</v>
      </c>
      <c r="J628" s="2">
        <v>43.98</v>
      </c>
      <c r="K628" s="2">
        <v>0</v>
      </c>
      <c r="L628" s="2">
        <v>-43.98</v>
      </c>
      <c r="M628" s="2">
        <v>0</v>
      </c>
      <c r="N628" s="1" t="str">
        <f>VLOOKUP(E628,'[1]ORG CODES'!$A:$C,3,FALSE)</f>
        <v>3430   STUDENT MEDIA LAB</v>
      </c>
    </row>
    <row r="629" spans="1:14" ht="14.45" hidden="1" x14ac:dyDescent="0.3">
      <c r="A629" t="str">
        <f>VLOOKUP(E629,'[1]ORG CODES'!$A:$B,2,FALSE)</f>
        <v>Student Funded Programs</v>
      </c>
      <c r="B629" s="1" t="s">
        <v>2</v>
      </c>
      <c r="C629" s="1" t="s">
        <v>3</v>
      </c>
      <c r="D629" s="1" t="s">
        <v>4</v>
      </c>
      <c r="E629" s="1" t="s">
        <v>132</v>
      </c>
      <c r="F629" s="1" t="s">
        <v>44</v>
      </c>
      <c r="G629" s="1" t="s">
        <v>32</v>
      </c>
      <c r="H629" s="1" t="str">
        <f>VLOOKUP(F629,'[2]DX.OTHER.9.30.06 DETAIL'!$H$1:$J$65536,3,FALSE)</f>
        <v>Exp-Travel</v>
      </c>
      <c r="I629" s="1">
        <v>0</v>
      </c>
      <c r="J629" s="2">
        <v>174.03</v>
      </c>
      <c r="K629" s="2">
        <v>0</v>
      </c>
      <c r="L629" s="2">
        <v>-174.03</v>
      </c>
      <c r="M629" s="2">
        <v>0</v>
      </c>
      <c r="N629" s="1" t="str">
        <f>VLOOKUP(E629,'[1]ORG CODES'!$A:$C,3,FALSE)</f>
        <v>3435   BLACK STUDENT UNION</v>
      </c>
    </row>
    <row r="630" spans="1:14" ht="14.45" hidden="1" x14ac:dyDescent="0.3">
      <c r="A630" t="str">
        <f>VLOOKUP(E630,'[1]ORG CODES'!$A:$B,2,FALSE)</f>
        <v>Student Funded Programs</v>
      </c>
      <c r="B630" s="1" t="s">
        <v>2</v>
      </c>
      <c r="C630" s="1" t="s">
        <v>3</v>
      </c>
      <c r="D630" s="1" t="s">
        <v>4</v>
      </c>
      <c r="E630" s="1" t="s">
        <v>134</v>
      </c>
      <c r="F630" s="1" t="s">
        <v>44</v>
      </c>
      <c r="G630" s="1" t="s">
        <v>43</v>
      </c>
      <c r="H630" s="1" t="str">
        <f>VLOOKUP(F630,'[2]DX.OTHER.9.30.06 DETAIL'!$H$1:$J$65536,3,FALSE)</f>
        <v>Exp-Travel</v>
      </c>
      <c r="I630" s="1">
        <v>0</v>
      </c>
      <c r="J630" s="2">
        <v>320</v>
      </c>
      <c r="K630" s="2">
        <v>0</v>
      </c>
      <c r="L630" s="2">
        <v>-320</v>
      </c>
      <c r="M630" s="2">
        <v>0</v>
      </c>
      <c r="N630" s="1" t="str">
        <f>VLOOKUP(E630,'[1]ORG CODES'!$A:$C,3,FALSE)</f>
        <v>3436   ART CLUB</v>
      </c>
    </row>
    <row r="631" spans="1:14" ht="14.45" hidden="1" x14ac:dyDescent="0.3">
      <c r="A631" t="str">
        <f>VLOOKUP(E631,'[1]ORG CODES'!$A:$B,2,FALSE)</f>
        <v>Student Funded Programs</v>
      </c>
      <c r="B631" s="1" t="s">
        <v>2</v>
      </c>
      <c r="C631" s="1" t="s">
        <v>3</v>
      </c>
      <c r="D631" s="1" t="s">
        <v>4</v>
      </c>
      <c r="E631" s="1" t="s">
        <v>134</v>
      </c>
      <c r="F631" s="1" t="s">
        <v>44</v>
      </c>
      <c r="G631" s="1" t="s">
        <v>48</v>
      </c>
      <c r="H631" s="1" t="str">
        <f>VLOOKUP(F631,'[2]DX.OTHER.9.30.06 DETAIL'!$H$1:$J$65536,3,FALSE)</f>
        <v>Exp-Travel</v>
      </c>
      <c r="I631" s="1">
        <v>0</v>
      </c>
      <c r="J631" s="2">
        <v>1900</v>
      </c>
      <c r="K631" s="2">
        <v>0</v>
      </c>
      <c r="L631" s="2">
        <v>-1900</v>
      </c>
      <c r="M631" s="2">
        <v>0</v>
      </c>
      <c r="N631" s="1" t="str">
        <f>VLOOKUP(E631,'[1]ORG CODES'!$A:$C,3,FALSE)</f>
        <v>3436   ART CLUB</v>
      </c>
    </row>
    <row r="632" spans="1:14" ht="14.45" hidden="1" x14ac:dyDescent="0.3">
      <c r="A632" t="str">
        <f>VLOOKUP(E632,'[1]ORG CODES'!$A:$B,2,FALSE)</f>
        <v>Student Funded Programs</v>
      </c>
      <c r="B632" s="1" t="s">
        <v>2</v>
      </c>
      <c r="C632" s="1" t="s">
        <v>3</v>
      </c>
      <c r="D632" s="1" t="s">
        <v>4</v>
      </c>
      <c r="E632" s="1" t="s">
        <v>149</v>
      </c>
      <c r="F632" s="1" t="s">
        <v>44</v>
      </c>
      <c r="G632" s="1" t="s">
        <v>43</v>
      </c>
      <c r="H632" s="1" t="str">
        <f>VLOOKUP(F632,'[2]DX.OTHER.9.30.06 DETAIL'!$H$1:$J$65536,3,FALSE)</f>
        <v>Exp-Travel</v>
      </c>
      <c r="I632" s="1">
        <v>0</v>
      </c>
      <c r="J632" s="2">
        <v>31.01</v>
      </c>
      <c r="K632" s="2">
        <v>0</v>
      </c>
      <c r="L632" s="2">
        <v>-31.01</v>
      </c>
      <c r="M632" s="2">
        <v>0</v>
      </c>
      <c r="N632" s="1" t="str">
        <f>VLOOKUP(E632,'[1]ORG CODES'!$A:$C,3,FALSE)</f>
        <v>3446   SVC LRN</v>
      </c>
    </row>
    <row r="633" spans="1:14" ht="14.45" hidden="1" x14ac:dyDescent="0.3">
      <c r="A633" t="str">
        <f>VLOOKUP(E633,'[1]ORG CODES'!$A:$B,2,FALSE)</f>
        <v>Student Funded Programs</v>
      </c>
      <c r="B633" s="1" t="s">
        <v>2</v>
      </c>
      <c r="C633" s="1" t="s">
        <v>3</v>
      </c>
      <c r="D633" s="1" t="s">
        <v>4</v>
      </c>
      <c r="E633" s="1" t="s">
        <v>149</v>
      </c>
      <c r="F633" s="1" t="s">
        <v>44</v>
      </c>
      <c r="G633" s="1" t="s">
        <v>62</v>
      </c>
      <c r="H633" s="1" t="str">
        <f>VLOOKUP(F633,'[2]DX.OTHER.9.30.06 DETAIL'!$H$1:$J$65536,3,FALSE)</f>
        <v>Exp-Travel</v>
      </c>
      <c r="I633" s="1">
        <v>0</v>
      </c>
      <c r="J633" s="2">
        <v>128.41999999999999</v>
      </c>
      <c r="K633" s="2">
        <v>0</v>
      </c>
      <c r="L633" s="2">
        <v>-128.41999999999999</v>
      </c>
      <c r="M633" s="2">
        <v>0</v>
      </c>
      <c r="N633" s="1" t="str">
        <f>VLOOKUP(E633,'[1]ORG CODES'!$A:$C,3,FALSE)</f>
        <v>3446   SVC LRN</v>
      </c>
    </row>
    <row r="634" spans="1:14" ht="14.45" hidden="1" x14ac:dyDescent="0.3">
      <c r="A634" t="str">
        <f>VLOOKUP(E634,'[1]ORG CODES'!$A:$B,2,FALSE)</f>
        <v>Student Funded Programs</v>
      </c>
      <c r="B634" s="1" t="s">
        <v>2</v>
      </c>
      <c r="C634" s="1" t="s">
        <v>3</v>
      </c>
      <c r="D634" s="1" t="s">
        <v>4</v>
      </c>
      <c r="E634" s="1" t="s">
        <v>149</v>
      </c>
      <c r="F634" s="1" t="s">
        <v>44</v>
      </c>
      <c r="G634" s="1" t="s">
        <v>49</v>
      </c>
      <c r="H634" s="1" t="str">
        <f>VLOOKUP(F634,'[2]DX.OTHER.9.30.06 DETAIL'!$H$1:$J$65536,3,FALSE)</f>
        <v>Exp-Travel</v>
      </c>
      <c r="I634" s="1">
        <v>0</v>
      </c>
      <c r="J634" s="2">
        <v>362.71</v>
      </c>
      <c r="K634" s="2">
        <v>0</v>
      </c>
      <c r="L634" s="2">
        <v>-362.71</v>
      </c>
      <c r="M634" s="2">
        <v>0</v>
      </c>
      <c r="N634" s="1" t="str">
        <f>VLOOKUP(E634,'[1]ORG CODES'!$A:$C,3,FALSE)</f>
        <v>3446   SVC LRN</v>
      </c>
    </row>
    <row r="635" spans="1:14" ht="14.45" hidden="1" x14ac:dyDescent="0.3">
      <c r="A635" t="str">
        <f>VLOOKUP(E635,'[1]ORG CODES'!$A:$B,2,FALSE)</f>
        <v>Student Funded Programs</v>
      </c>
      <c r="B635" s="1" t="s">
        <v>2</v>
      </c>
      <c r="C635" s="1" t="s">
        <v>3</v>
      </c>
      <c r="D635" s="1" t="s">
        <v>4</v>
      </c>
      <c r="E635" s="1" t="s">
        <v>159</v>
      </c>
      <c r="F635" s="1" t="s">
        <v>44</v>
      </c>
      <c r="G635" s="1" t="s">
        <v>62</v>
      </c>
      <c r="H635" s="1" t="str">
        <f>VLOOKUP(F635,'[2]DX.OTHER.9.30.06 DETAIL'!$H$1:$J$65536,3,FALSE)</f>
        <v>Exp-Travel</v>
      </c>
      <c r="I635" s="1">
        <v>0</v>
      </c>
      <c r="J635" s="2">
        <v>11</v>
      </c>
      <c r="K635" s="2">
        <v>0</v>
      </c>
      <c r="L635" s="2">
        <v>-11</v>
      </c>
      <c r="M635" s="2">
        <v>0</v>
      </c>
      <c r="N635" s="1" t="str">
        <f>VLOOKUP(E635,'[1]ORG CODES'!$A:$C,3,FALSE)</f>
        <v>3456   FRENCH CLUB</v>
      </c>
    </row>
    <row r="636" spans="1:14" ht="14.45" hidden="1" x14ac:dyDescent="0.3">
      <c r="A636" t="str">
        <f>VLOOKUP(E636,'[1]ORG CODES'!$A:$B,2,FALSE)</f>
        <v>Student Funded Programs</v>
      </c>
      <c r="B636" s="1" t="s">
        <v>2</v>
      </c>
      <c r="C636" s="1" t="s">
        <v>3</v>
      </c>
      <c r="D636" s="1" t="s">
        <v>4</v>
      </c>
      <c r="E636" s="1" t="s">
        <v>160</v>
      </c>
      <c r="F636" s="1" t="s">
        <v>44</v>
      </c>
      <c r="G636" s="1" t="s">
        <v>62</v>
      </c>
      <c r="H636" s="1" t="str">
        <f>VLOOKUP(F636,'[2]DX.OTHER.9.30.06 DETAIL'!$H$1:$J$65536,3,FALSE)</f>
        <v>Exp-Travel</v>
      </c>
      <c r="I636" s="1">
        <v>0</v>
      </c>
      <c r="J636" s="2">
        <v>18.260000000000002</v>
      </c>
      <c r="K636" s="2">
        <v>0</v>
      </c>
      <c r="L636" s="2">
        <v>-18.260000000000002</v>
      </c>
      <c r="M636" s="2">
        <v>0</v>
      </c>
      <c r="N636" s="1" t="str">
        <f>VLOOKUP(E636,'[1]ORG CODES'!$A:$C,3,FALSE)</f>
        <v>3457   THE ALLIANCE</v>
      </c>
    </row>
    <row r="637" spans="1:14" ht="14.45" hidden="1" x14ac:dyDescent="0.3">
      <c r="A637" t="str">
        <f>VLOOKUP(E637,'[1]ORG CODES'!$A:$B,2,FALSE)</f>
        <v>Student Funded Programs</v>
      </c>
      <c r="B637" s="1" t="s">
        <v>2</v>
      </c>
      <c r="C637" s="1" t="s">
        <v>3</v>
      </c>
      <c r="D637" s="1" t="s">
        <v>4</v>
      </c>
      <c r="E637" s="1" t="s">
        <v>160</v>
      </c>
      <c r="F637" s="1" t="s">
        <v>44</v>
      </c>
      <c r="G637" s="1" t="s">
        <v>105</v>
      </c>
      <c r="H637" s="1" t="str">
        <f>VLOOKUP(F637,'[2]DX.OTHER.9.30.06 DETAIL'!$H$1:$J$65536,3,FALSE)</f>
        <v>Exp-Travel</v>
      </c>
      <c r="I637" s="1">
        <v>0</v>
      </c>
      <c r="J637" s="2">
        <v>25</v>
      </c>
      <c r="K637" s="2">
        <v>0</v>
      </c>
      <c r="L637" s="2">
        <v>-25</v>
      </c>
      <c r="M637" s="2">
        <v>0</v>
      </c>
      <c r="N637" s="1" t="str">
        <f>VLOOKUP(E637,'[1]ORG CODES'!$A:$C,3,FALSE)</f>
        <v>3457   THE ALLIANCE</v>
      </c>
    </row>
    <row r="638" spans="1:14" ht="14.45" hidden="1" x14ac:dyDescent="0.3">
      <c r="A638" t="str">
        <f>VLOOKUP(E638,'[1]ORG CODES'!$A:$B,2,FALSE)</f>
        <v>Student Funded Programs</v>
      </c>
      <c r="B638" s="1" t="s">
        <v>2</v>
      </c>
      <c r="C638" s="1" t="s">
        <v>3</v>
      </c>
      <c r="D638" s="1" t="s">
        <v>4</v>
      </c>
      <c r="E638" s="1" t="s">
        <v>160</v>
      </c>
      <c r="F638" s="1" t="s">
        <v>44</v>
      </c>
      <c r="G638" s="1" t="s">
        <v>49</v>
      </c>
      <c r="H638" s="1" t="str">
        <f>VLOOKUP(F638,'[2]DX.OTHER.9.30.06 DETAIL'!$H$1:$J$65536,3,FALSE)</f>
        <v>Exp-Travel</v>
      </c>
      <c r="I638" s="1">
        <v>0</v>
      </c>
      <c r="J638" s="2">
        <v>339.12</v>
      </c>
      <c r="K638" s="2">
        <v>0</v>
      </c>
      <c r="L638" s="2">
        <v>-339.12</v>
      </c>
      <c r="M638" s="2">
        <v>0</v>
      </c>
      <c r="N638" s="1" t="str">
        <f>VLOOKUP(E638,'[1]ORG CODES'!$A:$C,3,FALSE)</f>
        <v>3457   THE ALLIANCE</v>
      </c>
    </row>
    <row r="639" spans="1:14" ht="14.45" hidden="1" x14ac:dyDescent="0.3">
      <c r="A639" t="str">
        <f>VLOOKUP(E639,'[1]ORG CODES'!$A:$B,2,FALSE)</f>
        <v>Student Funded Programs</v>
      </c>
      <c r="B639" s="1" t="s">
        <v>2</v>
      </c>
      <c r="C639" s="1" t="s">
        <v>3</v>
      </c>
      <c r="D639" s="1" t="s">
        <v>4</v>
      </c>
      <c r="E639" s="1" t="s">
        <v>162</v>
      </c>
      <c r="F639" s="1" t="s">
        <v>44</v>
      </c>
      <c r="G639" s="1" t="s">
        <v>32</v>
      </c>
      <c r="H639" s="1" t="str">
        <f>VLOOKUP(F639,'[2]DX.OTHER.9.30.06 DETAIL'!$H$1:$J$65536,3,FALSE)</f>
        <v>Exp-Travel</v>
      </c>
      <c r="I639" s="1">
        <v>0</v>
      </c>
      <c r="J639" s="2">
        <v>174.04</v>
      </c>
      <c r="K639" s="2">
        <v>0</v>
      </c>
      <c r="L639" s="2">
        <v>-174.04</v>
      </c>
      <c r="M639" s="2">
        <v>0</v>
      </c>
      <c r="N639" s="1" t="str">
        <f>VLOOKUP(E639,'[1]ORG CODES'!$A:$C,3,FALSE)</f>
        <v>3458   L.U.A. CLUB</v>
      </c>
    </row>
    <row r="640" spans="1:14" ht="14.45" hidden="1" x14ac:dyDescent="0.3">
      <c r="A640" t="str">
        <f>VLOOKUP(E640,'[1]ORG CODES'!$A:$B,2,FALSE)</f>
        <v>Student Funded Programs</v>
      </c>
      <c r="B640" s="1" t="s">
        <v>2</v>
      </c>
      <c r="C640" s="1" t="s">
        <v>3</v>
      </c>
      <c r="D640" s="1" t="s">
        <v>4</v>
      </c>
      <c r="E640" s="1" t="s">
        <v>166</v>
      </c>
      <c r="F640" s="1" t="s">
        <v>44</v>
      </c>
      <c r="G640" s="1" t="s">
        <v>62</v>
      </c>
      <c r="H640" s="1" t="str">
        <f>VLOOKUP(F640,'[2]DX.OTHER.9.30.06 DETAIL'!$H$1:$J$65536,3,FALSE)</f>
        <v>Exp-Travel</v>
      </c>
      <c r="I640" s="1">
        <v>0</v>
      </c>
      <c r="J640" s="2">
        <v>30</v>
      </c>
      <c r="K640" s="2">
        <v>0</v>
      </c>
      <c r="L640" s="2">
        <v>-30</v>
      </c>
      <c r="M640" s="2">
        <v>0</v>
      </c>
      <c r="N640" s="1" t="str">
        <f>VLOOKUP(E640,'[1]ORG CODES'!$A:$C,3,FALSE)</f>
        <v>3461   JOURNALISM</v>
      </c>
    </row>
    <row r="641" spans="1:14" ht="14.45" hidden="1" x14ac:dyDescent="0.3">
      <c r="A641" t="str">
        <f>VLOOKUP(E641,'[1]ORG CODES'!$A:$B,2,FALSE)</f>
        <v>Student Funded Programs</v>
      </c>
      <c r="B641" s="1" t="s">
        <v>2</v>
      </c>
      <c r="C641" s="1" t="s">
        <v>3</v>
      </c>
      <c r="D641" s="1" t="s">
        <v>4</v>
      </c>
      <c r="E641" s="1" t="s">
        <v>166</v>
      </c>
      <c r="F641" s="1" t="s">
        <v>44</v>
      </c>
      <c r="G641" s="1" t="s">
        <v>70</v>
      </c>
      <c r="H641" s="1" t="str">
        <f>VLOOKUP(F641,'[2]DX.OTHER.9.30.06 DETAIL'!$H$1:$J$65536,3,FALSE)</f>
        <v>Exp-Travel</v>
      </c>
      <c r="I641" s="1">
        <v>0</v>
      </c>
      <c r="J641" s="2">
        <v>302</v>
      </c>
      <c r="K641" s="2">
        <v>0</v>
      </c>
      <c r="L641" s="2">
        <v>-302</v>
      </c>
      <c r="M641" s="2">
        <v>0</v>
      </c>
      <c r="N641" s="1" t="str">
        <f>VLOOKUP(E641,'[1]ORG CODES'!$A:$C,3,FALSE)</f>
        <v>3461   JOURNALISM</v>
      </c>
    </row>
    <row r="642" spans="1:14" ht="14.45" hidden="1" x14ac:dyDescent="0.3">
      <c r="A642" t="str">
        <f>VLOOKUP(E642,'[1]ORG CODES'!$A:$B,2,FALSE)</f>
        <v>Student Funded Programs</v>
      </c>
      <c r="B642" s="1" t="s">
        <v>2</v>
      </c>
      <c r="C642" s="1" t="s">
        <v>3</v>
      </c>
      <c r="D642" s="1" t="s">
        <v>4</v>
      </c>
      <c r="E642" s="1" t="s">
        <v>168</v>
      </c>
      <c r="F642" s="1" t="s">
        <v>44</v>
      </c>
      <c r="G642" s="1" t="s">
        <v>43</v>
      </c>
      <c r="H642" s="1" t="str">
        <f>VLOOKUP(F642,'[2]DX.OTHER.9.30.06 DETAIL'!$H$1:$J$65536,3,FALSE)</f>
        <v>Exp-Travel</v>
      </c>
      <c r="I642" s="1">
        <v>0</v>
      </c>
      <c r="J642" s="2">
        <v>699.25</v>
      </c>
      <c r="K642" s="2">
        <v>0</v>
      </c>
      <c r="L642" s="2">
        <v>-699.25</v>
      </c>
      <c r="M642" s="2">
        <v>0</v>
      </c>
      <c r="N642" s="1" t="str">
        <f>VLOOKUP(E642,'[1]ORG CODES'!$A:$C,3,FALSE)</f>
        <v>3462   INTERNATIONAL CLUB</v>
      </c>
    </row>
    <row r="643" spans="1:14" ht="14.45" hidden="1" x14ac:dyDescent="0.3">
      <c r="A643" t="str">
        <f>VLOOKUP(E643,'[1]ORG CODES'!$A:$B,2,FALSE)</f>
        <v>Student Funded Programs</v>
      </c>
      <c r="B643" s="1" t="s">
        <v>2</v>
      </c>
      <c r="C643" s="1" t="s">
        <v>3</v>
      </c>
      <c r="D643" s="1" t="s">
        <v>4</v>
      </c>
      <c r="E643" s="1" t="s">
        <v>168</v>
      </c>
      <c r="F643" s="1" t="s">
        <v>44</v>
      </c>
      <c r="G643" s="1" t="s">
        <v>105</v>
      </c>
      <c r="H643" s="1" t="str">
        <f>VLOOKUP(F643,'[2]DX.OTHER.9.30.06 DETAIL'!$H$1:$J$65536,3,FALSE)</f>
        <v>Exp-Travel</v>
      </c>
      <c r="I643" s="1">
        <v>0</v>
      </c>
      <c r="J643" s="2">
        <v>5</v>
      </c>
      <c r="K643" s="2">
        <v>0</v>
      </c>
      <c r="L643" s="2">
        <v>-5</v>
      </c>
      <c r="M643" s="2">
        <v>0</v>
      </c>
      <c r="N643" s="1" t="str">
        <f>VLOOKUP(E643,'[1]ORG CODES'!$A:$C,3,FALSE)</f>
        <v>3462   INTERNATIONAL CLUB</v>
      </c>
    </row>
    <row r="644" spans="1:14" ht="14.45" hidden="1" x14ac:dyDescent="0.3">
      <c r="A644" t="str">
        <f>VLOOKUP(E644,'[1]ORG CODES'!$A:$B,2,FALSE)</f>
        <v>Student Funded Programs</v>
      </c>
      <c r="B644" s="1" t="s">
        <v>2</v>
      </c>
      <c r="C644" s="1" t="s">
        <v>3</v>
      </c>
      <c r="D644" s="1" t="s">
        <v>4</v>
      </c>
      <c r="E644" s="1" t="s">
        <v>170</v>
      </c>
      <c r="F644" s="1" t="s">
        <v>44</v>
      </c>
      <c r="G644" s="1" t="s">
        <v>62</v>
      </c>
      <c r="H644" s="1" t="str">
        <f>VLOOKUP(F644,'[2]DX.OTHER.9.30.06 DETAIL'!$H$1:$J$65536,3,FALSE)</f>
        <v>Exp-Travel</v>
      </c>
      <c r="I644" s="1">
        <v>0</v>
      </c>
      <c r="J644" s="2">
        <v>-37.96</v>
      </c>
      <c r="K644" s="2">
        <v>0</v>
      </c>
      <c r="L644" s="2">
        <v>37.96</v>
      </c>
      <c r="M644" s="2">
        <v>0</v>
      </c>
      <c r="N644" s="1" t="str">
        <f>VLOOKUP(E644,'[1]ORG CODES'!$A:$C,3,FALSE)</f>
        <v>3464   JAZZ PRESENTS</v>
      </c>
    </row>
    <row r="645" spans="1:14" ht="14.45" hidden="1" x14ac:dyDescent="0.3">
      <c r="A645" t="str">
        <f>VLOOKUP(E645,'[1]ORG CODES'!$A:$B,2,FALSE)</f>
        <v>Student Funded Programs</v>
      </c>
      <c r="B645" s="1" t="s">
        <v>2</v>
      </c>
      <c r="C645" s="1" t="s">
        <v>3</v>
      </c>
      <c r="D645" s="1" t="s">
        <v>4</v>
      </c>
      <c r="E645" s="1" t="s">
        <v>172</v>
      </c>
      <c r="F645" s="1" t="s">
        <v>44</v>
      </c>
      <c r="G645" s="1" t="s">
        <v>32</v>
      </c>
      <c r="H645" s="1" t="str">
        <f>VLOOKUP(F645,'[2]DX.OTHER.9.30.06 DETAIL'!$H$1:$J$65536,3,FALSE)</f>
        <v>Exp-Travel</v>
      </c>
      <c r="I645" s="1">
        <v>0</v>
      </c>
      <c r="J645" s="2">
        <v>174.04</v>
      </c>
      <c r="K645" s="2">
        <v>0</v>
      </c>
      <c r="L645" s="2">
        <v>-174.04</v>
      </c>
      <c r="M645" s="2">
        <v>0</v>
      </c>
      <c r="N645" s="1" t="str">
        <f>VLOOKUP(E645,'[1]ORG CODES'!$A:$C,3,FALSE)</f>
        <v>3465   RED NATIONS ASSOC</v>
      </c>
    </row>
    <row r="646" spans="1:14" ht="14.45" hidden="1" x14ac:dyDescent="0.3">
      <c r="A646" t="str">
        <f>VLOOKUP(E646,'[1]ORG CODES'!$A:$B,2,FALSE)</f>
        <v>Student Funded Programs</v>
      </c>
      <c r="B646" s="1" t="s">
        <v>2</v>
      </c>
      <c r="C646" s="1" t="s">
        <v>3</v>
      </c>
      <c r="D646" s="1" t="s">
        <v>4</v>
      </c>
      <c r="E646" s="1" t="s">
        <v>46</v>
      </c>
      <c r="F646" s="1" t="s">
        <v>44</v>
      </c>
      <c r="G646" s="1" t="s">
        <v>43</v>
      </c>
      <c r="H646" s="1" t="str">
        <f>VLOOKUP(F646,'[2]DX.OTHER.9.30.06 DETAIL'!$H$1:$J$65536,3,FALSE)</f>
        <v>Exp-Travel</v>
      </c>
      <c r="I646" s="1">
        <v>0</v>
      </c>
      <c r="J646" s="2">
        <v>1471.1</v>
      </c>
      <c r="K646" s="2">
        <v>0</v>
      </c>
      <c r="L646" s="2">
        <v>-1471.1</v>
      </c>
      <c r="M646" s="2">
        <v>0</v>
      </c>
      <c r="N646" s="1" t="str">
        <f>VLOOKUP(E646,'[1]ORG CODES'!$A:$C,3,FALSE)</f>
        <v>3330   GRAPHIC DESIGN</v>
      </c>
    </row>
    <row r="647" spans="1:14" ht="14.45" hidden="1" x14ac:dyDescent="0.3">
      <c r="A647" t="str">
        <f>VLOOKUP(E647,'[1]ORG CODES'!$A:$B,2,FALSE)</f>
        <v>Student Funded Programs</v>
      </c>
      <c r="B647" s="1" t="s">
        <v>2</v>
      </c>
      <c r="C647" s="1" t="s">
        <v>3</v>
      </c>
      <c r="D647" s="1" t="s">
        <v>4</v>
      </c>
      <c r="E647" s="1" t="s">
        <v>65</v>
      </c>
      <c r="F647" s="1" t="s">
        <v>44</v>
      </c>
      <c r="G647" s="1" t="s">
        <v>43</v>
      </c>
      <c r="H647" s="1" t="str">
        <f>VLOOKUP(F647,'[2]DX.OTHER.9.30.06 DETAIL'!$H$1:$J$65536,3,FALSE)</f>
        <v>Exp-Travel</v>
      </c>
      <c r="I647" s="1">
        <v>0</v>
      </c>
      <c r="J647" s="2">
        <v>2776.42</v>
      </c>
      <c r="K647" s="2">
        <v>0</v>
      </c>
      <c r="L647" s="2">
        <v>-2776.42</v>
      </c>
      <c r="M647" s="2">
        <v>0</v>
      </c>
      <c r="N647" s="1" t="str">
        <f>VLOOKUP(E647,'[1]ORG CODES'!$A:$C,3,FALSE)</f>
        <v>3354   CONCERT BAND</v>
      </c>
    </row>
    <row r="648" spans="1:14" ht="14.45" hidden="1" x14ac:dyDescent="0.3">
      <c r="A648" t="str">
        <f>VLOOKUP(E648,'[1]ORG CODES'!$A:$B,2,FALSE)</f>
        <v>Student Funded Programs</v>
      </c>
      <c r="B648" s="1" t="s">
        <v>2</v>
      </c>
      <c r="C648" s="1" t="s">
        <v>3</v>
      </c>
      <c r="D648" s="1" t="s">
        <v>4</v>
      </c>
      <c r="E648" s="1" t="s">
        <v>68</v>
      </c>
      <c r="F648" s="1" t="s">
        <v>44</v>
      </c>
      <c r="G648" s="1" t="s">
        <v>43</v>
      </c>
      <c r="H648" s="1" t="str">
        <f>VLOOKUP(F648,'[2]DX.OTHER.9.30.06 DETAIL'!$H$1:$J$65536,3,FALSE)</f>
        <v>Exp-Travel</v>
      </c>
      <c r="I648" s="1">
        <v>0</v>
      </c>
      <c r="J648" s="2">
        <v>5199.97</v>
      </c>
      <c r="K648" s="2">
        <v>0</v>
      </c>
      <c r="L648" s="2">
        <v>-5199.97</v>
      </c>
      <c r="M648" s="2">
        <v>0</v>
      </c>
      <c r="N648" s="1" t="str">
        <f>VLOOKUP(E648,'[1]ORG CODES'!$A:$C,3,FALSE)</f>
        <v>3355   CHORAL MUSIC</v>
      </c>
    </row>
    <row r="649" spans="1:14" ht="14.45" hidden="1" x14ac:dyDescent="0.3">
      <c r="A649" t="str">
        <f>VLOOKUP(E649,'[1]ORG CODES'!$A:$B,2,FALSE)</f>
        <v>Student Funded Programs</v>
      </c>
      <c r="B649" s="1" t="s">
        <v>2</v>
      </c>
      <c r="C649" s="1" t="s">
        <v>3</v>
      </c>
      <c r="D649" s="1" t="s">
        <v>4</v>
      </c>
      <c r="E649" s="1" t="s">
        <v>72</v>
      </c>
      <c r="F649" s="1" t="s">
        <v>44</v>
      </c>
      <c r="G649" s="1" t="s">
        <v>43</v>
      </c>
      <c r="H649" s="1" t="str">
        <f>VLOOKUP(F649,'[2]DX.OTHER.9.30.06 DETAIL'!$H$1:$J$65536,3,FALSE)</f>
        <v>Exp-Travel</v>
      </c>
      <c r="I649" s="1">
        <v>0</v>
      </c>
      <c r="J649" s="2">
        <v>2955.84</v>
      </c>
      <c r="K649" s="2">
        <v>0</v>
      </c>
      <c r="L649" s="2">
        <v>-2955.84</v>
      </c>
      <c r="M649" s="2">
        <v>0</v>
      </c>
      <c r="N649" s="1" t="str">
        <f>VLOOKUP(E649,'[1]ORG CODES'!$A:$C,3,FALSE)</f>
        <v>3357   PHOTO ARTS</v>
      </c>
    </row>
    <row r="650" spans="1:14" ht="14.45" hidden="1" x14ac:dyDescent="0.3">
      <c r="A650" t="str">
        <f>VLOOKUP(E650,'[1]ORG CODES'!$A:$B,2,FALSE)</f>
        <v>Student Funded Programs</v>
      </c>
      <c r="B650" s="1" t="s">
        <v>2</v>
      </c>
      <c r="C650" s="1" t="s">
        <v>3</v>
      </c>
      <c r="D650" s="1" t="s">
        <v>4</v>
      </c>
      <c r="E650" s="1" t="s">
        <v>77</v>
      </c>
      <c r="F650" s="1" t="s">
        <v>44</v>
      </c>
      <c r="G650" s="1" t="s">
        <v>43</v>
      </c>
      <c r="H650" s="1" t="str">
        <f>VLOOKUP(F650,'[2]DX.OTHER.9.30.06 DETAIL'!$H$1:$J$65536,3,FALSE)</f>
        <v>Exp-Travel</v>
      </c>
      <c r="I650" s="1">
        <v>0</v>
      </c>
      <c r="J650" s="2">
        <v>366.24</v>
      </c>
      <c r="K650" s="2">
        <v>0</v>
      </c>
      <c r="L650" s="2">
        <v>-366.24</v>
      </c>
      <c r="M650" s="2">
        <v>0</v>
      </c>
      <c r="N650" s="1" t="str">
        <f>VLOOKUP(E650,'[1]ORG CODES'!$A:$C,3,FALSE)</f>
        <v>3367   RECREATION SOCIETY</v>
      </c>
    </row>
    <row r="651" spans="1:14" ht="14.45" hidden="1" x14ac:dyDescent="0.3">
      <c r="A651" t="str">
        <f>VLOOKUP(E651,'[1]ORG CODES'!$A:$B,2,FALSE)</f>
        <v>Student Funded Programs</v>
      </c>
      <c r="B651" s="1" t="s">
        <v>2</v>
      </c>
      <c r="C651" s="1" t="s">
        <v>3</v>
      </c>
      <c r="D651" s="1" t="s">
        <v>4</v>
      </c>
      <c r="E651" s="1" t="s">
        <v>114</v>
      </c>
      <c r="F651" s="1" t="s">
        <v>44</v>
      </c>
      <c r="G651" s="1" t="s">
        <v>43</v>
      </c>
      <c r="H651" s="1" t="str">
        <f>VLOOKUP(F651,'[2]DX.OTHER.9.30.06 DETAIL'!$H$1:$J$65536,3,FALSE)</f>
        <v>Exp-Travel</v>
      </c>
      <c r="I651" s="1">
        <v>0</v>
      </c>
      <c r="J651" s="2">
        <v>3091.75</v>
      </c>
      <c r="K651" s="2">
        <v>0</v>
      </c>
      <c r="L651" s="2">
        <v>-3091.75</v>
      </c>
      <c r="M651" s="2">
        <v>0</v>
      </c>
      <c r="N651" s="1" t="str">
        <f>VLOOKUP(E651,'[1]ORG CODES'!$A:$C,3,FALSE)</f>
        <v>3417   TRAVEL</v>
      </c>
    </row>
    <row r="652" spans="1:14" ht="14.45" hidden="1" x14ac:dyDescent="0.3">
      <c r="A652" t="str">
        <f>VLOOKUP(E652,'[1]ORG CODES'!$A:$B,2,FALSE)</f>
        <v>Student Funded Programs</v>
      </c>
      <c r="B652" s="1" t="s">
        <v>2</v>
      </c>
      <c r="C652" s="1" t="s">
        <v>3</v>
      </c>
      <c r="D652" s="1" t="s">
        <v>4</v>
      </c>
      <c r="E652" s="1" t="s">
        <v>127</v>
      </c>
      <c r="F652" s="1" t="s">
        <v>44</v>
      </c>
      <c r="G652" s="1" t="s">
        <v>43</v>
      </c>
      <c r="H652" s="1" t="str">
        <f>VLOOKUP(F652,'[2]DX.OTHER.9.30.06 DETAIL'!$H$1:$J$65536,3,FALSE)</f>
        <v>Exp-Travel</v>
      </c>
      <c r="I652" s="1">
        <v>0</v>
      </c>
      <c r="J652" s="2">
        <v>1435.19</v>
      </c>
      <c r="K652" s="2">
        <v>0</v>
      </c>
      <c r="L652" s="2">
        <v>-1435.19</v>
      </c>
      <c r="M652" s="2">
        <v>0</v>
      </c>
      <c r="N652" s="1" t="str">
        <f>VLOOKUP(E652,'[1]ORG CODES'!$A:$C,3,FALSE)</f>
        <v>3430   STUDENT MEDIA LAB</v>
      </c>
    </row>
    <row r="653" spans="1:14" ht="14.45" hidden="1" x14ac:dyDescent="0.3">
      <c r="A653" t="str">
        <f>VLOOKUP(E653,'[1]ORG CODES'!$A:$B,2,FALSE)</f>
        <v>Student Funded Programs</v>
      </c>
      <c r="B653" s="1" t="s">
        <v>2</v>
      </c>
      <c r="C653" s="1" t="s">
        <v>3</v>
      </c>
      <c r="D653" s="1" t="s">
        <v>4</v>
      </c>
      <c r="E653" s="1" t="s">
        <v>149</v>
      </c>
      <c r="F653" s="1" t="s">
        <v>44</v>
      </c>
      <c r="G653" s="1" t="s">
        <v>43</v>
      </c>
      <c r="H653" s="1" t="str">
        <f>VLOOKUP(F653,'[2]DX.OTHER.9.30.06 DETAIL'!$H$1:$J$65536,3,FALSE)</f>
        <v>Exp-Travel</v>
      </c>
      <c r="I653" s="1">
        <v>0</v>
      </c>
      <c r="J653" s="2">
        <v>1645.89</v>
      </c>
      <c r="K653" s="2">
        <v>0</v>
      </c>
      <c r="L653" s="2">
        <v>-1645.89</v>
      </c>
      <c r="M653" s="2">
        <v>0</v>
      </c>
      <c r="N653" s="1" t="str">
        <f>VLOOKUP(E653,'[1]ORG CODES'!$A:$C,3,FALSE)</f>
        <v>3446   SVC LRN</v>
      </c>
    </row>
    <row r="654" spans="1:14" ht="14.45" hidden="1" x14ac:dyDescent="0.3">
      <c r="A654" t="str">
        <f>VLOOKUP(E654,'[1]ORG CODES'!$A:$B,2,FALSE)</f>
        <v>Student Funded Programs</v>
      </c>
      <c r="B654" s="1" t="s">
        <v>2</v>
      </c>
      <c r="C654" s="1" t="s">
        <v>3</v>
      </c>
      <c r="D654" s="1" t="s">
        <v>4</v>
      </c>
      <c r="E654" s="1" t="s">
        <v>160</v>
      </c>
      <c r="F654" s="1" t="s">
        <v>44</v>
      </c>
      <c r="G654" s="1" t="s">
        <v>43</v>
      </c>
      <c r="H654" s="1" t="str">
        <f>VLOOKUP(F654,'[2]DX.OTHER.9.30.06 DETAIL'!$H$1:$J$65536,3,FALSE)</f>
        <v>Exp-Travel</v>
      </c>
      <c r="I654" s="1">
        <v>0</v>
      </c>
      <c r="J654" s="2">
        <v>829.76</v>
      </c>
      <c r="K654" s="2">
        <v>0</v>
      </c>
      <c r="L654" s="2">
        <v>-829.76</v>
      </c>
      <c r="M654" s="2">
        <v>0</v>
      </c>
      <c r="N654" s="1" t="str">
        <f>VLOOKUP(E654,'[1]ORG CODES'!$A:$C,3,FALSE)</f>
        <v>3457   THE ALLIANCE</v>
      </c>
    </row>
    <row r="655" spans="1:14" ht="14.45" hidden="1" x14ac:dyDescent="0.3">
      <c r="A655" t="str">
        <f>VLOOKUP(E655,'[1]ORG CODES'!$A:$B,2,FALSE)</f>
        <v>Student Funded Programs</v>
      </c>
      <c r="B655" s="1" t="s">
        <v>2</v>
      </c>
      <c r="C655" s="1" t="s">
        <v>3</v>
      </c>
      <c r="D655" s="1" t="s">
        <v>4</v>
      </c>
      <c r="E655" s="1" t="s">
        <v>166</v>
      </c>
      <c r="F655" s="1" t="s">
        <v>44</v>
      </c>
      <c r="G655" s="1" t="s">
        <v>43</v>
      </c>
      <c r="H655" s="1" t="str">
        <f>VLOOKUP(F655,'[2]DX.OTHER.9.30.06 DETAIL'!$H$1:$J$65536,3,FALSE)</f>
        <v>Exp-Travel</v>
      </c>
      <c r="I655" s="1">
        <v>0</v>
      </c>
      <c r="J655" s="2">
        <v>3177.73</v>
      </c>
      <c r="K655" s="2">
        <v>0</v>
      </c>
      <c r="L655" s="2">
        <v>-3177.73</v>
      </c>
      <c r="M655" s="2">
        <v>0</v>
      </c>
      <c r="N655" s="1" t="str">
        <f>VLOOKUP(E655,'[1]ORG CODES'!$A:$C,3,FALSE)</f>
        <v>3461   JOURNALISM</v>
      </c>
    </row>
    <row r="656" spans="1:14" ht="14.45" hidden="1" x14ac:dyDescent="0.3">
      <c r="A656" t="str">
        <f>VLOOKUP(E656,'[1]ORG CODES'!$A:$B,2,FALSE)</f>
        <v>Student Funded Programs</v>
      </c>
      <c r="B656" s="1" t="s">
        <v>2</v>
      </c>
      <c r="C656" s="1" t="s">
        <v>3</v>
      </c>
      <c r="D656" s="1" t="s">
        <v>4</v>
      </c>
      <c r="E656" s="1" t="s">
        <v>170</v>
      </c>
      <c r="F656" s="1" t="s">
        <v>44</v>
      </c>
      <c r="G656" s="1" t="s">
        <v>43</v>
      </c>
      <c r="H656" s="1" t="str">
        <f>VLOOKUP(F656,'[2]DX.OTHER.9.30.06 DETAIL'!$H$1:$J$65536,3,FALSE)</f>
        <v>Exp-Travel</v>
      </c>
      <c r="I656" s="1">
        <v>0</v>
      </c>
      <c r="J656" s="2">
        <v>0</v>
      </c>
      <c r="K656" s="2">
        <v>0</v>
      </c>
      <c r="L656" s="2">
        <v>0</v>
      </c>
      <c r="M656" s="2">
        <v>0</v>
      </c>
      <c r="N656" s="1" t="str">
        <f>VLOOKUP(E656,'[1]ORG CODES'!$A:$C,3,FALSE)</f>
        <v>3464   JAZZ PRESENTS</v>
      </c>
    </row>
    <row r="657" spans="1:14" ht="14.45" hidden="1" x14ac:dyDescent="0.3">
      <c r="A657" t="str">
        <f>VLOOKUP(E657,'[1]ORG CODES'!$A:$B,2,FALSE)</f>
        <v>Student Funded Programs</v>
      </c>
      <c r="B657" s="1" t="s">
        <v>2</v>
      </c>
      <c r="C657" s="1" t="s">
        <v>3</v>
      </c>
      <c r="D657" s="1" t="s">
        <v>4</v>
      </c>
      <c r="E657" s="1" t="s">
        <v>68</v>
      </c>
      <c r="F657" s="1" t="s">
        <v>44</v>
      </c>
      <c r="G657" s="1" t="s">
        <v>43</v>
      </c>
      <c r="H657" s="1" t="str">
        <f>VLOOKUP(F657,'[2]DX.OTHER.9.30.06 DETAIL'!$H$1:$J$65536,3,FALSE)</f>
        <v>Exp-Travel</v>
      </c>
      <c r="I657" s="1">
        <v>0</v>
      </c>
      <c r="J657" s="2">
        <v>612</v>
      </c>
      <c r="K657" s="2">
        <v>0</v>
      </c>
      <c r="L657" s="2">
        <v>-612</v>
      </c>
      <c r="M657" s="2">
        <v>0</v>
      </c>
      <c r="N657" s="1" t="str">
        <f>VLOOKUP(E657,'[1]ORG CODES'!$A:$C,3,FALSE)</f>
        <v>3355   CHORAL MUSIC</v>
      </c>
    </row>
    <row r="658" spans="1:14" ht="14.45" hidden="1" x14ac:dyDescent="0.3">
      <c r="A658" t="str">
        <f>VLOOKUP(E658,'[1]ORG CODES'!$A:$B,2,FALSE)</f>
        <v>Student Funded Programs</v>
      </c>
      <c r="B658" s="1" t="s">
        <v>2</v>
      </c>
      <c r="C658" s="1" t="s">
        <v>3</v>
      </c>
      <c r="D658" s="1" t="s">
        <v>4</v>
      </c>
      <c r="E658" s="1" t="s">
        <v>75</v>
      </c>
      <c r="F658" s="1" t="s">
        <v>44</v>
      </c>
      <c r="G658" s="1" t="s">
        <v>43</v>
      </c>
      <c r="H658" s="1" t="str">
        <f>VLOOKUP(F658,'[2]DX.OTHER.9.30.06 DETAIL'!$H$1:$J$65536,3,FALSE)</f>
        <v>Exp-Travel</v>
      </c>
      <c r="I658" s="1">
        <v>0</v>
      </c>
      <c r="J658" s="2">
        <v>435.2</v>
      </c>
      <c r="K658" s="2">
        <v>0</v>
      </c>
      <c r="L658" s="2">
        <v>-435.2</v>
      </c>
      <c r="M658" s="2">
        <v>0</v>
      </c>
      <c r="N658" s="1" t="str">
        <f>VLOOKUP(E658,'[1]ORG CODES'!$A:$C,3,FALSE)</f>
        <v>3363   ART GALLERY &amp; EXHIB</v>
      </c>
    </row>
    <row r="659" spans="1:14" ht="14.45" hidden="1" x14ac:dyDescent="0.3">
      <c r="A659" t="str">
        <f>VLOOKUP(E659,'[1]ORG CODES'!$A:$B,2,FALSE)</f>
        <v>Student Funded Programs</v>
      </c>
      <c r="B659" s="1" t="s">
        <v>2</v>
      </c>
      <c r="C659" s="1" t="s">
        <v>3</v>
      </c>
      <c r="D659" s="1" t="s">
        <v>4</v>
      </c>
      <c r="E659" s="1" t="s">
        <v>77</v>
      </c>
      <c r="F659" s="1" t="s">
        <v>44</v>
      </c>
      <c r="G659" s="1" t="s">
        <v>43</v>
      </c>
      <c r="H659" s="1" t="str">
        <f>VLOOKUP(F659,'[2]DX.OTHER.9.30.06 DETAIL'!$H$1:$J$65536,3,FALSE)</f>
        <v>Exp-Travel</v>
      </c>
      <c r="I659" s="1">
        <v>0</v>
      </c>
      <c r="J659" s="2">
        <v>0</v>
      </c>
      <c r="K659" s="2">
        <v>0</v>
      </c>
      <c r="L659" s="2">
        <v>0</v>
      </c>
      <c r="M659" s="2">
        <v>0</v>
      </c>
      <c r="N659" s="1" t="str">
        <f>VLOOKUP(E659,'[1]ORG CODES'!$A:$C,3,FALSE)</f>
        <v>3367   RECREATION SOCIETY</v>
      </c>
    </row>
    <row r="660" spans="1:14" ht="14.45" hidden="1" x14ac:dyDescent="0.3">
      <c r="A660" t="str">
        <f>VLOOKUP(E660,'[1]ORG CODES'!$A:$B,2,FALSE)</f>
        <v>Student Funded Programs</v>
      </c>
      <c r="B660" s="1" t="s">
        <v>2</v>
      </c>
      <c r="C660" s="1" t="s">
        <v>3</v>
      </c>
      <c r="D660" s="1" t="s">
        <v>4</v>
      </c>
      <c r="E660" s="1" t="s">
        <v>114</v>
      </c>
      <c r="F660" s="1" t="s">
        <v>44</v>
      </c>
      <c r="G660" s="1" t="s">
        <v>43</v>
      </c>
      <c r="H660" s="1" t="str">
        <f>VLOOKUP(F660,'[2]DX.OTHER.9.30.06 DETAIL'!$H$1:$J$65536,3,FALSE)</f>
        <v>Exp-Travel</v>
      </c>
      <c r="I660" s="1">
        <v>0</v>
      </c>
      <c r="J660" s="2">
        <v>4949</v>
      </c>
      <c r="K660" s="2">
        <v>0</v>
      </c>
      <c r="L660" s="2">
        <v>-4949</v>
      </c>
      <c r="M660" s="2">
        <v>0</v>
      </c>
      <c r="N660" s="1" t="str">
        <f>VLOOKUP(E660,'[1]ORG CODES'!$A:$C,3,FALSE)</f>
        <v>3417   TRAVEL</v>
      </c>
    </row>
    <row r="661" spans="1:14" ht="14.45" hidden="1" x14ac:dyDescent="0.3">
      <c r="A661" t="str">
        <f>VLOOKUP(E661,'[1]ORG CODES'!$A:$B,2,FALSE)</f>
        <v>Student Funded Programs</v>
      </c>
      <c r="B661" s="1" t="s">
        <v>2</v>
      </c>
      <c r="C661" s="1" t="s">
        <v>3</v>
      </c>
      <c r="D661" s="1" t="s">
        <v>4</v>
      </c>
      <c r="E661" s="1" t="s">
        <v>127</v>
      </c>
      <c r="F661" s="1" t="s">
        <v>44</v>
      </c>
      <c r="G661" s="1" t="s">
        <v>43</v>
      </c>
      <c r="H661" s="1" t="str">
        <f>VLOOKUP(F661,'[2]DX.OTHER.9.30.06 DETAIL'!$H$1:$J$65536,3,FALSE)</f>
        <v>Exp-Travel</v>
      </c>
      <c r="I661" s="1">
        <v>0</v>
      </c>
      <c r="J661" s="2">
        <v>632.19000000000005</v>
      </c>
      <c r="K661" s="2">
        <v>0</v>
      </c>
      <c r="L661" s="2">
        <v>-632.19000000000005</v>
      </c>
      <c r="M661" s="2">
        <v>0</v>
      </c>
      <c r="N661" s="1" t="str">
        <f>VLOOKUP(E661,'[1]ORG CODES'!$A:$C,3,FALSE)</f>
        <v>3430   STUDENT MEDIA LAB</v>
      </c>
    </row>
    <row r="662" spans="1:14" ht="14.45" hidden="1" x14ac:dyDescent="0.3">
      <c r="A662" t="str">
        <f>VLOOKUP(E662,'[1]ORG CODES'!$A:$B,2,FALSE)</f>
        <v>Student Funded Programs</v>
      </c>
      <c r="B662" s="1" t="s">
        <v>2</v>
      </c>
      <c r="C662" s="1" t="s">
        <v>3</v>
      </c>
      <c r="D662" s="1" t="s">
        <v>4</v>
      </c>
      <c r="E662" s="1" t="s">
        <v>149</v>
      </c>
      <c r="F662" s="1" t="s">
        <v>44</v>
      </c>
      <c r="G662" s="1" t="s">
        <v>43</v>
      </c>
      <c r="H662" s="1" t="str">
        <f>VLOOKUP(F662,'[2]DX.OTHER.9.30.06 DETAIL'!$H$1:$J$65536,3,FALSE)</f>
        <v>Exp-Travel</v>
      </c>
      <c r="I662" s="1">
        <v>0</v>
      </c>
      <c r="J662" s="2">
        <v>1853.6</v>
      </c>
      <c r="K662" s="2">
        <v>0</v>
      </c>
      <c r="L662" s="2">
        <v>-1853.6</v>
      </c>
      <c r="M662" s="2">
        <v>0</v>
      </c>
      <c r="N662" s="1" t="str">
        <f>VLOOKUP(E662,'[1]ORG CODES'!$A:$C,3,FALSE)</f>
        <v>3446   SVC LRN</v>
      </c>
    </row>
    <row r="663" spans="1:14" ht="14.45" hidden="1" x14ac:dyDescent="0.3">
      <c r="A663" t="str">
        <f>VLOOKUP(E663,'[1]ORG CODES'!$A:$B,2,FALSE)</f>
        <v>Student Funded Programs</v>
      </c>
      <c r="B663" s="1" t="s">
        <v>2</v>
      </c>
      <c r="C663" s="1" t="s">
        <v>3</v>
      </c>
      <c r="D663" s="1" t="s">
        <v>4</v>
      </c>
      <c r="E663" s="1" t="s">
        <v>166</v>
      </c>
      <c r="F663" s="1" t="s">
        <v>44</v>
      </c>
      <c r="G663" s="1" t="s">
        <v>43</v>
      </c>
      <c r="H663" s="1" t="str">
        <f>VLOOKUP(F663,'[2]DX.OTHER.9.30.06 DETAIL'!$H$1:$J$65536,3,FALSE)</f>
        <v>Exp-Travel</v>
      </c>
      <c r="I663" s="1">
        <v>0</v>
      </c>
      <c r="J663" s="2">
        <v>5179.8</v>
      </c>
      <c r="K663" s="2">
        <v>0</v>
      </c>
      <c r="L663" s="2">
        <v>-5179.8</v>
      </c>
      <c r="M663" s="2">
        <v>0</v>
      </c>
      <c r="N663" s="1" t="str">
        <f>VLOOKUP(E663,'[1]ORG CODES'!$A:$C,3,FALSE)</f>
        <v>3461   JOURNALISM</v>
      </c>
    </row>
    <row r="664" spans="1:14" ht="14.45" hidden="1" x14ac:dyDescent="0.3">
      <c r="A664" t="str">
        <f>VLOOKUP(E664,'[1]ORG CODES'!$A:$B,2,FALSE)</f>
        <v>Student Funded Programs</v>
      </c>
      <c r="B664" s="1" t="s">
        <v>2</v>
      </c>
      <c r="C664" s="1" t="s">
        <v>3</v>
      </c>
      <c r="D664" s="1" t="s">
        <v>4</v>
      </c>
      <c r="E664" s="1" t="s">
        <v>5</v>
      </c>
      <c r="F664" s="1" t="s">
        <v>21</v>
      </c>
      <c r="H664" s="1" t="str">
        <f>VLOOKUP(F664,'[2]DX.OTHER.9.30.06 DETAIL'!$H$1:$J$65536,3,FALSE)</f>
        <v>Intraagency Trsfs</v>
      </c>
      <c r="I664" s="1">
        <v>0</v>
      </c>
      <c r="J664" s="2">
        <v>350000</v>
      </c>
      <c r="K664" s="2">
        <v>0</v>
      </c>
      <c r="L664" s="2">
        <v>-350000</v>
      </c>
      <c r="M664" s="2">
        <v>0</v>
      </c>
      <c r="N664" s="1" t="str">
        <f>VLOOKUP(E664,'[1]ORG CODES'!$A:$C,3,FALSE)</f>
        <v>3221   SPEC.BLDG FUND-SFCC</v>
      </c>
    </row>
    <row r="665" spans="1:14" ht="14.45" hidden="1" x14ac:dyDescent="0.3">
      <c r="A665" t="str">
        <f>VLOOKUP(E665,'[1]ORG CODES'!$A:$B,2,FALSE)</f>
        <v>Student Funded Programs</v>
      </c>
      <c r="B665" s="1" t="s">
        <v>2</v>
      </c>
      <c r="C665" s="1" t="s">
        <v>3</v>
      </c>
      <c r="D665" s="1" t="s">
        <v>4</v>
      </c>
      <c r="E665" s="1" t="s">
        <v>33</v>
      </c>
      <c r="F665" s="1" t="s">
        <v>34</v>
      </c>
      <c r="H665" s="1" t="str">
        <f>VLOOKUP(F665,'[2]DX.OTHER.9.30.06 DETAIL'!$H$1:$J$65536,3,FALSE)</f>
        <v>Intraagency Trsfs</v>
      </c>
      <c r="I665" s="1">
        <v>0</v>
      </c>
      <c r="J665" s="2">
        <v>0</v>
      </c>
      <c r="K665" s="2">
        <v>0</v>
      </c>
      <c r="L665" s="2">
        <v>0</v>
      </c>
      <c r="M665" s="2">
        <v>0</v>
      </c>
      <c r="N665" s="1" t="str">
        <f>VLOOKUP(E665,'[1]ORG CODES'!$A:$C,3,FALSE)</f>
        <v>3310   IRP CARRY OVER FUND</v>
      </c>
    </row>
    <row r="666" spans="1:14" ht="14.45" hidden="1" x14ac:dyDescent="0.3">
      <c r="A666" t="str">
        <f>VLOOKUP(E666,'[1]ORG CODES'!$A:$B,2,FALSE)</f>
        <v>Student Funded Programs</v>
      </c>
      <c r="B666" s="1" t="s">
        <v>2</v>
      </c>
      <c r="C666" s="1" t="s">
        <v>3</v>
      </c>
      <c r="D666" s="1" t="s">
        <v>4</v>
      </c>
      <c r="E666" s="1" t="s">
        <v>33</v>
      </c>
      <c r="F666" s="1" t="s">
        <v>21</v>
      </c>
      <c r="H666" s="1" t="str">
        <f>VLOOKUP(F666,'[2]DX.OTHER.9.30.06 DETAIL'!$H$1:$J$65536,3,FALSE)</f>
        <v>Intraagency Trsfs</v>
      </c>
      <c r="I666" s="1">
        <v>0</v>
      </c>
      <c r="J666" s="2">
        <v>59000</v>
      </c>
      <c r="K666" s="2">
        <v>0</v>
      </c>
      <c r="L666" s="2">
        <v>-59000</v>
      </c>
      <c r="M666" s="2">
        <v>0</v>
      </c>
      <c r="N666" s="1" t="str">
        <f>VLOOKUP(E666,'[1]ORG CODES'!$A:$C,3,FALSE)</f>
        <v>3310   IRP CARRY OVER FUND</v>
      </c>
    </row>
    <row r="667" spans="1:14" ht="14.45" x14ac:dyDescent="0.3">
      <c r="A667" t="str">
        <f>VLOOKUP(E667,'[1]ORG CODES'!$A:$B,2,FALSE)</f>
        <v>Student Funded Programs</v>
      </c>
      <c r="B667" s="1" t="s">
        <v>2</v>
      </c>
      <c r="C667" s="1" t="s">
        <v>3</v>
      </c>
      <c r="D667" s="1" t="s">
        <v>4</v>
      </c>
      <c r="E667" s="1" t="s">
        <v>88</v>
      </c>
      <c r="F667" s="1" t="s">
        <v>21</v>
      </c>
      <c r="H667" s="1" t="str">
        <f>VLOOKUP(F667,'[2]DX.OTHER.9.30.06 DETAIL'!$H$1:$J$65536,3,FALSE)</f>
        <v>Intraagency Trsfs</v>
      </c>
      <c r="I667" s="1">
        <v>0</v>
      </c>
      <c r="J667" s="2">
        <v>78973.95</v>
      </c>
      <c r="K667" s="2">
        <v>0</v>
      </c>
      <c r="L667" s="2">
        <v>-78973.95</v>
      </c>
      <c r="M667" s="2">
        <v>0</v>
      </c>
      <c r="N667" s="1" t="str">
        <f>VLOOKUP(E667,'[1]ORG CODES'!$A:$C,3,FALSE)</f>
        <v>3382   ATHLETIC SCHOLARSHIP</v>
      </c>
    </row>
    <row r="668" spans="1:14" ht="14.45" hidden="1" x14ac:dyDescent="0.3">
      <c r="A668" t="str">
        <f>VLOOKUP(E668,'[1]ORG CODES'!$A:$B,2,FALSE)</f>
        <v>Student Funded Programs</v>
      </c>
      <c r="B668" s="1" t="s">
        <v>2</v>
      </c>
      <c r="C668" s="1" t="s">
        <v>3</v>
      </c>
      <c r="D668" s="1" t="s">
        <v>4</v>
      </c>
      <c r="E668" s="1" t="s">
        <v>91</v>
      </c>
      <c r="F668" s="1" t="s">
        <v>34</v>
      </c>
      <c r="H668" s="1" t="str">
        <f>VLOOKUP(F668,'[2]DX.OTHER.9.30.06 DETAIL'!$H$1:$J$65536,3,FALSE)</f>
        <v>Intraagency Trsfs</v>
      </c>
      <c r="I668" s="1">
        <v>0</v>
      </c>
      <c r="J668" s="2">
        <v>0</v>
      </c>
      <c r="K668" s="2">
        <v>0</v>
      </c>
      <c r="L668" s="2">
        <v>0</v>
      </c>
      <c r="M668" s="2">
        <v>0</v>
      </c>
      <c r="N668" s="1" t="str">
        <f>VLOOKUP(E668,'[1]ORG CODES'!$A:$C,3,FALSE)</f>
        <v>3399   FEE &amp; INT.REV.IRA</v>
      </c>
    </row>
    <row r="669" spans="1:14" ht="14.45" hidden="1" x14ac:dyDescent="0.3">
      <c r="A669" t="str">
        <f>VLOOKUP(E669,'[1]ORG CODES'!$A:$B,2,FALSE)</f>
        <v>Student Funded Programs</v>
      </c>
      <c r="B669" s="1" t="s">
        <v>2</v>
      </c>
      <c r="C669" s="1" t="s">
        <v>3</v>
      </c>
      <c r="D669" s="1" t="s">
        <v>4</v>
      </c>
      <c r="E669" s="1" t="s">
        <v>92</v>
      </c>
      <c r="F669" s="1" t="s">
        <v>34</v>
      </c>
      <c r="H669" s="1" t="str">
        <f>VLOOKUP(F669,'[2]DX.OTHER.9.30.06 DETAIL'!$H$1:$J$65536,3,FALSE)</f>
        <v>Intraagency Trsfs</v>
      </c>
      <c r="I669" s="1">
        <v>0</v>
      </c>
      <c r="J669" s="2">
        <v>0</v>
      </c>
      <c r="K669" s="2">
        <v>0</v>
      </c>
      <c r="L669" s="2">
        <v>0</v>
      </c>
      <c r="M669" s="2">
        <v>0</v>
      </c>
      <c r="N669" s="1" t="str">
        <f>VLOOKUP(E669,'[1]ORG CODES'!$A:$C,3,FALSE)</f>
        <v>3402   ASA CARRY OVER FUND</v>
      </c>
    </row>
    <row r="670" spans="1:14" ht="14.45" hidden="1" x14ac:dyDescent="0.3">
      <c r="A670" t="str">
        <f>VLOOKUP(E670,'[1]ORG CODES'!$A:$B,2,FALSE)</f>
        <v>Student Funded Programs</v>
      </c>
      <c r="B670" s="1" t="s">
        <v>2</v>
      </c>
      <c r="C670" s="1" t="s">
        <v>3</v>
      </c>
      <c r="D670" s="1" t="s">
        <v>4</v>
      </c>
      <c r="E670" s="1" t="s">
        <v>92</v>
      </c>
      <c r="F670" s="1" t="s">
        <v>21</v>
      </c>
      <c r="H670" s="1" t="str">
        <f>VLOOKUP(F670,'[2]DX.OTHER.9.30.06 DETAIL'!$H$1:$J$65536,3,FALSE)</f>
        <v>Intraagency Trsfs</v>
      </c>
      <c r="I670" s="1">
        <v>0</v>
      </c>
      <c r="J670" s="2">
        <v>25000</v>
      </c>
      <c r="K670" s="2">
        <v>0</v>
      </c>
      <c r="L670" s="2">
        <v>-25000</v>
      </c>
      <c r="M670" s="2">
        <v>0</v>
      </c>
      <c r="N670" s="1" t="str">
        <f>VLOOKUP(E670,'[1]ORG CODES'!$A:$C,3,FALSE)</f>
        <v>3402   ASA CARRY OVER FUND</v>
      </c>
    </row>
    <row r="671" spans="1:14" ht="14.45" hidden="1" x14ac:dyDescent="0.3">
      <c r="A671" t="str">
        <f>VLOOKUP(E671,'[1]ORG CODES'!$A:$B,2,FALSE)</f>
        <v>Student Funded Programs</v>
      </c>
      <c r="B671" s="1" t="s">
        <v>2</v>
      </c>
      <c r="C671" s="1" t="s">
        <v>3</v>
      </c>
      <c r="D671" s="1" t="s">
        <v>4</v>
      </c>
      <c r="E671" s="1" t="s">
        <v>129</v>
      </c>
      <c r="F671" s="1" t="s">
        <v>21</v>
      </c>
      <c r="H671" s="1" t="str">
        <f>VLOOKUP(F671,'[2]DX.OTHER.9.30.06 DETAIL'!$H$1:$J$65536,3,FALSE)</f>
        <v>Intraagency Trsfs</v>
      </c>
      <c r="I671" s="1">
        <v>0</v>
      </c>
      <c r="J671" s="2">
        <v>0</v>
      </c>
      <c r="K671" s="2">
        <v>0</v>
      </c>
      <c r="L671" s="2">
        <v>0</v>
      </c>
      <c r="M671" s="2">
        <v>0</v>
      </c>
      <c r="N671" s="1" t="str">
        <f>VLOOKUP(E671,'[1]ORG CODES'!$A:$C,3,FALSE)</f>
        <v>3432   ATHLETICS STADIUM</v>
      </c>
    </row>
    <row r="672" spans="1:14" ht="14.45" hidden="1" x14ac:dyDescent="0.3">
      <c r="A672" t="str">
        <f>VLOOKUP(E672,'[1]ORG CODES'!$A:$B,2,FALSE)</f>
        <v>Student Funded Programs</v>
      </c>
      <c r="B672" s="1" t="s">
        <v>2</v>
      </c>
      <c r="C672" s="1" t="s">
        <v>3</v>
      </c>
      <c r="D672" s="1" t="s">
        <v>4</v>
      </c>
      <c r="E672" s="1" t="s">
        <v>190</v>
      </c>
      <c r="F672" s="1" t="s">
        <v>34</v>
      </c>
      <c r="H672" s="1" t="str">
        <f>VLOOKUP(F672,'[2]DX.OTHER.9.30.06 DETAIL'!$H$1:$J$65536,3,FALSE)</f>
        <v>Intraagency Trsfs</v>
      </c>
      <c r="I672" s="1">
        <v>0</v>
      </c>
      <c r="J672" s="2">
        <v>-62100</v>
      </c>
      <c r="K672" s="2">
        <v>0</v>
      </c>
      <c r="L672" s="2">
        <v>62100</v>
      </c>
      <c r="M672" s="2">
        <v>0</v>
      </c>
      <c r="N672" s="1" t="str">
        <f>VLOOKUP(E672,'[1]ORG CODES'!$A:$C,3,FALSE)</f>
        <v>3499   ASA-FEE &amp; INT REV</v>
      </c>
    </row>
    <row r="673" spans="1:14" ht="14.45" hidden="1" x14ac:dyDescent="0.3">
      <c r="A673" t="str">
        <f>VLOOKUP(E673,'[1]ORG CODES'!$A:$B,2,FALSE)</f>
        <v>Student Funded Programs</v>
      </c>
      <c r="B673" s="1" t="s">
        <v>2</v>
      </c>
      <c r="C673" s="1" t="s">
        <v>3</v>
      </c>
      <c r="D673" s="1" t="s">
        <v>4</v>
      </c>
      <c r="E673" s="1" t="s">
        <v>5</v>
      </c>
      <c r="F673" s="1" t="s">
        <v>7</v>
      </c>
      <c r="G673" s="1" t="s">
        <v>8</v>
      </c>
      <c r="H673" s="1" t="str">
        <f>VLOOKUP(F673,'[2]DX.OTHER.9.30.06 DETAIL'!$H$1:$J$65536,3,FALSE)</f>
        <v>Revenue</v>
      </c>
      <c r="I673" s="1">
        <v>0</v>
      </c>
      <c r="J673" s="2">
        <v>-299.83</v>
      </c>
      <c r="K673" s="2">
        <v>0</v>
      </c>
      <c r="L673" s="2">
        <v>299.83</v>
      </c>
      <c r="M673" s="2">
        <v>0</v>
      </c>
      <c r="N673" s="1" t="str">
        <f>VLOOKUP(E673,'[1]ORG CODES'!$A:$C,3,FALSE)</f>
        <v>3221   SPEC.BLDG FUND-SFCC</v>
      </c>
    </row>
    <row r="674" spans="1:14" ht="14.45" hidden="1" x14ac:dyDescent="0.3">
      <c r="A674" t="str">
        <f>VLOOKUP(E674,'[1]ORG CODES'!$A:$B,2,FALSE)</f>
        <v>Student Funded Programs</v>
      </c>
      <c r="B674" s="1" t="s">
        <v>2</v>
      </c>
      <c r="C674" s="1" t="s">
        <v>3</v>
      </c>
      <c r="D674" s="1" t="s">
        <v>4</v>
      </c>
      <c r="E674" s="1" t="s">
        <v>5</v>
      </c>
      <c r="F674" s="1" t="s">
        <v>7</v>
      </c>
      <c r="G674" s="1" t="s">
        <v>9</v>
      </c>
      <c r="H674" s="1" t="str">
        <f>VLOOKUP(F674,'[2]DX.OTHER.9.30.06 DETAIL'!$H$1:$J$65536,3,FALSE)</f>
        <v>Revenue</v>
      </c>
      <c r="I674" s="1">
        <v>0</v>
      </c>
      <c r="J674" s="2">
        <v>-253.68</v>
      </c>
      <c r="K674" s="2">
        <v>0</v>
      </c>
      <c r="L674" s="2">
        <v>253.68</v>
      </c>
      <c r="M674" s="2">
        <v>0</v>
      </c>
      <c r="N674" s="1" t="str">
        <f>VLOOKUP(E674,'[1]ORG CODES'!$A:$C,3,FALSE)</f>
        <v>3221   SPEC.BLDG FUND-SFCC</v>
      </c>
    </row>
    <row r="675" spans="1:14" ht="14.45" hidden="1" x14ac:dyDescent="0.3">
      <c r="A675" t="str">
        <f>VLOOKUP(E675,'[1]ORG CODES'!$A:$B,2,FALSE)</f>
        <v>Student Funded Programs</v>
      </c>
      <c r="B675" s="1" t="s">
        <v>2</v>
      </c>
      <c r="C675" s="1" t="s">
        <v>3</v>
      </c>
      <c r="D675" s="1" t="s">
        <v>4</v>
      </c>
      <c r="E675" s="1" t="s">
        <v>5</v>
      </c>
      <c r="F675" s="1" t="s">
        <v>7</v>
      </c>
      <c r="G675" s="1" t="s">
        <v>10</v>
      </c>
      <c r="H675" s="1" t="str">
        <f>VLOOKUP(F675,'[2]DX.OTHER.9.30.06 DETAIL'!$H$1:$J$65536,3,FALSE)</f>
        <v>Revenue</v>
      </c>
      <c r="I675" s="1">
        <v>0</v>
      </c>
      <c r="J675" s="2">
        <v>-1306.47</v>
      </c>
      <c r="K675" s="2">
        <v>0</v>
      </c>
      <c r="L675" s="2">
        <v>1306.47</v>
      </c>
      <c r="M675" s="2">
        <v>0</v>
      </c>
      <c r="N675" s="1" t="str">
        <f>VLOOKUP(E675,'[1]ORG CODES'!$A:$C,3,FALSE)</f>
        <v>3221   SPEC.BLDG FUND-SFCC</v>
      </c>
    </row>
    <row r="676" spans="1:14" ht="14.45" hidden="1" x14ac:dyDescent="0.3">
      <c r="A676" t="str">
        <f>VLOOKUP(E676,'[1]ORG CODES'!$A:$B,2,FALSE)</f>
        <v>Student Funded Programs</v>
      </c>
      <c r="B676" s="1" t="s">
        <v>2</v>
      </c>
      <c r="C676" s="1" t="s">
        <v>3</v>
      </c>
      <c r="D676" s="1" t="s">
        <v>4</v>
      </c>
      <c r="E676" s="1" t="s">
        <v>5</v>
      </c>
      <c r="F676" s="1" t="s">
        <v>7</v>
      </c>
      <c r="G676" s="1" t="s">
        <v>11</v>
      </c>
      <c r="H676" s="1" t="str">
        <f>VLOOKUP(F676,'[2]DX.OTHER.9.30.06 DETAIL'!$H$1:$J$65536,3,FALSE)</f>
        <v>Revenue</v>
      </c>
      <c r="I676" s="1">
        <v>0</v>
      </c>
      <c r="J676" s="2">
        <v>0</v>
      </c>
      <c r="K676" s="2">
        <v>0</v>
      </c>
      <c r="L676" s="2">
        <v>0</v>
      </c>
      <c r="M676" s="2">
        <v>0</v>
      </c>
      <c r="N676" s="1" t="str">
        <f>VLOOKUP(E676,'[1]ORG CODES'!$A:$C,3,FALSE)</f>
        <v>3221   SPEC.BLDG FUND-SFCC</v>
      </c>
    </row>
    <row r="677" spans="1:14" ht="14.45" hidden="1" x14ac:dyDescent="0.3">
      <c r="A677" t="str">
        <f>VLOOKUP(E677,'[1]ORG CODES'!$A:$B,2,FALSE)</f>
        <v>Student Funded Programs</v>
      </c>
      <c r="B677" s="1" t="s">
        <v>2</v>
      </c>
      <c r="C677" s="1" t="s">
        <v>3</v>
      </c>
      <c r="D677" s="1" t="s">
        <v>4</v>
      </c>
      <c r="E677" s="1" t="s">
        <v>5</v>
      </c>
      <c r="F677" s="1" t="s">
        <v>7</v>
      </c>
      <c r="G677" s="1" t="s">
        <v>12</v>
      </c>
      <c r="H677" s="1" t="str">
        <f>VLOOKUP(F677,'[2]DX.OTHER.9.30.06 DETAIL'!$H$1:$J$65536,3,FALSE)</f>
        <v>Revenue</v>
      </c>
      <c r="I677" s="1">
        <v>0</v>
      </c>
      <c r="J677" s="2">
        <v>-374.87</v>
      </c>
      <c r="K677" s="2">
        <v>0</v>
      </c>
      <c r="L677" s="2">
        <v>374.87</v>
      </c>
      <c r="M677" s="2">
        <v>0</v>
      </c>
      <c r="N677" s="1" t="str">
        <f>VLOOKUP(E677,'[1]ORG CODES'!$A:$C,3,FALSE)</f>
        <v>3221   SPEC.BLDG FUND-SFCC</v>
      </c>
    </row>
    <row r="678" spans="1:14" ht="14.45" hidden="1" x14ac:dyDescent="0.3">
      <c r="A678" t="str">
        <f>VLOOKUP(E678,'[1]ORG CODES'!$A:$B,2,FALSE)</f>
        <v>Student Funded Programs</v>
      </c>
      <c r="B678" s="1" t="s">
        <v>2</v>
      </c>
      <c r="C678" s="1" t="s">
        <v>3</v>
      </c>
      <c r="D678" s="1" t="s">
        <v>4</v>
      </c>
      <c r="E678" s="1" t="s">
        <v>5</v>
      </c>
      <c r="F678" s="1" t="s">
        <v>7</v>
      </c>
      <c r="G678" s="1" t="s">
        <v>13</v>
      </c>
      <c r="H678" s="1" t="str">
        <f>VLOOKUP(F678,'[2]DX.OTHER.9.30.06 DETAIL'!$H$1:$J$65536,3,FALSE)</f>
        <v>Revenue</v>
      </c>
      <c r="I678" s="1">
        <v>0</v>
      </c>
      <c r="J678" s="2">
        <v>-46.05</v>
      </c>
      <c r="K678" s="2">
        <v>0</v>
      </c>
      <c r="L678" s="2">
        <v>46.05</v>
      </c>
      <c r="M678" s="2">
        <v>0</v>
      </c>
      <c r="N678" s="1" t="str">
        <f>VLOOKUP(E678,'[1]ORG CODES'!$A:$C,3,FALSE)</f>
        <v>3221   SPEC.BLDG FUND-SFCC</v>
      </c>
    </row>
    <row r="679" spans="1:14" ht="14.45" hidden="1" x14ac:dyDescent="0.3">
      <c r="A679" t="str">
        <f>VLOOKUP(E679,'[1]ORG CODES'!$A:$B,2,FALSE)</f>
        <v>Student Funded Programs</v>
      </c>
      <c r="B679" s="1" t="s">
        <v>2</v>
      </c>
      <c r="C679" s="1" t="s">
        <v>3</v>
      </c>
      <c r="D679" s="1" t="s">
        <v>4</v>
      </c>
      <c r="E679" s="1" t="s">
        <v>5</v>
      </c>
      <c r="F679" s="1" t="s">
        <v>7</v>
      </c>
      <c r="G679" s="1" t="s">
        <v>14</v>
      </c>
      <c r="H679" s="1" t="str">
        <f>VLOOKUP(F679,'[2]DX.OTHER.9.30.06 DETAIL'!$H$1:$J$65536,3,FALSE)</f>
        <v>Revenue</v>
      </c>
      <c r="I679" s="1">
        <v>0</v>
      </c>
      <c r="J679" s="2">
        <v>-32.89</v>
      </c>
      <c r="K679" s="2">
        <v>0</v>
      </c>
      <c r="L679" s="2">
        <v>32.89</v>
      </c>
      <c r="M679" s="2">
        <v>0</v>
      </c>
      <c r="N679" s="1" t="str">
        <f>VLOOKUP(E679,'[1]ORG CODES'!$A:$C,3,FALSE)</f>
        <v>3221   SPEC.BLDG FUND-SFCC</v>
      </c>
    </row>
    <row r="680" spans="1:14" ht="14.45" hidden="1" x14ac:dyDescent="0.3">
      <c r="A680" t="str">
        <f>VLOOKUP(E680,'[1]ORG CODES'!$A:$B,2,FALSE)</f>
        <v>Student Funded Programs</v>
      </c>
      <c r="B680" s="1" t="s">
        <v>2</v>
      </c>
      <c r="C680" s="1" t="s">
        <v>3</v>
      </c>
      <c r="D680" s="1" t="s">
        <v>4</v>
      </c>
      <c r="E680" s="1" t="s">
        <v>5</v>
      </c>
      <c r="F680" s="1" t="s">
        <v>7</v>
      </c>
      <c r="G680" s="1" t="s">
        <v>15</v>
      </c>
      <c r="H680" s="1" t="str">
        <f>VLOOKUP(F680,'[2]DX.OTHER.9.30.06 DETAIL'!$H$1:$J$65536,3,FALSE)</f>
        <v>Revenue</v>
      </c>
      <c r="I680" s="1">
        <v>0</v>
      </c>
      <c r="J680" s="2">
        <v>-7338.55</v>
      </c>
      <c r="K680" s="2">
        <v>0</v>
      </c>
      <c r="L680" s="2">
        <v>7338.55</v>
      </c>
      <c r="M680" s="2">
        <v>0</v>
      </c>
      <c r="N680" s="1" t="str">
        <f>VLOOKUP(E680,'[1]ORG CODES'!$A:$C,3,FALSE)</f>
        <v>3221   SPEC.BLDG FUND-SFCC</v>
      </c>
    </row>
    <row r="681" spans="1:14" ht="14.45" hidden="1" x14ac:dyDescent="0.3">
      <c r="A681" t="str">
        <f>VLOOKUP(E681,'[1]ORG CODES'!$A:$B,2,FALSE)</f>
        <v>Student Funded Programs</v>
      </c>
      <c r="B681" s="1" t="s">
        <v>2</v>
      </c>
      <c r="C681" s="1" t="s">
        <v>3</v>
      </c>
      <c r="D681" s="1" t="s">
        <v>4</v>
      </c>
      <c r="E681" s="1" t="s">
        <v>5</v>
      </c>
      <c r="F681" s="1" t="s">
        <v>7</v>
      </c>
      <c r="G681" s="1" t="s">
        <v>16</v>
      </c>
      <c r="H681" s="1" t="str">
        <f>VLOOKUP(F681,'[2]DX.OTHER.9.30.06 DETAIL'!$H$1:$J$65536,3,FALSE)</f>
        <v>Revenue</v>
      </c>
      <c r="I681" s="1">
        <v>0</v>
      </c>
      <c r="J681" s="2">
        <v>-12158.07</v>
      </c>
      <c r="K681" s="2">
        <v>0</v>
      </c>
      <c r="L681" s="2">
        <v>12158.07</v>
      </c>
      <c r="M681" s="2">
        <v>0</v>
      </c>
      <c r="N681" s="1" t="str">
        <f>VLOOKUP(E681,'[1]ORG CODES'!$A:$C,3,FALSE)</f>
        <v>3221   SPEC.BLDG FUND-SFCC</v>
      </c>
    </row>
    <row r="682" spans="1:14" ht="14.45" hidden="1" x14ac:dyDescent="0.3">
      <c r="A682" t="str">
        <f>VLOOKUP(E682,'[1]ORG CODES'!$A:$B,2,FALSE)</f>
        <v>Student Funded Programs</v>
      </c>
      <c r="B682" s="1" t="s">
        <v>2</v>
      </c>
      <c r="C682" s="1" t="s">
        <v>3</v>
      </c>
      <c r="D682" s="1" t="s">
        <v>4</v>
      </c>
      <c r="E682" s="1" t="s">
        <v>5</v>
      </c>
      <c r="F682" s="1" t="s">
        <v>7</v>
      </c>
      <c r="G682" s="1" t="s">
        <v>17</v>
      </c>
      <c r="H682" s="1" t="str">
        <f>VLOOKUP(F682,'[2]DX.OTHER.9.30.06 DETAIL'!$H$1:$J$65536,3,FALSE)</f>
        <v>Revenue</v>
      </c>
      <c r="I682" s="1">
        <v>0</v>
      </c>
      <c r="J682" s="2">
        <v>-501.13</v>
      </c>
      <c r="K682" s="2">
        <v>0</v>
      </c>
      <c r="L682" s="2">
        <v>501.13</v>
      </c>
      <c r="M682" s="2">
        <v>0</v>
      </c>
      <c r="N682" s="1" t="str">
        <f>VLOOKUP(E682,'[1]ORG CODES'!$A:$C,3,FALSE)</f>
        <v>3221   SPEC.BLDG FUND-SFCC</v>
      </c>
    </row>
    <row r="683" spans="1:14" ht="14.45" hidden="1" x14ac:dyDescent="0.3">
      <c r="A683" t="str">
        <f>VLOOKUP(E683,'[1]ORG CODES'!$A:$B,2,FALSE)</f>
        <v>Student Funded Programs</v>
      </c>
      <c r="B683" s="1" t="s">
        <v>2</v>
      </c>
      <c r="C683" s="1" t="s">
        <v>3</v>
      </c>
      <c r="D683" s="1" t="s">
        <v>4</v>
      </c>
      <c r="E683" s="1" t="s">
        <v>5</v>
      </c>
      <c r="F683" s="1" t="s">
        <v>7</v>
      </c>
      <c r="G683" s="1" t="s">
        <v>18</v>
      </c>
      <c r="H683" s="1" t="str">
        <f>VLOOKUP(F683,'[2]DX.OTHER.9.30.06 DETAIL'!$H$1:$J$65536,3,FALSE)</f>
        <v>Revenue</v>
      </c>
      <c r="I683" s="1">
        <v>0</v>
      </c>
      <c r="J683" s="2">
        <v>-1041.03</v>
      </c>
      <c r="K683" s="2">
        <v>0</v>
      </c>
      <c r="L683" s="2">
        <v>1041.03</v>
      </c>
      <c r="M683" s="2">
        <v>0</v>
      </c>
      <c r="N683" s="1" t="str">
        <f>VLOOKUP(E683,'[1]ORG CODES'!$A:$C,3,FALSE)</f>
        <v>3221   SPEC.BLDG FUND-SFCC</v>
      </c>
    </row>
    <row r="684" spans="1:14" ht="14.45" hidden="1" x14ac:dyDescent="0.3">
      <c r="A684" t="str">
        <f>VLOOKUP(E684,'[1]ORG CODES'!$A:$B,2,FALSE)</f>
        <v>Student Funded Programs</v>
      </c>
      <c r="B684" s="1" t="s">
        <v>2</v>
      </c>
      <c r="C684" s="1" t="s">
        <v>3</v>
      </c>
      <c r="D684" s="1" t="s">
        <v>4</v>
      </c>
      <c r="E684" s="1" t="s">
        <v>5</v>
      </c>
      <c r="F684" s="1" t="s">
        <v>7</v>
      </c>
      <c r="G684" s="1" t="s">
        <v>19</v>
      </c>
      <c r="H684" s="1" t="str">
        <f>VLOOKUP(F684,'[2]DX.OTHER.9.30.06 DETAIL'!$H$1:$J$65536,3,FALSE)</f>
        <v>Revenue</v>
      </c>
      <c r="I684" s="1">
        <v>0</v>
      </c>
      <c r="J684" s="2">
        <v>-3135.56</v>
      </c>
      <c r="K684" s="2">
        <v>0</v>
      </c>
      <c r="L684" s="2">
        <v>3135.56</v>
      </c>
      <c r="M684" s="2">
        <v>0</v>
      </c>
      <c r="N684" s="1" t="str">
        <f>VLOOKUP(E684,'[1]ORG CODES'!$A:$C,3,FALSE)</f>
        <v>3221   SPEC.BLDG FUND-SFCC</v>
      </c>
    </row>
    <row r="685" spans="1:14" ht="14.45" hidden="1" x14ac:dyDescent="0.3">
      <c r="A685" t="str">
        <f>VLOOKUP(E685,'[1]ORG CODES'!$A:$B,2,FALSE)</f>
        <v>Student Funded Programs</v>
      </c>
      <c r="B685" s="1" t="s">
        <v>2</v>
      </c>
      <c r="C685" s="1" t="s">
        <v>3</v>
      </c>
      <c r="D685" s="1" t="s">
        <v>4</v>
      </c>
      <c r="E685" s="1" t="s">
        <v>5</v>
      </c>
      <c r="F685" s="1" t="s">
        <v>7</v>
      </c>
      <c r="G685" s="1" t="s">
        <v>20</v>
      </c>
      <c r="H685" s="1" t="str">
        <f>VLOOKUP(F685,'[2]DX.OTHER.9.30.06 DETAIL'!$H$1:$J$65536,3,FALSE)</f>
        <v>Revenue</v>
      </c>
      <c r="I685" s="1">
        <v>0</v>
      </c>
      <c r="J685" s="2">
        <v>-106763.34</v>
      </c>
      <c r="K685" s="2">
        <v>0</v>
      </c>
      <c r="L685" s="2">
        <v>106763.34</v>
      </c>
      <c r="M685" s="2">
        <v>0</v>
      </c>
      <c r="N685" s="1" t="str">
        <f>VLOOKUP(E685,'[1]ORG CODES'!$A:$C,3,FALSE)</f>
        <v>3221   SPEC.BLDG FUND-SFCC</v>
      </c>
    </row>
    <row r="686" spans="1:14" ht="14.45" hidden="1" x14ac:dyDescent="0.3">
      <c r="A686" t="str">
        <f>VLOOKUP(E686,'[1]ORG CODES'!$A:$B,2,FALSE)</f>
        <v>Student Funded Programs</v>
      </c>
      <c r="B686" s="1" t="s">
        <v>2</v>
      </c>
      <c r="C686" s="1" t="s">
        <v>3</v>
      </c>
      <c r="D686" s="1" t="s">
        <v>4</v>
      </c>
      <c r="E686" s="1" t="s">
        <v>38</v>
      </c>
      <c r="F686" s="1" t="s">
        <v>39</v>
      </c>
      <c r="G686" s="1" t="s">
        <v>40</v>
      </c>
      <c r="H686" s="1" t="str">
        <f>VLOOKUP(F686,'[2]DX.OTHER.9.30.06 DETAIL'!$H$1:$J$65536,3,FALSE)</f>
        <v>Revenue</v>
      </c>
      <c r="I686" s="1">
        <v>0</v>
      </c>
      <c r="J686" s="2">
        <v>0</v>
      </c>
      <c r="K686" s="2">
        <v>0</v>
      </c>
      <c r="L686" s="2">
        <v>0</v>
      </c>
      <c r="M686" s="2">
        <v>0</v>
      </c>
      <c r="N686" s="1" t="str">
        <f>VLOOKUP(E686,'[1]ORG CODES'!$A:$C,3,FALSE)</f>
        <v>3329   SPEECH &amp; DEBATE CLUB</v>
      </c>
    </row>
    <row r="687" spans="1:14" ht="14.45" hidden="1" x14ac:dyDescent="0.3">
      <c r="A687" t="str">
        <f>VLOOKUP(E687,'[1]ORG CODES'!$A:$B,2,FALSE)</f>
        <v>Student Funded Programs</v>
      </c>
      <c r="B687" s="1" t="s">
        <v>2</v>
      </c>
      <c r="C687" s="1" t="s">
        <v>3</v>
      </c>
      <c r="D687" s="1" t="s">
        <v>4</v>
      </c>
      <c r="E687" s="1" t="s">
        <v>46</v>
      </c>
      <c r="F687" s="1" t="s">
        <v>39</v>
      </c>
      <c r="G687" s="1" t="s">
        <v>47</v>
      </c>
      <c r="H687" s="1" t="str">
        <f>VLOOKUP(F687,'[2]DX.OTHER.9.30.06 DETAIL'!$H$1:$J$65536,3,FALSE)</f>
        <v>Revenue</v>
      </c>
      <c r="I687" s="1">
        <v>0</v>
      </c>
      <c r="J687" s="2">
        <v>-4435</v>
      </c>
      <c r="K687" s="2">
        <v>0</v>
      </c>
      <c r="L687" s="2">
        <v>4435</v>
      </c>
      <c r="M687" s="2">
        <v>0</v>
      </c>
      <c r="N687" s="1" t="str">
        <f>VLOOKUP(E687,'[1]ORG CODES'!$A:$C,3,FALSE)</f>
        <v>3330   GRAPHIC DESIGN</v>
      </c>
    </row>
    <row r="688" spans="1:14" ht="14.45" hidden="1" x14ac:dyDescent="0.3">
      <c r="A688" t="str">
        <f>VLOOKUP(E688,'[1]ORG CODES'!$A:$B,2,FALSE)</f>
        <v>Student Funded Programs</v>
      </c>
      <c r="B688" s="1" t="s">
        <v>2</v>
      </c>
      <c r="C688" s="1" t="s">
        <v>3</v>
      </c>
      <c r="D688" s="1" t="s">
        <v>4</v>
      </c>
      <c r="E688" s="1" t="s">
        <v>52</v>
      </c>
      <c r="F688" s="1" t="s">
        <v>39</v>
      </c>
      <c r="H688" s="1" t="str">
        <f>VLOOKUP(F688,'[2]DX.OTHER.9.30.06 DETAIL'!$H$1:$J$65536,3,FALSE)</f>
        <v>Revenue</v>
      </c>
      <c r="I688" s="1">
        <v>0</v>
      </c>
      <c r="J688" s="2">
        <v>0</v>
      </c>
      <c r="K688" s="2">
        <v>0</v>
      </c>
      <c r="L688" s="2">
        <v>0</v>
      </c>
      <c r="M688" s="2">
        <v>0</v>
      </c>
      <c r="N688" s="1" t="str">
        <f>VLOOKUP(E688,'[1]ORG CODES'!$A:$C,3,FALSE)</f>
        <v>3352   REVELERS (DRAMA)</v>
      </c>
    </row>
    <row r="689" spans="1:14" ht="14.45" hidden="1" x14ac:dyDescent="0.3">
      <c r="A689" t="str">
        <f>VLOOKUP(E689,'[1]ORG CODES'!$A:$B,2,FALSE)</f>
        <v>Student Funded Programs</v>
      </c>
      <c r="B689" s="1" t="s">
        <v>2</v>
      </c>
      <c r="C689" s="1" t="s">
        <v>3</v>
      </c>
      <c r="D689" s="1" t="s">
        <v>4</v>
      </c>
      <c r="E689" s="1" t="s">
        <v>52</v>
      </c>
      <c r="F689" s="1" t="s">
        <v>39</v>
      </c>
      <c r="G689" s="1" t="s">
        <v>53</v>
      </c>
      <c r="H689" s="1" t="str">
        <f>VLOOKUP(F689,'[2]DX.OTHER.9.30.06 DETAIL'!$H$1:$J$65536,3,FALSE)</f>
        <v>Revenue</v>
      </c>
      <c r="I689" s="1">
        <v>0</v>
      </c>
      <c r="J689" s="2">
        <v>-2000</v>
      </c>
      <c r="K689" s="2">
        <v>0</v>
      </c>
      <c r="L689" s="2">
        <v>2000</v>
      </c>
      <c r="M689" s="2">
        <v>0</v>
      </c>
      <c r="N689" s="1" t="str">
        <f>VLOOKUP(E689,'[1]ORG CODES'!$A:$C,3,FALSE)</f>
        <v>3352   REVELERS (DRAMA)</v>
      </c>
    </row>
    <row r="690" spans="1:14" ht="14.45" hidden="1" x14ac:dyDescent="0.3">
      <c r="A690" t="str">
        <f>VLOOKUP(E690,'[1]ORG CODES'!$A:$B,2,FALSE)</f>
        <v>Student Funded Programs</v>
      </c>
      <c r="B690" s="1" t="s">
        <v>2</v>
      </c>
      <c r="C690" s="1" t="s">
        <v>3</v>
      </c>
      <c r="D690" s="1" t="s">
        <v>4</v>
      </c>
      <c r="E690" s="1" t="s">
        <v>65</v>
      </c>
      <c r="F690" s="1" t="s">
        <v>39</v>
      </c>
      <c r="G690" s="1" t="s">
        <v>66</v>
      </c>
      <c r="H690" s="1" t="str">
        <f>VLOOKUP(F690,'[2]DX.OTHER.9.30.06 DETAIL'!$H$1:$J$65536,3,FALSE)</f>
        <v>Revenue</v>
      </c>
      <c r="I690" s="1">
        <v>0</v>
      </c>
      <c r="J690" s="2">
        <v>0</v>
      </c>
      <c r="K690" s="2">
        <v>0</v>
      </c>
      <c r="L690" s="2">
        <v>0</v>
      </c>
      <c r="M690" s="2">
        <v>0</v>
      </c>
      <c r="N690" s="1" t="str">
        <f>VLOOKUP(E690,'[1]ORG CODES'!$A:$C,3,FALSE)</f>
        <v>3354   CONCERT BAND</v>
      </c>
    </row>
    <row r="691" spans="1:14" ht="14.45" hidden="1" x14ac:dyDescent="0.3">
      <c r="A691" t="str">
        <f>VLOOKUP(E691,'[1]ORG CODES'!$A:$B,2,FALSE)</f>
        <v>Student Funded Programs</v>
      </c>
      <c r="B691" s="1" t="s">
        <v>2</v>
      </c>
      <c r="C691" s="1" t="s">
        <v>3</v>
      </c>
      <c r="D691" s="1" t="s">
        <v>4</v>
      </c>
      <c r="E691" s="1" t="s">
        <v>68</v>
      </c>
      <c r="F691" s="1" t="s">
        <v>39</v>
      </c>
      <c r="G691" s="1" t="s">
        <v>69</v>
      </c>
      <c r="H691" s="1" t="str">
        <f>VLOOKUP(F691,'[2]DX.OTHER.9.30.06 DETAIL'!$H$1:$J$65536,3,FALSE)</f>
        <v>Revenue</v>
      </c>
      <c r="I691" s="1">
        <v>0</v>
      </c>
      <c r="J691" s="2">
        <v>-1648.06</v>
      </c>
      <c r="K691" s="2">
        <v>0</v>
      </c>
      <c r="L691" s="2">
        <v>1648.06</v>
      </c>
      <c r="M691" s="2">
        <v>0</v>
      </c>
      <c r="N691" s="1" t="str">
        <f>VLOOKUP(E691,'[1]ORG CODES'!$A:$C,3,FALSE)</f>
        <v>3355   CHORAL MUSIC</v>
      </c>
    </row>
    <row r="692" spans="1:14" ht="14.45" hidden="1" x14ac:dyDescent="0.3">
      <c r="A692" t="str">
        <f>VLOOKUP(E692,'[1]ORG CODES'!$A:$B,2,FALSE)</f>
        <v>Student Funded Programs</v>
      </c>
      <c r="B692" s="1" t="s">
        <v>2</v>
      </c>
      <c r="C692" s="1" t="s">
        <v>3</v>
      </c>
      <c r="D692" s="1" t="s">
        <v>4</v>
      </c>
      <c r="E692" s="1" t="s">
        <v>72</v>
      </c>
      <c r="F692" s="1" t="s">
        <v>39</v>
      </c>
      <c r="G692" s="1" t="s">
        <v>73</v>
      </c>
      <c r="H692" s="1" t="str">
        <f>VLOOKUP(F692,'[2]DX.OTHER.9.30.06 DETAIL'!$H$1:$J$65536,3,FALSE)</f>
        <v>Revenue</v>
      </c>
      <c r="I692" s="1">
        <v>0</v>
      </c>
      <c r="J692" s="2">
        <v>-774</v>
      </c>
      <c r="K692" s="2">
        <v>0</v>
      </c>
      <c r="L692" s="2">
        <v>774</v>
      </c>
      <c r="M692" s="2">
        <v>0</v>
      </c>
      <c r="N692" s="1" t="str">
        <f>VLOOKUP(E692,'[1]ORG CODES'!$A:$C,3,FALSE)</f>
        <v>3357   PHOTO ARTS</v>
      </c>
    </row>
    <row r="693" spans="1:14" ht="14.45" hidden="1" x14ac:dyDescent="0.3">
      <c r="A693" t="str">
        <f>VLOOKUP(E693,'[1]ORG CODES'!$A:$B,2,FALSE)</f>
        <v>Student Funded Programs</v>
      </c>
      <c r="B693" s="1" t="s">
        <v>2</v>
      </c>
      <c r="C693" s="1" t="s">
        <v>3</v>
      </c>
      <c r="D693" s="1" t="s">
        <v>4</v>
      </c>
      <c r="E693" s="1" t="s">
        <v>77</v>
      </c>
      <c r="F693" s="1" t="s">
        <v>39</v>
      </c>
      <c r="H693" s="1" t="str">
        <f>VLOOKUP(F693,'[2]DX.OTHER.9.30.06 DETAIL'!$H$1:$J$65536,3,FALSE)</f>
        <v>Revenue</v>
      </c>
      <c r="I693" s="1">
        <v>0</v>
      </c>
      <c r="J693" s="2">
        <v>0</v>
      </c>
      <c r="K693" s="2">
        <v>0</v>
      </c>
      <c r="L693" s="2">
        <v>0</v>
      </c>
      <c r="M693" s="2">
        <v>0</v>
      </c>
      <c r="N693" s="1" t="str">
        <f>VLOOKUP(E693,'[1]ORG CODES'!$A:$C,3,FALSE)</f>
        <v>3367   RECREATION SOCIETY</v>
      </c>
    </row>
    <row r="694" spans="1:14" ht="14.45" hidden="1" x14ac:dyDescent="0.3">
      <c r="A694" t="str">
        <f>VLOOKUP(E694,'[1]ORG CODES'!$A:$B,2,FALSE)</f>
        <v>Student Funded Programs</v>
      </c>
      <c r="B694" s="1" t="s">
        <v>2</v>
      </c>
      <c r="C694" s="1" t="s">
        <v>3</v>
      </c>
      <c r="D694" s="1" t="s">
        <v>4</v>
      </c>
      <c r="E694" s="1" t="s">
        <v>80</v>
      </c>
      <c r="F694" s="1" t="s">
        <v>39</v>
      </c>
      <c r="H694" s="1" t="str">
        <f>VLOOKUP(F694,'[2]DX.OTHER.9.30.06 DETAIL'!$H$1:$J$65536,3,FALSE)</f>
        <v>Revenue</v>
      </c>
      <c r="I694" s="1">
        <v>0</v>
      </c>
      <c r="J694" s="2">
        <v>0</v>
      </c>
      <c r="K694" s="2">
        <v>0</v>
      </c>
      <c r="L694" s="2">
        <v>0</v>
      </c>
      <c r="M694" s="2">
        <v>0</v>
      </c>
      <c r="N694" s="1" t="str">
        <f>VLOOKUP(E694,'[1]ORG CODES'!$A:$C,3,FALSE)</f>
        <v>3370   BETA GAMMA KAPPA</v>
      </c>
    </row>
    <row r="695" spans="1:14" ht="14.45" hidden="1" x14ac:dyDescent="0.3">
      <c r="A695" t="str">
        <f>VLOOKUP(E695,'[1]ORG CODES'!$A:$B,2,FALSE)</f>
        <v>Student Funded Programs</v>
      </c>
      <c r="B695" s="1" t="s">
        <v>2</v>
      </c>
      <c r="C695" s="1" t="s">
        <v>3</v>
      </c>
      <c r="D695" s="1" t="s">
        <v>4</v>
      </c>
      <c r="E695" s="1" t="s">
        <v>80</v>
      </c>
      <c r="F695" s="1" t="s">
        <v>39</v>
      </c>
      <c r="G695" s="1" t="s">
        <v>81</v>
      </c>
      <c r="H695" s="1" t="str">
        <f>VLOOKUP(F695,'[2]DX.OTHER.9.30.06 DETAIL'!$H$1:$J$65536,3,FALSE)</f>
        <v>Revenue</v>
      </c>
      <c r="I695" s="1">
        <v>0</v>
      </c>
      <c r="J695" s="2">
        <v>-1203</v>
      </c>
      <c r="K695" s="2">
        <v>0</v>
      </c>
      <c r="L695" s="2">
        <v>1203</v>
      </c>
      <c r="M695" s="2">
        <v>0</v>
      </c>
      <c r="N695" s="1" t="str">
        <f>VLOOKUP(E695,'[1]ORG CODES'!$A:$C,3,FALSE)</f>
        <v>3370   BETA GAMMA KAPPA</v>
      </c>
    </row>
    <row r="696" spans="1:14" ht="14.45" hidden="1" x14ac:dyDescent="0.3">
      <c r="A696" t="str">
        <f>VLOOKUP(E696,'[1]ORG CODES'!$A:$B,2,FALSE)</f>
        <v>Student Funded Programs</v>
      </c>
      <c r="B696" s="1" t="s">
        <v>2</v>
      </c>
      <c r="C696" s="1" t="s">
        <v>3</v>
      </c>
      <c r="D696" s="1" t="s">
        <v>4</v>
      </c>
      <c r="E696" s="1" t="s">
        <v>83</v>
      </c>
      <c r="F696" s="1" t="s">
        <v>84</v>
      </c>
      <c r="H696" s="1" t="str">
        <f>VLOOKUP(F696,'[2]DX.OTHER.9.30.06 DETAIL'!$H$1:$J$65536,3,FALSE)</f>
        <v>Revenue</v>
      </c>
      <c r="I696" s="1">
        <v>0</v>
      </c>
      <c r="J696" s="2">
        <v>-25</v>
      </c>
      <c r="K696" s="2">
        <v>0</v>
      </c>
      <c r="L696" s="2">
        <v>25</v>
      </c>
      <c r="M696" s="2">
        <v>0</v>
      </c>
      <c r="N696" s="1" t="str">
        <f>VLOOKUP(E696,'[1]ORG CODES'!$A:$C,3,FALSE)</f>
        <v>3372   STDNT PHYS THER ASST</v>
      </c>
    </row>
    <row r="697" spans="1:14" ht="14.45" hidden="1" x14ac:dyDescent="0.3">
      <c r="A697" t="str">
        <f>VLOOKUP(E697,'[1]ORG CODES'!$A:$B,2,FALSE)</f>
        <v>Student Funded Programs</v>
      </c>
      <c r="B697" s="1" t="s">
        <v>2</v>
      </c>
      <c r="C697" s="1" t="s">
        <v>3</v>
      </c>
      <c r="D697" s="1" t="s">
        <v>4</v>
      </c>
      <c r="E697" s="1" t="s">
        <v>83</v>
      </c>
      <c r="F697" s="1" t="s">
        <v>39</v>
      </c>
      <c r="H697" s="1" t="str">
        <f>VLOOKUP(F697,'[2]DX.OTHER.9.30.06 DETAIL'!$H$1:$J$65536,3,FALSE)</f>
        <v>Revenue</v>
      </c>
      <c r="I697" s="1">
        <v>0</v>
      </c>
      <c r="J697" s="2">
        <v>-1590</v>
      </c>
      <c r="K697" s="2">
        <v>0</v>
      </c>
      <c r="L697" s="2">
        <v>1590</v>
      </c>
      <c r="M697" s="2">
        <v>0</v>
      </c>
      <c r="N697" s="1" t="str">
        <f>VLOOKUP(E697,'[1]ORG CODES'!$A:$C,3,FALSE)</f>
        <v>3372   STDNT PHYS THER ASST</v>
      </c>
    </row>
    <row r="698" spans="1:14" ht="14.45" hidden="1" x14ac:dyDescent="0.3">
      <c r="A698" t="str">
        <f>VLOOKUP(E698,'[1]ORG CODES'!$A:$B,2,FALSE)</f>
        <v>Student Funded Programs</v>
      </c>
      <c r="B698" s="1" t="s">
        <v>2</v>
      </c>
      <c r="C698" s="1" t="s">
        <v>3</v>
      </c>
      <c r="D698" s="1" t="s">
        <v>4</v>
      </c>
      <c r="E698" s="1" t="s">
        <v>83</v>
      </c>
      <c r="F698" s="1" t="s">
        <v>39</v>
      </c>
      <c r="G698" s="1" t="s">
        <v>85</v>
      </c>
      <c r="H698" s="1" t="str">
        <f>VLOOKUP(F698,'[2]DX.OTHER.9.30.06 DETAIL'!$H$1:$J$65536,3,FALSE)</f>
        <v>Revenue</v>
      </c>
      <c r="I698" s="1">
        <v>0</v>
      </c>
      <c r="J698" s="2">
        <v>-1309.93</v>
      </c>
      <c r="K698" s="2">
        <v>0</v>
      </c>
      <c r="L698" s="2">
        <v>1309.93</v>
      </c>
      <c r="M698" s="2">
        <v>0</v>
      </c>
      <c r="N698" s="1" t="str">
        <f>VLOOKUP(E698,'[1]ORG CODES'!$A:$C,3,FALSE)</f>
        <v>3372   STDNT PHYS THER ASST</v>
      </c>
    </row>
    <row r="699" spans="1:14" ht="14.45" hidden="1" x14ac:dyDescent="0.3">
      <c r="A699" t="str">
        <f>VLOOKUP(E699,'[1]ORG CODES'!$A:$B,2,FALSE)</f>
        <v>Student Funded Programs</v>
      </c>
      <c r="B699" s="1" t="s">
        <v>2</v>
      </c>
      <c r="C699" s="1" t="s">
        <v>3</v>
      </c>
      <c r="D699" s="1" t="s">
        <v>4</v>
      </c>
      <c r="E699" s="1" t="s">
        <v>86</v>
      </c>
      <c r="F699" s="1" t="s">
        <v>84</v>
      </c>
      <c r="H699" s="1" t="str">
        <f>VLOOKUP(F699,'[2]DX.OTHER.9.30.06 DETAIL'!$H$1:$J$65536,3,FALSE)</f>
        <v>Revenue</v>
      </c>
      <c r="I699" s="1">
        <v>0</v>
      </c>
      <c r="J699" s="2">
        <v>-425</v>
      </c>
      <c r="K699" s="2">
        <v>0</v>
      </c>
      <c r="L699" s="2">
        <v>425</v>
      </c>
      <c r="M699" s="2">
        <v>0</v>
      </c>
      <c r="N699" s="1" t="str">
        <f>VLOOKUP(E699,'[1]ORG CODES'!$A:$C,3,FALSE)</f>
        <v>3373   STUD OCCUP THERA ASST</v>
      </c>
    </row>
    <row r="700" spans="1:14" ht="14.45" hidden="1" x14ac:dyDescent="0.3">
      <c r="A700" t="str">
        <f>VLOOKUP(E700,'[1]ORG CODES'!$A:$B,2,FALSE)</f>
        <v>Student Funded Programs</v>
      </c>
      <c r="B700" s="1" t="s">
        <v>2</v>
      </c>
      <c r="C700" s="1" t="s">
        <v>3</v>
      </c>
      <c r="D700" s="1" t="s">
        <v>4</v>
      </c>
      <c r="E700" s="1" t="s">
        <v>86</v>
      </c>
      <c r="F700" s="1" t="s">
        <v>87</v>
      </c>
      <c r="H700" s="1" t="str">
        <f>VLOOKUP(F700,'[2]DX.OTHER.9.30.06 DETAIL'!$H$1:$J$65536,3,FALSE)</f>
        <v>Revenue</v>
      </c>
      <c r="I700" s="1">
        <v>0</v>
      </c>
      <c r="J700" s="2">
        <v>-668</v>
      </c>
      <c r="K700" s="2">
        <v>0</v>
      </c>
      <c r="L700" s="2">
        <v>668</v>
      </c>
      <c r="M700" s="2">
        <v>0</v>
      </c>
      <c r="N700" s="1" t="str">
        <f>VLOOKUP(E700,'[1]ORG CODES'!$A:$C,3,FALSE)</f>
        <v>3373   STUD OCCUP THERA ASST</v>
      </c>
    </row>
    <row r="701" spans="1:14" ht="14.45" hidden="1" x14ac:dyDescent="0.3">
      <c r="A701" t="str">
        <f>VLOOKUP(E701,'[1]ORG CODES'!$A:$B,2,FALSE)</f>
        <v>Student Funded Programs</v>
      </c>
      <c r="B701" s="1" t="s">
        <v>2</v>
      </c>
      <c r="C701" s="1" t="s">
        <v>3</v>
      </c>
      <c r="D701" s="1" t="s">
        <v>4</v>
      </c>
      <c r="E701" s="1" t="s">
        <v>86</v>
      </c>
      <c r="F701" s="1" t="s">
        <v>39</v>
      </c>
      <c r="H701" s="1" t="str">
        <f>VLOOKUP(F701,'[2]DX.OTHER.9.30.06 DETAIL'!$H$1:$J$65536,3,FALSE)</f>
        <v>Revenue</v>
      </c>
      <c r="I701" s="1">
        <v>0</v>
      </c>
      <c r="J701" s="2">
        <v>-1881.61</v>
      </c>
      <c r="K701" s="2">
        <v>0</v>
      </c>
      <c r="L701" s="2">
        <v>1881.61</v>
      </c>
      <c r="M701" s="2">
        <v>0</v>
      </c>
      <c r="N701" s="1" t="str">
        <f>VLOOKUP(E701,'[1]ORG CODES'!$A:$C,3,FALSE)</f>
        <v>3373   STUD OCCUP THERA ASST</v>
      </c>
    </row>
    <row r="702" spans="1:14" ht="14.45" x14ac:dyDescent="0.3">
      <c r="A702" t="str">
        <f>VLOOKUP(E702,'[1]ORG CODES'!$A:$B,2,FALSE)</f>
        <v>Student Funded Programs</v>
      </c>
      <c r="B702" s="1" t="s">
        <v>2</v>
      </c>
      <c r="C702" s="1" t="s">
        <v>3</v>
      </c>
      <c r="D702" s="1" t="s">
        <v>4</v>
      </c>
      <c r="E702" s="1" t="s">
        <v>88</v>
      </c>
      <c r="F702" s="1" t="s">
        <v>7</v>
      </c>
      <c r="G702" s="1" t="s">
        <v>8</v>
      </c>
      <c r="H702" s="1" t="str">
        <f>VLOOKUP(F702,'[2]DX.OTHER.9.30.06 DETAIL'!$H$1:$J$65536,3,FALSE)</f>
        <v>Revenue</v>
      </c>
      <c r="I702" s="1">
        <v>0</v>
      </c>
      <c r="J702" s="2">
        <v>-171.28</v>
      </c>
      <c r="K702" s="2">
        <v>0</v>
      </c>
      <c r="L702" s="2">
        <v>171.28</v>
      </c>
      <c r="M702" s="2">
        <v>0</v>
      </c>
      <c r="N702" s="1" t="str">
        <f>VLOOKUP(E702,'[1]ORG CODES'!$A:$C,3,FALSE)</f>
        <v>3382   ATHLETIC SCHOLARSHIP</v>
      </c>
    </row>
    <row r="703" spans="1:14" ht="14.45" x14ac:dyDescent="0.3">
      <c r="A703" t="str">
        <f>VLOOKUP(E703,'[1]ORG CODES'!$A:$B,2,FALSE)</f>
        <v>Student Funded Programs</v>
      </c>
      <c r="B703" s="1" t="s">
        <v>2</v>
      </c>
      <c r="C703" s="1" t="s">
        <v>3</v>
      </c>
      <c r="D703" s="1" t="s">
        <v>4</v>
      </c>
      <c r="E703" s="1" t="s">
        <v>88</v>
      </c>
      <c r="F703" s="1" t="s">
        <v>7</v>
      </c>
      <c r="G703" s="1" t="s">
        <v>9</v>
      </c>
      <c r="H703" s="1" t="str">
        <f>VLOOKUP(F703,'[2]DX.OTHER.9.30.06 DETAIL'!$H$1:$J$65536,3,FALSE)</f>
        <v>Revenue</v>
      </c>
      <c r="I703" s="1">
        <v>0</v>
      </c>
      <c r="J703" s="2">
        <v>-154.27000000000001</v>
      </c>
      <c r="K703" s="2">
        <v>0</v>
      </c>
      <c r="L703" s="2">
        <v>154.27000000000001</v>
      </c>
      <c r="M703" s="2">
        <v>0</v>
      </c>
      <c r="N703" s="1" t="str">
        <f>VLOOKUP(E703,'[1]ORG CODES'!$A:$C,3,FALSE)</f>
        <v>3382   ATHLETIC SCHOLARSHIP</v>
      </c>
    </row>
    <row r="704" spans="1:14" ht="14.45" x14ac:dyDescent="0.3">
      <c r="A704" t="str">
        <f>VLOOKUP(E704,'[1]ORG CODES'!$A:$B,2,FALSE)</f>
        <v>Student Funded Programs</v>
      </c>
      <c r="B704" s="1" t="s">
        <v>2</v>
      </c>
      <c r="C704" s="1" t="s">
        <v>3</v>
      </c>
      <c r="D704" s="1" t="s">
        <v>4</v>
      </c>
      <c r="E704" s="1" t="s">
        <v>88</v>
      </c>
      <c r="F704" s="1" t="s">
        <v>7</v>
      </c>
      <c r="G704" s="1" t="s">
        <v>10</v>
      </c>
      <c r="H704" s="1" t="str">
        <f>VLOOKUP(F704,'[2]DX.OTHER.9.30.06 DETAIL'!$H$1:$J$65536,3,FALSE)</f>
        <v>Revenue</v>
      </c>
      <c r="I704" s="1">
        <v>0</v>
      </c>
      <c r="J704" s="2">
        <v>-708.38</v>
      </c>
      <c r="K704" s="2">
        <v>0</v>
      </c>
      <c r="L704" s="2">
        <v>708.38</v>
      </c>
      <c r="M704" s="2">
        <v>0</v>
      </c>
      <c r="N704" s="1" t="str">
        <f>VLOOKUP(E704,'[1]ORG CODES'!$A:$C,3,FALSE)</f>
        <v>3382   ATHLETIC SCHOLARSHIP</v>
      </c>
    </row>
    <row r="705" spans="1:14" ht="14.45" x14ac:dyDescent="0.3">
      <c r="A705" t="str">
        <f>VLOOKUP(E705,'[1]ORG CODES'!$A:$B,2,FALSE)</f>
        <v>Student Funded Programs</v>
      </c>
      <c r="B705" s="1" t="s">
        <v>2</v>
      </c>
      <c r="C705" s="1" t="s">
        <v>3</v>
      </c>
      <c r="D705" s="1" t="s">
        <v>4</v>
      </c>
      <c r="E705" s="1" t="s">
        <v>88</v>
      </c>
      <c r="F705" s="1" t="s">
        <v>7</v>
      </c>
      <c r="G705" s="1" t="s">
        <v>11</v>
      </c>
      <c r="H705" s="1" t="str">
        <f>VLOOKUP(F705,'[2]DX.OTHER.9.30.06 DETAIL'!$H$1:$J$65536,3,FALSE)</f>
        <v>Revenue</v>
      </c>
      <c r="I705" s="1">
        <v>0</v>
      </c>
      <c r="J705" s="2">
        <v>0</v>
      </c>
      <c r="K705" s="2">
        <v>0</v>
      </c>
      <c r="L705" s="2">
        <v>0</v>
      </c>
      <c r="M705" s="2">
        <v>0</v>
      </c>
      <c r="N705" s="1" t="str">
        <f>VLOOKUP(E705,'[1]ORG CODES'!$A:$C,3,FALSE)</f>
        <v>3382   ATHLETIC SCHOLARSHIP</v>
      </c>
    </row>
    <row r="706" spans="1:14" ht="14.45" x14ac:dyDescent="0.3">
      <c r="A706" t="str">
        <f>VLOOKUP(E706,'[1]ORG CODES'!$A:$B,2,FALSE)</f>
        <v>Student Funded Programs</v>
      </c>
      <c r="B706" s="1" t="s">
        <v>2</v>
      </c>
      <c r="C706" s="1" t="s">
        <v>3</v>
      </c>
      <c r="D706" s="1" t="s">
        <v>4</v>
      </c>
      <c r="E706" s="1" t="s">
        <v>88</v>
      </c>
      <c r="F706" s="1" t="s">
        <v>7</v>
      </c>
      <c r="G706" s="1" t="s">
        <v>12</v>
      </c>
      <c r="H706" s="1" t="str">
        <f>VLOOKUP(F706,'[2]DX.OTHER.9.30.06 DETAIL'!$H$1:$J$65536,3,FALSE)</f>
        <v>Revenue</v>
      </c>
      <c r="I706" s="1">
        <v>0</v>
      </c>
      <c r="J706" s="2">
        <v>-203.26</v>
      </c>
      <c r="K706" s="2">
        <v>0</v>
      </c>
      <c r="L706" s="2">
        <v>203.26</v>
      </c>
      <c r="M706" s="2">
        <v>0</v>
      </c>
      <c r="N706" s="1" t="str">
        <f>VLOOKUP(E706,'[1]ORG CODES'!$A:$C,3,FALSE)</f>
        <v>3382   ATHLETIC SCHOLARSHIP</v>
      </c>
    </row>
    <row r="707" spans="1:14" ht="14.45" x14ac:dyDescent="0.3">
      <c r="A707" t="str">
        <f>VLOOKUP(E707,'[1]ORG CODES'!$A:$B,2,FALSE)</f>
        <v>Student Funded Programs</v>
      </c>
      <c r="B707" s="1" t="s">
        <v>2</v>
      </c>
      <c r="C707" s="1" t="s">
        <v>3</v>
      </c>
      <c r="D707" s="1" t="s">
        <v>4</v>
      </c>
      <c r="E707" s="1" t="s">
        <v>88</v>
      </c>
      <c r="F707" s="1" t="s">
        <v>7</v>
      </c>
      <c r="G707" s="1" t="s">
        <v>13</v>
      </c>
      <c r="H707" s="1" t="str">
        <f>VLOOKUP(F707,'[2]DX.OTHER.9.30.06 DETAIL'!$H$1:$J$65536,3,FALSE)</f>
        <v>Revenue</v>
      </c>
      <c r="I707" s="1">
        <v>0</v>
      </c>
      <c r="J707" s="2">
        <v>-26.58</v>
      </c>
      <c r="K707" s="2">
        <v>0</v>
      </c>
      <c r="L707" s="2">
        <v>26.58</v>
      </c>
      <c r="M707" s="2">
        <v>0</v>
      </c>
      <c r="N707" s="1" t="str">
        <f>VLOOKUP(E707,'[1]ORG CODES'!$A:$C,3,FALSE)</f>
        <v>3382   ATHLETIC SCHOLARSHIP</v>
      </c>
    </row>
    <row r="708" spans="1:14" ht="14.45" x14ac:dyDescent="0.3">
      <c r="A708" t="str">
        <f>VLOOKUP(E708,'[1]ORG CODES'!$A:$B,2,FALSE)</f>
        <v>Student Funded Programs</v>
      </c>
      <c r="B708" s="1" t="s">
        <v>2</v>
      </c>
      <c r="C708" s="1" t="s">
        <v>3</v>
      </c>
      <c r="D708" s="1" t="s">
        <v>4</v>
      </c>
      <c r="E708" s="1" t="s">
        <v>88</v>
      </c>
      <c r="F708" s="1" t="s">
        <v>7</v>
      </c>
      <c r="G708" s="1" t="s">
        <v>14</v>
      </c>
      <c r="H708" s="1" t="str">
        <f>VLOOKUP(F708,'[2]DX.OTHER.9.30.06 DETAIL'!$H$1:$J$65536,3,FALSE)</f>
        <v>Revenue</v>
      </c>
      <c r="I708" s="1">
        <v>0</v>
      </c>
      <c r="J708" s="2">
        <v>-19.82</v>
      </c>
      <c r="K708" s="2">
        <v>0</v>
      </c>
      <c r="L708" s="2">
        <v>19.82</v>
      </c>
      <c r="M708" s="2">
        <v>0</v>
      </c>
      <c r="N708" s="1" t="str">
        <f>VLOOKUP(E708,'[1]ORG CODES'!$A:$C,3,FALSE)</f>
        <v>3382   ATHLETIC SCHOLARSHIP</v>
      </c>
    </row>
    <row r="709" spans="1:14" ht="14.45" x14ac:dyDescent="0.3">
      <c r="A709" t="str">
        <f>VLOOKUP(E709,'[1]ORG CODES'!$A:$B,2,FALSE)</f>
        <v>Student Funded Programs</v>
      </c>
      <c r="B709" s="1" t="s">
        <v>2</v>
      </c>
      <c r="C709" s="1" t="s">
        <v>3</v>
      </c>
      <c r="D709" s="1" t="s">
        <v>4</v>
      </c>
      <c r="E709" s="1" t="s">
        <v>88</v>
      </c>
      <c r="F709" s="1" t="s">
        <v>7</v>
      </c>
      <c r="G709" s="1" t="s">
        <v>15</v>
      </c>
      <c r="H709" s="1" t="str">
        <f>VLOOKUP(F709,'[2]DX.OTHER.9.30.06 DETAIL'!$H$1:$J$65536,3,FALSE)</f>
        <v>Revenue</v>
      </c>
      <c r="I709" s="1">
        <v>0</v>
      </c>
      <c r="J709" s="2">
        <v>-4424.3900000000003</v>
      </c>
      <c r="K709" s="2">
        <v>0</v>
      </c>
      <c r="L709" s="2">
        <v>4424.3900000000003</v>
      </c>
      <c r="M709" s="2">
        <v>0</v>
      </c>
      <c r="N709" s="1" t="str">
        <f>VLOOKUP(E709,'[1]ORG CODES'!$A:$C,3,FALSE)</f>
        <v>3382   ATHLETIC SCHOLARSHIP</v>
      </c>
    </row>
    <row r="710" spans="1:14" ht="14.45" x14ac:dyDescent="0.3">
      <c r="A710" t="str">
        <f>VLOOKUP(E710,'[1]ORG CODES'!$A:$B,2,FALSE)</f>
        <v>Student Funded Programs</v>
      </c>
      <c r="B710" s="1" t="s">
        <v>2</v>
      </c>
      <c r="C710" s="1" t="s">
        <v>3</v>
      </c>
      <c r="D710" s="1" t="s">
        <v>4</v>
      </c>
      <c r="E710" s="1" t="s">
        <v>88</v>
      </c>
      <c r="F710" s="1" t="s">
        <v>7</v>
      </c>
      <c r="G710" s="1" t="s">
        <v>16</v>
      </c>
      <c r="H710" s="1" t="str">
        <f>VLOOKUP(F710,'[2]DX.OTHER.9.30.06 DETAIL'!$H$1:$J$65536,3,FALSE)</f>
        <v>Revenue</v>
      </c>
      <c r="I710" s="1">
        <v>0</v>
      </c>
      <c r="J710" s="2">
        <v>-6976.41</v>
      </c>
      <c r="K710" s="2">
        <v>0</v>
      </c>
      <c r="L710" s="2">
        <v>6976.41</v>
      </c>
      <c r="M710" s="2">
        <v>0</v>
      </c>
      <c r="N710" s="1" t="str">
        <f>VLOOKUP(E710,'[1]ORG CODES'!$A:$C,3,FALSE)</f>
        <v>3382   ATHLETIC SCHOLARSHIP</v>
      </c>
    </row>
    <row r="711" spans="1:14" ht="14.45" x14ac:dyDescent="0.3">
      <c r="A711" t="str">
        <f>VLOOKUP(E711,'[1]ORG CODES'!$A:$B,2,FALSE)</f>
        <v>Student Funded Programs</v>
      </c>
      <c r="B711" s="1" t="s">
        <v>2</v>
      </c>
      <c r="C711" s="1" t="s">
        <v>3</v>
      </c>
      <c r="D711" s="1" t="s">
        <v>4</v>
      </c>
      <c r="E711" s="1" t="s">
        <v>88</v>
      </c>
      <c r="F711" s="1" t="s">
        <v>7</v>
      </c>
      <c r="G711" s="1" t="s">
        <v>17</v>
      </c>
      <c r="H711" s="1" t="str">
        <f>VLOOKUP(F711,'[2]DX.OTHER.9.30.06 DETAIL'!$H$1:$J$65536,3,FALSE)</f>
        <v>Revenue</v>
      </c>
      <c r="I711" s="1">
        <v>0</v>
      </c>
      <c r="J711" s="2">
        <v>-287.41000000000003</v>
      </c>
      <c r="K711" s="2">
        <v>0</v>
      </c>
      <c r="L711" s="2">
        <v>287.41000000000003</v>
      </c>
      <c r="M711" s="2">
        <v>0</v>
      </c>
      <c r="N711" s="1" t="str">
        <f>VLOOKUP(E711,'[1]ORG CODES'!$A:$C,3,FALSE)</f>
        <v>3382   ATHLETIC SCHOLARSHIP</v>
      </c>
    </row>
    <row r="712" spans="1:14" ht="14.45" x14ac:dyDescent="0.3">
      <c r="A712" t="str">
        <f>VLOOKUP(E712,'[1]ORG CODES'!$A:$B,2,FALSE)</f>
        <v>Student Funded Programs</v>
      </c>
      <c r="B712" s="1" t="s">
        <v>2</v>
      </c>
      <c r="C712" s="1" t="s">
        <v>3</v>
      </c>
      <c r="D712" s="1" t="s">
        <v>4</v>
      </c>
      <c r="E712" s="1" t="s">
        <v>88</v>
      </c>
      <c r="F712" s="1" t="s">
        <v>7</v>
      </c>
      <c r="G712" s="1" t="s">
        <v>18</v>
      </c>
      <c r="H712" s="1" t="str">
        <f>VLOOKUP(F712,'[2]DX.OTHER.9.30.06 DETAIL'!$H$1:$J$65536,3,FALSE)</f>
        <v>Revenue</v>
      </c>
      <c r="I712" s="1">
        <v>0</v>
      </c>
      <c r="J712" s="2">
        <v>-620.87</v>
      </c>
      <c r="K712" s="2">
        <v>0</v>
      </c>
      <c r="L712" s="2">
        <v>620.87</v>
      </c>
      <c r="M712" s="2">
        <v>0</v>
      </c>
      <c r="N712" s="1" t="str">
        <f>VLOOKUP(E712,'[1]ORG CODES'!$A:$C,3,FALSE)</f>
        <v>3382   ATHLETIC SCHOLARSHIP</v>
      </c>
    </row>
    <row r="713" spans="1:14" ht="14.45" x14ac:dyDescent="0.3">
      <c r="A713" t="str">
        <f>VLOOKUP(E713,'[1]ORG CODES'!$A:$B,2,FALSE)</f>
        <v>Student Funded Programs</v>
      </c>
      <c r="B713" s="1" t="s">
        <v>2</v>
      </c>
      <c r="C713" s="1" t="s">
        <v>3</v>
      </c>
      <c r="D713" s="1" t="s">
        <v>4</v>
      </c>
      <c r="E713" s="1" t="s">
        <v>88</v>
      </c>
      <c r="F713" s="1" t="s">
        <v>7</v>
      </c>
      <c r="G713" s="1" t="s">
        <v>19</v>
      </c>
      <c r="H713" s="1" t="str">
        <f>VLOOKUP(F713,'[2]DX.OTHER.9.30.06 DETAIL'!$H$1:$J$65536,3,FALSE)</f>
        <v>Revenue</v>
      </c>
      <c r="I713" s="1">
        <v>0</v>
      </c>
      <c r="J713" s="2">
        <v>-1786.59</v>
      </c>
      <c r="K713" s="2">
        <v>0</v>
      </c>
      <c r="L713" s="2">
        <v>1786.59</v>
      </c>
      <c r="M713" s="2">
        <v>0</v>
      </c>
      <c r="N713" s="1" t="str">
        <f>VLOOKUP(E713,'[1]ORG CODES'!$A:$C,3,FALSE)</f>
        <v>3382   ATHLETIC SCHOLARSHIP</v>
      </c>
    </row>
    <row r="714" spans="1:14" ht="14.45" x14ac:dyDescent="0.3">
      <c r="A714" t="str">
        <f>VLOOKUP(E714,'[1]ORG CODES'!$A:$B,2,FALSE)</f>
        <v>Student Funded Programs</v>
      </c>
      <c r="B714" s="1" t="s">
        <v>2</v>
      </c>
      <c r="C714" s="1" t="s">
        <v>3</v>
      </c>
      <c r="D714" s="1" t="s">
        <v>4</v>
      </c>
      <c r="E714" s="1" t="s">
        <v>88</v>
      </c>
      <c r="F714" s="1" t="s">
        <v>7</v>
      </c>
      <c r="G714" s="1" t="s">
        <v>20</v>
      </c>
      <c r="H714" s="1" t="str">
        <f>VLOOKUP(F714,'[2]DX.OTHER.9.30.06 DETAIL'!$H$1:$J$65536,3,FALSE)</f>
        <v>Revenue</v>
      </c>
      <c r="I714" s="1">
        <v>0</v>
      </c>
      <c r="J714" s="2">
        <v>-61680.07</v>
      </c>
      <c r="K714" s="2">
        <v>0</v>
      </c>
      <c r="L714" s="2">
        <v>61680.07</v>
      </c>
      <c r="M714" s="2">
        <v>0</v>
      </c>
      <c r="N714" s="1" t="str">
        <f>VLOOKUP(E714,'[1]ORG CODES'!$A:$C,3,FALSE)</f>
        <v>3382   ATHLETIC SCHOLARSHIP</v>
      </c>
    </row>
    <row r="715" spans="1:14" ht="14.45" hidden="1" x14ac:dyDescent="0.3">
      <c r="A715" t="str">
        <f>VLOOKUP(E715,'[1]ORG CODES'!$A:$B,2,FALSE)</f>
        <v>Student Funded Programs</v>
      </c>
      <c r="B715" s="1" t="s">
        <v>2</v>
      </c>
      <c r="C715" s="1" t="s">
        <v>3</v>
      </c>
      <c r="D715" s="1" t="s">
        <v>4</v>
      </c>
      <c r="E715" s="1" t="s">
        <v>89</v>
      </c>
      <c r="F715" s="1" t="s">
        <v>7</v>
      </c>
      <c r="G715" s="1" t="s">
        <v>8</v>
      </c>
      <c r="H715" s="1" t="str">
        <f>VLOOKUP(F715,'[2]DX.OTHER.9.30.06 DETAIL'!$H$1:$J$65536,3,FALSE)</f>
        <v>Revenue</v>
      </c>
      <c r="I715" s="1">
        <v>0</v>
      </c>
      <c r="J715" s="2">
        <v>-121.3</v>
      </c>
      <c r="K715" s="2">
        <v>0</v>
      </c>
      <c r="L715" s="2">
        <v>121.3</v>
      </c>
      <c r="M715" s="2">
        <v>0</v>
      </c>
      <c r="N715" s="1" t="str">
        <f>VLOOKUP(E715,'[1]ORG CODES'!$A:$C,3,FALSE)</f>
        <v>3383   S&amp;A FINANCIAL AID</v>
      </c>
    </row>
    <row r="716" spans="1:14" ht="14.45" hidden="1" x14ac:dyDescent="0.3">
      <c r="A716" t="str">
        <f>VLOOKUP(E716,'[1]ORG CODES'!$A:$B,2,FALSE)</f>
        <v>Student Funded Programs</v>
      </c>
      <c r="B716" s="1" t="s">
        <v>2</v>
      </c>
      <c r="C716" s="1" t="s">
        <v>3</v>
      </c>
      <c r="D716" s="1" t="s">
        <v>4</v>
      </c>
      <c r="E716" s="1" t="s">
        <v>89</v>
      </c>
      <c r="F716" s="1" t="s">
        <v>7</v>
      </c>
      <c r="G716" s="1" t="s">
        <v>9</v>
      </c>
      <c r="H716" s="1" t="str">
        <f>VLOOKUP(F716,'[2]DX.OTHER.9.30.06 DETAIL'!$H$1:$J$65536,3,FALSE)</f>
        <v>Revenue</v>
      </c>
      <c r="I716" s="1">
        <v>0</v>
      </c>
      <c r="J716" s="2">
        <v>-102.64</v>
      </c>
      <c r="K716" s="2">
        <v>0</v>
      </c>
      <c r="L716" s="2">
        <v>102.64</v>
      </c>
      <c r="M716" s="2">
        <v>0</v>
      </c>
      <c r="N716" s="1" t="str">
        <f>VLOOKUP(E716,'[1]ORG CODES'!$A:$C,3,FALSE)</f>
        <v>3383   S&amp;A FINANCIAL AID</v>
      </c>
    </row>
    <row r="717" spans="1:14" ht="14.45" hidden="1" x14ac:dyDescent="0.3">
      <c r="A717" t="str">
        <f>VLOOKUP(E717,'[1]ORG CODES'!$A:$B,2,FALSE)</f>
        <v>Student Funded Programs</v>
      </c>
      <c r="B717" s="1" t="s">
        <v>2</v>
      </c>
      <c r="C717" s="1" t="s">
        <v>3</v>
      </c>
      <c r="D717" s="1" t="s">
        <v>4</v>
      </c>
      <c r="E717" s="1" t="s">
        <v>89</v>
      </c>
      <c r="F717" s="1" t="s">
        <v>7</v>
      </c>
      <c r="G717" s="1" t="s">
        <v>10</v>
      </c>
      <c r="H717" s="1" t="str">
        <f>VLOOKUP(F717,'[2]DX.OTHER.9.30.06 DETAIL'!$H$1:$J$65536,3,FALSE)</f>
        <v>Revenue</v>
      </c>
      <c r="I717" s="1">
        <v>0</v>
      </c>
      <c r="J717" s="2">
        <v>-528.63</v>
      </c>
      <c r="K717" s="2">
        <v>0</v>
      </c>
      <c r="L717" s="2">
        <v>528.63</v>
      </c>
      <c r="M717" s="2">
        <v>0</v>
      </c>
      <c r="N717" s="1" t="str">
        <f>VLOOKUP(E717,'[1]ORG CODES'!$A:$C,3,FALSE)</f>
        <v>3383   S&amp;A FINANCIAL AID</v>
      </c>
    </row>
    <row r="718" spans="1:14" ht="14.45" hidden="1" x14ac:dyDescent="0.3">
      <c r="A718" t="str">
        <f>VLOOKUP(E718,'[1]ORG CODES'!$A:$B,2,FALSE)</f>
        <v>Student Funded Programs</v>
      </c>
      <c r="B718" s="1" t="s">
        <v>2</v>
      </c>
      <c r="C718" s="1" t="s">
        <v>3</v>
      </c>
      <c r="D718" s="1" t="s">
        <v>4</v>
      </c>
      <c r="E718" s="1" t="s">
        <v>89</v>
      </c>
      <c r="F718" s="1" t="s">
        <v>7</v>
      </c>
      <c r="G718" s="1" t="s">
        <v>11</v>
      </c>
      <c r="H718" s="1" t="str">
        <f>VLOOKUP(F718,'[2]DX.OTHER.9.30.06 DETAIL'!$H$1:$J$65536,3,FALSE)</f>
        <v>Revenue</v>
      </c>
      <c r="I718" s="1">
        <v>0</v>
      </c>
      <c r="J718" s="2">
        <v>0</v>
      </c>
      <c r="K718" s="2">
        <v>0</v>
      </c>
      <c r="L718" s="2">
        <v>0</v>
      </c>
      <c r="M718" s="2">
        <v>0</v>
      </c>
      <c r="N718" s="1" t="str">
        <f>VLOOKUP(E718,'[1]ORG CODES'!$A:$C,3,FALSE)</f>
        <v>3383   S&amp;A FINANCIAL AID</v>
      </c>
    </row>
    <row r="719" spans="1:14" ht="14.45" hidden="1" x14ac:dyDescent="0.3">
      <c r="A719" t="str">
        <f>VLOOKUP(E719,'[1]ORG CODES'!$A:$B,2,FALSE)</f>
        <v>Student Funded Programs</v>
      </c>
      <c r="B719" s="1" t="s">
        <v>2</v>
      </c>
      <c r="C719" s="1" t="s">
        <v>3</v>
      </c>
      <c r="D719" s="1" t="s">
        <v>4</v>
      </c>
      <c r="E719" s="1" t="s">
        <v>89</v>
      </c>
      <c r="F719" s="1" t="s">
        <v>7</v>
      </c>
      <c r="G719" s="1" t="s">
        <v>12</v>
      </c>
      <c r="H719" s="1" t="str">
        <f>VLOOKUP(F719,'[2]DX.OTHER.9.30.06 DETAIL'!$H$1:$J$65536,3,FALSE)</f>
        <v>Revenue</v>
      </c>
      <c r="I719" s="1">
        <v>0</v>
      </c>
      <c r="J719" s="2">
        <v>-151.69</v>
      </c>
      <c r="K719" s="2">
        <v>0</v>
      </c>
      <c r="L719" s="2">
        <v>151.69</v>
      </c>
      <c r="M719" s="2">
        <v>0</v>
      </c>
      <c r="N719" s="1" t="str">
        <f>VLOOKUP(E719,'[1]ORG CODES'!$A:$C,3,FALSE)</f>
        <v>3383   S&amp;A FINANCIAL AID</v>
      </c>
    </row>
    <row r="720" spans="1:14" ht="14.45" hidden="1" x14ac:dyDescent="0.3">
      <c r="A720" t="str">
        <f>VLOOKUP(E720,'[1]ORG CODES'!$A:$B,2,FALSE)</f>
        <v>Student Funded Programs</v>
      </c>
      <c r="B720" s="1" t="s">
        <v>2</v>
      </c>
      <c r="C720" s="1" t="s">
        <v>3</v>
      </c>
      <c r="D720" s="1" t="s">
        <v>4</v>
      </c>
      <c r="E720" s="1" t="s">
        <v>89</v>
      </c>
      <c r="F720" s="1" t="s">
        <v>7</v>
      </c>
      <c r="G720" s="1" t="s">
        <v>13</v>
      </c>
      <c r="H720" s="1" t="str">
        <f>VLOOKUP(F720,'[2]DX.OTHER.9.30.06 DETAIL'!$H$1:$J$65536,3,FALSE)</f>
        <v>Revenue</v>
      </c>
      <c r="I720" s="1">
        <v>0</v>
      </c>
      <c r="J720" s="2">
        <v>-18.64</v>
      </c>
      <c r="K720" s="2">
        <v>0</v>
      </c>
      <c r="L720" s="2">
        <v>18.64</v>
      </c>
      <c r="M720" s="2">
        <v>0</v>
      </c>
      <c r="N720" s="1" t="str">
        <f>VLOOKUP(E720,'[1]ORG CODES'!$A:$C,3,FALSE)</f>
        <v>3383   S&amp;A FINANCIAL AID</v>
      </c>
    </row>
    <row r="721" spans="1:14" ht="14.45" hidden="1" x14ac:dyDescent="0.3">
      <c r="A721" t="str">
        <f>VLOOKUP(E721,'[1]ORG CODES'!$A:$B,2,FALSE)</f>
        <v>Student Funded Programs</v>
      </c>
      <c r="B721" s="1" t="s">
        <v>2</v>
      </c>
      <c r="C721" s="1" t="s">
        <v>3</v>
      </c>
      <c r="D721" s="1" t="s">
        <v>4</v>
      </c>
      <c r="E721" s="1" t="s">
        <v>89</v>
      </c>
      <c r="F721" s="1" t="s">
        <v>7</v>
      </c>
      <c r="G721" s="1" t="s">
        <v>14</v>
      </c>
      <c r="H721" s="1" t="str">
        <f>VLOOKUP(F721,'[2]DX.OTHER.9.30.06 DETAIL'!$H$1:$J$65536,3,FALSE)</f>
        <v>Revenue</v>
      </c>
      <c r="I721" s="1">
        <v>0</v>
      </c>
      <c r="J721" s="2">
        <v>-13.3</v>
      </c>
      <c r="K721" s="2">
        <v>0</v>
      </c>
      <c r="L721" s="2">
        <v>13.3</v>
      </c>
      <c r="M721" s="2">
        <v>0</v>
      </c>
      <c r="N721" s="1" t="str">
        <f>VLOOKUP(E721,'[1]ORG CODES'!$A:$C,3,FALSE)</f>
        <v>3383   S&amp;A FINANCIAL AID</v>
      </c>
    </row>
    <row r="722" spans="1:14" ht="14.45" hidden="1" x14ac:dyDescent="0.3">
      <c r="A722" t="str">
        <f>VLOOKUP(E722,'[1]ORG CODES'!$A:$B,2,FALSE)</f>
        <v>Student Funded Programs</v>
      </c>
      <c r="B722" s="1" t="s">
        <v>2</v>
      </c>
      <c r="C722" s="1" t="s">
        <v>3</v>
      </c>
      <c r="D722" s="1" t="s">
        <v>4</v>
      </c>
      <c r="E722" s="1" t="s">
        <v>89</v>
      </c>
      <c r="F722" s="1" t="s">
        <v>7</v>
      </c>
      <c r="G722" s="1" t="s">
        <v>15</v>
      </c>
      <c r="H722" s="1" t="str">
        <f>VLOOKUP(F722,'[2]DX.OTHER.9.30.06 DETAIL'!$H$1:$J$65536,3,FALSE)</f>
        <v>Revenue</v>
      </c>
      <c r="I722" s="1">
        <v>0</v>
      </c>
      <c r="J722" s="2">
        <v>-2969.34</v>
      </c>
      <c r="K722" s="2">
        <v>0</v>
      </c>
      <c r="L722" s="2">
        <v>2969.34</v>
      </c>
      <c r="M722" s="2">
        <v>0</v>
      </c>
      <c r="N722" s="1" t="str">
        <f>VLOOKUP(E722,'[1]ORG CODES'!$A:$C,3,FALSE)</f>
        <v>3383   S&amp;A FINANCIAL AID</v>
      </c>
    </row>
    <row r="723" spans="1:14" ht="14.45" hidden="1" x14ac:dyDescent="0.3">
      <c r="A723" t="str">
        <f>VLOOKUP(E723,'[1]ORG CODES'!$A:$B,2,FALSE)</f>
        <v>Student Funded Programs</v>
      </c>
      <c r="B723" s="1" t="s">
        <v>2</v>
      </c>
      <c r="C723" s="1" t="s">
        <v>3</v>
      </c>
      <c r="D723" s="1" t="s">
        <v>4</v>
      </c>
      <c r="E723" s="1" t="s">
        <v>89</v>
      </c>
      <c r="F723" s="1" t="s">
        <v>7</v>
      </c>
      <c r="G723" s="1" t="s">
        <v>16</v>
      </c>
      <c r="H723" s="1" t="str">
        <f>VLOOKUP(F723,'[2]DX.OTHER.9.30.06 DETAIL'!$H$1:$J$65536,3,FALSE)</f>
        <v>Revenue</v>
      </c>
      <c r="I723" s="1">
        <v>0</v>
      </c>
      <c r="J723" s="2">
        <v>-4919.43</v>
      </c>
      <c r="K723" s="2">
        <v>0</v>
      </c>
      <c r="L723" s="2">
        <v>4919.43</v>
      </c>
      <c r="M723" s="2">
        <v>0</v>
      </c>
      <c r="N723" s="1" t="str">
        <f>VLOOKUP(E723,'[1]ORG CODES'!$A:$C,3,FALSE)</f>
        <v>3383   S&amp;A FINANCIAL AID</v>
      </c>
    </row>
    <row r="724" spans="1:14" ht="14.45" hidden="1" x14ac:dyDescent="0.3">
      <c r="A724" t="str">
        <f>VLOOKUP(E724,'[1]ORG CODES'!$A:$B,2,FALSE)</f>
        <v>Student Funded Programs</v>
      </c>
      <c r="B724" s="1" t="s">
        <v>2</v>
      </c>
      <c r="C724" s="1" t="s">
        <v>3</v>
      </c>
      <c r="D724" s="1" t="s">
        <v>4</v>
      </c>
      <c r="E724" s="1" t="s">
        <v>89</v>
      </c>
      <c r="F724" s="1" t="s">
        <v>7</v>
      </c>
      <c r="G724" s="1" t="s">
        <v>17</v>
      </c>
      <c r="H724" s="1" t="str">
        <f>VLOOKUP(F724,'[2]DX.OTHER.9.30.06 DETAIL'!$H$1:$J$65536,3,FALSE)</f>
        <v>Revenue</v>
      </c>
      <c r="I724" s="1">
        <v>0</v>
      </c>
      <c r="J724" s="2">
        <v>-202.76</v>
      </c>
      <c r="K724" s="2">
        <v>0</v>
      </c>
      <c r="L724" s="2">
        <v>202.76</v>
      </c>
      <c r="M724" s="2">
        <v>0</v>
      </c>
      <c r="N724" s="1" t="str">
        <f>VLOOKUP(E724,'[1]ORG CODES'!$A:$C,3,FALSE)</f>
        <v>3383   S&amp;A FINANCIAL AID</v>
      </c>
    </row>
    <row r="725" spans="1:14" ht="14.45" hidden="1" x14ac:dyDescent="0.3">
      <c r="A725" t="str">
        <f>VLOOKUP(E725,'[1]ORG CODES'!$A:$B,2,FALSE)</f>
        <v>Student Funded Programs</v>
      </c>
      <c r="B725" s="1" t="s">
        <v>2</v>
      </c>
      <c r="C725" s="1" t="s">
        <v>3</v>
      </c>
      <c r="D725" s="1" t="s">
        <v>4</v>
      </c>
      <c r="E725" s="1" t="s">
        <v>89</v>
      </c>
      <c r="F725" s="1" t="s">
        <v>7</v>
      </c>
      <c r="G725" s="1" t="s">
        <v>18</v>
      </c>
      <c r="H725" s="1" t="str">
        <f>VLOOKUP(F725,'[2]DX.OTHER.9.30.06 DETAIL'!$H$1:$J$65536,3,FALSE)</f>
        <v>Revenue</v>
      </c>
      <c r="I725" s="1">
        <v>0</v>
      </c>
      <c r="J725" s="2">
        <v>-421.2</v>
      </c>
      <c r="K725" s="2">
        <v>0</v>
      </c>
      <c r="L725" s="2">
        <v>421.2</v>
      </c>
      <c r="M725" s="2">
        <v>0</v>
      </c>
      <c r="N725" s="1" t="str">
        <f>VLOOKUP(E725,'[1]ORG CODES'!$A:$C,3,FALSE)</f>
        <v>3383   S&amp;A FINANCIAL AID</v>
      </c>
    </row>
    <row r="726" spans="1:14" ht="14.45" hidden="1" x14ac:dyDescent="0.3">
      <c r="A726" t="str">
        <f>VLOOKUP(E726,'[1]ORG CODES'!$A:$B,2,FALSE)</f>
        <v>Student Funded Programs</v>
      </c>
      <c r="B726" s="1" t="s">
        <v>2</v>
      </c>
      <c r="C726" s="1" t="s">
        <v>3</v>
      </c>
      <c r="D726" s="1" t="s">
        <v>4</v>
      </c>
      <c r="E726" s="1" t="s">
        <v>89</v>
      </c>
      <c r="F726" s="1" t="s">
        <v>7</v>
      </c>
      <c r="G726" s="1" t="s">
        <v>19</v>
      </c>
      <c r="H726" s="1" t="str">
        <f>VLOOKUP(F726,'[2]DX.OTHER.9.30.06 DETAIL'!$H$1:$J$65536,3,FALSE)</f>
        <v>Revenue</v>
      </c>
      <c r="I726" s="1">
        <v>0</v>
      </c>
      <c r="J726" s="2">
        <v>-1268.67</v>
      </c>
      <c r="K726" s="2">
        <v>0</v>
      </c>
      <c r="L726" s="2">
        <v>1268.67</v>
      </c>
      <c r="M726" s="2">
        <v>0</v>
      </c>
      <c r="N726" s="1" t="str">
        <f>VLOOKUP(E726,'[1]ORG CODES'!$A:$C,3,FALSE)</f>
        <v>3383   S&amp;A FINANCIAL AID</v>
      </c>
    </row>
    <row r="727" spans="1:14" ht="14.45" hidden="1" x14ac:dyDescent="0.3">
      <c r="A727" t="str">
        <f>VLOOKUP(E727,'[1]ORG CODES'!$A:$B,2,FALSE)</f>
        <v>Student Funded Programs</v>
      </c>
      <c r="B727" s="1" t="s">
        <v>2</v>
      </c>
      <c r="C727" s="1" t="s">
        <v>3</v>
      </c>
      <c r="D727" s="1" t="s">
        <v>4</v>
      </c>
      <c r="E727" s="1" t="s">
        <v>89</v>
      </c>
      <c r="F727" s="1" t="s">
        <v>7</v>
      </c>
      <c r="G727" s="1" t="s">
        <v>20</v>
      </c>
      <c r="H727" s="1" t="str">
        <f>VLOOKUP(F727,'[2]DX.OTHER.9.30.06 DETAIL'!$H$1:$J$65536,3,FALSE)</f>
        <v>Revenue</v>
      </c>
      <c r="I727" s="1">
        <v>0</v>
      </c>
      <c r="J727" s="2">
        <v>-43199.05</v>
      </c>
      <c r="K727" s="2">
        <v>0</v>
      </c>
      <c r="L727" s="2">
        <v>43199.05</v>
      </c>
      <c r="M727" s="2">
        <v>0</v>
      </c>
      <c r="N727" s="1" t="str">
        <f>VLOOKUP(E727,'[1]ORG CODES'!$A:$C,3,FALSE)</f>
        <v>3383   S&amp;A FINANCIAL AID</v>
      </c>
    </row>
    <row r="728" spans="1:14" ht="14.45" hidden="1" x14ac:dyDescent="0.3">
      <c r="A728" t="str">
        <f>VLOOKUP(E728,'[1]ORG CODES'!$A:$B,2,FALSE)</f>
        <v>Student Funded Programs</v>
      </c>
      <c r="B728" s="1" t="s">
        <v>2</v>
      </c>
      <c r="C728" s="1" t="s">
        <v>3</v>
      </c>
      <c r="D728" s="1" t="s">
        <v>4</v>
      </c>
      <c r="E728" s="1" t="s">
        <v>91</v>
      </c>
      <c r="F728" s="1" t="s">
        <v>7</v>
      </c>
      <c r="G728" s="1" t="s">
        <v>8</v>
      </c>
      <c r="H728" s="1" t="str">
        <f>VLOOKUP(F728,'[2]DX.OTHER.9.30.06 DETAIL'!$H$1:$J$65536,3,FALSE)</f>
        <v>Revenue</v>
      </c>
      <c r="I728" s="1">
        <v>0</v>
      </c>
      <c r="J728" s="2">
        <v>-427.73</v>
      </c>
      <c r="K728" s="2">
        <v>0</v>
      </c>
      <c r="L728" s="2">
        <v>427.73</v>
      </c>
      <c r="M728" s="2">
        <v>0</v>
      </c>
      <c r="N728" s="1" t="str">
        <f>VLOOKUP(E728,'[1]ORG CODES'!$A:$C,3,FALSE)</f>
        <v>3399   FEE &amp; INT.REV.IRA</v>
      </c>
    </row>
    <row r="729" spans="1:14" ht="14.45" hidden="1" x14ac:dyDescent="0.3">
      <c r="A729" t="str">
        <f>VLOOKUP(E729,'[1]ORG CODES'!$A:$B,2,FALSE)</f>
        <v>Student Funded Programs</v>
      </c>
      <c r="B729" s="1" t="s">
        <v>2</v>
      </c>
      <c r="C729" s="1" t="s">
        <v>3</v>
      </c>
      <c r="D729" s="1" t="s">
        <v>4</v>
      </c>
      <c r="E729" s="1" t="s">
        <v>91</v>
      </c>
      <c r="F729" s="1" t="s">
        <v>7</v>
      </c>
      <c r="G729" s="1" t="s">
        <v>9</v>
      </c>
      <c r="H729" s="1" t="str">
        <f>VLOOKUP(F729,'[2]DX.OTHER.9.30.06 DETAIL'!$H$1:$J$65536,3,FALSE)</f>
        <v>Revenue</v>
      </c>
      <c r="I729" s="1">
        <v>0</v>
      </c>
      <c r="J729" s="2">
        <v>-361.87</v>
      </c>
      <c r="K729" s="2">
        <v>0</v>
      </c>
      <c r="L729" s="2">
        <v>361.87</v>
      </c>
      <c r="M729" s="2">
        <v>0</v>
      </c>
      <c r="N729" s="1" t="str">
        <f>VLOOKUP(E729,'[1]ORG CODES'!$A:$C,3,FALSE)</f>
        <v>3399   FEE &amp; INT.REV.IRA</v>
      </c>
    </row>
    <row r="730" spans="1:14" ht="14.45" hidden="1" x14ac:dyDescent="0.3">
      <c r="A730" t="str">
        <f>VLOOKUP(E730,'[1]ORG CODES'!$A:$B,2,FALSE)</f>
        <v>Student Funded Programs</v>
      </c>
      <c r="B730" s="1" t="s">
        <v>2</v>
      </c>
      <c r="C730" s="1" t="s">
        <v>3</v>
      </c>
      <c r="D730" s="1" t="s">
        <v>4</v>
      </c>
      <c r="E730" s="1" t="s">
        <v>91</v>
      </c>
      <c r="F730" s="1" t="s">
        <v>7</v>
      </c>
      <c r="G730" s="1" t="s">
        <v>10</v>
      </c>
      <c r="H730" s="1" t="str">
        <f>VLOOKUP(F730,'[2]DX.OTHER.9.30.06 DETAIL'!$H$1:$J$65536,3,FALSE)</f>
        <v>Revenue</v>
      </c>
      <c r="I730" s="1">
        <v>0</v>
      </c>
      <c r="J730" s="2">
        <v>-1863.82</v>
      </c>
      <c r="K730" s="2">
        <v>0</v>
      </c>
      <c r="L730" s="2">
        <v>1863.82</v>
      </c>
      <c r="M730" s="2">
        <v>0</v>
      </c>
      <c r="N730" s="1" t="str">
        <f>VLOOKUP(E730,'[1]ORG CODES'!$A:$C,3,FALSE)</f>
        <v>3399   FEE &amp; INT.REV.IRA</v>
      </c>
    </row>
    <row r="731" spans="1:14" ht="14.45" hidden="1" x14ac:dyDescent="0.3">
      <c r="A731" t="str">
        <f>VLOOKUP(E731,'[1]ORG CODES'!$A:$B,2,FALSE)</f>
        <v>Student Funded Programs</v>
      </c>
      <c r="B731" s="1" t="s">
        <v>2</v>
      </c>
      <c r="C731" s="1" t="s">
        <v>3</v>
      </c>
      <c r="D731" s="1" t="s">
        <v>4</v>
      </c>
      <c r="E731" s="1" t="s">
        <v>91</v>
      </c>
      <c r="F731" s="1" t="s">
        <v>7</v>
      </c>
      <c r="G731" s="1" t="s">
        <v>11</v>
      </c>
      <c r="H731" s="1" t="str">
        <f>VLOOKUP(F731,'[2]DX.OTHER.9.30.06 DETAIL'!$H$1:$J$65536,3,FALSE)</f>
        <v>Revenue</v>
      </c>
      <c r="I731" s="1">
        <v>0</v>
      </c>
      <c r="J731" s="2">
        <v>0</v>
      </c>
      <c r="K731" s="2">
        <v>0</v>
      </c>
      <c r="L731" s="2">
        <v>0</v>
      </c>
      <c r="M731" s="2">
        <v>0</v>
      </c>
      <c r="N731" s="1" t="str">
        <f>VLOOKUP(E731,'[1]ORG CODES'!$A:$C,3,FALSE)</f>
        <v>3399   FEE &amp; INT.REV.IRA</v>
      </c>
    </row>
    <row r="732" spans="1:14" ht="14.45" hidden="1" x14ac:dyDescent="0.3">
      <c r="A732" t="str">
        <f>VLOOKUP(E732,'[1]ORG CODES'!$A:$B,2,FALSE)</f>
        <v>Student Funded Programs</v>
      </c>
      <c r="B732" s="1" t="s">
        <v>2</v>
      </c>
      <c r="C732" s="1" t="s">
        <v>3</v>
      </c>
      <c r="D732" s="1" t="s">
        <v>4</v>
      </c>
      <c r="E732" s="1" t="s">
        <v>91</v>
      </c>
      <c r="F732" s="1" t="s">
        <v>7</v>
      </c>
      <c r="G732" s="1" t="s">
        <v>12</v>
      </c>
      <c r="H732" s="1" t="str">
        <f>VLOOKUP(F732,'[2]DX.OTHER.9.30.06 DETAIL'!$H$1:$J$65536,3,FALSE)</f>
        <v>Revenue</v>
      </c>
      <c r="I732" s="1">
        <v>0</v>
      </c>
      <c r="J732" s="2">
        <v>-534.80999999999995</v>
      </c>
      <c r="K732" s="2">
        <v>0</v>
      </c>
      <c r="L732" s="2">
        <v>534.80999999999995</v>
      </c>
      <c r="M732" s="2">
        <v>0</v>
      </c>
      <c r="N732" s="1" t="str">
        <f>VLOOKUP(E732,'[1]ORG CODES'!$A:$C,3,FALSE)</f>
        <v>3399   FEE &amp; INT.REV.IRA</v>
      </c>
    </row>
    <row r="733" spans="1:14" ht="14.45" hidden="1" x14ac:dyDescent="0.3">
      <c r="A733" t="str">
        <f>VLOOKUP(E733,'[1]ORG CODES'!$A:$B,2,FALSE)</f>
        <v>Student Funded Programs</v>
      </c>
      <c r="B733" s="1" t="s">
        <v>2</v>
      </c>
      <c r="C733" s="1" t="s">
        <v>3</v>
      </c>
      <c r="D733" s="1" t="s">
        <v>4</v>
      </c>
      <c r="E733" s="1" t="s">
        <v>91</v>
      </c>
      <c r="F733" s="1" t="s">
        <v>7</v>
      </c>
      <c r="G733" s="1" t="s">
        <v>13</v>
      </c>
      <c r="H733" s="1" t="str">
        <f>VLOOKUP(F733,'[2]DX.OTHER.9.30.06 DETAIL'!$H$1:$J$65536,3,FALSE)</f>
        <v>Revenue</v>
      </c>
      <c r="I733" s="1">
        <v>0</v>
      </c>
      <c r="J733" s="2">
        <v>-65.7</v>
      </c>
      <c r="K733" s="2">
        <v>0</v>
      </c>
      <c r="L733" s="2">
        <v>65.7</v>
      </c>
      <c r="M733" s="2">
        <v>0</v>
      </c>
      <c r="N733" s="1" t="str">
        <f>VLOOKUP(E733,'[1]ORG CODES'!$A:$C,3,FALSE)</f>
        <v>3399   FEE &amp; INT.REV.IRA</v>
      </c>
    </row>
    <row r="734" spans="1:14" ht="14.45" hidden="1" x14ac:dyDescent="0.3">
      <c r="A734" t="str">
        <f>VLOOKUP(E734,'[1]ORG CODES'!$A:$B,2,FALSE)</f>
        <v>Student Funded Programs</v>
      </c>
      <c r="B734" s="1" t="s">
        <v>2</v>
      </c>
      <c r="C734" s="1" t="s">
        <v>3</v>
      </c>
      <c r="D734" s="1" t="s">
        <v>4</v>
      </c>
      <c r="E734" s="1" t="s">
        <v>91</v>
      </c>
      <c r="F734" s="1" t="s">
        <v>7</v>
      </c>
      <c r="G734" s="1" t="s">
        <v>14</v>
      </c>
      <c r="H734" s="1" t="str">
        <f>VLOOKUP(F734,'[2]DX.OTHER.9.30.06 DETAIL'!$H$1:$J$65536,3,FALSE)</f>
        <v>Revenue</v>
      </c>
      <c r="I734" s="1">
        <v>0</v>
      </c>
      <c r="J734" s="2">
        <v>-46.95</v>
      </c>
      <c r="K734" s="2">
        <v>0</v>
      </c>
      <c r="L734" s="2">
        <v>46.95</v>
      </c>
      <c r="M734" s="2">
        <v>0</v>
      </c>
      <c r="N734" s="1" t="str">
        <f>VLOOKUP(E734,'[1]ORG CODES'!$A:$C,3,FALSE)</f>
        <v>3399   FEE &amp; INT.REV.IRA</v>
      </c>
    </row>
    <row r="735" spans="1:14" ht="14.45" hidden="1" x14ac:dyDescent="0.3">
      <c r="A735" t="str">
        <f>VLOOKUP(E735,'[1]ORG CODES'!$A:$B,2,FALSE)</f>
        <v>Student Funded Programs</v>
      </c>
      <c r="B735" s="1" t="s">
        <v>2</v>
      </c>
      <c r="C735" s="1" t="s">
        <v>3</v>
      </c>
      <c r="D735" s="1" t="s">
        <v>4</v>
      </c>
      <c r="E735" s="1" t="s">
        <v>91</v>
      </c>
      <c r="F735" s="1" t="s">
        <v>7</v>
      </c>
      <c r="G735" s="1" t="s">
        <v>15</v>
      </c>
      <c r="H735" s="1" t="str">
        <f>VLOOKUP(F735,'[2]DX.OTHER.9.30.06 DETAIL'!$H$1:$J$65536,3,FALSE)</f>
        <v>Revenue</v>
      </c>
      <c r="I735" s="1">
        <v>0</v>
      </c>
      <c r="J735" s="2">
        <v>-10469.120000000001</v>
      </c>
      <c r="K735" s="2">
        <v>0</v>
      </c>
      <c r="L735" s="2">
        <v>10469.120000000001</v>
      </c>
      <c r="M735" s="2">
        <v>0</v>
      </c>
      <c r="N735" s="1" t="str">
        <f>VLOOKUP(E735,'[1]ORG CODES'!$A:$C,3,FALSE)</f>
        <v>3399   FEE &amp; INT.REV.IRA</v>
      </c>
    </row>
    <row r="736" spans="1:14" ht="14.45" hidden="1" x14ac:dyDescent="0.3">
      <c r="A736" t="str">
        <f>VLOOKUP(E736,'[1]ORG CODES'!$A:$B,2,FALSE)</f>
        <v>Student Funded Programs</v>
      </c>
      <c r="B736" s="1" t="s">
        <v>2</v>
      </c>
      <c r="C736" s="1" t="s">
        <v>3</v>
      </c>
      <c r="D736" s="1" t="s">
        <v>4</v>
      </c>
      <c r="E736" s="1" t="s">
        <v>91</v>
      </c>
      <c r="F736" s="1" t="s">
        <v>7</v>
      </c>
      <c r="G736" s="1" t="s">
        <v>16</v>
      </c>
      <c r="H736" s="1" t="str">
        <f>VLOOKUP(F736,'[2]DX.OTHER.9.30.06 DETAIL'!$H$1:$J$65536,3,FALSE)</f>
        <v>Revenue</v>
      </c>
      <c r="I736" s="1">
        <v>0</v>
      </c>
      <c r="J736" s="2">
        <v>-17344.55</v>
      </c>
      <c r="K736" s="2">
        <v>0</v>
      </c>
      <c r="L736" s="2">
        <v>17344.55</v>
      </c>
      <c r="M736" s="2">
        <v>0</v>
      </c>
      <c r="N736" s="1" t="str">
        <f>VLOOKUP(E736,'[1]ORG CODES'!$A:$C,3,FALSE)</f>
        <v>3399   FEE &amp; INT.REV.IRA</v>
      </c>
    </row>
    <row r="737" spans="1:14" ht="14.45" hidden="1" x14ac:dyDescent="0.3">
      <c r="A737" t="str">
        <f>VLOOKUP(E737,'[1]ORG CODES'!$A:$B,2,FALSE)</f>
        <v>Student Funded Programs</v>
      </c>
      <c r="B737" s="1" t="s">
        <v>2</v>
      </c>
      <c r="C737" s="1" t="s">
        <v>3</v>
      </c>
      <c r="D737" s="1" t="s">
        <v>4</v>
      </c>
      <c r="E737" s="1" t="s">
        <v>91</v>
      </c>
      <c r="F737" s="1" t="s">
        <v>7</v>
      </c>
      <c r="G737" s="1" t="s">
        <v>17</v>
      </c>
      <c r="H737" s="1" t="str">
        <f>VLOOKUP(F737,'[2]DX.OTHER.9.30.06 DETAIL'!$H$1:$J$65536,3,FALSE)</f>
        <v>Revenue</v>
      </c>
      <c r="I737" s="1">
        <v>0</v>
      </c>
      <c r="J737" s="2">
        <v>-714.9</v>
      </c>
      <c r="K737" s="2">
        <v>0</v>
      </c>
      <c r="L737" s="2">
        <v>714.9</v>
      </c>
      <c r="M737" s="2">
        <v>0</v>
      </c>
      <c r="N737" s="1" t="str">
        <f>VLOOKUP(E737,'[1]ORG CODES'!$A:$C,3,FALSE)</f>
        <v>3399   FEE &amp; INT.REV.IRA</v>
      </c>
    </row>
    <row r="738" spans="1:14" ht="14.45" hidden="1" x14ac:dyDescent="0.3">
      <c r="A738" t="str">
        <f>VLOOKUP(E738,'[1]ORG CODES'!$A:$B,2,FALSE)</f>
        <v>Student Funded Programs</v>
      </c>
      <c r="B738" s="1" t="s">
        <v>2</v>
      </c>
      <c r="C738" s="1" t="s">
        <v>3</v>
      </c>
      <c r="D738" s="1" t="s">
        <v>4</v>
      </c>
      <c r="E738" s="1" t="s">
        <v>91</v>
      </c>
      <c r="F738" s="1" t="s">
        <v>7</v>
      </c>
      <c r="G738" s="1" t="s">
        <v>18</v>
      </c>
      <c r="H738" s="1" t="str">
        <f>VLOOKUP(F738,'[2]DX.OTHER.9.30.06 DETAIL'!$H$1:$J$65536,3,FALSE)</f>
        <v>Revenue</v>
      </c>
      <c r="I738" s="1">
        <v>0</v>
      </c>
      <c r="J738" s="2">
        <v>-1485.08</v>
      </c>
      <c r="K738" s="2">
        <v>0</v>
      </c>
      <c r="L738" s="2">
        <v>1485.08</v>
      </c>
      <c r="M738" s="2">
        <v>0</v>
      </c>
      <c r="N738" s="1" t="str">
        <f>VLOOKUP(E738,'[1]ORG CODES'!$A:$C,3,FALSE)</f>
        <v>3399   FEE &amp; INT.REV.IRA</v>
      </c>
    </row>
    <row r="739" spans="1:14" ht="14.45" hidden="1" x14ac:dyDescent="0.3">
      <c r="A739" t="str">
        <f>VLOOKUP(E739,'[1]ORG CODES'!$A:$B,2,FALSE)</f>
        <v>Student Funded Programs</v>
      </c>
      <c r="B739" s="1" t="s">
        <v>2</v>
      </c>
      <c r="C739" s="1" t="s">
        <v>3</v>
      </c>
      <c r="D739" s="1" t="s">
        <v>4</v>
      </c>
      <c r="E739" s="1" t="s">
        <v>91</v>
      </c>
      <c r="F739" s="1" t="s">
        <v>7</v>
      </c>
      <c r="G739" s="1" t="s">
        <v>19</v>
      </c>
      <c r="H739" s="1" t="str">
        <f>VLOOKUP(F739,'[2]DX.OTHER.9.30.06 DETAIL'!$H$1:$J$65536,3,FALSE)</f>
        <v>Revenue</v>
      </c>
      <c r="I739" s="1">
        <v>0</v>
      </c>
      <c r="J739" s="2">
        <v>-4473.16</v>
      </c>
      <c r="K739" s="2">
        <v>0</v>
      </c>
      <c r="L739" s="2">
        <v>4473.16</v>
      </c>
      <c r="M739" s="2">
        <v>0</v>
      </c>
      <c r="N739" s="1" t="str">
        <f>VLOOKUP(E739,'[1]ORG CODES'!$A:$C,3,FALSE)</f>
        <v>3399   FEE &amp; INT.REV.IRA</v>
      </c>
    </row>
    <row r="740" spans="1:14" ht="14.45" hidden="1" x14ac:dyDescent="0.3">
      <c r="A740" t="str">
        <f>VLOOKUP(E740,'[1]ORG CODES'!$A:$B,2,FALSE)</f>
        <v>Student Funded Programs</v>
      </c>
      <c r="B740" s="1" t="s">
        <v>2</v>
      </c>
      <c r="C740" s="1" t="s">
        <v>3</v>
      </c>
      <c r="D740" s="1" t="s">
        <v>4</v>
      </c>
      <c r="E740" s="1" t="s">
        <v>91</v>
      </c>
      <c r="F740" s="1" t="s">
        <v>7</v>
      </c>
      <c r="G740" s="1" t="s">
        <v>20</v>
      </c>
      <c r="H740" s="1" t="str">
        <f>VLOOKUP(F740,'[2]DX.OTHER.9.30.06 DETAIL'!$H$1:$J$65536,3,FALSE)</f>
        <v>Revenue</v>
      </c>
      <c r="I740" s="1">
        <v>0</v>
      </c>
      <c r="J740" s="2">
        <v>-152307.43</v>
      </c>
      <c r="K740" s="2">
        <v>0</v>
      </c>
      <c r="L740" s="2">
        <v>152307.43</v>
      </c>
      <c r="M740" s="2">
        <v>0</v>
      </c>
      <c r="N740" s="1" t="str">
        <f>VLOOKUP(E740,'[1]ORG CODES'!$A:$C,3,FALSE)</f>
        <v>3399   FEE &amp; INT.REV.IRA</v>
      </c>
    </row>
    <row r="741" spans="1:14" ht="14.45" hidden="1" x14ac:dyDescent="0.3">
      <c r="A741" t="str">
        <f>VLOOKUP(E741,'[1]ORG CODES'!$A:$B,2,FALSE)</f>
        <v>Student Funded Programs</v>
      </c>
      <c r="B741" s="1" t="s">
        <v>2</v>
      </c>
      <c r="C741" s="1" t="s">
        <v>3</v>
      </c>
      <c r="D741" s="1" t="s">
        <v>4</v>
      </c>
      <c r="E741" s="1" t="s">
        <v>98</v>
      </c>
      <c r="F741" s="1" t="s">
        <v>39</v>
      </c>
      <c r="H741" s="1" t="str">
        <f>VLOOKUP(F741,'[2]DX.OTHER.9.30.06 DETAIL'!$H$1:$J$65536,3,FALSE)</f>
        <v>Revenue</v>
      </c>
      <c r="I741" s="1">
        <v>0</v>
      </c>
      <c r="J741" s="2">
        <v>406</v>
      </c>
      <c r="K741" s="2">
        <v>0</v>
      </c>
      <c r="L741" s="2">
        <v>-406</v>
      </c>
      <c r="M741" s="2">
        <v>0</v>
      </c>
      <c r="N741" s="1" t="str">
        <f>VLOOKUP(E741,'[1]ORG CODES'!$A:$C,3,FALSE)</f>
        <v>3406   BUS TICKET CLEARING</v>
      </c>
    </row>
    <row r="742" spans="1:14" ht="14.45" hidden="1" x14ac:dyDescent="0.3">
      <c r="A742" t="str">
        <f>VLOOKUP(E742,'[1]ORG CODES'!$A:$B,2,FALSE)</f>
        <v>Student Funded Programs</v>
      </c>
      <c r="B742" s="1" t="s">
        <v>2</v>
      </c>
      <c r="C742" s="1" t="s">
        <v>3</v>
      </c>
      <c r="D742" s="1" t="s">
        <v>4</v>
      </c>
      <c r="E742" s="1" t="s">
        <v>98</v>
      </c>
      <c r="F742" s="1" t="s">
        <v>39</v>
      </c>
      <c r="G742" s="1" t="s">
        <v>99</v>
      </c>
      <c r="H742" s="1" t="str">
        <f>VLOOKUP(F742,'[2]DX.OTHER.9.30.06 DETAIL'!$H$1:$J$65536,3,FALSE)</f>
        <v>Revenue</v>
      </c>
      <c r="I742" s="1">
        <v>0</v>
      </c>
      <c r="J742" s="2">
        <v>-406</v>
      </c>
      <c r="K742" s="2">
        <v>0</v>
      </c>
      <c r="L742" s="2">
        <v>406</v>
      </c>
      <c r="M742" s="2">
        <v>0</v>
      </c>
      <c r="N742" s="1" t="str">
        <f>VLOOKUP(E742,'[1]ORG CODES'!$A:$C,3,FALSE)</f>
        <v>3406   BUS TICKET CLEARING</v>
      </c>
    </row>
    <row r="743" spans="1:14" ht="14.45" hidden="1" x14ac:dyDescent="0.3">
      <c r="A743" t="str">
        <f>VLOOKUP(E743,'[1]ORG CODES'!$A:$B,2,FALSE)</f>
        <v>Student Funded Programs</v>
      </c>
      <c r="B743" s="1" t="s">
        <v>2</v>
      </c>
      <c r="C743" s="1" t="s">
        <v>3</v>
      </c>
      <c r="D743" s="1" t="s">
        <v>4</v>
      </c>
      <c r="E743" s="1" t="s">
        <v>103</v>
      </c>
      <c r="F743" s="1" t="s">
        <v>39</v>
      </c>
      <c r="H743" s="1" t="str">
        <f>VLOOKUP(F743,'[2]DX.OTHER.9.30.06 DETAIL'!$H$1:$J$65536,3,FALSE)</f>
        <v>Revenue</v>
      </c>
      <c r="I743" s="1">
        <v>0</v>
      </c>
      <c r="J743" s="2">
        <v>0</v>
      </c>
      <c r="K743" s="2">
        <v>0</v>
      </c>
      <c r="L743" s="2">
        <v>0</v>
      </c>
      <c r="M743" s="2">
        <v>0</v>
      </c>
      <c r="N743" s="1" t="str">
        <f>VLOOKUP(E743,'[1]ORG CODES'!$A:$C,3,FALSE)</f>
        <v>3410   ASA GENERAL FUND</v>
      </c>
    </row>
    <row r="744" spans="1:14" ht="14.45" hidden="1" x14ac:dyDescent="0.3">
      <c r="A744" t="str">
        <f>VLOOKUP(E744,'[1]ORG CODES'!$A:$B,2,FALSE)</f>
        <v>Student Funded Programs</v>
      </c>
      <c r="B744" s="1" t="s">
        <v>2</v>
      </c>
      <c r="C744" s="1" t="s">
        <v>3</v>
      </c>
      <c r="D744" s="1" t="s">
        <v>4</v>
      </c>
      <c r="E744" s="1" t="s">
        <v>115</v>
      </c>
      <c r="F744" s="1" t="s">
        <v>39</v>
      </c>
      <c r="H744" s="1" t="str">
        <f>VLOOKUP(F744,'[2]DX.OTHER.9.30.06 DETAIL'!$H$1:$J$65536,3,FALSE)</f>
        <v>Revenue</v>
      </c>
      <c r="I744" s="1">
        <v>0</v>
      </c>
      <c r="J744" s="2">
        <v>-510</v>
      </c>
      <c r="K744" s="2">
        <v>0</v>
      </c>
      <c r="L744" s="2">
        <v>510</v>
      </c>
      <c r="M744" s="2">
        <v>0</v>
      </c>
      <c r="N744" s="1" t="str">
        <f>VLOOKUP(E744,'[1]ORG CODES'!$A:$C,3,FALSE)</f>
        <v>3418   FOOD BANK</v>
      </c>
    </row>
    <row r="745" spans="1:14" ht="14.45" hidden="1" x14ac:dyDescent="0.3">
      <c r="A745" t="str">
        <f>VLOOKUP(E745,'[1]ORG CODES'!$A:$B,2,FALSE)</f>
        <v>Student Funded Programs</v>
      </c>
      <c r="B745" s="1" t="s">
        <v>2</v>
      </c>
      <c r="C745" s="1" t="s">
        <v>3</v>
      </c>
      <c r="D745" s="1" t="s">
        <v>4</v>
      </c>
      <c r="E745" s="1" t="s">
        <v>117</v>
      </c>
      <c r="F745" s="1" t="s">
        <v>39</v>
      </c>
      <c r="H745" s="1" t="str">
        <f>VLOOKUP(F745,'[2]DX.OTHER.9.30.06 DETAIL'!$H$1:$J$65536,3,FALSE)</f>
        <v>Revenue</v>
      </c>
      <c r="I745" s="1">
        <v>0</v>
      </c>
      <c r="J745" s="2">
        <v>-12</v>
      </c>
      <c r="K745" s="2">
        <v>0</v>
      </c>
      <c r="L745" s="2">
        <v>12</v>
      </c>
      <c r="M745" s="2">
        <v>0</v>
      </c>
      <c r="N745" s="1" t="str">
        <f>VLOOKUP(E745,'[1]ORG CODES'!$A:$C,3,FALSE)</f>
        <v>3420   SPECIAL EVENTS</v>
      </c>
    </row>
    <row r="746" spans="1:14" ht="14.45" hidden="1" x14ac:dyDescent="0.3">
      <c r="A746" t="str">
        <f>VLOOKUP(E746,'[1]ORG CODES'!$A:$B,2,FALSE)</f>
        <v>Student Funded Programs</v>
      </c>
      <c r="B746" s="1" t="s">
        <v>2</v>
      </c>
      <c r="C746" s="1" t="s">
        <v>3</v>
      </c>
      <c r="D746" s="1" t="s">
        <v>4</v>
      </c>
      <c r="E746" s="1" t="s">
        <v>122</v>
      </c>
      <c r="F746" s="1" t="s">
        <v>39</v>
      </c>
      <c r="H746" s="1" t="str">
        <f>VLOOKUP(F746,'[2]DX.OTHER.9.30.06 DETAIL'!$H$1:$J$65536,3,FALSE)</f>
        <v>Revenue</v>
      </c>
      <c r="I746" s="1">
        <v>0</v>
      </c>
      <c r="J746" s="2">
        <v>-375</v>
      </c>
      <c r="K746" s="2">
        <v>0</v>
      </c>
      <c r="L746" s="2">
        <v>375</v>
      </c>
      <c r="M746" s="2">
        <v>0</v>
      </c>
      <c r="N746" s="1" t="str">
        <f>VLOOKUP(E746,'[1]ORG CODES'!$A:$C,3,FALSE)</f>
        <v>3425   OUTREACH EDUCATION</v>
      </c>
    </row>
    <row r="747" spans="1:14" ht="14.45" hidden="1" x14ac:dyDescent="0.3">
      <c r="A747" t="str">
        <f>VLOOKUP(E747,'[1]ORG CODES'!$A:$B,2,FALSE)</f>
        <v>Student Funded Programs</v>
      </c>
      <c r="B747" s="1" t="s">
        <v>2</v>
      </c>
      <c r="C747" s="1" t="s">
        <v>3</v>
      </c>
      <c r="D747" s="1" t="s">
        <v>4</v>
      </c>
      <c r="E747" s="1" t="s">
        <v>123</v>
      </c>
      <c r="F747" s="1" t="s">
        <v>39</v>
      </c>
      <c r="H747" s="1" t="str">
        <f>VLOOKUP(F747,'[2]DX.OTHER.9.30.06 DETAIL'!$H$1:$J$65536,3,FALSE)</f>
        <v>Revenue</v>
      </c>
      <c r="I747" s="1">
        <v>0</v>
      </c>
      <c r="J747" s="2">
        <v>-503.4</v>
      </c>
      <c r="K747" s="2">
        <v>0</v>
      </c>
      <c r="L747" s="2">
        <v>503.4</v>
      </c>
      <c r="M747" s="2">
        <v>0</v>
      </c>
      <c r="N747" s="1" t="str">
        <f>VLOOKUP(E747,'[1]ORG CODES'!$A:$C,3,FALSE)</f>
        <v>3426   EQUIPMENT</v>
      </c>
    </row>
    <row r="748" spans="1:14" ht="14.45" hidden="1" x14ac:dyDescent="0.3">
      <c r="A748" t="str">
        <f>VLOOKUP(E748,'[1]ORG CODES'!$A:$B,2,FALSE)</f>
        <v>Student Funded Programs</v>
      </c>
      <c r="B748" s="1" t="s">
        <v>2</v>
      </c>
      <c r="C748" s="1" t="s">
        <v>3</v>
      </c>
      <c r="D748" s="1" t="s">
        <v>4</v>
      </c>
      <c r="E748" s="1" t="s">
        <v>125</v>
      </c>
      <c r="F748" s="1" t="s">
        <v>39</v>
      </c>
      <c r="H748" s="1" t="str">
        <f>VLOOKUP(F748,'[2]DX.OTHER.9.30.06 DETAIL'!$H$1:$J$65536,3,FALSE)</f>
        <v>Revenue</v>
      </c>
      <c r="I748" s="1">
        <v>0</v>
      </c>
      <c r="J748" s="2">
        <v>-91</v>
      </c>
      <c r="K748" s="2">
        <v>0</v>
      </c>
      <c r="L748" s="2">
        <v>91</v>
      </c>
      <c r="M748" s="2">
        <v>0</v>
      </c>
      <c r="N748" s="1" t="str">
        <f>VLOOKUP(E748,'[1]ORG CODES'!$A:$C,3,FALSE)</f>
        <v>3428   SECURITY</v>
      </c>
    </row>
    <row r="749" spans="1:14" ht="14.45" hidden="1" x14ac:dyDescent="0.3">
      <c r="A749" t="str">
        <f>VLOOKUP(E749,'[1]ORG CODES'!$A:$B,2,FALSE)</f>
        <v>Student Funded Programs</v>
      </c>
      <c r="B749" s="1" t="s">
        <v>2</v>
      </c>
      <c r="C749" s="1" t="s">
        <v>3</v>
      </c>
      <c r="D749" s="1" t="s">
        <v>4</v>
      </c>
      <c r="E749" s="1" t="s">
        <v>130</v>
      </c>
      <c r="F749" s="1" t="s">
        <v>39</v>
      </c>
      <c r="H749" s="1" t="str">
        <f>VLOOKUP(F749,'[2]DX.OTHER.9.30.06 DETAIL'!$H$1:$J$65536,3,FALSE)</f>
        <v>Revenue</v>
      </c>
      <c r="I749" s="1">
        <v>0</v>
      </c>
      <c r="J749" s="2">
        <v>0</v>
      </c>
      <c r="K749" s="2">
        <v>0</v>
      </c>
      <c r="L749" s="2">
        <v>0</v>
      </c>
      <c r="M749" s="2">
        <v>0</v>
      </c>
      <c r="N749" s="1" t="str">
        <f>VLOOKUP(E749,'[1]ORG CODES'!$A:$C,3,FALSE)</f>
        <v>3433   ANIME CLUB</v>
      </c>
    </row>
    <row r="750" spans="1:14" ht="14.45" hidden="1" x14ac:dyDescent="0.3">
      <c r="A750" t="str">
        <f>VLOOKUP(E750,'[1]ORG CODES'!$A:$B,2,FALSE)</f>
        <v>Student Funded Programs</v>
      </c>
      <c r="B750" s="1" t="s">
        <v>2</v>
      </c>
      <c r="C750" s="1" t="s">
        <v>3</v>
      </c>
      <c r="D750" s="1" t="s">
        <v>4</v>
      </c>
      <c r="E750" s="1" t="s">
        <v>130</v>
      </c>
      <c r="F750" s="1" t="s">
        <v>39</v>
      </c>
      <c r="G750" s="1" t="s">
        <v>131</v>
      </c>
      <c r="H750" s="1" t="str">
        <f>VLOOKUP(F750,'[2]DX.OTHER.9.30.06 DETAIL'!$H$1:$J$65536,3,FALSE)</f>
        <v>Revenue</v>
      </c>
      <c r="I750" s="1">
        <v>0</v>
      </c>
      <c r="J750" s="2">
        <v>-1440.75</v>
      </c>
      <c r="K750" s="2">
        <v>0</v>
      </c>
      <c r="L750" s="2">
        <v>1440.75</v>
      </c>
      <c r="M750" s="2">
        <v>0</v>
      </c>
      <c r="N750" s="1" t="str">
        <f>VLOOKUP(E750,'[1]ORG CODES'!$A:$C,3,FALSE)</f>
        <v>3433   ANIME CLUB</v>
      </c>
    </row>
    <row r="751" spans="1:14" ht="14.45" hidden="1" x14ac:dyDescent="0.3">
      <c r="A751" t="str">
        <f>VLOOKUP(E751,'[1]ORG CODES'!$A:$B,2,FALSE)</f>
        <v>Student Funded Programs</v>
      </c>
      <c r="B751" s="1" t="s">
        <v>2</v>
      </c>
      <c r="C751" s="1" t="s">
        <v>3</v>
      </c>
      <c r="D751" s="1" t="s">
        <v>4</v>
      </c>
      <c r="E751" s="1" t="s">
        <v>132</v>
      </c>
      <c r="F751" s="1" t="s">
        <v>39</v>
      </c>
      <c r="G751" s="1" t="s">
        <v>133</v>
      </c>
      <c r="H751" s="1" t="str">
        <f>VLOOKUP(F751,'[2]DX.OTHER.9.30.06 DETAIL'!$H$1:$J$65536,3,FALSE)</f>
        <v>Revenue</v>
      </c>
      <c r="I751" s="1">
        <v>0</v>
      </c>
      <c r="J751" s="2">
        <v>-280</v>
      </c>
      <c r="K751" s="2">
        <v>0</v>
      </c>
      <c r="L751" s="2">
        <v>280</v>
      </c>
      <c r="M751" s="2">
        <v>0</v>
      </c>
      <c r="N751" s="1" t="str">
        <f>VLOOKUP(E751,'[1]ORG CODES'!$A:$C,3,FALSE)</f>
        <v>3435   BLACK STUDENT UNION</v>
      </c>
    </row>
    <row r="752" spans="1:14" ht="14.45" hidden="1" x14ac:dyDescent="0.3">
      <c r="A752" t="str">
        <f>VLOOKUP(E752,'[1]ORG CODES'!$A:$B,2,FALSE)</f>
        <v>Student Funded Programs</v>
      </c>
      <c r="B752" s="1" t="s">
        <v>2</v>
      </c>
      <c r="C752" s="1" t="s">
        <v>3</v>
      </c>
      <c r="D752" s="1" t="s">
        <v>4</v>
      </c>
      <c r="E752" s="1" t="s">
        <v>134</v>
      </c>
      <c r="F752" s="1" t="s">
        <v>39</v>
      </c>
      <c r="H752" s="1" t="str">
        <f>VLOOKUP(F752,'[2]DX.OTHER.9.30.06 DETAIL'!$H$1:$J$65536,3,FALSE)</f>
        <v>Revenue</v>
      </c>
      <c r="I752" s="1">
        <v>0</v>
      </c>
      <c r="J752" s="2">
        <v>-1520</v>
      </c>
      <c r="K752" s="2">
        <v>0</v>
      </c>
      <c r="L752" s="2">
        <v>1520</v>
      </c>
      <c r="M752" s="2">
        <v>0</v>
      </c>
      <c r="N752" s="1" t="str">
        <f>VLOOKUP(E752,'[1]ORG CODES'!$A:$C,3,FALSE)</f>
        <v>3436   ART CLUB</v>
      </c>
    </row>
    <row r="753" spans="1:14" ht="14.45" hidden="1" x14ac:dyDescent="0.3">
      <c r="A753" t="str">
        <f>VLOOKUP(E753,'[1]ORG CODES'!$A:$B,2,FALSE)</f>
        <v>Student Funded Programs</v>
      </c>
      <c r="B753" s="1" t="s">
        <v>2</v>
      </c>
      <c r="C753" s="1" t="s">
        <v>3</v>
      </c>
      <c r="D753" s="1" t="s">
        <v>4</v>
      </c>
      <c r="E753" s="1" t="s">
        <v>135</v>
      </c>
      <c r="F753" s="1" t="s">
        <v>39</v>
      </c>
      <c r="G753" s="1" t="s">
        <v>136</v>
      </c>
      <c r="H753" s="1" t="str">
        <f>VLOOKUP(F753,'[2]DX.OTHER.9.30.06 DETAIL'!$H$1:$J$65536,3,FALSE)</f>
        <v>Revenue</v>
      </c>
      <c r="I753" s="1">
        <v>0</v>
      </c>
      <c r="J753" s="2">
        <v>0</v>
      </c>
      <c r="K753" s="2">
        <v>0</v>
      </c>
      <c r="L753" s="2">
        <v>0</v>
      </c>
      <c r="M753" s="2">
        <v>0</v>
      </c>
      <c r="N753" s="1" t="str">
        <f>VLOOKUP(E753,'[1]ORG CODES'!$A:$C,3,FALSE)</f>
        <v>3437   SFCC VETS CLUB</v>
      </c>
    </row>
    <row r="754" spans="1:14" ht="14.45" hidden="1" x14ac:dyDescent="0.3">
      <c r="A754" t="str">
        <f>VLOOKUP(E754,'[1]ORG CODES'!$A:$B,2,FALSE)</f>
        <v>Student Funded Programs</v>
      </c>
      <c r="B754" s="1" t="s">
        <v>2</v>
      </c>
      <c r="C754" s="1" t="s">
        <v>3</v>
      </c>
      <c r="D754" s="1" t="s">
        <v>4</v>
      </c>
      <c r="E754" s="1" t="s">
        <v>140</v>
      </c>
      <c r="F754" s="1" t="s">
        <v>39</v>
      </c>
      <c r="H754" s="1" t="str">
        <f>VLOOKUP(F754,'[2]DX.OTHER.9.30.06 DETAIL'!$H$1:$J$65536,3,FALSE)</f>
        <v>Revenue</v>
      </c>
      <c r="I754" s="1">
        <v>0</v>
      </c>
      <c r="J754" s="2">
        <v>0</v>
      </c>
      <c r="K754" s="2">
        <v>0</v>
      </c>
      <c r="L754" s="2">
        <v>0</v>
      </c>
      <c r="M754" s="2">
        <v>0</v>
      </c>
      <c r="N754" s="1" t="str">
        <f>VLOOKUP(E754,'[1]ORG CODES'!$A:$C,3,FALSE)</f>
        <v>3441  JAPANESE CLUB</v>
      </c>
    </row>
    <row r="755" spans="1:14" ht="14.45" hidden="1" x14ac:dyDescent="0.3">
      <c r="A755" t="str">
        <f>VLOOKUP(E755,'[1]ORG CODES'!$A:$B,2,FALSE)</f>
        <v>Student Funded Programs</v>
      </c>
      <c r="B755" s="1" t="s">
        <v>2</v>
      </c>
      <c r="C755" s="1" t="s">
        <v>3</v>
      </c>
      <c r="D755" s="1" t="s">
        <v>4</v>
      </c>
      <c r="E755" s="1" t="s">
        <v>140</v>
      </c>
      <c r="F755" s="1" t="s">
        <v>39</v>
      </c>
      <c r="G755" s="1" t="s">
        <v>141</v>
      </c>
      <c r="H755" s="1" t="str">
        <f>VLOOKUP(F755,'[2]DX.OTHER.9.30.06 DETAIL'!$H$1:$J$65536,3,FALSE)</f>
        <v>Revenue</v>
      </c>
      <c r="I755" s="1">
        <v>0</v>
      </c>
      <c r="J755" s="2">
        <v>-1158</v>
      </c>
      <c r="K755" s="2">
        <v>0</v>
      </c>
      <c r="L755" s="2">
        <v>1158</v>
      </c>
      <c r="M755" s="2">
        <v>0</v>
      </c>
      <c r="N755" s="1" t="str">
        <f>VLOOKUP(E755,'[1]ORG CODES'!$A:$C,3,FALSE)</f>
        <v>3441  JAPANESE CLUB</v>
      </c>
    </row>
    <row r="756" spans="1:14" ht="14.45" hidden="1" x14ac:dyDescent="0.3">
      <c r="A756" t="str">
        <f>VLOOKUP(E756,'[1]ORG CODES'!$A:$B,2,FALSE)</f>
        <v>Student Funded Programs</v>
      </c>
      <c r="B756" s="1" t="s">
        <v>2</v>
      </c>
      <c r="C756" s="1" t="s">
        <v>3</v>
      </c>
      <c r="D756" s="1" t="s">
        <v>4</v>
      </c>
      <c r="E756" s="1" t="s">
        <v>142</v>
      </c>
      <c r="F756" s="1" t="s">
        <v>39</v>
      </c>
      <c r="G756" s="1" t="s">
        <v>143</v>
      </c>
      <c r="H756" s="1" t="str">
        <f>VLOOKUP(F756,'[2]DX.OTHER.9.30.06 DETAIL'!$H$1:$J$65536,3,FALSE)</f>
        <v>Revenue</v>
      </c>
      <c r="I756" s="1">
        <v>0</v>
      </c>
      <c r="J756" s="2">
        <v>-160</v>
      </c>
      <c r="K756" s="2">
        <v>0</v>
      </c>
      <c r="L756" s="2">
        <v>160</v>
      </c>
      <c r="M756" s="2">
        <v>0</v>
      </c>
      <c r="N756" s="1" t="str">
        <f>VLOOKUP(E756,'[1]ORG CODES'!$A:$C,3,FALSE)</f>
        <v>3442   ASSOC WOMEN STUDENTS</v>
      </c>
    </row>
    <row r="757" spans="1:14" ht="14.45" hidden="1" x14ac:dyDescent="0.3">
      <c r="A757" t="str">
        <f>VLOOKUP(E757,'[1]ORG CODES'!$A:$B,2,FALSE)</f>
        <v>Student Funded Programs</v>
      </c>
      <c r="B757" s="1" t="s">
        <v>2</v>
      </c>
      <c r="C757" s="1" t="s">
        <v>3</v>
      </c>
      <c r="D757" s="1" t="s">
        <v>4</v>
      </c>
      <c r="E757" s="1" t="s">
        <v>144</v>
      </c>
      <c r="F757" s="1" t="s">
        <v>39</v>
      </c>
      <c r="H757" s="1" t="str">
        <f>VLOOKUP(F757,'[2]DX.OTHER.9.30.06 DETAIL'!$H$1:$J$65536,3,FALSE)</f>
        <v>Revenue</v>
      </c>
      <c r="I757" s="1">
        <v>0</v>
      </c>
      <c r="J757" s="2">
        <v>0</v>
      </c>
      <c r="K757" s="2">
        <v>0</v>
      </c>
      <c r="L757" s="2">
        <v>0</v>
      </c>
      <c r="M757" s="2">
        <v>0</v>
      </c>
      <c r="N757" s="1" t="str">
        <f>VLOOKUP(E757,'[1]ORG CODES'!$A:$C,3,FALSE)</f>
        <v>3443   DANCE CLUB</v>
      </c>
    </row>
    <row r="758" spans="1:14" ht="14.45" hidden="1" x14ac:dyDescent="0.3">
      <c r="A758" t="str">
        <f>VLOOKUP(E758,'[1]ORG CODES'!$A:$B,2,FALSE)</f>
        <v>Student Funded Programs</v>
      </c>
      <c r="B758" s="1" t="s">
        <v>2</v>
      </c>
      <c r="C758" s="1" t="s">
        <v>3</v>
      </c>
      <c r="D758" s="1" t="s">
        <v>4</v>
      </c>
      <c r="E758" s="1" t="s">
        <v>144</v>
      </c>
      <c r="F758" s="1" t="s">
        <v>39</v>
      </c>
      <c r="G758" s="1" t="s">
        <v>145</v>
      </c>
      <c r="H758" s="1" t="str">
        <f>VLOOKUP(F758,'[2]DX.OTHER.9.30.06 DETAIL'!$H$1:$J$65536,3,FALSE)</f>
        <v>Revenue</v>
      </c>
      <c r="I758" s="1">
        <v>0</v>
      </c>
      <c r="J758" s="2">
        <v>0</v>
      </c>
      <c r="K758" s="2">
        <v>0</v>
      </c>
      <c r="L758" s="2">
        <v>0</v>
      </c>
      <c r="M758" s="2">
        <v>0</v>
      </c>
      <c r="N758" s="1" t="str">
        <f>VLOOKUP(E758,'[1]ORG CODES'!$A:$C,3,FALSE)</f>
        <v>3443   DANCE CLUB</v>
      </c>
    </row>
    <row r="759" spans="1:14" ht="14.45" hidden="1" x14ac:dyDescent="0.3">
      <c r="A759" t="str">
        <f>VLOOKUP(E759,'[1]ORG CODES'!$A:$B,2,FALSE)</f>
        <v>Student Funded Programs</v>
      </c>
      <c r="B759" s="1" t="s">
        <v>2</v>
      </c>
      <c r="C759" s="1" t="s">
        <v>3</v>
      </c>
      <c r="D759" s="1" t="s">
        <v>4</v>
      </c>
      <c r="E759" s="1" t="s">
        <v>146</v>
      </c>
      <c r="F759" s="1" t="s">
        <v>39</v>
      </c>
      <c r="H759" s="1" t="str">
        <f>VLOOKUP(F759,'[2]DX.OTHER.9.30.06 DETAIL'!$H$1:$J$65536,3,FALSE)</f>
        <v>Revenue</v>
      </c>
      <c r="I759" s="1">
        <v>0</v>
      </c>
      <c r="J759" s="2">
        <v>-1067.75</v>
      </c>
      <c r="K759" s="2">
        <v>0</v>
      </c>
      <c r="L759" s="2">
        <v>1067.75</v>
      </c>
      <c r="M759" s="2">
        <v>0</v>
      </c>
      <c r="N759" s="1" t="str">
        <f>VLOOKUP(E759,'[1]ORG CODES'!$A:$C,3,FALSE)</f>
        <v>3445   ASIAN AMERICAN CLUB</v>
      </c>
    </row>
    <row r="760" spans="1:14" ht="14.45" hidden="1" x14ac:dyDescent="0.3">
      <c r="A760" t="str">
        <f>VLOOKUP(E760,'[1]ORG CODES'!$A:$B,2,FALSE)</f>
        <v>Student Funded Programs</v>
      </c>
      <c r="B760" s="1" t="s">
        <v>2</v>
      </c>
      <c r="C760" s="1" t="s">
        <v>3</v>
      </c>
      <c r="D760" s="1" t="s">
        <v>4</v>
      </c>
      <c r="E760" s="1" t="s">
        <v>146</v>
      </c>
      <c r="F760" s="1" t="s">
        <v>39</v>
      </c>
      <c r="G760" s="1" t="s">
        <v>147</v>
      </c>
      <c r="H760" s="1" t="str">
        <f>VLOOKUP(F760,'[2]DX.OTHER.9.30.06 DETAIL'!$H$1:$J$65536,3,FALSE)</f>
        <v>Revenue</v>
      </c>
      <c r="I760" s="1">
        <v>0</v>
      </c>
      <c r="J760" s="2">
        <v>0</v>
      </c>
      <c r="K760" s="2">
        <v>0</v>
      </c>
      <c r="L760" s="2">
        <v>0</v>
      </c>
      <c r="M760" s="2">
        <v>0</v>
      </c>
      <c r="N760" s="1" t="str">
        <f>VLOOKUP(E760,'[1]ORG CODES'!$A:$C,3,FALSE)</f>
        <v>3445   ASIAN AMERICAN CLUB</v>
      </c>
    </row>
    <row r="761" spans="1:14" ht="14.45" hidden="1" x14ac:dyDescent="0.3">
      <c r="A761" t="str">
        <f>VLOOKUP(E761,'[1]ORG CODES'!$A:$B,2,FALSE)</f>
        <v>Student Funded Programs</v>
      </c>
      <c r="B761" s="1" t="s">
        <v>2</v>
      </c>
      <c r="C761" s="1" t="s">
        <v>3</v>
      </c>
      <c r="D761" s="1" t="s">
        <v>4</v>
      </c>
      <c r="E761" s="1" t="s">
        <v>146</v>
      </c>
      <c r="F761" s="1" t="s">
        <v>148</v>
      </c>
      <c r="H761" s="1" t="str">
        <f>VLOOKUP(F761,'[2]DX.OTHER.9.30.06 DETAIL'!$H$1:$J$65536,3,FALSE)</f>
        <v>Revenue</v>
      </c>
      <c r="I761" s="1">
        <v>0</v>
      </c>
      <c r="J761" s="2">
        <v>0</v>
      </c>
      <c r="K761" s="2">
        <v>0</v>
      </c>
      <c r="L761" s="2">
        <v>0</v>
      </c>
      <c r="M761" s="2">
        <v>0</v>
      </c>
      <c r="N761" s="1" t="str">
        <f>VLOOKUP(E761,'[1]ORG CODES'!$A:$C,3,FALSE)</f>
        <v>3445   ASIAN AMERICAN CLUB</v>
      </c>
    </row>
    <row r="762" spans="1:14" ht="14.45" hidden="1" x14ac:dyDescent="0.3">
      <c r="A762" t="str">
        <f>VLOOKUP(E762,'[1]ORG CODES'!$A:$B,2,FALSE)</f>
        <v>Student Funded Programs</v>
      </c>
      <c r="B762" s="1" t="s">
        <v>2</v>
      </c>
      <c r="C762" s="1" t="s">
        <v>3</v>
      </c>
      <c r="D762" s="1" t="s">
        <v>4</v>
      </c>
      <c r="E762" s="1" t="s">
        <v>149</v>
      </c>
      <c r="F762" s="1" t="s">
        <v>39</v>
      </c>
      <c r="G762" s="1" t="s">
        <v>150</v>
      </c>
      <c r="H762" s="1" t="str">
        <f>VLOOKUP(F762,'[2]DX.OTHER.9.30.06 DETAIL'!$H$1:$J$65536,3,FALSE)</f>
        <v>Revenue</v>
      </c>
      <c r="I762" s="1">
        <v>0</v>
      </c>
      <c r="J762" s="2">
        <v>-300</v>
      </c>
      <c r="K762" s="2">
        <v>0</v>
      </c>
      <c r="L762" s="2">
        <v>300</v>
      </c>
      <c r="M762" s="2">
        <v>0</v>
      </c>
      <c r="N762" s="1" t="str">
        <f>VLOOKUP(E762,'[1]ORG CODES'!$A:$C,3,FALSE)</f>
        <v>3446   SVC LRN</v>
      </c>
    </row>
    <row r="763" spans="1:14" ht="14.45" hidden="1" x14ac:dyDescent="0.3">
      <c r="A763" t="str">
        <f>VLOOKUP(E763,'[1]ORG CODES'!$A:$B,2,FALSE)</f>
        <v>Student Funded Programs</v>
      </c>
      <c r="B763" s="1" t="s">
        <v>2</v>
      </c>
      <c r="C763" s="1" t="s">
        <v>3</v>
      </c>
      <c r="D763" s="1" t="s">
        <v>4</v>
      </c>
      <c r="E763" s="1" t="s">
        <v>152</v>
      </c>
      <c r="F763" s="1" t="s">
        <v>39</v>
      </c>
      <c r="H763" s="1" t="str">
        <f>VLOOKUP(F763,'[2]DX.OTHER.9.30.06 DETAIL'!$H$1:$J$65536,3,FALSE)</f>
        <v>Revenue</v>
      </c>
      <c r="I763" s="1">
        <v>0</v>
      </c>
      <c r="J763" s="2">
        <v>-144</v>
      </c>
      <c r="K763" s="2">
        <v>0</v>
      </c>
      <c r="L763" s="2">
        <v>144</v>
      </c>
      <c r="M763" s="2">
        <v>0</v>
      </c>
      <c r="N763" s="1" t="str">
        <f>VLOOKUP(E763,'[1]ORG CODES'!$A:$C,3,FALSE)</f>
        <v>3348   SFCC GAMERS</v>
      </c>
    </row>
    <row r="764" spans="1:14" ht="14.45" hidden="1" x14ac:dyDescent="0.3">
      <c r="A764" t="str">
        <f>VLOOKUP(E764,'[1]ORG CODES'!$A:$B,2,FALSE)</f>
        <v>Student Funded Programs</v>
      </c>
      <c r="B764" s="1" t="s">
        <v>2</v>
      </c>
      <c r="C764" s="1" t="s">
        <v>3</v>
      </c>
      <c r="D764" s="1" t="s">
        <v>4</v>
      </c>
      <c r="E764" s="1" t="s">
        <v>154</v>
      </c>
      <c r="F764" s="1" t="s">
        <v>39</v>
      </c>
      <c r="H764" s="1" t="str">
        <f>VLOOKUP(F764,'[2]DX.OTHER.9.30.06 DETAIL'!$H$1:$J$65536,3,FALSE)</f>
        <v>Revenue</v>
      </c>
      <c r="I764" s="1">
        <v>0</v>
      </c>
      <c r="J764" s="2">
        <v>0</v>
      </c>
      <c r="K764" s="2">
        <v>0</v>
      </c>
      <c r="L764" s="2">
        <v>0</v>
      </c>
      <c r="M764" s="2">
        <v>0</v>
      </c>
      <c r="N764" s="1" t="str">
        <f>VLOOKUP(E764,'[1]ORG CODES'!$A:$C,3,FALSE)</f>
        <v>3453   INTERIOR DESIGN</v>
      </c>
    </row>
    <row r="765" spans="1:14" ht="14.45" hidden="1" x14ac:dyDescent="0.3">
      <c r="A765" t="str">
        <f>VLOOKUP(E765,'[1]ORG CODES'!$A:$B,2,FALSE)</f>
        <v>Student Funded Programs</v>
      </c>
      <c r="B765" s="1" t="s">
        <v>2</v>
      </c>
      <c r="C765" s="1" t="s">
        <v>3</v>
      </c>
      <c r="D765" s="1" t="s">
        <v>4</v>
      </c>
      <c r="E765" s="1" t="s">
        <v>154</v>
      </c>
      <c r="F765" s="1" t="s">
        <v>39</v>
      </c>
      <c r="G765" s="1" t="s">
        <v>155</v>
      </c>
      <c r="H765" s="1" t="str">
        <f>VLOOKUP(F765,'[2]DX.OTHER.9.30.06 DETAIL'!$H$1:$J$65536,3,FALSE)</f>
        <v>Revenue</v>
      </c>
      <c r="I765" s="1">
        <v>0</v>
      </c>
      <c r="J765" s="2">
        <v>-1004</v>
      </c>
      <c r="K765" s="2">
        <v>0</v>
      </c>
      <c r="L765" s="2">
        <v>1004</v>
      </c>
      <c r="M765" s="2">
        <v>0</v>
      </c>
      <c r="N765" s="1" t="str">
        <f>VLOOKUP(E765,'[1]ORG CODES'!$A:$C,3,FALSE)</f>
        <v>3453   INTERIOR DESIGN</v>
      </c>
    </row>
    <row r="766" spans="1:14" ht="14.45" hidden="1" x14ac:dyDescent="0.3">
      <c r="A766" t="str">
        <f>VLOOKUP(E766,'[1]ORG CODES'!$A:$B,2,FALSE)</f>
        <v>Student Funded Programs</v>
      </c>
      <c r="B766" s="1" t="s">
        <v>2</v>
      </c>
      <c r="C766" s="1" t="s">
        <v>3</v>
      </c>
      <c r="D766" s="1" t="s">
        <v>4</v>
      </c>
      <c r="E766" s="1" t="s">
        <v>156</v>
      </c>
      <c r="F766" s="1" t="s">
        <v>39</v>
      </c>
      <c r="G766" s="1" t="s">
        <v>157</v>
      </c>
      <c r="H766" s="1" t="str">
        <f>VLOOKUP(F766,'[2]DX.OTHER.9.30.06 DETAIL'!$H$1:$J$65536,3,FALSE)</f>
        <v>Revenue</v>
      </c>
      <c r="I766" s="1">
        <v>0</v>
      </c>
      <c r="J766" s="2">
        <v>0</v>
      </c>
      <c r="K766" s="2">
        <v>0</v>
      </c>
      <c r="L766" s="2">
        <v>0</v>
      </c>
      <c r="M766" s="2">
        <v>0</v>
      </c>
      <c r="N766" s="1" t="str">
        <f>VLOOKUP(E766,'[1]ORG CODES'!$A:$C,3,FALSE)</f>
        <v>3454   CHINESE CULTURE</v>
      </c>
    </row>
    <row r="767" spans="1:14" ht="14.45" hidden="1" x14ac:dyDescent="0.3">
      <c r="A767" t="str">
        <f>VLOOKUP(E767,'[1]ORG CODES'!$A:$B,2,FALSE)</f>
        <v>Student Funded Programs</v>
      </c>
      <c r="B767" s="1" t="s">
        <v>2</v>
      </c>
      <c r="C767" s="1" t="s">
        <v>3</v>
      </c>
      <c r="D767" s="1" t="s">
        <v>4</v>
      </c>
      <c r="E767" s="1" t="s">
        <v>159</v>
      </c>
      <c r="F767" s="1" t="s">
        <v>39</v>
      </c>
      <c r="H767" s="1" t="str">
        <f>VLOOKUP(F767,'[2]DX.OTHER.9.30.06 DETAIL'!$H$1:$J$65536,3,FALSE)</f>
        <v>Revenue</v>
      </c>
      <c r="I767" s="1">
        <v>0</v>
      </c>
      <c r="J767" s="2">
        <v>0</v>
      </c>
      <c r="K767" s="2">
        <v>0</v>
      </c>
      <c r="L767" s="2">
        <v>0</v>
      </c>
      <c r="M767" s="2">
        <v>0</v>
      </c>
      <c r="N767" s="1" t="str">
        <f>VLOOKUP(E767,'[1]ORG CODES'!$A:$C,3,FALSE)</f>
        <v>3456   FRENCH CLUB</v>
      </c>
    </row>
    <row r="768" spans="1:14" ht="14.45" hidden="1" x14ac:dyDescent="0.3">
      <c r="A768" t="str">
        <f>VLOOKUP(E768,'[1]ORG CODES'!$A:$B,2,FALSE)</f>
        <v>Student Funded Programs</v>
      </c>
      <c r="B768" s="1" t="s">
        <v>2</v>
      </c>
      <c r="C768" s="1" t="s">
        <v>3</v>
      </c>
      <c r="D768" s="1" t="s">
        <v>4</v>
      </c>
      <c r="E768" s="1" t="s">
        <v>160</v>
      </c>
      <c r="F768" s="1" t="s">
        <v>39</v>
      </c>
      <c r="H768" s="1" t="str">
        <f>VLOOKUP(F768,'[2]DX.OTHER.9.30.06 DETAIL'!$H$1:$J$65536,3,FALSE)</f>
        <v>Revenue</v>
      </c>
      <c r="I768" s="1">
        <v>0</v>
      </c>
      <c r="J768" s="2">
        <v>0</v>
      </c>
      <c r="K768" s="2">
        <v>0</v>
      </c>
      <c r="L768" s="2">
        <v>0</v>
      </c>
      <c r="M768" s="2">
        <v>0</v>
      </c>
      <c r="N768" s="1" t="str">
        <f>VLOOKUP(E768,'[1]ORG CODES'!$A:$C,3,FALSE)</f>
        <v>3457   THE ALLIANCE</v>
      </c>
    </row>
    <row r="769" spans="1:14" ht="14.45" hidden="1" x14ac:dyDescent="0.3">
      <c r="A769" t="str">
        <f>VLOOKUP(E769,'[1]ORG CODES'!$A:$B,2,FALSE)</f>
        <v>Student Funded Programs</v>
      </c>
      <c r="B769" s="1" t="s">
        <v>2</v>
      </c>
      <c r="C769" s="1" t="s">
        <v>3</v>
      </c>
      <c r="D769" s="1" t="s">
        <v>4</v>
      </c>
      <c r="E769" s="1" t="s">
        <v>160</v>
      </c>
      <c r="F769" s="1" t="s">
        <v>39</v>
      </c>
      <c r="G769" s="1" t="s">
        <v>161</v>
      </c>
      <c r="H769" s="1" t="str">
        <f>VLOOKUP(F769,'[2]DX.OTHER.9.30.06 DETAIL'!$H$1:$J$65536,3,FALSE)</f>
        <v>Revenue</v>
      </c>
      <c r="I769" s="1">
        <v>0</v>
      </c>
      <c r="J769" s="2">
        <v>-914.7</v>
      </c>
      <c r="K769" s="2">
        <v>0</v>
      </c>
      <c r="L769" s="2">
        <v>914.7</v>
      </c>
      <c r="M769" s="2">
        <v>0</v>
      </c>
      <c r="N769" s="1" t="str">
        <f>VLOOKUP(E769,'[1]ORG CODES'!$A:$C,3,FALSE)</f>
        <v>3457   THE ALLIANCE</v>
      </c>
    </row>
    <row r="770" spans="1:14" ht="14.45" hidden="1" x14ac:dyDescent="0.3">
      <c r="A770" t="str">
        <f>VLOOKUP(E770,'[1]ORG CODES'!$A:$B,2,FALSE)</f>
        <v>Student Funded Programs</v>
      </c>
      <c r="B770" s="1" t="s">
        <v>2</v>
      </c>
      <c r="C770" s="1" t="s">
        <v>3</v>
      </c>
      <c r="D770" s="1" t="s">
        <v>4</v>
      </c>
      <c r="E770" s="1" t="s">
        <v>160</v>
      </c>
      <c r="F770" s="1" t="s">
        <v>39</v>
      </c>
      <c r="G770" s="1" t="s">
        <v>73</v>
      </c>
      <c r="H770" s="1" t="str">
        <f>VLOOKUP(F770,'[2]DX.OTHER.9.30.06 DETAIL'!$H$1:$J$65536,3,FALSE)</f>
        <v>Revenue</v>
      </c>
      <c r="I770" s="1">
        <v>0</v>
      </c>
      <c r="J770" s="2">
        <v>0</v>
      </c>
      <c r="K770" s="2">
        <v>0</v>
      </c>
      <c r="L770" s="2">
        <v>0</v>
      </c>
      <c r="M770" s="2">
        <v>0</v>
      </c>
      <c r="N770" s="1" t="str">
        <f>VLOOKUP(E770,'[1]ORG CODES'!$A:$C,3,FALSE)</f>
        <v>3457   THE ALLIANCE</v>
      </c>
    </row>
    <row r="771" spans="1:14" ht="14.45" hidden="1" x14ac:dyDescent="0.3">
      <c r="A771" t="str">
        <f>VLOOKUP(E771,'[1]ORG CODES'!$A:$B,2,FALSE)</f>
        <v>Student Funded Programs</v>
      </c>
      <c r="B771" s="1" t="s">
        <v>2</v>
      </c>
      <c r="C771" s="1" t="s">
        <v>3</v>
      </c>
      <c r="D771" s="1" t="s">
        <v>4</v>
      </c>
      <c r="E771" s="1" t="s">
        <v>162</v>
      </c>
      <c r="F771" s="1" t="s">
        <v>39</v>
      </c>
      <c r="G771" s="1" t="s">
        <v>163</v>
      </c>
      <c r="H771" s="1" t="str">
        <f>VLOOKUP(F771,'[2]DX.OTHER.9.30.06 DETAIL'!$H$1:$J$65536,3,FALSE)</f>
        <v>Revenue</v>
      </c>
      <c r="I771" s="1">
        <v>0</v>
      </c>
      <c r="J771" s="2">
        <v>-546</v>
      </c>
      <c r="K771" s="2">
        <v>0</v>
      </c>
      <c r="L771" s="2">
        <v>546</v>
      </c>
      <c r="M771" s="2">
        <v>0</v>
      </c>
      <c r="N771" s="1" t="str">
        <f>VLOOKUP(E771,'[1]ORG CODES'!$A:$C,3,FALSE)</f>
        <v>3458   L.U.A. CLUB</v>
      </c>
    </row>
    <row r="772" spans="1:14" ht="14.45" hidden="1" x14ac:dyDescent="0.3">
      <c r="A772" t="str">
        <f>VLOOKUP(E772,'[1]ORG CODES'!$A:$B,2,FALSE)</f>
        <v>Student Funded Programs</v>
      </c>
      <c r="B772" s="1" t="s">
        <v>2</v>
      </c>
      <c r="C772" s="1" t="s">
        <v>3</v>
      </c>
      <c r="D772" s="1" t="s">
        <v>4</v>
      </c>
      <c r="E772" s="1" t="s">
        <v>165</v>
      </c>
      <c r="F772" s="1" t="s">
        <v>39</v>
      </c>
      <c r="H772" s="1" t="str">
        <f>VLOOKUP(F772,'[2]DX.OTHER.9.30.06 DETAIL'!$H$1:$J$65536,3,FALSE)</f>
        <v>Revenue</v>
      </c>
      <c r="I772" s="1">
        <v>0</v>
      </c>
      <c r="J772" s="2">
        <v>-162</v>
      </c>
      <c r="K772" s="2">
        <v>0</v>
      </c>
      <c r="L772" s="2">
        <v>162</v>
      </c>
      <c r="M772" s="2">
        <v>0</v>
      </c>
      <c r="N772" s="1" t="str">
        <f>VLOOKUP(E772,'[1]ORG CODES'!$A:$C,3,FALSE)</f>
        <v>3460   INTERPRETER TRNG PRG</v>
      </c>
    </row>
    <row r="773" spans="1:14" ht="14.45" hidden="1" x14ac:dyDescent="0.3">
      <c r="A773" t="str">
        <f>VLOOKUP(E773,'[1]ORG CODES'!$A:$B,2,FALSE)</f>
        <v>Student Funded Programs</v>
      </c>
      <c r="B773" s="1" t="s">
        <v>2</v>
      </c>
      <c r="C773" s="1" t="s">
        <v>3</v>
      </c>
      <c r="D773" s="1" t="s">
        <v>4</v>
      </c>
      <c r="E773" s="1" t="s">
        <v>166</v>
      </c>
      <c r="F773" s="1" t="s">
        <v>39</v>
      </c>
      <c r="G773" s="1" t="s">
        <v>167</v>
      </c>
      <c r="H773" s="1" t="str">
        <f>VLOOKUP(F773,'[2]DX.OTHER.9.30.06 DETAIL'!$H$1:$J$65536,3,FALSE)</f>
        <v>Revenue</v>
      </c>
      <c r="I773" s="1">
        <v>0</v>
      </c>
      <c r="J773" s="2">
        <v>-600</v>
      </c>
      <c r="K773" s="2">
        <v>0</v>
      </c>
      <c r="L773" s="2">
        <v>600</v>
      </c>
      <c r="M773" s="2">
        <v>0</v>
      </c>
      <c r="N773" s="1" t="str">
        <f>VLOOKUP(E773,'[1]ORG CODES'!$A:$C,3,FALSE)</f>
        <v>3461   JOURNALISM</v>
      </c>
    </row>
    <row r="774" spans="1:14" ht="14.45" hidden="1" x14ac:dyDescent="0.3">
      <c r="A774" t="str">
        <f>VLOOKUP(E774,'[1]ORG CODES'!$A:$B,2,FALSE)</f>
        <v>Student Funded Programs</v>
      </c>
      <c r="B774" s="1" t="s">
        <v>2</v>
      </c>
      <c r="C774" s="1" t="s">
        <v>3</v>
      </c>
      <c r="D774" s="1" t="s">
        <v>4</v>
      </c>
      <c r="E774" s="1" t="s">
        <v>168</v>
      </c>
      <c r="F774" s="1" t="s">
        <v>39</v>
      </c>
      <c r="G774" s="1" t="s">
        <v>169</v>
      </c>
      <c r="H774" s="1" t="str">
        <f>VLOOKUP(F774,'[2]DX.OTHER.9.30.06 DETAIL'!$H$1:$J$65536,3,FALSE)</f>
        <v>Revenue</v>
      </c>
      <c r="I774" s="1">
        <v>0</v>
      </c>
      <c r="J774" s="2">
        <v>-260</v>
      </c>
      <c r="K774" s="2">
        <v>0</v>
      </c>
      <c r="L774" s="2">
        <v>260</v>
      </c>
      <c r="M774" s="2">
        <v>0</v>
      </c>
      <c r="N774" s="1" t="str">
        <f>VLOOKUP(E774,'[1]ORG CODES'!$A:$C,3,FALSE)</f>
        <v>3462   INTERNATIONAL CLUB</v>
      </c>
    </row>
    <row r="775" spans="1:14" ht="14.45" hidden="1" x14ac:dyDescent="0.3">
      <c r="A775" t="str">
        <f>VLOOKUP(E775,'[1]ORG CODES'!$A:$B,2,FALSE)</f>
        <v>Student Funded Programs</v>
      </c>
      <c r="B775" s="1" t="s">
        <v>2</v>
      </c>
      <c r="C775" s="1" t="s">
        <v>3</v>
      </c>
      <c r="D775" s="1" t="s">
        <v>4</v>
      </c>
      <c r="E775" s="1" t="s">
        <v>170</v>
      </c>
      <c r="F775" s="1" t="s">
        <v>39</v>
      </c>
      <c r="G775" s="1" t="s">
        <v>171</v>
      </c>
      <c r="H775" s="1" t="str">
        <f>VLOOKUP(F775,'[2]DX.OTHER.9.30.06 DETAIL'!$H$1:$J$65536,3,FALSE)</f>
        <v>Revenue</v>
      </c>
      <c r="I775" s="1">
        <v>0</v>
      </c>
      <c r="J775" s="2">
        <v>-2472.5</v>
      </c>
      <c r="K775" s="2">
        <v>0</v>
      </c>
      <c r="L775" s="2">
        <v>2472.5</v>
      </c>
      <c r="M775" s="2">
        <v>0</v>
      </c>
      <c r="N775" s="1" t="str">
        <f>VLOOKUP(E775,'[1]ORG CODES'!$A:$C,3,FALSE)</f>
        <v>3464   JAZZ PRESENTS</v>
      </c>
    </row>
    <row r="776" spans="1:14" ht="14.45" hidden="1" x14ac:dyDescent="0.3">
      <c r="A776" t="str">
        <f>VLOOKUP(E776,'[1]ORG CODES'!$A:$B,2,FALSE)</f>
        <v>Student Funded Programs</v>
      </c>
      <c r="B776" s="1" t="s">
        <v>2</v>
      </c>
      <c r="C776" s="1" t="s">
        <v>3</v>
      </c>
      <c r="D776" s="1" t="s">
        <v>4</v>
      </c>
      <c r="E776" s="1" t="s">
        <v>172</v>
      </c>
      <c r="F776" s="1" t="s">
        <v>39</v>
      </c>
      <c r="G776" s="1" t="s">
        <v>173</v>
      </c>
      <c r="H776" s="1" t="str">
        <f>VLOOKUP(F776,'[2]DX.OTHER.9.30.06 DETAIL'!$H$1:$J$65536,3,FALSE)</f>
        <v>Revenue</v>
      </c>
      <c r="I776" s="1">
        <v>0</v>
      </c>
      <c r="J776" s="2">
        <v>-14242.75</v>
      </c>
      <c r="K776" s="2">
        <v>0</v>
      </c>
      <c r="L776" s="2">
        <v>14242.75</v>
      </c>
      <c r="M776" s="2">
        <v>0</v>
      </c>
      <c r="N776" s="1" t="str">
        <f>VLOOKUP(E776,'[1]ORG CODES'!$A:$C,3,FALSE)</f>
        <v>3465   RED NATIONS ASSOC</v>
      </c>
    </row>
    <row r="777" spans="1:14" ht="14.45" hidden="1" x14ac:dyDescent="0.3">
      <c r="A777" t="str">
        <f>VLOOKUP(E777,'[1]ORG CODES'!$A:$B,2,FALSE)</f>
        <v>Student Funded Programs</v>
      </c>
      <c r="B777" s="1" t="s">
        <v>2</v>
      </c>
      <c r="C777" s="1" t="s">
        <v>3</v>
      </c>
      <c r="D777" s="1" t="s">
        <v>4</v>
      </c>
      <c r="E777" s="1" t="s">
        <v>177</v>
      </c>
      <c r="F777" s="1" t="s">
        <v>39</v>
      </c>
      <c r="H777" s="1" t="str">
        <f>VLOOKUP(F777,'[2]DX.OTHER.9.30.06 DETAIL'!$H$1:$J$65536,3,FALSE)</f>
        <v>Revenue</v>
      </c>
      <c r="I777" s="1">
        <v>0</v>
      </c>
      <c r="J777" s="2">
        <v>0</v>
      </c>
      <c r="K777" s="2">
        <v>0</v>
      </c>
      <c r="L777" s="2">
        <v>0</v>
      </c>
      <c r="M777" s="2">
        <v>0</v>
      </c>
      <c r="N777" s="1" t="str">
        <f>VLOOKUP(E777,'[1]ORG CODES'!$A:$C,3,FALSE)</f>
        <v>3467   LITERARY CLUB</v>
      </c>
    </row>
    <row r="778" spans="1:14" ht="14.45" hidden="1" x14ac:dyDescent="0.3">
      <c r="A778" t="str">
        <f>VLOOKUP(E778,'[1]ORG CODES'!$A:$B,2,FALSE)</f>
        <v>Student Funded Programs</v>
      </c>
      <c r="B778" s="1" t="s">
        <v>2</v>
      </c>
      <c r="C778" s="1" t="s">
        <v>3</v>
      </c>
      <c r="D778" s="1" t="s">
        <v>4</v>
      </c>
      <c r="E778" s="1" t="s">
        <v>178</v>
      </c>
      <c r="F778" s="1" t="s">
        <v>39</v>
      </c>
      <c r="H778" s="1" t="str">
        <f>VLOOKUP(F778,'[2]DX.OTHER.9.30.06 DETAIL'!$H$1:$J$65536,3,FALSE)</f>
        <v>Revenue</v>
      </c>
      <c r="I778" s="1">
        <v>0</v>
      </c>
      <c r="J778" s="2">
        <v>-210</v>
      </c>
      <c r="K778" s="2">
        <v>0</v>
      </c>
      <c r="L778" s="2">
        <v>210</v>
      </c>
      <c r="M778" s="2">
        <v>0</v>
      </c>
      <c r="N778" s="1" t="str">
        <f>VLOOKUP(E778,'[1]ORG CODES'!$A:$C,3,FALSE)</f>
        <v>3468   WELLNESS CLUB</v>
      </c>
    </row>
    <row r="779" spans="1:14" ht="14.45" hidden="1" x14ac:dyDescent="0.3">
      <c r="A779" t="str">
        <f>VLOOKUP(E779,'[1]ORG CODES'!$A:$B,2,FALSE)</f>
        <v>Student Funded Programs</v>
      </c>
      <c r="B779" s="1" t="s">
        <v>2</v>
      </c>
      <c r="C779" s="1" t="s">
        <v>3</v>
      </c>
      <c r="D779" s="1" t="s">
        <v>4</v>
      </c>
      <c r="E779" s="1" t="s">
        <v>179</v>
      </c>
      <c r="F779" s="1" t="s">
        <v>39</v>
      </c>
      <c r="H779" s="1" t="str">
        <f>VLOOKUP(F779,'[2]DX.OTHER.9.30.06 DETAIL'!$H$1:$J$65536,3,FALSE)</f>
        <v>Revenue</v>
      </c>
      <c r="I779" s="1">
        <v>0</v>
      </c>
      <c r="J779" s="2">
        <v>0</v>
      </c>
      <c r="K779" s="2">
        <v>0</v>
      </c>
      <c r="L779" s="2">
        <v>0</v>
      </c>
      <c r="M779" s="2">
        <v>0</v>
      </c>
      <c r="N779" s="1" t="str">
        <f>VLOOKUP(E779,'[1]ORG CODES'!$A:$C,3,FALSE)</f>
        <v>3469   CHEER SQUAD</v>
      </c>
    </row>
    <row r="780" spans="1:14" ht="14.45" hidden="1" x14ac:dyDescent="0.3">
      <c r="A780" t="str">
        <f>VLOOKUP(E780,'[1]ORG CODES'!$A:$B,2,FALSE)</f>
        <v>Student Funded Programs</v>
      </c>
      <c r="B780" s="1" t="s">
        <v>2</v>
      </c>
      <c r="C780" s="1" t="s">
        <v>3</v>
      </c>
      <c r="D780" s="1" t="s">
        <v>4</v>
      </c>
      <c r="E780" s="1" t="s">
        <v>179</v>
      </c>
      <c r="F780" s="1" t="s">
        <v>39</v>
      </c>
      <c r="G780" s="1" t="s">
        <v>180</v>
      </c>
      <c r="H780" s="1" t="str">
        <f>VLOOKUP(F780,'[2]DX.OTHER.9.30.06 DETAIL'!$H$1:$J$65536,3,FALSE)</f>
        <v>Revenue</v>
      </c>
      <c r="I780" s="1">
        <v>0</v>
      </c>
      <c r="J780" s="2">
        <v>-1209.4000000000001</v>
      </c>
      <c r="K780" s="2">
        <v>0</v>
      </c>
      <c r="L780" s="2">
        <v>1209.4000000000001</v>
      </c>
      <c r="M780" s="2">
        <v>0</v>
      </c>
      <c r="N780" s="1" t="str">
        <f>VLOOKUP(E780,'[1]ORG CODES'!$A:$C,3,FALSE)</f>
        <v>3469   CHEER SQUAD</v>
      </c>
    </row>
    <row r="781" spans="1:14" ht="14.45" hidden="1" x14ac:dyDescent="0.3">
      <c r="A781" t="str">
        <f>VLOOKUP(E781,'[1]ORG CODES'!$A:$B,2,FALSE)</f>
        <v>Student Funded Programs</v>
      </c>
      <c r="B781" s="1" t="s">
        <v>2</v>
      </c>
      <c r="C781" s="1" t="s">
        <v>3</v>
      </c>
      <c r="D781" s="1" t="s">
        <v>4</v>
      </c>
      <c r="E781" s="1" t="s">
        <v>181</v>
      </c>
      <c r="F781" s="1" t="s">
        <v>39</v>
      </c>
      <c r="H781" s="1" t="str">
        <f>VLOOKUP(F781,'[2]DX.OTHER.9.30.06 DETAIL'!$H$1:$J$65536,3,FALSE)</f>
        <v>Revenue</v>
      </c>
      <c r="I781" s="1">
        <v>0</v>
      </c>
      <c r="J781" s="2">
        <v>-494</v>
      </c>
      <c r="K781" s="2">
        <v>0</v>
      </c>
      <c r="L781" s="2">
        <v>494</v>
      </c>
      <c r="M781" s="2">
        <v>0</v>
      </c>
      <c r="N781" s="1" t="str">
        <f>VLOOKUP(E781,'[1]ORG CODES'!$A:$C,3,FALSE)</f>
        <v>3470  ADDICTION STUDIES</v>
      </c>
    </row>
    <row r="782" spans="1:14" ht="14.45" hidden="1" x14ac:dyDescent="0.3">
      <c r="A782" t="str">
        <f>VLOOKUP(E782,'[1]ORG CODES'!$A:$B,2,FALSE)</f>
        <v>Student Funded Programs</v>
      </c>
      <c r="B782" s="1" t="s">
        <v>2</v>
      </c>
      <c r="C782" s="1" t="s">
        <v>3</v>
      </c>
      <c r="D782" s="1" t="s">
        <v>4</v>
      </c>
      <c r="E782" s="1" t="s">
        <v>181</v>
      </c>
      <c r="F782" s="1" t="s">
        <v>39</v>
      </c>
      <c r="G782" s="1" t="s">
        <v>182</v>
      </c>
      <c r="H782" s="1" t="str">
        <f>VLOOKUP(F782,'[2]DX.OTHER.9.30.06 DETAIL'!$H$1:$J$65536,3,FALSE)</f>
        <v>Revenue</v>
      </c>
      <c r="I782" s="1">
        <v>0</v>
      </c>
      <c r="J782" s="2">
        <v>-1360.5</v>
      </c>
      <c r="K782" s="2">
        <v>0</v>
      </c>
      <c r="L782" s="2">
        <v>1360.5</v>
      </c>
      <c r="M782" s="2">
        <v>0</v>
      </c>
      <c r="N782" s="1" t="str">
        <f>VLOOKUP(E782,'[1]ORG CODES'!$A:$C,3,FALSE)</f>
        <v>3470  ADDICTION STUDIES</v>
      </c>
    </row>
    <row r="783" spans="1:14" ht="14.45" hidden="1" x14ac:dyDescent="0.3">
      <c r="A783" t="str">
        <f>VLOOKUP(E783,'[1]ORG CODES'!$A:$B,2,FALSE)</f>
        <v>Student Funded Programs</v>
      </c>
      <c r="B783" s="1" t="s">
        <v>2</v>
      </c>
      <c r="C783" s="1" t="s">
        <v>3</v>
      </c>
      <c r="D783" s="1" t="s">
        <v>4</v>
      </c>
      <c r="E783" s="1" t="s">
        <v>184</v>
      </c>
      <c r="F783" s="1" t="s">
        <v>39</v>
      </c>
      <c r="H783" s="1" t="str">
        <f>VLOOKUP(F783,'[2]DX.OTHER.9.30.06 DETAIL'!$H$1:$J$65536,3,FALSE)</f>
        <v>Revenue</v>
      </c>
      <c r="I783" s="1">
        <v>0</v>
      </c>
      <c r="J783" s="2">
        <v>0</v>
      </c>
      <c r="K783" s="2">
        <v>0</v>
      </c>
      <c r="L783" s="2">
        <v>0</v>
      </c>
      <c r="M783" s="2">
        <v>0</v>
      </c>
      <c r="N783" s="1" t="str">
        <f>VLOOKUP(E783,'[1]ORG CODES'!$A:$C,3,FALSE)</f>
        <v>3472   AUDIO ENGINEER CLUB</v>
      </c>
    </row>
    <row r="784" spans="1:14" ht="14.45" hidden="1" x14ac:dyDescent="0.3">
      <c r="A784" t="str">
        <f>VLOOKUP(E784,'[1]ORG CODES'!$A:$B,2,FALSE)</f>
        <v>Student Funded Programs</v>
      </c>
      <c r="B784" s="1" t="s">
        <v>2</v>
      </c>
      <c r="C784" s="1" t="s">
        <v>3</v>
      </c>
      <c r="D784" s="1" t="s">
        <v>4</v>
      </c>
      <c r="E784" s="1" t="s">
        <v>185</v>
      </c>
      <c r="F784" s="1" t="s">
        <v>39</v>
      </c>
      <c r="H784" s="1" t="str">
        <f>VLOOKUP(F784,'[2]DX.OTHER.9.30.06 DETAIL'!$H$1:$J$65536,3,FALSE)</f>
        <v>Revenue</v>
      </c>
      <c r="I784" s="1">
        <v>0</v>
      </c>
      <c r="J784" s="2">
        <v>0</v>
      </c>
      <c r="K784" s="2">
        <v>0</v>
      </c>
      <c r="L784" s="2">
        <v>0</v>
      </c>
      <c r="M784" s="2">
        <v>0</v>
      </c>
      <c r="N784" s="1" t="str">
        <f>VLOOKUP(E784,'[1]ORG CODES'!$A:$C,3,FALSE)</f>
        <v>3473   EARTH CLUB</v>
      </c>
    </row>
    <row r="785" spans="1:14" ht="14.45" hidden="1" x14ac:dyDescent="0.3">
      <c r="A785" t="str">
        <f>VLOOKUP(E785,'[1]ORG CODES'!$A:$B,2,FALSE)</f>
        <v>Student Funded Programs</v>
      </c>
      <c r="B785" s="1" t="s">
        <v>2</v>
      </c>
      <c r="C785" s="1" t="s">
        <v>3</v>
      </c>
      <c r="D785" s="1" t="s">
        <v>4</v>
      </c>
      <c r="E785" s="1" t="s">
        <v>187</v>
      </c>
      <c r="F785" s="1" t="s">
        <v>39</v>
      </c>
      <c r="H785" s="1" t="str">
        <f>VLOOKUP(F785,'[2]DX.OTHER.9.30.06 DETAIL'!$H$1:$J$65536,3,FALSE)</f>
        <v>Revenue</v>
      </c>
      <c r="I785" s="1">
        <v>0</v>
      </c>
      <c r="J785" s="2">
        <v>-2490</v>
      </c>
      <c r="K785" s="2">
        <v>0</v>
      </c>
      <c r="L785" s="2">
        <v>2490</v>
      </c>
      <c r="M785" s="2">
        <v>0</v>
      </c>
      <c r="N785" s="1" t="str">
        <f>VLOOKUP(E785,'[1]ORG CODES'!$A:$C,3,FALSE)</f>
        <v>3477   APPLIED TECH CLUB</v>
      </c>
    </row>
    <row r="786" spans="1:14" ht="14.45" hidden="1" x14ac:dyDescent="0.3">
      <c r="A786" t="str">
        <f>VLOOKUP(E786,'[1]ORG CODES'!$A:$B,2,FALSE)</f>
        <v>Student Funded Programs</v>
      </c>
      <c r="B786" s="1" t="s">
        <v>2</v>
      </c>
      <c r="C786" s="1" t="s">
        <v>3</v>
      </c>
      <c r="D786" s="1" t="s">
        <v>4</v>
      </c>
      <c r="E786" s="1" t="s">
        <v>189</v>
      </c>
      <c r="F786" s="1" t="s">
        <v>39</v>
      </c>
      <c r="H786" s="1" t="str">
        <f>VLOOKUP(F786,'[2]DX.OTHER.9.30.06 DETAIL'!$H$1:$J$65536,3,FALSE)</f>
        <v>Revenue</v>
      </c>
      <c r="I786" s="1">
        <v>0</v>
      </c>
      <c r="J786" s="2">
        <v>0</v>
      </c>
      <c r="K786" s="2">
        <v>0</v>
      </c>
      <c r="L786" s="2">
        <v>0</v>
      </c>
      <c r="M786" s="2">
        <v>0</v>
      </c>
      <c r="N786" s="1" t="str">
        <f>VLOOKUP(E786,'[1]ORG CODES'!$A:$C,3,FALSE)</f>
        <v>3496   FUTURE TEACHERS</v>
      </c>
    </row>
    <row r="787" spans="1:14" ht="14.45" hidden="1" x14ac:dyDescent="0.3">
      <c r="A787" t="str">
        <f>VLOOKUP(E787,'[1]ORG CODES'!$A:$B,2,FALSE)</f>
        <v>Student Funded Programs</v>
      </c>
      <c r="B787" s="1" t="s">
        <v>2</v>
      </c>
      <c r="C787" s="1" t="s">
        <v>3</v>
      </c>
      <c r="D787" s="1" t="s">
        <v>4</v>
      </c>
      <c r="E787" s="1" t="s">
        <v>190</v>
      </c>
      <c r="F787" s="1" t="s">
        <v>7</v>
      </c>
      <c r="G787" s="1" t="s">
        <v>8</v>
      </c>
      <c r="H787" s="1" t="str">
        <f>VLOOKUP(F787,'[2]DX.OTHER.9.30.06 DETAIL'!$H$1:$J$65536,3,FALSE)</f>
        <v>Revenue</v>
      </c>
      <c r="I787" s="1">
        <v>0</v>
      </c>
      <c r="J787" s="2">
        <v>-1352.2</v>
      </c>
      <c r="K787" s="2">
        <v>0</v>
      </c>
      <c r="L787" s="2">
        <v>1352.2</v>
      </c>
      <c r="M787" s="2">
        <v>0</v>
      </c>
      <c r="N787" s="1" t="str">
        <f>VLOOKUP(E787,'[1]ORG CODES'!$A:$C,3,FALSE)</f>
        <v>3499   ASA-FEE &amp; INT REV</v>
      </c>
    </row>
    <row r="788" spans="1:14" ht="14.45" hidden="1" x14ac:dyDescent="0.3">
      <c r="A788" t="str">
        <f>VLOOKUP(E788,'[1]ORG CODES'!$A:$B,2,FALSE)</f>
        <v>Student Funded Programs</v>
      </c>
      <c r="B788" s="1" t="s">
        <v>2</v>
      </c>
      <c r="C788" s="1" t="s">
        <v>3</v>
      </c>
      <c r="D788" s="1" t="s">
        <v>4</v>
      </c>
      <c r="E788" s="1" t="s">
        <v>190</v>
      </c>
      <c r="F788" s="1" t="s">
        <v>7</v>
      </c>
      <c r="G788" s="1" t="s">
        <v>9</v>
      </c>
      <c r="H788" s="1" t="str">
        <f>VLOOKUP(F788,'[2]DX.OTHER.9.30.06 DETAIL'!$H$1:$J$65536,3,FALSE)</f>
        <v>Revenue</v>
      </c>
      <c r="I788" s="1">
        <v>0</v>
      </c>
      <c r="J788" s="2">
        <v>-1144</v>
      </c>
      <c r="K788" s="2">
        <v>0</v>
      </c>
      <c r="L788" s="2">
        <v>1144</v>
      </c>
      <c r="M788" s="2">
        <v>0</v>
      </c>
      <c r="N788" s="1" t="str">
        <f>VLOOKUP(E788,'[1]ORG CODES'!$A:$C,3,FALSE)</f>
        <v>3499   ASA-FEE &amp; INT REV</v>
      </c>
    </row>
    <row r="789" spans="1:14" ht="14.45" hidden="1" x14ac:dyDescent="0.3">
      <c r="A789" t="str">
        <f>VLOOKUP(E789,'[1]ORG CODES'!$A:$B,2,FALSE)</f>
        <v>Student Funded Programs</v>
      </c>
      <c r="B789" s="1" t="s">
        <v>2</v>
      </c>
      <c r="C789" s="1" t="s">
        <v>3</v>
      </c>
      <c r="D789" s="1" t="s">
        <v>4</v>
      </c>
      <c r="E789" s="1" t="s">
        <v>190</v>
      </c>
      <c r="F789" s="1" t="s">
        <v>7</v>
      </c>
      <c r="G789" s="1" t="s">
        <v>10</v>
      </c>
      <c r="H789" s="1" t="str">
        <f>VLOOKUP(F789,'[2]DX.OTHER.9.30.06 DETAIL'!$H$1:$J$65536,3,FALSE)</f>
        <v>Revenue</v>
      </c>
      <c r="I789" s="1">
        <v>0</v>
      </c>
      <c r="J789" s="2">
        <v>-5892.01</v>
      </c>
      <c r="K789" s="2">
        <v>0</v>
      </c>
      <c r="L789" s="2">
        <v>5892.01</v>
      </c>
      <c r="M789" s="2">
        <v>0</v>
      </c>
      <c r="N789" s="1" t="str">
        <f>VLOOKUP(E789,'[1]ORG CODES'!$A:$C,3,FALSE)</f>
        <v>3499   ASA-FEE &amp; INT REV</v>
      </c>
    </row>
    <row r="790" spans="1:14" ht="14.45" hidden="1" x14ac:dyDescent="0.3">
      <c r="A790" t="str">
        <f>VLOOKUP(E790,'[1]ORG CODES'!$A:$B,2,FALSE)</f>
        <v>Student Funded Programs</v>
      </c>
      <c r="B790" s="1" t="s">
        <v>2</v>
      </c>
      <c r="C790" s="1" t="s">
        <v>3</v>
      </c>
      <c r="D790" s="1" t="s">
        <v>4</v>
      </c>
      <c r="E790" s="1" t="s">
        <v>190</v>
      </c>
      <c r="F790" s="1" t="s">
        <v>7</v>
      </c>
      <c r="G790" s="1" t="s">
        <v>11</v>
      </c>
      <c r="H790" s="1" t="str">
        <f>VLOOKUP(F790,'[2]DX.OTHER.9.30.06 DETAIL'!$H$1:$J$65536,3,FALSE)</f>
        <v>Revenue</v>
      </c>
      <c r="I790" s="1">
        <v>0</v>
      </c>
      <c r="J790" s="2">
        <v>0</v>
      </c>
      <c r="K790" s="2">
        <v>0</v>
      </c>
      <c r="L790" s="2">
        <v>0</v>
      </c>
      <c r="M790" s="2">
        <v>0</v>
      </c>
      <c r="N790" s="1" t="str">
        <f>VLOOKUP(E790,'[1]ORG CODES'!$A:$C,3,FALSE)</f>
        <v>3499   ASA-FEE &amp; INT REV</v>
      </c>
    </row>
    <row r="791" spans="1:14" ht="14.45" hidden="1" x14ac:dyDescent="0.3">
      <c r="A791" t="str">
        <f>VLOOKUP(E791,'[1]ORG CODES'!$A:$B,2,FALSE)</f>
        <v>Student Funded Programs</v>
      </c>
      <c r="B791" s="1" t="s">
        <v>2</v>
      </c>
      <c r="C791" s="1" t="s">
        <v>3</v>
      </c>
      <c r="D791" s="1" t="s">
        <v>4</v>
      </c>
      <c r="E791" s="1" t="s">
        <v>190</v>
      </c>
      <c r="F791" s="1" t="s">
        <v>7</v>
      </c>
      <c r="G791" s="1" t="s">
        <v>12</v>
      </c>
      <c r="H791" s="1" t="str">
        <f>VLOOKUP(F791,'[2]DX.OTHER.9.30.06 DETAIL'!$H$1:$J$65536,3,FALSE)</f>
        <v>Revenue</v>
      </c>
      <c r="I791" s="1">
        <v>0</v>
      </c>
      <c r="J791" s="2">
        <v>-1690.69</v>
      </c>
      <c r="K791" s="2">
        <v>0</v>
      </c>
      <c r="L791" s="2">
        <v>1690.69</v>
      </c>
      <c r="M791" s="2">
        <v>0</v>
      </c>
      <c r="N791" s="1" t="str">
        <f>VLOOKUP(E791,'[1]ORG CODES'!$A:$C,3,FALSE)</f>
        <v>3499   ASA-FEE &amp; INT REV</v>
      </c>
    </row>
    <row r="792" spans="1:14" ht="14.45" hidden="1" x14ac:dyDescent="0.3">
      <c r="A792" t="str">
        <f>VLOOKUP(E792,'[1]ORG CODES'!$A:$B,2,FALSE)</f>
        <v>Student Funded Programs</v>
      </c>
      <c r="B792" s="1" t="s">
        <v>2</v>
      </c>
      <c r="C792" s="1" t="s">
        <v>3</v>
      </c>
      <c r="D792" s="1" t="s">
        <v>4</v>
      </c>
      <c r="E792" s="1" t="s">
        <v>190</v>
      </c>
      <c r="F792" s="1" t="s">
        <v>7</v>
      </c>
      <c r="G792" s="1" t="s">
        <v>13</v>
      </c>
      <c r="H792" s="1" t="str">
        <f>VLOOKUP(F792,'[2]DX.OTHER.9.30.06 DETAIL'!$H$1:$J$65536,3,FALSE)</f>
        <v>Revenue</v>
      </c>
      <c r="I792" s="1">
        <v>0</v>
      </c>
      <c r="J792" s="2">
        <v>-207.73</v>
      </c>
      <c r="K792" s="2">
        <v>0</v>
      </c>
      <c r="L792" s="2">
        <v>207.73</v>
      </c>
      <c r="M792" s="2">
        <v>0</v>
      </c>
      <c r="N792" s="1" t="str">
        <f>VLOOKUP(E792,'[1]ORG CODES'!$A:$C,3,FALSE)</f>
        <v>3499   ASA-FEE &amp; INT REV</v>
      </c>
    </row>
    <row r="793" spans="1:14" ht="14.45" hidden="1" x14ac:dyDescent="0.3">
      <c r="A793" t="str">
        <f>VLOOKUP(E793,'[1]ORG CODES'!$A:$B,2,FALSE)</f>
        <v>Student Funded Programs</v>
      </c>
      <c r="B793" s="1" t="s">
        <v>2</v>
      </c>
      <c r="C793" s="1" t="s">
        <v>3</v>
      </c>
      <c r="D793" s="1" t="s">
        <v>4</v>
      </c>
      <c r="E793" s="1" t="s">
        <v>190</v>
      </c>
      <c r="F793" s="1" t="s">
        <v>7</v>
      </c>
      <c r="G793" s="1" t="s">
        <v>14</v>
      </c>
      <c r="H793" s="1" t="str">
        <f>VLOOKUP(F793,'[2]DX.OTHER.9.30.06 DETAIL'!$H$1:$J$65536,3,FALSE)</f>
        <v>Revenue</v>
      </c>
      <c r="I793" s="1">
        <v>0</v>
      </c>
      <c r="J793" s="2">
        <v>-148.33000000000001</v>
      </c>
      <c r="K793" s="2">
        <v>0</v>
      </c>
      <c r="L793" s="2">
        <v>148.33000000000001</v>
      </c>
      <c r="M793" s="2">
        <v>0</v>
      </c>
      <c r="N793" s="1" t="str">
        <f>VLOOKUP(E793,'[1]ORG CODES'!$A:$C,3,FALSE)</f>
        <v>3499   ASA-FEE &amp; INT REV</v>
      </c>
    </row>
    <row r="794" spans="1:14" ht="14.45" hidden="1" x14ac:dyDescent="0.3">
      <c r="A794" t="str">
        <f>VLOOKUP(E794,'[1]ORG CODES'!$A:$B,2,FALSE)</f>
        <v>Student Funded Programs</v>
      </c>
      <c r="B794" s="1" t="s">
        <v>2</v>
      </c>
      <c r="C794" s="1" t="s">
        <v>3</v>
      </c>
      <c r="D794" s="1" t="s">
        <v>4</v>
      </c>
      <c r="E794" s="1" t="s">
        <v>190</v>
      </c>
      <c r="F794" s="1" t="s">
        <v>7</v>
      </c>
      <c r="G794" s="1" t="s">
        <v>15</v>
      </c>
      <c r="H794" s="1" t="str">
        <f>VLOOKUP(F794,'[2]DX.OTHER.9.30.06 DETAIL'!$H$1:$J$65536,3,FALSE)</f>
        <v>Revenue</v>
      </c>
      <c r="I794" s="1">
        <v>0</v>
      </c>
      <c r="J794" s="2">
        <v>-33095.56</v>
      </c>
      <c r="K794" s="2">
        <v>0</v>
      </c>
      <c r="L794" s="2">
        <v>33095.56</v>
      </c>
      <c r="M794" s="2">
        <v>0</v>
      </c>
      <c r="N794" s="1" t="str">
        <f>VLOOKUP(E794,'[1]ORG CODES'!$A:$C,3,FALSE)</f>
        <v>3499   ASA-FEE &amp; INT REV</v>
      </c>
    </row>
    <row r="795" spans="1:14" ht="14.45" hidden="1" x14ac:dyDescent="0.3">
      <c r="A795" t="str">
        <f>VLOOKUP(E795,'[1]ORG CODES'!$A:$B,2,FALSE)</f>
        <v>Student Funded Programs</v>
      </c>
      <c r="B795" s="1" t="s">
        <v>2</v>
      </c>
      <c r="C795" s="1" t="s">
        <v>3</v>
      </c>
      <c r="D795" s="1" t="s">
        <v>4</v>
      </c>
      <c r="E795" s="1" t="s">
        <v>190</v>
      </c>
      <c r="F795" s="1" t="s">
        <v>7</v>
      </c>
      <c r="G795" s="1" t="s">
        <v>16</v>
      </c>
      <c r="H795" s="1" t="str">
        <f>VLOOKUP(F795,'[2]DX.OTHER.9.30.06 DETAIL'!$H$1:$J$65536,3,FALSE)</f>
        <v>Revenue</v>
      </c>
      <c r="I795" s="1">
        <v>0</v>
      </c>
      <c r="J795" s="2">
        <v>-54830.68</v>
      </c>
      <c r="K795" s="2">
        <v>0</v>
      </c>
      <c r="L795" s="2">
        <v>54830.68</v>
      </c>
      <c r="M795" s="2">
        <v>0</v>
      </c>
      <c r="N795" s="1" t="str">
        <f>VLOOKUP(E795,'[1]ORG CODES'!$A:$C,3,FALSE)</f>
        <v>3499   ASA-FEE &amp; INT REV</v>
      </c>
    </row>
    <row r="796" spans="1:14" ht="14.45" hidden="1" x14ac:dyDescent="0.3">
      <c r="A796" t="str">
        <f>VLOOKUP(E796,'[1]ORG CODES'!$A:$B,2,FALSE)</f>
        <v>Student Funded Programs</v>
      </c>
      <c r="B796" s="1" t="s">
        <v>2</v>
      </c>
      <c r="C796" s="1" t="s">
        <v>3</v>
      </c>
      <c r="D796" s="1" t="s">
        <v>4</v>
      </c>
      <c r="E796" s="1" t="s">
        <v>190</v>
      </c>
      <c r="F796" s="1" t="s">
        <v>7</v>
      </c>
      <c r="G796" s="1" t="s">
        <v>17</v>
      </c>
      <c r="H796" s="1" t="str">
        <f>VLOOKUP(F796,'[2]DX.OTHER.9.30.06 DETAIL'!$H$1:$J$65536,3,FALSE)</f>
        <v>Revenue</v>
      </c>
      <c r="I796" s="1">
        <v>0</v>
      </c>
      <c r="J796" s="2">
        <v>-2259.9499999999998</v>
      </c>
      <c r="K796" s="2">
        <v>0</v>
      </c>
      <c r="L796" s="2">
        <v>2259.9499999999998</v>
      </c>
      <c r="M796" s="2">
        <v>0</v>
      </c>
      <c r="N796" s="1" t="str">
        <f>VLOOKUP(E796,'[1]ORG CODES'!$A:$C,3,FALSE)</f>
        <v>3499   ASA-FEE &amp; INT REV</v>
      </c>
    </row>
    <row r="797" spans="1:14" ht="14.45" hidden="1" x14ac:dyDescent="0.3">
      <c r="A797" t="str">
        <f>VLOOKUP(E797,'[1]ORG CODES'!$A:$B,2,FALSE)</f>
        <v>Student Funded Programs</v>
      </c>
      <c r="B797" s="1" t="s">
        <v>2</v>
      </c>
      <c r="C797" s="1" t="s">
        <v>3</v>
      </c>
      <c r="D797" s="1" t="s">
        <v>4</v>
      </c>
      <c r="E797" s="1" t="s">
        <v>190</v>
      </c>
      <c r="F797" s="1" t="s">
        <v>7</v>
      </c>
      <c r="G797" s="1" t="s">
        <v>18</v>
      </c>
      <c r="H797" s="1" t="str">
        <f>VLOOKUP(F797,'[2]DX.OTHER.9.30.06 DETAIL'!$H$1:$J$65536,3,FALSE)</f>
        <v>Revenue</v>
      </c>
      <c r="I797" s="1">
        <v>0</v>
      </c>
      <c r="J797" s="2">
        <v>-4694.74</v>
      </c>
      <c r="K797" s="2">
        <v>0</v>
      </c>
      <c r="L797" s="2">
        <v>4694.74</v>
      </c>
      <c r="M797" s="2">
        <v>0</v>
      </c>
      <c r="N797" s="1" t="str">
        <f>VLOOKUP(E797,'[1]ORG CODES'!$A:$C,3,FALSE)</f>
        <v>3499   ASA-FEE &amp; INT REV</v>
      </c>
    </row>
    <row r="798" spans="1:14" ht="14.45" hidden="1" x14ac:dyDescent="0.3">
      <c r="A798" t="str">
        <f>VLOOKUP(E798,'[1]ORG CODES'!$A:$B,2,FALSE)</f>
        <v>Student Funded Programs</v>
      </c>
      <c r="B798" s="1" t="s">
        <v>2</v>
      </c>
      <c r="C798" s="1" t="s">
        <v>3</v>
      </c>
      <c r="D798" s="1" t="s">
        <v>4</v>
      </c>
      <c r="E798" s="1" t="s">
        <v>190</v>
      </c>
      <c r="F798" s="1" t="s">
        <v>7</v>
      </c>
      <c r="G798" s="1" t="s">
        <v>19</v>
      </c>
      <c r="H798" s="1" t="str">
        <f>VLOOKUP(F798,'[2]DX.OTHER.9.30.06 DETAIL'!$H$1:$J$65536,3,FALSE)</f>
        <v>Revenue</v>
      </c>
      <c r="I798" s="1">
        <v>0</v>
      </c>
      <c r="J798" s="2">
        <v>-14140.88</v>
      </c>
      <c r="K798" s="2">
        <v>0</v>
      </c>
      <c r="L798" s="2">
        <v>14140.88</v>
      </c>
      <c r="M798" s="2">
        <v>0</v>
      </c>
      <c r="N798" s="1" t="str">
        <f>VLOOKUP(E798,'[1]ORG CODES'!$A:$C,3,FALSE)</f>
        <v>3499   ASA-FEE &amp; INT REV</v>
      </c>
    </row>
    <row r="799" spans="1:14" ht="14.45" hidden="1" x14ac:dyDescent="0.3">
      <c r="A799" t="str">
        <f>VLOOKUP(E799,'[1]ORG CODES'!$A:$B,2,FALSE)</f>
        <v>Student Funded Programs</v>
      </c>
      <c r="B799" s="1" t="s">
        <v>2</v>
      </c>
      <c r="C799" s="1" t="s">
        <v>3</v>
      </c>
      <c r="D799" s="1" t="s">
        <v>4</v>
      </c>
      <c r="E799" s="1" t="s">
        <v>190</v>
      </c>
      <c r="F799" s="1" t="s">
        <v>7</v>
      </c>
      <c r="G799" s="1" t="s">
        <v>20</v>
      </c>
      <c r="H799" s="1" t="str">
        <f>VLOOKUP(F799,'[2]DX.OTHER.9.30.06 DETAIL'!$H$1:$J$65536,3,FALSE)</f>
        <v>Revenue</v>
      </c>
      <c r="I799" s="1">
        <v>0</v>
      </c>
      <c r="J799" s="2">
        <v>-481484.1</v>
      </c>
      <c r="K799" s="2">
        <v>0</v>
      </c>
      <c r="L799" s="2">
        <v>481484.1</v>
      </c>
      <c r="M799" s="2">
        <v>0</v>
      </c>
      <c r="N799" s="1" t="str">
        <f>VLOOKUP(E799,'[1]ORG CODES'!$A:$C,3,FALSE)</f>
        <v>3499   ASA-FEE &amp; INT REV</v>
      </c>
    </row>
    <row r="800" spans="1:14" ht="14.45" hidden="1" x14ac:dyDescent="0.3">
      <c r="A800" t="str">
        <f>VLOOKUP(E800,'[1]ORG CODES'!$A:$B,2,FALSE)</f>
        <v>Student Funded Programs</v>
      </c>
      <c r="B800" s="1" t="s">
        <v>2</v>
      </c>
      <c r="C800" s="1" t="s">
        <v>3</v>
      </c>
      <c r="D800" s="1" t="s">
        <v>4</v>
      </c>
      <c r="E800" s="1" t="s">
        <v>110</v>
      </c>
      <c r="F800" s="1" t="s">
        <v>111</v>
      </c>
      <c r="H800" s="1" t="str">
        <f>VLOOKUP(F800,'[2]DX.OTHER.9.30.06 DETAIL'!$H$1:$J$65536,3,FALSE)</f>
        <v>Exp-Computer Equipment</v>
      </c>
      <c r="I800" s="1">
        <v>0</v>
      </c>
      <c r="J800" s="2">
        <v>0</v>
      </c>
      <c r="K800" s="2">
        <v>0</v>
      </c>
      <c r="L800" s="2">
        <v>0</v>
      </c>
      <c r="M800" s="2">
        <v>0</v>
      </c>
      <c r="N800" s="1" t="str">
        <f>VLOOKUP(E800,'[1]ORG CODES'!$A:$C,3,FALSE)</f>
        <v>3415   SUPPLIES</v>
      </c>
    </row>
    <row r="801" spans="1:14" ht="14.45" hidden="1" x14ac:dyDescent="0.3">
      <c r="A801" t="str">
        <f>VLOOKUP(E801,'[1]ORG CODES'!$A:$B,2,FALSE)</f>
        <v>Student Funded Programs</v>
      </c>
      <c r="B801" s="1" t="s">
        <v>2</v>
      </c>
      <c r="C801" s="1" t="s">
        <v>3</v>
      </c>
      <c r="D801" s="1" t="s">
        <v>4</v>
      </c>
      <c r="E801" s="1" t="s">
        <v>123</v>
      </c>
      <c r="F801" s="1" t="s">
        <v>111</v>
      </c>
      <c r="H801" s="1" t="str">
        <f>VLOOKUP(F801,'[2]DX.OTHER.9.30.06 DETAIL'!$H$1:$J$65536,3,FALSE)</f>
        <v>Exp-Computer Equipment</v>
      </c>
      <c r="I801" s="1">
        <v>0</v>
      </c>
      <c r="J801" s="2">
        <v>6082.85</v>
      </c>
      <c r="K801" s="2">
        <v>0</v>
      </c>
      <c r="L801" s="2">
        <v>-6082.85</v>
      </c>
      <c r="M801" s="2">
        <v>0</v>
      </c>
      <c r="N801" s="1" t="str">
        <f>VLOOKUP(E801,'[1]ORG CODES'!$A:$C,3,FALSE)</f>
        <v>3426   EQUIPMENT</v>
      </c>
    </row>
    <row r="802" spans="1:14" ht="14.45" hidden="1" x14ac:dyDescent="0.3">
      <c r="A802" t="str">
        <f>VLOOKUP(E802,'[1]ORG CODES'!$A:$B,2,FALSE)</f>
        <v>Student Funded Programs</v>
      </c>
      <c r="B802" s="1" t="s">
        <v>2</v>
      </c>
      <c r="C802" s="1" t="s">
        <v>3</v>
      </c>
      <c r="D802" s="1" t="s">
        <v>4</v>
      </c>
      <c r="E802" s="1" t="s">
        <v>125</v>
      </c>
      <c r="F802" s="1" t="s">
        <v>111</v>
      </c>
      <c r="H802" s="1" t="str">
        <f>VLOOKUP(F802,'[2]DX.OTHER.9.30.06 DETAIL'!$H$1:$J$65536,3,FALSE)</f>
        <v>Exp-Computer Equipment</v>
      </c>
      <c r="I802" s="1">
        <v>0</v>
      </c>
      <c r="J802" s="2">
        <v>0</v>
      </c>
      <c r="K802" s="2">
        <v>0</v>
      </c>
      <c r="L802" s="2">
        <v>0</v>
      </c>
      <c r="M802" s="2">
        <v>0</v>
      </c>
      <c r="N802" s="1" t="str">
        <f>VLOOKUP(E802,'[1]ORG CODES'!$A:$C,3,FALSE)</f>
        <v>3428   SECURITY</v>
      </c>
    </row>
    <row r="803" spans="1:14" ht="14.45" hidden="1" x14ac:dyDescent="0.3">
      <c r="A803" t="str">
        <f>VLOOKUP(E803,'[1]ORG CODES'!$A:$B,2,FALSE)</f>
        <v>Student Funded Programs</v>
      </c>
      <c r="B803" s="1" t="s">
        <v>2</v>
      </c>
      <c r="C803" s="1" t="s">
        <v>3</v>
      </c>
      <c r="D803" s="1" t="s">
        <v>4</v>
      </c>
      <c r="E803" s="1" t="s">
        <v>127</v>
      </c>
      <c r="F803" s="1" t="s">
        <v>111</v>
      </c>
      <c r="H803" s="1" t="str">
        <f>VLOOKUP(F803,'[2]DX.OTHER.9.30.06 DETAIL'!$H$1:$J$65536,3,FALSE)</f>
        <v>Exp-Computer Equipment</v>
      </c>
      <c r="I803" s="1">
        <v>0</v>
      </c>
      <c r="J803" s="2">
        <v>0</v>
      </c>
      <c r="K803" s="2">
        <v>0</v>
      </c>
      <c r="L803" s="2">
        <v>0</v>
      </c>
      <c r="M803" s="2">
        <v>0</v>
      </c>
      <c r="N803" s="1" t="str">
        <f>VLOOKUP(E803,'[1]ORG CODES'!$A:$C,3,FALSE)</f>
        <v>3430   STUDENT MEDIA LAB</v>
      </c>
    </row>
    <row r="804" spans="1:14" ht="14.45" hidden="1" x14ac:dyDescent="0.3">
      <c r="A804" t="str">
        <f>VLOOKUP(E804,'[1]ORG CODES'!$A:$B,2,FALSE)</f>
        <v>Student Funded Programs</v>
      </c>
      <c r="B804" s="1" t="s">
        <v>2</v>
      </c>
      <c r="C804" s="1" t="s">
        <v>3</v>
      </c>
      <c r="D804" s="1" t="s">
        <v>4</v>
      </c>
      <c r="E804" s="1" t="s">
        <v>132</v>
      </c>
      <c r="F804" s="1" t="s">
        <v>111</v>
      </c>
      <c r="H804" s="1" t="str">
        <f>VLOOKUP(F804,'[2]DX.OTHER.9.30.06 DETAIL'!$H$1:$J$65536,3,FALSE)</f>
        <v>Exp-Computer Equipment</v>
      </c>
      <c r="I804" s="1">
        <v>0</v>
      </c>
      <c r="J804" s="2">
        <v>760.9</v>
      </c>
      <c r="K804" s="2">
        <v>0</v>
      </c>
      <c r="L804" s="2">
        <v>-760.9</v>
      </c>
      <c r="M804" s="2">
        <v>0</v>
      </c>
      <c r="N804" s="1" t="str">
        <f>VLOOKUP(E804,'[1]ORG CODES'!$A:$C,3,FALSE)</f>
        <v>3435   BLACK STUDENT UNION</v>
      </c>
    </row>
    <row r="805" spans="1:14" ht="14.45" hidden="1" x14ac:dyDescent="0.3">
      <c r="A805" t="str">
        <f>VLOOKUP(E805,'[1]ORG CODES'!$A:$B,2,FALSE)</f>
        <v>Student Funded Programs</v>
      </c>
      <c r="B805" s="1" t="s">
        <v>2</v>
      </c>
      <c r="C805" s="1" t="s">
        <v>3</v>
      </c>
      <c r="D805" s="1" t="s">
        <v>4</v>
      </c>
      <c r="E805" s="1" t="s">
        <v>160</v>
      </c>
      <c r="F805" s="1" t="s">
        <v>111</v>
      </c>
      <c r="H805" s="1" t="str">
        <f>VLOOKUP(F805,'[2]DX.OTHER.9.30.06 DETAIL'!$H$1:$J$65536,3,FALSE)</f>
        <v>Exp-Computer Equipment</v>
      </c>
      <c r="I805" s="1">
        <v>0</v>
      </c>
      <c r="J805" s="2">
        <v>0</v>
      </c>
      <c r="K805" s="2">
        <v>0</v>
      </c>
      <c r="L805" s="2">
        <v>0</v>
      </c>
      <c r="M805" s="2">
        <v>0</v>
      </c>
      <c r="N805" s="1" t="str">
        <f>VLOOKUP(E805,'[1]ORG CODES'!$A:$C,3,FALSE)</f>
        <v>3457   THE ALLIANCE</v>
      </c>
    </row>
    <row r="806" spans="1:14" ht="14.45" hidden="1" x14ac:dyDescent="0.3">
      <c r="A806" t="str">
        <f>VLOOKUP(E806,'[1]ORG CODES'!$A:$B,2,FALSE)</f>
        <v>Student Funded Programs</v>
      </c>
      <c r="B806" s="1" t="s">
        <v>2</v>
      </c>
      <c r="C806" s="1" t="s">
        <v>3</v>
      </c>
      <c r="D806" s="1" t="s">
        <v>4</v>
      </c>
      <c r="E806" s="1" t="s">
        <v>187</v>
      </c>
      <c r="F806" s="1" t="s">
        <v>111</v>
      </c>
      <c r="H806" s="1" t="str">
        <f>VLOOKUP(F806,'[2]DX.OTHER.9.30.06 DETAIL'!$H$1:$J$65536,3,FALSE)</f>
        <v>Exp-Computer Equipment</v>
      </c>
      <c r="I806" s="1">
        <v>0</v>
      </c>
      <c r="J806" s="2">
        <v>738.92</v>
      </c>
      <c r="K806" s="2">
        <v>0</v>
      </c>
      <c r="L806" s="2">
        <v>-738.92</v>
      </c>
      <c r="M806" s="2">
        <v>0</v>
      </c>
      <c r="N806" s="1" t="str">
        <f>VLOOKUP(E806,'[1]ORG CODES'!$A:$C,3,FALSE)</f>
        <v>3477   APPLIED TECH CLUB</v>
      </c>
    </row>
    <row r="807" spans="1:14" ht="14.45" hidden="1" x14ac:dyDescent="0.3">
      <c r="A807" t="str">
        <f>VLOOKUP(E807,'[1]ORG CODES'!$A:$B,2,FALSE)</f>
        <v>Student Funded Programs</v>
      </c>
      <c r="B807" s="1" t="s">
        <v>2</v>
      </c>
      <c r="C807" s="1" t="s">
        <v>3</v>
      </c>
      <c r="D807" s="1" t="s">
        <v>4</v>
      </c>
      <c r="E807" s="1" t="s">
        <v>123</v>
      </c>
      <c r="F807" s="1" t="s">
        <v>111</v>
      </c>
      <c r="H807" s="1" t="str">
        <f>VLOOKUP(F807,'[2]DX.OTHER.9.30.06 DETAIL'!$H$1:$J$65536,3,FALSE)</f>
        <v>Exp-Computer Equipment</v>
      </c>
      <c r="I807" s="1">
        <v>0</v>
      </c>
      <c r="J807" s="2">
        <v>0</v>
      </c>
      <c r="K807" s="2">
        <v>0</v>
      </c>
      <c r="L807" s="2">
        <v>0</v>
      </c>
      <c r="M807" s="2">
        <v>0</v>
      </c>
      <c r="N807" s="1" t="str">
        <f>VLOOKUP(E807,'[1]ORG CODES'!$A:$C,3,FALSE)</f>
        <v>3426   EQUIPMENT</v>
      </c>
    </row>
    <row r="808" spans="1:14" ht="14.45" hidden="1" x14ac:dyDescent="0.3">
      <c r="A808" t="str">
        <f>VLOOKUP(E808,'[1]ORG CODES'!$A:$B,2,FALSE)</f>
        <v>Student Funded Programs</v>
      </c>
      <c r="B808" s="1" t="s">
        <v>2</v>
      </c>
      <c r="C808" s="1" t="s">
        <v>3</v>
      </c>
      <c r="D808" s="1" t="s">
        <v>4</v>
      </c>
      <c r="E808" s="1" t="s">
        <v>38</v>
      </c>
      <c r="F808" s="1" t="s">
        <v>45</v>
      </c>
      <c r="H808" s="1" t="s">
        <v>203</v>
      </c>
      <c r="I808" s="1">
        <v>0</v>
      </c>
      <c r="J808" s="2">
        <v>0</v>
      </c>
      <c r="K808" s="2">
        <v>0</v>
      </c>
      <c r="L808" s="2">
        <v>0</v>
      </c>
      <c r="M808" s="2">
        <v>0</v>
      </c>
      <c r="N808" s="1" t="str">
        <f>VLOOKUP(E808,'[1]ORG CODES'!$A:$C,3,FALSE)</f>
        <v>3329   SPEECH &amp; DEBATE CLUB</v>
      </c>
    </row>
    <row r="809" spans="1:14" ht="14.45" hidden="1" x14ac:dyDescent="0.3">
      <c r="A809" t="str">
        <f>VLOOKUP(E809,'[1]ORG CODES'!$A:$B,2,FALSE)</f>
        <v>Student Funded Programs</v>
      </c>
      <c r="B809" s="1" t="s">
        <v>2</v>
      </c>
      <c r="C809" s="1" t="s">
        <v>3</v>
      </c>
      <c r="D809" s="1" t="s">
        <v>4</v>
      </c>
      <c r="E809" s="1" t="s">
        <v>46</v>
      </c>
      <c r="F809" s="1" t="s">
        <v>45</v>
      </c>
      <c r="H809" s="1" t="s">
        <v>203</v>
      </c>
      <c r="I809" s="1">
        <v>0</v>
      </c>
      <c r="J809" s="2">
        <v>0</v>
      </c>
      <c r="K809" s="2">
        <v>0</v>
      </c>
      <c r="L809" s="2">
        <v>0</v>
      </c>
      <c r="M809" s="2">
        <v>0</v>
      </c>
      <c r="N809" s="1" t="str">
        <f>VLOOKUP(E809,'[1]ORG CODES'!$A:$C,3,FALSE)</f>
        <v>3330   GRAPHIC DESIGN</v>
      </c>
    </row>
    <row r="810" spans="1:14" ht="14.45" hidden="1" x14ac:dyDescent="0.3">
      <c r="A810" t="str">
        <f>VLOOKUP(E810,'[1]ORG CODES'!$A:$B,2,FALSE)</f>
        <v>Student Funded Programs</v>
      </c>
      <c r="B810" s="1" t="s">
        <v>2</v>
      </c>
      <c r="C810" s="1" t="s">
        <v>3</v>
      </c>
      <c r="D810" s="1" t="s">
        <v>4</v>
      </c>
      <c r="E810" s="1" t="s">
        <v>46</v>
      </c>
      <c r="F810" s="1" t="s">
        <v>45</v>
      </c>
      <c r="G810" s="1" t="s">
        <v>43</v>
      </c>
      <c r="H810" s="1" t="s">
        <v>203</v>
      </c>
      <c r="I810" s="1">
        <v>0</v>
      </c>
      <c r="J810" s="2">
        <v>356</v>
      </c>
      <c r="K810" s="2">
        <v>0</v>
      </c>
      <c r="L810" s="2">
        <v>-356</v>
      </c>
      <c r="M810" s="2">
        <v>0</v>
      </c>
      <c r="N810" s="1" t="str">
        <f>VLOOKUP(E810,'[1]ORG CODES'!$A:$C,3,FALSE)</f>
        <v>3330   GRAPHIC DESIGN</v>
      </c>
    </row>
    <row r="811" spans="1:14" ht="14.45" hidden="1" x14ac:dyDescent="0.3">
      <c r="A811" t="str">
        <f>VLOOKUP(E811,'[1]ORG CODES'!$A:$B,2,FALSE)</f>
        <v>Student Funded Programs</v>
      </c>
      <c r="B811" s="1" t="s">
        <v>2</v>
      </c>
      <c r="C811" s="1" t="s">
        <v>3</v>
      </c>
      <c r="D811" s="1" t="s">
        <v>4</v>
      </c>
      <c r="E811" s="1" t="s">
        <v>52</v>
      </c>
      <c r="F811" s="1" t="s">
        <v>45</v>
      </c>
      <c r="H811" s="1" t="s">
        <v>203</v>
      </c>
      <c r="I811" s="1">
        <v>0</v>
      </c>
      <c r="J811" s="2">
        <v>0</v>
      </c>
      <c r="K811" s="2">
        <v>0</v>
      </c>
      <c r="L811" s="2">
        <v>0</v>
      </c>
      <c r="M811" s="2">
        <v>0</v>
      </c>
      <c r="N811" s="1" t="str">
        <f>VLOOKUP(E811,'[1]ORG CODES'!$A:$C,3,FALSE)</f>
        <v>3352   REVELERS (DRAMA)</v>
      </c>
    </row>
    <row r="812" spans="1:14" ht="14.45" hidden="1" x14ac:dyDescent="0.3">
      <c r="A812" t="str">
        <f>VLOOKUP(E812,'[1]ORG CODES'!$A:$B,2,FALSE)</f>
        <v>Student Funded Programs</v>
      </c>
      <c r="B812" s="1" t="s">
        <v>2</v>
      </c>
      <c r="C812" s="1" t="s">
        <v>3</v>
      </c>
      <c r="D812" s="1" t="s">
        <v>4</v>
      </c>
      <c r="E812" s="1" t="s">
        <v>63</v>
      </c>
      <c r="F812" s="1" t="s">
        <v>45</v>
      </c>
      <c r="H812" s="1" t="s">
        <v>203</v>
      </c>
      <c r="I812" s="1">
        <v>0</v>
      </c>
      <c r="J812" s="2">
        <v>0</v>
      </c>
      <c r="K812" s="2">
        <v>0</v>
      </c>
      <c r="L812" s="2">
        <v>0</v>
      </c>
      <c r="M812" s="2">
        <v>0</v>
      </c>
      <c r="N812" s="1" t="str">
        <f>VLOOKUP(E812,'[1]ORG CODES'!$A:$C,3,FALSE)</f>
        <v>3353   ORCHESTRA</v>
      </c>
    </row>
    <row r="813" spans="1:14" ht="14.45" hidden="1" x14ac:dyDescent="0.3">
      <c r="A813" t="str">
        <f>VLOOKUP(E813,'[1]ORG CODES'!$A:$B,2,FALSE)</f>
        <v>Student Funded Programs</v>
      </c>
      <c r="B813" s="1" t="s">
        <v>2</v>
      </c>
      <c r="C813" s="1" t="s">
        <v>3</v>
      </c>
      <c r="D813" s="1" t="s">
        <v>4</v>
      </c>
      <c r="E813" s="1" t="s">
        <v>63</v>
      </c>
      <c r="F813" s="1" t="s">
        <v>45</v>
      </c>
      <c r="G813" s="1" t="s">
        <v>43</v>
      </c>
      <c r="H813" s="1" t="s">
        <v>203</v>
      </c>
      <c r="I813" s="1">
        <v>0</v>
      </c>
      <c r="J813" s="2">
        <v>3010</v>
      </c>
      <c r="K813" s="2">
        <v>0</v>
      </c>
      <c r="L813" s="2">
        <v>-3010</v>
      </c>
      <c r="M813" s="2">
        <v>120</v>
      </c>
      <c r="N813" s="1" t="str">
        <f>VLOOKUP(E813,'[1]ORG CODES'!$A:$C,3,FALSE)</f>
        <v>3353   ORCHESTRA</v>
      </c>
    </row>
    <row r="814" spans="1:14" ht="14.45" hidden="1" x14ac:dyDescent="0.3">
      <c r="A814" t="str">
        <f>VLOOKUP(E814,'[1]ORG CODES'!$A:$B,2,FALSE)</f>
        <v>Student Funded Programs</v>
      </c>
      <c r="B814" s="1" t="s">
        <v>2</v>
      </c>
      <c r="C814" s="1" t="s">
        <v>3</v>
      </c>
      <c r="D814" s="1" t="s">
        <v>4</v>
      </c>
      <c r="E814" s="1" t="s">
        <v>65</v>
      </c>
      <c r="F814" s="1" t="s">
        <v>45</v>
      </c>
      <c r="H814" s="1" t="s">
        <v>203</v>
      </c>
      <c r="I814" s="1">
        <v>0</v>
      </c>
      <c r="J814" s="2">
        <v>0</v>
      </c>
      <c r="K814" s="2">
        <v>0</v>
      </c>
      <c r="L814" s="2">
        <v>0</v>
      </c>
      <c r="M814" s="2">
        <v>0</v>
      </c>
      <c r="N814" s="1" t="str">
        <f>VLOOKUP(E814,'[1]ORG CODES'!$A:$C,3,FALSE)</f>
        <v>3354   CONCERT BAND</v>
      </c>
    </row>
    <row r="815" spans="1:14" ht="14.45" hidden="1" x14ac:dyDescent="0.3">
      <c r="A815" t="str">
        <f>VLOOKUP(E815,'[1]ORG CODES'!$A:$B,2,FALSE)</f>
        <v>Student Funded Programs</v>
      </c>
      <c r="B815" s="1" t="s">
        <v>2</v>
      </c>
      <c r="C815" s="1" t="s">
        <v>3</v>
      </c>
      <c r="D815" s="1" t="s">
        <v>4</v>
      </c>
      <c r="E815" s="1" t="s">
        <v>65</v>
      </c>
      <c r="F815" s="1" t="s">
        <v>45</v>
      </c>
      <c r="G815" s="1" t="s">
        <v>43</v>
      </c>
      <c r="H815" s="1" t="s">
        <v>203</v>
      </c>
      <c r="I815" s="1">
        <v>0</v>
      </c>
      <c r="J815" s="2">
        <v>90</v>
      </c>
      <c r="K815" s="2">
        <v>0</v>
      </c>
      <c r="L815" s="2">
        <v>-90</v>
      </c>
      <c r="M815" s="2">
        <v>0</v>
      </c>
      <c r="N815" s="1" t="str">
        <f>VLOOKUP(E815,'[1]ORG CODES'!$A:$C,3,FALSE)</f>
        <v>3354   CONCERT BAND</v>
      </c>
    </row>
    <row r="816" spans="1:14" ht="14.45" hidden="1" x14ac:dyDescent="0.3">
      <c r="A816" t="str">
        <f>VLOOKUP(E816,'[1]ORG CODES'!$A:$B,2,FALSE)</f>
        <v>Student Funded Programs</v>
      </c>
      <c r="B816" s="1" t="s">
        <v>2</v>
      </c>
      <c r="C816" s="1" t="s">
        <v>3</v>
      </c>
      <c r="D816" s="1" t="s">
        <v>4</v>
      </c>
      <c r="E816" s="1" t="s">
        <v>68</v>
      </c>
      <c r="F816" s="1" t="s">
        <v>45</v>
      </c>
      <c r="H816" s="1" t="s">
        <v>203</v>
      </c>
      <c r="I816" s="1">
        <v>0</v>
      </c>
      <c r="J816" s="2">
        <v>0</v>
      </c>
      <c r="K816" s="2">
        <v>0</v>
      </c>
      <c r="L816" s="2">
        <v>0</v>
      </c>
      <c r="M816" s="2">
        <v>0</v>
      </c>
      <c r="N816" s="1" t="str">
        <f>VLOOKUP(E816,'[1]ORG CODES'!$A:$C,3,FALSE)</f>
        <v>3355   CHORAL MUSIC</v>
      </c>
    </row>
    <row r="817" spans="1:14" ht="14.45" hidden="1" x14ac:dyDescent="0.3">
      <c r="A817" t="str">
        <f>VLOOKUP(E817,'[1]ORG CODES'!$A:$B,2,FALSE)</f>
        <v>Student Funded Programs</v>
      </c>
      <c r="B817" s="1" t="s">
        <v>2</v>
      </c>
      <c r="C817" s="1" t="s">
        <v>3</v>
      </c>
      <c r="D817" s="1" t="s">
        <v>4</v>
      </c>
      <c r="E817" s="1" t="s">
        <v>68</v>
      </c>
      <c r="F817" s="1" t="s">
        <v>45</v>
      </c>
      <c r="G817" s="1" t="s">
        <v>43</v>
      </c>
      <c r="H817" s="1" t="s">
        <v>203</v>
      </c>
      <c r="I817" s="1">
        <v>0</v>
      </c>
      <c r="J817" s="2">
        <v>1375</v>
      </c>
      <c r="K817" s="2">
        <v>0</v>
      </c>
      <c r="L817" s="2">
        <v>-1375</v>
      </c>
      <c r="M817" s="2">
        <v>0</v>
      </c>
      <c r="N817" s="1" t="str">
        <f>VLOOKUP(E817,'[1]ORG CODES'!$A:$C,3,FALSE)</f>
        <v>3355   CHORAL MUSIC</v>
      </c>
    </row>
    <row r="818" spans="1:14" ht="14.45" hidden="1" x14ac:dyDescent="0.3">
      <c r="A818" t="str">
        <f>VLOOKUP(E818,'[1]ORG CODES'!$A:$B,2,FALSE)</f>
        <v>Student Funded Programs</v>
      </c>
      <c r="B818" s="1" t="s">
        <v>2</v>
      </c>
      <c r="C818" s="1" t="s">
        <v>3</v>
      </c>
      <c r="D818" s="1" t="s">
        <v>4</v>
      </c>
      <c r="E818" s="1" t="s">
        <v>71</v>
      </c>
      <c r="F818" s="1" t="s">
        <v>45</v>
      </c>
      <c r="H818" s="1" t="s">
        <v>203</v>
      </c>
      <c r="I818" s="1">
        <v>0</v>
      </c>
      <c r="J818" s="2">
        <v>0</v>
      </c>
      <c r="K818" s="2">
        <v>0</v>
      </c>
      <c r="L818" s="2">
        <v>0</v>
      </c>
      <c r="M818" s="2">
        <v>0</v>
      </c>
      <c r="N818" s="1" t="str">
        <f>VLOOKUP(E818,'[1]ORG CODES'!$A:$C,3,FALSE)</f>
        <v>3356   STAGE BAND/COMBO</v>
      </c>
    </row>
    <row r="819" spans="1:14" ht="14.45" hidden="1" x14ac:dyDescent="0.3">
      <c r="A819" t="str">
        <f>VLOOKUP(E819,'[1]ORG CODES'!$A:$B,2,FALSE)</f>
        <v>Student Funded Programs</v>
      </c>
      <c r="B819" s="1" t="s">
        <v>2</v>
      </c>
      <c r="C819" s="1" t="s">
        <v>3</v>
      </c>
      <c r="D819" s="1" t="s">
        <v>4</v>
      </c>
      <c r="E819" s="1" t="s">
        <v>71</v>
      </c>
      <c r="F819" s="1" t="s">
        <v>45</v>
      </c>
      <c r="G819" s="1" t="s">
        <v>43</v>
      </c>
      <c r="H819" s="1" t="s">
        <v>203</v>
      </c>
      <c r="I819" s="1">
        <v>0</v>
      </c>
      <c r="J819" s="2">
        <v>4500</v>
      </c>
      <c r="K819" s="2">
        <v>0</v>
      </c>
      <c r="L819" s="2">
        <v>-4500</v>
      </c>
      <c r="M819" s="2">
        <v>0</v>
      </c>
      <c r="N819" s="1" t="str">
        <f>VLOOKUP(E819,'[1]ORG CODES'!$A:$C,3,FALSE)</f>
        <v>3356   STAGE BAND/COMBO</v>
      </c>
    </row>
    <row r="820" spans="1:14" ht="14.45" hidden="1" x14ac:dyDescent="0.3">
      <c r="A820" t="str">
        <f>VLOOKUP(E820,'[1]ORG CODES'!$A:$B,2,FALSE)</f>
        <v>Student Funded Programs</v>
      </c>
      <c r="B820" s="1" t="s">
        <v>2</v>
      </c>
      <c r="C820" s="1" t="s">
        <v>3</v>
      </c>
      <c r="D820" s="1" t="s">
        <v>4</v>
      </c>
      <c r="E820" s="1" t="s">
        <v>75</v>
      </c>
      <c r="F820" s="1" t="s">
        <v>45</v>
      </c>
      <c r="H820" s="1" t="s">
        <v>203</v>
      </c>
      <c r="I820" s="1">
        <v>0</v>
      </c>
      <c r="J820" s="2">
        <v>0</v>
      </c>
      <c r="K820" s="2">
        <v>0</v>
      </c>
      <c r="L820" s="2">
        <v>0</v>
      </c>
      <c r="M820" s="2">
        <v>0</v>
      </c>
      <c r="N820" s="1" t="str">
        <f>VLOOKUP(E820,'[1]ORG CODES'!$A:$C,3,FALSE)</f>
        <v>3363   ART GALLERY &amp; EXHIB</v>
      </c>
    </row>
    <row r="821" spans="1:14" ht="14.45" hidden="1" x14ac:dyDescent="0.3">
      <c r="A821" t="str">
        <f>VLOOKUP(E821,'[1]ORG CODES'!$A:$B,2,FALSE)</f>
        <v>Student Funded Programs</v>
      </c>
      <c r="B821" s="1" t="s">
        <v>2</v>
      </c>
      <c r="C821" s="1" t="s">
        <v>3</v>
      </c>
      <c r="D821" s="1" t="s">
        <v>4</v>
      </c>
      <c r="E821" s="1" t="s">
        <v>75</v>
      </c>
      <c r="F821" s="1" t="s">
        <v>45</v>
      </c>
      <c r="G821" s="1" t="s">
        <v>43</v>
      </c>
      <c r="H821" s="1" t="s">
        <v>203</v>
      </c>
      <c r="I821" s="1">
        <v>0</v>
      </c>
      <c r="J821" s="2">
        <v>2296.5300000000002</v>
      </c>
      <c r="K821" s="2">
        <v>0</v>
      </c>
      <c r="L821" s="2">
        <v>-2296.5300000000002</v>
      </c>
      <c r="M821" s="2">
        <v>0</v>
      </c>
      <c r="N821" s="1" t="str">
        <f>VLOOKUP(E821,'[1]ORG CODES'!$A:$C,3,FALSE)</f>
        <v>3363   ART GALLERY &amp; EXHIB</v>
      </c>
    </row>
    <row r="822" spans="1:14" ht="14.45" hidden="1" x14ac:dyDescent="0.3">
      <c r="A822" t="str">
        <f>VLOOKUP(E822,'[1]ORG CODES'!$A:$B,2,FALSE)</f>
        <v>Student Funded Programs</v>
      </c>
      <c r="B822" s="1" t="s">
        <v>2</v>
      </c>
      <c r="C822" s="1" t="s">
        <v>3</v>
      </c>
      <c r="D822" s="1" t="s">
        <v>4</v>
      </c>
      <c r="E822" s="1" t="s">
        <v>78</v>
      </c>
      <c r="F822" s="1" t="s">
        <v>45</v>
      </c>
      <c r="H822" s="1" t="s">
        <v>203</v>
      </c>
      <c r="I822" s="1">
        <v>0</v>
      </c>
      <c r="J822" s="2">
        <v>0</v>
      </c>
      <c r="K822" s="2">
        <v>0</v>
      </c>
      <c r="L822" s="2">
        <v>0</v>
      </c>
      <c r="M822" s="2">
        <v>0</v>
      </c>
      <c r="N822" s="1" t="str">
        <f>VLOOKUP(E822,'[1]ORG CODES'!$A:$C,3,FALSE)</f>
        <v>3368   LITERARY MAGAZINE</v>
      </c>
    </row>
    <row r="823" spans="1:14" ht="14.45" hidden="1" x14ac:dyDescent="0.3">
      <c r="A823" t="str">
        <f>VLOOKUP(E823,'[1]ORG CODES'!$A:$B,2,FALSE)</f>
        <v>Student Funded Programs</v>
      </c>
      <c r="B823" s="1" t="s">
        <v>2</v>
      </c>
      <c r="C823" s="1" t="s">
        <v>3</v>
      </c>
      <c r="D823" s="1" t="s">
        <v>4</v>
      </c>
      <c r="E823" s="1" t="s">
        <v>80</v>
      </c>
      <c r="F823" s="1" t="s">
        <v>45</v>
      </c>
      <c r="H823" s="1" t="s">
        <v>203</v>
      </c>
      <c r="I823" s="1">
        <v>0</v>
      </c>
      <c r="J823" s="2">
        <v>0</v>
      </c>
      <c r="K823" s="2">
        <v>0</v>
      </c>
      <c r="L823" s="2">
        <v>0</v>
      </c>
      <c r="M823" s="2">
        <v>0</v>
      </c>
      <c r="N823" s="1" t="str">
        <f>VLOOKUP(E823,'[1]ORG CODES'!$A:$C,3,FALSE)</f>
        <v>3370   BETA GAMMA KAPPA</v>
      </c>
    </row>
    <row r="824" spans="1:14" ht="14.45" hidden="1" x14ac:dyDescent="0.3">
      <c r="A824" t="str">
        <f>VLOOKUP(E824,'[1]ORG CODES'!$A:$B,2,FALSE)</f>
        <v>Student Funded Programs</v>
      </c>
      <c r="B824" s="1" t="s">
        <v>2</v>
      </c>
      <c r="C824" s="1" t="s">
        <v>3</v>
      </c>
      <c r="D824" s="1" t="s">
        <v>4</v>
      </c>
      <c r="E824" s="1" t="s">
        <v>80</v>
      </c>
      <c r="F824" s="1" t="s">
        <v>45</v>
      </c>
      <c r="G824" s="1" t="s">
        <v>43</v>
      </c>
      <c r="H824" s="1" t="s">
        <v>203</v>
      </c>
      <c r="I824" s="1">
        <v>0</v>
      </c>
      <c r="J824" s="2">
        <v>827.5</v>
      </c>
      <c r="K824" s="2">
        <v>0</v>
      </c>
      <c r="L824" s="2">
        <v>-827.5</v>
      </c>
      <c r="M824" s="2">
        <v>0</v>
      </c>
      <c r="N824" s="1" t="str">
        <f>VLOOKUP(E824,'[1]ORG CODES'!$A:$C,3,FALSE)</f>
        <v>3370   BETA GAMMA KAPPA</v>
      </c>
    </row>
    <row r="825" spans="1:14" ht="14.45" hidden="1" x14ac:dyDescent="0.3">
      <c r="A825" t="str">
        <f>VLOOKUP(E825,'[1]ORG CODES'!$A:$B,2,FALSE)</f>
        <v>Student Funded Programs</v>
      </c>
      <c r="B825" s="1" t="s">
        <v>2</v>
      </c>
      <c r="C825" s="1" t="s">
        <v>3</v>
      </c>
      <c r="D825" s="1" t="s">
        <v>4</v>
      </c>
      <c r="E825" s="1" t="s">
        <v>103</v>
      </c>
      <c r="F825" s="1" t="s">
        <v>45</v>
      </c>
      <c r="H825" s="1" t="s">
        <v>203</v>
      </c>
      <c r="I825" s="1">
        <v>0</v>
      </c>
      <c r="J825" s="2">
        <v>0</v>
      </c>
      <c r="K825" s="2">
        <v>0</v>
      </c>
      <c r="L825" s="2">
        <v>0</v>
      </c>
      <c r="M825" s="2">
        <v>0</v>
      </c>
      <c r="N825" s="1" t="str">
        <f>VLOOKUP(E825,'[1]ORG CODES'!$A:$C,3,FALSE)</f>
        <v>3410   ASA GENERAL FUND</v>
      </c>
    </row>
    <row r="826" spans="1:14" ht="14.45" hidden="1" x14ac:dyDescent="0.3">
      <c r="A826" t="str">
        <f>VLOOKUP(E826,'[1]ORG CODES'!$A:$B,2,FALSE)</f>
        <v>Student Funded Programs</v>
      </c>
      <c r="B826" s="1" t="s">
        <v>2</v>
      </c>
      <c r="C826" s="1" t="s">
        <v>3</v>
      </c>
      <c r="D826" s="1" t="s">
        <v>4</v>
      </c>
      <c r="E826" s="1" t="s">
        <v>106</v>
      </c>
      <c r="F826" s="1" t="s">
        <v>45</v>
      </c>
      <c r="H826" s="1" t="s">
        <v>203</v>
      </c>
      <c r="I826" s="1">
        <v>0</v>
      </c>
      <c r="J826" s="2">
        <v>0</v>
      </c>
      <c r="K826" s="2">
        <v>0</v>
      </c>
      <c r="L826" s="2">
        <v>0</v>
      </c>
      <c r="M826" s="2">
        <v>0</v>
      </c>
      <c r="N826" s="1" t="str">
        <f>VLOOKUP(E826,'[1]ORG CODES'!$A:$C,3,FALSE)</f>
        <v>3411   ADVERTISING/PRINTING</v>
      </c>
    </row>
    <row r="827" spans="1:14" ht="14.45" hidden="1" x14ac:dyDescent="0.3">
      <c r="A827" t="str">
        <f>VLOOKUP(E827,'[1]ORG CODES'!$A:$B,2,FALSE)</f>
        <v>Student Funded Programs</v>
      </c>
      <c r="B827" s="1" t="s">
        <v>2</v>
      </c>
      <c r="C827" s="1" t="s">
        <v>3</v>
      </c>
      <c r="D827" s="1" t="s">
        <v>4</v>
      </c>
      <c r="E827" s="1" t="s">
        <v>108</v>
      </c>
      <c r="F827" s="1" t="s">
        <v>45</v>
      </c>
      <c r="H827" s="1" t="s">
        <v>203</v>
      </c>
      <c r="I827" s="1">
        <v>0</v>
      </c>
      <c r="J827" s="2">
        <v>0</v>
      </c>
      <c r="K827" s="2">
        <v>0</v>
      </c>
      <c r="L827" s="2">
        <v>0</v>
      </c>
      <c r="M827" s="2">
        <v>0</v>
      </c>
      <c r="N827" s="1" t="str">
        <f>VLOOKUP(E827,'[1]ORG CODES'!$A:$C,3,FALSE)</f>
        <v>3413   LEGISLATIVE LIAISON</v>
      </c>
    </row>
    <row r="828" spans="1:14" ht="14.45" hidden="1" x14ac:dyDescent="0.3">
      <c r="A828" t="str">
        <f>VLOOKUP(E828,'[1]ORG CODES'!$A:$B,2,FALSE)</f>
        <v>Student Funded Programs</v>
      </c>
      <c r="B828" s="1" t="s">
        <v>2</v>
      </c>
      <c r="C828" s="1" t="s">
        <v>3</v>
      </c>
      <c r="D828" s="1" t="s">
        <v>4</v>
      </c>
      <c r="E828" s="1" t="s">
        <v>108</v>
      </c>
      <c r="F828" s="1" t="s">
        <v>45</v>
      </c>
      <c r="G828" s="1" t="s">
        <v>43</v>
      </c>
      <c r="H828" s="1" t="s">
        <v>203</v>
      </c>
      <c r="I828" s="1">
        <v>0</v>
      </c>
      <c r="J828" s="2">
        <v>50</v>
      </c>
      <c r="K828" s="2">
        <v>0</v>
      </c>
      <c r="L828" s="2">
        <v>-50</v>
      </c>
      <c r="M828" s="2">
        <v>0</v>
      </c>
      <c r="N828" s="1" t="str">
        <f>VLOOKUP(E828,'[1]ORG CODES'!$A:$C,3,FALSE)</f>
        <v>3413   LEGISLATIVE LIAISON</v>
      </c>
    </row>
    <row r="829" spans="1:14" ht="14.45" hidden="1" x14ac:dyDescent="0.3">
      <c r="A829" t="str">
        <f>VLOOKUP(E829,'[1]ORG CODES'!$A:$B,2,FALSE)</f>
        <v>Student Funded Programs</v>
      </c>
      <c r="B829" s="1" t="s">
        <v>2</v>
      </c>
      <c r="C829" s="1" t="s">
        <v>3</v>
      </c>
      <c r="D829" s="1" t="s">
        <v>4</v>
      </c>
      <c r="E829" s="1" t="s">
        <v>109</v>
      </c>
      <c r="F829" s="1" t="s">
        <v>45</v>
      </c>
      <c r="H829" s="1" t="s">
        <v>203</v>
      </c>
      <c r="I829" s="1">
        <v>0</v>
      </c>
      <c r="J829" s="2">
        <v>0</v>
      </c>
      <c r="K829" s="2">
        <v>0</v>
      </c>
      <c r="L829" s="2">
        <v>0</v>
      </c>
      <c r="M829" s="2">
        <v>0</v>
      </c>
      <c r="N829" s="1" t="str">
        <f>VLOOKUP(E829,'[1]ORG CODES'!$A:$C,3,FALSE)</f>
        <v>3414   CULTURAL SERIES</v>
      </c>
    </row>
    <row r="830" spans="1:14" ht="14.45" hidden="1" x14ac:dyDescent="0.3">
      <c r="A830" t="str">
        <f>VLOOKUP(E830,'[1]ORG CODES'!$A:$B,2,FALSE)</f>
        <v>Student Funded Programs</v>
      </c>
      <c r="B830" s="1" t="s">
        <v>2</v>
      </c>
      <c r="C830" s="1" t="s">
        <v>3</v>
      </c>
      <c r="D830" s="1" t="s">
        <v>4</v>
      </c>
      <c r="E830" s="1" t="s">
        <v>109</v>
      </c>
      <c r="F830" s="1" t="s">
        <v>45</v>
      </c>
      <c r="G830" s="1" t="s">
        <v>43</v>
      </c>
      <c r="H830" s="1" t="s">
        <v>203</v>
      </c>
      <c r="I830" s="1">
        <v>0</v>
      </c>
      <c r="J830" s="2">
        <v>7200</v>
      </c>
      <c r="K830" s="2">
        <v>0</v>
      </c>
      <c r="L830" s="2">
        <v>-7200</v>
      </c>
      <c r="M830" s="2">
        <v>0</v>
      </c>
      <c r="N830" s="1" t="str">
        <f>VLOOKUP(E830,'[1]ORG CODES'!$A:$C,3,FALSE)</f>
        <v>3414   CULTURAL SERIES</v>
      </c>
    </row>
    <row r="831" spans="1:14" ht="14.45" hidden="1" x14ac:dyDescent="0.3">
      <c r="A831" t="str">
        <f>VLOOKUP(E831,'[1]ORG CODES'!$A:$B,2,FALSE)</f>
        <v>Student Funded Programs</v>
      </c>
      <c r="B831" s="1" t="s">
        <v>2</v>
      </c>
      <c r="C831" s="1" t="s">
        <v>3</v>
      </c>
      <c r="D831" s="1" t="s">
        <v>4</v>
      </c>
      <c r="E831" s="1" t="s">
        <v>117</v>
      </c>
      <c r="F831" s="1" t="s">
        <v>45</v>
      </c>
      <c r="H831" s="1" t="s">
        <v>203</v>
      </c>
      <c r="I831" s="1">
        <v>0</v>
      </c>
      <c r="J831" s="2">
        <v>0</v>
      </c>
      <c r="K831" s="2">
        <v>0</v>
      </c>
      <c r="L831" s="2">
        <v>0</v>
      </c>
      <c r="M831" s="2">
        <v>0</v>
      </c>
      <c r="N831" s="1" t="str">
        <f>VLOOKUP(E831,'[1]ORG CODES'!$A:$C,3,FALSE)</f>
        <v>3420   SPECIAL EVENTS</v>
      </c>
    </row>
    <row r="832" spans="1:14" ht="14.45" hidden="1" x14ac:dyDescent="0.3">
      <c r="A832" t="str">
        <f>VLOOKUP(E832,'[1]ORG CODES'!$A:$B,2,FALSE)</f>
        <v>Student Funded Programs</v>
      </c>
      <c r="B832" s="1" t="s">
        <v>2</v>
      </c>
      <c r="C832" s="1" t="s">
        <v>3</v>
      </c>
      <c r="D832" s="1" t="s">
        <v>4</v>
      </c>
      <c r="E832" s="1" t="s">
        <v>117</v>
      </c>
      <c r="F832" s="1" t="s">
        <v>45</v>
      </c>
      <c r="G832" s="1" t="s">
        <v>43</v>
      </c>
      <c r="H832" s="1" t="s">
        <v>203</v>
      </c>
      <c r="I832" s="1">
        <v>0</v>
      </c>
      <c r="J832" s="2">
        <v>1087</v>
      </c>
      <c r="K832" s="2">
        <v>0</v>
      </c>
      <c r="L832" s="2">
        <v>-1087</v>
      </c>
      <c r="M832" s="2">
        <v>0</v>
      </c>
      <c r="N832" s="1" t="str">
        <f>VLOOKUP(E832,'[1]ORG CODES'!$A:$C,3,FALSE)</f>
        <v>3420   SPECIAL EVENTS</v>
      </c>
    </row>
    <row r="833" spans="1:14" ht="14.45" hidden="1" x14ac:dyDescent="0.3">
      <c r="A833" t="str">
        <f>VLOOKUP(E833,'[1]ORG CODES'!$A:$B,2,FALSE)</f>
        <v>Student Funded Programs</v>
      </c>
      <c r="B833" s="1" t="s">
        <v>2</v>
      </c>
      <c r="C833" s="1" t="s">
        <v>3</v>
      </c>
      <c r="D833" s="1" t="s">
        <v>4</v>
      </c>
      <c r="E833" s="1" t="s">
        <v>118</v>
      </c>
      <c r="F833" s="1" t="s">
        <v>45</v>
      </c>
      <c r="H833" s="1" t="s">
        <v>203</v>
      </c>
      <c r="I833" s="1">
        <v>0</v>
      </c>
      <c r="J833" s="2">
        <v>0</v>
      </c>
      <c r="K833" s="2">
        <v>0</v>
      </c>
      <c r="L833" s="2">
        <v>0</v>
      </c>
      <c r="M833" s="2">
        <v>0</v>
      </c>
      <c r="N833" s="1" t="str">
        <f>VLOOKUP(E833,'[1]ORG CODES'!$A:$C,3,FALSE)</f>
        <v>3421   CONCERTS/COMEDY</v>
      </c>
    </row>
    <row r="834" spans="1:14" ht="14.45" hidden="1" x14ac:dyDescent="0.3">
      <c r="A834" t="str">
        <f>VLOOKUP(E834,'[1]ORG CODES'!$A:$B,2,FALSE)</f>
        <v>Student Funded Programs</v>
      </c>
      <c r="B834" s="1" t="s">
        <v>2</v>
      </c>
      <c r="C834" s="1" t="s">
        <v>3</v>
      </c>
      <c r="D834" s="1" t="s">
        <v>4</v>
      </c>
      <c r="E834" s="1" t="s">
        <v>118</v>
      </c>
      <c r="F834" s="1" t="s">
        <v>45</v>
      </c>
      <c r="G834" s="1" t="s">
        <v>43</v>
      </c>
      <c r="H834" s="1" t="s">
        <v>203</v>
      </c>
      <c r="I834" s="1">
        <v>0</v>
      </c>
      <c r="J834" s="2">
        <v>9100</v>
      </c>
      <c r="K834" s="2">
        <v>0</v>
      </c>
      <c r="L834" s="2">
        <v>-9100</v>
      </c>
      <c r="M834" s="2">
        <v>0</v>
      </c>
      <c r="N834" s="1" t="str">
        <f>VLOOKUP(E834,'[1]ORG CODES'!$A:$C,3,FALSE)</f>
        <v>3421   CONCERTS/COMEDY</v>
      </c>
    </row>
    <row r="835" spans="1:14" ht="14.45" hidden="1" x14ac:dyDescent="0.3">
      <c r="A835" t="str">
        <f>VLOOKUP(E835,'[1]ORG CODES'!$A:$B,2,FALSE)</f>
        <v>Student Funded Programs</v>
      </c>
      <c r="B835" s="1" t="s">
        <v>2</v>
      </c>
      <c r="C835" s="1" t="s">
        <v>3</v>
      </c>
      <c r="D835" s="1" t="s">
        <v>4</v>
      </c>
      <c r="E835" s="1" t="s">
        <v>120</v>
      </c>
      <c r="F835" s="1" t="s">
        <v>45</v>
      </c>
      <c r="H835" s="1" t="s">
        <v>203</v>
      </c>
      <c r="I835" s="1">
        <v>0</v>
      </c>
      <c r="J835" s="2">
        <v>0</v>
      </c>
      <c r="K835" s="2">
        <v>0</v>
      </c>
      <c r="L835" s="2">
        <v>0</v>
      </c>
      <c r="M835" s="2">
        <v>0</v>
      </c>
      <c r="N835" s="1" t="str">
        <f>VLOOKUP(E835,'[1]ORG CODES'!$A:$C,3,FALSE)</f>
        <v>3423   COLLEGE-WIDE THEME</v>
      </c>
    </row>
    <row r="836" spans="1:14" ht="14.45" hidden="1" x14ac:dyDescent="0.3">
      <c r="A836" t="str">
        <f>VLOOKUP(E836,'[1]ORG CODES'!$A:$B,2,FALSE)</f>
        <v>Student Funded Programs</v>
      </c>
      <c r="B836" s="1" t="s">
        <v>2</v>
      </c>
      <c r="C836" s="1" t="s">
        <v>3</v>
      </c>
      <c r="D836" s="1" t="s">
        <v>4</v>
      </c>
      <c r="E836" s="1" t="s">
        <v>120</v>
      </c>
      <c r="F836" s="1" t="s">
        <v>45</v>
      </c>
      <c r="G836" s="1" t="s">
        <v>43</v>
      </c>
      <c r="H836" s="1" t="s">
        <v>203</v>
      </c>
      <c r="I836" s="1">
        <v>0</v>
      </c>
      <c r="J836" s="2">
        <v>7500</v>
      </c>
      <c r="K836" s="2">
        <v>0</v>
      </c>
      <c r="L836" s="2">
        <v>-7500</v>
      </c>
      <c r="M836" s="2">
        <v>0</v>
      </c>
      <c r="N836" s="1" t="str">
        <f>VLOOKUP(E836,'[1]ORG CODES'!$A:$C,3,FALSE)</f>
        <v>3423   COLLEGE-WIDE THEME</v>
      </c>
    </row>
    <row r="837" spans="1:14" ht="14.45" hidden="1" x14ac:dyDescent="0.3">
      <c r="A837" t="str">
        <f>VLOOKUP(E837,'[1]ORG CODES'!$A:$B,2,FALSE)</f>
        <v>Student Funded Programs</v>
      </c>
      <c r="B837" s="1" t="s">
        <v>2</v>
      </c>
      <c r="C837" s="1" t="s">
        <v>3</v>
      </c>
      <c r="D837" s="1" t="s">
        <v>4</v>
      </c>
      <c r="E837" s="1" t="s">
        <v>121</v>
      </c>
      <c r="F837" s="1" t="s">
        <v>45</v>
      </c>
      <c r="H837" s="1" t="s">
        <v>203</v>
      </c>
      <c r="I837" s="1">
        <v>0</v>
      </c>
      <c r="J837" s="2">
        <v>0</v>
      </c>
      <c r="K837" s="2">
        <v>0</v>
      </c>
      <c r="L837" s="2">
        <v>0</v>
      </c>
      <c r="M837" s="2">
        <v>0</v>
      </c>
      <c r="N837" s="1" t="str">
        <f>VLOOKUP(E837,'[1]ORG CODES'!$A:$C,3,FALSE)</f>
        <v>3424   SPEAKERS/SEMINARS</v>
      </c>
    </row>
    <row r="838" spans="1:14" ht="14.45" hidden="1" x14ac:dyDescent="0.3">
      <c r="A838" t="str">
        <f>VLOOKUP(E838,'[1]ORG CODES'!$A:$B,2,FALSE)</f>
        <v>Student Funded Programs</v>
      </c>
      <c r="B838" s="1" t="s">
        <v>2</v>
      </c>
      <c r="C838" s="1" t="s">
        <v>3</v>
      </c>
      <c r="D838" s="1" t="s">
        <v>4</v>
      </c>
      <c r="E838" s="1" t="s">
        <v>121</v>
      </c>
      <c r="F838" s="1" t="s">
        <v>45</v>
      </c>
      <c r="G838" s="1" t="s">
        <v>43</v>
      </c>
      <c r="H838" s="1" t="s">
        <v>203</v>
      </c>
      <c r="I838" s="1">
        <v>0</v>
      </c>
      <c r="J838" s="2">
        <v>5300</v>
      </c>
      <c r="K838" s="2">
        <v>0</v>
      </c>
      <c r="L838" s="2">
        <v>-5300</v>
      </c>
      <c r="M838" s="2">
        <v>0</v>
      </c>
      <c r="N838" s="1" t="str">
        <f>VLOOKUP(E838,'[1]ORG CODES'!$A:$C,3,FALSE)</f>
        <v>3424   SPEAKERS/SEMINARS</v>
      </c>
    </row>
    <row r="839" spans="1:14" ht="14.45" hidden="1" x14ac:dyDescent="0.3">
      <c r="A839" t="str">
        <f>VLOOKUP(E839,'[1]ORG CODES'!$A:$B,2,FALSE)</f>
        <v>Student Funded Programs</v>
      </c>
      <c r="B839" s="1" t="s">
        <v>2</v>
      </c>
      <c r="C839" s="1" t="s">
        <v>3</v>
      </c>
      <c r="D839" s="1" t="s">
        <v>4</v>
      </c>
      <c r="E839" s="1" t="s">
        <v>122</v>
      </c>
      <c r="F839" s="1" t="s">
        <v>45</v>
      </c>
      <c r="H839" s="1" t="s">
        <v>203</v>
      </c>
      <c r="I839" s="1">
        <v>0</v>
      </c>
      <c r="J839" s="2">
        <v>0</v>
      </c>
      <c r="K839" s="2">
        <v>0</v>
      </c>
      <c r="L839" s="2">
        <v>0</v>
      </c>
      <c r="M839" s="2">
        <v>0</v>
      </c>
      <c r="N839" s="1" t="str">
        <f>VLOOKUP(E839,'[1]ORG CODES'!$A:$C,3,FALSE)</f>
        <v>3425   OUTREACH EDUCATION</v>
      </c>
    </row>
    <row r="840" spans="1:14" ht="14.45" hidden="1" x14ac:dyDescent="0.3">
      <c r="A840" t="str">
        <f>VLOOKUP(E840,'[1]ORG CODES'!$A:$B,2,FALSE)</f>
        <v>Student Funded Programs</v>
      </c>
      <c r="B840" s="1" t="s">
        <v>2</v>
      </c>
      <c r="C840" s="1" t="s">
        <v>3</v>
      </c>
      <c r="D840" s="1" t="s">
        <v>4</v>
      </c>
      <c r="E840" s="1" t="s">
        <v>132</v>
      </c>
      <c r="F840" s="1" t="s">
        <v>45</v>
      </c>
      <c r="H840" s="1" t="s">
        <v>203</v>
      </c>
      <c r="I840" s="1">
        <v>0</v>
      </c>
      <c r="J840" s="2">
        <v>0</v>
      </c>
      <c r="K840" s="2">
        <v>0</v>
      </c>
      <c r="L840" s="2">
        <v>0</v>
      </c>
      <c r="M840" s="2">
        <v>0</v>
      </c>
      <c r="N840" s="1" t="str">
        <f>VLOOKUP(E840,'[1]ORG CODES'!$A:$C,3,FALSE)</f>
        <v>3435   BLACK STUDENT UNION</v>
      </c>
    </row>
    <row r="841" spans="1:14" ht="14.45" hidden="1" x14ac:dyDescent="0.3">
      <c r="A841" t="str">
        <f>VLOOKUP(E841,'[1]ORG CODES'!$A:$B,2,FALSE)</f>
        <v>Student Funded Programs</v>
      </c>
      <c r="B841" s="1" t="s">
        <v>2</v>
      </c>
      <c r="C841" s="1" t="s">
        <v>3</v>
      </c>
      <c r="D841" s="1" t="s">
        <v>4</v>
      </c>
      <c r="E841" s="1" t="s">
        <v>134</v>
      </c>
      <c r="F841" s="1" t="s">
        <v>45</v>
      </c>
      <c r="H841" s="1" t="s">
        <v>203</v>
      </c>
      <c r="I841" s="1">
        <v>0</v>
      </c>
      <c r="J841" s="2">
        <v>0</v>
      </c>
      <c r="K841" s="2">
        <v>0</v>
      </c>
      <c r="L841" s="2">
        <v>0</v>
      </c>
      <c r="M841" s="2">
        <v>0</v>
      </c>
      <c r="N841" s="1" t="str">
        <f>VLOOKUP(E841,'[1]ORG CODES'!$A:$C,3,FALSE)</f>
        <v>3436   ART CLUB</v>
      </c>
    </row>
    <row r="842" spans="1:14" ht="14.45" hidden="1" x14ac:dyDescent="0.3">
      <c r="A842" t="str">
        <f>VLOOKUP(E842,'[1]ORG CODES'!$A:$B,2,FALSE)</f>
        <v>Student Funded Programs</v>
      </c>
      <c r="B842" s="1" t="s">
        <v>2</v>
      </c>
      <c r="C842" s="1" t="s">
        <v>3</v>
      </c>
      <c r="D842" s="1" t="s">
        <v>4</v>
      </c>
      <c r="E842" s="1" t="s">
        <v>137</v>
      </c>
      <c r="F842" s="1" t="s">
        <v>45</v>
      </c>
      <c r="H842" s="1" t="s">
        <v>203</v>
      </c>
      <c r="I842" s="1">
        <v>0</v>
      </c>
      <c r="J842" s="2">
        <v>0</v>
      </c>
      <c r="K842" s="2">
        <v>0</v>
      </c>
      <c r="L842" s="2">
        <v>0</v>
      </c>
      <c r="M842" s="2">
        <v>0</v>
      </c>
      <c r="N842" s="1" t="str">
        <f>VLOOKUP(E842,'[1]ORG CODES'!$A:$C,3,FALSE)</f>
        <v>3438   VIDEO PRODUCTION</v>
      </c>
    </row>
    <row r="843" spans="1:14" ht="14.45" hidden="1" x14ac:dyDescent="0.3">
      <c r="A843" t="str">
        <f>VLOOKUP(E843,'[1]ORG CODES'!$A:$B,2,FALSE)</f>
        <v>Student Funded Programs</v>
      </c>
      <c r="B843" s="1" t="s">
        <v>2</v>
      </c>
      <c r="C843" s="1" t="s">
        <v>3</v>
      </c>
      <c r="D843" s="1" t="s">
        <v>4</v>
      </c>
      <c r="E843" s="1" t="s">
        <v>140</v>
      </c>
      <c r="F843" s="1" t="s">
        <v>45</v>
      </c>
      <c r="H843" s="1" t="s">
        <v>203</v>
      </c>
      <c r="I843" s="1">
        <v>0</v>
      </c>
      <c r="J843" s="2">
        <v>0</v>
      </c>
      <c r="K843" s="2">
        <v>0</v>
      </c>
      <c r="L843" s="2">
        <v>0</v>
      </c>
      <c r="M843" s="2">
        <v>0</v>
      </c>
      <c r="N843" s="1" t="str">
        <f>VLOOKUP(E843,'[1]ORG CODES'!$A:$C,3,FALSE)</f>
        <v>3441  JAPANESE CLUB</v>
      </c>
    </row>
    <row r="844" spans="1:14" ht="14.45" hidden="1" x14ac:dyDescent="0.3">
      <c r="A844" t="str">
        <f>VLOOKUP(E844,'[1]ORG CODES'!$A:$B,2,FALSE)</f>
        <v>Student Funded Programs</v>
      </c>
      <c r="B844" s="1" t="s">
        <v>2</v>
      </c>
      <c r="C844" s="1" t="s">
        <v>3</v>
      </c>
      <c r="D844" s="1" t="s">
        <v>4</v>
      </c>
      <c r="E844" s="1" t="s">
        <v>142</v>
      </c>
      <c r="F844" s="1" t="s">
        <v>45</v>
      </c>
      <c r="H844" s="1" t="s">
        <v>203</v>
      </c>
      <c r="I844" s="1">
        <v>0</v>
      </c>
      <c r="J844" s="2">
        <v>0</v>
      </c>
      <c r="K844" s="2">
        <v>0</v>
      </c>
      <c r="L844" s="2">
        <v>0</v>
      </c>
      <c r="M844" s="2">
        <v>0</v>
      </c>
      <c r="N844" s="1" t="str">
        <f>VLOOKUP(E844,'[1]ORG CODES'!$A:$C,3,FALSE)</f>
        <v>3442   ASSOC WOMEN STUDENTS</v>
      </c>
    </row>
    <row r="845" spans="1:14" ht="14.45" hidden="1" x14ac:dyDescent="0.3">
      <c r="A845" t="str">
        <f>VLOOKUP(E845,'[1]ORG CODES'!$A:$B,2,FALSE)</f>
        <v>Student Funded Programs</v>
      </c>
      <c r="B845" s="1" t="s">
        <v>2</v>
      </c>
      <c r="C845" s="1" t="s">
        <v>3</v>
      </c>
      <c r="D845" s="1" t="s">
        <v>4</v>
      </c>
      <c r="E845" s="1" t="s">
        <v>142</v>
      </c>
      <c r="F845" s="1" t="s">
        <v>45</v>
      </c>
      <c r="G845" s="1" t="s">
        <v>43</v>
      </c>
      <c r="H845" s="1" t="s">
        <v>203</v>
      </c>
      <c r="I845" s="1">
        <v>0</v>
      </c>
      <c r="J845" s="2">
        <v>427.5</v>
      </c>
      <c r="K845" s="2">
        <v>0</v>
      </c>
      <c r="L845" s="2">
        <v>-427.5</v>
      </c>
      <c r="M845" s="2">
        <v>0</v>
      </c>
      <c r="N845" s="1" t="str">
        <f>VLOOKUP(E845,'[1]ORG CODES'!$A:$C,3,FALSE)</f>
        <v>3442   ASSOC WOMEN STUDENTS</v>
      </c>
    </row>
    <row r="846" spans="1:14" ht="14.45" hidden="1" x14ac:dyDescent="0.3">
      <c r="A846" t="str">
        <f>VLOOKUP(E846,'[1]ORG CODES'!$A:$B,2,FALSE)</f>
        <v>Student Funded Programs</v>
      </c>
      <c r="B846" s="1" t="s">
        <v>2</v>
      </c>
      <c r="C846" s="1" t="s">
        <v>3</v>
      </c>
      <c r="D846" s="1" t="s">
        <v>4</v>
      </c>
      <c r="E846" s="1" t="s">
        <v>146</v>
      </c>
      <c r="F846" s="1" t="s">
        <v>45</v>
      </c>
      <c r="H846" s="1" t="s">
        <v>203</v>
      </c>
      <c r="I846" s="1">
        <v>0</v>
      </c>
      <c r="J846" s="2">
        <v>0</v>
      </c>
      <c r="K846" s="2">
        <v>0</v>
      </c>
      <c r="L846" s="2">
        <v>0</v>
      </c>
      <c r="M846" s="2">
        <v>0</v>
      </c>
      <c r="N846" s="1" t="str">
        <f>VLOOKUP(E846,'[1]ORG CODES'!$A:$C,3,FALSE)</f>
        <v>3445   ASIAN AMERICAN CLUB</v>
      </c>
    </row>
    <row r="847" spans="1:14" ht="14.45" hidden="1" x14ac:dyDescent="0.3">
      <c r="A847" t="str">
        <f>VLOOKUP(E847,'[1]ORG CODES'!$A:$B,2,FALSE)</f>
        <v>Student Funded Programs</v>
      </c>
      <c r="B847" s="1" t="s">
        <v>2</v>
      </c>
      <c r="C847" s="1" t="s">
        <v>3</v>
      </c>
      <c r="D847" s="1" t="s">
        <v>4</v>
      </c>
      <c r="E847" s="1" t="s">
        <v>146</v>
      </c>
      <c r="F847" s="1" t="s">
        <v>45</v>
      </c>
      <c r="G847" s="1" t="s">
        <v>43</v>
      </c>
      <c r="H847" s="1" t="s">
        <v>203</v>
      </c>
      <c r="I847" s="1">
        <v>0</v>
      </c>
      <c r="J847" s="2">
        <v>100</v>
      </c>
      <c r="K847" s="2">
        <v>0</v>
      </c>
      <c r="L847" s="2">
        <v>-100</v>
      </c>
      <c r="M847" s="2">
        <v>0</v>
      </c>
      <c r="N847" s="1" t="str">
        <f>VLOOKUP(E847,'[1]ORG CODES'!$A:$C,3,FALSE)</f>
        <v>3445   ASIAN AMERICAN CLUB</v>
      </c>
    </row>
    <row r="848" spans="1:14" ht="14.45" hidden="1" x14ac:dyDescent="0.3">
      <c r="A848" t="str">
        <f>VLOOKUP(E848,'[1]ORG CODES'!$A:$B,2,FALSE)</f>
        <v>Student Funded Programs</v>
      </c>
      <c r="B848" s="1" t="s">
        <v>2</v>
      </c>
      <c r="C848" s="1" t="s">
        <v>3</v>
      </c>
      <c r="D848" s="1" t="s">
        <v>4</v>
      </c>
      <c r="E848" s="1" t="s">
        <v>149</v>
      </c>
      <c r="F848" s="1" t="s">
        <v>45</v>
      </c>
      <c r="H848" s="1" t="s">
        <v>203</v>
      </c>
      <c r="I848" s="1">
        <v>0</v>
      </c>
      <c r="J848" s="2">
        <v>0</v>
      </c>
      <c r="K848" s="2">
        <v>0</v>
      </c>
      <c r="L848" s="2">
        <v>0</v>
      </c>
      <c r="M848" s="2">
        <v>0</v>
      </c>
      <c r="N848" s="1" t="str">
        <f>VLOOKUP(E848,'[1]ORG CODES'!$A:$C,3,FALSE)</f>
        <v>3446   SVC LRN</v>
      </c>
    </row>
    <row r="849" spans="1:14" ht="14.45" hidden="1" x14ac:dyDescent="0.3">
      <c r="A849" t="str">
        <f>VLOOKUP(E849,'[1]ORG CODES'!$A:$B,2,FALSE)</f>
        <v>Student Funded Programs</v>
      </c>
      <c r="B849" s="1" t="s">
        <v>2</v>
      </c>
      <c r="C849" s="1" t="s">
        <v>3</v>
      </c>
      <c r="D849" s="1" t="s">
        <v>4</v>
      </c>
      <c r="E849" s="1" t="s">
        <v>156</v>
      </c>
      <c r="F849" s="1" t="s">
        <v>45</v>
      </c>
      <c r="H849" s="1" t="s">
        <v>203</v>
      </c>
      <c r="I849" s="1">
        <v>0</v>
      </c>
      <c r="J849" s="2">
        <v>0</v>
      </c>
      <c r="K849" s="2">
        <v>0</v>
      </c>
      <c r="L849" s="2">
        <v>0</v>
      </c>
      <c r="M849" s="2">
        <v>0</v>
      </c>
      <c r="N849" s="1" t="str">
        <f>VLOOKUP(E849,'[1]ORG CODES'!$A:$C,3,FALSE)</f>
        <v>3454   CHINESE CULTURE</v>
      </c>
    </row>
    <row r="850" spans="1:14" ht="14.45" hidden="1" x14ac:dyDescent="0.3">
      <c r="A850" t="str">
        <f>VLOOKUP(E850,'[1]ORG CODES'!$A:$B,2,FALSE)</f>
        <v>Student Funded Programs</v>
      </c>
      <c r="B850" s="1" t="s">
        <v>2</v>
      </c>
      <c r="C850" s="1" t="s">
        <v>3</v>
      </c>
      <c r="D850" s="1" t="s">
        <v>4</v>
      </c>
      <c r="E850" s="1" t="s">
        <v>156</v>
      </c>
      <c r="F850" s="1" t="s">
        <v>45</v>
      </c>
      <c r="G850" s="1" t="s">
        <v>43</v>
      </c>
      <c r="H850" s="1" t="s">
        <v>203</v>
      </c>
      <c r="I850" s="1">
        <v>0</v>
      </c>
      <c r="J850" s="2">
        <v>50</v>
      </c>
      <c r="K850" s="2">
        <v>0</v>
      </c>
      <c r="L850" s="2">
        <v>-50</v>
      </c>
      <c r="M850" s="2">
        <v>0</v>
      </c>
      <c r="N850" s="1" t="str">
        <f>VLOOKUP(E850,'[1]ORG CODES'!$A:$C,3,FALSE)</f>
        <v>3454   CHINESE CULTURE</v>
      </c>
    </row>
    <row r="851" spans="1:14" ht="14.45" hidden="1" x14ac:dyDescent="0.3">
      <c r="A851" t="str">
        <f>VLOOKUP(E851,'[1]ORG CODES'!$A:$B,2,FALSE)</f>
        <v>Student Funded Programs</v>
      </c>
      <c r="B851" s="1" t="s">
        <v>2</v>
      </c>
      <c r="C851" s="1" t="s">
        <v>3</v>
      </c>
      <c r="D851" s="1" t="s">
        <v>4</v>
      </c>
      <c r="E851" s="1" t="s">
        <v>159</v>
      </c>
      <c r="F851" s="1" t="s">
        <v>45</v>
      </c>
      <c r="H851" s="1" t="s">
        <v>203</v>
      </c>
      <c r="I851" s="1">
        <v>0</v>
      </c>
      <c r="J851" s="2">
        <v>0</v>
      </c>
      <c r="K851" s="2">
        <v>0</v>
      </c>
      <c r="L851" s="2">
        <v>0</v>
      </c>
      <c r="M851" s="2">
        <v>0</v>
      </c>
      <c r="N851" s="1" t="str">
        <f>VLOOKUP(E851,'[1]ORG CODES'!$A:$C,3,FALSE)</f>
        <v>3456   FRENCH CLUB</v>
      </c>
    </row>
    <row r="852" spans="1:14" ht="14.45" hidden="1" x14ac:dyDescent="0.3">
      <c r="A852" t="str">
        <f>VLOOKUP(E852,'[1]ORG CODES'!$A:$B,2,FALSE)</f>
        <v>Student Funded Programs</v>
      </c>
      <c r="B852" s="1" t="s">
        <v>2</v>
      </c>
      <c r="C852" s="1" t="s">
        <v>3</v>
      </c>
      <c r="D852" s="1" t="s">
        <v>4</v>
      </c>
      <c r="E852" s="1" t="s">
        <v>159</v>
      </c>
      <c r="F852" s="1" t="s">
        <v>45</v>
      </c>
      <c r="G852" s="1" t="s">
        <v>43</v>
      </c>
      <c r="H852" s="1" t="s">
        <v>203</v>
      </c>
      <c r="I852" s="1">
        <v>0</v>
      </c>
      <c r="J852" s="2">
        <v>700</v>
      </c>
      <c r="K852" s="2">
        <v>0</v>
      </c>
      <c r="L852" s="2">
        <v>-700</v>
      </c>
      <c r="M852" s="2">
        <v>0</v>
      </c>
      <c r="N852" s="1" t="str">
        <f>VLOOKUP(E852,'[1]ORG CODES'!$A:$C,3,FALSE)</f>
        <v>3456   FRENCH CLUB</v>
      </c>
    </row>
    <row r="853" spans="1:14" ht="14.45" hidden="1" x14ac:dyDescent="0.3">
      <c r="A853" t="str">
        <f>VLOOKUP(E853,'[1]ORG CODES'!$A:$B,2,FALSE)</f>
        <v>Student Funded Programs</v>
      </c>
      <c r="B853" s="1" t="s">
        <v>2</v>
      </c>
      <c r="C853" s="1" t="s">
        <v>3</v>
      </c>
      <c r="D853" s="1" t="s">
        <v>4</v>
      </c>
      <c r="E853" s="1" t="s">
        <v>160</v>
      </c>
      <c r="F853" s="1" t="s">
        <v>45</v>
      </c>
      <c r="H853" s="1" t="s">
        <v>203</v>
      </c>
      <c r="I853" s="1">
        <v>0</v>
      </c>
      <c r="J853" s="2">
        <v>0</v>
      </c>
      <c r="K853" s="2">
        <v>0</v>
      </c>
      <c r="L853" s="2">
        <v>0</v>
      </c>
      <c r="M853" s="2">
        <v>0</v>
      </c>
      <c r="N853" s="1" t="str">
        <f>VLOOKUP(E853,'[1]ORG CODES'!$A:$C,3,FALSE)</f>
        <v>3457   THE ALLIANCE</v>
      </c>
    </row>
    <row r="854" spans="1:14" ht="14.45" hidden="1" x14ac:dyDescent="0.3">
      <c r="A854" t="str">
        <f>VLOOKUP(E854,'[1]ORG CODES'!$A:$B,2,FALSE)</f>
        <v>Student Funded Programs</v>
      </c>
      <c r="B854" s="1" t="s">
        <v>2</v>
      </c>
      <c r="C854" s="1" t="s">
        <v>3</v>
      </c>
      <c r="D854" s="1" t="s">
        <v>4</v>
      </c>
      <c r="E854" s="1" t="s">
        <v>162</v>
      </c>
      <c r="F854" s="1" t="s">
        <v>45</v>
      </c>
      <c r="H854" s="1" t="s">
        <v>203</v>
      </c>
      <c r="I854" s="1">
        <v>0</v>
      </c>
      <c r="J854" s="2">
        <v>0</v>
      </c>
      <c r="K854" s="2">
        <v>0</v>
      </c>
      <c r="L854" s="2">
        <v>0</v>
      </c>
      <c r="M854" s="2">
        <v>0</v>
      </c>
      <c r="N854" s="1" t="str">
        <f>VLOOKUP(E854,'[1]ORG CODES'!$A:$C,3,FALSE)</f>
        <v>3458   L.U.A. CLUB</v>
      </c>
    </row>
    <row r="855" spans="1:14" ht="14.45" hidden="1" x14ac:dyDescent="0.3">
      <c r="A855" t="str">
        <f>VLOOKUP(E855,'[1]ORG CODES'!$A:$B,2,FALSE)</f>
        <v>Student Funded Programs</v>
      </c>
      <c r="B855" s="1" t="s">
        <v>2</v>
      </c>
      <c r="C855" s="1" t="s">
        <v>3</v>
      </c>
      <c r="D855" s="1" t="s">
        <v>4</v>
      </c>
      <c r="E855" s="1" t="s">
        <v>162</v>
      </c>
      <c r="F855" s="1" t="s">
        <v>45</v>
      </c>
      <c r="G855" s="1" t="s">
        <v>43</v>
      </c>
      <c r="H855" s="1" t="s">
        <v>203</v>
      </c>
      <c r="I855" s="1">
        <v>0</v>
      </c>
      <c r="J855" s="2">
        <v>2500</v>
      </c>
      <c r="K855" s="2">
        <v>0</v>
      </c>
      <c r="L855" s="2">
        <v>-2500</v>
      </c>
      <c r="M855" s="2">
        <v>0</v>
      </c>
      <c r="N855" s="1" t="str">
        <f>VLOOKUP(E855,'[1]ORG CODES'!$A:$C,3,FALSE)</f>
        <v>3458   L.U.A. CLUB</v>
      </c>
    </row>
    <row r="856" spans="1:14" ht="14.45" hidden="1" x14ac:dyDescent="0.3">
      <c r="A856" t="str">
        <f>VLOOKUP(E856,'[1]ORG CODES'!$A:$B,2,FALSE)</f>
        <v>Student Funded Programs</v>
      </c>
      <c r="B856" s="1" t="s">
        <v>2</v>
      </c>
      <c r="C856" s="1" t="s">
        <v>3</v>
      </c>
      <c r="D856" s="1" t="s">
        <v>4</v>
      </c>
      <c r="E856" s="1" t="s">
        <v>168</v>
      </c>
      <c r="F856" s="1" t="s">
        <v>45</v>
      </c>
      <c r="H856" s="1" t="s">
        <v>203</v>
      </c>
      <c r="I856" s="1">
        <v>0</v>
      </c>
      <c r="J856" s="2">
        <v>0</v>
      </c>
      <c r="K856" s="2">
        <v>0</v>
      </c>
      <c r="L856" s="2">
        <v>0</v>
      </c>
      <c r="M856" s="2">
        <v>0</v>
      </c>
      <c r="N856" s="1" t="str">
        <f>VLOOKUP(E856,'[1]ORG CODES'!$A:$C,3,FALSE)</f>
        <v>3462   INTERNATIONAL CLUB</v>
      </c>
    </row>
    <row r="857" spans="1:14" ht="14.45" hidden="1" x14ac:dyDescent="0.3">
      <c r="A857" t="str">
        <f>VLOOKUP(E857,'[1]ORG CODES'!$A:$B,2,FALSE)</f>
        <v>Student Funded Programs</v>
      </c>
      <c r="B857" s="1" t="s">
        <v>2</v>
      </c>
      <c r="C857" s="1" t="s">
        <v>3</v>
      </c>
      <c r="D857" s="1" t="s">
        <v>4</v>
      </c>
      <c r="E857" s="1" t="s">
        <v>168</v>
      </c>
      <c r="F857" s="1" t="s">
        <v>45</v>
      </c>
      <c r="G857" s="1" t="s">
        <v>43</v>
      </c>
      <c r="H857" s="1" t="s">
        <v>203</v>
      </c>
      <c r="I857" s="1">
        <v>0</v>
      </c>
      <c r="J857" s="2">
        <v>950</v>
      </c>
      <c r="K857" s="2">
        <v>0</v>
      </c>
      <c r="L857" s="2">
        <v>-950</v>
      </c>
      <c r="M857" s="2">
        <v>0</v>
      </c>
      <c r="N857" s="1" t="str">
        <f>VLOOKUP(E857,'[1]ORG CODES'!$A:$C,3,FALSE)</f>
        <v>3462   INTERNATIONAL CLUB</v>
      </c>
    </row>
    <row r="858" spans="1:14" ht="14.45" hidden="1" x14ac:dyDescent="0.3">
      <c r="A858" t="str">
        <f>VLOOKUP(E858,'[1]ORG CODES'!$A:$B,2,FALSE)</f>
        <v>Student Funded Programs</v>
      </c>
      <c r="B858" s="1" t="s">
        <v>2</v>
      </c>
      <c r="C858" s="1" t="s">
        <v>3</v>
      </c>
      <c r="D858" s="1" t="s">
        <v>4</v>
      </c>
      <c r="E858" s="1" t="s">
        <v>170</v>
      </c>
      <c r="F858" s="1" t="s">
        <v>45</v>
      </c>
      <c r="H858" s="1" t="s">
        <v>203</v>
      </c>
      <c r="I858" s="1">
        <v>0</v>
      </c>
      <c r="J858" s="2">
        <v>0</v>
      </c>
      <c r="K858" s="2">
        <v>0</v>
      </c>
      <c r="L858" s="2">
        <v>0</v>
      </c>
      <c r="M858" s="2">
        <v>0</v>
      </c>
      <c r="N858" s="1" t="str">
        <f>VLOOKUP(E858,'[1]ORG CODES'!$A:$C,3,FALSE)</f>
        <v>3464   JAZZ PRESENTS</v>
      </c>
    </row>
    <row r="859" spans="1:14" ht="14.45" hidden="1" x14ac:dyDescent="0.3">
      <c r="A859" t="str">
        <f>VLOOKUP(E859,'[1]ORG CODES'!$A:$B,2,FALSE)</f>
        <v>Student Funded Programs</v>
      </c>
      <c r="B859" s="1" t="s">
        <v>2</v>
      </c>
      <c r="C859" s="1" t="s">
        <v>3</v>
      </c>
      <c r="D859" s="1" t="s">
        <v>4</v>
      </c>
      <c r="E859" s="1" t="s">
        <v>170</v>
      </c>
      <c r="F859" s="1" t="s">
        <v>45</v>
      </c>
      <c r="G859" s="1" t="s">
        <v>43</v>
      </c>
      <c r="H859" s="1" t="s">
        <v>203</v>
      </c>
      <c r="I859" s="1">
        <v>0</v>
      </c>
      <c r="J859" s="2">
        <v>10200</v>
      </c>
      <c r="K859" s="2">
        <v>0</v>
      </c>
      <c r="L859" s="2">
        <v>-10200</v>
      </c>
      <c r="M859" s="2">
        <v>0</v>
      </c>
      <c r="N859" s="1" t="str">
        <f>VLOOKUP(E859,'[1]ORG CODES'!$A:$C,3,FALSE)</f>
        <v>3464   JAZZ PRESENTS</v>
      </c>
    </row>
    <row r="860" spans="1:14" ht="14.45" hidden="1" x14ac:dyDescent="0.3">
      <c r="A860" t="str">
        <f>VLOOKUP(E860,'[1]ORG CODES'!$A:$B,2,FALSE)</f>
        <v>Student Funded Programs</v>
      </c>
      <c r="B860" s="1" t="s">
        <v>2</v>
      </c>
      <c r="C860" s="1" t="s">
        <v>3</v>
      </c>
      <c r="D860" s="1" t="s">
        <v>4</v>
      </c>
      <c r="E860" s="1" t="s">
        <v>172</v>
      </c>
      <c r="F860" s="1" t="s">
        <v>45</v>
      </c>
      <c r="H860" s="1" t="s">
        <v>203</v>
      </c>
      <c r="I860" s="1">
        <v>0</v>
      </c>
      <c r="J860" s="2">
        <v>0</v>
      </c>
      <c r="K860" s="2">
        <v>0</v>
      </c>
      <c r="L860" s="2">
        <v>0</v>
      </c>
      <c r="M860" s="2">
        <v>0</v>
      </c>
      <c r="N860" s="1" t="str">
        <f>VLOOKUP(E860,'[1]ORG CODES'!$A:$C,3,FALSE)</f>
        <v>3465   RED NATIONS ASSOC</v>
      </c>
    </row>
    <row r="861" spans="1:14" ht="14.45" hidden="1" x14ac:dyDescent="0.3">
      <c r="A861" t="str">
        <f>VLOOKUP(E861,'[1]ORG CODES'!$A:$B,2,FALSE)</f>
        <v>Student Funded Programs</v>
      </c>
      <c r="B861" s="1" t="s">
        <v>2</v>
      </c>
      <c r="C861" s="1" t="s">
        <v>3</v>
      </c>
      <c r="D861" s="1" t="s">
        <v>4</v>
      </c>
      <c r="E861" s="1" t="s">
        <v>172</v>
      </c>
      <c r="F861" s="1" t="s">
        <v>45</v>
      </c>
      <c r="G861" s="1" t="s">
        <v>43</v>
      </c>
      <c r="H861" s="1" t="s">
        <v>203</v>
      </c>
      <c r="I861" s="1">
        <v>0</v>
      </c>
      <c r="J861" s="2">
        <v>5000</v>
      </c>
      <c r="K861" s="2">
        <v>0</v>
      </c>
      <c r="L861" s="2">
        <v>-5000</v>
      </c>
      <c r="M861" s="2">
        <v>0</v>
      </c>
      <c r="N861" s="1" t="str">
        <f>VLOOKUP(E861,'[1]ORG CODES'!$A:$C,3,FALSE)</f>
        <v>3465   RED NATIONS ASSOC</v>
      </c>
    </row>
    <row r="862" spans="1:14" ht="14.45" hidden="1" x14ac:dyDescent="0.3">
      <c r="A862" t="str">
        <f>VLOOKUP(E862,'[1]ORG CODES'!$A:$B,2,FALSE)</f>
        <v>Student Funded Programs</v>
      </c>
      <c r="B862" s="1" t="s">
        <v>2</v>
      </c>
      <c r="C862" s="1" t="s">
        <v>3</v>
      </c>
      <c r="D862" s="1" t="s">
        <v>4</v>
      </c>
      <c r="E862" s="1" t="s">
        <v>176</v>
      </c>
      <c r="F862" s="1" t="s">
        <v>45</v>
      </c>
      <c r="H862" s="1" t="s">
        <v>203</v>
      </c>
      <c r="I862" s="1">
        <v>0</v>
      </c>
      <c r="J862" s="2">
        <v>0</v>
      </c>
      <c r="K862" s="2">
        <v>0</v>
      </c>
      <c r="L862" s="2">
        <v>0</v>
      </c>
      <c r="M862" s="2">
        <v>0</v>
      </c>
      <c r="N862" s="1" t="str">
        <f>VLOOKUP(E862,'[1]ORG CODES'!$A:$C,3,FALSE)</f>
        <v>3466   SPANISH CLUB</v>
      </c>
    </row>
    <row r="863" spans="1:14" ht="14.45" hidden="1" x14ac:dyDescent="0.3">
      <c r="A863" t="str">
        <f>VLOOKUP(E863,'[1]ORG CODES'!$A:$B,2,FALSE)</f>
        <v>Student Funded Programs</v>
      </c>
      <c r="B863" s="1" t="s">
        <v>2</v>
      </c>
      <c r="C863" s="1" t="s">
        <v>3</v>
      </c>
      <c r="D863" s="1" t="s">
        <v>4</v>
      </c>
      <c r="E863" s="1" t="s">
        <v>176</v>
      </c>
      <c r="F863" s="1" t="s">
        <v>45</v>
      </c>
      <c r="G863" s="1" t="s">
        <v>43</v>
      </c>
      <c r="H863" s="1" t="s">
        <v>203</v>
      </c>
      <c r="I863" s="1">
        <v>0</v>
      </c>
      <c r="J863" s="2">
        <v>600</v>
      </c>
      <c r="K863" s="2">
        <v>0</v>
      </c>
      <c r="L863" s="2">
        <v>-600</v>
      </c>
      <c r="M863" s="2">
        <v>0</v>
      </c>
      <c r="N863" s="1" t="str">
        <f>VLOOKUP(E863,'[1]ORG CODES'!$A:$C,3,FALSE)</f>
        <v>3466   SPANISH CLUB</v>
      </c>
    </row>
    <row r="864" spans="1:14" ht="14.45" hidden="1" x14ac:dyDescent="0.3">
      <c r="A864" t="str">
        <f>VLOOKUP(E864,'[1]ORG CODES'!$A:$B,2,FALSE)</f>
        <v>Student Funded Programs</v>
      </c>
      <c r="B864" s="1" t="s">
        <v>2</v>
      </c>
      <c r="C864" s="1" t="s">
        <v>3</v>
      </c>
      <c r="D864" s="1" t="s">
        <v>4</v>
      </c>
      <c r="E864" s="1" t="s">
        <v>5</v>
      </c>
      <c r="F864" s="1" t="s">
        <v>6</v>
      </c>
      <c r="H864" s="1" t="s">
        <v>202</v>
      </c>
      <c r="I864" s="1">
        <v>0</v>
      </c>
      <c r="J864" s="2">
        <v>-3908.54</v>
      </c>
      <c r="K864" s="2">
        <v>0</v>
      </c>
      <c r="L864" s="2">
        <v>3908.54</v>
      </c>
      <c r="M864" s="2">
        <v>-1079.3499999999999</v>
      </c>
      <c r="N864" s="1" t="str">
        <f>VLOOKUP(E864,'[1]ORG CODES'!$A:$C,3,FALSE)</f>
        <v>3221   SPEC.BLDG FUND-SFCC</v>
      </c>
    </row>
    <row r="865" spans="1:14" ht="14.45" hidden="1" x14ac:dyDescent="0.3">
      <c r="A865" t="str">
        <f>VLOOKUP(E865,'[1]ORG CODES'!$A:$B,2,FALSE)</f>
        <v>Student Funded Programs</v>
      </c>
      <c r="B865" s="1" t="s">
        <v>2</v>
      </c>
      <c r="C865" s="1" t="s">
        <v>3</v>
      </c>
      <c r="D865" s="1" t="s">
        <v>4</v>
      </c>
      <c r="E865" s="1" t="s">
        <v>5</v>
      </c>
      <c r="F865" s="1" t="s">
        <v>22</v>
      </c>
      <c r="H865" s="1" t="s">
        <v>204</v>
      </c>
      <c r="I865" s="1">
        <v>0</v>
      </c>
      <c r="J865" s="2">
        <v>23408</v>
      </c>
      <c r="K865" s="2">
        <v>0</v>
      </c>
      <c r="L865" s="2">
        <v>-23408</v>
      </c>
      <c r="M865" s="2">
        <v>0</v>
      </c>
      <c r="N865" s="1" t="str">
        <f>VLOOKUP(E865,'[1]ORG CODES'!$A:$C,3,FALSE)</f>
        <v>3221   SPEC.BLDG FUND-SFCC</v>
      </c>
    </row>
    <row r="866" spans="1:14" ht="14.45" hidden="1" x14ac:dyDescent="0.3">
      <c r="A866" t="str">
        <f>VLOOKUP(E866,'[1]ORG CODES'!$A:$B,2,FALSE)</f>
        <v>Student Funded Programs</v>
      </c>
      <c r="B866" s="1" t="s">
        <v>2</v>
      </c>
      <c r="C866" s="1" t="s">
        <v>3</v>
      </c>
      <c r="D866" s="1" t="s">
        <v>4</v>
      </c>
      <c r="E866" s="1" t="s">
        <v>33</v>
      </c>
      <c r="F866" s="1" t="s">
        <v>22</v>
      </c>
      <c r="H866" s="1" t="s">
        <v>204</v>
      </c>
      <c r="I866" s="1">
        <v>0</v>
      </c>
      <c r="J866" s="2">
        <v>7731</v>
      </c>
      <c r="K866" s="2">
        <v>0</v>
      </c>
      <c r="L866" s="2">
        <v>-7731</v>
      </c>
      <c r="M866" s="2">
        <v>0</v>
      </c>
      <c r="N866" s="1" t="str">
        <f>VLOOKUP(E866,'[1]ORG CODES'!$A:$C,3,FALSE)</f>
        <v>3310   IRP CARRY OVER FUND</v>
      </c>
    </row>
    <row r="867" spans="1:14" ht="14.45" hidden="1" x14ac:dyDescent="0.3">
      <c r="A867" t="str">
        <f>VLOOKUP(E867,'[1]ORG CODES'!$A:$B,2,FALSE)</f>
        <v>Student Funded Programs</v>
      </c>
      <c r="B867" s="1" t="s">
        <v>2</v>
      </c>
      <c r="C867" s="1" t="s">
        <v>3</v>
      </c>
      <c r="D867" s="1" t="s">
        <v>4</v>
      </c>
      <c r="E867" s="1" t="s">
        <v>35</v>
      </c>
      <c r="F867" s="1" t="s">
        <v>22</v>
      </c>
      <c r="H867" s="1" t="s">
        <v>204</v>
      </c>
      <c r="I867" s="1">
        <v>0</v>
      </c>
      <c r="J867" s="2">
        <v>-1997</v>
      </c>
      <c r="K867" s="2">
        <v>0</v>
      </c>
      <c r="L867" s="2">
        <v>1997</v>
      </c>
      <c r="M867" s="2">
        <v>0</v>
      </c>
      <c r="N867" s="1" t="str">
        <f>VLOOKUP(E867,'[1]ORG CODES'!$A:$C,3,FALSE)</f>
        <v>3312   IRP CONTINGENCY</v>
      </c>
    </row>
    <row r="868" spans="1:14" ht="14.45" hidden="1" x14ac:dyDescent="0.3">
      <c r="A868" t="str">
        <f>VLOOKUP(E868,'[1]ORG CODES'!$A:$B,2,FALSE)</f>
        <v>Student Funded Programs</v>
      </c>
      <c r="B868" s="1" t="s">
        <v>2</v>
      </c>
      <c r="C868" s="1" t="s">
        <v>3</v>
      </c>
      <c r="D868" s="1" t="s">
        <v>4</v>
      </c>
      <c r="E868" s="1" t="s">
        <v>36</v>
      </c>
      <c r="F868" s="1" t="s">
        <v>22</v>
      </c>
      <c r="H868" s="1" t="s">
        <v>204</v>
      </c>
      <c r="I868" s="1">
        <v>0</v>
      </c>
      <c r="J868" s="2">
        <v>-356</v>
      </c>
      <c r="K868" s="2">
        <v>0</v>
      </c>
      <c r="L868" s="2">
        <v>356</v>
      </c>
      <c r="M868" s="2">
        <v>0</v>
      </c>
      <c r="N868" s="1" t="str">
        <f>VLOOKUP(E868,'[1]ORG CODES'!$A:$C,3,FALSE)</f>
        <v>3313   ASTRONOMY CLUB</v>
      </c>
    </row>
    <row r="869" spans="1:14" ht="14.45" hidden="1" x14ac:dyDescent="0.3">
      <c r="A869" t="str">
        <f>VLOOKUP(E869,'[1]ORG CODES'!$A:$B,2,FALSE)</f>
        <v>Student Funded Programs</v>
      </c>
      <c r="B869" s="1" t="s">
        <v>2</v>
      </c>
      <c r="C869" s="1" t="s">
        <v>3</v>
      </c>
      <c r="D869" s="1" t="s">
        <v>4</v>
      </c>
      <c r="E869" s="1" t="s">
        <v>37</v>
      </c>
      <c r="F869" s="1" t="s">
        <v>22</v>
      </c>
      <c r="H869" s="1" t="s">
        <v>204</v>
      </c>
      <c r="I869" s="1">
        <v>0</v>
      </c>
      <c r="J869" s="2">
        <v>0</v>
      </c>
      <c r="K869" s="2">
        <v>0</v>
      </c>
      <c r="L869" s="2">
        <v>0</v>
      </c>
      <c r="M869" s="2">
        <v>0</v>
      </c>
      <c r="N869" s="1" t="str">
        <f>VLOOKUP(E869,'[1]ORG CODES'!$A:$C,3,FALSE)</f>
        <v>3328   CONCHA CLUB</v>
      </c>
    </row>
    <row r="870" spans="1:14" ht="14.45" hidden="1" x14ac:dyDescent="0.3">
      <c r="A870" t="str">
        <f>VLOOKUP(E870,'[1]ORG CODES'!$A:$B,2,FALSE)</f>
        <v>Student Funded Programs</v>
      </c>
      <c r="B870" s="1" t="s">
        <v>2</v>
      </c>
      <c r="C870" s="1" t="s">
        <v>3</v>
      </c>
      <c r="D870" s="1" t="s">
        <v>4</v>
      </c>
      <c r="E870" s="1" t="s">
        <v>38</v>
      </c>
      <c r="F870" s="1" t="s">
        <v>22</v>
      </c>
      <c r="H870" s="1" t="s">
        <v>204</v>
      </c>
      <c r="I870" s="1">
        <v>0</v>
      </c>
      <c r="J870" s="2">
        <v>-4278</v>
      </c>
      <c r="K870" s="2">
        <v>0</v>
      </c>
      <c r="L870" s="2">
        <v>4278</v>
      </c>
      <c r="M870" s="2">
        <v>0</v>
      </c>
      <c r="N870" s="1" t="str">
        <f>VLOOKUP(E870,'[1]ORG CODES'!$A:$C,3,FALSE)</f>
        <v>3329   SPEECH &amp; DEBATE CLUB</v>
      </c>
    </row>
    <row r="871" spans="1:14" ht="14.45" hidden="1" x14ac:dyDescent="0.3">
      <c r="A871" t="str">
        <f>VLOOKUP(E871,'[1]ORG CODES'!$A:$B,2,FALSE)</f>
        <v>Student Funded Programs</v>
      </c>
      <c r="B871" s="1" t="s">
        <v>2</v>
      </c>
      <c r="C871" s="1" t="s">
        <v>3</v>
      </c>
      <c r="D871" s="1" t="s">
        <v>4</v>
      </c>
      <c r="E871" s="1" t="s">
        <v>46</v>
      </c>
      <c r="F871" s="1" t="s">
        <v>22</v>
      </c>
      <c r="H871" s="1" t="s">
        <v>204</v>
      </c>
      <c r="I871" s="1">
        <v>0</v>
      </c>
      <c r="J871" s="2">
        <v>-2391</v>
      </c>
      <c r="K871" s="2">
        <v>0</v>
      </c>
      <c r="L871" s="2">
        <v>2391</v>
      </c>
      <c r="M871" s="2">
        <v>0</v>
      </c>
      <c r="N871" s="1" t="str">
        <f>VLOOKUP(E871,'[1]ORG CODES'!$A:$C,3,FALSE)</f>
        <v>3330   GRAPHIC DESIGN</v>
      </c>
    </row>
    <row r="872" spans="1:14" ht="14.45" hidden="1" x14ac:dyDescent="0.3">
      <c r="A872" t="str">
        <f>VLOOKUP(E872,'[1]ORG CODES'!$A:$B,2,FALSE)</f>
        <v>Student Funded Programs</v>
      </c>
      <c r="B872" s="1" t="s">
        <v>2</v>
      </c>
      <c r="C872" s="1" t="s">
        <v>3</v>
      </c>
      <c r="D872" s="1" t="s">
        <v>4</v>
      </c>
      <c r="E872" s="1" t="s">
        <v>50</v>
      </c>
      <c r="F872" s="1" t="s">
        <v>22</v>
      </c>
      <c r="H872" s="1" t="s">
        <v>204</v>
      </c>
      <c r="I872" s="1">
        <v>0</v>
      </c>
      <c r="J872" s="2">
        <v>-13</v>
      </c>
      <c r="K872" s="2">
        <v>0</v>
      </c>
      <c r="L872" s="2">
        <v>13</v>
      </c>
      <c r="M872" s="2">
        <v>0</v>
      </c>
      <c r="N872" s="1" t="str">
        <f>VLOOKUP(E872,'[1]ORG CODES'!$A:$C,3,FALSE)</f>
        <v>3342   ENGINEERING CLUB</v>
      </c>
    </row>
    <row r="873" spans="1:14" ht="14.45" hidden="1" x14ac:dyDescent="0.3">
      <c r="A873" t="str">
        <f>VLOOKUP(E873,'[1]ORG CODES'!$A:$B,2,FALSE)</f>
        <v>Student Funded Programs</v>
      </c>
      <c r="B873" s="1" t="s">
        <v>2</v>
      </c>
      <c r="C873" s="1" t="s">
        <v>3</v>
      </c>
      <c r="D873" s="1" t="s">
        <v>4</v>
      </c>
      <c r="E873" s="1" t="s">
        <v>52</v>
      </c>
      <c r="F873" s="1" t="s">
        <v>22</v>
      </c>
      <c r="H873" s="1" t="s">
        <v>204</v>
      </c>
      <c r="I873" s="1">
        <v>0</v>
      </c>
      <c r="J873" s="2">
        <v>4208</v>
      </c>
      <c r="K873" s="2">
        <v>0</v>
      </c>
      <c r="L873" s="2">
        <v>-4208</v>
      </c>
      <c r="M873" s="2">
        <v>0</v>
      </c>
      <c r="N873" s="1" t="str">
        <f>VLOOKUP(E873,'[1]ORG CODES'!$A:$C,3,FALSE)</f>
        <v>3352   REVELERS (DRAMA)</v>
      </c>
    </row>
    <row r="874" spans="1:14" ht="14.45" hidden="1" x14ac:dyDescent="0.3">
      <c r="A874" t="str">
        <f>VLOOKUP(E874,'[1]ORG CODES'!$A:$B,2,FALSE)</f>
        <v>Student Funded Programs</v>
      </c>
      <c r="B874" s="1" t="s">
        <v>2</v>
      </c>
      <c r="C874" s="1" t="s">
        <v>3</v>
      </c>
      <c r="D874" s="1" t="s">
        <v>4</v>
      </c>
      <c r="E874" s="1" t="s">
        <v>65</v>
      </c>
      <c r="F874" s="1" t="s">
        <v>22</v>
      </c>
      <c r="H874" s="1" t="s">
        <v>204</v>
      </c>
      <c r="I874" s="1">
        <v>0</v>
      </c>
      <c r="J874" s="2">
        <v>-200</v>
      </c>
      <c r="K874" s="2">
        <v>0</v>
      </c>
      <c r="L874" s="2">
        <v>200</v>
      </c>
      <c r="M874" s="2">
        <v>0</v>
      </c>
      <c r="N874" s="1" t="str">
        <f>VLOOKUP(E874,'[1]ORG CODES'!$A:$C,3,FALSE)</f>
        <v>3354   CONCERT BAND</v>
      </c>
    </row>
    <row r="875" spans="1:14" ht="14.45" hidden="1" x14ac:dyDescent="0.3">
      <c r="A875" t="str">
        <f>VLOOKUP(E875,'[1]ORG CODES'!$A:$B,2,FALSE)</f>
        <v>Student Funded Programs</v>
      </c>
      <c r="B875" s="1" t="s">
        <v>2</v>
      </c>
      <c r="C875" s="1" t="s">
        <v>3</v>
      </c>
      <c r="D875" s="1" t="s">
        <v>4</v>
      </c>
      <c r="E875" s="1" t="s">
        <v>68</v>
      </c>
      <c r="F875" s="1" t="s">
        <v>22</v>
      </c>
      <c r="H875" s="1" t="s">
        <v>204</v>
      </c>
      <c r="I875" s="1">
        <v>0</v>
      </c>
      <c r="J875" s="2">
        <v>698</v>
      </c>
      <c r="K875" s="2">
        <v>0</v>
      </c>
      <c r="L875" s="2">
        <v>-698</v>
      </c>
      <c r="M875" s="2">
        <v>0</v>
      </c>
      <c r="N875" s="1" t="str">
        <f>VLOOKUP(E875,'[1]ORG CODES'!$A:$C,3,FALSE)</f>
        <v>3355   CHORAL MUSIC</v>
      </c>
    </row>
    <row r="876" spans="1:14" ht="14.45" hidden="1" x14ac:dyDescent="0.3">
      <c r="A876" t="str">
        <f>VLOOKUP(E876,'[1]ORG CODES'!$A:$B,2,FALSE)</f>
        <v>Student Funded Programs</v>
      </c>
      <c r="B876" s="1" t="s">
        <v>2</v>
      </c>
      <c r="C876" s="1" t="s">
        <v>3</v>
      </c>
      <c r="D876" s="1" t="s">
        <v>4</v>
      </c>
      <c r="E876" s="1" t="s">
        <v>71</v>
      </c>
      <c r="F876" s="1" t="s">
        <v>22</v>
      </c>
      <c r="H876" s="1" t="s">
        <v>204</v>
      </c>
      <c r="I876" s="1">
        <v>0</v>
      </c>
      <c r="J876" s="2">
        <v>245</v>
      </c>
      <c r="K876" s="2">
        <v>0</v>
      </c>
      <c r="L876" s="2">
        <v>-245</v>
      </c>
      <c r="M876" s="2">
        <v>0</v>
      </c>
      <c r="N876" s="1" t="str">
        <f>VLOOKUP(E876,'[1]ORG CODES'!$A:$C,3,FALSE)</f>
        <v>3356   STAGE BAND/COMBO</v>
      </c>
    </row>
    <row r="877" spans="1:14" ht="14.45" hidden="1" x14ac:dyDescent="0.3">
      <c r="A877" t="str">
        <f>VLOOKUP(E877,'[1]ORG CODES'!$A:$B,2,FALSE)</f>
        <v>Student Funded Programs</v>
      </c>
      <c r="B877" s="1" t="s">
        <v>2</v>
      </c>
      <c r="C877" s="1" t="s">
        <v>3</v>
      </c>
      <c r="D877" s="1" t="s">
        <v>4</v>
      </c>
      <c r="E877" s="1" t="s">
        <v>72</v>
      </c>
      <c r="F877" s="1" t="s">
        <v>22</v>
      </c>
      <c r="H877" s="1" t="s">
        <v>204</v>
      </c>
      <c r="I877" s="1">
        <v>0</v>
      </c>
      <c r="J877" s="2">
        <v>-1433</v>
      </c>
      <c r="K877" s="2">
        <v>0</v>
      </c>
      <c r="L877" s="2">
        <v>1433</v>
      </c>
      <c r="M877" s="2">
        <v>0</v>
      </c>
      <c r="N877" s="1" t="str">
        <f>VLOOKUP(E877,'[1]ORG CODES'!$A:$C,3,FALSE)</f>
        <v>3357   PHOTO ARTS</v>
      </c>
    </row>
    <row r="878" spans="1:14" hidden="1" x14ac:dyDescent="0.25">
      <c r="A878" t="str">
        <f>VLOOKUP(E878,'[1]ORG CODES'!$A:$B,2,FALSE)</f>
        <v>Student Funded Programs</v>
      </c>
      <c r="B878" s="1" t="s">
        <v>2</v>
      </c>
      <c r="C878" s="1" t="s">
        <v>3</v>
      </c>
      <c r="D878" s="1" t="s">
        <v>4</v>
      </c>
      <c r="E878" s="1" t="s">
        <v>74</v>
      </c>
      <c r="F878" s="1" t="s">
        <v>22</v>
      </c>
      <c r="H878" s="1" t="s">
        <v>204</v>
      </c>
      <c r="I878" s="1">
        <v>0</v>
      </c>
      <c r="J878" s="2">
        <v>0</v>
      </c>
      <c r="K878" s="2">
        <v>0</v>
      </c>
      <c r="L878" s="2">
        <v>0</v>
      </c>
      <c r="M878" s="2">
        <v>0</v>
      </c>
      <c r="N878" s="1" t="str">
        <f>VLOOKUP(E878,'[1]ORG CODES'!$A:$C,3,FALSE)</f>
        <v>3360   DEC</v>
      </c>
    </row>
    <row r="879" spans="1:14" hidden="1" x14ac:dyDescent="0.25">
      <c r="A879" t="str">
        <f>VLOOKUP(E879,'[1]ORG CODES'!$A:$B,2,FALSE)</f>
        <v>Student Funded Programs</v>
      </c>
      <c r="B879" s="1" t="s">
        <v>2</v>
      </c>
      <c r="C879" s="1" t="s">
        <v>3</v>
      </c>
      <c r="D879" s="1" t="s">
        <v>4</v>
      </c>
      <c r="E879" s="1" t="s">
        <v>77</v>
      </c>
      <c r="F879" s="1" t="s">
        <v>22</v>
      </c>
      <c r="H879" s="1" t="s">
        <v>204</v>
      </c>
      <c r="I879" s="1">
        <v>0</v>
      </c>
      <c r="J879" s="2">
        <v>-246</v>
      </c>
      <c r="K879" s="2">
        <v>0</v>
      </c>
      <c r="L879" s="2">
        <v>246</v>
      </c>
      <c r="M879" s="2">
        <v>0</v>
      </c>
      <c r="N879" s="1" t="str">
        <f>VLOOKUP(E879,'[1]ORG CODES'!$A:$C,3,FALSE)</f>
        <v>3367   RECREATION SOCIETY</v>
      </c>
    </row>
    <row r="880" spans="1:14" hidden="1" x14ac:dyDescent="0.25">
      <c r="A880" t="str">
        <f>VLOOKUP(E880,'[1]ORG CODES'!$A:$B,2,FALSE)</f>
        <v>Student Funded Programs</v>
      </c>
      <c r="B880" s="1" t="s">
        <v>2</v>
      </c>
      <c r="C880" s="1" t="s">
        <v>3</v>
      </c>
      <c r="D880" s="1" t="s">
        <v>4</v>
      </c>
      <c r="E880" s="1" t="s">
        <v>78</v>
      </c>
      <c r="F880" s="1" t="s">
        <v>22</v>
      </c>
      <c r="H880" s="1" t="s">
        <v>204</v>
      </c>
      <c r="I880" s="1">
        <v>0</v>
      </c>
      <c r="J880" s="2">
        <v>0</v>
      </c>
      <c r="K880" s="2">
        <v>0</v>
      </c>
      <c r="L880" s="2">
        <v>0</v>
      </c>
      <c r="M880" s="2">
        <v>0</v>
      </c>
      <c r="N880" s="1" t="str">
        <f>VLOOKUP(E880,'[1]ORG CODES'!$A:$C,3,FALSE)</f>
        <v>3368   LITERARY MAGAZINE</v>
      </c>
    </row>
    <row r="881" spans="1:14" hidden="1" x14ac:dyDescent="0.25">
      <c r="A881" t="str">
        <f>VLOOKUP(E881,'[1]ORG CODES'!$A:$B,2,FALSE)</f>
        <v>Student Funded Programs</v>
      </c>
      <c r="B881" s="1" t="s">
        <v>2</v>
      </c>
      <c r="C881" s="1" t="s">
        <v>3</v>
      </c>
      <c r="D881" s="1" t="s">
        <v>4</v>
      </c>
      <c r="E881" s="1" t="s">
        <v>80</v>
      </c>
      <c r="F881" s="1" t="s">
        <v>22</v>
      </c>
      <c r="H881" s="1" t="s">
        <v>204</v>
      </c>
      <c r="I881" s="1">
        <v>0</v>
      </c>
      <c r="J881" s="2">
        <v>-181</v>
      </c>
      <c r="K881" s="2">
        <v>0</v>
      </c>
      <c r="L881" s="2">
        <v>181</v>
      </c>
      <c r="M881" s="2">
        <v>0</v>
      </c>
      <c r="N881" s="1" t="str">
        <f>VLOOKUP(E881,'[1]ORG CODES'!$A:$C,3,FALSE)</f>
        <v>3370   BETA GAMMA KAPPA</v>
      </c>
    </row>
    <row r="882" spans="1:14" hidden="1" x14ac:dyDescent="0.25">
      <c r="A882" t="str">
        <f>VLOOKUP(E882,'[1]ORG CODES'!$A:$B,2,FALSE)</f>
        <v>Student Funded Programs</v>
      </c>
      <c r="B882" s="1" t="s">
        <v>2</v>
      </c>
      <c r="C882" s="1" t="s">
        <v>3</v>
      </c>
      <c r="D882" s="1" t="s">
        <v>4</v>
      </c>
      <c r="E882" s="1" t="s">
        <v>83</v>
      </c>
      <c r="F882" s="1" t="s">
        <v>22</v>
      </c>
      <c r="H882" s="1" t="s">
        <v>204</v>
      </c>
      <c r="I882" s="1">
        <v>0</v>
      </c>
      <c r="J882" s="2">
        <v>-1787</v>
      </c>
      <c r="K882" s="2">
        <v>0</v>
      </c>
      <c r="L882" s="2">
        <v>1787</v>
      </c>
      <c r="M882" s="2">
        <v>0</v>
      </c>
      <c r="N882" s="1" t="str">
        <f>VLOOKUP(E882,'[1]ORG CODES'!$A:$C,3,FALSE)</f>
        <v>3372   STDNT PHYS THER ASST</v>
      </c>
    </row>
    <row r="883" spans="1:14" hidden="1" x14ac:dyDescent="0.25">
      <c r="A883" t="str">
        <f>VLOOKUP(E883,'[1]ORG CODES'!$A:$B,2,FALSE)</f>
        <v>Student Funded Programs</v>
      </c>
      <c r="B883" s="1" t="s">
        <v>2</v>
      </c>
      <c r="C883" s="1" t="s">
        <v>3</v>
      </c>
      <c r="D883" s="1" t="s">
        <v>4</v>
      </c>
      <c r="E883" s="1" t="s">
        <v>89</v>
      </c>
      <c r="F883" s="1" t="s">
        <v>22</v>
      </c>
      <c r="H883" s="1" t="s">
        <v>204</v>
      </c>
      <c r="I883" s="1">
        <v>0</v>
      </c>
      <c r="J883" s="2">
        <v>0</v>
      </c>
      <c r="K883" s="2">
        <v>0</v>
      </c>
      <c r="L883" s="2">
        <v>0</v>
      </c>
      <c r="M883" s="2">
        <v>0</v>
      </c>
      <c r="N883" s="1" t="str">
        <f>VLOOKUP(E883,'[1]ORG CODES'!$A:$C,3,FALSE)</f>
        <v>3383   S&amp;A FINANCIAL AID</v>
      </c>
    </row>
    <row r="884" spans="1:14" hidden="1" x14ac:dyDescent="0.25">
      <c r="A884" t="str">
        <f>VLOOKUP(E884,'[1]ORG CODES'!$A:$B,2,FALSE)</f>
        <v>Student Funded Programs</v>
      </c>
      <c r="B884" s="1" t="s">
        <v>2</v>
      </c>
      <c r="C884" s="1" t="s">
        <v>3</v>
      </c>
      <c r="D884" s="1" t="s">
        <v>4</v>
      </c>
      <c r="E884" s="1" t="s">
        <v>91</v>
      </c>
      <c r="F884" s="1" t="s">
        <v>6</v>
      </c>
      <c r="H884" s="1" t="s">
        <v>204</v>
      </c>
      <c r="I884" s="1">
        <v>0</v>
      </c>
      <c r="J884" s="2">
        <v>-2927.29</v>
      </c>
      <c r="K884" s="2">
        <v>0</v>
      </c>
      <c r="L884" s="2">
        <v>2927.29</v>
      </c>
      <c r="M884" s="2">
        <v>-797.95</v>
      </c>
      <c r="N884" s="1" t="str">
        <f>VLOOKUP(E884,'[1]ORG CODES'!$A:$C,3,FALSE)</f>
        <v>3399   FEE &amp; INT.REV.IRA</v>
      </c>
    </row>
    <row r="885" spans="1:14" hidden="1" x14ac:dyDescent="0.25">
      <c r="A885" t="str">
        <f>VLOOKUP(E885,'[1]ORG CODES'!$A:$B,2,FALSE)</f>
        <v>Student Funded Programs</v>
      </c>
      <c r="B885" s="1" t="s">
        <v>2</v>
      </c>
      <c r="C885" s="1" t="s">
        <v>3</v>
      </c>
      <c r="D885" s="1" t="s">
        <v>4</v>
      </c>
      <c r="E885" s="1" t="s">
        <v>92</v>
      </c>
      <c r="F885" s="1" t="s">
        <v>22</v>
      </c>
      <c r="H885" s="1" t="s">
        <v>204</v>
      </c>
      <c r="I885" s="1">
        <v>0</v>
      </c>
      <c r="J885" s="2">
        <v>260442</v>
      </c>
      <c r="K885" s="2">
        <v>0</v>
      </c>
      <c r="L885" s="2">
        <v>-260442</v>
      </c>
      <c r="M885" s="2">
        <v>0</v>
      </c>
      <c r="N885" s="1" t="str">
        <f>VLOOKUP(E885,'[1]ORG CODES'!$A:$C,3,FALSE)</f>
        <v>3402   ASA CARRY OVER FUND</v>
      </c>
    </row>
    <row r="886" spans="1:14" hidden="1" x14ac:dyDescent="0.25">
      <c r="A886" t="str">
        <f>VLOOKUP(E886,'[1]ORG CODES'!$A:$B,2,FALSE)</f>
        <v>Student Funded Programs</v>
      </c>
      <c r="B886" s="1" t="s">
        <v>2</v>
      </c>
      <c r="C886" s="1" t="s">
        <v>3</v>
      </c>
      <c r="D886" s="1" t="s">
        <v>4</v>
      </c>
      <c r="E886" s="1" t="s">
        <v>94</v>
      </c>
      <c r="F886" s="1" t="s">
        <v>22</v>
      </c>
      <c r="H886" s="1" t="s">
        <v>204</v>
      </c>
      <c r="I886" s="1">
        <v>0</v>
      </c>
      <c r="J886" s="2">
        <v>-18955</v>
      </c>
      <c r="K886" s="2">
        <v>0</v>
      </c>
      <c r="L886" s="2">
        <v>18955</v>
      </c>
      <c r="M886" s="2">
        <v>0</v>
      </c>
      <c r="N886" s="1" t="str">
        <f>VLOOKUP(E886,'[1]ORG CODES'!$A:$C,3,FALSE)</f>
        <v>3404  MUSIC AUDITORIUM LIGHTS</v>
      </c>
    </row>
    <row r="887" spans="1:14" hidden="1" x14ac:dyDescent="0.25">
      <c r="A887" t="str">
        <f>VLOOKUP(E887,'[1]ORG CODES'!$A:$B,2,FALSE)</f>
        <v>Student Funded Programs</v>
      </c>
      <c r="B887" s="1" t="s">
        <v>2</v>
      </c>
      <c r="C887" s="1" t="s">
        <v>3</v>
      </c>
      <c r="D887" s="1" t="s">
        <v>4</v>
      </c>
      <c r="E887" s="1" t="s">
        <v>103</v>
      </c>
      <c r="F887" s="1" t="s">
        <v>22</v>
      </c>
      <c r="H887" s="1" t="s">
        <v>204</v>
      </c>
      <c r="I887" s="1">
        <v>0</v>
      </c>
      <c r="J887" s="2">
        <v>-138</v>
      </c>
      <c r="K887" s="2">
        <v>0</v>
      </c>
      <c r="L887" s="2">
        <v>138</v>
      </c>
      <c r="M887" s="2">
        <v>0</v>
      </c>
      <c r="N887" s="1" t="str">
        <f>VLOOKUP(E887,'[1]ORG CODES'!$A:$C,3,FALSE)</f>
        <v>3410   ASA GENERAL FUND</v>
      </c>
    </row>
    <row r="888" spans="1:14" hidden="1" x14ac:dyDescent="0.25">
      <c r="A888" t="str">
        <f>VLOOKUP(E888,'[1]ORG CODES'!$A:$B,2,FALSE)</f>
        <v>Student Funded Programs</v>
      </c>
      <c r="B888" s="1" t="s">
        <v>2</v>
      </c>
      <c r="C888" s="1" t="s">
        <v>3</v>
      </c>
      <c r="D888" s="1" t="s">
        <v>4</v>
      </c>
      <c r="E888" s="1" t="s">
        <v>109</v>
      </c>
      <c r="F888" s="1" t="s">
        <v>22</v>
      </c>
      <c r="H888" s="1" t="s">
        <v>204</v>
      </c>
      <c r="I888" s="1">
        <v>0</v>
      </c>
      <c r="J888" s="2">
        <v>-2</v>
      </c>
      <c r="K888" s="2">
        <v>0</v>
      </c>
      <c r="L888" s="2">
        <v>2</v>
      </c>
      <c r="M888" s="2">
        <v>0</v>
      </c>
      <c r="N888" s="1" t="str">
        <f>VLOOKUP(E888,'[1]ORG CODES'!$A:$C,3,FALSE)</f>
        <v>3414   CULTURAL SERIES</v>
      </c>
    </row>
    <row r="889" spans="1:14" hidden="1" x14ac:dyDescent="0.25">
      <c r="A889" t="str">
        <f>VLOOKUP(E889,'[1]ORG CODES'!$A:$B,2,FALSE)</f>
        <v>Student Funded Programs</v>
      </c>
      <c r="B889" s="1" t="s">
        <v>2</v>
      </c>
      <c r="C889" s="1" t="s">
        <v>3</v>
      </c>
      <c r="D889" s="1" t="s">
        <v>4</v>
      </c>
      <c r="E889" s="1" t="s">
        <v>115</v>
      </c>
      <c r="F889" s="1" t="s">
        <v>22</v>
      </c>
      <c r="H889" s="1" t="s">
        <v>204</v>
      </c>
      <c r="I889" s="1">
        <v>0</v>
      </c>
      <c r="J889" s="2">
        <v>-505</v>
      </c>
      <c r="K889" s="2">
        <v>0</v>
      </c>
      <c r="L889" s="2">
        <v>505</v>
      </c>
      <c r="M889" s="2">
        <v>0</v>
      </c>
      <c r="N889" s="1" t="str">
        <f>VLOOKUP(E889,'[1]ORG CODES'!$A:$C,3,FALSE)</f>
        <v>3418   FOOD BANK</v>
      </c>
    </row>
    <row r="890" spans="1:14" hidden="1" x14ac:dyDescent="0.25">
      <c r="A890" t="str">
        <f>VLOOKUP(E890,'[1]ORG CODES'!$A:$B,2,FALSE)</f>
        <v>Student Funded Programs</v>
      </c>
      <c r="B890" s="1" t="s">
        <v>2</v>
      </c>
      <c r="C890" s="1" t="s">
        <v>3</v>
      </c>
      <c r="D890" s="1" t="s">
        <v>4</v>
      </c>
      <c r="E890" s="1" t="s">
        <v>117</v>
      </c>
      <c r="F890" s="1" t="s">
        <v>22</v>
      </c>
      <c r="H890" s="1" t="s">
        <v>204</v>
      </c>
      <c r="I890" s="1">
        <v>0</v>
      </c>
      <c r="J890" s="2">
        <v>-22</v>
      </c>
      <c r="K890" s="2">
        <v>0</v>
      </c>
      <c r="L890" s="2">
        <v>22</v>
      </c>
      <c r="M890" s="2">
        <v>0</v>
      </c>
      <c r="N890" s="1" t="str">
        <f>VLOOKUP(E890,'[1]ORG CODES'!$A:$C,3,FALSE)</f>
        <v>3420   SPECIAL EVENTS</v>
      </c>
    </row>
    <row r="891" spans="1:14" hidden="1" x14ac:dyDescent="0.25">
      <c r="A891" t="str">
        <f>VLOOKUP(E891,'[1]ORG CODES'!$A:$B,2,FALSE)</f>
        <v>Student Funded Programs</v>
      </c>
      <c r="B891" s="1" t="s">
        <v>2</v>
      </c>
      <c r="C891" s="1" t="s">
        <v>3</v>
      </c>
      <c r="D891" s="1" t="s">
        <v>4</v>
      </c>
      <c r="E891" s="1" t="s">
        <v>118</v>
      </c>
      <c r="F891" s="1" t="s">
        <v>22</v>
      </c>
      <c r="H891" s="1" t="s">
        <v>204</v>
      </c>
      <c r="I891" s="1">
        <v>0</v>
      </c>
      <c r="J891" s="2">
        <v>-30</v>
      </c>
      <c r="K891" s="2">
        <v>0</v>
      </c>
      <c r="L891" s="2">
        <v>30</v>
      </c>
      <c r="M891" s="2">
        <v>0</v>
      </c>
      <c r="N891" s="1" t="str">
        <f>VLOOKUP(E891,'[1]ORG CODES'!$A:$C,3,FALSE)</f>
        <v>3421   CONCERTS/COMEDY</v>
      </c>
    </row>
    <row r="892" spans="1:14" hidden="1" x14ac:dyDescent="0.25">
      <c r="A892" t="str">
        <f>VLOOKUP(E892,'[1]ORG CODES'!$A:$B,2,FALSE)</f>
        <v>Student Funded Programs</v>
      </c>
      <c r="B892" s="1" t="s">
        <v>2</v>
      </c>
      <c r="C892" s="1" t="s">
        <v>3</v>
      </c>
      <c r="D892" s="1" t="s">
        <v>4</v>
      </c>
      <c r="E892" s="1" t="s">
        <v>120</v>
      </c>
      <c r="F892" s="1" t="s">
        <v>22</v>
      </c>
      <c r="H892" s="1" t="s">
        <v>204</v>
      </c>
      <c r="I892" s="1">
        <v>0</v>
      </c>
      <c r="J892" s="2">
        <v>0</v>
      </c>
      <c r="K892" s="2">
        <v>0</v>
      </c>
      <c r="L892" s="2">
        <v>0</v>
      </c>
      <c r="M892" s="2">
        <v>0</v>
      </c>
      <c r="N892" s="1" t="str">
        <f>VLOOKUP(E892,'[1]ORG CODES'!$A:$C,3,FALSE)</f>
        <v>3423   COLLEGE-WIDE THEME</v>
      </c>
    </row>
    <row r="893" spans="1:14" hidden="1" x14ac:dyDescent="0.25">
      <c r="A893" t="str">
        <f>VLOOKUP(E893,'[1]ORG CODES'!$A:$B,2,FALSE)</f>
        <v>Student Funded Programs</v>
      </c>
      <c r="B893" s="1" t="s">
        <v>2</v>
      </c>
      <c r="C893" s="1" t="s">
        <v>3</v>
      </c>
      <c r="D893" s="1" t="s">
        <v>4</v>
      </c>
      <c r="E893" s="1" t="s">
        <v>122</v>
      </c>
      <c r="F893" s="1" t="s">
        <v>22</v>
      </c>
      <c r="H893" s="1" t="s">
        <v>204</v>
      </c>
      <c r="I893" s="1">
        <v>0</v>
      </c>
      <c r="J893" s="2">
        <v>-219</v>
      </c>
      <c r="K893" s="2">
        <v>0</v>
      </c>
      <c r="L893" s="2">
        <v>219</v>
      </c>
      <c r="M893" s="2">
        <v>0</v>
      </c>
      <c r="N893" s="1" t="str">
        <f>VLOOKUP(E893,'[1]ORG CODES'!$A:$C,3,FALSE)</f>
        <v>3425   OUTREACH EDUCATION</v>
      </c>
    </row>
    <row r="894" spans="1:14" hidden="1" x14ac:dyDescent="0.25">
      <c r="A894" t="str">
        <f>VLOOKUP(E894,'[1]ORG CODES'!$A:$B,2,FALSE)</f>
        <v>Student Funded Programs</v>
      </c>
      <c r="B894" s="1" t="s">
        <v>2</v>
      </c>
      <c r="C894" s="1" t="s">
        <v>3</v>
      </c>
      <c r="D894" s="1" t="s">
        <v>4</v>
      </c>
      <c r="E894" s="1" t="s">
        <v>123</v>
      </c>
      <c r="F894" s="1" t="s">
        <v>22</v>
      </c>
      <c r="H894" s="1" t="s">
        <v>204</v>
      </c>
      <c r="I894" s="1">
        <v>0</v>
      </c>
      <c r="J894" s="2">
        <v>-4597</v>
      </c>
      <c r="K894" s="2">
        <v>0</v>
      </c>
      <c r="L894" s="2">
        <v>4597</v>
      </c>
      <c r="M894" s="2">
        <v>0</v>
      </c>
      <c r="N894" s="1" t="str">
        <f>VLOOKUP(E894,'[1]ORG CODES'!$A:$C,3,FALSE)</f>
        <v>3426   EQUIPMENT</v>
      </c>
    </row>
    <row r="895" spans="1:14" hidden="1" x14ac:dyDescent="0.25">
      <c r="A895" t="str">
        <f>VLOOKUP(E895,'[1]ORG CODES'!$A:$B,2,FALSE)</f>
        <v>Student Funded Programs</v>
      </c>
      <c r="B895" s="1" t="s">
        <v>2</v>
      </c>
      <c r="C895" s="1" t="s">
        <v>3</v>
      </c>
      <c r="D895" s="1" t="s">
        <v>4</v>
      </c>
      <c r="E895" s="1" t="s">
        <v>125</v>
      </c>
      <c r="F895" s="1" t="s">
        <v>22</v>
      </c>
      <c r="H895" s="1" t="s">
        <v>204</v>
      </c>
      <c r="I895" s="1">
        <v>0</v>
      </c>
      <c r="J895" s="2">
        <v>-2293</v>
      </c>
      <c r="K895" s="2">
        <v>0</v>
      </c>
      <c r="L895" s="2">
        <v>2293</v>
      </c>
      <c r="M895" s="2">
        <v>0</v>
      </c>
      <c r="N895" s="1" t="str">
        <f>VLOOKUP(E895,'[1]ORG CODES'!$A:$C,3,FALSE)</f>
        <v>3428   SECURITY</v>
      </c>
    </row>
    <row r="896" spans="1:14" hidden="1" x14ac:dyDescent="0.25">
      <c r="A896" t="str">
        <f>VLOOKUP(E896,'[1]ORG CODES'!$A:$B,2,FALSE)</f>
        <v>Student Funded Programs</v>
      </c>
      <c r="B896" s="1" t="s">
        <v>2</v>
      </c>
      <c r="C896" s="1" t="s">
        <v>3</v>
      </c>
      <c r="D896" s="1" t="s">
        <v>4</v>
      </c>
      <c r="E896" s="1" t="s">
        <v>126</v>
      </c>
      <c r="F896" s="1" t="s">
        <v>22</v>
      </c>
      <c r="H896" s="1" t="s">
        <v>204</v>
      </c>
      <c r="I896" s="1">
        <v>0</v>
      </c>
      <c r="J896" s="2">
        <v>-230316</v>
      </c>
      <c r="K896" s="2">
        <v>0</v>
      </c>
      <c r="L896" s="2">
        <v>230316</v>
      </c>
      <c r="M896" s="2">
        <v>0</v>
      </c>
      <c r="N896" s="1" t="str">
        <f>VLOOKUP(E896,'[1]ORG CODES'!$A:$C,3,FALSE)</f>
        <v>3429   SUB RENOVATION</v>
      </c>
    </row>
    <row r="897" spans="1:14" hidden="1" x14ac:dyDescent="0.25">
      <c r="A897" t="str">
        <f>VLOOKUP(E897,'[1]ORG CODES'!$A:$B,2,FALSE)</f>
        <v>Student Funded Programs</v>
      </c>
      <c r="B897" s="1" t="s">
        <v>2</v>
      </c>
      <c r="C897" s="1" t="s">
        <v>3</v>
      </c>
      <c r="D897" s="1" t="s">
        <v>4</v>
      </c>
      <c r="E897" s="1" t="s">
        <v>127</v>
      </c>
      <c r="F897" s="1" t="s">
        <v>22</v>
      </c>
      <c r="H897" s="1" t="s">
        <v>204</v>
      </c>
      <c r="I897" s="1">
        <v>0</v>
      </c>
      <c r="J897" s="2">
        <v>-6419</v>
      </c>
      <c r="K897" s="2">
        <v>0</v>
      </c>
      <c r="L897" s="2">
        <v>6419</v>
      </c>
      <c r="M897" s="2">
        <v>0</v>
      </c>
      <c r="N897" s="1" t="str">
        <f>VLOOKUP(E897,'[1]ORG CODES'!$A:$C,3,FALSE)</f>
        <v>3430   STUDENT MEDIA LAB</v>
      </c>
    </row>
    <row r="898" spans="1:14" hidden="1" x14ac:dyDescent="0.25">
      <c r="A898" t="str">
        <f>VLOOKUP(E898,'[1]ORG CODES'!$A:$B,2,FALSE)</f>
        <v>Student Funded Programs</v>
      </c>
      <c r="B898" s="1" t="s">
        <v>2</v>
      </c>
      <c r="C898" s="1" t="s">
        <v>3</v>
      </c>
      <c r="D898" s="1" t="s">
        <v>4</v>
      </c>
      <c r="E898" s="1" t="s">
        <v>129</v>
      </c>
      <c r="F898" s="1" t="s">
        <v>22</v>
      </c>
      <c r="H898" s="1" t="s">
        <v>204</v>
      </c>
      <c r="I898" s="1">
        <v>0</v>
      </c>
      <c r="J898" s="2">
        <v>0</v>
      </c>
      <c r="K898" s="2">
        <v>0</v>
      </c>
      <c r="L898" s="2">
        <v>0</v>
      </c>
      <c r="M898" s="2">
        <v>0</v>
      </c>
      <c r="N898" s="1" t="str">
        <f>VLOOKUP(E898,'[1]ORG CODES'!$A:$C,3,FALSE)</f>
        <v>3432   ATHLETICS STADIUM</v>
      </c>
    </row>
    <row r="899" spans="1:14" hidden="1" x14ac:dyDescent="0.25">
      <c r="A899" t="str">
        <f>VLOOKUP(E899,'[1]ORG CODES'!$A:$B,2,FALSE)</f>
        <v>Student Funded Programs</v>
      </c>
      <c r="B899" s="1" t="s">
        <v>2</v>
      </c>
      <c r="C899" s="1" t="s">
        <v>3</v>
      </c>
      <c r="D899" s="1" t="s">
        <v>4</v>
      </c>
      <c r="E899" s="1" t="s">
        <v>130</v>
      </c>
      <c r="F899" s="1" t="s">
        <v>22</v>
      </c>
      <c r="H899" s="1" t="s">
        <v>204</v>
      </c>
      <c r="I899" s="1">
        <v>0</v>
      </c>
      <c r="J899" s="2">
        <v>-1458</v>
      </c>
      <c r="K899" s="2">
        <v>0</v>
      </c>
      <c r="L899" s="2">
        <v>1458</v>
      </c>
      <c r="M899" s="2">
        <v>0</v>
      </c>
      <c r="N899" s="1" t="str">
        <f>VLOOKUP(E899,'[1]ORG CODES'!$A:$C,3,FALSE)</f>
        <v>3433   ANIME CLUB</v>
      </c>
    </row>
    <row r="900" spans="1:14" hidden="1" x14ac:dyDescent="0.25">
      <c r="A900" t="str">
        <f>VLOOKUP(E900,'[1]ORG CODES'!$A:$B,2,FALSE)</f>
        <v>Student Funded Programs</v>
      </c>
      <c r="B900" s="1" t="s">
        <v>2</v>
      </c>
      <c r="C900" s="1" t="s">
        <v>3</v>
      </c>
      <c r="D900" s="1" t="s">
        <v>4</v>
      </c>
      <c r="E900" s="1" t="s">
        <v>132</v>
      </c>
      <c r="F900" s="1" t="s">
        <v>22</v>
      </c>
      <c r="H900" s="1" t="s">
        <v>204</v>
      </c>
      <c r="I900" s="1">
        <v>0</v>
      </c>
      <c r="J900" s="2">
        <v>809</v>
      </c>
      <c r="K900" s="2">
        <v>0</v>
      </c>
      <c r="L900" s="2">
        <v>-809</v>
      </c>
      <c r="M900" s="2">
        <v>0</v>
      </c>
      <c r="N900" s="1" t="str">
        <f>VLOOKUP(E900,'[1]ORG CODES'!$A:$C,3,FALSE)</f>
        <v>3435   BLACK STUDENT UNION</v>
      </c>
    </row>
    <row r="901" spans="1:14" hidden="1" x14ac:dyDescent="0.25">
      <c r="A901" t="str">
        <f>VLOOKUP(E901,'[1]ORG CODES'!$A:$B,2,FALSE)</f>
        <v>Student Funded Programs</v>
      </c>
      <c r="B901" s="1" t="s">
        <v>2</v>
      </c>
      <c r="C901" s="1" t="s">
        <v>3</v>
      </c>
      <c r="D901" s="1" t="s">
        <v>4</v>
      </c>
      <c r="E901" s="1" t="s">
        <v>134</v>
      </c>
      <c r="F901" s="1" t="s">
        <v>22</v>
      </c>
      <c r="H901" s="1" t="s">
        <v>204</v>
      </c>
      <c r="I901" s="1">
        <v>0</v>
      </c>
      <c r="J901" s="2">
        <v>-536</v>
      </c>
      <c r="K901" s="2">
        <v>0</v>
      </c>
      <c r="L901" s="2">
        <v>536</v>
      </c>
      <c r="M901" s="2">
        <v>0</v>
      </c>
      <c r="N901" s="1" t="str">
        <f>VLOOKUP(E901,'[1]ORG CODES'!$A:$C,3,FALSE)</f>
        <v>3436   ART CLUB</v>
      </c>
    </row>
    <row r="902" spans="1:14" hidden="1" x14ac:dyDescent="0.25">
      <c r="A902" t="str">
        <f>VLOOKUP(E902,'[1]ORG CODES'!$A:$B,2,FALSE)</f>
        <v>Student Funded Programs</v>
      </c>
      <c r="B902" s="1" t="s">
        <v>2</v>
      </c>
      <c r="C902" s="1" t="s">
        <v>3</v>
      </c>
      <c r="D902" s="1" t="s">
        <v>4</v>
      </c>
      <c r="E902" s="1" t="s">
        <v>135</v>
      </c>
      <c r="F902" s="1" t="s">
        <v>22</v>
      </c>
      <c r="H902" s="1" t="s">
        <v>204</v>
      </c>
      <c r="I902" s="1">
        <v>0</v>
      </c>
      <c r="J902" s="2">
        <v>-418</v>
      </c>
      <c r="K902" s="2">
        <v>0</v>
      </c>
      <c r="L902" s="2">
        <v>418</v>
      </c>
      <c r="M902" s="2">
        <v>0</v>
      </c>
      <c r="N902" s="1" t="str">
        <f>VLOOKUP(E902,'[1]ORG CODES'!$A:$C,3,FALSE)</f>
        <v>3437   SFCC VETS CLUB</v>
      </c>
    </row>
    <row r="903" spans="1:14" hidden="1" x14ac:dyDescent="0.25">
      <c r="A903" t="str">
        <f>VLOOKUP(E903,'[1]ORG CODES'!$A:$B,2,FALSE)</f>
        <v>Student Funded Programs</v>
      </c>
      <c r="B903" s="1" t="s">
        <v>2</v>
      </c>
      <c r="C903" s="1" t="s">
        <v>3</v>
      </c>
      <c r="D903" s="1" t="s">
        <v>4</v>
      </c>
      <c r="E903" s="1" t="s">
        <v>140</v>
      </c>
      <c r="F903" s="1" t="s">
        <v>22</v>
      </c>
      <c r="H903" s="1" t="s">
        <v>204</v>
      </c>
      <c r="I903" s="1">
        <v>0</v>
      </c>
      <c r="J903" s="2">
        <v>-1686</v>
      </c>
      <c r="K903" s="2">
        <v>0</v>
      </c>
      <c r="L903" s="2">
        <v>1686</v>
      </c>
      <c r="M903" s="2">
        <v>0</v>
      </c>
      <c r="N903" s="1" t="str">
        <f>VLOOKUP(E903,'[1]ORG CODES'!$A:$C,3,FALSE)</f>
        <v>3441  JAPANESE CLUB</v>
      </c>
    </row>
    <row r="904" spans="1:14" hidden="1" x14ac:dyDescent="0.25">
      <c r="A904" t="str">
        <f>VLOOKUP(E904,'[1]ORG CODES'!$A:$B,2,FALSE)</f>
        <v>Student Funded Programs</v>
      </c>
      <c r="B904" s="1" t="s">
        <v>2</v>
      </c>
      <c r="C904" s="1" t="s">
        <v>3</v>
      </c>
      <c r="D904" s="1" t="s">
        <v>4</v>
      </c>
      <c r="E904" s="1" t="s">
        <v>142</v>
      </c>
      <c r="F904" s="1" t="s">
        <v>22</v>
      </c>
      <c r="H904" s="1" t="s">
        <v>204</v>
      </c>
      <c r="I904" s="1">
        <v>0</v>
      </c>
      <c r="J904" s="2">
        <v>-709</v>
      </c>
      <c r="K904" s="2">
        <v>0</v>
      </c>
      <c r="L904" s="2">
        <v>709</v>
      </c>
      <c r="M904" s="2">
        <v>0</v>
      </c>
      <c r="N904" s="1" t="str">
        <f>VLOOKUP(E904,'[1]ORG CODES'!$A:$C,3,FALSE)</f>
        <v>3442   ASSOC WOMEN STUDENTS</v>
      </c>
    </row>
    <row r="905" spans="1:14" hidden="1" x14ac:dyDescent="0.25">
      <c r="A905" t="str">
        <f>VLOOKUP(E905,'[1]ORG CODES'!$A:$B,2,FALSE)</f>
        <v>Student Funded Programs</v>
      </c>
      <c r="B905" s="1" t="s">
        <v>2</v>
      </c>
      <c r="C905" s="1" t="s">
        <v>3</v>
      </c>
      <c r="D905" s="1" t="s">
        <v>4</v>
      </c>
      <c r="E905" s="1" t="s">
        <v>144</v>
      </c>
      <c r="F905" s="1" t="s">
        <v>22</v>
      </c>
      <c r="H905" s="1" t="s">
        <v>204</v>
      </c>
      <c r="I905" s="1">
        <v>0</v>
      </c>
      <c r="J905" s="2">
        <v>-117</v>
      </c>
      <c r="K905" s="2">
        <v>0</v>
      </c>
      <c r="L905" s="2">
        <v>117</v>
      </c>
      <c r="M905" s="2">
        <v>0</v>
      </c>
      <c r="N905" s="1" t="str">
        <f>VLOOKUP(E905,'[1]ORG CODES'!$A:$C,3,FALSE)</f>
        <v>3443   DANCE CLUB</v>
      </c>
    </row>
    <row r="906" spans="1:14" hidden="1" x14ac:dyDescent="0.25">
      <c r="A906" t="str">
        <f>VLOOKUP(E906,'[1]ORG CODES'!$A:$B,2,FALSE)</f>
        <v>Student Funded Programs</v>
      </c>
      <c r="B906" s="1" t="s">
        <v>2</v>
      </c>
      <c r="C906" s="1" t="s">
        <v>3</v>
      </c>
      <c r="D906" s="1" t="s">
        <v>4</v>
      </c>
      <c r="E906" s="1" t="s">
        <v>146</v>
      </c>
      <c r="F906" s="1" t="s">
        <v>22</v>
      </c>
      <c r="H906" s="1" t="s">
        <v>204</v>
      </c>
      <c r="I906" s="1">
        <v>0</v>
      </c>
      <c r="J906" s="2">
        <v>-141.5</v>
      </c>
      <c r="K906" s="2">
        <v>0</v>
      </c>
      <c r="L906" s="2">
        <v>141.5</v>
      </c>
      <c r="M906" s="2">
        <v>0</v>
      </c>
      <c r="N906" s="1" t="str">
        <f>VLOOKUP(E906,'[1]ORG CODES'!$A:$C,3,FALSE)</f>
        <v>3445   ASIAN AMERICAN CLUB</v>
      </c>
    </row>
    <row r="907" spans="1:14" hidden="1" x14ac:dyDescent="0.25">
      <c r="A907" t="str">
        <f>VLOOKUP(E907,'[1]ORG CODES'!$A:$B,2,FALSE)</f>
        <v>Student Funded Programs</v>
      </c>
      <c r="B907" s="1" t="s">
        <v>2</v>
      </c>
      <c r="C907" s="1" t="s">
        <v>3</v>
      </c>
      <c r="D907" s="1" t="s">
        <v>4</v>
      </c>
      <c r="E907" s="1" t="s">
        <v>149</v>
      </c>
      <c r="F907" s="1" t="s">
        <v>22</v>
      </c>
      <c r="H907" s="1" t="s">
        <v>204</v>
      </c>
      <c r="I907" s="1">
        <v>0</v>
      </c>
      <c r="J907" s="2">
        <v>-34</v>
      </c>
      <c r="K907" s="2">
        <v>0</v>
      </c>
      <c r="L907" s="2">
        <v>34</v>
      </c>
      <c r="M907" s="2">
        <v>0</v>
      </c>
      <c r="N907" s="1" t="str">
        <f>VLOOKUP(E907,'[1]ORG CODES'!$A:$C,3,FALSE)</f>
        <v>3446   SVC LRN</v>
      </c>
    </row>
    <row r="908" spans="1:14" hidden="1" x14ac:dyDescent="0.25">
      <c r="A908" t="str">
        <f>VLOOKUP(E908,'[1]ORG CODES'!$A:$B,2,FALSE)</f>
        <v>Student Funded Programs</v>
      </c>
      <c r="B908" s="1" t="s">
        <v>2</v>
      </c>
      <c r="C908" s="1" t="s">
        <v>3</v>
      </c>
      <c r="D908" s="1" t="s">
        <v>4</v>
      </c>
      <c r="E908" s="1" t="s">
        <v>151</v>
      </c>
      <c r="F908" s="1" t="s">
        <v>22</v>
      </c>
      <c r="H908" s="1" t="s">
        <v>204</v>
      </c>
      <c r="I908" s="1">
        <v>0</v>
      </c>
      <c r="J908" s="2">
        <v>-47</v>
      </c>
      <c r="K908" s="2">
        <v>0</v>
      </c>
      <c r="L908" s="2">
        <v>47</v>
      </c>
      <c r="M908" s="2">
        <v>0</v>
      </c>
      <c r="N908" s="1" t="str">
        <f>VLOOKUP(E908,'[1]ORG CODES'!$A:$C,3,FALSE)</f>
        <v>3447   FALLS CHRISTIAN FELLOWSHIP</v>
      </c>
    </row>
    <row r="909" spans="1:14" hidden="1" x14ac:dyDescent="0.25">
      <c r="A909" t="str">
        <f>VLOOKUP(E909,'[1]ORG CODES'!$A:$B,2,FALSE)</f>
        <v>Student Funded Programs</v>
      </c>
      <c r="B909" s="1" t="s">
        <v>2</v>
      </c>
      <c r="C909" s="1" t="s">
        <v>3</v>
      </c>
      <c r="D909" s="1" t="s">
        <v>4</v>
      </c>
      <c r="E909" s="1" t="s">
        <v>152</v>
      </c>
      <c r="F909" s="1" t="s">
        <v>22</v>
      </c>
      <c r="H909" s="1" t="s">
        <v>204</v>
      </c>
      <c r="I909" s="1">
        <v>0</v>
      </c>
      <c r="J909" s="2">
        <v>-1946</v>
      </c>
      <c r="K909" s="2">
        <v>0</v>
      </c>
      <c r="L909" s="2">
        <v>1946</v>
      </c>
      <c r="M909" s="2">
        <v>0</v>
      </c>
      <c r="N909" s="1" t="str">
        <f>VLOOKUP(E909,'[1]ORG CODES'!$A:$C,3,FALSE)</f>
        <v>3348   SFCC GAMERS</v>
      </c>
    </row>
    <row r="910" spans="1:14" hidden="1" x14ac:dyDescent="0.25">
      <c r="A910" t="str">
        <f>VLOOKUP(E910,'[1]ORG CODES'!$A:$B,2,FALSE)</f>
        <v>Student Funded Programs</v>
      </c>
      <c r="B910" s="1" t="s">
        <v>2</v>
      </c>
      <c r="C910" s="1" t="s">
        <v>3</v>
      </c>
      <c r="D910" s="1" t="s">
        <v>4</v>
      </c>
      <c r="E910" s="1" t="s">
        <v>154</v>
      </c>
      <c r="F910" s="1" t="s">
        <v>22</v>
      </c>
      <c r="H910" s="1" t="s">
        <v>204</v>
      </c>
      <c r="I910" s="1">
        <v>0</v>
      </c>
      <c r="J910" s="2">
        <v>-2017</v>
      </c>
      <c r="K910" s="2">
        <v>0</v>
      </c>
      <c r="L910" s="2">
        <v>2017</v>
      </c>
      <c r="M910" s="2">
        <v>0</v>
      </c>
      <c r="N910" s="1" t="str">
        <f>VLOOKUP(E910,'[1]ORG CODES'!$A:$C,3,FALSE)</f>
        <v>3453   INTERIOR DESIGN</v>
      </c>
    </row>
    <row r="911" spans="1:14" hidden="1" x14ac:dyDescent="0.25">
      <c r="A911" t="str">
        <f>VLOOKUP(E911,'[1]ORG CODES'!$A:$B,2,FALSE)</f>
        <v>Student Funded Programs</v>
      </c>
      <c r="B911" s="1" t="s">
        <v>2</v>
      </c>
      <c r="C911" s="1" t="s">
        <v>3</v>
      </c>
      <c r="D911" s="1" t="s">
        <v>4</v>
      </c>
      <c r="E911" s="1" t="s">
        <v>156</v>
      </c>
      <c r="F911" s="1" t="s">
        <v>22</v>
      </c>
      <c r="H911" s="1" t="s">
        <v>204</v>
      </c>
      <c r="I911" s="1">
        <v>0</v>
      </c>
      <c r="J911" s="2">
        <v>-248.5</v>
      </c>
      <c r="K911" s="2">
        <v>0</v>
      </c>
      <c r="L911" s="2">
        <v>248.5</v>
      </c>
      <c r="M911" s="2">
        <v>0</v>
      </c>
      <c r="N911" s="1" t="str">
        <f>VLOOKUP(E911,'[1]ORG CODES'!$A:$C,3,FALSE)</f>
        <v>3454   CHINESE CULTURE</v>
      </c>
    </row>
    <row r="912" spans="1:14" hidden="1" x14ac:dyDescent="0.25">
      <c r="A912" t="str">
        <f>VLOOKUP(E912,'[1]ORG CODES'!$A:$B,2,FALSE)</f>
        <v>Student Funded Programs</v>
      </c>
      <c r="B912" s="1" t="s">
        <v>2</v>
      </c>
      <c r="C912" s="1" t="s">
        <v>3</v>
      </c>
      <c r="D912" s="1" t="s">
        <v>4</v>
      </c>
      <c r="E912" s="1" t="s">
        <v>158</v>
      </c>
      <c r="F912" s="1" t="s">
        <v>22</v>
      </c>
      <c r="H912" s="1" t="s">
        <v>204</v>
      </c>
      <c r="I912" s="1">
        <v>0</v>
      </c>
      <c r="J912" s="2">
        <v>0</v>
      </c>
      <c r="K912" s="2">
        <v>0</v>
      </c>
      <c r="L912" s="2">
        <v>0</v>
      </c>
      <c r="M912" s="2">
        <v>0</v>
      </c>
      <c r="N912" s="1" t="str">
        <f>VLOOKUP(E912,'[1]ORG CODES'!$A:$C,3,FALSE)</f>
        <v>3455   K.I.S.S.</v>
      </c>
    </row>
    <row r="913" spans="1:14" hidden="1" x14ac:dyDescent="0.25">
      <c r="A913" t="str">
        <f>VLOOKUP(E913,'[1]ORG CODES'!$A:$B,2,FALSE)</f>
        <v>Student Funded Programs</v>
      </c>
      <c r="B913" s="1" t="s">
        <v>2</v>
      </c>
      <c r="C913" s="1" t="s">
        <v>3</v>
      </c>
      <c r="D913" s="1" t="s">
        <v>4</v>
      </c>
      <c r="E913" s="1" t="s">
        <v>159</v>
      </c>
      <c r="F913" s="1" t="s">
        <v>22</v>
      </c>
      <c r="H913" s="1" t="s">
        <v>204</v>
      </c>
      <c r="I913" s="1">
        <v>0</v>
      </c>
      <c r="J913" s="2">
        <v>-196</v>
      </c>
      <c r="K913" s="2">
        <v>0</v>
      </c>
      <c r="L913" s="2">
        <v>196</v>
      </c>
      <c r="M913" s="2">
        <v>0</v>
      </c>
      <c r="N913" s="1" t="str">
        <f>VLOOKUP(E913,'[1]ORG CODES'!$A:$C,3,FALSE)</f>
        <v>3456   FRENCH CLUB</v>
      </c>
    </row>
    <row r="914" spans="1:14" hidden="1" x14ac:dyDescent="0.25">
      <c r="A914" t="str">
        <f>VLOOKUP(E914,'[1]ORG CODES'!$A:$B,2,FALSE)</f>
        <v>Student Funded Programs</v>
      </c>
      <c r="B914" s="1" t="s">
        <v>2</v>
      </c>
      <c r="C914" s="1" t="s">
        <v>3</v>
      </c>
      <c r="D914" s="1" t="s">
        <v>4</v>
      </c>
      <c r="E914" s="1" t="s">
        <v>160</v>
      </c>
      <c r="F914" s="1" t="s">
        <v>22</v>
      </c>
      <c r="H914" s="1" t="s">
        <v>204</v>
      </c>
      <c r="I914" s="1">
        <v>0</v>
      </c>
      <c r="J914" s="2">
        <v>-1494</v>
      </c>
      <c r="K914" s="2">
        <v>0</v>
      </c>
      <c r="L914" s="2">
        <v>1494</v>
      </c>
      <c r="M914" s="2">
        <v>0</v>
      </c>
      <c r="N914" s="1" t="str">
        <f>VLOOKUP(E914,'[1]ORG CODES'!$A:$C,3,FALSE)</f>
        <v>3457   THE ALLIANCE</v>
      </c>
    </row>
    <row r="915" spans="1:14" hidden="1" x14ac:dyDescent="0.25">
      <c r="A915" t="str">
        <f>VLOOKUP(E915,'[1]ORG CODES'!$A:$B,2,FALSE)</f>
        <v>Student Funded Programs</v>
      </c>
      <c r="B915" s="1" t="s">
        <v>2</v>
      </c>
      <c r="C915" s="1" t="s">
        <v>3</v>
      </c>
      <c r="D915" s="1" t="s">
        <v>4</v>
      </c>
      <c r="E915" s="1" t="s">
        <v>162</v>
      </c>
      <c r="F915" s="1" t="s">
        <v>22</v>
      </c>
      <c r="H915" s="1" t="s">
        <v>204</v>
      </c>
      <c r="I915" s="1">
        <v>0</v>
      </c>
      <c r="J915" s="2">
        <v>-706</v>
      </c>
      <c r="K915" s="2">
        <v>0</v>
      </c>
      <c r="L915" s="2">
        <v>706</v>
      </c>
      <c r="M915" s="2">
        <v>0</v>
      </c>
      <c r="N915" s="1" t="str">
        <f>VLOOKUP(E915,'[1]ORG CODES'!$A:$C,3,FALSE)</f>
        <v>3458   L.U.A. CLUB</v>
      </c>
    </row>
    <row r="916" spans="1:14" hidden="1" x14ac:dyDescent="0.25">
      <c r="A916" t="str">
        <f>VLOOKUP(E916,'[1]ORG CODES'!$A:$B,2,FALSE)</f>
        <v>Student Funded Programs</v>
      </c>
      <c r="B916" s="1" t="s">
        <v>2</v>
      </c>
      <c r="C916" s="1" t="s">
        <v>3</v>
      </c>
      <c r="D916" s="1" t="s">
        <v>4</v>
      </c>
      <c r="E916" s="1" t="s">
        <v>164</v>
      </c>
      <c r="F916" s="1" t="s">
        <v>22</v>
      </c>
      <c r="H916" s="1" t="s">
        <v>204</v>
      </c>
      <c r="I916" s="1">
        <v>0</v>
      </c>
      <c r="J916" s="2">
        <v>0</v>
      </c>
      <c r="K916" s="2">
        <v>0</v>
      </c>
      <c r="L916" s="2">
        <v>0</v>
      </c>
      <c r="M916" s="2">
        <v>0</v>
      </c>
      <c r="N916" s="1" t="str">
        <f>VLOOKUP(E916,'[1]ORG CODES'!$A:$C,3,FALSE)</f>
        <v>3459   GERMAN KLUB</v>
      </c>
    </row>
    <row r="917" spans="1:14" hidden="1" x14ac:dyDescent="0.25">
      <c r="A917" t="str">
        <f>VLOOKUP(E917,'[1]ORG CODES'!$A:$B,2,FALSE)</f>
        <v>Student Funded Programs</v>
      </c>
      <c r="B917" s="1" t="s">
        <v>2</v>
      </c>
      <c r="C917" s="1" t="s">
        <v>3</v>
      </c>
      <c r="D917" s="1" t="s">
        <v>4</v>
      </c>
      <c r="E917" s="1" t="s">
        <v>165</v>
      </c>
      <c r="F917" s="1" t="s">
        <v>22</v>
      </c>
      <c r="H917" s="1" t="s">
        <v>204</v>
      </c>
      <c r="I917" s="1">
        <v>0</v>
      </c>
      <c r="J917" s="2">
        <v>-861</v>
      </c>
      <c r="K917" s="2">
        <v>0</v>
      </c>
      <c r="L917" s="2">
        <v>861</v>
      </c>
      <c r="M917" s="2">
        <v>0</v>
      </c>
      <c r="N917" s="1" t="str">
        <f>VLOOKUP(E917,'[1]ORG CODES'!$A:$C,3,FALSE)</f>
        <v>3460   INTERPRETER TRNG PRG</v>
      </c>
    </row>
    <row r="918" spans="1:14" hidden="1" x14ac:dyDescent="0.25">
      <c r="A918" t="str">
        <f>VLOOKUP(E918,'[1]ORG CODES'!$A:$B,2,FALSE)</f>
        <v>Student Funded Programs</v>
      </c>
      <c r="B918" s="1" t="s">
        <v>2</v>
      </c>
      <c r="C918" s="1" t="s">
        <v>3</v>
      </c>
      <c r="D918" s="1" t="s">
        <v>4</v>
      </c>
      <c r="E918" s="1" t="s">
        <v>168</v>
      </c>
      <c r="F918" s="1" t="s">
        <v>22</v>
      </c>
      <c r="H918" s="1" t="s">
        <v>204</v>
      </c>
      <c r="I918" s="1">
        <v>0</v>
      </c>
      <c r="J918" s="2">
        <v>-329</v>
      </c>
      <c r="K918" s="2">
        <v>0</v>
      </c>
      <c r="L918" s="2">
        <v>329</v>
      </c>
      <c r="M918" s="2">
        <v>0</v>
      </c>
      <c r="N918" s="1" t="str">
        <f>VLOOKUP(E918,'[1]ORG CODES'!$A:$C,3,FALSE)</f>
        <v>3462   INTERNATIONAL CLUB</v>
      </c>
    </row>
    <row r="919" spans="1:14" hidden="1" x14ac:dyDescent="0.25">
      <c r="A919" t="str">
        <f>VLOOKUP(E919,'[1]ORG CODES'!$A:$B,2,FALSE)</f>
        <v>Student Funded Programs</v>
      </c>
      <c r="B919" s="1" t="s">
        <v>2</v>
      </c>
      <c r="C919" s="1" t="s">
        <v>3</v>
      </c>
      <c r="D919" s="1" t="s">
        <v>4</v>
      </c>
      <c r="E919" s="1" t="s">
        <v>170</v>
      </c>
      <c r="F919" s="1" t="s">
        <v>22</v>
      </c>
      <c r="H919" s="1" t="s">
        <v>204</v>
      </c>
      <c r="I919" s="1">
        <v>0</v>
      </c>
      <c r="J919" s="2">
        <v>-1798</v>
      </c>
      <c r="K919" s="2">
        <v>0</v>
      </c>
      <c r="L919" s="2">
        <v>1798</v>
      </c>
      <c r="M919" s="2">
        <v>0</v>
      </c>
      <c r="N919" s="1" t="str">
        <f>VLOOKUP(E919,'[1]ORG CODES'!$A:$C,3,FALSE)</f>
        <v>3464   JAZZ PRESENTS</v>
      </c>
    </row>
    <row r="920" spans="1:14" hidden="1" x14ac:dyDescent="0.25">
      <c r="A920" t="str">
        <f>VLOOKUP(E920,'[1]ORG CODES'!$A:$B,2,FALSE)</f>
        <v>Student Funded Programs</v>
      </c>
      <c r="B920" s="1" t="s">
        <v>2</v>
      </c>
      <c r="C920" s="1" t="s">
        <v>3</v>
      </c>
      <c r="D920" s="1" t="s">
        <v>4</v>
      </c>
      <c r="E920" s="1" t="s">
        <v>172</v>
      </c>
      <c r="F920" s="1" t="s">
        <v>22</v>
      </c>
      <c r="H920" s="1" t="s">
        <v>204</v>
      </c>
      <c r="I920" s="1">
        <v>0</v>
      </c>
      <c r="J920" s="2">
        <v>-3292</v>
      </c>
      <c r="K920" s="2">
        <v>0</v>
      </c>
      <c r="L920" s="2">
        <v>3292</v>
      </c>
      <c r="M920" s="2">
        <v>0</v>
      </c>
      <c r="N920" s="1" t="str">
        <f>VLOOKUP(E920,'[1]ORG CODES'!$A:$C,3,FALSE)</f>
        <v>3465   RED NATIONS ASSOC</v>
      </c>
    </row>
    <row r="921" spans="1:14" hidden="1" x14ac:dyDescent="0.25">
      <c r="A921" t="str">
        <f>VLOOKUP(E921,'[1]ORG CODES'!$A:$B,2,FALSE)</f>
        <v>Student Funded Programs</v>
      </c>
      <c r="B921" s="1" t="s">
        <v>2</v>
      </c>
      <c r="C921" s="1" t="s">
        <v>3</v>
      </c>
      <c r="D921" s="1" t="s">
        <v>4</v>
      </c>
      <c r="E921" s="1" t="s">
        <v>176</v>
      </c>
      <c r="F921" s="1" t="s">
        <v>22</v>
      </c>
      <c r="H921" s="1" t="s">
        <v>204</v>
      </c>
      <c r="I921" s="1">
        <v>0</v>
      </c>
      <c r="J921" s="2">
        <v>-51</v>
      </c>
      <c r="K921" s="2">
        <v>0</v>
      </c>
      <c r="L921" s="2">
        <v>51</v>
      </c>
      <c r="M921" s="2">
        <v>0</v>
      </c>
      <c r="N921" s="1" t="str">
        <f>VLOOKUP(E921,'[1]ORG CODES'!$A:$C,3,FALSE)</f>
        <v>3466   SPANISH CLUB</v>
      </c>
    </row>
    <row r="922" spans="1:14" hidden="1" x14ac:dyDescent="0.25">
      <c r="A922" t="str">
        <f>VLOOKUP(E922,'[1]ORG CODES'!$A:$B,2,FALSE)</f>
        <v>Student Funded Programs</v>
      </c>
      <c r="B922" s="1" t="s">
        <v>2</v>
      </c>
      <c r="C922" s="1" t="s">
        <v>3</v>
      </c>
      <c r="D922" s="1" t="s">
        <v>4</v>
      </c>
      <c r="E922" s="1" t="s">
        <v>177</v>
      </c>
      <c r="F922" s="1" t="s">
        <v>22</v>
      </c>
      <c r="H922" s="1" t="s">
        <v>204</v>
      </c>
      <c r="I922" s="1">
        <v>0</v>
      </c>
      <c r="J922" s="2">
        <v>-170</v>
      </c>
      <c r="K922" s="2">
        <v>0</v>
      </c>
      <c r="L922" s="2">
        <v>170</v>
      </c>
      <c r="M922" s="2">
        <v>0</v>
      </c>
      <c r="N922" s="1" t="str">
        <f>VLOOKUP(E922,'[1]ORG CODES'!$A:$C,3,FALSE)</f>
        <v>3467   LITERARY CLUB</v>
      </c>
    </row>
    <row r="923" spans="1:14" hidden="1" x14ac:dyDescent="0.25">
      <c r="A923" t="str">
        <f>VLOOKUP(E923,'[1]ORG CODES'!$A:$B,2,FALSE)</f>
        <v>Student Funded Programs</v>
      </c>
      <c r="B923" s="1" t="s">
        <v>2</v>
      </c>
      <c r="C923" s="1" t="s">
        <v>3</v>
      </c>
      <c r="D923" s="1" t="s">
        <v>4</v>
      </c>
      <c r="E923" s="1" t="s">
        <v>178</v>
      </c>
      <c r="F923" s="1" t="s">
        <v>22</v>
      </c>
      <c r="H923" s="1" t="s">
        <v>204</v>
      </c>
      <c r="I923" s="1">
        <v>0</v>
      </c>
      <c r="J923" s="2">
        <v>55</v>
      </c>
      <c r="K923" s="2">
        <v>0</v>
      </c>
      <c r="L923" s="2">
        <v>-55</v>
      </c>
      <c r="M923" s="2">
        <v>0</v>
      </c>
      <c r="N923" s="1" t="str">
        <f>VLOOKUP(E923,'[1]ORG CODES'!$A:$C,3,FALSE)</f>
        <v>3468   WELLNESS CLUB</v>
      </c>
    </row>
    <row r="924" spans="1:14" hidden="1" x14ac:dyDescent="0.25">
      <c r="A924" t="str">
        <f>VLOOKUP(E924,'[1]ORG CODES'!$A:$B,2,FALSE)</f>
        <v>Student Funded Programs</v>
      </c>
      <c r="B924" s="1" t="s">
        <v>2</v>
      </c>
      <c r="C924" s="1" t="s">
        <v>3</v>
      </c>
      <c r="D924" s="1" t="s">
        <v>4</v>
      </c>
      <c r="E924" s="1" t="s">
        <v>179</v>
      </c>
      <c r="F924" s="1" t="s">
        <v>22</v>
      </c>
      <c r="H924" s="1" t="s">
        <v>204</v>
      </c>
      <c r="I924" s="1">
        <v>0</v>
      </c>
      <c r="J924" s="2">
        <v>-1330</v>
      </c>
      <c r="K924" s="2">
        <v>0</v>
      </c>
      <c r="L924" s="2">
        <v>1330</v>
      </c>
      <c r="M924" s="2">
        <v>0</v>
      </c>
      <c r="N924" s="1" t="str">
        <f>VLOOKUP(E924,'[1]ORG CODES'!$A:$C,3,FALSE)</f>
        <v>3469   CHEER SQUAD</v>
      </c>
    </row>
    <row r="925" spans="1:14" hidden="1" x14ac:dyDescent="0.25">
      <c r="A925" t="str">
        <f>VLOOKUP(E925,'[1]ORG CODES'!$A:$B,2,FALSE)</f>
        <v>Student Funded Programs</v>
      </c>
      <c r="B925" s="1" t="s">
        <v>2</v>
      </c>
      <c r="C925" s="1" t="s">
        <v>3</v>
      </c>
      <c r="D925" s="1" t="s">
        <v>4</v>
      </c>
      <c r="E925" s="1" t="s">
        <v>184</v>
      </c>
      <c r="F925" s="1" t="s">
        <v>22</v>
      </c>
      <c r="H925" s="1" t="s">
        <v>204</v>
      </c>
      <c r="I925" s="1">
        <v>0</v>
      </c>
      <c r="J925" s="2">
        <v>-147</v>
      </c>
      <c r="K925" s="2">
        <v>0</v>
      </c>
      <c r="L925" s="2">
        <v>147</v>
      </c>
      <c r="M925" s="2">
        <v>0</v>
      </c>
      <c r="N925" s="1" t="str">
        <f>VLOOKUP(E925,'[1]ORG CODES'!$A:$C,3,FALSE)</f>
        <v>3472   AUDIO ENGINEER CLUB</v>
      </c>
    </row>
    <row r="926" spans="1:14" hidden="1" x14ac:dyDescent="0.25">
      <c r="A926" t="str">
        <f>VLOOKUP(E926,'[1]ORG CODES'!$A:$B,2,FALSE)</f>
        <v>Student Funded Programs</v>
      </c>
      <c r="B926" s="1" t="s">
        <v>2</v>
      </c>
      <c r="C926" s="1" t="s">
        <v>3</v>
      </c>
      <c r="D926" s="1" t="s">
        <v>4</v>
      </c>
      <c r="E926" s="1" t="s">
        <v>185</v>
      </c>
      <c r="F926" s="1" t="s">
        <v>22</v>
      </c>
      <c r="H926" s="1" t="s">
        <v>204</v>
      </c>
      <c r="I926" s="1">
        <v>0</v>
      </c>
      <c r="J926" s="2">
        <v>-933</v>
      </c>
      <c r="K926" s="2">
        <v>0</v>
      </c>
      <c r="L926" s="2">
        <v>933</v>
      </c>
      <c r="M926" s="2">
        <v>0</v>
      </c>
      <c r="N926" s="1" t="str">
        <f>VLOOKUP(E926,'[1]ORG CODES'!$A:$C,3,FALSE)</f>
        <v>3473   EARTH CLUB</v>
      </c>
    </row>
    <row r="927" spans="1:14" hidden="1" x14ac:dyDescent="0.25">
      <c r="A927" t="str">
        <f>VLOOKUP(E927,'[1]ORG CODES'!$A:$B,2,FALSE)</f>
        <v>Student Funded Programs</v>
      </c>
      <c r="B927" s="1" t="s">
        <v>2</v>
      </c>
      <c r="C927" s="1" t="s">
        <v>3</v>
      </c>
      <c r="D927" s="1" t="s">
        <v>4</v>
      </c>
      <c r="E927" s="1" t="s">
        <v>189</v>
      </c>
      <c r="F927" s="1" t="s">
        <v>22</v>
      </c>
      <c r="H927" s="1" t="s">
        <v>204</v>
      </c>
      <c r="I927" s="1">
        <v>0</v>
      </c>
      <c r="J927" s="2">
        <v>47</v>
      </c>
      <c r="K927" s="2">
        <v>0</v>
      </c>
      <c r="L927" s="2">
        <v>-47</v>
      </c>
      <c r="M927" s="2">
        <v>0</v>
      </c>
      <c r="N927" s="1" t="str">
        <f>VLOOKUP(E927,'[1]ORG CODES'!$A:$C,3,FALSE)</f>
        <v>3496   FUTURE TEACHERS</v>
      </c>
    </row>
    <row r="928" spans="1:14" hidden="1" x14ac:dyDescent="0.25">
      <c r="A928" t="str">
        <f>VLOOKUP(E928,'[1]ORG CODES'!$A:$B,2,FALSE)</f>
        <v>Student Funded Programs</v>
      </c>
      <c r="B928" s="1" t="s">
        <v>2</v>
      </c>
      <c r="C928" s="1" t="s">
        <v>3</v>
      </c>
      <c r="D928" s="1" t="s">
        <v>4</v>
      </c>
      <c r="E928" s="1" t="s">
        <v>190</v>
      </c>
      <c r="F928" s="1" t="s">
        <v>6</v>
      </c>
      <c r="H928" s="1" t="s">
        <v>202</v>
      </c>
      <c r="I928" s="1">
        <v>0</v>
      </c>
      <c r="J928" s="2">
        <v>-2409.8200000000002</v>
      </c>
      <c r="K928" s="2">
        <v>0</v>
      </c>
      <c r="L928" s="2">
        <v>2409.8200000000002</v>
      </c>
      <c r="M928" s="2">
        <v>-559.25</v>
      </c>
      <c r="N928" s="1" t="str">
        <f>VLOOKUP(E928,'[1]ORG CODES'!$A:$C,3,FALSE)</f>
        <v>3499   ASA-FEE &amp; INT REV</v>
      </c>
    </row>
  </sheetData>
  <autoFilter ref="A1:N928">
    <filterColumn colId="0">
      <filters>
        <filter val="Dir Athletics &amp; PE"/>
      </filters>
    </filterColumn>
  </autoFilter>
  <sortState ref="A2:O928">
    <sortCondition ref="H2:H9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SFCC STUD FUNDED PRG FY1213 </vt:lpstr>
      <vt:lpstr>DX</vt:lpstr>
      <vt:lpstr>Database</vt:lpstr>
      <vt:lpstr>'SFCC STUD FUNDED PRG FY1213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Whye, Daniel</dc:creator>
  <cp:lastModifiedBy>Whye, Daniel</cp:lastModifiedBy>
  <cp:lastPrinted>2013-09-13T18:13:38Z</cp:lastPrinted>
  <dcterms:created xsi:type="dcterms:W3CDTF">2013-09-12T22:07:06Z</dcterms:created>
  <dcterms:modified xsi:type="dcterms:W3CDTF">2013-09-13T18:17:03Z</dcterms:modified>
</cp:coreProperties>
</file>