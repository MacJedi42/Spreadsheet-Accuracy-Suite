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2" windowWidth="15480" windowHeight="9348"/>
  </bookViews>
  <sheets>
    <sheet name="Weekly Menu K-5 (3)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N14" i="4" l="1"/>
  <c r="N13" i="4"/>
  <c r="P14" i="4" l="1"/>
  <c r="Q14" i="4" s="1"/>
  <c r="N6" i="4" l="1"/>
  <c r="P6" i="4" s="1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 s="1"/>
  <c r="Q11" i="4" s="1"/>
  <c r="N12" i="4"/>
  <c r="P12" i="4" s="1"/>
  <c r="Q12" i="4" s="1"/>
  <c r="P13" i="4"/>
  <c r="Q13" i="4" s="1"/>
  <c r="D18" i="4"/>
  <c r="F18" i="4"/>
  <c r="H18" i="4"/>
  <c r="J18" i="4"/>
  <c r="L18" i="4"/>
  <c r="N21" i="4"/>
  <c r="Q21" i="4" s="1"/>
  <c r="N22" i="4"/>
  <c r="N24" i="4"/>
  <c r="Q24" i="4" s="1"/>
  <c r="N26" i="4"/>
  <c r="Q26" i="4" s="1"/>
  <c r="N18" i="4" l="1"/>
  <c r="P18" i="4"/>
  <c r="Q18" i="4" s="1"/>
  <c r="Q22" i="4"/>
</calcChain>
</file>

<file path=xl/sharedStrings.xml><?xml version="1.0" encoding="utf-8"?>
<sst xmlns="http://schemas.openxmlformats.org/spreadsheetml/2006/main" count="82" uniqueCount="43">
  <si>
    <t>Offer 1 cup/day</t>
  </si>
  <si>
    <t>Non-fat (flavored or unflavored) or 1% unflavored</t>
  </si>
  <si>
    <t>cup</t>
  </si>
  <si>
    <t>MILK</t>
  </si>
  <si>
    <t>8-10 per week (minimum of 1 per day)</t>
  </si>
  <si>
    <t>Minimum of 1 oz. per day</t>
  </si>
  <si>
    <t>oz</t>
  </si>
  <si>
    <t>MEAT / MEAT ALTERNATE</t>
  </si>
  <si>
    <t>Half of all grains must be whole grain</t>
  </si>
  <si>
    <t>List only WGR</t>
  </si>
  <si>
    <t>8-9 (1 per day minimum)</t>
  </si>
  <si>
    <t>Grains (list all WGR and non-WGR)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</si>
  <si>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</si>
  <si>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</si>
  <si>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</si>
  <si>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</si>
  <si>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</si>
  <si>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</si>
  <si>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</si>
  <si>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</si>
  <si>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VEGETABLES - ¾ cup of vegs/day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</si>
  <si>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</si>
  <si>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</si>
  <si>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</si>
  <si>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</si>
  <si>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</si>
  <si>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</si>
  <si>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</si>
  <si>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</si>
  <si>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</si>
  <si>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</si>
  <si>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</si>
  <si>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</si>
  <si>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</si>
  <si>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</si>
  <si>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Age/grade:                 K-5</t>
  </si>
  <si>
    <t>Date: Week # 2</t>
  </si>
  <si>
    <t>VEG TOTALS             (for each day)</t>
  </si>
  <si>
    <t>Fruit Totals            (for each day)</t>
  </si>
  <si>
    <t>½ cup of fruit</t>
  </si>
  <si>
    <t xml:space="preserve">Required weekly vegetable sub-groups adds up to 2 ¾ cups; weekly total of all vegetables is 3 ¾ cups </t>
  </si>
  <si>
    <t>Quantity Difference           (actual vs. required)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</si>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</sst>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vertical="top" wrapText="1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center" vertical="center" wrapText="1"/>
    </xf>
    <xf numFmtId="12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12" fontId="1" fillId="0" borderId="18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7" borderId="19" xfId="0" applyFont="1" applyFill="1" applyBorder="1" applyAlignment="1" applyProtection="1">
      <alignment horizontal="center" vertical="top" wrapText="1"/>
    </xf>
    <xf numFmtId="0" fontId="1" fillId="7" borderId="20" xfId="0" applyFont="1" applyFill="1" applyBorder="1" applyAlignment="1" applyProtection="1">
      <alignment horizontal="center" vertical="top" wrapText="1"/>
      <protection locked="0"/>
    </xf>
    <xf numFmtId="0" fontId="1" fillId="7" borderId="21" xfId="0" applyFont="1" applyFill="1" applyBorder="1" applyAlignment="1" applyProtection="1">
      <alignment horizontal="center" vertical="top" wrapText="1"/>
      <protection locked="0"/>
    </xf>
    <xf numFmtId="0" fontId="3" fillId="7" borderId="22" xfId="0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  <protection locked="0"/>
    </xf>
    <xf numFmtId="12" fontId="1" fillId="0" borderId="14" xfId="0" applyNumberFormat="1" applyFont="1" applyBorder="1" applyAlignment="1" applyProtection="1">
      <alignment horizontal="center" vertical="center" wrapText="1"/>
      <protection locked="0"/>
    </xf>
    <xf numFmtId="0" fontId="1" fillId="9" borderId="19" xfId="0" applyFont="1" applyFill="1" applyBorder="1" applyAlignment="1" applyProtection="1">
      <alignment horizontal="center" vertical="top" wrapText="1"/>
      <protection locked="0"/>
    </xf>
    <xf numFmtId="0" fontId="1" fillId="9" borderId="20" xfId="0" applyFont="1" applyFill="1" applyBorder="1" applyAlignment="1" applyProtection="1">
      <alignment horizontal="center" vertical="top" wrapText="1"/>
      <protection locked="0"/>
    </xf>
    <xf numFmtId="0" fontId="1" fillId="9" borderId="21" xfId="0" applyFont="1" applyFill="1" applyBorder="1" applyAlignment="1" applyProtection="1">
      <alignment horizontal="center" vertical="top" wrapText="1"/>
      <protection locked="0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0" fillId="0" borderId="8" xfId="0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vertical="top" wrapText="1"/>
      <protection locked="0"/>
    </xf>
    <xf numFmtId="0" fontId="1" fillId="0" borderId="26" xfId="0" applyFont="1" applyBorder="1" applyAlignment="1" applyProtection="1">
      <alignment horizontal="center" vertical="top" wrapText="1"/>
      <protection locked="0"/>
    </xf>
    <xf numFmtId="0" fontId="1" fillId="0" borderId="27" xfId="0" applyFont="1" applyBorder="1" applyAlignment="1" applyProtection="1">
      <alignment horizontal="center" vertical="top" wrapText="1"/>
      <protection locked="0"/>
    </xf>
    <xf numFmtId="0" fontId="3" fillId="0" borderId="27" xfId="0" applyFont="1" applyBorder="1" applyAlignment="1" applyProtection="1">
      <alignment horizontal="center" vertical="top" wrapText="1"/>
      <protection locked="0"/>
    </xf>
    <xf numFmtId="0" fontId="3" fillId="0" borderId="28" xfId="0" applyFont="1" applyBorder="1" applyAlignment="1" applyProtection="1">
      <alignment vertical="top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9" borderId="22" xfId="0" applyFont="1" applyFill="1" applyBorder="1" applyAlignment="1" applyProtection="1">
      <alignment horizontal="center" vertical="top" wrapText="1"/>
    </xf>
    <xf numFmtId="0" fontId="1" fillId="9" borderId="15" xfId="0" applyFont="1" applyFill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0" borderId="16" xfId="0" applyFont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</xf>
    <xf numFmtId="0" fontId="1" fillId="9" borderId="10" xfId="0" applyFont="1" applyFill="1" applyBorder="1" applyAlignment="1" applyProtection="1">
      <alignment horizontal="center" vertical="center" wrapText="1"/>
    </xf>
    <xf numFmtId="12" fontId="1" fillId="9" borderId="10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  <protection locked="0"/>
    </xf>
    <xf numFmtId="0" fontId="1" fillId="7" borderId="20" xfId="0" applyFont="1" applyFill="1" applyBorder="1" applyAlignment="1" applyProtection="1">
      <alignment horizontal="center" vertical="top" wrapText="1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7" borderId="22" xfId="0" applyFont="1" applyFill="1" applyBorder="1" applyAlignment="1" applyProtection="1">
      <alignment horizontal="center" vertical="center" wrapText="1"/>
    </xf>
    <xf numFmtId="0" fontId="1" fillId="7" borderId="34" xfId="0" applyFont="1" applyFill="1" applyBorder="1" applyAlignment="1" applyProtection="1">
      <alignment horizontal="center" vertical="center" wrapText="1"/>
    </xf>
    <xf numFmtId="12" fontId="1" fillId="7" borderId="34" xfId="0" applyNumberFormat="1" applyFont="1" applyFill="1" applyBorder="1" applyAlignment="1" applyProtection="1">
      <alignment horizontal="center" vertical="center" wrapText="1"/>
    </xf>
    <xf numFmtId="12" fontId="1" fillId="7" borderId="35" xfId="0" applyNumberFormat="1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top" wrapText="1"/>
    </xf>
    <xf numFmtId="12" fontId="1" fillId="6" borderId="14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6" xfId="0" applyFont="1" applyFill="1" applyBorder="1" applyAlignment="1" applyProtection="1">
      <alignment horizontal="center" vertical="center" wrapText="1"/>
    </xf>
    <xf numFmtId="16" fontId="1" fillId="0" borderId="5" xfId="0" applyNumberFormat="1" applyFont="1" applyBorder="1" applyAlignment="1" applyProtection="1">
      <alignment horizontal="center" vertical="center" wrapText="1"/>
    </xf>
    <xf numFmtId="16" fontId="1" fillId="0" borderId="18" xfId="0" applyNumberFormat="1" applyFont="1" applyBorder="1" applyAlignment="1" applyProtection="1">
      <alignment horizontal="center" vertical="top" wrapText="1"/>
    </xf>
    <xf numFmtId="0" fontId="2" fillId="4" borderId="36" xfId="0" applyFont="1" applyFill="1" applyBorder="1" applyAlignment="1" applyProtection="1">
      <alignment vertical="top" wrapText="1"/>
    </xf>
    <xf numFmtId="0" fontId="2" fillId="4" borderId="20" xfId="0" applyFont="1" applyFill="1" applyBorder="1" applyAlignment="1" applyProtection="1">
      <alignment vertical="top" wrapText="1"/>
    </xf>
    <xf numFmtId="0" fontId="1" fillId="4" borderId="34" xfId="0" applyFont="1" applyFill="1" applyBorder="1" applyAlignment="1" applyProtection="1">
      <alignment horizontal="center" vertical="center" wrapText="1"/>
      <protection locked="0"/>
    </xf>
    <xf numFmtId="12" fontId="1" fillId="4" borderId="34" xfId="0" applyNumberFormat="1" applyFont="1" applyFill="1" applyBorder="1" applyAlignment="1" applyProtection="1">
      <alignment horizontal="center" vertical="center" wrapText="1"/>
      <protection locked="0"/>
    </xf>
    <xf numFmtId="12" fontId="1" fillId="4" borderId="2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20" xfId="0" applyFont="1" applyFill="1" applyBorder="1" applyAlignment="1" applyProtection="1">
      <alignment horizontal="center" vertical="center" wrapText="1"/>
      <protection locked="0"/>
    </xf>
    <xf numFmtId="0" fontId="2" fillId="4" borderId="20" xfId="0" applyFont="1" applyFill="1" applyBorder="1" applyAlignment="1" applyProtection="1">
      <alignment vertical="top" wrapText="1"/>
      <protection locked="0"/>
    </xf>
    <xf numFmtId="0" fontId="2" fillId="4" borderId="19" xfId="0" applyFont="1" applyFill="1" applyBorder="1" applyAlignment="1" applyProtection="1">
      <alignment vertical="top" wrapText="1"/>
    </xf>
    <xf numFmtId="0" fontId="1" fillId="0" borderId="14" xfId="0" applyFont="1" applyBorder="1" applyAlignment="1" applyProtection="1">
      <alignment horizontal="center" vertical="top" wrapText="1"/>
      <protection locked="0"/>
    </xf>
    <xf numFmtId="16" fontId="1" fillId="0" borderId="37" xfId="0" applyNumberFormat="1" applyFont="1" applyBorder="1" applyAlignment="1" applyProtection="1">
      <alignment horizontal="center" vertical="top" wrapText="1"/>
    </xf>
    <xf numFmtId="0" fontId="2" fillId="3" borderId="36" xfId="0" applyFont="1" applyFill="1" applyBorder="1" applyAlignment="1" applyProtection="1">
      <alignment horizontal="left" vertical="top" wrapText="1"/>
    </xf>
    <xf numFmtId="0" fontId="2" fillId="3" borderId="20" xfId="0" applyFont="1" applyFill="1" applyBorder="1" applyAlignment="1" applyProtection="1">
      <alignment horizontal="left" vertical="top" wrapText="1"/>
    </xf>
    <xf numFmtId="0" fontId="2" fillId="3" borderId="20" xfId="0" applyFont="1" applyFill="1" applyBorder="1" applyAlignment="1" applyProtection="1">
      <alignment horizontal="center" vertical="top" wrapText="1"/>
    </xf>
    <xf numFmtId="0" fontId="2" fillId="3" borderId="20" xfId="0" applyFont="1" applyFill="1" applyBorder="1" applyAlignment="1" applyProtection="1">
      <alignment horizontal="left" vertical="top" wrapText="1"/>
      <protection locked="0"/>
    </xf>
    <xf numFmtId="0" fontId="2" fillId="3" borderId="20" xfId="0" applyFont="1" applyFill="1" applyBorder="1" applyAlignment="1" applyProtection="1">
      <alignment horizontal="left" vertical="center" wrapText="1"/>
    </xf>
    <xf numFmtId="0" fontId="2" fillId="3" borderId="19" xfId="0" applyFont="1" applyFill="1" applyBorder="1" applyAlignment="1" applyProtection="1">
      <alignment horizontal="left" vertical="top" wrapText="1"/>
    </xf>
    <xf numFmtId="0" fontId="1" fillId="0" borderId="15" xfId="0" applyFont="1" applyBorder="1" applyAlignment="1" applyProtection="1">
      <alignment vertical="top" wrapText="1"/>
    </xf>
    <xf numFmtId="12" fontId="1" fillId="0" borderId="14" xfId="0" applyNumberFormat="1" applyFont="1" applyBorder="1" applyAlignment="1" applyProtection="1">
      <alignment horizontal="center" vertical="center" wrapText="1"/>
    </xf>
    <xf numFmtId="0" fontId="1" fillId="0" borderId="38" xfId="0" applyFont="1" applyBorder="1" applyAlignment="1" applyProtection="1">
      <alignment horizontal="center" vertical="top" wrapText="1"/>
    </xf>
    <xf numFmtId="0" fontId="1" fillId="0" borderId="13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vertical="top" wrapText="1"/>
    </xf>
    <xf numFmtId="0" fontId="1" fillId="0" borderId="32" xfId="0" applyFont="1" applyBorder="1" applyAlignment="1" applyProtection="1">
      <alignment horizontal="center" vertical="center" wrapText="1"/>
      <protection locked="0"/>
    </xf>
    <xf numFmtId="12" fontId="1" fillId="0" borderId="32" xfId="0" applyNumberFormat="1" applyFont="1" applyBorder="1" applyAlignment="1" applyProtection="1">
      <alignment horizontal="center" vertical="center" wrapText="1"/>
      <protection locked="0"/>
    </xf>
    <xf numFmtId="12" fontId="1" fillId="0" borderId="32" xfId="0" applyNumberFormat="1" applyFont="1" applyBorder="1" applyAlignment="1" applyProtection="1">
      <alignment horizontal="center" vertical="center" wrapText="1"/>
    </xf>
    <xf numFmtId="0" fontId="1" fillId="0" borderId="39" xfId="0" applyFont="1" applyBorder="1" applyAlignment="1" applyProtection="1">
      <alignment horizontal="center" vertical="top" wrapText="1"/>
    </xf>
    <xf numFmtId="0" fontId="1" fillId="0" borderId="31" xfId="0" applyFont="1" applyBorder="1" applyAlignment="1" applyProtection="1">
      <alignment horizontal="center" vertical="center" wrapText="1"/>
    </xf>
    <xf numFmtId="0" fontId="2" fillId="2" borderId="36" xfId="0" applyFont="1" applyFill="1" applyBorder="1" applyAlignment="1" applyProtection="1">
      <alignment horizontal="left" vertical="top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top" wrapText="1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wrapText="1"/>
      <protection locked="0"/>
    </xf>
    <xf numFmtId="0" fontId="3" fillId="0" borderId="8" xfId="0" applyFont="1" applyBorder="1" applyAlignment="1" applyProtection="1">
      <alignment horizontal="center" wrapText="1"/>
      <protection locked="0"/>
    </xf>
    <xf numFmtId="0" fontId="3" fillId="0" borderId="24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4" xfId="0" applyFont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10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Fill="1" applyBorder="1" applyAlignment="1" applyProtection="1">
      <alignment horizontal="center" vertical="center" wrapText="1"/>
    </xf>
    <xf numFmtId="12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3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top" wrapText="1"/>
      <protection locked="0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0" borderId="7" xfId="0" applyFont="1" applyBorder="1" applyAlignment="1" applyProtection="1">
      <alignment horizontal="center" vertical="top" wrapText="1"/>
      <protection locked="0"/>
    </xf>
    <xf numFmtId="0" fontId="1" fillId="0" borderId="33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</xf>
    <xf numFmtId="0" fontId="3" fillId="0" borderId="31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5"/>
  <sheetViews>
    <sheetView tabSelected="1" view="pageLayout" zoomScaleNormal="100" workbookViewId="0">
      <selection activeCell="B5" sqref="B5"/>
    </sheetView>
  </sheetViews>
  <sheetFormatPr defaultColWidth="8.88671875" defaultRowHeight="14.4" x14ac:dyDescent="0.3"/>
  <cols>
    <col min="1" max="1" width="15.6640625" style="4" customWidth="1"/>
    <col min="2" max="2" width="12.6640625" style="2" customWidth="1"/>
    <col min="3" max="3" width="16" style="2" customWidth="1"/>
    <col min="4" max="4" width="6.44140625" style="3" customWidth="1"/>
    <col min="5" max="5" width="16" style="2" customWidth="1"/>
    <col min="6" max="6" width="6.44140625" style="2" customWidth="1"/>
    <col min="7" max="7" width="16" style="2" customWidth="1"/>
    <col min="8" max="8" width="6.44140625" style="2" customWidth="1"/>
    <col min="9" max="9" width="16" style="2" customWidth="1"/>
    <col min="10" max="10" width="6.44140625" style="2" customWidth="1"/>
    <col min="11" max="11" width="16" style="2" customWidth="1"/>
    <col min="12" max="12" width="6.44140625" style="2" customWidth="1"/>
    <col min="13" max="13" width="1.44140625" style="2" customWidth="1"/>
    <col min="14" max="14" width="6.6640625" style="2" customWidth="1"/>
    <col min="15" max="15" width="14.33203125" style="2" customWidth="1"/>
    <col min="16" max="16" width="14.441406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7.6" x14ac:dyDescent="0.3">
      <c r="A1" s="34" t="s">
        <v>36</v>
      </c>
      <c r="B1" s="40" t="s">
        <v>35</v>
      </c>
      <c r="C1" s="33" t="s">
        <v>42</v>
      </c>
      <c r="D1" s="106"/>
      <c r="E1" s="107"/>
      <c r="F1" s="107"/>
      <c r="G1" s="107"/>
      <c r="H1" s="107"/>
      <c r="I1" s="107"/>
      <c r="J1" s="107"/>
      <c r="K1" s="107"/>
      <c r="L1" s="108"/>
      <c r="M1" s="32"/>
      <c r="N1" s="32"/>
      <c r="O1" s="32"/>
      <c r="P1" s="31"/>
      <c r="Q1" s="38" t="s">
        <v>34</v>
      </c>
    </row>
    <row r="2" spans="1:34" ht="15" customHeight="1" x14ac:dyDescent="0.25">
      <c r="A2" s="30"/>
      <c r="B2" s="29"/>
      <c r="C2" s="119" t="s">
        <v>33</v>
      </c>
      <c r="D2" s="119"/>
      <c r="E2" s="119"/>
      <c r="F2" s="119"/>
      <c r="G2" s="119"/>
      <c r="H2" s="119"/>
      <c r="I2" s="119"/>
      <c r="J2" s="119"/>
      <c r="K2" s="119"/>
      <c r="L2" s="119"/>
      <c r="M2" s="49"/>
      <c r="N2" s="122" t="s">
        <v>32</v>
      </c>
      <c r="O2" s="123"/>
      <c r="P2" s="123"/>
      <c r="Q2" s="124"/>
    </row>
    <row r="3" spans="1:34" ht="18.75" customHeight="1" x14ac:dyDescent="0.3">
      <c r="A3" s="101" t="s">
        <v>18</v>
      </c>
      <c r="B3" s="103" t="s">
        <v>17</v>
      </c>
      <c r="C3" s="113" t="s">
        <v>31</v>
      </c>
      <c r="D3" s="114"/>
      <c r="E3" s="113" t="s">
        <v>30</v>
      </c>
      <c r="F3" s="114"/>
      <c r="G3" s="113" t="s">
        <v>29</v>
      </c>
      <c r="H3" s="114"/>
      <c r="I3" s="113" t="s">
        <v>28</v>
      </c>
      <c r="J3" s="114"/>
      <c r="K3" s="113" t="s">
        <v>27</v>
      </c>
      <c r="L3" s="114"/>
      <c r="M3" s="28"/>
      <c r="N3" s="120" t="s">
        <v>14</v>
      </c>
      <c r="O3" s="120" t="s">
        <v>26</v>
      </c>
      <c r="P3" s="120" t="s">
        <v>41</v>
      </c>
      <c r="Q3" s="126" t="s">
        <v>25</v>
      </c>
    </row>
    <row r="4" spans="1:34" ht="34.5" customHeight="1" thickBot="1" x14ac:dyDescent="0.35">
      <c r="A4" s="102"/>
      <c r="B4" s="104"/>
      <c r="C4" s="44" t="s">
        <v>16</v>
      </c>
      <c r="D4" s="52" t="s">
        <v>24</v>
      </c>
      <c r="E4" s="44" t="s">
        <v>16</v>
      </c>
      <c r="F4" s="44" t="s">
        <v>24</v>
      </c>
      <c r="G4" s="44" t="s">
        <v>16</v>
      </c>
      <c r="H4" s="44" t="s">
        <v>24</v>
      </c>
      <c r="I4" s="44" t="s">
        <v>16</v>
      </c>
      <c r="J4" s="44" t="s">
        <v>24</v>
      </c>
      <c r="K4" s="44" t="s">
        <v>16</v>
      </c>
      <c r="L4" s="44" t="s">
        <v>24</v>
      </c>
      <c r="M4" s="27"/>
      <c r="N4" s="121"/>
      <c r="O4" s="121"/>
      <c r="P4" s="121"/>
      <c r="Q4" s="127"/>
    </row>
    <row r="5" spans="1:34" ht="15.75" thickBot="1" x14ac:dyDescent="0.3">
      <c r="A5" s="41" t="s">
        <v>23</v>
      </c>
      <c r="B5" s="26" t="s">
        <v>21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4"/>
    </row>
    <row r="6" spans="1:34" s="22" customFormat="1" x14ac:dyDescent="0.3">
      <c r="A6" s="46" t="s">
        <v>23</v>
      </c>
      <c r="B6" s="35" t="s">
        <v>39</v>
      </c>
      <c r="C6" s="35"/>
      <c r="D6" s="23"/>
      <c r="E6" s="35"/>
      <c r="F6" s="23"/>
      <c r="G6" s="35"/>
      <c r="H6" s="23"/>
      <c r="I6" s="35"/>
      <c r="J6" s="23"/>
      <c r="K6" s="35"/>
      <c r="L6" s="23"/>
      <c r="M6" s="23"/>
      <c r="N6" s="115">
        <f>SUM(D6,F6,H6,J6,L6)</f>
        <v>0</v>
      </c>
      <c r="O6" s="117">
        <v>2.5</v>
      </c>
      <c r="P6" s="117">
        <f>N6-O6</f>
        <v>-2.5</v>
      </c>
      <c r="Q6" s="125" t="str">
        <f>IF(P6&gt;=0,"MEETS","DOES NOT MEET")</f>
        <v>DOES NOT MEET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22" customFormat="1" ht="28.2" thickBot="1" x14ac:dyDescent="0.35">
      <c r="A7" s="42" t="s">
        <v>38</v>
      </c>
      <c r="B7" s="53"/>
      <c r="C7" s="53" t="s">
        <v>19</v>
      </c>
      <c r="D7" s="54">
        <f>D6</f>
        <v>0</v>
      </c>
      <c r="E7" s="53" t="s">
        <v>19</v>
      </c>
      <c r="F7" s="54">
        <f>F6</f>
        <v>0</v>
      </c>
      <c r="G7" s="53" t="s">
        <v>19</v>
      </c>
      <c r="H7" s="54">
        <f>H6</f>
        <v>0</v>
      </c>
      <c r="I7" s="53" t="s">
        <v>19</v>
      </c>
      <c r="J7" s="54">
        <f>J6</f>
        <v>0</v>
      </c>
      <c r="K7" s="53" t="s">
        <v>19</v>
      </c>
      <c r="L7" s="54">
        <f>L6</f>
        <v>0</v>
      </c>
      <c r="M7" s="55"/>
      <c r="N7" s="116"/>
      <c r="O7" s="118"/>
      <c r="P7" s="118"/>
      <c r="Q7" s="125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thickBot="1" x14ac:dyDescent="0.3">
      <c r="A8" s="21" t="s">
        <v>22</v>
      </c>
      <c r="B8" s="20" t="s">
        <v>21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6"/>
      <c r="O8" s="56"/>
      <c r="P8" s="56"/>
      <c r="Q8" s="18"/>
    </row>
    <row r="9" spans="1:34" ht="27.6" x14ac:dyDescent="0.3">
      <c r="A9" s="39" t="s">
        <v>20</v>
      </c>
      <c r="B9" s="36"/>
      <c r="C9" s="36"/>
      <c r="D9" s="17"/>
      <c r="E9" s="36"/>
      <c r="F9" s="17"/>
      <c r="G9" s="36"/>
      <c r="H9" s="17"/>
      <c r="I9" s="36"/>
      <c r="J9" s="17"/>
      <c r="K9" s="36"/>
      <c r="L9" s="17"/>
      <c r="M9" s="17"/>
      <c r="N9" s="16">
        <f>SUM(D9,F9,H9,J9,L9)</f>
        <v>0</v>
      </c>
      <c r="O9" s="16">
        <v>0.5</v>
      </c>
      <c r="P9" s="15">
        <f t="shared" ref="P9:P14" si="0">N9-O9</f>
        <v>-0.5</v>
      </c>
      <c r="Q9" s="14" t="str">
        <f t="shared" ref="Q9:Q14" si="1">IF(P9&gt;=0,"MEETS","DOES NOT MEET")</f>
        <v>DOES NOT MEET</v>
      </c>
    </row>
    <row r="10" spans="1:34" x14ac:dyDescent="0.3">
      <c r="A10" s="9"/>
      <c r="B10" s="37"/>
      <c r="C10" s="36"/>
      <c r="E10" s="36"/>
      <c r="F10" s="3"/>
      <c r="G10" s="36"/>
      <c r="H10" s="3"/>
      <c r="I10" s="36"/>
      <c r="J10" s="3"/>
      <c r="K10" s="36"/>
      <c r="L10" s="3"/>
      <c r="M10" s="3"/>
      <c r="N10" s="47">
        <f>SUM(D10,F10,H10,J10,L10)</f>
        <v>0</v>
      </c>
      <c r="O10" s="47">
        <v>0.75</v>
      </c>
      <c r="P10" s="13">
        <f t="shared" si="0"/>
        <v>-0.75</v>
      </c>
      <c r="Q10" s="8" t="str">
        <f t="shared" si="1"/>
        <v>DOES NOT MEET</v>
      </c>
    </row>
    <row r="11" spans="1:34" x14ac:dyDescent="0.3">
      <c r="A11" s="9"/>
      <c r="B11" s="43"/>
      <c r="C11" s="37"/>
      <c r="E11" s="37"/>
      <c r="F11" s="3"/>
      <c r="G11" s="37"/>
      <c r="H11" s="3"/>
      <c r="I11" s="37"/>
      <c r="J11" s="3"/>
      <c r="K11" s="37"/>
      <c r="L11" s="3"/>
      <c r="M11" s="3"/>
      <c r="N11" s="47">
        <f>SUM(D11,F11,H11,J11,L11)</f>
        <v>0</v>
      </c>
      <c r="O11" s="47">
        <v>0.5</v>
      </c>
      <c r="P11" s="13">
        <f t="shared" si="0"/>
        <v>-0.5</v>
      </c>
      <c r="Q11" s="8" t="str">
        <f t="shared" si="1"/>
        <v>DOES NOT MEET</v>
      </c>
    </row>
    <row r="12" spans="1:34" ht="32.25" customHeight="1" x14ac:dyDescent="0.3">
      <c r="A12" s="9"/>
      <c r="B12" s="37"/>
      <c r="C12" s="37"/>
      <c r="E12" s="37"/>
      <c r="F12" s="3"/>
      <c r="G12" s="37"/>
      <c r="H12" s="3"/>
      <c r="I12" s="37"/>
      <c r="J12" s="3"/>
      <c r="K12" s="37"/>
      <c r="L12" s="3"/>
      <c r="M12" s="3"/>
      <c r="N12" s="47">
        <f>SUM(D12,F12,H12,J12,L12)</f>
        <v>0</v>
      </c>
      <c r="O12" s="47">
        <v>0.5</v>
      </c>
      <c r="P12" s="13">
        <f t="shared" si="0"/>
        <v>-0.5</v>
      </c>
      <c r="Q12" s="8" t="str">
        <f t="shared" si="1"/>
        <v>DOES NOT MEET</v>
      </c>
    </row>
    <row r="13" spans="1:34" ht="29.25" customHeight="1" x14ac:dyDescent="0.3">
      <c r="A13" s="101" t="s">
        <v>40</v>
      </c>
      <c r="B13" s="37"/>
      <c r="C13" s="37"/>
      <c r="E13" s="37"/>
      <c r="F13" s="3"/>
      <c r="G13" s="37"/>
      <c r="H13" s="3"/>
      <c r="I13" s="37"/>
      <c r="J13" s="3"/>
      <c r="K13" s="37"/>
      <c r="L13" s="3"/>
      <c r="M13" s="3"/>
      <c r="N13" s="47">
        <f>SUM(D13,F13,H13,J13,L13)</f>
        <v>0</v>
      </c>
      <c r="O13" s="47">
        <v>0.5</v>
      </c>
      <c r="P13" s="48">
        <f t="shared" si="0"/>
        <v>-0.5</v>
      </c>
      <c r="Q13" s="50" t="str">
        <f t="shared" si="1"/>
        <v>DOES NOT MEET</v>
      </c>
    </row>
    <row r="14" spans="1:34" x14ac:dyDescent="0.3">
      <c r="A14" s="112"/>
      <c r="B14" s="133"/>
      <c r="C14" s="109"/>
      <c r="D14" s="110"/>
      <c r="E14" s="110"/>
      <c r="F14" s="110"/>
      <c r="G14" s="110"/>
      <c r="H14" s="110"/>
      <c r="I14" s="110"/>
      <c r="J14" s="110"/>
      <c r="K14" s="110"/>
      <c r="L14" s="111"/>
      <c r="M14" s="3"/>
      <c r="N14" s="116">
        <f>SUM(D15:D17,F15:F17,H15:H17,J15:J17,L15:L17)</f>
        <v>0</v>
      </c>
      <c r="O14" s="116">
        <v>1</v>
      </c>
      <c r="P14" s="118">
        <f t="shared" si="0"/>
        <v>-1</v>
      </c>
      <c r="Q14" s="128" t="str">
        <f t="shared" si="1"/>
        <v>DOES NOT MEET</v>
      </c>
    </row>
    <row r="15" spans="1:34" ht="40.5" customHeight="1" x14ac:dyDescent="0.3">
      <c r="A15" s="112"/>
      <c r="B15" s="131"/>
      <c r="C15" s="37"/>
      <c r="E15" s="37"/>
      <c r="F15" s="3"/>
      <c r="G15" s="37"/>
      <c r="H15" s="3"/>
      <c r="I15" s="37"/>
      <c r="J15" s="3"/>
      <c r="K15" s="37"/>
      <c r="L15" s="3"/>
      <c r="M15" s="3"/>
      <c r="N15" s="131"/>
      <c r="O15" s="131"/>
      <c r="P15" s="131"/>
      <c r="Q15" s="129"/>
    </row>
    <row r="16" spans="1:34" x14ac:dyDescent="0.3">
      <c r="A16" s="112"/>
      <c r="B16" s="131"/>
      <c r="C16" s="37"/>
      <c r="E16" s="37"/>
      <c r="F16" s="3"/>
      <c r="G16" s="37"/>
      <c r="H16" s="3"/>
      <c r="I16" s="37"/>
      <c r="J16" s="3"/>
      <c r="K16" s="37"/>
      <c r="L16" s="3"/>
      <c r="M16" s="3"/>
      <c r="N16" s="131"/>
      <c r="O16" s="131"/>
      <c r="P16" s="131"/>
      <c r="Q16" s="129"/>
    </row>
    <row r="17" spans="1:17" ht="15" thickBot="1" x14ac:dyDescent="0.35">
      <c r="A17" s="112"/>
      <c r="B17" s="131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3"/>
      <c r="N17" s="132"/>
      <c r="O17" s="132"/>
      <c r="P17" s="132"/>
      <c r="Q17" s="130"/>
    </row>
    <row r="18" spans="1:17" ht="28.2" thickBot="1" x14ac:dyDescent="0.35">
      <c r="A18" s="59" t="s">
        <v>37</v>
      </c>
      <c r="B18" s="60"/>
      <c r="C18" s="60" t="s">
        <v>19</v>
      </c>
      <c r="D18" s="61">
        <f>SUM(D9:D17)</f>
        <v>0</v>
      </c>
      <c r="E18" s="60" t="s">
        <v>19</v>
      </c>
      <c r="F18" s="61">
        <f>SUM(F9:F17)</f>
        <v>0</v>
      </c>
      <c r="G18" s="60" t="s">
        <v>19</v>
      </c>
      <c r="H18" s="61">
        <f>SUM(H9:H17)</f>
        <v>0</v>
      </c>
      <c r="I18" s="60" t="s">
        <v>19</v>
      </c>
      <c r="J18" s="61">
        <f>SUM(J9:J17)</f>
        <v>0</v>
      </c>
      <c r="K18" s="60" t="s">
        <v>19</v>
      </c>
      <c r="L18" s="62">
        <f>SUM(L9:L17)</f>
        <v>0</v>
      </c>
      <c r="M18" s="12"/>
      <c r="N18" s="51">
        <f>D18+F18+H18+J18+L18</f>
        <v>0</v>
      </c>
      <c r="O18" s="51">
        <v>3.75</v>
      </c>
      <c r="P18" s="51">
        <f>N18-O18</f>
        <v>-3.75</v>
      </c>
      <c r="Q18" s="50" t="str">
        <f>IF(P18&gt;=0,"MEETS","DOES NOT MEET")</f>
        <v>DOES NOT MEET</v>
      </c>
    </row>
    <row r="19" spans="1:17" ht="28.2" thickBot="1" x14ac:dyDescent="0.35">
      <c r="A19" s="63" t="s">
        <v>18</v>
      </c>
      <c r="B19" s="64" t="s">
        <v>17</v>
      </c>
      <c r="C19" s="58" t="s">
        <v>16</v>
      </c>
      <c r="D19" s="58" t="s">
        <v>15</v>
      </c>
      <c r="E19" s="65" t="s">
        <v>16</v>
      </c>
      <c r="F19" s="58" t="s">
        <v>15</v>
      </c>
      <c r="G19" s="65" t="s">
        <v>16</v>
      </c>
      <c r="H19" s="58" t="s">
        <v>15</v>
      </c>
      <c r="I19" s="65" t="s">
        <v>16</v>
      </c>
      <c r="J19" s="58" t="s">
        <v>15</v>
      </c>
      <c r="K19" s="65" t="s">
        <v>16</v>
      </c>
      <c r="L19" s="58" t="s">
        <v>15</v>
      </c>
      <c r="M19" s="66"/>
      <c r="N19" s="51" t="s">
        <v>14</v>
      </c>
      <c r="O19" s="51" t="s">
        <v>13</v>
      </c>
      <c r="P19" s="51"/>
      <c r="Q19" s="67"/>
    </row>
    <row r="20" spans="1:17" ht="15.75" customHeight="1" thickBot="1" x14ac:dyDescent="0.35">
      <c r="A20" s="70" t="s">
        <v>12</v>
      </c>
      <c r="B20" s="71"/>
      <c r="C20" s="72"/>
      <c r="D20" s="72"/>
      <c r="E20" s="73"/>
      <c r="F20" s="72"/>
      <c r="G20" s="73"/>
      <c r="H20" s="72"/>
      <c r="I20" s="73"/>
      <c r="J20" s="72"/>
      <c r="K20" s="74"/>
      <c r="L20" s="75"/>
      <c r="M20" s="76"/>
      <c r="N20" s="71"/>
      <c r="O20" s="71"/>
      <c r="P20" s="71"/>
      <c r="Q20" s="77"/>
    </row>
    <row r="21" spans="1:17" ht="46.5" customHeight="1" x14ac:dyDescent="0.3">
      <c r="A21" s="105"/>
      <c r="B21" s="11" t="s">
        <v>11</v>
      </c>
      <c r="C21" s="36"/>
      <c r="D21" s="17"/>
      <c r="E21" s="36"/>
      <c r="F21" s="36"/>
      <c r="G21" s="36"/>
      <c r="H21" s="36"/>
      <c r="I21" s="36"/>
      <c r="J21" s="36"/>
      <c r="K21" s="36"/>
      <c r="L21" s="36"/>
      <c r="M21" s="10"/>
      <c r="N21" s="16">
        <f>SUM(D21,F21,H21,J21,L21)</f>
        <v>0</v>
      </c>
      <c r="O21" s="68" t="s">
        <v>10</v>
      </c>
      <c r="P21" s="69"/>
      <c r="Q21" s="14" t="str">
        <f>IF(AND((N21)&gt;=8,(N21)&lt;=9),"MEETS","DOES NOT MEET")</f>
        <v>DOES NOT MEET</v>
      </c>
    </row>
    <row r="22" spans="1:17" ht="42" thickBot="1" x14ac:dyDescent="0.35">
      <c r="A22" s="105"/>
      <c r="B22" s="27" t="s">
        <v>9</v>
      </c>
      <c r="C22" s="35"/>
      <c r="D22" s="23"/>
      <c r="E22" s="35"/>
      <c r="F22" s="35"/>
      <c r="G22" s="35"/>
      <c r="H22" s="35"/>
      <c r="I22" s="35"/>
      <c r="J22" s="35"/>
      <c r="K22" s="35"/>
      <c r="L22" s="35"/>
      <c r="M22" s="78"/>
      <c r="N22" s="52">
        <f>SUM(D22,F22,H22,J22,L22)</f>
        <v>0</v>
      </c>
      <c r="O22" s="44" t="s">
        <v>8</v>
      </c>
      <c r="P22" s="79"/>
      <c r="Q22" s="50" t="str">
        <f>IF(N22&gt;=(N21/2),"MEETS","DOES NOT MEET")</f>
        <v>MEETS</v>
      </c>
    </row>
    <row r="23" spans="1:17" ht="15" customHeight="1" thickBot="1" x14ac:dyDescent="0.35">
      <c r="A23" s="80" t="s">
        <v>7</v>
      </c>
      <c r="B23" s="81"/>
      <c r="C23" s="81"/>
      <c r="D23" s="82" t="s">
        <v>6</v>
      </c>
      <c r="E23" s="81"/>
      <c r="F23" s="82" t="s">
        <v>6</v>
      </c>
      <c r="G23" s="81"/>
      <c r="H23" s="82" t="s">
        <v>6</v>
      </c>
      <c r="I23" s="81"/>
      <c r="J23" s="82" t="s">
        <v>6</v>
      </c>
      <c r="K23" s="81"/>
      <c r="L23" s="82" t="s">
        <v>6</v>
      </c>
      <c r="M23" s="83"/>
      <c r="N23" s="81"/>
      <c r="O23" s="84"/>
      <c r="P23" s="81"/>
      <c r="Q23" s="85"/>
    </row>
    <row r="24" spans="1:17" ht="42" thickBot="1" x14ac:dyDescent="0.35">
      <c r="A24" s="86"/>
      <c r="B24" s="27" t="s">
        <v>5</v>
      </c>
      <c r="C24" s="35"/>
      <c r="D24" s="23"/>
      <c r="E24" s="35"/>
      <c r="F24" s="35"/>
      <c r="G24" s="35"/>
      <c r="H24" s="35"/>
      <c r="I24" s="35"/>
      <c r="J24" s="35"/>
      <c r="K24" s="35"/>
      <c r="L24" s="35"/>
      <c r="M24" s="35"/>
      <c r="N24" s="87">
        <f>SUM(D24,F24,H24,J24,L24)</f>
        <v>0</v>
      </c>
      <c r="O24" s="27" t="s">
        <v>4</v>
      </c>
      <c r="P24" s="88"/>
      <c r="Q24" s="89" t="str">
        <f>IF(AND((N24)&gt;=8,(N24)&lt;=10),"MEETS","DOES NOT MEET")</f>
        <v>DOES NOT MEET</v>
      </c>
    </row>
    <row r="25" spans="1:17" ht="15" thickBot="1" x14ac:dyDescent="0.35">
      <c r="A25" s="96" t="s">
        <v>3</v>
      </c>
      <c r="B25" s="97"/>
      <c r="C25" s="97"/>
      <c r="D25" s="97" t="s">
        <v>2</v>
      </c>
      <c r="E25" s="97"/>
      <c r="F25" s="97" t="s">
        <v>2</v>
      </c>
      <c r="G25" s="97"/>
      <c r="H25" s="97" t="s">
        <v>2</v>
      </c>
      <c r="I25" s="97"/>
      <c r="J25" s="97" t="s">
        <v>2</v>
      </c>
      <c r="K25" s="97"/>
      <c r="L25" s="97" t="s">
        <v>2</v>
      </c>
      <c r="M25" s="98"/>
      <c r="N25" s="97"/>
      <c r="O25" s="97"/>
      <c r="P25" s="99"/>
      <c r="Q25" s="100"/>
    </row>
    <row r="26" spans="1:17" ht="55.8" thickBot="1" x14ac:dyDescent="0.35">
      <c r="A26" s="90"/>
      <c r="B26" s="45" t="s">
        <v>1</v>
      </c>
      <c r="C26" s="91"/>
      <c r="D26" s="92"/>
      <c r="E26" s="91"/>
      <c r="F26" s="91"/>
      <c r="G26" s="91"/>
      <c r="H26" s="91"/>
      <c r="I26" s="91"/>
      <c r="J26" s="91"/>
      <c r="K26" s="91"/>
      <c r="L26" s="91"/>
      <c r="M26" s="91"/>
      <c r="N26" s="93">
        <f>SUM(D26,F26,H26,J26,L26)</f>
        <v>0</v>
      </c>
      <c r="O26" s="45" t="s">
        <v>0</v>
      </c>
      <c r="P26" s="94"/>
      <c r="Q26" s="95" t="str">
        <f>IF(N26&gt;=5,"MEETS","DOES NOT MEET")</f>
        <v>DOES NOT MEET</v>
      </c>
    </row>
    <row r="27" spans="1:17" x14ac:dyDescent="0.3">
      <c r="A27" s="7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">
      <c r="A28" s="7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">
      <c r="A29" s="7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</sheetData>
  <sheetProtection selectLockedCells="1" selectUnlockedCells="1"/>
  <mergeCells count="26">
    <mergeCell ref="Q14:Q17"/>
    <mergeCell ref="P14:P17"/>
    <mergeCell ref="O14:O17"/>
    <mergeCell ref="N14:N17"/>
    <mergeCell ref="B14:B17"/>
    <mergeCell ref="N6:N7"/>
    <mergeCell ref="O6:O7"/>
    <mergeCell ref="P6:P7"/>
    <mergeCell ref="C2:L2"/>
    <mergeCell ref="P3:P4"/>
    <mergeCell ref="O3:O4"/>
    <mergeCell ref="N3:N4"/>
    <mergeCell ref="N2:Q2"/>
    <mergeCell ref="Q6:Q7"/>
    <mergeCell ref="Q3:Q4"/>
    <mergeCell ref="A3:A4"/>
    <mergeCell ref="B3:B4"/>
    <mergeCell ref="A21:A22"/>
    <mergeCell ref="D1:L1"/>
    <mergeCell ref="C14:L14"/>
    <mergeCell ref="A13:A17"/>
    <mergeCell ref="C3:D3"/>
    <mergeCell ref="E3:F3"/>
    <mergeCell ref="G3:H3"/>
    <mergeCell ref="I3:J3"/>
    <mergeCell ref="K3:L3"/>
  </mergeCells>
  <conditionalFormatting sqref="Q18:Q19 Q9:Q13 Q21 Q6">
    <cfRule type="containsText" dxfId="17" priority="19" operator="containsText" text="MEETS">
      <formula>NOT(ISERROR(SEARCH("MEETS",Q6)))</formula>
    </cfRule>
    <cfRule type="containsText" dxfId="16" priority="20" operator="containsText" text="DOES NOT MEET">
      <formula>NOT(ISERROR(SEARCH("DOES NOT MEET",Q6)))</formula>
    </cfRule>
  </conditionalFormatting>
  <conditionalFormatting sqref="P6">
    <cfRule type="cellIs" dxfId="15" priority="18" operator="lessThan">
      <formula>0</formula>
    </cfRule>
  </conditionalFormatting>
  <conditionalFormatting sqref="F18 H18 L18 D18">
    <cfRule type="cellIs" dxfId="14" priority="17" operator="lessThan">
      <formula>0.75</formula>
    </cfRule>
  </conditionalFormatting>
  <conditionalFormatting sqref="Q24">
    <cfRule type="containsText" dxfId="13" priority="15" operator="containsText" text="MEETS">
      <formula>NOT(ISERROR(SEARCH("MEETS",Q24)))</formula>
    </cfRule>
    <cfRule type="containsText" dxfId="12" priority="16" operator="containsText" text="DOES NOT MEET">
      <formula>NOT(ISERROR(SEARCH("DOES NOT MEET",Q24)))</formula>
    </cfRule>
  </conditionalFormatting>
  <conditionalFormatting sqref="Q22">
    <cfRule type="containsText" dxfId="11" priority="13" operator="containsText" text="MEETS">
      <formula>NOT(ISERROR(SEARCH("MEETS",Q22)))</formula>
    </cfRule>
    <cfRule type="containsText" dxfId="10" priority="14" operator="containsText" text="DOES NOT MEET">
      <formula>NOT(ISERROR(SEARCH("DOES NOT MEET",Q22)))</formula>
    </cfRule>
  </conditionalFormatting>
  <conditionalFormatting sqref="Q26">
    <cfRule type="containsText" dxfId="9" priority="11" operator="containsText" text="MEETS">
      <formula>NOT(ISERROR(SEARCH("MEETS",Q26)))</formula>
    </cfRule>
    <cfRule type="containsText" dxfId="8" priority="12" operator="containsText" text="DOES NOT MEET">
      <formula>NOT(ISERROR(SEARCH("DOES NOT MEET",Q26)))</formula>
    </cfRule>
  </conditionalFormatting>
  <conditionalFormatting sqref="D7">
    <cfRule type="cellIs" dxfId="7" priority="10" operator="lessThan">
      <formula>0.5</formula>
    </cfRule>
  </conditionalFormatting>
  <conditionalFormatting sqref="H7">
    <cfRule type="cellIs" dxfId="6" priority="9" operator="lessThan">
      <formula>0.5</formula>
    </cfRule>
  </conditionalFormatting>
  <conditionalFormatting sqref="J7">
    <cfRule type="cellIs" dxfId="5" priority="8" operator="lessThan">
      <formula>0.5</formula>
    </cfRule>
  </conditionalFormatting>
  <conditionalFormatting sqref="L7">
    <cfRule type="cellIs" dxfId="4" priority="7" operator="lessThan">
      <formula>0.5</formula>
    </cfRule>
  </conditionalFormatting>
  <conditionalFormatting sqref="F7">
    <cfRule type="cellIs" dxfId="3" priority="6" operator="lessThan">
      <formula>0.5</formula>
    </cfRule>
  </conditionalFormatting>
  <conditionalFormatting sqref="J18">
    <cfRule type="cellIs" dxfId="2" priority="5" operator="lessThan">
      <formula>0.75</formula>
    </cfRule>
  </conditionalFormatting>
  <conditionalFormatting sqref="Q14">
    <cfRule type="containsText" dxfId="1" priority="1" operator="containsText" text="MEETS">
      <formula>NOT(ISERROR(SEARCH("MEETS",Q14)))</formula>
    </cfRule>
    <cfRule type="containsText" dxfId="0" priority="2" operator="containsText" text="DOES NOT MEET">
      <formula>NOT(ISERROR(SEARCH("DOES NOT MEET",Q14)))</formula>
    </cfRule>
  </conditionalFormatting>
  <pageMargins left="0.2" right="0.2" top="0.63" bottom="0.5" header="0" footer="0"/>
  <pageSetup scale="70" orientation="landscape" r:id="rId1"/>
  <headerFooter>
    <oddHeader>&amp;L&amp;G&amp;C&amp;"-,Bold"Menu Planning Tool
K -5th</oddHeader>
    <oddFooter xml:space="preserve">&amp;L*  Nutrition analysis consists of a variety of salad dressing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Menu K-5 (3)</vt:lpstr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2012-11-09T16:21:37Z</cp:lastPrinted>
  <dcterms:created xsi:type="dcterms:W3CDTF">2012-06-06T19:00:50Z</dcterms:created>
  <dcterms:modified xsi:type="dcterms:W3CDTF">2012-11-09T16:28:22Z</dcterms:modified>
</cp:coreProperties>
</file>