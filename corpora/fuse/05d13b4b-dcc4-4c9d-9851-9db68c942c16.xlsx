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875" yWindow="15" windowWidth="7500" windowHeight="8310"/>
  </bookViews>
  <sheets>
    <sheet name="2011-12" sheetId="5" r:id="rId1"/>
    <sheet name="2010-11" sheetId="4" r:id="rId2"/>
    <sheet name="2009-10" sheetId="3" r:id="rId3"/>
    <sheet name="2008-09" sheetId="2" r:id="rId4"/>
    <sheet name="2007-08" sheetId="1" r:id="rId5"/>
  </sheets>
  <definedNames>
    <definedName name="_xlnm.Print_Titles" localSheetId="4">'2007-08'!$5:$5</definedName>
    <definedName name="_xlnm.Print_Titles" localSheetId="3">'2008-09'!$5:$5</definedName>
    <definedName name="_xlnm.Print_Titles" localSheetId="2">'2009-10'!$5:$5</definedName>
    <definedName name="_xlnm.Print_Titles" localSheetId="1">'2010-11'!$5:$5</definedName>
    <definedName name="_xlnm.Print_Titles" localSheetId="0">'2011-12'!$5:$5</definedName>
  </definedNames>
  <calcPr calcId="145621"/>
</workbook>
</file>

<file path=xl/calcChain.xml><?xml version="1.0" encoding="utf-8"?>
<calcChain xmlns="http://schemas.openxmlformats.org/spreadsheetml/2006/main">
  <c r="C38" i="5" l="1"/>
  <c r="B38" i="5"/>
  <c r="D37" i="5"/>
  <c r="D36" i="5"/>
  <c r="D35" i="5"/>
  <c r="C32" i="5"/>
  <c r="B32" i="5"/>
  <c r="D31" i="5"/>
  <c r="D32" i="5" s="1"/>
  <c r="C28" i="5"/>
  <c r="B28" i="5"/>
  <c r="D27" i="5"/>
  <c r="D26" i="5"/>
  <c r="D25" i="5"/>
  <c r="D24" i="5"/>
  <c r="C21" i="5"/>
  <c r="B21" i="5"/>
  <c r="D20" i="5"/>
  <c r="C17" i="5"/>
  <c r="B17" i="5"/>
  <c r="D16" i="5"/>
  <c r="D15" i="5"/>
  <c r="D14" i="5"/>
  <c r="C11" i="5"/>
  <c r="B11" i="5"/>
  <c r="D10" i="5"/>
  <c r="D9" i="5"/>
  <c r="D8" i="5"/>
  <c r="D7" i="5"/>
  <c r="A3" i="5"/>
  <c r="C38" i="4"/>
  <c r="B38" i="4"/>
  <c r="D37" i="4"/>
  <c r="D36" i="4"/>
  <c r="D35" i="4"/>
  <c r="C32" i="4"/>
  <c r="B32" i="4"/>
  <c r="D31" i="4"/>
  <c r="D32" i="4" s="1"/>
  <c r="C28" i="4"/>
  <c r="B28" i="4"/>
  <c r="D27" i="4"/>
  <c r="D26" i="4"/>
  <c r="D28" i="4" s="1"/>
  <c r="D25" i="4"/>
  <c r="D24" i="4"/>
  <c r="C21" i="4"/>
  <c r="D21" i="4" s="1"/>
  <c r="B21" i="4"/>
  <c r="D20" i="4"/>
  <c r="C17" i="4"/>
  <c r="B17" i="4"/>
  <c r="D16" i="4"/>
  <c r="D15" i="4"/>
  <c r="D14" i="4"/>
  <c r="C11" i="4"/>
  <c r="B11" i="4"/>
  <c r="D11" i="4" s="1"/>
  <c r="D10" i="4"/>
  <c r="D9" i="4"/>
  <c r="D8" i="4"/>
  <c r="D7" i="4"/>
  <c r="A3" i="4"/>
  <c r="C38" i="3"/>
  <c r="B38" i="3"/>
  <c r="D37" i="3"/>
  <c r="D36" i="3"/>
  <c r="D35" i="3"/>
  <c r="C32" i="3"/>
  <c r="B32" i="3"/>
  <c r="D31" i="3"/>
  <c r="D32" i="3" s="1"/>
  <c r="C28" i="3"/>
  <c r="B28" i="3"/>
  <c r="D27" i="3"/>
  <c r="D26" i="3"/>
  <c r="D25" i="3"/>
  <c r="D24" i="3"/>
  <c r="C21" i="3"/>
  <c r="B21" i="3"/>
  <c r="D21" i="3" s="1"/>
  <c r="D20" i="3"/>
  <c r="C17" i="3"/>
  <c r="B17" i="3"/>
  <c r="D16" i="3"/>
  <c r="D15" i="3"/>
  <c r="D14" i="3"/>
  <c r="C11" i="3"/>
  <c r="B11" i="3"/>
  <c r="D10" i="3"/>
  <c r="D9" i="3"/>
  <c r="D8" i="3"/>
  <c r="D7" i="3"/>
  <c r="A3" i="3"/>
  <c r="A3" i="1"/>
  <c r="A3" i="2"/>
  <c r="D28" i="5" l="1"/>
  <c r="D21" i="5"/>
  <c r="D17" i="5"/>
  <c r="D11" i="5"/>
  <c r="C40" i="5"/>
  <c r="B40" i="5"/>
  <c r="C40" i="4"/>
  <c r="D17" i="4"/>
  <c r="B40" i="4"/>
  <c r="D38" i="3"/>
  <c r="D28" i="3"/>
  <c r="D17" i="3"/>
  <c r="C40" i="3"/>
  <c r="D11" i="3"/>
  <c r="B40" i="3"/>
  <c r="D38" i="5"/>
  <c r="D38" i="4"/>
  <c r="C38" i="2"/>
  <c r="B38" i="2"/>
  <c r="D37" i="2"/>
  <c r="D36" i="2"/>
  <c r="D35" i="2"/>
  <c r="C32" i="2"/>
  <c r="B32" i="2"/>
  <c r="D31" i="2"/>
  <c r="D32" i="2" s="1"/>
  <c r="C28" i="2"/>
  <c r="B28" i="2"/>
  <c r="D27" i="2"/>
  <c r="D26" i="2"/>
  <c r="D25" i="2"/>
  <c r="D24" i="2"/>
  <c r="C21" i="2"/>
  <c r="B21" i="2"/>
  <c r="D20" i="2"/>
  <c r="C17" i="2"/>
  <c r="B17" i="2"/>
  <c r="D16" i="2"/>
  <c r="D15" i="2"/>
  <c r="D14" i="2"/>
  <c r="C11" i="2"/>
  <c r="B11" i="2"/>
  <c r="D10" i="2"/>
  <c r="D9" i="2"/>
  <c r="D8" i="2"/>
  <c r="D7" i="2"/>
  <c r="D40" i="5" l="1"/>
  <c r="D40" i="4"/>
  <c r="D40" i="3"/>
  <c r="D17" i="2"/>
  <c r="D11" i="2"/>
  <c r="D21" i="2"/>
  <c r="B40" i="2"/>
  <c r="C40" i="2"/>
  <c r="D28" i="2"/>
  <c r="D38" i="2"/>
  <c r="C28" i="1"/>
  <c r="B28" i="1"/>
  <c r="D42" i="1"/>
  <c r="D41" i="1"/>
  <c r="D40" i="1"/>
  <c r="C17" i="1"/>
  <c r="B17" i="1"/>
  <c r="D36" i="1"/>
  <c r="D35" i="1"/>
  <c r="D34" i="1"/>
  <c r="D33" i="1"/>
  <c r="D32" i="1"/>
  <c r="D31" i="1"/>
  <c r="D27" i="1"/>
  <c r="D26" i="1"/>
  <c r="D25" i="1"/>
  <c r="D24" i="1"/>
  <c r="D20" i="1"/>
  <c r="D16" i="1"/>
  <c r="D15" i="1"/>
  <c r="D14" i="1"/>
  <c r="D8" i="1"/>
  <c r="D9" i="1"/>
  <c r="D10" i="1"/>
  <c r="D7" i="1"/>
  <c r="D40" i="2" l="1"/>
  <c r="D28" i="1"/>
  <c r="D17" i="1"/>
  <c r="C37" i="1"/>
  <c r="B37" i="1"/>
  <c r="C21" i="1"/>
  <c r="B21" i="1"/>
  <c r="C43" i="1"/>
  <c r="B43" i="1"/>
  <c r="B11" i="1"/>
  <c r="C11" i="1"/>
  <c r="B45" i="1" l="1"/>
  <c r="C45" i="1"/>
  <c r="D43" i="1"/>
  <c r="D21" i="1"/>
  <c r="D11" i="1"/>
  <c r="D37" i="1" l="1"/>
  <c r="D45" i="1" s="1"/>
</calcChain>
</file>

<file path=xl/sharedStrings.xml><?xml version="1.0" encoding="utf-8"?>
<sst xmlns="http://schemas.openxmlformats.org/spreadsheetml/2006/main" count="185" uniqueCount="32">
  <si>
    <t>Total</t>
  </si>
  <si>
    <t>Undergraduate</t>
  </si>
  <si>
    <t>Graduate</t>
  </si>
  <si>
    <t>Subtotal</t>
  </si>
  <si>
    <t>Other</t>
  </si>
  <si>
    <t>Asian or Asian British</t>
  </si>
  <si>
    <t>Black or Black British</t>
  </si>
  <si>
    <t>Chinese</t>
  </si>
  <si>
    <t>Mixed</t>
  </si>
  <si>
    <t>White</t>
  </si>
  <si>
    <t>Other Ethnic Background</t>
  </si>
  <si>
    <t>Information Refused</t>
  </si>
  <si>
    <t>Not Known</t>
  </si>
  <si>
    <t>Table T2</t>
  </si>
  <si>
    <t>Non-UK Domiciled Student Numbers by Ethnic Group</t>
  </si>
  <si>
    <t>- Bangladeshi</t>
  </si>
  <si>
    <t>- Indian</t>
  </si>
  <si>
    <t>- Pakistani</t>
  </si>
  <si>
    <t>- Other</t>
  </si>
  <si>
    <t>- African</t>
  </si>
  <si>
    <t>- Caribbean</t>
  </si>
  <si>
    <t>- White and Asian</t>
  </si>
  <si>
    <t>- White and Black African</t>
  </si>
  <si>
    <t>- White and Black Caribbean</t>
  </si>
  <si>
    <t>- British</t>
  </si>
  <si>
    <t>- Irish</t>
  </si>
  <si>
    <t>- Irish Traveller</t>
  </si>
  <si>
    <t>- Scottish</t>
  </si>
  <si>
    <t>- White (not used for applicants after 2000)</t>
  </si>
  <si>
    <t>Ethnic Group</t>
  </si>
  <si>
    <t>This table is concerned with students whose domicile at the time of application is outside the UK irrespective of nationality.</t>
  </si>
  <si>
    <t>-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</si>
</sst>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8.5"/>
      <color theme="1"/>
      <name val="Arial"/>
      <family val="2"/>
    </font>
    <font>
      <b/>
      <sz val="10"/>
      <color theme="1"/>
      <name val="Arial"/>
      <family val="2"/>
    </font>
    <font>
      <b/>
      <sz val="8.5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4" xfId="0" applyFont="1" applyBorder="1"/>
    <xf numFmtId="0" fontId="6" fillId="0" borderId="2" xfId="0" applyFont="1" applyBorder="1"/>
    <xf numFmtId="0" fontId="8" fillId="0" borderId="6" xfId="0" applyFont="1" applyBorder="1"/>
    <xf numFmtId="0" fontId="4" fillId="0" borderId="7" xfId="0" applyFont="1" applyBorder="1"/>
    <xf numFmtId="0" fontId="4" fillId="0" borderId="5" xfId="0" applyFont="1" applyBorder="1"/>
    <xf numFmtId="0" fontId="8" fillId="3" borderId="6" xfId="0" applyFont="1" applyFill="1" applyBorder="1"/>
    <xf numFmtId="0" fontId="4" fillId="3" borderId="11" xfId="0" applyFont="1" applyFill="1" applyBorder="1"/>
    <xf numFmtId="0" fontId="4" fillId="3" borderId="12" xfId="0" applyFont="1" applyFill="1" applyBorder="1"/>
    <xf numFmtId="0" fontId="5" fillId="2" borderId="3" xfId="0" applyFont="1" applyFill="1" applyBorder="1" applyAlignment="1">
      <alignment horizontal="center"/>
    </xf>
    <xf numFmtId="0" fontId="5" fillId="2" borderId="3" xfId="0" applyFont="1" applyFill="1" applyBorder="1" applyAlignment="1"/>
    <xf numFmtId="0" fontId="0" fillId="0" borderId="0" xfId="0" applyAlignment="1">
      <alignment wrapText="1"/>
    </xf>
    <xf numFmtId="0" fontId="4" fillId="0" borderId="1" xfId="0" applyNumberFormat="1" applyFont="1" applyBorder="1"/>
    <xf numFmtId="0" fontId="5" fillId="2" borderId="13" xfId="0" applyFont="1" applyFill="1" applyBorder="1" applyAlignment="1">
      <alignment horizontal="center"/>
    </xf>
    <xf numFmtId="49" fontId="6" fillId="0" borderId="2" xfId="0" applyNumberFormat="1" applyFont="1" applyBorder="1"/>
    <xf numFmtId="0" fontId="7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/>
    </xf>
    <xf numFmtId="0" fontId="7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2"/>
  <sheetViews>
    <sheetView tabSelected="1" view="pageLayout" topLeftCell="A40" zoomScale="70" zoomScaleNormal="100" zoomScalePageLayoutView="7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13</v>
      </c>
      <c r="B1" s="3"/>
    </row>
    <row r="2" spans="1:4" x14ac:dyDescent="0.25">
      <c r="A2" s="23" t="s">
        <v>14</v>
      </c>
      <c r="B2" s="23"/>
      <c r="C2" s="23"/>
      <c r="D2" s="23"/>
    </row>
    <row r="3" spans="1:4" x14ac:dyDescent="0.25">
      <c r="A3" s="2" t="str">
        <f ca="1">RIGHT(CELL("filename",A1),LEN(CELL("filename",A1))-FIND("]",CELL("filename",A1)))</f>
        <v>2011-12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29</v>
      </c>
      <c r="B5" s="17" t="s">
        <v>1</v>
      </c>
      <c r="C5" s="17" t="s">
        <v>2</v>
      </c>
      <c r="D5" s="13" t="s">
        <v>0</v>
      </c>
    </row>
    <row r="6" spans="1:4" ht="15.75" thickBot="1" x14ac:dyDescent="0.3">
      <c r="A6" s="24" t="s">
        <v>5</v>
      </c>
      <c r="B6" s="25"/>
      <c r="C6" s="25"/>
      <c r="D6" s="26"/>
    </row>
    <row r="7" spans="1:4" ht="15.75" thickTop="1" x14ac:dyDescent="0.25">
      <c r="A7" s="6" t="s">
        <v>15</v>
      </c>
      <c r="B7" s="4">
        <v>22</v>
      </c>
      <c r="C7" s="4">
        <v>11</v>
      </c>
      <c r="D7" s="5">
        <f>B7+C7</f>
        <v>33</v>
      </c>
    </row>
    <row r="8" spans="1:4" x14ac:dyDescent="0.25">
      <c r="A8" s="6" t="s">
        <v>16</v>
      </c>
      <c r="B8" s="4">
        <v>150</v>
      </c>
      <c r="C8" s="4">
        <v>191</v>
      </c>
      <c r="D8" s="5">
        <f t="shared" ref="D8:D10" si="0">B8+C8</f>
        <v>341</v>
      </c>
    </row>
    <row r="9" spans="1:4" ht="15.75" customHeight="1" x14ac:dyDescent="0.25">
      <c r="A9" s="6" t="s">
        <v>17</v>
      </c>
      <c r="B9" s="4">
        <v>65</v>
      </c>
      <c r="C9" s="4">
        <v>31</v>
      </c>
      <c r="D9" s="5">
        <f t="shared" si="0"/>
        <v>96</v>
      </c>
    </row>
    <row r="10" spans="1:4" ht="15.75" customHeight="1" thickBot="1" x14ac:dyDescent="0.3">
      <c r="A10" s="6" t="s">
        <v>18</v>
      </c>
      <c r="B10" s="4">
        <v>702</v>
      </c>
      <c r="C10" s="4">
        <v>470</v>
      </c>
      <c r="D10" s="5">
        <f t="shared" si="0"/>
        <v>1172</v>
      </c>
    </row>
    <row r="11" spans="1:4" ht="16.5" thickTop="1" thickBot="1" x14ac:dyDescent="0.3">
      <c r="A11" s="7" t="s">
        <v>3</v>
      </c>
      <c r="B11" s="8">
        <f>SUM(B7:B10)</f>
        <v>939</v>
      </c>
      <c r="C11" s="8">
        <f>SUM(C7:C10)</f>
        <v>703</v>
      </c>
      <c r="D11" s="9">
        <f>B11+C11</f>
        <v>1642</v>
      </c>
    </row>
    <row r="12" spans="1:4" ht="6.95" customHeight="1" thickTop="1" thickBot="1" x14ac:dyDescent="0.3">
      <c r="A12" s="10"/>
      <c r="B12" s="10"/>
      <c r="C12" s="10"/>
      <c r="D12" s="10"/>
    </row>
    <row r="13" spans="1:4" ht="16.5" thickTop="1" thickBot="1" x14ac:dyDescent="0.3">
      <c r="A13" s="19" t="s">
        <v>6</v>
      </c>
      <c r="B13" s="20"/>
      <c r="C13" s="20"/>
      <c r="D13" s="21"/>
    </row>
    <row r="14" spans="1:4" ht="15.75" thickTop="1" x14ac:dyDescent="0.25">
      <c r="A14" s="6" t="s">
        <v>19</v>
      </c>
      <c r="B14" s="4">
        <v>59</v>
      </c>
      <c r="C14" s="4">
        <v>91</v>
      </c>
      <c r="D14" s="5">
        <f t="shared" ref="D14:D16" si="1">B14+C14</f>
        <v>150</v>
      </c>
    </row>
    <row r="15" spans="1:4" x14ac:dyDescent="0.25">
      <c r="A15" s="6" t="s">
        <v>20</v>
      </c>
      <c r="B15" s="4">
        <v>6</v>
      </c>
      <c r="C15" s="4">
        <v>12</v>
      </c>
      <c r="D15" s="5">
        <f t="shared" si="1"/>
        <v>18</v>
      </c>
    </row>
    <row r="16" spans="1:4" ht="15.75" thickBot="1" x14ac:dyDescent="0.3">
      <c r="A16" s="6" t="s">
        <v>18</v>
      </c>
      <c r="B16" s="4">
        <v>10</v>
      </c>
      <c r="C16" s="4">
        <v>34</v>
      </c>
      <c r="D16" s="5">
        <f t="shared" si="1"/>
        <v>44</v>
      </c>
    </row>
    <row r="17" spans="1:4" ht="16.5" thickTop="1" thickBot="1" x14ac:dyDescent="0.3">
      <c r="A17" s="7" t="s">
        <v>3</v>
      </c>
      <c r="B17" s="8">
        <f>SUM(B14:B16)</f>
        <v>75</v>
      </c>
      <c r="C17" s="8">
        <f t="shared" ref="C17:D17" si="2">SUM(C14:C16)</f>
        <v>137</v>
      </c>
      <c r="D17" s="9">
        <f t="shared" si="2"/>
        <v>212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9" t="s">
        <v>7</v>
      </c>
      <c r="B19" s="20"/>
      <c r="C19" s="20"/>
      <c r="D19" s="21"/>
    </row>
    <row r="20" spans="1:4" ht="16.5" thickTop="1" thickBot="1" x14ac:dyDescent="0.3">
      <c r="A20" s="6" t="s">
        <v>7</v>
      </c>
      <c r="B20" s="4">
        <v>1709</v>
      </c>
      <c r="C20" s="4">
        <v>893</v>
      </c>
      <c r="D20" s="5">
        <f t="shared" ref="D20:D21" si="3">B20+C20</f>
        <v>2602</v>
      </c>
    </row>
    <row r="21" spans="1:4" ht="16.5" thickTop="1" thickBot="1" x14ac:dyDescent="0.3">
      <c r="A21" s="7" t="s">
        <v>3</v>
      </c>
      <c r="B21" s="8">
        <f>SUM(B20:B20)</f>
        <v>1709</v>
      </c>
      <c r="C21" s="8">
        <f>SUM(C20:C20)</f>
        <v>893</v>
      </c>
      <c r="D21" s="8">
        <f t="shared" si="3"/>
        <v>2602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9" t="s">
        <v>8</v>
      </c>
      <c r="B23" s="20"/>
      <c r="C23" s="20"/>
      <c r="D23" s="21"/>
    </row>
    <row r="24" spans="1:4" ht="15.75" thickTop="1" x14ac:dyDescent="0.25">
      <c r="A24" s="6" t="s">
        <v>21</v>
      </c>
      <c r="B24" s="4">
        <v>78</v>
      </c>
      <c r="C24" s="4">
        <v>49</v>
      </c>
      <c r="D24" s="5">
        <f t="shared" ref="D24:D27" si="4">B24+C24</f>
        <v>127</v>
      </c>
    </row>
    <row r="25" spans="1:4" x14ac:dyDescent="0.25">
      <c r="A25" s="6" t="s">
        <v>22</v>
      </c>
      <c r="B25" s="4">
        <v>14</v>
      </c>
      <c r="C25" s="4">
        <v>9</v>
      </c>
      <c r="D25" s="5">
        <f t="shared" si="4"/>
        <v>23</v>
      </c>
    </row>
    <row r="26" spans="1:4" x14ac:dyDescent="0.25">
      <c r="A26" s="6" t="s">
        <v>23</v>
      </c>
      <c r="B26" s="4">
        <v>4</v>
      </c>
      <c r="C26" s="4">
        <v>6</v>
      </c>
      <c r="D26" s="5">
        <f t="shared" si="4"/>
        <v>10</v>
      </c>
    </row>
    <row r="27" spans="1:4" ht="15.75" thickBot="1" x14ac:dyDescent="0.3">
      <c r="A27" s="6" t="s">
        <v>18</v>
      </c>
      <c r="B27" s="4">
        <v>52</v>
      </c>
      <c r="C27" s="4">
        <v>138</v>
      </c>
      <c r="D27" s="5">
        <f t="shared" si="4"/>
        <v>190</v>
      </c>
    </row>
    <row r="28" spans="1:4" ht="16.5" thickTop="1" thickBot="1" x14ac:dyDescent="0.3">
      <c r="A28" s="7" t="s">
        <v>3</v>
      </c>
      <c r="B28" s="8">
        <f>SUM(B24:B27)</f>
        <v>148</v>
      </c>
      <c r="C28" s="8">
        <f t="shared" ref="C28:D28" si="5">SUM(C24:C27)</f>
        <v>202</v>
      </c>
      <c r="D28" s="8">
        <f t="shared" si="5"/>
        <v>350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9" t="s">
        <v>9</v>
      </c>
      <c r="B30" s="20"/>
      <c r="C30" s="20"/>
      <c r="D30" s="21"/>
    </row>
    <row r="31" spans="1:4" ht="16.5" thickTop="1" thickBot="1" x14ac:dyDescent="0.3">
      <c r="A31" s="18" t="s">
        <v>31</v>
      </c>
      <c r="B31" s="4">
        <v>1803</v>
      </c>
      <c r="C31" s="4">
        <v>2419</v>
      </c>
      <c r="D31" s="5">
        <f t="shared" ref="D31" si="6">B31+C31</f>
        <v>4222</v>
      </c>
    </row>
    <row r="32" spans="1:4" ht="16.5" thickTop="1" thickBot="1" x14ac:dyDescent="0.3">
      <c r="A32" s="7" t="s">
        <v>3</v>
      </c>
      <c r="B32" s="8">
        <f>SUM(B31:B31)</f>
        <v>1803</v>
      </c>
      <c r="C32" s="8">
        <f>SUM(C31:C31)</f>
        <v>2419</v>
      </c>
      <c r="D32" s="8">
        <f>SUM(D31:D31)</f>
        <v>4222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9" t="s">
        <v>4</v>
      </c>
      <c r="B34" s="20"/>
      <c r="C34" s="20"/>
      <c r="D34" s="21"/>
    </row>
    <row r="35" spans="1:5" ht="15.75" thickTop="1" x14ac:dyDescent="0.25">
      <c r="A35" s="6" t="s">
        <v>10</v>
      </c>
      <c r="B35" s="4">
        <v>139</v>
      </c>
      <c r="C35" s="4">
        <v>212</v>
      </c>
      <c r="D35" s="5">
        <f t="shared" ref="D35:D38" si="7">B35+C35</f>
        <v>351</v>
      </c>
    </row>
    <row r="36" spans="1:5" x14ac:dyDescent="0.25">
      <c r="A36" s="6" t="s">
        <v>11</v>
      </c>
      <c r="B36" s="4">
        <v>362</v>
      </c>
      <c r="C36" s="4">
        <v>122</v>
      </c>
      <c r="D36" s="5">
        <f t="shared" si="7"/>
        <v>484</v>
      </c>
    </row>
    <row r="37" spans="1:5" ht="15.75" thickBot="1" x14ac:dyDescent="0.3">
      <c r="A37" s="6" t="s">
        <v>12</v>
      </c>
      <c r="B37" s="4">
        <v>35</v>
      </c>
      <c r="C37" s="4">
        <v>10</v>
      </c>
      <c r="D37" s="5">
        <f t="shared" si="7"/>
        <v>45</v>
      </c>
    </row>
    <row r="38" spans="1:5" ht="16.5" thickTop="1" thickBot="1" x14ac:dyDescent="0.3">
      <c r="A38" s="7" t="s">
        <v>3</v>
      </c>
      <c r="B38" s="8">
        <f>SUM(B35:B37)</f>
        <v>536</v>
      </c>
      <c r="C38" s="8">
        <f>SUM(C35:C37)</f>
        <v>344</v>
      </c>
      <c r="D38" s="8">
        <f t="shared" si="7"/>
        <v>880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5210</v>
      </c>
      <c r="C40" s="8">
        <f>SUM(C38+C32+C28+C21+C17+C11)</f>
        <v>4698</v>
      </c>
      <c r="D40" s="9">
        <f>SUM(D38+D32+D28+D21+D17+D11)</f>
        <v>9908</v>
      </c>
    </row>
    <row r="41" spans="1:5" ht="7.5" customHeight="1" thickTop="1" x14ac:dyDescent="0.25"/>
    <row r="42" spans="1:5" ht="34.5" customHeight="1" x14ac:dyDescent="0.25">
      <c r="A42" s="22" t="s">
        <v>30</v>
      </c>
      <c r="B42" s="22"/>
      <c r="C42" s="22"/>
      <c r="D42" s="22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42"/>
  <sheetViews>
    <sheetView view="pageLayout" topLeftCell="A13" zoomScale="70" zoomScaleNormal="100" zoomScalePageLayoutView="7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13</v>
      </c>
      <c r="B1" s="3"/>
    </row>
    <row r="2" spans="1:4" x14ac:dyDescent="0.25">
      <c r="A2" s="23" t="s">
        <v>14</v>
      </c>
      <c r="B2" s="23"/>
      <c r="C2" s="23"/>
      <c r="D2" s="23"/>
    </row>
    <row r="3" spans="1:4" x14ac:dyDescent="0.25">
      <c r="A3" s="2" t="str">
        <f ca="1">RIGHT(CELL("filename",A1),LEN(CELL("filename",A1))-FIND("]",CELL("filename",A1)))</f>
        <v>2010-11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29</v>
      </c>
      <c r="B5" s="17" t="s">
        <v>1</v>
      </c>
      <c r="C5" s="17" t="s">
        <v>2</v>
      </c>
      <c r="D5" s="13" t="s">
        <v>0</v>
      </c>
    </row>
    <row r="6" spans="1:4" ht="15.75" thickBot="1" x14ac:dyDescent="0.3">
      <c r="A6" s="24" t="s">
        <v>5</v>
      </c>
      <c r="B6" s="25"/>
      <c r="C6" s="25"/>
      <c r="D6" s="26"/>
    </row>
    <row r="7" spans="1:4" ht="15.75" thickTop="1" x14ac:dyDescent="0.25">
      <c r="A7" s="6" t="s">
        <v>15</v>
      </c>
      <c r="B7" s="4">
        <v>130</v>
      </c>
      <c r="C7" s="4">
        <v>54</v>
      </c>
      <c r="D7" s="5">
        <f>B7+C7</f>
        <v>184</v>
      </c>
    </row>
    <row r="8" spans="1:4" x14ac:dyDescent="0.25">
      <c r="A8" s="6" t="s">
        <v>16</v>
      </c>
      <c r="B8" s="4">
        <v>895</v>
      </c>
      <c r="C8" s="4">
        <v>485</v>
      </c>
      <c r="D8" s="5">
        <f t="shared" ref="D8:D10" si="0">B8+C8</f>
        <v>1380</v>
      </c>
    </row>
    <row r="9" spans="1:4" ht="15.75" customHeight="1" x14ac:dyDescent="0.25">
      <c r="A9" s="6" t="s">
        <v>17</v>
      </c>
      <c r="B9" s="4">
        <v>218</v>
      </c>
      <c r="C9" s="4">
        <v>120</v>
      </c>
      <c r="D9" s="5">
        <f t="shared" si="0"/>
        <v>338</v>
      </c>
    </row>
    <row r="10" spans="1:4" ht="15.75" customHeight="1" thickBot="1" x14ac:dyDescent="0.3">
      <c r="A10" s="6" t="s">
        <v>18</v>
      </c>
      <c r="B10" s="4">
        <v>442</v>
      </c>
      <c r="C10" s="4">
        <v>205</v>
      </c>
      <c r="D10" s="5">
        <f t="shared" si="0"/>
        <v>647</v>
      </c>
    </row>
    <row r="11" spans="1:4" ht="16.5" thickTop="1" thickBot="1" x14ac:dyDescent="0.3">
      <c r="A11" s="7" t="s">
        <v>3</v>
      </c>
      <c r="B11" s="8">
        <f>SUM(B7:B10)</f>
        <v>1685</v>
      </c>
      <c r="C11" s="8">
        <f>SUM(C7:C10)</f>
        <v>864</v>
      </c>
      <c r="D11" s="9">
        <f>B11+C11</f>
        <v>2549</v>
      </c>
    </row>
    <row r="12" spans="1:4" ht="6.95" customHeight="1" thickTop="1" thickBot="1" x14ac:dyDescent="0.3">
      <c r="A12" s="10"/>
      <c r="B12" s="10"/>
      <c r="C12" s="10"/>
      <c r="D12" s="10"/>
    </row>
    <row r="13" spans="1:4" ht="16.5" thickTop="1" thickBot="1" x14ac:dyDescent="0.3">
      <c r="A13" s="19" t="s">
        <v>6</v>
      </c>
      <c r="B13" s="20"/>
      <c r="C13" s="20"/>
      <c r="D13" s="21"/>
    </row>
    <row r="14" spans="1:4" ht="15.75" thickTop="1" x14ac:dyDescent="0.25">
      <c r="A14" s="6" t="s">
        <v>19</v>
      </c>
      <c r="B14" s="4">
        <v>226</v>
      </c>
      <c r="C14" s="4">
        <v>199</v>
      </c>
      <c r="D14" s="5">
        <f t="shared" ref="D14:D16" si="1">B14+C14</f>
        <v>425</v>
      </c>
    </row>
    <row r="15" spans="1:4" x14ac:dyDescent="0.25">
      <c r="A15" s="6" t="s">
        <v>20</v>
      </c>
      <c r="B15" s="4">
        <v>54</v>
      </c>
      <c r="C15" s="4">
        <v>49</v>
      </c>
      <c r="D15" s="5">
        <f t="shared" si="1"/>
        <v>103</v>
      </c>
    </row>
    <row r="16" spans="1:4" ht="15.75" thickBot="1" x14ac:dyDescent="0.3">
      <c r="A16" s="6" t="s">
        <v>18</v>
      </c>
      <c r="B16" s="4">
        <v>11</v>
      </c>
      <c r="C16" s="4">
        <v>12</v>
      </c>
      <c r="D16" s="5">
        <f t="shared" si="1"/>
        <v>23</v>
      </c>
    </row>
    <row r="17" spans="1:4" ht="16.5" thickTop="1" thickBot="1" x14ac:dyDescent="0.3">
      <c r="A17" s="7" t="s">
        <v>3</v>
      </c>
      <c r="B17" s="8">
        <f>SUM(B14:B16)</f>
        <v>291</v>
      </c>
      <c r="C17" s="8">
        <f t="shared" ref="C17:D17" si="2">SUM(C14:C16)</f>
        <v>260</v>
      </c>
      <c r="D17" s="9">
        <f t="shared" si="2"/>
        <v>551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9" t="s">
        <v>7</v>
      </c>
      <c r="B19" s="20"/>
      <c r="C19" s="20"/>
      <c r="D19" s="21"/>
    </row>
    <row r="20" spans="1:4" ht="16.5" thickTop="1" thickBot="1" x14ac:dyDescent="0.3">
      <c r="A20" s="6" t="s">
        <v>7</v>
      </c>
      <c r="B20" s="4">
        <v>356</v>
      </c>
      <c r="C20" s="4">
        <v>149</v>
      </c>
      <c r="D20" s="5">
        <f t="shared" ref="D20:D21" si="3">B20+C20</f>
        <v>505</v>
      </c>
    </row>
    <row r="21" spans="1:4" ht="16.5" thickTop="1" thickBot="1" x14ac:dyDescent="0.3">
      <c r="A21" s="7" t="s">
        <v>3</v>
      </c>
      <c r="B21" s="8">
        <f>SUM(B20:B20)</f>
        <v>356</v>
      </c>
      <c r="C21" s="8">
        <f>SUM(C20:C20)</f>
        <v>149</v>
      </c>
      <c r="D21" s="8">
        <f t="shared" si="3"/>
        <v>505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9" t="s">
        <v>8</v>
      </c>
      <c r="B23" s="20"/>
      <c r="C23" s="20"/>
      <c r="D23" s="21"/>
    </row>
    <row r="24" spans="1:4" ht="15.75" thickTop="1" x14ac:dyDescent="0.25">
      <c r="A24" s="6" t="s">
        <v>21</v>
      </c>
      <c r="B24" s="4">
        <v>232</v>
      </c>
      <c r="C24" s="4">
        <v>91</v>
      </c>
      <c r="D24" s="5">
        <f t="shared" ref="D24:D27" si="4">B24+C24</f>
        <v>323</v>
      </c>
    </row>
    <row r="25" spans="1:4" x14ac:dyDescent="0.25">
      <c r="A25" s="6" t="s">
        <v>22</v>
      </c>
      <c r="B25" s="4">
        <v>42</v>
      </c>
      <c r="C25" s="4">
        <v>21</v>
      </c>
      <c r="D25" s="5">
        <f t="shared" si="4"/>
        <v>63</v>
      </c>
    </row>
    <row r="26" spans="1:4" x14ac:dyDescent="0.25">
      <c r="A26" s="6" t="s">
        <v>23</v>
      </c>
      <c r="B26" s="4">
        <v>42</v>
      </c>
      <c r="C26" s="4">
        <v>20</v>
      </c>
      <c r="D26" s="5">
        <f t="shared" si="4"/>
        <v>62</v>
      </c>
    </row>
    <row r="27" spans="1:4" ht="15.75" thickBot="1" x14ac:dyDescent="0.3">
      <c r="A27" s="6" t="s">
        <v>18</v>
      </c>
      <c r="B27" s="4">
        <v>184</v>
      </c>
      <c r="C27" s="4">
        <v>134</v>
      </c>
      <c r="D27" s="5">
        <f t="shared" si="4"/>
        <v>318</v>
      </c>
    </row>
    <row r="28" spans="1:4" ht="16.5" thickTop="1" thickBot="1" x14ac:dyDescent="0.3">
      <c r="A28" s="7" t="s">
        <v>3</v>
      </c>
      <c r="B28" s="8">
        <f>SUM(B24:B27)</f>
        <v>500</v>
      </c>
      <c r="C28" s="8">
        <f t="shared" ref="C28:D28" si="5">SUM(C24:C27)</f>
        <v>266</v>
      </c>
      <c r="D28" s="8">
        <f t="shared" si="5"/>
        <v>766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9" t="s">
        <v>9</v>
      </c>
      <c r="B30" s="20"/>
      <c r="C30" s="20"/>
      <c r="D30" s="21"/>
    </row>
    <row r="31" spans="1:4" ht="16.5" thickTop="1" thickBot="1" x14ac:dyDescent="0.3">
      <c r="A31" s="18" t="s">
        <v>31</v>
      </c>
      <c r="B31" s="4">
        <v>5359</v>
      </c>
      <c r="C31" s="4">
        <v>4124</v>
      </c>
      <c r="D31" s="5">
        <f t="shared" ref="D31" si="6">B31+C31</f>
        <v>9483</v>
      </c>
    </row>
    <row r="32" spans="1:4" ht="16.5" thickTop="1" thickBot="1" x14ac:dyDescent="0.3">
      <c r="A32" s="7" t="s">
        <v>3</v>
      </c>
      <c r="B32" s="8">
        <f>SUM(B31:B31)</f>
        <v>5359</v>
      </c>
      <c r="C32" s="8">
        <f>SUM(C31:C31)</f>
        <v>4124</v>
      </c>
      <c r="D32" s="8">
        <f>SUM(D31:D31)</f>
        <v>9483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9" t="s">
        <v>4</v>
      </c>
      <c r="B34" s="20"/>
      <c r="C34" s="20"/>
      <c r="D34" s="21"/>
    </row>
    <row r="35" spans="1:5" ht="15.75" thickTop="1" x14ac:dyDescent="0.25">
      <c r="A35" s="6" t="s">
        <v>10</v>
      </c>
      <c r="B35" s="4">
        <v>240</v>
      </c>
      <c r="C35" s="4">
        <v>194</v>
      </c>
      <c r="D35" s="5">
        <f t="shared" ref="D35:D38" si="7">B35+C35</f>
        <v>434</v>
      </c>
    </row>
    <row r="36" spans="1:5" x14ac:dyDescent="0.25">
      <c r="A36" s="6" t="s">
        <v>11</v>
      </c>
      <c r="B36" s="4">
        <v>298</v>
      </c>
      <c r="C36" s="4">
        <v>246</v>
      </c>
      <c r="D36" s="5">
        <f t="shared" si="7"/>
        <v>544</v>
      </c>
    </row>
    <row r="37" spans="1:5" ht="15.75" thickBot="1" x14ac:dyDescent="0.3">
      <c r="A37" s="6" t="s">
        <v>12</v>
      </c>
      <c r="B37" s="4">
        <v>12</v>
      </c>
      <c r="C37" s="4">
        <v>16</v>
      </c>
      <c r="D37" s="5">
        <f t="shared" si="7"/>
        <v>28</v>
      </c>
    </row>
    <row r="38" spans="1:5" ht="16.5" thickTop="1" thickBot="1" x14ac:dyDescent="0.3">
      <c r="A38" s="7" t="s">
        <v>3</v>
      </c>
      <c r="B38" s="8">
        <f>SUM(B35:B37)</f>
        <v>550</v>
      </c>
      <c r="C38" s="8">
        <f>SUM(C35:C37)</f>
        <v>456</v>
      </c>
      <c r="D38" s="8">
        <f t="shared" si="7"/>
        <v>1006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8741</v>
      </c>
      <c r="C40" s="8">
        <f>SUM(C38+C32+C28+C21+C17+C11)</f>
        <v>6119</v>
      </c>
      <c r="D40" s="9">
        <f>SUM(D38+D32+D28+D21+D17+D11)</f>
        <v>14860</v>
      </c>
    </row>
    <row r="41" spans="1:5" ht="7.5" customHeight="1" thickTop="1" x14ac:dyDescent="0.25"/>
    <row r="42" spans="1:5" ht="34.5" customHeight="1" x14ac:dyDescent="0.25">
      <c r="A42" s="22" t="s">
        <v>30</v>
      </c>
      <c r="B42" s="22"/>
      <c r="C42" s="22"/>
      <c r="D42" s="22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42"/>
  <sheetViews>
    <sheetView view="pageLayout" topLeftCell="A16" zoomScale="70" zoomScaleNormal="100" zoomScalePageLayoutView="7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13</v>
      </c>
      <c r="B1" s="3"/>
    </row>
    <row r="2" spans="1:4" x14ac:dyDescent="0.25">
      <c r="A2" s="23" t="s">
        <v>14</v>
      </c>
      <c r="B2" s="23"/>
      <c r="C2" s="23"/>
      <c r="D2" s="23"/>
    </row>
    <row r="3" spans="1:4" x14ac:dyDescent="0.25">
      <c r="A3" s="2" t="str">
        <f ca="1">RIGHT(CELL("filename",A1),LEN(CELL("filename",A1))-FIND("]",CELL("filename",A1)))</f>
        <v>2009-10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29</v>
      </c>
      <c r="B5" s="17" t="s">
        <v>1</v>
      </c>
      <c r="C5" s="17" t="s">
        <v>2</v>
      </c>
      <c r="D5" s="13" t="s">
        <v>0</v>
      </c>
    </row>
    <row r="6" spans="1:4" ht="15.75" thickBot="1" x14ac:dyDescent="0.3">
      <c r="A6" s="24" t="s">
        <v>5</v>
      </c>
      <c r="B6" s="25"/>
      <c r="C6" s="25"/>
      <c r="D6" s="26"/>
    </row>
    <row r="7" spans="1:4" ht="15.75" thickTop="1" x14ac:dyDescent="0.25">
      <c r="A7" s="6" t="s">
        <v>15</v>
      </c>
      <c r="B7" s="4">
        <v>19</v>
      </c>
      <c r="C7" s="4">
        <v>12</v>
      </c>
      <c r="D7" s="5">
        <f>B7+C7</f>
        <v>31</v>
      </c>
    </row>
    <row r="8" spans="1:4" x14ac:dyDescent="0.25">
      <c r="A8" s="6" t="s">
        <v>16</v>
      </c>
      <c r="B8" s="4">
        <v>145</v>
      </c>
      <c r="C8" s="4">
        <v>181</v>
      </c>
      <c r="D8" s="5">
        <f t="shared" ref="D8:D10" si="0">B8+C8</f>
        <v>326</v>
      </c>
    </row>
    <row r="9" spans="1:4" ht="15.75" customHeight="1" x14ac:dyDescent="0.25">
      <c r="A9" s="6" t="s">
        <v>17</v>
      </c>
      <c r="B9" s="4">
        <v>64</v>
      </c>
      <c r="C9" s="4">
        <v>40</v>
      </c>
      <c r="D9" s="5">
        <f t="shared" si="0"/>
        <v>104</v>
      </c>
    </row>
    <row r="10" spans="1:4" ht="15.75" customHeight="1" thickBot="1" x14ac:dyDescent="0.3">
      <c r="A10" s="6" t="s">
        <v>18</v>
      </c>
      <c r="B10" s="4">
        <v>484</v>
      </c>
      <c r="C10" s="4">
        <v>410</v>
      </c>
      <c r="D10" s="5">
        <f t="shared" si="0"/>
        <v>894</v>
      </c>
    </row>
    <row r="11" spans="1:4" ht="16.5" thickTop="1" thickBot="1" x14ac:dyDescent="0.3">
      <c r="A11" s="7" t="s">
        <v>3</v>
      </c>
      <c r="B11" s="8">
        <f>SUM(B7:B10)</f>
        <v>712</v>
      </c>
      <c r="C11" s="8">
        <f>SUM(C7:C10)</f>
        <v>643</v>
      </c>
      <c r="D11" s="9">
        <f>B11+C11</f>
        <v>1355</v>
      </c>
    </row>
    <row r="12" spans="1:4" ht="6.95" customHeight="1" thickTop="1" thickBot="1" x14ac:dyDescent="0.3">
      <c r="A12" s="10"/>
      <c r="B12" s="10"/>
      <c r="C12" s="10"/>
      <c r="D12" s="10"/>
    </row>
    <row r="13" spans="1:4" ht="16.5" thickTop="1" thickBot="1" x14ac:dyDescent="0.3">
      <c r="A13" s="19" t="s">
        <v>6</v>
      </c>
      <c r="B13" s="20"/>
      <c r="C13" s="20"/>
      <c r="D13" s="21"/>
    </row>
    <row r="14" spans="1:4" ht="15.75" thickTop="1" x14ac:dyDescent="0.25">
      <c r="A14" s="6" t="s">
        <v>19</v>
      </c>
      <c r="B14" s="4">
        <v>58</v>
      </c>
      <c r="C14" s="4">
        <v>90</v>
      </c>
      <c r="D14" s="5">
        <f t="shared" ref="D14:D16" si="1">B14+C14</f>
        <v>148</v>
      </c>
    </row>
    <row r="15" spans="1:4" x14ac:dyDescent="0.25">
      <c r="A15" s="6" t="s">
        <v>20</v>
      </c>
      <c r="B15" s="4">
        <v>5</v>
      </c>
      <c r="C15" s="4">
        <v>19</v>
      </c>
      <c r="D15" s="5">
        <f t="shared" si="1"/>
        <v>24</v>
      </c>
    </row>
    <row r="16" spans="1:4" ht="15.75" thickBot="1" x14ac:dyDescent="0.3">
      <c r="A16" s="6" t="s">
        <v>18</v>
      </c>
      <c r="B16" s="4">
        <v>11</v>
      </c>
      <c r="C16" s="4">
        <v>33</v>
      </c>
      <c r="D16" s="5">
        <f t="shared" si="1"/>
        <v>44</v>
      </c>
    </row>
    <row r="17" spans="1:4" ht="16.5" thickTop="1" thickBot="1" x14ac:dyDescent="0.3">
      <c r="A17" s="7" t="s">
        <v>3</v>
      </c>
      <c r="B17" s="8">
        <f>SUM(B14:B16)</f>
        <v>74</v>
      </c>
      <c r="C17" s="8">
        <f t="shared" ref="C17:D17" si="2">SUM(C14:C16)</f>
        <v>142</v>
      </c>
      <c r="D17" s="9">
        <f t="shared" si="2"/>
        <v>216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9" t="s">
        <v>7</v>
      </c>
      <c r="B19" s="20"/>
      <c r="C19" s="20"/>
      <c r="D19" s="21"/>
    </row>
    <row r="20" spans="1:4" ht="16.5" thickTop="1" thickBot="1" x14ac:dyDescent="0.3">
      <c r="A20" s="6" t="s">
        <v>7</v>
      </c>
      <c r="B20" s="4">
        <v>1236</v>
      </c>
      <c r="C20" s="4">
        <v>605</v>
      </c>
      <c r="D20" s="5">
        <f t="shared" ref="D20:D21" si="3">B20+C20</f>
        <v>1841</v>
      </c>
    </row>
    <row r="21" spans="1:4" ht="16.5" thickTop="1" thickBot="1" x14ac:dyDescent="0.3">
      <c r="A21" s="7" t="s">
        <v>3</v>
      </c>
      <c r="B21" s="8">
        <f>SUM(B20:B20)</f>
        <v>1236</v>
      </c>
      <c r="C21" s="8">
        <f>SUM(C20:C20)</f>
        <v>605</v>
      </c>
      <c r="D21" s="8">
        <f t="shared" si="3"/>
        <v>1841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9" t="s">
        <v>8</v>
      </c>
      <c r="B23" s="20"/>
      <c r="C23" s="20"/>
      <c r="D23" s="21"/>
    </row>
    <row r="24" spans="1:4" ht="15.75" thickTop="1" x14ac:dyDescent="0.25">
      <c r="A24" s="6" t="s">
        <v>21</v>
      </c>
      <c r="B24" s="4">
        <v>62</v>
      </c>
      <c r="C24" s="4">
        <v>32</v>
      </c>
      <c r="D24" s="5">
        <f t="shared" ref="D24:D27" si="4">B24+C24</f>
        <v>94</v>
      </c>
    </row>
    <row r="25" spans="1:4" x14ac:dyDescent="0.25">
      <c r="A25" s="6" t="s">
        <v>22</v>
      </c>
      <c r="B25" s="4">
        <v>8</v>
      </c>
      <c r="C25" s="4">
        <v>22</v>
      </c>
      <c r="D25" s="5">
        <f t="shared" si="4"/>
        <v>30</v>
      </c>
    </row>
    <row r="26" spans="1:4" x14ac:dyDescent="0.25">
      <c r="A26" s="6" t="s">
        <v>23</v>
      </c>
      <c r="B26" s="4">
        <v>3</v>
      </c>
      <c r="C26" s="4">
        <v>10</v>
      </c>
      <c r="D26" s="5">
        <f t="shared" si="4"/>
        <v>13</v>
      </c>
    </row>
    <row r="27" spans="1:4" ht="15.75" thickBot="1" x14ac:dyDescent="0.3">
      <c r="A27" s="6" t="s">
        <v>18</v>
      </c>
      <c r="B27" s="4">
        <v>51</v>
      </c>
      <c r="C27" s="4">
        <v>90</v>
      </c>
      <c r="D27" s="5">
        <f t="shared" si="4"/>
        <v>141</v>
      </c>
    </row>
    <row r="28" spans="1:4" ht="16.5" thickTop="1" thickBot="1" x14ac:dyDescent="0.3">
      <c r="A28" s="7" t="s">
        <v>3</v>
      </c>
      <c r="B28" s="8">
        <f>SUM(B24:B27)</f>
        <v>124</v>
      </c>
      <c r="C28" s="8">
        <f t="shared" ref="C28:D28" si="5">SUM(C24:C27)</f>
        <v>154</v>
      </c>
      <c r="D28" s="8">
        <f t="shared" si="5"/>
        <v>278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9" t="s">
        <v>9</v>
      </c>
      <c r="B30" s="20"/>
      <c r="C30" s="20"/>
      <c r="D30" s="21"/>
    </row>
    <row r="31" spans="1:4" ht="16.5" thickTop="1" thickBot="1" x14ac:dyDescent="0.3">
      <c r="A31" s="18" t="s">
        <v>31</v>
      </c>
      <c r="B31" s="4">
        <v>1581</v>
      </c>
      <c r="C31" s="4">
        <v>1887</v>
      </c>
      <c r="D31" s="5">
        <f t="shared" ref="D31" si="6">B31+C31</f>
        <v>3468</v>
      </c>
    </row>
    <row r="32" spans="1:4" ht="16.5" thickTop="1" thickBot="1" x14ac:dyDescent="0.3">
      <c r="A32" s="7" t="s">
        <v>3</v>
      </c>
      <c r="B32" s="8">
        <f>SUM(B31:B31)</f>
        <v>1581</v>
      </c>
      <c r="C32" s="8">
        <f>SUM(C31:C31)</f>
        <v>1887</v>
      </c>
      <c r="D32" s="8">
        <f>SUM(D31:D31)</f>
        <v>3468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9" t="s">
        <v>4</v>
      </c>
      <c r="B34" s="20"/>
      <c r="C34" s="20"/>
      <c r="D34" s="21"/>
    </row>
    <row r="35" spans="1:5" ht="15.75" thickTop="1" x14ac:dyDescent="0.25">
      <c r="A35" s="6" t="s">
        <v>10</v>
      </c>
      <c r="B35" s="4">
        <v>121</v>
      </c>
      <c r="C35" s="4">
        <v>193</v>
      </c>
      <c r="D35" s="5">
        <f t="shared" ref="D35:D38" si="7">B35+C35</f>
        <v>314</v>
      </c>
    </row>
    <row r="36" spans="1:5" x14ac:dyDescent="0.25">
      <c r="A36" s="6" t="s">
        <v>11</v>
      </c>
      <c r="B36" s="4">
        <v>488</v>
      </c>
      <c r="C36" s="4">
        <v>134</v>
      </c>
      <c r="D36" s="5">
        <f t="shared" si="7"/>
        <v>622</v>
      </c>
    </row>
    <row r="37" spans="1:5" ht="15.75" thickBot="1" x14ac:dyDescent="0.3">
      <c r="A37" s="6" t="s">
        <v>12</v>
      </c>
      <c r="B37" s="4">
        <v>6</v>
      </c>
      <c r="C37" s="4">
        <v>43</v>
      </c>
      <c r="D37" s="5">
        <f t="shared" si="7"/>
        <v>49</v>
      </c>
    </row>
    <row r="38" spans="1:5" ht="16.5" thickTop="1" thickBot="1" x14ac:dyDescent="0.3">
      <c r="A38" s="7" t="s">
        <v>3</v>
      </c>
      <c r="B38" s="8">
        <f>SUM(B35:B37)</f>
        <v>615</v>
      </c>
      <c r="C38" s="8">
        <f>SUM(C35:C37)</f>
        <v>370</v>
      </c>
      <c r="D38" s="8">
        <f t="shared" si="7"/>
        <v>985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4342</v>
      </c>
      <c r="C40" s="8">
        <f>SUM(C38+C32+C28+C21+C17+C11)</f>
        <v>3801</v>
      </c>
      <c r="D40" s="9">
        <f>SUM(D38+D32+D28+D21+D17+D11)</f>
        <v>8143</v>
      </c>
    </row>
    <row r="41" spans="1:5" ht="7.5" customHeight="1" thickTop="1" x14ac:dyDescent="0.25"/>
    <row r="42" spans="1:5" ht="34.5" customHeight="1" x14ac:dyDescent="0.25">
      <c r="A42" s="22" t="s">
        <v>30</v>
      </c>
      <c r="B42" s="22"/>
      <c r="C42" s="22"/>
      <c r="D42" s="22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42"/>
  <sheetViews>
    <sheetView view="pageLayout" topLeftCell="A10" zoomScale="70" zoomScaleNormal="100" zoomScalePageLayoutView="7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13</v>
      </c>
      <c r="B1" s="3"/>
    </row>
    <row r="2" spans="1:4" x14ac:dyDescent="0.25">
      <c r="A2" s="23" t="s">
        <v>14</v>
      </c>
      <c r="B2" s="23"/>
      <c r="C2" s="23"/>
      <c r="D2" s="23"/>
    </row>
    <row r="3" spans="1:4" x14ac:dyDescent="0.25">
      <c r="A3" s="2" t="str">
        <f ca="1">RIGHT(CELL("filename",A1),LEN(CELL("filename",A1))-FIND("]",CELL("filename",A1)))</f>
        <v>2008-09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29</v>
      </c>
      <c r="B5" s="17" t="s">
        <v>1</v>
      </c>
      <c r="C5" s="17" t="s">
        <v>2</v>
      </c>
      <c r="D5" s="13" t="s">
        <v>0</v>
      </c>
    </row>
    <row r="6" spans="1:4" ht="15.75" thickBot="1" x14ac:dyDescent="0.3">
      <c r="A6" s="24" t="s">
        <v>5</v>
      </c>
      <c r="B6" s="25"/>
      <c r="C6" s="25"/>
      <c r="D6" s="26"/>
    </row>
    <row r="7" spans="1:4" ht="15.75" thickTop="1" x14ac:dyDescent="0.25">
      <c r="A7" s="6" t="s">
        <v>15</v>
      </c>
      <c r="B7" s="4">
        <v>12</v>
      </c>
      <c r="C7" s="4">
        <v>16</v>
      </c>
      <c r="D7" s="5">
        <f>B7+C7</f>
        <v>28</v>
      </c>
    </row>
    <row r="8" spans="1:4" x14ac:dyDescent="0.25">
      <c r="A8" s="6" t="s">
        <v>16</v>
      </c>
      <c r="B8" s="4">
        <v>62</v>
      </c>
      <c r="C8" s="4">
        <v>150</v>
      </c>
      <c r="D8" s="5">
        <f t="shared" ref="D8:D10" si="0">B8+C8</f>
        <v>212</v>
      </c>
    </row>
    <row r="9" spans="1:4" ht="15.75" customHeight="1" x14ac:dyDescent="0.25">
      <c r="A9" s="6" t="s">
        <v>17</v>
      </c>
      <c r="B9" s="4">
        <v>26</v>
      </c>
      <c r="C9" s="4">
        <v>44</v>
      </c>
      <c r="D9" s="5">
        <f t="shared" si="0"/>
        <v>70</v>
      </c>
    </row>
    <row r="10" spans="1:4" ht="15.75" customHeight="1" thickBot="1" x14ac:dyDescent="0.3">
      <c r="A10" s="6" t="s">
        <v>18</v>
      </c>
      <c r="B10" s="4">
        <v>199</v>
      </c>
      <c r="C10" s="4">
        <v>297</v>
      </c>
      <c r="D10" s="5">
        <f t="shared" si="0"/>
        <v>496</v>
      </c>
    </row>
    <row r="11" spans="1:4" ht="16.5" thickTop="1" thickBot="1" x14ac:dyDescent="0.3">
      <c r="A11" s="7" t="s">
        <v>3</v>
      </c>
      <c r="B11" s="8">
        <f>SUM(B7:B10)</f>
        <v>299</v>
      </c>
      <c r="C11" s="8">
        <f>SUM(C7:C10)</f>
        <v>507</v>
      </c>
      <c r="D11" s="9">
        <f>B11+C11</f>
        <v>806</v>
      </c>
    </row>
    <row r="12" spans="1:4" ht="6.95" customHeight="1" thickTop="1" thickBot="1" x14ac:dyDescent="0.3">
      <c r="A12" s="10"/>
      <c r="B12" s="10"/>
      <c r="C12" s="10"/>
      <c r="D12" s="10"/>
    </row>
    <row r="13" spans="1:4" ht="16.5" thickTop="1" thickBot="1" x14ac:dyDescent="0.3">
      <c r="A13" s="19" t="s">
        <v>6</v>
      </c>
      <c r="B13" s="20"/>
      <c r="C13" s="20"/>
      <c r="D13" s="21"/>
    </row>
    <row r="14" spans="1:4" ht="15.75" thickTop="1" x14ac:dyDescent="0.25">
      <c r="A14" s="6" t="s">
        <v>19</v>
      </c>
      <c r="B14" s="4">
        <v>16</v>
      </c>
      <c r="C14" s="4">
        <v>73</v>
      </c>
      <c r="D14" s="5">
        <f t="shared" ref="D14:D16" si="1">B14+C14</f>
        <v>89</v>
      </c>
    </row>
    <row r="15" spans="1:4" x14ac:dyDescent="0.25">
      <c r="A15" s="6" t="s">
        <v>20</v>
      </c>
      <c r="B15" s="4">
        <v>6</v>
      </c>
      <c r="C15" s="4">
        <v>8</v>
      </c>
      <c r="D15" s="5">
        <f t="shared" si="1"/>
        <v>14</v>
      </c>
    </row>
    <row r="16" spans="1:4" ht="15.75" thickBot="1" x14ac:dyDescent="0.3">
      <c r="A16" s="6" t="s">
        <v>18</v>
      </c>
      <c r="B16" s="4">
        <v>9</v>
      </c>
      <c r="C16" s="4">
        <v>20</v>
      </c>
      <c r="D16" s="5">
        <f t="shared" si="1"/>
        <v>29</v>
      </c>
    </row>
    <row r="17" spans="1:4" ht="16.5" thickTop="1" thickBot="1" x14ac:dyDescent="0.3">
      <c r="A17" s="7" t="s">
        <v>3</v>
      </c>
      <c r="B17" s="8">
        <f>SUM(B14:B16)</f>
        <v>31</v>
      </c>
      <c r="C17" s="8">
        <f t="shared" ref="C17:D17" si="2">SUM(C14:C16)</f>
        <v>101</v>
      </c>
      <c r="D17" s="9">
        <f t="shared" si="2"/>
        <v>132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9" t="s">
        <v>7</v>
      </c>
      <c r="B19" s="20"/>
      <c r="C19" s="20"/>
      <c r="D19" s="21"/>
    </row>
    <row r="20" spans="1:4" ht="16.5" thickTop="1" thickBot="1" x14ac:dyDescent="0.3">
      <c r="A20" s="6" t="s">
        <v>7</v>
      </c>
      <c r="B20" s="4">
        <v>530</v>
      </c>
      <c r="C20" s="4">
        <v>457</v>
      </c>
      <c r="D20" s="5">
        <f t="shared" ref="D20:D21" si="3">B20+C20</f>
        <v>987</v>
      </c>
    </row>
    <row r="21" spans="1:4" ht="16.5" thickTop="1" thickBot="1" x14ac:dyDescent="0.3">
      <c r="A21" s="7" t="s">
        <v>3</v>
      </c>
      <c r="B21" s="8">
        <f>SUM(B20:B20)</f>
        <v>530</v>
      </c>
      <c r="C21" s="8">
        <f>SUM(C20:C20)</f>
        <v>457</v>
      </c>
      <c r="D21" s="8">
        <f t="shared" si="3"/>
        <v>987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9" t="s">
        <v>8</v>
      </c>
      <c r="B23" s="20"/>
      <c r="C23" s="20"/>
      <c r="D23" s="21"/>
    </row>
    <row r="24" spans="1:4" ht="15.75" thickTop="1" x14ac:dyDescent="0.25">
      <c r="A24" s="6" t="s">
        <v>21</v>
      </c>
      <c r="B24" s="4">
        <v>24</v>
      </c>
      <c r="C24" s="4">
        <v>25</v>
      </c>
      <c r="D24" s="5">
        <f t="shared" ref="D24:D27" si="4">B24+C24</f>
        <v>49</v>
      </c>
    </row>
    <row r="25" spans="1:4" x14ac:dyDescent="0.25">
      <c r="A25" s="6" t="s">
        <v>22</v>
      </c>
      <c r="B25" s="4">
        <v>7</v>
      </c>
      <c r="C25" s="4">
        <v>11</v>
      </c>
      <c r="D25" s="5">
        <f t="shared" si="4"/>
        <v>18</v>
      </c>
    </row>
    <row r="26" spans="1:4" x14ac:dyDescent="0.25">
      <c r="A26" s="6" t="s">
        <v>23</v>
      </c>
      <c r="B26" s="4">
        <v>1</v>
      </c>
      <c r="C26" s="4">
        <v>4</v>
      </c>
      <c r="D26" s="5">
        <f t="shared" si="4"/>
        <v>5</v>
      </c>
    </row>
    <row r="27" spans="1:4" ht="15.75" thickBot="1" x14ac:dyDescent="0.3">
      <c r="A27" s="6" t="s">
        <v>18</v>
      </c>
      <c r="B27" s="4">
        <v>25</v>
      </c>
      <c r="C27" s="4">
        <v>77</v>
      </c>
      <c r="D27" s="5">
        <f t="shared" si="4"/>
        <v>102</v>
      </c>
    </row>
    <row r="28" spans="1:4" ht="16.5" thickTop="1" thickBot="1" x14ac:dyDescent="0.3">
      <c r="A28" s="7" t="s">
        <v>3</v>
      </c>
      <c r="B28" s="8">
        <f>SUM(B24:B27)</f>
        <v>57</v>
      </c>
      <c r="C28" s="8">
        <f t="shared" ref="C28:D28" si="5">SUM(C24:C27)</f>
        <v>117</v>
      </c>
      <c r="D28" s="8">
        <f t="shared" si="5"/>
        <v>174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9" t="s">
        <v>9</v>
      </c>
      <c r="B30" s="20"/>
      <c r="C30" s="20"/>
      <c r="D30" s="21"/>
    </row>
    <row r="31" spans="1:4" ht="16.5" thickTop="1" thickBot="1" x14ac:dyDescent="0.3">
      <c r="A31" s="18" t="s">
        <v>31</v>
      </c>
      <c r="B31" s="4">
        <v>895</v>
      </c>
      <c r="C31" s="4">
        <v>1552</v>
      </c>
      <c r="D31" s="5">
        <f t="shared" ref="D31" si="6">B31+C31</f>
        <v>2447</v>
      </c>
    </row>
    <row r="32" spans="1:4" ht="16.5" thickTop="1" thickBot="1" x14ac:dyDescent="0.3">
      <c r="A32" s="7" t="s">
        <v>3</v>
      </c>
      <c r="B32" s="8">
        <f>SUM(B31:B31)</f>
        <v>895</v>
      </c>
      <c r="C32" s="8">
        <f>SUM(C31:C31)</f>
        <v>1552</v>
      </c>
      <c r="D32" s="8">
        <f>SUM(D31:D31)</f>
        <v>2447</v>
      </c>
    </row>
    <row r="33" spans="1:5" ht="6.95" customHeight="1" thickTop="1" thickBot="1" x14ac:dyDescent="0.3">
      <c r="A33" s="10"/>
      <c r="B33" s="11"/>
      <c r="C33" s="11"/>
      <c r="D33" s="12"/>
    </row>
    <row r="34" spans="1:5" ht="16.5" thickTop="1" thickBot="1" x14ac:dyDescent="0.3">
      <c r="A34" s="19" t="s">
        <v>4</v>
      </c>
      <c r="B34" s="20"/>
      <c r="C34" s="20"/>
      <c r="D34" s="21"/>
    </row>
    <row r="35" spans="1:5" ht="15.75" thickTop="1" x14ac:dyDescent="0.25">
      <c r="A35" s="6" t="s">
        <v>10</v>
      </c>
      <c r="B35" s="4">
        <v>49</v>
      </c>
      <c r="C35" s="4">
        <v>118</v>
      </c>
      <c r="D35" s="5">
        <f t="shared" ref="D35:D38" si="7">B35+C35</f>
        <v>167</v>
      </c>
    </row>
    <row r="36" spans="1:5" x14ac:dyDescent="0.25">
      <c r="A36" s="6" t="s">
        <v>11</v>
      </c>
      <c r="B36" s="4">
        <v>1456</v>
      </c>
      <c r="C36" s="4">
        <v>180</v>
      </c>
      <c r="D36" s="5">
        <f t="shared" si="7"/>
        <v>1636</v>
      </c>
    </row>
    <row r="37" spans="1:5" ht="15.75" thickBot="1" x14ac:dyDescent="0.3">
      <c r="A37" s="6" t="s">
        <v>12</v>
      </c>
      <c r="B37" s="4">
        <v>641</v>
      </c>
      <c r="C37" s="4">
        <v>155</v>
      </c>
      <c r="D37" s="5">
        <f t="shared" si="7"/>
        <v>796</v>
      </c>
    </row>
    <row r="38" spans="1:5" ht="16.5" thickTop="1" thickBot="1" x14ac:dyDescent="0.3">
      <c r="A38" s="7" t="s">
        <v>3</v>
      </c>
      <c r="B38" s="8">
        <f>SUM(B35:B37)</f>
        <v>2146</v>
      </c>
      <c r="C38" s="8">
        <f>SUM(C35:C37)</f>
        <v>453</v>
      </c>
      <c r="D38" s="8">
        <f t="shared" si="7"/>
        <v>2599</v>
      </c>
    </row>
    <row r="39" spans="1:5" ht="6.95" customHeight="1" thickTop="1" thickBot="1" x14ac:dyDescent="0.3">
      <c r="A39" s="10"/>
      <c r="B39" s="11"/>
      <c r="C39" s="11"/>
      <c r="D39" s="12"/>
    </row>
    <row r="40" spans="1:5" ht="16.5" thickTop="1" thickBot="1" x14ac:dyDescent="0.3">
      <c r="A40" s="7" t="s">
        <v>0</v>
      </c>
      <c r="B40" s="8">
        <f>SUM(B38+B32+B28+B21+B17+B11)</f>
        <v>3958</v>
      </c>
      <c r="C40" s="8">
        <f>SUM(C38+C32+C28+C21+C17+C11)</f>
        <v>3187</v>
      </c>
      <c r="D40" s="9">
        <f>SUM(D38+D32+D28+D21+D17+D11)</f>
        <v>7145</v>
      </c>
    </row>
    <row r="41" spans="1:5" ht="7.5" customHeight="1" thickTop="1" x14ac:dyDescent="0.25"/>
    <row r="42" spans="1:5" ht="34.5" customHeight="1" x14ac:dyDescent="0.25">
      <c r="A42" s="22" t="s">
        <v>30</v>
      </c>
      <c r="B42" s="22"/>
      <c r="C42" s="22"/>
      <c r="D42" s="22"/>
      <c r="E42" s="15"/>
    </row>
  </sheetData>
  <mergeCells count="8">
    <mergeCell ref="A34:D34"/>
    <mergeCell ref="A42:D42"/>
    <mergeCell ref="A2:D2"/>
    <mergeCell ref="A6:D6"/>
    <mergeCell ref="A13:D13"/>
    <mergeCell ref="A19:D19"/>
    <mergeCell ref="A23:D23"/>
    <mergeCell ref="A30:D30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47"/>
  <sheetViews>
    <sheetView view="pageLayout" topLeftCell="A10" zoomScale="70" zoomScaleNormal="100" zoomScalePageLayoutView="70" workbookViewId="0">
      <selection activeCell="C38" sqref="C38"/>
    </sheetView>
  </sheetViews>
  <sheetFormatPr defaultRowHeight="15" x14ac:dyDescent="0.25"/>
  <cols>
    <col min="1" max="1" width="33.28515625" bestFit="1" customWidth="1"/>
    <col min="2" max="4" width="14.7109375" customWidth="1"/>
  </cols>
  <sheetData>
    <row r="1" spans="1:4" ht="18" x14ac:dyDescent="0.25">
      <c r="A1" s="1" t="s">
        <v>13</v>
      </c>
      <c r="B1" s="3"/>
    </row>
    <row r="2" spans="1:4" x14ac:dyDescent="0.25">
      <c r="A2" s="23" t="s">
        <v>14</v>
      </c>
      <c r="B2" s="23"/>
      <c r="C2" s="23"/>
      <c r="D2" s="23"/>
    </row>
    <row r="3" spans="1:4" x14ac:dyDescent="0.25">
      <c r="A3" s="2" t="str">
        <f ca="1">RIGHT(CELL("filename",A1),LEN(CELL("filename",A1))-FIND("]",CELL("filename",A1)))</f>
        <v>2007-08</v>
      </c>
      <c r="B3" s="3"/>
    </row>
    <row r="4" spans="1:4" ht="12.75" customHeight="1" thickBot="1" x14ac:dyDescent="0.3">
      <c r="A4" s="3"/>
      <c r="B4" s="3"/>
    </row>
    <row r="5" spans="1:4" ht="15" customHeight="1" x14ac:dyDescent="0.25">
      <c r="A5" s="14" t="s">
        <v>29</v>
      </c>
      <c r="B5" s="17" t="s">
        <v>1</v>
      </c>
      <c r="C5" s="17" t="s">
        <v>2</v>
      </c>
      <c r="D5" s="13" t="s">
        <v>0</v>
      </c>
    </row>
    <row r="6" spans="1:4" ht="15.75" thickBot="1" x14ac:dyDescent="0.3">
      <c r="A6" s="24" t="s">
        <v>5</v>
      </c>
      <c r="B6" s="25"/>
      <c r="C6" s="25"/>
      <c r="D6" s="26"/>
    </row>
    <row r="7" spans="1:4" ht="15.75" thickTop="1" x14ac:dyDescent="0.25">
      <c r="A7" s="6" t="s">
        <v>15</v>
      </c>
      <c r="B7" s="4">
        <v>10</v>
      </c>
      <c r="C7" s="4">
        <v>10</v>
      </c>
      <c r="D7" s="5">
        <f>B7+C7</f>
        <v>20</v>
      </c>
    </row>
    <row r="8" spans="1:4" x14ac:dyDescent="0.25">
      <c r="A8" s="6" t="s">
        <v>16</v>
      </c>
      <c r="B8" s="4">
        <v>45</v>
      </c>
      <c r="C8" s="4">
        <v>106</v>
      </c>
      <c r="D8" s="5">
        <f t="shared" ref="D8:D10" si="0">B8+C8</f>
        <v>151</v>
      </c>
    </row>
    <row r="9" spans="1:4" ht="15.75" customHeight="1" x14ac:dyDescent="0.25">
      <c r="A9" s="6" t="s">
        <v>17</v>
      </c>
      <c r="B9" s="4">
        <v>23</v>
      </c>
      <c r="C9" s="4">
        <v>39</v>
      </c>
      <c r="D9" s="5">
        <f t="shared" si="0"/>
        <v>62</v>
      </c>
    </row>
    <row r="10" spans="1:4" ht="15.75" customHeight="1" thickBot="1" x14ac:dyDescent="0.3">
      <c r="A10" s="6" t="s">
        <v>18</v>
      </c>
      <c r="B10" s="4">
        <v>161</v>
      </c>
      <c r="C10" s="4">
        <v>247</v>
      </c>
      <c r="D10" s="5">
        <f t="shared" si="0"/>
        <v>408</v>
      </c>
    </row>
    <row r="11" spans="1:4" ht="16.5" thickTop="1" thickBot="1" x14ac:dyDescent="0.3">
      <c r="A11" s="7" t="s">
        <v>3</v>
      </c>
      <c r="B11" s="8">
        <f>SUM(B7:B10)</f>
        <v>239</v>
      </c>
      <c r="C11" s="8">
        <f>SUM(C7:C10)</f>
        <v>402</v>
      </c>
      <c r="D11" s="9">
        <f>B11+C11</f>
        <v>641</v>
      </c>
    </row>
    <row r="12" spans="1:4" ht="6.95" customHeight="1" thickTop="1" thickBot="1" x14ac:dyDescent="0.3">
      <c r="A12" s="10"/>
      <c r="B12" s="10"/>
      <c r="C12" s="10"/>
      <c r="D12" s="10"/>
    </row>
    <row r="13" spans="1:4" ht="16.5" thickTop="1" thickBot="1" x14ac:dyDescent="0.3">
      <c r="A13" s="19" t="s">
        <v>6</v>
      </c>
      <c r="B13" s="20"/>
      <c r="C13" s="20"/>
      <c r="D13" s="21"/>
    </row>
    <row r="14" spans="1:4" ht="15.75" thickTop="1" x14ac:dyDescent="0.25">
      <c r="A14" s="6" t="s">
        <v>19</v>
      </c>
      <c r="B14" s="4">
        <v>11</v>
      </c>
      <c r="C14" s="4">
        <v>58</v>
      </c>
      <c r="D14" s="5">
        <f t="shared" ref="D14:D16" si="1">B14+C14</f>
        <v>69</v>
      </c>
    </row>
    <row r="15" spans="1:4" x14ac:dyDescent="0.25">
      <c r="A15" s="6" t="s">
        <v>20</v>
      </c>
      <c r="B15" s="4">
        <v>7</v>
      </c>
      <c r="C15" s="4">
        <v>11</v>
      </c>
      <c r="D15" s="5">
        <f t="shared" si="1"/>
        <v>18</v>
      </c>
    </row>
    <row r="16" spans="1:4" ht="15.75" thickBot="1" x14ac:dyDescent="0.3">
      <c r="A16" s="6" t="s">
        <v>18</v>
      </c>
      <c r="B16" s="4">
        <v>5</v>
      </c>
      <c r="C16" s="4">
        <v>15</v>
      </c>
      <c r="D16" s="5">
        <f t="shared" si="1"/>
        <v>20</v>
      </c>
    </row>
    <row r="17" spans="1:4" ht="16.5" thickTop="1" thickBot="1" x14ac:dyDescent="0.3">
      <c r="A17" s="7" t="s">
        <v>3</v>
      </c>
      <c r="B17" s="8">
        <f>SUM(B14:B16)</f>
        <v>23</v>
      </c>
      <c r="C17" s="8">
        <f t="shared" ref="C17:D17" si="2">SUM(C14:C16)</f>
        <v>84</v>
      </c>
      <c r="D17" s="9">
        <f t="shared" si="2"/>
        <v>107</v>
      </c>
    </row>
    <row r="18" spans="1:4" ht="6.95" customHeight="1" thickTop="1" thickBot="1" x14ac:dyDescent="0.3">
      <c r="A18" s="10"/>
      <c r="B18" s="11"/>
      <c r="C18" s="11"/>
      <c r="D18" s="12"/>
    </row>
    <row r="19" spans="1:4" ht="16.5" thickTop="1" thickBot="1" x14ac:dyDescent="0.3">
      <c r="A19" s="19" t="s">
        <v>7</v>
      </c>
      <c r="B19" s="20"/>
      <c r="C19" s="20"/>
      <c r="D19" s="21"/>
    </row>
    <row r="20" spans="1:4" ht="16.5" thickTop="1" thickBot="1" x14ac:dyDescent="0.3">
      <c r="A20" s="6" t="s">
        <v>7</v>
      </c>
      <c r="B20" s="4">
        <v>429</v>
      </c>
      <c r="C20" s="4">
        <v>432</v>
      </c>
      <c r="D20" s="5">
        <f t="shared" ref="D20:D21" si="3">B20+C20</f>
        <v>861</v>
      </c>
    </row>
    <row r="21" spans="1:4" ht="16.5" thickTop="1" thickBot="1" x14ac:dyDescent="0.3">
      <c r="A21" s="7" t="s">
        <v>3</v>
      </c>
      <c r="B21" s="8">
        <f>SUM(B20:B20)</f>
        <v>429</v>
      </c>
      <c r="C21" s="8">
        <f>SUM(C20:C20)</f>
        <v>432</v>
      </c>
      <c r="D21" s="8">
        <f t="shared" si="3"/>
        <v>861</v>
      </c>
    </row>
    <row r="22" spans="1:4" ht="6.95" customHeight="1" thickTop="1" thickBot="1" x14ac:dyDescent="0.3">
      <c r="A22" s="10"/>
      <c r="B22" s="11"/>
      <c r="C22" s="11"/>
      <c r="D22" s="12"/>
    </row>
    <row r="23" spans="1:4" ht="16.5" thickTop="1" thickBot="1" x14ac:dyDescent="0.3">
      <c r="A23" s="19" t="s">
        <v>8</v>
      </c>
      <c r="B23" s="20"/>
      <c r="C23" s="20"/>
      <c r="D23" s="21"/>
    </row>
    <row r="24" spans="1:4" ht="15.75" thickTop="1" x14ac:dyDescent="0.25">
      <c r="A24" s="6" t="s">
        <v>21</v>
      </c>
      <c r="B24" s="4">
        <v>20</v>
      </c>
      <c r="C24" s="4">
        <v>25</v>
      </c>
      <c r="D24" s="5">
        <f t="shared" ref="D24:D27" si="4">B24+C24</f>
        <v>45</v>
      </c>
    </row>
    <row r="25" spans="1:4" x14ac:dyDescent="0.25">
      <c r="A25" s="6" t="s">
        <v>22</v>
      </c>
      <c r="B25" s="4">
        <v>10</v>
      </c>
      <c r="C25" s="4">
        <v>11</v>
      </c>
      <c r="D25" s="5">
        <f t="shared" si="4"/>
        <v>21</v>
      </c>
    </row>
    <row r="26" spans="1:4" x14ac:dyDescent="0.25">
      <c r="A26" s="6" t="s">
        <v>23</v>
      </c>
      <c r="B26" s="4">
        <v>1</v>
      </c>
      <c r="C26" s="4">
        <v>5</v>
      </c>
      <c r="D26" s="5">
        <f t="shared" si="4"/>
        <v>6</v>
      </c>
    </row>
    <row r="27" spans="1:4" ht="15.75" thickBot="1" x14ac:dyDescent="0.3">
      <c r="A27" s="6" t="s">
        <v>18</v>
      </c>
      <c r="B27" s="4">
        <v>25</v>
      </c>
      <c r="C27" s="4">
        <v>68</v>
      </c>
      <c r="D27" s="5">
        <f t="shared" si="4"/>
        <v>93</v>
      </c>
    </row>
    <row r="28" spans="1:4" ht="16.5" thickTop="1" thickBot="1" x14ac:dyDescent="0.3">
      <c r="A28" s="7" t="s">
        <v>3</v>
      </c>
      <c r="B28" s="8">
        <f>SUM(B24:B27)</f>
        <v>56</v>
      </c>
      <c r="C28" s="8">
        <f t="shared" ref="C28:D28" si="5">SUM(C24:C27)</f>
        <v>109</v>
      </c>
      <c r="D28" s="8">
        <f t="shared" si="5"/>
        <v>165</v>
      </c>
    </row>
    <row r="29" spans="1:4" ht="6.95" customHeight="1" thickTop="1" thickBot="1" x14ac:dyDescent="0.3">
      <c r="A29" s="10"/>
      <c r="B29" s="11"/>
      <c r="C29" s="11"/>
      <c r="D29" s="12"/>
    </row>
    <row r="30" spans="1:4" ht="16.5" thickTop="1" thickBot="1" x14ac:dyDescent="0.3">
      <c r="A30" s="19" t="s">
        <v>9</v>
      </c>
      <c r="B30" s="20"/>
      <c r="C30" s="20"/>
      <c r="D30" s="21"/>
    </row>
    <row r="31" spans="1:4" ht="15.75" thickTop="1" x14ac:dyDescent="0.25">
      <c r="A31" s="6" t="s">
        <v>24</v>
      </c>
      <c r="B31" s="4">
        <v>42</v>
      </c>
      <c r="C31" s="4">
        <v>41</v>
      </c>
      <c r="D31" s="5">
        <f t="shared" ref="D31:D36" si="6">B31+C31</f>
        <v>83</v>
      </c>
    </row>
    <row r="32" spans="1:4" x14ac:dyDescent="0.25">
      <c r="A32" s="6" t="s">
        <v>25</v>
      </c>
      <c r="B32" s="4">
        <v>12</v>
      </c>
      <c r="C32" s="4">
        <v>73</v>
      </c>
      <c r="D32" s="5">
        <f t="shared" si="6"/>
        <v>85</v>
      </c>
    </row>
    <row r="33" spans="1:5" x14ac:dyDescent="0.25">
      <c r="A33" s="6" t="s">
        <v>26</v>
      </c>
      <c r="B33" s="4">
        <v>0</v>
      </c>
      <c r="C33" s="4">
        <v>0</v>
      </c>
      <c r="D33" s="5">
        <f t="shared" si="6"/>
        <v>0</v>
      </c>
    </row>
    <row r="34" spans="1:5" x14ac:dyDescent="0.25">
      <c r="A34" s="6" t="s">
        <v>27</v>
      </c>
      <c r="B34" s="4">
        <v>1</v>
      </c>
      <c r="C34" s="4">
        <v>2</v>
      </c>
      <c r="D34" s="5">
        <f t="shared" si="6"/>
        <v>3</v>
      </c>
    </row>
    <row r="35" spans="1:5" x14ac:dyDescent="0.25">
      <c r="A35" s="6" t="s">
        <v>28</v>
      </c>
      <c r="B35" s="16">
        <v>111</v>
      </c>
      <c r="C35" s="4">
        <v>32</v>
      </c>
      <c r="D35" s="5">
        <f t="shared" si="6"/>
        <v>143</v>
      </c>
    </row>
    <row r="36" spans="1:5" ht="15.75" thickBot="1" x14ac:dyDescent="0.3">
      <c r="A36" s="6" t="s">
        <v>18</v>
      </c>
      <c r="B36" s="4">
        <v>655</v>
      </c>
      <c r="C36" s="4">
        <v>1317</v>
      </c>
      <c r="D36" s="5">
        <f t="shared" si="6"/>
        <v>1972</v>
      </c>
    </row>
    <row r="37" spans="1:5" ht="16.5" thickTop="1" thickBot="1" x14ac:dyDescent="0.3">
      <c r="A37" s="7" t="s">
        <v>3</v>
      </c>
      <c r="B37" s="8">
        <f>SUM(B31:B36)</f>
        <v>821</v>
      </c>
      <c r="C37" s="8">
        <f>SUM(C31:C36)</f>
        <v>1465</v>
      </c>
      <c r="D37" s="8">
        <f>SUM(D31:D36)</f>
        <v>2286</v>
      </c>
    </row>
    <row r="38" spans="1:5" ht="6.95" customHeight="1" thickTop="1" thickBot="1" x14ac:dyDescent="0.3">
      <c r="A38" s="10"/>
      <c r="B38" s="11"/>
      <c r="C38" s="11"/>
      <c r="D38" s="12"/>
    </row>
    <row r="39" spans="1:5" ht="16.5" thickTop="1" thickBot="1" x14ac:dyDescent="0.3">
      <c r="A39" s="19" t="s">
        <v>4</v>
      </c>
      <c r="B39" s="20"/>
      <c r="C39" s="20"/>
      <c r="D39" s="21"/>
    </row>
    <row r="40" spans="1:5" ht="15.75" thickTop="1" x14ac:dyDescent="0.25">
      <c r="A40" s="6" t="s">
        <v>10</v>
      </c>
      <c r="B40" s="4">
        <v>50</v>
      </c>
      <c r="C40" s="4">
        <v>117</v>
      </c>
      <c r="D40" s="5">
        <f t="shared" ref="D40:D43" si="7">B40+C40</f>
        <v>167</v>
      </c>
    </row>
    <row r="41" spans="1:5" x14ac:dyDescent="0.25">
      <c r="A41" s="6" t="s">
        <v>11</v>
      </c>
      <c r="B41" s="4">
        <v>692</v>
      </c>
      <c r="C41" s="4">
        <v>68</v>
      </c>
      <c r="D41" s="5">
        <f t="shared" si="7"/>
        <v>760</v>
      </c>
    </row>
    <row r="42" spans="1:5" ht="15.75" thickBot="1" x14ac:dyDescent="0.3">
      <c r="A42" s="6" t="s">
        <v>12</v>
      </c>
      <c r="B42" s="4">
        <v>1268</v>
      </c>
      <c r="C42" s="4">
        <v>352</v>
      </c>
      <c r="D42" s="5">
        <f t="shared" si="7"/>
        <v>1620</v>
      </c>
    </row>
    <row r="43" spans="1:5" ht="16.5" thickTop="1" thickBot="1" x14ac:dyDescent="0.3">
      <c r="A43" s="7" t="s">
        <v>3</v>
      </c>
      <c r="B43" s="8">
        <f>SUM(B40:B42)</f>
        <v>2010</v>
      </c>
      <c r="C43" s="8">
        <f>SUM(C40:C42)</f>
        <v>537</v>
      </c>
      <c r="D43" s="8">
        <f t="shared" si="7"/>
        <v>2547</v>
      </c>
    </row>
    <row r="44" spans="1:5" ht="6.95" customHeight="1" thickTop="1" thickBot="1" x14ac:dyDescent="0.3">
      <c r="A44" s="10"/>
      <c r="B44" s="11"/>
      <c r="C44" s="11"/>
      <c r="D44" s="12"/>
    </row>
    <row r="45" spans="1:5" ht="16.5" thickTop="1" thickBot="1" x14ac:dyDescent="0.3">
      <c r="A45" s="7" t="s">
        <v>0</v>
      </c>
      <c r="B45" s="8">
        <f>SUM(B43+B37+B28+B21+B17+B11)</f>
        <v>3578</v>
      </c>
      <c r="C45" s="8">
        <f t="shared" ref="C45:D45" si="8">SUM(C43+C37+C28+C21+C17+C11)</f>
        <v>3029</v>
      </c>
      <c r="D45" s="9">
        <f t="shared" si="8"/>
        <v>6607</v>
      </c>
    </row>
    <row r="46" spans="1:5" ht="7.5" customHeight="1" thickTop="1" x14ac:dyDescent="0.25"/>
    <row r="47" spans="1:5" ht="34.5" customHeight="1" x14ac:dyDescent="0.25">
      <c r="A47" s="22" t="s">
        <v>30</v>
      </c>
      <c r="B47" s="22"/>
      <c r="C47" s="22"/>
      <c r="D47" s="22"/>
      <c r="E47" s="15"/>
    </row>
  </sheetData>
  <mergeCells count="8">
    <mergeCell ref="A2:D2"/>
    <mergeCell ref="A47:D47"/>
    <mergeCell ref="A19:D19"/>
    <mergeCell ref="A30:D30"/>
    <mergeCell ref="A39:D39"/>
    <mergeCell ref="A6:D6"/>
    <mergeCell ref="A13:D13"/>
    <mergeCell ref="A23:D23"/>
  </mergeCells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2011-12</vt:lpstr>
      <vt:lpstr>2010-11</vt:lpstr>
      <vt:lpstr>2009-10</vt:lpstr>
      <vt:lpstr>2008-09</vt:lpstr>
      <vt:lpstr>2007-08</vt:lpstr>
      <vt:lpstr>'2007-08'!Print_Titles</vt:lpstr>
      <vt:lpstr>'2008-09'!Print_Titles</vt:lpstr>
      <vt:lpstr>'2009-10'!Print_Titles</vt:lpstr>
      <vt:lpstr>'2010-11'!Print_Titles</vt:lpstr>
      <vt:lpstr>'2011-12'!Print_Titles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2013-06-18T15:18:03Z</cp:lastPrinted>
  <dcterms:created xsi:type="dcterms:W3CDTF">2013-05-17T14:02:41Z</dcterms:created>
  <dcterms:modified xsi:type="dcterms:W3CDTF">2013-06-18T15:18:46Z</dcterms:modified>
</cp:coreProperties>
</file>