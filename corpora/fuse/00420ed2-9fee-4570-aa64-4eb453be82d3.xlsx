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720" windowWidth="7680" windowHeight="7665"/>
  </bookViews>
  <sheets>
    <sheet name="2012" sheetId="1" r:id="rId1"/>
  </sheets>
  <definedNames>
    <definedName name="_xlnm.Print_Area" localSheetId="0">'2012'!#REF!</definedName>
    <definedName name="_xlnm.Print_Titles" localSheetId="0">'2012'!$A:$C,'2012'!$1:$7</definedName>
  </definedNames>
  <calcPr calcId="145621"/>
</workbook>
</file>

<file path=xl/calcChain.xml><?xml version="1.0" encoding="utf-8"?>
<calcChain xmlns="http://schemas.openxmlformats.org/spreadsheetml/2006/main">
  <c r="J107" i="1" l="1"/>
  <c r="J82" i="1"/>
  <c r="J71" i="1"/>
  <c r="J56" i="1"/>
  <c r="J38" i="1"/>
  <c r="J31" i="1"/>
  <c r="F246" i="1" l="1"/>
  <c r="G246" i="1" s="1"/>
  <c r="H246" i="1" s="1"/>
  <c r="F245" i="1"/>
  <c r="G245" i="1" s="1"/>
  <c r="H245" i="1" s="1"/>
  <c r="F244" i="1"/>
  <c r="G244" i="1" s="1"/>
  <c r="H244" i="1" s="1"/>
  <c r="F243" i="1"/>
  <c r="G243" i="1" s="1"/>
  <c r="H243" i="1" s="1"/>
  <c r="F242" i="1"/>
  <c r="G242" i="1" s="1"/>
  <c r="H242" i="1" s="1"/>
  <c r="F241" i="1"/>
  <c r="G241" i="1" s="1"/>
  <c r="H241" i="1" s="1"/>
  <c r="F240" i="1"/>
  <c r="G240" i="1" s="1"/>
  <c r="H240" i="1" s="1"/>
  <c r="F239" i="1"/>
  <c r="G239" i="1" s="1"/>
  <c r="H239" i="1" s="1"/>
  <c r="F238" i="1"/>
  <c r="G238" i="1" s="1"/>
  <c r="H238" i="1" s="1"/>
  <c r="F237" i="1"/>
  <c r="G237" i="1" s="1"/>
  <c r="H237" i="1" s="1"/>
  <c r="F236" i="1"/>
  <c r="G236" i="1" s="1"/>
  <c r="H236" i="1" s="1"/>
  <c r="F235" i="1"/>
  <c r="G235" i="1" s="1"/>
  <c r="H235" i="1" s="1"/>
  <c r="F234" i="1"/>
  <c r="G234" i="1" s="1"/>
  <c r="H234" i="1" s="1"/>
  <c r="F339" i="1" l="1"/>
  <c r="F334" i="1"/>
  <c r="F338" i="1"/>
  <c r="F340" i="1"/>
  <c r="F337" i="1"/>
  <c r="F336" i="1"/>
  <c r="F333" i="1"/>
  <c r="F332" i="1"/>
  <c r="F331" i="1"/>
  <c r="F330" i="1"/>
  <c r="F329" i="1"/>
  <c r="F335" i="1"/>
  <c r="F454" i="1" l="1"/>
  <c r="F453" i="1"/>
  <c r="F452" i="1"/>
  <c r="F459" i="1"/>
  <c r="F457" i="1"/>
  <c r="F456" i="1"/>
  <c r="F455" i="1"/>
  <c r="F458" i="1"/>
  <c r="F451" i="1"/>
  <c r="F450" i="1"/>
  <c r="F449" i="1"/>
  <c r="F448" i="1"/>
  <c r="F447" i="1" l="1"/>
  <c r="F446" i="1"/>
  <c r="F445" i="1"/>
  <c r="F444" i="1"/>
  <c r="F443" i="1"/>
  <c r="F442" i="1"/>
  <c r="F441" i="1"/>
  <c r="F439" i="1"/>
  <c r="F440" i="1"/>
  <c r="F438" i="1"/>
  <c r="F437" i="1"/>
  <c r="F460" i="1"/>
  <c r="F433" i="1"/>
  <c r="F434" i="1"/>
  <c r="F432" i="1"/>
  <c r="F431" i="1"/>
  <c r="F418" i="1"/>
  <c r="F419" i="1"/>
  <c r="F417" i="1"/>
  <c r="F416" i="1"/>
  <c r="F415" i="1"/>
  <c r="F426" i="1"/>
  <c r="F413" i="1"/>
  <c r="F414" i="1"/>
  <c r="F425" i="1"/>
  <c r="F412" i="1"/>
  <c r="F428" i="1"/>
  <c r="F409" i="1"/>
  <c r="F422" i="1"/>
  <c r="F424" i="1"/>
  <c r="F427" i="1"/>
  <c r="F408" i="1"/>
  <c r="F420" i="1"/>
  <c r="F411" i="1"/>
  <c r="F421" i="1"/>
  <c r="F404" i="1"/>
  <c r="F410" i="1"/>
  <c r="F403" i="1"/>
  <c r="F423" i="1"/>
  <c r="F407" i="1"/>
  <c r="F406" i="1"/>
  <c r="F405" i="1"/>
  <c r="F400" i="1"/>
  <c r="F399" i="1"/>
  <c r="F397" i="1"/>
  <c r="F398" i="1"/>
  <c r="F396" i="1"/>
  <c r="F591" i="1" l="1"/>
  <c r="F392" i="1" l="1"/>
  <c r="F393" i="1"/>
  <c r="F389" i="1"/>
  <c r="F388" i="1"/>
  <c r="F390" i="1"/>
  <c r="F387" i="1"/>
  <c r="F391" i="1"/>
  <c r="F386" i="1"/>
  <c r="F379" i="1" l="1"/>
  <c r="F382" i="1"/>
  <c r="F376" i="1"/>
  <c r="F380" i="1"/>
  <c r="F381" i="1"/>
  <c r="F377" i="1"/>
  <c r="F375" i="1"/>
  <c r="F374" i="1"/>
  <c r="F373" i="1"/>
  <c r="F372" i="1"/>
  <c r="F371" i="1"/>
  <c r="F370" i="1"/>
  <c r="F369" i="1"/>
  <c r="F383" i="1"/>
  <c r="F378" i="1" l="1"/>
  <c r="F366" i="1" l="1"/>
  <c r="F363" i="1" l="1"/>
  <c r="F359" i="1"/>
  <c r="F360" i="1"/>
  <c r="F362" i="1"/>
  <c r="F358" i="1"/>
  <c r="F361" i="1"/>
  <c r="F357" i="1"/>
  <c r="F482" i="1"/>
  <c r="F491" i="1"/>
  <c r="F481" i="1"/>
  <c r="F498" i="1"/>
  <c r="F483" i="1"/>
  <c r="F479" i="1"/>
  <c r="F478" i="1"/>
  <c r="F477" i="1"/>
  <c r="F463" i="1"/>
  <c r="F488" i="1"/>
  <c r="F467" i="1"/>
  <c r="F476" i="1"/>
  <c r="F475" i="1"/>
  <c r="F469" i="1"/>
  <c r="F474" i="1"/>
  <c r="F473" i="1"/>
  <c r="F472" i="1"/>
  <c r="F471" i="1"/>
  <c r="F492" i="1"/>
  <c r="G492" i="1" s="1"/>
  <c r="F496" i="1"/>
  <c r="F494" i="1"/>
  <c r="F499" i="1"/>
  <c r="G499" i="1" s="1"/>
  <c r="F493" i="1"/>
  <c r="F487" i="1"/>
  <c r="F490" i="1"/>
  <c r="F470" i="1"/>
  <c r="F486" i="1"/>
  <c r="F468" i="1"/>
  <c r="F480" i="1"/>
  <c r="F466" i="1"/>
  <c r="F465" i="1"/>
  <c r="F489" i="1"/>
  <c r="F495" i="1"/>
  <c r="F485" i="1"/>
  <c r="F497" i="1"/>
  <c r="F484" i="1"/>
  <c r="F464" i="1"/>
  <c r="F349" i="1"/>
  <c r="F353" i="1"/>
  <c r="F347" i="1"/>
  <c r="F352" i="1"/>
  <c r="F350" i="1"/>
  <c r="F346" i="1"/>
  <c r="F348" i="1"/>
  <c r="F351" i="1"/>
  <c r="F345" i="1"/>
  <c r="F344" i="1"/>
  <c r="F354" i="1"/>
  <c r="F343" i="1"/>
  <c r="F609" i="1"/>
  <c r="F324" i="1"/>
  <c r="F325" i="1"/>
  <c r="F326" i="1"/>
  <c r="F323" i="1"/>
  <c r="F603" i="1"/>
  <c r="F569" i="1"/>
  <c r="F532" i="1"/>
  <c r="F531" i="1"/>
  <c r="F530" i="1"/>
  <c r="F529" i="1"/>
  <c r="F528" i="1"/>
  <c r="F527" i="1"/>
  <c r="F524" i="1"/>
  <c r="F535" i="1"/>
  <c r="F526" i="1"/>
  <c r="F536" i="1"/>
  <c r="F525" i="1"/>
  <c r="F534" i="1"/>
  <c r="F533" i="1"/>
  <c r="F523" i="1"/>
  <c r="H492" i="1" l="1"/>
  <c r="G496" i="1"/>
  <c r="H496" i="1" s="1"/>
  <c r="H499" i="1"/>
  <c r="F320" i="1"/>
  <c r="F319" i="1"/>
  <c r="F318" i="1"/>
  <c r="F579" i="1" l="1"/>
  <c r="F315" i="1"/>
  <c r="F514" i="1"/>
  <c r="F513" i="1"/>
  <c r="F512" i="1"/>
  <c r="F511" i="1"/>
  <c r="F519" i="1"/>
  <c r="F510" i="1"/>
  <c r="F517" i="1"/>
  <c r="F516" i="1"/>
  <c r="F508" i="1"/>
  <c r="F509" i="1"/>
  <c r="F507" i="1"/>
  <c r="F506" i="1"/>
  <c r="F515" i="1"/>
  <c r="F505" i="1"/>
  <c r="F504" i="1"/>
  <c r="F520" i="1"/>
  <c r="F503" i="1"/>
  <c r="F502" i="1"/>
  <c r="F518" i="1"/>
  <c r="F305" i="1"/>
  <c r="F306" i="1"/>
  <c r="F307" i="1"/>
  <c r="F303" i="1"/>
  <c r="F304" i="1"/>
  <c r="F302" i="1"/>
  <c r="F301" i="1"/>
  <c r="F618" i="1"/>
  <c r="F291" i="1"/>
  <c r="F290" i="1"/>
  <c r="F289" i="1"/>
  <c r="F295" i="1"/>
  <c r="F288" i="1"/>
  <c r="F287" i="1"/>
  <c r="F286" i="1"/>
  <c r="F285" i="1"/>
  <c r="F284" i="1"/>
  <c r="F294" i="1"/>
  <c r="F297" i="1"/>
  <c r="F283" i="1"/>
  <c r="F282" i="1"/>
  <c r="F281" i="1"/>
  <c r="F293" i="1"/>
  <c r="F280" i="1"/>
  <c r="F298" i="1"/>
  <c r="F279" i="1"/>
  <c r="G618" i="1" l="1"/>
  <c r="H618" i="1" s="1"/>
  <c r="F292" i="1" l="1"/>
  <c r="F278" i="1"/>
  <c r="F277" i="1"/>
  <c r="F276" i="1"/>
  <c r="F296" i="1" l="1"/>
  <c r="G296" i="1" s="1"/>
  <c r="F275" i="1"/>
  <c r="F615" i="1"/>
  <c r="F552" i="1"/>
  <c r="F551" i="1"/>
  <c r="F550" i="1"/>
  <c r="F553" i="1"/>
  <c r="F554" i="1"/>
  <c r="H296" i="1" l="1"/>
  <c r="F585" i="1" l="1"/>
  <c r="F311" i="1" l="1"/>
  <c r="F312" i="1"/>
  <c r="F310" i="1"/>
  <c r="F272" i="1"/>
  <c r="F270" i="1"/>
  <c r="G270" i="1" s="1"/>
  <c r="F268" i="1"/>
  <c r="G268" i="1" s="1"/>
  <c r="F269" i="1"/>
  <c r="F271" i="1"/>
  <c r="G271" i="1" s="1"/>
  <c r="F266" i="1"/>
  <c r="G266" i="1" s="1"/>
  <c r="F267" i="1"/>
  <c r="G267" i="1" s="1"/>
  <c r="G269" i="1"/>
  <c r="G272" i="1"/>
  <c r="F543" i="1"/>
  <c r="F542" i="1"/>
  <c r="F545" i="1"/>
  <c r="F547" i="1"/>
  <c r="F546" i="1"/>
  <c r="F544" i="1"/>
  <c r="F541" i="1"/>
  <c r="F540" i="1"/>
  <c r="F539" i="1"/>
  <c r="F606" i="1"/>
  <c r="F208" i="1" l="1"/>
  <c r="F194" i="1"/>
  <c r="F193" i="1"/>
  <c r="F207" i="1"/>
  <c r="F188" i="1"/>
  <c r="F191" i="1"/>
  <c r="F192" i="1"/>
  <c r="F190" i="1"/>
  <c r="F187" i="1"/>
  <c r="F206" i="1"/>
  <c r="F189" i="1"/>
  <c r="F186" i="1"/>
  <c r="F148" i="1"/>
  <c r="F202" i="1"/>
  <c r="F185" i="1"/>
  <c r="F184" i="1"/>
  <c r="F216" i="1"/>
  <c r="G216" i="1" s="1"/>
  <c r="F180" i="1"/>
  <c r="F183" i="1"/>
  <c r="F179" i="1"/>
  <c r="F178" i="1"/>
  <c r="F177" i="1"/>
  <c r="F155" i="1"/>
  <c r="F176" i="1"/>
  <c r="F174" i="1"/>
  <c r="F175" i="1"/>
  <c r="F172" i="1"/>
  <c r="F173" i="1"/>
  <c r="F145" i="1"/>
  <c r="F170" i="1"/>
  <c r="G145" i="1" l="1"/>
  <c r="H145" i="1" s="1"/>
  <c r="H216" i="1"/>
  <c r="F169" i="1"/>
  <c r="F168" i="1"/>
  <c r="F205" i="1"/>
  <c r="F167" i="1"/>
  <c r="F166" i="1"/>
  <c r="F164" i="1"/>
  <c r="F203" i="1"/>
  <c r="F213" i="1"/>
  <c r="F204" i="1"/>
  <c r="F162" i="1"/>
  <c r="F149" i="1"/>
  <c r="F163" i="1"/>
  <c r="F165" i="1"/>
  <c r="F201" i="1"/>
  <c r="F212" i="1"/>
  <c r="F161" i="1"/>
  <c r="F158" i="1"/>
  <c r="F160" i="1"/>
  <c r="F215" i="1"/>
  <c r="F181" i="1"/>
  <c r="F182" i="1"/>
  <c r="F214" i="1"/>
  <c r="F200" i="1"/>
  <c r="F211" i="1"/>
  <c r="F157" i="1"/>
  <c r="F159" i="1"/>
  <c r="F156" i="1"/>
  <c r="F199" i="1"/>
  <c r="F154" i="1"/>
  <c r="F198" i="1"/>
  <c r="F171" i="1"/>
  <c r="F153" i="1"/>
  <c r="F210" i="1" l="1"/>
  <c r="F209" i="1"/>
  <c r="F152" i="1" l="1"/>
  <c r="F151" i="1"/>
  <c r="F197" i="1"/>
  <c r="F196" i="1"/>
  <c r="F195" i="1"/>
  <c r="F150" i="1"/>
  <c r="F147" i="1"/>
  <c r="F146" i="1"/>
  <c r="F226" i="1" l="1"/>
  <c r="G226" i="1" s="1"/>
  <c r="F230" i="1"/>
  <c r="G230" i="1" s="1"/>
  <c r="F224" i="1"/>
  <c r="G224" i="1" s="1"/>
  <c r="F225" i="1"/>
  <c r="G225" i="1" s="1"/>
  <c r="F231" i="1"/>
  <c r="G231" i="1" s="1"/>
  <c r="F223" i="1"/>
  <c r="G223" i="1" s="1"/>
  <c r="F221" i="1"/>
  <c r="G221" i="1" s="1"/>
  <c r="F222" i="1"/>
  <c r="G222" i="1" s="1"/>
  <c r="F220" i="1"/>
  <c r="G220" i="1" s="1"/>
  <c r="F227" i="1"/>
  <c r="G227" i="1" s="1"/>
  <c r="F219" i="1"/>
  <c r="G219" i="1" s="1"/>
  <c r="F228" i="1"/>
  <c r="G228" i="1" s="1"/>
  <c r="F229" i="1"/>
  <c r="F250" i="1" l="1"/>
  <c r="F251" i="1"/>
  <c r="F249" i="1"/>
  <c r="F252" i="1"/>
  <c r="F253" i="1"/>
  <c r="F262" i="1"/>
  <c r="G262" i="1" s="1"/>
  <c r="F258" i="1"/>
  <c r="G258" i="1" s="1"/>
  <c r="F263" i="1"/>
  <c r="G263" i="1" s="1"/>
  <c r="F259" i="1"/>
  <c r="G259" i="1" s="1"/>
  <c r="F260" i="1"/>
  <c r="G260" i="1" s="1"/>
  <c r="F261" i="1"/>
  <c r="G261" i="1" s="1"/>
  <c r="F257" i="1"/>
  <c r="G257" i="1" s="1"/>
  <c r="F256" i="1"/>
  <c r="G256" i="1" s="1"/>
  <c r="F100" i="1"/>
  <c r="F99" i="1"/>
  <c r="F98" i="1"/>
  <c r="F101" i="1"/>
  <c r="F105" i="1"/>
  <c r="F97" i="1"/>
  <c r="F96" i="1"/>
  <c r="F104" i="1"/>
  <c r="F103" i="1"/>
  <c r="F106" i="1"/>
  <c r="F95" i="1" l="1"/>
  <c r="F93" i="1"/>
  <c r="F94" i="1"/>
  <c r="F89" i="1"/>
  <c r="F92" i="1"/>
  <c r="F91" i="1"/>
  <c r="F90" i="1"/>
  <c r="F88" i="1" l="1"/>
  <c r="F107" i="1"/>
  <c r="F87" i="1"/>
  <c r="F102" i="1"/>
  <c r="F86" i="1"/>
  <c r="F85" i="1"/>
  <c r="F116" i="1" l="1"/>
  <c r="F114" i="1"/>
  <c r="F112" i="1"/>
  <c r="F113" i="1"/>
  <c r="F111" i="1"/>
  <c r="F110" i="1"/>
  <c r="F115" i="1"/>
  <c r="F582" i="1"/>
  <c r="F588" i="1"/>
  <c r="F52" i="1" l="1"/>
  <c r="F51" i="1"/>
  <c r="F50" i="1"/>
  <c r="F49" i="1"/>
  <c r="F48" i="1"/>
  <c r="F47" i="1"/>
  <c r="F46" i="1"/>
  <c r="F45" i="1"/>
  <c r="F44" i="1"/>
  <c r="F43" i="1"/>
  <c r="F42" i="1"/>
  <c r="F56" i="1"/>
  <c r="F41" i="1"/>
  <c r="F55" i="1"/>
  <c r="F53" i="1"/>
  <c r="F54" i="1"/>
  <c r="F140" i="1" l="1"/>
  <c r="F141" i="1"/>
  <c r="F142" i="1"/>
  <c r="F594" i="1"/>
  <c r="G594" i="1" s="1"/>
  <c r="H594" i="1" s="1"/>
  <c r="F134" i="1" l="1"/>
  <c r="F137" i="1"/>
  <c r="F133" i="1"/>
  <c r="F136" i="1"/>
  <c r="F135" i="1"/>
  <c r="F132" i="1"/>
  <c r="F131" i="1"/>
  <c r="F130" i="1"/>
  <c r="F26" i="1"/>
  <c r="F25" i="1"/>
  <c r="F24" i="1"/>
  <c r="F23" i="1"/>
  <c r="F31" i="1"/>
  <c r="F22" i="1"/>
  <c r="F20" i="1"/>
  <c r="F29" i="1"/>
  <c r="F19" i="1"/>
  <c r="F30" i="1"/>
  <c r="F21" i="1"/>
  <c r="F28" i="1"/>
  <c r="F18" i="1"/>
  <c r="F17" i="1"/>
  <c r="F16" i="1"/>
  <c r="F15" i="1"/>
  <c r="F14" i="1"/>
  <c r="F13" i="1"/>
  <c r="F12" i="1"/>
  <c r="F11" i="1"/>
  <c r="F27" i="1" l="1"/>
  <c r="F10" i="1"/>
  <c r="F9" i="1"/>
  <c r="F597" i="1" l="1"/>
  <c r="F600" i="1"/>
  <c r="G600" i="1" l="1"/>
  <c r="H600" i="1" s="1"/>
  <c r="F78" i="1" l="1"/>
  <c r="F76" i="1"/>
  <c r="F80" i="1"/>
  <c r="F81" i="1"/>
  <c r="F79" i="1"/>
  <c r="F75" i="1"/>
  <c r="F82" i="1"/>
  <c r="F74" i="1"/>
  <c r="F77" i="1"/>
  <c r="F576" i="1" l="1"/>
  <c r="F573" i="1"/>
  <c r="F572" i="1"/>
  <c r="F566" i="1"/>
  <c r="F563" i="1"/>
  <c r="F565" i="1"/>
  <c r="F562" i="1"/>
  <c r="F564" i="1"/>
  <c r="F561" i="1"/>
  <c r="F560" i="1"/>
  <c r="F559" i="1"/>
  <c r="F558" i="1"/>
  <c r="F557" i="1" l="1"/>
  <c r="G557" i="1" s="1"/>
  <c r="H557" i="1" s="1"/>
  <c r="F70" i="1" l="1"/>
  <c r="F69" i="1"/>
  <c r="F68" i="1"/>
  <c r="F71" i="1"/>
  <c r="F67" i="1"/>
  <c r="F66" i="1"/>
  <c r="F65" i="1"/>
  <c r="F64" i="1"/>
  <c r="F63" i="1"/>
  <c r="F62" i="1"/>
  <c r="F61" i="1"/>
  <c r="F60" i="1"/>
  <c r="F59" i="1"/>
  <c r="F612" i="1"/>
  <c r="F126" i="1" l="1"/>
  <c r="F123" i="1"/>
  <c r="F127" i="1"/>
  <c r="F121" i="1"/>
  <c r="F124" i="1"/>
  <c r="F120" i="1"/>
  <c r="F119" i="1"/>
  <c r="F125" i="1"/>
  <c r="F122" i="1"/>
  <c r="F37" i="1" l="1"/>
  <c r="F36" i="1"/>
  <c r="F35" i="1"/>
  <c r="F34" i="1"/>
  <c r="F38" i="1"/>
  <c r="G23" i="1" l="1"/>
  <c r="H23" i="1" s="1"/>
  <c r="G283" i="1" l="1"/>
  <c r="H283" i="1" s="1"/>
  <c r="G36" i="1" l="1"/>
  <c r="H36" i="1" s="1"/>
  <c r="G371" i="1" l="1"/>
  <c r="G498" i="1"/>
  <c r="G497" i="1"/>
  <c r="G536" i="1" l="1"/>
  <c r="H536" i="1" s="1"/>
  <c r="G334" i="1"/>
  <c r="H334" i="1" s="1"/>
  <c r="H371" i="1"/>
  <c r="H498" i="1"/>
  <c r="H497" i="1"/>
  <c r="G554" i="1" l="1"/>
  <c r="H554" i="1" l="1"/>
  <c r="G606" i="1" l="1"/>
  <c r="H606" i="1" s="1"/>
  <c r="G154" i="1"/>
  <c r="G215" i="1"/>
  <c r="H230" i="1" l="1"/>
  <c r="H154" i="1"/>
  <c r="H215" i="1"/>
  <c r="G612" i="1" l="1"/>
  <c r="H612" i="1" s="1"/>
  <c r="G428" i="1" l="1"/>
  <c r="H428" i="1" s="1"/>
  <c r="G393" i="1" l="1"/>
  <c r="G391" i="1"/>
  <c r="H393" i="1" l="1"/>
  <c r="H391" i="1"/>
  <c r="G535" i="1" l="1"/>
  <c r="G534" i="1"/>
  <c r="G603" i="1" l="1"/>
  <c r="G512" i="1"/>
  <c r="H603" i="1" l="1"/>
  <c r="H512" i="1"/>
  <c r="G572" i="1" l="1"/>
  <c r="G561" i="1" l="1"/>
  <c r="H561" i="1" s="1"/>
  <c r="G86" i="1" l="1"/>
  <c r="H86" i="1" s="1"/>
  <c r="G75" i="1" l="1"/>
  <c r="H75" i="1" s="1"/>
  <c r="G71" i="1" l="1"/>
  <c r="G62" i="1"/>
  <c r="G59" i="1"/>
  <c r="H71" i="1" l="1"/>
  <c r="H62" i="1"/>
  <c r="H59" i="1"/>
  <c r="H572" i="1"/>
  <c r="G569" i="1"/>
  <c r="G591" i="1"/>
  <c r="H591" i="1" l="1"/>
  <c r="G573" i="1" l="1"/>
  <c r="H573" i="1" l="1"/>
  <c r="G415" i="1"/>
  <c r="H415" i="1" s="1"/>
  <c r="G562" i="1" l="1"/>
  <c r="H562" i="1" s="1"/>
  <c r="G564" i="1"/>
  <c r="H564" i="1" s="1"/>
  <c r="G565" i="1"/>
  <c r="H565" i="1" s="1"/>
  <c r="G566" i="1"/>
  <c r="H566" i="1" s="1"/>
  <c r="G558" i="1"/>
  <c r="G563" i="1"/>
  <c r="G559" i="1"/>
  <c r="G560" i="1"/>
  <c r="H559" i="1" l="1"/>
  <c r="H563" i="1"/>
  <c r="H558" i="1"/>
  <c r="H560" i="1"/>
  <c r="H266" i="1"/>
  <c r="H267" i="1"/>
  <c r="G25" i="1" l="1"/>
  <c r="H25" i="1" s="1"/>
  <c r="G377" i="1" l="1"/>
  <c r="H377" i="1" s="1"/>
  <c r="G463" i="1" l="1"/>
  <c r="G494" i="1"/>
  <c r="H463" i="1" l="1"/>
  <c r="H494" i="1"/>
  <c r="G353" i="1"/>
  <c r="H353" i="1" l="1"/>
  <c r="G526" i="1" l="1"/>
  <c r="H526" i="1" l="1"/>
  <c r="G515" i="1" l="1"/>
  <c r="H515" i="1" s="1"/>
  <c r="G505" i="1"/>
  <c r="H505" i="1" s="1"/>
  <c r="G388" i="1" l="1"/>
  <c r="H388" i="1" s="1"/>
  <c r="G136" i="1" l="1"/>
  <c r="G74" i="1"/>
  <c r="H74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4" i="1"/>
  <c r="H24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301" i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597" i="1"/>
  <c r="H597" i="1" s="1"/>
  <c r="G420" i="1"/>
  <c r="H420" i="1" s="1"/>
  <c r="G293" i="1"/>
  <c r="H293" i="1" s="1"/>
  <c r="G366" i="1"/>
  <c r="H366" i="1" s="1"/>
  <c r="H263" i="1"/>
  <c r="G38" i="1"/>
  <c r="H38" i="1" s="1"/>
  <c r="H224" i="1"/>
  <c r="G520" i="1"/>
  <c r="H520" i="1" s="1"/>
  <c r="G519" i="1"/>
  <c r="H519" i="1" s="1"/>
  <c r="G518" i="1"/>
  <c r="H518" i="1" s="1"/>
  <c r="G517" i="1"/>
  <c r="H517" i="1" s="1"/>
  <c r="G516" i="1"/>
  <c r="H516" i="1" s="1"/>
  <c r="G509" i="1"/>
  <c r="H509" i="1" s="1"/>
  <c r="G514" i="1"/>
  <c r="H514" i="1" s="1"/>
  <c r="G513" i="1"/>
  <c r="H513" i="1" s="1"/>
  <c r="G511" i="1"/>
  <c r="H511" i="1" s="1"/>
  <c r="G507" i="1"/>
  <c r="H507" i="1" s="1"/>
  <c r="G506" i="1"/>
  <c r="H506" i="1" s="1"/>
  <c r="G504" i="1"/>
  <c r="H504" i="1" s="1"/>
  <c r="G615" i="1"/>
  <c r="H615" i="1" s="1"/>
  <c r="G585" i="1"/>
  <c r="H585" i="1" s="1"/>
  <c r="G582" i="1"/>
  <c r="H582" i="1" s="1"/>
  <c r="G579" i="1"/>
  <c r="H579" i="1" s="1"/>
  <c r="G576" i="1"/>
  <c r="H576" i="1" s="1"/>
  <c r="H569" i="1"/>
  <c r="G609" i="1"/>
  <c r="H609" i="1" s="1"/>
  <c r="G588" i="1"/>
  <c r="H588" i="1" s="1"/>
  <c r="G553" i="1"/>
  <c r="H553" i="1" s="1"/>
  <c r="G552" i="1"/>
  <c r="H552" i="1" s="1"/>
  <c r="G551" i="1"/>
  <c r="H551" i="1" s="1"/>
  <c r="G550" i="1"/>
  <c r="H550" i="1" s="1"/>
  <c r="G547" i="1"/>
  <c r="H547" i="1" s="1"/>
  <c r="G546" i="1"/>
  <c r="H546" i="1" s="1"/>
  <c r="G545" i="1"/>
  <c r="H545" i="1" s="1"/>
  <c r="G544" i="1"/>
  <c r="H544" i="1" s="1"/>
  <c r="G543" i="1"/>
  <c r="H543" i="1" s="1"/>
  <c r="G542" i="1"/>
  <c r="H542" i="1" s="1"/>
  <c r="G541" i="1"/>
  <c r="H541" i="1" s="1"/>
  <c r="G540" i="1"/>
  <c r="H540" i="1" s="1"/>
  <c r="G539" i="1"/>
  <c r="H539" i="1" s="1"/>
  <c r="H535" i="1"/>
  <c r="H534" i="1"/>
  <c r="G533" i="1"/>
  <c r="H533" i="1" s="1"/>
  <c r="G532" i="1"/>
  <c r="H532" i="1" s="1"/>
  <c r="G531" i="1"/>
  <c r="H531" i="1" s="1"/>
  <c r="G530" i="1"/>
  <c r="H530" i="1" s="1"/>
  <c r="G529" i="1"/>
  <c r="H529" i="1" s="1"/>
  <c r="G528" i="1"/>
  <c r="H528" i="1" s="1"/>
  <c r="G527" i="1"/>
  <c r="H527" i="1" s="1"/>
  <c r="G525" i="1"/>
  <c r="H525" i="1" s="1"/>
  <c r="G524" i="1"/>
  <c r="H524" i="1" s="1"/>
  <c r="G523" i="1"/>
  <c r="H523" i="1" s="1"/>
  <c r="G508" i="1"/>
  <c r="H508" i="1" s="1"/>
  <c r="G510" i="1"/>
  <c r="H510" i="1" s="1"/>
  <c r="G503" i="1"/>
  <c r="H503" i="1" s="1"/>
  <c r="G502" i="1"/>
  <c r="H502" i="1" s="1"/>
  <c r="G483" i="1"/>
  <c r="H483" i="1" s="1"/>
  <c r="G495" i="1"/>
  <c r="H495" i="1" s="1"/>
  <c r="G493" i="1"/>
  <c r="H493" i="1" s="1"/>
  <c r="G491" i="1"/>
  <c r="H491" i="1" s="1"/>
  <c r="G490" i="1"/>
  <c r="H490" i="1" s="1"/>
  <c r="G489" i="1"/>
  <c r="H489" i="1" s="1"/>
  <c r="G488" i="1"/>
  <c r="H488" i="1" s="1"/>
  <c r="G487" i="1"/>
  <c r="H487" i="1" s="1"/>
  <c r="G486" i="1"/>
  <c r="H486" i="1" s="1"/>
  <c r="G485" i="1"/>
  <c r="H485" i="1" s="1"/>
  <c r="G484" i="1"/>
  <c r="H484" i="1" s="1"/>
  <c r="G482" i="1"/>
  <c r="H482" i="1" s="1"/>
  <c r="G481" i="1"/>
  <c r="H481" i="1" s="1"/>
  <c r="G480" i="1"/>
  <c r="H480" i="1" s="1"/>
  <c r="G479" i="1"/>
  <c r="H479" i="1" s="1"/>
  <c r="G478" i="1"/>
  <c r="H478" i="1" s="1"/>
  <c r="G477" i="1"/>
  <c r="H477" i="1" s="1"/>
  <c r="G476" i="1"/>
  <c r="H476" i="1" s="1"/>
  <c r="G475" i="1"/>
  <c r="H475" i="1" s="1"/>
  <c r="G474" i="1"/>
  <c r="H474" i="1" s="1"/>
  <c r="G473" i="1"/>
  <c r="H473" i="1" s="1"/>
  <c r="G472" i="1"/>
  <c r="H472" i="1" s="1"/>
  <c r="G471" i="1"/>
  <c r="H471" i="1" s="1"/>
  <c r="G470" i="1"/>
  <c r="H470" i="1" s="1"/>
  <c r="G469" i="1"/>
  <c r="H469" i="1" s="1"/>
  <c r="G468" i="1"/>
  <c r="H468" i="1" s="1"/>
  <c r="G467" i="1"/>
  <c r="H467" i="1" s="1"/>
  <c r="G466" i="1"/>
  <c r="H466" i="1" s="1"/>
  <c r="G465" i="1"/>
  <c r="H465" i="1" s="1"/>
  <c r="G464" i="1"/>
  <c r="H464" i="1" s="1"/>
  <c r="G460" i="1"/>
  <c r="H460" i="1" s="1"/>
  <c r="G459" i="1"/>
  <c r="H459" i="1" s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H442" i="1" s="1"/>
  <c r="G441" i="1"/>
  <c r="H441" i="1" s="1"/>
  <c r="G440" i="1"/>
  <c r="H440" i="1" s="1"/>
  <c r="G439" i="1"/>
  <c r="H439" i="1" s="1"/>
  <c r="G438" i="1"/>
  <c r="H438" i="1" s="1"/>
  <c r="G437" i="1"/>
  <c r="H437" i="1" s="1"/>
  <c r="G434" i="1"/>
  <c r="H434" i="1" s="1"/>
  <c r="G433" i="1"/>
  <c r="H433" i="1" s="1"/>
  <c r="G432" i="1"/>
  <c r="H432" i="1" s="1"/>
  <c r="G431" i="1"/>
  <c r="H431" i="1" s="1"/>
  <c r="G427" i="1"/>
  <c r="H427" i="1" s="1"/>
  <c r="G426" i="1"/>
  <c r="H426" i="1" s="1"/>
  <c r="G425" i="1"/>
  <c r="H425" i="1" s="1"/>
  <c r="G424" i="1"/>
  <c r="H424" i="1" s="1"/>
  <c r="G423" i="1"/>
  <c r="H423" i="1" s="1"/>
  <c r="G422" i="1"/>
  <c r="H422" i="1" s="1"/>
  <c r="G421" i="1"/>
  <c r="H421" i="1" s="1"/>
  <c r="G419" i="1"/>
  <c r="H419" i="1" s="1"/>
  <c r="G418" i="1"/>
  <c r="H418" i="1" s="1"/>
  <c r="G417" i="1"/>
  <c r="H417" i="1" s="1"/>
  <c r="G416" i="1"/>
  <c r="H416" i="1" s="1"/>
  <c r="G414" i="1"/>
  <c r="H414" i="1" s="1"/>
  <c r="G413" i="1"/>
  <c r="H413" i="1" s="1"/>
  <c r="G412" i="1"/>
  <c r="H412" i="1" s="1"/>
  <c r="G411" i="1"/>
  <c r="H411" i="1" s="1"/>
  <c r="G410" i="1"/>
  <c r="H410" i="1" s="1"/>
  <c r="G409" i="1"/>
  <c r="H409" i="1" s="1"/>
  <c r="G408" i="1"/>
  <c r="H408" i="1" s="1"/>
  <c r="G407" i="1"/>
  <c r="H407" i="1" s="1"/>
  <c r="G406" i="1"/>
  <c r="H406" i="1" s="1"/>
  <c r="G405" i="1"/>
  <c r="H405" i="1" s="1"/>
  <c r="G404" i="1"/>
  <c r="H404" i="1" s="1"/>
  <c r="G403" i="1"/>
  <c r="H403" i="1" s="1"/>
  <c r="G400" i="1"/>
  <c r="H400" i="1" s="1"/>
  <c r="G399" i="1"/>
  <c r="H399" i="1" s="1"/>
  <c r="G398" i="1"/>
  <c r="H398" i="1" s="1"/>
  <c r="G397" i="1"/>
  <c r="H397" i="1" s="1"/>
  <c r="G396" i="1"/>
  <c r="H396" i="1" s="1"/>
  <c r="G392" i="1"/>
  <c r="H392" i="1" s="1"/>
  <c r="G390" i="1"/>
  <c r="H390" i="1" s="1"/>
  <c r="G389" i="1"/>
  <c r="H389" i="1" s="1"/>
  <c r="G387" i="1"/>
  <c r="H387" i="1" s="1"/>
  <c r="G386" i="1"/>
  <c r="H386" i="1" s="1"/>
  <c r="G383" i="1"/>
  <c r="H383" i="1" s="1"/>
  <c r="G382" i="1"/>
  <c r="H382" i="1" s="1"/>
  <c r="G381" i="1"/>
  <c r="H381" i="1" s="1"/>
  <c r="G380" i="1"/>
  <c r="H380" i="1" s="1"/>
  <c r="G379" i="1"/>
  <c r="H379" i="1" s="1"/>
  <c r="G378" i="1"/>
  <c r="H378" i="1" s="1"/>
  <c r="G376" i="1"/>
  <c r="H376" i="1" s="1"/>
  <c r="G375" i="1"/>
  <c r="H375" i="1" s="1"/>
  <c r="G374" i="1"/>
  <c r="H374" i="1" s="1"/>
  <c r="G373" i="1"/>
  <c r="H373" i="1" s="1"/>
  <c r="G372" i="1"/>
  <c r="H372" i="1" s="1"/>
  <c r="G370" i="1"/>
  <c r="H370" i="1" s="1"/>
  <c r="G369" i="1"/>
  <c r="H369" i="1" s="1"/>
  <c r="G363" i="1"/>
  <c r="H363" i="1" s="1"/>
  <c r="G362" i="1"/>
  <c r="H362" i="1" s="1"/>
  <c r="G361" i="1"/>
  <c r="H361" i="1" s="1"/>
  <c r="G360" i="1"/>
  <c r="H360" i="1" s="1"/>
  <c r="G359" i="1"/>
  <c r="H359" i="1" s="1"/>
  <c r="G358" i="1"/>
  <c r="H358" i="1" s="1"/>
  <c r="G357" i="1"/>
  <c r="H357" i="1" s="1"/>
  <c r="G354" i="1"/>
  <c r="H354" i="1" s="1"/>
  <c r="G352" i="1"/>
  <c r="H352" i="1" s="1"/>
  <c r="G351" i="1"/>
  <c r="H351" i="1" s="1"/>
  <c r="G350" i="1"/>
  <c r="H350" i="1" s="1"/>
  <c r="G349" i="1"/>
  <c r="H349" i="1" s="1"/>
  <c r="G348" i="1"/>
  <c r="H348" i="1" s="1"/>
  <c r="G347" i="1"/>
  <c r="H347" i="1" s="1"/>
  <c r="G346" i="1"/>
  <c r="H346" i="1" s="1"/>
  <c r="G345" i="1"/>
  <c r="H345" i="1" s="1"/>
  <c r="G344" i="1"/>
  <c r="H344" i="1" s="1"/>
  <c r="G343" i="1"/>
  <c r="H343" i="1" s="1"/>
  <c r="G340" i="1"/>
  <c r="H340" i="1" s="1"/>
  <c r="G339" i="1"/>
  <c r="H339" i="1" s="1"/>
  <c r="G338" i="1"/>
  <c r="H338" i="1" s="1"/>
  <c r="G337" i="1"/>
  <c r="H337" i="1" s="1"/>
  <c r="G336" i="1"/>
  <c r="H336" i="1" s="1"/>
  <c r="G335" i="1"/>
  <c r="H335" i="1" s="1"/>
  <c r="G333" i="1"/>
  <c r="H333" i="1" s="1"/>
  <c r="G332" i="1"/>
  <c r="H332" i="1" s="1"/>
  <c r="G331" i="1"/>
  <c r="H331" i="1" s="1"/>
  <c r="G330" i="1"/>
  <c r="H330" i="1" s="1"/>
  <c r="G329" i="1"/>
  <c r="H329" i="1" s="1"/>
  <c r="G326" i="1"/>
  <c r="H326" i="1" s="1"/>
  <c r="G325" i="1"/>
  <c r="H325" i="1" s="1"/>
  <c r="G324" i="1"/>
  <c r="H324" i="1" s="1"/>
  <c r="G323" i="1"/>
  <c r="H323" i="1" s="1"/>
  <c r="G320" i="1"/>
  <c r="H320" i="1" s="1"/>
  <c r="G319" i="1"/>
  <c r="H319" i="1" s="1"/>
  <c r="G318" i="1"/>
  <c r="H318" i="1" s="1"/>
  <c r="G315" i="1"/>
  <c r="H315" i="1" s="1"/>
  <c r="G312" i="1"/>
  <c r="H312" i="1" s="1"/>
  <c r="G311" i="1"/>
  <c r="H311" i="1" s="1"/>
  <c r="G310" i="1"/>
  <c r="H310" i="1" s="1"/>
  <c r="G298" i="1"/>
  <c r="H298" i="1" s="1"/>
  <c r="G297" i="1"/>
  <c r="H297" i="1" s="1"/>
  <c r="G295" i="1"/>
  <c r="H295" i="1" s="1"/>
  <c r="G294" i="1"/>
  <c r="H294" i="1" s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H272" i="1"/>
  <c r="H271" i="1"/>
  <c r="H270" i="1"/>
  <c r="H269" i="1"/>
  <c r="H268" i="1"/>
  <c r="H262" i="1"/>
  <c r="H261" i="1"/>
  <c r="H260" i="1"/>
  <c r="H259" i="1"/>
  <c r="H257" i="1"/>
  <c r="H256" i="1"/>
  <c r="G253" i="1"/>
  <c r="H253" i="1" s="1"/>
  <c r="G252" i="1"/>
  <c r="H252" i="1" s="1"/>
  <c r="G251" i="1"/>
  <c r="H251" i="1" s="1"/>
  <c r="G250" i="1"/>
  <c r="H250" i="1" s="1"/>
  <c r="G249" i="1"/>
  <c r="H249" i="1" s="1"/>
  <c r="H231" i="1"/>
  <c r="G229" i="1"/>
  <c r="H229" i="1" s="1"/>
  <c r="H228" i="1"/>
  <c r="H227" i="1"/>
  <c r="H225" i="1"/>
  <c r="H223" i="1"/>
  <c r="H222" i="1"/>
  <c r="H221" i="1"/>
  <c r="H220" i="1"/>
  <c r="H219" i="1"/>
  <c r="G142" i="1"/>
  <c r="H142" i="1" s="1"/>
  <c r="G141" i="1"/>
  <c r="H141" i="1" s="1"/>
  <c r="G140" i="1"/>
  <c r="H140" i="1" s="1"/>
  <c r="G137" i="1"/>
  <c r="H137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5" i="1"/>
  <c r="H85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1" i="1"/>
  <c r="H61" i="1" s="1"/>
  <c r="G60" i="1"/>
  <c r="H60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37" i="1"/>
  <c r="H37" i="1" s="1"/>
  <c r="G35" i="1"/>
  <c r="H35" i="1" s="1"/>
  <c r="G34" i="1"/>
  <c r="H34" i="1" s="1"/>
  <c r="H196" i="1"/>
  <c r="H185" i="1" l="1"/>
  <c r="H301" i="1"/>
  <c r="H258" i="1"/>
  <c r="H136" i="1"/>
  <c r="H226" i="1"/>
  <c r="G56" i="1"/>
  <c r="H56" i="1" l="1"/>
</calcChain>
</file>

<file path=xl/sharedStrings.xml><?xml version="1.0" encoding="utf-8"?>
<sst xmlns="http://schemas.openxmlformats.org/spreadsheetml/2006/main" count="594" uniqueCount="553">
  <si>
    <t>SCH</t>
  </si>
  <si>
    <t>ENROLLMENT</t>
  </si>
  <si>
    <t>TOTAL</t>
  </si>
  <si>
    <t>F/R</t>
  </si>
  <si>
    <t>NO.</t>
  </si>
  <si>
    <t>CODE</t>
  </si>
  <si>
    <t>SCHOOL NAMES</t>
  </si>
  <si>
    <t>FREE-E</t>
  </si>
  <si>
    <t>RED-E</t>
  </si>
  <si>
    <t>PAID-E</t>
  </si>
  <si>
    <t>ENROLLED</t>
  </si>
  <si>
    <t>%</t>
  </si>
  <si>
    <t>ALPINE DISTRICT</t>
  </si>
  <si>
    <t>CANYON VIEW JR.</t>
  </si>
  <si>
    <t>LAKERIDGE JR</t>
  </si>
  <si>
    <t>BEAVER DISTRICT</t>
  </si>
  <si>
    <t>BEAVER HIGH</t>
  </si>
  <si>
    <t>BOX ELDER DISTRICT</t>
  </si>
  <si>
    <t>ALICE C HARRIS INT.</t>
  </si>
  <si>
    <t>ADELE C YOUNG INT.</t>
  </si>
  <si>
    <t>BEAR RIVER MIDDLE</t>
  </si>
  <si>
    <t>CACHE DISTRICT</t>
  </si>
  <si>
    <t>WILLOW VALLEY MIDDLE</t>
  </si>
  <si>
    <t>CARBON DISTRICT</t>
  </si>
  <si>
    <t>MONT HARMON JR</t>
  </si>
  <si>
    <t>LIGHTHOUSE LEARNING</t>
  </si>
  <si>
    <t>DAVIS DISTRICT</t>
  </si>
  <si>
    <t>WASATCH</t>
  </si>
  <si>
    <t>WASHINGTON</t>
  </si>
  <si>
    <t>MOUNTAIN HIGH</t>
  </si>
  <si>
    <t>DAVIS JR ALT</t>
  </si>
  <si>
    <t>DUCHESNE</t>
  </si>
  <si>
    <t>TABIONA HIGH</t>
  </si>
  <si>
    <t>THOMPSEN SCHOOL</t>
  </si>
  <si>
    <t>EMERY</t>
  </si>
  <si>
    <t>GREEN RIVER HIGH</t>
  </si>
  <si>
    <t>GARFIELD</t>
  </si>
  <si>
    <t>ESCALANTE HIGH</t>
  </si>
  <si>
    <t>GRAND</t>
  </si>
  <si>
    <t>GRAND COUNTY HIGH</t>
  </si>
  <si>
    <t>GRANITE</t>
  </si>
  <si>
    <t>COTTONWOOD HIGH</t>
  </si>
  <si>
    <t>CYPRUS HIGH</t>
  </si>
  <si>
    <t>GRANGER HIGH</t>
  </si>
  <si>
    <t>HUNTER HIGH</t>
  </si>
  <si>
    <t>KEARNS HIGH</t>
  </si>
  <si>
    <t>IRON</t>
  </si>
  <si>
    <t>CEDAR NORTH ELEM</t>
  </si>
  <si>
    <t>ESCALANTE VALLEY ELEM</t>
  </si>
  <si>
    <t>FIDDLERS CANYON ELEM</t>
  </si>
  <si>
    <t>PAROWAN ELEM/HIGH</t>
  </si>
  <si>
    <t>CEDAR MIDDLE</t>
  </si>
  <si>
    <t>CANYON VIEW HIGH</t>
  </si>
  <si>
    <t>JORDAN</t>
  </si>
  <si>
    <t>MIDVALE MIDDLE</t>
  </si>
  <si>
    <t>UNION MIDDLE</t>
  </si>
  <si>
    <t>WEST JORDAN MIDDLE</t>
  </si>
  <si>
    <t>WEST JORDAN HIGH</t>
  </si>
  <si>
    <t>SOUTH VALLEY</t>
  </si>
  <si>
    <t>JUAB</t>
  </si>
  <si>
    <t>JUAB HIGH</t>
  </si>
  <si>
    <t>KANE</t>
  </si>
  <si>
    <t>KANAB ELEMENTARY</t>
  </si>
  <si>
    <t>VALLEY ELEMENTARY</t>
  </si>
  <si>
    <t>KANAB MIDDLE</t>
  </si>
  <si>
    <t>KANAB HIGH</t>
  </si>
  <si>
    <t>VALLEY HIGH</t>
  </si>
  <si>
    <t>MILLARD</t>
  </si>
  <si>
    <t>FILLMORE MIDDLE</t>
  </si>
  <si>
    <t>DELTA HIGH</t>
  </si>
  <si>
    <t>MILLARD HIGH</t>
  </si>
  <si>
    <t>NEBO</t>
  </si>
  <si>
    <t>SPRINGVILLE JR</t>
  </si>
  <si>
    <t>LANDMARK HIGH</t>
  </si>
  <si>
    <t>NORTH SANPETE</t>
  </si>
  <si>
    <t>NORTH SANPETE HIGH</t>
  </si>
  <si>
    <t>NORTH SUMMIT</t>
  </si>
  <si>
    <t>NORTH SUMMIT ELEM</t>
  </si>
  <si>
    <t>NORTH SUMMIT MIDDLE</t>
  </si>
  <si>
    <t>NORTH SUMMIT HIGH</t>
  </si>
  <si>
    <t>PARK CITY</t>
  </si>
  <si>
    <t>PIUTE</t>
  </si>
  <si>
    <t>PIUTE HIGH</t>
  </si>
  <si>
    <t>RICH</t>
  </si>
  <si>
    <t>SAN JUAN</t>
  </si>
  <si>
    <t>MONTEZUMA CREEK ELEM</t>
  </si>
  <si>
    <t>MONTICELLO HIGH</t>
  </si>
  <si>
    <t>MONUMENT VALLEY HIGH</t>
  </si>
  <si>
    <t>SAN JUAN HIGH</t>
  </si>
  <si>
    <t>WHITE HORSE HIGH</t>
  </si>
  <si>
    <t>NAVAJO MOUNTAIN HIGH</t>
  </si>
  <si>
    <t>SEVIER</t>
  </si>
  <si>
    <t>NORTH SEVIER MIDDLE</t>
  </si>
  <si>
    <t>SOUTH SEVIER MIDDLE</t>
  </si>
  <si>
    <t>RED HILLS MIDDLE</t>
  </si>
  <si>
    <t>RICHFIELD HIGH</t>
  </si>
  <si>
    <t>SOUTH SEVIER HIGH</t>
  </si>
  <si>
    <t>CEDAR RIDGE HIGH</t>
  </si>
  <si>
    <t>SOUTH SANPETE</t>
  </si>
  <si>
    <t>GUNNISON VALLEY MIDDLE</t>
  </si>
  <si>
    <t>EPHRAIM MIDDLE</t>
  </si>
  <si>
    <t>GUNNISON VALLEY HIGH</t>
  </si>
  <si>
    <t>MANTI HIGH</t>
  </si>
  <si>
    <t>TINTIC</t>
  </si>
  <si>
    <t>TOOELE</t>
  </si>
  <si>
    <t>TOOELE HIGH</t>
  </si>
  <si>
    <t>WENDOVER HIGH</t>
  </si>
  <si>
    <t>UINTAH</t>
  </si>
  <si>
    <t>VERNAL MIDDLE</t>
  </si>
  <si>
    <t>DIXIE MIDDLE</t>
  </si>
  <si>
    <t>HURRICANE MIDDLE</t>
  </si>
  <si>
    <t>PINE VIEW MIDDLE</t>
  </si>
  <si>
    <t>SNOW CANYON MIDDLE</t>
  </si>
  <si>
    <t>WAYNE</t>
  </si>
  <si>
    <t xml:space="preserve">WAYNE MIDDLE </t>
  </si>
  <si>
    <t>WAYNE HIGH</t>
  </si>
  <si>
    <t>WEBER</t>
  </si>
  <si>
    <t>ROY HIGH</t>
  </si>
  <si>
    <t>CANYON VIEW SCHOOL</t>
  </si>
  <si>
    <t>SALT LAKE</t>
  </si>
  <si>
    <t>OGDEN</t>
  </si>
  <si>
    <t>BEN LOMOND HIGH</t>
  </si>
  <si>
    <t>OGDEN HIGH</t>
  </si>
  <si>
    <t>WASHINGTON HIGH</t>
  </si>
  <si>
    <t>PROVO</t>
  </si>
  <si>
    <t>CENTENNIAL MIDDLE</t>
  </si>
  <si>
    <t>DIXON MIDDLE</t>
  </si>
  <si>
    <t>PROVO HIGH</t>
  </si>
  <si>
    <t>INDEPENDENCE HIGH</t>
  </si>
  <si>
    <t>LOGAN</t>
  </si>
  <si>
    <t>MT LOGAN MIDDLE</t>
  </si>
  <si>
    <t>LOGAN HIGH</t>
  </si>
  <si>
    <t>MURRAY</t>
  </si>
  <si>
    <t>BRYCE VALLEY HIGH</t>
  </si>
  <si>
    <t>GRAND COUNTY MIDDLE</t>
  </si>
  <si>
    <t>NORTH RICH ELEM</t>
  </si>
  <si>
    <t>SOUTH RICH ELEM</t>
  </si>
  <si>
    <t>RICH JR HIGH/NRES</t>
  </si>
  <si>
    <t>RICH HIGH/SRES</t>
  </si>
  <si>
    <t>EUREKA ELEM/TINTIC HIGH</t>
  </si>
  <si>
    <t>CENTRO CIVICO</t>
  </si>
  <si>
    <t>NORTH SANPETE MIDDLE</t>
  </si>
  <si>
    <t>HURRICANE HIGH</t>
  </si>
  <si>
    <t xml:space="preserve"> </t>
  </si>
  <si>
    <t>COLUMBUS COMM CTR</t>
  </si>
  <si>
    <t>LOGAN SO CAMPUS</t>
  </si>
  <si>
    <t>GUADALUPE SCHOOL</t>
  </si>
  <si>
    <t>KEARNS ST. ANN</t>
  </si>
  <si>
    <t>KU</t>
  </si>
  <si>
    <t>KU1</t>
  </si>
  <si>
    <t>SOUTHWEST EDUC ACAD</t>
  </si>
  <si>
    <t>HORIZONTE</t>
  </si>
  <si>
    <t>SOUTH CITY</t>
  </si>
  <si>
    <t>PINNACLE CANYON</t>
  </si>
  <si>
    <t>WEST HIGH</t>
  </si>
  <si>
    <t>FREEDOM ACADEMY</t>
  </si>
  <si>
    <t>OGDEN PREP ACADEMY</t>
  </si>
  <si>
    <t>MOUNT JORDAN MIDDLE</t>
  </si>
  <si>
    <t>JUAB JR HIGH</t>
  </si>
  <si>
    <t>MILLCREEK HIGH</t>
  </si>
  <si>
    <t>TWO RIVERS HIGH</t>
  </si>
  <si>
    <t>RONALD REAGAN ACADEMY</t>
  </si>
  <si>
    <t>7B</t>
  </si>
  <si>
    <t>CANYON VIEW MIDDLE</t>
  </si>
  <si>
    <t>PAYSON HIGH</t>
  </si>
  <si>
    <t>3C</t>
  </si>
  <si>
    <t>ENTHEOS ACADEMY</t>
  </si>
  <si>
    <t>AGR</t>
  </si>
  <si>
    <t>1E</t>
  </si>
  <si>
    <t>1E1</t>
  </si>
  <si>
    <t>WHITE PINE MIDDLE</t>
  </si>
  <si>
    <t>DIAMOND FORK JR HIGH</t>
  </si>
  <si>
    <t>MT NEBO JR HIGH</t>
  </si>
  <si>
    <t>4E</t>
  </si>
  <si>
    <t>DUAL IMMERSION ACADEMY</t>
  </si>
  <si>
    <t>PANGUITCH HIGH</t>
  </si>
  <si>
    <t>PANGUITCH MIDDLE</t>
  </si>
  <si>
    <t>EAGLE VIEW ELEMENTARY</t>
  </si>
  <si>
    <t>MOUNT MAHOGANY ELEM</t>
  </si>
  <si>
    <t>MOUNTAIN VIEW HIGH</t>
  </si>
  <si>
    <t>HILLCREST ELEMENTARY</t>
  </si>
  <si>
    <t>CEDAR VALLEY ELEMENTARY</t>
  </si>
  <si>
    <t>CENTRAL ELEMENTARY</t>
  </si>
  <si>
    <t>CHERRY HILL ELEMENTARY</t>
  </si>
  <si>
    <t>EAGLE VALLEY ELEMENTARY</t>
  </si>
  <si>
    <t>FOOTHILL ELEMENTARY</t>
  </si>
  <si>
    <t>FORBES ELEMENTARY</t>
  </si>
  <si>
    <t>FREEDOM ELEMENTARY</t>
  </si>
  <si>
    <t>GENEVA ELEMENTARY</t>
  </si>
  <si>
    <t>GREENWOOD ELEMENTARY</t>
  </si>
  <si>
    <t>ASPEN ELEMENTARY</t>
  </si>
  <si>
    <t>BONNEVILLE ELEMENTARY</t>
  </si>
  <si>
    <t>OREM ELEMENTARY</t>
  </si>
  <si>
    <t>OREM JR HIGH</t>
  </si>
  <si>
    <t>SCERA PARK ELEMENTARY</t>
  </si>
  <si>
    <t>SHARON ELEMENTARY</t>
  </si>
  <si>
    <t>SUNCREST ELEMENTARY</t>
  </si>
  <si>
    <t>VALLEY VIEW ELEMENTARY</t>
  </si>
  <si>
    <t>VINEYARD ELEMENTARY</t>
  </si>
  <si>
    <t>WESTMORE ELEMENTARY</t>
  </si>
  <si>
    <t>WINDSOR ELEMENTARY</t>
  </si>
  <si>
    <t>BELKNAP ELEMENTARY</t>
  </si>
  <si>
    <t>MINERSVILLE SCHOOL</t>
  </si>
  <si>
    <t>HARTVIGSEN TRNG CTR</t>
  </si>
  <si>
    <t>YOUNG PARENTS HUNTER</t>
  </si>
  <si>
    <t>GRANITE PEAKS HIGH</t>
  </si>
  <si>
    <t>SUU HEADSTART</t>
  </si>
  <si>
    <t>SANTAQUIN SCHOOL</t>
  </si>
  <si>
    <t>HIGHLAND JUNIOR HIGH</t>
  </si>
  <si>
    <t>4F</t>
  </si>
  <si>
    <t>CLAYTON MIDDLE</t>
  </si>
  <si>
    <t>EAST HIGH SCHOOL</t>
  </si>
  <si>
    <t>GLENDALE INTERMEDIATE</t>
  </si>
  <si>
    <t>HIGHLAND HIGH</t>
  </si>
  <si>
    <t>HILLSIDE MIDDLE</t>
  </si>
  <si>
    <t>NORTHWEST MIDDLE</t>
  </si>
  <si>
    <t>ODYSSEY HOUSE (RCCI)</t>
  </si>
  <si>
    <t>GUNNISON VALLEY ELEM</t>
  </si>
  <si>
    <t>LAVA RIDGE INTERMEDIATE</t>
  </si>
  <si>
    <t>TONAQUINT INTERMEDIATE</t>
  </si>
  <si>
    <t>HURRICANE INTERMEDIATE</t>
  </si>
  <si>
    <t>SUMMIT/EAST SHORE HIGH</t>
  </si>
  <si>
    <t>CANYONS</t>
  </si>
  <si>
    <t>CENTURY ELEMENTARY</t>
  </si>
  <si>
    <t>DISCOVERY ELEMENTARY</t>
  </si>
  <si>
    <t>FIELDING ELEMENTARY</t>
  </si>
  <si>
    <t>GARLAND ELEMENTARY</t>
  </si>
  <si>
    <t>GROUSE CREEK SCHOOL</t>
  </si>
  <si>
    <t>LAKE VIEW ELEMENTARY</t>
  </si>
  <si>
    <t>MCKINLEY ELEMENTARY</t>
  </si>
  <si>
    <t>SNOWVILLE ELEMENTARY</t>
  </si>
  <si>
    <t>PARK VALLEY ELEMENTARY</t>
  </si>
  <si>
    <t>NORTH PARK ELEMENTARY</t>
  </si>
  <si>
    <t>MOUNTAIN VIEW ELEM.</t>
  </si>
  <si>
    <t>CANYON ELEMENTARY</t>
  </si>
  <si>
    <t>GREENVILLE ELEMENTARY</t>
  </si>
  <si>
    <t>LEWISTON ELEMENTARY</t>
  </si>
  <si>
    <t>LINCOLN ELEMENTARY</t>
  </si>
  <si>
    <t>MILLVILLE ELEMENTARY</t>
  </si>
  <si>
    <t>NIBLEY ELEMENTARY</t>
  </si>
  <si>
    <t>PARK ELEMENTARY</t>
  </si>
  <si>
    <t>SUMMIT ELEMENTARY</t>
  </si>
  <si>
    <t>BRUIN POINT ELEMENTARY</t>
  </si>
  <si>
    <t>CASTLE HEIGHTS ELEM</t>
  </si>
  <si>
    <t>CASTLE VALLEY CENTER</t>
  </si>
  <si>
    <t>CREEKVIEW ELEMENTARY</t>
  </si>
  <si>
    <t>HELPER JR HIGH</t>
  </si>
  <si>
    <t>SALLY MAURO ELEMENTARY</t>
  </si>
  <si>
    <t>WELLINGTON ELEMENTARY</t>
  </si>
  <si>
    <t>ADAMS ELEMENTARY</t>
  </si>
  <si>
    <t>ADELAIDE ELEMENTARY</t>
  </si>
  <si>
    <t>ANTELOPE ELEMENTARY</t>
  </si>
  <si>
    <t>CENTRAL DAVIS JR HIGH</t>
  </si>
  <si>
    <t>COLUMBIA ELEMENTARY</t>
  </si>
  <si>
    <t>CRESTVIEW ELEMENTARY</t>
  </si>
  <si>
    <t>DOXEY ELEMENTARY</t>
  </si>
  <si>
    <t>FREMONT ELEMENTARY</t>
  </si>
  <si>
    <t>HERITAGE ELEMENTARY</t>
  </si>
  <si>
    <t>HILL FIELD ELEMENTARY</t>
  </si>
  <si>
    <t>HOLT ELEMENTARY</t>
  </si>
  <si>
    <t>KING ELEMENTARY</t>
  </si>
  <si>
    <t>LAYTON ELEMENTARY</t>
  </si>
  <si>
    <t>MEADOWBROOK ELEM</t>
  </si>
  <si>
    <t>MOUNTAIN VIEW ELEM</t>
  </si>
  <si>
    <t>NO. DAVIS JR HIGH</t>
  </si>
  <si>
    <t>NORTH LAYTON JR HIGH</t>
  </si>
  <si>
    <t>PARKSIDE ELEMENTARY</t>
  </si>
  <si>
    <t>SO. CLEARFIELD ELEM</t>
  </si>
  <si>
    <t>SUNSET ELEMENTARY</t>
  </si>
  <si>
    <t>SUNSET JR HIGH</t>
  </si>
  <si>
    <t>VAE VIEW ELEMENTARY</t>
  </si>
  <si>
    <t>WHITESIDES ELEMENTARY</t>
  </si>
  <si>
    <t>WASHINGTON ELEMENTARY</t>
  </si>
  <si>
    <t>WASATCH ELEMENTARY</t>
  </si>
  <si>
    <t>CON AMORE TRAINING CNT</t>
  </si>
  <si>
    <t>DUCHESNE ELEMENTARY</t>
  </si>
  <si>
    <t>EAST ELEMENTARY</t>
  </si>
  <si>
    <t>MYTON ELEMENTARY</t>
  </si>
  <si>
    <t>BOOK CLIFF ELEMENTARY</t>
  </si>
  <si>
    <t>CANYON VIEW JR HIGH</t>
  </si>
  <si>
    <t>CASTLE DALE ELEMENTARY</t>
  </si>
  <si>
    <t>CLEVELAND ELEMENTARY</t>
  </si>
  <si>
    <t>FERRON ELEMENTARY</t>
  </si>
  <si>
    <t>HUNTINGTON ELEMENTARY</t>
  </si>
  <si>
    <t>SAN RAFAEL JR HIGH</t>
  </si>
  <si>
    <t>COTTONWOOD ELEM</t>
  </si>
  <si>
    <t>ANTIMONY ELEMENTARY</t>
  </si>
  <si>
    <t>BOULDER ELEMENTARY</t>
  </si>
  <si>
    <t>ESCALANTE ELEMENTARY</t>
  </si>
  <si>
    <t>PANGUITCH ELEMENTARY</t>
  </si>
  <si>
    <t>BRYCE VALLEY ELEM</t>
  </si>
  <si>
    <t>ACADEMY PARK ELEM</t>
  </si>
  <si>
    <t>ARCADIA ELEMENTARY</t>
  </si>
  <si>
    <t>BEEHIVE ELEMENTARY</t>
  </si>
  <si>
    <t>BENNION JR HIGH</t>
  </si>
  <si>
    <t>BONNEVILLE JR HIGH</t>
  </si>
  <si>
    <t>BROCKBANK JR HIGH</t>
  </si>
  <si>
    <t>CALVIN SMITH ELEMENTARY</t>
  </si>
  <si>
    <t>CARL SANDBURG ELEM</t>
  </si>
  <si>
    <t>COPPER HILLS ELEMENTARY</t>
  </si>
  <si>
    <t>DAVID GOURLEY ELEM</t>
  </si>
  <si>
    <t>EISENHOWER JR HIGH</t>
  </si>
  <si>
    <t>EVERGREEN JR HIGH</t>
  </si>
  <si>
    <t>FOX HILLS ELEMENTARY</t>
  </si>
  <si>
    <t>GRANGER ELEMENTARY</t>
  </si>
  <si>
    <t>GRANITE PARK JR HIGH</t>
  </si>
  <si>
    <t>HARRY S TRUMAN ELEM</t>
  </si>
  <si>
    <t>DOUGLAS T ORCHARD ELEM</t>
  </si>
  <si>
    <t>HILLSDALE ELEMENTARY</t>
  </si>
  <si>
    <t>HILLSIDE ELEMENTARY</t>
  </si>
  <si>
    <t>HUNTER ELEMENTARY</t>
  </si>
  <si>
    <t>HUNTER JR HIGH</t>
  </si>
  <si>
    <t>JACKLING ELEMENTARY</t>
  </si>
  <si>
    <t>JAMES E MOSS ELEMENTARY</t>
  </si>
  <si>
    <t>JIM BRIDGER ELEMENTARY</t>
  </si>
  <si>
    <t>JOHN C FREMONT ELEM</t>
  </si>
  <si>
    <t>JOHN F KENNEDY JR HIGH</t>
  </si>
  <si>
    <t>KEARNS JR HIGH</t>
  </si>
  <si>
    <t>LAKE RIDGE ELEMENTARY</t>
  </si>
  <si>
    <t>MAGNA ELEMENTARY</t>
  </si>
  <si>
    <t>MATHESON JR HIGH</t>
  </si>
  <si>
    <t>MILL CREEK ELEMENTARY</t>
  </si>
  <si>
    <t>MONROE ELEMENTARY</t>
  </si>
  <si>
    <t>OQUIRRH HILLS ELEM</t>
  </si>
  <si>
    <t>PHILO T FARNSWORTH ELEM</t>
  </si>
  <si>
    <t>PIONEER ELEMENTARY</t>
  </si>
  <si>
    <t>PLEASANT GREEN ELEM</t>
  </si>
  <si>
    <t>PLYMOUTH ELEMENTARY</t>
  </si>
  <si>
    <t>REDWOOD ELEMENTARY</t>
  </si>
  <si>
    <t>ROBERT FROST ELEM</t>
  </si>
  <si>
    <t>ROLLING MEADOWS ELEM</t>
  </si>
  <si>
    <t>ROOSEVELT ELEMENTARY</t>
  </si>
  <si>
    <t>SILVER HILLS ELEMENTARY</t>
  </si>
  <si>
    <t>SOUTH KEARNS ELEM</t>
  </si>
  <si>
    <t>SPRING LANE ELEMENTARY</t>
  </si>
  <si>
    <t>STANSBURY ELEMENTARY</t>
  </si>
  <si>
    <t>TAYLORSVILLE ELEM</t>
  </si>
  <si>
    <t>THOMAS JEFFERSON JR HIGH</t>
  </si>
  <si>
    <t>THOMAS W BACCHUS ELEM</t>
  </si>
  <si>
    <t>TWIN PEAKS ELEMENTARY</t>
  </si>
  <si>
    <t>VALLEY CREST ELEMENTARY</t>
  </si>
  <si>
    <t>VALLEY JR HIGH</t>
  </si>
  <si>
    <t>VISTA ELEMENTARY</t>
  </si>
  <si>
    <t>WEST KEARNS ELEMENTARY</t>
  </si>
  <si>
    <t>WEST VALLEY ELEMENTARY</t>
  </si>
  <si>
    <t>WESTBROOK ELEMENTARY</t>
  </si>
  <si>
    <t>WESTERN HILLS ELEM</t>
  </si>
  <si>
    <t>WEST LAKE JR HIGH</t>
  </si>
  <si>
    <t>WHITTIER ELEMENTARY</t>
  </si>
  <si>
    <t>WOODROW WILSON ELEM</t>
  </si>
  <si>
    <t>CEDAR EAST ELEMENTARY</t>
  </si>
  <si>
    <t>ENOCH ELEMENTARY</t>
  </si>
  <si>
    <t>IRON SPRINGS ELEMENTARY</t>
  </si>
  <si>
    <t>THREE PEAKS ELEMENTARY</t>
  </si>
  <si>
    <t>MONA ELEMENTARY</t>
  </si>
  <si>
    <t>NEBO VIEW ELEMENTARY</t>
  </si>
  <si>
    <t>RED CLIFFS ELEMENTARY</t>
  </si>
  <si>
    <t>BIG WATER ELEMENTARY</t>
  </si>
  <si>
    <t>LAKE POWELL SCHOOL</t>
  </si>
  <si>
    <t>DELTA EARLY CHILDHOOD</t>
  </si>
  <si>
    <t>DELTA ELEMENTARY</t>
  </si>
  <si>
    <t>DELTA MIDDLE SCHOOL</t>
  </si>
  <si>
    <t>COPPER CANYON ELEM</t>
  </si>
  <si>
    <t>COPPERVIEW ELEMENTARY</t>
  </si>
  <si>
    <t>HEARTLAND ELEMENTARY</t>
  </si>
  <si>
    <t>JOEL P JENSEN MIDDLE</t>
  </si>
  <si>
    <t>MAJESTIC ELEMENTARY</t>
  </si>
  <si>
    <t>OQUIRRH ELEMENTARY</t>
  </si>
  <si>
    <t>RIVERSIDE ELEMENTARY</t>
  </si>
  <si>
    <t>TERRA LINDA ELEMENTARY</t>
  </si>
  <si>
    <t>WEST JORDAN ELEMENTARY</t>
  </si>
  <si>
    <t>WESTVALE ELEMENTARY</t>
  </si>
  <si>
    <t>BARNETT ELEMENTARY</t>
  </si>
  <si>
    <t>BROCKBANK ELEMENTARY</t>
  </si>
  <si>
    <t>BROOKSIDE ELEMENTARY</t>
  </si>
  <si>
    <t>CHERRY CREEK ELEM</t>
  </si>
  <si>
    <t>GOSHEN ELEMENTARY</t>
  </si>
  <si>
    <t>LARSEN ELEMENTARY</t>
  </si>
  <si>
    <t>ORCHARD HILLS ELEM</t>
  </si>
  <si>
    <t>PARKVIEW ELEMENTARY</t>
  </si>
  <si>
    <t>PAYSON JR HIGH</t>
  </si>
  <si>
    <t>REES ELEMENTARY</t>
  </si>
  <si>
    <t>SAGE CREEK ELEMENTARY</t>
  </si>
  <si>
    <t>SALEM ELEMENTARY</t>
  </si>
  <si>
    <t>SPRING LAKE ELEMENTARY</t>
  </si>
  <si>
    <t>TAYLOR ELEMENTARY</t>
  </si>
  <si>
    <t>WESTSIDE ELEMENTARY</t>
  </si>
  <si>
    <t>WILSON ELEMENTARY</t>
  </si>
  <si>
    <t>FAIRVIEW ELEMENTARY</t>
  </si>
  <si>
    <t>FOUNTAIN GREEN ELEM</t>
  </si>
  <si>
    <t>MORONI ELEMENTARY</t>
  </si>
  <si>
    <t>MT PLEASANT ELEM</t>
  </si>
  <si>
    <t>SPRING CITY ELEMENTARY</t>
  </si>
  <si>
    <t>MCPOLIN ELEMENTARY</t>
  </si>
  <si>
    <t>CIRCLEVILLE ELEMENTARY</t>
  </si>
  <si>
    <t>OSCARSON ELEMENTARY</t>
  </si>
  <si>
    <t>ALBERT R LYMAN MIDDLE</t>
  </si>
  <si>
    <t>BLANDING ELEMENTARY</t>
  </si>
  <si>
    <t>BLUFF ELEMENTARY</t>
  </si>
  <si>
    <t>LASAL ELEMENTARY</t>
  </si>
  <si>
    <t>MONTICELLO ELEMENTARY</t>
  </si>
  <si>
    <t>ASHMAN ELEMENTARY</t>
  </si>
  <si>
    <t>KOOSHAREM ELEMENTARY</t>
  </si>
  <si>
    <t>NORTH SEVIER HIGH</t>
  </si>
  <si>
    <t>PAHVANT ELEMENTARY</t>
  </si>
  <si>
    <t>SALINA ELEMENTARY</t>
  </si>
  <si>
    <t>EPHRAIM ELEMENTARY</t>
  </si>
  <si>
    <t>MANTI ELEMENTARY</t>
  </si>
  <si>
    <t>ANNA SMITH ELEMENTARY</t>
  </si>
  <si>
    <t>HARRIS ELEMENTARY</t>
  </si>
  <si>
    <t>IBAPAH ELEMENTARY</t>
  </si>
  <si>
    <t>MIDDLE CANYON ELEM</t>
  </si>
  <si>
    <t>NORTHLAKE ELEMENTARY</t>
  </si>
  <si>
    <t>SETTLEMENT CANYON ELEM</t>
  </si>
  <si>
    <t>TOOELE JR HIGH</t>
  </si>
  <si>
    <t>VERNON ELEMENTARY</t>
  </si>
  <si>
    <t>WEST ELEMENTARY</t>
  </si>
  <si>
    <t>ASHLEY ELEMENTARY</t>
  </si>
  <si>
    <t>ASHLEY VALLEY EDUC CNT</t>
  </si>
  <si>
    <t>DAVIS ELEMENTARY</t>
  </si>
  <si>
    <t>LAPOINT ELEMENTARY</t>
  </si>
  <si>
    <t>NAPLES ELEMENTARY</t>
  </si>
  <si>
    <t>HEBER VALLEY ELEMENTARY</t>
  </si>
  <si>
    <t>J.R. SMITH ELEMENTARY</t>
  </si>
  <si>
    <t>MIDWAY ELEMENTARY</t>
  </si>
  <si>
    <t>ROCKY MOUNTAIN MIDDLE</t>
  </si>
  <si>
    <t>TIMPANOGAS INTER SCHOOL</t>
  </si>
  <si>
    <t>BLOOMINGTON HILLS ELEM</t>
  </si>
  <si>
    <t>CORAL CANYON ELEM</t>
  </si>
  <si>
    <t>CORAL CLIFFS ELEMENTARY</t>
  </si>
  <si>
    <t>DIXIE SUN ELEMENTARY</t>
  </si>
  <si>
    <t>ENTERPRISE ELEMENTARY</t>
  </si>
  <si>
    <t>FOSSIL RIDGE INTERMEDIATE</t>
  </si>
  <si>
    <t>HORIZON ELEMENTARY</t>
  </si>
  <si>
    <t>HURRICANE ELEMENTARY</t>
  </si>
  <si>
    <t>LAVERKIN ELEMENTARY</t>
  </si>
  <si>
    <t>PANORAMA ELEMENTARY</t>
  </si>
  <si>
    <t>RED MOUNTAIN ELEMENTARY</t>
  </si>
  <si>
    <t>SANDSTONE ELEMENTARY</t>
  </si>
  <si>
    <t>SPRINGDALE ELEMENTARY</t>
  </si>
  <si>
    <t>THREE FALLS ELEMENTARY</t>
  </si>
  <si>
    <t>HANKSVILLE ELEMENTARY</t>
  </si>
  <si>
    <t>LOA ELEMENTARY</t>
  </si>
  <si>
    <t>CLUB HEIGHTS ELEMENTARY</t>
  </si>
  <si>
    <t>COUNTRY VIEW ELEM</t>
  </si>
  <si>
    <t>GREEN ACRES ELEMENTARY</t>
  </si>
  <si>
    <t>LAKEVIEW ELEMENTARY</t>
  </si>
  <si>
    <t>MARLON HILLS ELEMENTARY</t>
  </si>
  <si>
    <t>MIDLAND ELEMENTARY</t>
  </si>
  <si>
    <t>MUNICIPAL ELEMENTARY</t>
  </si>
  <si>
    <t>NO. OGDEN ELEMENTARY</t>
  </si>
  <si>
    <t>RIVERDALE ELEMENTARY</t>
  </si>
  <si>
    <t>ROY ELEMENTARY</t>
  </si>
  <si>
    <t>ROY JR HIGH</t>
  </si>
  <si>
    <t>SAND RIDGE JR HIGH</t>
  </si>
  <si>
    <t>T.H. BELL JR HIGH</t>
  </si>
  <si>
    <t>WASHINGTON TERRACE EL</t>
  </si>
  <si>
    <t>WEST HAVEN ELEMENTARY</t>
  </si>
  <si>
    <t>HILLCREST JR HIGH</t>
  </si>
  <si>
    <t>LIBERTY ELEMENTARY</t>
  </si>
  <si>
    <t>BACKMAN ELEMENTARY</t>
  </si>
  <si>
    <t>BRYANT MIDDLE SCHOOL</t>
  </si>
  <si>
    <t>EDISON ELEMENTARY</t>
  </si>
  <si>
    <t>EMERSON ELEMENTARY</t>
  </si>
  <si>
    <t>FRANKLIN ELEMENTARY</t>
  </si>
  <si>
    <t>HAWTHORNE ELEMENTARY</t>
  </si>
  <si>
    <t>HORIZONTE HS NORTHWEST</t>
  </si>
  <si>
    <t>JACKSON ELEMENTARY</t>
  </si>
  <si>
    <t>M LYNN BENNION ELEM</t>
  </si>
  <si>
    <t>MEADOWLARK ELEMENTARY</t>
  </si>
  <si>
    <t>NEWMAN ELEMENTARY</t>
  </si>
  <si>
    <t>NIBLEY PARK ELEMENTARY</t>
  </si>
  <si>
    <t>NORTH STAR ELEMENTARY</t>
  </si>
  <si>
    <t>RILEY ELEMENTARY</t>
  </si>
  <si>
    <t>ROSE PARK ELEMENTARY</t>
  </si>
  <si>
    <t>DEE ELEMENTARY</t>
  </si>
  <si>
    <t>GRAMERCY ELEMENTARY</t>
  </si>
  <si>
    <t>HERITAGE ELEMENTARY SCH</t>
  </si>
  <si>
    <t>HORACE MANN ELEMENTARY</t>
  </si>
  <si>
    <t>JAMES MADISON ELEM</t>
  </si>
  <si>
    <t>MOUND FORT JR HIGH</t>
  </si>
  <si>
    <t>MOUNT OGDEN JR HIGH</t>
  </si>
  <si>
    <t>ODYSSEY ELEMENTARY</t>
  </si>
  <si>
    <t>POLK ELEMENTARY</t>
  </si>
  <si>
    <t>T.O. SMITH ELEMENTARY</t>
  </si>
  <si>
    <t>AMELIA EARHART ELEM</t>
  </si>
  <si>
    <t>EDGEMONT ELEMENTARY</t>
  </si>
  <si>
    <t>PROVOST ELEMENTARY</t>
  </si>
  <si>
    <t>ROCK CANYON  ELEMENTARY</t>
  </si>
  <si>
    <t>SPRING CREEK ELEM</t>
  </si>
  <si>
    <t>SUNSET VIEW ELEMENTARY</t>
  </si>
  <si>
    <t>TIMPANOGOS ELEMENTARY</t>
  </si>
  <si>
    <t>WESTRIDGE ELEMENTARY</t>
  </si>
  <si>
    <t>BRIDGER ELEMENTARY</t>
  </si>
  <si>
    <t>ELLIS ELEMENTARY</t>
  </si>
  <si>
    <t>WOODRUFF ELEMENTARY</t>
  </si>
  <si>
    <t>BELL VIEW ELEMENTARY</t>
  </si>
  <si>
    <t>EAST MIDVALE ELEMENTARY</t>
  </si>
  <si>
    <t>MIDVALE ELEMENTARY</t>
  </si>
  <si>
    <t>MIDVALLEY ELEMENTARY</t>
  </si>
  <si>
    <t>SANDY ELEMENTARY</t>
  </si>
  <si>
    <t>AMERICAN PREP ACAD</t>
  </si>
  <si>
    <t>SCHOOL FOR NEW AMERICNS</t>
  </si>
  <si>
    <t>7E</t>
  </si>
  <si>
    <t>3F</t>
  </si>
  <si>
    <t>VENTURE ACADEMY</t>
  </si>
  <si>
    <t>COMMUNITY HIGH</t>
  </si>
  <si>
    <t>BIRCH CREEK ELEMENTARY</t>
  </si>
  <si>
    <t>STUDENT SUPPORT SERV</t>
  </si>
  <si>
    <t>HELEN M KNIGHT</t>
  </si>
  <si>
    <t>CRICKET CARE</t>
  </si>
  <si>
    <t>FAST FORWARD CHARTER</t>
  </si>
  <si>
    <t>GEARLD WRIGHT ELEM</t>
  </si>
  <si>
    <t>OGDEN PREP ELEMENTARY</t>
  </si>
  <si>
    <t>TAYLOR CANYON</t>
  </si>
  <si>
    <t>5G</t>
  </si>
  <si>
    <t>QUAIL RUN PRIMARH SCH</t>
  </si>
  <si>
    <t>QUAIL RUN PRIMARY SCH</t>
  </si>
  <si>
    <t>OASIS CHRISTAN CENTER</t>
  </si>
  <si>
    <t>BLUE PEAK HIGH</t>
  </si>
  <si>
    <t>9G</t>
  </si>
  <si>
    <t>ALIANZA ACADEMY</t>
  </si>
  <si>
    <t>ACCELERATED SCHOOL</t>
  </si>
  <si>
    <t>KINGS PEAK ELEMENTARY</t>
  </si>
  <si>
    <t>ELK RUN ELEMENTARY</t>
  </si>
  <si>
    <t>GATEWAY PREPARATORY</t>
  </si>
  <si>
    <t>6C</t>
  </si>
  <si>
    <t>LIBERTY ACADEMY</t>
  </si>
  <si>
    <t>FILLMORE ELEMENTARY</t>
  </si>
  <si>
    <t>PROVO PEAKS ELEMENTARY</t>
  </si>
  <si>
    <t>SALT LAKE CENTER FOR SCI</t>
  </si>
  <si>
    <t xml:space="preserve">TSEBII' NIDZISGAI ELEM </t>
  </si>
  <si>
    <t>GRANTSVILLE ELEMENTARY</t>
  </si>
  <si>
    <t>MILFORD ELEMENTARY</t>
  </si>
  <si>
    <t>MILFORD HIGH</t>
  </si>
  <si>
    <t>ALL FIGURES ARE FOR THE LAST OPERATING DAY OF OCTOBER 2012</t>
  </si>
  <si>
    <t>4H</t>
  </si>
  <si>
    <t>ARISTOTLE ACADEMY</t>
  </si>
  <si>
    <t>3H</t>
  </si>
  <si>
    <t>ENDEAVOR HALL</t>
  </si>
  <si>
    <t>7H</t>
  </si>
  <si>
    <t>PACIFIC HERITAGE ACADEMY</t>
  </si>
  <si>
    <t>ST. FRANCIS XAVIER</t>
  </si>
  <si>
    <t>BRIDGES</t>
  </si>
  <si>
    <t>Q8</t>
  </si>
  <si>
    <t>NAA TSIS' AAN COMMUNITY</t>
  </si>
  <si>
    <t>Q81</t>
  </si>
  <si>
    <t>Temp</t>
  </si>
  <si>
    <t>HORIZONTE HIGHLAND</t>
  </si>
  <si>
    <t>HORIZONTE MATHESON</t>
  </si>
  <si>
    <t>INNOVATIONS HIGH SCHOOL</t>
  </si>
  <si>
    <t>Revised 1/22/2013 Jordan District</t>
  </si>
  <si>
    <t>OCTOBER FREE &amp; REDUCED PRICE 35%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</si>
</sst>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10" fontId="1" fillId="0" borderId="0" xfId="0" applyNumberFormat="1" applyFont="1" applyFill="1" applyAlignment="1">
      <alignment horizontal="centerContinuous"/>
    </xf>
    <xf numFmtId="3" fontId="1" fillId="0" borderId="5" xfId="0" applyNumberFormat="1" applyFont="1" applyFill="1" applyBorder="1"/>
    <xf numFmtId="3" fontId="1" fillId="0" borderId="0" xfId="0" applyNumberFormat="1" applyFont="1" applyFill="1"/>
    <xf numFmtId="0" fontId="1" fillId="0" borderId="0" xfId="0" applyFont="1" applyFill="1"/>
    <xf numFmtId="10" fontId="6" fillId="0" borderId="0" xfId="0" applyNumberFormat="1" applyFont="1" applyFill="1"/>
    <xf numFmtId="10" fontId="0" fillId="0" borderId="0" xfId="0" applyNumberFormat="1" applyFill="1"/>
    <xf numFmtId="0" fontId="5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1" fillId="0" borderId="0" xfId="0" quotePrefix="1" applyFont="1" applyFill="1" applyAlignment="1">
      <alignment horizontal="centerContinuous"/>
    </xf>
    <xf numFmtId="0" fontId="1" fillId="0" borderId="0" xfId="0" applyFont="1" applyFill="1" applyAlignment="1">
      <alignment horizontal="centerContinuous"/>
    </xf>
    <xf numFmtId="0" fontId="0" fillId="0" borderId="0" xfId="0" applyFill="1"/>
    <xf numFmtId="0" fontId="5" fillId="0" borderId="0" xfId="0" quotePrefix="1" applyFont="1" applyFill="1" applyAlignment="1">
      <alignment horizontal="centerContinuous"/>
    </xf>
    <xf numFmtId="0" fontId="2" fillId="0" borderId="8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2" fillId="0" borderId="8" xfId="0" applyFont="1" applyFill="1" applyBorder="1"/>
    <xf numFmtId="0" fontId="2" fillId="0" borderId="1" xfId="0" applyFont="1" applyFill="1" applyBorder="1" applyAlignment="1">
      <alignment horizontal="centerContinuous"/>
    </xf>
    <xf numFmtId="0" fontId="2" fillId="0" borderId="6" xfId="0" applyFont="1" applyFill="1" applyBorder="1" applyAlignment="1">
      <alignment horizontal="centerContinuous"/>
    </xf>
    <xf numFmtId="0" fontId="2" fillId="0" borderId="7" xfId="0" applyFont="1" applyFill="1" applyBorder="1" applyAlignment="1">
      <alignment horizontal="centerContinuous"/>
    </xf>
    <xf numFmtId="0" fontId="2" fillId="0" borderId="8" xfId="0" quotePrefix="1" applyFont="1" applyFill="1" applyBorder="1" applyAlignment="1">
      <alignment horizontal="center"/>
    </xf>
    <xf numFmtId="10" fontId="2" fillId="0" borderId="8" xfId="0" applyNumberFormat="1" applyFont="1" applyFill="1" applyBorder="1" applyAlignment="1">
      <alignment horizontal="center"/>
    </xf>
    <xf numFmtId="0" fontId="2" fillId="0" borderId="9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2" fillId="0" borderId="2" xfId="0" quotePrefix="1" applyFont="1" applyFill="1" applyBorder="1" applyAlignment="1">
      <alignment horizontal="center"/>
    </xf>
    <xf numFmtId="0" fontId="2" fillId="0" borderId="9" xfId="0" quotePrefix="1" applyFont="1" applyFill="1" applyBorder="1" applyAlignment="1">
      <alignment horizontal="center"/>
    </xf>
    <xf numFmtId="10" fontId="2" fillId="0" borderId="9" xfId="0" applyNumberFormat="1" applyFont="1" applyFill="1" applyBorder="1" applyAlignment="1">
      <alignment horizontal="center"/>
    </xf>
    <xf numFmtId="0" fontId="3" fillId="0" borderId="5" xfId="0" applyFont="1" applyFill="1" applyBorder="1" applyProtection="1"/>
    <xf numFmtId="0" fontId="3" fillId="0" borderId="13" xfId="0" applyFont="1" applyFill="1" applyBorder="1" applyProtection="1"/>
    <xf numFmtId="0" fontId="3" fillId="0" borderId="5" xfId="0" applyFont="1" applyFill="1" applyBorder="1" applyAlignment="1" applyProtection="1">
      <alignment horizontal="left"/>
    </xf>
    <xf numFmtId="10" fontId="1" fillId="0" borderId="5" xfId="0" applyNumberFormat="1" applyFont="1" applyFill="1" applyBorder="1"/>
    <xf numFmtId="0" fontId="3" fillId="0" borderId="14" xfId="0" applyFont="1" applyFill="1" applyBorder="1" applyProtection="1"/>
    <xf numFmtId="0" fontId="3" fillId="0" borderId="0" xfId="0" applyFont="1" applyFill="1" applyProtection="1"/>
    <xf numFmtId="0" fontId="3" fillId="0" borderId="14" xfId="0" applyFont="1" applyFill="1" applyBorder="1" applyAlignment="1" applyProtection="1">
      <alignment horizontal="left"/>
    </xf>
    <xf numFmtId="3" fontId="1" fillId="0" borderId="0" xfId="0" applyNumberFormat="1" applyFont="1" applyFill="1" applyBorder="1"/>
    <xf numFmtId="3" fontId="1" fillId="0" borderId="14" xfId="0" applyNumberFormat="1" applyFont="1" applyFill="1" applyBorder="1"/>
    <xf numFmtId="10" fontId="1" fillId="0" borderId="14" xfId="0" applyNumberFormat="1" applyFont="1" applyFill="1" applyBorder="1"/>
    <xf numFmtId="0" fontId="0" fillId="0" borderId="0" xfId="0" applyFill="1" applyBorder="1"/>
    <xf numFmtId="0" fontId="4" fillId="0" borderId="14" xfId="0" applyFont="1" applyFill="1" applyBorder="1" applyAlignment="1" applyProtection="1">
      <alignment horizontal="center"/>
    </xf>
    <xf numFmtId="3" fontId="1" fillId="0" borderId="13" xfId="0" applyNumberFormat="1" applyFont="1" applyFill="1" applyBorder="1"/>
    <xf numFmtId="3" fontId="1" fillId="0" borderId="0" xfId="0" applyNumberFormat="1" applyFont="1" applyFill="1" applyBorder="1" applyAlignment="1">
      <alignment horizontal="right"/>
    </xf>
    <xf numFmtId="0" fontId="6" fillId="0" borderId="0" xfId="0" applyFont="1" applyFill="1"/>
    <xf numFmtId="0" fontId="3" fillId="0" borderId="5" xfId="0" applyFont="1" applyFill="1" applyBorder="1" applyAlignment="1" applyProtection="1">
      <alignment horizontal="right"/>
    </xf>
    <xf numFmtId="10" fontId="1" fillId="0" borderId="16" xfId="0" applyNumberFormat="1" applyFont="1" applyFill="1" applyBorder="1"/>
    <xf numFmtId="0" fontId="1" fillId="0" borderId="5" xfId="0" applyFont="1" applyFill="1" applyBorder="1" applyAlignment="1" applyProtection="1">
      <alignment horizontal="left"/>
    </xf>
    <xf numFmtId="0" fontId="1" fillId="0" borderId="5" xfId="0" applyFont="1" applyFill="1" applyBorder="1" applyProtection="1"/>
    <xf numFmtId="0" fontId="1" fillId="0" borderId="5" xfId="0" applyFont="1" applyFill="1" applyBorder="1" applyAlignment="1" applyProtection="1">
      <alignment horizontal="right"/>
    </xf>
    <xf numFmtId="17" fontId="7" fillId="0" borderId="0" xfId="0" applyNumberFormat="1" applyFont="1" applyFill="1" applyAlignment="1">
      <alignment horizontal="left"/>
    </xf>
    <xf numFmtId="0" fontId="1" fillId="0" borderId="16" xfId="0" applyFont="1" applyFill="1" applyBorder="1" applyAlignment="1" applyProtection="1">
      <alignment horizontal="left"/>
    </xf>
    <xf numFmtId="3" fontId="1" fillId="0" borderId="17" xfId="0" applyNumberFormat="1" applyFont="1" applyFill="1" applyBorder="1"/>
    <xf numFmtId="3" fontId="1" fillId="0" borderId="16" xfId="0" applyNumberFormat="1" applyFont="1" applyFill="1" applyBorder="1"/>
    <xf numFmtId="0" fontId="3" fillId="0" borderId="16" xfId="0" applyFont="1" applyFill="1" applyBorder="1" applyAlignment="1" applyProtection="1">
      <alignment horizontal="right"/>
    </xf>
    <xf numFmtId="0" fontId="3" fillId="0" borderId="17" xfId="0" applyFont="1" applyFill="1" applyBorder="1" applyProtection="1"/>
    <xf numFmtId="0" fontId="1" fillId="0" borderId="13" xfId="0" applyFont="1" applyFill="1" applyBorder="1" applyProtection="1"/>
    <xf numFmtId="3" fontId="1" fillId="0" borderId="13" xfId="0" applyNumberFormat="1" applyFont="1" applyFill="1" applyBorder="1" applyAlignment="1">
      <alignment horizontal="right"/>
    </xf>
    <xf numFmtId="3" fontId="1" fillId="0" borderId="5" xfId="0" applyNumberFormat="1" applyFont="1" applyFill="1" applyBorder="1" applyAlignment="1">
      <alignment horizontal="right"/>
    </xf>
    <xf numFmtId="3" fontId="1" fillId="0" borderId="3" xfId="0" applyNumberFormat="1" applyFont="1" applyFill="1" applyBorder="1"/>
    <xf numFmtId="0" fontId="3" fillId="0" borderId="10" xfId="0" applyFont="1" applyFill="1" applyBorder="1" applyAlignment="1" applyProtection="1">
      <alignment horizontal="center"/>
    </xf>
    <xf numFmtId="0" fontId="3" fillId="0" borderId="11" xfId="0" applyFont="1" applyFill="1" applyBorder="1" applyAlignment="1" applyProtection="1">
      <alignment horizontal="center"/>
    </xf>
    <xf numFmtId="0" fontId="4" fillId="0" borderId="10" xfId="0" applyFont="1" applyFill="1" applyBorder="1" applyAlignment="1" applyProtection="1">
      <alignment horizontal="center"/>
    </xf>
    <xf numFmtId="0" fontId="1" fillId="0" borderId="11" xfId="0" quotePrefix="1" applyFont="1" applyFill="1" applyBorder="1" applyAlignment="1"/>
    <xf numFmtId="0" fontId="1" fillId="0" borderId="10" xfId="0" quotePrefix="1" applyFont="1" applyFill="1" applyBorder="1" applyAlignment="1">
      <alignment horizontal="center"/>
    </xf>
    <xf numFmtId="0" fontId="1" fillId="0" borderId="11" xfId="0" quotePrefix="1" applyFont="1" applyFill="1" applyBorder="1" applyAlignment="1">
      <alignment horizontal="center"/>
    </xf>
    <xf numFmtId="10" fontId="1" fillId="0" borderId="10" xfId="0" quotePrefix="1" applyNumberFormat="1" applyFont="1" applyFill="1" applyBorder="1" applyAlignment="1">
      <alignment horizontal="center"/>
    </xf>
    <xf numFmtId="3" fontId="1" fillId="0" borderId="12" xfId="0" applyNumberFormat="1" applyFont="1" applyFill="1" applyBorder="1"/>
    <xf numFmtId="3" fontId="1" fillId="0" borderId="0" xfId="0" applyNumberFormat="1" applyFont="1" applyFill="1" applyAlignment="1">
      <alignment horizontal="right"/>
    </xf>
    <xf numFmtId="3" fontId="1" fillId="0" borderId="14" xfId="0" applyNumberFormat="1" applyFont="1" applyFill="1" applyBorder="1" applyAlignment="1">
      <alignment horizontal="right"/>
    </xf>
    <xf numFmtId="0" fontId="1" fillId="0" borderId="5" xfId="0" quotePrefix="1" applyFont="1" applyFill="1" applyBorder="1" applyAlignment="1" applyProtection="1">
      <alignment horizontal="left"/>
    </xf>
    <xf numFmtId="10" fontId="1" fillId="0" borderId="15" xfId="0" applyNumberFormat="1" applyFont="1" applyFill="1" applyBorder="1"/>
    <xf numFmtId="3" fontId="1" fillId="0" borderId="0" xfId="0" applyNumberFormat="1" applyFont="1" applyFill="1" applyBorder="1" applyAlignment="1">
      <alignment horizontal="centerContinuous"/>
    </xf>
    <xf numFmtId="3" fontId="1" fillId="0" borderId="18" xfId="0" applyNumberFormat="1" applyFont="1" applyFill="1" applyBorder="1"/>
    <xf numFmtId="0" fontId="3" fillId="0" borderId="5" xfId="0" quotePrefix="1" applyFont="1" applyFill="1" applyBorder="1" applyAlignment="1" applyProtection="1">
      <alignment horizontal="left"/>
    </xf>
    <xf numFmtId="0" fontId="3" fillId="0" borderId="0" xfId="0" applyFont="1" applyFill="1" applyBorder="1" applyProtection="1"/>
    <xf numFmtId="3" fontId="1" fillId="0" borderId="0" xfId="0" applyNumberFormat="1" applyFont="1" applyFill="1" applyAlignment="1">
      <alignment horizontal="centerContinuous"/>
    </xf>
    <xf numFmtId="3" fontId="1" fillId="0" borderId="14" xfId="0" applyNumberFormat="1" applyFont="1" applyFill="1" applyBorder="1" applyAlignment="1">
      <alignment horizontal="centerContinuous"/>
    </xf>
    <xf numFmtId="0" fontId="3" fillId="0" borderId="13" xfId="0" quotePrefix="1" applyFont="1" applyFill="1" applyBorder="1" applyAlignment="1" applyProtection="1">
      <alignment horizontal="right"/>
    </xf>
    <xf numFmtId="0" fontId="3" fillId="0" borderId="13" xfId="0" applyFont="1" applyFill="1" applyBorder="1" applyAlignment="1" applyProtection="1">
      <alignment horizontal="right"/>
    </xf>
    <xf numFmtId="0" fontId="1" fillId="0" borderId="13" xfId="0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6"/>
  <sheetViews>
    <sheetView showGridLines="0" tabSelected="1" zoomScaleNormal="100" workbookViewId="0">
      <pane ySplit="7" topLeftCell="A71" activePane="bottomLeft" state="frozen"/>
      <selection pane="bottomLeft" activeCell="J107" sqref="J107"/>
    </sheetView>
  </sheetViews>
  <sheetFormatPr defaultRowHeight="12.75" x14ac:dyDescent="0.2"/>
  <cols>
    <col min="1" max="1" width="4.85546875" style="11" customWidth="1"/>
    <col min="2" max="2" width="6.28515625" style="11" customWidth="1"/>
    <col min="3" max="3" width="24.28515625" style="11" customWidth="1"/>
    <col min="4" max="5" width="9.140625" style="11"/>
    <col min="6" max="6" width="10" style="11" bestFit="1" customWidth="1"/>
    <col min="7" max="7" width="10.42578125" style="11" customWidth="1"/>
    <col min="8" max="8" width="10.42578125" style="6" customWidth="1"/>
    <col min="9" max="16384" width="9.140625" style="11"/>
  </cols>
  <sheetData>
    <row r="1" spans="1:8" ht="15.75" x14ac:dyDescent="0.25">
      <c r="A1" s="7" t="s">
        <v>552</v>
      </c>
      <c r="B1" s="8"/>
      <c r="C1" s="8"/>
      <c r="D1" s="9"/>
      <c r="E1" s="10"/>
      <c r="F1" s="10"/>
      <c r="G1" s="10"/>
      <c r="H1" s="1"/>
    </row>
    <row r="2" spans="1:8" ht="15.75" x14ac:dyDescent="0.25">
      <c r="A2" s="12" t="s">
        <v>535</v>
      </c>
      <c r="B2" s="8"/>
      <c r="C2" s="8"/>
      <c r="D2" s="9"/>
      <c r="E2" s="10"/>
      <c r="F2" s="10"/>
      <c r="G2" s="10"/>
      <c r="H2" s="1"/>
    </row>
    <row r="3" spans="1:8" x14ac:dyDescent="0.2">
      <c r="A3" s="8" t="s">
        <v>143</v>
      </c>
      <c r="B3" s="8"/>
      <c r="C3" s="8"/>
      <c r="D3" s="9"/>
      <c r="E3" s="10"/>
      <c r="F3" s="10"/>
      <c r="G3" s="10"/>
      <c r="H3" s="1"/>
    </row>
    <row r="4" spans="1:8" x14ac:dyDescent="0.2">
      <c r="A4" s="46" t="s">
        <v>551</v>
      </c>
      <c r="B4" s="8"/>
      <c r="C4" s="8"/>
      <c r="D4" s="9"/>
      <c r="E4" s="10"/>
      <c r="F4" s="10"/>
      <c r="G4" s="10"/>
      <c r="H4" s="1"/>
    </row>
    <row r="5" spans="1:8" ht="13.5" thickBot="1" x14ac:dyDescent="0.25">
      <c r="B5" s="8"/>
      <c r="C5" s="8"/>
      <c r="D5" s="10" t="s">
        <v>143</v>
      </c>
      <c r="E5" s="10"/>
      <c r="F5" s="10"/>
      <c r="G5" s="10"/>
      <c r="H5" s="1"/>
    </row>
    <row r="6" spans="1:8" ht="13.5" customHeight="1" thickBot="1" x14ac:dyDescent="0.25">
      <c r="A6" s="13" t="s">
        <v>167</v>
      </c>
      <c r="B6" s="14" t="s">
        <v>0</v>
      </c>
      <c r="C6" s="15"/>
      <c r="D6" s="16" t="s">
        <v>1</v>
      </c>
      <c r="E6" s="17"/>
      <c r="F6" s="18"/>
      <c r="G6" s="19" t="s">
        <v>2</v>
      </c>
      <c r="H6" s="20" t="s">
        <v>3</v>
      </c>
    </row>
    <row r="7" spans="1:8" ht="13.5" thickBot="1" x14ac:dyDescent="0.25">
      <c r="A7" s="21" t="s">
        <v>4</v>
      </c>
      <c r="B7" s="22" t="s">
        <v>5</v>
      </c>
      <c r="C7" s="21" t="s">
        <v>6</v>
      </c>
      <c r="D7" s="23" t="s">
        <v>7</v>
      </c>
      <c r="E7" s="24" t="s">
        <v>8</v>
      </c>
      <c r="F7" s="23" t="s">
        <v>9</v>
      </c>
      <c r="G7" s="24" t="s">
        <v>10</v>
      </c>
      <c r="H7" s="25" t="s">
        <v>11</v>
      </c>
    </row>
    <row r="8" spans="1:8" x14ac:dyDescent="0.2">
      <c r="A8" s="56"/>
      <c r="B8" s="57"/>
      <c r="C8" s="58" t="s">
        <v>12</v>
      </c>
      <c r="D8" s="59"/>
      <c r="E8" s="60"/>
      <c r="F8" s="61"/>
      <c r="G8" s="60"/>
      <c r="H8" s="62"/>
    </row>
    <row r="9" spans="1:8" x14ac:dyDescent="0.2">
      <c r="A9" s="26">
        <v>1</v>
      </c>
      <c r="B9" s="27">
        <v>107</v>
      </c>
      <c r="C9" s="43" t="s">
        <v>190</v>
      </c>
      <c r="D9" s="55">
        <v>140</v>
      </c>
      <c r="E9" s="63">
        <v>46</v>
      </c>
      <c r="F9" s="55">
        <f>468-(D9+E9)</f>
        <v>282</v>
      </c>
      <c r="G9" s="63">
        <f t="shared" ref="G9:G31" si="0">SUM(D9:F9)</f>
        <v>468</v>
      </c>
      <c r="H9" s="29">
        <f t="shared" ref="H9:H31" si="1">+(D9+E9)/G9</f>
        <v>0.39743589743589741</v>
      </c>
    </row>
    <row r="10" spans="1:8" x14ac:dyDescent="0.2">
      <c r="A10" s="26">
        <v>1</v>
      </c>
      <c r="B10" s="27">
        <v>117</v>
      </c>
      <c r="C10" s="43" t="s">
        <v>191</v>
      </c>
      <c r="D10" s="55">
        <v>287</v>
      </c>
      <c r="E10" s="63">
        <v>71</v>
      </c>
      <c r="F10" s="55">
        <f>739-(D10+E10)</f>
        <v>381</v>
      </c>
      <c r="G10" s="63">
        <f t="shared" si="0"/>
        <v>739</v>
      </c>
      <c r="H10" s="29">
        <f t="shared" si="1"/>
        <v>0.4844384303112314</v>
      </c>
    </row>
    <row r="11" spans="1:8" x14ac:dyDescent="0.2">
      <c r="A11" s="26">
        <v>1</v>
      </c>
      <c r="B11" s="27">
        <v>125</v>
      </c>
      <c r="C11" s="43" t="s">
        <v>181</v>
      </c>
      <c r="D11" s="55">
        <v>28</v>
      </c>
      <c r="E11" s="63">
        <v>20</v>
      </c>
      <c r="F11" s="55">
        <f>123-(D11+E11)</f>
        <v>75</v>
      </c>
      <c r="G11" s="63">
        <f t="shared" si="0"/>
        <v>123</v>
      </c>
      <c r="H11" s="29">
        <f t="shared" si="1"/>
        <v>0.3902439024390244</v>
      </c>
    </row>
    <row r="12" spans="1:8" x14ac:dyDescent="0.2">
      <c r="A12" s="26">
        <v>1</v>
      </c>
      <c r="B12" s="27">
        <v>129</v>
      </c>
      <c r="C12" s="43" t="s">
        <v>182</v>
      </c>
      <c r="D12" s="55">
        <v>232</v>
      </c>
      <c r="E12" s="63">
        <v>55</v>
      </c>
      <c r="F12" s="55">
        <f>545-(D12+E12)</f>
        <v>258</v>
      </c>
      <c r="G12" s="63">
        <f t="shared" si="0"/>
        <v>545</v>
      </c>
      <c r="H12" s="29">
        <f t="shared" si="1"/>
        <v>0.52660550458715594</v>
      </c>
    </row>
    <row r="13" spans="1:8" x14ac:dyDescent="0.2">
      <c r="A13" s="26">
        <v>1</v>
      </c>
      <c r="B13" s="27">
        <v>134</v>
      </c>
      <c r="C13" s="43" t="s">
        <v>183</v>
      </c>
      <c r="D13" s="55">
        <v>299</v>
      </c>
      <c r="E13" s="63">
        <v>54</v>
      </c>
      <c r="F13" s="55">
        <f>686-(D13+E13)</f>
        <v>333</v>
      </c>
      <c r="G13" s="63">
        <f t="shared" si="0"/>
        <v>686</v>
      </c>
      <c r="H13" s="29">
        <f t="shared" si="1"/>
        <v>0.51457725947521871</v>
      </c>
    </row>
    <row r="14" spans="1:8" x14ac:dyDescent="0.2">
      <c r="A14" s="26">
        <v>1</v>
      </c>
      <c r="B14" s="27">
        <v>141</v>
      </c>
      <c r="C14" s="43" t="s">
        <v>184</v>
      </c>
      <c r="D14" s="55">
        <v>163</v>
      </c>
      <c r="E14" s="63">
        <v>147</v>
      </c>
      <c r="F14" s="55">
        <f>782-(D14+E14)</f>
        <v>472</v>
      </c>
      <c r="G14" s="63">
        <f t="shared" si="0"/>
        <v>782</v>
      </c>
      <c r="H14" s="29">
        <f t="shared" si="1"/>
        <v>0.39641943734015345</v>
      </c>
    </row>
    <row r="15" spans="1:8" x14ac:dyDescent="0.2">
      <c r="A15" s="26">
        <v>1</v>
      </c>
      <c r="B15" s="27">
        <v>145</v>
      </c>
      <c r="C15" s="43" t="s">
        <v>186</v>
      </c>
      <c r="D15" s="55">
        <v>190</v>
      </c>
      <c r="E15" s="63">
        <v>46</v>
      </c>
      <c r="F15" s="55">
        <f>557-(D15+E15)</f>
        <v>321</v>
      </c>
      <c r="G15" s="63">
        <f t="shared" si="0"/>
        <v>557</v>
      </c>
      <c r="H15" s="29">
        <f t="shared" si="1"/>
        <v>0.42369838420107719</v>
      </c>
    </row>
    <row r="16" spans="1:8" x14ac:dyDescent="0.2">
      <c r="A16" s="26">
        <v>1</v>
      </c>
      <c r="B16" s="27">
        <v>156</v>
      </c>
      <c r="C16" s="43" t="s">
        <v>188</v>
      </c>
      <c r="D16" s="55">
        <v>331</v>
      </c>
      <c r="E16" s="63">
        <v>73</v>
      </c>
      <c r="F16" s="55">
        <f>503-(D16+E16)</f>
        <v>99</v>
      </c>
      <c r="G16" s="63">
        <f t="shared" si="0"/>
        <v>503</v>
      </c>
      <c r="H16" s="29">
        <f t="shared" si="1"/>
        <v>0.80318091451292251</v>
      </c>
    </row>
    <row r="17" spans="1:10" x14ac:dyDescent="0.2">
      <c r="A17" s="26">
        <v>1</v>
      </c>
      <c r="B17" s="27">
        <v>161</v>
      </c>
      <c r="C17" s="43" t="s">
        <v>189</v>
      </c>
      <c r="D17" s="55">
        <v>272</v>
      </c>
      <c r="E17" s="63">
        <v>59</v>
      </c>
      <c r="F17" s="55">
        <f>579-(D17+E17)</f>
        <v>248</v>
      </c>
      <c r="G17" s="63">
        <f t="shared" si="0"/>
        <v>579</v>
      </c>
      <c r="H17" s="29">
        <f t="shared" si="1"/>
        <v>0.57167530224525043</v>
      </c>
    </row>
    <row r="18" spans="1:10" x14ac:dyDescent="0.2">
      <c r="A18" s="26">
        <v>1</v>
      </c>
      <c r="B18" s="27">
        <v>172</v>
      </c>
      <c r="C18" s="43" t="s">
        <v>180</v>
      </c>
      <c r="D18" s="55">
        <v>179</v>
      </c>
      <c r="E18" s="63">
        <v>42</v>
      </c>
      <c r="F18" s="55">
        <f>404-(D18+E18)</f>
        <v>183</v>
      </c>
      <c r="G18" s="63">
        <f t="shared" si="0"/>
        <v>404</v>
      </c>
      <c r="H18" s="29">
        <f t="shared" si="1"/>
        <v>0.54702970297029707</v>
      </c>
    </row>
    <row r="19" spans="1:10" x14ac:dyDescent="0.2">
      <c r="A19" s="26">
        <v>1</v>
      </c>
      <c r="B19" s="27">
        <v>209</v>
      </c>
      <c r="C19" s="43" t="s">
        <v>192</v>
      </c>
      <c r="D19" s="55">
        <v>223</v>
      </c>
      <c r="E19" s="63">
        <v>73</v>
      </c>
      <c r="F19" s="55">
        <f>673-(D19+E19)</f>
        <v>377</v>
      </c>
      <c r="G19" s="63">
        <f t="shared" si="0"/>
        <v>673</v>
      </c>
      <c r="H19" s="29">
        <f t="shared" si="1"/>
        <v>0.43982169390787518</v>
      </c>
    </row>
    <row r="20" spans="1:10" x14ac:dyDescent="0.2">
      <c r="A20" s="26">
        <v>1</v>
      </c>
      <c r="B20" s="27">
        <v>212</v>
      </c>
      <c r="C20" s="43" t="s">
        <v>194</v>
      </c>
      <c r="D20" s="55">
        <v>142</v>
      </c>
      <c r="E20" s="63">
        <v>56</v>
      </c>
      <c r="F20" s="55">
        <f>481-(D20+E20)</f>
        <v>283</v>
      </c>
      <c r="G20" s="63">
        <f t="shared" si="0"/>
        <v>481</v>
      </c>
      <c r="H20" s="29">
        <f t="shared" si="1"/>
        <v>0.41164241164241167</v>
      </c>
    </row>
    <row r="21" spans="1:10" x14ac:dyDescent="0.2">
      <c r="A21" s="26">
        <v>1</v>
      </c>
      <c r="B21" s="27">
        <v>217</v>
      </c>
      <c r="C21" s="43" t="s">
        <v>178</v>
      </c>
      <c r="D21" s="55">
        <v>333</v>
      </c>
      <c r="E21" s="63">
        <v>70</v>
      </c>
      <c r="F21" s="55">
        <f>997-(D21+E21)</f>
        <v>594</v>
      </c>
      <c r="G21" s="63">
        <f t="shared" si="0"/>
        <v>997</v>
      </c>
      <c r="H21" s="29">
        <f t="shared" si="1"/>
        <v>0.40421263791374124</v>
      </c>
    </row>
    <row r="22" spans="1:10" x14ac:dyDescent="0.2">
      <c r="A22" s="26">
        <v>1</v>
      </c>
      <c r="B22" s="27">
        <v>232</v>
      </c>
      <c r="C22" s="43" t="s">
        <v>195</v>
      </c>
      <c r="D22" s="55">
        <v>271</v>
      </c>
      <c r="E22" s="63">
        <v>64</v>
      </c>
      <c r="F22" s="55">
        <f>430-(D22+E22)</f>
        <v>95</v>
      </c>
      <c r="G22" s="63">
        <f t="shared" si="0"/>
        <v>430</v>
      </c>
      <c r="H22" s="29">
        <f t="shared" si="1"/>
        <v>0.77906976744186052</v>
      </c>
    </row>
    <row r="23" spans="1:10" x14ac:dyDescent="0.2">
      <c r="A23" s="26">
        <v>1</v>
      </c>
      <c r="B23" s="27">
        <v>253</v>
      </c>
      <c r="C23" s="43" t="s">
        <v>196</v>
      </c>
      <c r="D23" s="55">
        <v>282</v>
      </c>
      <c r="E23" s="63">
        <v>46</v>
      </c>
      <c r="F23" s="55">
        <f>446-(D23+E23)</f>
        <v>118</v>
      </c>
      <c r="G23" s="63">
        <f t="shared" si="0"/>
        <v>446</v>
      </c>
      <c r="H23" s="29">
        <f t="shared" si="1"/>
        <v>0.73542600896860988</v>
      </c>
    </row>
    <row r="24" spans="1:10" x14ac:dyDescent="0.2">
      <c r="A24" s="26">
        <v>1</v>
      </c>
      <c r="B24" s="27">
        <v>271</v>
      </c>
      <c r="C24" s="43" t="s">
        <v>198</v>
      </c>
      <c r="D24" s="55">
        <v>260</v>
      </c>
      <c r="E24" s="63">
        <v>91</v>
      </c>
      <c r="F24" s="55">
        <f>715-(D24+E24)</f>
        <v>364</v>
      </c>
      <c r="G24" s="63">
        <f t="shared" si="0"/>
        <v>715</v>
      </c>
      <c r="H24" s="29">
        <f t="shared" si="1"/>
        <v>0.49090909090909091</v>
      </c>
    </row>
    <row r="25" spans="1:10" x14ac:dyDescent="0.2">
      <c r="A25" s="26">
        <v>1</v>
      </c>
      <c r="B25" s="27">
        <v>275</v>
      </c>
      <c r="C25" s="43" t="s">
        <v>199</v>
      </c>
      <c r="D25" s="55">
        <v>261</v>
      </c>
      <c r="E25" s="63">
        <v>41</v>
      </c>
      <c r="F25" s="55">
        <f>426-(D25+E25)</f>
        <v>124</v>
      </c>
      <c r="G25" s="63">
        <f t="shared" si="0"/>
        <v>426</v>
      </c>
      <c r="H25" s="29">
        <f t="shared" si="1"/>
        <v>0.70892018779342725</v>
      </c>
    </row>
    <row r="26" spans="1:10" x14ac:dyDescent="0.2">
      <c r="A26" s="26">
        <v>1</v>
      </c>
      <c r="B26" s="27">
        <v>286</v>
      </c>
      <c r="C26" s="43" t="s">
        <v>200</v>
      </c>
      <c r="D26" s="55">
        <v>301</v>
      </c>
      <c r="E26" s="63">
        <v>43</v>
      </c>
      <c r="F26" s="55">
        <f>544-(D26+E26)</f>
        <v>200</v>
      </c>
      <c r="G26" s="63">
        <f t="shared" si="0"/>
        <v>544</v>
      </c>
      <c r="H26" s="29">
        <f t="shared" si="1"/>
        <v>0.63235294117647056</v>
      </c>
    </row>
    <row r="27" spans="1:10" x14ac:dyDescent="0.2">
      <c r="A27" s="26">
        <v>1</v>
      </c>
      <c r="B27" s="27">
        <v>411</v>
      </c>
      <c r="C27" s="28" t="s">
        <v>13</v>
      </c>
      <c r="D27" s="55">
        <v>374</v>
      </c>
      <c r="E27" s="63">
        <v>91</v>
      </c>
      <c r="F27" s="55">
        <f>1177-(D27+E27)</f>
        <v>712</v>
      </c>
      <c r="G27" s="63">
        <f t="shared" si="0"/>
        <v>1177</v>
      </c>
      <c r="H27" s="29">
        <f t="shared" si="1"/>
        <v>0.39507221750212407</v>
      </c>
    </row>
    <row r="28" spans="1:10" x14ac:dyDescent="0.2">
      <c r="A28" s="26">
        <v>1</v>
      </c>
      <c r="B28" s="27">
        <v>423</v>
      </c>
      <c r="C28" s="28" t="s">
        <v>14</v>
      </c>
      <c r="D28" s="55">
        <v>434</v>
      </c>
      <c r="E28" s="63">
        <v>104</v>
      </c>
      <c r="F28" s="55">
        <f>1216-(D28+E28)</f>
        <v>678</v>
      </c>
      <c r="G28" s="63">
        <f t="shared" si="0"/>
        <v>1216</v>
      </c>
      <c r="H28" s="29">
        <f t="shared" si="1"/>
        <v>0.44243421052631576</v>
      </c>
    </row>
    <row r="29" spans="1:10" x14ac:dyDescent="0.2">
      <c r="A29" s="26">
        <v>1</v>
      </c>
      <c r="B29" s="27">
        <v>459</v>
      </c>
      <c r="C29" s="43" t="s">
        <v>193</v>
      </c>
      <c r="D29" s="55">
        <v>419</v>
      </c>
      <c r="E29" s="63">
        <v>95</v>
      </c>
      <c r="F29" s="55">
        <f>868-(D29+E29)</f>
        <v>354</v>
      </c>
      <c r="G29" s="63">
        <f t="shared" si="0"/>
        <v>868</v>
      </c>
      <c r="H29" s="29">
        <f t="shared" si="1"/>
        <v>0.59216589861751157</v>
      </c>
    </row>
    <row r="30" spans="1:10" x14ac:dyDescent="0.2">
      <c r="A30" s="26">
        <v>1</v>
      </c>
      <c r="B30" s="27">
        <v>739</v>
      </c>
      <c r="C30" s="43" t="s">
        <v>179</v>
      </c>
      <c r="D30" s="55">
        <v>444</v>
      </c>
      <c r="E30" s="63">
        <v>92</v>
      </c>
      <c r="F30" s="55">
        <f>1289-(D30+E30)</f>
        <v>753</v>
      </c>
      <c r="G30" s="63">
        <f t="shared" si="0"/>
        <v>1289</v>
      </c>
      <c r="H30" s="29">
        <f t="shared" si="1"/>
        <v>0.41582622187742435</v>
      </c>
    </row>
    <row r="31" spans="1:10" x14ac:dyDescent="0.2">
      <c r="A31" s="26">
        <v>1</v>
      </c>
      <c r="B31" s="27">
        <v>790</v>
      </c>
      <c r="C31" s="43" t="s">
        <v>221</v>
      </c>
      <c r="D31" s="55">
        <v>223</v>
      </c>
      <c r="E31" s="63">
        <v>13</v>
      </c>
      <c r="F31" s="55">
        <f>309-(D31+E31)</f>
        <v>73</v>
      </c>
      <c r="G31" s="63">
        <f t="shared" si="0"/>
        <v>309</v>
      </c>
      <c r="H31" s="29">
        <f t="shared" si="1"/>
        <v>0.7637540453074434</v>
      </c>
      <c r="J31" s="11">
        <f>+COUNT(A9:A31)</f>
        <v>23</v>
      </c>
    </row>
    <row r="32" spans="1:10" x14ac:dyDescent="0.2">
      <c r="A32" s="30"/>
      <c r="B32" s="31"/>
      <c r="C32" s="32"/>
      <c r="D32" s="33"/>
      <c r="E32" s="34"/>
      <c r="F32" s="33"/>
      <c r="G32" s="34"/>
      <c r="H32" s="35"/>
    </row>
    <row r="33" spans="1:27" x14ac:dyDescent="0.2">
      <c r="A33" s="30"/>
      <c r="B33" s="31"/>
      <c r="C33" s="37" t="s">
        <v>15</v>
      </c>
      <c r="D33" s="3"/>
      <c r="E33" s="34"/>
      <c r="F33" s="33"/>
      <c r="G33" s="34"/>
      <c r="H33" s="35"/>
    </row>
    <row r="34" spans="1:27" x14ac:dyDescent="0.2">
      <c r="A34" s="26">
        <v>2</v>
      </c>
      <c r="B34" s="27">
        <v>104</v>
      </c>
      <c r="C34" s="43" t="s">
        <v>201</v>
      </c>
      <c r="D34" s="53">
        <v>171</v>
      </c>
      <c r="E34" s="54">
        <v>84</v>
      </c>
      <c r="F34" s="2">
        <f>478-(D34+E34)</f>
        <v>223</v>
      </c>
      <c r="G34" s="2">
        <f t="shared" ref="G34:G38" si="2">SUM(D34:F34)</f>
        <v>478</v>
      </c>
      <c r="H34" s="29">
        <f t="shared" ref="H34:H38" si="3">+(D34+E34)/G34</f>
        <v>0.53347280334728031</v>
      </c>
    </row>
    <row r="35" spans="1:27" x14ac:dyDescent="0.2">
      <c r="A35" s="26">
        <v>2</v>
      </c>
      <c r="B35" s="27">
        <v>108</v>
      </c>
      <c r="C35" s="43" t="s">
        <v>533</v>
      </c>
      <c r="D35" s="53">
        <v>64</v>
      </c>
      <c r="E35" s="54">
        <v>46</v>
      </c>
      <c r="F35" s="2">
        <f>217-(D35+E35)</f>
        <v>107</v>
      </c>
      <c r="G35" s="2">
        <f t="shared" si="2"/>
        <v>217</v>
      </c>
      <c r="H35" s="29">
        <f t="shared" si="3"/>
        <v>0.50691244239631339</v>
      </c>
    </row>
    <row r="36" spans="1:27" x14ac:dyDescent="0.2">
      <c r="A36" s="26">
        <v>2</v>
      </c>
      <c r="B36" s="27">
        <v>708</v>
      </c>
      <c r="C36" s="43" t="s">
        <v>534</v>
      </c>
      <c r="D36" s="53">
        <v>48</v>
      </c>
      <c r="E36" s="54">
        <v>23</v>
      </c>
      <c r="F36" s="2">
        <f>183-(D36+E36)</f>
        <v>112</v>
      </c>
      <c r="G36" s="2">
        <f t="shared" ref="G36" si="4">SUM(D36:F36)</f>
        <v>183</v>
      </c>
      <c r="H36" s="29">
        <f t="shared" ref="H36" si="5">+(D36+E36)/G36</f>
        <v>0.38797814207650272</v>
      </c>
    </row>
    <row r="37" spans="1:27" x14ac:dyDescent="0.2">
      <c r="A37" s="26">
        <v>2</v>
      </c>
      <c r="B37" s="27">
        <v>112</v>
      </c>
      <c r="C37" s="43" t="s">
        <v>202</v>
      </c>
      <c r="D37" s="53">
        <v>40</v>
      </c>
      <c r="E37" s="54">
        <v>50</v>
      </c>
      <c r="F37" s="2">
        <f>172-(D37+E37)</f>
        <v>82</v>
      </c>
      <c r="G37" s="2">
        <f t="shared" si="2"/>
        <v>172</v>
      </c>
      <c r="H37" s="29">
        <f t="shared" si="3"/>
        <v>0.52325581395348841</v>
      </c>
    </row>
    <row r="38" spans="1:27" x14ac:dyDescent="0.2">
      <c r="A38" s="26">
        <v>2</v>
      </c>
      <c r="B38" s="27">
        <v>704</v>
      </c>
      <c r="C38" s="28" t="s">
        <v>16</v>
      </c>
      <c r="D38" s="53">
        <v>142</v>
      </c>
      <c r="E38" s="54">
        <v>68</v>
      </c>
      <c r="F38" s="2">
        <f>503-(D38+E38)</f>
        <v>293</v>
      </c>
      <c r="G38" s="2">
        <f t="shared" si="2"/>
        <v>503</v>
      </c>
      <c r="H38" s="29">
        <f t="shared" si="3"/>
        <v>0.41749502982107356</v>
      </c>
      <c r="J38" s="11">
        <f>+COUNT(A34:A38)</f>
        <v>5</v>
      </c>
    </row>
    <row r="39" spans="1:27" x14ac:dyDescent="0.2">
      <c r="A39" s="30"/>
      <c r="B39" s="31"/>
      <c r="C39" s="32"/>
      <c r="D39" s="33"/>
      <c r="E39" s="34"/>
      <c r="F39" s="33"/>
      <c r="G39" s="34"/>
      <c r="H39" s="35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 x14ac:dyDescent="0.2">
      <c r="A40" s="30"/>
      <c r="B40" s="31"/>
      <c r="C40" s="37" t="s">
        <v>17</v>
      </c>
      <c r="D40" s="3"/>
      <c r="E40" s="34"/>
      <c r="F40" s="33"/>
      <c r="G40" s="34"/>
      <c r="H40" s="35"/>
    </row>
    <row r="41" spans="1:27" x14ac:dyDescent="0.2">
      <c r="A41" s="26">
        <v>3</v>
      </c>
      <c r="B41" s="27">
        <v>104</v>
      </c>
      <c r="C41" s="43" t="s">
        <v>223</v>
      </c>
      <c r="D41" s="38">
        <v>119</v>
      </c>
      <c r="E41" s="2">
        <v>69</v>
      </c>
      <c r="F41" s="2">
        <f>471-(D41+E41)</f>
        <v>283</v>
      </c>
      <c r="G41" s="2">
        <f t="shared" ref="G41:G55" si="6">SUM(D41:F41)</f>
        <v>471</v>
      </c>
      <c r="H41" s="29">
        <f t="shared" ref="H41:H55" si="7">+(D41+E41)/G41</f>
        <v>0.39915074309978771</v>
      </c>
    </row>
    <row r="42" spans="1:27" x14ac:dyDescent="0.2">
      <c r="A42" s="26">
        <v>3</v>
      </c>
      <c r="B42" s="27">
        <v>125</v>
      </c>
      <c r="C42" s="43" t="s">
        <v>224</v>
      </c>
      <c r="D42" s="38">
        <v>168</v>
      </c>
      <c r="E42" s="2">
        <v>56</v>
      </c>
      <c r="F42" s="2">
        <f>474-(D42+E42)</f>
        <v>250</v>
      </c>
      <c r="G42" s="2">
        <f t="shared" si="6"/>
        <v>474</v>
      </c>
      <c r="H42" s="29">
        <f t="shared" si="7"/>
        <v>0.47257383966244726</v>
      </c>
    </row>
    <row r="43" spans="1:27" x14ac:dyDescent="0.2">
      <c r="A43" s="26">
        <v>3</v>
      </c>
      <c r="B43" s="27">
        <v>132</v>
      </c>
      <c r="C43" s="43" t="s">
        <v>225</v>
      </c>
      <c r="D43" s="38">
        <v>120</v>
      </c>
      <c r="E43" s="2">
        <v>56</v>
      </c>
      <c r="F43" s="2">
        <f>361-(D43+E43)</f>
        <v>185</v>
      </c>
      <c r="G43" s="2">
        <f t="shared" si="6"/>
        <v>361</v>
      </c>
      <c r="H43" s="29">
        <f t="shared" si="7"/>
        <v>0.48753462603878117</v>
      </c>
    </row>
    <row r="44" spans="1:27" x14ac:dyDescent="0.2">
      <c r="A44" s="26">
        <v>3</v>
      </c>
      <c r="B44" s="27">
        <v>134</v>
      </c>
      <c r="C44" s="43" t="s">
        <v>185</v>
      </c>
      <c r="D44" s="38">
        <v>134</v>
      </c>
      <c r="E44" s="2">
        <v>67</v>
      </c>
      <c r="F44" s="2">
        <f>417-(D44+E44)</f>
        <v>216</v>
      </c>
      <c r="G44" s="2">
        <f t="shared" si="6"/>
        <v>417</v>
      </c>
      <c r="H44" s="29">
        <f t="shared" si="7"/>
        <v>0.48201438848920863</v>
      </c>
    </row>
    <row r="45" spans="1:27" x14ac:dyDescent="0.2">
      <c r="A45" s="26">
        <v>3</v>
      </c>
      <c r="B45" s="27">
        <v>136</v>
      </c>
      <c r="C45" s="43" t="s">
        <v>226</v>
      </c>
      <c r="D45" s="38">
        <v>180</v>
      </c>
      <c r="E45" s="2">
        <v>133</v>
      </c>
      <c r="F45" s="2">
        <f>613-(D45+E45)</f>
        <v>300</v>
      </c>
      <c r="G45" s="2">
        <f t="shared" si="6"/>
        <v>613</v>
      </c>
      <c r="H45" s="29">
        <f t="shared" si="7"/>
        <v>0.51060358890701463</v>
      </c>
    </row>
    <row r="46" spans="1:27" x14ac:dyDescent="0.2">
      <c r="A46" s="26">
        <v>3</v>
      </c>
      <c r="B46" s="27">
        <v>140</v>
      </c>
      <c r="C46" s="43" t="s">
        <v>227</v>
      </c>
      <c r="D46" s="38">
        <v>0</v>
      </c>
      <c r="E46" s="2">
        <v>3</v>
      </c>
      <c r="F46" s="2">
        <f>7-(D46+E46)</f>
        <v>4</v>
      </c>
      <c r="G46" s="2">
        <f t="shared" si="6"/>
        <v>7</v>
      </c>
      <c r="H46" s="29">
        <f t="shared" si="7"/>
        <v>0.42857142857142855</v>
      </c>
    </row>
    <row r="47" spans="1:27" x14ac:dyDescent="0.2">
      <c r="A47" s="26">
        <v>3</v>
      </c>
      <c r="B47" s="27">
        <v>150</v>
      </c>
      <c r="C47" s="43" t="s">
        <v>228</v>
      </c>
      <c r="D47" s="38">
        <v>217</v>
      </c>
      <c r="E47" s="2">
        <v>76</v>
      </c>
      <c r="F47" s="2">
        <f>503-(D47+E47)</f>
        <v>210</v>
      </c>
      <c r="G47" s="2">
        <f t="shared" si="6"/>
        <v>503</v>
      </c>
      <c r="H47" s="29">
        <f t="shared" si="7"/>
        <v>0.58250497017892644</v>
      </c>
    </row>
    <row r="48" spans="1:27" x14ac:dyDescent="0.2">
      <c r="A48" s="26">
        <v>3</v>
      </c>
      <c r="B48" s="27">
        <v>164</v>
      </c>
      <c r="C48" s="43" t="s">
        <v>229</v>
      </c>
      <c r="D48" s="38">
        <v>165</v>
      </c>
      <c r="E48" s="2">
        <v>122</v>
      </c>
      <c r="F48" s="2">
        <f>548-(D48+E48)</f>
        <v>261</v>
      </c>
      <c r="G48" s="2">
        <f t="shared" si="6"/>
        <v>548</v>
      </c>
      <c r="H48" s="29">
        <f t="shared" si="7"/>
        <v>0.52372262773722633</v>
      </c>
    </row>
    <row r="49" spans="1:10" x14ac:dyDescent="0.2">
      <c r="A49" s="26">
        <v>3</v>
      </c>
      <c r="B49" s="27">
        <v>166</v>
      </c>
      <c r="C49" s="43" t="s">
        <v>233</v>
      </c>
      <c r="D49" s="38">
        <v>148</v>
      </c>
      <c r="E49" s="2">
        <v>48</v>
      </c>
      <c r="F49" s="2">
        <f>344-(D49+E49)</f>
        <v>148</v>
      </c>
      <c r="G49" s="2">
        <f t="shared" si="6"/>
        <v>344</v>
      </c>
      <c r="H49" s="29">
        <f t="shared" si="7"/>
        <v>0.56976744186046513</v>
      </c>
    </row>
    <row r="50" spans="1:10" x14ac:dyDescent="0.2">
      <c r="A50" s="26">
        <v>3</v>
      </c>
      <c r="B50" s="27">
        <v>167</v>
      </c>
      <c r="C50" s="43" t="s">
        <v>232</v>
      </c>
      <c r="D50" s="38">
        <v>193</v>
      </c>
      <c r="E50" s="2">
        <v>73</v>
      </c>
      <c r="F50" s="2">
        <f>580-(D50+E50)</f>
        <v>314</v>
      </c>
      <c r="G50" s="2">
        <f t="shared" si="6"/>
        <v>580</v>
      </c>
      <c r="H50" s="29">
        <f t="shared" si="7"/>
        <v>0.45862068965517239</v>
      </c>
    </row>
    <row r="51" spans="1:10" x14ac:dyDescent="0.2">
      <c r="A51" s="26">
        <v>3</v>
      </c>
      <c r="B51" s="27">
        <v>168</v>
      </c>
      <c r="C51" s="43" t="s">
        <v>231</v>
      </c>
      <c r="D51" s="38">
        <v>12</v>
      </c>
      <c r="E51" s="2">
        <v>2</v>
      </c>
      <c r="F51" s="2">
        <f>40-(D51+E51)</f>
        <v>26</v>
      </c>
      <c r="G51" s="2">
        <f t="shared" si="6"/>
        <v>40</v>
      </c>
      <c r="H51" s="29">
        <f t="shared" si="7"/>
        <v>0.35</v>
      </c>
    </row>
    <row r="52" spans="1:10" x14ac:dyDescent="0.2">
      <c r="A52" s="26">
        <v>3</v>
      </c>
      <c r="B52" s="27">
        <v>188</v>
      </c>
      <c r="C52" s="43" t="s">
        <v>230</v>
      </c>
      <c r="D52" s="38">
        <v>17</v>
      </c>
      <c r="E52" s="2">
        <v>10</v>
      </c>
      <c r="F52" s="2">
        <f>38-(D52+E52)</f>
        <v>11</v>
      </c>
      <c r="G52" s="2">
        <f t="shared" si="6"/>
        <v>38</v>
      </c>
      <c r="H52" s="29">
        <f t="shared" si="7"/>
        <v>0.71052631578947367</v>
      </c>
    </row>
    <row r="53" spans="1:10" x14ac:dyDescent="0.2">
      <c r="A53" s="26">
        <v>3</v>
      </c>
      <c r="B53" s="27">
        <v>304</v>
      </c>
      <c r="C53" s="28" t="s">
        <v>18</v>
      </c>
      <c r="D53" s="38">
        <v>213</v>
      </c>
      <c r="E53" s="2">
        <v>110</v>
      </c>
      <c r="F53" s="2">
        <f>727-(D53+E53)</f>
        <v>404</v>
      </c>
      <c r="G53" s="2">
        <f t="shared" si="6"/>
        <v>727</v>
      </c>
      <c r="H53" s="29">
        <f t="shared" si="7"/>
        <v>0.44429160935350759</v>
      </c>
    </row>
    <row r="54" spans="1:10" x14ac:dyDescent="0.2">
      <c r="A54" s="26">
        <v>3</v>
      </c>
      <c r="B54" s="27">
        <v>308</v>
      </c>
      <c r="C54" s="28" t="s">
        <v>19</v>
      </c>
      <c r="D54" s="38">
        <v>271</v>
      </c>
      <c r="E54" s="2">
        <v>118</v>
      </c>
      <c r="F54" s="2">
        <f>922-(D54+E54)</f>
        <v>533</v>
      </c>
      <c r="G54" s="2">
        <f t="shared" si="6"/>
        <v>922</v>
      </c>
      <c r="H54" s="29">
        <f t="shared" si="7"/>
        <v>0.42190889370932755</v>
      </c>
    </row>
    <row r="55" spans="1:10" x14ac:dyDescent="0.2">
      <c r="A55" s="26">
        <v>3</v>
      </c>
      <c r="B55" s="27">
        <v>404</v>
      </c>
      <c r="C55" s="28" t="s">
        <v>20</v>
      </c>
      <c r="D55" s="38">
        <v>192</v>
      </c>
      <c r="E55" s="2">
        <v>87</v>
      </c>
      <c r="F55" s="2">
        <f>702-(D55+E55)</f>
        <v>423</v>
      </c>
      <c r="G55" s="2">
        <f t="shared" si="6"/>
        <v>702</v>
      </c>
      <c r="H55" s="29">
        <f t="shared" si="7"/>
        <v>0.39743589743589741</v>
      </c>
    </row>
    <row r="56" spans="1:10" x14ac:dyDescent="0.2">
      <c r="A56" s="26">
        <v>3</v>
      </c>
      <c r="B56" s="27">
        <v>778</v>
      </c>
      <c r="C56" s="43" t="s">
        <v>506</v>
      </c>
      <c r="D56" s="38">
        <v>91</v>
      </c>
      <c r="E56" s="2">
        <v>9</v>
      </c>
      <c r="F56" s="2">
        <f>147-(D56+E56)</f>
        <v>47</v>
      </c>
      <c r="G56" s="2">
        <f>SUM(D56:F56)</f>
        <v>147</v>
      </c>
      <c r="H56" s="29">
        <f>+(D56+E56)/G56</f>
        <v>0.68027210884353739</v>
      </c>
      <c r="J56" s="11">
        <f>+COUNT(A41:A56)</f>
        <v>16</v>
      </c>
    </row>
    <row r="57" spans="1:10" x14ac:dyDescent="0.2">
      <c r="A57" s="30"/>
      <c r="B57" s="31"/>
      <c r="C57" s="32"/>
      <c r="D57" s="3"/>
      <c r="E57" s="34"/>
      <c r="F57" s="33"/>
      <c r="G57" s="34"/>
      <c r="H57" s="35"/>
    </row>
    <row r="58" spans="1:10" x14ac:dyDescent="0.2">
      <c r="A58" s="30"/>
      <c r="B58" s="31"/>
      <c r="C58" s="37" t="s">
        <v>21</v>
      </c>
      <c r="D58" s="3"/>
      <c r="E58" s="34"/>
      <c r="F58" s="33"/>
      <c r="G58" s="34"/>
      <c r="H58" s="35"/>
    </row>
    <row r="59" spans="1:10" x14ac:dyDescent="0.2">
      <c r="A59" s="26">
        <v>4</v>
      </c>
      <c r="B59" s="27">
        <v>106</v>
      </c>
      <c r="C59" s="43" t="s">
        <v>507</v>
      </c>
      <c r="D59" s="38">
        <v>172</v>
      </c>
      <c r="E59" s="2">
        <v>102</v>
      </c>
      <c r="F59" s="2">
        <f>617-(D59+E59)</f>
        <v>343</v>
      </c>
      <c r="G59" s="2">
        <f t="shared" ref="G59" si="8">SUM(D59:F59)</f>
        <v>617</v>
      </c>
      <c r="H59" s="29">
        <f t="shared" ref="H59" si="9">+(D59+E59)/G59</f>
        <v>0.44408427876823336</v>
      </c>
    </row>
    <row r="60" spans="1:10" x14ac:dyDescent="0.2">
      <c r="A60" s="26">
        <v>4</v>
      </c>
      <c r="B60" s="27">
        <v>109</v>
      </c>
      <c r="C60" s="43" t="s">
        <v>234</v>
      </c>
      <c r="D60" s="38">
        <v>156</v>
      </c>
      <c r="E60" s="2">
        <v>56</v>
      </c>
      <c r="F60" s="2">
        <f>515-(D60+E60)</f>
        <v>303</v>
      </c>
      <c r="G60" s="2">
        <f t="shared" ref="G60:G70" si="10">SUM(D60:F60)</f>
        <v>515</v>
      </c>
      <c r="H60" s="29">
        <f t="shared" ref="H60:H70" si="11">+(D60+E60)/G60</f>
        <v>0.4116504854368932</v>
      </c>
    </row>
    <row r="61" spans="1:10" x14ac:dyDescent="0.2">
      <c r="A61" s="26">
        <v>4</v>
      </c>
      <c r="B61" s="27">
        <v>118</v>
      </c>
      <c r="C61" s="43" t="s">
        <v>235</v>
      </c>
      <c r="D61" s="38">
        <v>139</v>
      </c>
      <c r="E61" s="2">
        <v>61</v>
      </c>
      <c r="F61" s="2">
        <f>562-(D61+E61)</f>
        <v>362</v>
      </c>
      <c r="G61" s="2">
        <f>SUM(D61:F61)</f>
        <v>562</v>
      </c>
      <c r="H61" s="29">
        <f>+(D61+E61)/G61</f>
        <v>0.35587188612099646</v>
      </c>
    </row>
    <row r="62" spans="1:10" x14ac:dyDescent="0.2">
      <c r="A62" s="26">
        <v>4</v>
      </c>
      <c r="B62" s="27">
        <v>120</v>
      </c>
      <c r="C62" s="43" t="s">
        <v>257</v>
      </c>
      <c r="D62" s="38">
        <v>109</v>
      </c>
      <c r="E62" s="2">
        <v>65</v>
      </c>
      <c r="F62" s="2">
        <f>487-(D62+E62)</f>
        <v>313</v>
      </c>
      <c r="G62" s="2">
        <f>SUM(D62:F62)</f>
        <v>487</v>
      </c>
      <c r="H62" s="29">
        <f>+(D62+E62)/G62</f>
        <v>0.35728952772073924</v>
      </c>
    </row>
    <row r="63" spans="1:10" x14ac:dyDescent="0.2">
      <c r="A63" s="26">
        <v>4</v>
      </c>
      <c r="B63" s="27">
        <v>124</v>
      </c>
      <c r="C63" s="43" t="s">
        <v>236</v>
      </c>
      <c r="D63" s="38">
        <v>140</v>
      </c>
      <c r="E63" s="2">
        <v>84</v>
      </c>
      <c r="F63" s="2">
        <f>518-(D63+E63)</f>
        <v>294</v>
      </c>
      <c r="G63" s="2">
        <f t="shared" si="10"/>
        <v>518</v>
      </c>
      <c r="H63" s="29">
        <f t="shared" si="11"/>
        <v>0.43243243243243246</v>
      </c>
    </row>
    <row r="64" spans="1:10" x14ac:dyDescent="0.2">
      <c r="A64" s="26">
        <v>4</v>
      </c>
      <c r="B64" s="27">
        <v>128</v>
      </c>
      <c r="C64" s="43" t="s">
        <v>237</v>
      </c>
      <c r="D64" s="38">
        <v>179</v>
      </c>
      <c r="E64" s="2">
        <v>57</v>
      </c>
      <c r="F64" s="2">
        <f>421-(D64+E64)</f>
        <v>185</v>
      </c>
      <c r="G64" s="2">
        <f t="shared" si="10"/>
        <v>421</v>
      </c>
      <c r="H64" s="29">
        <f t="shared" si="11"/>
        <v>0.56057007125890734</v>
      </c>
    </row>
    <row r="65" spans="1:19" x14ac:dyDescent="0.2">
      <c r="A65" s="26">
        <v>4</v>
      </c>
      <c r="B65" s="27">
        <v>132</v>
      </c>
      <c r="C65" s="43" t="s">
        <v>238</v>
      </c>
      <c r="D65" s="38">
        <v>92</v>
      </c>
      <c r="E65" s="2">
        <v>84</v>
      </c>
      <c r="F65" s="2">
        <f>397-(D65+E65)</f>
        <v>221</v>
      </c>
      <c r="G65" s="2">
        <f t="shared" si="10"/>
        <v>397</v>
      </c>
      <c r="H65" s="29">
        <f t="shared" si="11"/>
        <v>0.44332493702770781</v>
      </c>
    </row>
    <row r="66" spans="1:19" x14ac:dyDescent="0.2">
      <c r="A66" s="26">
        <v>4</v>
      </c>
      <c r="B66" s="27">
        <v>140</v>
      </c>
      <c r="C66" s="43" t="s">
        <v>239</v>
      </c>
      <c r="D66" s="38">
        <v>91</v>
      </c>
      <c r="E66" s="2">
        <v>50</v>
      </c>
      <c r="F66" s="2">
        <f>349-(D66+E66)</f>
        <v>208</v>
      </c>
      <c r="G66" s="2">
        <f t="shared" si="10"/>
        <v>349</v>
      </c>
      <c r="H66" s="29">
        <f t="shared" si="11"/>
        <v>0.4040114613180516</v>
      </c>
    </row>
    <row r="67" spans="1:19" x14ac:dyDescent="0.2">
      <c r="A67" s="26">
        <v>4</v>
      </c>
      <c r="B67" s="27">
        <v>152</v>
      </c>
      <c r="C67" s="43" t="s">
        <v>240</v>
      </c>
      <c r="D67" s="38">
        <v>104</v>
      </c>
      <c r="E67" s="2">
        <v>44</v>
      </c>
      <c r="F67" s="2">
        <f>326-(D67+E67)</f>
        <v>178</v>
      </c>
      <c r="G67" s="2">
        <f t="shared" si="10"/>
        <v>326</v>
      </c>
      <c r="H67" s="29">
        <f t="shared" si="11"/>
        <v>0.45398773006134968</v>
      </c>
    </row>
    <row r="68" spans="1:19" x14ac:dyDescent="0.2">
      <c r="A68" s="26">
        <v>4</v>
      </c>
      <c r="B68" s="27">
        <v>164</v>
      </c>
      <c r="C68" s="43" t="s">
        <v>241</v>
      </c>
      <c r="D68" s="38">
        <v>154</v>
      </c>
      <c r="E68" s="2">
        <v>98</v>
      </c>
      <c r="F68" s="2">
        <f>531-(D68+E68)</f>
        <v>279</v>
      </c>
      <c r="G68" s="2">
        <f t="shared" si="10"/>
        <v>531</v>
      </c>
      <c r="H68" s="29">
        <f t="shared" si="11"/>
        <v>0.47457627118644069</v>
      </c>
    </row>
    <row r="69" spans="1:19" x14ac:dyDescent="0.2">
      <c r="A69" s="26">
        <v>4</v>
      </c>
      <c r="B69" s="27">
        <v>335</v>
      </c>
      <c r="C69" s="28" t="s">
        <v>170</v>
      </c>
      <c r="D69" s="38">
        <v>132</v>
      </c>
      <c r="E69" s="2">
        <v>78</v>
      </c>
      <c r="F69" s="2">
        <f>479-(D69+E69)</f>
        <v>269</v>
      </c>
      <c r="G69" s="2">
        <f t="shared" si="10"/>
        <v>479</v>
      </c>
      <c r="H69" s="29">
        <f t="shared" si="11"/>
        <v>0.43841336116910229</v>
      </c>
    </row>
    <row r="70" spans="1:19" x14ac:dyDescent="0.2">
      <c r="A70" s="26">
        <v>4</v>
      </c>
      <c r="B70" s="27">
        <v>340</v>
      </c>
      <c r="C70" s="28" t="s">
        <v>22</v>
      </c>
      <c r="D70" s="38">
        <v>161</v>
      </c>
      <c r="E70" s="2">
        <v>95</v>
      </c>
      <c r="F70" s="2">
        <f>617-(D70+E70)</f>
        <v>361</v>
      </c>
      <c r="G70" s="2">
        <f t="shared" si="10"/>
        <v>617</v>
      </c>
      <c r="H70" s="29">
        <f t="shared" si="11"/>
        <v>0.41491085899513774</v>
      </c>
    </row>
    <row r="71" spans="1:19" x14ac:dyDescent="0.2">
      <c r="A71" s="26">
        <v>4</v>
      </c>
      <c r="B71" s="27">
        <v>610</v>
      </c>
      <c r="C71" s="43" t="s">
        <v>508</v>
      </c>
      <c r="D71" s="38">
        <v>12</v>
      </c>
      <c r="E71" s="2">
        <v>0</v>
      </c>
      <c r="F71" s="2">
        <f>25-(D71+E71)</f>
        <v>13</v>
      </c>
      <c r="G71" s="2">
        <f t="shared" ref="G71" si="12">SUM(D71:F71)</f>
        <v>25</v>
      </c>
      <c r="H71" s="29">
        <f t="shared" ref="H71" si="13">+(D71+E71)/G71</f>
        <v>0.48</v>
      </c>
      <c r="J71" s="11">
        <f>+COUNT(A59:A71)</f>
        <v>13</v>
      </c>
    </row>
    <row r="72" spans="1:19" x14ac:dyDescent="0.2">
      <c r="A72" s="30"/>
      <c r="B72" s="31"/>
      <c r="C72" s="32"/>
      <c r="D72" s="3"/>
      <c r="E72" s="34"/>
      <c r="F72" s="33"/>
      <c r="G72" s="34"/>
      <c r="H72" s="35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</row>
    <row r="73" spans="1:19" x14ac:dyDescent="0.2">
      <c r="A73" s="30"/>
      <c r="B73" s="31"/>
      <c r="C73" s="37" t="s">
        <v>23</v>
      </c>
      <c r="D73" s="3"/>
      <c r="E73" s="34"/>
      <c r="F73" s="33"/>
      <c r="G73" s="34"/>
      <c r="H73" s="35"/>
    </row>
    <row r="74" spans="1:19" x14ac:dyDescent="0.2">
      <c r="A74" s="26">
        <v>5</v>
      </c>
      <c r="B74" s="27">
        <v>112</v>
      </c>
      <c r="C74" s="43" t="s">
        <v>243</v>
      </c>
      <c r="D74" s="38">
        <v>153</v>
      </c>
      <c r="E74" s="2">
        <v>65</v>
      </c>
      <c r="F74" s="2">
        <f>546-(D74+E74)</f>
        <v>328</v>
      </c>
      <c r="G74" s="2">
        <f>SUM(D74:F74)</f>
        <v>546</v>
      </c>
      <c r="H74" s="29">
        <f t="shared" ref="H74:H82" si="14">+(D74+E74)/G74</f>
        <v>0.39926739926739929</v>
      </c>
    </row>
    <row r="75" spans="1:19" x14ac:dyDescent="0.2">
      <c r="A75" s="26">
        <v>5</v>
      </c>
      <c r="B75" s="27">
        <v>114</v>
      </c>
      <c r="C75" s="43" t="s">
        <v>245</v>
      </c>
      <c r="D75" s="38">
        <v>170</v>
      </c>
      <c r="E75" s="2">
        <v>45</v>
      </c>
      <c r="F75" s="2">
        <f>553-(D75+E75)</f>
        <v>338</v>
      </c>
      <c r="G75" s="2">
        <f t="shared" ref="G75:G82" si="15">SUM(D75:F75)</f>
        <v>553</v>
      </c>
      <c r="H75" s="29">
        <f t="shared" si="14"/>
        <v>0.38878842676311032</v>
      </c>
    </row>
    <row r="76" spans="1:19" x14ac:dyDescent="0.2">
      <c r="A76" s="26">
        <v>5</v>
      </c>
      <c r="B76" s="27">
        <v>120</v>
      </c>
      <c r="C76" s="43" t="s">
        <v>247</v>
      </c>
      <c r="D76" s="38">
        <v>210</v>
      </c>
      <c r="E76" s="2">
        <v>47</v>
      </c>
      <c r="F76" s="2">
        <f>479-(D76+E76)</f>
        <v>222</v>
      </c>
      <c r="G76" s="2">
        <f t="shared" si="15"/>
        <v>479</v>
      </c>
      <c r="H76" s="29">
        <f t="shared" si="14"/>
        <v>0.5365344467640919</v>
      </c>
    </row>
    <row r="77" spans="1:19" x14ac:dyDescent="0.2">
      <c r="A77" s="26">
        <v>5</v>
      </c>
      <c r="B77" s="27">
        <v>110</v>
      </c>
      <c r="C77" s="43" t="s">
        <v>242</v>
      </c>
      <c r="D77" s="38">
        <v>90</v>
      </c>
      <c r="E77" s="2">
        <v>19</v>
      </c>
      <c r="F77" s="2">
        <f>154-(D77+E77)</f>
        <v>45</v>
      </c>
      <c r="G77" s="2">
        <f t="shared" si="15"/>
        <v>154</v>
      </c>
      <c r="H77" s="29">
        <f t="shared" si="14"/>
        <v>0.70779220779220775</v>
      </c>
    </row>
    <row r="78" spans="1:19" x14ac:dyDescent="0.2">
      <c r="A78" s="26">
        <v>5</v>
      </c>
      <c r="B78" s="27">
        <v>154</v>
      </c>
      <c r="C78" s="43" t="s">
        <v>248</v>
      </c>
      <c r="D78" s="38">
        <v>116</v>
      </c>
      <c r="E78" s="2">
        <v>33</v>
      </c>
      <c r="F78" s="2">
        <f>331-(D78+E78)</f>
        <v>182</v>
      </c>
      <c r="G78" s="2">
        <f t="shared" si="15"/>
        <v>331</v>
      </c>
      <c r="H78" s="29">
        <f t="shared" si="14"/>
        <v>0.45015105740181272</v>
      </c>
    </row>
    <row r="79" spans="1:19" x14ac:dyDescent="0.2">
      <c r="A79" s="26">
        <v>5</v>
      </c>
      <c r="B79" s="27">
        <v>408</v>
      </c>
      <c r="C79" s="43" t="s">
        <v>246</v>
      </c>
      <c r="D79" s="38">
        <v>68</v>
      </c>
      <c r="E79" s="2">
        <v>23</v>
      </c>
      <c r="F79" s="2">
        <f>185-(D79+E79)</f>
        <v>94</v>
      </c>
      <c r="G79" s="2">
        <f t="shared" si="15"/>
        <v>185</v>
      </c>
      <c r="H79" s="29">
        <f t="shared" si="14"/>
        <v>0.49189189189189192</v>
      </c>
    </row>
    <row r="80" spans="1:19" x14ac:dyDescent="0.2">
      <c r="A80" s="26">
        <v>5</v>
      </c>
      <c r="B80" s="27">
        <v>412</v>
      </c>
      <c r="C80" s="28" t="s">
        <v>24</v>
      </c>
      <c r="D80" s="38">
        <v>155</v>
      </c>
      <c r="E80" s="2">
        <v>52</v>
      </c>
      <c r="F80" s="2">
        <f>527-(D80+E80)</f>
        <v>320</v>
      </c>
      <c r="G80" s="2">
        <f t="shared" si="15"/>
        <v>527</v>
      </c>
      <c r="H80" s="29">
        <f t="shared" si="14"/>
        <v>0.39278937381404172</v>
      </c>
    </row>
    <row r="81" spans="1:15" x14ac:dyDescent="0.2">
      <c r="A81" s="26">
        <v>5</v>
      </c>
      <c r="B81" s="27">
        <v>760</v>
      </c>
      <c r="C81" s="28" t="s">
        <v>25</v>
      </c>
      <c r="D81" s="38">
        <v>54</v>
      </c>
      <c r="E81" s="2">
        <v>9</v>
      </c>
      <c r="F81" s="2">
        <f>81-(D81+E81)</f>
        <v>18</v>
      </c>
      <c r="G81" s="2">
        <f t="shared" si="15"/>
        <v>81</v>
      </c>
      <c r="H81" s="29">
        <f t="shared" si="14"/>
        <v>0.77777777777777779</v>
      </c>
    </row>
    <row r="82" spans="1:15" x14ac:dyDescent="0.2">
      <c r="A82" s="26">
        <v>5</v>
      </c>
      <c r="B82" s="27">
        <v>801</v>
      </c>
      <c r="C82" s="43" t="s">
        <v>244</v>
      </c>
      <c r="D82" s="38">
        <v>45</v>
      </c>
      <c r="E82" s="2">
        <v>11</v>
      </c>
      <c r="F82" s="2">
        <f>117-(D82+E82)</f>
        <v>61</v>
      </c>
      <c r="G82" s="2">
        <f t="shared" si="15"/>
        <v>117</v>
      </c>
      <c r="H82" s="29">
        <f t="shared" si="14"/>
        <v>0.47863247863247865</v>
      </c>
      <c r="J82" s="11">
        <f>+COUNT(A74:A82)</f>
        <v>9</v>
      </c>
    </row>
    <row r="83" spans="1:15" x14ac:dyDescent="0.2">
      <c r="A83" s="30"/>
      <c r="B83" s="31"/>
      <c r="C83" s="32"/>
      <c r="D83" s="3"/>
      <c r="E83" s="34"/>
      <c r="F83" s="33"/>
      <c r="G83" s="34"/>
      <c r="H83" s="35"/>
      <c r="I83" s="36"/>
      <c r="J83" s="36"/>
      <c r="K83" s="36"/>
      <c r="L83" s="36"/>
      <c r="M83" s="36"/>
      <c r="N83" s="36"/>
      <c r="O83" s="36"/>
    </row>
    <row r="84" spans="1:15" x14ac:dyDescent="0.2">
      <c r="A84" s="30"/>
      <c r="B84" s="31"/>
      <c r="C84" s="37" t="s">
        <v>26</v>
      </c>
      <c r="D84" s="3"/>
      <c r="E84" s="34"/>
      <c r="F84" s="33"/>
      <c r="G84" s="34"/>
      <c r="H84" s="35"/>
    </row>
    <row r="85" spans="1:15" x14ac:dyDescent="0.2">
      <c r="A85" s="26">
        <v>7</v>
      </c>
      <c r="B85" s="27">
        <v>104</v>
      </c>
      <c r="C85" s="43" t="s">
        <v>250</v>
      </c>
      <c r="D85" s="38">
        <v>231</v>
      </c>
      <c r="E85" s="2">
        <v>72</v>
      </c>
      <c r="F85" s="2">
        <f>656-(D85+E85)</f>
        <v>353</v>
      </c>
      <c r="G85" s="2">
        <f t="shared" ref="G85:G107" si="16">SUM(D85:F85)</f>
        <v>656</v>
      </c>
      <c r="H85" s="67">
        <f t="shared" ref="H85:H107" si="17">+(D85+E85)/G85</f>
        <v>0.46189024390243905</v>
      </c>
    </row>
    <row r="86" spans="1:15" x14ac:dyDescent="0.2">
      <c r="A86" s="26">
        <v>7</v>
      </c>
      <c r="B86" s="27">
        <v>106</v>
      </c>
      <c r="C86" s="66" t="s">
        <v>251</v>
      </c>
      <c r="D86" s="38">
        <v>268</v>
      </c>
      <c r="E86" s="2">
        <v>87</v>
      </c>
      <c r="F86" s="2">
        <f>768-(D86+E86)</f>
        <v>413</v>
      </c>
      <c r="G86" s="2">
        <f t="shared" si="16"/>
        <v>768</v>
      </c>
      <c r="H86" s="67">
        <f t="shared" si="17"/>
        <v>0.46223958333333331</v>
      </c>
    </row>
    <row r="87" spans="1:15" x14ac:dyDescent="0.2">
      <c r="A87" s="26">
        <v>7</v>
      </c>
      <c r="B87" s="27">
        <v>124</v>
      </c>
      <c r="C87" s="66" t="s">
        <v>254</v>
      </c>
      <c r="D87" s="38">
        <v>201</v>
      </c>
      <c r="E87" s="2">
        <v>45</v>
      </c>
      <c r="F87" s="2">
        <f>400-(D87+E87)</f>
        <v>154</v>
      </c>
      <c r="G87" s="2">
        <f t="shared" si="16"/>
        <v>400</v>
      </c>
      <c r="H87" s="67">
        <f t="shared" si="17"/>
        <v>0.61499999999999999</v>
      </c>
    </row>
    <row r="88" spans="1:15" x14ac:dyDescent="0.2">
      <c r="A88" s="26">
        <v>7</v>
      </c>
      <c r="B88" s="27">
        <v>128</v>
      </c>
      <c r="C88" s="43" t="s">
        <v>255</v>
      </c>
      <c r="D88" s="38">
        <v>191</v>
      </c>
      <c r="E88" s="2">
        <v>59</v>
      </c>
      <c r="F88" s="2">
        <f>395-(D88+E88)</f>
        <v>145</v>
      </c>
      <c r="G88" s="2">
        <f t="shared" si="16"/>
        <v>395</v>
      </c>
      <c r="H88" s="67">
        <f t="shared" si="17"/>
        <v>0.63291139240506333</v>
      </c>
    </row>
    <row r="89" spans="1:15" x14ac:dyDescent="0.2">
      <c r="A89" s="26">
        <v>7</v>
      </c>
      <c r="B89" s="27">
        <v>130</v>
      </c>
      <c r="C89" s="43" t="s">
        <v>260</v>
      </c>
      <c r="D89" s="38">
        <v>180</v>
      </c>
      <c r="E89" s="2">
        <v>59</v>
      </c>
      <c r="F89" s="2">
        <f>629-(D89+E89)</f>
        <v>390</v>
      </c>
      <c r="G89" s="2">
        <f t="shared" si="16"/>
        <v>629</v>
      </c>
      <c r="H89" s="67">
        <f t="shared" si="17"/>
        <v>0.37996820349761529</v>
      </c>
    </row>
    <row r="90" spans="1:15" x14ac:dyDescent="0.2">
      <c r="A90" s="26">
        <v>7</v>
      </c>
      <c r="B90" s="27">
        <v>133</v>
      </c>
      <c r="C90" s="43" t="s">
        <v>256</v>
      </c>
      <c r="D90" s="38">
        <v>173</v>
      </c>
      <c r="E90" s="2">
        <v>42</v>
      </c>
      <c r="F90" s="2">
        <f>383-(D90+E90)</f>
        <v>168</v>
      </c>
      <c r="G90" s="2">
        <f t="shared" si="16"/>
        <v>383</v>
      </c>
      <c r="H90" s="67">
        <f t="shared" si="17"/>
        <v>0.56135770234986948</v>
      </c>
    </row>
    <row r="91" spans="1:15" x14ac:dyDescent="0.2">
      <c r="A91" s="26">
        <v>7</v>
      </c>
      <c r="B91" s="27">
        <v>135</v>
      </c>
      <c r="C91" s="43" t="s">
        <v>258</v>
      </c>
      <c r="D91" s="38">
        <v>85</v>
      </c>
      <c r="E91" s="2">
        <v>116</v>
      </c>
      <c r="F91" s="2">
        <f>572-(D91+E91)</f>
        <v>371</v>
      </c>
      <c r="G91" s="2">
        <f t="shared" si="16"/>
        <v>572</v>
      </c>
      <c r="H91" s="67">
        <f t="shared" si="17"/>
        <v>0.35139860139860141</v>
      </c>
    </row>
    <row r="92" spans="1:15" x14ac:dyDescent="0.2">
      <c r="A92" s="26">
        <v>7</v>
      </c>
      <c r="B92" s="27">
        <v>137</v>
      </c>
      <c r="C92" s="43" t="s">
        <v>259</v>
      </c>
      <c r="D92" s="38">
        <v>267</v>
      </c>
      <c r="E92" s="2">
        <v>56</v>
      </c>
      <c r="F92" s="2">
        <f>612-(D92+E92)</f>
        <v>289</v>
      </c>
      <c r="G92" s="2">
        <f t="shared" si="16"/>
        <v>612</v>
      </c>
      <c r="H92" s="67">
        <f t="shared" si="17"/>
        <v>0.52777777777777779</v>
      </c>
    </row>
    <row r="93" spans="1:15" x14ac:dyDescent="0.2">
      <c r="A93" s="26">
        <v>7</v>
      </c>
      <c r="B93" s="27">
        <v>143</v>
      </c>
      <c r="C93" s="66" t="s">
        <v>237</v>
      </c>
      <c r="D93" s="38">
        <v>324</v>
      </c>
      <c r="E93" s="2">
        <v>63</v>
      </c>
      <c r="F93" s="2">
        <f>779-(D93+E93)</f>
        <v>392</v>
      </c>
      <c r="G93" s="2">
        <f t="shared" si="16"/>
        <v>779</v>
      </c>
      <c r="H93" s="67">
        <f t="shared" si="17"/>
        <v>0.496790757381258</v>
      </c>
    </row>
    <row r="94" spans="1:15" x14ac:dyDescent="0.2">
      <c r="A94" s="26">
        <v>7</v>
      </c>
      <c r="B94" s="27">
        <v>144</v>
      </c>
      <c r="C94" s="43" t="s">
        <v>261</v>
      </c>
      <c r="D94" s="38">
        <v>192</v>
      </c>
      <c r="E94" s="2">
        <v>82</v>
      </c>
      <c r="F94" s="2">
        <f>720-(D94+E94)</f>
        <v>446</v>
      </c>
      <c r="G94" s="2">
        <f t="shared" si="16"/>
        <v>720</v>
      </c>
      <c r="H94" s="67">
        <f t="shared" si="17"/>
        <v>0.38055555555555554</v>
      </c>
    </row>
    <row r="95" spans="1:15" x14ac:dyDescent="0.2">
      <c r="A95" s="26">
        <v>7</v>
      </c>
      <c r="B95" s="27">
        <v>145</v>
      </c>
      <c r="C95" s="43" t="s">
        <v>262</v>
      </c>
      <c r="D95" s="38">
        <v>165</v>
      </c>
      <c r="E95" s="2">
        <v>58</v>
      </c>
      <c r="F95" s="2">
        <f>482-(D95+E95)</f>
        <v>259</v>
      </c>
      <c r="G95" s="2">
        <f t="shared" si="16"/>
        <v>482</v>
      </c>
      <c r="H95" s="67">
        <f t="shared" si="17"/>
        <v>0.46265560165975106</v>
      </c>
    </row>
    <row r="96" spans="1:15" x14ac:dyDescent="0.2">
      <c r="A96" s="26">
        <v>7</v>
      </c>
      <c r="B96" s="27">
        <v>156</v>
      </c>
      <c r="C96" s="66" t="s">
        <v>267</v>
      </c>
      <c r="D96" s="38">
        <v>356</v>
      </c>
      <c r="E96" s="2">
        <v>90</v>
      </c>
      <c r="F96" s="2">
        <f>683-(D96+E96)</f>
        <v>237</v>
      </c>
      <c r="G96" s="2">
        <f t="shared" si="16"/>
        <v>683</v>
      </c>
      <c r="H96" s="67">
        <f t="shared" si="17"/>
        <v>0.6530014641288433</v>
      </c>
    </row>
    <row r="97" spans="1:17" x14ac:dyDescent="0.2">
      <c r="A97" s="26">
        <v>7</v>
      </c>
      <c r="B97" s="27">
        <v>164</v>
      </c>
      <c r="C97" s="43" t="s">
        <v>268</v>
      </c>
      <c r="D97" s="38">
        <v>213</v>
      </c>
      <c r="E97" s="2">
        <v>62</v>
      </c>
      <c r="F97" s="2">
        <f>441-(D97+E97)</f>
        <v>166</v>
      </c>
      <c r="G97" s="2">
        <f t="shared" si="16"/>
        <v>441</v>
      </c>
      <c r="H97" s="67">
        <f t="shared" si="17"/>
        <v>0.62358276643990929</v>
      </c>
    </row>
    <row r="98" spans="1:17" x14ac:dyDescent="0.2">
      <c r="A98" s="26">
        <v>7</v>
      </c>
      <c r="B98" s="27">
        <v>180</v>
      </c>
      <c r="C98" s="43" t="s">
        <v>273</v>
      </c>
      <c r="D98" s="38">
        <v>212</v>
      </c>
      <c r="E98" s="2">
        <v>53</v>
      </c>
      <c r="F98" s="2">
        <f>508-(D98+E98)</f>
        <v>243</v>
      </c>
      <c r="G98" s="2">
        <f t="shared" si="16"/>
        <v>508</v>
      </c>
      <c r="H98" s="67">
        <f t="shared" si="17"/>
        <v>0.52165354330708658</v>
      </c>
    </row>
    <row r="99" spans="1:17" x14ac:dyDescent="0.2">
      <c r="A99" s="26">
        <v>7</v>
      </c>
      <c r="B99" s="27">
        <v>182</v>
      </c>
      <c r="C99" s="66" t="s">
        <v>272</v>
      </c>
      <c r="D99" s="38">
        <v>150</v>
      </c>
      <c r="E99" s="2">
        <v>35</v>
      </c>
      <c r="F99" s="2">
        <f>323-(D99+E99)</f>
        <v>138</v>
      </c>
      <c r="G99" s="2">
        <f t="shared" si="16"/>
        <v>323</v>
      </c>
      <c r="H99" s="67">
        <f t="shared" si="17"/>
        <v>0.5727554179566563</v>
      </c>
    </row>
    <row r="100" spans="1:17" x14ac:dyDescent="0.2">
      <c r="A100" s="26">
        <v>7</v>
      </c>
      <c r="B100" s="27">
        <v>192</v>
      </c>
      <c r="C100" s="66" t="s">
        <v>271</v>
      </c>
      <c r="D100" s="38">
        <v>222</v>
      </c>
      <c r="E100" s="2">
        <v>30</v>
      </c>
      <c r="F100" s="2">
        <f>514-(D100+E100)</f>
        <v>262</v>
      </c>
      <c r="G100" s="2">
        <f t="shared" si="16"/>
        <v>514</v>
      </c>
      <c r="H100" s="67">
        <f t="shared" si="17"/>
        <v>0.49027237354085601</v>
      </c>
    </row>
    <row r="101" spans="1:17" x14ac:dyDescent="0.2">
      <c r="A101" s="26">
        <v>7</v>
      </c>
      <c r="B101" s="27">
        <v>193</v>
      </c>
      <c r="C101" s="66" t="s">
        <v>270</v>
      </c>
      <c r="D101" s="38">
        <v>242</v>
      </c>
      <c r="E101" s="2">
        <v>47</v>
      </c>
      <c r="F101" s="2">
        <f>420-(D101+E101)</f>
        <v>131</v>
      </c>
      <c r="G101" s="2">
        <f t="shared" si="16"/>
        <v>420</v>
      </c>
      <c r="H101" s="67">
        <f t="shared" si="17"/>
        <v>0.68809523809523809</v>
      </c>
    </row>
    <row r="102" spans="1:17" x14ac:dyDescent="0.2">
      <c r="A102" s="26">
        <v>7</v>
      </c>
      <c r="B102" s="27">
        <v>408</v>
      </c>
      <c r="C102" s="43" t="s">
        <v>252</v>
      </c>
      <c r="D102" s="38">
        <v>253</v>
      </c>
      <c r="E102" s="2">
        <v>73</v>
      </c>
      <c r="F102" s="2">
        <f>911-(D102+E102)</f>
        <v>585</v>
      </c>
      <c r="G102" s="2">
        <f t="shared" si="16"/>
        <v>911</v>
      </c>
      <c r="H102" s="67">
        <f t="shared" si="17"/>
        <v>0.35784851811196489</v>
      </c>
    </row>
    <row r="103" spans="1:17" x14ac:dyDescent="0.2">
      <c r="A103" s="26">
        <v>7</v>
      </c>
      <c r="B103" s="27">
        <v>412</v>
      </c>
      <c r="C103" s="43" t="s">
        <v>264</v>
      </c>
      <c r="D103" s="38">
        <v>493</v>
      </c>
      <c r="E103" s="2">
        <v>137</v>
      </c>
      <c r="F103" s="2">
        <f>1060-(D103+E103)</f>
        <v>430</v>
      </c>
      <c r="G103" s="2">
        <f t="shared" si="16"/>
        <v>1060</v>
      </c>
      <c r="H103" s="67">
        <f t="shared" si="17"/>
        <v>0.59433962264150941</v>
      </c>
    </row>
    <row r="104" spans="1:17" x14ac:dyDescent="0.2">
      <c r="A104" s="26">
        <v>7</v>
      </c>
      <c r="B104" s="27">
        <v>414</v>
      </c>
      <c r="C104" s="43" t="s">
        <v>265</v>
      </c>
      <c r="D104" s="38">
        <v>253</v>
      </c>
      <c r="E104" s="2">
        <v>83</v>
      </c>
      <c r="F104" s="2">
        <f>939-(D104+E104)</f>
        <v>603</v>
      </c>
      <c r="G104" s="2">
        <f t="shared" si="16"/>
        <v>939</v>
      </c>
      <c r="H104" s="67">
        <f t="shared" si="17"/>
        <v>0.35782747603833864</v>
      </c>
    </row>
    <row r="105" spans="1:17" x14ac:dyDescent="0.2">
      <c r="A105" s="26">
        <v>7</v>
      </c>
      <c r="B105" s="27">
        <v>418</v>
      </c>
      <c r="C105" s="43" t="s">
        <v>269</v>
      </c>
      <c r="D105" s="38">
        <v>227</v>
      </c>
      <c r="E105" s="2">
        <v>87</v>
      </c>
      <c r="F105" s="2">
        <f>874-(D105+E105)</f>
        <v>560</v>
      </c>
      <c r="G105" s="2">
        <f t="shared" si="16"/>
        <v>874</v>
      </c>
      <c r="H105" s="67">
        <f t="shared" si="17"/>
        <v>0.35926773455377575</v>
      </c>
    </row>
    <row r="106" spans="1:17" x14ac:dyDescent="0.2">
      <c r="A106" s="26">
        <v>7</v>
      </c>
      <c r="B106" s="27">
        <v>730</v>
      </c>
      <c r="C106" s="28" t="s">
        <v>29</v>
      </c>
      <c r="D106" s="38">
        <v>89</v>
      </c>
      <c r="E106" s="2">
        <v>14</v>
      </c>
      <c r="F106" s="2">
        <f>255-(D106+E106)</f>
        <v>152</v>
      </c>
      <c r="G106" s="2">
        <f t="shared" si="16"/>
        <v>255</v>
      </c>
      <c r="H106" s="67">
        <f t="shared" si="17"/>
        <v>0.40392156862745099</v>
      </c>
    </row>
    <row r="107" spans="1:17" x14ac:dyDescent="0.2">
      <c r="A107" s="26">
        <v>7</v>
      </c>
      <c r="B107" s="27">
        <v>733</v>
      </c>
      <c r="C107" s="28" t="s">
        <v>30</v>
      </c>
      <c r="D107" s="38">
        <v>6</v>
      </c>
      <c r="E107" s="2">
        <v>0</v>
      </c>
      <c r="F107" s="2">
        <f>9-(D107+E107)</f>
        <v>3</v>
      </c>
      <c r="G107" s="2">
        <f t="shared" si="16"/>
        <v>9</v>
      </c>
      <c r="H107" s="67">
        <f t="shared" si="17"/>
        <v>0.66666666666666663</v>
      </c>
      <c r="J107" s="11">
        <f>+COUNT(A85:A107)</f>
        <v>23</v>
      </c>
    </row>
    <row r="108" spans="1:17" x14ac:dyDescent="0.2">
      <c r="A108" s="30"/>
      <c r="B108" s="31"/>
      <c r="C108" s="32"/>
      <c r="D108" s="64"/>
      <c r="E108" s="65"/>
      <c r="F108" s="39"/>
      <c r="G108" s="34"/>
      <c r="H108" s="35"/>
      <c r="I108" s="36"/>
      <c r="J108" s="36"/>
      <c r="K108" s="36"/>
      <c r="L108" s="36"/>
      <c r="M108" s="36"/>
      <c r="N108" s="36"/>
      <c r="O108" s="36"/>
      <c r="P108" s="36"/>
      <c r="Q108" s="36"/>
    </row>
    <row r="109" spans="1:17" x14ac:dyDescent="0.2">
      <c r="A109" s="30"/>
      <c r="B109" s="31"/>
      <c r="C109" s="37" t="s">
        <v>31</v>
      </c>
      <c r="D109" s="64"/>
      <c r="E109" s="65"/>
      <c r="F109" s="39"/>
      <c r="G109" s="34"/>
      <c r="H109" s="35"/>
    </row>
    <row r="110" spans="1:17" x14ac:dyDescent="0.2">
      <c r="A110" s="26">
        <v>8</v>
      </c>
      <c r="B110" s="27">
        <v>108</v>
      </c>
      <c r="C110" s="43" t="s">
        <v>275</v>
      </c>
      <c r="D110" s="38">
        <v>118</v>
      </c>
      <c r="E110" s="2">
        <v>40</v>
      </c>
      <c r="F110" s="2">
        <f>394-(D110+E110)</f>
        <v>236</v>
      </c>
      <c r="G110" s="2">
        <f t="shared" ref="G110:G116" si="18">SUM(D110:F110)</f>
        <v>394</v>
      </c>
      <c r="H110" s="29">
        <f t="shared" ref="H110:H116" si="19">+(D110+E110)/G110</f>
        <v>0.40101522842639592</v>
      </c>
    </row>
    <row r="111" spans="1:17" x14ac:dyDescent="0.2">
      <c r="A111" s="26">
        <v>8</v>
      </c>
      <c r="B111" s="27">
        <v>110</v>
      </c>
      <c r="C111" s="43" t="s">
        <v>276</v>
      </c>
      <c r="D111" s="38">
        <v>181</v>
      </c>
      <c r="E111" s="2">
        <v>66</v>
      </c>
      <c r="F111" s="2">
        <f>692-(D111+E111)</f>
        <v>445</v>
      </c>
      <c r="G111" s="2">
        <f t="shared" si="18"/>
        <v>692</v>
      </c>
      <c r="H111" s="29">
        <f t="shared" si="19"/>
        <v>0.35693641618497107</v>
      </c>
    </row>
    <row r="112" spans="1:17" x14ac:dyDescent="0.2">
      <c r="A112" s="26">
        <v>8</v>
      </c>
      <c r="B112" s="27">
        <v>112</v>
      </c>
      <c r="C112" s="43" t="s">
        <v>277</v>
      </c>
      <c r="D112" s="38">
        <v>58</v>
      </c>
      <c r="E112" s="2">
        <v>15</v>
      </c>
      <c r="F112" s="2">
        <f>162-(D112+E112)</f>
        <v>89</v>
      </c>
      <c r="G112" s="2">
        <f t="shared" si="18"/>
        <v>162</v>
      </c>
      <c r="H112" s="29">
        <f t="shared" si="19"/>
        <v>0.45061728395061729</v>
      </c>
    </row>
    <row r="113" spans="1:8" x14ac:dyDescent="0.2">
      <c r="A113" s="26">
        <v>8</v>
      </c>
      <c r="B113" s="27">
        <v>304</v>
      </c>
      <c r="C113" s="43" t="s">
        <v>523</v>
      </c>
      <c r="D113" s="38">
        <v>149</v>
      </c>
      <c r="E113" s="2">
        <v>63</v>
      </c>
      <c r="F113" s="2">
        <f>600-(D113+E113)</f>
        <v>388</v>
      </c>
      <c r="G113" s="2">
        <f t="shared" si="18"/>
        <v>600</v>
      </c>
      <c r="H113" s="29">
        <f t="shared" si="19"/>
        <v>0.35333333333333333</v>
      </c>
    </row>
    <row r="114" spans="1:8" x14ac:dyDescent="0.2">
      <c r="A114" s="26">
        <v>8</v>
      </c>
      <c r="B114" s="27">
        <v>712</v>
      </c>
      <c r="C114" s="28" t="s">
        <v>32</v>
      </c>
      <c r="D114" s="38">
        <v>13</v>
      </c>
      <c r="E114" s="2">
        <v>12</v>
      </c>
      <c r="F114" s="2">
        <f>71-(D114+E114)</f>
        <v>46</v>
      </c>
      <c r="G114" s="2">
        <f t="shared" si="18"/>
        <v>71</v>
      </c>
      <c r="H114" s="29">
        <f t="shared" si="19"/>
        <v>0.352112676056338</v>
      </c>
    </row>
    <row r="115" spans="1:8" x14ac:dyDescent="0.2">
      <c r="A115" s="26">
        <v>8</v>
      </c>
      <c r="B115" s="27">
        <v>802</v>
      </c>
      <c r="C115" s="43" t="s">
        <v>274</v>
      </c>
      <c r="D115" s="38">
        <v>49</v>
      </c>
      <c r="E115" s="2">
        <v>11</v>
      </c>
      <c r="F115" s="2">
        <f>148-(D115+E115)</f>
        <v>88</v>
      </c>
      <c r="G115" s="2">
        <f t="shared" si="18"/>
        <v>148</v>
      </c>
      <c r="H115" s="29">
        <f t="shared" si="19"/>
        <v>0.40540540540540543</v>
      </c>
    </row>
    <row r="116" spans="1:8" x14ac:dyDescent="0.2">
      <c r="A116" s="26">
        <v>8</v>
      </c>
      <c r="B116" s="27">
        <v>804</v>
      </c>
      <c r="C116" s="28" t="s">
        <v>33</v>
      </c>
      <c r="D116" s="38">
        <v>7</v>
      </c>
      <c r="E116" s="2">
        <v>5</v>
      </c>
      <c r="F116" s="2">
        <f>16-(D116+E116)</f>
        <v>4</v>
      </c>
      <c r="G116" s="2">
        <f t="shared" si="18"/>
        <v>16</v>
      </c>
      <c r="H116" s="29">
        <f t="shared" si="19"/>
        <v>0.75</v>
      </c>
    </row>
    <row r="117" spans="1:8" x14ac:dyDescent="0.2">
      <c r="A117" s="30"/>
      <c r="B117" s="31"/>
      <c r="C117" s="32"/>
      <c r="D117" s="3"/>
      <c r="E117" s="34"/>
      <c r="F117" s="33"/>
      <c r="G117" s="34"/>
      <c r="H117" s="35"/>
    </row>
    <row r="118" spans="1:8" x14ac:dyDescent="0.2">
      <c r="A118" s="30"/>
      <c r="B118" s="31"/>
      <c r="C118" s="37" t="s">
        <v>34</v>
      </c>
      <c r="D118" s="3"/>
      <c r="E118" s="34"/>
      <c r="F118" s="33"/>
      <c r="G118" s="34"/>
      <c r="H118" s="35"/>
    </row>
    <row r="119" spans="1:8" x14ac:dyDescent="0.2">
      <c r="A119" s="26">
        <v>9</v>
      </c>
      <c r="B119" s="27">
        <v>104</v>
      </c>
      <c r="C119" s="43" t="s">
        <v>280</v>
      </c>
      <c r="D119" s="38">
        <v>71</v>
      </c>
      <c r="E119" s="2">
        <v>33</v>
      </c>
      <c r="F119" s="2">
        <f>218-(D119+E119)</f>
        <v>114</v>
      </c>
      <c r="G119" s="2">
        <f t="shared" ref="G119:G127" si="20">SUM(D119:F119)</f>
        <v>218</v>
      </c>
      <c r="H119" s="29">
        <f t="shared" ref="H119:H127" si="21">+(D119+E119)/G119</f>
        <v>0.47706422018348627</v>
      </c>
    </row>
    <row r="120" spans="1:8" x14ac:dyDescent="0.2">
      <c r="A120" s="26">
        <v>9</v>
      </c>
      <c r="B120" s="27">
        <v>108</v>
      </c>
      <c r="C120" s="43" t="s">
        <v>281</v>
      </c>
      <c r="D120" s="38">
        <v>39</v>
      </c>
      <c r="E120" s="2">
        <v>42</v>
      </c>
      <c r="F120" s="2">
        <f>213-(D120+E120)</f>
        <v>132</v>
      </c>
      <c r="G120" s="2">
        <f t="shared" si="20"/>
        <v>213</v>
      </c>
      <c r="H120" s="29">
        <f t="shared" si="21"/>
        <v>0.38028169014084506</v>
      </c>
    </row>
    <row r="121" spans="1:8" x14ac:dyDescent="0.2">
      <c r="A121" s="26">
        <v>9</v>
      </c>
      <c r="B121" s="27">
        <v>120</v>
      </c>
      <c r="C121" s="43" t="s">
        <v>282</v>
      </c>
      <c r="D121" s="38">
        <v>84</v>
      </c>
      <c r="E121" s="2">
        <v>71</v>
      </c>
      <c r="F121" s="2">
        <f>273-(D121+E121)</f>
        <v>118</v>
      </c>
      <c r="G121" s="2">
        <f t="shared" si="20"/>
        <v>273</v>
      </c>
      <c r="H121" s="29">
        <f t="shared" si="21"/>
        <v>0.56776556776556775</v>
      </c>
    </row>
    <row r="122" spans="1:8" x14ac:dyDescent="0.2">
      <c r="A122" s="26">
        <v>9</v>
      </c>
      <c r="B122" s="27">
        <v>124</v>
      </c>
      <c r="C122" s="43" t="s">
        <v>278</v>
      </c>
      <c r="D122" s="38">
        <v>93</v>
      </c>
      <c r="E122" s="2">
        <v>15</v>
      </c>
      <c r="F122" s="2">
        <f>138-(D122+E122)</f>
        <v>30</v>
      </c>
      <c r="G122" s="2">
        <f t="shared" si="20"/>
        <v>138</v>
      </c>
      <c r="H122" s="29">
        <f t="shared" si="21"/>
        <v>0.78260869565217395</v>
      </c>
    </row>
    <row r="123" spans="1:8" x14ac:dyDescent="0.2">
      <c r="A123" s="26">
        <v>9</v>
      </c>
      <c r="B123" s="27">
        <v>128</v>
      </c>
      <c r="C123" s="43" t="s">
        <v>283</v>
      </c>
      <c r="D123" s="38">
        <v>143</v>
      </c>
      <c r="E123" s="2">
        <v>40</v>
      </c>
      <c r="F123" s="2">
        <f>379-(D123+E123)</f>
        <v>196</v>
      </c>
      <c r="G123" s="2">
        <f t="shared" si="20"/>
        <v>379</v>
      </c>
      <c r="H123" s="29">
        <f t="shared" si="21"/>
        <v>0.48284960422163586</v>
      </c>
    </row>
    <row r="124" spans="1:8" x14ac:dyDescent="0.2">
      <c r="A124" s="26">
        <v>9</v>
      </c>
      <c r="B124" s="27">
        <v>132</v>
      </c>
      <c r="C124" s="43" t="s">
        <v>285</v>
      </c>
      <c r="D124" s="38">
        <v>62</v>
      </c>
      <c r="E124" s="2">
        <v>16</v>
      </c>
      <c r="F124" s="2">
        <f>183-(D124+E124)</f>
        <v>105</v>
      </c>
      <c r="G124" s="2">
        <f t="shared" si="20"/>
        <v>183</v>
      </c>
      <c r="H124" s="29">
        <f t="shared" si="21"/>
        <v>0.42622950819672129</v>
      </c>
    </row>
    <row r="125" spans="1:8" x14ac:dyDescent="0.2">
      <c r="A125" s="26">
        <v>9</v>
      </c>
      <c r="B125" s="27">
        <v>404</v>
      </c>
      <c r="C125" s="43" t="s">
        <v>279</v>
      </c>
      <c r="D125" s="38">
        <v>64</v>
      </c>
      <c r="E125" s="2">
        <v>25</v>
      </c>
      <c r="F125" s="2">
        <f>192-(D125+E125)</f>
        <v>103</v>
      </c>
      <c r="G125" s="2">
        <f t="shared" si="20"/>
        <v>192</v>
      </c>
      <c r="H125" s="29">
        <f t="shared" si="21"/>
        <v>0.46354166666666669</v>
      </c>
    </row>
    <row r="126" spans="1:8" x14ac:dyDescent="0.2">
      <c r="A126" s="26">
        <v>9</v>
      </c>
      <c r="B126" s="27">
        <v>408</v>
      </c>
      <c r="C126" s="43" t="s">
        <v>284</v>
      </c>
      <c r="D126" s="38">
        <v>74</v>
      </c>
      <c r="E126" s="2">
        <v>40</v>
      </c>
      <c r="F126" s="2">
        <f>258-(D126+E126)</f>
        <v>144</v>
      </c>
      <c r="G126" s="2">
        <f t="shared" si="20"/>
        <v>258</v>
      </c>
      <c r="H126" s="29">
        <f t="shared" si="21"/>
        <v>0.44186046511627908</v>
      </c>
    </row>
    <row r="127" spans="1:8" x14ac:dyDescent="0.2">
      <c r="A127" s="26">
        <v>9</v>
      </c>
      <c r="B127" s="27">
        <v>704</v>
      </c>
      <c r="C127" s="28" t="s">
        <v>35</v>
      </c>
      <c r="D127" s="38">
        <v>58</v>
      </c>
      <c r="E127" s="2">
        <v>11</v>
      </c>
      <c r="F127" s="2">
        <f>116-(D127+E127)</f>
        <v>47</v>
      </c>
      <c r="G127" s="2">
        <f t="shared" si="20"/>
        <v>116</v>
      </c>
      <c r="H127" s="29">
        <f t="shared" si="21"/>
        <v>0.59482758620689657</v>
      </c>
    </row>
    <row r="128" spans="1:8" x14ac:dyDescent="0.2">
      <c r="A128" s="30"/>
      <c r="B128" s="31"/>
      <c r="C128" s="32"/>
      <c r="D128" s="3"/>
      <c r="E128" s="34"/>
      <c r="F128" s="33"/>
      <c r="G128" s="34"/>
      <c r="H128" s="35"/>
    </row>
    <row r="129" spans="1:8" x14ac:dyDescent="0.2">
      <c r="A129" s="30"/>
      <c r="B129" s="31"/>
      <c r="C129" s="37" t="s">
        <v>36</v>
      </c>
      <c r="D129" s="3"/>
      <c r="E129" s="34"/>
      <c r="F129" s="33"/>
      <c r="G129" s="34"/>
      <c r="H129" s="35"/>
    </row>
    <row r="130" spans="1:8" x14ac:dyDescent="0.2">
      <c r="A130" s="44">
        <v>10</v>
      </c>
      <c r="B130" s="27">
        <v>104</v>
      </c>
      <c r="C130" s="43" t="s">
        <v>286</v>
      </c>
      <c r="D130" s="38">
        <v>7</v>
      </c>
      <c r="E130" s="2">
        <v>3</v>
      </c>
      <c r="F130" s="2">
        <f>13-(D130+E130)</f>
        <v>3</v>
      </c>
      <c r="G130" s="2">
        <f t="shared" ref="G130:G137" si="22">SUM(D130:F130)</f>
        <v>13</v>
      </c>
      <c r="H130" s="29">
        <f t="shared" ref="H130:H137" si="23">+(D130+E130)/G130</f>
        <v>0.76923076923076927</v>
      </c>
    </row>
    <row r="131" spans="1:8" x14ac:dyDescent="0.2">
      <c r="A131" s="26">
        <v>10</v>
      </c>
      <c r="B131" s="27">
        <v>108</v>
      </c>
      <c r="C131" s="43" t="s">
        <v>287</v>
      </c>
      <c r="D131" s="38">
        <v>5</v>
      </c>
      <c r="E131" s="2">
        <v>0</v>
      </c>
      <c r="F131" s="2">
        <f>9-(D131+E131)</f>
        <v>4</v>
      </c>
      <c r="G131" s="2">
        <f t="shared" si="22"/>
        <v>9</v>
      </c>
      <c r="H131" s="29">
        <f t="shared" si="23"/>
        <v>0.55555555555555558</v>
      </c>
    </row>
    <row r="132" spans="1:8" x14ac:dyDescent="0.2">
      <c r="A132" s="26">
        <v>10</v>
      </c>
      <c r="B132" s="27">
        <v>112</v>
      </c>
      <c r="C132" s="43" t="s">
        <v>290</v>
      </c>
      <c r="D132" s="38">
        <v>55</v>
      </c>
      <c r="E132" s="2">
        <v>34</v>
      </c>
      <c r="F132" s="2">
        <f>183-(D132+E132)</f>
        <v>94</v>
      </c>
      <c r="G132" s="2">
        <f t="shared" si="22"/>
        <v>183</v>
      </c>
      <c r="H132" s="29">
        <f t="shared" si="23"/>
        <v>0.48633879781420764</v>
      </c>
    </row>
    <row r="133" spans="1:8" x14ac:dyDescent="0.2">
      <c r="A133" s="26">
        <v>10</v>
      </c>
      <c r="B133" s="27">
        <v>124</v>
      </c>
      <c r="C133" s="43" t="s">
        <v>289</v>
      </c>
      <c r="D133" s="38">
        <v>66</v>
      </c>
      <c r="E133" s="2">
        <v>51</v>
      </c>
      <c r="F133" s="2">
        <f>295-(D133+E133)</f>
        <v>178</v>
      </c>
      <c r="G133" s="2">
        <f t="shared" si="22"/>
        <v>295</v>
      </c>
      <c r="H133" s="29">
        <f t="shared" si="23"/>
        <v>0.39661016949152544</v>
      </c>
    </row>
    <row r="134" spans="1:8" x14ac:dyDescent="0.2">
      <c r="A134" s="26">
        <v>10</v>
      </c>
      <c r="B134" s="27">
        <v>304</v>
      </c>
      <c r="C134" s="43" t="s">
        <v>176</v>
      </c>
      <c r="D134" s="38">
        <v>16</v>
      </c>
      <c r="E134" s="2">
        <v>14</v>
      </c>
      <c r="F134" s="2">
        <f>73-(D134+E134)</f>
        <v>43</v>
      </c>
      <c r="G134" s="2">
        <f t="shared" si="22"/>
        <v>73</v>
      </c>
      <c r="H134" s="29">
        <f t="shared" si="23"/>
        <v>0.41095890410958902</v>
      </c>
    </row>
    <row r="135" spans="1:8" x14ac:dyDescent="0.2">
      <c r="A135" s="26">
        <v>10</v>
      </c>
      <c r="B135" s="27">
        <v>704</v>
      </c>
      <c r="C135" s="28" t="s">
        <v>133</v>
      </c>
      <c r="D135" s="38">
        <v>39</v>
      </c>
      <c r="E135" s="2">
        <v>14</v>
      </c>
      <c r="F135" s="2">
        <f>139-(D135+E135)</f>
        <v>86</v>
      </c>
      <c r="G135" s="2">
        <f t="shared" si="22"/>
        <v>139</v>
      </c>
      <c r="H135" s="29">
        <f>+(D135+E135)/G135</f>
        <v>0.38129496402877699</v>
      </c>
    </row>
    <row r="136" spans="1:8" x14ac:dyDescent="0.2">
      <c r="A136" s="26">
        <v>10</v>
      </c>
      <c r="B136" s="27">
        <v>708</v>
      </c>
      <c r="C136" s="28" t="s">
        <v>37</v>
      </c>
      <c r="D136" s="38">
        <v>31</v>
      </c>
      <c r="E136" s="2">
        <v>9</v>
      </c>
      <c r="F136" s="2">
        <f>84-(D136+E136)</f>
        <v>44</v>
      </c>
      <c r="G136" s="2">
        <f t="shared" ref="G136" si="24">SUM(D136:F136)</f>
        <v>84</v>
      </c>
      <c r="H136" s="29">
        <f t="shared" ref="H136" si="25">+(D136+E136)/G136</f>
        <v>0.47619047619047616</v>
      </c>
    </row>
    <row r="137" spans="1:8" x14ac:dyDescent="0.2">
      <c r="A137" s="26">
        <v>10</v>
      </c>
      <c r="B137" s="27">
        <v>712</v>
      </c>
      <c r="C137" s="43" t="s">
        <v>175</v>
      </c>
      <c r="D137" s="38">
        <v>31</v>
      </c>
      <c r="E137" s="2">
        <v>21</v>
      </c>
      <c r="F137" s="2">
        <f>133-(D137+E137)</f>
        <v>81</v>
      </c>
      <c r="G137" s="2">
        <f t="shared" si="22"/>
        <v>133</v>
      </c>
      <c r="H137" s="29">
        <f t="shared" si="23"/>
        <v>0.39097744360902253</v>
      </c>
    </row>
    <row r="138" spans="1:8" x14ac:dyDescent="0.2">
      <c r="A138" s="30"/>
      <c r="B138" s="31"/>
      <c r="C138" s="32"/>
      <c r="D138" s="3"/>
      <c r="E138" s="34"/>
      <c r="F138" s="33"/>
      <c r="G138" s="34"/>
      <c r="H138" s="35"/>
    </row>
    <row r="139" spans="1:8" x14ac:dyDescent="0.2">
      <c r="A139" s="30"/>
      <c r="B139" s="31"/>
      <c r="C139" s="37" t="s">
        <v>38</v>
      </c>
      <c r="D139" s="3"/>
      <c r="E139" s="34"/>
      <c r="F139" s="33"/>
      <c r="G139" s="34"/>
      <c r="H139" s="35"/>
    </row>
    <row r="140" spans="1:8" x14ac:dyDescent="0.2">
      <c r="A140" s="26">
        <v>11</v>
      </c>
      <c r="B140" s="27">
        <v>104</v>
      </c>
      <c r="C140" s="43" t="s">
        <v>509</v>
      </c>
      <c r="D140" s="38">
        <v>320</v>
      </c>
      <c r="E140" s="2">
        <v>85</v>
      </c>
      <c r="F140" s="2">
        <f>758-(D140+E140)</f>
        <v>353</v>
      </c>
      <c r="G140" s="2">
        <f t="shared" ref="G140:G142" si="26">SUM(D140:F140)</f>
        <v>758</v>
      </c>
      <c r="H140" s="29">
        <f t="shared" ref="H140:H142" si="27">+(D140+E140)/G140</f>
        <v>0.53430079155672827</v>
      </c>
    </row>
    <row r="141" spans="1:8" x14ac:dyDescent="0.2">
      <c r="A141" s="26">
        <v>11</v>
      </c>
      <c r="B141" s="27">
        <v>404</v>
      </c>
      <c r="C141" s="28" t="s">
        <v>134</v>
      </c>
      <c r="D141" s="38">
        <v>83</v>
      </c>
      <c r="E141" s="2">
        <v>22</v>
      </c>
      <c r="F141" s="2">
        <f>231-(D141+E141)</f>
        <v>126</v>
      </c>
      <c r="G141" s="2">
        <f t="shared" si="26"/>
        <v>231</v>
      </c>
      <c r="H141" s="29">
        <f t="shared" si="27"/>
        <v>0.45454545454545453</v>
      </c>
    </row>
    <row r="142" spans="1:8" x14ac:dyDescent="0.2">
      <c r="A142" s="26">
        <v>11</v>
      </c>
      <c r="B142" s="27">
        <v>704</v>
      </c>
      <c r="C142" s="28" t="s">
        <v>39</v>
      </c>
      <c r="D142" s="38">
        <v>131</v>
      </c>
      <c r="E142" s="2">
        <v>43</v>
      </c>
      <c r="F142" s="2">
        <f>463-(D142+E142)</f>
        <v>289</v>
      </c>
      <c r="G142" s="2">
        <f t="shared" si="26"/>
        <v>463</v>
      </c>
      <c r="H142" s="29">
        <f t="shared" si="27"/>
        <v>0.37580993520518358</v>
      </c>
    </row>
    <row r="143" spans="1:8" x14ac:dyDescent="0.2">
      <c r="A143" s="30"/>
      <c r="B143" s="31"/>
      <c r="C143" s="32"/>
      <c r="D143" s="3"/>
      <c r="E143" s="34"/>
      <c r="F143" s="33"/>
      <c r="G143" s="34"/>
      <c r="H143" s="35"/>
    </row>
    <row r="144" spans="1:8" x14ac:dyDescent="0.2">
      <c r="A144" s="30"/>
      <c r="B144" s="31"/>
      <c r="C144" s="37" t="s">
        <v>40</v>
      </c>
      <c r="D144" s="3"/>
      <c r="E144" s="34"/>
      <c r="F144" s="33"/>
      <c r="G144" s="34"/>
      <c r="H144" s="35"/>
    </row>
    <row r="145" spans="1:8" x14ac:dyDescent="0.2">
      <c r="A145" s="45" t="s">
        <v>540</v>
      </c>
      <c r="B145" s="27">
        <v>100</v>
      </c>
      <c r="C145" s="43" t="s">
        <v>541</v>
      </c>
      <c r="D145" s="38">
        <v>237</v>
      </c>
      <c r="E145" s="2">
        <v>53</v>
      </c>
      <c r="F145" s="2">
        <f>450-(D145+E145)</f>
        <v>160</v>
      </c>
      <c r="G145" s="2">
        <f t="shared" ref="G145:G176" si="28">SUM(D145:F145)</f>
        <v>450</v>
      </c>
      <c r="H145" s="29">
        <f t="shared" ref="H145:H176" si="29">+(D145+E145)/G145</f>
        <v>0.64444444444444449</v>
      </c>
    </row>
    <row r="146" spans="1:8" x14ac:dyDescent="0.2">
      <c r="A146" s="26">
        <v>12</v>
      </c>
      <c r="B146" s="27">
        <v>102</v>
      </c>
      <c r="C146" s="43" t="s">
        <v>291</v>
      </c>
      <c r="D146" s="38">
        <v>371</v>
      </c>
      <c r="E146" s="2">
        <v>33</v>
      </c>
      <c r="F146" s="2">
        <f>597-(D146+E146)</f>
        <v>193</v>
      </c>
      <c r="G146" s="2">
        <f t="shared" si="28"/>
        <v>597</v>
      </c>
      <c r="H146" s="29">
        <f t="shared" si="29"/>
        <v>0.67671691792294808</v>
      </c>
    </row>
    <row r="147" spans="1:8" x14ac:dyDescent="0.2">
      <c r="A147" s="26">
        <v>12</v>
      </c>
      <c r="B147" s="27">
        <v>103</v>
      </c>
      <c r="C147" s="43" t="s">
        <v>292</v>
      </c>
      <c r="D147" s="38">
        <v>234</v>
      </c>
      <c r="E147" s="2">
        <v>62</v>
      </c>
      <c r="F147" s="2">
        <f>557-(D147+E147)</f>
        <v>261</v>
      </c>
      <c r="G147" s="2">
        <f t="shared" si="28"/>
        <v>557</v>
      </c>
      <c r="H147" s="29">
        <f t="shared" si="29"/>
        <v>0.53141831238779169</v>
      </c>
    </row>
    <row r="148" spans="1:8" x14ac:dyDescent="0.2">
      <c r="A148" s="26">
        <v>12</v>
      </c>
      <c r="B148" s="27">
        <v>104</v>
      </c>
      <c r="C148" s="43" t="s">
        <v>338</v>
      </c>
      <c r="D148" s="38">
        <v>228</v>
      </c>
      <c r="E148" s="2">
        <v>68</v>
      </c>
      <c r="F148" s="2">
        <f>555-(D148+E148)</f>
        <v>259</v>
      </c>
      <c r="G148" s="2">
        <f t="shared" si="28"/>
        <v>555</v>
      </c>
      <c r="H148" s="29">
        <f t="shared" si="29"/>
        <v>0.53333333333333333</v>
      </c>
    </row>
    <row r="149" spans="1:8" x14ac:dyDescent="0.2">
      <c r="A149" s="26">
        <v>12</v>
      </c>
      <c r="B149" s="27">
        <v>105</v>
      </c>
      <c r="C149" s="43" t="s">
        <v>314</v>
      </c>
      <c r="D149" s="38">
        <v>243</v>
      </c>
      <c r="E149" s="2">
        <v>65</v>
      </c>
      <c r="F149" s="2">
        <f>608-(D149+E149)</f>
        <v>300</v>
      </c>
      <c r="G149" s="2">
        <f t="shared" si="28"/>
        <v>608</v>
      </c>
      <c r="H149" s="29">
        <f t="shared" si="29"/>
        <v>0.50657894736842102</v>
      </c>
    </row>
    <row r="150" spans="1:8" x14ac:dyDescent="0.2">
      <c r="A150" s="26">
        <v>12</v>
      </c>
      <c r="B150" s="27">
        <v>107</v>
      </c>
      <c r="C150" s="43" t="s">
        <v>293</v>
      </c>
      <c r="D150" s="38">
        <v>317</v>
      </c>
      <c r="E150" s="2">
        <v>69</v>
      </c>
      <c r="F150" s="2">
        <f>637-(D150+E150)</f>
        <v>251</v>
      </c>
      <c r="G150" s="2">
        <f t="shared" si="28"/>
        <v>637</v>
      </c>
      <c r="H150" s="29">
        <f t="shared" si="29"/>
        <v>0.60596546310832022</v>
      </c>
    </row>
    <row r="151" spans="1:8" x14ac:dyDescent="0.2">
      <c r="A151" s="26">
        <v>12</v>
      </c>
      <c r="B151" s="27">
        <v>110</v>
      </c>
      <c r="C151" s="43" t="s">
        <v>298</v>
      </c>
      <c r="D151" s="38">
        <v>217</v>
      </c>
      <c r="E151" s="2">
        <v>59</v>
      </c>
      <c r="F151" s="2">
        <f>478-(D151+E151)</f>
        <v>202</v>
      </c>
      <c r="G151" s="2">
        <f t="shared" si="28"/>
        <v>478</v>
      </c>
      <c r="H151" s="29">
        <f t="shared" si="29"/>
        <v>0.57740585774058573</v>
      </c>
    </row>
    <row r="152" spans="1:8" x14ac:dyDescent="0.2">
      <c r="A152" s="26">
        <v>12</v>
      </c>
      <c r="B152" s="27">
        <v>111</v>
      </c>
      <c r="C152" s="43" t="s">
        <v>299</v>
      </c>
      <c r="D152" s="38">
        <v>240</v>
      </c>
      <c r="E152" s="2">
        <v>64</v>
      </c>
      <c r="F152" s="2">
        <f>553-(D152+E152)</f>
        <v>249</v>
      </c>
      <c r="G152" s="2">
        <f t="shared" si="28"/>
        <v>553</v>
      </c>
      <c r="H152" s="29">
        <f t="shared" si="29"/>
        <v>0.54972875226039786</v>
      </c>
    </row>
    <row r="153" spans="1:8" x14ac:dyDescent="0.2">
      <c r="A153" s="26">
        <v>12</v>
      </c>
      <c r="B153" s="27">
        <v>116</v>
      </c>
      <c r="C153" s="43" t="s">
        <v>300</v>
      </c>
      <c r="D153" s="38">
        <v>508</v>
      </c>
      <c r="E153" s="2">
        <v>66</v>
      </c>
      <c r="F153" s="2">
        <f>653-(D153+E153)</f>
        <v>79</v>
      </c>
      <c r="G153" s="2">
        <f t="shared" si="28"/>
        <v>653</v>
      </c>
      <c r="H153" s="29">
        <f t="shared" si="29"/>
        <v>0.87901990811638586</v>
      </c>
    </row>
    <row r="154" spans="1:8" x14ac:dyDescent="0.2">
      <c r="A154" s="26">
        <v>12</v>
      </c>
      <c r="B154" s="27">
        <v>125</v>
      </c>
      <c r="C154" s="43" t="s">
        <v>524</v>
      </c>
      <c r="D154" s="38">
        <v>292</v>
      </c>
      <c r="E154" s="2">
        <v>84</v>
      </c>
      <c r="F154" s="2">
        <f>729-(D154+E154)</f>
        <v>353</v>
      </c>
      <c r="G154" s="2">
        <f t="shared" si="28"/>
        <v>729</v>
      </c>
      <c r="H154" s="29">
        <f t="shared" si="29"/>
        <v>0.51577503429355276</v>
      </c>
    </row>
    <row r="155" spans="1:8" x14ac:dyDescent="0.2">
      <c r="A155" s="26">
        <v>12</v>
      </c>
      <c r="B155" s="27">
        <v>126</v>
      </c>
      <c r="C155" s="43" t="s">
        <v>329</v>
      </c>
      <c r="D155" s="38">
        <v>259</v>
      </c>
      <c r="E155" s="2">
        <v>63</v>
      </c>
      <c r="F155" s="2">
        <f>527-(D155+E155)</f>
        <v>205</v>
      </c>
      <c r="G155" s="2">
        <f t="shared" si="28"/>
        <v>527</v>
      </c>
      <c r="H155" s="29">
        <f t="shared" si="29"/>
        <v>0.61100569259962045</v>
      </c>
    </row>
    <row r="156" spans="1:8" x14ac:dyDescent="0.2">
      <c r="A156" s="26">
        <v>12</v>
      </c>
      <c r="B156" s="27">
        <v>127</v>
      </c>
      <c r="C156" s="43" t="s">
        <v>303</v>
      </c>
      <c r="D156" s="38">
        <v>360</v>
      </c>
      <c r="E156" s="2">
        <v>120</v>
      </c>
      <c r="F156" s="2">
        <f>874-(D156+E156)</f>
        <v>394</v>
      </c>
      <c r="G156" s="2">
        <f t="shared" si="28"/>
        <v>874</v>
      </c>
      <c r="H156" s="29">
        <f t="shared" si="29"/>
        <v>0.54919908466819223</v>
      </c>
    </row>
    <row r="157" spans="1:8" x14ac:dyDescent="0.2">
      <c r="A157" s="26">
        <v>12</v>
      </c>
      <c r="B157" s="27">
        <v>128</v>
      </c>
      <c r="C157" s="43" t="s">
        <v>304</v>
      </c>
      <c r="D157" s="38">
        <v>647</v>
      </c>
      <c r="E157" s="2">
        <v>76</v>
      </c>
      <c r="F157" s="2">
        <f>948-(D157+E157)</f>
        <v>225</v>
      </c>
      <c r="G157" s="2">
        <f t="shared" si="28"/>
        <v>948</v>
      </c>
      <c r="H157" s="29">
        <f t="shared" si="29"/>
        <v>0.76265822784810122</v>
      </c>
    </row>
    <row r="158" spans="1:8" x14ac:dyDescent="0.2">
      <c r="A158" s="26">
        <v>12</v>
      </c>
      <c r="B158" s="27">
        <v>130</v>
      </c>
      <c r="C158" s="43" t="s">
        <v>309</v>
      </c>
      <c r="D158" s="38">
        <v>248</v>
      </c>
      <c r="E158" s="2">
        <v>101</v>
      </c>
      <c r="F158" s="2">
        <f>627-(D158+E158)</f>
        <v>278</v>
      </c>
      <c r="G158" s="2">
        <f t="shared" si="28"/>
        <v>627</v>
      </c>
      <c r="H158" s="29">
        <f t="shared" si="29"/>
        <v>0.55661881977671457</v>
      </c>
    </row>
    <row r="159" spans="1:8" x14ac:dyDescent="0.2">
      <c r="A159" s="26">
        <v>12</v>
      </c>
      <c r="B159" s="27">
        <v>131</v>
      </c>
      <c r="C159" s="43" t="s">
        <v>512</v>
      </c>
      <c r="D159" s="38">
        <v>287</v>
      </c>
      <c r="E159" s="2">
        <v>84</v>
      </c>
      <c r="F159" s="2">
        <f>777-(D159+E159)</f>
        <v>406</v>
      </c>
      <c r="G159" s="2">
        <f t="shared" si="28"/>
        <v>777</v>
      </c>
      <c r="H159" s="29">
        <f t="shared" si="29"/>
        <v>0.47747747747747749</v>
      </c>
    </row>
    <row r="160" spans="1:8" x14ac:dyDescent="0.2">
      <c r="A160" s="26">
        <v>12</v>
      </c>
      <c r="B160" s="27">
        <v>134</v>
      </c>
      <c r="C160" s="43" t="s">
        <v>308</v>
      </c>
      <c r="D160" s="38">
        <v>589</v>
      </c>
      <c r="E160" s="2">
        <v>67</v>
      </c>
      <c r="F160" s="2">
        <f>779-(D160+E160)</f>
        <v>123</v>
      </c>
      <c r="G160" s="2">
        <f t="shared" si="28"/>
        <v>779</v>
      </c>
      <c r="H160" s="29">
        <f t="shared" si="29"/>
        <v>0.84210526315789469</v>
      </c>
    </row>
    <row r="161" spans="1:8" x14ac:dyDescent="0.2">
      <c r="A161" s="26">
        <v>12</v>
      </c>
      <c r="B161" s="27">
        <v>135</v>
      </c>
      <c r="C161" s="43" t="s">
        <v>310</v>
      </c>
      <c r="D161" s="38">
        <v>319</v>
      </c>
      <c r="E161" s="2">
        <v>69</v>
      </c>
      <c r="F161" s="2">
        <f>594-(D161+E161)</f>
        <v>206</v>
      </c>
      <c r="G161" s="2">
        <f t="shared" si="28"/>
        <v>594</v>
      </c>
      <c r="H161" s="29">
        <f t="shared" si="29"/>
        <v>0.65319865319865322</v>
      </c>
    </row>
    <row r="162" spans="1:8" x14ac:dyDescent="0.2">
      <c r="A162" s="26">
        <v>12</v>
      </c>
      <c r="B162" s="27">
        <v>138</v>
      </c>
      <c r="C162" s="43" t="s">
        <v>315</v>
      </c>
      <c r="D162" s="38">
        <v>272</v>
      </c>
      <c r="E162" s="2">
        <v>49</v>
      </c>
      <c r="F162" s="2">
        <f>546-(D162+E162)</f>
        <v>225</v>
      </c>
      <c r="G162" s="2">
        <f t="shared" si="28"/>
        <v>546</v>
      </c>
      <c r="H162" s="29">
        <f t="shared" si="29"/>
        <v>0.58791208791208793</v>
      </c>
    </row>
    <row r="163" spans="1:8" x14ac:dyDescent="0.2">
      <c r="A163" s="26">
        <v>12</v>
      </c>
      <c r="B163" s="27">
        <v>139</v>
      </c>
      <c r="C163" s="43" t="s">
        <v>313</v>
      </c>
      <c r="D163" s="38">
        <v>410</v>
      </c>
      <c r="E163" s="2">
        <v>36</v>
      </c>
      <c r="F163" s="2">
        <f>531-(D163+E163)</f>
        <v>85</v>
      </c>
      <c r="G163" s="2">
        <f t="shared" si="28"/>
        <v>531</v>
      </c>
      <c r="H163" s="29">
        <f t="shared" si="29"/>
        <v>0.839924670433145</v>
      </c>
    </row>
    <row r="164" spans="1:8" x14ac:dyDescent="0.2">
      <c r="A164" s="26">
        <v>12</v>
      </c>
      <c r="B164" s="27">
        <v>140</v>
      </c>
      <c r="C164" s="43" t="s">
        <v>318</v>
      </c>
      <c r="D164" s="38">
        <v>296</v>
      </c>
      <c r="E164" s="2">
        <v>64</v>
      </c>
      <c r="F164" s="2">
        <f>585-(D164+E164)</f>
        <v>225</v>
      </c>
      <c r="G164" s="2">
        <f t="shared" si="28"/>
        <v>585</v>
      </c>
      <c r="H164" s="29">
        <f t="shared" si="29"/>
        <v>0.61538461538461542</v>
      </c>
    </row>
    <row r="165" spans="1:8" x14ac:dyDescent="0.2">
      <c r="A165" s="26">
        <v>12</v>
      </c>
      <c r="B165" s="27">
        <v>141</v>
      </c>
      <c r="C165" s="43" t="s">
        <v>312</v>
      </c>
      <c r="D165" s="38">
        <v>315</v>
      </c>
      <c r="E165" s="2">
        <v>50</v>
      </c>
      <c r="F165" s="2">
        <f>523-(D165+E165)</f>
        <v>158</v>
      </c>
      <c r="G165" s="2">
        <f t="shared" si="28"/>
        <v>523</v>
      </c>
      <c r="H165" s="29">
        <f t="shared" si="29"/>
        <v>0.69789674952198855</v>
      </c>
    </row>
    <row r="166" spans="1:8" x14ac:dyDescent="0.2">
      <c r="A166" s="26">
        <v>12</v>
      </c>
      <c r="B166" s="27">
        <v>148</v>
      </c>
      <c r="C166" s="43" t="s">
        <v>237</v>
      </c>
      <c r="D166" s="38">
        <v>442</v>
      </c>
      <c r="E166" s="2">
        <v>24</v>
      </c>
      <c r="F166" s="2">
        <f>500-(D166+E166)</f>
        <v>34</v>
      </c>
      <c r="G166" s="2">
        <f t="shared" si="28"/>
        <v>500</v>
      </c>
      <c r="H166" s="29">
        <f t="shared" si="29"/>
        <v>0.93200000000000005</v>
      </c>
    </row>
    <row r="167" spans="1:8" x14ac:dyDescent="0.2">
      <c r="A167" s="26">
        <v>12</v>
      </c>
      <c r="B167" s="27">
        <v>156</v>
      </c>
      <c r="C167" s="43" t="s">
        <v>319</v>
      </c>
      <c r="D167" s="38">
        <v>312</v>
      </c>
      <c r="E167" s="2">
        <v>46</v>
      </c>
      <c r="F167" s="2">
        <f>574-(D167+E167)</f>
        <v>216</v>
      </c>
      <c r="G167" s="2">
        <f t="shared" si="28"/>
        <v>574</v>
      </c>
      <c r="H167" s="29">
        <f t="shared" si="29"/>
        <v>0.62369337979094075</v>
      </c>
    </row>
    <row r="168" spans="1:8" x14ac:dyDescent="0.2">
      <c r="A168" s="26">
        <v>12</v>
      </c>
      <c r="B168" s="27">
        <v>160</v>
      </c>
      <c r="C168" s="43" t="s">
        <v>321</v>
      </c>
      <c r="D168" s="38">
        <v>242</v>
      </c>
      <c r="E168" s="2">
        <v>30</v>
      </c>
      <c r="F168" s="2">
        <f>456-(D168+E168)</f>
        <v>184</v>
      </c>
      <c r="G168" s="2">
        <f t="shared" si="28"/>
        <v>456</v>
      </c>
      <c r="H168" s="29">
        <f t="shared" si="29"/>
        <v>0.59649122807017541</v>
      </c>
    </row>
    <row r="169" spans="1:8" x14ac:dyDescent="0.2">
      <c r="A169" s="26">
        <v>12</v>
      </c>
      <c r="B169" s="27">
        <v>164</v>
      </c>
      <c r="C169" s="43" t="s">
        <v>322</v>
      </c>
      <c r="D169" s="38">
        <v>530</v>
      </c>
      <c r="E169" s="2">
        <v>68</v>
      </c>
      <c r="F169" s="2">
        <f>706-(D169+E169)</f>
        <v>108</v>
      </c>
      <c r="G169" s="2">
        <f t="shared" si="28"/>
        <v>706</v>
      </c>
      <c r="H169" s="29">
        <f t="shared" si="29"/>
        <v>0.84702549575070818</v>
      </c>
    </row>
    <row r="170" spans="1:8" x14ac:dyDescent="0.2">
      <c r="A170" s="26">
        <v>12</v>
      </c>
      <c r="B170" s="27">
        <v>176</v>
      </c>
      <c r="C170" s="43" t="s">
        <v>323</v>
      </c>
      <c r="D170" s="38">
        <v>263</v>
      </c>
      <c r="E170" s="2">
        <v>41</v>
      </c>
      <c r="F170" s="2">
        <f>379-(D170+E170)</f>
        <v>75</v>
      </c>
      <c r="G170" s="2">
        <f t="shared" si="28"/>
        <v>379</v>
      </c>
      <c r="H170" s="29">
        <f t="shared" si="29"/>
        <v>0.80211081794195249</v>
      </c>
    </row>
    <row r="171" spans="1:8" x14ac:dyDescent="0.2">
      <c r="A171" s="26">
        <v>12</v>
      </c>
      <c r="B171" s="27">
        <v>177</v>
      </c>
      <c r="C171" s="43" t="s">
        <v>307</v>
      </c>
      <c r="D171" s="38">
        <v>322</v>
      </c>
      <c r="E171" s="2">
        <v>55</v>
      </c>
      <c r="F171" s="2">
        <f>618-(D171+E171)</f>
        <v>241</v>
      </c>
      <c r="G171" s="2">
        <f t="shared" si="28"/>
        <v>618</v>
      </c>
      <c r="H171" s="29">
        <f t="shared" si="29"/>
        <v>0.61003236245954695</v>
      </c>
    </row>
    <row r="172" spans="1:8" x14ac:dyDescent="0.2">
      <c r="A172" s="26">
        <v>12</v>
      </c>
      <c r="B172" s="27">
        <v>178</v>
      </c>
      <c r="C172" s="43" t="s">
        <v>325</v>
      </c>
      <c r="D172" s="38">
        <v>411</v>
      </c>
      <c r="E172" s="2">
        <v>53</v>
      </c>
      <c r="F172" s="2">
        <f>620-(D172+E172)</f>
        <v>156</v>
      </c>
      <c r="G172" s="2">
        <f t="shared" si="28"/>
        <v>620</v>
      </c>
      <c r="H172" s="29">
        <f t="shared" si="29"/>
        <v>0.74838709677419357</v>
      </c>
    </row>
    <row r="173" spans="1:8" x14ac:dyDescent="0.2">
      <c r="A173" s="26">
        <v>12</v>
      </c>
      <c r="B173" s="27">
        <v>179</v>
      </c>
      <c r="C173" s="43" t="s">
        <v>324</v>
      </c>
      <c r="D173" s="38">
        <v>390</v>
      </c>
      <c r="E173" s="2">
        <v>58</v>
      </c>
      <c r="F173" s="2">
        <f>626-(D173+E173)</f>
        <v>178</v>
      </c>
      <c r="G173" s="2">
        <f t="shared" si="28"/>
        <v>626</v>
      </c>
      <c r="H173" s="29">
        <f t="shared" si="29"/>
        <v>0.71565495207667729</v>
      </c>
    </row>
    <row r="174" spans="1:8" x14ac:dyDescent="0.2">
      <c r="A174" s="26">
        <v>12</v>
      </c>
      <c r="B174" s="27">
        <v>180</v>
      </c>
      <c r="C174" s="43" t="s">
        <v>327</v>
      </c>
      <c r="D174" s="38">
        <v>371</v>
      </c>
      <c r="E174" s="2">
        <v>42</v>
      </c>
      <c r="F174" s="2">
        <f>624-(D174+E174)</f>
        <v>211</v>
      </c>
      <c r="G174" s="2">
        <f t="shared" si="28"/>
        <v>624</v>
      </c>
      <c r="H174" s="29">
        <f t="shared" si="29"/>
        <v>0.66185897435897434</v>
      </c>
    </row>
    <row r="175" spans="1:8" x14ac:dyDescent="0.2">
      <c r="A175" s="26">
        <v>12</v>
      </c>
      <c r="B175" s="27">
        <v>182</v>
      </c>
      <c r="C175" s="43" t="s">
        <v>326</v>
      </c>
      <c r="D175" s="38">
        <v>305</v>
      </c>
      <c r="E175" s="2">
        <v>80</v>
      </c>
      <c r="F175" s="2">
        <f>632-(D175+E175)</f>
        <v>247</v>
      </c>
      <c r="G175" s="2">
        <f t="shared" si="28"/>
        <v>632</v>
      </c>
      <c r="H175" s="29">
        <f t="shared" si="29"/>
        <v>0.60917721518987344</v>
      </c>
    </row>
    <row r="176" spans="1:8" x14ac:dyDescent="0.2">
      <c r="A176" s="26">
        <v>12</v>
      </c>
      <c r="B176" s="27">
        <v>184</v>
      </c>
      <c r="C176" s="43" t="s">
        <v>328</v>
      </c>
      <c r="D176" s="38">
        <v>613</v>
      </c>
      <c r="E176" s="2">
        <v>51</v>
      </c>
      <c r="F176" s="2">
        <f>774-(D176+E176)</f>
        <v>110</v>
      </c>
      <c r="G176" s="2">
        <f t="shared" si="28"/>
        <v>774</v>
      </c>
      <c r="H176" s="29">
        <f t="shared" si="29"/>
        <v>0.8578811369509044</v>
      </c>
    </row>
    <row r="177" spans="1:8" x14ac:dyDescent="0.2">
      <c r="A177" s="26">
        <v>12</v>
      </c>
      <c r="B177" s="27">
        <v>186</v>
      </c>
      <c r="C177" s="43" t="s">
        <v>330</v>
      </c>
      <c r="D177" s="38">
        <v>343</v>
      </c>
      <c r="E177" s="2">
        <v>59</v>
      </c>
      <c r="F177" s="2">
        <f>588-(D177+E177)</f>
        <v>186</v>
      </c>
      <c r="G177" s="2">
        <f t="shared" ref="G177:G208" si="30">SUM(D177:F177)</f>
        <v>588</v>
      </c>
      <c r="H177" s="29">
        <f t="shared" ref="H177:H208" si="31">+(D177+E177)/G177</f>
        <v>0.68367346938775508</v>
      </c>
    </row>
    <row r="178" spans="1:8" x14ac:dyDescent="0.2">
      <c r="A178" s="26">
        <v>12</v>
      </c>
      <c r="B178" s="27">
        <v>188</v>
      </c>
      <c r="C178" s="43" t="s">
        <v>331</v>
      </c>
      <c r="D178" s="38">
        <v>394</v>
      </c>
      <c r="E178" s="2">
        <v>33</v>
      </c>
      <c r="F178" s="2">
        <f>486-(D178+E178)</f>
        <v>59</v>
      </c>
      <c r="G178" s="2">
        <f t="shared" si="30"/>
        <v>486</v>
      </c>
      <c r="H178" s="29">
        <f t="shared" si="31"/>
        <v>0.87860082304526754</v>
      </c>
    </row>
    <row r="179" spans="1:8" x14ac:dyDescent="0.2">
      <c r="A179" s="26">
        <v>12</v>
      </c>
      <c r="B179" s="27">
        <v>189</v>
      </c>
      <c r="C179" s="43" t="s">
        <v>332</v>
      </c>
      <c r="D179" s="38">
        <v>240</v>
      </c>
      <c r="E179" s="2">
        <v>45</v>
      </c>
      <c r="F179" s="2">
        <f>423-(D179+E179)</f>
        <v>138</v>
      </c>
      <c r="G179" s="2">
        <f t="shared" si="30"/>
        <v>423</v>
      </c>
      <c r="H179" s="29">
        <f t="shared" si="31"/>
        <v>0.67375886524822692</v>
      </c>
    </row>
    <row r="180" spans="1:8" x14ac:dyDescent="0.2">
      <c r="A180" s="26">
        <v>12</v>
      </c>
      <c r="B180" s="27">
        <v>192</v>
      </c>
      <c r="C180" s="43" t="s">
        <v>334</v>
      </c>
      <c r="D180" s="38">
        <v>189</v>
      </c>
      <c r="E180" s="2">
        <v>31</v>
      </c>
      <c r="F180" s="2">
        <f>550-(D180+E180)</f>
        <v>330</v>
      </c>
      <c r="G180" s="2">
        <f t="shared" si="30"/>
        <v>550</v>
      </c>
      <c r="H180" s="29">
        <f t="shared" si="31"/>
        <v>0.4</v>
      </c>
    </row>
    <row r="181" spans="1:8" x14ac:dyDescent="0.2">
      <c r="A181" s="26">
        <v>12</v>
      </c>
      <c r="B181" s="27">
        <v>193</v>
      </c>
      <c r="C181" s="43" t="s">
        <v>306</v>
      </c>
      <c r="D181" s="38">
        <v>224</v>
      </c>
      <c r="E181" s="2">
        <v>40</v>
      </c>
      <c r="F181" s="2">
        <f>537-(D181+E181)</f>
        <v>273</v>
      </c>
      <c r="G181" s="2">
        <f t="shared" si="30"/>
        <v>537</v>
      </c>
      <c r="H181" s="29">
        <f t="shared" si="31"/>
        <v>0.49162011173184356</v>
      </c>
    </row>
    <row r="182" spans="1:8" x14ac:dyDescent="0.2">
      <c r="A182" s="26">
        <v>12</v>
      </c>
      <c r="B182" s="27">
        <v>194</v>
      </c>
      <c r="C182" s="43" t="s">
        <v>297</v>
      </c>
      <c r="D182" s="38">
        <v>164</v>
      </c>
      <c r="E182" s="2">
        <v>78</v>
      </c>
      <c r="F182" s="2">
        <f>678-(D182+E182)</f>
        <v>436</v>
      </c>
      <c r="G182" s="2">
        <f t="shared" si="30"/>
        <v>678</v>
      </c>
      <c r="H182" s="29">
        <f t="shared" si="31"/>
        <v>0.35693215339233036</v>
      </c>
    </row>
    <row r="183" spans="1:8" x14ac:dyDescent="0.2">
      <c r="A183" s="26">
        <v>12</v>
      </c>
      <c r="B183" s="27">
        <v>196</v>
      </c>
      <c r="C183" s="43" t="s">
        <v>333</v>
      </c>
      <c r="D183" s="38">
        <v>245</v>
      </c>
      <c r="E183" s="2">
        <v>43</v>
      </c>
      <c r="F183" s="2">
        <f>397-(D183+E183)</f>
        <v>109</v>
      </c>
      <c r="G183" s="2">
        <f t="shared" si="30"/>
        <v>397</v>
      </c>
      <c r="H183" s="29">
        <f t="shared" si="31"/>
        <v>0.72544080604534</v>
      </c>
    </row>
    <row r="184" spans="1:8" x14ac:dyDescent="0.2">
      <c r="A184" s="26">
        <v>12</v>
      </c>
      <c r="B184" s="27">
        <v>197</v>
      </c>
      <c r="C184" s="43" t="s">
        <v>335</v>
      </c>
      <c r="D184" s="38">
        <v>650</v>
      </c>
      <c r="E184" s="2">
        <v>55</v>
      </c>
      <c r="F184" s="2">
        <f>834-(D184+E184)</f>
        <v>129</v>
      </c>
      <c r="G184" s="2">
        <f t="shared" si="30"/>
        <v>834</v>
      </c>
      <c r="H184" s="29">
        <f t="shared" si="31"/>
        <v>0.84532374100719421</v>
      </c>
    </row>
    <row r="185" spans="1:8" x14ac:dyDescent="0.2">
      <c r="A185" s="26">
        <v>12</v>
      </c>
      <c r="B185" s="27">
        <v>198</v>
      </c>
      <c r="C185" s="43" t="s">
        <v>336</v>
      </c>
      <c r="D185" s="38">
        <v>345</v>
      </c>
      <c r="E185" s="2">
        <v>36</v>
      </c>
      <c r="F185" s="2">
        <f>563-(D185+E185)</f>
        <v>182</v>
      </c>
      <c r="G185" s="2">
        <f t="shared" si="30"/>
        <v>563</v>
      </c>
      <c r="H185" s="29">
        <f t="shared" si="31"/>
        <v>0.67673179396092364</v>
      </c>
    </row>
    <row r="186" spans="1:8" x14ac:dyDescent="0.2">
      <c r="A186" s="26">
        <v>12</v>
      </c>
      <c r="B186" s="27">
        <v>199</v>
      </c>
      <c r="C186" s="43" t="s">
        <v>339</v>
      </c>
      <c r="D186" s="38">
        <v>180</v>
      </c>
      <c r="E186" s="2">
        <v>24</v>
      </c>
      <c r="F186" s="2">
        <f>492-(D186+E186)</f>
        <v>288</v>
      </c>
      <c r="G186" s="2">
        <f t="shared" si="30"/>
        <v>492</v>
      </c>
      <c r="H186" s="29">
        <f t="shared" si="31"/>
        <v>0.41463414634146339</v>
      </c>
    </row>
    <row r="187" spans="1:8" x14ac:dyDescent="0.2">
      <c r="A187" s="26">
        <v>12</v>
      </c>
      <c r="B187" s="27">
        <v>201</v>
      </c>
      <c r="C187" s="43" t="s">
        <v>342</v>
      </c>
      <c r="D187" s="38">
        <v>350</v>
      </c>
      <c r="E187" s="2">
        <v>80</v>
      </c>
      <c r="F187" s="2">
        <f>734-(D187+E187)</f>
        <v>304</v>
      </c>
      <c r="G187" s="2">
        <f t="shared" si="30"/>
        <v>734</v>
      </c>
      <c r="H187" s="29">
        <f t="shared" si="31"/>
        <v>0.58583106267029972</v>
      </c>
    </row>
    <row r="188" spans="1:8" x14ac:dyDescent="0.2">
      <c r="A188" s="26">
        <v>12</v>
      </c>
      <c r="B188" s="27">
        <v>202</v>
      </c>
      <c r="C188" s="43" t="s">
        <v>346</v>
      </c>
      <c r="D188" s="38">
        <v>349</v>
      </c>
      <c r="E188" s="2">
        <v>47</v>
      </c>
      <c r="F188" s="2">
        <f>514-(D188+E188)</f>
        <v>118</v>
      </c>
      <c r="G188" s="2">
        <f t="shared" si="30"/>
        <v>514</v>
      </c>
      <c r="H188" s="29">
        <f t="shared" si="31"/>
        <v>0.77042801556420237</v>
      </c>
    </row>
    <row r="189" spans="1:8" x14ac:dyDescent="0.2">
      <c r="A189" s="26">
        <v>12</v>
      </c>
      <c r="B189" s="27">
        <v>203</v>
      </c>
      <c r="C189" s="43" t="s">
        <v>340</v>
      </c>
      <c r="D189" s="38">
        <v>401</v>
      </c>
      <c r="E189" s="2">
        <v>105</v>
      </c>
      <c r="F189" s="2">
        <f>838-(D189+E189)</f>
        <v>332</v>
      </c>
      <c r="G189" s="2">
        <f t="shared" si="30"/>
        <v>838</v>
      </c>
      <c r="H189" s="29">
        <f t="shared" si="31"/>
        <v>0.60381861575178997</v>
      </c>
    </row>
    <row r="190" spans="1:8" x14ac:dyDescent="0.2">
      <c r="A190" s="26">
        <v>12</v>
      </c>
      <c r="B190" s="27">
        <v>204</v>
      </c>
      <c r="C190" s="43" t="s">
        <v>343</v>
      </c>
      <c r="D190" s="38">
        <v>514</v>
      </c>
      <c r="E190" s="2">
        <v>99</v>
      </c>
      <c r="F190" s="2">
        <f>762-(D190+E190)</f>
        <v>149</v>
      </c>
      <c r="G190" s="2">
        <f t="shared" si="30"/>
        <v>762</v>
      </c>
      <c r="H190" s="29">
        <f t="shared" si="31"/>
        <v>0.8044619422572179</v>
      </c>
    </row>
    <row r="191" spans="1:8" x14ac:dyDescent="0.2">
      <c r="A191" s="26">
        <v>12</v>
      </c>
      <c r="B191" s="27">
        <v>205</v>
      </c>
      <c r="C191" s="43" t="s">
        <v>345</v>
      </c>
      <c r="D191" s="38">
        <v>242</v>
      </c>
      <c r="E191" s="2">
        <v>60</v>
      </c>
      <c r="F191" s="2">
        <f>633-(D191+E191)</f>
        <v>331</v>
      </c>
      <c r="G191" s="2">
        <f t="shared" si="30"/>
        <v>633</v>
      </c>
      <c r="H191" s="29">
        <f t="shared" si="31"/>
        <v>0.47709320695102686</v>
      </c>
    </row>
    <row r="192" spans="1:8" x14ac:dyDescent="0.2">
      <c r="A192" s="26">
        <v>12</v>
      </c>
      <c r="B192" s="27">
        <v>206</v>
      </c>
      <c r="C192" s="43" t="s">
        <v>344</v>
      </c>
      <c r="D192" s="38">
        <v>280</v>
      </c>
      <c r="E192" s="2">
        <v>77</v>
      </c>
      <c r="F192" s="2">
        <f>711-(D192+E192)</f>
        <v>354</v>
      </c>
      <c r="G192" s="2">
        <f t="shared" si="30"/>
        <v>711</v>
      </c>
      <c r="H192" s="29">
        <f t="shared" si="31"/>
        <v>0.50210970464135019</v>
      </c>
    </row>
    <row r="193" spans="1:8" x14ac:dyDescent="0.2">
      <c r="A193" s="26">
        <v>12</v>
      </c>
      <c r="B193" s="27">
        <v>208</v>
      </c>
      <c r="C193" s="43" t="s">
        <v>348</v>
      </c>
      <c r="D193" s="38">
        <v>335</v>
      </c>
      <c r="E193" s="2">
        <v>69</v>
      </c>
      <c r="F193" s="2">
        <f>718-(D193+E193)</f>
        <v>314</v>
      </c>
      <c r="G193" s="2">
        <f t="shared" si="30"/>
        <v>718</v>
      </c>
      <c r="H193" s="29">
        <f t="shared" si="31"/>
        <v>0.56267409470752094</v>
      </c>
    </row>
    <row r="194" spans="1:8" x14ac:dyDescent="0.2">
      <c r="A194" s="26">
        <v>12</v>
      </c>
      <c r="B194" s="27">
        <v>216</v>
      </c>
      <c r="C194" s="43" t="s">
        <v>349</v>
      </c>
      <c r="D194" s="38">
        <v>586</v>
      </c>
      <c r="E194" s="2">
        <v>45</v>
      </c>
      <c r="F194" s="2">
        <f>751-(D194+E194)</f>
        <v>120</v>
      </c>
      <c r="G194" s="2">
        <f t="shared" si="30"/>
        <v>751</v>
      </c>
      <c r="H194" s="29">
        <f t="shared" si="31"/>
        <v>0.84021304926764317</v>
      </c>
    </row>
    <row r="195" spans="1:8" x14ac:dyDescent="0.2">
      <c r="A195" s="26">
        <v>12</v>
      </c>
      <c r="B195" s="27">
        <v>400</v>
      </c>
      <c r="C195" s="43" t="s">
        <v>294</v>
      </c>
      <c r="D195" s="38">
        <v>250</v>
      </c>
      <c r="E195" s="2">
        <v>90</v>
      </c>
      <c r="F195" s="2">
        <f>957-(D195+E195)</f>
        <v>617</v>
      </c>
      <c r="G195" s="2">
        <f t="shared" si="30"/>
        <v>957</v>
      </c>
      <c r="H195" s="29">
        <f t="shared" si="31"/>
        <v>0.35527690700104492</v>
      </c>
    </row>
    <row r="196" spans="1:8" x14ac:dyDescent="0.2">
      <c r="A196" s="26">
        <v>12</v>
      </c>
      <c r="B196" s="27">
        <v>402</v>
      </c>
      <c r="C196" s="43" t="s">
        <v>295</v>
      </c>
      <c r="D196" s="38">
        <v>285</v>
      </c>
      <c r="E196" s="2">
        <v>55</v>
      </c>
      <c r="F196" s="2">
        <f>890-(D196+E196)</f>
        <v>550</v>
      </c>
      <c r="G196" s="2">
        <f t="shared" si="30"/>
        <v>890</v>
      </c>
      <c r="H196" s="29">
        <f t="shared" si="31"/>
        <v>0.38202247191011235</v>
      </c>
    </row>
    <row r="197" spans="1:8" x14ac:dyDescent="0.2">
      <c r="A197" s="26">
        <v>12</v>
      </c>
      <c r="B197" s="27">
        <v>404</v>
      </c>
      <c r="C197" s="43" t="s">
        <v>296</v>
      </c>
      <c r="D197" s="38">
        <v>361</v>
      </c>
      <c r="E197" s="2">
        <v>101</v>
      </c>
      <c r="F197" s="2">
        <f>916-(D197+E197)</f>
        <v>454</v>
      </c>
      <c r="G197" s="2">
        <f t="shared" si="30"/>
        <v>916</v>
      </c>
      <c r="H197" s="29">
        <f t="shared" si="31"/>
        <v>0.50436681222707425</v>
      </c>
    </row>
    <row r="198" spans="1:8" x14ac:dyDescent="0.2">
      <c r="A198" s="26">
        <v>12</v>
      </c>
      <c r="B198" s="27">
        <v>411</v>
      </c>
      <c r="C198" s="43" t="s">
        <v>301</v>
      </c>
      <c r="D198" s="38">
        <v>455</v>
      </c>
      <c r="E198" s="2">
        <v>79</v>
      </c>
      <c r="F198" s="2">
        <f>967-(D198+E198)</f>
        <v>433</v>
      </c>
      <c r="G198" s="2">
        <f t="shared" si="30"/>
        <v>967</v>
      </c>
      <c r="H198" s="29">
        <f t="shared" si="31"/>
        <v>0.55222337125129262</v>
      </c>
    </row>
    <row r="199" spans="1:8" x14ac:dyDescent="0.2">
      <c r="A199" s="26">
        <v>12</v>
      </c>
      <c r="B199" s="27">
        <v>412</v>
      </c>
      <c r="C199" s="43" t="s">
        <v>302</v>
      </c>
      <c r="D199" s="38">
        <v>291</v>
      </c>
      <c r="E199" s="2">
        <v>40</v>
      </c>
      <c r="F199" s="2">
        <f>839-(D199+E199)</f>
        <v>508</v>
      </c>
      <c r="G199" s="2">
        <f t="shared" si="30"/>
        <v>839</v>
      </c>
      <c r="H199" s="29">
        <f t="shared" si="31"/>
        <v>0.39451728247914186</v>
      </c>
    </row>
    <row r="200" spans="1:8" x14ac:dyDescent="0.2">
      <c r="A200" s="26">
        <v>12</v>
      </c>
      <c r="B200" s="27">
        <v>416</v>
      </c>
      <c r="C200" s="43" t="s">
        <v>305</v>
      </c>
      <c r="D200" s="38">
        <v>619</v>
      </c>
      <c r="E200" s="2">
        <v>34</v>
      </c>
      <c r="F200" s="2">
        <f>757-(D200+E200)</f>
        <v>104</v>
      </c>
      <c r="G200" s="2">
        <f t="shared" si="30"/>
        <v>757</v>
      </c>
      <c r="H200" s="29">
        <f t="shared" si="31"/>
        <v>0.86261558784676351</v>
      </c>
    </row>
    <row r="201" spans="1:8" x14ac:dyDescent="0.2">
      <c r="A201" s="26">
        <v>12</v>
      </c>
      <c r="B201" s="27">
        <v>418</v>
      </c>
      <c r="C201" s="43" t="s">
        <v>311</v>
      </c>
      <c r="D201" s="38">
        <v>430</v>
      </c>
      <c r="E201" s="2">
        <v>106</v>
      </c>
      <c r="F201" s="2">
        <f>1129-(D201+E201)</f>
        <v>593</v>
      </c>
      <c r="G201" s="2">
        <f t="shared" si="30"/>
        <v>1129</v>
      </c>
      <c r="H201" s="29">
        <f t="shared" si="31"/>
        <v>0.47475642161204606</v>
      </c>
    </row>
    <row r="202" spans="1:8" x14ac:dyDescent="0.2">
      <c r="A202" s="26">
        <v>12</v>
      </c>
      <c r="B202" s="27">
        <v>419</v>
      </c>
      <c r="C202" s="43" t="s">
        <v>337</v>
      </c>
      <c r="D202" s="38">
        <v>409</v>
      </c>
      <c r="E202" s="2">
        <v>110</v>
      </c>
      <c r="F202" s="2">
        <f>1082-(D202+E202)</f>
        <v>563</v>
      </c>
      <c r="G202" s="2">
        <f t="shared" si="30"/>
        <v>1082</v>
      </c>
      <c r="H202" s="29">
        <f t="shared" si="31"/>
        <v>0.47966728280961185</v>
      </c>
    </row>
    <row r="203" spans="1:8" x14ac:dyDescent="0.2">
      <c r="A203" s="26">
        <v>12</v>
      </c>
      <c r="B203" s="27">
        <v>420</v>
      </c>
      <c r="C203" s="43" t="s">
        <v>317</v>
      </c>
      <c r="D203" s="38">
        <v>547</v>
      </c>
      <c r="E203" s="2">
        <v>85</v>
      </c>
      <c r="F203" s="2">
        <f>867-(D203+E203)</f>
        <v>235</v>
      </c>
      <c r="G203" s="2">
        <f t="shared" si="30"/>
        <v>867</v>
      </c>
      <c r="H203" s="29">
        <f t="shared" si="31"/>
        <v>0.72895040369088815</v>
      </c>
    </row>
    <row r="204" spans="1:8" x14ac:dyDescent="0.2">
      <c r="A204" s="26">
        <v>12</v>
      </c>
      <c r="B204" s="27">
        <v>422</v>
      </c>
      <c r="C204" s="43" t="s">
        <v>316</v>
      </c>
      <c r="D204" s="38">
        <v>531</v>
      </c>
      <c r="E204" s="2">
        <v>81</v>
      </c>
      <c r="F204" s="2">
        <f>978-(D204+E204)</f>
        <v>366</v>
      </c>
      <c r="G204" s="2">
        <f t="shared" si="30"/>
        <v>978</v>
      </c>
      <c r="H204" s="29">
        <f t="shared" si="31"/>
        <v>0.62576687116564422</v>
      </c>
    </row>
    <row r="205" spans="1:8" x14ac:dyDescent="0.2">
      <c r="A205" s="26">
        <v>12</v>
      </c>
      <c r="B205" s="27">
        <v>423</v>
      </c>
      <c r="C205" s="43" t="s">
        <v>320</v>
      </c>
      <c r="D205" s="38">
        <v>553</v>
      </c>
      <c r="E205" s="2">
        <v>126</v>
      </c>
      <c r="F205" s="2">
        <f>1221-(D205+E205)</f>
        <v>542</v>
      </c>
      <c r="G205" s="2">
        <f t="shared" si="30"/>
        <v>1221</v>
      </c>
      <c r="H205" s="29">
        <f t="shared" si="31"/>
        <v>0.55610155610155609</v>
      </c>
    </row>
    <row r="206" spans="1:8" x14ac:dyDescent="0.2">
      <c r="A206" s="26">
        <v>12</v>
      </c>
      <c r="B206" s="27">
        <v>428</v>
      </c>
      <c r="C206" s="43" t="s">
        <v>341</v>
      </c>
      <c r="D206" s="38">
        <v>515</v>
      </c>
      <c r="E206" s="2">
        <v>68</v>
      </c>
      <c r="F206" s="2">
        <f>931-(D206+E206)</f>
        <v>348</v>
      </c>
      <c r="G206" s="2">
        <f t="shared" si="30"/>
        <v>931</v>
      </c>
      <c r="H206" s="29">
        <f t="shared" si="31"/>
        <v>0.62620837808807739</v>
      </c>
    </row>
    <row r="207" spans="1:8" x14ac:dyDescent="0.2">
      <c r="A207" s="26">
        <v>12</v>
      </c>
      <c r="B207" s="27">
        <v>434</v>
      </c>
      <c r="C207" s="43" t="s">
        <v>347</v>
      </c>
      <c r="D207" s="38">
        <v>869</v>
      </c>
      <c r="E207" s="2">
        <v>118</v>
      </c>
      <c r="F207" s="2">
        <f>1188-(D207+E207)</f>
        <v>201</v>
      </c>
      <c r="G207" s="2">
        <f t="shared" si="30"/>
        <v>1188</v>
      </c>
      <c r="H207" s="29">
        <f t="shared" si="31"/>
        <v>0.83080808080808077</v>
      </c>
    </row>
    <row r="208" spans="1:8" x14ac:dyDescent="0.2">
      <c r="A208" s="26">
        <v>12</v>
      </c>
      <c r="B208" s="27">
        <v>616</v>
      </c>
      <c r="C208" s="43" t="s">
        <v>204</v>
      </c>
      <c r="D208" s="38">
        <v>83</v>
      </c>
      <c r="E208" s="2">
        <v>6</v>
      </c>
      <c r="F208" s="2">
        <f>108-(D208+E208)</f>
        <v>19</v>
      </c>
      <c r="G208" s="2">
        <f t="shared" si="30"/>
        <v>108</v>
      </c>
      <c r="H208" s="29">
        <f t="shared" si="31"/>
        <v>0.82407407407407407</v>
      </c>
    </row>
    <row r="209" spans="1:8" x14ac:dyDescent="0.2">
      <c r="A209" s="26">
        <v>12</v>
      </c>
      <c r="B209" s="27">
        <v>702</v>
      </c>
      <c r="C209" s="28" t="s">
        <v>41</v>
      </c>
      <c r="D209" s="38">
        <v>696</v>
      </c>
      <c r="E209" s="2">
        <v>114</v>
      </c>
      <c r="F209" s="2">
        <f>2063-(D209+E209)</f>
        <v>1253</v>
      </c>
      <c r="G209" s="2">
        <f t="shared" ref="G209:G240" si="32">SUM(D209:F209)</f>
        <v>2063</v>
      </c>
      <c r="H209" s="29">
        <f t="shared" ref="H209:H240" si="33">+(D209+E209)/G209</f>
        <v>0.3926320891904993</v>
      </c>
    </row>
    <row r="210" spans="1:8" x14ac:dyDescent="0.2">
      <c r="A210" s="26">
        <v>12</v>
      </c>
      <c r="B210" s="27">
        <v>704</v>
      </c>
      <c r="C210" s="28" t="s">
        <v>42</v>
      </c>
      <c r="D210" s="38">
        <v>491</v>
      </c>
      <c r="E210" s="2">
        <v>122</v>
      </c>
      <c r="F210" s="2">
        <f>1582-(D210+E210)</f>
        <v>969</v>
      </c>
      <c r="G210" s="2">
        <f t="shared" si="32"/>
        <v>1582</v>
      </c>
      <c r="H210" s="29">
        <f t="shared" si="33"/>
        <v>0.38748419721871047</v>
      </c>
    </row>
    <row r="211" spans="1:8" x14ac:dyDescent="0.2">
      <c r="A211" s="26">
        <v>12</v>
      </c>
      <c r="B211" s="27">
        <v>708</v>
      </c>
      <c r="C211" s="28" t="s">
        <v>43</v>
      </c>
      <c r="D211" s="38">
        <v>846</v>
      </c>
      <c r="E211" s="2">
        <v>114</v>
      </c>
      <c r="F211" s="2">
        <f>1660-(D211+E211)</f>
        <v>700</v>
      </c>
      <c r="G211" s="2">
        <f t="shared" si="32"/>
        <v>1660</v>
      </c>
      <c r="H211" s="29">
        <f t="shared" si="33"/>
        <v>0.57831325301204817</v>
      </c>
    </row>
    <row r="212" spans="1:8" x14ac:dyDescent="0.2">
      <c r="A212" s="26">
        <v>12</v>
      </c>
      <c r="B212" s="27">
        <v>710</v>
      </c>
      <c r="C212" s="28" t="s">
        <v>44</v>
      </c>
      <c r="D212" s="38">
        <v>779</v>
      </c>
      <c r="E212" s="2">
        <v>152</v>
      </c>
      <c r="F212" s="2">
        <f>2116-(D212+E212)</f>
        <v>1185</v>
      </c>
      <c r="G212" s="2">
        <f t="shared" si="32"/>
        <v>2116</v>
      </c>
      <c r="H212" s="29">
        <f t="shared" si="33"/>
        <v>0.43998109640831756</v>
      </c>
    </row>
    <row r="213" spans="1:8" x14ac:dyDescent="0.2">
      <c r="A213" s="26">
        <v>12</v>
      </c>
      <c r="B213" s="27">
        <v>714</v>
      </c>
      <c r="C213" s="28" t="s">
        <v>45</v>
      </c>
      <c r="D213" s="38">
        <v>638</v>
      </c>
      <c r="E213" s="2">
        <v>127</v>
      </c>
      <c r="F213" s="2">
        <f>1585-(D213+E213)</f>
        <v>820</v>
      </c>
      <c r="G213" s="2">
        <f t="shared" si="32"/>
        <v>1585</v>
      </c>
      <c r="H213" s="29">
        <f t="shared" si="33"/>
        <v>0.48264984227129337</v>
      </c>
    </row>
    <row r="214" spans="1:8" x14ac:dyDescent="0.2">
      <c r="A214" s="26">
        <v>12</v>
      </c>
      <c r="B214" s="27">
        <v>760</v>
      </c>
      <c r="C214" s="43" t="s">
        <v>205</v>
      </c>
      <c r="D214" s="38">
        <v>116</v>
      </c>
      <c r="E214" s="2">
        <v>11</v>
      </c>
      <c r="F214" s="2">
        <f>226-(D214+E214)</f>
        <v>99</v>
      </c>
      <c r="G214" s="2">
        <f t="shared" si="32"/>
        <v>226</v>
      </c>
      <c r="H214" s="29">
        <f t="shared" si="33"/>
        <v>0.56194690265486724</v>
      </c>
    </row>
    <row r="215" spans="1:8" x14ac:dyDescent="0.2">
      <c r="A215" s="26">
        <v>12</v>
      </c>
      <c r="B215" s="27">
        <v>810</v>
      </c>
      <c r="C215" s="43" t="s">
        <v>203</v>
      </c>
      <c r="D215" s="38">
        <v>98</v>
      </c>
      <c r="E215" s="2">
        <v>17</v>
      </c>
      <c r="F215" s="2">
        <f>199-(D215+E215)</f>
        <v>84</v>
      </c>
      <c r="G215" s="2">
        <f t="shared" si="32"/>
        <v>199</v>
      </c>
      <c r="H215" s="29">
        <f t="shared" si="33"/>
        <v>0.57788944723618085</v>
      </c>
    </row>
    <row r="216" spans="1:8" x14ac:dyDescent="0.2">
      <c r="A216" s="26">
        <v>12</v>
      </c>
      <c r="B216" s="27">
        <v>900</v>
      </c>
      <c r="C216" s="43" t="s">
        <v>542</v>
      </c>
      <c r="D216" s="38">
        <v>46</v>
      </c>
      <c r="E216" s="2">
        <v>32</v>
      </c>
      <c r="F216" s="2">
        <f>215-(D216+E216)</f>
        <v>137</v>
      </c>
      <c r="G216" s="2">
        <f t="shared" si="32"/>
        <v>215</v>
      </c>
      <c r="H216" s="29">
        <f t="shared" si="33"/>
        <v>0.36279069767441863</v>
      </c>
    </row>
    <row r="217" spans="1:8" x14ac:dyDescent="0.2">
      <c r="A217" s="30"/>
      <c r="B217" s="31"/>
      <c r="C217" s="32"/>
      <c r="D217" s="3"/>
      <c r="E217" s="34"/>
      <c r="F217" s="33"/>
      <c r="G217" s="34"/>
      <c r="H217" s="35"/>
    </row>
    <row r="218" spans="1:8" x14ac:dyDescent="0.2">
      <c r="A218" s="30"/>
      <c r="B218" s="31"/>
      <c r="C218" s="37" t="s">
        <v>46</v>
      </c>
      <c r="D218" s="3"/>
      <c r="E218" s="34"/>
      <c r="F218" s="33"/>
      <c r="G218" s="34"/>
      <c r="H218" s="35"/>
    </row>
    <row r="219" spans="1:8" x14ac:dyDescent="0.2">
      <c r="A219" s="26">
        <v>13</v>
      </c>
      <c r="B219" s="27">
        <v>104</v>
      </c>
      <c r="C219" s="43" t="s">
        <v>350</v>
      </c>
      <c r="D219" s="38">
        <v>327</v>
      </c>
      <c r="E219" s="2">
        <v>53</v>
      </c>
      <c r="F219" s="2">
        <f>589-(D219+E219)</f>
        <v>209</v>
      </c>
      <c r="G219" s="2">
        <f t="shared" ref="G219:G231" si="34">SUM(D219:F219)</f>
        <v>589</v>
      </c>
      <c r="H219" s="29">
        <f t="shared" ref="H219:H231" si="35">+(D219+E219)/G219</f>
        <v>0.64516129032258063</v>
      </c>
    </row>
    <row r="220" spans="1:8" x14ac:dyDescent="0.2">
      <c r="A220" s="26">
        <v>13</v>
      </c>
      <c r="B220" s="27">
        <v>108</v>
      </c>
      <c r="C220" s="28" t="s">
        <v>47</v>
      </c>
      <c r="D220" s="38">
        <v>179</v>
      </c>
      <c r="E220" s="2">
        <v>42</v>
      </c>
      <c r="F220" s="2">
        <f>356-(D220+E220)</f>
        <v>135</v>
      </c>
      <c r="G220" s="2">
        <f t="shared" si="34"/>
        <v>356</v>
      </c>
      <c r="H220" s="29">
        <f t="shared" si="35"/>
        <v>0.6207865168539326</v>
      </c>
    </row>
    <row r="221" spans="1:8" x14ac:dyDescent="0.2">
      <c r="A221" s="26">
        <v>13</v>
      </c>
      <c r="B221" s="27">
        <v>116</v>
      </c>
      <c r="C221" s="28" t="s">
        <v>48</v>
      </c>
      <c r="D221" s="38">
        <v>87</v>
      </c>
      <c r="E221" s="2">
        <v>18</v>
      </c>
      <c r="F221" s="2">
        <f>126-(D221+E221)</f>
        <v>21</v>
      </c>
      <c r="G221" s="2">
        <f t="shared" si="34"/>
        <v>126</v>
      </c>
      <c r="H221" s="29">
        <f t="shared" si="35"/>
        <v>0.83333333333333337</v>
      </c>
    </row>
    <row r="222" spans="1:8" x14ac:dyDescent="0.2">
      <c r="A222" s="26">
        <v>13</v>
      </c>
      <c r="B222" s="27">
        <v>120</v>
      </c>
      <c r="C222" s="43" t="s">
        <v>351</v>
      </c>
      <c r="D222" s="38">
        <v>183</v>
      </c>
      <c r="E222" s="2">
        <v>125</v>
      </c>
      <c r="F222" s="2">
        <f>602-(D222+E222)</f>
        <v>294</v>
      </c>
      <c r="G222" s="2">
        <f t="shared" si="34"/>
        <v>602</v>
      </c>
      <c r="H222" s="29">
        <f t="shared" si="35"/>
        <v>0.51162790697674421</v>
      </c>
    </row>
    <row r="223" spans="1:8" x14ac:dyDescent="0.2">
      <c r="A223" s="26">
        <v>13</v>
      </c>
      <c r="B223" s="27">
        <v>124</v>
      </c>
      <c r="C223" s="28" t="s">
        <v>49</v>
      </c>
      <c r="D223" s="38">
        <v>197</v>
      </c>
      <c r="E223" s="2">
        <v>52</v>
      </c>
      <c r="F223" s="2">
        <f>533-(D223+E223)</f>
        <v>284</v>
      </c>
      <c r="G223" s="2">
        <f t="shared" si="34"/>
        <v>533</v>
      </c>
      <c r="H223" s="29">
        <f t="shared" si="35"/>
        <v>0.46716697936210133</v>
      </c>
    </row>
    <row r="224" spans="1:8" x14ac:dyDescent="0.2">
      <c r="A224" s="26">
        <v>13</v>
      </c>
      <c r="B224" s="27">
        <v>128</v>
      </c>
      <c r="C224" s="28" t="s">
        <v>50</v>
      </c>
      <c r="D224" s="38">
        <v>209</v>
      </c>
      <c r="E224" s="2">
        <v>99</v>
      </c>
      <c r="F224" s="2">
        <f>748-(D224+E224)</f>
        <v>440</v>
      </c>
      <c r="G224" s="2">
        <f t="shared" si="34"/>
        <v>748</v>
      </c>
      <c r="H224" s="29">
        <f t="shared" si="35"/>
        <v>0.41176470588235292</v>
      </c>
    </row>
    <row r="225" spans="1:8" x14ac:dyDescent="0.2">
      <c r="A225" s="26">
        <v>13</v>
      </c>
      <c r="B225" s="27">
        <v>132</v>
      </c>
      <c r="C225" s="43" t="s">
        <v>352</v>
      </c>
      <c r="D225" s="38">
        <v>209</v>
      </c>
      <c r="E225" s="2">
        <v>80</v>
      </c>
      <c r="F225" s="2">
        <f>654-(D225+E225)</f>
        <v>365</v>
      </c>
      <c r="G225" s="2">
        <f t="shared" si="34"/>
        <v>654</v>
      </c>
      <c r="H225" s="29">
        <f t="shared" si="35"/>
        <v>0.44189602446483178</v>
      </c>
    </row>
    <row r="226" spans="1:8" x14ac:dyDescent="0.2">
      <c r="A226" s="26">
        <v>13</v>
      </c>
      <c r="B226" s="27">
        <v>136</v>
      </c>
      <c r="C226" s="43" t="s">
        <v>353</v>
      </c>
      <c r="D226" s="38">
        <v>229</v>
      </c>
      <c r="E226" s="2">
        <v>88</v>
      </c>
      <c r="F226" s="2">
        <f>521-(D226+E226)</f>
        <v>204</v>
      </c>
      <c r="G226" s="2">
        <f t="shared" si="34"/>
        <v>521</v>
      </c>
      <c r="H226" s="29">
        <f t="shared" si="35"/>
        <v>0.60844529750479848</v>
      </c>
    </row>
    <row r="227" spans="1:8" x14ac:dyDescent="0.2">
      <c r="A227" s="26">
        <v>13</v>
      </c>
      <c r="B227" s="27">
        <v>304</v>
      </c>
      <c r="C227" s="70" t="s">
        <v>51</v>
      </c>
      <c r="D227" s="38">
        <v>329</v>
      </c>
      <c r="E227" s="2">
        <v>87</v>
      </c>
      <c r="F227" s="2">
        <f>919-(D227+E227)</f>
        <v>503</v>
      </c>
      <c r="G227" s="2">
        <f t="shared" si="34"/>
        <v>919</v>
      </c>
      <c r="H227" s="29">
        <f t="shared" si="35"/>
        <v>0.45266594124047876</v>
      </c>
    </row>
    <row r="228" spans="1:8" x14ac:dyDescent="0.2">
      <c r="A228" s="26">
        <v>13</v>
      </c>
      <c r="B228" s="27">
        <v>306</v>
      </c>
      <c r="C228" s="28" t="s">
        <v>163</v>
      </c>
      <c r="D228" s="38">
        <v>310</v>
      </c>
      <c r="E228" s="2">
        <v>144</v>
      </c>
      <c r="F228" s="2">
        <f>869-(D228+E228)</f>
        <v>415</v>
      </c>
      <c r="G228" s="2">
        <f t="shared" si="34"/>
        <v>869</v>
      </c>
      <c r="H228" s="29">
        <f t="shared" si="35"/>
        <v>0.52243958573072502</v>
      </c>
    </row>
    <row r="229" spans="1:8" x14ac:dyDescent="0.2">
      <c r="A229" s="26">
        <v>13</v>
      </c>
      <c r="B229" s="27">
        <v>712</v>
      </c>
      <c r="C229" s="28" t="s">
        <v>52</v>
      </c>
      <c r="D229" s="38">
        <v>343</v>
      </c>
      <c r="E229" s="2">
        <v>130</v>
      </c>
      <c r="F229" s="2">
        <f>1090-(D229+E229)</f>
        <v>617</v>
      </c>
      <c r="G229" s="2">
        <f t="shared" si="34"/>
        <v>1090</v>
      </c>
      <c r="H229" s="29">
        <f t="shared" si="35"/>
        <v>0.43394495412844036</v>
      </c>
    </row>
    <row r="230" spans="1:8" x14ac:dyDescent="0.2">
      <c r="A230" s="26">
        <v>13</v>
      </c>
      <c r="B230" s="26">
        <v>750</v>
      </c>
      <c r="C230" s="28" t="s">
        <v>150</v>
      </c>
      <c r="D230" s="2">
        <v>48</v>
      </c>
      <c r="E230" s="2">
        <v>3</v>
      </c>
      <c r="F230" s="2">
        <f>94-(D230+E230)</f>
        <v>43</v>
      </c>
      <c r="G230" s="2">
        <f t="shared" ref="G230" si="36">SUM(D230:F230)</f>
        <v>94</v>
      </c>
      <c r="H230" s="29">
        <f t="shared" ref="H230" si="37">+(D230+E230)/G230</f>
        <v>0.54255319148936165</v>
      </c>
    </row>
    <row r="231" spans="1:8" x14ac:dyDescent="0.2">
      <c r="A231" s="45" t="s">
        <v>503</v>
      </c>
      <c r="B231" s="27">
        <v>100</v>
      </c>
      <c r="C231" s="43" t="s">
        <v>525</v>
      </c>
      <c r="D231" s="38">
        <v>261</v>
      </c>
      <c r="E231" s="2">
        <v>66</v>
      </c>
      <c r="F231" s="2">
        <f>467-(D231+E231)</f>
        <v>140</v>
      </c>
      <c r="G231" s="2">
        <f t="shared" si="34"/>
        <v>467</v>
      </c>
      <c r="H231" s="29">
        <f t="shared" si="35"/>
        <v>0.70021413276231259</v>
      </c>
    </row>
    <row r="232" spans="1:8" x14ac:dyDescent="0.2">
      <c r="A232" s="30"/>
      <c r="B232" s="31"/>
      <c r="C232" s="32"/>
      <c r="D232" s="3"/>
      <c r="E232" s="34"/>
      <c r="F232" s="33"/>
      <c r="G232" s="34"/>
      <c r="H232" s="35"/>
    </row>
    <row r="233" spans="1:8" x14ac:dyDescent="0.2">
      <c r="A233" s="30"/>
      <c r="B233" s="31"/>
      <c r="C233" s="37" t="s">
        <v>53</v>
      </c>
      <c r="D233" s="3"/>
      <c r="E233" s="34"/>
      <c r="F233" s="33"/>
      <c r="G233" s="34"/>
      <c r="H233" s="35"/>
    </row>
    <row r="234" spans="1:8" x14ac:dyDescent="0.2">
      <c r="A234" s="44">
        <v>14</v>
      </c>
      <c r="B234" s="52">
        <v>111</v>
      </c>
      <c r="C234" s="43" t="s">
        <v>253</v>
      </c>
      <c r="D234" s="38">
        <v>389</v>
      </c>
      <c r="E234" s="2">
        <v>69</v>
      </c>
      <c r="F234" s="2">
        <f>731-(D234+E234)</f>
        <v>273</v>
      </c>
      <c r="G234" s="2">
        <f t="shared" ref="G234:G246" si="38">SUM(D234:F234)</f>
        <v>731</v>
      </c>
      <c r="H234" s="29">
        <f t="shared" ref="H234:H246" si="39">+(D234+E234)/G234</f>
        <v>0.62653898768809846</v>
      </c>
    </row>
    <row r="235" spans="1:8" x14ac:dyDescent="0.2">
      <c r="A235" s="44">
        <v>14</v>
      </c>
      <c r="B235" s="52">
        <v>132</v>
      </c>
      <c r="C235" s="43" t="s">
        <v>364</v>
      </c>
      <c r="D235" s="38">
        <v>362</v>
      </c>
      <c r="E235" s="2">
        <v>68</v>
      </c>
      <c r="F235" s="2">
        <f>755-(D235+E235)</f>
        <v>325</v>
      </c>
      <c r="G235" s="2">
        <f t="shared" si="38"/>
        <v>755</v>
      </c>
      <c r="H235" s="29">
        <f t="shared" si="39"/>
        <v>0.56953642384105962</v>
      </c>
    </row>
    <row r="236" spans="1:8" x14ac:dyDescent="0.2">
      <c r="A236" s="44">
        <v>14</v>
      </c>
      <c r="B236" s="52">
        <v>138</v>
      </c>
      <c r="C236" s="43" t="s">
        <v>366</v>
      </c>
      <c r="D236" s="38">
        <v>245</v>
      </c>
      <c r="E236" s="2">
        <v>30</v>
      </c>
      <c r="F236" s="2">
        <f>365-(D236+E236)</f>
        <v>90</v>
      </c>
      <c r="G236" s="2">
        <f t="shared" si="38"/>
        <v>365</v>
      </c>
      <c r="H236" s="29">
        <f t="shared" si="39"/>
        <v>0.75342465753424659</v>
      </c>
    </row>
    <row r="237" spans="1:8" x14ac:dyDescent="0.2">
      <c r="A237" s="44">
        <v>14</v>
      </c>
      <c r="B237" s="52">
        <v>147</v>
      </c>
      <c r="C237" s="43" t="s">
        <v>367</v>
      </c>
      <c r="D237" s="38">
        <v>330</v>
      </c>
      <c r="E237" s="2">
        <v>87</v>
      </c>
      <c r="F237" s="2">
        <f>769-(D237+E237)</f>
        <v>352</v>
      </c>
      <c r="G237" s="2">
        <f t="shared" si="38"/>
        <v>769</v>
      </c>
      <c r="H237" s="29">
        <f t="shared" si="39"/>
        <v>0.5422626788036411</v>
      </c>
    </row>
    <row r="238" spans="1:8" x14ac:dyDescent="0.2">
      <c r="A238" s="44">
        <v>14</v>
      </c>
      <c r="B238" s="52">
        <v>153</v>
      </c>
      <c r="C238" s="43" t="s">
        <v>368</v>
      </c>
      <c r="D238" s="38">
        <v>267</v>
      </c>
      <c r="E238" s="2">
        <v>56</v>
      </c>
      <c r="F238" s="2">
        <f>695-(D238+E238)</f>
        <v>372</v>
      </c>
      <c r="G238" s="2">
        <f t="shared" si="38"/>
        <v>695</v>
      </c>
      <c r="H238" s="29">
        <f t="shared" si="39"/>
        <v>0.46474820143884893</v>
      </c>
    </row>
    <row r="239" spans="1:8" x14ac:dyDescent="0.2">
      <c r="A239" s="44">
        <v>14</v>
      </c>
      <c r="B239" s="52">
        <v>162</v>
      </c>
      <c r="C239" s="43" t="s">
        <v>369</v>
      </c>
      <c r="D239" s="38">
        <v>145</v>
      </c>
      <c r="E239" s="2">
        <v>63</v>
      </c>
      <c r="F239" s="2">
        <f>499-(D239+E239)</f>
        <v>291</v>
      </c>
      <c r="G239" s="2">
        <f t="shared" si="38"/>
        <v>499</v>
      </c>
      <c r="H239" s="29">
        <f t="shared" si="39"/>
        <v>0.41683366733466931</v>
      </c>
    </row>
    <row r="240" spans="1:8" x14ac:dyDescent="0.2">
      <c r="A240" s="44">
        <v>14</v>
      </c>
      <c r="B240" s="52">
        <v>168</v>
      </c>
      <c r="C240" s="43" t="s">
        <v>370</v>
      </c>
      <c r="D240" s="38">
        <v>155</v>
      </c>
      <c r="E240" s="2">
        <v>43</v>
      </c>
      <c r="F240" s="2">
        <f>519-(D240+E240)</f>
        <v>321</v>
      </c>
      <c r="G240" s="2">
        <f t="shared" si="38"/>
        <v>519</v>
      </c>
      <c r="H240" s="29">
        <f t="shared" si="39"/>
        <v>0.38150289017341038</v>
      </c>
    </row>
    <row r="241" spans="1:8" x14ac:dyDescent="0.2">
      <c r="A241" s="44">
        <v>14</v>
      </c>
      <c r="B241" s="52">
        <v>169</v>
      </c>
      <c r="C241" s="43" t="s">
        <v>371</v>
      </c>
      <c r="D241" s="38">
        <v>195</v>
      </c>
      <c r="E241" s="2">
        <v>46</v>
      </c>
      <c r="F241" s="2">
        <f>595-(D241+E241)</f>
        <v>354</v>
      </c>
      <c r="G241" s="2">
        <f t="shared" si="38"/>
        <v>595</v>
      </c>
      <c r="H241" s="29">
        <f t="shared" si="39"/>
        <v>0.40504201680672269</v>
      </c>
    </row>
    <row r="242" spans="1:8" x14ac:dyDescent="0.2">
      <c r="A242" s="44">
        <v>14</v>
      </c>
      <c r="B242" s="52">
        <v>175</v>
      </c>
      <c r="C242" s="43" t="s">
        <v>362</v>
      </c>
      <c r="D242" s="38">
        <v>221</v>
      </c>
      <c r="E242" s="2">
        <v>45</v>
      </c>
      <c r="F242" s="2">
        <f>736-(D242+E242)</f>
        <v>470</v>
      </c>
      <c r="G242" s="2">
        <f t="shared" si="38"/>
        <v>736</v>
      </c>
      <c r="H242" s="29">
        <f t="shared" si="39"/>
        <v>0.36141304347826086</v>
      </c>
    </row>
    <row r="243" spans="1:8" x14ac:dyDescent="0.2">
      <c r="A243" s="44">
        <v>14</v>
      </c>
      <c r="B243" s="52">
        <v>406</v>
      </c>
      <c r="C243" s="43" t="s">
        <v>365</v>
      </c>
      <c r="D243" s="38">
        <v>265</v>
      </c>
      <c r="E243" s="2">
        <v>56</v>
      </c>
      <c r="F243" s="2">
        <f>794-(D243+E243)</f>
        <v>473</v>
      </c>
      <c r="G243" s="2">
        <f t="shared" si="38"/>
        <v>794</v>
      </c>
      <c r="H243" s="29">
        <f t="shared" si="39"/>
        <v>0.40428211586901763</v>
      </c>
    </row>
    <row r="244" spans="1:8" x14ac:dyDescent="0.2">
      <c r="A244" s="44">
        <v>14</v>
      </c>
      <c r="B244" s="52">
        <v>412</v>
      </c>
      <c r="C244" s="43" t="s">
        <v>56</v>
      </c>
      <c r="D244" s="38">
        <v>397</v>
      </c>
      <c r="E244" s="2">
        <v>82</v>
      </c>
      <c r="F244" s="2">
        <f>955-(D244+E244)</f>
        <v>476</v>
      </c>
      <c r="G244" s="2">
        <f t="shared" si="38"/>
        <v>955</v>
      </c>
      <c r="H244" s="29">
        <f t="shared" si="39"/>
        <v>0.50157068062827226</v>
      </c>
    </row>
    <row r="245" spans="1:8" x14ac:dyDescent="0.2">
      <c r="A245" s="44">
        <v>14</v>
      </c>
      <c r="B245" s="52">
        <v>718</v>
      </c>
      <c r="C245" s="43" t="s">
        <v>57</v>
      </c>
      <c r="D245" s="38">
        <v>544</v>
      </c>
      <c r="E245" s="2">
        <v>136</v>
      </c>
      <c r="F245" s="2">
        <f>1746-(D245+E245)</f>
        <v>1066</v>
      </c>
      <c r="G245" s="2">
        <f t="shared" si="38"/>
        <v>1746</v>
      </c>
      <c r="H245" s="29">
        <f t="shared" si="39"/>
        <v>0.38946162657502864</v>
      </c>
    </row>
    <row r="246" spans="1:8" x14ac:dyDescent="0.2">
      <c r="A246" s="44">
        <v>14</v>
      </c>
      <c r="B246" s="52">
        <v>802</v>
      </c>
      <c r="C246" s="43" t="s">
        <v>58</v>
      </c>
      <c r="D246" s="38">
        <v>51</v>
      </c>
      <c r="E246" s="2">
        <v>2</v>
      </c>
      <c r="F246" s="2">
        <f>127-(D246+E246)</f>
        <v>74</v>
      </c>
      <c r="G246" s="2">
        <f t="shared" si="38"/>
        <v>127</v>
      </c>
      <c r="H246" s="29">
        <f t="shared" si="39"/>
        <v>0.41732283464566927</v>
      </c>
    </row>
    <row r="247" spans="1:8" x14ac:dyDescent="0.2">
      <c r="A247" s="30"/>
      <c r="B247" s="31"/>
      <c r="C247" s="32"/>
      <c r="D247" s="3"/>
      <c r="E247" s="34"/>
      <c r="F247" s="33"/>
      <c r="G247" s="34"/>
      <c r="H247" s="35"/>
    </row>
    <row r="248" spans="1:8" x14ac:dyDescent="0.2">
      <c r="A248" s="30"/>
      <c r="B248" s="31"/>
      <c r="C248" s="37" t="s">
        <v>59</v>
      </c>
      <c r="D248" s="4"/>
      <c r="E248" s="34"/>
      <c r="F248" s="68"/>
      <c r="G248" s="34"/>
      <c r="H248" s="35"/>
    </row>
    <row r="249" spans="1:8" x14ac:dyDescent="0.2">
      <c r="A249" s="26">
        <v>15</v>
      </c>
      <c r="B249" s="27">
        <v>110</v>
      </c>
      <c r="C249" s="43" t="s">
        <v>354</v>
      </c>
      <c r="D249" s="38">
        <v>126</v>
      </c>
      <c r="E249" s="69">
        <v>41</v>
      </c>
      <c r="F249" s="2">
        <f>357-(D249+E249)</f>
        <v>190</v>
      </c>
      <c r="G249" s="2">
        <f t="shared" ref="G249:G253" si="40">SUM(D249:F249)</f>
        <v>357</v>
      </c>
      <c r="H249" s="29">
        <f t="shared" ref="H249:H253" si="41">+(D249+E249)/G249</f>
        <v>0.46778711484593838</v>
      </c>
    </row>
    <row r="250" spans="1:8" x14ac:dyDescent="0.2">
      <c r="A250" s="26">
        <v>15</v>
      </c>
      <c r="B250" s="27">
        <v>112</v>
      </c>
      <c r="C250" s="43" t="s">
        <v>356</v>
      </c>
      <c r="D250" s="38">
        <v>147</v>
      </c>
      <c r="E250" s="69">
        <v>82</v>
      </c>
      <c r="F250" s="2">
        <f>450-(D250+E250)</f>
        <v>221</v>
      </c>
      <c r="G250" s="2">
        <f t="shared" si="40"/>
        <v>450</v>
      </c>
      <c r="H250" s="29">
        <f t="shared" si="41"/>
        <v>0.50888888888888884</v>
      </c>
    </row>
    <row r="251" spans="1:8" x14ac:dyDescent="0.2">
      <c r="A251" s="26">
        <v>15</v>
      </c>
      <c r="B251" s="27">
        <v>112</v>
      </c>
      <c r="C251" s="43" t="s">
        <v>355</v>
      </c>
      <c r="D251" s="38">
        <v>72</v>
      </c>
      <c r="E251" s="69">
        <v>41</v>
      </c>
      <c r="F251" s="2">
        <f>288-(D251+E251)</f>
        <v>175</v>
      </c>
      <c r="G251" s="2">
        <f t="shared" si="40"/>
        <v>288</v>
      </c>
      <c r="H251" s="29">
        <f t="shared" si="41"/>
        <v>0.3923611111111111</v>
      </c>
    </row>
    <row r="252" spans="1:8" x14ac:dyDescent="0.2">
      <c r="A252" s="26">
        <v>15</v>
      </c>
      <c r="B252" s="27">
        <v>304</v>
      </c>
      <c r="C252" s="28" t="s">
        <v>158</v>
      </c>
      <c r="D252" s="38">
        <v>96</v>
      </c>
      <c r="E252" s="69">
        <v>42</v>
      </c>
      <c r="F252" s="2">
        <f>374-(D252+E252)</f>
        <v>236</v>
      </c>
      <c r="G252" s="2">
        <f t="shared" si="40"/>
        <v>374</v>
      </c>
      <c r="H252" s="29">
        <f t="shared" si="41"/>
        <v>0.36898395721925131</v>
      </c>
    </row>
    <row r="253" spans="1:8" x14ac:dyDescent="0.2">
      <c r="A253" s="26">
        <v>15</v>
      </c>
      <c r="B253" s="27">
        <v>704</v>
      </c>
      <c r="C253" s="28" t="s">
        <v>60</v>
      </c>
      <c r="D253" s="38">
        <v>175</v>
      </c>
      <c r="E253" s="69">
        <v>79</v>
      </c>
      <c r="F253" s="2">
        <f>680-(D253+E253)</f>
        <v>426</v>
      </c>
      <c r="G253" s="2">
        <f t="shared" si="40"/>
        <v>680</v>
      </c>
      <c r="H253" s="29">
        <f t="shared" si="41"/>
        <v>0.37352941176470589</v>
      </c>
    </row>
    <row r="254" spans="1:8" x14ac:dyDescent="0.2">
      <c r="A254" s="30"/>
      <c r="B254" s="31"/>
      <c r="C254" s="32"/>
      <c r="D254" s="3"/>
      <c r="E254" s="34"/>
      <c r="F254" s="33"/>
      <c r="G254" s="34"/>
      <c r="H254" s="35"/>
    </row>
    <row r="255" spans="1:8" x14ac:dyDescent="0.2">
      <c r="A255" s="30"/>
      <c r="B255" s="31"/>
      <c r="C255" s="37" t="s">
        <v>61</v>
      </c>
      <c r="D255" s="3"/>
      <c r="E255" s="34"/>
      <c r="F255" s="33"/>
      <c r="G255" s="34"/>
      <c r="H255" s="35"/>
    </row>
    <row r="256" spans="1:8" x14ac:dyDescent="0.2">
      <c r="A256" s="26">
        <v>16</v>
      </c>
      <c r="B256" s="27">
        <v>110</v>
      </c>
      <c r="C256" s="43" t="s">
        <v>357</v>
      </c>
      <c r="D256" s="38">
        <v>40</v>
      </c>
      <c r="E256" s="2">
        <v>4</v>
      </c>
      <c r="F256" s="2">
        <f>70-(D256+E256)</f>
        <v>26</v>
      </c>
      <c r="G256" s="2">
        <f t="shared" ref="G256:G263" si="42">SUM(D256:F256)</f>
        <v>70</v>
      </c>
      <c r="H256" s="29">
        <f t="shared" ref="H256:H261" si="43">+(D256+E256)/G256</f>
        <v>0.62857142857142856</v>
      </c>
    </row>
    <row r="257" spans="1:8" x14ac:dyDescent="0.2">
      <c r="A257" s="26">
        <v>16</v>
      </c>
      <c r="B257" s="27">
        <v>116</v>
      </c>
      <c r="C257" s="28" t="s">
        <v>62</v>
      </c>
      <c r="D257" s="38">
        <v>168</v>
      </c>
      <c r="E257" s="2">
        <v>62</v>
      </c>
      <c r="F257" s="2">
        <f>453-(D257+E257)</f>
        <v>223</v>
      </c>
      <c r="G257" s="2">
        <f t="shared" si="42"/>
        <v>453</v>
      </c>
      <c r="H257" s="29">
        <f t="shared" si="43"/>
        <v>0.50772626931567333</v>
      </c>
    </row>
    <row r="258" spans="1:8" x14ac:dyDescent="0.2">
      <c r="A258" s="26">
        <v>16</v>
      </c>
      <c r="B258" s="27">
        <v>120</v>
      </c>
      <c r="C258" s="28" t="s">
        <v>63</v>
      </c>
      <c r="D258" s="38">
        <v>73</v>
      </c>
      <c r="E258" s="2">
        <v>32</v>
      </c>
      <c r="F258" s="2">
        <f>164-(D258+E258)</f>
        <v>59</v>
      </c>
      <c r="G258" s="2">
        <f t="shared" si="42"/>
        <v>164</v>
      </c>
      <c r="H258" s="29">
        <f t="shared" si="43"/>
        <v>0.6402439024390244</v>
      </c>
    </row>
    <row r="259" spans="1:8" x14ac:dyDescent="0.2">
      <c r="A259" s="26">
        <v>16</v>
      </c>
      <c r="B259" s="27">
        <v>130</v>
      </c>
      <c r="C259" s="43" t="s">
        <v>358</v>
      </c>
      <c r="D259" s="38">
        <v>7</v>
      </c>
      <c r="E259" s="2">
        <v>7</v>
      </c>
      <c r="F259" s="2">
        <f>23-(D259+E259)</f>
        <v>9</v>
      </c>
      <c r="G259" s="2">
        <f t="shared" si="42"/>
        <v>23</v>
      </c>
      <c r="H259" s="29">
        <f t="shared" si="43"/>
        <v>0.60869565217391308</v>
      </c>
    </row>
    <row r="260" spans="1:8" x14ac:dyDescent="0.2">
      <c r="A260" s="26">
        <v>16</v>
      </c>
      <c r="B260" s="27">
        <v>310</v>
      </c>
      <c r="C260" s="28" t="s">
        <v>64</v>
      </c>
      <c r="D260" s="38">
        <v>43</v>
      </c>
      <c r="E260" s="2">
        <v>15</v>
      </c>
      <c r="F260" s="2">
        <f>131-(D260+E260)</f>
        <v>73</v>
      </c>
      <c r="G260" s="2">
        <f t="shared" si="42"/>
        <v>131</v>
      </c>
      <c r="H260" s="29">
        <f t="shared" si="43"/>
        <v>0.44274809160305345</v>
      </c>
    </row>
    <row r="261" spans="1:8" x14ac:dyDescent="0.2">
      <c r="A261" s="26">
        <v>16</v>
      </c>
      <c r="B261" s="27">
        <v>704</v>
      </c>
      <c r="C261" s="28" t="s">
        <v>65</v>
      </c>
      <c r="D261" s="38">
        <v>60</v>
      </c>
      <c r="E261" s="2">
        <v>33</v>
      </c>
      <c r="F261" s="2">
        <f>239-(D261+E261)</f>
        <v>146</v>
      </c>
      <c r="G261" s="2">
        <f t="shared" si="42"/>
        <v>239</v>
      </c>
      <c r="H261" s="29">
        <f t="shared" si="43"/>
        <v>0.38912133891213391</v>
      </c>
    </row>
    <row r="262" spans="1:8" x14ac:dyDescent="0.2">
      <c r="A262" s="26">
        <v>16</v>
      </c>
      <c r="B262" s="27">
        <v>704</v>
      </c>
      <c r="C262" s="28" t="s">
        <v>66</v>
      </c>
      <c r="D262" s="38">
        <v>42</v>
      </c>
      <c r="E262" s="2">
        <v>22</v>
      </c>
      <c r="F262" s="2">
        <f>136-(D262+E262)</f>
        <v>72</v>
      </c>
      <c r="G262" s="2">
        <f t="shared" si="42"/>
        <v>136</v>
      </c>
      <c r="H262" s="29">
        <f>+(D262+E262)/G262</f>
        <v>0.47058823529411764</v>
      </c>
    </row>
    <row r="263" spans="1:8" x14ac:dyDescent="0.2">
      <c r="A263" s="26">
        <v>16</v>
      </c>
      <c r="B263" s="27">
        <v>900</v>
      </c>
      <c r="C263" s="43" t="s">
        <v>206</v>
      </c>
      <c r="D263" s="38">
        <v>17</v>
      </c>
      <c r="E263" s="2">
        <v>0</v>
      </c>
      <c r="F263" s="2">
        <f>17-(D263+E263)</f>
        <v>0</v>
      </c>
      <c r="G263" s="2">
        <f t="shared" si="42"/>
        <v>17</v>
      </c>
      <c r="H263" s="29">
        <f>+(D263+E263)/G263</f>
        <v>1</v>
      </c>
    </row>
    <row r="264" spans="1:8" x14ac:dyDescent="0.2">
      <c r="A264" s="30"/>
      <c r="B264" s="31"/>
      <c r="C264" s="32"/>
      <c r="D264" s="3"/>
      <c r="E264" s="34"/>
      <c r="F264" s="33"/>
      <c r="G264" s="34"/>
      <c r="H264" s="35"/>
    </row>
    <row r="265" spans="1:8" x14ac:dyDescent="0.2">
      <c r="A265" s="30"/>
      <c r="B265" s="31"/>
      <c r="C265" s="37" t="s">
        <v>67</v>
      </c>
      <c r="D265" s="3"/>
      <c r="E265" s="34"/>
      <c r="F265" s="33"/>
      <c r="G265" s="34"/>
      <c r="H265" s="35"/>
    </row>
    <row r="266" spans="1:8" x14ac:dyDescent="0.2">
      <c r="A266" s="26">
        <v>17</v>
      </c>
      <c r="B266" s="27">
        <v>105</v>
      </c>
      <c r="C266" s="43" t="s">
        <v>360</v>
      </c>
      <c r="D266" s="38">
        <v>212</v>
      </c>
      <c r="E266" s="2">
        <v>79</v>
      </c>
      <c r="F266" s="2">
        <f>491-(D266+E266)</f>
        <v>200</v>
      </c>
      <c r="G266" s="2">
        <f t="shared" ref="G266:G272" si="44">SUM(D266:F266)</f>
        <v>491</v>
      </c>
      <c r="H266" s="29">
        <f t="shared" ref="H266" si="45">+(D266+E266)/G266</f>
        <v>0.59266802443991851</v>
      </c>
    </row>
    <row r="267" spans="1:8" x14ac:dyDescent="0.2">
      <c r="A267" s="26">
        <v>17</v>
      </c>
      <c r="B267" s="27">
        <v>109</v>
      </c>
      <c r="C267" s="43" t="s">
        <v>359</v>
      </c>
      <c r="D267" s="38">
        <v>94</v>
      </c>
      <c r="E267" s="2">
        <v>24</v>
      </c>
      <c r="F267" s="2">
        <f>218-(D267+E267)</f>
        <v>100</v>
      </c>
      <c r="G267" s="2">
        <f t="shared" si="44"/>
        <v>218</v>
      </c>
      <c r="H267" s="29">
        <f t="shared" ref="H267" si="46">+(D267+E267)/G267</f>
        <v>0.54128440366972475</v>
      </c>
    </row>
    <row r="268" spans="1:8" x14ac:dyDescent="0.2">
      <c r="A268" s="26">
        <v>17</v>
      </c>
      <c r="B268" s="27">
        <v>112</v>
      </c>
      <c r="C268" s="43" t="s">
        <v>528</v>
      </c>
      <c r="D268" s="38">
        <v>201</v>
      </c>
      <c r="E268" s="2">
        <v>112</v>
      </c>
      <c r="F268" s="2">
        <f>501-(D268+E268)</f>
        <v>188</v>
      </c>
      <c r="G268" s="2">
        <f t="shared" si="44"/>
        <v>501</v>
      </c>
      <c r="H268" s="29">
        <f t="shared" ref="H268:H272" si="47">+(D268+E268)/G268</f>
        <v>0.62475049900199597</v>
      </c>
    </row>
    <row r="269" spans="1:8" x14ac:dyDescent="0.2">
      <c r="A269" s="26">
        <v>17</v>
      </c>
      <c r="B269" s="27">
        <v>310</v>
      </c>
      <c r="C269" s="43" t="s">
        <v>361</v>
      </c>
      <c r="D269" s="38">
        <v>201</v>
      </c>
      <c r="E269" s="2">
        <v>84</v>
      </c>
      <c r="F269" s="2">
        <f>523-(D269+E269)</f>
        <v>238</v>
      </c>
      <c r="G269" s="2">
        <f t="shared" si="44"/>
        <v>523</v>
      </c>
      <c r="H269" s="29">
        <f t="shared" si="47"/>
        <v>0.5449330783938815</v>
      </c>
    </row>
    <row r="270" spans="1:8" x14ac:dyDescent="0.2">
      <c r="A270" s="26">
        <v>17</v>
      </c>
      <c r="B270" s="27">
        <v>320</v>
      </c>
      <c r="C270" s="28" t="s">
        <v>68</v>
      </c>
      <c r="D270" s="38">
        <v>110</v>
      </c>
      <c r="E270" s="2">
        <v>71</v>
      </c>
      <c r="F270" s="2">
        <f>317-(D270+E270)</f>
        <v>136</v>
      </c>
      <c r="G270" s="2">
        <f t="shared" si="44"/>
        <v>317</v>
      </c>
      <c r="H270" s="29">
        <f t="shared" si="47"/>
        <v>0.57097791798107256</v>
      </c>
    </row>
    <row r="271" spans="1:8" x14ac:dyDescent="0.2">
      <c r="A271" s="26">
        <v>17</v>
      </c>
      <c r="B271" s="27">
        <v>704</v>
      </c>
      <c r="C271" s="28" t="s">
        <v>69</v>
      </c>
      <c r="D271" s="38">
        <v>171</v>
      </c>
      <c r="E271" s="2">
        <v>71</v>
      </c>
      <c r="F271" s="2">
        <f>562-(D271+E271)</f>
        <v>320</v>
      </c>
      <c r="G271" s="2">
        <f t="shared" si="44"/>
        <v>562</v>
      </c>
      <c r="H271" s="29">
        <f t="shared" si="47"/>
        <v>0.4306049822064057</v>
      </c>
    </row>
    <row r="272" spans="1:8" x14ac:dyDescent="0.2">
      <c r="A272" s="26">
        <v>17</v>
      </c>
      <c r="B272" s="27">
        <v>708</v>
      </c>
      <c r="C272" s="28" t="s">
        <v>70</v>
      </c>
      <c r="D272" s="38">
        <v>101</v>
      </c>
      <c r="E272" s="2">
        <v>57</v>
      </c>
      <c r="F272" s="2">
        <f>312-(D272+E272)</f>
        <v>154</v>
      </c>
      <c r="G272" s="2">
        <f t="shared" si="44"/>
        <v>312</v>
      </c>
      <c r="H272" s="29">
        <f t="shared" si="47"/>
        <v>0.50641025641025639</v>
      </c>
    </row>
    <row r="273" spans="1:8" x14ac:dyDescent="0.2">
      <c r="A273" s="30"/>
      <c r="B273" s="31"/>
      <c r="C273" s="32"/>
      <c r="D273" s="3"/>
      <c r="E273" s="34"/>
      <c r="F273" s="33"/>
      <c r="G273" s="34"/>
      <c r="H273" s="35"/>
    </row>
    <row r="274" spans="1:8" x14ac:dyDescent="0.2">
      <c r="A274" s="30"/>
      <c r="B274" s="31"/>
      <c r="C274" s="37" t="s">
        <v>71</v>
      </c>
      <c r="D274" s="3"/>
      <c r="E274" s="34"/>
      <c r="F274" s="33"/>
      <c r="G274" s="34"/>
      <c r="H274" s="35"/>
    </row>
    <row r="275" spans="1:8" x14ac:dyDescent="0.2">
      <c r="A275" s="26">
        <v>19</v>
      </c>
      <c r="B275" s="27">
        <v>104</v>
      </c>
      <c r="C275" s="43" t="s">
        <v>372</v>
      </c>
      <c r="D275" s="38">
        <v>220</v>
      </c>
      <c r="E275" s="2">
        <v>78</v>
      </c>
      <c r="F275" s="2">
        <f>558-(D275+E275)</f>
        <v>260</v>
      </c>
      <c r="G275" s="2">
        <f t="shared" ref="G275:G298" si="48">SUM(D275:F275)</f>
        <v>558</v>
      </c>
      <c r="H275" s="29">
        <f t="shared" ref="H275:H298" si="49">+(D275+E275)/G275</f>
        <v>0.53405017921146958</v>
      </c>
    </row>
    <row r="276" spans="1:8" x14ac:dyDescent="0.2">
      <c r="A276" s="26">
        <v>19</v>
      </c>
      <c r="B276" s="27">
        <v>108</v>
      </c>
      <c r="C276" s="43" t="s">
        <v>373</v>
      </c>
      <c r="D276" s="38">
        <v>151</v>
      </c>
      <c r="E276" s="2">
        <v>71</v>
      </c>
      <c r="F276" s="2">
        <f>545-(D276+E276)</f>
        <v>323</v>
      </c>
      <c r="G276" s="2">
        <f t="shared" si="48"/>
        <v>545</v>
      </c>
      <c r="H276" s="29">
        <f t="shared" si="49"/>
        <v>0.40733944954128443</v>
      </c>
    </row>
    <row r="277" spans="1:8" x14ac:dyDescent="0.2">
      <c r="A277" s="26">
        <v>19</v>
      </c>
      <c r="B277" s="27">
        <v>112</v>
      </c>
      <c r="C277" s="43" t="s">
        <v>374</v>
      </c>
      <c r="D277" s="38">
        <v>265</v>
      </c>
      <c r="E277" s="2">
        <v>51</v>
      </c>
      <c r="F277" s="2">
        <f>748-(D277+E277)</f>
        <v>432</v>
      </c>
      <c r="G277" s="2">
        <f t="shared" si="48"/>
        <v>748</v>
      </c>
      <c r="H277" s="29">
        <f t="shared" si="49"/>
        <v>0.42245989304812837</v>
      </c>
    </row>
    <row r="278" spans="1:8" x14ac:dyDescent="0.2">
      <c r="A278" s="26">
        <v>19</v>
      </c>
      <c r="B278" s="27">
        <v>117</v>
      </c>
      <c r="C278" s="43" t="s">
        <v>375</v>
      </c>
      <c r="D278" s="38">
        <v>292</v>
      </c>
      <c r="E278" s="2">
        <v>115</v>
      </c>
      <c r="F278" s="2">
        <f>795-(D278+E278)</f>
        <v>388</v>
      </c>
      <c r="G278" s="2">
        <f t="shared" si="48"/>
        <v>795</v>
      </c>
      <c r="H278" s="29">
        <f t="shared" si="49"/>
        <v>0.51194968553459119</v>
      </c>
    </row>
    <row r="279" spans="1:8" x14ac:dyDescent="0.2">
      <c r="A279" s="26">
        <v>19</v>
      </c>
      <c r="B279" s="27">
        <v>120</v>
      </c>
      <c r="C279" s="43" t="s">
        <v>376</v>
      </c>
      <c r="D279" s="38">
        <v>140</v>
      </c>
      <c r="E279" s="2">
        <v>56</v>
      </c>
      <c r="F279" s="2">
        <f>383-(D279+E279)</f>
        <v>187</v>
      </c>
      <c r="G279" s="2">
        <f t="shared" si="48"/>
        <v>383</v>
      </c>
      <c r="H279" s="29">
        <f t="shared" si="49"/>
        <v>0.51174934725848564</v>
      </c>
    </row>
    <row r="280" spans="1:8" x14ac:dyDescent="0.2">
      <c r="A280" s="26">
        <v>19</v>
      </c>
      <c r="B280" s="27">
        <v>136</v>
      </c>
      <c r="C280" s="43" t="s">
        <v>377</v>
      </c>
      <c r="D280" s="38">
        <v>175</v>
      </c>
      <c r="E280" s="2">
        <v>54</v>
      </c>
      <c r="F280" s="2">
        <f>502-(D280+E280)</f>
        <v>273</v>
      </c>
      <c r="G280" s="2">
        <f t="shared" si="48"/>
        <v>502</v>
      </c>
      <c r="H280" s="29">
        <f t="shared" si="49"/>
        <v>0.45617529880478086</v>
      </c>
    </row>
    <row r="281" spans="1:8" x14ac:dyDescent="0.2">
      <c r="A281" s="26">
        <v>19</v>
      </c>
      <c r="B281" s="27">
        <v>143</v>
      </c>
      <c r="C281" s="43" t="s">
        <v>378</v>
      </c>
      <c r="D281" s="38">
        <v>230</v>
      </c>
      <c r="E281" s="2">
        <v>88</v>
      </c>
      <c r="F281" s="2">
        <f>788-(D281+E281)</f>
        <v>470</v>
      </c>
      <c r="G281" s="2">
        <f t="shared" si="48"/>
        <v>788</v>
      </c>
      <c r="H281" s="29">
        <f t="shared" si="49"/>
        <v>0.40355329949238578</v>
      </c>
    </row>
    <row r="282" spans="1:8" x14ac:dyDescent="0.2">
      <c r="A282" s="26">
        <v>19</v>
      </c>
      <c r="B282" s="27">
        <v>144</v>
      </c>
      <c r="C282" s="43" t="s">
        <v>240</v>
      </c>
      <c r="D282" s="38">
        <v>241</v>
      </c>
      <c r="E282" s="2">
        <v>97</v>
      </c>
      <c r="F282" s="2">
        <f>523-(D282+E282)</f>
        <v>185</v>
      </c>
      <c r="G282" s="2">
        <f t="shared" si="48"/>
        <v>523</v>
      </c>
      <c r="H282" s="29">
        <f t="shared" si="49"/>
        <v>0.64627151051625242</v>
      </c>
    </row>
    <row r="283" spans="1:8" x14ac:dyDescent="0.2">
      <c r="A283" s="26">
        <v>19</v>
      </c>
      <c r="B283" s="27">
        <v>148</v>
      </c>
      <c r="C283" s="43" t="s">
        <v>379</v>
      </c>
      <c r="D283" s="38">
        <v>166</v>
      </c>
      <c r="E283" s="2">
        <v>85</v>
      </c>
      <c r="F283" s="2">
        <f>592-(D283+E283)</f>
        <v>341</v>
      </c>
      <c r="G283" s="2">
        <f t="shared" si="48"/>
        <v>592</v>
      </c>
      <c r="H283" s="29">
        <f t="shared" si="49"/>
        <v>0.42398648648648651</v>
      </c>
    </row>
    <row r="284" spans="1:8" x14ac:dyDescent="0.2">
      <c r="A284" s="26">
        <v>19</v>
      </c>
      <c r="B284" s="27">
        <v>156</v>
      </c>
      <c r="C284" s="43" t="s">
        <v>381</v>
      </c>
      <c r="D284" s="38">
        <v>278</v>
      </c>
      <c r="E284" s="2">
        <v>117</v>
      </c>
      <c r="F284" s="2">
        <f>659-(D284+E284)</f>
        <v>264</v>
      </c>
      <c r="G284" s="2">
        <f t="shared" si="48"/>
        <v>659</v>
      </c>
      <c r="H284" s="29">
        <f t="shared" si="49"/>
        <v>0.59939301972685888</v>
      </c>
    </row>
    <row r="285" spans="1:8" x14ac:dyDescent="0.2">
      <c r="A285" s="26">
        <v>19</v>
      </c>
      <c r="B285" s="27">
        <v>160</v>
      </c>
      <c r="C285" s="43" t="s">
        <v>382</v>
      </c>
      <c r="D285" s="38">
        <v>214</v>
      </c>
      <c r="E285" s="2">
        <v>94</v>
      </c>
      <c r="F285" s="2">
        <f>804-(D285+E285)</f>
        <v>496</v>
      </c>
      <c r="G285" s="2">
        <f t="shared" si="48"/>
        <v>804</v>
      </c>
      <c r="H285" s="29">
        <f t="shared" si="49"/>
        <v>0.38308457711442784</v>
      </c>
    </row>
    <row r="286" spans="1:8" x14ac:dyDescent="0.2">
      <c r="A286" s="26">
        <v>19</v>
      </c>
      <c r="B286" s="27">
        <v>164</v>
      </c>
      <c r="C286" s="43" t="s">
        <v>383</v>
      </c>
      <c r="D286" s="38">
        <v>119</v>
      </c>
      <c r="E286" s="2">
        <v>46</v>
      </c>
      <c r="F286" s="2">
        <f>467-(D286+E286)</f>
        <v>302</v>
      </c>
      <c r="G286" s="2">
        <f t="shared" si="48"/>
        <v>467</v>
      </c>
      <c r="H286" s="29">
        <f t="shared" si="49"/>
        <v>0.35331905781584583</v>
      </c>
    </row>
    <row r="287" spans="1:8" x14ac:dyDescent="0.2">
      <c r="A287" s="26">
        <v>19</v>
      </c>
      <c r="B287" s="27">
        <v>168</v>
      </c>
      <c r="C287" s="43" t="s">
        <v>207</v>
      </c>
      <c r="D287" s="38">
        <v>233</v>
      </c>
      <c r="E287" s="2">
        <v>119</v>
      </c>
      <c r="F287" s="2">
        <f>665-(D287+E287)</f>
        <v>313</v>
      </c>
      <c r="G287" s="2">
        <f t="shared" si="48"/>
        <v>665</v>
      </c>
      <c r="H287" s="29">
        <f t="shared" si="49"/>
        <v>0.52932330827067664</v>
      </c>
    </row>
    <row r="288" spans="1:8" x14ac:dyDescent="0.2">
      <c r="A288" s="26">
        <v>19</v>
      </c>
      <c r="B288" s="27">
        <v>171</v>
      </c>
      <c r="C288" s="43" t="s">
        <v>384</v>
      </c>
      <c r="D288" s="38">
        <v>214</v>
      </c>
      <c r="E288" s="2">
        <v>94</v>
      </c>
      <c r="F288" s="2">
        <f>831-(D288+E288)</f>
        <v>523</v>
      </c>
      <c r="G288" s="2">
        <f t="shared" si="48"/>
        <v>831</v>
      </c>
      <c r="H288" s="29">
        <f t="shared" si="49"/>
        <v>0.37063778580024065</v>
      </c>
    </row>
    <row r="289" spans="1:8" x14ac:dyDescent="0.2">
      <c r="A289" s="26">
        <v>19</v>
      </c>
      <c r="B289" s="27">
        <v>172</v>
      </c>
      <c r="C289" s="43" t="s">
        <v>385</v>
      </c>
      <c r="D289" s="38">
        <v>210</v>
      </c>
      <c r="E289" s="2">
        <v>67</v>
      </c>
      <c r="F289" s="2">
        <f>564-(D289+E289)</f>
        <v>287</v>
      </c>
      <c r="G289" s="2">
        <f t="shared" si="48"/>
        <v>564</v>
      </c>
      <c r="H289" s="29">
        <f t="shared" si="49"/>
        <v>0.49113475177304966</v>
      </c>
    </row>
    <row r="290" spans="1:8" x14ac:dyDescent="0.2">
      <c r="A290" s="26">
        <v>19</v>
      </c>
      <c r="B290" s="27">
        <v>180</v>
      </c>
      <c r="C290" s="43" t="s">
        <v>386</v>
      </c>
      <c r="D290" s="38">
        <v>298</v>
      </c>
      <c r="E290" s="2">
        <v>99</v>
      </c>
      <c r="F290" s="2">
        <f>819-(D290+E290)</f>
        <v>422</v>
      </c>
      <c r="G290" s="2">
        <f t="shared" si="48"/>
        <v>819</v>
      </c>
      <c r="H290" s="29">
        <f t="shared" si="49"/>
        <v>0.48473748473748474</v>
      </c>
    </row>
    <row r="291" spans="1:8" x14ac:dyDescent="0.2">
      <c r="A291" s="26">
        <v>19</v>
      </c>
      <c r="B291" s="27">
        <v>184</v>
      </c>
      <c r="C291" s="43" t="s">
        <v>387</v>
      </c>
      <c r="D291" s="38">
        <v>272</v>
      </c>
      <c r="E291" s="2">
        <v>111</v>
      </c>
      <c r="F291" s="2">
        <f>552-(D291+E291)</f>
        <v>169</v>
      </c>
      <c r="G291" s="2">
        <f t="shared" si="48"/>
        <v>552</v>
      </c>
      <c r="H291" s="29">
        <f t="shared" si="49"/>
        <v>0.6938405797101449</v>
      </c>
    </row>
    <row r="292" spans="1:8" x14ac:dyDescent="0.2">
      <c r="A292" s="26">
        <v>19</v>
      </c>
      <c r="B292" s="27">
        <v>402</v>
      </c>
      <c r="C292" s="28" t="s">
        <v>171</v>
      </c>
      <c r="D292" s="38">
        <v>323</v>
      </c>
      <c r="E292" s="2">
        <v>111</v>
      </c>
      <c r="F292" s="2">
        <f>1126-(D292+E292)</f>
        <v>692</v>
      </c>
      <c r="G292" s="2">
        <f t="shared" si="48"/>
        <v>1126</v>
      </c>
      <c r="H292" s="29">
        <f t="shared" si="49"/>
        <v>0.38543516873889877</v>
      </c>
    </row>
    <row r="293" spans="1:8" x14ac:dyDescent="0.2">
      <c r="A293" s="26">
        <v>19</v>
      </c>
      <c r="B293" s="27">
        <v>406</v>
      </c>
      <c r="C293" s="28" t="s">
        <v>172</v>
      </c>
      <c r="D293" s="38">
        <v>266</v>
      </c>
      <c r="E293" s="2">
        <v>89</v>
      </c>
      <c r="F293" s="2">
        <f>665-(D293+E293)</f>
        <v>310</v>
      </c>
      <c r="G293" s="2">
        <f t="shared" si="48"/>
        <v>665</v>
      </c>
      <c r="H293" s="29">
        <f t="shared" si="49"/>
        <v>0.53383458646616544</v>
      </c>
    </row>
    <row r="294" spans="1:8" x14ac:dyDescent="0.2">
      <c r="A294" s="26">
        <v>19</v>
      </c>
      <c r="B294" s="27">
        <v>408</v>
      </c>
      <c r="C294" s="43" t="s">
        <v>380</v>
      </c>
      <c r="D294" s="38">
        <v>308</v>
      </c>
      <c r="E294" s="2">
        <v>134</v>
      </c>
      <c r="F294" s="2">
        <f>1013-(D294+E294)</f>
        <v>571</v>
      </c>
      <c r="G294" s="2">
        <f t="shared" si="48"/>
        <v>1013</v>
      </c>
      <c r="H294" s="29">
        <f t="shared" si="49"/>
        <v>0.43632773938795655</v>
      </c>
    </row>
    <row r="295" spans="1:8" x14ac:dyDescent="0.2">
      <c r="A295" s="26">
        <v>19</v>
      </c>
      <c r="B295" s="27">
        <v>424</v>
      </c>
      <c r="C295" s="28" t="s">
        <v>72</v>
      </c>
      <c r="D295" s="38">
        <v>313</v>
      </c>
      <c r="E295" s="2">
        <v>80</v>
      </c>
      <c r="F295" s="2">
        <f>939-(D295+E295)</f>
        <v>546</v>
      </c>
      <c r="G295" s="2">
        <f t="shared" si="48"/>
        <v>939</v>
      </c>
      <c r="H295" s="29">
        <f t="shared" si="49"/>
        <v>0.41853035143769968</v>
      </c>
    </row>
    <row r="296" spans="1:8" x14ac:dyDescent="0.2">
      <c r="A296" s="26">
        <v>19</v>
      </c>
      <c r="B296" s="27">
        <v>650</v>
      </c>
      <c r="C296" s="43" t="s">
        <v>543</v>
      </c>
      <c r="D296" s="38">
        <v>81</v>
      </c>
      <c r="E296" s="2">
        <v>0</v>
      </c>
      <c r="F296" s="2">
        <f>86-(D296+E296)</f>
        <v>5</v>
      </c>
      <c r="G296" s="2">
        <f t="shared" si="48"/>
        <v>86</v>
      </c>
      <c r="H296" s="29">
        <f t="shared" si="49"/>
        <v>0.94186046511627908</v>
      </c>
    </row>
    <row r="297" spans="1:8" x14ac:dyDescent="0.2">
      <c r="A297" s="26">
        <v>19</v>
      </c>
      <c r="B297" s="27">
        <v>704</v>
      </c>
      <c r="C297" s="28" t="s">
        <v>164</v>
      </c>
      <c r="D297" s="38">
        <v>320</v>
      </c>
      <c r="E297" s="2">
        <v>117</v>
      </c>
      <c r="F297" s="2">
        <f>1130-(D297+E297)</f>
        <v>693</v>
      </c>
      <c r="G297" s="2">
        <f t="shared" si="48"/>
        <v>1130</v>
      </c>
      <c r="H297" s="29">
        <f t="shared" si="49"/>
        <v>0.38672566371681416</v>
      </c>
    </row>
    <row r="298" spans="1:8" x14ac:dyDescent="0.2">
      <c r="A298" s="26">
        <v>19</v>
      </c>
      <c r="B298" s="27">
        <v>720</v>
      </c>
      <c r="C298" s="28" t="s">
        <v>73</v>
      </c>
      <c r="D298" s="38">
        <v>138</v>
      </c>
      <c r="E298" s="2">
        <v>18</v>
      </c>
      <c r="F298" s="2">
        <f>307-(D298+E298)</f>
        <v>151</v>
      </c>
      <c r="G298" s="2">
        <f t="shared" si="48"/>
        <v>307</v>
      </c>
      <c r="H298" s="29">
        <f t="shared" si="49"/>
        <v>0.50814332247557004</v>
      </c>
    </row>
    <row r="299" spans="1:8" x14ac:dyDescent="0.2">
      <c r="A299" s="30"/>
      <c r="B299" s="31"/>
      <c r="C299" s="32"/>
      <c r="D299" s="3"/>
      <c r="E299" s="34"/>
      <c r="F299" s="33"/>
      <c r="G299" s="34"/>
      <c r="H299" s="35"/>
    </row>
    <row r="300" spans="1:8" x14ac:dyDescent="0.2">
      <c r="A300" s="30"/>
      <c r="B300" s="31"/>
      <c r="C300" s="37" t="s">
        <v>74</v>
      </c>
      <c r="D300" s="72"/>
      <c r="E300" s="73"/>
      <c r="F300" s="68"/>
      <c r="G300" s="34"/>
      <c r="H300" s="35"/>
    </row>
    <row r="301" spans="1:8" x14ac:dyDescent="0.2">
      <c r="A301" s="26">
        <v>20</v>
      </c>
      <c r="B301" s="27">
        <v>104</v>
      </c>
      <c r="C301" s="43" t="s">
        <v>388</v>
      </c>
      <c r="D301" s="38">
        <v>95</v>
      </c>
      <c r="E301" s="2">
        <v>35</v>
      </c>
      <c r="F301" s="2">
        <f>276-(D301+E301)</f>
        <v>146</v>
      </c>
      <c r="G301" s="2">
        <f t="shared" ref="G301:G306" si="50">SUM(D301:F301)</f>
        <v>276</v>
      </c>
      <c r="H301" s="29">
        <f t="shared" ref="H301:H306" si="51">+(D301+E301)/G301</f>
        <v>0.47101449275362317</v>
      </c>
    </row>
    <row r="302" spans="1:8" x14ac:dyDescent="0.2">
      <c r="A302" s="26">
        <v>20</v>
      </c>
      <c r="B302" s="27">
        <v>108</v>
      </c>
      <c r="C302" s="43" t="s">
        <v>389</v>
      </c>
      <c r="D302" s="38">
        <v>50</v>
      </c>
      <c r="E302" s="2">
        <v>23</v>
      </c>
      <c r="F302" s="2">
        <f>151-(D302+E302)</f>
        <v>78</v>
      </c>
      <c r="G302" s="2">
        <f t="shared" si="50"/>
        <v>151</v>
      </c>
      <c r="H302" s="29">
        <f t="shared" si="51"/>
        <v>0.48344370860927155</v>
      </c>
    </row>
    <row r="303" spans="1:8" x14ac:dyDescent="0.2">
      <c r="A303" s="26">
        <v>20</v>
      </c>
      <c r="B303" s="27">
        <v>112</v>
      </c>
      <c r="C303" s="43" t="s">
        <v>391</v>
      </c>
      <c r="D303" s="38">
        <v>165</v>
      </c>
      <c r="E303" s="2">
        <v>44</v>
      </c>
      <c r="F303" s="2">
        <f>443-(D303+E303)</f>
        <v>234</v>
      </c>
      <c r="G303" s="2">
        <f t="shared" si="50"/>
        <v>443</v>
      </c>
      <c r="H303" s="29">
        <f t="shared" si="51"/>
        <v>0.47178329571106092</v>
      </c>
    </row>
    <row r="304" spans="1:8" x14ac:dyDescent="0.2">
      <c r="A304" s="26">
        <v>20</v>
      </c>
      <c r="B304" s="27">
        <v>116</v>
      </c>
      <c r="C304" s="43" t="s">
        <v>390</v>
      </c>
      <c r="D304" s="38">
        <v>148</v>
      </c>
      <c r="E304" s="2">
        <v>51</v>
      </c>
      <c r="F304" s="2">
        <f>307-(D304+E304)</f>
        <v>108</v>
      </c>
      <c r="G304" s="2">
        <f t="shared" si="50"/>
        <v>307</v>
      </c>
      <c r="H304" s="29">
        <f t="shared" si="51"/>
        <v>0.64820846905537455</v>
      </c>
    </row>
    <row r="305" spans="1:8" x14ac:dyDescent="0.2">
      <c r="A305" s="26">
        <v>20</v>
      </c>
      <c r="B305" s="27">
        <v>120</v>
      </c>
      <c r="C305" s="43" t="s">
        <v>392</v>
      </c>
      <c r="D305" s="38">
        <v>79</v>
      </c>
      <c r="E305" s="2">
        <v>13</v>
      </c>
      <c r="F305" s="2">
        <f>175-(D305+E305)</f>
        <v>83</v>
      </c>
      <c r="G305" s="2">
        <f t="shared" si="50"/>
        <v>175</v>
      </c>
      <c r="H305" s="29">
        <f t="shared" si="51"/>
        <v>0.52571428571428569</v>
      </c>
    </row>
    <row r="306" spans="1:8" x14ac:dyDescent="0.2">
      <c r="A306" s="26">
        <v>20</v>
      </c>
      <c r="B306" s="27">
        <v>404</v>
      </c>
      <c r="C306" s="28" t="s">
        <v>141</v>
      </c>
      <c r="D306" s="38">
        <v>149</v>
      </c>
      <c r="E306" s="2">
        <v>51</v>
      </c>
      <c r="F306" s="2">
        <f>354-(D306+E306)</f>
        <v>154</v>
      </c>
      <c r="G306" s="2">
        <f t="shared" si="50"/>
        <v>354</v>
      </c>
      <c r="H306" s="29">
        <f t="shared" si="51"/>
        <v>0.56497175141242939</v>
      </c>
    </row>
    <row r="307" spans="1:8" x14ac:dyDescent="0.2">
      <c r="A307" s="26">
        <v>20</v>
      </c>
      <c r="B307" s="27">
        <v>704</v>
      </c>
      <c r="C307" s="28" t="s">
        <v>75</v>
      </c>
      <c r="D307" s="38">
        <v>218</v>
      </c>
      <c r="E307" s="2">
        <v>69</v>
      </c>
      <c r="F307" s="2">
        <f>626-(D307+E307)</f>
        <v>339</v>
      </c>
      <c r="G307" s="2">
        <f>SUM(D307:F307)</f>
        <v>626</v>
      </c>
      <c r="H307" s="29">
        <f>+(D307+E307)/G307</f>
        <v>0.45846645367412142</v>
      </c>
    </row>
    <row r="308" spans="1:8" x14ac:dyDescent="0.2">
      <c r="A308" s="30"/>
      <c r="B308" s="31"/>
      <c r="C308" s="32"/>
      <c r="D308" s="3"/>
      <c r="E308" s="34"/>
      <c r="F308" s="33"/>
      <c r="G308" s="34"/>
      <c r="H308" s="35"/>
    </row>
    <row r="309" spans="1:8" x14ac:dyDescent="0.2">
      <c r="A309" s="30"/>
      <c r="B309" s="31"/>
      <c r="C309" s="37" t="s">
        <v>76</v>
      </c>
      <c r="D309" s="3"/>
      <c r="E309" s="34"/>
      <c r="F309" s="33"/>
      <c r="G309" s="34"/>
      <c r="H309" s="35"/>
    </row>
    <row r="310" spans="1:8" x14ac:dyDescent="0.2">
      <c r="A310" s="26">
        <v>21</v>
      </c>
      <c r="B310" s="27">
        <v>110</v>
      </c>
      <c r="C310" s="28" t="s">
        <v>77</v>
      </c>
      <c r="D310" s="38">
        <v>119</v>
      </c>
      <c r="E310" s="2">
        <v>34</v>
      </c>
      <c r="F310" s="2">
        <f>320-(D310+E310)</f>
        <v>167</v>
      </c>
      <c r="G310" s="2">
        <f>SUM(D310:F310)</f>
        <v>320</v>
      </c>
      <c r="H310" s="29">
        <f>+(D310+E310)/G310</f>
        <v>0.47812500000000002</v>
      </c>
    </row>
    <row r="311" spans="1:8" x14ac:dyDescent="0.2">
      <c r="A311" s="26">
        <v>21</v>
      </c>
      <c r="B311" s="27">
        <v>304</v>
      </c>
      <c r="C311" s="28" t="s">
        <v>78</v>
      </c>
      <c r="D311" s="38">
        <v>100</v>
      </c>
      <c r="E311" s="2">
        <v>25</v>
      </c>
      <c r="F311" s="2">
        <f>309-(D311+E311)</f>
        <v>184</v>
      </c>
      <c r="G311" s="2">
        <f>SUM(D311:F311)</f>
        <v>309</v>
      </c>
      <c r="H311" s="29">
        <f>+(D311+E311)/G311</f>
        <v>0.4045307443365696</v>
      </c>
    </row>
    <row r="312" spans="1:8" x14ac:dyDescent="0.2">
      <c r="A312" s="30">
        <v>21</v>
      </c>
      <c r="B312" s="31">
        <v>704</v>
      </c>
      <c r="C312" s="32" t="s">
        <v>79</v>
      </c>
      <c r="D312" s="38">
        <v>78</v>
      </c>
      <c r="E312" s="2">
        <v>21</v>
      </c>
      <c r="F312" s="2">
        <f>280-(D312+E312)</f>
        <v>181</v>
      </c>
      <c r="G312" s="2">
        <f>SUM(D312:F312)</f>
        <v>280</v>
      </c>
      <c r="H312" s="35">
        <f>+(D312+E312)/G312</f>
        <v>0.35357142857142859</v>
      </c>
    </row>
    <row r="313" spans="1:8" x14ac:dyDescent="0.2">
      <c r="A313" s="30"/>
      <c r="B313" s="31"/>
      <c r="C313" s="32"/>
      <c r="D313" s="3"/>
      <c r="E313" s="34"/>
      <c r="F313" s="33"/>
      <c r="G313" s="34"/>
      <c r="H313" s="35"/>
    </row>
    <row r="314" spans="1:8" x14ac:dyDescent="0.2">
      <c r="A314" s="30"/>
      <c r="B314" s="31"/>
      <c r="C314" s="37" t="s">
        <v>80</v>
      </c>
      <c r="D314" s="3"/>
      <c r="E314" s="34"/>
      <c r="F314" s="33"/>
      <c r="G314" s="34"/>
      <c r="H314" s="35"/>
    </row>
    <row r="315" spans="1:8" x14ac:dyDescent="0.2">
      <c r="A315" s="26">
        <v>22</v>
      </c>
      <c r="B315" s="27">
        <v>108</v>
      </c>
      <c r="C315" s="43" t="s">
        <v>393</v>
      </c>
      <c r="D315" s="38">
        <v>209</v>
      </c>
      <c r="E315" s="2">
        <v>19</v>
      </c>
      <c r="F315" s="2">
        <f>441-(D315+E315)</f>
        <v>213</v>
      </c>
      <c r="G315" s="2">
        <f t="shared" ref="G315" si="52">SUM(D315:F315)</f>
        <v>441</v>
      </c>
      <c r="H315" s="29">
        <f t="shared" ref="H315" si="53">+(D315+E315)/G315</f>
        <v>0.51700680272108845</v>
      </c>
    </row>
    <row r="316" spans="1:8" x14ac:dyDescent="0.2">
      <c r="A316" s="30"/>
      <c r="B316" s="31"/>
      <c r="C316" s="32"/>
      <c r="D316" s="3"/>
      <c r="E316" s="34"/>
      <c r="F316" s="33"/>
      <c r="G316" s="34"/>
      <c r="H316" s="35"/>
    </row>
    <row r="317" spans="1:8" x14ac:dyDescent="0.2">
      <c r="A317" s="30"/>
      <c r="B317" s="31"/>
      <c r="C317" s="37" t="s">
        <v>81</v>
      </c>
      <c r="D317" s="3"/>
      <c r="E317" s="34"/>
      <c r="F317" s="33"/>
      <c r="G317" s="34"/>
      <c r="H317" s="35"/>
    </row>
    <row r="318" spans="1:8" x14ac:dyDescent="0.2">
      <c r="A318" s="26">
        <v>23</v>
      </c>
      <c r="B318" s="27">
        <v>104</v>
      </c>
      <c r="C318" s="43" t="s">
        <v>394</v>
      </c>
      <c r="D318" s="38">
        <v>78</v>
      </c>
      <c r="E318" s="2">
        <v>37</v>
      </c>
      <c r="F318" s="2">
        <f>142-(D318+E318)</f>
        <v>27</v>
      </c>
      <c r="G318" s="2">
        <f>SUM(D318:F318)</f>
        <v>142</v>
      </c>
      <c r="H318" s="29">
        <f>+(D318+E318)/G318</f>
        <v>0.8098591549295775</v>
      </c>
    </row>
    <row r="319" spans="1:8" x14ac:dyDescent="0.2">
      <c r="A319" s="26">
        <v>23</v>
      </c>
      <c r="B319" s="27">
        <v>112</v>
      </c>
      <c r="C319" s="43" t="s">
        <v>395</v>
      </c>
      <c r="D319" s="38">
        <v>23</v>
      </c>
      <c r="E319" s="2">
        <v>17</v>
      </c>
      <c r="F319" s="2">
        <f>47-(D319+E319)</f>
        <v>7</v>
      </c>
      <c r="G319" s="2">
        <f>SUM(D319:F319)</f>
        <v>47</v>
      </c>
      <c r="H319" s="29">
        <f>+(D319+E319)/G319</f>
        <v>0.85106382978723405</v>
      </c>
    </row>
    <row r="320" spans="1:8" x14ac:dyDescent="0.2">
      <c r="A320" s="26">
        <v>23</v>
      </c>
      <c r="B320" s="27">
        <v>708</v>
      </c>
      <c r="C320" s="28" t="s">
        <v>82</v>
      </c>
      <c r="D320" s="38">
        <v>65</v>
      </c>
      <c r="E320" s="2">
        <v>32</v>
      </c>
      <c r="F320" s="2">
        <f>163-(D320+E320)</f>
        <v>66</v>
      </c>
      <c r="G320" s="2">
        <f>SUM(D320:F320)</f>
        <v>163</v>
      </c>
      <c r="H320" s="29">
        <f>+(D320+E320)/G320</f>
        <v>0.59509202453987731</v>
      </c>
    </row>
    <row r="321" spans="1:8" x14ac:dyDescent="0.2">
      <c r="A321" s="30"/>
      <c r="B321" s="31"/>
      <c r="C321" s="32"/>
      <c r="D321" s="3"/>
      <c r="E321" s="34"/>
      <c r="F321" s="33"/>
      <c r="G321" s="34"/>
      <c r="H321" s="35"/>
    </row>
    <row r="322" spans="1:8" x14ac:dyDescent="0.2">
      <c r="A322" s="30"/>
      <c r="B322" s="31"/>
      <c r="C322" s="37" t="s">
        <v>83</v>
      </c>
      <c r="D322" s="3"/>
      <c r="E322" s="34"/>
      <c r="F322" s="33"/>
      <c r="G322" s="34"/>
      <c r="H322" s="35"/>
    </row>
    <row r="323" spans="1:8" x14ac:dyDescent="0.2">
      <c r="A323" s="26">
        <v>24</v>
      </c>
      <c r="B323" s="27">
        <v>110</v>
      </c>
      <c r="C323" s="28" t="s">
        <v>135</v>
      </c>
      <c r="D323" s="38">
        <v>58</v>
      </c>
      <c r="E323" s="2">
        <v>13</v>
      </c>
      <c r="F323" s="2">
        <f>119-(D323+E323)</f>
        <v>48</v>
      </c>
      <c r="G323" s="2">
        <f>SUM(D323:F323)</f>
        <v>119</v>
      </c>
      <c r="H323" s="29">
        <f>+(D323+E323)/G323</f>
        <v>0.59663865546218486</v>
      </c>
    </row>
    <row r="324" spans="1:8" x14ac:dyDescent="0.2">
      <c r="A324" s="26">
        <v>24</v>
      </c>
      <c r="B324" s="27">
        <v>112</v>
      </c>
      <c r="C324" s="28" t="s">
        <v>136</v>
      </c>
      <c r="D324" s="38">
        <v>75</v>
      </c>
      <c r="E324" s="2">
        <v>10</v>
      </c>
      <c r="F324" s="2">
        <f>127-(D324+E324)</f>
        <v>42</v>
      </c>
      <c r="G324" s="2">
        <f>SUM(D324:F324)</f>
        <v>127</v>
      </c>
      <c r="H324" s="29">
        <f>+(D324+E324)/G324</f>
        <v>0.6692913385826772</v>
      </c>
    </row>
    <row r="325" spans="1:8" x14ac:dyDescent="0.2">
      <c r="A325" s="26">
        <v>24</v>
      </c>
      <c r="B325" s="27">
        <v>304</v>
      </c>
      <c r="C325" s="70" t="s">
        <v>137</v>
      </c>
      <c r="D325" s="38">
        <v>55</v>
      </c>
      <c r="E325" s="2">
        <v>8</v>
      </c>
      <c r="F325" s="2">
        <f>113-(D325+E325)</f>
        <v>50</v>
      </c>
      <c r="G325" s="2">
        <f>SUM(D325:F325)</f>
        <v>113</v>
      </c>
      <c r="H325" s="29">
        <f>+(D325+E325)/G325</f>
        <v>0.55752212389380529</v>
      </c>
    </row>
    <row r="326" spans="1:8" x14ac:dyDescent="0.2">
      <c r="A326" s="26">
        <v>24</v>
      </c>
      <c r="B326" s="27">
        <v>708</v>
      </c>
      <c r="C326" s="70" t="s">
        <v>138</v>
      </c>
      <c r="D326" s="38">
        <v>62</v>
      </c>
      <c r="E326" s="2">
        <v>7</v>
      </c>
      <c r="F326" s="2">
        <f>124-(D326+E326)</f>
        <v>55</v>
      </c>
      <c r="G326" s="2">
        <f>SUM(D326:F326)</f>
        <v>124</v>
      </c>
      <c r="H326" s="29">
        <f>+(D326+E326)/G326</f>
        <v>0.55645161290322576</v>
      </c>
    </row>
    <row r="327" spans="1:8" x14ac:dyDescent="0.2">
      <c r="A327" s="30"/>
      <c r="B327" s="31"/>
      <c r="C327" s="32"/>
      <c r="D327" s="3"/>
      <c r="E327" s="34"/>
      <c r="F327" s="33"/>
      <c r="G327" s="34"/>
      <c r="H327" s="35"/>
    </row>
    <row r="328" spans="1:8" x14ac:dyDescent="0.2">
      <c r="A328" s="30"/>
      <c r="B328" s="31"/>
      <c r="C328" s="37" t="s">
        <v>84</v>
      </c>
      <c r="D328" s="3"/>
      <c r="E328" s="34"/>
      <c r="F328" s="33"/>
      <c r="G328" s="34"/>
      <c r="H328" s="35"/>
    </row>
    <row r="329" spans="1:8" x14ac:dyDescent="0.2">
      <c r="A329" s="26">
        <v>25</v>
      </c>
      <c r="B329" s="27">
        <v>104</v>
      </c>
      <c r="C329" s="43" t="s">
        <v>397</v>
      </c>
      <c r="D329" s="38">
        <v>335</v>
      </c>
      <c r="E329" s="2">
        <v>70</v>
      </c>
      <c r="F329" s="2">
        <f>644-(D329+E329)</f>
        <v>239</v>
      </c>
      <c r="G329" s="2">
        <f t="shared" ref="G329:G340" si="54">SUM(D329:F329)</f>
        <v>644</v>
      </c>
      <c r="H329" s="29">
        <f t="shared" ref="H329:H340" si="55">+(D329+E329)/G329</f>
        <v>0.6288819875776398</v>
      </c>
    </row>
    <row r="330" spans="1:8" x14ac:dyDescent="0.2">
      <c r="A330" s="26">
        <v>25</v>
      </c>
      <c r="B330" s="27">
        <v>108</v>
      </c>
      <c r="C330" s="43" t="s">
        <v>398</v>
      </c>
      <c r="D330" s="38">
        <v>92</v>
      </c>
      <c r="E330" s="2">
        <v>3</v>
      </c>
      <c r="F330" s="2">
        <f>113-(D330+E330)</f>
        <v>18</v>
      </c>
      <c r="G330" s="2">
        <f t="shared" si="54"/>
        <v>113</v>
      </c>
      <c r="H330" s="29">
        <f t="shared" si="55"/>
        <v>0.84070796460176989</v>
      </c>
    </row>
    <row r="331" spans="1:8" x14ac:dyDescent="0.2">
      <c r="A331" s="26">
        <v>25</v>
      </c>
      <c r="B331" s="27">
        <v>124</v>
      </c>
      <c r="C331" s="43" t="s">
        <v>399</v>
      </c>
      <c r="D331" s="38">
        <v>5</v>
      </c>
      <c r="E331" s="2">
        <v>14</v>
      </c>
      <c r="F331" s="2">
        <f>19-(D331+E331)</f>
        <v>0</v>
      </c>
      <c r="G331" s="2">
        <f t="shared" si="54"/>
        <v>19</v>
      </c>
      <c r="H331" s="29">
        <f t="shared" si="55"/>
        <v>1</v>
      </c>
    </row>
    <row r="332" spans="1:8" x14ac:dyDescent="0.2">
      <c r="A332" s="26">
        <v>25</v>
      </c>
      <c r="B332" s="27">
        <v>136</v>
      </c>
      <c r="C332" s="28" t="s">
        <v>85</v>
      </c>
      <c r="D332" s="38">
        <v>173</v>
      </c>
      <c r="E332" s="2">
        <v>8</v>
      </c>
      <c r="F332" s="2">
        <f>219-(D332+E332)</f>
        <v>38</v>
      </c>
      <c r="G332" s="2">
        <f t="shared" si="54"/>
        <v>219</v>
      </c>
      <c r="H332" s="29">
        <f t="shared" si="55"/>
        <v>0.82648401826484019</v>
      </c>
    </row>
    <row r="333" spans="1:8" x14ac:dyDescent="0.2">
      <c r="A333" s="26">
        <v>25</v>
      </c>
      <c r="B333" s="27">
        <v>140</v>
      </c>
      <c r="C333" s="43" t="s">
        <v>400</v>
      </c>
      <c r="D333" s="38">
        <v>97</v>
      </c>
      <c r="E333" s="2">
        <v>46</v>
      </c>
      <c r="F333" s="2">
        <f>320-(D333+E333)</f>
        <v>177</v>
      </c>
      <c r="G333" s="2">
        <f t="shared" si="54"/>
        <v>320</v>
      </c>
      <c r="H333" s="29">
        <f t="shared" si="55"/>
        <v>0.44687500000000002</v>
      </c>
    </row>
    <row r="334" spans="1:8" x14ac:dyDescent="0.2">
      <c r="A334" s="26">
        <v>25</v>
      </c>
      <c r="B334" s="27">
        <v>148</v>
      </c>
      <c r="C334" s="43" t="s">
        <v>531</v>
      </c>
      <c r="D334" s="38">
        <v>247</v>
      </c>
      <c r="E334" s="2">
        <v>22</v>
      </c>
      <c r="F334" s="2">
        <f>285-(D334+E334)</f>
        <v>16</v>
      </c>
      <c r="G334" s="2">
        <f t="shared" ref="G334" si="56">SUM(D334:F334)</f>
        <v>285</v>
      </c>
      <c r="H334" s="29">
        <f t="shared" ref="H334" si="57">+(D334+E334)/G334</f>
        <v>0.94385964912280707</v>
      </c>
    </row>
    <row r="335" spans="1:8" x14ac:dyDescent="0.2">
      <c r="A335" s="26">
        <v>25</v>
      </c>
      <c r="B335" s="27">
        <v>308</v>
      </c>
      <c r="C335" s="43" t="s">
        <v>396</v>
      </c>
      <c r="D335" s="38">
        <v>178</v>
      </c>
      <c r="E335" s="2">
        <v>31</v>
      </c>
      <c r="F335" s="2">
        <f>330-(D335+E335)</f>
        <v>121</v>
      </c>
      <c r="G335" s="2">
        <f t="shared" si="54"/>
        <v>330</v>
      </c>
      <c r="H335" s="29">
        <f t="shared" si="55"/>
        <v>0.6333333333333333</v>
      </c>
    </row>
    <row r="336" spans="1:8" x14ac:dyDescent="0.2">
      <c r="A336" s="26">
        <v>25</v>
      </c>
      <c r="B336" s="27">
        <v>704</v>
      </c>
      <c r="C336" s="28" t="s">
        <v>86</v>
      </c>
      <c r="D336" s="38">
        <v>74</v>
      </c>
      <c r="E336" s="2">
        <v>32</v>
      </c>
      <c r="F336" s="2">
        <f>261-(D336+E336)</f>
        <v>155</v>
      </c>
      <c r="G336" s="2">
        <f t="shared" si="54"/>
        <v>261</v>
      </c>
      <c r="H336" s="29">
        <f t="shared" si="55"/>
        <v>0.4061302681992337</v>
      </c>
    </row>
    <row r="337" spans="1:8" x14ac:dyDescent="0.2">
      <c r="A337" s="26">
        <v>25</v>
      </c>
      <c r="B337" s="27">
        <v>706</v>
      </c>
      <c r="C337" s="28" t="s">
        <v>87</v>
      </c>
      <c r="D337" s="38">
        <v>211</v>
      </c>
      <c r="E337" s="2">
        <v>14</v>
      </c>
      <c r="F337" s="2">
        <f>236-(D337+E337)</f>
        <v>11</v>
      </c>
      <c r="G337" s="2">
        <f t="shared" si="54"/>
        <v>236</v>
      </c>
      <c r="H337" s="29">
        <f t="shared" si="55"/>
        <v>0.95338983050847459</v>
      </c>
    </row>
    <row r="338" spans="1:8" x14ac:dyDescent="0.2">
      <c r="A338" s="26">
        <v>25</v>
      </c>
      <c r="B338" s="27">
        <v>708</v>
      </c>
      <c r="C338" s="28" t="s">
        <v>88</v>
      </c>
      <c r="D338" s="38">
        <v>184</v>
      </c>
      <c r="E338" s="2">
        <v>32</v>
      </c>
      <c r="F338" s="2">
        <f>418-(D338+E338)</f>
        <v>202</v>
      </c>
      <c r="G338" s="2">
        <f t="shared" si="54"/>
        <v>418</v>
      </c>
      <c r="H338" s="29">
        <f t="shared" si="55"/>
        <v>0.51674641148325362</v>
      </c>
    </row>
    <row r="339" spans="1:8" x14ac:dyDescent="0.2">
      <c r="A339" s="26">
        <v>25</v>
      </c>
      <c r="B339" s="27">
        <v>710</v>
      </c>
      <c r="C339" s="28" t="s">
        <v>89</v>
      </c>
      <c r="D339" s="38">
        <v>244</v>
      </c>
      <c r="E339" s="2">
        <v>19</v>
      </c>
      <c r="F339" s="2">
        <f>292-(D339+E339)</f>
        <v>29</v>
      </c>
      <c r="G339" s="2">
        <f t="shared" si="54"/>
        <v>292</v>
      </c>
      <c r="H339" s="29">
        <f t="shared" si="55"/>
        <v>0.90068493150684936</v>
      </c>
    </row>
    <row r="340" spans="1:8" x14ac:dyDescent="0.2">
      <c r="A340" s="26">
        <v>25</v>
      </c>
      <c r="B340" s="27">
        <v>712</v>
      </c>
      <c r="C340" s="28" t="s">
        <v>90</v>
      </c>
      <c r="D340" s="38">
        <v>20</v>
      </c>
      <c r="E340" s="2">
        <v>14</v>
      </c>
      <c r="F340" s="2">
        <f>34-(D340+E340)</f>
        <v>0</v>
      </c>
      <c r="G340" s="2">
        <f t="shared" si="54"/>
        <v>34</v>
      </c>
      <c r="H340" s="29">
        <f t="shared" si="55"/>
        <v>1</v>
      </c>
    </row>
    <row r="341" spans="1:8" x14ac:dyDescent="0.2">
      <c r="A341" s="30"/>
      <c r="B341" s="31"/>
      <c r="C341" s="32"/>
      <c r="D341" s="3"/>
      <c r="E341" s="34"/>
      <c r="F341" s="33"/>
      <c r="G341" s="34"/>
      <c r="H341" s="35"/>
    </row>
    <row r="342" spans="1:8" x14ac:dyDescent="0.2">
      <c r="A342" s="30"/>
      <c r="B342" s="31"/>
      <c r="C342" s="37" t="s">
        <v>91</v>
      </c>
      <c r="D342" s="3"/>
      <c r="E342" s="34"/>
      <c r="F342" s="33"/>
      <c r="G342" s="34"/>
      <c r="H342" s="35"/>
    </row>
    <row r="343" spans="1:8" x14ac:dyDescent="0.2">
      <c r="A343" s="26">
        <v>26</v>
      </c>
      <c r="B343" s="27">
        <v>104</v>
      </c>
      <c r="C343" s="43" t="s">
        <v>401</v>
      </c>
      <c r="D343" s="38">
        <v>210</v>
      </c>
      <c r="E343" s="2">
        <v>63</v>
      </c>
      <c r="F343" s="2">
        <f>511-(D343+E343)</f>
        <v>238</v>
      </c>
      <c r="G343" s="2">
        <f t="shared" ref="G343:G354" si="58">SUM(D343:F343)</f>
        <v>511</v>
      </c>
      <c r="H343" s="29">
        <f t="shared" ref="H343:H354" si="59">+(D343+E343)/G343</f>
        <v>0.53424657534246578</v>
      </c>
    </row>
    <row r="344" spans="1:8" x14ac:dyDescent="0.2">
      <c r="A344" s="26">
        <v>26</v>
      </c>
      <c r="B344" s="27">
        <v>116</v>
      </c>
      <c r="C344" s="43" t="s">
        <v>402</v>
      </c>
      <c r="D344" s="38">
        <v>8</v>
      </c>
      <c r="E344" s="2">
        <v>12</v>
      </c>
      <c r="F344" s="2">
        <f>37-(D344+E344)</f>
        <v>17</v>
      </c>
      <c r="G344" s="2">
        <f t="shared" si="58"/>
        <v>37</v>
      </c>
      <c r="H344" s="29">
        <f t="shared" si="59"/>
        <v>0.54054054054054057</v>
      </c>
    </row>
    <row r="345" spans="1:8" x14ac:dyDescent="0.2">
      <c r="A345" s="26">
        <v>26</v>
      </c>
      <c r="B345" s="27">
        <v>120</v>
      </c>
      <c r="C345" s="43" t="s">
        <v>322</v>
      </c>
      <c r="D345" s="38">
        <v>257</v>
      </c>
      <c r="E345" s="2">
        <v>110</v>
      </c>
      <c r="F345" s="2">
        <f>681-(D345+E345)</f>
        <v>314</v>
      </c>
      <c r="G345" s="2">
        <f t="shared" si="58"/>
        <v>681</v>
      </c>
      <c r="H345" s="29">
        <f t="shared" si="59"/>
        <v>0.53891336270190893</v>
      </c>
    </row>
    <row r="346" spans="1:8" x14ac:dyDescent="0.2">
      <c r="A346" s="26">
        <v>26</v>
      </c>
      <c r="B346" s="27">
        <v>124</v>
      </c>
      <c r="C346" s="43" t="s">
        <v>404</v>
      </c>
      <c r="D346" s="38">
        <v>184</v>
      </c>
      <c r="E346" s="2">
        <v>62</v>
      </c>
      <c r="F346" s="2">
        <f>490-(D346+E346)</f>
        <v>244</v>
      </c>
      <c r="G346" s="2">
        <f t="shared" si="58"/>
        <v>490</v>
      </c>
      <c r="H346" s="29">
        <f t="shared" si="59"/>
        <v>0.50204081632653064</v>
      </c>
    </row>
    <row r="347" spans="1:8" x14ac:dyDescent="0.2">
      <c r="A347" s="26">
        <v>26</v>
      </c>
      <c r="B347" s="27">
        <v>132</v>
      </c>
      <c r="C347" s="43" t="s">
        <v>405</v>
      </c>
      <c r="D347" s="38">
        <v>190</v>
      </c>
      <c r="E347" s="2">
        <v>83</v>
      </c>
      <c r="F347" s="2">
        <f>533-(D347+E347)</f>
        <v>260</v>
      </c>
      <c r="G347" s="2">
        <f t="shared" si="58"/>
        <v>533</v>
      </c>
      <c r="H347" s="29">
        <f t="shared" si="59"/>
        <v>0.51219512195121952</v>
      </c>
    </row>
    <row r="348" spans="1:8" x14ac:dyDescent="0.2">
      <c r="A348" s="26">
        <v>26</v>
      </c>
      <c r="B348" s="27">
        <v>310</v>
      </c>
      <c r="C348" s="28" t="s">
        <v>92</v>
      </c>
      <c r="D348" s="38">
        <v>96</v>
      </c>
      <c r="E348" s="2">
        <v>31</v>
      </c>
      <c r="F348" s="2">
        <f>242-(D348+E348)</f>
        <v>115</v>
      </c>
      <c r="G348" s="2">
        <f t="shared" si="58"/>
        <v>242</v>
      </c>
      <c r="H348" s="29">
        <f t="shared" si="59"/>
        <v>0.52479338842975209</v>
      </c>
    </row>
    <row r="349" spans="1:8" x14ac:dyDescent="0.2">
      <c r="A349" s="26">
        <v>26</v>
      </c>
      <c r="B349" s="27">
        <v>320</v>
      </c>
      <c r="C349" s="28" t="s">
        <v>93</v>
      </c>
      <c r="D349" s="38">
        <v>116</v>
      </c>
      <c r="E349" s="2">
        <v>42</v>
      </c>
      <c r="F349" s="2">
        <f>318-(D349+E349)</f>
        <v>160</v>
      </c>
      <c r="G349" s="2">
        <f t="shared" si="58"/>
        <v>318</v>
      </c>
      <c r="H349" s="29">
        <f t="shared" si="59"/>
        <v>0.49685534591194969</v>
      </c>
    </row>
    <row r="350" spans="1:8" x14ac:dyDescent="0.2">
      <c r="A350" s="26">
        <v>26</v>
      </c>
      <c r="B350" s="27">
        <v>330</v>
      </c>
      <c r="C350" s="28" t="s">
        <v>94</v>
      </c>
      <c r="D350" s="38">
        <v>153</v>
      </c>
      <c r="E350" s="2">
        <v>64</v>
      </c>
      <c r="F350" s="2">
        <f>447-(D350+E350)</f>
        <v>230</v>
      </c>
      <c r="G350" s="2">
        <f t="shared" si="58"/>
        <v>447</v>
      </c>
      <c r="H350" s="29">
        <f t="shared" si="59"/>
        <v>0.4854586129753915</v>
      </c>
    </row>
    <row r="351" spans="1:8" x14ac:dyDescent="0.2">
      <c r="A351" s="26">
        <v>26</v>
      </c>
      <c r="B351" s="27">
        <v>704</v>
      </c>
      <c r="C351" s="43" t="s">
        <v>403</v>
      </c>
      <c r="D351" s="38">
        <v>71</v>
      </c>
      <c r="E351" s="2">
        <v>24</v>
      </c>
      <c r="F351" s="2">
        <f>266-(D351+E351)</f>
        <v>171</v>
      </c>
      <c r="G351" s="2">
        <f t="shared" si="58"/>
        <v>266</v>
      </c>
      <c r="H351" s="29">
        <f t="shared" si="59"/>
        <v>0.35714285714285715</v>
      </c>
    </row>
    <row r="352" spans="1:8" x14ac:dyDescent="0.2">
      <c r="A352" s="26">
        <v>26</v>
      </c>
      <c r="B352" s="27">
        <v>708</v>
      </c>
      <c r="C352" s="28" t="s">
        <v>95</v>
      </c>
      <c r="D352" s="38">
        <v>197</v>
      </c>
      <c r="E352" s="2">
        <v>56</v>
      </c>
      <c r="F352" s="2">
        <f>654-(D352+E352)</f>
        <v>401</v>
      </c>
      <c r="G352" s="2">
        <f t="shared" si="58"/>
        <v>654</v>
      </c>
      <c r="H352" s="29">
        <f t="shared" si="59"/>
        <v>0.38685015290519875</v>
      </c>
    </row>
    <row r="353" spans="1:8" x14ac:dyDescent="0.2">
      <c r="A353" s="26">
        <v>26</v>
      </c>
      <c r="B353" s="27">
        <v>712</v>
      </c>
      <c r="C353" s="43" t="s">
        <v>96</v>
      </c>
      <c r="D353" s="38">
        <v>165</v>
      </c>
      <c r="E353" s="2">
        <v>35</v>
      </c>
      <c r="F353" s="2">
        <f>458-(D353+E353)</f>
        <v>258</v>
      </c>
      <c r="G353" s="2">
        <f t="shared" ref="G353" si="60">SUM(D353:F353)</f>
        <v>458</v>
      </c>
      <c r="H353" s="29">
        <f t="shared" ref="H353" si="61">+(D353+E353)/G353</f>
        <v>0.4366812227074236</v>
      </c>
    </row>
    <row r="354" spans="1:8" x14ac:dyDescent="0.2">
      <c r="A354" s="26">
        <v>26</v>
      </c>
      <c r="B354" s="27">
        <v>716</v>
      </c>
      <c r="C354" s="28" t="s">
        <v>97</v>
      </c>
      <c r="D354" s="38">
        <v>38</v>
      </c>
      <c r="E354" s="2">
        <v>5</v>
      </c>
      <c r="F354" s="2">
        <f>65-(D354+E354)</f>
        <v>22</v>
      </c>
      <c r="G354" s="2">
        <f t="shared" si="58"/>
        <v>65</v>
      </c>
      <c r="H354" s="29">
        <f t="shared" si="59"/>
        <v>0.66153846153846152</v>
      </c>
    </row>
    <row r="355" spans="1:8" x14ac:dyDescent="0.2">
      <c r="A355" s="30"/>
      <c r="B355" s="31"/>
      <c r="C355" s="32"/>
      <c r="D355" s="3"/>
      <c r="E355" s="34"/>
      <c r="F355" s="33"/>
      <c r="G355" s="34"/>
      <c r="H355" s="35"/>
    </row>
    <row r="356" spans="1:8" x14ac:dyDescent="0.2">
      <c r="A356" s="30"/>
      <c r="B356" s="31"/>
      <c r="C356" s="37" t="s">
        <v>98</v>
      </c>
      <c r="D356" s="3"/>
      <c r="E356" s="34"/>
      <c r="F356" s="33"/>
      <c r="G356" s="34"/>
      <c r="H356" s="35"/>
    </row>
    <row r="357" spans="1:8" x14ac:dyDescent="0.2">
      <c r="A357" s="26">
        <v>27</v>
      </c>
      <c r="B357" s="27">
        <v>108</v>
      </c>
      <c r="C357" s="43" t="s">
        <v>406</v>
      </c>
      <c r="D357" s="38">
        <v>189</v>
      </c>
      <c r="E357" s="2">
        <v>93</v>
      </c>
      <c r="F357" s="2">
        <f>507-(D357+E357)</f>
        <v>225</v>
      </c>
      <c r="G357" s="2">
        <f t="shared" ref="G357:G363" si="62">SUM(D357:F357)</f>
        <v>507</v>
      </c>
      <c r="H357" s="29">
        <f t="shared" ref="H357:H363" si="63">+(D357+E357)/G357</f>
        <v>0.55621301775147924</v>
      </c>
    </row>
    <row r="358" spans="1:8" x14ac:dyDescent="0.2">
      <c r="A358" s="26">
        <v>27</v>
      </c>
      <c r="B358" s="27">
        <v>112</v>
      </c>
      <c r="C358" s="43" t="s">
        <v>217</v>
      </c>
      <c r="D358" s="55">
        <v>218</v>
      </c>
      <c r="E358" s="63">
        <v>95</v>
      </c>
      <c r="F358" s="2">
        <f>482-(D358+E358)</f>
        <v>169</v>
      </c>
      <c r="G358" s="2">
        <f t="shared" si="62"/>
        <v>482</v>
      </c>
      <c r="H358" s="29">
        <f t="shared" si="63"/>
        <v>0.64937759336099588</v>
      </c>
    </row>
    <row r="359" spans="1:8" x14ac:dyDescent="0.2">
      <c r="A359" s="26">
        <v>27</v>
      </c>
      <c r="B359" s="27">
        <v>116</v>
      </c>
      <c r="C359" s="43" t="s">
        <v>407</v>
      </c>
      <c r="D359" s="55">
        <v>152</v>
      </c>
      <c r="E359" s="63">
        <v>65</v>
      </c>
      <c r="F359" s="2">
        <f>369-(D359+E359)</f>
        <v>152</v>
      </c>
      <c r="G359" s="2">
        <f t="shared" si="62"/>
        <v>369</v>
      </c>
      <c r="H359" s="29">
        <f t="shared" si="63"/>
        <v>0.58807588075880757</v>
      </c>
    </row>
    <row r="360" spans="1:8" x14ac:dyDescent="0.2">
      <c r="A360" s="26">
        <v>27</v>
      </c>
      <c r="B360" s="27">
        <v>302</v>
      </c>
      <c r="C360" s="28" t="s">
        <v>99</v>
      </c>
      <c r="D360" s="55">
        <v>94</v>
      </c>
      <c r="E360" s="63">
        <v>52</v>
      </c>
      <c r="F360" s="2">
        <f>271-(D360+E360)</f>
        <v>125</v>
      </c>
      <c r="G360" s="2">
        <f t="shared" si="62"/>
        <v>271</v>
      </c>
      <c r="H360" s="29">
        <f t="shared" si="63"/>
        <v>0.53874538745387457</v>
      </c>
    </row>
    <row r="361" spans="1:8" x14ac:dyDescent="0.2">
      <c r="A361" s="26">
        <v>27</v>
      </c>
      <c r="B361" s="27">
        <v>304</v>
      </c>
      <c r="C361" s="28" t="s">
        <v>100</v>
      </c>
      <c r="D361" s="55">
        <v>159</v>
      </c>
      <c r="E361" s="63">
        <v>63</v>
      </c>
      <c r="F361" s="2">
        <f>455-(D361+E361)</f>
        <v>233</v>
      </c>
      <c r="G361" s="2">
        <f t="shared" si="62"/>
        <v>455</v>
      </c>
      <c r="H361" s="29">
        <f t="shared" si="63"/>
        <v>0.4879120879120879</v>
      </c>
    </row>
    <row r="362" spans="1:8" x14ac:dyDescent="0.2">
      <c r="A362" s="26">
        <v>27</v>
      </c>
      <c r="B362" s="27">
        <v>704</v>
      </c>
      <c r="C362" s="28" t="s">
        <v>101</v>
      </c>
      <c r="D362" s="55">
        <v>104</v>
      </c>
      <c r="E362" s="63">
        <v>61</v>
      </c>
      <c r="F362" s="2">
        <f>335-(D362+E362)</f>
        <v>170</v>
      </c>
      <c r="G362" s="2">
        <f t="shared" si="62"/>
        <v>335</v>
      </c>
      <c r="H362" s="29">
        <f t="shared" si="63"/>
        <v>0.4925373134328358</v>
      </c>
    </row>
    <row r="363" spans="1:8" x14ac:dyDescent="0.2">
      <c r="A363" s="26">
        <v>27</v>
      </c>
      <c r="B363" s="27">
        <v>708</v>
      </c>
      <c r="C363" s="28" t="s">
        <v>102</v>
      </c>
      <c r="D363" s="38">
        <v>179</v>
      </c>
      <c r="E363" s="2">
        <v>70</v>
      </c>
      <c r="F363" s="2">
        <f>590-(D363+E363)</f>
        <v>341</v>
      </c>
      <c r="G363" s="2">
        <f t="shared" si="62"/>
        <v>590</v>
      </c>
      <c r="H363" s="29">
        <f t="shared" si="63"/>
        <v>0.42203389830508475</v>
      </c>
    </row>
    <row r="364" spans="1:8" x14ac:dyDescent="0.2">
      <c r="A364" s="30"/>
      <c r="B364" s="31"/>
      <c r="C364" s="32"/>
      <c r="D364" s="3"/>
      <c r="E364" s="34"/>
      <c r="F364" s="33"/>
      <c r="G364" s="34"/>
      <c r="H364" s="35"/>
    </row>
    <row r="365" spans="1:8" x14ac:dyDescent="0.2">
      <c r="A365" s="30"/>
      <c r="B365" s="31"/>
      <c r="C365" s="37" t="s">
        <v>103</v>
      </c>
      <c r="D365" s="3"/>
      <c r="E365" s="34"/>
      <c r="F365" s="33"/>
      <c r="G365" s="34"/>
      <c r="H365" s="35"/>
    </row>
    <row r="366" spans="1:8" x14ac:dyDescent="0.2">
      <c r="A366" s="26">
        <v>29</v>
      </c>
      <c r="B366" s="27">
        <v>108</v>
      </c>
      <c r="C366" s="28" t="s">
        <v>139</v>
      </c>
      <c r="D366" s="38">
        <v>78</v>
      </c>
      <c r="E366" s="2">
        <v>30</v>
      </c>
      <c r="F366" s="2">
        <f>210-(D366+E366)</f>
        <v>102</v>
      </c>
      <c r="G366" s="2">
        <f>SUM(D366:F366)</f>
        <v>210</v>
      </c>
      <c r="H366" s="29">
        <f>+(D366+E366)/G366</f>
        <v>0.51428571428571423</v>
      </c>
    </row>
    <row r="367" spans="1:8" x14ac:dyDescent="0.2">
      <c r="A367" s="30"/>
      <c r="B367" s="31"/>
      <c r="C367" s="32"/>
      <c r="D367" s="3"/>
      <c r="E367" s="34"/>
      <c r="F367" s="33"/>
      <c r="G367" s="34"/>
      <c r="H367" s="35"/>
    </row>
    <row r="368" spans="1:8" x14ac:dyDescent="0.2">
      <c r="A368" s="30"/>
      <c r="B368" s="31"/>
      <c r="C368" s="37" t="s">
        <v>104</v>
      </c>
      <c r="D368" s="3"/>
      <c r="E368" s="34"/>
      <c r="F368" s="33"/>
      <c r="G368" s="34"/>
      <c r="H368" s="35"/>
    </row>
    <row r="369" spans="1:8" x14ac:dyDescent="0.2">
      <c r="A369" s="26">
        <v>30</v>
      </c>
      <c r="B369" s="27">
        <v>102</v>
      </c>
      <c r="C369" s="43" t="s">
        <v>362</v>
      </c>
      <c r="D369" s="38">
        <v>197</v>
      </c>
      <c r="E369" s="2">
        <v>81</v>
      </c>
      <c r="F369" s="2">
        <f>656-(D369+E369)</f>
        <v>378</v>
      </c>
      <c r="G369" s="2">
        <f t="shared" ref="G369:G383" si="64">SUM(D369:F369)</f>
        <v>656</v>
      </c>
      <c r="H369" s="29">
        <f t="shared" ref="H369:H383" si="65">+(D369+E369)/G369</f>
        <v>0.42378048780487804</v>
      </c>
    </row>
    <row r="370" spans="1:8" x14ac:dyDescent="0.2">
      <c r="A370" s="26">
        <v>30</v>
      </c>
      <c r="B370" s="27">
        <v>106</v>
      </c>
      <c r="C370" s="43" t="s">
        <v>276</v>
      </c>
      <c r="D370" s="38">
        <v>186</v>
      </c>
      <c r="E370" s="2">
        <v>41</v>
      </c>
      <c r="F370" s="2">
        <f>510-(D370+E370)</f>
        <v>283</v>
      </c>
      <c r="G370" s="2">
        <f t="shared" si="64"/>
        <v>510</v>
      </c>
      <c r="H370" s="29">
        <f t="shared" si="65"/>
        <v>0.44509803921568625</v>
      </c>
    </row>
    <row r="371" spans="1:8" x14ac:dyDescent="0.2">
      <c r="A371" s="26">
        <v>30</v>
      </c>
      <c r="B371" s="27">
        <v>108</v>
      </c>
      <c r="C371" s="43" t="s">
        <v>532</v>
      </c>
      <c r="D371" s="38">
        <v>266</v>
      </c>
      <c r="E371" s="2">
        <v>73</v>
      </c>
      <c r="F371" s="2">
        <f>814-(D371+E371)</f>
        <v>475</v>
      </c>
      <c r="G371" s="2">
        <f t="shared" ref="G371" si="66">SUM(D371:F371)</f>
        <v>814</v>
      </c>
      <c r="H371" s="29">
        <f t="shared" ref="H371" si="67">+(D371+E371)/G371</f>
        <v>0.41646191646191644</v>
      </c>
    </row>
    <row r="372" spans="1:8" x14ac:dyDescent="0.2">
      <c r="A372" s="26">
        <v>30</v>
      </c>
      <c r="B372" s="27">
        <v>112</v>
      </c>
      <c r="C372" s="43" t="s">
        <v>409</v>
      </c>
      <c r="D372" s="38">
        <v>234</v>
      </c>
      <c r="E372" s="2">
        <v>77</v>
      </c>
      <c r="F372" s="2">
        <f>455-(D372+E372)</f>
        <v>144</v>
      </c>
      <c r="G372" s="2">
        <f t="shared" si="64"/>
        <v>455</v>
      </c>
      <c r="H372" s="29">
        <f t="shared" si="65"/>
        <v>0.68351648351648353</v>
      </c>
    </row>
    <row r="373" spans="1:8" x14ac:dyDescent="0.2">
      <c r="A373" s="26">
        <v>30</v>
      </c>
      <c r="B373" s="27">
        <v>116</v>
      </c>
      <c r="C373" s="43" t="s">
        <v>410</v>
      </c>
      <c r="D373" s="38">
        <v>15</v>
      </c>
      <c r="E373" s="2">
        <v>5</v>
      </c>
      <c r="F373" s="2">
        <f>21-(D373+E373)</f>
        <v>1</v>
      </c>
      <c r="G373" s="2">
        <f t="shared" si="64"/>
        <v>21</v>
      </c>
      <c r="H373" s="29">
        <f t="shared" si="65"/>
        <v>0.95238095238095233</v>
      </c>
    </row>
    <row r="374" spans="1:8" x14ac:dyDescent="0.2">
      <c r="A374" s="26">
        <v>30</v>
      </c>
      <c r="B374" s="27">
        <v>128</v>
      </c>
      <c r="C374" s="43" t="s">
        <v>411</v>
      </c>
      <c r="D374" s="38">
        <v>123</v>
      </c>
      <c r="E374" s="2">
        <v>71</v>
      </c>
      <c r="F374" s="2">
        <f>497-(D374+E374)</f>
        <v>303</v>
      </c>
      <c r="G374" s="2">
        <f t="shared" si="64"/>
        <v>497</v>
      </c>
      <c r="H374" s="29">
        <f>+(D374+E374)/G374</f>
        <v>0.3903420523138833</v>
      </c>
    </row>
    <row r="375" spans="1:8" x14ac:dyDescent="0.2">
      <c r="A375" s="26">
        <v>30</v>
      </c>
      <c r="B375" s="27">
        <v>132</v>
      </c>
      <c r="C375" s="43" t="s">
        <v>412</v>
      </c>
      <c r="D375" s="38">
        <v>364</v>
      </c>
      <c r="E375" s="2">
        <v>70</v>
      </c>
      <c r="F375" s="2">
        <f>647-(D375+E375)</f>
        <v>213</v>
      </c>
      <c r="G375" s="2">
        <f t="shared" si="64"/>
        <v>647</v>
      </c>
      <c r="H375" s="29">
        <f t="shared" si="65"/>
        <v>0.67078825347758886</v>
      </c>
    </row>
    <row r="376" spans="1:8" x14ac:dyDescent="0.2">
      <c r="A376" s="26">
        <v>30</v>
      </c>
      <c r="B376" s="27">
        <v>136</v>
      </c>
      <c r="C376" s="43" t="s">
        <v>415</v>
      </c>
      <c r="D376" s="38">
        <v>9</v>
      </c>
      <c r="E376" s="2">
        <v>3</v>
      </c>
      <c r="F376" s="2">
        <f>33-(D376+E376)</f>
        <v>21</v>
      </c>
      <c r="G376" s="2">
        <f t="shared" si="64"/>
        <v>33</v>
      </c>
      <c r="H376" s="29">
        <f t="shared" si="65"/>
        <v>0.36363636363636365</v>
      </c>
    </row>
    <row r="377" spans="1:8" x14ac:dyDescent="0.2">
      <c r="A377" s="26">
        <v>30</v>
      </c>
      <c r="B377" s="27">
        <v>138</v>
      </c>
      <c r="C377" s="43" t="s">
        <v>413</v>
      </c>
      <c r="D377" s="38">
        <v>171</v>
      </c>
      <c r="E377" s="2">
        <v>105</v>
      </c>
      <c r="F377" s="2">
        <f>633-(D377+E377)</f>
        <v>357</v>
      </c>
      <c r="G377" s="2">
        <f t="shared" ref="G377" si="68">SUM(D377:F377)</f>
        <v>633</v>
      </c>
      <c r="H377" s="29">
        <f t="shared" ref="H377" si="69">+(D377+E377)/G377</f>
        <v>0.43601895734597157</v>
      </c>
    </row>
    <row r="378" spans="1:8" x14ac:dyDescent="0.2">
      <c r="A378" s="26">
        <v>30</v>
      </c>
      <c r="B378" s="27">
        <v>140</v>
      </c>
      <c r="C378" s="43" t="s">
        <v>408</v>
      </c>
      <c r="D378" s="38">
        <v>285</v>
      </c>
      <c r="E378" s="2">
        <v>25</v>
      </c>
      <c r="F378" s="2">
        <f>320-(D378+E378)</f>
        <v>10</v>
      </c>
      <c r="G378" s="2">
        <f t="shared" si="64"/>
        <v>320</v>
      </c>
      <c r="H378" s="29">
        <f t="shared" si="65"/>
        <v>0.96875</v>
      </c>
    </row>
    <row r="379" spans="1:8" x14ac:dyDescent="0.2">
      <c r="A379" s="26">
        <v>30</v>
      </c>
      <c r="B379" s="27">
        <v>142</v>
      </c>
      <c r="C379" s="43" t="s">
        <v>416</v>
      </c>
      <c r="D379" s="38">
        <v>133</v>
      </c>
      <c r="E379" s="2">
        <v>43</v>
      </c>
      <c r="F379" s="2">
        <f>397-(D379+E379)</f>
        <v>221</v>
      </c>
      <c r="G379" s="2">
        <f t="shared" si="64"/>
        <v>397</v>
      </c>
      <c r="H379" s="29">
        <f t="shared" si="65"/>
        <v>0.44332493702770781</v>
      </c>
    </row>
    <row r="380" spans="1:8" x14ac:dyDescent="0.2">
      <c r="A380" s="26">
        <v>30</v>
      </c>
      <c r="B380" s="27">
        <v>404</v>
      </c>
      <c r="C380" s="43" t="s">
        <v>414</v>
      </c>
      <c r="D380" s="38">
        <v>274</v>
      </c>
      <c r="E380" s="2">
        <v>101</v>
      </c>
      <c r="F380" s="2">
        <f>854-(D380+E380)</f>
        <v>479</v>
      </c>
      <c r="G380" s="2">
        <f t="shared" si="64"/>
        <v>854</v>
      </c>
      <c r="H380" s="29">
        <f t="shared" si="65"/>
        <v>0.43911007025761123</v>
      </c>
    </row>
    <row r="381" spans="1:8" x14ac:dyDescent="0.2">
      <c r="A381" s="26">
        <v>30</v>
      </c>
      <c r="B381" s="27">
        <v>712</v>
      </c>
      <c r="C381" s="28" t="s">
        <v>105</v>
      </c>
      <c r="D381" s="38">
        <v>429</v>
      </c>
      <c r="E381" s="2">
        <v>116</v>
      </c>
      <c r="F381" s="2">
        <f>1476-(D381+E381)</f>
        <v>931</v>
      </c>
      <c r="G381" s="2">
        <f t="shared" si="64"/>
        <v>1476</v>
      </c>
      <c r="H381" s="29">
        <f t="shared" si="65"/>
        <v>0.3692411924119241</v>
      </c>
    </row>
    <row r="382" spans="1:8" x14ac:dyDescent="0.2">
      <c r="A382" s="26">
        <v>30</v>
      </c>
      <c r="B382" s="27">
        <v>714</v>
      </c>
      <c r="C382" s="28" t="s">
        <v>106</v>
      </c>
      <c r="D382" s="38">
        <v>169</v>
      </c>
      <c r="E382" s="2">
        <v>15</v>
      </c>
      <c r="F382" s="2">
        <f>196-(D382+E382)</f>
        <v>12</v>
      </c>
      <c r="G382" s="2">
        <f t="shared" si="64"/>
        <v>196</v>
      </c>
      <c r="H382" s="29">
        <f t="shared" si="65"/>
        <v>0.93877551020408168</v>
      </c>
    </row>
    <row r="383" spans="1:8" x14ac:dyDescent="0.2">
      <c r="A383" s="26">
        <v>30</v>
      </c>
      <c r="B383" s="27">
        <v>740</v>
      </c>
      <c r="C383" s="43" t="s">
        <v>519</v>
      </c>
      <c r="D383" s="38">
        <v>31</v>
      </c>
      <c r="E383" s="2">
        <v>3</v>
      </c>
      <c r="F383" s="2">
        <f>76-(D383+E383)</f>
        <v>42</v>
      </c>
      <c r="G383" s="2">
        <f t="shared" si="64"/>
        <v>76</v>
      </c>
      <c r="H383" s="29">
        <f t="shared" si="65"/>
        <v>0.44736842105263158</v>
      </c>
    </row>
    <row r="384" spans="1:8" x14ac:dyDescent="0.2">
      <c r="A384" s="30"/>
      <c r="B384" s="31"/>
      <c r="C384" s="32"/>
      <c r="D384" s="3"/>
      <c r="E384" s="34"/>
      <c r="F384" s="33"/>
      <c r="G384" s="34"/>
      <c r="H384" s="35"/>
    </row>
    <row r="385" spans="1:8" x14ac:dyDescent="0.2">
      <c r="A385" s="30"/>
      <c r="B385" s="31"/>
      <c r="C385" s="37" t="s">
        <v>107</v>
      </c>
      <c r="D385" s="72"/>
      <c r="E385" s="73"/>
      <c r="F385" s="68"/>
      <c r="G385" s="34"/>
      <c r="H385" s="35"/>
    </row>
    <row r="386" spans="1:8" x14ac:dyDescent="0.2">
      <c r="A386" s="26">
        <v>31</v>
      </c>
      <c r="B386" s="27">
        <v>100</v>
      </c>
      <c r="C386" s="43" t="s">
        <v>417</v>
      </c>
      <c r="D386" s="38">
        <v>225</v>
      </c>
      <c r="E386" s="2">
        <v>80</v>
      </c>
      <c r="F386" s="2">
        <f>624-(D386+E386)</f>
        <v>319</v>
      </c>
      <c r="G386" s="2">
        <f t="shared" ref="G386:G392" si="70">SUM(D386:F386)</f>
        <v>624</v>
      </c>
      <c r="H386" s="29">
        <f t="shared" ref="H386:H392" si="71">+(D386+E386)/G386</f>
        <v>0.48878205128205127</v>
      </c>
    </row>
    <row r="387" spans="1:8" x14ac:dyDescent="0.2">
      <c r="A387" s="26">
        <v>31</v>
      </c>
      <c r="B387" s="27">
        <v>110</v>
      </c>
      <c r="C387" s="43" t="s">
        <v>419</v>
      </c>
      <c r="D387" s="38">
        <v>123</v>
      </c>
      <c r="E387" s="2">
        <v>83</v>
      </c>
      <c r="F387" s="2">
        <f>507-(D387+E387)</f>
        <v>301</v>
      </c>
      <c r="G387" s="2">
        <f t="shared" si="70"/>
        <v>507</v>
      </c>
      <c r="H387" s="29">
        <f t="shared" si="71"/>
        <v>0.40631163708086787</v>
      </c>
    </row>
    <row r="388" spans="1:8" x14ac:dyDescent="0.2">
      <c r="A388" s="26">
        <v>31</v>
      </c>
      <c r="B388" s="27">
        <v>116</v>
      </c>
      <c r="C388" s="43" t="s">
        <v>420</v>
      </c>
      <c r="D388" s="38">
        <v>102</v>
      </c>
      <c r="E388" s="2">
        <v>35</v>
      </c>
      <c r="F388" s="2">
        <f>263-(D388+E388)</f>
        <v>126</v>
      </c>
      <c r="G388" s="2">
        <f t="shared" si="70"/>
        <v>263</v>
      </c>
      <c r="H388" s="29">
        <f t="shared" si="71"/>
        <v>0.52091254752851712</v>
      </c>
    </row>
    <row r="389" spans="1:8" x14ac:dyDescent="0.2">
      <c r="A389" s="26">
        <v>31</v>
      </c>
      <c r="B389" s="27">
        <v>124</v>
      </c>
      <c r="C389" s="43" t="s">
        <v>421</v>
      </c>
      <c r="D389" s="38">
        <v>163</v>
      </c>
      <c r="E389" s="2">
        <v>57</v>
      </c>
      <c r="F389" s="2">
        <f>553-(D389+E389)</f>
        <v>333</v>
      </c>
      <c r="G389" s="2">
        <f t="shared" si="70"/>
        <v>553</v>
      </c>
      <c r="H389" s="29">
        <f t="shared" si="71"/>
        <v>0.39783001808318263</v>
      </c>
    </row>
    <row r="390" spans="1:8" x14ac:dyDescent="0.2">
      <c r="A390" s="26">
        <v>31</v>
      </c>
      <c r="B390" s="27">
        <v>128</v>
      </c>
      <c r="C390" s="43" t="s">
        <v>177</v>
      </c>
      <c r="D390" s="38">
        <v>237</v>
      </c>
      <c r="E390" s="2">
        <v>53</v>
      </c>
      <c r="F390" s="2">
        <f>462-(D390+E390)</f>
        <v>172</v>
      </c>
      <c r="G390" s="2">
        <f t="shared" si="70"/>
        <v>462</v>
      </c>
      <c r="H390" s="29">
        <f t="shared" si="71"/>
        <v>0.62770562770562766</v>
      </c>
    </row>
    <row r="391" spans="1:8" x14ac:dyDescent="0.2">
      <c r="A391" s="26">
        <v>31</v>
      </c>
      <c r="B391" s="27">
        <v>250</v>
      </c>
      <c r="C391" s="43" t="s">
        <v>418</v>
      </c>
      <c r="D391" s="38">
        <v>28</v>
      </c>
      <c r="E391" s="2">
        <v>10</v>
      </c>
      <c r="F391" s="2">
        <f>95-(D391+E391)</f>
        <v>57</v>
      </c>
      <c r="G391" s="2">
        <f>SUM(D391:F391)</f>
        <v>95</v>
      </c>
      <c r="H391" s="29">
        <f>+(D391+E391)/G391</f>
        <v>0.4</v>
      </c>
    </row>
    <row r="392" spans="1:8" x14ac:dyDescent="0.2">
      <c r="A392" s="26">
        <v>31</v>
      </c>
      <c r="B392" s="27">
        <v>310</v>
      </c>
      <c r="C392" s="28" t="s">
        <v>108</v>
      </c>
      <c r="D392" s="38">
        <v>239</v>
      </c>
      <c r="E392" s="2">
        <v>123</v>
      </c>
      <c r="F392" s="2">
        <f>977-(D392+E392)</f>
        <v>615</v>
      </c>
      <c r="G392" s="2">
        <f t="shared" si="70"/>
        <v>977</v>
      </c>
      <c r="H392" s="29">
        <f t="shared" si="71"/>
        <v>0.37052200614124869</v>
      </c>
    </row>
    <row r="393" spans="1:8" x14ac:dyDescent="0.2">
      <c r="A393" s="26">
        <v>31</v>
      </c>
      <c r="B393" s="27">
        <v>998</v>
      </c>
      <c r="C393" s="43" t="s">
        <v>518</v>
      </c>
      <c r="D393" s="38">
        <v>2</v>
      </c>
      <c r="E393" s="2">
        <v>1</v>
      </c>
      <c r="F393" s="2">
        <f>8-(D393+E393)</f>
        <v>5</v>
      </c>
      <c r="G393" s="2">
        <f>SUM(D393:F393)</f>
        <v>8</v>
      </c>
      <c r="H393" s="29">
        <f>+(D393+E393)/G393</f>
        <v>0.375</v>
      </c>
    </row>
    <row r="394" spans="1:8" x14ac:dyDescent="0.2">
      <c r="A394" s="30"/>
      <c r="B394" s="31"/>
      <c r="C394" s="32"/>
      <c r="D394" s="3"/>
      <c r="E394" s="34"/>
      <c r="F394" s="33"/>
      <c r="G394" s="34"/>
      <c r="H394" s="35"/>
    </row>
    <row r="395" spans="1:8" x14ac:dyDescent="0.2">
      <c r="A395" s="30"/>
      <c r="B395" s="31"/>
      <c r="C395" s="37" t="s">
        <v>27</v>
      </c>
      <c r="D395" s="3"/>
      <c r="E395" s="34"/>
      <c r="F395" s="33"/>
      <c r="G395" s="34"/>
      <c r="H395" s="35"/>
    </row>
    <row r="396" spans="1:8" x14ac:dyDescent="0.2">
      <c r="A396" s="26">
        <v>32</v>
      </c>
      <c r="B396" s="27">
        <v>106</v>
      </c>
      <c r="C396" s="43" t="s">
        <v>422</v>
      </c>
      <c r="D396" s="38">
        <v>221</v>
      </c>
      <c r="E396" s="2">
        <v>71</v>
      </c>
      <c r="F396" s="2">
        <f>532-(D396+E396)</f>
        <v>240</v>
      </c>
      <c r="G396" s="2">
        <f t="shared" ref="G396:G400" si="72">SUM(D396:F396)</f>
        <v>532</v>
      </c>
      <c r="H396" s="29">
        <f t="shared" ref="H396:H400" si="73">+(D396+E396)/G396</f>
        <v>0.54887218045112784</v>
      </c>
    </row>
    <row r="397" spans="1:8" x14ac:dyDescent="0.2">
      <c r="A397" s="26">
        <v>32</v>
      </c>
      <c r="B397" s="27">
        <v>108</v>
      </c>
      <c r="C397" s="43" t="s">
        <v>424</v>
      </c>
      <c r="D397" s="38">
        <v>129</v>
      </c>
      <c r="E397" s="2">
        <v>33</v>
      </c>
      <c r="F397" s="2">
        <f>335-(D397+E397)</f>
        <v>173</v>
      </c>
      <c r="G397" s="2">
        <f t="shared" si="72"/>
        <v>335</v>
      </c>
      <c r="H397" s="29">
        <f t="shared" si="73"/>
        <v>0.4835820895522388</v>
      </c>
    </row>
    <row r="398" spans="1:8" x14ac:dyDescent="0.2">
      <c r="A398" s="26">
        <v>32</v>
      </c>
      <c r="B398" s="27">
        <v>110</v>
      </c>
      <c r="C398" s="43" t="s">
        <v>423</v>
      </c>
      <c r="D398" s="38">
        <v>127</v>
      </c>
      <c r="E398" s="2">
        <v>54</v>
      </c>
      <c r="F398" s="2">
        <f>386-(D398+E398)</f>
        <v>205</v>
      </c>
      <c r="G398" s="2">
        <f t="shared" si="72"/>
        <v>386</v>
      </c>
      <c r="H398" s="29">
        <f t="shared" si="73"/>
        <v>0.4689119170984456</v>
      </c>
    </row>
    <row r="399" spans="1:8" x14ac:dyDescent="0.2">
      <c r="A399" s="26">
        <v>32</v>
      </c>
      <c r="B399" s="27">
        <v>312</v>
      </c>
      <c r="C399" s="43" t="s">
        <v>425</v>
      </c>
      <c r="D399" s="38">
        <v>243</v>
      </c>
      <c r="E399" s="2">
        <v>73</v>
      </c>
      <c r="F399" s="2">
        <f>849-(D399+E399)</f>
        <v>533</v>
      </c>
      <c r="G399" s="2">
        <f t="shared" si="72"/>
        <v>849</v>
      </c>
      <c r="H399" s="29">
        <f>+(D399+E399)/G399</f>
        <v>0.37220259128386335</v>
      </c>
    </row>
    <row r="400" spans="1:8" x14ac:dyDescent="0.2">
      <c r="A400" s="26">
        <v>32</v>
      </c>
      <c r="B400" s="27">
        <v>212</v>
      </c>
      <c r="C400" s="43" t="s">
        <v>426</v>
      </c>
      <c r="D400" s="38">
        <v>242</v>
      </c>
      <c r="E400" s="2">
        <v>72</v>
      </c>
      <c r="F400" s="2">
        <f>842-(D400+E400)</f>
        <v>528</v>
      </c>
      <c r="G400" s="2">
        <f t="shared" si="72"/>
        <v>842</v>
      </c>
      <c r="H400" s="29">
        <f t="shared" si="73"/>
        <v>0.37292161520190026</v>
      </c>
    </row>
    <row r="401" spans="1:8" x14ac:dyDescent="0.2">
      <c r="A401" s="30"/>
      <c r="B401" s="31"/>
      <c r="C401" s="32"/>
      <c r="D401" s="3"/>
      <c r="E401" s="34"/>
      <c r="F401" s="33"/>
      <c r="G401" s="34"/>
      <c r="H401" s="35"/>
    </row>
    <row r="402" spans="1:8" x14ac:dyDescent="0.2">
      <c r="A402" s="30"/>
      <c r="B402" s="31"/>
      <c r="C402" s="37" t="s">
        <v>28</v>
      </c>
      <c r="D402" s="3"/>
      <c r="E402" s="34"/>
      <c r="F402" s="33"/>
      <c r="G402" s="34"/>
      <c r="H402" s="35"/>
    </row>
    <row r="403" spans="1:8" x14ac:dyDescent="0.2">
      <c r="A403" s="26">
        <v>33</v>
      </c>
      <c r="B403" s="27">
        <v>103</v>
      </c>
      <c r="C403" s="43" t="s">
        <v>430</v>
      </c>
      <c r="D403" s="38">
        <v>466</v>
      </c>
      <c r="E403" s="2">
        <v>65</v>
      </c>
      <c r="F403" s="2">
        <f>737-(D403+E403)</f>
        <v>206</v>
      </c>
      <c r="G403" s="2">
        <f t="shared" ref="G403:G426" si="74">SUM(D403:F403)</f>
        <v>737</v>
      </c>
      <c r="H403" s="29">
        <f t="shared" ref="H403:H426" si="75">+(D403+E403)/G403</f>
        <v>0.72048846675712352</v>
      </c>
    </row>
    <row r="404" spans="1:8" x14ac:dyDescent="0.2">
      <c r="A404" s="26">
        <v>33</v>
      </c>
      <c r="B404" s="27">
        <v>104</v>
      </c>
      <c r="C404" s="43" t="s">
        <v>431</v>
      </c>
      <c r="D404" s="38">
        <v>129</v>
      </c>
      <c r="E404" s="2">
        <v>73</v>
      </c>
      <c r="F404" s="2">
        <f>463-(D404+E404)</f>
        <v>261</v>
      </c>
      <c r="G404" s="2">
        <f t="shared" si="74"/>
        <v>463</v>
      </c>
      <c r="H404" s="29">
        <f t="shared" si="75"/>
        <v>0.43628509719222464</v>
      </c>
    </row>
    <row r="405" spans="1:8" x14ac:dyDescent="0.2">
      <c r="A405" s="26">
        <v>33</v>
      </c>
      <c r="B405" s="27">
        <v>105</v>
      </c>
      <c r="C405" s="43" t="s">
        <v>427</v>
      </c>
      <c r="D405" s="38">
        <v>198</v>
      </c>
      <c r="E405" s="2">
        <v>55</v>
      </c>
      <c r="F405" s="2">
        <f>620-(D405+E405)</f>
        <v>367</v>
      </c>
      <c r="G405" s="2">
        <f t="shared" si="74"/>
        <v>620</v>
      </c>
      <c r="H405" s="29">
        <f t="shared" si="75"/>
        <v>0.40806451612903227</v>
      </c>
    </row>
    <row r="406" spans="1:8" x14ac:dyDescent="0.2">
      <c r="A406" s="26">
        <v>33</v>
      </c>
      <c r="B406" s="27">
        <v>107</v>
      </c>
      <c r="C406" s="43" t="s">
        <v>428</v>
      </c>
      <c r="D406" s="38">
        <v>362</v>
      </c>
      <c r="E406" s="2">
        <v>70</v>
      </c>
      <c r="F406" s="2">
        <f>804-(D406+E406)</f>
        <v>372</v>
      </c>
      <c r="G406" s="2">
        <f>SUM(D406:F406)</f>
        <v>804</v>
      </c>
      <c r="H406" s="29">
        <f>+(D406+E406)/G406</f>
        <v>0.53731343283582089</v>
      </c>
    </row>
    <row r="407" spans="1:8" x14ac:dyDescent="0.2">
      <c r="A407" s="26">
        <v>33</v>
      </c>
      <c r="B407" s="27">
        <v>110</v>
      </c>
      <c r="C407" s="43" t="s">
        <v>429</v>
      </c>
      <c r="D407" s="38">
        <v>329</v>
      </c>
      <c r="E407" s="2">
        <v>91</v>
      </c>
      <c r="F407" s="2">
        <f>757-(D407+E407)</f>
        <v>337</v>
      </c>
      <c r="G407" s="2">
        <f t="shared" si="74"/>
        <v>757</v>
      </c>
      <c r="H407" s="29">
        <f t="shared" si="75"/>
        <v>0.55482166446499337</v>
      </c>
    </row>
    <row r="408" spans="1:8" x14ac:dyDescent="0.2">
      <c r="A408" s="26">
        <v>33</v>
      </c>
      <c r="B408" s="27">
        <v>112</v>
      </c>
      <c r="C408" s="43" t="s">
        <v>434</v>
      </c>
      <c r="D408" s="38">
        <v>268</v>
      </c>
      <c r="E408" s="2">
        <v>98</v>
      </c>
      <c r="F408" s="2">
        <f>619-(D408+E408)</f>
        <v>253</v>
      </c>
      <c r="G408" s="2">
        <f t="shared" si="74"/>
        <v>619</v>
      </c>
      <c r="H408" s="29">
        <f t="shared" si="75"/>
        <v>0.59127625201938616</v>
      </c>
    </row>
    <row r="409" spans="1:8" x14ac:dyDescent="0.2">
      <c r="A409" s="26">
        <v>33</v>
      </c>
      <c r="B409" s="27">
        <v>114</v>
      </c>
      <c r="C409" s="43" t="s">
        <v>435</v>
      </c>
      <c r="D409" s="38">
        <v>268</v>
      </c>
      <c r="E409" s="2">
        <v>115</v>
      </c>
      <c r="F409" s="2">
        <f>698-(D409+E409)</f>
        <v>315</v>
      </c>
      <c r="G409" s="2">
        <f t="shared" si="74"/>
        <v>698</v>
      </c>
      <c r="H409" s="29">
        <f t="shared" si="75"/>
        <v>0.54871060171919772</v>
      </c>
    </row>
    <row r="410" spans="1:8" x14ac:dyDescent="0.2">
      <c r="A410" s="26">
        <v>33</v>
      </c>
      <c r="B410" s="27">
        <v>116</v>
      </c>
      <c r="C410" s="43" t="s">
        <v>276</v>
      </c>
      <c r="D410" s="38">
        <v>394</v>
      </c>
      <c r="E410" s="2">
        <v>56</v>
      </c>
      <c r="F410" s="2">
        <f>607-(D410+E410)</f>
        <v>157</v>
      </c>
      <c r="G410" s="2">
        <f t="shared" si="74"/>
        <v>607</v>
      </c>
      <c r="H410" s="29">
        <f t="shared" si="75"/>
        <v>0.74135090609555188</v>
      </c>
    </row>
    <row r="411" spans="1:8" x14ac:dyDescent="0.2">
      <c r="A411" s="26">
        <v>33</v>
      </c>
      <c r="B411" s="27">
        <v>120</v>
      </c>
      <c r="C411" s="43" t="s">
        <v>257</v>
      </c>
      <c r="D411" s="38">
        <v>379</v>
      </c>
      <c r="E411" s="2">
        <v>70</v>
      </c>
      <c r="F411" s="2">
        <f>743-(D411+E411)</f>
        <v>294</v>
      </c>
      <c r="G411" s="2">
        <f t="shared" si="74"/>
        <v>743</v>
      </c>
      <c r="H411" s="29">
        <f t="shared" si="75"/>
        <v>0.60430686406460299</v>
      </c>
    </row>
    <row r="412" spans="1:8" x14ac:dyDescent="0.2">
      <c r="A412" s="26">
        <v>33</v>
      </c>
      <c r="B412" s="27">
        <v>121</v>
      </c>
      <c r="C412" s="43" t="s">
        <v>436</v>
      </c>
      <c r="D412" s="38">
        <v>161</v>
      </c>
      <c r="E412" s="2">
        <v>63</v>
      </c>
      <c r="F412" s="2">
        <f>502-(D412+E412)</f>
        <v>278</v>
      </c>
      <c r="G412" s="2">
        <f t="shared" si="74"/>
        <v>502</v>
      </c>
      <c r="H412" s="29">
        <f t="shared" si="75"/>
        <v>0.44621513944223107</v>
      </c>
    </row>
    <row r="413" spans="1:8" x14ac:dyDescent="0.2">
      <c r="A413" s="26">
        <v>33</v>
      </c>
      <c r="B413" s="27">
        <v>122</v>
      </c>
      <c r="C413" s="43" t="s">
        <v>438</v>
      </c>
      <c r="D413" s="38">
        <v>337</v>
      </c>
      <c r="E413" s="2">
        <v>58</v>
      </c>
      <c r="F413" s="2">
        <f>778-(D413+E413)</f>
        <v>383</v>
      </c>
      <c r="G413" s="2">
        <f t="shared" si="74"/>
        <v>778</v>
      </c>
      <c r="H413" s="29">
        <f>+(D413+E413)/G413</f>
        <v>0.50771208226221076</v>
      </c>
    </row>
    <row r="414" spans="1:8" x14ac:dyDescent="0.2">
      <c r="A414" s="26">
        <v>33</v>
      </c>
      <c r="B414" s="27">
        <v>123</v>
      </c>
      <c r="C414" s="43" t="s">
        <v>437</v>
      </c>
      <c r="D414" s="38">
        <v>232</v>
      </c>
      <c r="E414" s="2">
        <v>93</v>
      </c>
      <c r="F414" s="2">
        <f>571-(D414+E414)</f>
        <v>246</v>
      </c>
      <c r="G414" s="2">
        <f t="shared" si="74"/>
        <v>571</v>
      </c>
      <c r="H414" s="29">
        <f t="shared" si="75"/>
        <v>0.56917688266199651</v>
      </c>
    </row>
    <row r="415" spans="1:8" x14ac:dyDescent="0.2">
      <c r="A415" s="26">
        <v>33</v>
      </c>
      <c r="B415" s="27">
        <v>128</v>
      </c>
      <c r="C415" s="43" t="s">
        <v>439</v>
      </c>
      <c r="D415" s="38">
        <v>8</v>
      </c>
      <c r="E415" s="2">
        <v>5</v>
      </c>
      <c r="F415" s="2">
        <f>26-(D415+E415)</f>
        <v>13</v>
      </c>
      <c r="G415" s="2">
        <f t="shared" ref="G415" si="76">SUM(D415:F415)</f>
        <v>26</v>
      </c>
      <c r="H415" s="29">
        <f t="shared" ref="H415" si="77">+(D415+E415)/G415</f>
        <v>0.5</v>
      </c>
    </row>
    <row r="416" spans="1:8" x14ac:dyDescent="0.2">
      <c r="A416" s="26">
        <v>33</v>
      </c>
      <c r="B416" s="27">
        <v>130</v>
      </c>
      <c r="C416" s="43" t="s">
        <v>268</v>
      </c>
      <c r="D416" s="38">
        <v>268</v>
      </c>
      <c r="E416" s="2">
        <v>80</v>
      </c>
      <c r="F416" s="2">
        <f>653-(D416+E416)</f>
        <v>305</v>
      </c>
      <c r="G416" s="2">
        <f t="shared" si="74"/>
        <v>653</v>
      </c>
      <c r="H416" s="29">
        <f t="shared" si="75"/>
        <v>0.53292496171516079</v>
      </c>
    </row>
    <row r="417" spans="1:8" x14ac:dyDescent="0.2">
      <c r="A417" s="26">
        <v>33</v>
      </c>
      <c r="B417" s="27">
        <v>134</v>
      </c>
      <c r="C417" s="43" t="s">
        <v>440</v>
      </c>
      <c r="D417" s="38">
        <v>207</v>
      </c>
      <c r="E417" s="2">
        <v>87</v>
      </c>
      <c r="F417" s="2">
        <f>688-(D417+E417)</f>
        <v>394</v>
      </c>
      <c r="G417" s="2">
        <f t="shared" si="74"/>
        <v>688</v>
      </c>
      <c r="H417" s="29">
        <f t="shared" si="75"/>
        <v>0.42732558139534882</v>
      </c>
    </row>
    <row r="418" spans="1:8" x14ac:dyDescent="0.2">
      <c r="A418" s="26">
        <v>33</v>
      </c>
      <c r="B418" s="27">
        <v>140</v>
      </c>
      <c r="C418" s="43" t="s">
        <v>272</v>
      </c>
      <c r="D418" s="38">
        <v>269</v>
      </c>
      <c r="E418" s="2">
        <v>69</v>
      </c>
      <c r="F418" s="2">
        <f>617-(D418+E418)</f>
        <v>279</v>
      </c>
      <c r="G418" s="2">
        <f t="shared" si="74"/>
        <v>617</v>
      </c>
      <c r="H418" s="29">
        <f t="shared" si="75"/>
        <v>0.54781199351701781</v>
      </c>
    </row>
    <row r="419" spans="1:8" x14ac:dyDescent="0.2">
      <c r="A419" s="26">
        <v>33</v>
      </c>
      <c r="B419" s="27">
        <v>305</v>
      </c>
      <c r="C419" s="43" t="s">
        <v>219</v>
      </c>
      <c r="D419" s="38">
        <v>319</v>
      </c>
      <c r="E419" s="2">
        <v>80</v>
      </c>
      <c r="F419" s="2">
        <f>841-(D419+E419)</f>
        <v>442</v>
      </c>
      <c r="G419" s="2">
        <f t="shared" si="74"/>
        <v>841</v>
      </c>
      <c r="H419" s="29">
        <f t="shared" si="75"/>
        <v>0.47443519619500596</v>
      </c>
    </row>
    <row r="420" spans="1:8" x14ac:dyDescent="0.2">
      <c r="A420" s="26">
        <v>33</v>
      </c>
      <c r="B420" s="27">
        <v>308</v>
      </c>
      <c r="C420" s="43" t="s">
        <v>220</v>
      </c>
      <c r="D420" s="38">
        <v>270</v>
      </c>
      <c r="E420" s="2">
        <v>102</v>
      </c>
      <c r="F420" s="2">
        <f>728-(D420+E420)</f>
        <v>356</v>
      </c>
      <c r="G420" s="2">
        <f>SUM(D420:F420)</f>
        <v>728</v>
      </c>
      <c r="H420" s="29">
        <f>+(D420+E420)/G420</f>
        <v>0.51098901098901095</v>
      </c>
    </row>
    <row r="421" spans="1:8" x14ac:dyDescent="0.2">
      <c r="A421" s="26">
        <v>33</v>
      </c>
      <c r="B421" s="27">
        <v>320</v>
      </c>
      <c r="C421" s="43" t="s">
        <v>432</v>
      </c>
      <c r="D421" s="38">
        <v>350</v>
      </c>
      <c r="E421" s="2">
        <v>89</v>
      </c>
      <c r="F421" s="2">
        <f>916-(D421+E421)</f>
        <v>477</v>
      </c>
      <c r="G421" s="2">
        <f>SUM(D421:F421)</f>
        <v>916</v>
      </c>
      <c r="H421" s="29">
        <f>+(D421+E421)/G421</f>
        <v>0.47925764192139736</v>
      </c>
    </row>
    <row r="422" spans="1:8" x14ac:dyDescent="0.2">
      <c r="A422" s="26">
        <v>33</v>
      </c>
      <c r="B422" s="27">
        <v>325</v>
      </c>
      <c r="C422" s="43" t="s">
        <v>218</v>
      </c>
      <c r="D422" s="38">
        <v>345</v>
      </c>
      <c r="E422" s="2">
        <v>98</v>
      </c>
      <c r="F422" s="2">
        <f>962-(D422+E422)</f>
        <v>519</v>
      </c>
      <c r="G422" s="2">
        <f t="shared" si="74"/>
        <v>962</v>
      </c>
      <c r="H422" s="29">
        <f>+(D422+E422)/G422</f>
        <v>0.4604989604989605</v>
      </c>
    </row>
    <row r="423" spans="1:8" x14ac:dyDescent="0.2">
      <c r="A423" s="26">
        <v>33</v>
      </c>
      <c r="B423" s="27">
        <v>404</v>
      </c>
      <c r="C423" s="28" t="s">
        <v>109</v>
      </c>
      <c r="D423" s="38">
        <v>294</v>
      </c>
      <c r="E423" s="2">
        <v>60</v>
      </c>
      <c r="F423" s="2">
        <f>840-(D423+E423)</f>
        <v>486</v>
      </c>
      <c r="G423" s="2">
        <f t="shared" si="74"/>
        <v>840</v>
      </c>
      <c r="H423" s="29">
        <f t="shared" si="75"/>
        <v>0.42142857142857143</v>
      </c>
    </row>
    <row r="424" spans="1:8" x14ac:dyDescent="0.2">
      <c r="A424" s="26">
        <v>33</v>
      </c>
      <c r="B424" s="27">
        <v>408</v>
      </c>
      <c r="C424" s="28" t="s">
        <v>110</v>
      </c>
      <c r="D424" s="38">
        <v>256</v>
      </c>
      <c r="E424" s="2">
        <v>105</v>
      </c>
      <c r="F424" s="2">
        <f>739-(D424+E424)</f>
        <v>378</v>
      </c>
      <c r="G424" s="2">
        <f t="shared" si="74"/>
        <v>739</v>
      </c>
      <c r="H424" s="29">
        <f t="shared" si="75"/>
        <v>0.4884979702300406</v>
      </c>
    </row>
    <row r="425" spans="1:8" x14ac:dyDescent="0.2">
      <c r="A425" s="26">
        <v>33</v>
      </c>
      <c r="B425" s="27">
        <v>420</v>
      </c>
      <c r="C425" s="28" t="s">
        <v>111</v>
      </c>
      <c r="D425" s="38">
        <v>340</v>
      </c>
      <c r="E425" s="2">
        <v>71</v>
      </c>
      <c r="F425" s="2">
        <f>997-(D425+E425)</f>
        <v>586</v>
      </c>
      <c r="G425" s="2">
        <f t="shared" si="74"/>
        <v>997</v>
      </c>
      <c r="H425" s="29">
        <f t="shared" si="75"/>
        <v>0.41223671013039115</v>
      </c>
    </row>
    <row r="426" spans="1:8" x14ac:dyDescent="0.2">
      <c r="A426" s="26">
        <v>33</v>
      </c>
      <c r="B426" s="27">
        <v>425</v>
      </c>
      <c r="C426" s="28" t="s">
        <v>112</v>
      </c>
      <c r="D426" s="38">
        <v>337</v>
      </c>
      <c r="E426" s="2">
        <v>81</v>
      </c>
      <c r="F426" s="2">
        <f>994-(D426+E426)</f>
        <v>576</v>
      </c>
      <c r="G426" s="2">
        <f t="shared" si="74"/>
        <v>994</v>
      </c>
      <c r="H426" s="29">
        <f t="shared" si="75"/>
        <v>0.42052313883299797</v>
      </c>
    </row>
    <row r="427" spans="1:8" x14ac:dyDescent="0.2">
      <c r="A427" s="26">
        <v>33</v>
      </c>
      <c r="B427" s="27">
        <v>716</v>
      </c>
      <c r="C427" s="28" t="s">
        <v>142</v>
      </c>
      <c r="D427" s="38">
        <v>290</v>
      </c>
      <c r="E427" s="2">
        <v>93</v>
      </c>
      <c r="F427" s="2">
        <f>1054-(D427+E427)</f>
        <v>671</v>
      </c>
      <c r="G427" s="2">
        <f>SUM(D427:F427)</f>
        <v>1054</v>
      </c>
      <c r="H427" s="29">
        <f t="shared" ref="H427:H428" si="78">+(D427+E427)/G427</f>
        <v>0.36337760910815942</v>
      </c>
    </row>
    <row r="428" spans="1:8" x14ac:dyDescent="0.2">
      <c r="A428" s="26">
        <v>33</v>
      </c>
      <c r="B428" s="27">
        <v>718</v>
      </c>
      <c r="C428" s="28" t="s">
        <v>159</v>
      </c>
      <c r="D428" s="38">
        <v>145</v>
      </c>
      <c r="E428" s="2">
        <v>18</v>
      </c>
      <c r="F428" s="2">
        <f>292-(D428+E428)</f>
        <v>129</v>
      </c>
      <c r="G428" s="2">
        <f>SUM(D428:F428)</f>
        <v>292</v>
      </c>
      <c r="H428" s="29">
        <f t="shared" si="78"/>
        <v>0.55821917808219179</v>
      </c>
    </row>
    <row r="429" spans="1:8" x14ac:dyDescent="0.2">
      <c r="A429" s="30"/>
      <c r="B429" s="31"/>
      <c r="C429" s="32"/>
      <c r="D429" s="3"/>
      <c r="E429" s="34"/>
      <c r="F429" s="33"/>
      <c r="G429" s="34"/>
      <c r="H429" s="35"/>
    </row>
    <row r="430" spans="1:8" x14ac:dyDescent="0.2">
      <c r="A430" s="30"/>
      <c r="B430" s="31"/>
      <c r="C430" s="37" t="s">
        <v>113</v>
      </c>
      <c r="D430" s="3"/>
      <c r="E430" s="34"/>
      <c r="F430" s="33"/>
      <c r="G430" s="34"/>
      <c r="H430" s="35"/>
    </row>
    <row r="431" spans="1:8" x14ac:dyDescent="0.2">
      <c r="A431" s="26">
        <v>34</v>
      </c>
      <c r="B431" s="27">
        <v>108</v>
      </c>
      <c r="C431" s="43" t="s">
        <v>441</v>
      </c>
      <c r="D431" s="38">
        <v>9</v>
      </c>
      <c r="E431" s="2">
        <v>9</v>
      </c>
      <c r="F431" s="2">
        <f>23-(D431+E431)</f>
        <v>5</v>
      </c>
      <c r="G431" s="2">
        <f>SUM(D431:F431)</f>
        <v>23</v>
      </c>
      <c r="H431" s="29">
        <f>+(D431+E431)/G431</f>
        <v>0.78260869565217395</v>
      </c>
    </row>
    <row r="432" spans="1:8" x14ac:dyDescent="0.2">
      <c r="A432" s="26">
        <v>34</v>
      </c>
      <c r="B432" s="27">
        <v>112</v>
      </c>
      <c r="C432" s="43" t="s">
        <v>442</v>
      </c>
      <c r="D432" s="38">
        <v>52</v>
      </c>
      <c r="E432" s="2">
        <v>51</v>
      </c>
      <c r="F432" s="2">
        <f>195-(D432+E432)</f>
        <v>92</v>
      </c>
      <c r="G432" s="2">
        <f>SUM(D432:F432)</f>
        <v>195</v>
      </c>
      <c r="H432" s="29">
        <f>+(D432+E432)/G432</f>
        <v>0.52820512820512822</v>
      </c>
    </row>
    <row r="433" spans="1:8" x14ac:dyDescent="0.2">
      <c r="A433" s="26">
        <v>34</v>
      </c>
      <c r="B433" s="27">
        <v>302</v>
      </c>
      <c r="C433" s="28" t="s">
        <v>114</v>
      </c>
      <c r="D433" s="38">
        <v>40</v>
      </c>
      <c r="E433" s="2">
        <v>29</v>
      </c>
      <c r="F433" s="2">
        <f>122-(D433+E433)</f>
        <v>53</v>
      </c>
      <c r="G433" s="2">
        <f>SUM(D433:F433)</f>
        <v>122</v>
      </c>
      <c r="H433" s="29">
        <f>+(D433+E433)/G433</f>
        <v>0.56557377049180324</v>
      </c>
    </row>
    <row r="434" spans="1:8" x14ac:dyDescent="0.2">
      <c r="A434" s="26">
        <v>34</v>
      </c>
      <c r="B434" s="27">
        <v>704</v>
      </c>
      <c r="C434" s="28" t="s">
        <v>115</v>
      </c>
      <c r="D434" s="38">
        <v>33</v>
      </c>
      <c r="E434" s="2">
        <v>34</v>
      </c>
      <c r="F434" s="2">
        <f>153-(D434+E434)</f>
        <v>86</v>
      </c>
      <c r="G434" s="2">
        <f>SUM(D434:F434)</f>
        <v>153</v>
      </c>
      <c r="H434" s="29">
        <f>+(D434+E434)/G434</f>
        <v>0.43790849673202614</v>
      </c>
    </row>
    <row r="435" spans="1:8" x14ac:dyDescent="0.2">
      <c r="A435" s="30"/>
      <c r="B435" s="31"/>
      <c r="C435" s="32"/>
      <c r="D435" s="3"/>
      <c r="E435" s="34"/>
      <c r="F435" s="33"/>
      <c r="G435" s="34"/>
      <c r="H435" s="35"/>
    </row>
    <row r="436" spans="1:8" x14ac:dyDescent="0.2">
      <c r="A436" s="30"/>
      <c r="B436" s="31"/>
      <c r="C436" s="37" t="s">
        <v>116</v>
      </c>
      <c r="D436" s="3"/>
      <c r="E436" s="34"/>
      <c r="F436" s="33"/>
      <c r="G436" s="34"/>
      <c r="H436" s="35"/>
    </row>
    <row r="437" spans="1:8" x14ac:dyDescent="0.2">
      <c r="A437" s="26">
        <v>35</v>
      </c>
      <c r="B437" s="27">
        <v>108</v>
      </c>
      <c r="C437" s="43" t="s">
        <v>443</v>
      </c>
      <c r="D437" s="38">
        <v>242</v>
      </c>
      <c r="E437" s="2">
        <v>48</v>
      </c>
      <c r="F437" s="2">
        <f>361-(D437+E437)</f>
        <v>71</v>
      </c>
      <c r="G437" s="2">
        <f t="shared" ref="G437:G460" si="79">SUM(D437:F437)</f>
        <v>361</v>
      </c>
      <c r="H437" s="29">
        <f t="shared" ref="H437:H460" si="80">+(D437+E437)/G437</f>
        <v>0.80332409972299168</v>
      </c>
    </row>
    <row r="438" spans="1:8" x14ac:dyDescent="0.2">
      <c r="A438" s="26">
        <v>35</v>
      </c>
      <c r="B438" s="27">
        <v>109</v>
      </c>
      <c r="C438" s="43" t="s">
        <v>444</v>
      </c>
      <c r="D438" s="38">
        <v>165</v>
      </c>
      <c r="E438" s="2">
        <v>52</v>
      </c>
      <c r="F438" s="2">
        <f>500-(D438+E438)</f>
        <v>283</v>
      </c>
      <c r="G438" s="2">
        <f t="shared" si="79"/>
        <v>500</v>
      </c>
      <c r="H438" s="29">
        <f t="shared" si="80"/>
        <v>0.434</v>
      </c>
    </row>
    <row r="439" spans="1:8" x14ac:dyDescent="0.2">
      <c r="A439" s="26">
        <v>35</v>
      </c>
      <c r="B439" s="27">
        <v>111</v>
      </c>
      <c r="C439" s="43" t="s">
        <v>445</v>
      </c>
      <c r="D439" s="38">
        <v>204</v>
      </c>
      <c r="E439" s="2">
        <v>97</v>
      </c>
      <c r="F439" s="2">
        <f>466-(D439+E439)</f>
        <v>165</v>
      </c>
      <c r="G439" s="2">
        <f t="shared" si="79"/>
        <v>466</v>
      </c>
      <c r="H439" s="29">
        <f t="shared" si="80"/>
        <v>0.64592274678111583</v>
      </c>
    </row>
    <row r="440" spans="1:8" x14ac:dyDescent="0.2">
      <c r="A440" s="26">
        <v>35</v>
      </c>
      <c r="B440" s="27">
        <v>115</v>
      </c>
      <c r="C440" s="43" t="s">
        <v>187</v>
      </c>
      <c r="D440" s="38">
        <v>142</v>
      </c>
      <c r="E440" s="2">
        <v>126</v>
      </c>
      <c r="F440" s="2">
        <f>659-(D440+E440)</f>
        <v>391</v>
      </c>
      <c r="G440" s="2">
        <f t="shared" si="79"/>
        <v>659</v>
      </c>
      <c r="H440" s="29">
        <f t="shared" si="80"/>
        <v>0.40667678300455234</v>
      </c>
    </row>
    <row r="441" spans="1:8" x14ac:dyDescent="0.2">
      <c r="A441" s="26">
        <v>35</v>
      </c>
      <c r="B441" s="27">
        <v>116</v>
      </c>
      <c r="C441" s="43" t="s">
        <v>446</v>
      </c>
      <c r="D441" s="38">
        <v>226</v>
      </c>
      <c r="E441" s="2">
        <v>95</v>
      </c>
      <c r="F441" s="2">
        <f>489-(D441+E441)</f>
        <v>168</v>
      </c>
      <c r="G441" s="2">
        <f t="shared" si="79"/>
        <v>489</v>
      </c>
      <c r="H441" s="29">
        <f t="shared" si="80"/>
        <v>0.65644171779141103</v>
      </c>
    </row>
    <row r="442" spans="1:8" x14ac:dyDescent="0.2">
      <c r="A442" s="26">
        <v>35</v>
      </c>
      <c r="B442" s="27">
        <v>121</v>
      </c>
      <c r="C442" s="43" t="s">
        <v>366</v>
      </c>
      <c r="D442" s="38">
        <v>162</v>
      </c>
      <c r="E442" s="2">
        <v>131</v>
      </c>
      <c r="F442" s="2">
        <f>732-(D442+E442)</f>
        <v>439</v>
      </c>
      <c r="G442" s="2">
        <f t="shared" si="79"/>
        <v>732</v>
      </c>
      <c r="H442" s="29">
        <f t="shared" si="80"/>
        <v>0.40027322404371585</v>
      </c>
    </row>
    <row r="443" spans="1:8" x14ac:dyDescent="0.2">
      <c r="A443" s="26">
        <v>35</v>
      </c>
      <c r="B443" s="27">
        <v>122</v>
      </c>
      <c r="C443" s="43" t="s">
        <v>447</v>
      </c>
      <c r="D443" s="38">
        <v>144</v>
      </c>
      <c r="E443" s="2">
        <v>24</v>
      </c>
      <c r="F443" s="2">
        <f>295-(D443+E443)</f>
        <v>127</v>
      </c>
      <c r="G443" s="2">
        <f t="shared" si="79"/>
        <v>295</v>
      </c>
      <c r="H443" s="29">
        <f t="shared" si="80"/>
        <v>0.56949152542372883</v>
      </c>
    </row>
    <row r="444" spans="1:8" x14ac:dyDescent="0.2">
      <c r="A444" s="26">
        <v>35</v>
      </c>
      <c r="B444" s="27">
        <v>123</v>
      </c>
      <c r="C444" s="43" t="s">
        <v>448</v>
      </c>
      <c r="D444" s="38">
        <v>158</v>
      </c>
      <c r="E444" s="2">
        <v>102</v>
      </c>
      <c r="F444" s="2">
        <f>602-(D444+E444)</f>
        <v>342</v>
      </c>
      <c r="G444" s="2">
        <f t="shared" si="79"/>
        <v>602</v>
      </c>
      <c r="H444" s="29">
        <f t="shared" si="80"/>
        <v>0.43189368770764119</v>
      </c>
    </row>
    <row r="445" spans="1:8" x14ac:dyDescent="0.2">
      <c r="A445" s="26">
        <v>35</v>
      </c>
      <c r="B445" s="27">
        <v>124</v>
      </c>
      <c r="C445" s="43" t="s">
        <v>449</v>
      </c>
      <c r="D445" s="38">
        <v>149</v>
      </c>
      <c r="E445" s="2">
        <v>63</v>
      </c>
      <c r="F445" s="2">
        <f>336-(D445+E445)</f>
        <v>124</v>
      </c>
      <c r="G445" s="2">
        <f t="shared" si="79"/>
        <v>336</v>
      </c>
      <c r="H445" s="29">
        <f t="shared" si="80"/>
        <v>0.63095238095238093</v>
      </c>
    </row>
    <row r="446" spans="1:8" x14ac:dyDescent="0.2">
      <c r="A446" s="26">
        <v>35</v>
      </c>
      <c r="B446" s="27">
        <v>128</v>
      </c>
      <c r="C446" s="43" t="s">
        <v>450</v>
      </c>
      <c r="D446" s="38">
        <v>177</v>
      </c>
      <c r="E446" s="2">
        <v>104</v>
      </c>
      <c r="F446" s="2">
        <f>544-(D446+E446)</f>
        <v>263</v>
      </c>
      <c r="G446" s="2">
        <f t="shared" si="79"/>
        <v>544</v>
      </c>
      <c r="H446" s="29">
        <f t="shared" si="80"/>
        <v>0.51654411764705888</v>
      </c>
    </row>
    <row r="447" spans="1:8" x14ac:dyDescent="0.2">
      <c r="A447" s="26">
        <v>35</v>
      </c>
      <c r="B447" s="27">
        <v>132</v>
      </c>
      <c r="C447" s="43" t="s">
        <v>232</v>
      </c>
      <c r="D447" s="38">
        <v>183</v>
      </c>
      <c r="E447" s="2">
        <v>69</v>
      </c>
      <c r="F447" s="2">
        <f>416-(D447+E447)</f>
        <v>164</v>
      </c>
      <c r="G447" s="2">
        <f t="shared" si="79"/>
        <v>416</v>
      </c>
      <c r="H447" s="29">
        <f t="shared" si="80"/>
        <v>0.60576923076923073</v>
      </c>
    </row>
    <row r="448" spans="1:8" x14ac:dyDescent="0.2">
      <c r="A448" s="26">
        <v>35</v>
      </c>
      <c r="B448" s="27">
        <v>138</v>
      </c>
      <c r="C448" s="43" t="s">
        <v>325</v>
      </c>
      <c r="D448" s="38">
        <v>165</v>
      </c>
      <c r="E448" s="2">
        <v>50</v>
      </c>
      <c r="F448" s="2">
        <f>456-(D448+E448)</f>
        <v>241</v>
      </c>
      <c r="G448" s="2">
        <f t="shared" si="79"/>
        <v>456</v>
      </c>
      <c r="H448" s="29">
        <f t="shared" si="80"/>
        <v>0.47149122807017546</v>
      </c>
    </row>
    <row r="449" spans="1:8" x14ac:dyDescent="0.2">
      <c r="A449" s="26">
        <v>35</v>
      </c>
      <c r="B449" s="27">
        <v>144</v>
      </c>
      <c r="C449" s="43" t="s">
        <v>451</v>
      </c>
      <c r="D449" s="38">
        <v>205</v>
      </c>
      <c r="E449" s="2">
        <v>74</v>
      </c>
      <c r="F449" s="2">
        <f>486-(D449+E449)</f>
        <v>207</v>
      </c>
      <c r="G449" s="2">
        <f t="shared" si="79"/>
        <v>486</v>
      </c>
      <c r="H449" s="29">
        <f t="shared" si="80"/>
        <v>0.57407407407407407</v>
      </c>
    </row>
    <row r="450" spans="1:8" x14ac:dyDescent="0.2">
      <c r="A450" s="26">
        <v>35</v>
      </c>
      <c r="B450" s="27">
        <v>148</v>
      </c>
      <c r="C450" s="43" t="s">
        <v>331</v>
      </c>
      <c r="D450" s="38">
        <v>241</v>
      </c>
      <c r="E450" s="2">
        <v>64</v>
      </c>
      <c r="F450" s="2">
        <f>519-(D450+E450)</f>
        <v>214</v>
      </c>
      <c r="G450" s="2">
        <f t="shared" si="79"/>
        <v>519</v>
      </c>
      <c r="H450" s="29">
        <f t="shared" si="80"/>
        <v>0.58766859344894029</v>
      </c>
    </row>
    <row r="451" spans="1:8" x14ac:dyDescent="0.2">
      <c r="A451" s="26">
        <v>35</v>
      </c>
      <c r="B451" s="27">
        <v>152</v>
      </c>
      <c r="C451" s="43" t="s">
        <v>452</v>
      </c>
      <c r="D451" s="38">
        <v>268</v>
      </c>
      <c r="E451" s="2">
        <v>91</v>
      </c>
      <c r="F451" s="2">
        <f>571-(D451+E451)</f>
        <v>212</v>
      </c>
      <c r="G451" s="2">
        <f t="shared" si="79"/>
        <v>571</v>
      </c>
      <c r="H451" s="29">
        <f t="shared" si="80"/>
        <v>0.62872154115586687</v>
      </c>
    </row>
    <row r="452" spans="1:8" x14ac:dyDescent="0.2">
      <c r="A452" s="26">
        <v>35</v>
      </c>
      <c r="B452" s="27">
        <v>158</v>
      </c>
      <c r="C452" s="43" t="s">
        <v>197</v>
      </c>
      <c r="D452" s="38">
        <v>175</v>
      </c>
      <c r="E452" s="2">
        <v>88</v>
      </c>
      <c r="F452" s="2">
        <f>487-(D452+E452)</f>
        <v>224</v>
      </c>
      <c r="G452" s="2">
        <f t="shared" si="79"/>
        <v>487</v>
      </c>
      <c r="H452" s="29">
        <f t="shared" si="80"/>
        <v>0.54004106776180694</v>
      </c>
    </row>
    <row r="453" spans="1:8" x14ac:dyDescent="0.2">
      <c r="A453" s="26">
        <v>35</v>
      </c>
      <c r="B453" s="27">
        <v>160</v>
      </c>
      <c r="C453" s="43" t="s">
        <v>456</v>
      </c>
      <c r="D453" s="38">
        <v>244</v>
      </c>
      <c r="E453" s="2">
        <v>75</v>
      </c>
      <c r="F453" s="2">
        <f>530-(D453+E453)</f>
        <v>211</v>
      </c>
      <c r="G453" s="2">
        <f t="shared" si="79"/>
        <v>530</v>
      </c>
      <c r="H453" s="29">
        <f t="shared" si="80"/>
        <v>0.60188679245283017</v>
      </c>
    </row>
    <row r="454" spans="1:8" x14ac:dyDescent="0.2">
      <c r="A454" s="26">
        <v>35</v>
      </c>
      <c r="B454" s="27">
        <v>162</v>
      </c>
      <c r="C454" s="43" t="s">
        <v>457</v>
      </c>
      <c r="D454" s="38">
        <v>175</v>
      </c>
      <c r="E454" s="2">
        <v>73</v>
      </c>
      <c r="F454" s="2">
        <f>635-(D454+E454)</f>
        <v>387</v>
      </c>
      <c r="G454" s="2">
        <f t="shared" si="79"/>
        <v>635</v>
      </c>
      <c r="H454" s="29">
        <f t="shared" si="80"/>
        <v>0.3905511811023622</v>
      </c>
    </row>
    <row r="455" spans="1:8" x14ac:dyDescent="0.2">
      <c r="A455" s="26">
        <v>35</v>
      </c>
      <c r="B455" s="27">
        <v>404</v>
      </c>
      <c r="C455" s="43" t="s">
        <v>453</v>
      </c>
      <c r="D455" s="38">
        <v>324</v>
      </c>
      <c r="E455" s="2">
        <v>107</v>
      </c>
      <c r="F455" s="2">
        <f>967-(D455+E455)</f>
        <v>536</v>
      </c>
      <c r="G455" s="2">
        <f t="shared" si="79"/>
        <v>967</v>
      </c>
      <c r="H455" s="29">
        <f t="shared" si="80"/>
        <v>0.44570837642192346</v>
      </c>
    </row>
    <row r="456" spans="1:8" x14ac:dyDescent="0.2">
      <c r="A456" s="26">
        <v>35</v>
      </c>
      <c r="B456" s="27">
        <v>406</v>
      </c>
      <c r="C456" s="43" t="s">
        <v>454</v>
      </c>
      <c r="D456" s="38">
        <v>275</v>
      </c>
      <c r="E456" s="2">
        <v>94</v>
      </c>
      <c r="F456" s="2">
        <f>824-(D456+E456)</f>
        <v>455</v>
      </c>
      <c r="G456" s="2">
        <f t="shared" si="79"/>
        <v>824</v>
      </c>
      <c r="H456" s="29">
        <f t="shared" si="80"/>
        <v>0.44781553398058255</v>
      </c>
    </row>
    <row r="457" spans="1:8" x14ac:dyDescent="0.2">
      <c r="A457" s="26">
        <v>35</v>
      </c>
      <c r="B457" s="27">
        <v>410</v>
      </c>
      <c r="C457" s="43" t="s">
        <v>455</v>
      </c>
      <c r="D457" s="38">
        <v>265</v>
      </c>
      <c r="E457" s="2">
        <v>72</v>
      </c>
      <c r="F457" s="2">
        <f>645-(D457+E457)</f>
        <v>308</v>
      </c>
      <c r="G457" s="2">
        <f t="shared" si="79"/>
        <v>645</v>
      </c>
      <c r="H457" s="29">
        <f t="shared" si="80"/>
        <v>0.52248062015503871</v>
      </c>
    </row>
    <row r="458" spans="1:8" x14ac:dyDescent="0.2">
      <c r="A458" s="26">
        <v>35</v>
      </c>
      <c r="B458" s="27">
        <v>708</v>
      </c>
      <c r="C458" s="28" t="s">
        <v>117</v>
      </c>
      <c r="D458" s="38">
        <v>403</v>
      </c>
      <c r="E458" s="2">
        <v>157</v>
      </c>
      <c r="F458" s="2">
        <f>1526-(D458+E458)</f>
        <v>966</v>
      </c>
      <c r="G458" s="2">
        <f t="shared" si="79"/>
        <v>1526</v>
      </c>
      <c r="H458" s="29">
        <f t="shared" si="80"/>
        <v>0.3669724770642202</v>
      </c>
    </row>
    <row r="459" spans="1:8" x14ac:dyDescent="0.2">
      <c r="A459" s="26">
        <v>35</v>
      </c>
      <c r="B459" s="27">
        <v>730</v>
      </c>
      <c r="C459" s="28" t="s">
        <v>160</v>
      </c>
      <c r="D459" s="38">
        <v>64</v>
      </c>
      <c r="E459" s="2">
        <v>11</v>
      </c>
      <c r="F459" s="2">
        <f>146-(D459+E459)</f>
        <v>71</v>
      </c>
      <c r="G459" s="2">
        <f t="shared" si="79"/>
        <v>146</v>
      </c>
      <c r="H459" s="29">
        <f t="shared" si="80"/>
        <v>0.51369863013698636</v>
      </c>
    </row>
    <row r="460" spans="1:8" x14ac:dyDescent="0.2">
      <c r="A460" s="26">
        <v>35</v>
      </c>
      <c r="B460" s="27">
        <v>810</v>
      </c>
      <c r="C460" s="28" t="s">
        <v>118</v>
      </c>
      <c r="D460" s="38">
        <v>130</v>
      </c>
      <c r="E460" s="2">
        <v>20</v>
      </c>
      <c r="F460" s="2">
        <f>219-(D460+E460)</f>
        <v>69</v>
      </c>
      <c r="G460" s="2">
        <f t="shared" si="79"/>
        <v>219</v>
      </c>
      <c r="H460" s="29">
        <f t="shared" si="80"/>
        <v>0.68493150684931503</v>
      </c>
    </row>
    <row r="461" spans="1:8" x14ac:dyDescent="0.2">
      <c r="A461" s="30"/>
      <c r="B461" s="31"/>
      <c r="C461" s="32"/>
      <c r="D461" s="3"/>
      <c r="E461" s="34"/>
      <c r="F461" s="33"/>
      <c r="G461" s="34"/>
      <c r="H461" s="35"/>
    </row>
    <row r="462" spans="1:8" x14ac:dyDescent="0.2">
      <c r="A462" s="30"/>
      <c r="B462" s="31"/>
      <c r="C462" s="37" t="s">
        <v>119</v>
      </c>
      <c r="D462" s="3"/>
      <c r="E462" s="34"/>
      <c r="F462" s="33"/>
      <c r="G462" s="34"/>
      <c r="H462" s="35"/>
    </row>
    <row r="463" spans="1:8" x14ac:dyDescent="0.2">
      <c r="A463" s="26">
        <v>36</v>
      </c>
      <c r="B463" s="27">
        <v>100</v>
      </c>
      <c r="C463" s="43" t="s">
        <v>216</v>
      </c>
      <c r="D463" s="38">
        <v>20</v>
      </c>
      <c r="E463" s="2">
        <v>0</v>
      </c>
      <c r="F463" s="2">
        <f>22-(D463+E463)</f>
        <v>2</v>
      </c>
      <c r="G463" s="2">
        <f t="shared" ref="G463:G499" si="81">SUM(D463:F463)</f>
        <v>22</v>
      </c>
      <c r="H463" s="29">
        <f t="shared" ref="H463:H499" si="82">+(D463+E463)/G463</f>
        <v>0.90909090909090906</v>
      </c>
    </row>
    <row r="464" spans="1:8" x14ac:dyDescent="0.2">
      <c r="A464" s="26">
        <v>36</v>
      </c>
      <c r="B464" s="27">
        <v>104</v>
      </c>
      <c r="C464" s="43" t="s">
        <v>460</v>
      </c>
      <c r="D464" s="38">
        <v>523</v>
      </c>
      <c r="E464" s="2">
        <v>43</v>
      </c>
      <c r="F464" s="2">
        <f>610-(D464+E464)</f>
        <v>44</v>
      </c>
      <c r="G464" s="2">
        <f t="shared" si="81"/>
        <v>610</v>
      </c>
      <c r="H464" s="29">
        <f t="shared" si="82"/>
        <v>0.9278688524590164</v>
      </c>
    </row>
    <row r="465" spans="1:8" x14ac:dyDescent="0.2">
      <c r="A465" s="26">
        <v>36</v>
      </c>
      <c r="B465" s="27">
        <v>132</v>
      </c>
      <c r="C465" s="43" t="s">
        <v>462</v>
      </c>
      <c r="D465" s="38">
        <v>536</v>
      </c>
      <c r="E465" s="2">
        <v>50</v>
      </c>
      <c r="F465" s="2">
        <f>644-(D465+E465)</f>
        <v>58</v>
      </c>
      <c r="G465" s="2">
        <f t="shared" si="81"/>
        <v>644</v>
      </c>
      <c r="H465" s="29">
        <f t="shared" si="82"/>
        <v>0.90993788819875776</v>
      </c>
    </row>
    <row r="466" spans="1:8" x14ac:dyDescent="0.2">
      <c r="A466" s="26">
        <v>36</v>
      </c>
      <c r="B466" s="27">
        <v>136</v>
      </c>
      <c r="C466" s="43" t="s">
        <v>463</v>
      </c>
      <c r="D466" s="38">
        <v>194</v>
      </c>
      <c r="E466" s="2">
        <v>42</v>
      </c>
      <c r="F466" s="2">
        <f>562-(D466+E466)</f>
        <v>326</v>
      </c>
      <c r="G466" s="2">
        <f t="shared" si="81"/>
        <v>562</v>
      </c>
      <c r="H466" s="29">
        <f t="shared" si="82"/>
        <v>0.41992882562277578</v>
      </c>
    </row>
    <row r="467" spans="1:8" x14ac:dyDescent="0.2">
      <c r="A467" s="26">
        <v>36</v>
      </c>
      <c r="B467" s="27">
        <v>140</v>
      </c>
      <c r="C467" s="43" t="s">
        <v>472</v>
      </c>
      <c r="D467" s="38">
        <v>477</v>
      </c>
      <c r="E467" s="2">
        <v>96</v>
      </c>
      <c r="F467" s="2">
        <f>688-(D467+E467)</f>
        <v>115</v>
      </c>
      <c r="G467" s="2">
        <f t="shared" si="81"/>
        <v>688</v>
      </c>
      <c r="H467" s="29">
        <f t="shared" si="82"/>
        <v>0.83284883720930236</v>
      </c>
    </row>
    <row r="468" spans="1:8" x14ac:dyDescent="0.2">
      <c r="A468" s="26">
        <v>36</v>
      </c>
      <c r="B468" s="27">
        <v>148</v>
      </c>
      <c r="C468" s="43" t="s">
        <v>464</v>
      </c>
      <c r="D468" s="38">
        <v>460</v>
      </c>
      <c r="E468" s="2">
        <v>49</v>
      </c>
      <c r="F468" s="2">
        <f>562-(D468+E468)</f>
        <v>53</v>
      </c>
      <c r="G468" s="2">
        <f t="shared" si="81"/>
        <v>562</v>
      </c>
      <c r="H468" s="29">
        <f t="shared" si="82"/>
        <v>0.90569395017793597</v>
      </c>
    </row>
    <row r="469" spans="1:8" x14ac:dyDescent="0.2">
      <c r="A469" s="26">
        <v>36</v>
      </c>
      <c r="B469" s="27">
        <v>160</v>
      </c>
      <c r="C469" s="43" t="s">
        <v>263</v>
      </c>
      <c r="D469" s="38">
        <v>501</v>
      </c>
      <c r="E469" s="2">
        <v>64</v>
      </c>
      <c r="F469" s="2">
        <f>635-(D469+E469)</f>
        <v>70</v>
      </c>
      <c r="G469" s="2">
        <f t="shared" si="81"/>
        <v>635</v>
      </c>
      <c r="H469" s="29">
        <f t="shared" si="82"/>
        <v>0.88976377952755903</v>
      </c>
    </row>
    <row r="470" spans="1:8" x14ac:dyDescent="0.2">
      <c r="A470" s="26">
        <v>36</v>
      </c>
      <c r="B470" s="27">
        <v>176</v>
      </c>
      <c r="C470" s="43" t="s">
        <v>465</v>
      </c>
      <c r="D470" s="38">
        <v>145</v>
      </c>
      <c r="E470" s="2">
        <v>27</v>
      </c>
      <c r="F470" s="2">
        <f>461-(D470+E470)</f>
        <v>289</v>
      </c>
      <c r="G470" s="2">
        <f t="shared" si="81"/>
        <v>461</v>
      </c>
      <c r="H470" s="29">
        <f t="shared" si="82"/>
        <v>0.37310195227765725</v>
      </c>
    </row>
    <row r="471" spans="1:8" x14ac:dyDescent="0.2">
      <c r="A471" s="26">
        <v>36</v>
      </c>
      <c r="B471" s="27">
        <v>188</v>
      </c>
      <c r="C471" s="43" t="s">
        <v>467</v>
      </c>
      <c r="D471" s="38">
        <v>364</v>
      </c>
      <c r="E471" s="2">
        <v>48</v>
      </c>
      <c r="F471" s="2">
        <f>483-(D471+E471)</f>
        <v>71</v>
      </c>
      <c r="G471" s="2">
        <f t="shared" si="81"/>
        <v>483</v>
      </c>
      <c r="H471" s="29">
        <f t="shared" si="82"/>
        <v>0.85300207039337472</v>
      </c>
    </row>
    <row r="472" spans="1:8" x14ac:dyDescent="0.2">
      <c r="A472" s="26">
        <v>36</v>
      </c>
      <c r="B472" s="27">
        <v>196</v>
      </c>
      <c r="C472" s="43" t="s">
        <v>237</v>
      </c>
      <c r="D472" s="38">
        <v>468</v>
      </c>
      <c r="E472" s="2">
        <v>43</v>
      </c>
      <c r="F472" s="2">
        <f>581-(D472+E472)</f>
        <v>70</v>
      </c>
      <c r="G472" s="2">
        <f t="shared" si="81"/>
        <v>581</v>
      </c>
      <c r="H472" s="29">
        <f t="shared" si="82"/>
        <v>0.87951807228915657</v>
      </c>
    </row>
    <row r="473" spans="1:8" x14ac:dyDescent="0.2">
      <c r="A473" s="26">
        <v>36</v>
      </c>
      <c r="B473" s="27">
        <v>204</v>
      </c>
      <c r="C473" s="43" t="s">
        <v>468</v>
      </c>
      <c r="D473" s="38">
        <v>219</v>
      </c>
      <c r="E473" s="2">
        <v>36</v>
      </c>
      <c r="F473" s="2">
        <f>298-(D473+E473)</f>
        <v>43</v>
      </c>
      <c r="G473" s="2">
        <f t="shared" si="81"/>
        <v>298</v>
      </c>
      <c r="H473" s="29">
        <f t="shared" si="82"/>
        <v>0.85570469798657722</v>
      </c>
    </row>
    <row r="474" spans="1:8" x14ac:dyDescent="0.2">
      <c r="A474" s="26">
        <v>36</v>
      </c>
      <c r="B474" s="27">
        <v>216</v>
      </c>
      <c r="C474" s="43" t="s">
        <v>469</v>
      </c>
      <c r="D474" s="38">
        <v>457</v>
      </c>
      <c r="E474" s="2">
        <v>57</v>
      </c>
      <c r="F474" s="2">
        <f>560-(D474+E474)</f>
        <v>46</v>
      </c>
      <c r="G474" s="2">
        <f t="shared" si="81"/>
        <v>560</v>
      </c>
      <c r="H474" s="29">
        <f t="shared" si="82"/>
        <v>0.91785714285714282</v>
      </c>
    </row>
    <row r="475" spans="1:8" x14ac:dyDescent="0.2">
      <c r="A475" s="26">
        <v>36</v>
      </c>
      <c r="B475" s="27">
        <v>220</v>
      </c>
      <c r="C475" s="43" t="s">
        <v>470</v>
      </c>
      <c r="D475" s="38">
        <v>299</v>
      </c>
      <c r="E475" s="2">
        <v>77</v>
      </c>
      <c r="F475" s="2">
        <f>477-(D475+E475)</f>
        <v>101</v>
      </c>
      <c r="G475" s="2">
        <f t="shared" si="81"/>
        <v>477</v>
      </c>
      <c r="H475" s="29">
        <f t="shared" si="82"/>
        <v>0.7882599580712788</v>
      </c>
    </row>
    <row r="476" spans="1:8" x14ac:dyDescent="0.2">
      <c r="A476" s="26">
        <v>36</v>
      </c>
      <c r="B476" s="27">
        <v>224</v>
      </c>
      <c r="C476" s="43" t="s">
        <v>471</v>
      </c>
      <c r="D476" s="38">
        <v>271</v>
      </c>
      <c r="E476" s="2">
        <v>74</v>
      </c>
      <c r="F476" s="2">
        <f>518-(D476+E476)</f>
        <v>173</v>
      </c>
      <c r="G476" s="2">
        <f t="shared" si="81"/>
        <v>518</v>
      </c>
      <c r="H476" s="29">
        <f t="shared" si="82"/>
        <v>0.66602316602316602</v>
      </c>
    </row>
    <row r="477" spans="1:8" x14ac:dyDescent="0.2">
      <c r="A477" s="26">
        <v>36</v>
      </c>
      <c r="B477" s="27">
        <v>242</v>
      </c>
      <c r="C477" s="43" t="s">
        <v>379</v>
      </c>
      <c r="D477" s="38">
        <v>373</v>
      </c>
      <c r="E477" s="2">
        <v>65</v>
      </c>
      <c r="F477" s="2">
        <f>510-(D477+E477)</f>
        <v>72</v>
      </c>
      <c r="G477" s="2">
        <f t="shared" si="81"/>
        <v>510</v>
      </c>
      <c r="H477" s="29">
        <f t="shared" si="82"/>
        <v>0.85882352941176465</v>
      </c>
    </row>
    <row r="478" spans="1:8" x14ac:dyDescent="0.2">
      <c r="A478" s="26">
        <v>36</v>
      </c>
      <c r="B478" s="27">
        <v>244</v>
      </c>
      <c r="C478" s="43" t="s">
        <v>473</v>
      </c>
      <c r="D478" s="38">
        <v>325</v>
      </c>
      <c r="E478" s="2">
        <v>68</v>
      </c>
      <c r="F478" s="2">
        <f>425-(D478+E478)</f>
        <v>32</v>
      </c>
      <c r="G478" s="2">
        <f t="shared" si="81"/>
        <v>425</v>
      </c>
      <c r="H478" s="29">
        <f t="shared" si="82"/>
        <v>0.92470588235294116</v>
      </c>
    </row>
    <row r="479" spans="1:8" x14ac:dyDescent="0.2">
      <c r="A479" s="26">
        <v>36</v>
      </c>
      <c r="B479" s="27">
        <v>252</v>
      </c>
      <c r="C479" s="43" t="s">
        <v>474</v>
      </c>
      <c r="D479" s="38">
        <v>343</v>
      </c>
      <c r="E479" s="2">
        <v>71</v>
      </c>
      <c r="F479" s="2">
        <f>495-(D479+E479)</f>
        <v>81</v>
      </c>
      <c r="G479" s="2">
        <f t="shared" si="81"/>
        <v>495</v>
      </c>
      <c r="H479" s="29">
        <f t="shared" si="82"/>
        <v>0.83636363636363631</v>
      </c>
    </row>
    <row r="480" spans="1:8" x14ac:dyDescent="0.2">
      <c r="A480" s="26">
        <v>36</v>
      </c>
      <c r="B480" s="27">
        <v>262</v>
      </c>
      <c r="C480" s="43" t="s">
        <v>288</v>
      </c>
      <c r="D480" s="38">
        <v>371</v>
      </c>
      <c r="E480" s="2">
        <v>60</v>
      </c>
      <c r="F480" s="2">
        <f>527-(D480+E480)</f>
        <v>96</v>
      </c>
      <c r="G480" s="2">
        <f t="shared" si="81"/>
        <v>527</v>
      </c>
      <c r="H480" s="29">
        <f t="shared" si="82"/>
        <v>0.81783681214421255</v>
      </c>
    </row>
    <row r="481" spans="1:8" x14ac:dyDescent="0.2">
      <c r="A481" s="26">
        <v>36</v>
      </c>
      <c r="B481" s="27">
        <v>276</v>
      </c>
      <c r="C481" s="43" t="s">
        <v>272</v>
      </c>
      <c r="D481" s="38">
        <v>288</v>
      </c>
      <c r="E481" s="2">
        <v>51</v>
      </c>
      <c r="F481" s="2">
        <f>421-(D481+E481)</f>
        <v>82</v>
      </c>
      <c r="G481" s="2">
        <f t="shared" si="81"/>
        <v>421</v>
      </c>
      <c r="H481" s="29">
        <f t="shared" si="82"/>
        <v>0.80522565320665085</v>
      </c>
    </row>
    <row r="482" spans="1:8" x14ac:dyDescent="0.2">
      <c r="A482" s="26">
        <v>36</v>
      </c>
      <c r="B482" s="27">
        <v>288</v>
      </c>
      <c r="C482" s="43" t="s">
        <v>348</v>
      </c>
      <c r="D482" s="38">
        <v>385</v>
      </c>
      <c r="E482" s="2">
        <v>70</v>
      </c>
      <c r="F482" s="2">
        <f>704-(D482+E482)</f>
        <v>249</v>
      </c>
      <c r="G482" s="2">
        <f t="shared" si="81"/>
        <v>704</v>
      </c>
      <c r="H482" s="29">
        <f t="shared" si="82"/>
        <v>0.64630681818181823</v>
      </c>
    </row>
    <row r="483" spans="1:8" x14ac:dyDescent="0.2">
      <c r="A483" s="45" t="s">
        <v>209</v>
      </c>
      <c r="B483" s="27">
        <v>300</v>
      </c>
      <c r="C483" s="43" t="s">
        <v>530</v>
      </c>
      <c r="D483" s="38">
        <v>152</v>
      </c>
      <c r="E483" s="2">
        <v>46</v>
      </c>
      <c r="F483" s="2">
        <f>348-(D483+E483)</f>
        <v>150</v>
      </c>
      <c r="G483" s="2">
        <f t="shared" si="81"/>
        <v>348</v>
      </c>
      <c r="H483" s="29">
        <f t="shared" si="82"/>
        <v>0.56896551724137934</v>
      </c>
    </row>
    <row r="484" spans="1:8" x14ac:dyDescent="0.2">
      <c r="A484" s="26">
        <v>36</v>
      </c>
      <c r="B484" s="27">
        <v>404</v>
      </c>
      <c r="C484" s="43" t="s">
        <v>461</v>
      </c>
      <c r="D484" s="38">
        <v>362</v>
      </c>
      <c r="E484" s="2">
        <v>50</v>
      </c>
      <c r="F484" s="2">
        <f>488-(D484+E484)</f>
        <v>76</v>
      </c>
      <c r="G484" s="2">
        <f t="shared" si="81"/>
        <v>488</v>
      </c>
      <c r="H484" s="29">
        <f t="shared" si="82"/>
        <v>0.84426229508196726</v>
      </c>
    </row>
    <row r="485" spans="1:8" x14ac:dyDescent="0.2">
      <c r="A485" s="26">
        <v>36</v>
      </c>
      <c r="B485" s="27">
        <v>408</v>
      </c>
      <c r="C485" s="43" t="s">
        <v>210</v>
      </c>
      <c r="D485" s="38">
        <v>207</v>
      </c>
      <c r="E485" s="2">
        <v>45</v>
      </c>
      <c r="F485" s="2">
        <f>678-(D485+E485)</f>
        <v>426</v>
      </c>
      <c r="G485" s="2">
        <f t="shared" si="81"/>
        <v>678</v>
      </c>
      <c r="H485" s="29">
        <f t="shared" si="82"/>
        <v>0.37168141592920356</v>
      </c>
    </row>
    <row r="486" spans="1:8" x14ac:dyDescent="0.2">
      <c r="A486" s="26">
        <v>36</v>
      </c>
      <c r="B486" s="27">
        <v>412</v>
      </c>
      <c r="C486" s="43" t="s">
        <v>212</v>
      </c>
      <c r="D486" s="38">
        <v>653</v>
      </c>
      <c r="E486" s="2">
        <v>86</v>
      </c>
      <c r="F486" s="2">
        <f>762-(D486+E486)</f>
        <v>23</v>
      </c>
      <c r="G486" s="2">
        <f t="shared" si="81"/>
        <v>762</v>
      </c>
      <c r="H486" s="29">
        <f t="shared" si="82"/>
        <v>0.96981627296587924</v>
      </c>
    </row>
    <row r="487" spans="1:8" x14ac:dyDescent="0.2">
      <c r="A487" s="26">
        <v>36</v>
      </c>
      <c r="B487" s="27">
        <v>416</v>
      </c>
      <c r="C487" s="43" t="s">
        <v>214</v>
      </c>
      <c r="D487" s="38">
        <v>180</v>
      </c>
      <c r="E487" s="2">
        <v>45</v>
      </c>
      <c r="F487" s="2">
        <f>542-(D487+E487)</f>
        <v>317</v>
      </c>
      <c r="G487" s="2">
        <f t="shared" si="81"/>
        <v>542</v>
      </c>
      <c r="H487" s="29">
        <f t="shared" si="82"/>
        <v>0.4151291512915129</v>
      </c>
    </row>
    <row r="488" spans="1:8" x14ac:dyDescent="0.2">
      <c r="A488" s="26">
        <v>36</v>
      </c>
      <c r="B488" s="27">
        <v>440</v>
      </c>
      <c r="C488" s="43" t="s">
        <v>215</v>
      </c>
      <c r="D488" s="38">
        <v>544</v>
      </c>
      <c r="E488" s="2">
        <v>87</v>
      </c>
      <c r="F488" s="2">
        <f>691-(D488+E488)</f>
        <v>60</v>
      </c>
      <c r="G488" s="2">
        <f t="shared" si="81"/>
        <v>691</v>
      </c>
      <c r="H488" s="29">
        <f t="shared" si="82"/>
        <v>0.91316931982633864</v>
      </c>
    </row>
    <row r="489" spans="1:8" x14ac:dyDescent="0.2">
      <c r="A489" s="26">
        <v>36</v>
      </c>
      <c r="B489" s="27">
        <v>704</v>
      </c>
      <c r="C489" s="66" t="s">
        <v>211</v>
      </c>
      <c r="D489" s="38">
        <v>1064</v>
      </c>
      <c r="E489" s="2">
        <v>195</v>
      </c>
      <c r="F489" s="2">
        <f>1954-(D489+E489)</f>
        <v>695</v>
      </c>
      <c r="G489" s="2">
        <f t="shared" si="81"/>
        <v>1954</v>
      </c>
      <c r="H489" s="29">
        <f t="shared" si="82"/>
        <v>0.64431934493346976</v>
      </c>
    </row>
    <row r="490" spans="1:8" x14ac:dyDescent="0.2">
      <c r="A490" s="26">
        <v>36</v>
      </c>
      <c r="B490" s="27">
        <v>708</v>
      </c>
      <c r="C490" s="43" t="s">
        <v>213</v>
      </c>
      <c r="D490" s="38">
        <v>690</v>
      </c>
      <c r="E490" s="2">
        <v>113</v>
      </c>
      <c r="F490" s="2">
        <f>1756-(D490+E490)</f>
        <v>953</v>
      </c>
      <c r="G490" s="2">
        <f t="shared" si="81"/>
        <v>1756</v>
      </c>
      <c r="H490" s="29">
        <f t="shared" si="82"/>
        <v>0.45728929384965833</v>
      </c>
    </row>
    <row r="491" spans="1:8" x14ac:dyDescent="0.2">
      <c r="A491" s="26">
        <v>36</v>
      </c>
      <c r="B491" s="27">
        <v>716</v>
      </c>
      <c r="C491" s="28" t="s">
        <v>154</v>
      </c>
      <c r="D491" s="38">
        <v>1244</v>
      </c>
      <c r="E491" s="2">
        <v>296</v>
      </c>
      <c r="F491" s="2">
        <f>2437-(D491+E491)</f>
        <v>897</v>
      </c>
      <c r="G491" s="2">
        <f t="shared" si="81"/>
        <v>2437</v>
      </c>
      <c r="H491" s="29">
        <f t="shared" si="82"/>
        <v>0.63192449733278622</v>
      </c>
    </row>
    <row r="492" spans="1:8" x14ac:dyDescent="0.2">
      <c r="A492" s="26">
        <v>36</v>
      </c>
      <c r="B492" s="27">
        <v>748</v>
      </c>
      <c r="C492" s="43" t="s">
        <v>550</v>
      </c>
      <c r="D492" s="38">
        <v>66</v>
      </c>
      <c r="E492" s="2">
        <v>18</v>
      </c>
      <c r="F492" s="2">
        <f>170-(D492+E492)</f>
        <v>86</v>
      </c>
      <c r="G492" s="2">
        <f t="shared" si="81"/>
        <v>170</v>
      </c>
      <c r="H492" s="29">
        <f t="shared" si="82"/>
        <v>0.49411764705882355</v>
      </c>
    </row>
    <row r="493" spans="1:8" x14ac:dyDescent="0.2">
      <c r="A493" s="26">
        <v>36</v>
      </c>
      <c r="B493" s="27">
        <v>750</v>
      </c>
      <c r="C493" s="28" t="s">
        <v>151</v>
      </c>
      <c r="D493" s="38">
        <v>755</v>
      </c>
      <c r="E493" s="2">
        <v>86</v>
      </c>
      <c r="F493" s="2">
        <f>1262-(D493+E493)</f>
        <v>421</v>
      </c>
      <c r="G493" s="2">
        <f t="shared" si="81"/>
        <v>1262</v>
      </c>
      <c r="H493" s="29">
        <f t="shared" si="82"/>
        <v>0.66640253565768626</v>
      </c>
    </row>
    <row r="494" spans="1:8" x14ac:dyDescent="0.2">
      <c r="A494" s="26">
        <v>36</v>
      </c>
      <c r="B494" s="27">
        <v>751</v>
      </c>
      <c r="C494" s="43" t="s">
        <v>466</v>
      </c>
      <c r="D494" s="38">
        <v>77</v>
      </c>
      <c r="E494" s="2">
        <v>11</v>
      </c>
      <c r="F494" s="2">
        <f>96-(D494+E494)</f>
        <v>8</v>
      </c>
      <c r="G494" s="2">
        <f t="shared" si="81"/>
        <v>96</v>
      </c>
      <c r="H494" s="29">
        <f t="shared" si="82"/>
        <v>0.91666666666666663</v>
      </c>
    </row>
    <row r="495" spans="1:8" x14ac:dyDescent="0.2">
      <c r="A495" s="26">
        <v>36</v>
      </c>
      <c r="B495" s="27">
        <v>821</v>
      </c>
      <c r="C495" s="28" t="s">
        <v>144</v>
      </c>
      <c r="D495" s="38">
        <v>27</v>
      </c>
      <c r="E495" s="2">
        <v>1</v>
      </c>
      <c r="F495" s="2">
        <f>32-(D495+E495)</f>
        <v>4</v>
      </c>
      <c r="G495" s="2">
        <f t="shared" si="81"/>
        <v>32</v>
      </c>
      <c r="H495" s="29">
        <f t="shared" si="82"/>
        <v>0.875</v>
      </c>
    </row>
    <row r="496" spans="1:8" x14ac:dyDescent="0.2">
      <c r="A496" s="26">
        <v>36</v>
      </c>
      <c r="B496" s="27">
        <v>986</v>
      </c>
      <c r="C496" s="43" t="s">
        <v>549</v>
      </c>
      <c r="D496" s="38">
        <v>9</v>
      </c>
      <c r="E496" s="2">
        <v>0</v>
      </c>
      <c r="F496" s="2">
        <f>9-(D496+E496)</f>
        <v>0</v>
      </c>
      <c r="G496" s="2">
        <f t="shared" si="81"/>
        <v>9</v>
      </c>
      <c r="H496" s="29">
        <f t="shared" si="82"/>
        <v>1</v>
      </c>
    </row>
    <row r="497" spans="1:8" x14ac:dyDescent="0.2">
      <c r="A497" s="26">
        <v>36</v>
      </c>
      <c r="B497" s="27">
        <v>987</v>
      </c>
      <c r="C497" s="28" t="s">
        <v>140</v>
      </c>
      <c r="D497" s="38">
        <v>29</v>
      </c>
      <c r="E497" s="2">
        <v>5</v>
      </c>
      <c r="F497" s="2">
        <f>37-(D497+E497)</f>
        <v>3</v>
      </c>
      <c r="G497" s="2">
        <f t="shared" si="81"/>
        <v>37</v>
      </c>
      <c r="H497" s="29">
        <f t="shared" si="82"/>
        <v>0.91891891891891897</v>
      </c>
    </row>
    <row r="498" spans="1:8" x14ac:dyDescent="0.2">
      <c r="A498" s="30">
        <v>36</v>
      </c>
      <c r="B498" s="71">
        <v>998</v>
      </c>
      <c r="C498" s="32" t="s">
        <v>152</v>
      </c>
      <c r="D498" s="48">
        <v>43</v>
      </c>
      <c r="E498" s="49">
        <v>9</v>
      </c>
      <c r="F498" s="2">
        <f>62-(D498+E498)</f>
        <v>10</v>
      </c>
      <c r="G498" s="49">
        <f t="shared" si="81"/>
        <v>62</v>
      </c>
      <c r="H498" s="35">
        <f t="shared" si="82"/>
        <v>0.83870967741935487</v>
      </c>
    </row>
    <row r="499" spans="1:8" x14ac:dyDescent="0.2">
      <c r="A499" s="26">
        <v>36</v>
      </c>
      <c r="B499" s="44" t="s">
        <v>547</v>
      </c>
      <c r="C499" s="43" t="s">
        <v>548</v>
      </c>
      <c r="D499" s="2">
        <v>27</v>
      </c>
      <c r="E499" s="2">
        <v>1</v>
      </c>
      <c r="F499" s="2">
        <f>37-(D499+E499)</f>
        <v>9</v>
      </c>
      <c r="G499" s="2">
        <f t="shared" si="81"/>
        <v>37</v>
      </c>
      <c r="H499" s="29">
        <f t="shared" si="82"/>
        <v>0.7567567567567568</v>
      </c>
    </row>
    <row r="500" spans="1:8" x14ac:dyDescent="0.2">
      <c r="A500" s="30"/>
      <c r="B500" s="31"/>
      <c r="C500" s="32"/>
      <c r="D500" s="3"/>
      <c r="E500" s="34"/>
      <c r="F500" s="33"/>
      <c r="G500" s="34"/>
      <c r="H500" s="35"/>
    </row>
    <row r="501" spans="1:8" x14ac:dyDescent="0.2">
      <c r="A501" s="30"/>
      <c r="B501" s="31"/>
      <c r="C501" s="37" t="s">
        <v>120</v>
      </c>
      <c r="D501" s="3"/>
      <c r="E501" s="34"/>
      <c r="F501" s="33"/>
      <c r="G501" s="34"/>
      <c r="H501" s="35"/>
    </row>
    <row r="502" spans="1:8" x14ac:dyDescent="0.2">
      <c r="A502" s="26">
        <v>37</v>
      </c>
      <c r="B502" s="27">
        <v>103</v>
      </c>
      <c r="C502" s="43" t="s">
        <v>191</v>
      </c>
      <c r="D502" s="38">
        <v>401</v>
      </c>
      <c r="E502" s="2">
        <v>35</v>
      </c>
      <c r="F502" s="2">
        <f>512-(D502+E502)</f>
        <v>76</v>
      </c>
      <c r="G502" s="2">
        <f t="shared" ref="G502:G510" si="83">SUM(D502:F502)</f>
        <v>512</v>
      </c>
      <c r="H502" s="29">
        <f t="shared" ref="H502:H510" si="84">+(D502+E502)/G502</f>
        <v>0.8515625</v>
      </c>
    </row>
    <row r="503" spans="1:8" x14ac:dyDescent="0.2">
      <c r="A503" s="26">
        <v>37</v>
      </c>
      <c r="B503" s="27">
        <v>107</v>
      </c>
      <c r="C503" s="43" t="s">
        <v>475</v>
      </c>
      <c r="D503" s="38">
        <v>352</v>
      </c>
      <c r="E503" s="2">
        <v>29</v>
      </c>
      <c r="F503" s="2">
        <f>407-(D503+E503)</f>
        <v>26</v>
      </c>
      <c r="G503" s="2">
        <f t="shared" si="83"/>
        <v>407</v>
      </c>
      <c r="H503" s="29">
        <f t="shared" si="84"/>
        <v>0.93611793611793614</v>
      </c>
    </row>
    <row r="504" spans="1:8" x14ac:dyDescent="0.2">
      <c r="A504" s="26">
        <v>37</v>
      </c>
      <c r="B504" s="27">
        <v>111</v>
      </c>
      <c r="C504" s="43" t="s">
        <v>476</v>
      </c>
      <c r="D504" s="38">
        <v>381</v>
      </c>
      <c r="E504" s="2">
        <v>29</v>
      </c>
      <c r="F504" s="2">
        <f>470-(D504+E504)</f>
        <v>60</v>
      </c>
      <c r="G504" s="2">
        <f t="shared" si="83"/>
        <v>470</v>
      </c>
      <c r="H504" s="29">
        <f t="shared" si="84"/>
        <v>0.87234042553191493</v>
      </c>
    </row>
    <row r="505" spans="1:8" x14ac:dyDescent="0.2">
      <c r="A505" s="26">
        <v>37</v>
      </c>
      <c r="B505" s="27">
        <v>119</v>
      </c>
      <c r="C505" s="43" t="s">
        <v>477</v>
      </c>
      <c r="D505" s="38">
        <v>558</v>
      </c>
      <c r="E505" s="2">
        <v>71</v>
      </c>
      <c r="F505" s="2">
        <f>798-(D505+E505)</f>
        <v>169</v>
      </c>
      <c r="G505" s="2">
        <f t="shared" ref="G505" si="85">SUM(D505:F505)</f>
        <v>798</v>
      </c>
      <c r="H505" s="29">
        <f t="shared" ref="H505" si="86">+(D505+E505)/G505</f>
        <v>0.78822055137844615</v>
      </c>
    </row>
    <row r="506" spans="1:8" x14ac:dyDescent="0.2">
      <c r="A506" s="26">
        <v>37</v>
      </c>
      <c r="B506" s="27">
        <v>123</v>
      </c>
      <c r="C506" s="43" t="s">
        <v>180</v>
      </c>
      <c r="D506" s="38">
        <v>315</v>
      </c>
      <c r="E506" s="2">
        <v>42</v>
      </c>
      <c r="F506" s="2">
        <f>464-(D506+E506)</f>
        <v>107</v>
      </c>
      <c r="G506" s="2">
        <f t="shared" si="83"/>
        <v>464</v>
      </c>
      <c r="H506" s="29">
        <f t="shared" si="84"/>
        <v>0.7693965517241379</v>
      </c>
    </row>
    <row r="507" spans="1:8" x14ac:dyDescent="0.2">
      <c r="A507" s="26">
        <v>37</v>
      </c>
      <c r="B507" s="27">
        <v>131</v>
      </c>
      <c r="C507" s="43" t="s">
        <v>478</v>
      </c>
      <c r="D507" s="38">
        <v>285</v>
      </c>
      <c r="E507" s="2">
        <v>63</v>
      </c>
      <c r="F507" s="2">
        <f>483-(D507+E507)</f>
        <v>135</v>
      </c>
      <c r="G507" s="2">
        <f t="shared" si="83"/>
        <v>483</v>
      </c>
      <c r="H507" s="29">
        <f t="shared" si="84"/>
        <v>0.72049689440993792</v>
      </c>
    </row>
    <row r="508" spans="1:8" x14ac:dyDescent="0.2">
      <c r="A508" s="26">
        <v>37</v>
      </c>
      <c r="B508" s="27">
        <v>139</v>
      </c>
      <c r="C508" s="43" t="s">
        <v>237</v>
      </c>
      <c r="D508" s="38">
        <v>376</v>
      </c>
      <c r="E508" s="2">
        <v>64</v>
      </c>
      <c r="F508" s="2">
        <f>534-(D508+E508)</f>
        <v>94</v>
      </c>
      <c r="G508" s="2">
        <f t="shared" si="83"/>
        <v>534</v>
      </c>
      <c r="H508" s="29">
        <f t="shared" si="84"/>
        <v>0.82397003745318353</v>
      </c>
    </row>
    <row r="509" spans="1:8" x14ac:dyDescent="0.2">
      <c r="A509" s="26">
        <v>37</v>
      </c>
      <c r="B509" s="27">
        <v>151</v>
      </c>
      <c r="C509" s="43" t="s">
        <v>479</v>
      </c>
      <c r="D509" s="38">
        <v>556</v>
      </c>
      <c r="E509" s="2">
        <v>26</v>
      </c>
      <c r="F509" s="2">
        <f>600-(D509+E509)</f>
        <v>18</v>
      </c>
      <c r="G509" s="2">
        <f t="shared" si="83"/>
        <v>600</v>
      </c>
      <c r="H509" s="29">
        <f t="shared" si="84"/>
        <v>0.97</v>
      </c>
    </row>
    <row r="510" spans="1:8" x14ac:dyDescent="0.2">
      <c r="A510" s="26">
        <v>37</v>
      </c>
      <c r="B510" s="27">
        <v>163</v>
      </c>
      <c r="C510" s="43" t="s">
        <v>482</v>
      </c>
      <c r="D510" s="38">
        <v>563</v>
      </c>
      <c r="E510" s="2">
        <v>44</v>
      </c>
      <c r="F510" s="2">
        <f>637-(D510+E510)</f>
        <v>30</v>
      </c>
      <c r="G510" s="2">
        <f t="shared" si="83"/>
        <v>637</v>
      </c>
      <c r="H510" s="29">
        <f t="shared" si="84"/>
        <v>0.95290423861852436</v>
      </c>
    </row>
    <row r="511" spans="1:8" x14ac:dyDescent="0.2">
      <c r="A511" s="26">
        <v>37</v>
      </c>
      <c r="B511" s="27">
        <v>167</v>
      </c>
      <c r="C511" s="43" t="s">
        <v>483</v>
      </c>
      <c r="D511" s="38">
        <v>245</v>
      </c>
      <c r="E511" s="2">
        <v>39</v>
      </c>
      <c r="F511" s="2">
        <f>440-(D511+E511)</f>
        <v>156</v>
      </c>
      <c r="G511" s="2">
        <f t="shared" ref="G511:G520" si="87">SUM(D511:F511)</f>
        <v>440</v>
      </c>
      <c r="H511" s="29">
        <f t="shared" ref="H511:H520" si="88">+(D511+E511)/G511</f>
        <v>0.6454545454545455</v>
      </c>
    </row>
    <row r="512" spans="1:8" x14ac:dyDescent="0.2">
      <c r="A512" s="26">
        <v>37</v>
      </c>
      <c r="B512" s="27">
        <v>176</v>
      </c>
      <c r="C512" s="43" t="s">
        <v>514</v>
      </c>
      <c r="D512" s="38">
        <v>238</v>
      </c>
      <c r="E512" s="2">
        <v>49</v>
      </c>
      <c r="F512" s="2">
        <f>464-(D512+E512)</f>
        <v>177</v>
      </c>
      <c r="G512" s="2">
        <f t="shared" ref="G512" si="89">SUM(D512:F512)</f>
        <v>464</v>
      </c>
      <c r="H512" s="29">
        <f t="shared" ref="H512" si="90">+(D512+E512)/G512</f>
        <v>0.61853448275862066</v>
      </c>
    </row>
    <row r="513" spans="1:8" x14ac:dyDescent="0.2">
      <c r="A513" s="26">
        <v>37</v>
      </c>
      <c r="B513" s="27">
        <v>179</v>
      </c>
      <c r="C513" s="43" t="s">
        <v>484</v>
      </c>
      <c r="D513" s="38">
        <v>440</v>
      </c>
      <c r="E513" s="2">
        <v>47</v>
      </c>
      <c r="F513" s="2">
        <f>544-(D513+E513)</f>
        <v>57</v>
      </c>
      <c r="G513" s="2">
        <f t="shared" si="87"/>
        <v>544</v>
      </c>
      <c r="H513" s="29">
        <f t="shared" si="88"/>
        <v>0.89522058823529416</v>
      </c>
    </row>
    <row r="514" spans="1:8" x14ac:dyDescent="0.2">
      <c r="A514" s="26">
        <v>37</v>
      </c>
      <c r="B514" s="27">
        <v>183</v>
      </c>
      <c r="C514" s="43" t="s">
        <v>273</v>
      </c>
      <c r="D514" s="38">
        <v>193</v>
      </c>
      <c r="E514" s="2">
        <v>45</v>
      </c>
      <c r="F514" s="2">
        <f>395-(D514+E514)</f>
        <v>157</v>
      </c>
      <c r="G514" s="2">
        <f t="shared" si="87"/>
        <v>395</v>
      </c>
      <c r="H514" s="29">
        <f t="shared" si="88"/>
        <v>0.60253164556962024</v>
      </c>
    </row>
    <row r="515" spans="1:8" x14ac:dyDescent="0.2">
      <c r="A515" s="26">
        <v>37</v>
      </c>
      <c r="B515" s="27">
        <v>409</v>
      </c>
      <c r="C515" s="43" t="s">
        <v>208</v>
      </c>
      <c r="D515" s="38">
        <v>649</v>
      </c>
      <c r="E515" s="2">
        <v>83</v>
      </c>
      <c r="F515" s="2">
        <f>899-(D515+E515)</f>
        <v>167</v>
      </c>
      <c r="G515" s="2">
        <f t="shared" ref="G515" si="91">SUM(D515:F515)</f>
        <v>899</v>
      </c>
      <c r="H515" s="29">
        <f t="shared" ref="H515" si="92">+(D515+E515)/G515</f>
        <v>0.81423804226918794</v>
      </c>
    </row>
    <row r="516" spans="1:8" x14ac:dyDescent="0.2">
      <c r="A516" s="26">
        <v>37</v>
      </c>
      <c r="B516" s="27">
        <v>411</v>
      </c>
      <c r="C516" s="43" t="s">
        <v>480</v>
      </c>
      <c r="D516" s="38">
        <v>626</v>
      </c>
      <c r="E516" s="2">
        <v>50</v>
      </c>
      <c r="F516" s="2">
        <f>764-(D516+E516)</f>
        <v>88</v>
      </c>
      <c r="G516" s="2">
        <f t="shared" si="87"/>
        <v>764</v>
      </c>
      <c r="H516" s="29">
        <f t="shared" si="88"/>
        <v>0.88481675392670156</v>
      </c>
    </row>
    <row r="517" spans="1:8" x14ac:dyDescent="0.2">
      <c r="A517" s="26">
        <v>37</v>
      </c>
      <c r="B517" s="27">
        <v>415</v>
      </c>
      <c r="C517" s="43" t="s">
        <v>481</v>
      </c>
      <c r="D517" s="38">
        <v>506</v>
      </c>
      <c r="E517" s="2">
        <v>45</v>
      </c>
      <c r="F517" s="2">
        <f>923-(D517+E517)</f>
        <v>372</v>
      </c>
      <c r="G517" s="2">
        <f t="shared" si="87"/>
        <v>923</v>
      </c>
      <c r="H517" s="29">
        <f t="shared" si="88"/>
        <v>0.59696641386782234</v>
      </c>
    </row>
    <row r="518" spans="1:8" x14ac:dyDescent="0.2">
      <c r="A518" s="26">
        <v>37</v>
      </c>
      <c r="B518" s="27">
        <v>703</v>
      </c>
      <c r="C518" s="28" t="s">
        <v>121</v>
      </c>
      <c r="D518" s="38">
        <v>690</v>
      </c>
      <c r="E518" s="2">
        <v>88</v>
      </c>
      <c r="F518" s="2">
        <f>1076-(D518+E518)</f>
        <v>298</v>
      </c>
      <c r="G518" s="2">
        <f t="shared" si="87"/>
        <v>1076</v>
      </c>
      <c r="H518" s="29">
        <f t="shared" si="88"/>
        <v>0.72304832713754652</v>
      </c>
    </row>
    <row r="519" spans="1:8" x14ac:dyDescent="0.2">
      <c r="A519" s="26">
        <v>37</v>
      </c>
      <c r="B519" s="27">
        <v>707</v>
      </c>
      <c r="C519" s="28" t="s">
        <v>122</v>
      </c>
      <c r="D519" s="38">
        <v>665</v>
      </c>
      <c r="E519" s="2">
        <v>53</v>
      </c>
      <c r="F519" s="2">
        <f>1244-(D519+E519)</f>
        <v>526</v>
      </c>
      <c r="G519" s="2">
        <f t="shared" si="87"/>
        <v>1244</v>
      </c>
      <c r="H519" s="29">
        <f t="shared" si="88"/>
        <v>0.57717041800643087</v>
      </c>
    </row>
    <row r="520" spans="1:8" x14ac:dyDescent="0.2">
      <c r="A520" s="26">
        <v>37</v>
      </c>
      <c r="B520" s="27">
        <v>729</v>
      </c>
      <c r="C520" s="28" t="s">
        <v>123</v>
      </c>
      <c r="D520" s="38">
        <v>254</v>
      </c>
      <c r="E520" s="2">
        <v>9</v>
      </c>
      <c r="F520" s="2">
        <f>276-(D520+E520)</f>
        <v>13</v>
      </c>
      <c r="G520" s="2">
        <f t="shared" si="87"/>
        <v>276</v>
      </c>
      <c r="H520" s="29">
        <f t="shared" si="88"/>
        <v>0.95289855072463769</v>
      </c>
    </row>
    <row r="521" spans="1:8" x14ac:dyDescent="0.2">
      <c r="A521" s="30"/>
      <c r="B521" s="31"/>
      <c r="C521" s="32"/>
      <c r="D521" s="3"/>
      <c r="E521" s="34"/>
      <c r="F521" s="33"/>
      <c r="G521" s="34"/>
      <c r="H521" s="35"/>
    </row>
    <row r="522" spans="1:8" x14ac:dyDescent="0.2">
      <c r="A522" s="30"/>
      <c r="B522" s="31"/>
      <c r="C522" s="37" t="s">
        <v>124</v>
      </c>
      <c r="D522" s="3"/>
      <c r="E522" s="34"/>
      <c r="F522" s="33"/>
      <c r="G522" s="34"/>
      <c r="H522" s="35"/>
    </row>
    <row r="523" spans="1:8" x14ac:dyDescent="0.2">
      <c r="A523" s="26">
        <v>38</v>
      </c>
      <c r="B523" s="27">
        <v>100</v>
      </c>
      <c r="C523" s="43" t="s">
        <v>485</v>
      </c>
      <c r="D523" s="38">
        <v>277</v>
      </c>
      <c r="E523" s="2">
        <v>83</v>
      </c>
      <c r="F523" s="2">
        <f>573-(D523+E523)</f>
        <v>213</v>
      </c>
      <c r="G523" s="2">
        <f t="shared" ref="G523:G535" si="93">SUM(D523:F523)</f>
        <v>573</v>
      </c>
      <c r="H523" s="29">
        <f t="shared" ref="H523:H535" si="94">+(D523+E523)/G523</f>
        <v>0.62827225130890052</v>
      </c>
    </row>
    <row r="524" spans="1:8" x14ac:dyDescent="0.2">
      <c r="A524" s="26">
        <v>38</v>
      </c>
      <c r="B524" s="27">
        <v>103</v>
      </c>
      <c r="C524" s="43" t="s">
        <v>529</v>
      </c>
      <c r="D524" s="38">
        <v>339</v>
      </c>
      <c r="E524" s="2">
        <v>54</v>
      </c>
      <c r="F524" s="2">
        <f>511-(D524+E524)</f>
        <v>118</v>
      </c>
      <c r="G524" s="2">
        <f>SUM(D524:F524)</f>
        <v>511</v>
      </c>
      <c r="H524" s="29">
        <f>+(D524+E524)/G524</f>
        <v>0.7690802348336595</v>
      </c>
    </row>
    <row r="525" spans="1:8" x14ac:dyDescent="0.2">
      <c r="A525" s="26">
        <v>38</v>
      </c>
      <c r="B525" s="27">
        <v>104</v>
      </c>
      <c r="C525" s="43" t="s">
        <v>464</v>
      </c>
      <c r="D525" s="38">
        <v>353</v>
      </c>
      <c r="E525" s="2">
        <v>62</v>
      </c>
      <c r="F525" s="2">
        <f>505-(D525+E525)</f>
        <v>90</v>
      </c>
      <c r="G525" s="2">
        <f t="shared" si="93"/>
        <v>505</v>
      </c>
      <c r="H525" s="29">
        <f t="shared" si="94"/>
        <v>0.82178217821782173</v>
      </c>
    </row>
    <row r="526" spans="1:8" x14ac:dyDescent="0.2">
      <c r="A526" s="26">
        <v>38</v>
      </c>
      <c r="B526" s="52">
        <v>118</v>
      </c>
      <c r="C526" s="43" t="s">
        <v>446</v>
      </c>
      <c r="D526" s="38">
        <v>204</v>
      </c>
      <c r="E526" s="2">
        <v>106</v>
      </c>
      <c r="F526" s="2">
        <f>673-(D526+E526)</f>
        <v>363</v>
      </c>
      <c r="G526" s="2">
        <f t="shared" ref="G526" si="95">SUM(D526:F526)</f>
        <v>673</v>
      </c>
      <c r="H526" s="29">
        <f t="shared" ref="H526" si="96">+(D526+E526)/G526</f>
        <v>0.46062407132243682</v>
      </c>
    </row>
    <row r="527" spans="1:8" x14ac:dyDescent="0.2">
      <c r="A527" s="26">
        <v>38</v>
      </c>
      <c r="B527" s="27">
        <v>120</v>
      </c>
      <c r="C527" s="43" t="s">
        <v>487</v>
      </c>
      <c r="D527" s="38">
        <v>213</v>
      </c>
      <c r="E527" s="2">
        <v>38</v>
      </c>
      <c r="F527" s="2">
        <f>444-(D527+E527)</f>
        <v>193</v>
      </c>
      <c r="G527" s="2">
        <f t="shared" si="93"/>
        <v>444</v>
      </c>
      <c r="H527" s="29">
        <f t="shared" si="94"/>
        <v>0.56531531531531531</v>
      </c>
    </row>
    <row r="528" spans="1:8" x14ac:dyDescent="0.2">
      <c r="A528" s="26">
        <v>38</v>
      </c>
      <c r="B528" s="27">
        <v>122</v>
      </c>
      <c r="C528" s="43" t="s">
        <v>488</v>
      </c>
      <c r="D528" s="38">
        <v>173</v>
      </c>
      <c r="E528" s="2">
        <v>59</v>
      </c>
      <c r="F528" s="2">
        <f>632-(D528+E528)</f>
        <v>400</v>
      </c>
      <c r="G528" s="2">
        <f t="shared" si="93"/>
        <v>632</v>
      </c>
      <c r="H528" s="29">
        <f t="shared" si="94"/>
        <v>0.36708860759493672</v>
      </c>
    </row>
    <row r="529" spans="1:8" x14ac:dyDescent="0.2">
      <c r="A529" s="26">
        <v>38</v>
      </c>
      <c r="B529" s="27">
        <v>123</v>
      </c>
      <c r="C529" s="43" t="s">
        <v>489</v>
      </c>
      <c r="D529" s="38">
        <v>385</v>
      </c>
      <c r="E529" s="2">
        <v>77</v>
      </c>
      <c r="F529" s="2">
        <f>570-(D529+E529)</f>
        <v>108</v>
      </c>
      <c r="G529" s="2">
        <f t="shared" si="93"/>
        <v>570</v>
      </c>
      <c r="H529" s="29">
        <f>+(D529+E529)/G529</f>
        <v>0.81052631578947365</v>
      </c>
    </row>
    <row r="530" spans="1:8" x14ac:dyDescent="0.2">
      <c r="A530" s="26">
        <v>38</v>
      </c>
      <c r="B530" s="27">
        <v>124</v>
      </c>
      <c r="C530" s="43" t="s">
        <v>490</v>
      </c>
      <c r="D530" s="38">
        <v>282</v>
      </c>
      <c r="E530" s="2">
        <v>72</v>
      </c>
      <c r="F530" s="2">
        <f>528-(D530+E530)</f>
        <v>174</v>
      </c>
      <c r="G530" s="2">
        <f t="shared" si="93"/>
        <v>528</v>
      </c>
      <c r="H530" s="29">
        <f t="shared" si="94"/>
        <v>0.67045454545454541</v>
      </c>
    </row>
    <row r="531" spans="1:8" x14ac:dyDescent="0.2">
      <c r="A531" s="26">
        <v>38</v>
      </c>
      <c r="B531" s="27">
        <v>128</v>
      </c>
      <c r="C531" s="43" t="s">
        <v>491</v>
      </c>
      <c r="D531" s="38">
        <v>444</v>
      </c>
      <c r="E531" s="2">
        <v>89</v>
      </c>
      <c r="F531" s="2">
        <f>679-(D531+E531)</f>
        <v>146</v>
      </c>
      <c r="G531" s="2">
        <f t="shared" si="93"/>
        <v>679</v>
      </c>
      <c r="H531" s="29">
        <f t="shared" si="94"/>
        <v>0.78497790868924888</v>
      </c>
    </row>
    <row r="532" spans="1:8" x14ac:dyDescent="0.2">
      <c r="A532" s="26">
        <v>38</v>
      </c>
      <c r="B532" s="27">
        <v>134</v>
      </c>
      <c r="C532" s="43" t="s">
        <v>492</v>
      </c>
      <c r="D532" s="38">
        <v>258</v>
      </c>
      <c r="E532" s="2">
        <v>109</v>
      </c>
      <c r="F532" s="2">
        <f>899-(D532+E532)</f>
        <v>532</v>
      </c>
      <c r="G532" s="2">
        <f t="shared" si="93"/>
        <v>899</v>
      </c>
      <c r="H532" s="29">
        <f t="shared" si="94"/>
        <v>0.40823136818687428</v>
      </c>
    </row>
    <row r="533" spans="1:8" x14ac:dyDescent="0.2">
      <c r="A533" s="26">
        <v>38</v>
      </c>
      <c r="B533" s="27">
        <v>404</v>
      </c>
      <c r="C533" s="28" t="s">
        <v>125</v>
      </c>
      <c r="D533" s="38">
        <v>385</v>
      </c>
      <c r="E533" s="2">
        <v>90</v>
      </c>
      <c r="F533" s="2">
        <f>1036-(D533+E533)</f>
        <v>561</v>
      </c>
      <c r="G533" s="2">
        <f t="shared" si="93"/>
        <v>1036</v>
      </c>
      <c r="H533" s="29">
        <f t="shared" si="94"/>
        <v>0.45849420849420852</v>
      </c>
    </row>
    <row r="534" spans="1:8" x14ac:dyDescent="0.2">
      <c r="A534" s="26">
        <v>38</v>
      </c>
      <c r="B534" s="27">
        <v>408</v>
      </c>
      <c r="C534" s="28" t="s">
        <v>126</v>
      </c>
      <c r="D534" s="38">
        <v>399</v>
      </c>
      <c r="E534" s="2">
        <v>94</v>
      </c>
      <c r="F534" s="2">
        <f>833-(D534+E534)</f>
        <v>340</v>
      </c>
      <c r="G534" s="2">
        <f t="shared" si="93"/>
        <v>833</v>
      </c>
      <c r="H534" s="29">
        <f t="shared" si="94"/>
        <v>0.59183673469387754</v>
      </c>
    </row>
    <row r="535" spans="1:8" x14ac:dyDescent="0.2">
      <c r="A535" s="26">
        <v>38</v>
      </c>
      <c r="B535" s="27">
        <v>704</v>
      </c>
      <c r="C535" s="28" t="s">
        <v>127</v>
      </c>
      <c r="D535" s="38">
        <v>596</v>
      </c>
      <c r="E535" s="2">
        <v>193</v>
      </c>
      <c r="F535" s="2">
        <f>1787-(D535+E535)</f>
        <v>998</v>
      </c>
      <c r="G535" s="2">
        <f t="shared" si="93"/>
        <v>1787</v>
      </c>
      <c r="H535" s="29">
        <f t="shared" si="94"/>
        <v>0.44152210408505876</v>
      </c>
    </row>
    <row r="536" spans="1:8" x14ac:dyDescent="0.2">
      <c r="A536" s="26">
        <v>38</v>
      </c>
      <c r="B536" s="27">
        <v>730</v>
      </c>
      <c r="C536" s="28" t="s">
        <v>128</v>
      </c>
      <c r="D536" s="38">
        <v>202</v>
      </c>
      <c r="E536" s="2">
        <v>22</v>
      </c>
      <c r="F536" s="2">
        <f>286-(D536+E536)</f>
        <v>62</v>
      </c>
      <c r="G536" s="2">
        <f t="shared" ref="G536" si="97">SUM(D536:F536)</f>
        <v>286</v>
      </c>
      <c r="H536" s="29">
        <f t="shared" ref="H536" si="98">+(D536+E536)/G536</f>
        <v>0.78321678321678323</v>
      </c>
    </row>
    <row r="537" spans="1:8" x14ac:dyDescent="0.2">
      <c r="A537" s="30"/>
      <c r="B537" s="31"/>
      <c r="C537" s="32"/>
      <c r="D537" s="3"/>
      <c r="E537" s="34"/>
      <c r="F537" s="33"/>
      <c r="G537" s="34"/>
      <c r="H537" s="35"/>
    </row>
    <row r="538" spans="1:8" x14ac:dyDescent="0.2">
      <c r="A538" s="30"/>
      <c r="B538" s="31"/>
      <c r="C538" s="37" t="s">
        <v>129</v>
      </c>
      <c r="D538" s="3"/>
      <c r="E538" s="34"/>
      <c r="F538" s="33"/>
      <c r="G538" s="34"/>
      <c r="H538" s="35"/>
    </row>
    <row r="539" spans="1:8" x14ac:dyDescent="0.2">
      <c r="A539" s="26">
        <v>39</v>
      </c>
      <c r="B539" s="27">
        <v>104</v>
      </c>
      <c r="C539" s="43" t="s">
        <v>249</v>
      </c>
      <c r="D539" s="38">
        <v>228</v>
      </c>
      <c r="E539" s="2">
        <v>44</v>
      </c>
      <c r="F539" s="2">
        <f>363-(D539+E539)</f>
        <v>91</v>
      </c>
      <c r="G539" s="2">
        <f t="shared" ref="G539:G547" si="99">SUM(D539:F539)</f>
        <v>363</v>
      </c>
      <c r="H539" s="29">
        <f t="shared" ref="H539:H547" si="100">+(D539+E539)/G539</f>
        <v>0.74931129476584024</v>
      </c>
    </row>
    <row r="540" spans="1:8" x14ac:dyDescent="0.2">
      <c r="A540" s="26">
        <v>39</v>
      </c>
      <c r="B540" s="27">
        <v>110</v>
      </c>
      <c r="C540" s="43" t="s">
        <v>493</v>
      </c>
      <c r="D540" s="38">
        <v>373</v>
      </c>
      <c r="E540" s="2">
        <v>65</v>
      </c>
      <c r="F540" s="2">
        <f>570-(D540+E540)</f>
        <v>132</v>
      </c>
      <c r="G540" s="2">
        <f>SUM(D540:F540)</f>
        <v>570</v>
      </c>
      <c r="H540" s="29">
        <f>+(D540+E540)/G540</f>
        <v>0.76842105263157889</v>
      </c>
    </row>
    <row r="541" spans="1:8" x14ac:dyDescent="0.2">
      <c r="A541" s="26">
        <v>39</v>
      </c>
      <c r="B541" s="27">
        <v>112</v>
      </c>
      <c r="C541" s="43" t="s">
        <v>494</v>
      </c>
      <c r="D541" s="38">
        <v>220</v>
      </c>
      <c r="E541" s="2">
        <v>69</v>
      </c>
      <c r="F541" s="2">
        <f>390-(D541+E541)</f>
        <v>101</v>
      </c>
      <c r="G541" s="2">
        <f t="shared" si="99"/>
        <v>390</v>
      </c>
      <c r="H541" s="29">
        <f t="shared" si="100"/>
        <v>0.74102564102564106</v>
      </c>
    </row>
    <row r="542" spans="1:8" x14ac:dyDescent="0.2">
      <c r="A542" s="26">
        <v>39</v>
      </c>
      <c r="B542" s="27">
        <v>116</v>
      </c>
      <c r="C542" s="43" t="s">
        <v>387</v>
      </c>
      <c r="D542" s="38">
        <v>183</v>
      </c>
      <c r="E542" s="2">
        <v>52</v>
      </c>
      <c r="F542" s="2">
        <f>530-(D542+E542)</f>
        <v>295</v>
      </c>
      <c r="G542" s="2">
        <f t="shared" si="99"/>
        <v>530</v>
      </c>
      <c r="H542" s="29">
        <f t="shared" si="100"/>
        <v>0.44339622641509435</v>
      </c>
    </row>
    <row r="543" spans="1:8" x14ac:dyDescent="0.2">
      <c r="A543" s="26">
        <v>39</v>
      </c>
      <c r="B543" s="27">
        <v>120</v>
      </c>
      <c r="C543" s="43" t="s">
        <v>495</v>
      </c>
      <c r="D543" s="38">
        <v>391</v>
      </c>
      <c r="E543" s="2">
        <v>113</v>
      </c>
      <c r="F543" s="2">
        <f>747-(D543+E543)</f>
        <v>243</v>
      </c>
      <c r="G543" s="2">
        <f t="shared" si="99"/>
        <v>747</v>
      </c>
      <c r="H543" s="29">
        <f t="shared" si="100"/>
        <v>0.67469879518072284</v>
      </c>
    </row>
    <row r="544" spans="1:8" x14ac:dyDescent="0.2">
      <c r="A544" s="26">
        <v>39</v>
      </c>
      <c r="B544" s="27">
        <v>124</v>
      </c>
      <c r="C544" s="43" t="s">
        <v>180</v>
      </c>
      <c r="D544" s="38">
        <v>203</v>
      </c>
      <c r="E544" s="2">
        <v>55</v>
      </c>
      <c r="F544" s="2">
        <f>456-(D544+E544)</f>
        <v>198</v>
      </c>
      <c r="G544" s="2">
        <f t="shared" si="99"/>
        <v>456</v>
      </c>
      <c r="H544" s="29">
        <f t="shared" si="100"/>
        <v>0.56578947368421051</v>
      </c>
    </row>
    <row r="545" spans="1:8" x14ac:dyDescent="0.2">
      <c r="A545" s="26">
        <v>39</v>
      </c>
      <c r="B545" s="27">
        <v>404</v>
      </c>
      <c r="C545" s="28" t="s">
        <v>130</v>
      </c>
      <c r="D545" s="38">
        <v>587</v>
      </c>
      <c r="E545" s="2">
        <v>160</v>
      </c>
      <c r="F545" s="2">
        <f>1305-(D545+E545)</f>
        <v>558</v>
      </c>
      <c r="G545" s="2">
        <f t="shared" si="99"/>
        <v>1305</v>
      </c>
      <c r="H545" s="29">
        <f t="shared" si="100"/>
        <v>0.57241379310344831</v>
      </c>
    </row>
    <row r="546" spans="1:8" x14ac:dyDescent="0.2">
      <c r="A546" s="26">
        <v>39</v>
      </c>
      <c r="B546" s="27">
        <v>704</v>
      </c>
      <c r="C546" s="28" t="s">
        <v>131</v>
      </c>
      <c r="D546" s="38">
        <v>518</v>
      </c>
      <c r="E546" s="2">
        <v>170</v>
      </c>
      <c r="F546" s="2">
        <f>1627-(D546+E546)</f>
        <v>939</v>
      </c>
      <c r="G546" s="2">
        <f t="shared" si="99"/>
        <v>1627</v>
      </c>
      <c r="H546" s="29">
        <f>+(D546+E546)/G546</f>
        <v>0.42286416717885678</v>
      </c>
    </row>
    <row r="547" spans="1:8" x14ac:dyDescent="0.2">
      <c r="A547" s="26">
        <v>39</v>
      </c>
      <c r="B547" s="27">
        <v>710</v>
      </c>
      <c r="C547" s="28" t="s">
        <v>145</v>
      </c>
      <c r="D547" s="38">
        <v>53</v>
      </c>
      <c r="E547" s="2">
        <v>5</v>
      </c>
      <c r="F547" s="2">
        <f>80-(D547+E547)</f>
        <v>22</v>
      </c>
      <c r="G547" s="2">
        <f t="shared" si="99"/>
        <v>80</v>
      </c>
      <c r="H547" s="29">
        <f t="shared" si="100"/>
        <v>0.72499999999999998</v>
      </c>
    </row>
    <row r="548" spans="1:8" x14ac:dyDescent="0.2">
      <c r="A548" s="30"/>
      <c r="B548" s="31"/>
      <c r="C548" s="32"/>
      <c r="D548" s="3"/>
      <c r="E548" s="34"/>
      <c r="F548" s="33"/>
      <c r="G548" s="34"/>
      <c r="H548" s="35"/>
    </row>
    <row r="549" spans="1:8" x14ac:dyDescent="0.2">
      <c r="A549" s="30"/>
      <c r="B549" s="31"/>
      <c r="C549" s="37" t="s">
        <v>132</v>
      </c>
      <c r="D549" s="3"/>
      <c r="E549" s="34"/>
      <c r="F549" s="33"/>
      <c r="G549" s="34"/>
      <c r="H549" s="35"/>
    </row>
    <row r="550" spans="1:8" x14ac:dyDescent="0.2">
      <c r="A550" s="26">
        <v>40</v>
      </c>
      <c r="B550" s="27">
        <v>116</v>
      </c>
      <c r="C550" s="43" t="s">
        <v>433</v>
      </c>
      <c r="D550" s="38">
        <v>233</v>
      </c>
      <c r="E550" s="2">
        <v>50</v>
      </c>
      <c r="F550" s="2">
        <f>643-(D550+E550)</f>
        <v>360</v>
      </c>
      <c r="G550" s="2">
        <f t="shared" ref="G550:G553" si="101">SUM(D550:F550)</f>
        <v>643</v>
      </c>
      <c r="H550" s="29">
        <f t="shared" ref="H550:H553" si="102">+(D550+E550)/G550</f>
        <v>0.44012441679626751</v>
      </c>
    </row>
    <row r="551" spans="1:8" x14ac:dyDescent="0.2">
      <c r="A551" s="26">
        <v>40</v>
      </c>
      <c r="B551" s="27">
        <v>120</v>
      </c>
      <c r="C551" s="43" t="s">
        <v>459</v>
      </c>
      <c r="D551" s="38">
        <v>122</v>
      </c>
      <c r="E551" s="2">
        <v>42</v>
      </c>
      <c r="F551" s="2">
        <f>384-(D551+E551)</f>
        <v>220</v>
      </c>
      <c r="G551" s="2">
        <f t="shared" si="101"/>
        <v>384</v>
      </c>
      <c r="H551" s="29">
        <f t="shared" si="102"/>
        <v>0.42708333333333331</v>
      </c>
    </row>
    <row r="552" spans="1:8" x14ac:dyDescent="0.2">
      <c r="A552" s="26">
        <v>40</v>
      </c>
      <c r="B552" s="27">
        <v>129</v>
      </c>
      <c r="C552" s="43" t="s">
        <v>266</v>
      </c>
      <c r="D552" s="38">
        <v>247</v>
      </c>
      <c r="E552" s="2">
        <v>37</v>
      </c>
      <c r="F552" s="2">
        <f>550-(D552+E552)</f>
        <v>266</v>
      </c>
      <c r="G552" s="2">
        <f t="shared" si="101"/>
        <v>550</v>
      </c>
      <c r="H552" s="29">
        <f t="shared" si="102"/>
        <v>0.51636363636363636</v>
      </c>
    </row>
    <row r="553" spans="1:8" x14ac:dyDescent="0.2">
      <c r="A553" s="26">
        <v>40</v>
      </c>
      <c r="B553" s="27">
        <v>404</v>
      </c>
      <c r="C553" s="43" t="s">
        <v>458</v>
      </c>
      <c r="D553" s="38">
        <v>244</v>
      </c>
      <c r="E553" s="2">
        <v>55</v>
      </c>
      <c r="F553" s="2">
        <f>753-(D553+E553)</f>
        <v>454</v>
      </c>
      <c r="G553" s="2">
        <f t="shared" si="101"/>
        <v>753</v>
      </c>
      <c r="H553" s="29">
        <f t="shared" si="102"/>
        <v>0.39707835325365204</v>
      </c>
    </row>
    <row r="554" spans="1:8" x14ac:dyDescent="0.2">
      <c r="A554" s="26">
        <v>40</v>
      </c>
      <c r="B554" s="27">
        <v>903</v>
      </c>
      <c r="C554" s="43" t="s">
        <v>510</v>
      </c>
      <c r="D554" s="38">
        <v>8</v>
      </c>
      <c r="E554" s="2">
        <v>0</v>
      </c>
      <c r="F554" s="2">
        <f>8-(D554+E554)</f>
        <v>0</v>
      </c>
      <c r="G554" s="2">
        <f t="shared" ref="G554" si="103">SUM(D554:F554)</f>
        <v>8</v>
      </c>
      <c r="H554" s="29">
        <f t="shared" ref="H554" si="104">+(D554+E554)/G554</f>
        <v>1</v>
      </c>
    </row>
    <row r="555" spans="1:8" x14ac:dyDescent="0.2">
      <c r="A555" s="30"/>
      <c r="B555" s="31"/>
      <c r="C555" s="32"/>
      <c r="D555" s="3"/>
      <c r="E555" s="34"/>
      <c r="F555" s="33"/>
      <c r="G555" s="34"/>
      <c r="H555" s="35"/>
    </row>
    <row r="556" spans="1:8" x14ac:dyDescent="0.2">
      <c r="A556" s="30"/>
      <c r="B556" s="31"/>
      <c r="C556" s="37" t="s">
        <v>222</v>
      </c>
      <c r="D556" s="3"/>
      <c r="E556" s="34"/>
      <c r="F556" s="33"/>
      <c r="G556" s="34"/>
      <c r="H556" s="35"/>
    </row>
    <row r="557" spans="1:8" x14ac:dyDescent="0.2">
      <c r="A557" s="26">
        <v>42</v>
      </c>
      <c r="B557" s="27">
        <v>105</v>
      </c>
      <c r="C557" s="43" t="s">
        <v>496</v>
      </c>
      <c r="D557" s="38">
        <v>136</v>
      </c>
      <c r="E557" s="2">
        <v>46</v>
      </c>
      <c r="F557" s="2">
        <f>452-(D557+E557)</f>
        <v>270</v>
      </c>
      <c r="G557" s="2">
        <f t="shared" ref="G557:G558" si="105">SUM(D557:F557)</f>
        <v>452</v>
      </c>
      <c r="H557" s="29">
        <f t="shared" ref="H557:H558" si="106">+(D557+E557)/G557</f>
        <v>0.40265486725663718</v>
      </c>
    </row>
    <row r="558" spans="1:8" x14ac:dyDescent="0.2">
      <c r="A558" s="26">
        <v>42</v>
      </c>
      <c r="B558" s="27">
        <v>112</v>
      </c>
      <c r="C558" s="43" t="s">
        <v>363</v>
      </c>
      <c r="D558" s="38">
        <v>471</v>
      </c>
      <c r="E558" s="2">
        <v>37</v>
      </c>
      <c r="F558" s="2">
        <f>611-(D558+E558)</f>
        <v>103</v>
      </c>
      <c r="G558" s="2">
        <f t="shared" si="105"/>
        <v>611</v>
      </c>
      <c r="H558" s="29">
        <f t="shared" si="106"/>
        <v>0.83142389525368243</v>
      </c>
    </row>
    <row r="559" spans="1:8" x14ac:dyDescent="0.2">
      <c r="A559" s="26">
        <v>42</v>
      </c>
      <c r="B559" s="27">
        <v>122</v>
      </c>
      <c r="C559" s="43" t="s">
        <v>497</v>
      </c>
      <c r="D559" s="38">
        <v>480</v>
      </c>
      <c r="E559" s="2">
        <v>70</v>
      </c>
      <c r="F559" s="2">
        <f>741-(D559+E559)</f>
        <v>191</v>
      </c>
      <c r="G559" s="2">
        <f t="shared" ref="G559:G560" si="107">SUM(D559:F559)</f>
        <v>741</v>
      </c>
      <c r="H559" s="29">
        <f t="shared" ref="H559:H563" si="108">+(D559+E559)/G559</f>
        <v>0.74224021592442646</v>
      </c>
    </row>
    <row r="560" spans="1:8" x14ac:dyDescent="0.2">
      <c r="A560" s="26">
        <v>42</v>
      </c>
      <c r="B560" s="27">
        <v>124</v>
      </c>
      <c r="C560" s="43" t="s">
        <v>486</v>
      </c>
      <c r="D560" s="38">
        <v>167</v>
      </c>
      <c r="E560" s="2">
        <v>49</v>
      </c>
      <c r="F560" s="2">
        <f>538-(D560+E560)</f>
        <v>322</v>
      </c>
      <c r="G560" s="2">
        <f t="shared" si="107"/>
        <v>538</v>
      </c>
      <c r="H560" s="29">
        <f t="shared" si="108"/>
        <v>0.40148698884758366</v>
      </c>
    </row>
    <row r="561" spans="1:8" x14ac:dyDescent="0.2">
      <c r="A561" s="26">
        <v>42</v>
      </c>
      <c r="B561" s="27">
        <v>140</v>
      </c>
      <c r="C561" s="43" t="s">
        <v>498</v>
      </c>
      <c r="D561" s="38">
        <v>694</v>
      </c>
      <c r="E561" s="2">
        <v>45</v>
      </c>
      <c r="F561" s="2">
        <f>851-(D561+E561)</f>
        <v>112</v>
      </c>
      <c r="G561" s="2">
        <f t="shared" ref="G561:G563" si="109">SUM(D561:F561)</f>
        <v>851</v>
      </c>
      <c r="H561" s="29">
        <f t="shared" si="108"/>
        <v>0.8683901292596945</v>
      </c>
    </row>
    <row r="562" spans="1:8" x14ac:dyDescent="0.2">
      <c r="A562" s="26">
        <v>42</v>
      </c>
      <c r="B562" s="27">
        <v>144</v>
      </c>
      <c r="C562" s="43" t="s">
        <v>499</v>
      </c>
      <c r="D562" s="38">
        <v>220</v>
      </c>
      <c r="E562" s="2">
        <v>49</v>
      </c>
      <c r="F562" s="2">
        <f>543-(D562+E562)</f>
        <v>274</v>
      </c>
      <c r="G562" s="2">
        <f t="shared" si="109"/>
        <v>543</v>
      </c>
      <c r="H562" s="29">
        <f t="shared" si="108"/>
        <v>0.49539594843462248</v>
      </c>
    </row>
    <row r="563" spans="1:8" x14ac:dyDescent="0.2">
      <c r="A563" s="26">
        <v>42</v>
      </c>
      <c r="B563" s="27">
        <v>156</v>
      </c>
      <c r="C563" s="43" t="s">
        <v>500</v>
      </c>
      <c r="D563" s="38">
        <v>404</v>
      </c>
      <c r="E563" s="2">
        <v>69</v>
      </c>
      <c r="F563" s="2">
        <f>734-(D563+E563)</f>
        <v>261</v>
      </c>
      <c r="G563" s="2">
        <f t="shared" si="109"/>
        <v>734</v>
      </c>
      <c r="H563" s="29">
        <f t="shared" si="108"/>
        <v>0.64441416893732972</v>
      </c>
    </row>
    <row r="564" spans="1:8" x14ac:dyDescent="0.2">
      <c r="A564" s="26">
        <v>42</v>
      </c>
      <c r="B564" s="27">
        <v>404</v>
      </c>
      <c r="C564" s="28" t="s">
        <v>54</v>
      </c>
      <c r="D564" s="38">
        <v>441</v>
      </c>
      <c r="E564" s="2">
        <v>41</v>
      </c>
      <c r="F564" s="2">
        <f>817-(D564+E564)</f>
        <v>335</v>
      </c>
      <c r="G564" s="2">
        <f t="shared" ref="G564:G566" si="110">SUM(D564:F564)</f>
        <v>817</v>
      </c>
      <c r="H564" s="29">
        <f t="shared" ref="H564:H566" si="111">+(D564+E564)/G564</f>
        <v>0.58996328029375766</v>
      </c>
    </row>
    <row r="565" spans="1:8" x14ac:dyDescent="0.2">
      <c r="A565" s="26">
        <v>42</v>
      </c>
      <c r="B565" s="27">
        <v>408</v>
      </c>
      <c r="C565" s="28" t="s">
        <v>157</v>
      </c>
      <c r="D565" s="38">
        <v>285</v>
      </c>
      <c r="E565" s="2">
        <v>55</v>
      </c>
      <c r="F565" s="2">
        <f>637-(D565+E565)</f>
        <v>297</v>
      </c>
      <c r="G565" s="2">
        <f t="shared" si="110"/>
        <v>637</v>
      </c>
      <c r="H565" s="29">
        <f t="shared" si="111"/>
        <v>0.53375196232339095</v>
      </c>
    </row>
    <row r="566" spans="1:8" x14ac:dyDescent="0.2">
      <c r="A566" s="26">
        <v>42</v>
      </c>
      <c r="B566" s="27">
        <v>410</v>
      </c>
      <c r="C566" s="28" t="s">
        <v>55</v>
      </c>
      <c r="D566" s="38">
        <v>303</v>
      </c>
      <c r="E566" s="2">
        <v>69</v>
      </c>
      <c r="F566" s="2">
        <f>861-(D566+E566)</f>
        <v>489</v>
      </c>
      <c r="G566" s="2">
        <f t="shared" si="110"/>
        <v>861</v>
      </c>
      <c r="H566" s="29">
        <f t="shared" si="111"/>
        <v>0.43205574912891986</v>
      </c>
    </row>
    <row r="567" spans="1:8" x14ac:dyDescent="0.2">
      <c r="A567" s="30"/>
      <c r="B567" s="31"/>
      <c r="C567" s="32"/>
      <c r="D567" s="3"/>
      <c r="E567" s="34"/>
      <c r="F567" s="33"/>
      <c r="G567" s="34"/>
      <c r="H567" s="35"/>
    </row>
    <row r="568" spans="1:8" x14ac:dyDescent="0.2">
      <c r="A568" s="30"/>
      <c r="B568" s="31"/>
      <c r="C568" s="37" t="s">
        <v>156</v>
      </c>
      <c r="D568" s="3"/>
      <c r="E568" s="34"/>
      <c r="F568" s="33"/>
      <c r="G568" s="34"/>
      <c r="H568" s="35"/>
    </row>
    <row r="569" spans="1:8" x14ac:dyDescent="0.2">
      <c r="A569" s="26">
        <v>68</v>
      </c>
      <c r="B569" s="27">
        <v>700</v>
      </c>
      <c r="C569" s="43" t="s">
        <v>513</v>
      </c>
      <c r="D569" s="38">
        <v>474</v>
      </c>
      <c r="E569" s="2">
        <v>127</v>
      </c>
      <c r="F569" s="2">
        <f>1016-(D569+E569)</f>
        <v>415</v>
      </c>
      <c r="G569" s="2">
        <f>SUM(D569:F569)</f>
        <v>1016</v>
      </c>
      <c r="H569" s="29">
        <f>+(D569+E569)/G569</f>
        <v>0.59153543307086609</v>
      </c>
    </row>
    <row r="570" spans="1:8" x14ac:dyDescent="0.2">
      <c r="A570" s="30"/>
      <c r="B570" s="31"/>
      <c r="C570" s="32"/>
      <c r="D570" s="3"/>
      <c r="E570" s="34"/>
      <c r="F570" s="33"/>
      <c r="G570" s="34"/>
      <c r="H570" s="35"/>
    </row>
    <row r="571" spans="1:8" x14ac:dyDescent="0.2">
      <c r="A571" s="30"/>
      <c r="B571" s="31"/>
      <c r="C571" s="37" t="s">
        <v>501</v>
      </c>
      <c r="D571" s="3"/>
      <c r="E571" s="34"/>
      <c r="F571" s="33"/>
      <c r="G571" s="34"/>
      <c r="H571" s="35"/>
    </row>
    <row r="572" spans="1:8" x14ac:dyDescent="0.2">
      <c r="A572" s="50">
        <v>74</v>
      </c>
      <c r="B572" s="51">
        <v>102</v>
      </c>
      <c r="C572" s="47" t="s">
        <v>522</v>
      </c>
      <c r="D572" s="38">
        <v>685</v>
      </c>
      <c r="E572" s="2">
        <v>151</v>
      </c>
      <c r="F572" s="2">
        <f>1142-(D572+E572)</f>
        <v>306</v>
      </c>
      <c r="G572" s="2">
        <f>SUM(D572:F572)</f>
        <v>1142</v>
      </c>
      <c r="H572" s="42">
        <f>+(D572+E572)/G572</f>
        <v>0.73204903677758315</v>
      </c>
    </row>
    <row r="573" spans="1:8" x14ac:dyDescent="0.2">
      <c r="A573" s="41">
        <v>74</v>
      </c>
      <c r="B573" s="27">
        <v>101</v>
      </c>
      <c r="C573" s="43" t="s">
        <v>502</v>
      </c>
      <c r="D573" s="38">
        <v>348</v>
      </c>
      <c r="E573" s="2">
        <v>86</v>
      </c>
      <c r="F573" s="2">
        <f>574-(D573+E573)</f>
        <v>140</v>
      </c>
      <c r="G573" s="2">
        <f>SUM(D573:F573)</f>
        <v>574</v>
      </c>
      <c r="H573" s="29">
        <f>+(D573+E573)/G573</f>
        <v>0.75609756097560976</v>
      </c>
    </row>
    <row r="574" spans="1:8" x14ac:dyDescent="0.2">
      <c r="A574" s="30"/>
      <c r="B574" s="31"/>
      <c r="C574" s="32"/>
      <c r="D574" s="3"/>
      <c r="E574" s="34"/>
      <c r="F574" s="33"/>
      <c r="G574" s="34"/>
      <c r="H574" s="35"/>
    </row>
    <row r="575" spans="1:8" x14ac:dyDescent="0.2">
      <c r="A575" s="30"/>
      <c r="B575" s="31"/>
      <c r="C575" s="37" t="s">
        <v>155</v>
      </c>
      <c r="D575" s="3"/>
      <c r="E575" s="34"/>
      <c r="F575" s="33"/>
      <c r="G575" s="34"/>
      <c r="H575" s="35"/>
    </row>
    <row r="576" spans="1:8" x14ac:dyDescent="0.2">
      <c r="A576" s="26">
        <v>82</v>
      </c>
      <c r="B576" s="27">
        <v>100</v>
      </c>
      <c r="C576" s="28" t="s">
        <v>155</v>
      </c>
      <c r="D576" s="38">
        <v>220</v>
      </c>
      <c r="E576" s="2">
        <v>102</v>
      </c>
      <c r="F576" s="2">
        <f>761-(D576+E576)</f>
        <v>439</v>
      </c>
      <c r="G576" s="2">
        <f>SUM(D576:F576)</f>
        <v>761</v>
      </c>
      <c r="H576" s="29">
        <f>+(D576+E576)/G576</f>
        <v>0.42312746386333772</v>
      </c>
    </row>
    <row r="577" spans="1:8" x14ac:dyDescent="0.2">
      <c r="A577" s="30"/>
      <c r="B577" s="31"/>
      <c r="C577" s="32"/>
      <c r="D577" s="3"/>
      <c r="E577" s="34"/>
      <c r="F577" s="33"/>
      <c r="G577" s="34"/>
      <c r="H577" s="35"/>
    </row>
    <row r="578" spans="1:8" x14ac:dyDescent="0.2">
      <c r="A578" s="30"/>
      <c r="B578" s="31"/>
      <c r="C578" s="37" t="s">
        <v>153</v>
      </c>
      <c r="D578" s="3"/>
      <c r="E578" s="34"/>
      <c r="F578" s="33"/>
      <c r="G578" s="34"/>
      <c r="H578" s="35"/>
    </row>
    <row r="579" spans="1:8" x14ac:dyDescent="0.2">
      <c r="A579" s="26">
        <v>86</v>
      </c>
      <c r="B579" s="27">
        <v>100</v>
      </c>
      <c r="C579" s="28" t="s">
        <v>153</v>
      </c>
      <c r="D579" s="38">
        <v>276</v>
      </c>
      <c r="E579" s="2">
        <v>32</v>
      </c>
      <c r="F579" s="2">
        <f>531-(D579+E579)</f>
        <v>223</v>
      </c>
      <c r="G579" s="2">
        <f>SUM(D579:F579)</f>
        <v>531</v>
      </c>
      <c r="H579" s="29">
        <f>+(D579+E579)/G579</f>
        <v>0.58003766478342744</v>
      </c>
    </row>
    <row r="580" spans="1:8" x14ac:dyDescent="0.2">
      <c r="A580" s="30"/>
      <c r="B580" s="31"/>
      <c r="C580" s="32"/>
      <c r="D580" s="3"/>
      <c r="E580" s="34"/>
      <c r="F580" s="33"/>
      <c r="G580" s="34"/>
      <c r="H580" s="35"/>
    </row>
    <row r="581" spans="1:8" x14ac:dyDescent="0.2">
      <c r="A581" s="30"/>
      <c r="B581" s="31"/>
      <c r="C581" s="37" t="s">
        <v>511</v>
      </c>
      <c r="D581" s="3"/>
      <c r="E581" s="34"/>
      <c r="F581" s="33"/>
      <c r="G581" s="34"/>
      <c r="H581" s="35"/>
    </row>
    <row r="582" spans="1:8" x14ac:dyDescent="0.2">
      <c r="A582" s="26">
        <v>98</v>
      </c>
      <c r="B582" s="27">
        <v>700</v>
      </c>
      <c r="C582" s="43" t="s">
        <v>511</v>
      </c>
      <c r="D582" s="38">
        <v>117</v>
      </c>
      <c r="E582" s="2">
        <v>26</v>
      </c>
      <c r="F582" s="2">
        <f>227-(D582+E582)</f>
        <v>84</v>
      </c>
      <c r="G582" s="2">
        <f>SUM(D582:F582)</f>
        <v>227</v>
      </c>
      <c r="H582" s="29">
        <f>+(D582+E582)/G582</f>
        <v>0.62995594713656389</v>
      </c>
    </row>
    <row r="583" spans="1:8" x14ac:dyDescent="0.2">
      <c r="A583" s="30"/>
      <c r="B583" s="31"/>
      <c r="C583" s="32"/>
      <c r="D583" s="3"/>
      <c r="E583" s="34"/>
      <c r="F583" s="33"/>
      <c r="G583" s="34"/>
      <c r="H583" s="35"/>
    </row>
    <row r="584" spans="1:8" x14ac:dyDescent="0.2">
      <c r="A584" s="30"/>
      <c r="B584" s="31"/>
      <c r="C584" s="37" t="s">
        <v>146</v>
      </c>
      <c r="D584" s="3"/>
      <c r="E584" s="34"/>
      <c r="F584" s="33"/>
      <c r="G584" s="34"/>
      <c r="H584" s="35"/>
    </row>
    <row r="585" spans="1:8" x14ac:dyDescent="0.2">
      <c r="A585" s="41" t="s">
        <v>168</v>
      </c>
      <c r="B585" s="74" t="s">
        <v>169</v>
      </c>
      <c r="C585" s="28" t="s">
        <v>146</v>
      </c>
      <c r="D585" s="38">
        <v>167</v>
      </c>
      <c r="E585" s="2">
        <v>5</v>
      </c>
      <c r="F585" s="2">
        <f>174-(D585+E585)</f>
        <v>2</v>
      </c>
      <c r="G585" s="2">
        <f>SUM(D585:F585)</f>
        <v>174</v>
      </c>
      <c r="H585" s="29">
        <f>+(D585+E585)/G585</f>
        <v>0.9885057471264368</v>
      </c>
    </row>
    <row r="586" spans="1:8" x14ac:dyDescent="0.2">
      <c r="A586" s="30"/>
      <c r="B586" s="31"/>
      <c r="C586" s="32"/>
      <c r="D586" s="3"/>
      <c r="E586" s="34"/>
      <c r="F586" s="33"/>
      <c r="G586" s="34"/>
      <c r="H586" s="35"/>
    </row>
    <row r="587" spans="1:8" x14ac:dyDescent="0.2">
      <c r="A587" s="30"/>
      <c r="B587" s="31"/>
      <c r="C587" s="37" t="s">
        <v>166</v>
      </c>
      <c r="D587" s="3"/>
      <c r="E587" s="34"/>
      <c r="F587" s="33"/>
      <c r="G587" s="34"/>
      <c r="H587" s="35"/>
    </row>
    <row r="588" spans="1:8" x14ac:dyDescent="0.2">
      <c r="A588" s="41" t="s">
        <v>165</v>
      </c>
      <c r="B588" s="27">
        <v>100</v>
      </c>
      <c r="C588" s="28" t="s">
        <v>166</v>
      </c>
      <c r="D588" s="38">
        <v>358</v>
      </c>
      <c r="E588" s="2">
        <v>158</v>
      </c>
      <c r="F588" s="2">
        <f>1008-(D588+E588)</f>
        <v>492</v>
      </c>
      <c r="G588" s="2">
        <f>SUM(D588:F588)</f>
        <v>1008</v>
      </c>
      <c r="H588" s="29">
        <f>+(D588+E588)/G588</f>
        <v>0.51190476190476186</v>
      </c>
    </row>
    <row r="589" spans="1:8" x14ac:dyDescent="0.2">
      <c r="A589" s="30"/>
      <c r="B589" s="31"/>
      <c r="C589" s="32"/>
      <c r="D589" s="3"/>
      <c r="E589" s="34"/>
      <c r="F589" s="33"/>
      <c r="G589" s="34"/>
      <c r="H589" s="35"/>
    </row>
    <row r="590" spans="1:8" x14ac:dyDescent="0.2">
      <c r="A590" s="30"/>
      <c r="B590" s="31"/>
      <c r="C590" s="37" t="s">
        <v>505</v>
      </c>
      <c r="D590" s="3"/>
      <c r="E590" s="34"/>
      <c r="F590" s="33"/>
      <c r="G590" s="34"/>
      <c r="H590" s="35"/>
    </row>
    <row r="591" spans="1:8" x14ac:dyDescent="0.2">
      <c r="A591" s="45" t="s">
        <v>504</v>
      </c>
      <c r="B591" s="27">
        <v>100</v>
      </c>
      <c r="C591" s="43" t="s">
        <v>505</v>
      </c>
      <c r="D591" s="38">
        <v>142</v>
      </c>
      <c r="E591" s="2">
        <v>77</v>
      </c>
      <c r="F591" s="2">
        <f>596-(D591+E591)</f>
        <v>377</v>
      </c>
      <c r="G591" s="2">
        <f>SUM(D591:F591)</f>
        <v>596</v>
      </c>
      <c r="H591" s="29">
        <f>+(D591+E591)/G591</f>
        <v>0.3674496644295302</v>
      </c>
    </row>
    <row r="592" spans="1:8" x14ac:dyDescent="0.2">
      <c r="A592" s="30"/>
      <c r="B592" s="31"/>
      <c r="C592" s="32"/>
      <c r="D592" s="3"/>
      <c r="E592" s="34"/>
      <c r="F592" s="33"/>
      <c r="G592" s="34"/>
      <c r="H592" s="35"/>
    </row>
    <row r="593" spans="1:8" x14ac:dyDescent="0.2">
      <c r="A593" s="30"/>
      <c r="B593" s="31"/>
      <c r="C593" s="37" t="s">
        <v>539</v>
      </c>
      <c r="D593" s="3"/>
      <c r="E593" s="34"/>
      <c r="F593" s="33"/>
      <c r="G593" s="34"/>
      <c r="H593" s="35"/>
    </row>
    <row r="594" spans="1:8" x14ac:dyDescent="0.2">
      <c r="A594" s="45" t="s">
        <v>538</v>
      </c>
      <c r="B594" s="27">
        <v>100</v>
      </c>
      <c r="C594" s="43" t="s">
        <v>539</v>
      </c>
      <c r="D594" s="38">
        <v>175</v>
      </c>
      <c r="E594" s="2">
        <v>55</v>
      </c>
      <c r="F594" s="2">
        <f>574-(D594+E594)</f>
        <v>344</v>
      </c>
      <c r="G594" s="2">
        <f>SUM(D594:F594)</f>
        <v>574</v>
      </c>
      <c r="H594" s="29">
        <f>+(D594+E594)/G594</f>
        <v>0.40069686411149824</v>
      </c>
    </row>
    <row r="595" spans="1:8" x14ac:dyDescent="0.2">
      <c r="A595" s="30"/>
      <c r="B595" s="31"/>
      <c r="C595" s="32"/>
      <c r="D595" s="3"/>
      <c r="E595" s="34"/>
      <c r="F595" s="33"/>
      <c r="G595" s="34"/>
      <c r="H595" s="35"/>
    </row>
    <row r="596" spans="1:8" x14ac:dyDescent="0.2">
      <c r="A596" s="30"/>
      <c r="B596" s="31"/>
      <c r="C596" s="37" t="s">
        <v>174</v>
      </c>
      <c r="D596" s="3"/>
      <c r="E596" s="34"/>
      <c r="F596" s="33"/>
      <c r="G596" s="34"/>
      <c r="H596" s="35"/>
    </row>
    <row r="597" spans="1:8" x14ac:dyDescent="0.2">
      <c r="A597" s="41" t="s">
        <v>173</v>
      </c>
      <c r="B597" s="27">
        <v>100</v>
      </c>
      <c r="C597" s="28" t="s">
        <v>174</v>
      </c>
      <c r="D597" s="38">
        <v>310</v>
      </c>
      <c r="E597" s="2">
        <v>37</v>
      </c>
      <c r="F597" s="2">
        <f>428-(D597+E597)</f>
        <v>81</v>
      </c>
      <c r="G597" s="2">
        <f>SUM(D597:F597)</f>
        <v>428</v>
      </c>
      <c r="H597" s="29">
        <f>+(D597+E597)/G597</f>
        <v>0.81074766355140182</v>
      </c>
    </row>
    <row r="598" spans="1:8" x14ac:dyDescent="0.2">
      <c r="A598" s="30"/>
      <c r="B598" s="31"/>
      <c r="C598" s="32"/>
      <c r="D598" s="3"/>
      <c r="E598" s="34"/>
      <c r="F598" s="33"/>
      <c r="G598" s="34"/>
      <c r="H598" s="35"/>
    </row>
    <row r="599" spans="1:8" x14ac:dyDescent="0.2">
      <c r="A599" s="30"/>
      <c r="B599" s="31"/>
      <c r="C599" s="37" t="s">
        <v>537</v>
      </c>
      <c r="D599" s="3"/>
      <c r="E599" s="34"/>
      <c r="F599" s="33"/>
      <c r="G599" s="34"/>
      <c r="H599" s="35"/>
    </row>
    <row r="600" spans="1:8" x14ac:dyDescent="0.2">
      <c r="A600" s="45" t="s">
        <v>536</v>
      </c>
      <c r="B600" s="27">
        <v>100</v>
      </c>
      <c r="C600" s="43" t="s">
        <v>537</v>
      </c>
      <c r="D600" s="38">
        <v>102</v>
      </c>
      <c r="E600" s="2">
        <v>26</v>
      </c>
      <c r="F600" s="2">
        <f>248-(D600+E600)</f>
        <v>120</v>
      </c>
      <c r="G600" s="2">
        <f>SUM(D600:F600)</f>
        <v>248</v>
      </c>
      <c r="H600" s="29">
        <f>+(D600+E600)/G600</f>
        <v>0.5161290322580645</v>
      </c>
    </row>
    <row r="601" spans="1:8" x14ac:dyDescent="0.2">
      <c r="A601" s="30"/>
      <c r="B601" s="31"/>
      <c r="C601" s="32"/>
      <c r="D601" s="3"/>
      <c r="E601" s="34"/>
      <c r="F601" s="33"/>
      <c r="G601" s="34"/>
      <c r="H601" s="35"/>
    </row>
    <row r="602" spans="1:8" x14ac:dyDescent="0.2">
      <c r="A602" s="30"/>
      <c r="B602" s="31"/>
      <c r="C602" s="37" t="s">
        <v>517</v>
      </c>
      <c r="D602" s="3"/>
      <c r="E602" s="34"/>
      <c r="F602" s="33"/>
      <c r="G602" s="34"/>
      <c r="H602" s="35"/>
    </row>
    <row r="603" spans="1:8" x14ac:dyDescent="0.2">
      <c r="A603" s="45" t="s">
        <v>515</v>
      </c>
      <c r="B603" s="27">
        <v>100</v>
      </c>
      <c r="C603" s="43" t="s">
        <v>516</v>
      </c>
      <c r="D603" s="38">
        <v>91</v>
      </c>
      <c r="E603" s="2">
        <v>43</v>
      </c>
      <c r="F603" s="2">
        <f>288-(D603+E603)</f>
        <v>154</v>
      </c>
      <c r="G603" s="2">
        <f>SUM(D603:F603)</f>
        <v>288</v>
      </c>
      <c r="H603" s="29">
        <f>+(D603+E603)/G603</f>
        <v>0.46527777777777779</v>
      </c>
    </row>
    <row r="604" spans="1:8" x14ac:dyDescent="0.2">
      <c r="A604" s="30"/>
      <c r="B604" s="31"/>
      <c r="C604" s="32"/>
      <c r="D604" s="3"/>
      <c r="E604" s="34"/>
      <c r="F604" s="33"/>
      <c r="G604" s="34"/>
      <c r="H604" s="35"/>
    </row>
    <row r="605" spans="1:8" x14ac:dyDescent="0.2">
      <c r="A605" s="30"/>
      <c r="B605" s="31"/>
      <c r="C605" s="37" t="s">
        <v>527</v>
      </c>
      <c r="D605" s="3"/>
      <c r="E605" s="34"/>
      <c r="F605" s="33"/>
      <c r="G605" s="34"/>
      <c r="H605" s="35"/>
    </row>
    <row r="606" spans="1:8" x14ac:dyDescent="0.2">
      <c r="A606" s="45" t="s">
        <v>526</v>
      </c>
      <c r="B606" s="27">
        <v>100</v>
      </c>
      <c r="C606" s="43" t="s">
        <v>527</v>
      </c>
      <c r="D606" s="38">
        <v>120</v>
      </c>
      <c r="E606" s="2">
        <v>32</v>
      </c>
      <c r="F606" s="2">
        <f>424-(D606+E606)</f>
        <v>272</v>
      </c>
      <c r="G606" s="2">
        <f>SUM(D606:F606)</f>
        <v>424</v>
      </c>
      <c r="H606" s="29">
        <f>+(D606+E606)/G606</f>
        <v>0.35849056603773582</v>
      </c>
    </row>
    <row r="607" spans="1:8" x14ac:dyDescent="0.2">
      <c r="A607" s="30"/>
      <c r="B607" s="31"/>
      <c r="C607" s="32"/>
      <c r="D607" s="3"/>
      <c r="E607" s="34"/>
      <c r="F607" s="33"/>
      <c r="G607" s="34"/>
      <c r="H607" s="35"/>
    </row>
    <row r="608" spans="1:8" x14ac:dyDescent="0.2">
      <c r="A608" s="30"/>
      <c r="B608" s="31"/>
      <c r="C608" s="37" t="s">
        <v>161</v>
      </c>
      <c r="D608" s="3"/>
      <c r="E608" s="34"/>
      <c r="F608" s="33"/>
      <c r="G608" s="34"/>
      <c r="H608" s="35"/>
    </row>
    <row r="609" spans="1:8" x14ac:dyDescent="0.2">
      <c r="A609" s="41" t="s">
        <v>162</v>
      </c>
      <c r="B609" s="27">
        <v>100</v>
      </c>
      <c r="C609" s="28" t="s">
        <v>161</v>
      </c>
      <c r="D609" s="38">
        <v>160</v>
      </c>
      <c r="E609" s="2">
        <v>101</v>
      </c>
      <c r="F609" s="2">
        <f>675-(D609+E609)</f>
        <v>414</v>
      </c>
      <c r="G609" s="2">
        <f>SUM(D609:F609)</f>
        <v>675</v>
      </c>
      <c r="H609" s="29">
        <f>+(D609+E609)/G609</f>
        <v>0.38666666666666666</v>
      </c>
    </row>
    <row r="610" spans="1:8" x14ac:dyDescent="0.2">
      <c r="A610" s="30"/>
      <c r="B610" s="31"/>
      <c r="C610" s="32"/>
      <c r="D610" s="3"/>
      <c r="E610" s="34"/>
      <c r="F610" s="33"/>
      <c r="G610" s="34"/>
      <c r="H610" s="35"/>
    </row>
    <row r="611" spans="1:8" x14ac:dyDescent="0.2">
      <c r="A611" s="30"/>
      <c r="B611" s="31"/>
      <c r="C611" s="37" t="s">
        <v>521</v>
      </c>
      <c r="D611" s="3"/>
      <c r="E611" s="34"/>
      <c r="F611" s="33"/>
      <c r="G611" s="34"/>
      <c r="H611" s="35"/>
    </row>
    <row r="612" spans="1:8" x14ac:dyDescent="0.2">
      <c r="A612" s="45" t="s">
        <v>520</v>
      </c>
      <c r="B612" s="52">
        <v>100</v>
      </c>
      <c r="C612" s="43" t="s">
        <v>521</v>
      </c>
      <c r="D612" s="38">
        <v>192</v>
      </c>
      <c r="E612" s="2">
        <v>67</v>
      </c>
      <c r="F612" s="2">
        <f>492-(D612+E612)</f>
        <v>233</v>
      </c>
      <c r="G612" s="2">
        <f>SUM(D612:F612)</f>
        <v>492</v>
      </c>
      <c r="H612" s="29">
        <f>+(D612+E612)/G612</f>
        <v>0.52642276422764223</v>
      </c>
    </row>
    <row r="613" spans="1:8" x14ac:dyDescent="0.2">
      <c r="A613" s="30"/>
      <c r="B613" s="31"/>
      <c r="C613" s="32"/>
      <c r="D613" s="3"/>
      <c r="E613" s="34"/>
      <c r="F613" s="33"/>
      <c r="G613" s="34"/>
      <c r="H613" s="35"/>
    </row>
    <row r="614" spans="1:8" x14ac:dyDescent="0.2">
      <c r="A614" s="30"/>
      <c r="B614" s="31"/>
      <c r="C614" s="37" t="s">
        <v>147</v>
      </c>
      <c r="D614" s="3"/>
      <c r="E614" s="34"/>
      <c r="F614" s="33"/>
      <c r="G614" s="34"/>
      <c r="H614" s="35"/>
    </row>
    <row r="615" spans="1:8" x14ac:dyDescent="0.2">
      <c r="A615" s="26" t="s">
        <v>148</v>
      </c>
      <c r="B615" s="75" t="s">
        <v>149</v>
      </c>
      <c r="C615" s="28" t="s">
        <v>147</v>
      </c>
      <c r="D615" s="38">
        <v>91</v>
      </c>
      <c r="E615" s="2">
        <v>14</v>
      </c>
      <c r="F615" s="2">
        <f>252-(D615+E615)</f>
        <v>147</v>
      </c>
      <c r="G615" s="2">
        <f>SUM(D615:F615)</f>
        <v>252</v>
      </c>
      <c r="H615" s="29">
        <f>+(D615+E615)/G615</f>
        <v>0.41666666666666669</v>
      </c>
    </row>
    <row r="616" spans="1:8" x14ac:dyDescent="0.2">
      <c r="A616" s="30"/>
      <c r="B616" s="31"/>
      <c r="C616" s="32"/>
      <c r="D616" s="3"/>
      <c r="E616" s="34"/>
      <c r="F616" s="33"/>
      <c r="G616" s="34"/>
      <c r="H616" s="35"/>
    </row>
    <row r="617" spans="1:8" x14ac:dyDescent="0.2">
      <c r="A617" s="30"/>
      <c r="B617" s="31"/>
      <c r="C617" s="37" t="s">
        <v>545</v>
      </c>
      <c r="D617" s="3"/>
      <c r="E617" s="34"/>
      <c r="F617" s="33"/>
      <c r="G617" s="34"/>
      <c r="H617" s="35"/>
    </row>
    <row r="618" spans="1:8" x14ac:dyDescent="0.2">
      <c r="A618" s="44" t="s">
        <v>544</v>
      </c>
      <c r="B618" s="76" t="s">
        <v>546</v>
      </c>
      <c r="C618" s="43" t="s">
        <v>545</v>
      </c>
      <c r="D618" s="38">
        <v>120</v>
      </c>
      <c r="E618" s="2">
        <v>8</v>
      </c>
      <c r="F618" s="2">
        <f>135-(D618+E618)</f>
        <v>7</v>
      </c>
      <c r="G618" s="2">
        <f>SUM(D618:F618)</f>
        <v>135</v>
      </c>
      <c r="H618" s="29">
        <f>+(D618+E618)/G618</f>
        <v>0.94814814814814818</v>
      </c>
    </row>
    <row r="619" spans="1:8" x14ac:dyDescent="0.2">
      <c r="D619" s="40"/>
      <c r="E619" s="40"/>
      <c r="F619" s="40"/>
      <c r="G619" s="40"/>
      <c r="H619" s="5"/>
    </row>
    <row r="620" spans="1:8" x14ac:dyDescent="0.2">
      <c r="D620" s="40"/>
      <c r="E620" s="40"/>
      <c r="F620" s="40"/>
      <c r="G620" s="40"/>
      <c r="H620" s="5"/>
    </row>
    <row r="621" spans="1:8" x14ac:dyDescent="0.2">
      <c r="D621" s="40"/>
      <c r="E621" s="40"/>
      <c r="F621" s="40"/>
      <c r="G621" s="40"/>
      <c r="H621" s="5"/>
    </row>
    <row r="622" spans="1:8" x14ac:dyDescent="0.2">
      <c r="D622" s="40"/>
      <c r="E622" s="40"/>
      <c r="F622" s="40"/>
      <c r="G622" s="40"/>
      <c r="H622" s="5"/>
    </row>
    <row r="623" spans="1:8" x14ac:dyDescent="0.2">
      <c r="D623" s="40"/>
      <c r="E623" s="40"/>
      <c r="F623" s="40"/>
      <c r="G623" s="40"/>
      <c r="H623" s="5"/>
    </row>
    <row r="624" spans="1:8" x14ac:dyDescent="0.2">
      <c r="D624" s="40"/>
      <c r="E624" s="40"/>
      <c r="F624" s="40"/>
      <c r="G624" s="40"/>
      <c r="H624" s="5"/>
    </row>
    <row r="625" spans="4:8" x14ac:dyDescent="0.2">
      <c r="D625" s="40"/>
      <c r="E625" s="40"/>
      <c r="F625" s="40"/>
      <c r="G625" s="40"/>
      <c r="H625" s="5"/>
    </row>
    <row r="626" spans="4:8" x14ac:dyDescent="0.2">
      <c r="D626" s="40"/>
      <c r="E626" s="40"/>
      <c r="F626" s="40"/>
      <c r="G626" s="40"/>
      <c r="H626" s="5"/>
    </row>
    <row r="627" spans="4:8" x14ac:dyDescent="0.2">
      <c r="D627" s="40"/>
      <c r="E627" s="40"/>
      <c r="F627" s="40"/>
      <c r="G627" s="40"/>
      <c r="H627" s="5"/>
    </row>
    <row r="628" spans="4:8" x14ac:dyDescent="0.2">
      <c r="D628" s="40"/>
      <c r="E628" s="40"/>
      <c r="F628" s="40"/>
      <c r="G628" s="40"/>
      <c r="H628" s="5"/>
    </row>
    <row r="629" spans="4:8" x14ac:dyDescent="0.2">
      <c r="D629" s="40"/>
      <c r="E629" s="40"/>
      <c r="F629" s="40"/>
      <c r="G629" s="40"/>
      <c r="H629" s="5"/>
    </row>
    <row r="630" spans="4:8" x14ac:dyDescent="0.2">
      <c r="D630" s="40"/>
      <c r="E630" s="40"/>
      <c r="F630" s="40"/>
      <c r="G630" s="40"/>
      <c r="H630" s="5"/>
    </row>
    <row r="631" spans="4:8" x14ac:dyDescent="0.2">
      <c r="D631" s="40"/>
      <c r="E631" s="40"/>
      <c r="F631" s="40"/>
      <c r="G631" s="40"/>
      <c r="H631" s="5"/>
    </row>
    <row r="632" spans="4:8" x14ac:dyDescent="0.2">
      <c r="D632" s="40"/>
      <c r="E632" s="40"/>
      <c r="F632" s="40"/>
      <c r="G632" s="40"/>
      <c r="H632" s="5"/>
    </row>
    <row r="633" spans="4:8" x14ac:dyDescent="0.2">
      <c r="D633" s="40"/>
      <c r="E633" s="40"/>
      <c r="F633" s="40"/>
      <c r="G633" s="40"/>
      <c r="H633" s="5"/>
    </row>
    <row r="634" spans="4:8" x14ac:dyDescent="0.2">
      <c r="D634" s="40"/>
      <c r="E634" s="40"/>
      <c r="F634" s="40"/>
      <c r="G634" s="40"/>
      <c r="H634" s="5"/>
    </row>
    <row r="635" spans="4:8" x14ac:dyDescent="0.2">
      <c r="D635" s="40"/>
      <c r="E635" s="40"/>
      <c r="F635" s="40"/>
      <c r="G635" s="40"/>
      <c r="H635" s="5"/>
    </row>
    <row r="636" spans="4:8" x14ac:dyDescent="0.2">
      <c r="D636" s="40"/>
      <c r="E636" s="40"/>
      <c r="F636" s="40"/>
      <c r="G636" s="40"/>
      <c r="H636" s="5"/>
    </row>
    <row r="637" spans="4:8" x14ac:dyDescent="0.2">
      <c r="D637" s="40"/>
      <c r="E637" s="40"/>
      <c r="F637" s="40"/>
      <c r="G637" s="40"/>
      <c r="H637" s="5"/>
    </row>
    <row r="638" spans="4:8" x14ac:dyDescent="0.2">
      <c r="D638" s="40"/>
      <c r="E638" s="40"/>
      <c r="F638" s="40"/>
      <c r="G638" s="40"/>
      <c r="H638" s="5"/>
    </row>
    <row r="639" spans="4:8" x14ac:dyDescent="0.2">
      <c r="D639" s="40"/>
      <c r="E639" s="40"/>
      <c r="F639" s="40"/>
      <c r="G639" s="40"/>
      <c r="H639" s="5"/>
    </row>
    <row r="640" spans="4:8" x14ac:dyDescent="0.2">
      <c r="D640" s="40"/>
      <c r="E640" s="40"/>
      <c r="F640" s="40"/>
      <c r="G640" s="40"/>
      <c r="H640" s="5"/>
    </row>
    <row r="641" spans="4:8" x14ac:dyDescent="0.2">
      <c r="D641" s="40"/>
      <c r="E641" s="40"/>
      <c r="F641" s="40"/>
      <c r="G641" s="40"/>
      <c r="H641" s="5"/>
    </row>
    <row r="642" spans="4:8" x14ac:dyDescent="0.2">
      <c r="D642" s="40"/>
      <c r="E642" s="40"/>
      <c r="F642" s="40"/>
      <c r="G642" s="40"/>
      <c r="H642" s="5"/>
    </row>
    <row r="643" spans="4:8" x14ac:dyDescent="0.2">
      <c r="D643" s="40"/>
      <c r="E643" s="40"/>
      <c r="F643" s="40"/>
      <c r="G643" s="40"/>
      <c r="H643" s="5"/>
    </row>
    <row r="644" spans="4:8" x14ac:dyDescent="0.2">
      <c r="D644" s="40"/>
      <c r="E644" s="40"/>
      <c r="F644" s="40"/>
      <c r="G644" s="40"/>
      <c r="H644" s="5"/>
    </row>
    <row r="645" spans="4:8" x14ac:dyDescent="0.2">
      <c r="D645" s="40"/>
      <c r="E645" s="40"/>
      <c r="F645" s="40"/>
      <c r="G645" s="40"/>
      <c r="H645" s="5"/>
    </row>
    <row r="646" spans="4:8" x14ac:dyDescent="0.2">
      <c r="D646" s="40"/>
      <c r="E646" s="40"/>
      <c r="F646" s="40"/>
      <c r="G646" s="40"/>
      <c r="H646" s="5"/>
    </row>
    <row r="647" spans="4:8" x14ac:dyDescent="0.2">
      <c r="D647" s="40"/>
      <c r="E647" s="40"/>
      <c r="F647" s="40"/>
      <c r="G647" s="40"/>
      <c r="H647" s="5"/>
    </row>
    <row r="648" spans="4:8" x14ac:dyDescent="0.2">
      <c r="D648" s="40"/>
      <c r="E648" s="40"/>
      <c r="F648" s="40"/>
      <c r="G648" s="40"/>
      <c r="H648" s="5"/>
    </row>
    <row r="649" spans="4:8" x14ac:dyDescent="0.2">
      <c r="D649" s="40"/>
      <c r="E649" s="40"/>
      <c r="F649" s="40"/>
      <c r="G649" s="40"/>
      <c r="H649" s="5"/>
    </row>
    <row r="650" spans="4:8" x14ac:dyDescent="0.2">
      <c r="D650" s="40"/>
      <c r="E650" s="40"/>
      <c r="F650" s="40"/>
      <c r="G650" s="40"/>
      <c r="H650" s="5"/>
    </row>
    <row r="651" spans="4:8" x14ac:dyDescent="0.2">
      <c r="D651" s="40"/>
      <c r="E651" s="40"/>
      <c r="F651" s="40"/>
      <c r="G651" s="40"/>
      <c r="H651" s="5"/>
    </row>
    <row r="652" spans="4:8" x14ac:dyDescent="0.2">
      <c r="D652" s="40"/>
      <c r="E652" s="40"/>
      <c r="F652" s="40"/>
      <c r="G652" s="40"/>
      <c r="H652" s="5"/>
    </row>
    <row r="653" spans="4:8" x14ac:dyDescent="0.2">
      <c r="D653" s="40"/>
      <c r="E653" s="40"/>
      <c r="F653" s="40"/>
      <c r="G653" s="40"/>
      <c r="H653" s="5"/>
    </row>
    <row r="654" spans="4:8" x14ac:dyDescent="0.2">
      <c r="D654" s="40"/>
      <c r="E654" s="40"/>
      <c r="F654" s="40"/>
      <c r="G654" s="40"/>
      <c r="H654" s="5"/>
    </row>
    <row r="655" spans="4:8" x14ac:dyDescent="0.2">
      <c r="D655" s="40"/>
      <c r="E655" s="40"/>
      <c r="F655" s="40"/>
      <c r="G655" s="40"/>
      <c r="H655" s="5"/>
    </row>
    <row r="656" spans="4:8" x14ac:dyDescent="0.2">
      <c r="D656" s="40"/>
      <c r="E656" s="40"/>
      <c r="F656" s="40"/>
      <c r="G656" s="40"/>
      <c r="H656" s="5"/>
    </row>
    <row r="657" spans="4:8" x14ac:dyDescent="0.2">
      <c r="D657" s="40"/>
      <c r="E657" s="40"/>
      <c r="F657" s="40"/>
      <c r="G657" s="40"/>
      <c r="H657" s="5"/>
    </row>
    <row r="658" spans="4:8" x14ac:dyDescent="0.2">
      <c r="D658" s="40"/>
      <c r="E658" s="40"/>
      <c r="F658" s="40"/>
      <c r="G658" s="40"/>
      <c r="H658" s="5"/>
    </row>
    <row r="659" spans="4:8" x14ac:dyDescent="0.2">
      <c r="D659" s="40"/>
      <c r="E659" s="40"/>
      <c r="F659" s="40"/>
      <c r="G659" s="40"/>
      <c r="H659" s="5"/>
    </row>
    <row r="660" spans="4:8" x14ac:dyDescent="0.2">
      <c r="D660" s="40"/>
      <c r="E660" s="40"/>
      <c r="F660" s="40"/>
      <c r="G660" s="40"/>
      <c r="H660" s="5"/>
    </row>
    <row r="661" spans="4:8" x14ac:dyDescent="0.2">
      <c r="D661" s="40"/>
      <c r="E661" s="40"/>
      <c r="F661" s="40"/>
      <c r="G661" s="40"/>
      <c r="H661" s="5"/>
    </row>
    <row r="662" spans="4:8" x14ac:dyDescent="0.2">
      <c r="D662" s="40"/>
      <c r="E662" s="40"/>
      <c r="F662" s="40"/>
      <c r="G662" s="40"/>
      <c r="H662" s="5"/>
    </row>
    <row r="663" spans="4:8" x14ac:dyDescent="0.2">
      <c r="D663" s="40"/>
      <c r="E663" s="40"/>
      <c r="F663" s="40"/>
      <c r="G663" s="40"/>
      <c r="H663" s="5"/>
    </row>
    <row r="664" spans="4:8" x14ac:dyDescent="0.2">
      <c r="D664" s="40"/>
      <c r="E664" s="40"/>
      <c r="F664" s="40"/>
      <c r="G664" s="40"/>
      <c r="H664" s="5"/>
    </row>
    <row r="665" spans="4:8" x14ac:dyDescent="0.2">
      <c r="D665" s="40"/>
      <c r="E665" s="40"/>
      <c r="F665" s="40"/>
      <c r="G665" s="40"/>
      <c r="H665" s="5"/>
    </row>
    <row r="666" spans="4:8" x14ac:dyDescent="0.2">
      <c r="D666" s="40"/>
      <c r="E666" s="40"/>
      <c r="F666" s="40"/>
      <c r="G666" s="40"/>
      <c r="H666" s="5"/>
    </row>
    <row r="667" spans="4:8" x14ac:dyDescent="0.2">
      <c r="D667" s="40"/>
      <c r="E667" s="40"/>
      <c r="F667" s="40"/>
      <c r="G667" s="40"/>
      <c r="H667" s="5"/>
    </row>
    <row r="668" spans="4:8" x14ac:dyDescent="0.2">
      <c r="D668" s="40"/>
      <c r="E668" s="40"/>
      <c r="F668" s="40"/>
      <c r="G668" s="40"/>
      <c r="H668" s="5"/>
    </row>
    <row r="669" spans="4:8" x14ac:dyDescent="0.2">
      <c r="D669" s="40"/>
      <c r="E669" s="40"/>
      <c r="F669" s="40"/>
      <c r="G669" s="40"/>
      <c r="H669" s="5"/>
    </row>
    <row r="670" spans="4:8" x14ac:dyDescent="0.2">
      <c r="D670" s="40"/>
      <c r="E670" s="40"/>
      <c r="F670" s="40"/>
      <c r="G670" s="40"/>
      <c r="H670" s="5"/>
    </row>
    <row r="671" spans="4:8" x14ac:dyDescent="0.2">
      <c r="D671" s="40"/>
      <c r="E671" s="40"/>
      <c r="F671" s="40"/>
      <c r="G671" s="40"/>
      <c r="H671" s="5"/>
    </row>
    <row r="672" spans="4:8" x14ac:dyDescent="0.2">
      <c r="D672" s="40"/>
      <c r="E672" s="40"/>
      <c r="F672" s="40"/>
      <c r="G672" s="40"/>
      <c r="H672" s="5"/>
    </row>
    <row r="673" spans="4:8" x14ac:dyDescent="0.2">
      <c r="D673" s="40"/>
      <c r="E673" s="40"/>
      <c r="F673" s="40"/>
      <c r="G673" s="40"/>
      <c r="H673" s="5"/>
    </row>
    <row r="674" spans="4:8" x14ac:dyDescent="0.2">
      <c r="D674" s="40"/>
      <c r="E674" s="40"/>
      <c r="F674" s="40"/>
      <c r="G674" s="40"/>
      <c r="H674" s="5"/>
    </row>
    <row r="675" spans="4:8" x14ac:dyDescent="0.2">
      <c r="D675" s="40"/>
      <c r="E675" s="40"/>
      <c r="F675" s="40"/>
      <c r="G675" s="40"/>
      <c r="H675" s="5"/>
    </row>
    <row r="676" spans="4:8" x14ac:dyDescent="0.2">
      <c r="D676" s="40"/>
      <c r="E676" s="40"/>
      <c r="F676" s="40"/>
      <c r="G676" s="40"/>
      <c r="H676" s="5"/>
    </row>
    <row r="677" spans="4:8" x14ac:dyDescent="0.2">
      <c r="D677" s="40"/>
      <c r="E677" s="40"/>
      <c r="F677" s="40"/>
      <c r="G677" s="40"/>
      <c r="H677" s="5"/>
    </row>
    <row r="678" spans="4:8" x14ac:dyDescent="0.2">
      <c r="D678" s="40"/>
      <c r="E678" s="40"/>
      <c r="F678" s="40"/>
      <c r="G678" s="40"/>
      <c r="H678" s="5"/>
    </row>
    <row r="679" spans="4:8" x14ac:dyDescent="0.2">
      <c r="D679" s="40"/>
      <c r="E679" s="40"/>
      <c r="F679" s="40"/>
      <c r="G679" s="40"/>
      <c r="H679" s="5"/>
    </row>
    <row r="680" spans="4:8" x14ac:dyDescent="0.2">
      <c r="D680" s="40"/>
      <c r="E680" s="40"/>
      <c r="F680" s="40"/>
      <c r="G680" s="40"/>
      <c r="H680" s="5"/>
    </row>
    <row r="681" spans="4:8" x14ac:dyDescent="0.2">
      <c r="D681" s="40"/>
      <c r="E681" s="40"/>
      <c r="F681" s="40"/>
      <c r="G681" s="40"/>
      <c r="H681" s="5"/>
    </row>
    <row r="682" spans="4:8" x14ac:dyDescent="0.2">
      <c r="D682" s="40"/>
      <c r="E682" s="40"/>
      <c r="F682" s="40"/>
      <c r="G682" s="40"/>
      <c r="H682" s="5"/>
    </row>
    <row r="683" spans="4:8" x14ac:dyDescent="0.2">
      <c r="D683" s="40"/>
      <c r="E683" s="40"/>
      <c r="F683" s="40"/>
      <c r="G683" s="40"/>
      <c r="H683" s="5"/>
    </row>
    <row r="684" spans="4:8" x14ac:dyDescent="0.2">
      <c r="D684" s="40"/>
      <c r="E684" s="40"/>
      <c r="F684" s="40"/>
      <c r="G684" s="40"/>
      <c r="H684" s="5"/>
    </row>
    <row r="685" spans="4:8" x14ac:dyDescent="0.2">
      <c r="D685" s="40"/>
      <c r="E685" s="40"/>
      <c r="F685" s="40"/>
      <c r="G685" s="40"/>
      <c r="H685" s="5"/>
    </row>
    <row r="686" spans="4:8" x14ac:dyDescent="0.2">
      <c r="D686" s="40"/>
      <c r="E686" s="40"/>
      <c r="F686" s="40"/>
      <c r="G686" s="40"/>
      <c r="H686" s="5"/>
    </row>
    <row r="687" spans="4:8" x14ac:dyDescent="0.2">
      <c r="D687" s="40"/>
      <c r="E687" s="40"/>
      <c r="F687" s="40"/>
      <c r="G687" s="40"/>
      <c r="H687" s="5"/>
    </row>
    <row r="688" spans="4:8" x14ac:dyDescent="0.2">
      <c r="D688" s="40"/>
      <c r="E688" s="40"/>
      <c r="F688" s="40"/>
      <c r="G688" s="40"/>
      <c r="H688" s="5"/>
    </row>
    <row r="689" spans="4:8" x14ac:dyDescent="0.2">
      <c r="D689" s="40"/>
      <c r="E689" s="40"/>
      <c r="F689" s="40"/>
      <c r="G689" s="40"/>
      <c r="H689" s="5"/>
    </row>
    <row r="690" spans="4:8" x14ac:dyDescent="0.2">
      <c r="D690" s="40"/>
      <c r="E690" s="40"/>
      <c r="F690" s="40"/>
      <c r="G690" s="40"/>
      <c r="H690" s="5"/>
    </row>
    <row r="691" spans="4:8" x14ac:dyDescent="0.2">
      <c r="D691" s="40"/>
      <c r="E691" s="40"/>
      <c r="F691" s="40"/>
      <c r="G691" s="40"/>
      <c r="H691" s="5"/>
    </row>
    <row r="692" spans="4:8" x14ac:dyDescent="0.2">
      <c r="D692" s="40"/>
      <c r="E692" s="40"/>
      <c r="F692" s="40"/>
      <c r="G692" s="40"/>
      <c r="H692" s="5"/>
    </row>
    <row r="693" spans="4:8" x14ac:dyDescent="0.2">
      <c r="D693" s="40"/>
      <c r="E693" s="40"/>
      <c r="F693" s="40"/>
      <c r="G693" s="40"/>
      <c r="H693" s="5"/>
    </row>
    <row r="694" spans="4:8" x14ac:dyDescent="0.2">
      <c r="D694" s="40"/>
      <c r="E694" s="40"/>
      <c r="F694" s="40"/>
      <c r="G694" s="40"/>
      <c r="H694" s="5"/>
    </row>
    <row r="695" spans="4:8" x14ac:dyDescent="0.2">
      <c r="D695" s="40"/>
      <c r="E695" s="40"/>
      <c r="F695" s="40"/>
      <c r="G695" s="40"/>
      <c r="H695" s="5"/>
    </row>
    <row r="696" spans="4:8" x14ac:dyDescent="0.2">
      <c r="D696" s="40"/>
      <c r="E696" s="40"/>
      <c r="F696" s="40"/>
      <c r="G696" s="40"/>
      <c r="H696" s="5"/>
    </row>
    <row r="697" spans="4:8" x14ac:dyDescent="0.2">
      <c r="D697" s="40"/>
      <c r="E697" s="40"/>
      <c r="F697" s="40"/>
      <c r="G697" s="40"/>
      <c r="H697" s="5"/>
    </row>
    <row r="698" spans="4:8" x14ac:dyDescent="0.2">
      <c r="D698" s="40"/>
      <c r="E698" s="40"/>
      <c r="F698" s="40"/>
      <c r="G698" s="40"/>
      <c r="H698" s="5"/>
    </row>
    <row r="699" spans="4:8" x14ac:dyDescent="0.2">
      <c r="D699" s="40"/>
      <c r="E699" s="40"/>
      <c r="F699" s="40"/>
      <c r="G699" s="40"/>
      <c r="H699" s="5"/>
    </row>
    <row r="700" spans="4:8" x14ac:dyDescent="0.2">
      <c r="D700" s="40"/>
      <c r="E700" s="40"/>
      <c r="F700" s="40"/>
      <c r="G700" s="40"/>
      <c r="H700" s="5"/>
    </row>
    <row r="701" spans="4:8" x14ac:dyDescent="0.2">
      <c r="D701" s="40"/>
      <c r="E701" s="40"/>
      <c r="F701" s="40"/>
      <c r="G701" s="40"/>
      <c r="H701" s="5"/>
    </row>
    <row r="702" spans="4:8" x14ac:dyDescent="0.2">
      <c r="D702" s="40"/>
      <c r="E702" s="40"/>
      <c r="F702" s="40"/>
      <c r="G702" s="40"/>
      <c r="H702" s="5"/>
    </row>
    <row r="703" spans="4:8" x14ac:dyDescent="0.2">
      <c r="D703" s="40"/>
      <c r="E703" s="40"/>
      <c r="F703" s="40"/>
      <c r="G703" s="40"/>
      <c r="H703" s="5"/>
    </row>
    <row r="704" spans="4:8" x14ac:dyDescent="0.2">
      <c r="D704" s="40"/>
      <c r="E704" s="40"/>
      <c r="F704" s="40"/>
      <c r="G704" s="40"/>
      <c r="H704" s="5"/>
    </row>
    <row r="705" spans="4:8" x14ac:dyDescent="0.2">
      <c r="D705" s="40"/>
      <c r="E705" s="40"/>
      <c r="F705" s="40"/>
      <c r="G705" s="40"/>
      <c r="H705" s="5"/>
    </row>
    <row r="706" spans="4:8" x14ac:dyDescent="0.2">
      <c r="D706" s="40"/>
      <c r="E706" s="40"/>
      <c r="F706" s="40"/>
      <c r="G706" s="40"/>
      <c r="H706" s="5"/>
    </row>
    <row r="707" spans="4:8" x14ac:dyDescent="0.2">
      <c r="D707" s="40"/>
      <c r="E707" s="40"/>
      <c r="F707" s="40"/>
      <c r="G707" s="40"/>
      <c r="H707" s="5"/>
    </row>
    <row r="708" spans="4:8" x14ac:dyDescent="0.2">
      <c r="D708" s="40"/>
      <c r="E708" s="40"/>
      <c r="F708" s="40"/>
      <c r="G708" s="40"/>
      <c r="H708" s="5"/>
    </row>
    <row r="709" spans="4:8" x14ac:dyDescent="0.2">
      <c r="D709" s="40"/>
      <c r="E709" s="40"/>
      <c r="F709" s="40"/>
      <c r="G709" s="40"/>
      <c r="H709" s="5"/>
    </row>
    <row r="710" spans="4:8" x14ac:dyDescent="0.2">
      <c r="D710" s="40"/>
      <c r="E710" s="40"/>
      <c r="F710" s="40"/>
      <c r="G710" s="40"/>
      <c r="H710" s="5"/>
    </row>
    <row r="711" spans="4:8" x14ac:dyDescent="0.2">
      <c r="D711" s="40"/>
      <c r="E711" s="40"/>
      <c r="F711" s="40"/>
      <c r="G711" s="40"/>
      <c r="H711" s="5"/>
    </row>
    <row r="712" spans="4:8" x14ac:dyDescent="0.2">
      <c r="D712" s="40"/>
      <c r="E712" s="40"/>
      <c r="F712" s="40"/>
      <c r="G712" s="40"/>
      <c r="H712" s="5"/>
    </row>
    <row r="713" spans="4:8" x14ac:dyDescent="0.2">
      <c r="D713" s="40"/>
      <c r="E713" s="40"/>
      <c r="F713" s="40"/>
      <c r="G713" s="40"/>
      <c r="H713" s="5"/>
    </row>
    <row r="714" spans="4:8" x14ac:dyDescent="0.2">
      <c r="D714" s="40"/>
      <c r="E714" s="40"/>
      <c r="F714" s="40"/>
      <c r="G714" s="40"/>
      <c r="H714" s="5"/>
    </row>
    <row r="715" spans="4:8" x14ac:dyDescent="0.2">
      <c r="D715" s="40"/>
      <c r="E715" s="40"/>
      <c r="F715" s="40"/>
      <c r="G715" s="40"/>
      <c r="H715" s="5"/>
    </row>
    <row r="716" spans="4:8" x14ac:dyDescent="0.2">
      <c r="D716" s="40"/>
      <c r="E716" s="40"/>
      <c r="F716" s="40"/>
      <c r="G716" s="40"/>
      <c r="H716" s="5"/>
    </row>
    <row r="717" spans="4:8" x14ac:dyDescent="0.2">
      <c r="D717" s="40"/>
      <c r="E717" s="40"/>
      <c r="F717" s="40"/>
      <c r="G717" s="40"/>
      <c r="H717" s="5"/>
    </row>
    <row r="718" spans="4:8" x14ac:dyDescent="0.2">
      <c r="D718" s="40"/>
      <c r="E718" s="40"/>
      <c r="F718" s="40"/>
      <c r="G718" s="40"/>
      <c r="H718" s="5"/>
    </row>
    <row r="719" spans="4:8" x14ac:dyDescent="0.2">
      <c r="D719" s="40"/>
      <c r="E719" s="40"/>
      <c r="F719" s="40"/>
      <c r="G719" s="40"/>
      <c r="H719" s="5"/>
    </row>
    <row r="720" spans="4:8" x14ac:dyDescent="0.2">
      <c r="D720" s="40"/>
      <c r="E720" s="40"/>
      <c r="F720" s="40"/>
      <c r="G720" s="40"/>
      <c r="H720" s="5"/>
    </row>
    <row r="721" spans="4:8" x14ac:dyDescent="0.2">
      <c r="D721" s="40"/>
      <c r="E721" s="40"/>
      <c r="F721" s="40"/>
      <c r="G721" s="40"/>
      <c r="H721" s="5"/>
    </row>
    <row r="722" spans="4:8" x14ac:dyDescent="0.2">
      <c r="D722" s="40"/>
      <c r="E722" s="40"/>
      <c r="F722" s="40"/>
      <c r="G722" s="40"/>
      <c r="H722" s="5"/>
    </row>
    <row r="723" spans="4:8" x14ac:dyDescent="0.2">
      <c r="D723" s="40"/>
      <c r="E723" s="40"/>
      <c r="F723" s="40"/>
      <c r="G723" s="40"/>
      <c r="H723" s="5"/>
    </row>
    <row r="724" spans="4:8" x14ac:dyDescent="0.2">
      <c r="D724" s="40"/>
      <c r="E724" s="40"/>
      <c r="F724" s="40"/>
      <c r="G724" s="40"/>
      <c r="H724" s="5"/>
    </row>
    <row r="725" spans="4:8" x14ac:dyDescent="0.2">
      <c r="D725" s="40"/>
      <c r="E725" s="40"/>
      <c r="F725" s="40"/>
      <c r="G725" s="40"/>
      <c r="H725" s="5"/>
    </row>
    <row r="726" spans="4:8" x14ac:dyDescent="0.2">
      <c r="D726" s="40"/>
      <c r="E726" s="40"/>
      <c r="F726" s="40"/>
      <c r="G726" s="40"/>
      <c r="H726" s="5"/>
    </row>
    <row r="727" spans="4:8" x14ac:dyDescent="0.2">
      <c r="D727" s="40"/>
      <c r="E727" s="40"/>
      <c r="F727" s="40"/>
      <c r="G727" s="40"/>
      <c r="H727" s="5"/>
    </row>
    <row r="728" spans="4:8" x14ac:dyDescent="0.2">
      <c r="D728" s="40"/>
      <c r="E728" s="40"/>
      <c r="F728" s="40"/>
      <c r="G728" s="40"/>
      <c r="H728" s="5"/>
    </row>
    <row r="729" spans="4:8" x14ac:dyDescent="0.2">
      <c r="D729" s="40"/>
      <c r="E729" s="40"/>
      <c r="F729" s="40"/>
      <c r="G729" s="40"/>
      <c r="H729" s="5"/>
    </row>
    <row r="730" spans="4:8" x14ac:dyDescent="0.2">
      <c r="D730" s="40"/>
      <c r="E730" s="40"/>
      <c r="F730" s="40"/>
      <c r="G730" s="40"/>
      <c r="H730" s="5"/>
    </row>
    <row r="731" spans="4:8" x14ac:dyDescent="0.2">
      <c r="D731" s="40"/>
      <c r="E731" s="40"/>
      <c r="F731" s="40"/>
      <c r="G731" s="40"/>
      <c r="H731" s="5"/>
    </row>
    <row r="732" spans="4:8" x14ac:dyDescent="0.2">
      <c r="D732" s="40"/>
      <c r="E732" s="40"/>
      <c r="F732" s="40"/>
      <c r="G732" s="40"/>
      <c r="H732" s="5"/>
    </row>
    <row r="733" spans="4:8" x14ac:dyDescent="0.2">
      <c r="D733" s="40"/>
      <c r="E733" s="40"/>
      <c r="F733" s="40"/>
      <c r="G733" s="40"/>
      <c r="H733" s="5"/>
    </row>
    <row r="734" spans="4:8" x14ac:dyDescent="0.2">
      <c r="D734" s="40"/>
      <c r="E734" s="40"/>
      <c r="F734" s="40"/>
      <c r="G734" s="40"/>
      <c r="H734" s="5"/>
    </row>
    <row r="735" spans="4:8" x14ac:dyDescent="0.2">
      <c r="D735" s="40"/>
      <c r="E735" s="40"/>
      <c r="F735" s="40"/>
      <c r="G735" s="40"/>
      <c r="H735" s="5"/>
    </row>
    <row r="736" spans="4:8" x14ac:dyDescent="0.2">
      <c r="D736" s="40"/>
      <c r="E736" s="40"/>
      <c r="F736" s="40"/>
      <c r="G736" s="40"/>
      <c r="H736" s="5"/>
    </row>
    <row r="737" spans="4:8" x14ac:dyDescent="0.2">
      <c r="D737" s="40"/>
      <c r="E737" s="40"/>
      <c r="F737" s="40"/>
      <c r="G737" s="40"/>
      <c r="H737" s="5"/>
    </row>
    <row r="738" spans="4:8" x14ac:dyDescent="0.2">
      <c r="D738" s="40"/>
      <c r="E738" s="40"/>
      <c r="F738" s="40"/>
      <c r="G738" s="40"/>
      <c r="H738" s="5"/>
    </row>
    <row r="739" spans="4:8" x14ac:dyDescent="0.2">
      <c r="D739" s="40"/>
      <c r="E739" s="40"/>
      <c r="F739" s="40"/>
      <c r="G739" s="40"/>
      <c r="H739" s="5"/>
    </row>
    <row r="740" spans="4:8" x14ac:dyDescent="0.2">
      <c r="D740" s="40"/>
      <c r="E740" s="40"/>
      <c r="F740" s="40"/>
      <c r="G740" s="40"/>
      <c r="H740" s="5"/>
    </row>
    <row r="741" spans="4:8" x14ac:dyDescent="0.2">
      <c r="D741" s="40"/>
      <c r="E741" s="40"/>
      <c r="F741" s="40"/>
      <c r="G741" s="40"/>
      <c r="H741" s="5"/>
    </row>
    <row r="742" spans="4:8" x14ac:dyDescent="0.2">
      <c r="D742" s="40"/>
      <c r="E742" s="40"/>
      <c r="F742" s="40"/>
      <c r="G742" s="40"/>
      <c r="H742" s="5"/>
    </row>
    <row r="743" spans="4:8" x14ac:dyDescent="0.2">
      <c r="D743" s="40"/>
      <c r="E743" s="40"/>
      <c r="F743" s="40"/>
      <c r="G743" s="40"/>
      <c r="H743" s="5"/>
    </row>
    <row r="744" spans="4:8" x14ac:dyDescent="0.2">
      <c r="D744" s="40"/>
      <c r="E744" s="40"/>
      <c r="F744" s="40"/>
      <c r="G744" s="40"/>
      <c r="H744" s="5"/>
    </row>
    <row r="745" spans="4:8" x14ac:dyDescent="0.2">
      <c r="D745" s="40"/>
      <c r="E745" s="40"/>
      <c r="F745" s="40"/>
      <c r="G745" s="40"/>
      <c r="H745" s="5"/>
    </row>
    <row r="746" spans="4:8" x14ac:dyDescent="0.2">
      <c r="D746" s="40"/>
      <c r="E746" s="40"/>
      <c r="F746" s="40"/>
      <c r="G746" s="40"/>
      <c r="H746" s="5"/>
    </row>
    <row r="747" spans="4:8" x14ac:dyDescent="0.2">
      <c r="D747" s="40"/>
      <c r="E747" s="40"/>
      <c r="F747" s="40"/>
      <c r="G747" s="40"/>
      <c r="H747" s="5"/>
    </row>
    <row r="748" spans="4:8" x14ac:dyDescent="0.2">
      <c r="D748" s="40"/>
      <c r="E748" s="40"/>
      <c r="F748" s="40"/>
      <c r="G748" s="40"/>
      <c r="H748" s="5"/>
    </row>
    <row r="749" spans="4:8" x14ac:dyDescent="0.2">
      <c r="D749" s="40"/>
      <c r="E749" s="40"/>
      <c r="F749" s="40"/>
      <c r="G749" s="40"/>
      <c r="H749" s="5"/>
    </row>
    <row r="750" spans="4:8" x14ac:dyDescent="0.2">
      <c r="D750" s="40"/>
      <c r="E750" s="40"/>
      <c r="F750" s="40"/>
      <c r="G750" s="40"/>
      <c r="H750" s="5"/>
    </row>
    <row r="751" spans="4:8" x14ac:dyDescent="0.2">
      <c r="D751" s="40"/>
      <c r="E751" s="40"/>
      <c r="F751" s="40"/>
      <c r="G751" s="40"/>
      <c r="H751" s="5"/>
    </row>
    <row r="752" spans="4:8" x14ac:dyDescent="0.2">
      <c r="D752" s="40"/>
      <c r="E752" s="40"/>
      <c r="F752" s="40"/>
      <c r="G752" s="40"/>
      <c r="H752" s="5"/>
    </row>
    <row r="753" spans="4:8" x14ac:dyDescent="0.2">
      <c r="D753" s="40"/>
      <c r="E753" s="40"/>
      <c r="F753" s="40"/>
      <c r="G753" s="40"/>
      <c r="H753" s="5"/>
    </row>
    <row r="754" spans="4:8" x14ac:dyDescent="0.2">
      <c r="D754" s="40"/>
      <c r="E754" s="40"/>
      <c r="F754" s="40"/>
      <c r="G754" s="40"/>
      <c r="H754" s="5"/>
    </row>
    <row r="755" spans="4:8" x14ac:dyDescent="0.2">
      <c r="D755" s="40"/>
      <c r="E755" s="40"/>
      <c r="F755" s="40"/>
      <c r="G755" s="40"/>
      <c r="H755" s="5"/>
    </row>
    <row r="756" spans="4:8" x14ac:dyDescent="0.2">
      <c r="D756" s="40"/>
      <c r="E756" s="40"/>
      <c r="F756" s="40"/>
      <c r="G756" s="40"/>
      <c r="H756" s="5"/>
    </row>
    <row r="757" spans="4:8" x14ac:dyDescent="0.2">
      <c r="D757" s="40"/>
      <c r="E757" s="40"/>
      <c r="F757" s="40"/>
      <c r="G757" s="40"/>
      <c r="H757" s="5"/>
    </row>
    <row r="758" spans="4:8" x14ac:dyDescent="0.2">
      <c r="D758" s="40"/>
      <c r="E758" s="40"/>
      <c r="F758" s="40"/>
      <c r="G758" s="40"/>
      <c r="H758" s="5"/>
    </row>
    <row r="759" spans="4:8" x14ac:dyDescent="0.2">
      <c r="D759" s="40"/>
      <c r="E759" s="40"/>
      <c r="F759" s="40"/>
      <c r="G759" s="40"/>
      <c r="H759" s="5"/>
    </row>
    <row r="760" spans="4:8" x14ac:dyDescent="0.2">
      <c r="D760" s="40"/>
      <c r="E760" s="40"/>
      <c r="F760" s="40"/>
      <c r="G760" s="40"/>
      <c r="H760" s="5"/>
    </row>
    <row r="761" spans="4:8" x14ac:dyDescent="0.2">
      <c r="D761" s="40"/>
      <c r="E761" s="40"/>
      <c r="F761" s="40"/>
      <c r="G761" s="40"/>
      <c r="H761" s="5"/>
    </row>
    <row r="762" spans="4:8" x14ac:dyDescent="0.2">
      <c r="D762" s="40"/>
      <c r="E762" s="40"/>
      <c r="F762" s="40"/>
      <c r="G762" s="40"/>
      <c r="H762" s="5"/>
    </row>
    <row r="763" spans="4:8" x14ac:dyDescent="0.2">
      <c r="D763" s="40"/>
      <c r="E763" s="40"/>
      <c r="F763" s="40"/>
      <c r="G763" s="40"/>
      <c r="H763" s="5"/>
    </row>
    <row r="764" spans="4:8" x14ac:dyDescent="0.2">
      <c r="D764" s="40"/>
      <c r="E764" s="40"/>
      <c r="F764" s="40"/>
      <c r="G764" s="40"/>
      <c r="H764" s="5"/>
    </row>
    <row r="765" spans="4:8" x14ac:dyDescent="0.2">
      <c r="D765" s="40"/>
      <c r="E765" s="40"/>
      <c r="F765" s="40"/>
      <c r="G765" s="40"/>
      <c r="H765" s="5"/>
    </row>
    <row r="766" spans="4:8" x14ac:dyDescent="0.2">
      <c r="D766" s="40"/>
      <c r="E766" s="40"/>
      <c r="F766" s="40"/>
      <c r="G766" s="40"/>
      <c r="H766" s="5"/>
    </row>
    <row r="767" spans="4:8" x14ac:dyDescent="0.2">
      <c r="D767" s="40"/>
      <c r="E767" s="40"/>
      <c r="F767" s="40"/>
      <c r="G767" s="40"/>
      <c r="H767" s="5"/>
    </row>
    <row r="768" spans="4:8" x14ac:dyDescent="0.2">
      <c r="D768" s="40"/>
      <c r="E768" s="40"/>
      <c r="F768" s="40"/>
      <c r="G768" s="40"/>
      <c r="H768" s="5"/>
    </row>
    <row r="769" spans="4:8" x14ac:dyDescent="0.2">
      <c r="D769" s="40"/>
      <c r="E769" s="40"/>
      <c r="F769" s="40"/>
      <c r="G769" s="40"/>
      <c r="H769" s="5"/>
    </row>
    <row r="770" spans="4:8" x14ac:dyDescent="0.2">
      <c r="D770" s="40"/>
      <c r="E770" s="40"/>
      <c r="F770" s="40"/>
      <c r="G770" s="40"/>
      <c r="H770" s="5"/>
    </row>
    <row r="771" spans="4:8" x14ac:dyDescent="0.2">
      <c r="D771" s="40"/>
      <c r="E771" s="40"/>
      <c r="F771" s="40"/>
      <c r="G771" s="40"/>
      <c r="H771" s="5"/>
    </row>
    <row r="772" spans="4:8" x14ac:dyDescent="0.2">
      <c r="D772" s="40"/>
      <c r="E772" s="40"/>
      <c r="F772" s="40"/>
      <c r="G772" s="40"/>
      <c r="H772" s="5"/>
    </row>
    <row r="773" spans="4:8" x14ac:dyDescent="0.2">
      <c r="D773" s="40"/>
      <c r="E773" s="40"/>
      <c r="F773" s="40"/>
      <c r="G773" s="40"/>
      <c r="H773" s="5"/>
    </row>
    <row r="774" spans="4:8" x14ac:dyDescent="0.2">
      <c r="D774" s="40"/>
      <c r="E774" s="40"/>
      <c r="F774" s="40"/>
      <c r="G774" s="40"/>
      <c r="H774" s="5"/>
    </row>
    <row r="775" spans="4:8" x14ac:dyDescent="0.2">
      <c r="D775" s="40"/>
      <c r="E775" s="40"/>
      <c r="F775" s="40"/>
      <c r="G775" s="40"/>
      <c r="H775" s="5"/>
    </row>
    <row r="776" spans="4:8" x14ac:dyDescent="0.2">
      <c r="D776" s="40"/>
      <c r="E776" s="40"/>
      <c r="F776" s="40"/>
      <c r="G776" s="40"/>
      <c r="H776" s="5"/>
    </row>
  </sheetData>
  <sortState ref="A463:H499">
    <sortCondition ref="B463:B499"/>
  </sortState>
  <phoneticPr fontId="0" type="noConversion"/>
  <printOptions horizontalCentered="1"/>
  <pageMargins left="0.28000000000000003" right="0.03" top="0.25" bottom="0.19" header="0.19" footer="0.18"/>
  <pageSetup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</vt:lpstr>
      <vt:lpstr>'2012'!Print_Titles</vt:lpstr>
    </vt:vector>
  </TitlesOfParts>
  <Company>Micron Electronics,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</dc:creator>
  <cp:lastModifiedBy>Dudley, Cathy</cp:lastModifiedBy>
  <cp:lastPrinted>2012-12-18T14:43:19Z</cp:lastPrinted>
  <dcterms:created xsi:type="dcterms:W3CDTF">2000-12-04T22:24:04Z</dcterms:created>
  <dcterms:modified xsi:type="dcterms:W3CDTF">2013-10-09T15:45:28Z</dcterms:modified>
</cp:coreProperties>
</file>